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8.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42" documentId="13_ncr:1_{BC54E5DD-5BC1-4F1B-BD10-04CEB120573E}" xr6:coauthVersionLast="47" xr6:coauthVersionMax="47" xr10:uidLastSave="{66F9DB12-8DA8-441A-B353-807A17079820}"/>
  <bookViews>
    <workbookView xWindow="-120" yWindow="-120" windowWidth="38640" windowHeight="15720" tabRatio="889" activeTab="1" xr2:uid="{00000000-000D-0000-FFFF-FFFF00000000}"/>
  </bookViews>
  <sheets>
    <sheet name="Profit" sheetId="1" r:id="rId1"/>
    <sheet name="Amortization" sheetId="71" r:id="rId2"/>
    <sheet name="Docs" sheetId="66" r:id="rId3"/>
    <sheet name="Trade Properties" sheetId="67" r:id="rId4"/>
    <sheet name="MOG" sheetId="33" r:id="rId5"/>
    <sheet name="Contact" sheetId="10" r:id="rId6"/>
    <sheet name="Carrying" sheetId="57" r:id="rId7"/>
    <sheet name="Contract" sheetId="36" r:id="rId8"/>
    <sheet name="UpdateContract" sheetId="47" r:id="rId9"/>
    <sheet name="Gnatt Chart" sheetId="37" r:id="rId10"/>
    <sheet name="Invoice" sheetId="65"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Landscape" sheetId="13" r:id="rId25"/>
    <sheet name="Exterior" sheetId="16" r:id="rId26"/>
    <sheet name="STR" sheetId="59" r:id="rId27"/>
    <sheet name="2024" sheetId="62" r:id="rId28"/>
    <sheet name="2023" sheetId="56" r:id="rId29"/>
    <sheet name="2022" sheetId="55" r:id="rId30"/>
    <sheet name="2021" sheetId="54" r:id="rId31"/>
    <sheet name="2020" sheetId="53" r:id="rId32"/>
    <sheet name="Furnishing" sheetId="61" r:id="rId33"/>
  </sheets>
  <definedNames>
    <definedName name="_xlnm._FilterDatabase" localSheetId="9"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Amortization!$J$13</definedName>
    <definedName name="cfdContractMonths">Amortization!$P$14</definedName>
    <definedName name="cfdContractYears">Amortization!$O$14</definedName>
    <definedName name="cfdEndDate">Amortization!$S$14</definedName>
    <definedName name="cfdFirstRateMonths">Amortization!$P$13</definedName>
    <definedName name="cfdFirstRateYears">Amortization!$O$13</definedName>
    <definedName name="cfdRate1">Amortization!$O$8</definedName>
    <definedName name="cfdRate1Payment">Amortization!$V$8</definedName>
    <definedName name="cfdRate2">Amortization!$O$11</definedName>
    <definedName name="cfdRate2Payment">Amortization!$V$11</definedName>
    <definedName name="cfdRateChangeDate">Amortization!$S$13</definedName>
    <definedName name="DepTitlesUsed">_xlfn.ANCHORARRAY(#REF!)</definedName>
    <definedName name="editsIdxTxt">TEXT(#REF!,"0")</definedName>
    <definedName name="editsParentKeyTxt">TEXT(#REF!,"0")</definedName>
    <definedName name="ExternalData_2" localSheetId="11" hidden="1">'Recap'!$N$4:$S$5</definedName>
    <definedName name="ExternalData_3" localSheetId="8" hidden="1">UpdateContract!$B$4:$H$48</definedName>
    <definedName name="ExternalData_4" localSheetId="9" hidden="1">'Gnatt Chart'!$A$27:$O$71</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Chart'!$F$2</definedName>
    <definedName name="ProposalToGnatt__2" localSheetId="11" hidden="1">'Recap'!$A$4:$G$21</definedName>
    <definedName name="Scrolling_Increment" localSheetId="1">'Gnatt Chart'!$BG$18</definedName>
    <definedName name="Scrolling_Increment">'Gnatt Chart'!$AB$24</definedName>
    <definedName name="subjectInterestRate">Amortization!$D$4</definedName>
    <definedName name="subjectKnownBalance">Amortization!$D$3</definedName>
    <definedName name="subjectKnownBalanceDate">Amortization!$D$7</definedName>
    <definedName name="subjectMortgageEndDate">Amortization!$D$8</definedName>
    <definedName name="subjectPayment">Amortization!$D$6</definedName>
    <definedName name="subjectRemainingMonths">Amortization!$E$5</definedName>
    <definedName name="Today" localSheetId="9">TODAY()</definedName>
    <definedName name="tradeMonthlyGrossSpread">'Trade Properties'!$R$12</definedName>
    <definedName name="tradeNetCreditIncluded">'Trade Properties'!$R$9</definedName>
    <definedName name="tradePropertyConditionsForDocs">'Trade Properties'!$R$20</definedName>
    <definedName name="tradePropertyListForDocs">'Trade Properties'!$R$19</definedName>
  </definedNames>
  <calcPr calcId="191029" iterate="1" iterateDelta="1E-4" calcCompleted="0"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8" i="66" l="1"/>
  <c r="E16" i="66"/>
  <c r="E15" i="66"/>
  <c r="B18" i="66"/>
  <c r="B15" i="66"/>
  <c r="B8" i="66"/>
  <c r="B7" i="1"/>
  <c r="D3" i="71"/>
  <c r="B20" i="71" s="1"/>
  <c r="D4" i="71"/>
  <c r="Q8" i="71" s="1"/>
  <c r="E5" i="71"/>
  <c r="D5" i="71" s="1"/>
  <c r="A20" i="71"/>
  <c r="N20" i="71" s="1"/>
  <c r="P14" i="71"/>
  <c r="P13" i="71"/>
  <c r="B16" i="66" s="1"/>
  <c r="L20" i="71"/>
  <c r="R3" i="71"/>
  <c r="Q3" i="71"/>
  <c r="P3" i="71"/>
  <c r="O2" i="71"/>
  <c r="B5" i="1" s="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70" i="1"/>
  <c r="D11" i="1"/>
  <c r="B49" i="66"/>
  <c r="B50" i="66" l="1"/>
  <c r="B19" i="66"/>
  <c r="B17" i="66"/>
  <c r="A21" i="71"/>
  <c r="N21" i="71" s="1"/>
  <c r="AC10" i="71"/>
  <c r="E20" i="71"/>
  <c r="J20" i="71" s="1"/>
  <c r="D6" i="71"/>
  <c r="O3" i="71"/>
  <c r="R11" i="71"/>
  <c r="Q11" i="71"/>
  <c r="P11" i="71"/>
  <c r="S14" i="71"/>
  <c r="B21" i="66" s="1"/>
  <c r="S13" i="71"/>
  <c r="B20" i="66" s="1"/>
  <c r="R8" i="71"/>
  <c r="P8" i="71"/>
  <c r="P4" i="71" l="1"/>
  <c r="O4" i="71" s="1"/>
  <c r="B7" i="66"/>
  <c r="A22" i="71"/>
  <c r="N22" i="71" s="1"/>
  <c r="C20" i="71"/>
  <c r="S21" i="71"/>
  <c r="Y21" i="71"/>
  <c r="Q21" i="71" s="1"/>
  <c r="Y20" i="71"/>
  <c r="S20" i="71"/>
  <c r="O11" i="71"/>
  <c r="B52" i="66" s="1"/>
  <c r="R4" i="71"/>
  <c r="Q4" i="71"/>
  <c r="O8" i="71"/>
  <c r="B51" i="66" s="1"/>
  <c r="C7" i="1" l="1"/>
  <c r="B9" i="66"/>
  <c r="Y22" i="71"/>
  <c r="Q22" i="71" s="1"/>
  <c r="R22" i="71" s="1"/>
  <c r="S22" i="71"/>
  <c r="A23" i="71"/>
  <c r="A24" i="71" s="1"/>
  <c r="D20" i="71"/>
  <c r="K20" i="71" s="1"/>
  <c r="B21" i="71" s="1"/>
  <c r="I20" i="71"/>
  <c r="T21" i="71"/>
  <c r="AB21" i="71"/>
  <c r="R21" i="71"/>
  <c r="Z21" i="71"/>
  <c r="Q20" i="71"/>
  <c r="P20" i="71"/>
  <c r="P21" i="71"/>
  <c r="P22" i="71"/>
  <c r="U11" i="71"/>
  <c r="U8" i="71"/>
  <c r="AB22" i="71" l="1"/>
  <c r="Z22" i="71"/>
  <c r="T22" i="71"/>
  <c r="N23" i="71"/>
  <c r="P23" i="71" s="1"/>
  <c r="N24" i="71"/>
  <c r="A25" i="71"/>
  <c r="E21" i="71"/>
  <c r="J21" i="71" s="1"/>
  <c r="T20" i="71"/>
  <c r="R20" i="71"/>
  <c r="Z20" i="71"/>
  <c r="AB20" i="71"/>
  <c r="AC20" i="71"/>
  <c r="AC21" i="71" s="1"/>
  <c r="AC22" i="71" s="1"/>
  <c r="U22" i="71"/>
  <c r="U21" i="71"/>
  <c r="V21" i="71" s="1"/>
  <c r="V22" i="71" l="1"/>
  <c r="S23" i="71"/>
  <c r="Y23" i="71"/>
  <c r="Q23" i="71" s="1"/>
  <c r="AC23" i="71" s="1"/>
  <c r="C21" i="71"/>
  <c r="D21" i="71" s="1"/>
  <c r="I21" i="71" s="1"/>
  <c r="N25" i="71"/>
  <c r="A26" i="71"/>
  <c r="S24" i="71"/>
  <c r="Y24" i="71"/>
  <c r="Q24" i="71" s="1"/>
  <c r="P24" i="71"/>
  <c r="U20" i="71"/>
  <c r="V20" i="71" s="1"/>
  <c r="W20" i="71"/>
  <c r="W22" i="71"/>
  <c r="W21" i="71"/>
  <c r="T23" i="71" l="1"/>
  <c r="AB23" i="71"/>
  <c r="Z23" i="71"/>
  <c r="R23" i="71"/>
  <c r="U23" i="71" s="1"/>
  <c r="AC24" i="71"/>
  <c r="K21" i="71"/>
  <c r="B22" i="71" s="1"/>
  <c r="E22" i="71" s="1"/>
  <c r="J22" i="71" s="1"/>
  <c r="N26" i="71"/>
  <c r="A27" i="71"/>
  <c r="Y25" i="71"/>
  <c r="Q25" i="71" s="1"/>
  <c r="S25" i="71"/>
  <c r="P25" i="71"/>
  <c r="R24" i="71"/>
  <c r="T24" i="71"/>
  <c r="AB24" i="71"/>
  <c r="Z24" i="71"/>
  <c r="W23" i="71" l="1"/>
  <c r="AC25" i="71"/>
  <c r="V23" i="71"/>
  <c r="U24" i="71"/>
  <c r="V24" i="71" s="1"/>
  <c r="W24" i="71"/>
  <c r="T25" i="71"/>
  <c r="R25" i="71"/>
  <c r="AB25" i="71"/>
  <c r="Z25" i="71"/>
  <c r="N27" i="71"/>
  <c r="A28" i="71"/>
  <c r="C22" i="71"/>
  <c r="D22" i="71" s="1"/>
  <c r="I22" i="71" s="1"/>
  <c r="S26" i="71"/>
  <c r="Y26" i="71"/>
  <c r="Q26" i="71" s="1"/>
  <c r="P26" i="71"/>
  <c r="K22" i="71" l="1"/>
  <c r="B23" i="71" s="1"/>
  <c r="E23" i="71" s="1"/>
  <c r="J23" i="71" s="1"/>
  <c r="N28" i="71"/>
  <c r="A29" i="71"/>
  <c r="Y27" i="71"/>
  <c r="Q27" i="71" s="1"/>
  <c r="S27" i="71"/>
  <c r="P27" i="71"/>
  <c r="Z26" i="71"/>
  <c r="R26" i="71"/>
  <c r="T26" i="71"/>
  <c r="AB26" i="71"/>
  <c r="AC26" i="71"/>
  <c r="U25" i="71"/>
  <c r="V25" i="71" s="1"/>
  <c r="W25" i="71"/>
  <c r="M21" i="71"/>
  <c r="AC27" i="71" l="1"/>
  <c r="C23" i="71"/>
  <c r="D23" i="71" s="1"/>
  <c r="I23" i="71" s="1"/>
  <c r="U26" i="71"/>
  <c r="V26" i="71" s="1"/>
  <c r="W26" i="71"/>
  <c r="Z27" i="71"/>
  <c r="AB27" i="71"/>
  <c r="T27" i="71"/>
  <c r="R27" i="71"/>
  <c r="U27" i="71" s="1"/>
  <c r="N29" i="71"/>
  <c r="A30" i="71"/>
  <c r="Y28" i="71"/>
  <c r="Q28" i="71" s="1"/>
  <c r="S28" i="71"/>
  <c r="P28" i="71"/>
  <c r="L21" i="71"/>
  <c r="K23" i="71" l="1"/>
  <c r="B24" i="71" s="1"/>
  <c r="E24" i="71" s="1"/>
  <c r="J24" i="71" s="1"/>
  <c r="W27" i="71"/>
  <c r="N30" i="71"/>
  <c r="A31" i="71"/>
  <c r="Z28" i="71"/>
  <c r="AB28" i="71"/>
  <c r="T28" i="71"/>
  <c r="R28" i="71"/>
  <c r="Y29" i="71"/>
  <c r="Q29" i="71" s="1"/>
  <c r="S29" i="71"/>
  <c r="P29" i="71"/>
  <c r="AC28" i="71"/>
  <c r="V27" i="71"/>
  <c r="U28" i="71" l="1"/>
  <c r="V28" i="71" s="1"/>
  <c r="W28" i="71"/>
  <c r="C24" i="71"/>
  <c r="D24" i="71" s="1"/>
  <c r="I24" i="71" s="1"/>
  <c r="AB29" i="71"/>
  <c r="T29" i="71"/>
  <c r="R29" i="71"/>
  <c r="W29" i="71" s="1"/>
  <c r="Z29" i="71"/>
  <c r="AC29" i="71"/>
  <c r="N31" i="71"/>
  <c r="A32" i="71"/>
  <c r="Y30" i="71"/>
  <c r="Q30" i="71" s="1"/>
  <c r="P30" i="71"/>
  <c r="S30" i="71"/>
  <c r="Y31" i="71" l="1"/>
  <c r="P31" i="71"/>
  <c r="AC30" i="71"/>
  <c r="N32" i="71"/>
  <c r="A33" i="71"/>
  <c r="AB30" i="71"/>
  <c r="Z30" i="71"/>
  <c r="R30" i="71"/>
  <c r="T30" i="71"/>
  <c r="K24" i="71"/>
  <c r="B25" i="71" s="1"/>
  <c r="E25" i="71" s="1"/>
  <c r="J25" i="71" s="1"/>
  <c r="U29" i="71"/>
  <c r="V29" i="71" s="1"/>
  <c r="M22" i="71"/>
  <c r="Y32" i="71" l="1"/>
  <c r="P32" i="71"/>
  <c r="U30" i="71"/>
  <c r="V30" i="71" s="1"/>
  <c r="W30" i="71"/>
  <c r="N33" i="71"/>
  <c r="A34" i="71"/>
  <c r="C25" i="71"/>
  <c r="D25" i="71" s="1"/>
  <c r="L22" i="71"/>
  <c r="A35" i="71" l="1"/>
  <c r="N34" i="71"/>
  <c r="Y33" i="71"/>
  <c r="P33" i="71"/>
  <c r="I25" i="71"/>
  <c r="K25" i="71"/>
  <c r="B26" i="71" s="1"/>
  <c r="Y34" i="71" l="1"/>
  <c r="P34" i="71"/>
  <c r="A36" i="71"/>
  <c r="N35" i="71"/>
  <c r="E26" i="71"/>
  <c r="J26" i="71" s="1"/>
  <c r="M23" i="71"/>
  <c r="C26" i="71" l="1"/>
  <c r="D26" i="71" s="1"/>
  <c r="I26" i="71" s="1"/>
  <c r="Y35" i="71"/>
  <c r="P35" i="71"/>
  <c r="N36" i="71"/>
  <c r="A37" i="71"/>
  <c r="L23" i="71"/>
  <c r="K26" i="71" l="1"/>
  <c r="B27" i="71" s="1"/>
  <c r="E27" i="71" s="1"/>
  <c r="J27" i="71" s="1"/>
  <c r="Y36" i="71"/>
  <c r="P36" i="71"/>
  <c r="N37" i="71"/>
  <c r="A38" i="71"/>
  <c r="C27" i="71" l="1"/>
  <c r="D27" i="71" s="1"/>
  <c r="I27" i="71" s="1"/>
  <c r="N38" i="71"/>
  <c r="A39" i="71"/>
  <c r="Y37" i="71"/>
  <c r="P37" i="71"/>
  <c r="K27" i="71" l="1"/>
  <c r="B28" i="71" s="1"/>
  <c r="E28" i="71" s="1"/>
  <c r="J28" i="71" s="1"/>
  <c r="N39" i="71"/>
  <c r="A40" i="71"/>
  <c r="P38" i="71"/>
  <c r="Y38" i="71"/>
  <c r="M24" i="71"/>
  <c r="N40" i="71" l="1"/>
  <c r="A41" i="71"/>
  <c r="P39" i="71"/>
  <c r="Y39" i="71"/>
  <c r="C28" i="71"/>
  <c r="D28" i="71" s="1"/>
  <c r="L24" i="71"/>
  <c r="A42" i="71" l="1"/>
  <c r="N41" i="71"/>
  <c r="P40" i="71"/>
  <c r="Y40" i="71"/>
  <c r="I28" i="71"/>
  <c r="K28" i="71"/>
  <c r="B29" i="71" s="1"/>
  <c r="Y41" i="71" l="1"/>
  <c r="P41" i="71"/>
  <c r="A43" i="71"/>
  <c r="N42" i="71"/>
  <c r="E29" i="71"/>
  <c r="J29" i="71" s="1"/>
  <c r="N43" i="71" l="1"/>
  <c r="A44" i="71"/>
  <c r="P42" i="71"/>
  <c r="Y42" i="71"/>
  <c r="C29" i="71"/>
  <c r="D29" i="71" s="1"/>
  <c r="I29" i="71" s="1"/>
  <c r="M25" i="71"/>
  <c r="K29" i="71" l="1"/>
  <c r="B30" i="71" s="1"/>
  <c r="E30" i="71" s="1"/>
  <c r="J30" i="71" s="1"/>
  <c r="N44" i="71"/>
  <c r="A45" i="71"/>
  <c r="P43" i="71"/>
  <c r="Y43" i="71"/>
  <c r="L25" i="71"/>
  <c r="C30" i="71" l="1"/>
  <c r="D30" i="71" s="1"/>
  <c r="I30" i="71" s="1"/>
  <c r="A46" i="71"/>
  <c r="N45" i="71"/>
  <c r="P44" i="71"/>
  <c r="Y44" i="71"/>
  <c r="K30" i="71" l="1"/>
  <c r="B31" i="71" s="1"/>
  <c r="E31" i="71" s="1"/>
  <c r="J31" i="71" s="1"/>
  <c r="Y45" i="71"/>
  <c r="P45" i="71"/>
  <c r="N46" i="71"/>
  <c r="A47" i="71"/>
  <c r="M26" i="71"/>
  <c r="L26" i="71" s="1"/>
  <c r="C31" i="71" l="1"/>
  <c r="D31" i="71" s="1"/>
  <c r="I31" i="71" s="1"/>
  <c r="N47" i="71"/>
  <c r="A48" i="71"/>
  <c r="Y46" i="71"/>
  <c r="P46" i="71"/>
  <c r="K31" i="71" l="1"/>
  <c r="B32" i="71" s="1"/>
  <c r="E32" i="71" s="1"/>
  <c r="J32" i="71" s="1"/>
  <c r="N48" i="71"/>
  <c r="A49" i="71"/>
  <c r="P47" i="71"/>
  <c r="Y47" i="71"/>
  <c r="C32" i="71" l="1"/>
  <c r="D32" i="71" s="1"/>
  <c r="I32" i="71" s="1"/>
  <c r="N49" i="71"/>
  <c r="A50" i="71"/>
  <c r="P48" i="71"/>
  <c r="Y48" i="71"/>
  <c r="K32" i="71" l="1"/>
  <c r="B33" i="71" s="1"/>
  <c r="E33" i="71" s="1"/>
  <c r="J33" i="71" s="1"/>
  <c r="A51" i="71"/>
  <c r="N50" i="71"/>
  <c r="P49" i="71"/>
  <c r="Y49" i="71"/>
  <c r="M27" i="71"/>
  <c r="L27" i="71" s="1"/>
  <c r="C33" i="71" l="1"/>
  <c r="D33" i="71" s="1"/>
  <c r="I33" i="71" s="1"/>
  <c r="Y50" i="71"/>
  <c r="P50" i="71"/>
  <c r="N51" i="71"/>
  <c r="A52" i="71"/>
  <c r="K33" i="71" l="1"/>
  <c r="B34" i="71" s="1"/>
  <c r="E34" i="71" s="1"/>
  <c r="J34" i="71" s="1"/>
  <c r="A53" i="71"/>
  <c r="N52" i="71"/>
  <c r="P51" i="71"/>
  <c r="Y51" i="71"/>
  <c r="C34" i="71" l="1"/>
  <c r="D34" i="71" s="1"/>
  <c r="I34" i="71" s="1"/>
  <c r="Y52" i="71"/>
  <c r="P52" i="71"/>
  <c r="A54" i="71"/>
  <c r="N53" i="71"/>
  <c r="K34" i="71" l="1"/>
  <c r="B35" i="71" s="1"/>
  <c r="E35" i="71" s="1"/>
  <c r="J35" i="71" s="1"/>
  <c r="P53" i="71"/>
  <c r="Y53" i="71"/>
  <c r="N54" i="71"/>
  <c r="A55" i="71"/>
  <c r="M28" i="71"/>
  <c r="L28" i="71" s="1"/>
  <c r="C35" i="71" l="1"/>
  <c r="D35" i="71" s="1"/>
  <c r="I35" i="71" s="1"/>
  <c r="N55" i="71"/>
  <c r="A56" i="71"/>
  <c r="P54" i="71"/>
  <c r="Y54" i="71"/>
  <c r="K35" i="71" l="1"/>
  <c r="B36" i="71" s="1"/>
  <c r="E36" i="71" s="1"/>
  <c r="J36" i="71" s="1"/>
  <c r="A57" i="71"/>
  <c r="N56" i="71"/>
  <c r="P55" i="71"/>
  <c r="Y55" i="71"/>
  <c r="C36" i="71" l="1"/>
  <c r="D36" i="71" s="1"/>
  <c r="I36" i="71" s="1"/>
  <c r="P56" i="71"/>
  <c r="Y56" i="71"/>
  <c r="A58" i="71"/>
  <c r="N57" i="71"/>
  <c r="K36" i="71" l="1"/>
  <c r="B37" i="71" s="1"/>
  <c r="E37" i="71" s="1"/>
  <c r="J37" i="71" s="1"/>
  <c r="P57" i="71"/>
  <c r="Y57" i="71"/>
  <c r="N58" i="71"/>
  <c r="A59" i="71"/>
  <c r="M29" i="71"/>
  <c r="L29" i="71" s="1"/>
  <c r="C37" i="71" l="1"/>
  <c r="D37" i="71" s="1"/>
  <c r="I37" i="71" s="1"/>
  <c r="P58" i="71"/>
  <c r="Y58" i="71"/>
  <c r="N59" i="71"/>
  <c r="A60" i="71"/>
  <c r="K37" i="71" l="1"/>
  <c r="B38" i="71" s="1"/>
  <c r="E38" i="71" s="1"/>
  <c r="J38" i="71" s="1"/>
  <c r="A61" i="71"/>
  <c r="N60" i="71"/>
  <c r="P59" i="71"/>
  <c r="Y59" i="71"/>
  <c r="C38" i="71" l="1"/>
  <c r="D38" i="71" s="1"/>
  <c r="I38" i="71" s="1"/>
  <c r="Y60" i="71"/>
  <c r="P60" i="71"/>
  <c r="A62" i="71"/>
  <c r="N61" i="71"/>
  <c r="M30" i="71"/>
  <c r="L30" i="71" s="1"/>
  <c r="K38" i="71" l="1"/>
  <c r="B39" i="71" s="1"/>
  <c r="E39" i="71" s="1"/>
  <c r="J39" i="71" s="1"/>
  <c r="P61" i="71"/>
  <c r="Y61" i="71"/>
  <c r="A63" i="71"/>
  <c r="N62" i="71"/>
  <c r="P62" i="71" l="1"/>
  <c r="Y62" i="71"/>
  <c r="N63" i="71"/>
  <c r="A64" i="71"/>
  <c r="C39" i="71"/>
  <c r="D39" i="71" s="1"/>
  <c r="N64" i="71" l="1"/>
  <c r="A65" i="71"/>
  <c r="Y63" i="71"/>
  <c r="P63" i="71"/>
  <c r="I39" i="71"/>
  <c r="K39" i="71"/>
  <c r="B40" i="71" s="1"/>
  <c r="N65" i="71" l="1"/>
  <c r="A66" i="71"/>
  <c r="Y64" i="71"/>
  <c r="P64" i="71"/>
  <c r="E40" i="71"/>
  <c r="J40" i="71" s="1"/>
  <c r="M31" i="71"/>
  <c r="L31" i="71" s="1"/>
  <c r="A67" i="71" l="1"/>
  <c r="N66" i="71"/>
  <c r="Y65" i="71"/>
  <c r="P65" i="71"/>
  <c r="C40" i="71"/>
  <c r="D40" i="71" s="1"/>
  <c r="P66" i="71" l="1"/>
  <c r="Y66" i="71"/>
  <c r="N67" i="71"/>
  <c r="A68" i="71"/>
  <c r="I40" i="71"/>
  <c r="K40" i="71"/>
  <c r="B41" i="71" s="1"/>
  <c r="M32" i="71"/>
  <c r="L32" i="71" s="1"/>
  <c r="N68" i="71" l="1"/>
  <c r="A69" i="71"/>
  <c r="Y67" i="71"/>
  <c r="P67" i="71"/>
  <c r="E41" i="71"/>
  <c r="J41" i="71" s="1"/>
  <c r="N69" i="71" l="1"/>
  <c r="A70" i="71"/>
  <c r="P68" i="71"/>
  <c r="Y68" i="71"/>
  <c r="C41" i="71"/>
  <c r="D41" i="71" s="1"/>
  <c r="A71" i="71" l="1"/>
  <c r="N70" i="71"/>
  <c r="P69" i="71"/>
  <c r="Y69" i="71"/>
  <c r="I41" i="71"/>
  <c r="K41" i="71"/>
  <c r="B42" i="71" s="1"/>
  <c r="P70" i="71" l="1"/>
  <c r="Y70" i="71"/>
  <c r="N71" i="71"/>
  <c r="A72" i="71"/>
  <c r="E42" i="71"/>
  <c r="J42" i="71" s="1"/>
  <c r="M33" i="71"/>
  <c r="L33" i="71" s="1"/>
  <c r="N72" i="71" l="1"/>
  <c r="A73" i="71"/>
  <c r="Y71" i="71"/>
  <c r="P71" i="71"/>
  <c r="C42" i="71"/>
  <c r="D42" i="71" s="1"/>
  <c r="N73" i="71" l="1"/>
  <c r="A74" i="71"/>
  <c r="P72" i="71"/>
  <c r="Y72" i="71"/>
  <c r="I42" i="71"/>
  <c r="K42" i="71"/>
  <c r="B43" i="71" s="1"/>
  <c r="N74" i="71" l="1"/>
  <c r="A75" i="71"/>
  <c r="Y73" i="71"/>
  <c r="P73" i="71"/>
  <c r="E43" i="71"/>
  <c r="J43" i="71" s="1"/>
  <c r="N75" i="71" l="1"/>
  <c r="A76" i="71"/>
  <c r="P74" i="71"/>
  <c r="Y74" i="71"/>
  <c r="C43" i="71"/>
  <c r="D43" i="71" s="1"/>
  <c r="M34" i="71"/>
  <c r="L34" i="71" s="1"/>
  <c r="N76" i="71" l="1"/>
  <c r="A77" i="71"/>
  <c r="P75" i="71"/>
  <c r="Y75" i="71"/>
  <c r="I43" i="71"/>
  <c r="K43" i="71"/>
  <c r="B44" i="71" s="1"/>
  <c r="N77" i="71" l="1"/>
  <c r="A78" i="71"/>
  <c r="Y76" i="71"/>
  <c r="P76" i="71"/>
  <c r="E44" i="71"/>
  <c r="J44" i="71" s="1"/>
  <c r="C44" i="71" l="1"/>
  <c r="D44" i="71" s="1"/>
  <c r="I44" i="71" s="1"/>
  <c r="N78" i="71"/>
  <c r="A79" i="71"/>
  <c r="P77" i="71"/>
  <c r="Y77" i="71"/>
  <c r="K44" i="71" l="1"/>
  <c r="B45" i="71" s="1"/>
  <c r="E45" i="71" s="1"/>
  <c r="J45" i="71" s="1"/>
  <c r="A80" i="71"/>
  <c r="N79" i="71"/>
  <c r="P78" i="71"/>
  <c r="Y78" i="71"/>
  <c r="M35" i="71"/>
  <c r="L35" i="71" s="1"/>
  <c r="C45" i="71" l="1"/>
  <c r="D45" i="71" s="1"/>
  <c r="I45" i="71" s="1"/>
  <c r="Y79" i="71"/>
  <c r="P79" i="71"/>
  <c r="A81" i="71"/>
  <c r="N80" i="71"/>
  <c r="K45" i="71" l="1"/>
  <c r="B46" i="71" s="1"/>
  <c r="E46" i="71" s="1"/>
  <c r="J46" i="71" s="1"/>
  <c r="P80" i="71"/>
  <c r="Y80" i="71"/>
  <c r="N81" i="71"/>
  <c r="A82" i="71"/>
  <c r="N82" i="71" l="1"/>
  <c r="A83" i="71"/>
  <c r="Y81" i="71"/>
  <c r="P81" i="71"/>
  <c r="C46" i="71"/>
  <c r="D46" i="71" s="1"/>
  <c r="A84" i="71" l="1"/>
  <c r="N83" i="71"/>
  <c r="P82" i="71"/>
  <c r="Y82" i="71"/>
  <c r="I46" i="71"/>
  <c r="K46" i="71"/>
  <c r="B47" i="71" s="1"/>
  <c r="M36" i="71"/>
  <c r="L36" i="71" s="1"/>
  <c r="P83" i="71" l="1"/>
  <c r="Y83" i="71"/>
  <c r="A85" i="71"/>
  <c r="N84" i="71"/>
  <c r="E47" i="71"/>
  <c r="J47" i="71" s="1"/>
  <c r="P84" i="71" l="1"/>
  <c r="Y84" i="71"/>
  <c r="N85" i="71"/>
  <c r="A86" i="71"/>
  <c r="C47" i="71"/>
  <c r="D47" i="71" s="1"/>
  <c r="A87" i="71" l="1"/>
  <c r="N86" i="71"/>
  <c r="P85" i="71"/>
  <c r="Y85" i="71"/>
  <c r="I47" i="71"/>
  <c r="K47" i="71"/>
  <c r="B48" i="71" s="1"/>
  <c r="Y86" i="71" l="1"/>
  <c r="P86" i="71"/>
  <c r="A88" i="71"/>
  <c r="N87" i="71"/>
  <c r="E48" i="71"/>
  <c r="J48" i="71" s="1"/>
  <c r="M37" i="71"/>
  <c r="L37" i="71" s="1"/>
  <c r="Y87" i="71" l="1"/>
  <c r="P87" i="71"/>
  <c r="N88" i="71"/>
  <c r="A89" i="71"/>
  <c r="C48" i="71"/>
  <c r="D48" i="71" s="1"/>
  <c r="N89" i="71" l="1"/>
  <c r="A90" i="71"/>
  <c r="Y88" i="71"/>
  <c r="P88" i="71"/>
  <c r="I48" i="71"/>
  <c r="K48" i="71"/>
  <c r="B49" i="71" s="1"/>
  <c r="A91" i="71" l="1"/>
  <c r="N90" i="71"/>
  <c r="P89" i="71"/>
  <c r="Y89" i="71"/>
  <c r="E49" i="71"/>
  <c r="J49" i="71" s="1"/>
  <c r="P90" i="71" l="1"/>
  <c r="Y90" i="71"/>
  <c r="N91" i="71"/>
  <c r="A92" i="71"/>
  <c r="C49" i="71"/>
  <c r="D49" i="71" s="1"/>
  <c r="M38" i="71"/>
  <c r="L38" i="71" s="1"/>
  <c r="N92" i="71" l="1"/>
  <c r="A93" i="71"/>
  <c r="Y91" i="71"/>
  <c r="P91" i="71"/>
  <c r="I49" i="71"/>
  <c r="K49" i="71"/>
  <c r="B50" i="71" s="1"/>
  <c r="A94" i="71" l="1"/>
  <c r="N93" i="71"/>
  <c r="P92" i="71"/>
  <c r="Y92" i="71"/>
  <c r="E50" i="71"/>
  <c r="J50" i="71" s="1"/>
  <c r="Y93" i="71" l="1"/>
  <c r="P93" i="71"/>
  <c r="A95" i="71"/>
  <c r="N94" i="71"/>
  <c r="C50" i="71"/>
  <c r="D50" i="71" s="1"/>
  <c r="M39" i="71"/>
  <c r="L39" i="71" s="1"/>
  <c r="Y94" i="71" l="1"/>
  <c r="P94" i="71"/>
  <c r="A96" i="71"/>
  <c r="N95" i="71"/>
  <c r="I50" i="71"/>
  <c r="K50" i="71"/>
  <c r="B51" i="71" s="1"/>
  <c r="Y95" i="71" l="1"/>
  <c r="P95" i="71"/>
  <c r="N96" i="71"/>
  <c r="A97" i="71"/>
  <c r="E51" i="71"/>
  <c r="J51" i="71" s="1"/>
  <c r="A98" i="71" l="1"/>
  <c r="N97" i="71"/>
  <c r="Y96" i="71"/>
  <c r="P96" i="71"/>
  <c r="C51" i="71"/>
  <c r="D51" i="71" s="1"/>
  <c r="P97" i="71" l="1"/>
  <c r="Y97" i="71"/>
  <c r="N98" i="71"/>
  <c r="A99" i="71"/>
  <c r="I51" i="71"/>
  <c r="K51" i="71"/>
  <c r="B52" i="71" s="1"/>
  <c r="M40" i="71"/>
  <c r="L40" i="71" s="1"/>
  <c r="P98" i="71" l="1"/>
  <c r="Y98" i="71"/>
  <c r="A100" i="71"/>
  <c r="N99" i="71"/>
  <c r="E52" i="71"/>
  <c r="J52" i="71" s="1"/>
  <c r="Y99" i="71" l="1"/>
  <c r="P99" i="71"/>
  <c r="A101" i="71"/>
  <c r="N100" i="71"/>
  <c r="C52" i="71"/>
  <c r="D52" i="71" s="1"/>
  <c r="Y100" i="71" l="1"/>
  <c r="P100" i="71"/>
  <c r="N101" i="71"/>
  <c r="A102" i="71"/>
  <c r="I52" i="71"/>
  <c r="K52" i="71"/>
  <c r="B53" i="71" s="1"/>
  <c r="M41" i="71"/>
  <c r="L41" i="71" s="1"/>
  <c r="N102" i="71" l="1"/>
  <c r="A103" i="71"/>
  <c r="P101" i="71"/>
  <c r="Y101" i="71"/>
  <c r="E53" i="71"/>
  <c r="J53" i="71" s="1"/>
  <c r="N103" i="71" l="1"/>
  <c r="A104" i="71"/>
  <c r="Y102" i="71"/>
  <c r="P102" i="71"/>
  <c r="C53" i="71"/>
  <c r="D53" i="71" s="1"/>
  <c r="A105" i="71" l="1"/>
  <c r="N104" i="71"/>
  <c r="Y103" i="71"/>
  <c r="P103" i="71"/>
  <c r="I53" i="71"/>
  <c r="K53" i="71"/>
  <c r="B54" i="71" s="1"/>
  <c r="Y104" i="71" l="1"/>
  <c r="P104" i="71"/>
  <c r="A106" i="71"/>
  <c r="N105" i="71"/>
  <c r="E54" i="71"/>
  <c r="J54" i="71" s="1"/>
  <c r="M42" i="71"/>
  <c r="L42" i="71" s="1"/>
  <c r="Y105" i="71" l="1"/>
  <c r="P105" i="71"/>
  <c r="N106" i="71"/>
  <c r="A107" i="71"/>
  <c r="C54" i="71"/>
  <c r="D54" i="71" s="1"/>
  <c r="N107" i="71" l="1"/>
  <c r="A108" i="71"/>
  <c r="P106" i="71"/>
  <c r="Y106" i="71"/>
  <c r="I54" i="71"/>
  <c r="K54" i="71"/>
  <c r="B55" i="71" s="1"/>
  <c r="N108" i="71" l="1"/>
  <c r="A109" i="71"/>
  <c r="P107" i="71"/>
  <c r="Y107" i="71"/>
  <c r="E55" i="71"/>
  <c r="J55" i="71" s="1"/>
  <c r="N109" i="71" l="1"/>
  <c r="A110" i="71"/>
  <c r="P108" i="71"/>
  <c r="Y108" i="71"/>
  <c r="C55" i="71"/>
  <c r="D55" i="71" s="1"/>
  <c r="M43" i="71"/>
  <c r="L43" i="71" s="1"/>
  <c r="A111" i="71" l="1"/>
  <c r="N110" i="71"/>
  <c r="Y109" i="71"/>
  <c r="P109" i="71"/>
  <c r="I55" i="71"/>
  <c r="K55" i="71"/>
  <c r="B56" i="71" s="1"/>
  <c r="Y110" i="71" l="1"/>
  <c r="P110" i="71"/>
  <c r="N111" i="71"/>
  <c r="A112" i="71"/>
  <c r="E56" i="71"/>
  <c r="J56" i="71" s="1"/>
  <c r="A113" i="71" l="1"/>
  <c r="N112" i="71"/>
  <c r="Y111" i="71"/>
  <c r="P111" i="71"/>
  <c r="C56" i="71"/>
  <c r="D56" i="71" s="1"/>
  <c r="M44" i="71"/>
  <c r="L44" i="71" s="1"/>
  <c r="Y112" i="71" l="1"/>
  <c r="P112" i="71"/>
  <c r="N113" i="71"/>
  <c r="A114" i="71"/>
  <c r="I56" i="71"/>
  <c r="K56" i="71"/>
  <c r="B57" i="71" s="1"/>
  <c r="A115" i="71" l="1"/>
  <c r="N114" i="71"/>
  <c r="P113" i="71"/>
  <c r="Y113" i="71"/>
  <c r="E57" i="71"/>
  <c r="J57" i="71" s="1"/>
  <c r="P114" i="71" l="1"/>
  <c r="Y114" i="71"/>
  <c r="N115" i="71"/>
  <c r="A116" i="71"/>
  <c r="C57" i="71"/>
  <c r="D57" i="71" s="1"/>
  <c r="A117" i="71" l="1"/>
  <c r="N116" i="71"/>
  <c r="Y115" i="71"/>
  <c r="P115" i="71"/>
  <c r="I57" i="71"/>
  <c r="K57" i="71"/>
  <c r="B58" i="71" s="1"/>
  <c r="M45" i="71"/>
  <c r="L45" i="71" s="1"/>
  <c r="P116" i="71" l="1"/>
  <c r="Y116" i="71"/>
  <c r="N117" i="71"/>
  <c r="A118" i="71"/>
  <c r="E58" i="71"/>
  <c r="J58" i="71" s="1"/>
  <c r="N118" i="71" l="1"/>
  <c r="A119" i="71"/>
  <c r="Y117" i="71"/>
  <c r="P117" i="71"/>
  <c r="C58" i="71"/>
  <c r="D58" i="71" s="1"/>
  <c r="A120" i="71" l="1"/>
  <c r="N119" i="71"/>
  <c r="P118" i="71"/>
  <c r="Y118" i="71"/>
  <c r="I58" i="71"/>
  <c r="K58" i="71"/>
  <c r="B59" i="71" s="1"/>
  <c r="M46" i="71"/>
  <c r="L46" i="71" s="1"/>
  <c r="Y119" i="71" l="1"/>
  <c r="P119" i="71"/>
  <c r="N120" i="71"/>
  <c r="A121" i="71"/>
  <c r="E59" i="71"/>
  <c r="J59" i="71" s="1"/>
  <c r="A122" i="71" l="1"/>
  <c r="N121" i="71"/>
  <c r="P120" i="71"/>
  <c r="Y120" i="71"/>
  <c r="C59" i="71"/>
  <c r="D59" i="71" s="1"/>
  <c r="P121" i="71" l="1"/>
  <c r="Y121" i="71"/>
  <c r="N122" i="71"/>
  <c r="A123" i="71"/>
  <c r="I59" i="71"/>
  <c r="K59" i="71"/>
  <c r="B60" i="71" s="1"/>
  <c r="A124" i="71" l="1"/>
  <c r="N123" i="71"/>
  <c r="Y122" i="71"/>
  <c r="P122" i="71"/>
  <c r="E60" i="71"/>
  <c r="J60" i="71" s="1"/>
  <c r="M47" i="71"/>
  <c r="L47" i="71" s="1"/>
  <c r="Y123" i="71" l="1"/>
  <c r="P123" i="71"/>
  <c r="A125" i="71"/>
  <c r="N124" i="71"/>
  <c r="C60" i="71"/>
  <c r="D60" i="71" s="1"/>
  <c r="P124" i="71" l="1"/>
  <c r="Y124" i="71"/>
  <c r="N125" i="71"/>
  <c r="A126" i="71"/>
  <c r="I60" i="71"/>
  <c r="K60" i="71"/>
  <c r="B61" i="71" s="1"/>
  <c r="A127" i="71" l="1"/>
  <c r="N126" i="71"/>
  <c r="Y125" i="71"/>
  <c r="P125" i="71"/>
  <c r="E61" i="71"/>
  <c r="J61" i="71" s="1"/>
  <c r="C61" i="71" l="1"/>
  <c r="D61" i="71" s="1"/>
  <c r="I61" i="71" s="1"/>
  <c r="P126" i="71"/>
  <c r="Y126" i="71"/>
  <c r="N127" i="71"/>
  <c r="A128" i="71"/>
  <c r="M48" i="71"/>
  <c r="L48" i="71" s="1"/>
  <c r="K61" i="71" l="1"/>
  <c r="B62" i="71" s="1"/>
  <c r="E62" i="71" s="1"/>
  <c r="J62" i="71" s="1"/>
  <c r="N128" i="71"/>
  <c r="A129" i="71"/>
  <c r="P127" i="71"/>
  <c r="Y127" i="71"/>
  <c r="A130" i="71" l="1"/>
  <c r="N129" i="71"/>
  <c r="Y128" i="71"/>
  <c r="P128" i="71"/>
  <c r="C62" i="71"/>
  <c r="P129" i="71" l="1"/>
  <c r="Y129" i="71"/>
  <c r="N130" i="71"/>
  <c r="A131" i="71"/>
  <c r="D62" i="7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M49" i="71"/>
  <c r="L49" i="71" s="1"/>
  <c r="A132" i="71" l="1"/>
  <c r="N131" i="71"/>
  <c r="Y130" i="71"/>
  <c r="P130" i="7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I62" i="71"/>
  <c r="K62" i="71"/>
  <c r="B63" i="71" s="1"/>
  <c r="H62" i="71" l="1"/>
  <c r="H63" i="71" s="1"/>
  <c r="P131" i="71"/>
  <c r="Y131" i="71"/>
  <c r="A133" i="71"/>
  <c r="N132" i="71"/>
  <c r="E63" i="71"/>
  <c r="J63" i="71" s="1"/>
  <c r="P132" i="71" l="1"/>
  <c r="Y132" i="71"/>
  <c r="N133" i="71"/>
  <c r="A134" i="71"/>
  <c r="C63" i="71"/>
  <c r="D63" i="71" s="1"/>
  <c r="A135" i="71" l="1"/>
  <c r="N134" i="71"/>
  <c r="Y133" i="71"/>
  <c r="P133" i="71"/>
  <c r="I63" i="71"/>
  <c r="K63" i="71"/>
  <c r="B64" i="71" s="1"/>
  <c r="M50" i="71"/>
  <c r="L50" i="71" s="1"/>
  <c r="P134" i="71" l="1"/>
  <c r="Y134" i="71"/>
  <c r="A136" i="71"/>
  <c r="N135" i="71"/>
  <c r="E64" i="71"/>
  <c r="J64" i="71" s="1"/>
  <c r="P135" i="71" l="1"/>
  <c r="Y135" i="71"/>
  <c r="A137" i="71"/>
  <c r="N136" i="71"/>
  <c r="C64" i="71"/>
  <c r="D64" i="71" s="1"/>
  <c r="P136" i="71" l="1"/>
  <c r="Y136" i="71"/>
  <c r="A138" i="71"/>
  <c r="N137" i="71"/>
  <c r="I64" i="71"/>
  <c r="H64" i="71"/>
  <c r="K64" i="71"/>
  <c r="B65" i="71" s="1"/>
  <c r="Y137" i="71" l="1"/>
  <c r="P137" i="71"/>
  <c r="A139" i="71"/>
  <c r="N138" i="71"/>
  <c r="E65" i="71"/>
  <c r="J65" i="71" s="1"/>
  <c r="M51" i="71"/>
  <c r="L51" i="71" s="1"/>
  <c r="C65" i="71" l="1"/>
  <c r="D65" i="71" s="1"/>
  <c r="K65" i="71" s="1"/>
  <c r="B66" i="71" s="1"/>
  <c r="E66" i="71" s="1"/>
  <c r="J66" i="71" s="1"/>
  <c r="N139" i="71"/>
  <c r="A140" i="71"/>
  <c r="Y138" i="71"/>
  <c r="P138" i="71"/>
  <c r="H65" i="71" l="1"/>
  <c r="I65" i="71"/>
  <c r="A141" i="71"/>
  <c r="N140" i="71"/>
  <c r="P139" i="71"/>
  <c r="Y139" i="71"/>
  <c r="C66" i="71"/>
  <c r="D66" i="71" s="1"/>
  <c r="P140" i="71" l="1"/>
  <c r="Y140" i="71"/>
  <c r="N141" i="71"/>
  <c r="A142" i="71"/>
  <c r="H66" i="71"/>
  <c r="I66" i="71"/>
  <c r="K66" i="71"/>
  <c r="B67" i="71" s="1"/>
  <c r="A143" i="71" l="1"/>
  <c r="N142" i="71"/>
  <c r="Y141" i="71"/>
  <c r="P141" i="71"/>
  <c r="E67" i="71"/>
  <c r="J67" i="71" s="1"/>
  <c r="M52" i="71"/>
  <c r="L52" i="71" s="1"/>
  <c r="C67" i="71" l="1"/>
  <c r="D67" i="71" s="1"/>
  <c r="K67" i="71" s="1"/>
  <c r="B68" i="71" s="1"/>
  <c r="P142" i="71"/>
  <c r="Y142" i="71"/>
  <c r="A144" i="71"/>
  <c r="N143" i="71"/>
  <c r="I67" i="71" l="1"/>
  <c r="H67" i="71"/>
  <c r="Y143" i="71"/>
  <c r="P143" i="71"/>
  <c r="A145" i="71"/>
  <c r="N144" i="71"/>
  <c r="E68" i="71"/>
  <c r="J68" i="71" s="1"/>
  <c r="Y144" i="71" l="1"/>
  <c r="P144" i="71"/>
  <c r="A146" i="71"/>
  <c r="N145" i="71"/>
  <c r="C68" i="71"/>
  <c r="D68" i="71" s="1"/>
  <c r="M53" i="71"/>
  <c r="L53" i="71" s="1"/>
  <c r="Y145" i="71" l="1"/>
  <c r="P145" i="71"/>
  <c r="N146" i="71"/>
  <c r="A147" i="71"/>
  <c r="H68" i="71"/>
  <c r="I68" i="71"/>
  <c r="K68" i="71"/>
  <c r="B69" i="71" s="1"/>
  <c r="P146" i="71" l="1"/>
  <c r="Y146" i="71"/>
  <c r="A148" i="71"/>
  <c r="N147" i="71"/>
  <c r="E69" i="71"/>
  <c r="J69" i="71" s="1"/>
  <c r="C69" i="71" l="1"/>
  <c r="D69" i="71" s="1"/>
  <c r="H69" i="71" s="1"/>
  <c r="Y147" i="71"/>
  <c r="P147" i="71"/>
  <c r="A149" i="71"/>
  <c r="N148" i="71"/>
  <c r="I69" i="71" l="1"/>
  <c r="K69" i="71"/>
  <c r="B70" i="71" s="1"/>
  <c r="E70" i="71" s="1"/>
  <c r="J70" i="71" s="1"/>
  <c r="A150" i="71"/>
  <c r="N149" i="71"/>
  <c r="Y148" i="71"/>
  <c r="P148" i="71"/>
  <c r="M54" i="71"/>
  <c r="L54" i="71" s="1"/>
  <c r="P149" i="71" l="1"/>
  <c r="Y149" i="71"/>
  <c r="A151" i="71"/>
  <c r="N150" i="71"/>
  <c r="C70" i="71"/>
  <c r="D70" i="71" s="1"/>
  <c r="Y150" i="71" l="1"/>
  <c r="P150" i="71"/>
  <c r="A152" i="71"/>
  <c r="N151" i="71"/>
  <c r="H70" i="71"/>
  <c r="I70" i="71"/>
  <c r="K70" i="71"/>
  <c r="B71" i="71" s="1"/>
  <c r="A153" i="71" l="1"/>
  <c r="N152" i="71"/>
  <c r="Y151" i="71"/>
  <c r="P151" i="71"/>
  <c r="E71" i="71"/>
  <c r="J71" i="71" s="1"/>
  <c r="M55" i="71"/>
  <c r="L55" i="71" s="1"/>
  <c r="C71" i="71" l="1"/>
  <c r="D71" i="71" s="1"/>
  <c r="I71" i="71" s="1"/>
  <c r="P152" i="71"/>
  <c r="Y152" i="71"/>
  <c r="A154" i="71"/>
  <c r="N153" i="71"/>
  <c r="K71" i="71" l="1"/>
  <c r="B72" i="71" s="1"/>
  <c r="E72" i="71" s="1"/>
  <c r="J72" i="71" s="1"/>
  <c r="H71" i="71"/>
  <c r="N154" i="71"/>
  <c r="A155" i="71"/>
  <c r="Y153" i="71"/>
  <c r="P153" i="71"/>
  <c r="N155" i="71" l="1"/>
  <c r="A156" i="71"/>
  <c r="P154" i="71"/>
  <c r="Y154" i="71"/>
  <c r="C72" i="71"/>
  <c r="D72" i="71" s="1"/>
  <c r="M56" i="71"/>
  <c r="L56" i="71" s="1"/>
  <c r="N156" i="71" l="1"/>
  <c r="A157" i="71"/>
  <c r="P155" i="71"/>
  <c r="Y155" i="71"/>
  <c r="I72" i="71"/>
  <c r="H72" i="71"/>
  <c r="K72" i="71"/>
  <c r="B73" i="71" s="1"/>
  <c r="A158" i="71" l="1"/>
  <c r="N157" i="71"/>
  <c r="P156" i="71"/>
  <c r="Y156" i="71"/>
  <c r="E73" i="71"/>
  <c r="J73" i="71" s="1"/>
  <c r="C73" i="71" l="1"/>
  <c r="D73" i="71" s="1"/>
  <c r="K73" i="71" s="1"/>
  <c r="B74" i="71" s="1"/>
  <c r="E74" i="71" s="1"/>
  <c r="J74" i="71" s="1"/>
  <c r="P157" i="71"/>
  <c r="Y157" i="71"/>
  <c r="A159" i="71"/>
  <c r="N158" i="71"/>
  <c r="H73" i="71" l="1"/>
  <c r="I73" i="71"/>
  <c r="C74" i="71"/>
  <c r="D74" i="71" s="1"/>
  <c r="H74" i="71" s="1"/>
  <c r="N159" i="71"/>
  <c r="A160" i="71"/>
  <c r="P158" i="71"/>
  <c r="Y158" i="71"/>
  <c r="M57" i="71"/>
  <c r="L57" i="71" s="1"/>
  <c r="K74" i="71" l="1"/>
  <c r="B75" i="71" s="1"/>
  <c r="E75" i="71" s="1"/>
  <c r="J75" i="71" s="1"/>
  <c r="I74" i="71"/>
  <c r="N160" i="71"/>
  <c r="A161" i="71"/>
  <c r="P159" i="71"/>
  <c r="Y159" i="71"/>
  <c r="C75" i="71" l="1"/>
  <c r="D75" i="71" s="1"/>
  <c r="I75" i="71" s="1"/>
  <c r="N161" i="71"/>
  <c r="A162" i="71"/>
  <c r="P160" i="71"/>
  <c r="Y160" i="71"/>
  <c r="K75" i="71" l="1"/>
  <c r="B76" i="71" s="1"/>
  <c r="E76" i="71" s="1"/>
  <c r="J76" i="71" s="1"/>
  <c r="H75" i="71"/>
  <c r="A163" i="71"/>
  <c r="N162" i="71"/>
  <c r="Y161" i="71"/>
  <c r="P161" i="71"/>
  <c r="Y162" i="71" l="1"/>
  <c r="P162" i="71"/>
  <c r="A164" i="71"/>
  <c r="N163" i="71"/>
  <c r="C76" i="71"/>
  <c r="D76" i="71" s="1"/>
  <c r="M58" i="71"/>
  <c r="L58" i="71" s="1"/>
  <c r="Y163" i="71" l="1"/>
  <c r="P163" i="71"/>
  <c r="A165" i="71"/>
  <c r="N164" i="71"/>
  <c r="H76" i="71"/>
  <c r="I76" i="71"/>
  <c r="K76" i="71"/>
  <c r="B77" i="71" s="1"/>
  <c r="P164" i="71" l="1"/>
  <c r="Y164" i="71"/>
  <c r="N165" i="71"/>
  <c r="A166" i="71"/>
  <c r="E77" i="71"/>
  <c r="J77" i="71" s="1"/>
  <c r="A167" i="71" l="1"/>
  <c r="N166" i="71"/>
  <c r="C77" i="71"/>
  <c r="D77" i="71" s="1"/>
  <c r="K77" i="71" s="1"/>
  <c r="B78" i="71" s="1"/>
  <c r="E78" i="71" s="1"/>
  <c r="J78" i="71" s="1"/>
  <c r="Y165" i="71"/>
  <c r="P165" i="71"/>
  <c r="M59" i="71"/>
  <c r="L59" i="71" s="1"/>
  <c r="H77" i="71" l="1"/>
  <c r="I77" i="71"/>
  <c r="P166" i="71"/>
  <c r="Y166" i="71"/>
  <c r="A168" i="71"/>
  <c r="N167" i="71"/>
  <c r="C78" i="71"/>
  <c r="D78" i="71" s="1"/>
  <c r="P167" i="71" l="1"/>
  <c r="Y167" i="71"/>
  <c r="A169" i="71"/>
  <c r="N168" i="71"/>
  <c r="H78" i="71"/>
  <c r="I78" i="71"/>
  <c r="K78" i="71"/>
  <c r="B79" i="71" s="1"/>
  <c r="P168" i="71" l="1"/>
  <c r="Y168" i="71"/>
  <c r="N169" i="71"/>
  <c r="A170" i="71"/>
  <c r="E79" i="71"/>
  <c r="J79" i="71" s="1"/>
  <c r="M60" i="71"/>
  <c r="L60" i="71" s="1"/>
  <c r="A171" i="71" l="1"/>
  <c r="N170" i="71"/>
  <c r="Y169" i="71"/>
  <c r="P169" i="71"/>
  <c r="C79" i="71"/>
  <c r="D79" i="71" s="1"/>
  <c r="P170" i="71" l="1"/>
  <c r="Y170" i="71"/>
  <c r="N171" i="71"/>
  <c r="A172" i="71"/>
  <c r="I79" i="71"/>
  <c r="H79" i="71"/>
  <c r="K79" i="71"/>
  <c r="B80" i="71" s="1"/>
  <c r="A173" i="71" l="1"/>
  <c r="N172" i="71"/>
  <c r="P171" i="71"/>
  <c r="Y171" i="71"/>
  <c r="E80" i="71"/>
  <c r="J80" i="71" s="1"/>
  <c r="C80" i="71" l="1"/>
  <c r="D80" i="71" s="1"/>
  <c r="I80" i="71" s="1"/>
  <c r="P172" i="71"/>
  <c r="Y172" i="71"/>
  <c r="A174" i="71"/>
  <c r="N173" i="71"/>
  <c r="M61" i="71"/>
  <c r="L61" i="71" s="1"/>
  <c r="K80" i="71" l="1"/>
  <c r="B81" i="71" s="1"/>
  <c r="E81" i="71" s="1"/>
  <c r="J81" i="71" s="1"/>
  <c r="H80" i="71"/>
  <c r="N174" i="71"/>
  <c r="A175" i="71"/>
  <c r="Y173" i="71"/>
  <c r="P173" i="71"/>
  <c r="N175" i="71" l="1"/>
  <c r="A176" i="71"/>
  <c r="P174" i="71"/>
  <c r="Y174" i="71"/>
  <c r="C81" i="71"/>
  <c r="D81" i="71" s="1"/>
  <c r="N176" i="71" l="1"/>
  <c r="A177" i="71"/>
  <c r="Y175" i="71"/>
  <c r="P175" i="71"/>
  <c r="I81" i="71"/>
  <c r="H81" i="71"/>
  <c r="K81" i="71"/>
  <c r="B82" i="71" s="1"/>
  <c r="N177" i="71" l="1"/>
  <c r="A178" i="71"/>
  <c r="Y176" i="71"/>
  <c r="P176" i="71"/>
  <c r="E82" i="71"/>
  <c r="J82" i="71" s="1"/>
  <c r="M62" i="71"/>
  <c r="L62" i="71" s="1"/>
  <c r="C82" i="71" l="1"/>
  <c r="D82" i="71" s="1"/>
  <c r="I82" i="71" s="1"/>
  <c r="A179" i="71"/>
  <c r="N178" i="71"/>
  <c r="P177" i="71"/>
  <c r="Y177" i="71"/>
  <c r="H82" i="71" l="1"/>
  <c r="K82" i="71"/>
  <c r="B83" i="71" s="1"/>
  <c r="E83" i="71" s="1"/>
  <c r="J83" i="71" s="1"/>
  <c r="Y178" i="71"/>
  <c r="P178" i="71"/>
  <c r="N179" i="71"/>
  <c r="A180" i="71"/>
  <c r="C83" i="71" l="1"/>
  <c r="D83" i="71" s="1"/>
  <c r="K83" i="71" s="1"/>
  <c r="B84" i="71" s="1"/>
  <c r="E84" i="71" s="1"/>
  <c r="J84" i="71" s="1"/>
  <c r="A181" i="71"/>
  <c r="N180" i="71"/>
  <c r="P179" i="71"/>
  <c r="Y179" i="71"/>
  <c r="I83" i="71" l="1"/>
  <c r="H83" i="71"/>
  <c r="P180" i="71"/>
  <c r="Y180" i="71"/>
  <c r="A182" i="71"/>
  <c r="N181" i="71"/>
  <c r="C84" i="71"/>
  <c r="D84" i="71" s="1"/>
  <c r="M63" i="71"/>
  <c r="L63" i="71" s="1"/>
  <c r="Y181" i="71" l="1"/>
  <c r="P181" i="71"/>
  <c r="A183" i="71"/>
  <c r="N182" i="71"/>
  <c r="H84" i="71"/>
  <c r="I84" i="71"/>
  <c r="K84" i="71"/>
  <c r="B85" i="71" s="1"/>
  <c r="A184" i="71" l="1"/>
  <c r="N183" i="71"/>
  <c r="P182" i="71"/>
  <c r="Y182" i="71"/>
  <c r="E85" i="71"/>
  <c r="J85" i="71" s="1"/>
  <c r="M64" i="71"/>
  <c r="L64" i="71" s="1"/>
  <c r="Y183" i="71" l="1"/>
  <c r="P183" i="71"/>
  <c r="N184" i="71"/>
  <c r="A185" i="71"/>
  <c r="C85" i="71"/>
  <c r="D85" i="71" s="1"/>
  <c r="A186" i="71" l="1"/>
  <c r="N185" i="71"/>
  <c r="Y184" i="71"/>
  <c r="P184" i="71"/>
  <c r="I85" i="71"/>
  <c r="H85" i="71"/>
  <c r="K85" i="71"/>
  <c r="B86" i="71" s="1"/>
  <c r="P185" i="71" l="1"/>
  <c r="Y185" i="71"/>
  <c r="A187" i="71"/>
  <c r="N186" i="71"/>
  <c r="E86" i="71"/>
  <c r="J86" i="71" s="1"/>
  <c r="C86" i="71" l="1"/>
  <c r="D86" i="71" s="1"/>
  <c r="H86" i="71" s="1"/>
  <c r="Y186" i="71"/>
  <c r="P186" i="71"/>
  <c r="N187" i="71"/>
  <c r="A188" i="71"/>
  <c r="M65" i="71"/>
  <c r="L65" i="71" s="1"/>
  <c r="K86" i="71" l="1"/>
  <c r="B87" i="71" s="1"/>
  <c r="E87" i="71" s="1"/>
  <c r="J87" i="71" s="1"/>
  <c r="I86" i="71"/>
  <c r="A189" i="71"/>
  <c r="N188" i="71"/>
  <c r="P187" i="71"/>
  <c r="Y187" i="71"/>
  <c r="Y188" i="71" l="1"/>
  <c r="P188" i="71"/>
  <c r="A190" i="71"/>
  <c r="N189" i="71"/>
  <c r="C87" i="71"/>
  <c r="D87" i="71" s="1"/>
  <c r="Y189" i="71" l="1"/>
  <c r="P189" i="71"/>
  <c r="A191" i="71"/>
  <c r="N190" i="71"/>
  <c r="I87" i="71"/>
  <c r="H87" i="71"/>
  <c r="K87" i="71"/>
  <c r="B88" i="71" s="1"/>
  <c r="M66" i="71"/>
  <c r="L66" i="71" s="1"/>
  <c r="Y190" i="71" l="1"/>
  <c r="P190" i="71"/>
  <c r="N191" i="71"/>
  <c r="A192" i="71"/>
  <c r="E88" i="71"/>
  <c r="J88" i="71" s="1"/>
  <c r="A193" i="71" l="1"/>
  <c r="N192" i="71"/>
  <c r="P191" i="71"/>
  <c r="Y191" i="71"/>
  <c r="C88" i="71"/>
  <c r="D88" i="71" s="1"/>
  <c r="M67" i="71"/>
  <c r="L67" i="71" s="1"/>
  <c r="Y192" i="71" l="1"/>
  <c r="P192" i="71"/>
  <c r="A194" i="71"/>
  <c r="N193" i="71"/>
  <c r="I88" i="71"/>
  <c r="H88" i="71"/>
  <c r="K88" i="71"/>
  <c r="B89" i="71" s="1"/>
  <c r="P193" i="71" l="1"/>
  <c r="Y193" i="71"/>
  <c r="N194" i="71"/>
  <c r="A195" i="71"/>
  <c r="E89" i="71"/>
  <c r="J89" i="71" s="1"/>
  <c r="C89" i="71" l="1"/>
  <c r="D89" i="71" s="1"/>
  <c r="H89" i="71" s="1"/>
  <c r="N195" i="71"/>
  <c r="A196" i="71"/>
  <c r="P194" i="71"/>
  <c r="Y194" i="71"/>
  <c r="M68" i="71"/>
  <c r="L68" i="71" s="1"/>
  <c r="K89" i="71" l="1"/>
  <c r="B90" i="71" s="1"/>
  <c r="E90" i="71" s="1"/>
  <c r="J90" i="71" s="1"/>
  <c r="I89" i="71"/>
  <c r="A197" i="71"/>
  <c r="N196" i="71"/>
  <c r="P195" i="71"/>
  <c r="Y195" i="71"/>
  <c r="Y196" i="71" l="1"/>
  <c r="P196" i="71"/>
  <c r="N197" i="71"/>
  <c r="A198" i="71"/>
  <c r="C90" i="71"/>
  <c r="D90" i="71" s="1"/>
  <c r="A199" i="71" l="1"/>
  <c r="N198" i="71"/>
  <c r="P197" i="71"/>
  <c r="Y197" i="71"/>
  <c r="H90" i="71"/>
  <c r="I90" i="71"/>
  <c r="K90" i="71"/>
  <c r="B91" i="71" s="1"/>
  <c r="M69" i="71"/>
  <c r="L69" i="71" s="1"/>
  <c r="P198" i="71" l="1"/>
  <c r="Y198" i="71"/>
  <c r="N199" i="71"/>
  <c r="A200" i="71"/>
  <c r="E91" i="71"/>
  <c r="J91" i="71" s="1"/>
  <c r="C91" i="71" l="1"/>
  <c r="D91" i="71" s="1"/>
  <c r="K91" i="71" s="1"/>
  <c r="B92" i="71" s="1"/>
  <c r="E92" i="71" s="1"/>
  <c r="J92" i="71" s="1"/>
  <c r="A201" i="71"/>
  <c r="N200" i="71"/>
  <c r="P199" i="71"/>
  <c r="Y199" i="71"/>
  <c r="H91" i="71" l="1"/>
  <c r="I91" i="71"/>
  <c r="P200" i="71"/>
  <c r="Y200" i="71"/>
  <c r="N201" i="71"/>
  <c r="A202" i="71"/>
  <c r="C92" i="71"/>
  <c r="D92" i="71" s="1"/>
  <c r="M70" i="71"/>
  <c r="L70" i="71" s="1"/>
  <c r="N202" i="71" l="1"/>
  <c r="A203" i="71"/>
  <c r="P201" i="71"/>
  <c r="Y201" i="71"/>
  <c r="H92" i="71"/>
  <c r="I92" i="71"/>
  <c r="K92" i="71"/>
  <c r="B93" i="71" s="1"/>
  <c r="N203" i="71" l="1"/>
  <c r="A204" i="71"/>
  <c r="Y202" i="71"/>
  <c r="P202" i="71"/>
  <c r="E93" i="71"/>
  <c r="J93" i="71" s="1"/>
  <c r="C93" i="71" l="1"/>
  <c r="D93" i="71" s="1"/>
  <c r="H93" i="71" s="1"/>
  <c r="N204" i="71"/>
  <c r="A205" i="71"/>
  <c r="P203" i="71"/>
  <c r="Y203" i="71"/>
  <c r="M71" i="71"/>
  <c r="L71" i="71" s="1"/>
  <c r="K93" i="71" l="1"/>
  <c r="B94" i="71" s="1"/>
  <c r="E94" i="71" s="1"/>
  <c r="J94" i="71" s="1"/>
  <c r="I93" i="71"/>
  <c r="N205" i="71"/>
  <c r="A206" i="71"/>
  <c r="Y204" i="71"/>
  <c r="P204" i="71"/>
  <c r="A207" i="71" l="1"/>
  <c r="N206" i="71"/>
  <c r="Y205" i="71"/>
  <c r="P205" i="71"/>
  <c r="C94" i="71"/>
  <c r="D94" i="71" s="1"/>
  <c r="M72" i="71"/>
  <c r="L72" i="71" s="1"/>
  <c r="P206" i="71" l="1"/>
  <c r="Y206" i="71"/>
  <c r="N207" i="71"/>
  <c r="A208" i="71"/>
  <c r="H94" i="71"/>
  <c r="I94" i="71"/>
  <c r="K94" i="71"/>
  <c r="B95" i="71" s="1"/>
  <c r="N208" i="71" l="1"/>
  <c r="A209" i="71"/>
  <c r="P207" i="71"/>
  <c r="Y207" i="71"/>
  <c r="E95" i="71"/>
  <c r="J95" i="71" s="1"/>
  <c r="N209" i="71" l="1"/>
  <c r="A210" i="71"/>
  <c r="C95" i="71"/>
  <c r="D95" i="71" s="1"/>
  <c r="I95" i="71" s="1"/>
  <c r="Y208" i="71"/>
  <c r="P208" i="71"/>
  <c r="M73" i="71"/>
  <c r="L73" i="71" s="1"/>
  <c r="H95" i="71" l="1"/>
  <c r="K95" i="71"/>
  <c r="B96" i="71" s="1"/>
  <c r="E96" i="71" s="1"/>
  <c r="J96" i="71" s="1"/>
  <c r="A211" i="71"/>
  <c r="N210" i="71"/>
  <c r="P209" i="71"/>
  <c r="Y209" i="71"/>
  <c r="C96" i="71" l="1"/>
  <c r="D96" i="71" s="1"/>
  <c r="K96" i="71" s="1"/>
  <c r="B97" i="71" s="1"/>
  <c r="E97" i="71" s="1"/>
  <c r="J97" i="71" s="1"/>
  <c r="Y210" i="71"/>
  <c r="P210" i="71"/>
  <c r="A212" i="71"/>
  <c r="N211" i="71"/>
  <c r="H96" i="71" l="1"/>
  <c r="I96" i="71"/>
  <c r="C97" i="71"/>
  <c r="D97" i="71" s="1"/>
  <c r="Y211" i="71"/>
  <c r="Q211" i="71" s="1"/>
  <c r="S211" i="71"/>
  <c r="P211" i="71"/>
  <c r="A213" i="71"/>
  <c r="N212" i="71"/>
  <c r="I97" i="71" l="1"/>
  <c r="H97" i="71"/>
  <c r="K97" i="71"/>
  <c r="B98" i="71" s="1"/>
  <c r="E98" i="71" s="1"/>
  <c r="J98" i="71" s="1"/>
  <c r="AB211" i="71"/>
  <c r="R211" i="71"/>
  <c r="Z211" i="71"/>
  <c r="T211" i="71"/>
  <c r="P212" i="71"/>
  <c r="S212" i="71"/>
  <c r="Y212" i="71"/>
  <c r="Q212" i="71" s="1"/>
  <c r="A214" i="71"/>
  <c r="N213" i="71"/>
  <c r="M74" i="71"/>
  <c r="L74" i="71" s="1"/>
  <c r="R212" i="71" l="1"/>
  <c r="AB212" i="71"/>
  <c r="T212" i="71"/>
  <c r="Z212" i="71"/>
  <c r="A215" i="71"/>
  <c r="N214" i="71"/>
  <c r="U211" i="71"/>
  <c r="V211" i="71" s="1"/>
  <c r="S213" i="71"/>
  <c r="Y213" i="71"/>
  <c r="Q213" i="71" s="1"/>
  <c r="P213" i="71"/>
  <c r="C98" i="71"/>
  <c r="D98" i="71" s="1"/>
  <c r="A216" i="71" l="1"/>
  <c r="N215" i="71"/>
  <c r="T213" i="71"/>
  <c r="Z213" i="71"/>
  <c r="AB213" i="71"/>
  <c r="R213" i="71"/>
  <c r="Y214" i="71"/>
  <c r="Q214" i="71" s="1"/>
  <c r="P214" i="71"/>
  <c r="S214" i="71"/>
  <c r="U212" i="71"/>
  <c r="V212" i="71" s="1"/>
  <c r="H98" i="71"/>
  <c r="I98" i="71"/>
  <c r="K98" i="71"/>
  <c r="B99" i="71" s="1"/>
  <c r="U213" i="71" l="1"/>
  <c r="V213" i="71" s="1"/>
  <c r="Z214" i="71"/>
  <c r="T214" i="71"/>
  <c r="R214" i="71"/>
  <c r="AB214" i="71"/>
  <c r="P215" i="71"/>
  <c r="S215" i="71"/>
  <c r="Y215" i="71"/>
  <c r="Q215" i="71" s="1"/>
  <c r="A217" i="71"/>
  <c r="N216" i="71"/>
  <c r="E99" i="71"/>
  <c r="J99" i="71" s="1"/>
  <c r="U214" i="71" l="1"/>
  <c r="V214" i="71" s="1"/>
  <c r="P216" i="71"/>
  <c r="Y216" i="71"/>
  <c r="Q216" i="71" s="1"/>
  <c r="S216" i="71"/>
  <c r="N217" i="71"/>
  <c r="A218" i="71"/>
  <c r="T215" i="71"/>
  <c r="Z215" i="71"/>
  <c r="R215" i="71"/>
  <c r="AB215" i="71"/>
  <c r="C99" i="71"/>
  <c r="D99" i="71" s="1"/>
  <c r="M75" i="71"/>
  <c r="L75" i="71" s="1"/>
  <c r="R216" i="71" l="1"/>
  <c r="Z216" i="71"/>
  <c r="T216" i="71"/>
  <c r="AB216" i="71"/>
  <c r="S217" i="71"/>
  <c r="P217" i="71"/>
  <c r="Y217" i="71"/>
  <c r="Q217" i="71" s="1"/>
  <c r="U215" i="71"/>
  <c r="V215" i="71" s="1"/>
  <c r="N218" i="71"/>
  <c r="A219" i="71"/>
  <c r="H99" i="71"/>
  <c r="I99" i="71"/>
  <c r="K99" i="71"/>
  <c r="B100" i="71" s="1"/>
  <c r="Z217" i="71" l="1"/>
  <c r="AB217" i="71"/>
  <c r="T217" i="71"/>
  <c r="R217" i="71"/>
  <c r="U217" i="71" s="1"/>
  <c r="N219" i="71"/>
  <c r="A220" i="71"/>
  <c r="S218" i="71"/>
  <c r="Y218" i="71"/>
  <c r="Q218" i="71" s="1"/>
  <c r="P218" i="71"/>
  <c r="U216" i="71"/>
  <c r="V216" i="71" s="1"/>
  <c r="E100" i="71"/>
  <c r="J100" i="71" s="1"/>
  <c r="V217" i="71" l="1"/>
  <c r="T218" i="71"/>
  <c r="AB218" i="71"/>
  <c r="R218" i="71"/>
  <c r="Z218" i="71"/>
  <c r="N220" i="71"/>
  <c r="A221" i="71"/>
  <c r="S219" i="71"/>
  <c r="P219" i="71"/>
  <c r="Y219" i="71"/>
  <c r="Q219" i="71" s="1"/>
  <c r="C100" i="71"/>
  <c r="D100" i="71" s="1"/>
  <c r="M76" i="71"/>
  <c r="L76" i="71" s="1"/>
  <c r="A222" i="71" l="1"/>
  <c r="N221" i="71"/>
  <c r="Y220" i="71"/>
  <c r="Q220" i="71" s="1"/>
  <c r="P220" i="71"/>
  <c r="S220" i="71"/>
  <c r="U218" i="71"/>
  <c r="V218" i="71" s="1"/>
  <c r="AB219" i="71"/>
  <c r="R219" i="71"/>
  <c r="T219" i="71"/>
  <c r="Z219" i="71"/>
  <c r="H100" i="71"/>
  <c r="I100" i="71"/>
  <c r="K100" i="71"/>
  <c r="B101" i="71" s="1"/>
  <c r="T220" i="71" l="1"/>
  <c r="AB220" i="71"/>
  <c r="R220" i="71"/>
  <c r="Z220" i="71"/>
  <c r="U219" i="71"/>
  <c r="V219" i="71" s="1"/>
  <c r="Y221" i="71"/>
  <c r="Q221" i="71" s="1"/>
  <c r="S221" i="71"/>
  <c r="P221" i="71"/>
  <c r="N222" i="71"/>
  <c r="A223" i="71"/>
  <c r="E101" i="71"/>
  <c r="J101" i="71" s="1"/>
  <c r="C101" i="71" l="1"/>
  <c r="D101" i="71" s="1"/>
  <c r="K101" i="71" s="1"/>
  <c r="B102" i="71" s="1"/>
  <c r="E102" i="71" s="1"/>
  <c r="J102" i="71" s="1"/>
  <c r="T221" i="71"/>
  <c r="AB221" i="71"/>
  <c r="Z221" i="71"/>
  <c r="R221" i="71"/>
  <c r="P222" i="71"/>
  <c r="Y222" i="71"/>
  <c r="Q222" i="71" s="1"/>
  <c r="S222" i="71"/>
  <c r="N223" i="71"/>
  <c r="A224" i="71"/>
  <c r="U220" i="71"/>
  <c r="V220" i="71" s="1"/>
  <c r="H101" i="71" l="1"/>
  <c r="I101" i="71"/>
  <c r="U221" i="71"/>
  <c r="V221" i="71" s="1"/>
  <c r="AB222" i="71"/>
  <c r="Z222" i="71"/>
  <c r="T222" i="71"/>
  <c r="R222" i="71"/>
  <c r="N224" i="71"/>
  <c r="A225" i="71"/>
  <c r="P223" i="71"/>
  <c r="S223" i="71"/>
  <c r="Y223" i="71"/>
  <c r="Q223" i="71" s="1"/>
  <c r="C102" i="71"/>
  <c r="D102" i="71" s="1"/>
  <c r="M77" i="71"/>
  <c r="L77" i="71" s="1"/>
  <c r="T223" i="71" l="1"/>
  <c r="R223" i="71"/>
  <c r="U223" i="71" s="1"/>
  <c r="AB223" i="71"/>
  <c r="Z223" i="71"/>
  <c r="N225" i="71"/>
  <c r="A226" i="71"/>
  <c r="S224" i="71"/>
  <c r="Y224" i="71"/>
  <c r="Q224" i="71" s="1"/>
  <c r="P224" i="71"/>
  <c r="U222" i="71"/>
  <c r="V222" i="71" s="1"/>
  <c r="H102" i="71"/>
  <c r="I102" i="71"/>
  <c r="K102" i="71"/>
  <c r="B103" i="71" s="1"/>
  <c r="V223" i="71" l="1"/>
  <c r="N226" i="71"/>
  <c r="A227" i="71"/>
  <c r="Z224" i="71"/>
  <c r="AB224" i="71"/>
  <c r="T224" i="71"/>
  <c r="R224" i="71"/>
  <c r="U224" i="71" s="1"/>
  <c r="P225" i="71"/>
  <c r="S225" i="71"/>
  <c r="Y225" i="71"/>
  <c r="Q225" i="71" s="1"/>
  <c r="E103" i="71"/>
  <c r="J103" i="71" s="1"/>
  <c r="V224" i="71" l="1"/>
  <c r="A228" i="71"/>
  <c r="N227" i="71"/>
  <c r="AB225" i="71"/>
  <c r="R225" i="71"/>
  <c r="Z225" i="71"/>
  <c r="T225" i="71"/>
  <c r="S226" i="71"/>
  <c r="P226" i="71"/>
  <c r="Y226" i="71"/>
  <c r="Q226" i="71" s="1"/>
  <c r="C103" i="71"/>
  <c r="D103" i="71" s="1"/>
  <c r="U225" i="71" l="1"/>
  <c r="V225" i="71" s="1"/>
  <c r="AB226" i="71"/>
  <c r="Z226" i="71"/>
  <c r="T226" i="71"/>
  <c r="R226" i="71"/>
  <c r="U226" i="71" s="1"/>
  <c r="S227" i="71"/>
  <c r="P227" i="71"/>
  <c r="Y227" i="71"/>
  <c r="Q227" i="71" s="1"/>
  <c r="N228" i="71"/>
  <c r="A229" i="71"/>
  <c r="I103" i="71"/>
  <c r="H103" i="71"/>
  <c r="K103" i="71"/>
  <c r="B104" i="71" s="1"/>
  <c r="M78" i="71"/>
  <c r="L78" i="71" s="1"/>
  <c r="V226" i="71" l="1"/>
  <c r="A230" i="71"/>
  <c r="N229" i="71"/>
  <c r="S228" i="71"/>
  <c r="P228" i="71"/>
  <c r="Y228" i="71"/>
  <c r="Q228" i="71" s="1"/>
  <c r="T227" i="71"/>
  <c r="R227" i="71"/>
  <c r="AB227" i="71"/>
  <c r="Z227" i="71"/>
  <c r="E104" i="71"/>
  <c r="J104" i="71" s="1"/>
  <c r="T228" i="71" l="1"/>
  <c r="R228" i="71"/>
  <c r="Z228" i="71"/>
  <c r="AB228" i="71"/>
  <c r="U227" i="71"/>
  <c r="V227" i="71" s="1"/>
  <c r="C104" i="71"/>
  <c r="D104" i="71" s="1"/>
  <c r="I104" i="71" s="1"/>
  <c r="S229" i="71"/>
  <c r="Y229" i="71"/>
  <c r="Q229" i="71" s="1"/>
  <c r="P229" i="71"/>
  <c r="N230" i="71"/>
  <c r="A231" i="71"/>
  <c r="M79" i="71"/>
  <c r="L79" i="71" s="1"/>
  <c r="Y230" i="71" l="1"/>
  <c r="Q230" i="71" s="1"/>
  <c r="P230" i="71"/>
  <c r="S230" i="71"/>
  <c r="N231" i="71"/>
  <c r="A232" i="71"/>
  <c r="H104" i="71"/>
  <c r="U228" i="71"/>
  <c r="V228" i="71" s="1"/>
  <c r="K104" i="71"/>
  <c r="B105" i="71" s="1"/>
  <c r="E105" i="71" s="1"/>
  <c r="J105" i="71" s="1"/>
  <c r="Z229" i="71"/>
  <c r="AB229" i="71"/>
  <c r="R229" i="71"/>
  <c r="U229" i="71" s="1"/>
  <c r="T229" i="71"/>
  <c r="V229" i="71" l="1"/>
  <c r="C105" i="71"/>
  <c r="D105" i="71" s="1"/>
  <c r="H105" i="71" s="1"/>
  <c r="P231" i="71"/>
  <c r="S231" i="71"/>
  <c r="Y231" i="71"/>
  <c r="Q231" i="71" s="1"/>
  <c r="N232" i="71"/>
  <c r="A233" i="71"/>
  <c r="R230" i="71"/>
  <c r="U230" i="71" s="1"/>
  <c r="T230" i="71"/>
  <c r="AB230" i="71"/>
  <c r="Z230" i="71"/>
  <c r="I105" i="71" l="1"/>
  <c r="K105" i="71"/>
  <c r="B106" i="71" s="1"/>
  <c r="E106" i="71" s="1"/>
  <c r="J106" i="71" s="1"/>
  <c r="AB231" i="71"/>
  <c r="T231" i="71"/>
  <c r="R231" i="71"/>
  <c r="U231" i="71" s="1"/>
  <c r="Z231" i="71"/>
  <c r="P232" i="71"/>
  <c r="S232" i="71"/>
  <c r="Y232" i="71"/>
  <c r="Q232" i="71" s="1"/>
  <c r="V230" i="71"/>
  <c r="N233" i="71"/>
  <c r="B233" i="71"/>
  <c r="E233" i="71" s="1"/>
  <c r="A234" i="71"/>
  <c r="C233" i="71"/>
  <c r="D233" i="71" s="1"/>
  <c r="K233" i="71"/>
  <c r="M80" i="71"/>
  <c r="L80" i="71" s="1"/>
  <c r="C106" i="71" l="1"/>
  <c r="D106" i="71" s="1"/>
  <c r="K106" i="71" s="1"/>
  <c r="B107" i="71" s="1"/>
  <c r="H233" i="71"/>
  <c r="V231" i="71"/>
  <c r="Z232" i="71"/>
  <c r="R232" i="71"/>
  <c r="T232" i="71"/>
  <c r="AB232" i="71"/>
  <c r="N234" i="71"/>
  <c r="C234" i="71"/>
  <c r="D234" i="71" s="1"/>
  <c r="A235" i="71"/>
  <c r="K234" i="71"/>
  <c r="B234" i="71"/>
  <c r="E234" i="71" s="1"/>
  <c r="P233" i="71"/>
  <c r="S233" i="71"/>
  <c r="Y233" i="71"/>
  <c r="Q233" i="71" s="1"/>
  <c r="I106" i="71" l="1"/>
  <c r="H106" i="71"/>
  <c r="H234" i="71"/>
  <c r="P234" i="71"/>
  <c r="Y234" i="71"/>
  <c r="Q234" i="71" s="1"/>
  <c r="S234" i="71"/>
  <c r="A236" i="71"/>
  <c r="B235" i="71"/>
  <c r="E235" i="71" s="1"/>
  <c r="C235" i="71"/>
  <c r="D235" i="71" s="1"/>
  <c r="K235" i="71"/>
  <c r="N235" i="71"/>
  <c r="T233" i="71"/>
  <c r="Z233" i="71"/>
  <c r="R233" i="71"/>
  <c r="AB233" i="71"/>
  <c r="U232" i="71"/>
  <c r="V232" i="71" s="1"/>
  <c r="E107" i="71"/>
  <c r="J107" i="71" s="1"/>
  <c r="M81" i="71"/>
  <c r="L81" i="71" s="1"/>
  <c r="H235" i="71" l="1"/>
  <c r="A237" i="71"/>
  <c r="C236" i="71"/>
  <c r="D236" i="71" s="1"/>
  <c r="N236" i="71"/>
  <c r="K236" i="71"/>
  <c r="B236" i="71"/>
  <c r="E236" i="71" s="1"/>
  <c r="U233" i="71"/>
  <c r="V233" i="71" s="1"/>
  <c r="S235" i="71"/>
  <c r="P235" i="71"/>
  <c r="Y235" i="71"/>
  <c r="Q235" i="71" s="1"/>
  <c r="Z234" i="71"/>
  <c r="AB234" i="71"/>
  <c r="T234" i="71"/>
  <c r="R234" i="71"/>
  <c r="U234" i="71" s="1"/>
  <c r="C107" i="71"/>
  <c r="D107" i="71" s="1"/>
  <c r="V234" i="71" l="1"/>
  <c r="S236" i="71"/>
  <c r="P236" i="71"/>
  <c r="Y236" i="71"/>
  <c r="Q236" i="71" s="1"/>
  <c r="R235" i="71"/>
  <c r="U235" i="71" s="1"/>
  <c r="AB235" i="71"/>
  <c r="Z235" i="71"/>
  <c r="T235" i="71"/>
  <c r="H236" i="71"/>
  <c r="C237" i="71"/>
  <c r="D237" i="71" s="1"/>
  <c r="K237" i="71"/>
  <c r="N237" i="71"/>
  <c r="B237" i="71"/>
  <c r="E237" i="71" s="1"/>
  <c r="A238" i="71"/>
  <c r="H107" i="71"/>
  <c r="I107" i="71"/>
  <c r="K107" i="71"/>
  <c r="B108" i="71" s="1"/>
  <c r="V235" i="71" l="1"/>
  <c r="Y237" i="71"/>
  <c r="Q237" i="71" s="1"/>
  <c r="S237" i="71"/>
  <c r="P237" i="71"/>
  <c r="AB236" i="71"/>
  <c r="R236" i="71"/>
  <c r="Z236" i="71"/>
  <c r="T236" i="71"/>
  <c r="N238" i="71"/>
  <c r="C238" i="71"/>
  <c r="D238" i="71" s="1"/>
  <c r="B238" i="71"/>
  <c r="E238" i="71" s="1"/>
  <c r="A239" i="71"/>
  <c r="K238" i="71"/>
  <c r="H237" i="71"/>
  <c r="E108" i="71"/>
  <c r="J108" i="71" s="1"/>
  <c r="M82" i="71"/>
  <c r="L82" i="71" s="1"/>
  <c r="H238" i="71" l="1"/>
  <c r="C108" i="71"/>
  <c r="D108" i="71" s="1"/>
  <c r="I108" i="71" s="1"/>
  <c r="Y238" i="71"/>
  <c r="Q238" i="71" s="1"/>
  <c r="S238" i="71"/>
  <c r="P238" i="71"/>
  <c r="U236" i="71"/>
  <c r="V236" i="71" s="1"/>
  <c r="B239" i="71"/>
  <c r="E239" i="71" s="1"/>
  <c r="N239" i="71"/>
  <c r="K239" i="71"/>
  <c r="C239" i="71"/>
  <c r="D239" i="71" s="1"/>
  <c r="A240" i="71"/>
  <c r="T237" i="71"/>
  <c r="R237" i="71"/>
  <c r="Z237" i="71"/>
  <c r="AB237" i="71"/>
  <c r="K108" i="71" l="1"/>
  <c r="B109" i="71" s="1"/>
  <c r="E109" i="71" s="1"/>
  <c r="J109" i="71" s="1"/>
  <c r="H108" i="71"/>
  <c r="N240" i="71"/>
  <c r="A241" i="71"/>
  <c r="C240" i="71"/>
  <c r="D240" i="71" s="1"/>
  <c r="B240" i="71"/>
  <c r="E240" i="71" s="1"/>
  <c r="K240" i="71"/>
  <c r="H239" i="71"/>
  <c r="Z238" i="71"/>
  <c r="AB238" i="71"/>
  <c r="T238" i="71"/>
  <c r="R238" i="71"/>
  <c r="U237" i="71"/>
  <c r="V237" i="71" s="1"/>
  <c r="P239" i="71"/>
  <c r="S239" i="71"/>
  <c r="Y239" i="71"/>
  <c r="Q239" i="71" s="1"/>
  <c r="M83" i="71"/>
  <c r="L83" i="71" s="1"/>
  <c r="R239" i="71" l="1"/>
  <c r="T239" i="71"/>
  <c r="Z239" i="71"/>
  <c r="AB239" i="71"/>
  <c r="H240" i="71"/>
  <c r="U238" i="71"/>
  <c r="V238" i="71" s="1"/>
  <c r="K241" i="71"/>
  <c r="A242" i="71"/>
  <c r="N241" i="71"/>
  <c r="B241" i="71"/>
  <c r="E241" i="71" s="1"/>
  <c r="C241" i="71"/>
  <c r="D241" i="71" s="1"/>
  <c r="Y240" i="71"/>
  <c r="Q240" i="71" s="1"/>
  <c r="P240" i="71"/>
  <c r="S240" i="71"/>
  <c r="C109" i="71"/>
  <c r="D109" i="71" s="1"/>
  <c r="H241" i="71" l="1"/>
  <c r="T240" i="71"/>
  <c r="R240" i="71"/>
  <c r="AB240" i="71"/>
  <c r="Z240" i="71"/>
  <c r="P241" i="71"/>
  <c r="S241" i="71"/>
  <c r="Y241" i="71"/>
  <c r="Q241" i="71" s="1"/>
  <c r="N242" i="71"/>
  <c r="C242" i="71"/>
  <c r="D242" i="71" s="1"/>
  <c r="B242" i="71"/>
  <c r="K242" i="71"/>
  <c r="A243" i="71"/>
  <c r="E242" i="71"/>
  <c r="U239" i="71"/>
  <c r="V239" i="71" s="1"/>
  <c r="I109" i="71"/>
  <c r="H109" i="71"/>
  <c r="K109" i="71"/>
  <c r="B110" i="71" s="1"/>
  <c r="M84" i="71"/>
  <c r="L84" i="71" s="1"/>
  <c r="T241" i="71" l="1"/>
  <c r="Z241" i="71"/>
  <c r="AB241" i="71"/>
  <c r="R241" i="71"/>
  <c r="S242" i="71"/>
  <c r="P242" i="71"/>
  <c r="Y242" i="71"/>
  <c r="Q242" i="71" s="1"/>
  <c r="K243" i="71"/>
  <c r="B243" i="71"/>
  <c r="E243" i="71" s="1"/>
  <c r="A244" i="71"/>
  <c r="N243" i="71"/>
  <c r="C243" i="71"/>
  <c r="D243" i="71" s="1"/>
  <c r="U240" i="71"/>
  <c r="V240" i="71" s="1"/>
  <c r="H242" i="71"/>
  <c r="E110" i="71"/>
  <c r="J110" i="71" s="1"/>
  <c r="H243" i="71" l="1"/>
  <c r="T242" i="71"/>
  <c r="Z242" i="71"/>
  <c r="R242" i="71"/>
  <c r="U242" i="71" s="1"/>
  <c r="AB242" i="71"/>
  <c r="U241" i="71"/>
  <c r="V241" i="71"/>
  <c r="Y243" i="71"/>
  <c r="Q243" i="71" s="1"/>
  <c r="S243" i="71"/>
  <c r="P243" i="71"/>
  <c r="A245" i="71"/>
  <c r="C244" i="71"/>
  <c r="D244" i="71" s="1"/>
  <c r="N244" i="71"/>
  <c r="K244" i="71"/>
  <c r="B244" i="71"/>
  <c r="E244" i="71" s="1"/>
  <c r="C110" i="71"/>
  <c r="D110" i="71" s="1"/>
  <c r="V242" i="71" l="1"/>
  <c r="AB243" i="71"/>
  <c r="T243" i="71"/>
  <c r="Z243" i="71"/>
  <c r="R243" i="71"/>
  <c r="H244" i="71"/>
  <c r="Y244" i="71"/>
  <c r="Q244" i="71" s="1"/>
  <c r="S244" i="71"/>
  <c r="P244" i="71"/>
  <c r="C245" i="71"/>
  <c r="D245" i="71" s="1"/>
  <c r="A246" i="71"/>
  <c r="N245" i="71"/>
  <c r="B245" i="71"/>
  <c r="E245" i="71" s="1"/>
  <c r="K245" i="71"/>
  <c r="H110" i="71"/>
  <c r="I110" i="71"/>
  <c r="K110" i="71"/>
  <c r="B111" i="71" s="1"/>
  <c r="M85" i="71"/>
  <c r="L85" i="71" s="1"/>
  <c r="U243" i="71" l="1"/>
  <c r="V243" i="71" s="1"/>
  <c r="Y245" i="71"/>
  <c r="Q245" i="71" s="1"/>
  <c r="P245" i="71"/>
  <c r="S245" i="71"/>
  <c r="N246" i="71"/>
  <c r="K246" i="71"/>
  <c r="B246" i="71"/>
  <c r="E246" i="71" s="1"/>
  <c r="A247" i="71"/>
  <c r="C246" i="71"/>
  <c r="D246" i="71" s="1"/>
  <c r="T244" i="71"/>
  <c r="R244" i="71"/>
  <c r="U244" i="71" s="1"/>
  <c r="AB244" i="71"/>
  <c r="Z244" i="71"/>
  <c r="H245" i="71"/>
  <c r="E111" i="71"/>
  <c r="J111" i="71" s="1"/>
  <c r="V244" i="71" l="1"/>
  <c r="Y246" i="71"/>
  <c r="Q246" i="71" s="1"/>
  <c r="S246" i="71"/>
  <c r="P246" i="71"/>
  <c r="R245" i="71"/>
  <c r="Z245" i="71"/>
  <c r="AB245" i="71"/>
  <c r="T245" i="71"/>
  <c r="H246" i="71"/>
  <c r="C247" i="71"/>
  <c r="D247" i="71" s="1"/>
  <c r="K247" i="71"/>
  <c r="N247" i="71"/>
  <c r="B247" i="71"/>
  <c r="E247" i="71" s="1"/>
  <c r="A248" i="71"/>
  <c r="C111" i="71"/>
  <c r="D111" i="71" s="1"/>
  <c r="M86" i="71"/>
  <c r="L86" i="71" s="1"/>
  <c r="AB246" i="71" l="1"/>
  <c r="R246" i="71"/>
  <c r="U246" i="71" s="1"/>
  <c r="T246" i="71"/>
  <c r="Z246" i="71"/>
  <c r="P247" i="71"/>
  <c r="Y247" i="71"/>
  <c r="Q247" i="71" s="1"/>
  <c r="S247" i="71"/>
  <c r="H247" i="71"/>
  <c r="A249" i="71"/>
  <c r="B248" i="71"/>
  <c r="E248" i="71" s="1"/>
  <c r="K248" i="71"/>
  <c r="N248" i="71"/>
  <c r="C248" i="71"/>
  <c r="D248" i="71" s="1"/>
  <c r="U245" i="71"/>
  <c r="V245" i="71" s="1"/>
  <c r="I111" i="71"/>
  <c r="H111" i="71"/>
  <c r="K111" i="71"/>
  <c r="B112" i="71" s="1"/>
  <c r="V246" i="71" l="1"/>
  <c r="H248" i="71"/>
  <c r="R247" i="71"/>
  <c r="Z247" i="71"/>
  <c r="AB247" i="71"/>
  <c r="T247" i="71"/>
  <c r="S248" i="71"/>
  <c r="Y248" i="71"/>
  <c r="Q248" i="71" s="1"/>
  <c r="P248" i="71"/>
  <c r="N249" i="71"/>
  <c r="K249" i="71"/>
  <c r="B249" i="71"/>
  <c r="E249" i="71" s="1"/>
  <c r="C249" i="71"/>
  <c r="D249" i="71" s="1"/>
  <c r="A250" i="71"/>
  <c r="E112" i="71"/>
  <c r="J112" i="71" s="1"/>
  <c r="M87" i="71"/>
  <c r="L87" i="71" s="1"/>
  <c r="H249" i="71" l="1"/>
  <c r="T248" i="71"/>
  <c r="Z248" i="71"/>
  <c r="R248" i="71"/>
  <c r="U248" i="71" s="1"/>
  <c r="AB248" i="71"/>
  <c r="C250" i="71"/>
  <c r="D250" i="71" s="1"/>
  <c r="K250" i="71"/>
  <c r="N250" i="71"/>
  <c r="A251" i="71"/>
  <c r="B250" i="71"/>
  <c r="E250" i="71" s="1"/>
  <c r="U247" i="71"/>
  <c r="V247" i="71" s="1"/>
  <c r="S249" i="71"/>
  <c r="P249" i="71"/>
  <c r="Y249" i="71"/>
  <c r="Q249" i="71" s="1"/>
  <c r="C112" i="71"/>
  <c r="D112" i="71" s="1"/>
  <c r="V248" i="71" l="1"/>
  <c r="H250" i="71"/>
  <c r="C251" i="71"/>
  <c r="D251" i="71" s="1"/>
  <c r="K251" i="71"/>
  <c r="A252" i="71"/>
  <c r="B251" i="71"/>
  <c r="E251" i="71" s="1"/>
  <c r="N251" i="71"/>
  <c r="S250" i="71"/>
  <c r="P250" i="71"/>
  <c r="Y250" i="71"/>
  <c r="Q250" i="71" s="1"/>
  <c r="AB249" i="71"/>
  <c r="Z249" i="71"/>
  <c r="T249" i="71"/>
  <c r="R249" i="71"/>
  <c r="I112" i="71"/>
  <c r="H112" i="71"/>
  <c r="K112" i="71"/>
  <c r="B113" i="71" s="1"/>
  <c r="Y251" i="71" l="1"/>
  <c r="Q251" i="71" s="1"/>
  <c r="P251" i="71"/>
  <c r="S251" i="71"/>
  <c r="U249" i="71"/>
  <c r="V249" i="71" s="1"/>
  <c r="A253" i="71"/>
  <c r="C252" i="71"/>
  <c r="D252" i="71" s="1"/>
  <c r="K252" i="71"/>
  <c r="B252" i="71"/>
  <c r="E252" i="71" s="1"/>
  <c r="N252" i="71"/>
  <c r="H251" i="71"/>
  <c r="R250" i="71"/>
  <c r="T250" i="71"/>
  <c r="AB250" i="71"/>
  <c r="Z250" i="71"/>
  <c r="E113" i="71"/>
  <c r="J113" i="71" s="1"/>
  <c r="T251" i="71" l="1"/>
  <c r="AB251" i="71"/>
  <c r="Z251" i="71"/>
  <c r="R251" i="71"/>
  <c r="U250" i="71"/>
  <c r="V250" i="71" s="1"/>
  <c r="N253" i="71"/>
  <c r="B253" i="71"/>
  <c r="E253" i="71" s="1"/>
  <c r="K253" i="71"/>
  <c r="A254" i="71"/>
  <c r="C253" i="71"/>
  <c r="D253" i="71" s="1"/>
  <c r="P252" i="71"/>
  <c r="S252" i="71"/>
  <c r="Y252" i="71"/>
  <c r="Q252" i="71" s="1"/>
  <c r="H252" i="71"/>
  <c r="C113" i="71"/>
  <c r="D113" i="71" s="1"/>
  <c r="M88" i="71"/>
  <c r="L88" i="71" s="1"/>
  <c r="Z252" i="71" l="1"/>
  <c r="T252" i="71"/>
  <c r="AB252" i="71"/>
  <c r="R252" i="71"/>
  <c r="P253" i="71"/>
  <c r="Y253" i="71"/>
  <c r="Q253" i="71" s="1"/>
  <c r="S253" i="71"/>
  <c r="U251" i="71"/>
  <c r="V251" i="71" s="1"/>
  <c r="H253" i="71"/>
  <c r="C254" i="71"/>
  <c r="D254" i="71" s="1"/>
  <c r="N254" i="71"/>
  <c r="B254" i="71"/>
  <c r="E254" i="71" s="1"/>
  <c r="K254" i="71"/>
  <c r="A255" i="71"/>
  <c r="I113" i="71"/>
  <c r="H113" i="71"/>
  <c r="K113" i="71"/>
  <c r="B114" i="71" s="1"/>
  <c r="P254" i="71" l="1"/>
  <c r="Y254" i="71"/>
  <c r="Q254" i="71" s="1"/>
  <c r="S254" i="71"/>
  <c r="U252" i="71"/>
  <c r="V252" i="71" s="1"/>
  <c r="H254" i="71"/>
  <c r="A256" i="71"/>
  <c r="K255" i="71"/>
  <c r="C255" i="71"/>
  <c r="D255" i="71" s="1"/>
  <c r="B255" i="71"/>
  <c r="E255" i="71" s="1"/>
  <c r="N255" i="71"/>
  <c r="T253" i="71"/>
  <c r="AB253" i="71"/>
  <c r="Z253" i="71"/>
  <c r="R253" i="71"/>
  <c r="U253" i="71" s="1"/>
  <c r="E114" i="71"/>
  <c r="J114" i="71" s="1"/>
  <c r="M89" i="71"/>
  <c r="L89" i="71" s="1"/>
  <c r="R254" i="71" l="1"/>
  <c r="Z254" i="71"/>
  <c r="AB254" i="71"/>
  <c r="T254" i="71"/>
  <c r="P255" i="71"/>
  <c r="Y255" i="71"/>
  <c r="Q255" i="71" s="1"/>
  <c r="S255" i="71"/>
  <c r="C114" i="71"/>
  <c r="D114" i="71" s="1"/>
  <c r="K114" i="71" s="1"/>
  <c r="B115" i="71" s="1"/>
  <c r="E115" i="71" s="1"/>
  <c r="J115" i="71" s="1"/>
  <c r="H255" i="71"/>
  <c r="V253" i="71"/>
  <c r="B256" i="71"/>
  <c r="E256" i="71" s="1"/>
  <c r="K256" i="71"/>
  <c r="C256" i="71"/>
  <c r="D256" i="71" s="1"/>
  <c r="A257" i="71"/>
  <c r="N256" i="71"/>
  <c r="R255" i="71" l="1"/>
  <c r="AB255" i="71"/>
  <c r="Z255" i="71"/>
  <c r="T255" i="71"/>
  <c r="C257" i="71"/>
  <c r="D257" i="71" s="1"/>
  <c r="N257" i="71"/>
  <c r="K257" i="71"/>
  <c r="A258" i="71"/>
  <c r="B257" i="71"/>
  <c r="E257" i="71" s="1"/>
  <c r="I114" i="71"/>
  <c r="Y256" i="71"/>
  <c r="Q256" i="71" s="1"/>
  <c r="S256" i="71"/>
  <c r="P256" i="71"/>
  <c r="H256" i="71"/>
  <c r="H114" i="71"/>
  <c r="U254" i="71"/>
  <c r="V254" i="71" s="1"/>
  <c r="C115" i="71"/>
  <c r="D115" i="71" s="1"/>
  <c r="H257" i="71" l="1"/>
  <c r="S257" i="71"/>
  <c r="Y257" i="71"/>
  <c r="Q257" i="71" s="1"/>
  <c r="P257" i="71"/>
  <c r="N258" i="71"/>
  <c r="C258" i="71"/>
  <c r="D258" i="71" s="1"/>
  <c r="K258" i="71"/>
  <c r="A259" i="71"/>
  <c r="B258" i="71"/>
  <c r="E258" i="71" s="1"/>
  <c r="Z256" i="71"/>
  <c r="R256" i="71"/>
  <c r="AB256" i="71"/>
  <c r="T256" i="71"/>
  <c r="U255" i="71"/>
  <c r="V255" i="71" s="1"/>
  <c r="H115" i="71"/>
  <c r="I115" i="71"/>
  <c r="K115" i="71"/>
  <c r="B116" i="71" s="1"/>
  <c r="M90" i="71"/>
  <c r="L90" i="71" s="1"/>
  <c r="H258" i="71" l="1"/>
  <c r="Y258" i="71"/>
  <c r="Q258" i="71" s="1"/>
  <c r="P258" i="71"/>
  <c r="S258" i="71"/>
  <c r="R257" i="71"/>
  <c r="AB257" i="71"/>
  <c r="Z257" i="71"/>
  <c r="T257" i="71"/>
  <c r="U256" i="71"/>
  <c r="V256" i="71" s="1"/>
  <c r="A260" i="71"/>
  <c r="B259" i="71"/>
  <c r="E259" i="71" s="1"/>
  <c r="N259" i="71"/>
  <c r="K259" i="71"/>
  <c r="C259" i="71"/>
  <c r="D259" i="71" s="1"/>
  <c r="E116" i="71"/>
  <c r="J116" i="71" s="1"/>
  <c r="H259" i="71" l="1"/>
  <c r="S259" i="71"/>
  <c r="Y259" i="71"/>
  <c r="Q259" i="71" s="1"/>
  <c r="P259" i="71"/>
  <c r="U257" i="71"/>
  <c r="V257" i="71" s="1"/>
  <c r="K260" i="71"/>
  <c r="N260" i="71"/>
  <c r="B260" i="71"/>
  <c r="E260" i="71" s="1"/>
  <c r="A261" i="71"/>
  <c r="C260" i="71"/>
  <c r="D260" i="71" s="1"/>
  <c r="T258" i="71"/>
  <c r="Z258" i="71"/>
  <c r="R258" i="71"/>
  <c r="AB258" i="71"/>
  <c r="C116" i="71"/>
  <c r="D116" i="71" s="1"/>
  <c r="P260" i="71" l="1"/>
  <c r="S260" i="71"/>
  <c r="Y260" i="71"/>
  <c r="Q260" i="71" s="1"/>
  <c r="H260" i="71"/>
  <c r="T259" i="71"/>
  <c r="AB259" i="71"/>
  <c r="R259" i="71"/>
  <c r="Z259" i="71"/>
  <c r="U258" i="71"/>
  <c r="V258" i="71" s="1"/>
  <c r="K261" i="71"/>
  <c r="C261" i="71"/>
  <c r="D261" i="71" s="1"/>
  <c r="A262" i="71"/>
  <c r="B261" i="71"/>
  <c r="E261" i="71" s="1"/>
  <c r="N261" i="71"/>
  <c r="H116" i="71"/>
  <c r="I116" i="71"/>
  <c r="K116" i="71"/>
  <c r="B117" i="71" s="1"/>
  <c r="M91" i="71"/>
  <c r="L91" i="71" s="1"/>
  <c r="P261" i="71" l="1"/>
  <c r="S261" i="71"/>
  <c r="Y261" i="71"/>
  <c r="Q261" i="71" s="1"/>
  <c r="U259" i="71"/>
  <c r="V259" i="71" s="1"/>
  <c r="N262" i="71"/>
  <c r="B262" i="71"/>
  <c r="E262" i="71" s="1"/>
  <c r="C262" i="71"/>
  <c r="D262" i="71" s="1"/>
  <c r="K262" i="71"/>
  <c r="A263" i="71"/>
  <c r="H261" i="71"/>
  <c r="AB260" i="71"/>
  <c r="Z260" i="71"/>
  <c r="R260" i="71"/>
  <c r="T260" i="71"/>
  <c r="E117" i="71"/>
  <c r="J117" i="71" s="1"/>
  <c r="H262" i="71" l="1"/>
  <c r="Y262" i="71"/>
  <c r="Q262" i="71" s="1"/>
  <c r="S262" i="71"/>
  <c r="P262" i="71"/>
  <c r="T261" i="71"/>
  <c r="Z261" i="71"/>
  <c r="R261" i="71"/>
  <c r="U261" i="71" s="1"/>
  <c r="AB261" i="71"/>
  <c r="U260" i="71"/>
  <c r="V260" i="71" s="1"/>
  <c r="K263" i="71"/>
  <c r="B263" i="71"/>
  <c r="E263" i="71" s="1"/>
  <c r="C263" i="71"/>
  <c r="D263" i="71" s="1"/>
  <c r="N263" i="71"/>
  <c r="A264" i="71"/>
  <c r="C117" i="71"/>
  <c r="D117" i="71" s="1"/>
  <c r="V261" i="71" l="1"/>
  <c r="H263" i="71"/>
  <c r="S263" i="71"/>
  <c r="Y263" i="71"/>
  <c r="Q263" i="71" s="1"/>
  <c r="P263" i="71"/>
  <c r="N264" i="71"/>
  <c r="A265" i="71"/>
  <c r="B264" i="71"/>
  <c r="E264" i="71" s="1"/>
  <c r="K264" i="71"/>
  <c r="C264" i="71"/>
  <c r="D264" i="71" s="1"/>
  <c r="AB262" i="71"/>
  <c r="Z262" i="71"/>
  <c r="R262" i="71"/>
  <c r="T262" i="71"/>
  <c r="I117" i="71"/>
  <c r="H117" i="71"/>
  <c r="K117" i="71"/>
  <c r="B118" i="71" s="1"/>
  <c r="M92" i="71"/>
  <c r="L92" i="71" s="1"/>
  <c r="B265" i="71" l="1"/>
  <c r="E265" i="71" s="1"/>
  <c r="A266" i="71"/>
  <c r="K265" i="71"/>
  <c r="C265" i="71"/>
  <c r="D265" i="71" s="1"/>
  <c r="N265" i="71"/>
  <c r="U262" i="71"/>
  <c r="V262" i="71" s="1"/>
  <c r="S264" i="71"/>
  <c r="Y264" i="71"/>
  <c r="Q264" i="71" s="1"/>
  <c r="P264" i="71"/>
  <c r="T263" i="71"/>
  <c r="R263" i="71"/>
  <c r="AB263" i="71"/>
  <c r="Z263" i="71"/>
  <c r="H264" i="71"/>
  <c r="E118" i="71"/>
  <c r="J118" i="71" s="1"/>
  <c r="H265" i="71" l="1"/>
  <c r="S265" i="71"/>
  <c r="Y265" i="71"/>
  <c r="Q265" i="71" s="1"/>
  <c r="P265" i="71"/>
  <c r="U263" i="71"/>
  <c r="V263" i="71" s="1"/>
  <c r="N266" i="71"/>
  <c r="C266" i="71"/>
  <c r="D266" i="71" s="1"/>
  <c r="K266" i="71"/>
  <c r="A267" i="71"/>
  <c r="B266" i="71"/>
  <c r="E266" i="71" s="1"/>
  <c r="R264" i="71"/>
  <c r="T264" i="71"/>
  <c r="AB264" i="71"/>
  <c r="Z264" i="71"/>
  <c r="C118" i="71"/>
  <c r="D118" i="71" s="1"/>
  <c r="P266" i="71" l="1"/>
  <c r="Y266" i="71"/>
  <c r="Q266" i="71" s="1"/>
  <c r="S266" i="71"/>
  <c r="U264" i="71"/>
  <c r="V264" i="71" s="1"/>
  <c r="R265" i="71"/>
  <c r="AB265" i="71"/>
  <c r="T265" i="71"/>
  <c r="Z265" i="71"/>
  <c r="H266" i="71"/>
  <c r="A268" i="71"/>
  <c r="B267" i="71"/>
  <c r="E267" i="71" s="1"/>
  <c r="N267" i="71"/>
  <c r="C267" i="71"/>
  <c r="D267" i="71" s="1"/>
  <c r="K267" i="71"/>
  <c r="H118" i="71"/>
  <c r="I118" i="71"/>
  <c r="K118" i="71"/>
  <c r="B119" i="71" s="1"/>
  <c r="M93" i="71"/>
  <c r="L93" i="71" s="1"/>
  <c r="H267" i="71" l="1"/>
  <c r="Z266" i="71"/>
  <c r="R266" i="71"/>
  <c r="T266" i="71"/>
  <c r="AB266" i="71"/>
  <c r="U265" i="71"/>
  <c r="V265" i="71" s="1"/>
  <c r="P267" i="71"/>
  <c r="Y267" i="71"/>
  <c r="Q267" i="71" s="1"/>
  <c r="S267" i="71"/>
  <c r="N268" i="71"/>
  <c r="B268" i="71"/>
  <c r="E268" i="71" s="1"/>
  <c r="A269" i="71"/>
  <c r="K268" i="71"/>
  <c r="C268" i="71"/>
  <c r="D268" i="71" s="1"/>
  <c r="H268" i="71" s="1"/>
  <c r="E119" i="71"/>
  <c r="J119" i="71" s="1"/>
  <c r="Z267" i="71" l="1"/>
  <c r="AB267" i="71"/>
  <c r="T267" i="71"/>
  <c r="R267" i="71"/>
  <c r="U267" i="71" s="1"/>
  <c r="K269" i="71"/>
  <c r="A270" i="71"/>
  <c r="B269" i="71"/>
  <c r="E269" i="71" s="1"/>
  <c r="C269" i="71"/>
  <c r="D269" i="71" s="1"/>
  <c r="N269" i="71"/>
  <c r="P268" i="71"/>
  <c r="Y268" i="71"/>
  <c r="Q268" i="71" s="1"/>
  <c r="S268" i="71"/>
  <c r="U266" i="71"/>
  <c r="V266" i="71"/>
  <c r="C119" i="71"/>
  <c r="D119" i="71" s="1"/>
  <c r="V267" i="71" l="1"/>
  <c r="R268" i="71"/>
  <c r="U268" i="71" s="1"/>
  <c r="T268" i="71"/>
  <c r="AB268" i="71"/>
  <c r="Z268" i="71"/>
  <c r="B270" i="71"/>
  <c r="E270" i="71" s="1"/>
  <c r="A271" i="71"/>
  <c r="C270" i="71"/>
  <c r="D270" i="71" s="1"/>
  <c r="N270" i="71"/>
  <c r="K270" i="71"/>
  <c r="H269" i="71"/>
  <c r="P269" i="71"/>
  <c r="Y269" i="71"/>
  <c r="Q269" i="71" s="1"/>
  <c r="S269" i="71"/>
  <c r="I119" i="71"/>
  <c r="H119" i="71"/>
  <c r="K119" i="71"/>
  <c r="B120" i="71" s="1"/>
  <c r="H270" i="71" l="1"/>
  <c r="C271" i="71"/>
  <c r="D271" i="71" s="1"/>
  <c r="K271" i="71"/>
  <c r="A272" i="71"/>
  <c r="B271" i="71"/>
  <c r="E271" i="71" s="1"/>
  <c r="N271" i="71"/>
  <c r="T269" i="71"/>
  <c r="R269" i="71"/>
  <c r="U269" i="71" s="1"/>
  <c r="Z269" i="71"/>
  <c r="AB269" i="71"/>
  <c r="S270" i="71"/>
  <c r="Y270" i="71"/>
  <c r="Q270" i="71" s="1"/>
  <c r="P270" i="71"/>
  <c r="V268" i="71"/>
  <c r="E120" i="71"/>
  <c r="J120" i="71" s="1"/>
  <c r="M94" i="71"/>
  <c r="L94" i="71" s="1"/>
  <c r="V269" i="71" l="1"/>
  <c r="Y271" i="71"/>
  <c r="Q271" i="71" s="1"/>
  <c r="S271" i="71"/>
  <c r="P271" i="71"/>
  <c r="C120" i="71"/>
  <c r="D120" i="71" s="1"/>
  <c r="H120" i="71" s="1"/>
  <c r="K272" i="71"/>
  <c r="N272" i="71"/>
  <c r="A273" i="71"/>
  <c r="B272" i="71"/>
  <c r="E272" i="71" s="1"/>
  <c r="C272" i="71"/>
  <c r="D272" i="71" s="1"/>
  <c r="AB270" i="71"/>
  <c r="Z270" i="71"/>
  <c r="T270" i="71"/>
  <c r="R270" i="71"/>
  <c r="H271" i="71"/>
  <c r="I120" i="71" l="1"/>
  <c r="K120" i="71"/>
  <c r="B121" i="71" s="1"/>
  <c r="E121" i="71" s="1"/>
  <c r="J121" i="71" s="1"/>
  <c r="S272" i="71"/>
  <c r="Y272" i="71"/>
  <c r="Q272" i="71" s="1"/>
  <c r="P272" i="71"/>
  <c r="U270" i="71"/>
  <c r="V270" i="71" s="1"/>
  <c r="A274" i="71"/>
  <c r="B273" i="71"/>
  <c r="E273" i="71" s="1"/>
  <c r="C273" i="71"/>
  <c r="D273" i="71" s="1"/>
  <c r="K273" i="71"/>
  <c r="N273" i="71"/>
  <c r="H272" i="71"/>
  <c r="T271" i="71"/>
  <c r="Z271" i="71"/>
  <c r="R271" i="71"/>
  <c r="AB271" i="71"/>
  <c r="R272" i="71" l="1"/>
  <c r="U272" i="71" s="1"/>
  <c r="AB272" i="71"/>
  <c r="Z272" i="71"/>
  <c r="T272" i="71"/>
  <c r="U271" i="71"/>
  <c r="V271" i="71" s="1"/>
  <c r="N274" i="71"/>
  <c r="C274" i="71"/>
  <c r="D274" i="71" s="1"/>
  <c r="A275" i="71"/>
  <c r="K274" i="71"/>
  <c r="B274" i="71"/>
  <c r="E274" i="71" s="1"/>
  <c r="S273" i="71"/>
  <c r="Y273" i="71"/>
  <c r="Q273" i="71" s="1"/>
  <c r="P273" i="71"/>
  <c r="H273" i="71"/>
  <c r="C121" i="71"/>
  <c r="D121" i="71" s="1"/>
  <c r="M95" i="71"/>
  <c r="L95" i="71" s="1"/>
  <c r="R273" i="71" l="1"/>
  <c r="AB273" i="71"/>
  <c r="T273" i="71"/>
  <c r="Z273" i="71"/>
  <c r="P274" i="71"/>
  <c r="Y274" i="71"/>
  <c r="Q274" i="71" s="1"/>
  <c r="S274" i="71"/>
  <c r="C275" i="71"/>
  <c r="D275" i="71" s="1"/>
  <c r="K275" i="71"/>
  <c r="B275" i="71"/>
  <c r="E275" i="71" s="1"/>
  <c r="A276" i="71"/>
  <c r="N275" i="71"/>
  <c r="H274" i="71"/>
  <c r="V272" i="71"/>
  <c r="I121" i="71"/>
  <c r="H121" i="71"/>
  <c r="K121" i="71"/>
  <c r="B122" i="71" s="1"/>
  <c r="H275" i="71" l="1"/>
  <c r="R274" i="71"/>
  <c r="AB274" i="71"/>
  <c r="T274" i="71"/>
  <c r="Z274" i="71"/>
  <c r="Y275" i="71"/>
  <c r="Q275" i="71" s="1"/>
  <c r="P275" i="71"/>
  <c r="S275" i="71"/>
  <c r="C276" i="71"/>
  <c r="D276" i="71" s="1"/>
  <c r="N276" i="71"/>
  <c r="A277" i="71"/>
  <c r="K276" i="71"/>
  <c r="B276" i="71"/>
  <c r="E276" i="71" s="1"/>
  <c r="U273" i="71"/>
  <c r="V273" i="71" s="1"/>
  <c r="E122" i="71"/>
  <c r="J122" i="71" s="1"/>
  <c r="R275" i="71" l="1"/>
  <c r="U275" i="71" s="1"/>
  <c r="AB275" i="71"/>
  <c r="T275" i="71"/>
  <c r="Z275" i="71"/>
  <c r="C277" i="71"/>
  <c r="D277" i="71" s="1"/>
  <c r="A278" i="71"/>
  <c r="B277" i="71"/>
  <c r="E277" i="71" s="1"/>
  <c r="N277" i="71"/>
  <c r="K277" i="71"/>
  <c r="P276" i="71"/>
  <c r="Y276" i="71"/>
  <c r="Q276" i="71" s="1"/>
  <c r="S276" i="71"/>
  <c r="H276" i="71"/>
  <c r="U274" i="71"/>
  <c r="V274" i="71" s="1"/>
  <c r="C122" i="71"/>
  <c r="D122" i="71" s="1"/>
  <c r="M96" i="71"/>
  <c r="L96" i="71" s="1"/>
  <c r="B278" i="71" l="1"/>
  <c r="E278" i="71" s="1"/>
  <c r="N278" i="71"/>
  <c r="C278" i="71"/>
  <c r="D278" i="71" s="1"/>
  <c r="A279" i="71"/>
  <c r="K278" i="71"/>
  <c r="H277" i="71"/>
  <c r="P277" i="71"/>
  <c r="S277" i="71"/>
  <c r="Y277" i="71"/>
  <c r="Q277" i="71" s="1"/>
  <c r="R276" i="71"/>
  <c r="U276" i="71" s="1"/>
  <c r="T276" i="71"/>
  <c r="Z276" i="71"/>
  <c r="AB276" i="71"/>
  <c r="V275" i="71"/>
  <c r="H122" i="71"/>
  <c r="I122" i="71"/>
  <c r="K122" i="71"/>
  <c r="B123" i="71" s="1"/>
  <c r="H278" i="71" l="1"/>
  <c r="A280" i="71"/>
  <c r="N279" i="71"/>
  <c r="K279" i="71"/>
  <c r="B279" i="71"/>
  <c r="E279" i="71" s="1"/>
  <c r="C279" i="71"/>
  <c r="D279" i="71" s="1"/>
  <c r="V276" i="71"/>
  <c r="P278" i="71"/>
  <c r="Y278" i="71"/>
  <c r="Q278" i="71" s="1"/>
  <c r="S278" i="71"/>
  <c r="Z277" i="71"/>
  <c r="T277" i="71"/>
  <c r="AB277" i="71"/>
  <c r="R277" i="71"/>
  <c r="U277" i="71" s="1"/>
  <c r="V277" i="71" s="1"/>
  <c r="E123" i="71"/>
  <c r="J123" i="71" s="1"/>
  <c r="H279" i="71" l="1"/>
  <c r="Y279" i="71"/>
  <c r="Q279" i="71" s="1"/>
  <c r="P279" i="71"/>
  <c r="S279" i="71"/>
  <c r="R278" i="71"/>
  <c r="AB278" i="71"/>
  <c r="T278" i="71"/>
  <c r="Z278" i="71"/>
  <c r="C280" i="71"/>
  <c r="D280" i="71" s="1"/>
  <c r="N280" i="71"/>
  <c r="A281" i="71"/>
  <c r="K280" i="71"/>
  <c r="B280" i="71"/>
  <c r="E280" i="71" s="1"/>
  <c r="C123" i="71"/>
  <c r="D123" i="71" s="1"/>
  <c r="Z279" i="71" l="1"/>
  <c r="R279" i="71"/>
  <c r="U279" i="71" s="1"/>
  <c r="AB279" i="71"/>
  <c r="T279" i="71"/>
  <c r="U278" i="71"/>
  <c r="V278" i="71" s="1"/>
  <c r="Y280" i="71"/>
  <c r="Q280" i="71" s="1"/>
  <c r="P280" i="71"/>
  <c r="S280" i="71"/>
  <c r="H280" i="71"/>
  <c r="N281" i="71"/>
  <c r="C281" i="71"/>
  <c r="D281" i="71" s="1"/>
  <c r="K281" i="71"/>
  <c r="B281" i="71"/>
  <c r="E281" i="71" s="1"/>
  <c r="A282" i="71"/>
  <c r="H123" i="71"/>
  <c r="I123" i="71"/>
  <c r="K123" i="71"/>
  <c r="B124" i="71" s="1"/>
  <c r="M97" i="71"/>
  <c r="L97" i="71" s="1"/>
  <c r="N282" i="71" l="1"/>
  <c r="K282" i="71"/>
  <c r="C282" i="71"/>
  <c r="D282" i="71" s="1"/>
  <c r="A283" i="71"/>
  <c r="B282" i="71"/>
  <c r="E282" i="71" s="1"/>
  <c r="H281" i="71"/>
  <c r="S281" i="71"/>
  <c r="Y281" i="71"/>
  <c r="Q281" i="71" s="1"/>
  <c r="P281" i="71"/>
  <c r="V279" i="71"/>
  <c r="AB280" i="71"/>
  <c r="R280" i="71"/>
  <c r="T280" i="71"/>
  <c r="Z280" i="71"/>
  <c r="E124" i="71"/>
  <c r="J124" i="71" s="1"/>
  <c r="U280" i="71" l="1"/>
  <c r="V280" i="71" s="1"/>
  <c r="N283" i="71"/>
  <c r="B283" i="71"/>
  <c r="E283" i="71" s="1"/>
  <c r="C283" i="71"/>
  <c r="D283" i="71" s="1"/>
  <c r="K283" i="71"/>
  <c r="A284" i="71"/>
  <c r="H282" i="71"/>
  <c r="Z281" i="71"/>
  <c r="AB281" i="71"/>
  <c r="R281" i="71"/>
  <c r="U281" i="71" s="1"/>
  <c r="T281" i="71"/>
  <c r="P282" i="71"/>
  <c r="Y282" i="71"/>
  <c r="Q282" i="71" s="1"/>
  <c r="S282" i="71"/>
  <c r="C124" i="71"/>
  <c r="D124" i="71" s="1"/>
  <c r="V281" i="71" l="1"/>
  <c r="T282" i="71"/>
  <c r="R282" i="71"/>
  <c r="Z282" i="71"/>
  <c r="AB282" i="71"/>
  <c r="N284" i="71"/>
  <c r="A285" i="71"/>
  <c r="B284" i="71"/>
  <c r="E284" i="71" s="1"/>
  <c r="C284" i="71"/>
  <c r="D284" i="71" s="1"/>
  <c r="K284" i="71"/>
  <c r="H283" i="71"/>
  <c r="Y283" i="71"/>
  <c r="Q283" i="71" s="1"/>
  <c r="S283" i="71"/>
  <c r="P283" i="71"/>
  <c r="H124" i="71"/>
  <c r="I124" i="71"/>
  <c r="K124" i="71"/>
  <c r="B125" i="71" s="1"/>
  <c r="M98" i="71"/>
  <c r="L98" i="71" s="1"/>
  <c r="H284" i="71" l="1"/>
  <c r="A286" i="71"/>
  <c r="N285" i="71"/>
  <c r="C285" i="71"/>
  <c r="D285" i="71" s="1"/>
  <c r="K285" i="71"/>
  <c r="B285" i="71"/>
  <c r="E285" i="71" s="1"/>
  <c r="S284" i="71"/>
  <c r="P284" i="71"/>
  <c r="Y284" i="71"/>
  <c r="Q284" i="71" s="1"/>
  <c r="Z283" i="71"/>
  <c r="T283" i="71"/>
  <c r="AB283" i="71"/>
  <c r="R283" i="71"/>
  <c r="U282" i="71"/>
  <c r="V282" i="71" s="1"/>
  <c r="E125" i="71"/>
  <c r="J125" i="71" s="1"/>
  <c r="H285" i="71" l="1"/>
  <c r="U283" i="71"/>
  <c r="V283" i="71" s="1"/>
  <c r="S285" i="71"/>
  <c r="Y285" i="71"/>
  <c r="Q285" i="71" s="1"/>
  <c r="P285" i="71"/>
  <c r="AB284" i="71"/>
  <c r="Z284" i="71"/>
  <c r="T284" i="71"/>
  <c r="R284" i="71"/>
  <c r="U284" i="71" s="1"/>
  <c r="N286" i="71"/>
  <c r="B286" i="71"/>
  <c r="E286" i="71" s="1"/>
  <c r="C286" i="71"/>
  <c r="D286" i="71" s="1"/>
  <c r="A287" i="71"/>
  <c r="K286" i="71"/>
  <c r="C125" i="71"/>
  <c r="D125" i="71" s="1"/>
  <c r="M99" i="71"/>
  <c r="L99" i="71" s="1"/>
  <c r="H286" i="71" l="1"/>
  <c r="V284" i="71"/>
  <c r="R285" i="71"/>
  <c r="AB285" i="71"/>
  <c r="T285" i="71"/>
  <c r="Z285" i="71"/>
  <c r="C287" i="71"/>
  <c r="D287" i="71" s="1"/>
  <c r="N287" i="71"/>
  <c r="A288" i="71"/>
  <c r="B287" i="71"/>
  <c r="E287" i="71" s="1"/>
  <c r="K287" i="71"/>
  <c r="P286" i="71"/>
  <c r="S286" i="71"/>
  <c r="Y286" i="71"/>
  <c r="Q286" i="71" s="1"/>
  <c r="H125" i="71"/>
  <c r="I125" i="71"/>
  <c r="K125" i="71"/>
  <c r="B126" i="71" s="1"/>
  <c r="H287" i="71" l="1"/>
  <c r="Z286" i="71"/>
  <c r="R286" i="71"/>
  <c r="U286" i="71" s="1"/>
  <c r="AB286" i="71"/>
  <c r="T286" i="71"/>
  <c r="A289" i="71"/>
  <c r="B288" i="71"/>
  <c r="E288" i="71" s="1"/>
  <c r="C288" i="71"/>
  <c r="D288" i="71" s="1"/>
  <c r="N288" i="71"/>
  <c r="K288" i="71"/>
  <c r="P287" i="71"/>
  <c r="S287" i="71"/>
  <c r="Y287" i="71"/>
  <c r="Q287" i="71" s="1"/>
  <c r="U285" i="71"/>
  <c r="V285" i="71" s="1"/>
  <c r="E126" i="71"/>
  <c r="J126" i="71" s="1"/>
  <c r="R287" i="71" l="1"/>
  <c r="U287" i="71" s="1"/>
  <c r="Z287" i="71"/>
  <c r="T287" i="71"/>
  <c r="AB287" i="71"/>
  <c r="K289" i="71"/>
  <c r="A290" i="71"/>
  <c r="C289" i="71"/>
  <c r="D289" i="71" s="1"/>
  <c r="B289" i="71"/>
  <c r="E289" i="71" s="1"/>
  <c r="N289" i="71"/>
  <c r="V286" i="71"/>
  <c r="H288" i="71"/>
  <c r="S288" i="71"/>
  <c r="P288" i="71"/>
  <c r="Y288" i="71"/>
  <c r="Q288" i="71" s="1"/>
  <c r="C126" i="71"/>
  <c r="D126" i="71" s="1"/>
  <c r="H289" i="71" l="1"/>
  <c r="V287" i="71"/>
  <c r="Z288" i="71"/>
  <c r="AB288" i="71"/>
  <c r="R288" i="71"/>
  <c r="T288" i="71"/>
  <c r="K290" i="71"/>
  <c r="A291" i="71"/>
  <c r="B290" i="71"/>
  <c r="E290" i="71" s="1"/>
  <c r="C290" i="71"/>
  <c r="D290" i="71" s="1"/>
  <c r="N290" i="71"/>
  <c r="Y289" i="71"/>
  <c r="Q289" i="71" s="1"/>
  <c r="P289" i="71"/>
  <c r="S289" i="71"/>
  <c r="H126" i="71"/>
  <c r="I126" i="71"/>
  <c r="K126" i="71"/>
  <c r="B127" i="71" s="1"/>
  <c r="M100" i="71"/>
  <c r="L100" i="71" s="1"/>
  <c r="H290" i="71" l="1"/>
  <c r="R289" i="71"/>
  <c r="U289" i="71" s="1"/>
  <c r="T289" i="71"/>
  <c r="Z289" i="71"/>
  <c r="AB289" i="71"/>
  <c r="N291" i="71"/>
  <c r="B291" i="71"/>
  <c r="E291" i="71" s="1"/>
  <c r="C291" i="71"/>
  <c r="D291" i="71" s="1"/>
  <c r="K291" i="71"/>
  <c r="A292" i="71"/>
  <c r="U288" i="71"/>
  <c r="V288" i="71" s="1"/>
  <c r="Y290" i="71"/>
  <c r="Q290" i="71" s="1"/>
  <c r="P290" i="71"/>
  <c r="S290" i="71"/>
  <c r="E127" i="71"/>
  <c r="J127" i="71" s="1"/>
  <c r="H291" i="71" l="1"/>
  <c r="T290" i="71"/>
  <c r="R290" i="71"/>
  <c r="Z290" i="71"/>
  <c r="AB290" i="71"/>
  <c r="S291" i="71"/>
  <c r="P291" i="71"/>
  <c r="Y291" i="71"/>
  <c r="Q291" i="71" s="1"/>
  <c r="K292" i="71"/>
  <c r="A293" i="71"/>
  <c r="N292" i="71"/>
  <c r="C292" i="71"/>
  <c r="D292" i="71" s="1"/>
  <c r="B292" i="71"/>
  <c r="E292" i="71" s="1"/>
  <c r="V289" i="71"/>
  <c r="C127" i="71"/>
  <c r="D127" i="71" s="1"/>
  <c r="H292" i="71" l="1"/>
  <c r="S292" i="71"/>
  <c r="P292" i="71"/>
  <c r="Y292" i="71"/>
  <c r="Q292" i="71" s="1"/>
  <c r="U290" i="71"/>
  <c r="V290" i="71" s="1"/>
  <c r="AB291" i="71"/>
  <c r="Z291" i="71"/>
  <c r="T291" i="71"/>
  <c r="R291" i="71"/>
  <c r="K293" i="71"/>
  <c r="N293" i="71"/>
  <c r="A294" i="71"/>
  <c r="B293" i="71"/>
  <c r="E293" i="71" s="1"/>
  <c r="C293" i="71"/>
  <c r="D293" i="71" s="1"/>
  <c r="I127" i="71"/>
  <c r="H127" i="71"/>
  <c r="K127" i="71"/>
  <c r="B128" i="71" s="1"/>
  <c r="M101" i="71"/>
  <c r="L101" i="71" s="1"/>
  <c r="H293" i="71" l="1"/>
  <c r="A295" i="71"/>
  <c r="N294" i="71"/>
  <c r="B294" i="71"/>
  <c r="E294" i="71" s="1"/>
  <c r="C294" i="71"/>
  <c r="D294" i="71" s="1"/>
  <c r="K294" i="71"/>
  <c r="Z292" i="71"/>
  <c r="R292" i="71"/>
  <c r="AB292" i="71"/>
  <c r="T292" i="71"/>
  <c r="S293" i="71"/>
  <c r="P293" i="71"/>
  <c r="Y293" i="71"/>
  <c r="Q293" i="71" s="1"/>
  <c r="U291" i="71"/>
  <c r="V291" i="71" s="1"/>
  <c r="E128" i="71"/>
  <c r="J128" i="71" s="1"/>
  <c r="C128" i="71" l="1"/>
  <c r="D128" i="71" s="1"/>
  <c r="K128" i="71" s="1"/>
  <c r="B129" i="71" s="1"/>
  <c r="AB293" i="71"/>
  <c r="Z293" i="71"/>
  <c r="R293" i="71"/>
  <c r="U293" i="71" s="1"/>
  <c r="T293" i="71"/>
  <c r="H294" i="71"/>
  <c r="U292" i="71"/>
  <c r="V292" i="71" s="1"/>
  <c r="Y294" i="71"/>
  <c r="Q294" i="71" s="1"/>
  <c r="S294" i="71"/>
  <c r="P294" i="71"/>
  <c r="B295" i="71"/>
  <c r="E295" i="71" s="1"/>
  <c r="A296" i="71"/>
  <c r="K295" i="71"/>
  <c r="C295" i="71"/>
  <c r="D295" i="71" s="1"/>
  <c r="N295" i="71"/>
  <c r="I128" i="71" l="1"/>
  <c r="H295" i="71"/>
  <c r="H128" i="71"/>
  <c r="V293" i="71"/>
  <c r="R294" i="71"/>
  <c r="U294" i="71" s="1"/>
  <c r="AB294" i="71"/>
  <c r="T294" i="71"/>
  <c r="Z294" i="71"/>
  <c r="C296" i="71"/>
  <c r="D296" i="71" s="1"/>
  <c r="B296" i="71"/>
  <c r="E296" i="71" s="1"/>
  <c r="N296" i="71"/>
  <c r="A297" i="71"/>
  <c r="K296" i="71"/>
  <c r="P295" i="71"/>
  <c r="Y295" i="71"/>
  <c r="Q295" i="71" s="1"/>
  <c r="S295" i="71"/>
  <c r="E129" i="71"/>
  <c r="J129" i="71" s="1"/>
  <c r="M102" i="71"/>
  <c r="L102" i="71" s="1"/>
  <c r="Z295" i="71" l="1"/>
  <c r="T295" i="71"/>
  <c r="R295" i="71"/>
  <c r="AB295" i="71"/>
  <c r="H296" i="71"/>
  <c r="Y296" i="71"/>
  <c r="Q296" i="71" s="1"/>
  <c r="P296" i="71"/>
  <c r="S296" i="71"/>
  <c r="A298" i="71"/>
  <c r="N297" i="71"/>
  <c r="C297" i="71"/>
  <c r="D297" i="71" s="1"/>
  <c r="K297" i="71"/>
  <c r="B297" i="71"/>
  <c r="E297" i="71" s="1"/>
  <c r="V294" i="71"/>
  <c r="C129" i="71"/>
  <c r="D129" i="71" s="1"/>
  <c r="H297" i="71" l="1"/>
  <c r="R296" i="71"/>
  <c r="T296" i="71"/>
  <c r="AB296" i="71"/>
  <c r="Z296" i="71"/>
  <c r="P297" i="71"/>
  <c r="S297" i="71"/>
  <c r="Y297" i="71"/>
  <c r="Q297" i="71" s="1"/>
  <c r="U295" i="71"/>
  <c r="V295" i="71" s="1"/>
  <c r="N298" i="71"/>
  <c r="C298" i="71"/>
  <c r="D298" i="71" s="1"/>
  <c r="K298" i="71"/>
  <c r="A299" i="71"/>
  <c r="B298" i="71"/>
  <c r="E298" i="71" s="1"/>
  <c r="I129" i="71"/>
  <c r="H129" i="71"/>
  <c r="K129" i="71"/>
  <c r="B130" i="71" s="1"/>
  <c r="N299" i="71" l="1"/>
  <c r="C299" i="71"/>
  <c r="D299" i="71" s="1"/>
  <c r="B299" i="71"/>
  <c r="E299" i="71" s="1"/>
  <c r="K299" i="71"/>
  <c r="A300" i="71"/>
  <c r="H298" i="71"/>
  <c r="S298" i="71"/>
  <c r="P298" i="71"/>
  <c r="Y298" i="71"/>
  <c r="Q298" i="71" s="1"/>
  <c r="Z297" i="71"/>
  <c r="R297" i="71"/>
  <c r="T297" i="71"/>
  <c r="AB297" i="71"/>
  <c r="U296" i="71"/>
  <c r="V296" i="71" s="1"/>
  <c r="E130" i="71"/>
  <c r="J130" i="71" s="1"/>
  <c r="C130" i="71" l="1"/>
  <c r="D130" i="71" s="1"/>
  <c r="K130" i="71" s="1"/>
  <c r="B131" i="71" s="1"/>
  <c r="E131" i="71" s="1"/>
  <c r="J131" i="71" s="1"/>
  <c r="N300" i="71"/>
  <c r="B300" i="71"/>
  <c r="E300" i="71" s="1"/>
  <c r="A301" i="71"/>
  <c r="C300" i="71"/>
  <c r="D300" i="71" s="1"/>
  <c r="K300" i="71"/>
  <c r="U297" i="71"/>
  <c r="V297" i="71" s="1"/>
  <c r="R298" i="71"/>
  <c r="Z298" i="71"/>
  <c r="T298" i="71"/>
  <c r="AB298" i="71"/>
  <c r="H299" i="71"/>
  <c r="S299" i="71"/>
  <c r="P299" i="71"/>
  <c r="Y299" i="71"/>
  <c r="Q299" i="71" s="1"/>
  <c r="M103" i="71"/>
  <c r="L103" i="71" s="1"/>
  <c r="H130" i="71" l="1"/>
  <c r="I130" i="71"/>
  <c r="T299" i="71"/>
  <c r="R299" i="71"/>
  <c r="Z299" i="71"/>
  <c r="AB299" i="71"/>
  <c r="H300" i="71"/>
  <c r="N301" i="71"/>
  <c r="B301" i="71"/>
  <c r="E301" i="71" s="1"/>
  <c r="C301" i="71"/>
  <c r="D301" i="71" s="1"/>
  <c r="K301" i="71"/>
  <c r="A302" i="71"/>
  <c r="C131" i="71"/>
  <c r="D131" i="71" s="1"/>
  <c r="K131" i="71" s="1"/>
  <c r="B132" i="71" s="1"/>
  <c r="E132" i="71" s="1"/>
  <c r="U298" i="71"/>
  <c r="V298" i="71" s="1"/>
  <c r="S300" i="71"/>
  <c r="P300" i="71"/>
  <c r="Y300" i="71"/>
  <c r="Q300" i="71" s="1"/>
  <c r="H301" i="71" l="1"/>
  <c r="I131" i="71"/>
  <c r="H131" i="71"/>
  <c r="J132" i="71"/>
  <c r="C132" i="71"/>
  <c r="D132" i="71" s="1"/>
  <c r="H132" i="71" s="1"/>
  <c r="S301" i="71"/>
  <c r="Y301" i="71"/>
  <c r="Q301" i="71" s="1"/>
  <c r="P301" i="71"/>
  <c r="R300" i="71"/>
  <c r="AB300" i="71"/>
  <c r="T300" i="71"/>
  <c r="Z300" i="71"/>
  <c r="U299" i="71"/>
  <c r="V299" i="71" s="1"/>
  <c r="A303" i="71"/>
  <c r="K302" i="71"/>
  <c r="C302" i="71"/>
  <c r="D302" i="71" s="1"/>
  <c r="B302" i="71"/>
  <c r="E302" i="71" s="1"/>
  <c r="N302" i="71"/>
  <c r="K132" i="71" l="1"/>
  <c r="B133" i="71" s="1"/>
  <c r="E133" i="71" s="1"/>
  <c r="J133" i="71" s="1"/>
  <c r="I132" i="71"/>
  <c r="Y302" i="71"/>
  <c r="Q302" i="71" s="1"/>
  <c r="S302" i="71"/>
  <c r="P302" i="71"/>
  <c r="U300" i="71"/>
  <c r="V300" i="71" s="1"/>
  <c r="H302" i="71"/>
  <c r="R301" i="71"/>
  <c r="AB301" i="71"/>
  <c r="Z301" i="71"/>
  <c r="T301" i="71"/>
  <c r="N303" i="71"/>
  <c r="A304" i="71"/>
  <c r="K303" i="71"/>
  <c r="C303" i="71"/>
  <c r="D303" i="71" s="1"/>
  <c r="B303" i="71"/>
  <c r="E303" i="71" s="1"/>
  <c r="M104" i="71"/>
  <c r="L104" i="71" s="1"/>
  <c r="C133" i="71" l="1"/>
  <c r="D133" i="71" s="1"/>
  <c r="K133" i="71" s="1"/>
  <c r="B134" i="71" s="1"/>
  <c r="E134" i="71" s="1"/>
  <c r="J134" i="71" s="1"/>
  <c r="U301" i="71"/>
  <c r="V301" i="71" s="1"/>
  <c r="H303" i="71"/>
  <c r="N304" i="71"/>
  <c r="A305" i="71"/>
  <c r="C304" i="71"/>
  <c r="D304" i="71" s="1"/>
  <c r="K304" i="71"/>
  <c r="B304" i="71"/>
  <c r="E304" i="71" s="1"/>
  <c r="Y303" i="71"/>
  <c r="Q303" i="71" s="1"/>
  <c r="P303" i="71"/>
  <c r="S303" i="71"/>
  <c r="AB302" i="71"/>
  <c r="T302" i="71"/>
  <c r="Z302" i="71"/>
  <c r="R302" i="71"/>
  <c r="H133" i="71" l="1"/>
  <c r="I133" i="71"/>
  <c r="H304" i="71"/>
  <c r="N305" i="71"/>
  <c r="C305" i="71"/>
  <c r="D305" i="71" s="1"/>
  <c r="K305" i="71"/>
  <c r="A306" i="71"/>
  <c r="B305" i="71"/>
  <c r="E305" i="71" s="1"/>
  <c r="U302" i="71"/>
  <c r="V302" i="71" s="1"/>
  <c r="S304" i="71"/>
  <c r="P304" i="71"/>
  <c r="Y304" i="71"/>
  <c r="Q304" i="71" s="1"/>
  <c r="R303" i="71"/>
  <c r="U303" i="71" s="1"/>
  <c r="AB303" i="71"/>
  <c r="Z303" i="71"/>
  <c r="T303" i="71"/>
  <c r="C134" i="71"/>
  <c r="D134" i="71" s="1"/>
  <c r="N306" i="71" l="1"/>
  <c r="C306" i="71"/>
  <c r="D306" i="71" s="1"/>
  <c r="K306" i="71"/>
  <c r="A307" i="71"/>
  <c r="B306" i="71"/>
  <c r="E306" i="71" s="1"/>
  <c r="V303" i="71"/>
  <c r="T304" i="71"/>
  <c r="AB304" i="71"/>
  <c r="R304" i="71"/>
  <c r="U304" i="71" s="1"/>
  <c r="Z304" i="71"/>
  <c r="H305" i="71"/>
  <c r="Y305" i="71"/>
  <c r="Q305" i="71" s="1"/>
  <c r="P305" i="71"/>
  <c r="S305" i="71"/>
  <c r="H134" i="71"/>
  <c r="I134" i="71"/>
  <c r="K134" i="71"/>
  <c r="B135" i="71" s="1"/>
  <c r="AB305" i="71" l="1"/>
  <c r="Z305" i="71"/>
  <c r="R305" i="71"/>
  <c r="U305" i="71" s="1"/>
  <c r="T305" i="71"/>
  <c r="K307" i="71"/>
  <c r="N307" i="71"/>
  <c r="B307" i="71"/>
  <c r="E307" i="71" s="1"/>
  <c r="C307" i="71"/>
  <c r="D307" i="71" s="1"/>
  <c r="A308" i="71"/>
  <c r="V304" i="71"/>
  <c r="H306" i="71"/>
  <c r="S306" i="71"/>
  <c r="Y306" i="71"/>
  <c r="Q306" i="71" s="1"/>
  <c r="P306" i="71"/>
  <c r="E135" i="71"/>
  <c r="J135" i="71" s="1"/>
  <c r="M105" i="71"/>
  <c r="L105" i="71" s="1"/>
  <c r="R306" i="71" l="1"/>
  <c r="T306" i="71"/>
  <c r="AB306" i="71"/>
  <c r="Z306" i="71"/>
  <c r="V305" i="71"/>
  <c r="C135" i="71"/>
  <c r="D135" i="71" s="1"/>
  <c r="K135" i="71" s="1"/>
  <c r="B136" i="71" s="1"/>
  <c r="E136" i="71" s="1"/>
  <c r="J136" i="71" s="1"/>
  <c r="C308" i="71"/>
  <c r="D308" i="71" s="1"/>
  <c r="B308" i="71"/>
  <c r="E308" i="71" s="1"/>
  <c r="N308" i="71"/>
  <c r="K308" i="71"/>
  <c r="A309" i="71"/>
  <c r="P307" i="71"/>
  <c r="Y307" i="71"/>
  <c r="Q307" i="71" s="1"/>
  <c r="S307" i="71"/>
  <c r="H307" i="71"/>
  <c r="Z307" i="71" l="1"/>
  <c r="AB307" i="71"/>
  <c r="T307" i="71"/>
  <c r="R307" i="71"/>
  <c r="I135" i="71"/>
  <c r="H308" i="71"/>
  <c r="H135" i="71"/>
  <c r="N309" i="71"/>
  <c r="B309" i="71"/>
  <c r="E309" i="71" s="1"/>
  <c r="C309" i="71"/>
  <c r="D309" i="71" s="1"/>
  <c r="A310" i="71"/>
  <c r="K309" i="71"/>
  <c r="Y308" i="71"/>
  <c r="Q308" i="71" s="1"/>
  <c r="P308" i="71"/>
  <c r="S308" i="71"/>
  <c r="U306" i="71"/>
  <c r="V306" i="71" s="1"/>
  <c r="C136" i="71"/>
  <c r="D136" i="71" s="1"/>
  <c r="R308" i="71" l="1"/>
  <c r="AB308" i="71"/>
  <c r="Z308" i="71"/>
  <c r="T308" i="71"/>
  <c r="A311" i="71"/>
  <c r="N310" i="71"/>
  <c r="B310" i="71"/>
  <c r="E310" i="71" s="1"/>
  <c r="C310" i="71"/>
  <c r="D310" i="71" s="1"/>
  <c r="K310" i="71"/>
  <c r="U307" i="71"/>
  <c r="V307" i="71" s="1"/>
  <c r="H309" i="71"/>
  <c r="Y309" i="71"/>
  <c r="Q309" i="71" s="1"/>
  <c r="P309" i="71"/>
  <c r="S309" i="71"/>
  <c r="I136" i="71"/>
  <c r="H136" i="71"/>
  <c r="K136" i="71"/>
  <c r="B137" i="71" s="1"/>
  <c r="H310" i="71" l="1"/>
  <c r="Y310" i="71"/>
  <c r="Q310" i="71" s="1"/>
  <c r="P310" i="71"/>
  <c r="S310" i="71"/>
  <c r="Z309" i="71"/>
  <c r="T309" i="71"/>
  <c r="R309" i="71"/>
  <c r="AB309" i="71"/>
  <c r="N311" i="71"/>
  <c r="A312" i="71"/>
  <c r="C311" i="71"/>
  <c r="D311" i="71" s="1"/>
  <c r="B311" i="71"/>
  <c r="E311" i="71" s="1"/>
  <c r="K311" i="71"/>
  <c r="U308" i="71"/>
  <c r="V308" i="71" s="1"/>
  <c r="E137" i="71"/>
  <c r="J137" i="71" s="1"/>
  <c r="M106" i="71"/>
  <c r="L106" i="71" s="1"/>
  <c r="H311" i="71" l="1"/>
  <c r="Y311" i="71"/>
  <c r="Q311" i="71" s="1"/>
  <c r="P311" i="71"/>
  <c r="S311" i="71"/>
  <c r="U309" i="71"/>
  <c r="V309" i="71"/>
  <c r="C137" i="71"/>
  <c r="D137" i="71" s="1"/>
  <c r="K137" i="71" s="1"/>
  <c r="B138" i="71" s="1"/>
  <c r="E138" i="71" s="1"/>
  <c r="J138" i="71" s="1"/>
  <c r="N312" i="71"/>
  <c r="A313" i="71"/>
  <c r="B312" i="71"/>
  <c r="E312" i="71" s="1"/>
  <c r="K312" i="71"/>
  <c r="C312" i="71"/>
  <c r="D312" i="71" s="1"/>
  <c r="R310" i="71"/>
  <c r="U310" i="71" s="1"/>
  <c r="AB310" i="71"/>
  <c r="T310" i="71"/>
  <c r="Z310" i="71"/>
  <c r="H312" i="71" l="1"/>
  <c r="I137" i="71"/>
  <c r="AB311" i="71"/>
  <c r="T311" i="71"/>
  <c r="R311" i="71"/>
  <c r="U311" i="71" s="1"/>
  <c r="Z311" i="71"/>
  <c r="P312" i="71"/>
  <c r="Y312" i="71"/>
  <c r="Q312" i="71" s="1"/>
  <c r="S312" i="71"/>
  <c r="V310" i="71"/>
  <c r="C138" i="71"/>
  <c r="D138" i="71" s="1"/>
  <c r="K138" i="71" s="1"/>
  <c r="B139" i="71" s="1"/>
  <c r="H137" i="71"/>
  <c r="K313" i="71"/>
  <c r="B313" i="71"/>
  <c r="E313" i="71" s="1"/>
  <c r="N313" i="71"/>
  <c r="A314" i="71"/>
  <c r="C313" i="71"/>
  <c r="D313" i="71" s="1"/>
  <c r="M107" i="71"/>
  <c r="L107" i="71" s="1"/>
  <c r="H313" i="71" l="1"/>
  <c r="A315" i="71"/>
  <c r="N314" i="71"/>
  <c r="B314" i="71"/>
  <c r="E314" i="71" s="1"/>
  <c r="K314" i="71"/>
  <c r="C314" i="71"/>
  <c r="D314" i="71" s="1"/>
  <c r="I138" i="71"/>
  <c r="P313" i="71"/>
  <c r="S313" i="71"/>
  <c r="Y313" i="71"/>
  <c r="Q313" i="71" s="1"/>
  <c r="H138" i="71"/>
  <c r="V311" i="71"/>
  <c r="T312" i="71"/>
  <c r="AB312" i="71"/>
  <c r="R312" i="71"/>
  <c r="U312" i="71" s="1"/>
  <c r="Z312" i="71"/>
  <c r="E139" i="71"/>
  <c r="J139" i="71" s="1"/>
  <c r="V312" i="71" l="1"/>
  <c r="H314" i="71"/>
  <c r="Z313" i="71"/>
  <c r="T313" i="71"/>
  <c r="R313" i="71"/>
  <c r="AB313" i="71"/>
  <c r="S314" i="71"/>
  <c r="P314" i="71"/>
  <c r="Y314" i="71"/>
  <c r="Q314" i="71" s="1"/>
  <c r="C139" i="71"/>
  <c r="D139" i="71" s="1"/>
  <c r="K139" i="71" s="1"/>
  <c r="B140" i="71" s="1"/>
  <c r="E140" i="71" s="1"/>
  <c r="J140" i="71" s="1"/>
  <c r="B315" i="71"/>
  <c r="E315" i="71" s="1"/>
  <c r="N315" i="71"/>
  <c r="C315" i="71"/>
  <c r="D315" i="71" s="1"/>
  <c r="K315" i="71"/>
  <c r="A316" i="71"/>
  <c r="T314" i="71" l="1"/>
  <c r="Z314" i="71"/>
  <c r="AB314" i="71"/>
  <c r="R314" i="71"/>
  <c r="A317" i="71"/>
  <c r="B316" i="71"/>
  <c r="E316" i="71" s="1"/>
  <c r="K316" i="71"/>
  <c r="C316" i="71"/>
  <c r="D316" i="71" s="1"/>
  <c r="N316" i="71"/>
  <c r="H315" i="71"/>
  <c r="U313" i="71"/>
  <c r="V313" i="71" s="1"/>
  <c r="I139" i="71"/>
  <c r="Y315" i="71"/>
  <c r="Q315" i="71" s="1"/>
  <c r="P315" i="71"/>
  <c r="S315" i="71"/>
  <c r="H139" i="71"/>
  <c r="C140" i="71"/>
  <c r="D140" i="71" s="1"/>
  <c r="AB315" i="71" l="1"/>
  <c r="T315" i="71"/>
  <c r="Z315" i="71"/>
  <c r="R315" i="71"/>
  <c r="B317" i="71"/>
  <c r="E317" i="71" s="1"/>
  <c r="C317" i="71"/>
  <c r="D317" i="71" s="1"/>
  <c r="K317" i="71"/>
  <c r="A318" i="71"/>
  <c r="N317" i="71"/>
  <c r="U314" i="71"/>
  <c r="V314" i="71" s="1"/>
  <c r="Y316" i="71"/>
  <c r="Q316" i="71" s="1"/>
  <c r="S316" i="71"/>
  <c r="P316" i="71"/>
  <c r="H316" i="71"/>
  <c r="H140" i="71"/>
  <c r="I140" i="71"/>
  <c r="K140" i="71"/>
  <c r="B141" i="71" s="1"/>
  <c r="M108" i="71"/>
  <c r="L108" i="71" s="1"/>
  <c r="H317" i="71" l="1"/>
  <c r="Z316" i="71"/>
  <c r="AB316" i="71"/>
  <c r="T316" i="71"/>
  <c r="R316" i="71"/>
  <c r="U316" i="71" s="1"/>
  <c r="B318" i="71"/>
  <c r="E318" i="71" s="1"/>
  <c r="A319" i="71"/>
  <c r="K318" i="71"/>
  <c r="C318" i="71"/>
  <c r="D318" i="71" s="1"/>
  <c r="N318" i="71"/>
  <c r="U315" i="71"/>
  <c r="V315" i="71" s="1"/>
  <c r="S317" i="71"/>
  <c r="P317" i="71"/>
  <c r="Y317" i="71"/>
  <c r="Q317" i="71" s="1"/>
  <c r="E141" i="71"/>
  <c r="J141" i="71" s="1"/>
  <c r="V316" i="71" l="1"/>
  <c r="R317" i="71"/>
  <c r="AB317" i="71"/>
  <c r="Z317" i="71"/>
  <c r="T317" i="71"/>
  <c r="C141" i="71"/>
  <c r="D141" i="71" s="1"/>
  <c r="K141" i="71" s="1"/>
  <c r="B142" i="71" s="1"/>
  <c r="E142" i="71" s="1"/>
  <c r="J142" i="71" s="1"/>
  <c r="H318" i="71"/>
  <c r="B319" i="71"/>
  <c r="E319" i="71" s="1"/>
  <c r="C319" i="71"/>
  <c r="D319" i="71" s="1"/>
  <c r="K319" i="71"/>
  <c r="A320" i="71"/>
  <c r="N319" i="71"/>
  <c r="S318" i="71"/>
  <c r="Y318" i="71"/>
  <c r="Q318" i="71" s="1"/>
  <c r="P318" i="71"/>
  <c r="H319" i="71" l="1"/>
  <c r="R318" i="71"/>
  <c r="AB318" i="71"/>
  <c r="Z318" i="71"/>
  <c r="T318" i="71"/>
  <c r="P319" i="71"/>
  <c r="S319" i="71"/>
  <c r="Y319" i="71"/>
  <c r="Q319" i="71" s="1"/>
  <c r="I141" i="71"/>
  <c r="K320" i="71"/>
  <c r="C320" i="71"/>
  <c r="D320" i="71" s="1"/>
  <c r="N320" i="71"/>
  <c r="A321" i="71"/>
  <c r="B320" i="71"/>
  <c r="E320" i="71" s="1"/>
  <c r="H141" i="71"/>
  <c r="U317" i="71"/>
  <c r="V317" i="71" s="1"/>
  <c r="C142" i="71"/>
  <c r="D142" i="71" s="1"/>
  <c r="R319" i="71" l="1"/>
  <c r="AB319" i="71"/>
  <c r="Z319" i="71"/>
  <c r="T319" i="71"/>
  <c r="B321" i="71"/>
  <c r="E321" i="71" s="1"/>
  <c r="C321" i="71"/>
  <c r="D321" i="71" s="1"/>
  <c r="N321" i="71"/>
  <c r="A322" i="71"/>
  <c r="K321" i="71"/>
  <c r="Y320" i="71"/>
  <c r="Q320" i="71" s="1"/>
  <c r="P320" i="71"/>
  <c r="S320" i="71"/>
  <c r="H320" i="71"/>
  <c r="U318" i="71"/>
  <c r="V318" i="71" s="1"/>
  <c r="H142" i="71"/>
  <c r="I142" i="71"/>
  <c r="K142" i="71"/>
  <c r="B143" i="71" s="1"/>
  <c r="M109" i="71"/>
  <c r="L109" i="71" s="1"/>
  <c r="H321" i="71" l="1"/>
  <c r="Y321" i="71"/>
  <c r="Q321" i="71" s="1"/>
  <c r="P321" i="71"/>
  <c r="S321" i="71"/>
  <c r="Z320" i="71"/>
  <c r="AB320" i="71"/>
  <c r="T320" i="71"/>
  <c r="R320" i="71"/>
  <c r="U320" i="71" s="1"/>
  <c r="V320" i="71" s="1"/>
  <c r="A323" i="71"/>
  <c r="B322" i="71"/>
  <c r="E322" i="71" s="1"/>
  <c r="K322" i="71"/>
  <c r="N322" i="71"/>
  <c r="C322" i="71"/>
  <c r="D322" i="71" s="1"/>
  <c r="U319" i="71"/>
  <c r="V319" i="71" s="1"/>
  <c r="E143" i="71"/>
  <c r="J143" i="71" s="1"/>
  <c r="H322" i="71" l="1"/>
  <c r="C323" i="71"/>
  <c r="D323" i="71" s="1"/>
  <c r="K323" i="71"/>
  <c r="B323" i="71"/>
  <c r="E323" i="71" s="1"/>
  <c r="A324" i="71"/>
  <c r="N323" i="71"/>
  <c r="P322" i="71"/>
  <c r="S322" i="71"/>
  <c r="Y322" i="71"/>
  <c r="Q322" i="71" s="1"/>
  <c r="Z321" i="71"/>
  <c r="T321" i="71"/>
  <c r="R321" i="71"/>
  <c r="AB321" i="71"/>
  <c r="C143" i="71"/>
  <c r="D143" i="71" s="1"/>
  <c r="M110" i="71"/>
  <c r="L110" i="71" s="1"/>
  <c r="U321" i="71" l="1"/>
  <c r="V321" i="71" s="1"/>
  <c r="T322" i="71"/>
  <c r="R322" i="71"/>
  <c r="Z322" i="71"/>
  <c r="AB322" i="71"/>
  <c r="A325" i="71"/>
  <c r="K324" i="71"/>
  <c r="N324" i="71"/>
  <c r="B324" i="71"/>
  <c r="E324" i="71" s="1"/>
  <c r="C324" i="71"/>
  <c r="D324" i="71" s="1"/>
  <c r="Y323" i="71"/>
  <c r="Q323" i="71" s="1"/>
  <c r="P323" i="71"/>
  <c r="S323" i="71"/>
  <c r="H323" i="71"/>
  <c r="I143" i="71"/>
  <c r="H143" i="71"/>
  <c r="K143" i="71"/>
  <c r="B144" i="71" s="1"/>
  <c r="K325" i="71" l="1"/>
  <c r="A326" i="71"/>
  <c r="N325" i="71"/>
  <c r="C325" i="71"/>
  <c r="D325" i="71" s="1"/>
  <c r="B325" i="71"/>
  <c r="E325" i="71" s="1"/>
  <c r="U322" i="71"/>
  <c r="V322" i="71" s="1"/>
  <c r="H324" i="71"/>
  <c r="T323" i="71"/>
  <c r="Z323" i="71"/>
  <c r="R323" i="71"/>
  <c r="AB323" i="71"/>
  <c r="P324" i="71"/>
  <c r="S324" i="71"/>
  <c r="Y324" i="71"/>
  <c r="Q324" i="71" s="1"/>
  <c r="E144" i="71"/>
  <c r="J144" i="71" s="1"/>
  <c r="C144" i="71" l="1"/>
  <c r="D144" i="71" s="1"/>
  <c r="K144" i="71" s="1"/>
  <c r="B145" i="71" s="1"/>
  <c r="E145" i="71" s="1"/>
  <c r="J145" i="71" s="1"/>
  <c r="T324" i="71"/>
  <c r="AB324" i="71"/>
  <c r="R324" i="71"/>
  <c r="U324" i="71" s="1"/>
  <c r="Z324" i="71"/>
  <c r="H325" i="71"/>
  <c r="Y325" i="71"/>
  <c r="Q325" i="71" s="1"/>
  <c r="S325" i="71"/>
  <c r="P325" i="71"/>
  <c r="A327" i="71"/>
  <c r="C326" i="71"/>
  <c r="D326" i="71" s="1"/>
  <c r="N326" i="71"/>
  <c r="K326" i="71"/>
  <c r="B326" i="71"/>
  <c r="E326" i="71" s="1"/>
  <c r="U323" i="71"/>
  <c r="V323" i="71" s="1"/>
  <c r="I144" i="71" l="1"/>
  <c r="V324" i="71"/>
  <c r="H144" i="71"/>
  <c r="C145" i="71"/>
  <c r="D145" i="71" s="1"/>
  <c r="H145" i="71" s="1"/>
  <c r="AB325" i="71"/>
  <c r="T325" i="71"/>
  <c r="R325" i="71"/>
  <c r="U325" i="71" s="1"/>
  <c r="Z325" i="71"/>
  <c r="P326" i="71"/>
  <c r="Y326" i="71"/>
  <c r="Q326" i="71" s="1"/>
  <c r="S326" i="71"/>
  <c r="H326" i="71"/>
  <c r="C327" i="71"/>
  <c r="D327" i="71" s="1"/>
  <c r="K327" i="71"/>
  <c r="N327" i="71"/>
  <c r="B327" i="71"/>
  <c r="E327" i="71" s="1"/>
  <c r="A328" i="71"/>
  <c r="M111" i="71"/>
  <c r="L111" i="71" s="1"/>
  <c r="I145" i="71" l="1"/>
  <c r="K145" i="71"/>
  <c r="B146" i="71" s="1"/>
  <c r="E146" i="71" s="1"/>
  <c r="J146" i="71" s="1"/>
  <c r="K328" i="71"/>
  <c r="C328" i="71"/>
  <c r="D328" i="71" s="1"/>
  <c r="N328" i="71"/>
  <c r="B328" i="71"/>
  <c r="E328" i="71" s="1"/>
  <c r="A329" i="71"/>
  <c r="S327" i="71"/>
  <c r="P327" i="71"/>
  <c r="Y327" i="71"/>
  <c r="Q327" i="71" s="1"/>
  <c r="V325" i="71"/>
  <c r="R326" i="71"/>
  <c r="U326" i="71" s="1"/>
  <c r="AB326" i="71"/>
  <c r="T326" i="71"/>
  <c r="Z326" i="71"/>
  <c r="H327" i="71"/>
  <c r="V326" i="71" l="1"/>
  <c r="K329" i="71"/>
  <c r="B329" i="71"/>
  <c r="E329" i="71" s="1"/>
  <c r="A330" i="71"/>
  <c r="C329" i="71"/>
  <c r="D329" i="71" s="1"/>
  <c r="N329" i="71"/>
  <c r="P328" i="71"/>
  <c r="Y328" i="71"/>
  <c r="Q328" i="71" s="1"/>
  <c r="S328" i="71"/>
  <c r="H328" i="71"/>
  <c r="Z327" i="71"/>
  <c r="T327" i="71"/>
  <c r="AB327" i="71"/>
  <c r="R327" i="71"/>
  <c r="C146" i="71"/>
  <c r="D146" i="71" s="1"/>
  <c r="H146" i="71" s="1"/>
  <c r="H329" i="71" l="1"/>
  <c r="Z328" i="71"/>
  <c r="AB328" i="71"/>
  <c r="T328" i="71"/>
  <c r="R328" i="71"/>
  <c r="U327" i="71"/>
  <c r="V327" i="71" s="1"/>
  <c r="S329" i="71"/>
  <c r="P329" i="71"/>
  <c r="Y329" i="71"/>
  <c r="Q329" i="71" s="1"/>
  <c r="I146" i="71"/>
  <c r="K146" i="71"/>
  <c r="B147" i="71" s="1"/>
  <c r="E147" i="71" s="1"/>
  <c r="J147" i="71" s="1"/>
  <c r="N330" i="71"/>
  <c r="C330" i="71"/>
  <c r="D330" i="71" s="1"/>
  <c r="K330" i="71"/>
  <c r="A331" i="71"/>
  <c r="B330" i="71"/>
  <c r="E330" i="71" s="1"/>
  <c r="M112" i="71"/>
  <c r="L112" i="71" s="1"/>
  <c r="B331" i="71" l="1"/>
  <c r="E331" i="71" s="1"/>
  <c r="N331" i="71"/>
  <c r="C331" i="71"/>
  <c r="D331" i="71" s="1"/>
  <c r="A332" i="71"/>
  <c r="K331" i="71"/>
  <c r="H330" i="71"/>
  <c r="S330" i="71"/>
  <c r="Y330" i="71"/>
  <c r="Q330" i="71" s="1"/>
  <c r="P330" i="71"/>
  <c r="U328" i="71"/>
  <c r="V328" i="71" s="1"/>
  <c r="R329" i="71"/>
  <c r="U329" i="71" s="1"/>
  <c r="Z329" i="71"/>
  <c r="AB329" i="71"/>
  <c r="T329" i="71"/>
  <c r="C147" i="71"/>
  <c r="D147" i="71" s="1"/>
  <c r="V329" i="71" l="1"/>
  <c r="A333" i="71"/>
  <c r="K332" i="71"/>
  <c r="B332" i="71"/>
  <c r="E332" i="71" s="1"/>
  <c r="C332" i="71"/>
  <c r="D332" i="71" s="1"/>
  <c r="N332" i="71"/>
  <c r="H331" i="71"/>
  <c r="P331" i="71"/>
  <c r="S331" i="71"/>
  <c r="Y331" i="71"/>
  <c r="Q331" i="71" s="1"/>
  <c r="T330" i="71"/>
  <c r="R330" i="71"/>
  <c r="Z330" i="71"/>
  <c r="AB330" i="71"/>
  <c r="H147" i="71"/>
  <c r="I147" i="71"/>
  <c r="K147" i="71"/>
  <c r="B148" i="71" s="1"/>
  <c r="U330" i="71" l="1"/>
  <c r="V330" i="71" s="1"/>
  <c r="H332" i="71"/>
  <c r="Y332" i="71"/>
  <c r="Q332" i="71" s="1"/>
  <c r="S332" i="71"/>
  <c r="P332" i="71"/>
  <c r="Z331" i="71"/>
  <c r="AB331" i="71"/>
  <c r="R331" i="71"/>
  <c r="T331" i="71"/>
  <c r="B333" i="71"/>
  <c r="E333" i="71" s="1"/>
  <c r="C333" i="71"/>
  <c r="D333" i="71" s="1"/>
  <c r="K333" i="71"/>
  <c r="A334" i="71"/>
  <c r="N333" i="71"/>
  <c r="E148" i="71"/>
  <c r="J148" i="71" s="1"/>
  <c r="Y333" i="71" l="1"/>
  <c r="Q333" i="71" s="1"/>
  <c r="P333" i="71"/>
  <c r="S333" i="71"/>
  <c r="C334" i="71"/>
  <c r="D334" i="71" s="1"/>
  <c r="N334" i="71"/>
  <c r="K334" i="71"/>
  <c r="B334" i="71"/>
  <c r="E334" i="71" s="1"/>
  <c r="A335" i="71"/>
  <c r="H333" i="71"/>
  <c r="R332" i="71"/>
  <c r="Z332" i="71"/>
  <c r="T332" i="71"/>
  <c r="AB332" i="71"/>
  <c r="U331" i="71"/>
  <c r="V331" i="71" s="1"/>
  <c r="C148" i="71"/>
  <c r="D148" i="71" s="1"/>
  <c r="M113" i="71"/>
  <c r="L113" i="71" s="1"/>
  <c r="R333" i="71" l="1"/>
  <c r="Z333" i="71"/>
  <c r="AB333" i="71"/>
  <c r="T333" i="71"/>
  <c r="S334" i="71"/>
  <c r="Y334" i="71"/>
  <c r="Q334" i="71" s="1"/>
  <c r="P334" i="71"/>
  <c r="H334" i="71"/>
  <c r="U332" i="71"/>
  <c r="V332" i="71" s="1"/>
  <c r="K335" i="71"/>
  <c r="B335" i="71"/>
  <c r="E335" i="71" s="1"/>
  <c r="C335" i="71"/>
  <c r="D335" i="71" s="1"/>
  <c r="A336" i="71"/>
  <c r="N335" i="71"/>
  <c r="H148" i="71"/>
  <c r="I148" i="71"/>
  <c r="K148" i="71"/>
  <c r="B149" i="71" s="1"/>
  <c r="R334" i="71" l="1"/>
  <c r="AB334" i="71"/>
  <c r="T334" i="71"/>
  <c r="Z334" i="71"/>
  <c r="Y335" i="71"/>
  <c r="Q335" i="71" s="1"/>
  <c r="S335" i="71"/>
  <c r="P335" i="71"/>
  <c r="N336" i="71"/>
  <c r="A337" i="71"/>
  <c r="B336" i="71"/>
  <c r="E336" i="71" s="1"/>
  <c r="K336" i="71"/>
  <c r="C336" i="71"/>
  <c r="D336" i="71" s="1"/>
  <c r="H335" i="71"/>
  <c r="U333" i="71"/>
  <c r="V333" i="71" s="1"/>
  <c r="E149" i="71"/>
  <c r="J149" i="71" s="1"/>
  <c r="AB335" i="71" l="1"/>
  <c r="R335" i="71"/>
  <c r="T335" i="71"/>
  <c r="Z335" i="71"/>
  <c r="Y336" i="71"/>
  <c r="Q336" i="71" s="1"/>
  <c r="P336" i="71"/>
  <c r="S336" i="71"/>
  <c r="H336" i="71"/>
  <c r="C337" i="71"/>
  <c r="D337" i="71" s="1"/>
  <c r="K337" i="71"/>
  <c r="N337" i="71"/>
  <c r="A338" i="71"/>
  <c r="B337" i="71"/>
  <c r="E337" i="71" s="1"/>
  <c r="U334" i="71"/>
  <c r="V334" i="71" s="1"/>
  <c r="C149" i="71"/>
  <c r="D149" i="71" s="1"/>
  <c r="M114" i="71"/>
  <c r="L114" i="71" s="1"/>
  <c r="Z336" i="71" l="1"/>
  <c r="AB336" i="71"/>
  <c r="R336" i="71"/>
  <c r="T336" i="71"/>
  <c r="C338" i="71"/>
  <c r="D338" i="71" s="1"/>
  <c r="B338" i="71"/>
  <c r="E338" i="71" s="1"/>
  <c r="K338" i="71"/>
  <c r="A339" i="71"/>
  <c r="N338" i="71"/>
  <c r="P337" i="71"/>
  <c r="S337" i="71"/>
  <c r="Y337" i="71"/>
  <c r="Q337" i="71" s="1"/>
  <c r="U335" i="71"/>
  <c r="V335" i="71" s="1"/>
  <c r="H337" i="71"/>
  <c r="I149" i="71"/>
  <c r="H149" i="71"/>
  <c r="K149" i="71"/>
  <c r="B150" i="71" s="1"/>
  <c r="T337" i="71" l="1"/>
  <c r="R337" i="71"/>
  <c r="U337" i="71" s="1"/>
  <c r="Z337" i="71"/>
  <c r="AB337" i="71"/>
  <c r="H338" i="71"/>
  <c r="U336" i="71"/>
  <c r="V336" i="71" s="1"/>
  <c r="P338" i="71"/>
  <c r="Y338" i="71"/>
  <c r="Q338" i="71" s="1"/>
  <c r="S338" i="71"/>
  <c r="B339" i="71"/>
  <c r="E339" i="71" s="1"/>
  <c r="A340" i="71"/>
  <c r="N339" i="71"/>
  <c r="K339" i="71"/>
  <c r="C339" i="71"/>
  <c r="D339" i="71" s="1"/>
  <c r="E150" i="71"/>
  <c r="J150" i="71" s="1"/>
  <c r="H339" i="71" l="1"/>
  <c r="R338" i="71"/>
  <c r="AB338" i="71"/>
  <c r="Z338" i="71"/>
  <c r="T338" i="71"/>
  <c r="S339" i="71"/>
  <c r="P339" i="71"/>
  <c r="Y339" i="71"/>
  <c r="Q339" i="71" s="1"/>
  <c r="B340" i="71"/>
  <c r="E340" i="71" s="1"/>
  <c r="A341" i="71"/>
  <c r="K340" i="71"/>
  <c r="C340" i="71"/>
  <c r="D340" i="71" s="1"/>
  <c r="N340" i="71"/>
  <c r="V337" i="71"/>
  <c r="C150" i="71"/>
  <c r="D150" i="71" s="1"/>
  <c r="M115" i="71"/>
  <c r="L115" i="71" s="1"/>
  <c r="T339" i="71" l="1"/>
  <c r="R339" i="71"/>
  <c r="Z339" i="71"/>
  <c r="AB339" i="71"/>
  <c r="Y340" i="71"/>
  <c r="Q340" i="71" s="1"/>
  <c r="S340" i="71"/>
  <c r="P340" i="71"/>
  <c r="H340" i="71"/>
  <c r="K341" i="71"/>
  <c r="A342" i="71"/>
  <c r="N341" i="71"/>
  <c r="B341" i="71"/>
  <c r="E341" i="71" s="1"/>
  <c r="C341" i="71"/>
  <c r="D341" i="71" s="1"/>
  <c r="U338" i="71"/>
  <c r="V338" i="71" s="1"/>
  <c r="H150" i="71"/>
  <c r="I150" i="71"/>
  <c r="K150" i="71"/>
  <c r="B151" i="71" s="1"/>
  <c r="H341" i="71" l="1"/>
  <c r="T340" i="71"/>
  <c r="R340" i="71"/>
  <c r="AB340" i="71"/>
  <c r="Z340" i="71"/>
  <c r="U339" i="71"/>
  <c r="V339" i="71" s="1"/>
  <c r="S341" i="71"/>
  <c r="Y341" i="71"/>
  <c r="Q341" i="71" s="1"/>
  <c r="P341" i="71"/>
  <c r="B342" i="71"/>
  <c r="E342" i="71" s="1"/>
  <c r="N342" i="71"/>
  <c r="A343" i="71"/>
  <c r="C342" i="71"/>
  <c r="D342" i="71" s="1"/>
  <c r="K342" i="71"/>
  <c r="E151" i="71"/>
  <c r="J151" i="71" s="1"/>
  <c r="M116" i="71"/>
  <c r="L116" i="71" s="1"/>
  <c r="H342" i="71" l="1"/>
  <c r="A344" i="71"/>
  <c r="C343" i="71"/>
  <c r="D343" i="71" s="1"/>
  <c r="K343" i="71"/>
  <c r="B343" i="71"/>
  <c r="E343" i="71" s="1"/>
  <c r="N343" i="71"/>
  <c r="P342" i="71"/>
  <c r="Y342" i="71"/>
  <c r="Q342" i="71" s="1"/>
  <c r="S342" i="71"/>
  <c r="R341" i="71"/>
  <c r="AB341" i="71"/>
  <c r="Z341" i="71"/>
  <c r="T341" i="71"/>
  <c r="U340" i="71"/>
  <c r="V340" i="71"/>
  <c r="C151" i="71"/>
  <c r="D151" i="71" s="1"/>
  <c r="R342" i="71" l="1"/>
  <c r="U342" i="71" s="1"/>
  <c r="AB342" i="71"/>
  <c r="T342" i="71"/>
  <c r="Z342" i="71"/>
  <c r="P343" i="71"/>
  <c r="S343" i="71"/>
  <c r="Y343" i="71"/>
  <c r="Q343" i="71" s="1"/>
  <c r="H343" i="71"/>
  <c r="U341" i="71"/>
  <c r="V341" i="71" s="1"/>
  <c r="K344" i="71"/>
  <c r="C344" i="71"/>
  <c r="D344" i="71" s="1"/>
  <c r="A345" i="71"/>
  <c r="B344" i="71"/>
  <c r="E344" i="71" s="1"/>
  <c r="N344" i="71"/>
  <c r="I151" i="71"/>
  <c r="H151" i="71"/>
  <c r="K151" i="71"/>
  <c r="B152" i="71" s="1"/>
  <c r="V342" i="71" l="1"/>
  <c r="P344" i="71"/>
  <c r="Y344" i="71"/>
  <c r="Q344" i="71" s="1"/>
  <c r="S344" i="71"/>
  <c r="K345" i="71"/>
  <c r="B345" i="71"/>
  <c r="E345" i="71" s="1"/>
  <c r="C345" i="71"/>
  <c r="D345" i="71" s="1"/>
  <c r="A346" i="71"/>
  <c r="N345" i="71"/>
  <c r="H344" i="71"/>
  <c r="Z343" i="71"/>
  <c r="R343" i="71"/>
  <c r="T343" i="71"/>
  <c r="AB343" i="71"/>
  <c r="E152" i="71"/>
  <c r="J152" i="71" s="1"/>
  <c r="M117" i="71"/>
  <c r="L117" i="71" s="1"/>
  <c r="H345" i="71" l="1"/>
  <c r="AB344" i="71"/>
  <c r="T344" i="71"/>
  <c r="Z344" i="71"/>
  <c r="R344" i="71"/>
  <c r="U344" i="71" s="1"/>
  <c r="U343" i="71"/>
  <c r="V343" i="71" s="1"/>
  <c r="K346" i="71"/>
  <c r="A347" i="71"/>
  <c r="B346" i="71"/>
  <c r="E346" i="71" s="1"/>
  <c r="C346" i="71"/>
  <c r="D346" i="71" s="1"/>
  <c r="N346" i="71"/>
  <c r="S345" i="71"/>
  <c r="P345" i="71"/>
  <c r="Y345" i="71"/>
  <c r="Q345" i="71" s="1"/>
  <c r="C152" i="71"/>
  <c r="D152" i="71" s="1"/>
  <c r="V344" i="71" l="1"/>
  <c r="H346" i="71"/>
  <c r="T345" i="71"/>
  <c r="R345" i="71"/>
  <c r="AB345" i="71"/>
  <c r="Z345" i="71"/>
  <c r="P346" i="71"/>
  <c r="Y346" i="71"/>
  <c r="Q346" i="71" s="1"/>
  <c r="S346" i="71"/>
  <c r="N347" i="71"/>
  <c r="C347" i="71"/>
  <c r="D347" i="71" s="1"/>
  <c r="K347" i="71"/>
  <c r="A348" i="71"/>
  <c r="B347" i="71"/>
  <c r="E347" i="71" s="1"/>
  <c r="I152" i="71"/>
  <c r="H152" i="71"/>
  <c r="K152" i="71"/>
  <c r="B153" i="71" s="1"/>
  <c r="T346" i="71" l="1"/>
  <c r="R346" i="71"/>
  <c r="AB346" i="71"/>
  <c r="Z346" i="71"/>
  <c r="B348" i="71"/>
  <c r="E348" i="71" s="1"/>
  <c r="N348" i="71"/>
  <c r="A349" i="71"/>
  <c r="C348" i="71"/>
  <c r="D348" i="71" s="1"/>
  <c r="K348" i="71"/>
  <c r="P347" i="71"/>
  <c r="Y347" i="71"/>
  <c r="Q347" i="71" s="1"/>
  <c r="S347" i="71"/>
  <c r="U345" i="71"/>
  <c r="V345" i="71" s="1"/>
  <c r="H347" i="71"/>
  <c r="E153" i="71"/>
  <c r="J153" i="71" s="1"/>
  <c r="M118" i="71"/>
  <c r="L118" i="71" s="1"/>
  <c r="P348" i="71" l="1"/>
  <c r="Y348" i="71"/>
  <c r="Q348" i="71" s="1"/>
  <c r="S348" i="71"/>
  <c r="N349" i="71"/>
  <c r="C349" i="71"/>
  <c r="D349" i="71" s="1"/>
  <c r="K349" i="71"/>
  <c r="A350" i="71"/>
  <c r="B349" i="71"/>
  <c r="E349" i="71" s="1"/>
  <c r="R347" i="71"/>
  <c r="T347" i="71"/>
  <c r="Z347" i="71"/>
  <c r="AB347" i="71"/>
  <c r="U346" i="71"/>
  <c r="V346" i="71" s="1"/>
  <c r="H348" i="71"/>
  <c r="C153" i="71"/>
  <c r="D153" i="71" s="1"/>
  <c r="A351" i="71" l="1"/>
  <c r="K350" i="71"/>
  <c r="C350" i="71"/>
  <c r="D350" i="71" s="1"/>
  <c r="B350" i="71"/>
  <c r="E350" i="71" s="1"/>
  <c r="N350" i="71"/>
  <c r="H349" i="71"/>
  <c r="Y349" i="71"/>
  <c r="Q349" i="71" s="1"/>
  <c r="S349" i="71"/>
  <c r="P349" i="71"/>
  <c r="T348" i="71"/>
  <c r="Z348" i="71"/>
  <c r="R348" i="71"/>
  <c r="AB348" i="71"/>
  <c r="U347" i="71"/>
  <c r="V347" i="71" s="1"/>
  <c r="I153" i="71"/>
  <c r="H153" i="71"/>
  <c r="K153" i="71"/>
  <c r="B154" i="71" s="1"/>
  <c r="AB349" i="71" l="1"/>
  <c r="Z349" i="71"/>
  <c r="T349" i="71"/>
  <c r="R349" i="71"/>
  <c r="Y350" i="71"/>
  <c r="Q350" i="71" s="1"/>
  <c r="P350" i="71"/>
  <c r="S350" i="71"/>
  <c r="H350" i="71"/>
  <c r="U348" i="71"/>
  <c r="V348" i="71" s="1"/>
  <c r="B351" i="71"/>
  <c r="E351" i="71" s="1"/>
  <c r="N351" i="71"/>
  <c r="K351" i="71"/>
  <c r="C351" i="71"/>
  <c r="D351" i="71" s="1"/>
  <c r="A352" i="71"/>
  <c r="E154" i="71"/>
  <c r="J154" i="71" s="1"/>
  <c r="M119" i="71"/>
  <c r="L119" i="71" s="1"/>
  <c r="H351" i="71" l="1"/>
  <c r="N352" i="71"/>
  <c r="A353" i="71"/>
  <c r="B352" i="71"/>
  <c r="E352" i="71" s="1"/>
  <c r="C352" i="71"/>
  <c r="D352" i="71" s="1"/>
  <c r="K352" i="71"/>
  <c r="R350" i="71"/>
  <c r="U350" i="71" s="1"/>
  <c r="AB350" i="71"/>
  <c r="Z350" i="71"/>
  <c r="T350" i="71"/>
  <c r="S351" i="71"/>
  <c r="P351" i="71"/>
  <c r="Y351" i="71"/>
  <c r="Q351" i="71" s="1"/>
  <c r="U349" i="71"/>
  <c r="V349" i="71" s="1"/>
  <c r="C154" i="71"/>
  <c r="D154" i="71" s="1"/>
  <c r="V350" i="71" l="1"/>
  <c r="H352" i="71"/>
  <c r="Z351" i="71"/>
  <c r="R351" i="71"/>
  <c r="AB351" i="71"/>
  <c r="T351" i="71"/>
  <c r="A354" i="71"/>
  <c r="B353" i="71"/>
  <c r="E353" i="71" s="1"/>
  <c r="C353" i="71"/>
  <c r="D353" i="71" s="1"/>
  <c r="K353" i="71"/>
  <c r="N353" i="71"/>
  <c r="S352" i="71"/>
  <c r="P352" i="71"/>
  <c r="Y352" i="71"/>
  <c r="Q352" i="71" s="1"/>
  <c r="H154" i="71"/>
  <c r="I154" i="71"/>
  <c r="K154" i="71"/>
  <c r="B155" i="71" s="1"/>
  <c r="H353" i="71" l="1"/>
  <c r="R352" i="71"/>
  <c r="U352" i="71" s="1"/>
  <c r="T352" i="71"/>
  <c r="Z352" i="71"/>
  <c r="AB352" i="71"/>
  <c r="C354" i="71"/>
  <c r="D354" i="71" s="1"/>
  <c r="A355" i="71"/>
  <c r="N354" i="71"/>
  <c r="K354" i="71"/>
  <c r="B354" i="71"/>
  <c r="E354" i="71" s="1"/>
  <c r="U351" i="71"/>
  <c r="V351" i="71"/>
  <c r="P353" i="71"/>
  <c r="Y353" i="71"/>
  <c r="Q353" i="71" s="1"/>
  <c r="S353" i="71"/>
  <c r="E155" i="71"/>
  <c r="J155" i="71" s="1"/>
  <c r="M120" i="71"/>
  <c r="L120" i="71" s="1"/>
  <c r="H354" i="71" l="1"/>
  <c r="B355" i="71"/>
  <c r="E355" i="71" s="1"/>
  <c r="A356" i="71"/>
  <c r="N355" i="71"/>
  <c r="K355" i="71"/>
  <c r="C355" i="71"/>
  <c r="D355" i="71" s="1"/>
  <c r="Z353" i="71"/>
  <c r="R353" i="71"/>
  <c r="U353" i="71" s="1"/>
  <c r="AB353" i="71"/>
  <c r="T353" i="71"/>
  <c r="P354" i="71"/>
  <c r="Y354" i="71"/>
  <c r="Q354" i="71" s="1"/>
  <c r="S354" i="71"/>
  <c r="V352" i="71"/>
  <c r="C155" i="71"/>
  <c r="D155" i="71" s="1"/>
  <c r="V353" i="71" l="1"/>
  <c r="T354" i="71"/>
  <c r="R354" i="71"/>
  <c r="U354" i="71" s="1"/>
  <c r="Z354" i="71"/>
  <c r="AB354" i="71"/>
  <c r="H355" i="71"/>
  <c r="P355" i="71"/>
  <c r="Y355" i="71"/>
  <c r="Q355" i="71" s="1"/>
  <c r="S355" i="71"/>
  <c r="N356" i="71"/>
  <c r="A357" i="71"/>
  <c r="B356" i="71"/>
  <c r="E356" i="71" s="1"/>
  <c r="K356" i="71"/>
  <c r="C356" i="71"/>
  <c r="D356" i="71" s="1"/>
  <c r="H155" i="71"/>
  <c r="I155" i="71"/>
  <c r="K155" i="71"/>
  <c r="B156" i="71" s="1"/>
  <c r="V354" i="71" l="1"/>
  <c r="AB355" i="71"/>
  <c r="R355" i="71"/>
  <c r="Z355" i="71"/>
  <c r="T355" i="71"/>
  <c r="H356" i="71"/>
  <c r="N357" i="71"/>
  <c r="B357" i="71"/>
  <c r="E357" i="71" s="1"/>
  <c r="C357" i="71"/>
  <c r="D357" i="71" s="1"/>
  <c r="K357" i="71"/>
  <c r="A358" i="71"/>
  <c r="S356" i="71"/>
  <c r="P356" i="71"/>
  <c r="Y356" i="71"/>
  <c r="Q356" i="71" s="1"/>
  <c r="E156" i="71"/>
  <c r="J156" i="71" s="1"/>
  <c r="H357" i="71" l="1"/>
  <c r="AB356" i="71"/>
  <c r="Z356" i="71"/>
  <c r="T356" i="71"/>
  <c r="R356" i="71"/>
  <c r="U356" i="71" s="1"/>
  <c r="K358" i="71"/>
  <c r="C358" i="71"/>
  <c r="D358" i="71" s="1"/>
  <c r="N358" i="71"/>
  <c r="B358" i="71"/>
  <c r="E358" i="71" s="1"/>
  <c r="A359" i="71"/>
  <c r="U355" i="71"/>
  <c r="V355" i="71" s="1"/>
  <c r="S357" i="71"/>
  <c r="P357" i="71"/>
  <c r="Y357" i="71"/>
  <c r="Q357" i="71" s="1"/>
  <c r="C156" i="71"/>
  <c r="D156" i="71" s="1"/>
  <c r="M121" i="71"/>
  <c r="L121" i="71" s="1"/>
  <c r="V356" i="71" l="1"/>
  <c r="H358" i="71"/>
  <c r="T357" i="71"/>
  <c r="R357" i="71"/>
  <c r="U357" i="71" s="1"/>
  <c r="Z357" i="71"/>
  <c r="AB357" i="71"/>
  <c r="P358" i="71"/>
  <c r="S358" i="71"/>
  <c r="Y358" i="71"/>
  <c r="Q358" i="71" s="1"/>
  <c r="A360" i="71"/>
  <c r="N359" i="71"/>
  <c r="C359" i="71"/>
  <c r="D359" i="71" s="1"/>
  <c r="B359" i="71"/>
  <c r="E359" i="71" s="1"/>
  <c r="K359" i="71"/>
  <c r="H156" i="71"/>
  <c r="I156" i="71"/>
  <c r="K156" i="71"/>
  <c r="B157" i="71" s="1"/>
  <c r="H359" i="71" l="1"/>
  <c r="V357" i="71"/>
  <c r="AB358" i="71"/>
  <c r="T358" i="71"/>
  <c r="R358" i="71"/>
  <c r="U358" i="71" s="1"/>
  <c r="Z358" i="71"/>
  <c r="A361" i="71"/>
  <c r="N360" i="71"/>
  <c r="C360" i="71"/>
  <c r="D360" i="71" s="1"/>
  <c r="B360" i="71"/>
  <c r="E360" i="71" s="1"/>
  <c r="K360" i="71"/>
  <c r="Y359" i="71"/>
  <c r="Q359" i="71" s="1"/>
  <c r="P359" i="71"/>
  <c r="S359" i="71"/>
  <c r="E157" i="71"/>
  <c r="J157" i="71" s="1"/>
  <c r="V358" i="71" l="1"/>
  <c r="P360" i="71"/>
  <c r="Y360" i="71"/>
  <c r="Q360" i="71" s="1"/>
  <c r="S360" i="71"/>
  <c r="H360" i="71"/>
  <c r="K361" i="71"/>
  <c r="B361" i="71"/>
  <c r="E361" i="71" s="1"/>
  <c r="C361" i="71"/>
  <c r="D361" i="71" s="1"/>
  <c r="N361" i="71"/>
  <c r="A362" i="71"/>
  <c r="Z359" i="71"/>
  <c r="T359" i="71"/>
  <c r="AB359" i="71"/>
  <c r="R359" i="71"/>
  <c r="C157" i="71"/>
  <c r="D157" i="71" s="1"/>
  <c r="U359" i="71" l="1"/>
  <c r="V359" i="71" s="1"/>
  <c r="H361" i="71"/>
  <c r="P361" i="71"/>
  <c r="S361" i="71"/>
  <c r="Y361" i="71"/>
  <c r="Q361" i="71" s="1"/>
  <c r="N362" i="71"/>
  <c r="C362" i="71"/>
  <c r="D362" i="71" s="1"/>
  <c r="B362" i="71"/>
  <c r="E362" i="71" s="1"/>
  <c r="K362" i="71"/>
  <c r="A363" i="71"/>
  <c r="R360" i="71"/>
  <c r="U360" i="71" s="1"/>
  <c r="Z360" i="71"/>
  <c r="AB360" i="71"/>
  <c r="T360" i="71"/>
  <c r="H157" i="71"/>
  <c r="I157" i="71"/>
  <c r="K157" i="71"/>
  <c r="B158" i="71" s="1"/>
  <c r="M122" i="71"/>
  <c r="L122" i="71" s="1"/>
  <c r="V360" i="71" l="1"/>
  <c r="R361" i="71"/>
  <c r="U361" i="71" s="1"/>
  <c r="AB361" i="71"/>
  <c r="Z361" i="71"/>
  <c r="T361" i="71"/>
  <c r="C363" i="71"/>
  <c r="D363" i="71" s="1"/>
  <c r="A364" i="71"/>
  <c r="K363" i="71"/>
  <c r="B363" i="71"/>
  <c r="E363" i="71" s="1"/>
  <c r="N363" i="71"/>
  <c r="S362" i="71"/>
  <c r="Y362" i="71"/>
  <c r="Q362" i="71" s="1"/>
  <c r="P362" i="71"/>
  <c r="H362" i="71"/>
  <c r="E158" i="71"/>
  <c r="J158" i="71" s="1"/>
  <c r="C158" i="71" l="1"/>
  <c r="D158" i="71" s="1"/>
  <c r="H158" i="71" s="1"/>
  <c r="Z362" i="71"/>
  <c r="AB362" i="71"/>
  <c r="R362" i="71"/>
  <c r="T362" i="71"/>
  <c r="B364" i="71"/>
  <c r="E364" i="71" s="1"/>
  <c r="K364" i="71"/>
  <c r="N364" i="71"/>
  <c r="C364" i="71"/>
  <c r="D364" i="71" s="1"/>
  <c r="A365" i="71"/>
  <c r="H363" i="71"/>
  <c r="Y363" i="71"/>
  <c r="Q363" i="71" s="1"/>
  <c r="P363" i="71"/>
  <c r="S363" i="71"/>
  <c r="V361" i="71"/>
  <c r="K158" i="71" l="1"/>
  <c r="B159" i="71" s="1"/>
  <c r="E159" i="71" s="1"/>
  <c r="J159" i="71" s="1"/>
  <c r="I158" i="71"/>
  <c r="Y364" i="71"/>
  <c r="Q364" i="71" s="1"/>
  <c r="S364" i="71"/>
  <c r="P364" i="71"/>
  <c r="T363" i="71"/>
  <c r="R363" i="71"/>
  <c r="U363" i="71" s="1"/>
  <c r="AB363" i="71"/>
  <c r="Z363" i="71"/>
  <c r="U362" i="71"/>
  <c r="V362" i="71" s="1"/>
  <c r="B365" i="71"/>
  <c r="E365" i="71" s="1"/>
  <c r="C365" i="71"/>
  <c r="D365" i="71" s="1"/>
  <c r="A366" i="71"/>
  <c r="K365" i="71"/>
  <c r="N365" i="71"/>
  <c r="H364" i="71"/>
  <c r="M123" i="71"/>
  <c r="L123" i="71" s="1"/>
  <c r="V363" i="71" l="1"/>
  <c r="C159" i="71"/>
  <c r="D159" i="71" s="1"/>
  <c r="K159" i="71" s="1"/>
  <c r="B160" i="71" s="1"/>
  <c r="B366" i="71"/>
  <c r="E366" i="71" s="1"/>
  <c r="A367" i="71"/>
  <c r="K366" i="71"/>
  <c r="C366" i="71"/>
  <c r="D366" i="71" s="1"/>
  <c r="N366" i="71"/>
  <c r="H365" i="71"/>
  <c r="T364" i="71"/>
  <c r="R364" i="71"/>
  <c r="AB364" i="71"/>
  <c r="Z364" i="71"/>
  <c r="P365" i="71"/>
  <c r="S365" i="71"/>
  <c r="Y365" i="71"/>
  <c r="Q365" i="71" s="1"/>
  <c r="H159" i="71" l="1"/>
  <c r="I159" i="71"/>
  <c r="H366" i="71"/>
  <c r="Y366" i="71"/>
  <c r="Q366" i="71" s="1"/>
  <c r="P366" i="71"/>
  <c r="S366" i="71"/>
  <c r="C367" i="71"/>
  <c r="D367" i="71" s="1"/>
  <c r="K367" i="71"/>
  <c r="A368" i="71"/>
  <c r="B367" i="71"/>
  <c r="E367" i="71" s="1"/>
  <c r="N367" i="71"/>
  <c r="AB365" i="71"/>
  <c r="Z365" i="71"/>
  <c r="T365" i="71"/>
  <c r="R365" i="71"/>
  <c r="U365" i="71" s="1"/>
  <c r="U364" i="71"/>
  <c r="V364" i="71" s="1"/>
  <c r="E160" i="71"/>
  <c r="J160" i="71" s="1"/>
  <c r="M124" i="71"/>
  <c r="L124" i="71" s="1"/>
  <c r="V365" i="71" l="1"/>
  <c r="H367" i="71"/>
  <c r="Z366" i="71"/>
  <c r="AB366" i="71"/>
  <c r="R366" i="71"/>
  <c r="T366" i="71"/>
  <c r="Y367" i="71"/>
  <c r="Q367" i="71" s="1"/>
  <c r="P367" i="71"/>
  <c r="S367" i="71"/>
  <c r="C368" i="71"/>
  <c r="D368" i="71" s="1"/>
  <c r="K368" i="71"/>
  <c r="N368" i="71"/>
  <c r="A369" i="71"/>
  <c r="B368" i="71"/>
  <c r="E368" i="71" s="1"/>
  <c r="C160" i="71"/>
  <c r="D160" i="71" s="1"/>
  <c r="T367" i="71" l="1"/>
  <c r="AB367" i="71"/>
  <c r="R367" i="71"/>
  <c r="U367" i="71" s="1"/>
  <c r="Z367" i="71"/>
  <c r="N369" i="71"/>
  <c r="A370" i="71"/>
  <c r="B369" i="71"/>
  <c r="E369" i="71" s="1"/>
  <c r="C369" i="71"/>
  <c r="D369" i="71" s="1"/>
  <c r="K369" i="71"/>
  <c r="H368" i="71"/>
  <c r="Y368" i="71"/>
  <c r="Q368" i="71" s="1"/>
  <c r="S368" i="71"/>
  <c r="P368" i="71"/>
  <c r="U366" i="71"/>
  <c r="V366" i="71" s="1"/>
  <c r="I160" i="71"/>
  <c r="H160" i="71"/>
  <c r="K160" i="71"/>
  <c r="B161" i="71" s="1"/>
  <c r="H369" i="71" l="1"/>
  <c r="V367" i="71"/>
  <c r="C370" i="71"/>
  <c r="D370" i="71" s="1"/>
  <c r="K370" i="71"/>
  <c r="N370" i="71"/>
  <c r="A371" i="71"/>
  <c r="B370" i="71"/>
  <c r="E370" i="71" s="1"/>
  <c r="S369" i="71"/>
  <c r="P369" i="71"/>
  <c r="Y369" i="71"/>
  <c r="Q369" i="71" s="1"/>
  <c r="T368" i="71"/>
  <c r="AB368" i="71"/>
  <c r="R368" i="71"/>
  <c r="U368" i="71" s="1"/>
  <c r="Z368" i="71"/>
  <c r="E161" i="71"/>
  <c r="J161" i="71" s="1"/>
  <c r="M125" i="71"/>
  <c r="L125" i="71" s="1"/>
  <c r="V368" i="71" l="1"/>
  <c r="C161" i="71"/>
  <c r="D161" i="71" s="1"/>
  <c r="K161" i="71" s="1"/>
  <c r="B162" i="71" s="1"/>
  <c r="E162" i="71" s="1"/>
  <c r="J162" i="71" s="1"/>
  <c r="N371" i="71"/>
  <c r="C371" i="71"/>
  <c r="D371" i="71" s="1"/>
  <c r="A372" i="71"/>
  <c r="K371" i="71"/>
  <c r="B371" i="71"/>
  <c r="E371" i="71" s="1"/>
  <c r="P370" i="71"/>
  <c r="Y370" i="71"/>
  <c r="Q370" i="71" s="1"/>
  <c r="S370" i="71"/>
  <c r="T369" i="71"/>
  <c r="AB369" i="71"/>
  <c r="R369" i="71"/>
  <c r="U369" i="71" s="1"/>
  <c r="Z369" i="71"/>
  <c r="H370" i="71"/>
  <c r="V369" i="71" l="1"/>
  <c r="I161" i="71"/>
  <c r="H161" i="71"/>
  <c r="T370" i="71"/>
  <c r="AB370" i="71"/>
  <c r="R370" i="71"/>
  <c r="Z370" i="71"/>
  <c r="C162" i="71"/>
  <c r="D162" i="71" s="1"/>
  <c r="K162" i="71" s="1"/>
  <c r="B163" i="71" s="1"/>
  <c r="N372" i="71"/>
  <c r="B372" i="71"/>
  <c r="E372" i="71" s="1"/>
  <c r="A373" i="71"/>
  <c r="K372" i="71"/>
  <c r="C372" i="71"/>
  <c r="D372" i="71" s="1"/>
  <c r="H371" i="71"/>
  <c r="S371" i="71"/>
  <c r="P371" i="71"/>
  <c r="Y371" i="71"/>
  <c r="Q371" i="71" s="1"/>
  <c r="R371" i="71" l="1"/>
  <c r="U371" i="71" s="1"/>
  <c r="AB371" i="71"/>
  <c r="T371" i="71"/>
  <c r="Z371" i="71"/>
  <c r="N373" i="71"/>
  <c r="A374" i="71"/>
  <c r="B373" i="71"/>
  <c r="E373" i="71" s="1"/>
  <c r="C373" i="71"/>
  <c r="D373" i="71" s="1"/>
  <c r="K373" i="71"/>
  <c r="I162" i="71"/>
  <c r="H162" i="71"/>
  <c r="H372" i="71"/>
  <c r="U370" i="71"/>
  <c r="V370" i="71" s="1"/>
  <c r="S372" i="71"/>
  <c r="P372" i="71"/>
  <c r="Y372" i="71"/>
  <c r="Q372" i="71" s="1"/>
  <c r="E163" i="71"/>
  <c r="J163" i="71" s="1"/>
  <c r="H373" i="71" l="1"/>
  <c r="V371" i="71"/>
  <c r="Z372" i="71"/>
  <c r="AB372" i="71"/>
  <c r="T372" i="71"/>
  <c r="R372" i="71"/>
  <c r="N374" i="71"/>
  <c r="B374" i="71"/>
  <c r="E374" i="71" s="1"/>
  <c r="A375" i="71"/>
  <c r="C374" i="71"/>
  <c r="D374" i="71" s="1"/>
  <c r="K374" i="71"/>
  <c r="S373" i="71"/>
  <c r="P373" i="71"/>
  <c r="Y373" i="71"/>
  <c r="Q373" i="71" s="1"/>
  <c r="C163" i="71"/>
  <c r="D163" i="71" s="1"/>
  <c r="M126" i="71"/>
  <c r="L126" i="71" s="1"/>
  <c r="H374" i="71" l="1"/>
  <c r="N375" i="71"/>
  <c r="A376" i="71"/>
  <c r="B375" i="71"/>
  <c r="E375" i="71" s="1"/>
  <c r="C375" i="71"/>
  <c r="D375" i="71" s="1"/>
  <c r="K375" i="71"/>
  <c r="U372" i="71"/>
  <c r="V372" i="71" s="1"/>
  <c r="P374" i="71"/>
  <c r="S374" i="71"/>
  <c r="Y374" i="71"/>
  <c r="Q374" i="71" s="1"/>
  <c r="Z373" i="71"/>
  <c r="AB373" i="71"/>
  <c r="T373" i="71"/>
  <c r="R373" i="71"/>
  <c r="H163" i="71"/>
  <c r="I163" i="71"/>
  <c r="K163" i="71"/>
  <c r="B164" i="71" s="1"/>
  <c r="H375" i="71" l="1"/>
  <c r="U373" i="71"/>
  <c r="V373" i="71" s="1"/>
  <c r="AB374" i="71"/>
  <c r="T374" i="71"/>
  <c r="R374" i="71"/>
  <c r="U374" i="71" s="1"/>
  <c r="Z374" i="71"/>
  <c r="N376" i="71"/>
  <c r="A377" i="71"/>
  <c r="B376" i="71"/>
  <c r="E376" i="71" s="1"/>
  <c r="K376" i="71"/>
  <c r="C376" i="71"/>
  <c r="D376" i="71" s="1"/>
  <c r="Y375" i="71"/>
  <c r="Q375" i="71" s="1"/>
  <c r="P375" i="71"/>
  <c r="S375" i="71"/>
  <c r="E164" i="71"/>
  <c r="J164" i="71" s="1"/>
  <c r="M127" i="71"/>
  <c r="L127" i="71" s="1"/>
  <c r="V374" i="71" l="1"/>
  <c r="H376" i="71"/>
  <c r="B377" i="71"/>
  <c r="E377" i="71" s="1"/>
  <c r="A378" i="71"/>
  <c r="N377" i="71"/>
  <c r="C377" i="71"/>
  <c r="D377" i="71" s="1"/>
  <c r="K377" i="71"/>
  <c r="R375" i="71"/>
  <c r="U375" i="71" s="1"/>
  <c r="AB375" i="71"/>
  <c r="T375" i="71"/>
  <c r="Z375" i="71"/>
  <c r="P376" i="71"/>
  <c r="S376" i="71"/>
  <c r="Y376" i="71"/>
  <c r="Q376" i="71" s="1"/>
  <c r="C164" i="71"/>
  <c r="D164" i="71" s="1"/>
  <c r="V375" i="71" l="1"/>
  <c r="R376" i="71"/>
  <c r="AB376" i="71"/>
  <c r="T376" i="71"/>
  <c r="Z376" i="71"/>
  <c r="H377" i="71"/>
  <c r="P377" i="71"/>
  <c r="Y377" i="71"/>
  <c r="Q377" i="71" s="1"/>
  <c r="S377" i="71"/>
  <c r="N378" i="71"/>
  <c r="B378" i="71"/>
  <c r="E378" i="71" s="1"/>
  <c r="C378" i="71"/>
  <c r="D378" i="71" s="1"/>
  <c r="K378" i="71"/>
  <c r="A379" i="71"/>
  <c r="H164" i="71"/>
  <c r="I164" i="71"/>
  <c r="K164" i="71"/>
  <c r="B165" i="71" s="1"/>
  <c r="Z377" i="71" l="1"/>
  <c r="R377" i="71"/>
  <c r="U377" i="71" s="1"/>
  <c r="T377" i="71"/>
  <c r="AB377" i="71"/>
  <c r="K379" i="71"/>
  <c r="B379" i="71"/>
  <c r="E379" i="71" s="1"/>
  <c r="N379" i="71"/>
  <c r="C379" i="71"/>
  <c r="D379" i="71" s="1"/>
  <c r="A380" i="71"/>
  <c r="H378" i="71"/>
  <c r="P378" i="71"/>
  <c r="Y378" i="71"/>
  <c r="Q378" i="71" s="1"/>
  <c r="S378" i="71"/>
  <c r="U376" i="71"/>
  <c r="V376" i="71"/>
  <c r="E165" i="71"/>
  <c r="J165" i="71" s="1"/>
  <c r="H379" i="71" l="1"/>
  <c r="V377" i="71"/>
  <c r="C165" i="71"/>
  <c r="D165" i="71" s="1"/>
  <c r="K165" i="71" s="1"/>
  <c r="B166" i="71" s="1"/>
  <c r="E166" i="71" s="1"/>
  <c r="J166" i="71" s="1"/>
  <c r="P379" i="71"/>
  <c r="S379" i="71"/>
  <c r="Y379" i="71"/>
  <c r="Q379" i="71" s="1"/>
  <c r="Z378" i="71"/>
  <c r="R378" i="71"/>
  <c r="T378" i="71"/>
  <c r="AB378" i="71"/>
  <c r="K380" i="71"/>
  <c r="A381" i="71"/>
  <c r="N380" i="71"/>
  <c r="C380" i="71"/>
  <c r="D380" i="71" s="1"/>
  <c r="B380" i="71"/>
  <c r="E380" i="71" s="1"/>
  <c r="M128" i="71"/>
  <c r="L128" i="71" s="1"/>
  <c r="H165" i="71" l="1"/>
  <c r="I165" i="71"/>
  <c r="C166" i="71"/>
  <c r="D166" i="71" s="1"/>
  <c r="K166" i="71" s="1"/>
  <c r="B167" i="71" s="1"/>
  <c r="E167" i="71" s="1"/>
  <c r="J167" i="71" s="1"/>
  <c r="U378" i="71"/>
  <c r="V378" i="71" s="1"/>
  <c r="H380" i="71"/>
  <c r="AB379" i="71"/>
  <c r="R379" i="71"/>
  <c r="Z379" i="71"/>
  <c r="T379" i="71"/>
  <c r="S380" i="71"/>
  <c r="P380" i="71"/>
  <c r="Y380" i="71"/>
  <c r="Q380" i="71" s="1"/>
  <c r="A382" i="71"/>
  <c r="B381" i="71"/>
  <c r="E381" i="71" s="1"/>
  <c r="C381" i="71"/>
  <c r="D381" i="71" s="1"/>
  <c r="K381" i="71"/>
  <c r="N381" i="71"/>
  <c r="H381" i="71" l="1"/>
  <c r="I166" i="71"/>
  <c r="H166" i="71"/>
  <c r="R380" i="71"/>
  <c r="T380" i="71"/>
  <c r="AB380" i="71"/>
  <c r="Z380" i="71"/>
  <c r="S381" i="71"/>
  <c r="Y381" i="71"/>
  <c r="Q381" i="71" s="1"/>
  <c r="P381" i="71"/>
  <c r="U379" i="71"/>
  <c r="V379" i="71" s="1"/>
  <c r="K382" i="71"/>
  <c r="N382" i="71"/>
  <c r="B382" i="71"/>
  <c r="E382" i="71" s="1"/>
  <c r="A383" i="71"/>
  <c r="C382" i="71"/>
  <c r="D382" i="71" s="1"/>
  <c r="C167" i="71"/>
  <c r="D167" i="71" s="1"/>
  <c r="H382" i="71" l="1"/>
  <c r="Z381" i="71"/>
  <c r="R381" i="71"/>
  <c r="AB381" i="71"/>
  <c r="T381" i="71"/>
  <c r="Y382" i="71"/>
  <c r="Q382" i="71" s="1"/>
  <c r="S382" i="71"/>
  <c r="P382" i="71"/>
  <c r="C383" i="71"/>
  <c r="D383" i="71" s="1"/>
  <c r="N383" i="71"/>
  <c r="A384" i="71"/>
  <c r="K383" i="71"/>
  <c r="B383" i="71"/>
  <c r="E383" i="71" s="1"/>
  <c r="U380" i="71"/>
  <c r="V380" i="71" s="1"/>
  <c r="I167" i="71"/>
  <c r="H167" i="71"/>
  <c r="K167" i="71"/>
  <c r="B168" i="71" s="1"/>
  <c r="H383" i="71" l="1"/>
  <c r="Z382" i="71"/>
  <c r="T382" i="71"/>
  <c r="R382" i="71"/>
  <c r="AB382" i="71"/>
  <c r="K384" i="71"/>
  <c r="N384" i="71"/>
  <c r="A385" i="71"/>
  <c r="B384" i="71"/>
  <c r="E384" i="71" s="1"/>
  <c r="C384" i="71"/>
  <c r="D384" i="71" s="1"/>
  <c r="U381" i="71"/>
  <c r="V381" i="71" s="1"/>
  <c r="S383" i="71"/>
  <c r="P383" i="71"/>
  <c r="Y383" i="71"/>
  <c r="Q383" i="71" s="1"/>
  <c r="E168" i="71"/>
  <c r="J168" i="71" s="1"/>
  <c r="M129" i="71"/>
  <c r="L129" i="71" s="1"/>
  <c r="C168" i="71" l="1"/>
  <c r="D168" i="71" s="1"/>
  <c r="K168" i="71" s="1"/>
  <c r="B169" i="71" s="1"/>
  <c r="E169" i="71" s="1"/>
  <c r="J169" i="71" s="1"/>
  <c r="T383" i="71"/>
  <c r="Z383" i="71"/>
  <c r="R383" i="71"/>
  <c r="AB383" i="71"/>
  <c r="N385" i="71"/>
  <c r="C385" i="71"/>
  <c r="D385" i="71" s="1"/>
  <c r="A386" i="71"/>
  <c r="B385" i="71"/>
  <c r="E385" i="71" s="1"/>
  <c r="K385" i="71"/>
  <c r="U382" i="71"/>
  <c r="V382" i="71" s="1"/>
  <c r="H384" i="71"/>
  <c r="Y384" i="71"/>
  <c r="Q384" i="71" s="1"/>
  <c r="P384" i="71"/>
  <c r="S384" i="71"/>
  <c r="I168" i="71" l="1"/>
  <c r="H168" i="71"/>
  <c r="Z384" i="71"/>
  <c r="T384" i="71"/>
  <c r="R384" i="71"/>
  <c r="U384" i="71" s="1"/>
  <c r="AB384" i="71"/>
  <c r="H385" i="71"/>
  <c r="B386" i="71"/>
  <c r="E386" i="71" s="1"/>
  <c r="N386" i="71"/>
  <c r="K386" i="71"/>
  <c r="A387" i="71"/>
  <c r="C386" i="71"/>
  <c r="D386" i="71" s="1"/>
  <c r="P385" i="71"/>
  <c r="Y385" i="71"/>
  <c r="Q385" i="71" s="1"/>
  <c r="S385" i="71"/>
  <c r="U383" i="71"/>
  <c r="V383" i="71" s="1"/>
  <c r="C169" i="71"/>
  <c r="D169" i="71" s="1"/>
  <c r="V384" i="71" l="1"/>
  <c r="P386" i="71"/>
  <c r="S386" i="71"/>
  <c r="Y386" i="71"/>
  <c r="Q386" i="71" s="1"/>
  <c r="Z385" i="71"/>
  <c r="R385" i="71"/>
  <c r="U385" i="71" s="1"/>
  <c r="AB385" i="71"/>
  <c r="T385" i="71"/>
  <c r="H386" i="71"/>
  <c r="A388" i="71"/>
  <c r="K387" i="71"/>
  <c r="N387" i="71"/>
  <c r="C387" i="71"/>
  <c r="D387" i="71" s="1"/>
  <c r="B387" i="71"/>
  <c r="E387" i="71" s="1"/>
  <c r="I169" i="71"/>
  <c r="H169" i="71"/>
  <c r="K169" i="71"/>
  <c r="B170" i="71" s="1"/>
  <c r="V385" i="71" l="1"/>
  <c r="H387" i="71"/>
  <c r="S387" i="71"/>
  <c r="Y387" i="71"/>
  <c r="Q387" i="71" s="1"/>
  <c r="P387" i="71"/>
  <c r="T386" i="71"/>
  <c r="AB386" i="71"/>
  <c r="Z386" i="71"/>
  <c r="R386" i="71"/>
  <c r="K388" i="71"/>
  <c r="C388" i="71"/>
  <c r="D388" i="71" s="1"/>
  <c r="N388" i="71"/>
  <c r="A389" i="71"/>
  <c r="B388" i="71"/>
  <c r="E388" i="71" s="1"/>
  <c r="E170" i="71"/>
  <c r="J170" i="71" s="1"/>
  <c r="M130" i="71"/>
  <c r="L130" i="71" s="1"/>
  <c r="A390" i="71" l="1"/>
  <c r="B389" i="71"/>
  <c r="E389" i="71" s="1"/>
  <c r="K389" i="71"/>
  <c r="N389" i="71"/>
  <c r="C389" i="71"/>
  <c r="D389" i="71" s="1"/>
  <c r="P388" i="71"/>
  <c r="Y388" i="71"/>
  <c r="Q388" i="71" s="1"/>
  <c r="S388" i="71"/>
  <c r="R387" i="71"/>
  <c r="U387" i="71" s="1"/>
  <c r="AB387" i="71"/>
  <c r="Z387" i="71"/>
  <c r="T387" i="71"/>
  <c r="U386" i="71"/>
  <c r="V386" i="71" s="1"/>
  <c r="C170" i="71"/>
  <c r="D170" i="71" s="1"/>
  <c r="K170" i="71" s="1"/>
  <c r="B171" i="71" s="1"/>
  <c r="E171" i="71" s="1"/>
  <c r="J171" i="71" s="1"/>
  <c r="H388" i="71"/>
  <c r="H389" i="71" l="1"/>
  <c r="H170" i="71"/>
  <c r="AB388" i="71"/>
  <c r="R388" i="71"/>
  <c r="Z388" i="71"/>
  <c r="T388" i="71"/>
  <c r="S389" i="71"/>
  <c r="Y389" i="71"/>
  <c r="Q389" i="71" s="1"/>
  <c r="P389" i="71"/>
  <c r="I170" i="71"/>
  <c r="C171" i="71"/>
  <c r="D171" i="71" s="1"/>
  <c r="I171" i="71" s="1"/>
  <c r="V387" i="71"/>
  <c r="K390" i="71"/>
  <c r="C390" i="71"/>
  <c r="D390" i="71" s="1"/>
  <c r="N390" i="71"/>
  <c r="B390" i="71"/>
  <c r="E390" i="71" s="1"/>
  <c r="A391" i="71"/>
  <c r="M131" i="71"/>
  <c r="L131" i="71" s="1"/>
  <c r="K171" i="71" l="1"/>
  <c r="B172" i="71" s="1"/>
  <c r="E172" i="71" s="1"/>
  <c r="J172" i="71" s="1"/>
  <c r="H171" i="71"/>
  <c r="R389" i="71"/>
  <c r="U389" i="71" s="1"/>
  <c r="AB389" i="71"/>
  <c r="Z389" i="71"/>
  <c r="T389" i="71"/>
  <c r="H390" i="71"/>
  <c r="S390" i="71"/>
  <c r="P390" i="71"/>
  <c r="Y390" i="71"/>
  <c r="Q390" i="71" s="1"/>
  <c r="U388" i="71"/>
  <c r="V388" i="71" s="1"/>
  <c r="N391" i="71"/>
  <c r="A392" i="71"/>
  <c r="K391" i="71"/>
  <c r="C391" i="71"/>
  <c r="D391" i="71" s="1"/>
  <c r="B391" i="71"/>
  <c r="E391" i="71" s="1"/>
  <c r="T390" i="71" l="1"/>
  <c r="AB390" i="71"/>
  <c r="R390" i="71"/>
  <c r="Z390" i="71"/>
  <c r="H391" i="71"/>
  <c r="C392" i="71"/>
  <c r="D392" i="71" s="1"/>
  <c r="N392" i="71"/>
  <c r="A393" i="71"/>
  <c r="B392" i="71"/>
  <c r="E392" i="71" s="1"/>
  <c r="K392" i="71"/>
  <c r="S391" i="71"/>
  <c r="P391" i="71"/>
  <c r="Y391" i="71"/>
  <c r="Q391" i="71" s="1"/>
  <c r="C172" i="71"/>
  <c r="D172" i="71" s="1"/>
  <c r="K172" i="71" s="1"/>
  <c r="B173" i="71" s="1"/>
  <c r="E173" i="71" s="1"/>
  <c r="J173" i="71" s="1"/>
  <c r="V389" i="71"/>
  <c r="H392" i="71" l="1"/>
  <c r="R391" i="71"/>
  <c r="AB391" i="71"/>
  <c r="Z391" i="71"/>
  <c r="T391" i="71"/>
  <c r="Y392" i="71"/>
  <c r="Q392" i="71" s="1"/>
  <c r="S392" i="71"/>
  <c r="P392" i="71"/>
  <c r="U390" i="71"/>
  <c r="V390" i="71" s="1"/>
  <c r="N393" i="71"/>
  <c r="K393" i="71"/>
  <c r="C393" i="71"/>
  <c r="D393" i="71" s="1"/>
  <c r="B393" i="71"/>
  <c r="E393" i="71" s="1"/>
  <c r="A394" i="71"/>
  <c r="I172" i="71"/>
  <c r="H172" i="71"/>
  <c r="C173" i="71"/>
  <c r="D173" i="71" s="1"/>
  <c r="Z392" i="71" l="1"/>
  <c r="R392" i="71"/>
  <c r="AB392" i="71"/>
  <c r="T392" i="71"/>
  <c r="H393" i="71"/>
  <c r="N394" i="71"/>
  <c r="K394" i="71"/>
  <c r="B394" i="71"/>
  <c r="E394" i="71" s="1"/>
  <c r="A395" i="71"/>
  <c r="C394" i="71"/>
  <c r="D394" i="71" s="1"/>
  <c r="S393" i="71"/>
  <c r="Y393" i="71"/>
  <c r="Q393" i="71" s="1"/>
  <c r="P393" i="71"/>
  <c r="U391" i="71"/>
  <c r="V391" i="71" s="1"/>
  <c r="H173" i="71"/>
  <c r="I173" i="71"/>
  <c r="K173" i="71"/>
  <c r="B174" i="71" s="1"/>
  <c r="M132" i="71"/>
  <c r="L132" i="71" s="1"/>
  <c r="S394" i="71" l="1"/>
  <c r="P394" i="71"/>
  <c r="Y394" i="71"/>
  <c r="Q394" i="71" s="1"/>
  <c r="AB393" i="71"/>
  <c r="T393" i="71"/>
  <c r="Z393" i="71"/>
  <c r="R393" i="71"/>
  <c r="H394" i="71"/>
  <c r="N395" i="71"/>
  <c r="A396" i="71"/>
  <c r="C395" i="71"/>
  <c r="D395" i="71" s="1"/>
  <c r="K395" i="71"/>
  <c r="B395" i="71"/>
  <c r="E395" i="71" s="1"/>
  <c r="U392" i="71"/>
  <c r="V392" i="71" s="1"/>
  <c r="E174" i="71"/>
  <c r="J174" i="71" s="1"/>
  <c r="Z394" i="71" l="1"/>
  <c r="R394" i="71"/>
  <c r="AB394" i="71"/>
  <c r="T394" i="71"/>
  <c r="U393" i="71"/>
  <c r="V393" i="71" s="1"/>
  <c r="H395" i="71"/>
  <c r="K396" i="71"/>
  <c r="B396" i="71"/>
  <c r="E396" i="71" s="1"/>
  <c r="C396" i="71"/>
  <c r="D396" i="71" s="1"/>
  <c r="N396" i="71"/>
  <c r="A397" i="71"/>
  <c r="P395" i="71"/>
  <c r="S395" i="71"/>
  <c r="Y395" i="71"/>
  <c r="Q395" i="71" s="1"/>
  <c r="C174" i="71"/>
  <c r="D174" i="71" s="1"/>
  <c r="H396" i="71" l="1"/>
  <c r="AB395" i="71"/>
  <c r="R395" i="71"/>
  <c r="Z395" i="71"/>
  <c r="T395" i="71"/>
  <c r="N397" i="71"/>
  <c r="B397" i="71"/>
  <c r="E397" i="71" s="1"/>
  <c r="K397" i="71"/>
  <c r="C397" i="71"/>
  <c r="D397" i="71" s="1"/>
  <c r="A398" i="71"/>
  <c r="U394" i="71"/>
  <c r="V394" i="71" s="1"/>
  <c r="Y396" i="71"/>
  <c r="Q396" i="71" s="1"/>
  <c r="S396" i="71"/>
  <c r="P396" i="71"/>
  <c r="H174" i="71"/>
  <c r="I174" i="71"/>
  <c r="K174" i="71"/>
  <c r="B175" i="71" s="1"/>
  <c r="H397" i="71" l="1"/>
  <c r="P397" i="71"/>
  <c r="S397" i="71"/>
  <c r="Y397" i="71"/>
  <c r="Q397" i="71" s="1"/>
  <c r="T396" i="71"/>
  <c r="R396" i="71"/>
  <c r="AB396" i="71"/>
  <c r="Z396" i="71"/>
  <c r="U395" i="71"/>
  <c r="V395" i="71" s="1"/>
  <c r="N398" i="71"/>
  <c r="B398" i="71"/>
  <c r="E398" i="71" s="1"/>
  <c r="A399" i="71"/>
  <c r="K398" i="71"/>
  <c r="C398" i="71"/>
  <c r="D398" i="71" s="1"/>
  <c r="E175" i="71"/>
  <c r="J175" i="71" s="1"/>
  <c r="M133" i="71"/>
  <c r="L133" i="71" s="1"/>
  <c r="H398" i="71" l="1"/>
  <c r="C175" i="71"/>
  <c r="D175" i="71" s="1"/>
  <c r="H175" i="71" s="1"/>
  <c r="U396" i="71"/>
  <c r="V396" i="71" s="1"/>
  <c r="K399" i="71"/>
  <c r="C399" i="71"/>
  <c r="D399" i="71" s="1"/>
  <c r="B399" i="71"/>
  <c r="E399" i="71" s="1"/>
  <c r="A400" i="71"/>
  <c r="N399" i="71"/>
  <c r="T397" i="71"/>
  <c r="R397" i="71"/>
  <c r="U397" i="71" s="1"/>
  <c r="AB397" i="71"/>
  <c r="Z397" i="71"/>
  <c r="S398" i="71"/>
  <c r="Y398" i="71"/>
  <c r="Q398" i="71" s="1"/>
  <c r="P398" i="71"/>
  <c r="I175" i="71" l="1"/>
  <c r="K175" i="71"/>
  <c r="B176" i="71" s="1"/>
  <c r="E176" i="71" s="1"/>
  <c r="J176" i="71" s="1"/>
  <c r="V397" i="71"/>
  <c r="R398" i="71"/>
  <c r="AB398" i="71"/>
  <c r="T398" i="71"/>
  <c r="Z398" i="71"/>
  <c r="P399" i="71"/>
  <c r="Y399" i="71"/>
  <c r="Q399" i="71" s="1"/>
  <c r="S399" i="71"/>
  <c r="N400" i="71"/>
  <c r="B400" i="71"/>
  <c r="E400" i="71" s="1"/>
  <c r="K400" i="71"/>
  <c r="A401" i="71"/>
  <c r="C400" i="71"/>
  <c r="D400" i="71" s="1"/>
  <c r="H399" i="71"/>
  <c r="H400" i="71" l="1"/>
  <c r="R399" i="71"/>
  <c r="AB399" i="71"/>
  <c r="Z399" i="71"/>
  <c r="T399" i="71"/>
  <c r="B401" i="71"/>
  <c r="E401" i="71" s="1"/>
  <c r="C401" i="71"/>
  <c r="D401" i="71" s="1"/>
  <c r="A402" i="71"/>
  <c r="N401" i="71"/>
  <c r="K401" i="71"/>
  <c r="S400" i="71"/>
  <c r="P400" i="71"/>
  <c r="Y400" i="71"/>
  <c r="Q400" i="71" s="1"/>
  <c r="U398" i="71"/>
  <c r="V398" i="71" s="1"/>
  <c r="C176" i="71"/>
  <c r="D176" i="71" s="1"/>
  <c r="M134" i="71"/>
  <c r="L134" i="71" s="1"/>
  <c r="H401" i="71" l="1"/>
  <c r="AB400" i="71"/>
  <c r="T400" i="71"/>
  <c r="R400" i="71"/>
  <c r="Z400" i="71"/>
  <c r="B402" i="71"/>
  <c r="E402" i="71" s="1"/>
  <c r="N402" i="71"/>
  <c r="K402" i="71"/>
  <c r="A403" i="71"/>
  <c r="C402" i="71"/>
  <c r="D402" i="71" s="1"/>
  <c r="S401" i="71"/>
  <c r="Y401" i="71"/>
  <c r="Q401" i="71" s="1"/>
  <c r="P401" i="71"/>
  <c r="U399" i="71"/>
  <c r="V399" i="71" s="1"/>
  <c r="I176" i="71"/>
  <c r="H176" i="71"/>
  <c r="K176" i="71"/>
  <c r="B177" i="71" s="1"/>
  <c r="T401" i="71" l="1"/>
  <c r="Z401" i="71"/>
  <c r="R401" i="71"/>
  <c r="AB401" i="71"/>
  <c r="Y402" i="71"/>
  <c r="Q402" i="71" s="1"/>
  <c r="S402" i="71"/>
  <c r="P402" i="71"/>
  <c r="U400" i="71"/>
  <c r="V400" i="71" s="1"/>
  <c r="H402" i="71"/>
  <c r="N403" i="71"/>
  <c r="A404" i="71"/>
  <c r="C403" i="71"/>
  <c r="D403" i="71" s="1"/>
  <c r="B403" i="71"/>
  <c r="E403" i="71" s="1"/>
  <c r="K403" i="71"/>
  <c r="E177" i="71"/>
  <c r="J177" i="71" s="1"/>
  <c r="C177" i="71" l="1"/>
  <c r="D177" i="71" s="1"/>
  <c r="K177" i="71" s="1"/>
  <c r="B178" i="71" s="1"/>
  <c r="E178" i="71" s="1"/>
  <c r="J178" i="71" s="1"/>
  <c r="H403" i="71"/>
  <c r="A405" i="71"/>
  <c r="N404" i="71"/>
  <c r="B404" i="71"/>
  <c r="E404" i="71" s="1"/>
  <c r="C404" i="71"/>
  <c r="D404" i="71" s="1"/>
  <c r="K404" i="71"/>
  <c r="S403" i="71"/>
  <c r="Y403" i="71"/>
  <c r="Q403" i="71" s="1"/>
  <c r="P403" i="71"/>
  <c r="U401" i="71"/>
  <c r="V401" i="71" s="1"/>
  <c r="Z402" i="71"/>
  <c r="AB402" i="71"/>
  <c r="R402" i="71"/>
  <c r="T402" i="71"/>
  <c r="I177" i="71" l="1"/>
  <c r="H177" i="71"/>
  <c r="H404" i="71"/>
  <c r="C178" i="71"/>
  <c r="D178" i="71" s="1"/>
  <c r="U402" i="71"/>
  <c r="V402" i="71" s="1"/>
  <c r="P404" i="71"/>
  <c r="Y404" i="71"/>
  <c r="Q404" i="71" s="1"/>
  <c r="S404" i="71"/>
  <c r="B405" i="71"/>
  <c r="E405" i="71" s="1"/>
  <c r="C405" i="71"/>
  <c r="D405" i="71" s="1"/>
  <c r="K405" i="71"/>
  <c r="A406" i="71"/>
  <c r="N405" i="71"/>
  <c r="Z403" i="71"/>
  <c r="AB403" i="71"/>
  <c r="R403" i="71"/>
  <c r="U403" i="71" s="1"/>
  <c r="T403" i="71"/>
  <c r="M135" i="71"/>
  <c r="L135" i="71" s="1"/>
  <c r="I178" i="71" l="1"/>
  <c r="H178" i="71"/>
  <c r="K178" i="71"/>
  <c r="B179" i="71" s="1"/>
  <c r="E179" i="71" s="1"/>
  <c r="J179" i="71" s="1"/>
  <c r="AB404" i="71"/>
  <c r="R404" i="71"/>
  <c r="Z404" i="71"/>
  <c r="T404" i="71"/>
  <c r="H405" i="71"/>
  <c r="A407" i="71"/>
  <c r="K406" i="71"/>
  <c r="C406" i="71"/>
  <c r="D406" i="71" s="1"/>
  <c r="N406" i="71"/>
  <c r="B406" i="71"/>
  <c r="E406" i="71" s="1"/>
  <c r="Y405" i="71"/>
  <c r="Q405" i="71" s="1"/>
  <c r="P405" i="71"/>
  <c r="S405" i="71"/>
  <c r="V403" i="71"/>
  <c r="N407" i="71" l="1"/>
  <c r="C407" i="71"/>
  <c r="D407" i="71" s="1"/>
  <c r="K407" i="71"/>
  <c r="A408" i="71"/>
  <c r="B407" i="71"/>
  <c r="E407" i="71" s="1"/>
  <c r="T405" i="71"/>
  <c r="AB405" i="71"/>
  <c r="Z405" i="71"/>
  <c r="R405" i="71"/>
  <c r="U405" i="71" s="1"/>
  <c r="S406" i="71"/>
  <c r="P406" i="71"/>
  <c r="Y406" i="71"/>
  <c r="Q406" i="71" s="1"/>
  <c r="U404" i="71"/>
  <c r="V404" i="71" s="1"/>
  <c r="H406" i="71"/>
  <c r="C179" i="71"/>
  <c r="D179" i="71" s="1"/>
  <c r="Z406" i="71" l="1"/>
  <c r="T406" i="71"/>
  <c r="AB406" i="71"/>
  <c r="R406" i="71"/>
  <c r="B408" i="71"/>
  <c r="E408" i="71" s="1"/>
  <c r="A409" i="71"/>
  <c r="K408" i="71"/>
  <c r="N408" i="71"/>
  <c r="C408" i="71"/>
  <c r="D408" i="71" s="1"/>
  <c r="H407" i="71"/>
  <c r="V405" i="71"/>
  <c r="S407" i="71"/>
  <c r="Y407" i="71"/>
  <c r="Q407" i="71" s="1"/>
  <c r="P407" i="71"/>
  <c r="H179" i="71"/>
  <c r="I179" i="71"/>
  <c r="K179" i="71"/>
  <c r="B180" i="71" s="1"/>
  <c r="T407" i="71" l="1"/>
  <c r="AB407" i="71"/>
  <c r="R407" i="71"/>
  <c r="Z407" i="71"/>
  <c r="P408" i="71"/>
  <c r="Y408" i="71"/>
  <c r="Q408" i="71" s="1"/>
  <c r="S408" i="71"/>
  <c r="B409" i="71"/>
  <c r="E409" i="71" s="1"/>
  <c r="A410" i="71"/>
  <c r="N409" i="71"/>
  <c r="C409" i="71"/>
  <c r="D409" i="71" s="1"/>
  <c r="K409" i="71"/>
  <c r="U406" i="71"/>
  <c r="V406" i="71" s="1"/>
  <c r="H408" i="71"/>
  <c r="E180" i="71"/>
  <c r="J180" i="71" s="1"/>
  <c r="M136" i="71"/>
  <c r="L136" i="71" s="1"/>
  <c r="H409" i="71" l="1"/>
  <c r="P409" i="71"/>
  <c r="S409" i="71"/>
  <c r="Y409" i="71"/>
  <c r="Q409" i="71" s="1"/>
  <c r="U407" i="71"/>
  <c r="V407" i="71" s="1"/>
  <c r="R408" i="71"/>
  <c r="U408" i="71" s="1"/>
  <c r="Z408" i="71"/>
  <c r="AB408" i="71"/>
  <c r="T408" i="71"/>
  <c r="B410" i="71"/>
  <c r="E410" i="71" s="1"/>
  <c r="K410" i="71"/>
  <c r="A411" i="71"/>
  <c r="N410" i="71"/>
  <c r="C410" i="71"/>
  <c r="D410" i="71" s="1"/>
  <c r="C180" i="71"/>
  <c r="D180" i="71" s="1"/>
  <c r="I180" i="71" s="1"/>
  <c r="V408" i="71" l="1"/>
  <c r="H180" i="71"/>
  <c r="K180" i="71"/>
  <c r="B181" i="71" s="1"/>
  <c r="E181" i="71" s="1"/>
  <c r="J181" i="71" s="1"/>
  <c r="AB409" i="71"/>
  <c r="T409" i="71"/>
  <c r="R409" i="71"/>
  <c r="Z409" i="71"/>
  <c r="N411" i="71"/>
  <c r="B411" i="71"/>
  <c r="E411" i="71" s="1"/>
  <c r="K411" i="71"/>
  <c r="A412" i="71"/>
  <c r="C411" i="71"/>
  <c r="D411" i="71" s="1"/>
  <c r="S410" i="71"/>
  <c r="P410" i="71"/>
  <c r="Y410" i="71"/>
  <c r="Q410" i="71" s="1"/>
  <c r="H410" i="71"/>
  <c r="K412" i="71" l="1"/>
  <c r="A413" i="71"/>
  <c r="C412" i="71"/>
  <c r="D412" i="71" s="1"/>
  <c r="N412" i="71"/>
  <c r="B412" i="71"/>
  <c r="E412" i="71" s="1"/>
  <c r="P411" i="71"/>
  <c r="Y411" i="71"/>
  <c r="Q411" i="71" s="1"/>
  <c r="S411" i="71"/>
  <c r="U409" i="71"/>
  <c r="V409" i="71" s="1"/>
  <c r="Z410" i="71"/>
  <c r="T410" i="71"/>
  <c r="AB410" i="71"/>
  <c r="R410" i="71"/>
  <c r="H411" i="71"/>
  <c r="C181" i="71"/>
  <c r="D181" i="71" s="1"/>
  <c r="Z411" i="71" l="1"/>
  <c r="AB411" i="71"/>
  <c r="R411" i="71"/>
  <c r="U411" i="71" s="1"/>
  <c r="T411" i="71"/>
  <c r="B413" i="71"/>
  <c r="E413" i="71" s="1"/>
  <c r="C413" i="71"/>
  <c r="D413" i="71" s="1"/>
  <c r="K413" i="71"/>
  <c r="A414" i="71"/>
  <c r="N413" i="71"/>
  <c r="U410" i="71"/>
  <c r="V410" i="71" s="1"/>
  <c r="S412" i="71"/>
  <c r="Y412" i="71"/>
  <c r="Q412" i="71" s="1"/>
  <c r="P412" i="71"/>
  <c r="H412" i="71"/>
  <c r="I181" i="71"/>
  <c r="H181" i="71"/>
  <c r="K181" i="71"/>
  <c r="B182" i="71" s="1"/>
  <c r="M137" i="71"/>
  <c r="L137" i="71" s="1"/>
  <c r="R412" i="71" l="1"/>
  <c r="T412" i="71"/>
  <c r="AB412" i="71"/>
  <c r="Z412" i="71"/>
  <c r="K414" i="71"/>
  <c r="N414" i="71"/>
  <c r="C414" i="71"/>
  <c r="D414" i="71" s="1"/>
  <c r="A415" i="71"/>
  <c r="B414" i="71"/>
  <c r="E414" i="71" s="1"/>
  <c r="H413" i="71"/>
  <c r="V411" i="71"/>
  <c r="S413" i="71"/>
  <c r="Y413" i="71"/>
  <c r="Q413" i="71" s="1"/>
  <c r="P413" i="71"/>
  <c r="E182" i="71"/>
  <c r="J182" i="71" s="1"/>
  <c r="H414" i="71" l="1"/>
  <c r="S414" i="71"/>
  <c r="Y414" i="71"/>
  <c r="Q414" i="71" s="1"/>
  <c r="P414" i="71"/>
  <c r="AB413" i="71"/>
  <c r="R413" i="71"/>
  <c r="Z413" i="71"/>
  <c r="T413" i="71"/>
  <c r="C415" i="71"/>
  <c r="D415" i="71" s="1"/>
  <c r="K415" i="71"/>
  <c r="B415" i="71"/>
  <c r="E415" i="71" s="1"/>
  <c r="N415" i="71"/>
  <c r="A416" i="71"/>
  <c r="U412" i="71"/>
  <c r="V412" i="71" s="1"/>
  <c r="C182" i="71"/>
  <c r="D182" i="71" s="1"/>
  <c r="U413" i="71" l="1"/>
  <c r="V413" i="71" s="1"/>
  <c r="B416" i="71"/>
  <c r="E416" i="71" s="1"/>
  <c r="C416" i="71"/>
  <c r="D416" i="71" s="1"/>
  <c r="A417" i="71"/>
  <c r="N416" i="71"/>
  <c r="K416" i="71"/>
  <c r="S415" i="71"/>
  <c r="Y415" i="71"/>
  <c r="Q415" i="71" s="1"/>
  <c r="P415" i="71"/>
  <c r="R414" i="71"/>
  <c r="T414" i="71"/>
  <c r="AB414" i="71"/>
  <c r="Z414" i="71"/>
  <c r="H415" i="71"/>
  <c r="H182" i="71"/>
  <c r="I182" i="71"/>
  <c r="K182" i="71"/>
  <c r="B183" i="71" s="1"/>
  <c r="S416" i="71" l="1"/>
  <c r="P416" i="71"/>
  <c r="Y416" i="71"/>
  <c r="Q416" i="71" s="1"/>
  <c r="U414" i="71"/>
  <c r="V414" i="71" s="1"/>
  <c r="H416" i="71"/>
  <c r="N417" i="71"/>
  <c r="K417" i="71"/>
  <c r="C417" i="71"/>
  <c r="D417" i="71" s="1"/>
  <c r="B417" i="71"/>
  <c r="E417" i="71" s="1"/>
  <c r="A418" i="71"/>
  <c r="AB415" i="71"/>
  <c r="T415" i="71"/>
  <c r="R415" i="71"/>
  <c r="Z415" i="71"/>
  <c r="E183" i="71"/>
  <c r="J183" i="71" s="1"/>
  <c r="M138" i="71"/>
  <c r="L138" i="71" s="1"/>
  <c r="H417" i="71" l="1"/>
  <c r="S417" i="71"/>
  <c r="P417" i="71"/>
  <c r="Y417" i="71"/>
  <c r="Q417" i="71" s="1"/>
  <c r="U415" i="71"/>
  <c r="V415" i="71" s="1"/>
  <c r="N418" i="71"/>
  <c r="C418" i="71"/>
  <c r="D418" i="71" s="1"/>
  <c r="H418" i="71" s="1"/>
  <c r="K418" i="71"/>
  <c r="B418" i="71"/>
  <c r="E418" i="71" s="1"/>
  <c r="A419" i="71"/>
  <c r="AB416" i="71"/>
  <c r="T416" i="71"/>
  <c r="R416" i="71"/>
  <c r="Z416" i="71"/>
  <c r="C183" i="71"/>
  <c r="D183" i="71" s="1"/>
  <c r="AB417" i="71" l="1"/>
  <c r="Z417" i="71"/>
  <c r="T417" i="71"/>
  <c r="R417" i="71"/>
  <c r="P418" i="71"/>
  <c r="Y418" i="71"/>
  <c r="Q418" i="71" s="1"/>
  <c r="S418" i="71"/>
  <c r="U416" i="71"/>
  <c r="V416" i="71" s="1"/>
  <c r="K419" i="71"/>
  <c r="A420" i="71"/>
  <c r="B419" i="71"/>
  <c r="E419" i="71" s="1"/>
  <c r="N419" i="71"/>
  <c r="C419" i="71"/>
  <c r="D419" i="71" s="1"/>
  <c r="I183" i="71"/>
  <c r="H183" i="71"/>
  <c r="K183" i="71"/>
  <c r="B184" i="71" s="1"/>
  <c r="H419" i="71" l="1"/>
  <c r="U417" i="71"/>
  <c r="V417" i="71" s="1"/>
  <c r="Z418" i="71"/>
  <c r="AB418" i="71"/>
  <c r="R418" i="71"/>
  <c r="U418" i="71" s="1"/>
  <c r="T418" i="71"/>
  <c r="N420" i="71"/>
  <c r="C420" i="71"/>
  <c r="D420" i="71" s="1"/>
  <c r="B420" i="71"/>
  <c r="E420" i="71" s="1"/>
  <c r="A421" i="71"/>
  <c r="K420" i="71"/>
  <c r="Y419" i="71"/>
  <c r="Q419" i="71" s="1"/>
  <c r="S419" i="71"/>
  <c r="P419" i="71"/>
  <c r="E184" i="71"/>
  <c r="J184" i="71" s="1"/>
  <c r="M139" i="71"/>
  <c r="L139" i="71" s="1"/>
  <c r="H420" i="71" l="1"/>
  <c r="C184" i="71"/>
  <c r="D184" i="71" s="1"/>
  <c r="H184" i="71" s="1"/>
  <c r="S420" i="71"/>
  <c r="P420" i="71"/>
  <c r="Y420" i="71"/>
  <c r="Q420" i="71" s="1"/>
  <c r="V418" i="71"/>
  <c r="N421" i="71"/>
  <c r="B421" i="71"/>
  <c r="E421" i="71" s="1"/>
  <c r="C421" i="71"/>
  <c r="D421" i="71" s="1"/>
  <c r="K421" i="71"/>
  <c r="A422" i="71"/>
  <c r="Z419" i="71"/>
  <c r="T419" i="71"/>
  <c r="AB419" i="71"/>
  <c r="R419" i="71"/>
  <c r="U419" i="71" s="1"/>
  <c r="V419" i="71" s="1"/>
  <c r="I184" i="71" l="1"/>
  <c r="K184" i="71"/>
  <c r="B185" i="71" s="1"/>
  <c r="E185" i="71" s="1"/>
  <c r="J185" i="71" s="1"/>
  <c r="H421" i="71"/>
  <c r="T420" i="71"/>
  <c r="AB420" i="71"/>
  <c r="Z420" i="71"/>
  <c r="R420" i="71"/>
  <c r="U420" i="71" s="1"/>
  <c r="Y421" i="71"/>
  <c r="Q421" i="71" s="1"/>
  <c r="P421" i="71"/>
  <c r="S421" i="71"/>
  <c r="K422" i="71"/>
  <c r="B422" i="71"/>
  <c r="N422" i="71"/>
  <c r="A423" i="71"/>
  <c r="C422" i="71"/>
  <c r="D422" i="71" s="1"/>
  <c r="E422" i="71"/>
  <c r="V420" i="71" l="1"/>
  <c r="C185" i="71"/>
  <c r="D185" i="71" s="1"/>
  <c r="H185" i="71" s="1"/>
  <c r="Z421" i="71"/>
  <c r="AB421" i="71"/>
  <c r="R421" i="71"/>
  <c r="U421" i="71" s="1"/>
  <c r="T421" i="71"/>
  <c r="B423" i="71"/>
  <c r="E423" i="71" s="1"/>
  <c r="N423" i="71"/>
  <c r="A424" i="71"/>
  <c r="K423" i="71"/>
  <c r="C423" i="71"/>
  <c r="D423" i="71" s="1"/>
  <c r="H422" i="71"/>
  <c r="P422" i="71"/>
  <c r="Y422" i="71"/>
  <c r="Q422" i="71" s="1"/>
  <c r="S422" i="71"/>
  <c r="I185" i="71" l="1"/>
  <c r="K185" i="71"/>
  <c r="B186" i="71" s="1"/>
  <c r="E186" i="71" s="1"/>
  <c r="J186" i="71" s="1"/>
  <c r="V421" i="71"/>
  <c r="R422" i="71"/>
  <c r="U422" i="71" s="1"/>
  <c r="T422" i="71"/>
  <c r="Z422" i="71"/>
  <c r="AB422" i="71"/>
  <c r="K424" i="71"/>
  <c r="C424" i="71"/>
  <c r="D424" i="71" s="1"/>
  <c r="A425" i="71"/>
  <c r="N424" i="71"/>
  <c r="B424" i="71"/>
  <c r="E424" i="71" s="1"/>
  <c r="S423" i="71"/>
  <c r="P423" i="71"/>
  <c r="Y423" i="71"/>
  <c r="Q423" i="71" s="1"/>
  <c r="H423" i="71"/>
  <c r="M140" i="71"/>
  <c r="L140" i="71" s="1"/>
  <c r="H424" i="71" l="1"/>
  <c r="S424" i="71"/>
  <c r="Y424" i="71"/>
  <c r="Q424" i="71" s="1"/>
  <c r="P424" i="71"/>
  <c r="C425" i="71"/>
  <c r="D425" i="71" s="1"/>
  <c r="K425" i="71"/>
  <c r="B425" i="71"/>
  <c r="E425" i="71" s="1"/>
  <c r="A426" i="71"/>
  <c r="N425" i="71"/>
  <c r="T423" i="71"/>
  <c r="R423" i="71"/>
  <c r="U423" i="71" s="1"/>
  <c r="AB423" i="71"/>
  <c r="Z423" i="71"/>
  <c r="V422" i="71"/>
  <c r="C186" i="71"/>
  <c r="D186" i="71" s="1"/>
  <c r="V423" i="71" l="1"/>
  <c r="N426" i="71"/>
  <c r="C426" i="71"/>
  <c r="D426" i="71" s="1"/>
  <c r="K426" i="71"/>
  <c r="A427" i="71"/>
  <c r="B426" i="71"/>
  <c r="E426" i="71" s="1"/>
  <c r="H425" i="71"/>
  <c r="T424" i="71"/>
  <c r="AB424" i="71"/>
  <c r="Z424" i="71"/>
  <c r="R424" i="71"/>
  <c r="Y425" i="71"/>
  <c r="Q425" i="71" s="1"/>
  <c r="S425" i="71"/>
  <c r="P425" i="71"/>
  <c r="H186" i="71"/>
  <c r="I186" i="71"/>
  <c r="K186" i="71"/>
  <c r="B187" i="71" s="1"/>
  <c r="M141" i="71"/>
  <c r="L141" i="71" s="1"/>
  <c r="B427" i="71" l="1"/>
  <c r="E427" i="71" s="1"/>
  <c r="C427" i="71"/>
  <c r="D427" i="71" s="1"/>
  <c r="N427" i="71"/>
  <c r="K427" i="71"/>
  <c r="A428" i="71"/>
  <c r="U424" i="71"/>
  <c r="V424" i="71" s="1"/>
  <c r="H426" i="71"/>
  <c r="R425" i="71"/>
  <c r="AB425" i="71"/>
  <c r="Z425" i="71"/>
  <c r="T425" i="71"/>
  <c r="S426" i="71"/>
  <c r="P426" i="71"/>
  <c r="Y426" i="71"/>
  <c r="Q426" i="71" s="1"/>
  <c r="E187" i="71"/>
  <c r="J187" i="71" s="1"/>
  <c r="H427" i="71" l="1"/>
  <c r="Z426" i="71"/>
  <c r="AB426" i="71"/>
  <c r="R426" i="71"/>
  <c r="T426" i="71"/>
  <c r="K428" i="71"/>
  <c r="C428" i="71"/>
  <c r="D428" i="71" s="1"/>
  <c r="N428" i="71"/>
  <c r="B428" i="71"/>
  <c r="E428" i="71" s="1"/>
  <c r="A429" i="71"/>
  <c r="Y427" i="71"/>
  <c r="Q427" i="71" s="1"/>
  <c r="S427" i="71"/>
  <c r="P427" i="71"/>
  <c r="C187" i="71"/>
  <c r="D187" i="71" s="1"/>
  <c r="I187" i="71" s="1"/>
  <c r="U425" i="71"/>
  <c r="V425" i="71" s="1"/>
  <c r="K187" i="71" l="1"/>
  <c r="B188" i="71" s="1"/>
  <c r="E188" i="71" s="1"/>
  <c r="J188" i="71" s="1"/>
  <c r="P428" i="71"/>
  <c r="Y428" i="71"/>
  <c r="Q428" i="71" s="1"/>
  <c r="S428" i="71"/>
  <c r="H428" i="71"/>
  <c r="H187" i="71"/>
  <c r="U426" i="71"/>
  <c r="V426" i="71" s="1"/>
  <c r="AB427" i="71"/>
  <c r="R427" i="71"/>
  <c r="Z427" i="71"/>
  <c r="T427" i="71"/>
  <c r="N429" i="71"/>
  <c r="B429" i="71"/>
  <c r="E429" i="71" s="1"/>
  <c r="C429" i="71"/>
  <c r="D429" i="71" s="1"/>
  <c r="K429" i="71"/>
  <c r="A430" i="71"/>
  <c r="H429" i="71" l="1"/>
  <c r="S429" i="71"/>
  <c r="Y429" i="71"/>
  <c r="Q429" i="71" s="1"/>
  <c r="P429" i="71"/>
  <c r="A431" i="71"/>
  <c r="C430" i="71"/>
  <c r="D430" i="71" s="1"/>
  <c r="B430" i="71"/>
  <c r="E430" i="71" s="1"/>
  <c r="K430" i="71"/>
  <c r="N430" i="71"/>
  <c r="AB428" i="71"/>
  <c r="R428" i="71"/>
  <c r="T428" i="71"/>
  <c r="Z428" i="71"/>
  <c r="U427" i="71"/>
  <c r="V427" i="71" s="1"/>
  <c r="C188" i="71"/>
  <c r="D188" i="71" s="1"/>
  <c r="M142" i="71"/>
  <c r="L142" i="71" s="1"/>
  <c r="H430" i="71" l="1"/>
  <c r="B431" i="71"/>
  <c r="E431" i="71" s="1"/>
  <c r="K431" i="71"/>
  <c r="A432" i="71"/>
  <c r="C431" i="71"/>
  <c r="D431" i="71" s="1"/>
  <c r="N431" i="71"/>
  <c r="U428" i="71"/>
  <c r="V428" i="71" s="1"/>
  <c r="T429" i="71"/>
  <c r="R429" i="71"/>
  <c r="Z429" i="71"/>
  <c r="AB429" i="71"/>
  <c r="Y430" i="71"/>
  <c r="Q430" i="71" s="1"/>
  <c r="P430" i="71"/>
  <c r="S430" i="71"/>
  <c r="H188" i="71"/>
  <c r="I188" i="71"/>
  <c r="K188" i="71"/>
  <c r="B189" i="71" s="1"/>
  <c r="P431" i="71" l="1"/>
  <c r="Y431" i="71"/>
  <c r="Q431" i="71" s="1"/>
  <c r="S431" i="71"/>
  <c r="H431" i="71"/>
  <c r="R430" i="71"/>
  <c r="T430" i="71"/>
  <c r="Z430" i="71"/>
  <c r="AB430" i="71"/>
  <c r="N432" i="71"/>
  <c r="B432" i="71"/>
  <c r="E432" i="71" s="1"/>
  <c r="K432" i="71"/>
  <c r="A433" i="71"/>
  <c r="C432" i="71"/>
  <c r="D432" i="71" s="1"/>
  <c r="U429" i="71"/>
  <c r="V429" i="71"/>
  <c r="E189" i="71"/>
  <c r="J189" i="71" s="1"/>
  <c r="H432" i="71" l="1"/>
  <c r="AB431" i="71"/>
  <c r="Z431" i="71"/>
  <c r="T431" i="71"/>
  <c r="R431" i="71"/>
  <c r="U430" i="71"/>
  <c r="V430" i="71" s="1"/>
  <c r="C433" i="71"/>
  <c r="D433" i="71" s="1"/>
  <c r="K433" i="71"/>
  <c r="B433" i="71"/>
  <c r="E433" i="71" s="1"/>
  <c r="A434" i="71"/>
  <c r="N433" i="71"/>
  <c r="S432" i="71"/>
  <c r="Y432" i="71"/>
  <c r="Q432" i="71" s="1"/>
  <c r="P432" i="71"/>
  <c r="C189" i="71"/>
  <c r="D189" i="71" s="1"/>
  <c r="M143" i="71"/>
  <c r="L143" i="71" s="1"/>
  <c r="H433" i="71" l="1"/>
  <c r="AB432" i="71"/>
  <c r="R432" i="71"/>
  <c r="Z432" i="71"/>
  <c r="T432" i="71"/>
  <c r="U431" i="71"/>
  <c r="V431" i="71" s="1"/>
  <c r="P433" i="71"/>
  <c r="Y433" i="71"/>
  <c r="Q433" i="71" s="1"/>
  <c r="S433" i="71"/>
  <c r="N434" i="71"/>
  <c r="K434" i="71"/>
  <c r="C434" i="71"/>
  <c r="D434" i="71" s="1"/>
  <c r="A435" i="71"/>
  <c r="B434" i="71"/>
  <c r="E434" i="71" s="1"/>
  <c r="H189" i="71"/>
  <c r="I189" i="71"/>
  <c r="K189" i="71"/>
  <c r="B190" i="71" s="1"/>
  <c r="T433" i="71" l="1"/>
  <c r="R433" i="71"/>
  <c r="U433" i="71" s="1"/>
  <c r="AB433" i="71"/>
  <c r="Z433" i="71"/>
  <c r="N435" i="71"/>
  <c r="C435" i="71"/>
  <c r="D435" i="71" s="1"/>
  <c r="K435" i="71"/>
  <c r="A436" i="71"/>
  <c r="B435" i="71"/>
  <c r="E435" i="71" s="1"/>
  <c r="H434" i="71"/>
  <c r="P434" i="71"/>
  <c r="Y434" i="71"/>
  <c r="Q434" i="71" s="1"/>
  <c r="S434" i="71"/>
  <c r="U432" i="71"/>
  <c r="V432" i="71" s="1"/>
  <c r="E190" i="71"/>
  <c r="J190" i="71" s="1"/>
  <c r="V433" i="71" l="1"/>
  <c r="C190" i="71"/>
  <c r="D190" i="71" s="1"/>
  <c r="K190" i="71" s="1"/>
  <c r="B191" i="71" s="1"/>
  <c r="H435" i="71"/>
  <c r="P435" i="71"/>
  <c r="S435" i="71"/>
  <c r="Y435" i="71"/>
  <c r="Q435" i="71" s="1"/>
  <c r="T434" i="71"/>
  <c r="AB434" i="71"/>
  <c r="Z434" i="71"/>
  <c r="R434" i="71"/>
  <c r="U434" i="71" s="1"/>
  <c r="A437" i="71"/>
  <c r="B436" i="71"/>
  <c r="E436" i="71" s="1"/>
  <c r="N436" i="71"/>
  <c r="C436" i="71"/>
  <c r="D436" i="71" s="1"/>
  <c r="K436" i="71"/>
  <c r="H190" i="71" l="1"/>
  <c r="I190" i="71"/>
  <c r="H436" i="71"/>
  <c r="V434" i="71"/>
  <c r="Z435" i="71"/>
  <c r="T435" i="71"/>
  <c r="AB435" i="71"/>
  <c r="R435" i="71"/>
  <c r="S436" i="71"/>
  <c r="Y436" i="71"/>
  <c r="Q436" i="71" s="1"/>
  <c r="P436" i="71"/>
  <c r="C437" i="71"/>
  <c r="D437" i="71" s="1"/>
  <c r="K437" i="71"/>
  <c r="B437" i="71"/>
  <c r="E437" i="71" s="1"/>
  <c r="A438" i="71"/>
  <c r="N437" i="71"/>
  <c r="E191" i="71"/>
  <c r="J191" i="71" s="1"/>
  <c r="M144" i="71"/>
  <c r="L144" i="71" s="1"/>
  <c r="Z436" i="71" l="1"/>
  <c r="AB436" i="71"/>
  <c r="R436" i="71"/>
  <c r="T436" i="71"/>
  <c r="P437" i="71"/>
  <c r="S437" i="71"/>
  <c r="Y437" i="71"/>
  <c r="Q437" i="71" s="1"/>
  <c r="U435" i="71"/>
  <c r="V435" i="71" s="1"/>
  <c r="N438" i="71"/>
  <c r="B438" i="71"/>
  <c r="E438" i="71" s="1"/>
  <c r="K438" i="71"/>
  <c r="A439" i="71"/>
  <c r="C438" i="71"/>
  <c r="D438" i="71" s="1"/>
  <c r="H437" i="71"/>
  <c r="C191" i="71"/>
  <c r="D191" i="71" s="1"/>
  <c r="H438" i="71" l="1"/>
  <c r="K439" i="71"/>
  <c r="C439" i="71"/>
  <c r="D439" i="71" s="1"/>
  <c r="B439" i="71"/>
  <c r="E439" i="71" s="1"/>
  <c r="N439" i="71"/>
  <c r="A440" i="71"/>
  <c r="R437" i="71"/>
  <c r="Z437" i="71"/>
  <c r="T437" i="71"/>
  <c r="AB437" i="71"/>
  <c r="U436" i="71"/>
  <c r="V436" i="71" s="1"/>
  <c r="S438" i="71"/>
  <c r="Y438" i="71"/>
  <c r="Q438" i="71" s="1"/>
  <c r="P438" i="71"/>
  <c r="I191" i="71"/>
  <c r="H191" i="71"/>
  <c r="K191" i="71"/>
  <c r="B192" i="71" s="1"/>
  <c r="P439" i="71" l="1"/>
  <c r="Y439" i="71"/>
  <c r="Q439" i="71" s="1"/>
  <c r="S439" i="71"/>
  <c r="K440" i="71"/>
  <c r="A441" i="71"/>
  <c r="B440" i="71"/>
  <c r="E440" i="71" s="1"/>
  <c r="N440" i="71"/>
  <c r="C440" i="71"/>
  <c r="D440" i="71" s="1"/>
  <c r="H439" i="71"/>
  <c r="U437" i="71"/>
  <c r="V437" i="71" s="1"/>
  <c r="T438" i="71"/>
  <c r="AB438" i="71"/>
  <c r="R438" i="71"/>
  <c r="Z438" i="71"/>
  <c r="E192" i="71"/>
  <c r="J192" i="71" s="1"/>
  <c r="M145" i="71"/>
  <c r="L145" i="71" s="1"/>
  <c r="H440" i="71" l="1"/>
  <c r="Y440" i="71"/>
  <c r="Q440" i="71" s="1"/>
  <c r="S440" i="71"/>
  <c r="P440" i="71"/>
  <c r="A442" i="71"/>
  <c r="B441" i="71"/>
  <c r="E441" i="71" s="1"/>
  <c r="N441" i="71"/>
  <c r="C441" i="71"/>
  <c r="D441" i="71" s="1"/>
  <c r="K441" i="71"/>
  <c r="U438" i="71"/>
  <c r="V438" i="71" s="1"/>
  <c r="R439" i="71"/>
  <c r="U439" i="71" s="1"/>
  <c r="T439" i="71"/>
  <c r="AB439" i="71"/>
  <c r="Z439" i="71"/>
  <c r="C192" i="71"/>
  <c r="D192" i="71" s="1"/>
  <c r="V439" i="71" l="1"/>
  <c r="Z440" i="71"/>
  <c r="AB440" i="71"/>
  <c r="T440" i="71"/>
  <c r="R440" i="71"/>
  <c r="S441" i="71"/>
  <c r="P441" i="71"/>
  <c r="Y441" i="71"/>
  <c r="Q441" i="71" s="1"/>
  <c r="N442" i="71"/>
  <c r="C442" i="71"/>
  <c r="D442" i="71" s="1"/>
  <c r="K442" i="71"/>
  <c r="A443" i="71"/>
  <c r="B442" i="71"/>
  <c r="E442" i="71" s="1"/>
  <c r="H441" i="71"/>
  <c r="I192" i="71"/>
  <c r="H192" i="71"/>
  <c r="K192" i="71"/>
  <c r="B193" i="71" s="1"/>
  <c r="M146" i="71"/>
  <c r="L146" i="71" s="1"/>
  <c r="U440" i="71" l="1"/>
  <c r="V440" i="71" s="1"/>
  <c r="K443" i="71"/>
  <c r="A444" i="71"/>
  <c r="N443" i="71"/>
  <c r="C443" i="71"/>
  <c r="D443" i="71" s="1"/>
  <c r="B443" i="71"/>
  <c r="E443" i="71" s="1"/>
  <c r="S442" i="71"/>
  <c r="Y442" i="71"/>
  <c r="Q442" i="71" s="1"/>
  <c r="P442" i="71"/>
  <c r="AB441" i="71"/>
  <c r="R441" i="71"/>
  <c r="U441" i="71" s="1"/>
  <c r="T441" i="71"/>
  <c r="Z441" i="71"/>
  <c r="H442" i="71"/>
  <c r="E193" i="71"/>
  <c r="J193" i="71" s="1"/>
  <c r="Y443" i="71" l="1"/>
  <c r="Q443" i="71" s="1"/>
  <c r="P443" i="71"/>
  <c r="S443" i="71"/>
  <c r="V441" i="71"/>
  <c r="A445" i="71"/>
  <c r="K444" i="71"/>
  <c r="B444" i="71"/>
  <c r="E444" i="71" s="1"/>
  <c r="N444" i="71"/>
  <c r="C444" i="71"/>
  <c r="D444" i="71" s="1"/>
  <c r="H443" i="71"/>
  <c r="Z442" i="71"/>
  <c r="T442" i="71"/>
  <c r="R442" i="71"/>
  <c r="AB442" i="71"/>
  <c r="C193" i="71"/>
  <c r="D193" i="71" s="1"/>
  <c r="N445" i="71" l="1"/>
  <c r="B445" i="71"/>
  <c r="E445" i="71" s="1"/>
  <c r="A446" i="71"/>
  <c r="C445" i="71"/>
  <c r="D445" i="71" s="1"/>
  <c r="K445" i="71"/>
  <c r="P444" i="71"/>
  <c r="S444" i="71"/>
  <c r="Y444" i="71"/>
  <c r="Q444" i="71" s="1"/>
  <c r="U442" i="71"/>
  <c r="V442" i="71" s="1"/>
  <c r="H444" i="71"/>
  <c r="AB443" i="71"/>
  <c r="R443" i="71"/>
  <c r="U443" i="71" s="1"/>
  <c r="T443" i="71"/>
  <c r="Z443" i="71"/>
  <c r="I193" i="71"/>
  <c r="H193" i="71"/>
  <c r="K193" i="71"/>
  <c r="B194" i="71" s="1"/>
  <c r="M147" i="71"/>
  <c r="L147" i="71" s="1"/>
  <c r="R444" i="71" l="1"/>
  <c r="AB444" i="71"/>
  <c r="T444" i="71"/>
  <c r="Z444" i="71"/>
  <c r="V443" i="71"/>
  <c r="H445" i="71"/>
  <c r="B446" i="71"/>
  <c r="E446" i="71" s="1"/>
  <c r="N446" i="71"/>
  <c r="C446" i="71"/>
  <c r="D446" i="71" s="1"/>
  <c r="A447" i="71"/>
  <c r="K446" i="71"/>
  <c r="S445" i="71"/>
  <c r="P445" i="71"/>
  <c r="Y445" i="71"/>
  <c r="Q445" i="71" s="1"/>
  <c r="E194" i="71"/>
  <c r="J194" i="71" s="1"/>
  <c r="T445" i="71" l="1"/>
  <c r="AB445" i="71"/>
  <c r="R445" i="71"/>
  <c r="U445" i="71" s="1"/>
  <c r="Z445" i="71"/>
  <c r="Y446" i="71"/>
  <c r="Q446" i="71" s="1"/>
  <c r="S446" i="71"/>
  <c r="P446" i="71"/>
  <c r="A448" i="71"/>
  <c r="K447" i="71"/>
  <c r="N447" i="71"/>
  <c r="B447" i="71"/>
  <c r="E447" i="71" s="1"/>
  <c r="C447" i="71"/>
  <c r="D447" i="71" s="1"/>
  <c r="H446" i="71"/>
  <c r="U444" i="71"/>
  <c r="V444" i="71" s="1"/>
  <c r="C194" i="71"/>
  <c r="D194" i="71" s="1"/>
  <c r="V445" i="71" l="1"/>
  <c r="B448" i="71"/>
  <c r="E448" i="71" s="1"/>
  <c r="K448" i="71"/>
  <c r="A449" i="71"/>
  <c r="C448" i="71"/>
  <c r="D448" i="71" s="1"/>
  <c r="N448" i="71"/>
  <c r="Z446" i="71"/>
  <c r="T446" i="71"/>
  <c r="AB446" i="71"/>
  <c r="R446" i="71"/>
  <c r="H447" i="71"/>
  <c r="S447" i="71"/>
  <c r="P447" i="71"/>
  <c r="Y447" i="71"/>
  <c r="Q447" i="71" s="1"/>
  <c r="H194" i="71"/>
  <c r="I194" i="71"/>
  <c r="K194" i="71"/>
  <c r="B195" i="71" s="1"/>
  <c r="M148" i="71"/>
  <c r="L148" i="71" s="1"/>
  <c r="H448" i="71" l="1"/>
  <c r="P448" i="71"/>
  <c r="Y448" i="71"/>
  <c r="Q448" i="71" s="1"/>
  <c r="S448" i="71"/>
  <c r="A450" i="71"/>
  <c r="N449" i="71"/>
  <c r="B449" i="71"/>
  <c r="E449" i="71" s="1"/>
  <c r="C449" i="71"/>
  <c r="D449" i="71" s="1"/>
  <c r="K449" i="71"/>
  <c r="R447" i="71"/>
  <c r="AB447" i="71"/>
  <c r="T447" i="71"/>
  <c r="Z447" i="71"/>
  <c r="U446" i="71"/>
  <c r="V446" i="71" s="1"/>
  <c r="E195" i="71"/>
  <c r="J195" i="71" s="1"/>
  <c r="R448" i="71" l="1"/>
  <c r="U448" i="71" s="1"/>
  <c r="AB448" i="71"/>
  <c r="Z448" i="71"/>
  <c r="T448" i="71"/>
  <c r="B450" i="71"/>
  <c r="E450" i="71" s="1"/>
  <c r="K450" i="71"/>
  <c r="A451" i="71"/>
  <c r="N450" i="71"/>
  <c r="C450" i="71"/>
  <c r="D450" i="71" s="1"/>
  <c r="S449" i="71"/>
  <c r="Y449" i="71"/>
  <c r="Q449" i="71" s="1"/>
  <c r="P449" i="71"/>
  <c r="C195" i="71"/>
  <c r="D195" i="71" s="1"/>
  <c r="K195" i="71" s="1"/>
  <c r="B196" i="71" s="1"/>
  <c r="E196" i="71" s="1"/>
  <c r="J196" i="71" s="1"/>
  <c r="U447" i="71"/>
  <c r="V447" i="71" s="1"/>
  <c r="H449" i="71"/>
  <c r="AB449" i="71" l="1"/>
  <c r="R449" i="71"/>
  <c r="U449" i="71" s="1"/>
  <c r="T449" i="71"/>
  <c r="Z449" i="71"/>
  <c r="K451" i="71"/>
  <c r="B451" i="71"/>
  <c r="E451" i="71" s="1"/>
  <c r="C451" i="71"/>
  <c r="D451" i="71" s="1"/>
  <c r="A452" i="71"/>
  <c r="N451" i="71"/>
  <c r="C196" i="71"/>
  <c r="D196" i="71" s="1"/>
  <c r="K196" i="71" s="1"/>
  <c r="B197" i="71" s="1"/>
  <c r="E197" i="71" s="1"/>
  <c r="J197" i="71" s="1"/>
  <c r="I195" i="71"/>
  <c r="H195" i="71"/>
  <c r="H450" i="71"/>
  <c r="Y450" i="71"/>
  <c r="Q450" i="71" s="1"/>
  <c r="S450" i="71"/>
  <c r="P450" i="71"/>
  <c r="V448" i="71"/>
  <c r="H451" i="71" l="1"/>
  <c r="V449" i="71"/>
  <c r="I196" i="71"/>
  <c r="H196" i="71"/>
  <c r="C197" i="71"/>
  <c r="D197" i="71" s="1"/>
  <c r="K197" i="71" s="1"/>
  <c r="B198" i="71" s="1"/>
  <c r="E198" i="71" s="1"/>
  <c r="J198" i="71" s="1"/>
  <c r="Z450" i="71"/>
  <c r="AB450" i="71"/>
  <c r="T450" i="71"/>
  <c r="R450" i="71"/>
  <c r="U450" i="71" s="1"/>
  <c r="B452" i="71"/>
  <c r="E452" i="71" s="1"/>
  <c r="N452" i="71"/>
  <c r="C452" i="71"/>
  <c r="D452" i="71" s="1"/>
  <c r="K452" i="71"/>
  <c r="A453" i="71"/>
  <c r="Y451" i="71"/>
  <c r="Q451" i="71" s="1"/>
  <c r="S451" i="71"/>
  <c r="P451" i="71"/>
  <c r="M149" i="71"/>
  <c r="L149" i="71" s="1"/>
  <c r="V450" i="71" l="1"/>
  <c r="H197" i="71"/>
  <c r="I197" i="71"/>
  <c r="H452" i="71"/>
  <c r="S452" i="71"/>
  <c r="Y452" i="71"/>
  <c r="Q452" i="71" s="1"/>
  <c r="P452" i="71"/>
  <c r="AB451" i="71"/>
  <c r="T451" i="71"/>
  <c r="Z451" i="71"/>
  <c r="R451" i="71"/>
  <c r="N453" i="71"/>
  <c r="B453" i="71"/>
  <c r="E453" i="71" s="1"/>
  <c r="A454" i="71"/>
  <c r="C453" i="71"/>
  <c r="D453" i="71" s="1"/>
  <c r="K453" i="71"/>
  <c r="C198" i="71"/>
  <c r="D198" i="71" s="1"/>
  <c r="H453" i="71" l="1"/>
  <c r="R452" i="71"/>
  <c r="AB452" i="71"/>
  <c r="T452" i="71"/>
  <c r="Z452" i="71"/>
  <c r="U451" i="71"/>
  <c r="V451" i="71"/>
  <c r="A455" i="71"/>
  <c r="K454" i="71"/>
  <c r="N454" i="71"/>
  <c r="B454" i="71"/>
  <c r="E454" i="71" s="1"/>
  <c r="C454" i="71"/>
  <c r="D454" i="71" s="1"/>
  <c r="S453" i="71"/>
  <c r="P453" i="71"/>
  <c r="Y453" i="71"/>
  <c r="Q453" i="71" s="1"/>
  <c r="H198" i="71"/>
  <c r="I198" i="71"/>
  <c r="K198" i="71"/>
  <c r="B199" i="71" s="1"/>
  <c r="H454" i="71" l="1"/>
  <c r="T453" i="71"/>
  <c r="R453" i="71"/>
  <c r="AB453" i="71"/>
  <c r="Z453" i="71"/>
  <c r="K455" i="71"/>
  <c r="B455" i="71"/>
  <c r="E455" i="71" s="1"/>
  <c r="C455" i="71"/>
  <c r="D455" i="71" s="1"/>
  <c r="N455" i="71"/>
  <c r="A456" i="71"/>
  <c r="Y454" i="71"/>
  <c r="Q454" i="71" s="1"/>
  <c r="S454" i="71"/>
  <c r="P454" i="71"/>
  <c r="U452" i="71"/>
  <c r="V452" i="71" s="1"/>
  <c r="E199" i="71"/>
  <c r="J199" i="71" s="1"/>
  <c r="H455" i="71" l="1"/>
  <c r="Y455" i="71"/>
  <c r="Q455" i="71" s="1"/>
  <c r="S455" i="71"/>
  <c r="P455" i="71"/>
  <c r="C199" i="71"/>
  <c r="D199" i="71" s="1"/>
  <c r="K199" i="71" s="1"/>
  <c r="B200" i="71" s="1"/>
  <c r="E200" i="71" s="1"/>
  <c r="J200" i="71" s="1"/>
  <c r="R454" i="71"/>
  <c r="AB454" i="71"/>
  <c r="T454" i="71"/>
  <c r="Z454" i="71"/>
  <c r="U453" i="71"/>
  <c r="V453" i="71" s="1"/>
  <c r="N456" i="71"/>
  <c r="B456" i="71"/>
  <c r="E456" i="71" s="1"/>
  <c r="A457" i="71"/>
  <c r="C456" i="71"/>
  <c r="D456" i="71" s="1"/>
  <c r="K456" i="71"/>
  <c r="M150" i="71"/>
  <c r="L150" i="71" s="1"/>
  <c r="H456" i="71" l="1"/>
  <c r="H199" i="71"/>
  <c r="I199" i="71"/>
  <c r="C457" i="71"/>
  <c r="D457" i="71" s="1"/>
  <c r="K457" i="71"/>
  <c r="B457" i="71"/>
  <c r="E457" i="71" s="1"/>
  <c r="A458" i="71"/>
  <c r="N457" i="71"/>
  <c r="U454" i="71"/>
  <c r="V454" i="71" s="1"/>
  <c r="P456" i="71"/>
  <c r="Y456" i="71"/>
  <c r="Q456" i="71" s="1"/>
  <c r="S456" i="71"/>
  <c r="C200" i="71"/>
  <c r="D200" i="71" s="1"/>
  <c r="K200" i="71" s="1"/>
  <c r="B201" i="71" s="1"/>
  <c r="AB455" i="71"/>
  <c r="T455" i="71"/>
  <c r="Z455" i="71"/>
  <c r="R455" i="71"/>
  <c r="U455" i="71" s="1"/>
  <c r="H200" i="71" l="1"/>
  <c r="I200" i="71"/>
  <c r="V455" i="71"/>
  <c r="Y457" i="71"/>
  <c r="Q457" i="71" s="1"/>
  <c r="P457" i="71"/>
  <c r="S457" i="71"/>
  <c r="N458" i="71"/>
  <c r="C458" i="71"/>
  <c r="D458" i="71" s="1"/>
  <c r="K458" i="71"/>
  <c r="A459" i="71"/>
  <c r="B458" i="71"/>
  <c r="E458" i="71" s="1"/>
  <c r="AB456" i="71"/>
  <c r="R456" i="71"/>
  <c r="T456" i="71"/>
  <c r="Z456" i="71"/>
  <c r="H457" i="71"/>
  <c r="E201" i="71"/>
  <c r="J201" i="71" s="1"/>
  <c r="H458" i="71" l="1"/>
  <c r="S458" i="71"/>
  <c r="Y458" i="71"/>
  <c r="Q458" i="71" s="1"/>
  <c r="P458" i="71"/>
  <c r="U456" i="71"/>
  <c r="V456" i="71" s="1"/>
  <c r="R457" i="71"/>
  <c r="Z457" i="71"/>
  <c r="T457" i="71"/>
  <c r="AB457" i="71"/>
  <c r="N459" i="71"/>
  <c r="B459" i="71"/>
  <c r="E459" i="71" s="1"/>
  <c r="A460" i="71"/>
  <c r="C459" i="71"/>
  <c r="D459" i="71" s="1"/>
  <c r="K459" i="71"/>
  <c r="C201" i="71"/>
  <c r="D201" i="71" s="1"/>
  <c r="M151" i="71"/>
  <c r="L151" i="71" s="1"/>
  <c r="H459" i="71" l="1"/>
  <c r="U457" i="71"/>
  <c r="V457" i="71" s="1"/>
  <c r="Y459" i="71"/>
  <c r="Q459" i="71" s="1"/>
  <c r="S459" i="71"/>
  <c r="P459" i="71"/>
  <c r="Z458" i="71"/>
  <c r="T458" i="71"/>
  <c r="AB458" i="71"/>
  <c r="R458" i="71"/>
  <c r="U458" i="71" s="1"/>
  <c r="A461" i="71"/>
  <c r="K460" i="71"/>
  <c r="N460" i="71"/>
  <c r="B460" i="71"/>
  <c r="E460" i="71" s="1"/>
  <c r="C460" i="71"/>
  <c r="D460" i="71" s="1"/>
  <c r="I201" i="71"/>
  <c r="H201" i="71"/>
  <c r="K201" i="71"/>
  <c r="B202" i="71" s="1"/>
  <c r="H460" i="71" l="1"/>
  <c r="P460" i="71"/>
  <c r="Y460" i="71"/>
  <c r="Q460" i="71" s="1"/>
  <c r="S460" i="71"/>
  <c r="T459" i="71"/>
  <c r="AB459" i="71"/>
  <c r="Z459" i="71"/>
  <c r="R459" i="71"/>
  <c r="N461" i="71"/>
  <c r="B461" i="71"/>
  <c r="E461" i="71" s="1"/>
  <c r="C461" i="71"/>
  <c r="D461" i="71" s="1"/>
  <c r="K461" i="71"/>
  <c r="A462" i="71"/>
  <c r="V458" i="71"/>
  <c r="E202" i="71"/>
  <c r="J202" i="71" s="1"/>
  <c r="H461" i="71" l="1"/>
  <c r="C202" i="71"/>
  <c r="D202" i="71" s="1"/>
  <c r="K202" i="71" s="1"/>
  <c r="B203" i="71" s="1"/>
  <c r="E203" i="71" s="1"/>
  <c r="J203" i="71" s="1"/>
  <c r="U459" i="71"/>
  <c r="V459" i="71" s="1"/>
  <c r="N462" i="71"/>
  <c r="B462" i="71"/>
  <c r="E462" i="71" s="1"/>
  <c r="A463" i="71"/>
  <c r="K462" i="71"/>
  <c r="C462" i="71"/>
  <c r="D462" i="71" s="1"/>
  <c r="R460" i="71"/>
  <c r="Z460" i="71"/>
  <c r="AB460" i="71"/>
  <c r="T460" i="71"/>
  <c r="S461" i="71"/>
  <c r="Y461" i="71"/>
  <c r="Q461" i="71" s="1"/>
  <c r="P461" i="71"/>
  <c r="M152" i="71"/>
  <c r="L152" i="71" s="1"/>
  <c r="H202" i="71" l="1"/>
  <c r="I202" i="71"/>
  <c r="H462" i="71"/>
  <c r="Z461" i="71"/>
  <c r="T461" i="71"/>
  <c r="AB461" i="71"/>
  <c r="R461" i="71"/>
  <c r="B463" i="71"/>
  <c r="E463" i="71" s="1"/>
  <c r="N463" i="71"/>
  <c r="C463" i="71"/>
  <c r="D463" i="71" s="1"/>
  <c r="A464" i="71"/>
  <c r="K463" i="71"/>
  <c r="S462" i="71"/>
  <c r="P462" i="71"/>
  <c r="Y462" i="71"/>
  <c r="Q462" i="71" s="1"/>
  <c r="U460" i="71"/>
  <c r="V460" i="71" s="1"/>
  <c r="C203" i="71"/>
  <c r="D203" i="71" s="1"/>
  <c r="H463" i="71" l="1"/>
  <c r="S463" i="71"/>
  <c r="Y463" i="71"/>
  <c r="Q463" i="71" s="1"/>
  <c r="P463" i="71"/>
  <c r="U461" i="71"/>
  <c r="V461" i="71" s="1"/>
  <c r="AB462" i="71"/>
  <c r="T462" i="71"/>
  <c r="R462" i="71"/>
  <c r="U462" i="71" s="1"/>
  <c r="Z462" i="71"/>
  <c r="N464" i="71"/>
  <c r="B464" i="71"/>
  <c r="E464" i="71" s="1"/>
  <c r="C464" i="71"/>
  <c r="D464" i="71" s="1"/>
  <c r="K464" i="71"/>
  <c r="A465" i="71"/>
  <c r="H203" i="71"/>
  <c r="I203" i="71"/>
  <c r="K203" i="71"/>
  <c r="B204" i="71" s="1"/>
  <c r="M153" i="71"/>
  <c r="L153" i="71" s="1"/>
  <c r="V462" i="71" l="1"/>
  <c r="H464" i="71"/>
  <c r="C465" i="71"/>
  <c r="D465" i="71" s="1"/>
  <c r="K465" i="71"/>
  <c r="B465" i="71"/>
  <c r="E465" i="71" s="1"/>
  <c r="A466" i="71"/>
  <c r="N465" i="71"/>
  <c r="Y464" i="71"/>
  <c r="Q464" i="71" s="1"/>
  <c r="S464" i="71"/>
  <c r="P464" i="71"/>
  <c r="Z463" i="71"/>
  <c r="T463" i="71"/>
  <c r="R463" i="71"/>
  <c r="AB463" i="71"/>
  <c r="E204" i="71"/>
  <c r="J204" i="71" s="1"/>
  <c r="C204" i="71" l="1"/>
  <c r="D204" i="71" s="1"/>
  <c r="K204" i="71" s="1"/>
  <c r="B205" i="71" s="1"/>
  <c r="E205" i="71" s="1"/>
  <c r="J205" i="71" s="1"/>
  <c r="S465" i="71"/>
  <c r="P465" i="71"/>
  <c r="Y465" i="71"/>
  <c r="Q465" i="71" s="1"/>
  <c r="B466" i="71"/>
  <c r="E466" i="71" s="1"/>
  <c r="N466" i="71"/>
  <c r="C466" i="71"/>
  <c r="D466" i="71" s="1"/>
  <c r="A467" i="71"/>
  <c r="K466" i="71"/>
  <c r="U463" i="71"/>
  <c r="V463" i="71" s="1"/>
  <c r="Z464" i="71"/>
  <c r="R464" i="71"/>
  <c r="U464" i="71" s="1"/>
  <c r="T464" i="71"/>
  <c r="AB464" i="71"/>
  <c r="H465" i="71"/>
  <c r="H204" i="71" l="1"/>
  <c r="I204" i="71"/>
  <c r="T465" i="71"/>
  <c r="Z465" i="71"/>
  <c r="AB465" i="71"/>
  <c r="R465" i="71"/>
  <c r="U465" i="71" s="1"/>
  <c r="Y466" i="71"/>
  <c r="Q466" i="71" s="1"/>
  <c r="S466" i="71"/>
  <c r="P466" i="71"/>
  <c r="K467" i="71"/>
  <c r="N467" i="71"/>
  <c r="C467" i="71"/>
  <c r="D467" i="71" s="1"/>
  <c r="A468" i="71"/>
  <c r="B467" i="71"/>
  <c r="E467" i="71" s="1"/>
  <c r="V464" i="71"/>
  <c r="C205" i="71"/>
  <c r="D205" i="71" s="1"/>
  <c r="K205" i="71" s="1"/>
  <c r="B206" i="71" s="1"/>
  <c r="H466" i="71"/>
  <c r="R466" i="71" l="1"/>
  <c r="U466" i="71" s="1"/>
  <c r="AB466" i="71"/>
  <c r="Z466" i="71"/>
  <c r="T466" i="71"/>
  <c r="E206" i="71"/>
  <c r="J206" i="71" s="1"/>
  <c r="H205" i="71"/>
  <c r="K468" i="71"/>
  <c r="A469" i="71"/>
  <c r="C468" i="71"/>
  <c r="D468" i="71" s="1"/>
  <c r="N468" i="71"/>
  <c r="B468" i="71"/>
  <c r="E468" i="71" s="1"/>
  <c r="V465" i="71"/>
  <c r="I205" i="71"/>
  <c r="H467" i="71"/>
  <c r="Y467" i="71"/>
  <c r="Q467" i="71" s="1"/>
  <c r="S467" i="71"/>
  <c r="P467" i="71"/>
  <c r="M154" i="71"/>
  <c r="L154" i="71" s="1"/>
  <c r="C206" i="71" l="1"/>
  <c r="D206" i="71" s="1"/>
  <c r="P468" i="71"/>
  <c r="S468" i="71"/>
  <c r="Y468" i="71"/>
  <c r="Q468" i="71" s="1"/>
  <c r="H468" i="71"/>
  <c r="AB467" i="71"/>
  <c r="R467" i="71"/>
  <c r="Z467" i="71"/>
  <c r="T467" i="71"/>
  <c r="B469" i="71"/>
  <c r="E469" i="71" s="1"/>
  <c r="C469" i="71"/>
  <c r="D469" i="71" s="1"/>
  <c r="N469" i="71"/>
  <c r="K469" i="71"/>
  <c r="A470" i="71"/>
  <c r="V466" i="71"/>
  <c r="H469" i="71" l="1"/>
  <c r="U467" i="71"/>
  <c r="V467" i="71" s="1"/>
  <c r="S469" i="71"/>
  <c r="P469" i="71"/>
  <c r="Y469" i="71"/>
  <c r="Q469" i="71" s="1"/>
  <c r="N470" i="71"/>
  <c r="A471" i="71"/>
  <c r="K470" i="71"/>
  <c r="B470" i="71"/>
  <c r="E470" i="71" s="1"/>
  <c r="C470" i="71"/>
  <c r="D470" i="71" s="1"/>
  <c r="R468" i="71"/>
  <c r="AB468" i="71"/>
  <c r="Z468" i="71"/>
  <c r="T468" i="71"/>
  <c r="K206" i="71"/>
  <c r="B207" i="71" s="1"/>
  <c r="H206" i="71"/>
  <c r="I206" i="71"/>
  <c r="B471" i="71" l="1"/>
  <c r="E471" i="71" s="1"/>
  <c r="C471" i="71"/>
  <c r="D471" i="71" s="1"/>
  <c r="K471" i="71"/>
  <c r="N471" i="71"/>
  <c r="A472" i="71"/>
  <c r="E207" i="71"/>
  <c r="J207" i="71" s="1"/>
  <c r="Y470" i="71"/>
  <c r="Q470" i="71" s="1"/>
  <c r="S470" i="71"/>
  <c r="P470" i="71"/>
  <c r="T469" i="71"/>
  <c r="R469" i="71"/>
  <c r="Z469" i="71"/>
  <c r="AB469" i="71"/>
  <c r="U468" i="71"/>
  <c r="V468" i="71" s="1"/>
  <c r="H470" i="71"/>
  <c r="H471" i="71" l="1"/>
  <c r="C207" i="71"/>
  <c r="D207" i="71" s="1"/>
  <c r="I207" i="71" s="1"/>
  <c r="R470" i="71"/>
  <c r="U470" i="71" s="1"/>
  <c r="AB470" i="71"/>
  <c r="Z470" i="71"/>
  <c r="T470" i="71"/>
  <c r="K207" i="71"/>
  <c r="B208" i="71" s="1"/>
  <c r="H207" i="71"/>
  <c r="K472" i="71"/>
  <c r="N472" i="71"/>
  <c r="A473" i="71"/>
  <c r="B472" i="71"/>
  <c r="E472" i="71" s="1"/>
  <c r="C472" i="71"/>
  <c r="D472" i="71" s="1"/>
  <c r="S471" i="71"/>
  <c r="Y471" i="71"/>
  <c r="Q471" i="71" s="1"/>
  <c r="P471" i="71"/>
  <c r="U469" i="71"/>
  <c r="V469" i="71" s="1"/>
  <c r="M155" i="71"/>
  <c r="L155" i="71" s="1"/>
  <c r="R471" i="71" l="1"/>
  <c r="U471" i="71" s="1"/>
  <c r="AB471" i="71"/>
  <c r="T471" i="71"/>
  <c r="Z471" i="71"/>
  <c r="E208" i="71"/>
  <c r="J208" i="71" s="1"/>
  <c r="H472" i="71"/>
  <c r="N473" i="71"/>
  <c r="C473" i="71"/>
  <c r="D473" i="71" s="1"/>
  <c r="K473" i="71"/>
  <c r="A474" i="71"/>
  <c r="B473" i="71"/>
  <c r="E473" i="71" s="1"/>
  <c r="Y472" i="71"/>
  <c r="Q472" i="71" s="1"/>
  <c r="P472" i="71"/>
  <c r="S472" i="71"/>
  <c r="V470" i="71"/>
  <c r="C208" i="71" l="1"/>
  <c r="D208" i="71" s="1"/>
  <c r="H208" i="71" s="1"/>
  <c r="T472" i="71"/>
  <c r="R472" i="71"/>
  <c r="AB472" i="71"/>
  <c r="Z472" i="71"/>
  <c r="P473" i="71"/>
  <c r="S473" i="71"/>
  <c r="Y473" i="71"/>
  <c r="Q473" i="71" s="1"/>
  <c r="B474" i="71"/>
  <c r="E474" i="71" s="1"/>
  <c r="N474" i="71"/>
  <c r="C474" i="71"/>
  <c r="D474" i="71" s="1"/>
  <c r="K474" i="71"/>
  <c r="A475" i="71"/>
  <c r="H473" i="71"/>
  <c r="V471" i="71"/>
  <c r="K208" i="71" l="1"/>
  <c r="B209" i="71" s="1"/>
  <c r="E209" i="71" s="1"/>
  <c r="J209" i="71" s="1"/>
  <c r="I208" i="71"/>
  <c r="H474" i="71"/>
  <c r="S474" i="71"/>
  <c r="Y474" i="71"/>
  <c r="Q474" i="71" s="1"/>
  <c r="P474" i="71"/>
  <c r="C475" i="71"/>
  <c r="D475" i="71" s="1"/>
  <c r="K475" i="71"/>
  <c r="N475" i="71"/>
  <c r="A476" i="71"/>
  <c r="B475" i="71"/>
  <c r="E475" i="71" s="1"/>
  <c r="T473" i="71"/>
  <c r="R473" i="71"/>
  <c r="Z473" i="71"/>
  <c r="AB473" i="71"/>
  <c r="U472" i="71"/>
  <c r="V472" i="71" s="1"/>
  <c r="C209" i="71" l="1"/>
  <c r="D209" i="71" s="1"/>
  <c r="I209" i="71" s="1"/>
  <c r="H475" i="71"/>
  <c r="U473" i="71"/>
  <c r="V473" i="71" s="1"/>
  <c r="P475" i="71"/>
  <c r="Y475" i="71"/>
  <c r="Q475" i="71" s="1"/>
  <c r="S475" i="71"/>
  <c r="R474" i="71"/>
  <c r="U474" i="71" s="1"/>
  <c r="T474" i="71"/>
  <c r="AB474" i="71"/>
  <c r="Z474" i="71"/>
  <c r="N476" i="71"/>
  <c r="B476" i="71"/>
  <c r="E476" i="71" s="1"/>
  <c r="K476" i="71"/>
  <c r="A477" i="71"/>
  <c r="C476" i="71"/>
  <c r="D476" i="71" s="1"/>
  <c r="M156" i="71"/>
  <c r="L156" i="71" s="1"/>
  <c r="H209" i="71" l="1"/>
  <c r="K209" i="71"/>
  <c r="B210" i="71" s="1"/>
  <c r="E210" i="71" s="1"/>
  <c r="J210" i="71" s="1"/>
  <c r="H476" i="71"/>
  <c r="V474" i="71"/>
  <c r="K477" i="71"/>
  <c r="N477" i="71"/>
  <c r="B477" i="71"/>
  <c r="E477" i="71" s="1"/>
  <c r="A478" i="71"/>
  <c r="C477" i="71"/>
  <c r="D477" i="71" s="1"/>
  <c r="R475" i="71"/>
  <c r="T475" i="71"/>
  <c r="Z475" i="71"/>
  <c r="AB475" i="71"/>
  <c r="S476" i="71"/>
  <c r="Y476" i="71"/>
  <c r="Q476" i="71" s="1"/>
  <c r="P476" i="71"/>
  <c r="M157" i="71"/>
  <c r="L157" i="71" s="1"/>
  <c r="C210" i="71" l="1"/>
  <c r="D210" i="71" s="1"/>
  <c r="K210" i="71" s="1"/>
  <c r="B211" i="71" s="1"/>
  <c r="H477" i="71"/>
  <c r="U475" i="71"/>
  <c r="V475" i="71" s="1"/>
  <c r="T476" i="71"/>
  <c r="AB476" i="71"/>
  <c r="Z476" i="71"/>
  <c r="R476" i="71"/>
  <c r="N478" i="71"/>
  <c r="A479" i="71"/>
  <c r="B478" i="71"/>
  <c r="E478" i="71" s="1"/>
  <c r="K478" i="71"/>
  <c r="C478" i="71"/>
  <c r="D478" i="71" s="1"/>
  <c r="Y477" i="71"/>
  <c r="Q477" i="71" s="1"/>
  <c r="P477" i="71"/>
  <c r="S477" i="71"/>
  <c r="H210" i="71"/>
  <c r="I210" i="71"/>
  <c r="H478" i="71" l="1"/>
  <c r="R477" i="71"/>
  <c r="U477" i="71" s="1"/>
  <c r="T477" i="71"/>
  <c r="AB477" i="71"/>
  <c r="Z477" i="71"/>
  <c r="S478" i="71"/>
  <c r="P478" i="71"/>
  <c r="Y478" i="71"/>
  <c r="Q478" i="71" s="1"/>
  <c r="U476" i="71"/>
  <c r="V476" i="71" s="1"/>
  <c r="B479" i="71"/>
  <c r="E479" i="71" s="1"/>
  <c r="C479" i="71"/>
  <c r="D479" i="71" s="1"/>
  <c r="A480" i="71"/>
  <c r="K479" i="71"/>
  <c r="N479" i="71"/>
  <c r="E211" i="71"/>
  <c r="J211" i="71" s="1"/>
  <c r="H479" i="71" l="1"/>
  <c r="Z478" i="71"/>
  <c r="R478" i="71"/>
  <c r="AB478" i="71"/>
  <c r="T478" i="71"/>
  <c r="C480" i="71"/>
  <c r="D480" i="71" s="1"/>
  <c r="B480" i="71"/>
  <c r="E480" i="71" s="1"/>
  <c r="K480" i="71"/>
  <c r="A481" i="71"/>
  <c r="N480" i="71"/>
  <c r="P479" i="71"/>
  <c r="S479" i="71"/>
  <c r="Y479" i="71"/>
  <c r="Q479" i="71" s="1"/>
  <c r="C211" i="71"/>
  <c r="D211" i="71" s="1"/>
  <c r="I211" i="71" s="1"/>
  <c r="V477" i="71"/>
  <c r="H480" i="71" l="1"/>
  <c r="R479" i="71"/>
  <c r="U479" i="71" s="1"/>
  <c r="T479" i="71"/>
  <c r="Z479" i="71"/>
  <c r="AB479" i="71"/>
  <c r="H211" i="71"/>
  <c r="S480" i="71"/>
  <c r="P480" i="71"/>
  <c r="Y480" i="71"/>
  <c r="Q480" i="71" s="1"/>
  <c r="U478" i="71"/>
  <c r="V478" i="71" s="1"/>
  <c r="K211" i="71"/>
  <c r="B212" i="71" s="1"/>
  <c r="E212" i="71" s="1"/>
  <c r="J212" i="71" s="1"/>
  <c r="A482" i="71"/>
  <c r="N481" i="71"/>
  <c r="C481" i="71"/>
  <c r="D481" i="71" s="1"/>
  <c r="K481" i="71"/>
  <c r="B481" i="71"/>
  <c r="E481" i="71" s="1"/>
  <c r="M158" i="71"/>
  <c r="L158" i="71" s="1"/>
  <c r="H481" i="71" l="1"/>
  <c r="V479" i="71"/>
  <c r="S481" i="71"/>
  <c r="Y481" i="71"/>
  <c r="Q481" i="71" s="1"/>
  <c r="P481" i="71"/>
  <c r="C482" i="71"/>
  <c r="D482" i="71" s="1"/>
  <c r="N482" i="71"/>
  <c r="K482" i="71"/>
  <c r="A483" i="71"/>
  <c r="B482" i="71"/>
  <c r="E482" i="71" s="1"/>
  <c r="Z480" i="71"/>
  <c r="R480" i="71"/>
  <c r="U480" i="71" s="1"/>
  <c r="T480" i="71"/>
  <c r="AB480" i="71"/>
  <c r="C212" i="71"/>
  <c r="D212" i="71" s="1"/>
  <c r="V480" i="71" l="1"/>
  <c r="H482" i="71"/>
  <c r="R481" i="71"/>
  <c r="AB481" i="71"/>
  <c r="T481" i="71"/>
  <c r="Z481" i="71"/>
  <c r="B483" i="71"/>
  <c r="E483" i="71" s="1"/>
  <c r="C483" i="71"/>
  <c r="D483" i="71" s="1"/>
  <c r="A484" i="71"/>
  <c r="N483" i="71"/>
  <c r="K483" i="71"/>
  <c r="P482" i="71"/>
  <c r="Y482" i="71"/>
  <c r="Q482" i="71" s="1"/>
  <c r="S482" i="71"/>
  <c r="H212" i="71"/>
  <c r="I212" i="71"/>
  <c r="K212" i="71"/>
  <c r="B213" i="71" s="1"/>
  <c r="H483" i="71" l="1"/>
  <c r="B484" i="71"/>
  <c r="E484" i="71" s="1"/>
  <c r="N484" i="71"/>
  <c r="K484" i="71"/>
  <c r="C484" i="71"/>
  <c r="D484" i="71" s="1"/>
  <c r="A485" i="71"/>
  <c r="Y483" i="71"/>
  <c r="Q483" i="71" s="1"/>
  <c r="S483" i="71"/>
  <c r="P483" i="71"/>
  <c r="R482" i="71"/>
  <c r="Z482" i="71"/>
  <c r="T482" i="71"/>
  <c r="AB482" i="71"/>
  <c r="U481" i="71"/>
  <c r="V481" i="71" s="1"/>
  <c r="E213" i="71"/>
  <c r="J213" i="71" s="1"/>
  <c r="H484" i="71" l="1"/>
  <c r="AB483" i="71"/>
  <c r="Z483" i="71"/>
  <c r="T483" i="71"/>
  <c r="R483" i="71"/>
  <c r="C485" i="71"/>
  <c r="D485" i="71" s="1"/>
  <c r="N485" i="71"/>
  <c r="K485" i="71"/>
  <c r="A486" i="71"/>
  <c r="B485" i="71"/>
  <c r="E485" i="71" s="1"/>
  <c r="P484" i="71"/>
  <c r="S484" i="71"/>
  <c r="Y484" i="71"/>
  <c r="Q484" i="71" s="1"/>
  <c r="U482" i="71"/>
  <c r="V482" i="71" s="1"/>
  <c r="C213" i="71"/>
  <c r="D213" i="71" s="1"/>
  <c r="K213" i="71" s="1"/>
  <c r="B214" i="71" s="1"/>
  <c r="M159" i="71"/>
  <c r="L159" i="71" s="1"/>
  <c r="I213" i="71" l="1"/>
  <c r="H213" i="71"/>
  <c r="P485" i="71"/>
  <c r="S485" i="71"/>
  <c r="Y485" i="71"/>
  <c r="Q485" i="71" s="1"/>
  <c r="H485" i="71"/>
  <c r="U483" i="71"/>
  <c r="V483" i="71" s="1"/>
  <c r="E214" i="71"/>
  <c r="J214" i="71" s="1"/>
  <c r="Z484" i="71"/>
  <c r="T484" i="71"/>
  <c r="AB484" i="71"/>
  <c r="R484" i="71"/>
  <c r="U484" i="71" s="1"/>
  <c r="V484" i="71" s="1"/>
  <c r="C486" i="71"/>
  <c r="D486" i="71" s="1"/>
  <c r="B486" i="71"/>
  <c r="E486" i="71" s="1"/>
  <c r="K486" i="71"/>
  <c r="N486" i="71"/>
  <c r="A487" i="71"/>
  <c r="S486" i="71" l="1"/>
  <c r="P486" i="71"/>
  <c r="Y486" i="71"/>
  <c r="Q486" i="71" s="1"/>
  <c r="H486" i="71"/>
  <c r="T485" i="71"/>
  <c r="R485" i="71"/>
  <c r="Z485" i="71"/>
  <c r="AB485" i="71"/>
  <c r="C487" i="71"/>
  <c r="D487" i="71" s="1"/>
  <c r="B487" i="71"/>
  <c r="N487" i="71"/>
  <c r="K487" i="71"/>
  <c r="A488" i="71"/>
  <c r="E487" i="71"/>
  <c r="C214" i="71"/>
  <c r="D214" i="71" s="1"/>
  <c r="R486" i="71" l="1"/>
  <c r="U486" i="71" s="1"/>
  <c r="Z486" i="71"/>
  <c r="AB486" i="71"/>
  <c r="T486" i="71"/>
  <c r="Y487" i="71"/>
  <c r="Q487" i="71" s="1"/>
  <c r="P487" i="71"/>
  <c r="S487" i="71"/>
  <c r="K214" i="71"/>
  <c r="B215" i="71" s="1"/>
  <c r="H214" i="71"/>
  <c r="I214" i="71"/>
  <c r="U485" i="71"/>
  <c r="V485" i="71" s="1"/>
  <c r="K488" i="71"/>
  <c r="C488" i="71"/>
  <c r="D488" i="71" s="1"/>
  <c r="A489" i="71"/>
  <c r="N488" i="71"/>
  <c r="B488" i="71"/>
  <c r="E488" i="71" s="1"/>
  <c r="H487" i="71"/>
  <c r="H488" i="71" l="1"/>
  <c r="AB487" i="71"/>
  <c r="T487" i="71"/>
  <c r="Z487" i="71"/>
  <c r="R487" i="71"/>
  <c r="S488" i="71"/>
  <c r="Y488" i="71"/>
  <c r="Q488" i="71" s="1"/>
  <c r="P488" i="71"/>
  <c r="C489" i="71"/>
  <c r="D489" i="71" s="1"/>
  <c r="K489" i="71"/>
  <c r="A490" i="71"/>
  <c r="B489" i="71"/>
  <c r="E489" i="71" s="1"/>
  <c r="N489" i="71"/>
  <c r="E215" i="71"/>
  <c r="J215" i="71" s="1"/>
  <c r="V486" i="71"/>
  <c r="M160" i="71"/>
  <c r="L160" i="71" s="1"/>
  <c r="C215" i="71" l="1"/>
  <c r="D215" i="71" s="1"/>
  <c r="K215" i="71" s="1"/>
  <c r="B216" i="71" s="1"/>
  <c r="U487" i="71"/>
  <c r="V487" i="71" s="1"/>
  <c r="N490" i="71"/>
  <c r="C490" i="71"/>
  <c r="D490" i="71" s="1"/>
  <c r="B490" i="71"/>
  <c r="E490" i="71" s="1"/>
  <c r="K490" i="71"/>
  <c r="A491" i="71"/>
  <c r="P489" i="71"/>
  <c r="Y489" i="71"/>
  <c r="Q489" i="71" s="1"/>
  <c r="S489" i="71"/>
  <c r="H489" i="71"/>
  <c r="AB488" i="71"/>
  <c r="R488" i="71"/>
  <c r="Z488" i="71"/>
  <c r="T488" i="71"/>
  <c r="I215" i="71" l="1"/>
  <c r="H215" i="71"/>
  <c r="H490" i="71"/>
  <c r="Y490" i="71"/>
  <c r="Q490" i="71" s="1"/>
  <c r="P490" i="71"/>
  <c r="S490" i="71"/>
  <c r="B491" i="71"/>
  <c r="E491" i="71" s="1"/>
  <c r="C491" i="71"/>
  <c r="D491" i="71" s="1"/>
  <c r="N491" i="71"/>
  <c r="K491" i="71"/>
  <c r="A492" i="71"/>
  <c r="U488" i="71"/>
  <c r="V488" i="71" s="1"/>
  <c r="T489" i="71"/>
  <c r="Z489" i="71"/>
  <c r="AB489" i="71"/>
  <c r="R489" i="71"/>
  <c r="U489" i="71" s="1"/>
  <c r="E216" i="71"/>
  <c r="J216" i="71" s="1"/>
  <c r="V489" i="71" l="1"/>
  <c r="H491" i="71"/>
  <c r="C216" i="71"/>
  <c r="D216" i="71" s="1"/>
  <c r="K216" i="71" s="1"/>
  <c r="B217" i="71" s="1"/>
  <c r="P491" i="71"/>
  <c r="Y491" i="71"/>
  <c r="Q491" i="71" s="1"/>
  <c r="S491" i="71"/>
  <c r="Z490" i="71"/>
  <c r="T490" i="71"/>
  <c r="R490" i="71"/>
  <c r="AB490" i="71"/>
  <c r="A493" i="71"/>
  <c r="B492" i="71"/>
  <c r="E492" i="71" s="1"/>
  <c r="C492" i="71"/>
  <c r="D492" i="71" s="1"/>
  <c r="K492" i="71"/>
  <c r="N492" i="71"/>
  <c r="M161" i="71"/>
  <c r="L161" i="71" s="1"/>
  <c r="H216" i="71" l="1"/>
  <c r="I216" i="71"/>
  <c r="U490" i="71"/>
  <c r="V490" i="71" s="1"/>
  <c r="S492" i="71"/>
  <c r="P492" i="71"/>
  <c r="Y492" i="71"/>
  <c r="Q492" i="71" s="1"/>
  <c r="H492" i="71"/>
  <c r="K493" i="71"/>
  <c r="B493" i="71"/>
  <c r="E493" i="71" s="1"/>
  <c r="A494" i="71"/>
  <c r="N493" i="71"/>
  <c r="C493" i="71"/>
  <c r="D493" i="71" s="1"/>
  <c r="R491" i="71"/>
  <c r="T491" i="71"/>
  <c r="AB491" i="71"/>
  <c r="Z491" i="71"/>
  <c r="E217" i="71"/>
  <c r="J217" i="71" s="1"/>
  <c r="C217" i="71" l="1"/>
  <c r="D217" i="71" s="1"/>
  <c r="H217" i="71" s="1"/>
  <c r="H493" i="71"/>
  <c r="T492" i="71"/>
  <c r="AB492" i="71"/>
  <c r="R492" i="71"/>
  <c r="Z492" i="71"/>
  <c r="U491" i="71"/>
  <c r="V491" i="71" s="1"/>
  <c r="S493" i="71"/>
  <c r="Y493" i="71"/>
  <c r="Q493" i="71" s="1"/>
  <c r="P493" i="71"/>
  <c r="A495" i="71"/>
  <c r="C494" i="71"/>
  <c r="D494" i="71" s="1"/>
  <c r="B494" i="71"/>
  <c r="E494" i="71" s="1"/>
  <c r="K494" i="71"/>
  <c r="N494" i="71"/>
  <c r="M162" i="71"/>
  <c r="L162" i="71" s="1"/>
  <c r="I217" i="71" l="1"/>
  <c r="K217" i="71"/>
  <c r="B218" i="71" s="1"/>
  <c r="E218" i="71" s="1"/>
  <c r="J218" i="71" s="1"/>
  <c r="Y494" i="71"/>
  <c r="Q494" i="71" s="1"/>
  <c r="S494" i="71"/>
  <c r="P494" i="71"/>
  <c r="AB493" i="71"/>
  <c r="R493" i="71"/>
  <c r="U493" i="71" s="1"/>
  <c r="Z493" i="71"/>
  <c r="T493" i="71"/>
  <c r="H494" i="71"/>
  <c r="U492" i="71"/>
  <c r="V492" i="71" s="1"/>
  <c r="A496" i="71"/>
  <c r="C495" i="71"/>
  <c r="D495" i="71" s="1"/>
  <c r="K495" i="71"/>
  <c r="N495" i="71"/>
  <c r="B495" i="71"/>
  <c r="E495" i="71" s="1"/>
  <c r="C218" i="71" l="1"/>
  <c r="D218" i="71" s="1"/>
  <c r="K218" i="71" s="1"/>
  <c r="B219" i="71" s="1"/>
  <c r="H495" i="71"/>
  <c r="V493" i="71"/>
  <c r="R494" i="71"/>
  <c r="AB494" i="71"/>
  <c r="T494" i="71"/>
  <c r="Z494" i="71"/>
  <c r="C496" i="71"/>
  <c r="D496" i="71" s="1"/>
  <c r="N496" i="71"/>
  <c r="K496" i="71"/>
  <c r="B496" i="71"/>
  <c r="E496" i="71" s="1"/>
  <c r="A497" i="71"/>
  <c r="P495" i="71"/>
  <c r="S495" i="71"/>
  <c r="Y495" i="71"/>
  <c r="Q495" i="71" s="1"/>
  <c r="H218" i="71" l="1"/>
  <c r="I218" i="71"/>
  <c r="U494" i="71"/>
  <c r="V494" i="71" s="1"/>
  <c r="T495" i="71"/>
  <c r="Z495" i="71"/>
  <c r="AB495" i="71"/>
  <c r="R495" i="71"/>
  <c r="E219" i="71"/>
  <c r="J219" i="71" s="1"/>
  <c r="N497" i="71"/>
  <c r="A498" i="71"/>
  <c r="C497" i="71"/>
  <c r="D497" i="71" s="1"/>
  <c r="K497" i="71"/>
  <c r="B497" i="71"/>
  <c r="E497" i="71" s="1"/>
  <c r="Y496" i="71"/>
  <c r="Q496" i="71" s="1"/>
  <c r="S496" i="71"/>
  <c r="P496" i="71"/>
  <c r="M163" i="71"/>
  <c r="L163" i="71" s="1"/>
  <c r="C219" i="71" l="1"/>
  <c r="D219" i="71" s="1"/>
  <c r="U495" i="71"/>
  <c r="V495" i="71" s="1"/>
  <c r="N498" i="71"/>
  <c r="B498" i="71"/>
  <c r="E498" i="71" s="1"/>
  <c r="K498" i="71"/>
  <c r="A499" i="71"/>
  <c r="C498" i="71"/>
  <c r="D498" i="71" s="1"/>
  <c r="P497" i="71"/>
  <c r="Y497" i="71"/>
  <c r="Q497" i="71" s="1"/>
  <c r="S497" i="71"/>
  <c r="R496" i="71"/>
  <c r="Z496" i="71"/>
  <c r="T496" i="71"/>
  <c r="AB496" i="71"/>
  <c r="N499" i="71" l="1"/>
  <c r="B499" i="71"/>
  <c r="E499" i="71" s="1"/>
  <c r="A500" i="71"/>
  <c r="K499" i="71"/>
  <c r="C499" i="71"/>
  <c r="D499" i="71" s="1"/>
  <c r="U496" i="71"/>
  <c r="V496" i="71" s="1"/>
  <c r="S498" i="71"/>
  <c r="P498" i="71"/>
  <c r="Y498" i="71"/>
  <c r="Q498" i="71" s="1"/>
  <c r="Z497" i="71"/>
  <c r="R497" i="71"/>
  <c r="T497" i="71"/>
  <c r="AB497" i="71"/>
  <c r="I219" i="71"/>
  <c r="H219" i="71"/>
  <c r="K219" i="71"/>
  <c r="B220" i="71" s="1"/>
  <c r="U497" i="71" l="1"/>
  <c r="V497" i="71" s="1"/>
  <c r="N500" i="71"/>
  <c r="C500" i="71"/>
  <c r="D500" i="71" s="1"/>
  <c r="K500" i="71"/>
  <c r="B500" i="71"/>
  <c r="E500" i="71" s="1"/>
  <c r="A501" i="71"/>
  <c r="AB498" i="71"/>
  <c r="Z498" i="71"/>
  <c r="T498" i="71"/>
  <c r="R498" i="71"/>
  <c r="U498" i="71" s="1"/>
  <c r="E220" i="71"/>
  <c r="J220" i="71" s="1"/>
  <c r="S499" i="71"/>
  <c r="P499" i="71"/>
  <c r="Y499" i="71"/>
  <c r="Q499" i="71" s="1"/>
  <c r="M164" i="71"/>
  <c r="L164" i="71" s="1"/>
  <c r="C220" i="71" l="1"/>
  <c r="D220" i="71" s="1"/>
  <c r="I220" i="71" s="1"/>
  <c r="A502" i="71"/>
  <c r="K501" i="71"/>
  <c r="N501" i="71"/>
  <c r="B501" i="71"/>
  <c r="E501" i="71" s="1"/>
  <c r="C501" i="71"/>
  <c r="D501" i="71" s="1"/>
  <c r="V498" i="71"/>
  <c r="Y500" i="71"/>
  <c r="Q500" i="71" s="1"/>
  <c r="P500" i="71"/>
  <c r="S500" i="71"/>
  <c r="T499" i="71"/>
  <c r="Z499" i="71"/>
  <c r="R499" i="71"/>
  <c r="AB499" i="71"/>
  <c r="K220" i="71" l="1"/>
  <c r="B221" i="71" s="1"/>
  <c r="E221" i="71" s="1"/>
  <c r="J221" i="71" s="1"/>
  <c r="H220" i="71"/>
  <c r="P501" i="71"/>
  <c r="Y501" i="71"/>
  <c r="Q501" i="71" s="1"/>
  <c r="S501" i="71"/>
  <c r="N502" i="71"/>
  <c r="K502" i="71"/>
  <c r="A503" i="71"/>
  <c r="B502" i="71"/>
  <c r="E502" i="71" s="1"/>
  <c r="C502" i="71"/>
  <c r="D502" i="71" s="1"/>
  <c r="T500" i="71"/>
  <c r="Z500" i="71"/>
  <c r="R500" i="71"/>
  <c r="AB500" i="71"/>
  <c r="U499" i="71"/>
  <c r="V499" i="71" s="1"/>
  <c r="C221" i="71" l="1"/>
  <c r="D221" i="71" s="1"/>
  <c r="K221" i="71" s="1"/>
  <c r="B222" i="71" s="1"/>
  <c r="E222" i="71" s="1"/>
  <c r="J222" i="71" s="1"/>
  <c r="P502" i="71"/>
  <c r="S502" i="71"/>
  <c r="Y502" i="71"/>
  <c r="Q502" i="71" s="1"/>
  <c r="U500" i="71"/>
  <c r="V500" i="71" s="1"/>
  <c r="AB501" i="71"/>
  <c r="Z501" i="71"/>
  <c r="T501" i="71"/>
  <c r="R501" i="71"/>
  <c r="U501" i="71" s="1"/>
  <c r="A504" i="71"/>
  <c r="N503" i="71"/>
  <c r="B503" i="71"/>
  <c r="E503" i="71" s="1"/>
  <c r="C503" i="71"/>
  <c r="D503" i="71" s="1"/>
  <c r="K503" i="71"/>
  <c r="H221" i="71" l="1"/>
  <c r="I221" i="71"/>
  <c r="V501" i="71"/>
  <c r="Z502" i="71"/>
  <c r="R502" i="71"/>
  <c r="AB502" i="71"/>
  <c r="T502" i="71"/>
  <c r="B504" i="71"/>
  <c r="E504" i="71" s="1"/>
  <c r="A505" i="71"/>
  <c r="K504" i="71"/>
  <c r="N504" i="71"/>
  <c r="C504" i="71"/>
  <c r="D504" i="71" s="1"/>
  <c r="C222" i="71"/>
  <c r="D222" i="71" s="1"/>
  <c r="S503" i="71"/>
  <c r="Y503" i="71"/>
  <c r="Q503" i="71" s="1"/>
  <c r="P503" i="71"/>
  <c r="M165" i="71"/>
  <c r="L165" i="71" s="1"/>
  <c r="Y504" i="71" l="1"/>
  <c r="Q504" i="71" s="1"/>
  <c r="S504" i="71"/>
  <c r="P504" i="71"/>
  <c r="N505" i="71"/>
  <c r="K505" i="71"/>
  <c r="C505" i="71"/>
  <c r="D505" i="71" s="1"/>
  <c r="B505" i="71"/>
  <c r="E505" i="71" s="1"/>
  <c r="A506" i="71"/>
  <c r="R503" i="71"/>
  <c r="U503" i="71" s="1"/>
  <c r="Z503" i="71"/>
  <c r="AB503" i="71"/>
  <c r="T503" i="71"/>
  <c r="H222" i="71"/>
  <c r="I222" i="71"/>
  <c r="K222" i="71"/>
  <c r="B223" i="71" s="1"/>
  <c r="U502" i="71"/>
  <c r="V502" i="71" s="1"/>
  <c r="V503" i="71" l="1"/>
  <c r="E223" i="71"/>
  <c r="J223" i="71" s="1"/>
  <c r="S505" i="71"/>
  <c r="P505" i="71"/>
  <c r="Y505" i="71"/>
  <c r="Q505" i="71" s="1"/>
  <c r="K506" i="71"/>
  <c r="C506" i="71"/>
  <c r="D506" i="71" s="1"/>
  <c r="A507" i="71"/>
  <c r="N506" i="71"/>
  <c r="B506" i="71"/>
  <c r="E506" i="71" s="1"/>
  <c r="Z504" i="71"/>
  <c r="R504" i="71"/>
  <c r="T504" i="71"/>
  <c r="AB504" i="71"/>
  <c r="C223" i="71" l="1"/>
  <c r="D223" i="71" s="1"/>
  <c r="K223" i="71" s="1"/>
  <c r="B224" i="71" s="1"/>
  <c r="E224" i="71" s="1"/>
  <c r="J224" i="71" s="1"/>
  <c r="U504" i="71"/>
  <c r="V504" i="71" s="1"/>
  <c r="AB505" i="71"/>
  <c r="Z505" i="71"/>
  <c r="R505" i="71"/>
  <c r="U505" i="71" s="1"/>
  <c r="T505" i="71"/>
  <c r="S506" i="71"/>
  <c r="P506" i="71"/>
  <c r="Y506" i="71"/>
  <c r="Q506" i="71" s="1"/>
  <c r="N507" i="71"/>
  <c r="A508" i="71"/>
  <c r="C507" i="71"/>
  <c r="D507" i="71" s="1"/>
  <c r="K507" i="71"/>
  <c r="B507" i="71"/>
  <c r="E507" i="71" s="1"/>
  <c r="M166" i="71"/>
  <c r="L166" i="71" s="1"/>
  <c r="H223" i="71" l="1"/>
  <c r="I223" i="71"/>
  <c r="V505" i="71"/>
  <c r="Y507" i="71"/>
  <c r="Q507" i="71" s="1"/>
  <c r="S507" i="71"/>
  <c r="P507" i="71"/>
  <c r="T506" i="71"/>
  <c r="AB506" i="71"/>
  <c r="R506" i="71"/>
  <c r="U506" i="71" s="1"/>
  <c r="Z506" i="71"/>
  <c r="K508" i="71"/>
  <c r="B508" i="71"/>
  <c r="E508" i="71" s="1"/>
  <c r="C508" i="71"/>
  <c r="D508" i="71" s="1"/>
  <c r="A509" i="71"/>
  <c r="N508" i="71"/>
  <c r="C224" i="71"/>
  <c r="D224" i="71" s="1"/>
  <c r="V506" i="71" l="1"/>
  <c r="I224" i="71"/>
  <c r="H224" i="71"/>
  <c r="K224" i="71"/>
  <c r="B225" i="71" s="1"/>
  <c r="Y508" i="71"/>
  <c r="Q508" i="71" s="1"/>
  <c r="P508" i="71"/>
  <c r="S508" i="71"/>
  <c r="T507" i="71"/>
  <c r="Z507" i="71"/>
  <c r="AB507" i="71"/>
  <c r="R507" i="71"/>
  <c r="C509" i="71"/>
  <c r="D509" i="71" s="1"/>
  <c r="K509" i="71"/>
  <c r="A510" i="71"/>
  <c r="B509" i="71"/>
  <c r="E509" i="71" s="1"/>
  <c r="N509" i="71"/>
  <c r="Z508" i="71" l="1"/>
  <c r="AB508" i="71"/>
  <c r="R508" i="71"/>
  <c r="T508" i="71"/>
  <c r="N510" i="71"/>
  <c r="B510" i="71"/>
  <c r="E510" i="71" s="1"/>
  <c r="C510" i="71"/>
  <c r="D510" i="71" s="1"/>
  <c r="A511" i="71"/>
  <c r="K510" i="71"/>
  <c r="U507" i="71"/>
  <c r="V507" i="71" s="1"/>
  <c r="E225" i="71"/>
  <c r="J225" i="71" s="1"/>
  <c r="S509" i="71"/>
  <c r="P509" i="71"/>
  <c r="Y509" i="71"/>
  <c r="Q509" i="71" s="1"/>
  <c r="M167" i="71"/>
  <c r="L167" i="71" s="1"/>
  <c r="C225" i="71" l="1"/>
  <c r="D225" i="71" s="1"/>
  <c r="I225" i="71" s="1"/>
  <c r="B511" i="71"/>
  <c r="E511" i="71" s="1"/>
  <c r="N511" i="71"/>
  <c r="A512" i="71"/>
  <c r="K511" i="71"/>
  <c r="C511" i="71"/>
  <c r="D511" i="71" s="1"/>
  <c r="S510" i="71"/>
  <c r="Y510" i="71"/>
  <c r="Q510" i="71" s="1"/>
  <c r="P510" i="71"/>
  <c r="U508" i="71"/>
  <c r="V508" i="71" s="1"/>
  <c r="T509" i="71"/>
  <c r="Z509" i="71"/>
  <c r="R509" i="71"/>
  <c r="AB509" i="71"/>
  <c r="H225" i="71" l="1"/>
  <c r="K225" i="71"/>
  <c r="B226" i="71" s="1"/>
  <c r="E226" i="71" s="1"/>
  <c r="J226" i="71" s="1"/>
  <c r="R510" i="71"/>
  <c r="T510" i="71"/>
  <c r="AB510" i="71"/>
  <c r="Z510" i="71"/>
  <c r="C512" i="71"/>
  <c r="D512" i="71" s="1"/>
  <c r="A513" i="71"/>
  <c r="N512" i="71"/>
  <c r="K512" i="71"/>
  <c r="B512" i="71"/>
  <c r="E512" i="71" s="1"/>
  <c r="P511" i="71"/>
  <c r="Y511" i="71"/>
  <c r="Q511" i="71" s="1"/>
  <c r="S511" i="71"/>
  <c r="U509" i="71"/>
  <c r="V509" i="71" s="1"/>
  <c r="Z511" i="71" l="1"/>
  <c r="R511" i="71"/>
  <c r="AB511" i="71"/>
  <c r="T511" i="71"/>
  <c r="U510" i="71"/>
  <c r="V510" i="71" s="1"/>
  <c r="C513" i="71"/>
  <c r="D513" i="71" s="1"/>
  <c r="B513" i="71"/>
  <c r="E513" i="71" s="1"/>
  <c r="A514" i="71"/>
  <c r="K513" i="71"/>
  <c r="N513" i="71"/>
  <c r="S512" i="71"/>
  <c r="Y512" i="71"/>
  <c r="Q512" i="71" s="1"/>
  <c r="P512" i="71"/>
  <c r="C226" i="71"/>
  <c r="D226" i="71" s="1"/>
  <c r="I226" i="71" l="1"/>
  <c r="H226" i="71"/>
  <c r="K226" i="71"/>
  <c r="B227" i="71" s="1"/>
  <c r="Z512" i="71"/>
  <c r="R512" i="71"/>
  <c r="T512" i="71"/>
  <c r="AB512" i="71"/>
  <c r="U511" i="71"/>
  <c r="V511" i="71" s="1"/>
  <c r="Y513" i="71"/>
  <c r="Q513" i="71" s="1"/>
  <c r="S513" i="71"/>
  <c r="P513" i="71"/>
  <c r="C514" i="71"/>
  <c r="D514" i="71" s="1"/>
  <c r="K514" i="71"/>
  <c r="N514" i="71"/>
  <c r="A515" i="71"/>
  <c r="B514" i="71"/>
  <c r="E514" i="71" s="1"/>
  <c r="M168" i="71"/>
  <c r="L168" i="71" s="1"/>
  <c r="U512" i="71" l="1"/>
  <c r="V512" i="71" s="1"/>
  <c r="E227" i="71"/>
  <c r="J227" i="71" s="1"/>
  <c r="P514" i="71"/>
  <c r="S514" i="71"/>
  <c r="Y514" i="71"/>
  <c r="Q514" i="71" s="1"/>
  <c r="T513" i="71"/>
  <c r="R513" i="71"/>
  <c r="Z513" i="71"/>
  <c r="AB513" i="71"/>
  <c r="A516" i="71"/>
  <c r="B515" i="71"/>
  <c r="E515" i="71" s="1"/>
  <c r="C515" i="71"/>
  <c r="D515" i="71" s="1"/>
  <c r="N515" i="71"/>
  <c r="K515" i="71"/>
  <c r="M169" i="71"/>
  <c r="L169" i="71" s="1"/>
  <c r="R514" i="71" l="1"/>
  <c r="U514" i="71" s="1"/>
  <c r="T514" i="71"/>
  <c r="Z514" i="71"/>
  <c r="AB514" i="71"/>
  <c r="Y515" i="71"/>
  <c r="Q515" i="71" s="1"/>
  <c r="P515" i="71"/>
  <c r="S515" i="71"/>
  <c r="K516" i="71"/>
  <c r="B516" i="71"/>
  <c r="E516" i="71" s="1"/>
  <c r="C516" i="71"/>
  <c r="D516" i="71" s="1"/>
  <c r="A517" i="71"/>
  <c r="N516" i="71"/>
  <c r="C227" i="71"/>
  <c r="D227" i="71" s="1"/>
  <c r="U513" i="71"/>
  <c r="V513" i="71" s="1"/>
  <c r="V514" i="71" l="1"/>
  <c r="T515" i="71"/>
  <c r="Z515" i="71"/>
  <c r="R515" i="71"/>
  <c r="AB515" i="71"/>
  <c r="P516" i="71"/>
  <c r="Y516" i="71"/>
  <c r="Q516" i="71" s="1"/>
  <c r="S516" i="71"/>
  <c r="H227" i="71"/>
  <c r="I227" i="71"/>
  <c r="K227" i="71"/>
  <c r="B228" i="71" s="1"/>
  <c r="K517" i="71"/>
  <c r="N517" i="71"/>
  <c r="A518" i="71"/>
  <c r="C517" i="71"/>
  <c r="D517" i="71" s="1"/>
  <c r="B517" i="71"/>
  <c r="E517" i="71" s="1"/>
  <c r="C518" i="71" l="1"/>
  <c r="D518" i="71" s="1"/>
  <c r="B518" i="71"/>
  <c r="E518" i="71" s="1"/>
  <c r="A519" i="71"/>
  <c r="N518" i="71"/>
  <c r="K518" i="71"/>
  <c r="P517" i="71"/>
  <c r="Y517" i="71"/>
  <c r="Q517" i="71" s="1"/>
  <c r="S517" i="71"/>
  <c r="E228" i="71"/>
  <c r="J228" i="71" s="1"/>
  <c r="U515" i="71"/>
  <c r="V515" i="71" s="1"/>
  <c r="Z516" i="71"/>
  <c r="T516" i="71"/>
  <c r="R516" i="71"/>
  <c r="U516" i="71" s="1"/>
  <c r="AB516" i="71"/>
  <c r="Z517" i="71" l="1"/>
  <c r="AB517" i="71"/>
  <c r="T517" i="71"/>
  <c r="R517" i="71"/>
  <c r="P518" i="71"/>
  <c r="Y518" i="71"/>
  <c r="Q518" i="71" s="1"/>
  <c r="S518" i="71"/>
  <c r="C228" i="71"/>
  <c r="D228" i="71" s="1"/>
  <c r="A520" i="71"/>
  <c r="B519" i="71"/>
  <c r="E519" i="71" s="1"/>
  <c r="K519" i="71"/>
  <c r="C519" i="71"/>
  <c r="D519" i="71" s="1"/>
  <c r="N519" i="71"/>
  <c r="V516" i="71"/>
  <c r="M170" i="71"/>
  <c r="L170" i="71" s="1"/>
  <c r="H228" i="71" l="1"/>
  <c r="I228" i="71"/>
  <c r="K228" i="71"/>
  <c r="B229" i="71" s="1"/>
  <c r="Y519" i="71"/>
  <c r="Q519" i="71" s="1"/>
  <c r="P519" i="71"/>
  <c r="S519" i="71"/>
  <c r="Z518" i="71"/>
  <c r="T518" i="71"/>
  <c r="R518" i="71"/>
  <c r="U518" i="71" s="1"/>
  <c r="AB518" i="71"/>
  <c r="U517" i="71"/>
  <c r="V517" i="71" s="1"/>
  <c r="A521" i="71"/>
  <c r="C520" i="71"/>
  <c r="D520" i="71" s="1"/>
  <c r="K520" i="71"/>
  <c r="N520" i="71"/>
  <c r="B520" i="71"/>
  <c r="E520" i="71" s="1"/>
  <c r="K521" i="71" l="1"/>
  <c r="A522" i="71"/>
  <c r="N521" i="71"/>
  <c r="C521" i="71"/>
  <c r="D521" i="71" s="1"/>
  <c r="B521" i="71"/>
  <c r="E521" i="71" s="1"/>
  <c r="Y520" i="71"/>
  <c r="Q520" i="71" s="1"/>
  <c r="P520" i="71"/>
  <c r="S520" i="71"/>
  <c r="Z519" i="71"/>
  <c r="R519" i="71"/>
  <c r="T519" i="71"/>
  <c r="AB519" i="71"/>
  <c r="E229" i="71"/>
  <c r="J229" i="71" s="1"/>
  <c r="V518" i="71"/>
  <c r="C229" i="71" l="1"/>
  <c r="D229" i="71" s="1"/>
  <c r="I229" i="71" s="1"/>
  <c r="T520" i="71"/>
  <c r="R520" i="71"/>
  <c r="AB520" i="71"/>
  <c r="Z520" i="71"/>
  <c r="U519" i="71"/>
  <c r="V519" i="71" s="1"/>
  <c r="Y521" i="71"/>
  <c r="Q521" i="71" s="1"/>
  <c r="S521" i="71"/>
  <c r="P521" i="71"/>
  <c r="B522" i="71"/>
  <c r="E522" i="71" s="1"/>
  <c r="A523" i="71"/>
  <c r="K522" i="71"/>
  <c r="C522" i="71"/>
  <c r="D522" i="71" s="1"/>
  <c r="N522" i="71"/>
  <c r="K229" i="71" l="1"/>
  <c r="B230" i="71" s="1"/>
  <c r="H229" i="71"/>
  <c r="R521" i="71"/>
  <c r="Z521" i="71"/>
  <c r="AB521" i="71"/>
  <c r="T521" i="71"/>
  <c r="E230" i="71"/>
  <c r="J230" i="71" s="1"/>
  <c r="U520" i="71"/>
  <c r="V520" i="71" s="1"/>
  <c r="A524" i="71"/>
  <c r="B523" i="71"/>
  <c r="E523" i="71" s="1"/>
  <c r="N523" i="71"/>
  <c r="C523" i="71"/>
  <c r="D523" i="71" s="1"/>
  <c r="K523" i="71"/>
  <c r="Y522" i="71"/>
  <c r="Q522" i="71" s="1"/>
  <c r="S522" i="71"/>
  <c r="P522" i="71"/>
  <c r="M171" i="71"/>
  <c r="L171" i="71" s="1"/>
  <c r="C230" i="71" l="1"/>
  <c r="D230" i="71" s="1"/>
  <c r="K230" i="71" s="1"/>
  <c r="B231" i="71" s="1"/>
  <c r="E231" i="71" s="1"/>
  <c r="J231" i="71" s="1"/>
  <c r="AB522" i="71"/>
  <c r="R522" i="71"/>
  <c r="U522" i="71" s="1"/>
  <c r="T522" i="71"/>
  <c r="Z522" i="71"/>
  <c r="Y523" i="71"/>
  <c r="Q523" i="71" s="1"/>
  <c r="S523" i="71"/>
  <c r="P523" i="71"/>
  <c r="A525" i="71"/>
  <c r="N524" i="71"/>
  <c r="B524" i="71"/>
  <c r="E524" i="71" s="1"/>
  <c r="C524" i="71"/>
  <c r="D524" i="71" s="1"/>
  <c r="K524" i="71"/>
  <c r="U521" i="71"/>
  <c r="V521" i="71" s="1"/>
  <c r="C231" i="71" l="1"/>
  <c r="D231" i="71" s="1"/>
  <c r="K231" i="71" s="1"/>
  <c r="B232" i="71" s="1"/>
  <c r="I230" i="71"/>
  <c r="H230" i="71"/>
  <c r="V522" i="71"/>
  <c r="Z523" i="71"/>
  <c r="R523" i="71"/>
  <c r="AB523" i="71"/>
  <c r="T523" i="71"/>
  <c r="S524" i="71"/>
  <c r="P524" i="71"/>
  <c r="Y524" i="71"/>
  <c r="Q524" i="71" s="1"/>
  <c r="N525" i="71"/>
  <c r="C525" i="71"/>
  <c r="D525" i="71" s="1"/>
  <c r="K525" i="71"/>
  <c r="B525" i="71"/>
  <c r="E525" i="71" s="1"/>
  <c r="A526" i="71"/>
  <c r="H231" i="71" l="1"/>
  <c r="I231" i="71"/>
  <c r="S525" i="71"/>
  <c r="P525" i="71"/>
  <c r="Y525" i="71"/>
  <c r="Q525" i="71" s="1"/>
  <c r="Z524" i="71"/>
  <c r="AB524" i="71"/>
  <c r="R524" i="71"/>
  <c r="T524" i="71"/>
  <c r="N526" i="71"/>
  <c r="B526" i="71"/>
  <c r="E526" i="71" s="1"/>
  <c r="K526" i="71"/>
  <c r="C526" i="71"/>
  <c r="D526" i="71" s="1"/>
  <c r="A527" i="71"/>
  <c r="U523" i="71"/>
  <c r="V523" i="71" s="1"/>
  <c r="E232" i="71"/>
  <c r="J232" i="71" s="1"/>
  <c r="J233" i="71" s="1"/>
  <c r="J234" i="71" s="1"/>
  <c r="J235" i="71" s="1"/>
  <c r="J236" i="71" s="1"/>
  <c r="J237" i="71" s="1"/>
  <c r="J238" i="71" s="1"/>
  <c r="J239" i="71" s="1"/>
  <c r="J240" i="71" s="1"/>
  <c r="J241" i="71" s="1"/>
  <c r="J242" i="71" s="1"/>
  <c r="J243" i="71" s="1"/>
  <c r="J244" i="71" s="1"/>
  <c r="J245" i="71" s="1"/>
  <c r="J246" i="71" s="1"/>
  <c r="J247" i="71" s="1"/>
  <c r="J248" i="71" s="1"/>
  <c r="J249" i="71" s="1"/>
  <c r="J250" i="71" s="1"/>
  <c r="J251" i="71" s="1"/>
  <c r="J252" i="71" s="1"/>
  <c r="J253" i="71" s="1"/>
  <c r="J254" i="71" s="1"/>
  <c r="J255" i="71" s="1"/>
  <c r="J256" i="71" s="1"/>
  <c r="J257" i="71" s="1"/>
  <c r="J258" i="71" s="1"/>
  <c r="J259" i="71" s="1"/>
  <c r="J260" i="71" s="1"/>
  <c r="J261" i="71" s="1"/>
  <c r="J262" i="71" s="1"/>
  <c r="J263" i="71" s="1"/>
  <c r="J264" i="71" s="1"/>
  <c r="J265" i="71" s="1"/>
  <c r="J266" i="71" s="1"/>
  <c r="J267" i="71" s="1"/>
  <c r="J268" i="71" s="1"/>
  <c r="J269" i="71" s="1"/>
  <c r="J270" i="71" s="1"/>
  <c r="J271" i="71" s="1"/>
  <c r="J272" i="71" s="1"/>
  <c r="J273" i="71" s="1"/>
  <c r="J274" i="71" s="1"/>
  <c r="J275" i="71" s="1"/>
  <c r="J276" i="71" s="1"/>
  <c r="J277" i="71" s="1"/>
  <c r="J278" i="71" s="1"/>
  <c r="J279" i="71" s="1"/>
  <c r="J280" i="71" s="1"/>
  <c r="J281" i="71" s="1"/>
  <c r="J282" i="71" s="1"/>
  <c r="J283" i="71" s="1"/>
  <c r="J284" i="71" s="1"/>
  <c r="J285" i="71" s="1"/>
  <c r="J286" i="71" s="1"/>
  <c r="J287" i="71" s="1"/>
  <c r="J288" i="71" s="1"/>
  <c r="J289" i="71" s="1"/>
  <c r="J290" i="71" s="1"/>
  <c r="J291" i="71" s="1"/>
  <c r="J292" i="71" s="1"/>
  <c r="J293" i="71" s="1"/>
  <c r="J294" i="71" s="1"/>
  <c r="J295" i="71" s="1"/>
  <c r="J296" i="71" s="1"/>
  <c r="J297" i="71" s="1"/>
  <c r="J298" i="71" s="1"/>
  <c r="J299" i="71" s="1"/>
  <c r="J300" i="71" s="1"/>
  <c r="J301" i="71" s="1"/>
  <c r="J302" i="71" s="1"/>
  <c r="J303" i="71" s="1"/>
  <c r="J304" i="71" s="1"/>
  <c r="J305" i="71" s="1"/>
  <c r="J306" i="71" s="1"/>
  <c r="J307" i="71" s="1"/>
  <c r="J308" i="71" s="1"/>
  <c r="J309" i="71" s="1"/>
  <c r="J310" i="71" s="1"/>
  <c r="J311" i="71" s="1"/>
  <c r="J312" i="71" s="1"/>
  <c r="J313" i="71" s="1"/>
  <c r="J314" i="71" s="1"/>
  <c r="J315" i="71" s="1"/>
  <c r="J316" i="71" s="1"/>
  <c r="J317" i="71" s="1"/>
  <c r="J318" i="71" s="1"/>
  <c r="J319" i="71" s="1"/>
  <c r="J320" i="71" s="1"/>
  <c r="J321" i="71" s="1"/>
  <c r="J322" i="71" s="1"/>
  <c r="J323" i="71" s="1"/>
  <c r="J324" i="71" s="1"/>
  <c r="J325" i="71" s="1"/>
  <c r="J326" i="71" s="1"/>
  <c r="J327" i="71" s="1"/>
  <c r="J328" i="71" s="1"/>
  <c r="J329" i="71" s="1"/>
  <c r="J330" i="71" s="1"/>
  <c r="J331" i="71" s="1"/>
  <c r="J332" i="71" s="1"/>
  <c r="J333" i="71" s="1"/>
  <c r="J334" i="71" s="1"/>
  <c r="J335" i="71" s="1"/>
  <c r="J336" i="71" s="1"/>
  <c r="J337" i="71" s="1"/>
  <c r="J338" i="71" s="1"/>
  <c r="J339" i="71" s="1"/>
  <c r="J340" i="71" s="1"/>
  <c r="J341" i="71" s="1"/>
  <c r="J342" i="71" s="1"/>
  <c r="J343" i="71" s="1"/>
  <c r="J344" i="71" s="1"/>
  <c r="J345" i="71" s="1"/>
  <c r="J346" i="71" s="1"/>
  <c r="J347" i="71" s="1"/>
  <c r="J348" i="71" s="1"/>
  <c r="J349" i="71" s="1"/>
  <c r="J350" i="71" s="1"/>
  <c r="J351" i="71" s="1"/>
  <c r="J352" i="71" s="1"/>
  <c r="J353" i="71" s="1"/>
  <c r="J354" i="71" s="1"/>
  <c r="J355" i="71" s="1"/>
  <c r="J356" i="71" s="1"/>
  <c r="J357" i="71" s="1"/>
  <c r="J358" i="71" s="1"/>
  <c r="J359" i="71" s="1"/>
  <c r="J360" i="71" s="1"/>
  <c r="J361" i="71" s="1"/>
  <c r="J362" i="71" s="1"/>
  <c r="J363" i="71" s="1"/>
  <c r="J364" i="71" s="1"/>
  <c r="J365" i="71" s="1"/>
  <c r="J366" i="71" s="1"/>
  <c r="J367" i="71" s="1"/>
  <c r="J368" i="71" s="1"/>
  <c r="J369" i="71" s="1"/>
  <c r="J370" i="71" s="1"/>
  <c r="J371" i="71" s="1"/>
  <c r="J372" i="71" s="1"/>
  <c r="J373" i="71" s="1"/>
  <c r="J374" i="71" s="1"/>
  <c r="J375" i="71" s="1"/>
  <c r="J376" i="71" s="1"/>
  <c r="J377" i="71" s="1"/>
  <c r="J378" i="71" s="1"/>
  <c r="J379" i="71" s="1"/>
  <c r="J380" i="71" s="1"/>
  <c r="J381" i="71" s="1"/>
  <c r="J382" i="71" s="1"/>
  <c r="J383" i="71" s="1"/>
  <c r="J384" i="71" s="1"/>
  <c r="J385" i="71" s="1"/>
  <c r="J386" i="71" s="1"/>
  <c r="J387" i="71" s="1"/>
  <c r="J388" i="71" s="1"/>
  <c r="J389" i="71" s="1"/>
  <c r="J390" i="71" s="1"/>
  <c r="J391" i="71" s="1"/>
  <c r="J392" i="71" s="1"/>
  <c r="J393" i="71" s="1"/>
  <c r="J394" i="71" s="1"/>
  <c r="J395" i="71" s="1"/>
  <c r="J396" i="71" s="1"/>
  <c r="J397" i="71" s="1"/>
  <c r="J398" i="71" s="1"/>
  <c r="J399" i="71" s="1"/>
  <c r="J400" i="71" s="1"/>
  <c r="J401" i="71" s="1"/>
  <c r="J402" i="71" s="1"/>
  <c r="J403" i="71" s="1"/>
  <c r="J404" i="71" s="1"/>
  <c r="J405" i="71" s="1"/>
  <c r="J406" i="71" s="1"/>
  <c r="J407" i="71" s="1"/>
  <c r="J408" i="71" s="1"/>
  <c r="J409" i="71" s="1"/>
  <c r="J410" i="71" s="1"/>
  <c r="J411" i="71" s="1"/>
  <c r="J412" i="71" s="1"/>
  <c r="J413" i="71" s="1"/>
  <c r="J414" i="71" s="1"/>
  <c r="J415" i="71" s="1"/>
  <c r="J416" i="71" s="1"/>
  <c r="J417" i="71" s="1"/>
  <c r="J418" i="71" s="1"/>
  <c r="J419" i="71" s="1"/>
  <c r="J420" i="71" s="1"/>
  <c r="J421" i="71" s="1"/>
  <c r="J422" i="71" s="1"/>
  <c r="J423" i="71" s="1"/>
  <c r="J424" i="71" s="1"/>
  <c r="J425" i="71" s="1"/>
  <c r="J426" i="71" s="1"/>
  <c r="J427" i="71" s="1"/>
  <c r="J428" i="71" s="1"/>
  <c r="J429" i="71" s="1"/>
  <c r="J430" i="71" s="1"/>
  <c r="J431" i="71" s="1"/>
  <c r="J432" i="71" s="1"/>
  <c r="J433" i="71" s="1"/>
  <c r="J434" i="71" s="1"/>
  <c r="J435" i="71" s="1"/>
  <c r="J436" i="71" s="1"/>
  <c r="J437" i="71" s="1"/>
  <c r="J438" i="71" s="1"/>
  <c r="J439" i="71" s="1"/>
  <c r="J440" i="71" s="1"/>
  <c r="J441" i="71" s="1"/>
  <c r="J442" i="71" s="1"/>
  <c r="J443" i="71" s="1"/>
  <c r="J444" i="71" s="1"/>
  <c r="J445" i="71" s="1"/>
  <c r="J446" i="71" s="1"/>
  <c r="J447" i="71" s="1"/>
  <c r="J448" i="71" s="1"/>
  <c r="J449" i="71" s="1"/>
  <c r="J450" i="71" s="1"/>
  <c r="J451" i="71" s="1"/>
  <c r="J452" i="71" s="1"/>
  <c r="J453" i="71" s="1"/>
  <c r="J454" i="71" s="1"/>
  <c r="J455" i="71" s="1"/>
  <c r="J456" i="71" s="1"/>
  <c r="J457" i="71" s="1"/>
  <c r="J458" i="71" s="1"/>
  <c r="J459" i="71" s="1"/>
  <c r="J460" i="71" s="1"/>
  <c r="J461" i="71" s="1"/>
  <c r="J462" i="71" s="1"/>
  <c r="J463" i="71" s="1"/>
  <c r="J464" i="71" s="1"/>
  <c r="J465" i="71" s="1"/>
  <c r="J466" i="71" s="1"/>
  <c r="J467" i="71" s="1"/>
  <c r="J468" i="71" s="1"/>
  <c r="J469" i="71" s="1"/>
  <c r="J470" i="71" s="1"/>
  <c r="J471" i="71" s="1"/>
  <c r="J472" i="71" s="1"/>
  <c r="J473" i="71" s="1"/>
  <c r="J474" i="71" s="1"/>
  <c r="J475" i="71" s="1"/>
  <c r="J476" i="71" s="1"/>
  <c r="J477" i="71" s="1"/>
  <c r="J478" i="71" s="1"/>
  <c r="J479" i="71" s="1"/>
  <c r="J480" i="71" s="1"/>
  <c r="J481" i="71" s="1"/>
  <c r="J482" i="71" s="1"/>
  <c r="J483" i="71" s="1"/>
  <c r="J484" i="71" s="1"/>
  <c r="J485" i="71" s="1"/>
  <c r="J486" i="71" s="1"/>
  <c r="J487" i="71" s="1"/>
  <c r="J488" i="71" s="1"/>
  <c r="J489" i="71" s="1"/>
  <c r="J490" i="71" s="1"/>
  <c r="J491" i="71" s="1"/>
  <c r="J492" i="71" s="1"/>
  <c r="J493" i="71" s="1"/>
  <c r="J494" i="71" s="1"/>
  <c r="J495" i="71" s="1"/>
  <c r="C232" i="71" l="1"/>
  <c r="D232" i="71" s="1"/>
  <c r="H232" i="71" s="1"/>
  <c r="S526" i="71"/>
  <c r="P526" i="71"/>
  <c r="Y526" i="71"/>
  <c r="Q526" i="71" s="1"/>
  <c r="U524" i="71"/>
  <c r="V524" i="71" s="1"/>
  <c r="Z525" i="71"/>
  <c r="AB525" i="71"/>
  <c r="R525" i="71"/>
  <c r="U525" i="71" s="1"/>
  <c r="T525" i="71"/>
  <c r="N527" i="71"/>
  <c r="A528" i="71"/>
  <c r="B527" i="71"/>
  <c r="E527" i="71" s="1"/>
  <c r="C527" i="71"/>
  <c r="D527" i="71" s="1"/>
  <c r="K527" i="71"/>
  <c r="M172" i="71"/>
  <c r="L172" i="71" s="1"/>
  <c r="I232" i="71" l="1"/>
  <c r="I233" i="71" s="1"/>
  <c r="I234" i="71" s="1"/>
  <c r="I235" i="71" s="1"/>
  <c r="I236" i="71" s="1"/>
  <c r="I237" i="71" s="1"/>
  <c r="I238" i="71" s="1"/>
  <c r="I239" i="71" s="1"/>
  <c r="I240" i="71" s="1"/>
  <c r="I241" i="71" s="1"/>
  <c r="I242" i="71" s="1"/>
  <c r="I243" i="71" s="1"/>
  <c r="I244" i="71" s="1"/>
  <c r="I245" i="71" s="1"/>
  <c r="I246" i="71" s="1"/>
  <c r="I247" i="71" s="1"/>
  <c r="I248" i="71" s="1"/>
  <c r="I249" i="71" s="1"/>
  <c r="I250" i="71" s="1"/>
  <c r="I251" i="71" s="1"/>
  <c r="I252" i="71" s="1"/>
  <c r="I253" i="71" s="1"/>
  <c r="I254" i="71" s="1"/>
  <c r="I255" i="71" s="1"/>
  <c r="I256" i="71" s="1"/>
  <c r="I257" i="71" s="1"/>
  <c r="I258" i="71" s="1"/>
  <c r="I259" i="71" s="1"/>
  <c r="I260" i="71" s="1"/>
  <c r="I261" i="71" s="1"/>
  <c r="I262" i="71" s="1"/>
  <c r="I263" i="71" s="1"/>
  <c r="I264" i="71" s="1"/>
  <c r="I265" i="71" s="1"/>
  <c r="I266" i="71" s="1"/>
  <c r="I267" i="71" s="1"/>
  <c r="I268" i="71" s="1"/>
  <c r="I269" i="71" s="1"/>
  <c r="I270" i="71" s="1"/>
  <c r="I271" i="71" s="1"/>
  <c r="I272" i="71" s="1"/>
  <c r="I273" i="71" s="1"/>
  <c r="I274" i="71" s="1"/>
  <c r="I275" i="71" s="1"/>
  <c r="I276" i="71" s="1"/>
  <c r="I277" i="71" s="1"/>
  <c r="I278" i="71" s="1"/>
  <c r="I279" i="71" s="1"/>
  <c r="I280" i="71" s="1"/>
  <c r="I281" i="71" s="1"/>
  <c r="I282" i="71" s="1"/>
  <c r="I283" i="71" s="1"/>
  <c r="I284" i="71" s="1"/>
  <c r="I285" i="71" s="1"/>
  <c r="I286" i="71" s="1"/>
  <c r="I287" i="71" s="1"/>
  <c r="I288" i="71" s="1"/>
  <c r="I289" i="71" s="1"/>
  <c r="I290" i="71" s="1"/>
  <c r="I291" i="71" s="1"/>
  <c r="I292" i="71" s="1"/>
  <c r="I293" i="71" s="1"/>
  <c r="I294" i="71" s="1"/>
  <c r="I295" i="71" s="1"/>
  <c r="I296" i="71" s="1"/>
  <c r="I297" i="71" s="1"/>
  <c r="I298" i="71" s="1"/>
  <c r="I299" i="71" s="1"/>
  <c r="I300" i="71" s="1"/>
  <c r="I301" i="71" s="1"/>
  <c r="I302" i="71" s="1"/>
  <c r="I303" i="71" s="1"/>
  <c r="I304" i="71" s="1"/>
  <c r="I305" i="71" s="1"/>
  <c r="I306" i="71" s="1"/>
  <c r="I307" i="71" s="1"/>
  <c r="I308" i="71" s="1"/>
  <c r="I309" i="71" s="1"/>
  <c r="I310" i="71" s="1"/>
  <c r="I311" i="71" s="1"/>
  <c r="I312" i="71" s="1"/>
  <c r="I313" i="71" s="1"/>
  <c r="I314" i="71" s="1"/>
  <c r="I315" i="71" s="1"/>
  <c r="I316" i="71" s="1"/>
  <c r="I317" i="71" s="1"/>
  <c r="I318" i="71" s="1"/>
  <c r="I319" i="71" s="1"/>
  <c r="I320" i="71" s="1"/>
  <c r="I321" i="71" s="1"/>
  <c r="I322" i="71" s="1"/>
  <c r="I323" i="71" s="1"/>
  <c r="I324" i="71" s="1"/>
  <c r="I325" i="71" s="1"/>
  <c r="I326" i="71" s="1"/>
  <c r="I327" i="71" s="1"/>
  <c r="I328" i="71" s="1"/>
  <c r="I329" i="71" s="1"/>
  <c r="I330" i="71" s="1"/>
  <c r="I331" i="71" s="1"/>
  <c r="I332" i="71" s="1"/>
  <c r="I333" i="71" s="1"/>
  <c r="I334" i="71" s="1"/>
  <c r="I335" i="71" s="1"/>
  <c r="I336" i="71" s="1"/>
  <c r="I337" i="71" s="1"/>
  <c r="I338" i="71" s="1"/>
  <c r="I339" i="71" s="1"/>
  <c r="I340" i="71" s="1"/>
  <c r="I341" i="71" s="1"/>
  <c r="I342" i="71" s="1"/>
  <c r="I343" i="71" s="1"/>
  <c r="I344" i="71" s="1"/>
  <c r="I345" i="71" s="1"/>
  <c r="I346" i="71" s="1"/>
  <c r="I347" i="71" s="1"/>
  <c r="I348" i="71" s="1"/>
  <c r="I349" i="71" s="1"/>
  <c r="I350" i="71" s="1"/>
  <c r="I351" i="71" s="1"/>
  <c r="I352" i="71" s="1"/>
  <c r="I353" i="71" s="1"/>
  <c r="I354" i="71" s="1"/>
  <c r="I355" i="71" s="1"/>
  <c r="I356" i="71" s="1"/>
  <c r="I357" i="71" s="1"/>
  <c r="I358" i="71" s="1"/>
  <c r="I359" i="71" s="1"/>
  <c r="I360" i="71" s="1"/>
  <c r="I361" i="71" s="1"/>
  <c r="I362" i="71" s="1"/>
  <c r="I363" i="71" s="1"/>
  <c r="I364" i="71" s="1"/>
  <c r="I365" i="71" s="1"/>
  <c r="I366" i="71" s="1"/>
  <c r="I367" i="71" s="1"/>
  <c r="I368" i="71" s="1"/>
  <c r="I369" i="71" s="1"/>
  <c r="I370" i="71" s="1"/>
  <c r="I371" i="71" s="1"/>
  <c r="I372" i="71" s="1"/>
  <c r="I373" i="71" s="1"/>
  <c r="I374" i="71" s="1"/>
  <c r="I375" i="71" s="1"/>
  <c r="I376" i="71" s="1"/>
  <c r="I377" i="71" s="1"/>
  <c r="I378" i="71" s="1"/>
  <c r="I379" i="71" s="1"/>
  <c r="I380" i="71" s="1"/>
  <c r="I381" i="71" s="1"/>
  <c r="I382" i="71" s="1"/>
  <c r="I383" i="71" s="1"/>
  <c r="I384" i="71" s="1"/>
  <c r="I385" i="71" s="1"/>
  <c r="I386" i="71" s="1"/>
  <c r="I387" i="71" s="1"/>
  <c r="I388" i="71" s="1"/>
  <c r="I389" i="71" s="1"/>
  <c r="I390" i="71" s="1"/>
  <c r="I391" i="71" s="1"/>
  <c r="I392" i="71" s="1"/>
  <c r="I393" i="71" s="1"/>
  <c r="I394" i="71" s="1"/>
  <c r="I395" i="71" s="1"/>
  <c r="I396" i="71" s="1"/>
  <c r="I397" i="71" s="1"/>
  <c r="I398" i="71" s="1"/>
  <c r="I399" i="71" s="1"/>
  <c r="I400" i="71" s="1"/>
  <c r="I401" i="71" s="1"/>
  <c r="I402" i="71" s="1"/>
  <c r="I403" i="71" s="1"/>
  <c r="I404" i="71" s="1"/>
  <c r="I405" i="71" s="1"/>
  <c r="I406" i="71" s="1"/>
  <c r="I407" i="71" s="1"/>
  <c r="I408" i="71" s="1"/>
  <c r="I409" i="71" s="1"/>
  <c r="I410" i="71" s="1"/>
  <c r="I411" i="71" s="1"/>
  <c r="I412" i="71" s="1"/>
  <c r="I413" i="71" s="1"/>
  <c r="I414" i="71" s="1"/>
  <c r="I415" i="71" s="1"/>
  <c r="I416" i="71" s="1"/>
  <c r="I417" i="71" s="1"/>
  <c r="I418" i="71" s="1"/>
  <c r="I419" i="71" s="1"/>
  <c r="I420" i="71" s="1"/>
  <c r="I421" i="71" s="1"/>
  <c r="I422" i="71" s="1"/>
  <c r="I423" i="71" s="1"/>
  <c r="I424" i="71" s="1"/>
  <c r="I425" i="71" s="1"/>
  <c r="I426" i="71" s="1"/>
  <c r="I427" i="71" s="1"/>
  <c r="I428" i="71" s="1"/>
  <c r="I429" i="71" s="1"/>
  <c r="I430" i="71" s="1"/>
  <c r="I431" i="71" s="1"/>
  <c r="I432" i="71" s="1"/>
  <c r="I433" i="71" s="1"/>
  <c r="I434" i="71" s="1"/>
  <c r="I435" i="71" s="1"/>
  <c r="I436" i="71" s="1"/>
  <c r="I437" i="71" s="1"/>
  <c r="I438" i="71" s="1"/>
  <c r="I439" i="71" s="1"/>
  <c r="I440" i="71" s="1"/>
  <c r="I441" i="71" s="1"/>
  <c r="I442" i="71" s="1"/>
  <c r="I443" i="71" s="1"/>
  <c r="I444" i="71" s="1"/>
  <c r="I445" i="71" s="1"/>
  <c r="I446" i="71" s="1"/>
  <c r="I447" i="71" s="1"/>
  <c r="I448" i="71" s="1"/>
  <c r="I449" i="71" s="1"/>
  <c r="I450" i="71" s="1"/>
  <c r="I451" i="71" s="1"/>
  <c r="I452" i="71" s="1"/>
  <c r="I453" i="71" s="1"/>
  <c r="I454" i="71" s="1"/>
  <c r="I455" i="71" s="1"/>
  <c r="I456" i="71" s="1"/>
  <c r="I457" i="71" s="1"/>
  <c r="I458" i="71" s="1"/>
  <c r="I459" i="71" s="1"/>
  <c r="I460" i="71" s="1"/>
  <c r="I461" i="71" s="1"/>
  <c r="I462" i="71" s="1"/>
  <c r="I463" i="71" s="1"/>
  <c r="I464" i="71" s="1"/>
  <c r="I465" i="71" s="1"/>
  <c r="I466" i="71" s="1"/>
  <c r="I467" i="71" s="1"/>
  <c r="I468" i="71" s="1"/>
  <c r="I469" i="71" s="1"/>
  <c r="I470" i="71" s="1"/>
  <c r="I471" i="71" s="1"/>
  <c r="I472" i="71" s="1"/>
  <c r="I473" i="71" s="1"/>
  <c r="I474" i="71" s="1"/>
  <c r="I475" i="71" s="1"/>
  <c r="I476" i="71" s="1"/>
  <c r="I477" i="71" s="1"/>
  <c r="I478" i="71" s="1"/>
  <c r="I479" i="71" s="1"/>
  <c r="I480" i="71" s="1"/>
  <c r="I481" i="71" s="1"/>
  <c r="I482" i="71" s="1"/>
  <c r="I483" i="71" s="1"/>
  <c r="I484" i="71" s="1"/>
  <c r="I485" i="71" s="1"/>
  <c r="I486" i="71" s="1"/>
  <c r="I487" i="71" s="1"/>
  <c r="I488" i="71" s="1"/>
  <c r="I489" i="71" s="1"/>
  <c r="I490" i="71" s="1"/>
  <c r="I491" i="71" s="1"/>
  <c r="I492" i="71" s="1"/>
  <c r="I493" i="71" s="1"/>
  <c r="I494" i="71" s="1"/>
  <c r="I495" i="71" s="1"/>
  <c r="K232" i="71"/>
  <c r="AB526" i="71"/>
  <c r="R526" i="71"/>
  <c r="U526" i="71" s="1"/>
  <c r="Z526" i="71"/>
  <c r="T526" i="71"/>
  <c r="K528" i="71"/>
  <c r="C528" i="71"/>
  <c r="D528" i="71" s="1"/>
  <c r="N528" i="71"/>
  <c r="A529" i="71"/>
  <c r="B528" i="71"/>
  <c r="E528" i="71" s="1"/>
  <c r="Y527" i="71"/>
  <c r="Q527" i="71" s="1"/>
  <c r="S527" i="71"/>
  <c r="P527" i="71"/>
  <c r="V525" i="71"/>
  <c r="S528" i="71" l="1"/>
  <c r="Y528" i="71"/>
  <c r="Q528" i="71" s="1"/>
  <c r="P528" i="71"/>
  <c r="B529" i="71"/>
  <c r="E529" i="71" s="1"/>
  <c r="K529" i="71"/>
  <c r="A530" i="71"/>
  <c r="N529" i="71"/>
  <c r="C529" i="71"/>
  <c r="D529" i="71" s="1"/>
  <c r="Z527" i="71"/>
  <c r="T527" i="71"/>
  <c r="AB527" i="71"/>
  <c r="R527" i="71"/>
  <c r="V526" i="71"/>
  <c r="M173" i="71"/>
  <c r="L173" i="71" s="1"/>
  <c r="Z528" i="71" l="1"/>
  <c r="R528" i="71"/>
  <c r="T528" i="71"/>
  <c r="AB528" i="71"/>
  <c r="A531" i="71"/>
  <c r="C530" i="71"/>
  <c r="D530" i="71" s="1"/>
  <c r="N530" i="71"/>
  <c r="B530" i="71"/>
  <c r="E530" i="71" s="1"/>
  <c r="K530" i="71"/>
  <c r="U527" i="71"/>
  <c r="V527" i="71" s="1"/>
  <c r="S529" i="71"/>
  <c r="P529" i="71"/>
  <c r="Y529" i="71"/>
  <c r="Q529" i="71" s="1"/>
  <c r="R529" i="71" l="1"/>
  <c r="T529" i="71"/>
  <c r="Z529" i="71"/>
  <c r="AB529" i="71"/>
  <c r="C531" i="71"/>
  <c r="D531" i="71" s="1"/>
  <c r="N531" i="71"/>
  <c r="B531" i="71"/>
  <c r="E531" i="71" s="1"/>
  <c r="K531" i="71"/>
  <c r="A532" i="71"/>
  <c r="S530" i="71"/>
  <c r="P530" i="71"/>
  <c r="Y530" i="71"/>
  <c r="Q530" i="71" s="1"/>
  <c r="U528" i="71"/>
  <c r="V528" i="71" s="1"/>
  <c r="T530" i="71" l="1"/>
  <c r="Z530" i="71"/>
  <c r="R530" i="71"/>
  <c r="U530" i="71" s="1"/>
  <c r="AB530" i="71"/>
  <c r="S531" i="71"/>
  <c r="Y531" i="71"/>
  <c r="Q531" i="71" s="1"/>
  <c r="P531" i="71"/>
  <c r="N532" i="71"/>
  <c r="K532" i="71"/>
  <c r="B532" i="71"/>
  <c r="E532" i="71" s="1"/>
  <c r="A533" i="71"/>
  <c r="C532" i="71"/>
  <c r="D532" i="71" s="1"/>
  <c r="U529" i="71"/>
  <c r="V529" i="71" s="1"/>
  <c r="V530" i="71" l="1"/>
  <c r="AB531" i="71"/>
  <c r="Z531" i="71"/>
  <c r="R531" i="71"/>
  <c r="T531" i="71"/>
  <c r="P532" i="71"/>
  <c r="Y532" i="71"/>
  <c r="Q532" i="71" s="1"/>
  <c r="S532" i="71"/>
  <c r="C533" i="71"/>
  <c r="D533" i="71" s="1"/>
  <c r="B533" i="71"/>
  <c r="E533" i="71" s="1"/>
  <c r="K533" i="71"/>
  <c r="N533" i="71"/>
  <c r="A534" i="71"/>
  <c r="M174" i="71"/>
  <c r="L174" i="71" s="1"/>
  <c r="R532" i="71" l="1"/>
  <c r="AB532" i="71"/>
  <c r="T532" i="71"/>
  <c r="Z532" i="71"/>
  <c r="C534" i="71"/>
  <c r="D534" i="71" s="1"/>
  <c r="B534" i="71"/>
  <c r="E534" i="71" s="1"/>
  <c r="A535" i="71"/>
  <c r="N534" i="71"/>
  <c r="K534" i="71"/>
  <c r="Y533" i="71"/>
  <c r="Q533" i="71" s="1"/>
  <c r="S533" i="71"/>
  <c r="P533" i="71"/>
  <c r="U531" i="71"/>
  <c r="V531" i="71" s="1"/>
  <c r="Y534" i="71" l="1"/>
  <c r="Q534" i="71" s="1"/>
  <c r="S534" i="71"/>
  <c r="P534" i="71"/>
  <c r="N535" i="71"/>
  <c r="A536" i="71"/>
  <c r="C535" i="71"/>
  <c r="D535" i="71" s="1"/>
  <c r="K535" i="71"/>
  <c r="B535" i="71"/>
  <c r="E535" i="71" s="1"/>
  <c r="Z533" i="71"/>
  <c r="R533" i="71"/>
  <c r="T533" i="71"/>
  <c r="AB533" i="71"/>
  <c r="U532" i="71"/>
  <c r="V532" i="71" s="1"/>
  <c r="C536" i="71" l="1"/>
  <c r="D536" i="71" s="1"/>
  <c r="N536" i="71"/>
  <c r="K536" i="71"/>
  <c r="B536" i="71"/>
  <c r="E536" i="71" s="1"/>
  <c r="A537" i="71"/>
  <c r="Y535" i="71"/>
  <c r="Q535" i="71" s="1"/>
  <c r="S535" i="71"/>
  <c r="P535" i="71"/>
  <c r="U533" i="71"/>
  <c r="V533" i="71" s="1"/>
  <c r="AB534" i="71"/>
  <c r="R534" i="71"/>
  <c r="U534" i="71" s="1"/>
  <c r="T534" i="71"/>
  <c r="Z534" i="71"/>
  <c r="M175" i="71"/>
  <c r="L175" i="71" s="1"/>
  <c r="V534" i="71" l="1"/>
  <c r="A538" i="71"/>
  <c r="B537" i="71"/>
  <c r="E537" i="71" s="1"/>
  <c r="K537" i="71"/>
  <c r="N537" i="71"/>
  <c r="C537" i="71"/>
  <c r="D537" i="71" s="1"/>
  <c r="R535" i="71"/>
  <c r="AB535" i="71"/>
  <c r="Z535" i="71"/>
  <c r="T535" i="71"/>
  <c r="P536" i="71"/>
  <c r="S536" i="71"/>
  <c r="Y536" i="71"/>
  <c r="Q536" i="71" s="1"/>
  <c r="AB536" i="71" l="1"/>
  <c r="T536" i="71"/>
  <c r="R536" i="71"/>
  <c r="U536" i="71" s="1"/>
  <c r="Z536" i="71"/>
  <c r="Y537" i="71"/>
  <c r="Q537" i="71" s="1"/>
  <c r="P537" i="71"/>
  <c r="S537" i="71"/>
  <c r="N538" i="71"/>
  <c r="C538" i="71"/>
  <c r="D538" i="71" s="1"/>
  <c r="A539" i="71"/>
  <c r="B538" i="71"/>
  <c r="E538" i="71" s="1"/>
  <c r="K538" i="71"/>
  <c r="U535" i="71"/>
  <c r="V535" i="71" s="1"/>
  <c r="V536" i="71" l="1"/>
  <c r="Y538" i="71"/>
  <c r="Q538" i="71" s="1"/>
  <c r="P538" i="71"/>
  <c r="S538" i="71"/>
  <c r="T537" i="71"/>
  <c r="Z537" i="71"/>
  <c r="AB537" i="71"/>
  <c r="R537" i="71"/>
  <c r="N539" i="71"/>
  <c r="A540" i="71"/>
  <c r="K539" i="71"/>
  <c r="B539" i="71"/>
  <c r="E539" i="71" s="1"/>
  <c r="C539" i="71"/>
  <c r="D539" i="71" s="1"/>
  <c r="S539" i="71" l="1"/>
  <c r="P539" i="71"/>
  <c r="Y539" i="71"/>
  <c r="Q539" i="71" s="1"/>
  <c r="U537" i="71"/>
  <c r="V537" i="71" s="1"/>
  <c r="N540" i="71"/>
  <c r="K540" i="71"/>
  <c r="C540" i="71"/>
  <c r="D540" i="71" s="1"/>
  <c r="B540" i="71"/>
  <c r="E540" i="71" s="1"/>
  <c r="A541" i="71"/>
  <c r="Z538" i="71"/>
  <c r="R538" i="71"/>
  <c r="AB538" i="71"/>
  <c r="T538" i="71"/>
  <c r="M176" i="71"/>
  <c r="L176" i="71" s="1"/>
  <c r="R539" i="71" l="1"/>
  <c r="U539" i="71" s="1"/>
  <c r="T539" i="71"/>
  <c r="Z539" i="71"/>
  <c r="AB539" i="71"/>
  <c r="U538" i="71"/>
  <c r="V538" i="71" s="1"/>
  <c r="A542" i="71"/>
  <c r="B541" i="71"/>
  <c r="E541" i="71" s="1"/>
  <c r="C541" i="71"/>
  <c r="D541" i="71" s="1"/>
  <c r="N541" i="71"/>
  <c r="K541" i="71"/>
  <c r="S540" i="71"/>
  <c r="P540" i="71"/>
  <c r="Y540" i="71"/>
  <c r="Q540" i="71" s="1"/>
  <c r="M177" i="71"/>
  <c r="L177" i="71" s="1"/>
  <c r="R540" i="71" l="1"/>
  <c r="AB540" i="71"/>
  <c r="Z540" i="71"/>
  <c r="T540" i="71"/>
  <c r="N542" i="71"/>
  <c r="A543" i="71"/>
  <c r="C542" i="71"/>
  <c r="D542" i="71" s="1"/>
  <c r="B542" i="71"/>
  <c r="E542" i="71" s="1"/>
  <c r="K542" i="71"/>
  <c r="Y541" i="71"/>
  <c r="Q541" i="71" s="1"/>
  <c r="P541" i="71"/>
  <c r="S541" i="71"/>
  <c r="V539" i="71"/>
  <c r="P542" i="71" l="1"/>
  <c r="Y542" i="71"/>
  <c r="Q542" i="71" s="1"/>
  <c r="S542" i="71"/>
  <c r="C543" i="71"/>
  <c r="D543" i="71" s="1"/>
  <c r="B543" i="71"/>
  <c r="E543" i="71" s="1"/>
  <c r="N543" i="71"/>
  <c r="A544" i="71"/>
  <c r="K543" i="71"/>
  <c r="T541" i="71"/>
  <c r="AB541" i="71"/>
  <c r="Z541" i="71"/>
  <c r="R541" i="71"/>
  <c r="U540" i="71"/>
  <c r="V540" i="71" s="1"/>
  <c r="R542" i="71" l="1"/>
  <c r="U542" i="71" s="1"/>
  <c r="T542" i="71"/>
  <c r="AB542" i="71"/>
  <c r="Z542" i="71"/>
  <c r="P543" i="71"/>
  <c r="Y543" i="71"/>
  <c r="Q543" i="71" s="1"/>
  <c r="S543" i="71"/>
  <c r="U541" i="71"/>
  <c r="V541" i="71" s="1"/>
  <c r="C544" i="71"/>
  <c r="D544" i="71" s="1"/>
  <c r="A545" i="71"/>
  <c r="B544" i="71"/>
  <c r="E544" i="71" s="1"/>
  <c r="N544" i="71"/>
  <c r="K544" i="71"/>
  <c r="AB543" i="71" l="1"/>
  <c r="R543" i="71"/>
  <c r="T543" i="71"/>
  <c r="Z543" i="71"/>
  <c r="N545" i="71"/>
  <c r="A546" i="71"/>
  <c r="B545" i="71"/>
  <c r="E545" i="71" s="1"/>
  <c r="K545" i="71"/>
  <c r="C545" i="71"/>
  <c r="D545" i="71" s="1"/>
  <c r="Y544" i="71"/>
  <c r="Q544" i="71" s="1"/>
  <c r="P544" i="71"/>
  <c r="S544" i="71"/>
  <c r="V542" i="71"/>
  <c r="M178" i="71"/>
  <c r="L178" i="71" s="1"/>
  <c r="B546" i="71" l="1"/>
  <c r="E546" i="71" s="1"/>
  <c r="K546" i="71"/>
  <c r="C546" i="71"/>
  <c r="D546" i="71" s="1"/>
  <c r="N546" i="71"/>
  <c r="A547" i="71"/>
  <c r="Y545" i="71"/>
  <c r="Q545" i="71" s="1"/>
  <c r="S545" i="71"/>
  <c r="P545" i="71"/>
  <c r="T544" i="71"/>
  <c r="R544" i="71"/>
  <c r="U544" i="71" s="1"/>
  <c r="Z544" i="71"/>
  <c r="AB544" i="71"/>
  <c r="U543" i="71"/>
  <c r="V543" i="71" s="1"/>
  <c r="V544" i="71" l="1"/>
  <c r="B547" i="71"/>
  <c r="E547" i="71" s="1"/>
  <c r="K547" i="71"/>
  <c r="N547" i="71"/>
  <c r="A548" i="71"/>
  <c r="C547" i="71"/>
  <c r="D547" i="71" s="1"/>
  <c r="S546" i="71"/>
  <c r="Y546" i="71"/>
  <c r="Q546" i="71" s="1"/>
  <c r="P546" i="71"/>
  <c r="Z545" i="71"/>
  <c r="R545" i="71"/>
  <c r="AB545" i="71"/>
  <c r="T545" i="71"/>
  <c r="R546" i="71" l="1"/>
  <c r="U546" i="71" s="1"/>
  <c r="Z546" i="71"/>
  <c r="AB546" i="71"/>
  <c r="T546" i="71"/>
  <c r="A549" i="71"/>
  <c r="K548" i="71"/>
  <c r="B548" i="71"/>
  <c r="E548" i="71" s="1"/>
  <c r="C548" i="71"/>
  <c r="D548" i="71" s="1"/>
  <c r="N548" i="71"/>
  <c r="P547" i="71"/>
  <c r="Y547" i="71"/>
  <c r="Q547" i="71" s="1"/>
  <c r="S547" i="71"/>
  <c r="U545" i="71"/>
  <c r="V545" i="71" s="1"/>
  <c r="M179" i="71"/>
  <c r="L179" i="71" s="1"/>
  <c r="N549" i="71" l="1"/>
  <c r="C549" i="71"/>
  <c r="D549" i="71" s="1"/>
  <c r="A550" i="71"/>
  <c r="K549" i="71"/>
  <c r="B549" i="71"/>
  <c r="E549" i="71" s="1"/>
  <c r="R547" i="71"/>
  <c r="U547" i="71" s="1"/>
  <c r="AB547" i="71"/>
  <c r="T547" i="71"/>
  <c r="Z547" i="71"/>
  <c r="P548" i="71"/>
  <c r="Y548" i="71"/>
  <c r="Q548" i="71" s="1"/>
  <c r="S548" i="71"/>
  <c r="V546" i="71"/>
  <c r="V547" i="71" l="1"/>
  <c r="C550" i="71"/>
  <c r="D550" i="71" s="1"/>
  <c r="B550" i="71"/>
  <c r="E550" i="71" s="1"/>
  <c r="K550" i="71"/>
  <c r="N550" i="71"/>
  <c r="A551" i="71"/>
  <c r="AB548" i="71"/>
  <c r="T548" i="71"/>
  <c r="R548" i="71"/>
  <c r="U548" i="71" s="1"/>
  <c r="Z548" i="71"/>
  <c r="P549" i="71"/>
  <c r="S549" i="71"/>
  <c r="Y549" i="71"/>
  <c r="Q549" i="71" s="1"/>
  <c r="P550" i="71" l="1"/>
  <c r="Y550" i="71"/>
  <c r="Q550" i="71" s="1"/>
  <c r="S550" i="71"/>
  <c r="R549" i="71"/>
  <c r="T549" i="71"/>
  <c r="Z549" i="71"/>
  <c r="AB549" i="71"/>
  <c r="N551" i="71"/>
  <c r="B551" i="71"/>
  <c r="E551" i="71" s="1"/>
  <c r="C551" i="71"/>
  <c r="D551" i="71" s="1"/>
  <c r="A552" i="71"/>
  <c r="K551" i="71"/>
  <c r="V548" i="71"/>
  <c r="C552" i="71" l="1"/>
  <c r="D552" i="71" s="1"/>
  <c r="A553" i="71"/>
  <c r="N552" i="71"/>
  <c r="K552" i="71"/>
  <c r="B552" i="71"/>
  <c r="E552" i="71" s="1"/>
  <c r="R550" i="71"/>
  <c r="AB550" i="71"/>
  <c r="T550" i="71"/>
  <c r="Z550" i="71"/>
  <c r="U549" i="71"/>
  <c r="V549" i="71" s="1"/>
  <c r="S551" i="71"/>
  <c r="P551" i="71"/>
  <c r="Y551" i="71"/>
  <c r="Q551" i="71" s="1"/>
  <c r="M180" i="71"/>
  <c r="L180" i="71" s="1"/>
  <c r="R551" i="71" l="1"/>
  <c r="AB551" i="71"/>
  <c r="T551" i="71"/>
  <c r="Z551" i="71"/>
  <c r="Y552" i="71"/>
  <c r="Q552" i="71" s="1"/>
  <c r="P552" i="71"/>
  <c r="S552" i="71"/>
  <c r="U550" i="71"/>
  <c r="V550" i="71" s="1"/>
  <c r="A554" i="71"/>
  <c r="B553" i="71"/>
  <c r="E553" i="71" s="1"/>
  <c r="N553" i="71"/>
  <c r="K553" i="71"/>
  <c r="C553" i="71"/>
  <c r="D553" i="71" s="1"/>
  <c r="R552" i="71" l="1"/>
  <c r="AB552" i="71"/>
  <c r="T552" i="71"/>
  <c r="Z552" i="71"/>
  <c r="S553" i="71"/>
  <c r="P553" i="71"/>
  <c r="Y553" i="71"/>
  <c r="Q553" i="71" s="1"/>
  <c r="N554" i="71"/>
  <c r="K554" i="71"/>
  <c r="A555" i="71"/>
  <c r="B554" i="71"/>
  <c r="E554" i="71" s="1"/>
  <c r="C554" i="71"/>
  <c r="D554" i="71" s="1"/>
  <c r="U551" i="71"/>
  <c r="V551" i="71" s="1"/>
  <c r="T553" i="71" l="1"/>
  <c r="R553" i="71"/>
  <c r="AB553" i="71"/>
  <c r="Z553" i="71"/>
  <c r="S554" i="71"/>
  <c r="Y554" i="71"/>
  <c r="Q554" i="71" s="1"/>
  <c r="P554" i="71"/>
  <c r="A556" i="71"/>
  <c r="B555" i="71"/>
  <c r="E555" i="71" s="1"/>
  <c r="K555" i="71"/>
  <c r="N555" i="71"/>
  <c r="C555" i="71"/>
  <c r="D555" i="71" s="1"/>
  <c r="U552" i="71"/>
  <c r="V552" i="71" s="1"/>
  <c r="M181" i="71"/>
  <c r="L181" i="71" s="1"/>
  <c r="R554" i="71" l="1"/>
  <c r="AB554" i="71"/>
  <c r="T554" i="71"/>
  <c r="Z554" i="71"/>
  <c r="Y555" i="71"/>
  <c r="Q555" i="71" s="1"/>
  <c r="P555" i="71"/>
  <c r="S555" i="71"/>
  <c r="U553" i="71"/>
  <c r="V553" i="71" s="1"/>
  <c r="N556" i="71"/>
  <c r="K556" i="71"/>
  <c r="B556" i="71"/>
  <c r="E556" i="71" s="1"/>
  <c r="C556" i="71"/>
  <c r="D556" i="71" s="1"/>
  <c r="A557" i="71"/>
  <c r="R555" i="71" l="1"/>
  <c r="U555" i="71" s="1"/>
  <c r="AB555" i="71"/>
  <c r="T555" i="71"/>
  <c r="Z555" i="71"/>
  <c r="A558" i="71"/>
  <c r="C557" i="71"/>
  <c r="D557" i="71" s="1"/>
  <c r="K557" i="71"/>
  <c r="B557" i="71"/>
  <c r="E557" i="71" s="1"/>
  <c r="N557" i="71"/>
  <c r="S556" i="71"/>
  <c r="P556" i="71"/>
  <c r="Y556" i="71"/>
  <c r="Q556" i="71" s="1"/>
  <c r="U554" i="71"/>
  <c r="V554" i="71" s="1"/>
  <c r="M182" i="71"/>
  <c r="L182" i="71" s="1"/>
  <c r="N558" i="71" l="1"/>
  <c r="K558" i="71"/>
  <c r="A559" i="71"/>
  <c r="C558" i="71"/>
  <c r="D558" i="71" s="1"/>
  <c r="B558" i="71"/>
  <c r="E558" i="71" s="1"/>
  <c r="Z556" i="71"/>
  <c r="R556" i="71"/>
  <c r="U556" i="71" s="1"/>
  <c r="AB556" i="71"/>
  <c r="T556" i="71"/>
  <c r="P557" i="71"/>
  <c r="Y557" i="71"/>
  <c r="Q557" i="71" s="1"/>
  <c r="S557" i="71"/>
  <c r="V555" i="71"/>
  <c r="V556" i="71" l="1"/>
  <c r="AB557" i="71"/>
  <c r="Z557" i="71"/>
  <c r="R557" i="71"/>
  <c r="T557" i="71"/>
  <c r="N559" i="71"/>
  <c r="C559" i="71"/>
  <c r="D559" i="71" s="1"/>
  <c r="K559" i="71"/>
  <c r="A560" i="71"/>
  <c r="B559" i="71"/>
  <c r="E559" i="71" s="1"/>
  <c r="P558" i="71"/>
  <c r="Y558" i="71"/>
  <c r="Q558" i="71" s="1"/>
  <c r="S558" i="71"/>
  <c r="C560" i="71" l="1"/>
  <c r="D560" i="71" s="1"/>
  <c r="B560" i="71"/>
  <c r="E560" i="71" s="1"/>
  <c r="A561" i="71"/>
  <c r="K560" i="71"/>
  <c r="N560" i="71"/>
  <c r="P559" i="71"/>
  <c r="Y559" i="71"/>
  <c r="Q559" i="71" s="1"/>
  <c r="S559" i="71"/>
  <c r="U557" i="71"/>
  <c r="V557" i="71" s="1"/>
  <c r="AB558" i="71"/>
  <c r="R558" i="71"/>
  <c r="T558" i="71"/>
  <c r="Z558" i="71"/>
  <c r="Y560" i="71" l="1"/>
  <c r="Q560" i="71" s="1"/>
  <c r="P560" i="71"/>
  <c r="S560" i="71"/>
  <c r="U558" i="71"/>
  <c r="V558" i="71" s="1"/>
  <c r="AB559" i="71"/>
  <c r="R559" i="71"/>
  <c r="T559" i="71"/>
  <c r="Z559" i="71"/>
  <c r="B561" i="71"/>
  <c r="E561" i="71" s="1"/>
  <c r="A562" i="71"/>
  <c r="N561" i="71"/>
  <c r="C561" i="71"/>
  <c r="D561" i="71" s="1"/>
  <c r="K561" i="71"/>
  <c r="M183" i="71"/>
  <c r="L183" i="71" s="1"/>
  <c r="U559" i="71" l="1"/>
  <c r="V559" i="71" s="1"/>
  <c r="P561" i="71"/>
  <c r="Y561" i="71"/>
  <c r="Q561" i="71" s="1"/>
  <c r="S561" i="71"/>
  <c r="A563" i="71"/>
  <c r="K562" i="71"/>
  <c r="C562" i="71"/>
  <c r="D562" i="71" s="1"/>
  <c r="B562" i="71"/>
  <c r="E562" i="71" s="1"/>
  <c r="N562" i="71"/>
  <c r="Z560" i="71"/>
  <c r="R560" i="71"/>
  <c r="T560" i="71"/>
  <c r="AB560" i="71"/>
  <c r="U560" i="71" l="1"/>
  <c r="V560" i="71" s="1"/>
  <c r="S562" i="71"/>
  <c r="P562" i="71"/>
  <c r="Y562" i="71"/>
  <c r="Q562" i="71" s="1"/>
  <c r="C563" i="71"/>
  <c r="D563" i="71" s="1"/>
  <c r="K563" i="71"/>
  <c r="B563" i="71"/>
  <c r="E563" i="71" s="1"/>
  <c r="A564" i="71"/>
  <c r="N563" i="71"/>
  <c r="R561" i="71"/>
  <c r="AB561" i="71"/>
  <c r="Z561" i="71"/>
  <c r="T561" i="71"/>
  <c r="T562" i="71" l="1"/>
  <c r="R562" i="71"/>
  <c r="AB562" i="71"/>
  <c r="Z562" i="71"/>
  <c r="U561" i="71"/>
  <c r="V561" i="71" s="1"/>
  <c r="B564" i="71"/>
  <c r="E564" i="71" s="1"/>
  <c r="C564" i="71"/>
  <c r="D564" i="71" s="1"/>
  <c r="A565" i="71"/>
  <c r="K564" i="71"/>
  <c r="N564" i="71"/>
  <c r="P563" i="71"/>
  <c r="S563" i="71"/>
  <c r="Y563" i="71"/>
  <c r="Q563" i="71" s="1"/>
  <c r="T563" i="71" l="1"/>
  <c r="R563" i="71"/>
  <c r="U563" i="71" s="1"/>
  <c r="Z563" i="71"/>
  <c r="AB563" i="71"/>
  <c r="Y564" i="71"/>
  <c r="Q564" i="71" s="1"/>
  <c r="S564" i="71"/>
  <c r="P564" i="71"/>
  <c r="U562" i="71"/>
  <c r="V562" i="71" s="1"/>
  <c r="N565" i="71"/>
  <c r="K565" i="71"/>
  <c r="A566" i="71"/>
  <c r="C565" i="71"/>
  <c r="D565" i="71" s="1"/>
  <c r="B565" i="71"/>
  <c r="E565" i="71" s="1"/>
  <c r="M184" i="71"/>
  <c r="L184" i="71" s="1"/>
  <c r="V563" i="71" l="1"/>
  <c r="AB564" i="71"/>
  <c r="T564" i="71"/>
  <c r="Z564" i="71"/>
  <c r="R564" i="71"/>
  <c r="P565" i="71"/>
  <c r="Y565" i="71"/>
  <c r="Q565" i="71" s="1"/>
  <c r="S565" i="71"/>
  <c r="C566" i="71"/>
  <c r="D566" i="71" s="1"/>
  <c r="N566" i="71"/>
  <c r="A567" i="71"/>
  <c r="B566" i="71"/>
  <c r="E566" i="71" s="1"/>
  <c r="K566" i="71"/>
  <c r="U564" i="71" l="1"/>
  <c r="V564" i="71" s="1"/>
  <c r="Z565" i="71"/>
  <c r="AB565" i="71"/>
  <c r="T565" i="71"/>
  <c r="R565" i="71"/>
  <c r="C567" i="71"/>
  <c r="D567" i="71" s="1"/>
  <c r="A568" i="71"/>
  <c r="K567" i="71"/>
  <c r="N567" i="71"/>
  <c r="B567" i="71"/>
  <c r="E567" i="71" s="1"/>
  <c r="P566" i="71"/>
  <c r="Y566" i="71"/>
  <c r="Q566" i="71" s="1"/>
  <c r="S566" i="71"/>
  <c r="R566" i="71" l="1"/>
  <c r="U566" i="71" s="1"/>
  <c r="T566" i="71"/>
  <c r="Z566" i="71"/>
  <c r="AB566" i="71"/>
  <c r="U565" i="71"/>
  <c r="V565" i="71" s="1"/>
  <c r="S567" i="71"/>
  <c r="Y567" i="71"/>
  <c r="Q567" i="71" s="1"/>
  <c r="P567" i="71"/>
  <c r="B568" i="71"/>
  <c r="E568" i="71" s="1"/>
  <c r="C568" i="71"/>
  <c r="D568" i="71" s="1"/>
  <c r="A569" i="71"/>
  <c r="K568" i="71"/>
  <c r="N568" i="71"/>
  <c r="M185" i="71"/>
  <c r="L185" i="71" s="1"/>
  <c r="A570" i="71" l="1"/>
  <c r="N569" i="71"/>
  <c r="C569" i="71"/>
  <c r="D569" i="71" s="1"/>
  <c r="B569" i="71"/>
  <c r="E569" i="71" s="1"/>
  <c r="K569" i="71"/>
  <c r="Y568" i="71"/>
  <c r="Q568" i="71" s="1"/>
  <c r="S568" i="71"/>
  <c r="P568" i="71"/>
  <c r="R567" i="71"/>
  <c r="T567" i="71"/>
  <c r="AB567" i="71"/>
  <c r="Z567" i="71"/>
  <c r="V566" i="71"/>
  <c r="R568" i="71" l="1"/>
  <c r="U568" i="71" s="1"/>
  <c r="Z568" i="71"/>
  <c r="AB568" i="71"/>
  <c r="T568" i="71"/>
  <c r="U567" i="71"/>
  <c r="V567" i="71" s="1"/>
  <c r="Y569" i="71"/>
  <c r="Q569" i="71" s="1"/>
  <c r="S569" i="71"/>
  <c r="P569" i="71"/>
  <c r="N570" i="71"/>
  <c r="A571" i="71"/>
  <c r="C570" i="71"/>
  <c r="D570" i="71" s="1"/>
  <c r="K570" i="71"/>
  <c r="B570" i="71"/>
  <c r="E570" i="71" s="1"/>
  <c r="T569" i="71" l="1"/>
  <c r="R569" i="71"/>
  <c r="Z569" i="71"/>
  <c r="AB569" i="71"/>
  <c r="A572" i="71"/>
  <c r="B571" i="71"/>
  <c r="E571" i="71" s="1"/>
  <c r="C571" i="71"/>
  <c r="D571" i="71" s="1"/>
  <c r="K571" i="71"/>
  <c r="N571" i="71"/>
  <c r="Y570" i="71"/>
  <c r="Q570" i="71" s="1"/>
  <c r="P570" i="71"/>
  <c r="S570" i="71"/>
  <c r="V568" i="71"/>
  <c r="K572" i="71" l="1"/>
  <c r="B572" i="71"/>
  <c r="E572" i="71" s="1"/>
  <c r="C572" i="71"/>
  <c r="D572" i="71" s="1"/>
  <c r="N572" i="71"/>
  <c r="A573" i="71"/>
  <c r="S571" i="71"/>
  <c r="Y571" i="71"/>
  <c r="Q571" i="71" s="1"/>
  <c r="P571" i="71"/>
  <c r="U569" i="71"/>
  <c r="V569" i="71" s="1"/>
  <c r="R570" i="71"/>
  <c r="AB570" i="71"/>
  <c r="T570" i="71"/>
  <c r="Z570" i="71"/>
  <c r="M186" i="71"/>
  <c r="L186" i="71" s="1"/>
  <c r="AB571" i="71" l="1"/>
  <c r="Z571" i="71"/>
  <c r="R571" i="71"/>
  <c r="U571" i="71" s="1"/>
  <c r="T571" i="71"/>
  <c r="K573" i="71"/>
  <c r="C573" i="71"/>
  <c r="D573" i="71" s="1"/>
  <c r="B573" i="71"/>
  <c r="E573" i="71" s="1"/>
  <c r="A574" i="71"/>
  <c r="N573" i="71"/>
  <c r="U570" i="71"/>
  <c r="V570" i="71" s="1"/>
  <c r="S572" i="71"/>
  <c r="Y572" i="71"/>
  <c r="Q572" i="71" s="1"/>
  <c r="P572" i="71"/>
  <c r="V571" i="71" l="1"/>
  <c r="B574" i="71"/>
  <c r="E574" i="71" s="1"/>
  <c r="N574" i="71"/>
  <c r="K574" i="71"/>
  <c r="C574" i="71"/>
  <c r="D574" i="71" s="1"/>
  <c r="A575" i="71"/>
  <c r="T572" i="71"/>
  <c r="AB572" i="71"/>
  <c r="R572" i="71"/>
  <c r="Z572" i="71"/>
  <c r="Y573" i="71"/>
  <c r="Q573" i="71" s="1"/>
  <c r="S573" i="71"/>
  <c r="P573" i="71"/>
  <c r="R573" i="71" l="1"/>
  <c r="U573" i="71" s="1"/>
  <c r="T573" i="71"/>
  <c r="Z573" i="71"/>
  <c r="AB573" i="71"/>
  <c r="P574" i="71"/>
  <c r="Y574" i="71"/>
  <c r="Q574" i="71" s="1"/>
  <c r="S574" i="71"/>
  <c r="B575" i="71"/>
  <c r="E575" i="71" s="1"/>
  <c r="C575" i="71"/>
  <c r="D575" i="71" s="1"/>
  <c r="N575" i="71"/>
  <c r="A576" i="71"/>
  <c r="K575" i="71"/>
  <c r="U572" i="71"/>
  <c r="V572" i="71" s="1"/>
  <c r="Z574" i="71" l="1"/>
  <c r="R574" i="71"/>
  <c r="U574" i="71" s="1"/>
  <c r="T574" i="71"/>
  <c r="AB574" i="71"/>
  <c r="C576" i="71"/>
  <c r="D576" i="71" s="1"/>
  <c r="A577" i="71"/>
  <c r="K576" i="71"/>
  <c r="N576" i="71"/>
  <c r="B576" i="71"/>
  <c r="E576" i="71" s="1"/>
  <c r="P575" i="71"/>
  <c r="Y575" i="71"/>
  <c r="Q575" i="71" s="1"/>
  <c r="S575" i="71"/>
  <c r="V573" i="71"/>
  <c r="M187" i="71"/>
  <c r="L187" i="71" s="1"/>
  <c r="V574" i="71" l="1"/>
  <c r="C577" i="71"/>
  <c r="D577" i="71" s="1"/>
  <c r="K577" i="71"/>
  <c r="A578" i="71"/>
  <c r="N577" i="71"/>
  <c r="B577" i="71"/>
  <c r="E577" i="71" s="1"/>
  <c r="R575" i="71"/>
  <c r="Z575" i="71"/>
  <c r="T575" i="71"/>
  <c r="AB575" i="71"/>
  <c r="Y576" i="71"/>
  <c r="Q576" i="71" s="1"/>
  <c r="P576" i="71"/>
  <c r="S576" i="71"/>
  <c r="U575" i="71" l="1"/>
  <c r="V575" i="71" s="1"/>
  <c r="S577" i="71"/>
  <c r="P577" i="71"/>
  <c r="Y577" i="71"/>
  <c r="Q577" i="71" s="1"/>
  <c r="N578" i="71"/>
  <c r="K578" i="71"/>
  <c r="C578" i="71"/>
  <c r="D578" i="71" s="1"/>
  <c r="A579" i="71"/>
  <c r="B578" i="71"/>
  <c r="E578" i="71" s="1"/>
  <c r="R576" i="71"/>
  <c r="U576" i="71" s="1"/>
  <c r="Z576" i="71"/>
  <c r="T576" i="71"/>
  <c r="AB576" i="71"/>
  <c r="Z577" i="71" l="1"/>
  <c r="AB577" i="71"/>
  <c r="R577" i="71"/>
  <c r="T577" i="71"/>
  <c r="S578" i="71"/>
  <c r="P578" i="71"/>
  <c r="Y578" i="71"/>
  <c r="Q578" i="71" s="1"/>
  <c r="V576" i="71"/>
  <c r="A580" i="71"/>
  <c r="C579" i="71"/>
  <c r="D579" i="71" s="1"/>
  <c r="B579" i="71"/>
  <c r="E579" i="71" s="1"/>
  <c r="K579" i="71"/>
  <c r="N579" i="71"/>
  <c r="AB578" i="71" l="1"/>
  <c r="T578" i="71"/>
  <c r="R578" i="71"/>
  <c r="Z578" i="71"/>
  <c r="S579" i="71"/>
  <c r="P579" i="71"/>
  <c r="Y579" i="71"/>
  <c r="Q579" i="71" s="1"/>
  <c r="U577" i="71"/>
  <c r="V577" i="71" s="1"/>
  <c r="A581" i="71"/>
  <c r="K580" i="71"/>
  <c r="B580" i="71"/>
  <c r="E580" i="71" s="1"/>
  <c r="C580" i="71"/>
  <c r="D580" i="71" s="1"/>
  <c r="N580" i="71"/>
  <c r="M188" i="71"/>
  <c r="L188" i="71" s="1"/>
  <c r="T579" i="71" l="1"/>
  <c r="R579" i="71"/>
  <c r="AB579" i="71"/>
  <c r="Z579" i="71"/>
  <c r="U578" i="71"/>
  <c r="V578" i="71" s="1"/>
  <c r="C581" i="71"/>
  <c r="D581" i="71" s="1"/>
  <c r="B581" i="71"/>
  <c r="E581" i="71" s="1"/>
  <c r="N581" i="71"/>
  <c r="K581" i="71"/>
  <c r="A582" i="71"/>
  <c r="Y580" i="71"/>
  <c r="Q580" i="71" s="1"/>
  <c r="P580" i="71"/>
  <c r="S580" i="71"/>
  <c r="M189" i="71"/>
  <c r="L189" i="71" s="1"/>
  <c r="R580" i="71" l="1"/>
  <c r="AB580" i="71"/>
  <c r="T580" i="71"/>
  <c r="Z580" i="71"/>
  <c r="B582" i="71"/>
  <c r="E582" i="71" s="1"/>
  <c r="K582" i="71"/>
  <c r="A583" i="71"/>
  <c r="N582" i="71"/>
  <c r="C582" i="71"/>
  <c r="D582" i="71" s="1"/>
  <c r="U579" i="71"/>
  <c r="V579" i="71" s="1"/>
  <c r="P581" i="71"/>
  <c r="Y581" i="71"/>
  <c r="Q581" i="71" s="1"/>
  <c r="S581" i="71"/>
  <c r="P582" i="71" l="1"/>
  <c r="Y582" i="71"/>
  <c r="Q582" i="71" s="1"/>
  <c r="S582" i="71"/>
  <c r="T581" i="71"/>
  <c r="AB581" i="71"/>
  <c r="R581" i="71"/>
  <c r="Z581" i="71"/>
  <c r="N583" i="71"/>
  <c r="A584" i="71"/>
  <c r="K583" i="71"/>
  <c r="B583" i="71"/>
  <c r="E583" i="71" s="1"/>
  <c r="C583" i="71"/>
  <c r="D583" i="71" s="1"/>
  <c r="U580" i="71"/>
  <c r="V580" i="71" s="1"/>
  <c r="P583" i="71" l="1"/>
  <c r="S583" i="71"/>
  <c r="Y583" i="71"/>
  <c r="Q583" i="71" s="1"/>
  <c r="T582" i="71"/>
  <c r="Z582" i="71"/>
  <c r="AB582" i="71"/>
  <c r="R582" i="71"/>
  <c r="U581" i="71"/>
  <c r="V581" i="71" s="1"/>
  <c r="B584" i="71"/>
  <c r="E584" i="71" s="1"/>
  <c r="A585" i="71"/>
  <c r="C584" i="71"/>
  <c r="D584" i="71" s="1"/>
  <c r="N584" i="71"/>
  <c r="K584" i="71"/>
  <c r="T583" i="71" l="1"/>
  <c r="Z583" i="71"/>
  <c r="R583" i="71"/>
  <c r="AB583" i="71"/>
  <c r="U582" i="71"/>
  <c r="V582" i="71" s="1"/>
  <c r="N585" i="71"/>
  <c r="C585" i="71"/>
  <c r="D585" i="71" s="1"/>
  <c r="K585" i="71"/>
  <c r="A586" i="71"/>
  <c r="B585" i="71"/>
  <c r="E585" i="71" s="1"/>
  <c r="Y584" i="71"/>
  <c r="Q584" i="71" s="1"/>
  <c r="S584" i="71"/>
  <c r="P584" i="71"/>
  <c r="M190" i="71"/>
  <c r="L190" i="71" s="1"/>
  <c r="S585" i="71" l="1"/>
  <c r="Y585" i="71"/>
  <c r="Q585" i="71" s="1"/>
  <c r="P585" i="71"/>
  <c r="T584" i="71"/>
  <c r="R584" i="71"/>
  <c r="Z584" i="71"/>
  <c r="AB584" i="71"/>
  <c r="U583" i="71"/>
  <c r="V583" i="71" s="1"/>
  <c r="A587" i="71"/>
  <c r="C586" i="71"/>
  <c r="D586" i="71" s="1"/>
  <c r="B586" i="71"/>
  <c r="E586" i="71" s="1"/>
  <c r="N586" i="71"/>
  <c r="K586" i="71"/>
  <c r="R585" i="71" l="1"/>
  <c r="Z585" i="71"/>
  <c r="AB585" i="71"/>
  <c r="T585" i="71"/>
  <c r="S586" i="71"/>
  <c r="P586" i="71"/>
  <c r="Y586" i="71"/>
  <c r="Q586" i="71" s="1"/>
  <c r="U584" i="71"/>
  <c r="V584" i="71" s="1"/>
  <c r="A588" i="71"/>
  <c r="B587" i="71"/>
  <c r="E587" i="71" s="1"/>
  <c r="N587" i="71"/>
  <c r="K587" i="71"/>
  <c r="C587" i="71"/>
  <c r="D587" i="71" s="1"/>
  <c r="AB586" i="71" l="1"/>
  <c r="T586" i="71"/>
  <c r="Z586" i="71"/>
  <c r="R586" i="71"/>
  <c r="S587" i="71"/>
  <c r="P587" i="71"/>
  <c r="Y587" i="71"/>
  <c r="Q587" i="71" s="1"/>
  <c r="A589" i="71"/>
  <c r="K588" i="71"/>
  <c r="N588" i="71"/>
  <c r="B588" i="71"/>
  <c r="E588" i="71" s="1"/>
  <c r="C588" i="71"/>
  <c r="D588" i="71" s="1"/>
  <c r="U585" i="71"/>
  <c r="V585" i="71" s="1"/>
  <c r="AB587" i="71" l="1"/>
  <c r="T587" i="71"/>
  <c r="R587" i="71"/>
  <c r="Z587" i="71"/>
  <c r="U586" i="71"/>
  <c r="V586" i="71" s="1"/>
  <c r="P588" i="71"/>
  <c r="Y588" i="71"/>
  <c r="Q588" i="71" s="1"/>
  <c r="S588" i="71"/>
  <c r="N589" i="71"/>
  <c r="B589" i="71"/>
  <c r="E589" i="71" s="1"/>
  <c r="A590" i="71"/>
  <c r="C589" i="71"/>
  <c r="D589" i="71" s="1"/>
  <c r="K589" i="71"/>
  <c r="M191" i="71"/>
  <c r="L191" i="71" s="1"/>
  <c r="Z588" i="71" l="1"/>
  <c r="AB588" i="71"/>
  <c r="R588" i="71"/>
  <c r="U588" i="71" s="1"/>
  <c r="T588" i="71"/>
  <c r="C590" i="71"/>
  <c r="D590" i="71" s="1"/>
  <c r="B590" i="71"/>
  <c r="E590" i="71" s="1"/>
  <c r="N590" i="71"/>
  <c r="K590" i="71"/>
  <c r="A591" i="71"/>
  <c r="U587" i="71"/>
  <c r="V587" i="71" s="1"/>
  <c r="Y589" i="71"/>
  <c r="Q589" i="71" s="1"/>
  <c r="S589" i="71"/>
  <c r="P589" i="71"/>
  <c r="T589" i="71" l="1"/>
  <c r="Z589" i="71"/>
  <c r="AB589" i="71"/>
  <c r="R589" i="71"/>
  <c r="V588" i="71"/>
  <c r="A592" i="71"/>
  <c r="B591" i="71"/>
  <c r="E591" i="71" s="1"/>
  <c r="C591" i="71"/>
  <c r="D591" i="71" s="1"/>
  <c r="K591" i="71"/>
  <c r="N591" i="71"/>
  <c r="Y590" i="71"/>
  <c r="Q590" i="71" s="1"/>
  <c r="S590" i="71"/>
  <c r="P590" i="71"/>
  <c r="R590" i="71" l="1"/>
  <c r="AB590" i="71"/>
  <c r="T590" i="71"/>
  <c r="Z590" i="71"/>
  <c r="B592" i="71"/>
  <c r="E592" i="71" s="1"/>
  <c r="A593" i="71"/>
  <c r="C592" i="71"/>
  <c r="D592" i="71" s="1"/>
  <c r="N592" i="71"/>
  <c r="K592" i="71"/>
  <c r="U589" i="71"/>
  <c r="V589" i="71" s="1"/>
  <c r="S591" i="71"/>
  <c r="Y591" i="71"/>
  <c r="Q591" i="71" s="1"/>
  <c r="P591" i="71"/>
  <c r="M192" i="71"/>
  <c r="L192" i="71" s="1"/>
  <c r="P592" i="71" l="1"/>
  <c r="S592" i="71"/>
  <c r="Y592" i="71"/>
  <c r="Q592" i="71" s="1"/>
  <c r="AB591" i="71"/>
  <c r="R591" i="71"/>
  <c r="U591" i="71" s="1"/>
  <c r="T591" i="71"/>
  <c r="Z591" i="71"/>
  <c r="A594" i="71"/>
  <c r="N593" i="71"/>
  <c r="C593" i="71"/>
  <c r="D593" i="71" s="1"/>
  <c r="B593" i="71"/>
  <c r="E593" i="71" s="1"/>
  <c r="K593" i="71"/>
  <c r="U590" i="71"/>
  <c r="V590" i="71" s="1"/>
  <c r="Z592" i="71" l="1"/>
  <c r="R592" i="71"/>
  <c r="T592" i="71"/>
  <c r="AB592" i="71"/>
  <c r="V591" i="71"/>
  <c r="S593" i="71"/>
  <c r="P593" i="71"/>
  <c r="Y593" i="71"/>
  <c r="Q593" i="71" s="1"/>
  <c r="N594" i="71"/>
  <c r="K594" i="71"/>
  <c r="B594" i="71"/>
  <c r="E594" i="71" s="1"/>
  <c r="A595" i="71"/>
  <c r="C594" i="71"/>
  <c r="D594" i="71" s="1"/>
  <c r="Z593" i="71" l="1"/>
  <c r="T593" i="71"/>
  <c r="R593" i="71"/>
  <c r="AB593" i="71"/>
  <c r="P594" i="71"/>
  <c r="Y594" i="71"/>
  <c r="Q594" i="71" s="1"/>
  <c r="S594" i="71"/>
  <c r="U592" i="71"/>
  <c r="V592" i="71" s="1"/>
  <c r="A596" i="71"/>
  <c r="B595" i="71"/>
  <c r="E595" i="71" s="1"/>
  <c r="C595" i="71"/>
  <c r="D595" i="71" s="1"/>
  <c r="K595" i="71"/>
  <c r="N595" i="71"/>
  <c r="Z594" i="71" l="1"/>
  <c r="AB594" i="71"/>
  <c r="T594" i="71"/>
  <c r="R594" i="71"/>
  <c r="U593" i="71"/>
  <c r="V593" i="71" s="1"/>
  <c r="Y595" i="71"/>
  <c r="Q595" i="71" s="1"/>
  <c r="S595" i="71"/>
  <c r="P595" i="71"/>
  <c r="N596" i="71"/>
  <c r="K596" i="71"/>
  <c r="A597" i="71"/>
  <c r="B596" i="71"/>
  <c r="E596" i="71" s="1"/>
  <c r="C596" i="71"/>
  <c r="D596" i="71" s="1"/>
  <c r="M193" i="71"/>
  <c r="L193" i="71" s="1"/>
  <c r="R595" i="71" l="1"/>
  <c r="AB595" i="71"/>
  <c r="Z595" i="71"/>
  <c r="T595" i="71"/>
  <c r="N597" i="71"/>
  <c r="A598" i="71"/>
  <c r="C597" i="71"/>
  <c r="D597" i="71" s="1"/>
  <c r="K597" i="71"/>
  <c r="B597" i="71"/>
  <c r="E597" i="71" s="1"/>
  <c r="U594" i="71"/>
  <c r="V594" i="71" s="1"/>
  <c r="Y596" i="71"/>
  <c r="Q596" i="71" s="1"/>
  <c r="S596" i="71"/>
  <c r="P596" i="71"/>
  <c r="R596" i="71" l="1"/>
  <c r="U596" i="71" s="1"/>
  <c r="AB596" i="71"/>
  <c r="T596" i="71"/>
  <c r="Z596" i="71"/>
  <c r="A599" i="71"/>
  <c r="C598" i="71"/>
  <c r="D598" i="71" s="1"/>
  <c r="K598" i="71"/>
  <c r="B598" i="71"/>
  <c r="E598" i="71" s="1"/>
  <c r="N598" i="71"/>
  <c r="Y597" i="71"/>
  <c r="Q597" i="71" s="1"/>
  <c r="S597" i="71"/>
  <c r="P597" i="71"/>
  <c r="U595" i="71"/>
  <c r="V595" i="71" s="1"/>
  <c r="C599" i="71" l="1"/>
  <c r="D599" i="71" s="1"/>
  <c r="A600" i="71"/>
  <c r="B599" i="71"/>
  <c r="E599" i="71" s="1"/>
  <c r="N599" i="71"/>
  <c r="K599" i="71"/>
  <c r="T597" i="71"/>
  <c r="AB597" i="71"/>
  <c r="R597" i="71"/>
  <c r="Z597" i="71"/>
  <c r="Y598" i="71"/>
  <c r="Q598" i="71" s="1"/>
  <c r="S598" i="71"/>
  <c r="P598" i="71"/>
  <c r="V596" i="71"/>
  <c r="M194" i="71"/>
  <c r="L194" i="71" s="1"/>
  <c r="U597" i="71" l="1"/>
  <c r="V597" i="71" s="1"/>
  <c r="Y599" i="71"/>
  <c r="Q599" i="71" s="1"/>
  <c r="P599" i="71"/>
  <c r="S599" i="71"/>
  <c r="K600" i="71"/>
  <c r="B600" i="71"/>
  <c r="E600" i="71" s="1"/>
  <c r="C600" i="71"/>
  <c r="D600" i="71" s="1"/>
  <c r="A601" i="71"/>
  <c r="N600" i="71"/>
  <c r="T598" i="71"/>
  <c r="R598" i="71"/>
  <c r="Z598" i="71"/>
  <c r="AB598" i="71"/>
  <c r="U598" i="71" l="1"/>
  <c r="V598" i="71" s="1"/>
  <c r="AB599" i="71"/>
  <c r="R599" i="71"/>
  <c r="Z599" i="71"/>
  <c r="T599" i="71"/>
  <c r="P600" i="71"/>
  <c r="S600" i="71"/>
  <c r="Y600" i="71"/>
  <c r="Q600" i="71" s="1"/>
  <c r="N601" i="71"/>
  <c r="C601" i="71"/>
  <c r="D601" i="71" s="1"/>
  <c r="K601" i="71"/>
  <c r="B601" i="71"/>
  <c r="E601" i="71" s="1"/>
  <c r="A602" i="71"/>
  <c r="U599" i="71" l="1"/>
  <c r="V599" i="71" s="1"/>
  <c r="N602" i="71"/>
  <c r="A603" i="71"/>
  <c r="C602" i="71"/>
  <c r="D602" i="71" s="1"/>
  <c r="K602" i="71"/>
  <c r="B602" i="71"/>
  <c r="E602" i="71" s="1"/>
  <c r="P601" i="71"/>
  <c r="S601" i="71"/>
  <c r="Y601" i="71"/>
  <c r="Q601" i="71" s="1"/>
  <c r="AB600" i="71"/>
  <c r="R600" i="71"/>
  <c r="T600" i="71"/>
  <c r="Z600" i="71"/>
  <c r="M195" i="71"/>
  <c r="L195" i="71" s="1"/>
  <c r="U600" i="71" l="1"/>
  <c r="V600" i="71" s="1"/>
  <c r="C603" i="71"/>
  <c r="D603" i="71" s="1"/>
  <c r="A604" i="71"/>
  <c r="B603" i="71"/>
  <c r="E603" i="71" s="1"/>
  <c r="K603" i="71"/>
  <c r="N603" i="71"/>
  <c r="Y602" i="71"/>
  <c r="Q602" i="71" s="1"/>
  <c r="S602" i="71"/>
  <c r="P602" i="71"/>
  <c r="Z601" i="71"/>
  <c r="AB601" i="71"/>
  <c r="R601" i="71"/>
  <c r="U601" i="71" s="1"/>
  <c r="T601" i="71"/>
  <c r="P603" i="71" l="1"/>
  <c r="Y603" i="71"/>
  <c r="Q603" i="71" s="1"/>
  <c r="S603" i="71"/>
  <c r="V601" i="71"/>
  <c r="B604" i="71"/>
  <c r="E604" i="71" s="1"/>
  <c r="N604" i="71"/>
  <c r="C604" i="71"/>
  <c r="D604" i="71" s="1"/>
  <c r="A605" i="71"/>
  <c r="K604" i="71"/>
  <c r="R602" i="71"/>
  <c r="U602" i="71" s="1"/>
  <c r="AB602" i="71"/>
  <c r="T602" i="71"/>
  <c r="Z602" i="71"/>
  <c r="P604" i="71" l="1"/>
  <c r="Y604" i="71"/>
  <c r="Q604" i="71" s="1"/>
  <c r="S604" i="71"/>
  <c r="V602" i="71"/>
  <c r="T603" i="71"/>
  <c r="R603" i="71"/>
  <c r="AB603" i="71"/>
  <c r="Z603" i="71"/>
  <c r="N605" i="71"/>
  <c r="C605" i="71"/>
  <c r="D605" i="71" s="1"/>
  <c r="K605" i="71"/>
  <c r="B605" i="71"/>
  <c r="E605" i="71" s="1"/>
  <c r="A606" i="71"/>
  <c r="U603" i="71" l="1"/>
  <c r="V603" i="71" s="1"/>
  <c r="K606" i="71"/>
  <c r="A607" i="71"/>
  <c r="C606" i="71"/>
  <c r="D606" i="71" s="1"/>
  <c r="B606" i="71"/>
  <c r="E606" i="71" s="1"/>
  <c r="N606" i="71"/>
  <c r="AB604" i="71"/>
  <c r="T604" i="71"/>
  <c r="Z604" i="71"/>
  <c r="R604" i="71"/>
  <c r="U604" i="71" s="1"/>
  <c r="P605" i="71"/>
  <c r="Y605" i="71"/>
  <c r="Q605" i="71" s="1"/>
  <c r="S605" i="71"/>
  <c r="M196" i="71"/>
  <c r="L196" i="71" s="1"/>
  <c r="V604" i="71" l="1"/>
  <c r="P606" i="71"/>
  <c r="Y606" i="71"/>
  <c r="Q606" i="71" s="1"/>
  <c r="S606" i="71"/>
  <c r="R605" i="71"/>
  <c r="T605" i="71"/>
  <c r="AB605" i="71"/>
  <c r="Z605" i="71"/>
  <c r="A608" i="71"/>
  <c r="K607" i="71"/>
  <c r="N607" i="71"/>
  <c r="B607" i="71"/>
  <c r="E607" i="71" s="1"/>
  <c r="C607" i="71"/>
  <c r="D607" i="71" s="1"/>
  <c r="T606" i="71" l="1"/>
  <c r="R606" i="71"/>
  <c r="Z606" i="71"/>
  <c r="AB606" i="71"/>
  <c r="U605" i="71"/>
  <c r="V605" i="71" s="1"/>
  <c r="S607" i="71"/>
  <c r="P607" i="71"/>
  <c r="Y607" i="71"/>
  <c r="Q607" i="71" s="1"/>
  <c r="K608" i="71"/>
  <c r="N608" i="71"/>
  <c r="B608" i="71"/>
  <c r="E608" i="71" s="1"/>
  <c r="C608" i="71"/>
  <c r="D608" i="71" s="1"/>
  <c r="A609" i="71"/>
  <c r="S608" i="71" l="1"/>
  <c r="P608" i="71"/>
  <c r="Y608" i="71"/>
  <c r="Q608" i="71" s="1"/>
  <c r="U606" i="71"/>
  <c r="V606" i="71" s="1"/>
  <c r="C609" i="71"/>
  <c r="D609" i="71" s="1"/>
  <c r="N609" i="71"/>
  <c r="K609" i="71"/>
  <c r="A610" i="71"/>
  <c r="B609" i="71"/>
  <c r="E609" i="71" s="1"/>
  <c r="R607" i="71"/>
  <c r="Z607" i="71"/>
  <c r="AB607" i="71"/>
  <c r="T607" i="71"/>
  <c r="M197" i="71"/>
  <c r="L197" i="71" s="1"/>
  <c r="AB608" i="71" l="1"/>
  <c r="T608" i="71"/>
  <c r="R608" i="71"/>
  <c r="U608" i="71" s="1"/>
  <c r="Z608" i="71"/>
  <c r="Y609" i="71"/>
  <c r="Q609" i="71" s="1"/>
  <c r="S609" i="71"/>
  <c r="P609" i="71"/>
  <c r="U607" i="71"/>
  <c r="V607" i="71" s="1"/>
  <c r="N610" i="71"/>
  <c r="K610" i="71"/>
  <c r="A611" i="71"/>
  <c r="C610" i="71"/>
  <c r="D610" i="71" s="1"/>
  <c r="B610" i="71"/>
  <c r="E610" i="71" s="1"/>
  <c r="V608" i="71" l="1"/>
  <c r="AB609" i="71"/>
  <c r="T609" i="71"/>
  <c r="Z609" i="71"/>
  <c r="R609" i="71"/>
  <c r="A612" i="71"/>
  <c r="N611" i="71"/>
  <c r="K611" i="71"/>
  <c r="B611" i="71"/>
  <c r="E611" i="71" s="1"/>
  <c r="C611" i="71"/>
  <c r="D611" i="71" s="1"/>
  <c r="S610" i="71"/>
  <c r="P610" i="71"/>
  <c r="Y610" i="71"/>
  <c r="Q610" i="71" s="1"/>
  <c r="P611" i="71" l="1"/>
  <c r="Y611" i="71"/>
  <c r="Q611" i="71" s="1"/>
  <c r="S611" i="71"/>
  <c r="A613" i="71"/>
  <c r="N612" i="71"/>
  <c r="C612" i="71"/>
  <c r="D612" i="71" s="1"/>
  <c r="K612" i="71"/>
  <c r="B612" i="71"/>
  <c r="E612" i="71" s="1"/>
  <c r="R610" i="71"/>
  <c r="AB610" i="71"/>
  <c r="T610" i="71"/>
  <c r="Z610" i="71"/>
  <c r="U609" i="71"/>
  <c r="V609" i="71" s="1"/>
  <c r="Z611" i="71" l="1"/>
  <c r="T611" i="71"/>
  <c r="R611" i="71"/>
  <c r="AB611" i="71"/>
  <c r="S612" i="71"/>
  <c r="Y612" i="71"/>
  <c r="Q612" i="71" s="1"/>
  <c r="P612" i="71"/>
  <c r="C613" i="71"/>
  <c r="D613" i="71" s="1"/>
  <c r="K613" i="71"/>
  <c r="B613" i="71"/>
  <c r="E613" i="71" s="1"/>
  <c r="A614" i="71"/>
  <c r="N613" i="71"/>
  <c r="U610" i="71"/>
  <c r="V610" i="71"/>
  <c r="M198" i="71"/>
  <c r="L198" i="71" s="1"/>
  <c r="Y613" i="71" l="1"/>
  <c r="Q613" i="71" s="1"/>
  <c r="S613" i="71"/>
  <c r="P613" i="71"/>
  <c r="K614" i="71"/>
  <c r="A615" i="71"/>
  <c r="C614" i="71"/>
  <c r="D614" i="71" s="1"/>
  <c r="B614" i="71"/>
  <c r="E614" i="71" s="1"/>
  <c r="N614" i="71"/>
  <c r="U611" i="71"/>
  <c r="V611" i="71" s="1"/>
  <c r="AB612" i="71"/>
  <c r="R612" i="71"/>
  <c r="T612" i="71"/>
  <c r="Z612" i="71"/>
  <c r="C615" i="71" l="1"/>
  <c r="D615" i="71" s="1"/>
  <c r="N615" i="71"/>
  <c r="A616" i="71"/>
  <c r="K615" i="71"/>
  <c r="B615" i="71"/>
  <c r="E615" i="71" s="1"/>
  <c r="U612" i="71"/>
  <c r="V612" i="71" s="1"/>
  <c r="P614" i="71"/>
  <c r="Y614" i="71"/>
  <c r="Q614" i="71" s="1"/>
  <c r="S614" i="71"/>
  <c r="AB613" i="71"/>
  <c r="R613" i="71"/>
  <c r="T613" i="71"/>
  <c r="Z613" i="71"/>
  <c r="U613" i="71" l="1"/>
  <c r="V613" i="71" s="1"/>
  <c r="C616" i="71"/>
  <c r="D616" i="71" s="1"/>
  <c r="A617" i="71"/>
  <c r="K616" i="71"/>
  <c r="N616" i="71"/>
  <c r="B616" i="71"/>
  <c r="E616" i="71" s="1"/>
  <c r="S615" i="71"/>
  <c r="Y615" i="71"/>
  <c r="Q615" i="71" s="1"/>
  <c r="P615" i="71"/>
  <c r="Z614" i="71"/>
  <c r="R614" i="71"/>
  <c r="T614" i="71"/>
  <c r="AB614" i="71"/>
  <c r="M199" i="71"/>
  <c r="L199" i="71" s="1"/>
  <c r="U614" i="71" l="1"/>
  <c r="V614" i="71" s="1"/>
  <c r="N617" i="71"/>
  <c r="C617" i="71"/>
  <c r="D617" i="71" s="1"/>
  <c r="A618" i="71"/>
  <c r="B617" i="71"/>
  <c r="E617" i="71" s="1"/>
  <c r="K617" i="71"/>
  <c r="R615" i="71"/>
  <c r="Z615" i="71"/>
  <c r="T615" i="71"/>
  <c r="AB615" i="71"/>
  <c r="S616" i="71"/>
  <c r="P616" i="71"/>
  <c r="Y616" i="71"/>
  <c r="Q616" i="71" s="1"/>
  <c r="N618" i="71" l="1"/>
  <c r="K618" i="71"/>
  <c r="C618" i="71"/>
  <c r="D618" i="71" s="1"/>
  <c r="A619" i="71"/>
  <c r="B618" i="71"/>
  <c r="E618" i="71" s="1"/>
  <c r="T616" i="71"/>
  <c r="Z616" i="71"/>
  <c r="AB616" i="71"/>
  <c r="R616" i="71"/>
  <c r="P617" i="71"/>
  <c r="Y617" i="71"/>
  <c r="Q617" i="71" s="1"/>
  <c r="S617" i="71"/>
  <c r="U615" i="71"/>
  <c r="V615" i="71" s="1"/>
  <c r="R617" i="71" l="1"/>
  <c r="Z617" i="71"/>
  <c r="AB617" i="71"/>
  <c r="T617" i="71"/>
  <c r="B619" i="71"/>
  <c r="E619" i="71" s="1"/>
  <c r="C619" i="71"/>
  <c r="D619" i="71" s="1"/>
  <c r="K619" i="71"/>
  <c r="N619" i="71"/>
  <c r="A620" i="71"/>
  <c r="U616" i="71"/>
  <c r="V616" i="71" s="1"/>
  <c r="S618" i="71"/>
  <c r="P618" i="71"/>
  <c r="Y618" i="71"/>
  <c r="Q618" i="71" s="1"/>
  <c r="Y619" i="71" l="1"/>
  <c r="Q619" i="71" s="1"/>
  <c r="P619" i="71"/>
  <c r="S619" i="71"/>
  <c r="AB618" i="71"/>
  <c r="Z618" i="71"/>
  <c r="T618" i="71"/>
  <c r="R618" i="71"/>
  <c r="U618" i="71" s="1"/>
  <c r="K620" i="71"/>
  <c r="B620" i="71"/>
  <c r="E620" i="71" s="1"/>
  <c r="A621" i="71"/>
  <c r="N620" i="71"/>
  <c r="C620" i="71"/>
  <c r="D620" i="71" s="1"/>
  <c r="U617" i="71"/>
  <c r="V617" i="71" s="1"/>
  <c r="M200" i="71"/>
  <c r="L200" i="71" s="1"/>
  <c r="V618" i="71" l="1"/>
  <c r="P620" i="71"/>
  <c r="Y620" i="71"/>
  <c r="Q620" i="71" s="1"/>
  <c r="S620" i="71"/>
  <c r="K621" i="71"/>
  <c r="N621" i="71"/>
  <c r="B621" i="71"/>
  <c r="E621" i="71" s="1"/>
  <c r="A622" i="71"/>
  <c r="C621" i="71"/>
  <c r="D621" i="71" s="1"/>
  <c r="AB619" i="71"/>
  <c r="T619" i="71"/>
  <c r="Z619" i="71"/>
  <c r="R619" i="71"/>
  <c r="U619" i="71" s="1"/>
  <c r="V619" i="71" l="1"/>
  <c r="P621" i="71"/>
  <c r="S621" i="71"/>
  <c r="Y621" i="71"/>
  <c r="Q621" i="71" s="1"/>
  <c r="T620" i="71"/>
  <c r="AB620" i="71"/>
  <c r="Z620" i="71"/>
  <c r="R620" i="71"/>
  <c r="C622" i="71"/>
  <c r="D622" i="71" s="1"/>
  <c r="B622" i="71"/>
  <c r="E622" i="71" s="1"/>
  <c r="K622" i="71"/>
  <c r="N622" i="71"/>
  <c r="A623" i="71"/>
  <c r="M201" i="71"/>
  <c r="L201" i="71" s="1"/>
  <c r="U620" i="71" l="1"/>
  <c r="V620" i="71" s="1"/>
  <c r="N623" i="71"/>
  <c r="K623" i="71"/>
  <c r="A624" i="71"/>
  <c r="C623" i="71"/>
  <c r="D623" i="71" s="1"/>
  <c r="B623" i="71"/>
  <c r="E623" i="71" s="1"/>
  <c r="T621" i="71"/>
  <c r="R621" i="71"/>
  <c r="U621" i="71" s="1"/>
  <c r="AB621" i="71"/>
  <c r="Z621" i="71"/>
  <c r="Y622" i="71"/>
  <c r="Q622" i="71" s="1"/>
  <c r="P622" i="71"/>
  <c r="S622" i="71"/>
  <c r="R622" i="71" l="1"/>
  <c r="Z622" i="71"/>
  <c r="AB622" i="71"/>
  <c r="T622" i="71"/>
  <c r="C624" i="71"/>
  <c r="D624" i="71" s="1"/>
  <c r="N624" i="71"/>
  <c r="K624" i="71"/>
  <c r="B624" i="71"/>
  <c r="E624" i="71" s="1"/>
  <c r="A625" i="71"/>
  <c r="S623" i="71"/>
  <c r="Y623" i="71"/>
  <c r="Q623" i="71" s="1"/>
  <c r="P623" i="71"/>
  <c r="V621" i="71"/>
  <c r="P624" i="71" l="1"/>
  <c r="Y624" i="71"/>
  <c r="Q624" i="71" s="1"/>
  <c r="S624" i="71"/>
  <c r="R623" i="71"/>
  <c r="U623" i="71" s="1"/>
  <c r="Z623" i="71"/>
  <c r="AB623" i="71"/>
  <c r="T623" i="71"/>
  <c r="N625" i="71"/>
  <c r="C625" i="71"/>
  <c r="D625" i="71" s="1"/>
  <c r="A626" i="71"/>
  <c r="K625" i="71"/>
  <c r="B625" i="71"/>
  <c r="E625" i="71" s="1"/>
  <c r="U622" i="71"/>
  <c r="V622" i="71" s="1"/>
  <c r="V623" i="71" l="1"/>
  <c r="Y625" i="71"/>
  <c r="Q625" i="71" s="1"/>
  <c r="S625" i="71"/>
  <c r="P625" i="71"/>
  <c r="Z624" i="71"/>
  <c r="R624" i="71"/>
  <c r="U624" i="71" s="1"/>
  <c r="AB624" i="71"/>
  <c r="T624" i="71"/>
  <c r="N626" i="71"/>
  <c r="K626" i="71"/>
  <c r="A627" i="71"/>
  <c r="C626" i="71"/>
  <c r="D626" i="71" s="1"/>
  <c r="B626" i="71"/>
  <c r="E626" i="71" s="1"/>
  <c r="M202" i="71"/>
  <c r="L202" i="71" s="1"/>
  <c r="V624" i="71" l="1"/>
  <c r="B627" i="71"/>
  <c r="E627" i="71" s="1"/>
  <c r="C627" i="71"/>
  <c r="D627" i="71" s="1"/>
  <c r="A628" i="71"/>
  <c r="K627" i="71"/>
  <c r="N627" i="71"/>
  <c r="R625" i="71"/>
  <c r="U625" i="71" s="1"/>
  <c r="T625" i="71"/>
  <c r="AB625" i="71"/>
  <c r="Z625" i="71"/>
  <c r="Y626" i="71"/>
  <c r="Q626" i="71" s="1"/>
  <c r="S626" i="71"/>
  <c r="P626" i="71"/>
  <c r="V625" i="71" l="1"/>
  <c r="N628" i="71"/>
  <c r="A629" i="71"/>
  <c r="K628" i="71"/>
  <c r="B628" i="71"/>
  <c r="E628" i="71" s="1"/>
  <c r="C628" i="71"/>
  <c r="D628" i="71" s="1"/>
  <c r="Y627" i="71"/>
  <c r="Q627" i="71" s="1"/>
  <c r="S627" i="71"/>
  <c r="P627" i="71"/>
  <c r="AB626" i="71"/>
  <c r="T626" i="71"/>
  <c r="R626" i="71"/>
  <c r="Z626" i="71"/>
  <c r="R627" i="71" l="1"/>
  <c r="AB627" i="71"/>
  <c r="T627" i="71"/>
  <c r="Z627" i="71"/>
  <c r="U626" i="71"/>
  <c r="V626" i="71"/>
  <c r="N629" i="71"/>
  <c r="B629" i="71"/>
  <c r="E629" i="71" s="1"/>
  <c r="C629" i="71"/>
  <c r="D629" i="71" s="1"/>
  <c r="K629" i="71"/>
  <c r="A630" i="71"/>
  <c r="S628" i="71"/>
  <c r="P628" i="71"/>
  <c r="Y628" i="71"/>
  <c r="Q628" i="71" s="1"/>
  <c r="Z628" i="71" l="1"/>
  <c r="R628" i="71"/>
  <c r="U628" i="71" s="1"/>
  <c r="AB628" i="71"/>
  <c r="T628" i="71"/>
  <c r="P629" i="71"/>
  <c r="Y629" i="71"/>
  <c r="Q629" i="71" s="1"/>
  <c r="S629" i="71"/>
  <c r="N630" i="71"/>
  <c r="K630" i="71"/>
  <c r="C630" i="71"/>
  <c r="D630" i="71" s="1"/>
  <c r="B630" i="71"/>
  <c r="E630" i="71" s="1"/>
  <c r="A631" i="71"/>
  <c r="U627" i="71"/>
  <c r="V627" i="71" s="1"/>
  <c r="M203" i="71"/>
  <c r="L203" i="71" s="1"/>
  <c r="V628" i="71" l="1"/>
  <c r="T629" i="71"/>
  <c r="Z629" i="71"/>
  <c r="R629" i="71"/>
  <c r="AB629" i="71"/>
  <c r="A632" i="71"/>
  <c r="B631" i="71"/>
  <c r="E631" i="71" s="1"/>
  <c r="K631" i="71"/>
  <c r="C631" i="71"/>
  <c r="D631" i="71" s="1"/>
  <c r="N631" i="71"/>
  <c r="P630" i="71"/>
  <c r="Y630" i="71"/>
  <c r="Q630" i="71" s="1"/>
  <c r="S630" i="71"/>
  <c r="R630" i="71" l="1"/>
  <c r="U630" i="71" s="1"/>
  <c r="AB630" i="71"/>
  <c r="Z630" i="71"/>
  <c r="T630" i="71"/>
  <c r="A633" i="71"/>
  <c r="N632" i="71"/>
  <c r="K632" i="71"/>
  <c r="C632" i="71"/>
  <c r="D632" i="71" s="1"/>
  <c r="B632" i="71"/>
  <c r="E632" i="71" s="1"/>
  <c r="P631" i="71"/>
  <c r="Y631" i="71"/>
  <c r="Q631" i="71" s="1"/>
  <c r="S631" i="71"/>
  <c r="U629" i="71"/>
  <c r="V629" i="71" s="1"/>
  <c r="S632" i="71" l="1"/>
  <c r="P632" i="71"/>
  <c r="Y632" i="71"/>
  <c r="Q632" i="71" s="1"/>
  <c r="C633" i="71"/>
  <c r="D633" i="71" s="1"/>
  <c r="K633" i="71"/>
  <c r="B633" i="71"/>
  <c r="E633" i="71" s="1"/>
  <c r="A634" i="71"/>
  <c r="N633" i="71"/>
  <c r="T631" i="71"/>
  <c r="R631" i="71"/>
  <c r="Z631" i="71"/>
  <c r="AB631" i="71"/>
  <c r="V630" i="71"/>
  <c r="M204" i="71"/>
  <c r="L204" i="71" s="1"/>
  <c r="K634" i="71" l="1"/>
  <c r="N634" i="71"/>
  <c r="A635" i="71"/>
  <c r="C634" i="71"/>
  <c r="D634" i="71" s="1"/>
  <c r="B634" i="71"/>
  <c r="E634" i="71" s="1"/>
  <c r="R632" i="71"/>
  <c r="Z632" i="71"/>
  <c r="T632" i="71"/>
  <c r="AB632" i="71"/>
  <c r="U631" i="71"/>
  <c r="V631" i="71" s="1"/>
  <c r="S633" i="71"/>
  <c r="P633" i="71"/>
  <c r="Y633" i="71"/>
  <c r="Q633" i="71" s="1"/>
  <c r="T633" i="71" l="1"/>
  <c r="Z633" i="71"/>
  <c r="R633" i="71"/>
  <c r="U633" i="71" s="1"/>
  <c r="AB633" i="71"/>
  <c r="U632" i="71"/>
  <c r="V632" i="71" s="1"/>
  <c r="N635" i="71"/>
  <c r="B635" i="71"/>
  <c r="E635" i="71" s="1"/>
  <c r="K635" i="71"/>
  <c r="C635" i="71"/>
  <c r="D635" i="71" s="1"/>
  <c r="A636" i="71"/>
  <c r="P634" i="71"/>
  <c r="Y634" i="71"/>
  <c r="Q634" i="71" s="1"/>
  <c r="S634" i="71"/>
  <c r="V633" i="71" l="1"/>
  <c r="P635" i="71"/>
  <c r="S635" i="71"/>
  <c r="Y635" i="71"/>
  <c r="Q635" i="71" s="1"/>
  <c r="A637" i="71"/>
  <c r="B636" i="71"/>
  <c r="E636" i="71" s="1"/>
  <c r="K636" i="71"/>
  <c r="N636" i="71"/>
  <c r="C636" i="71"/>
  <c r="D636" i="71" s="1"/>
  <c r="Z634" i="71"/>
  <c r="T634" i="71"/>
  <c r="AB634" i="71"/>
  <c r="R634" i="71"/>
  <c r="M205" i="71"/>
  <c r="L205" i="71" s="1"/>
  <c r="AB635" i="71" l="1"/>
  <c r="T635" i="71"/>
  <c r="Z635" i="71"/>
  <c r="R635" i="71"/>
  <c r="U635" i="71" s="1"/>
  <c r="A638" i="71"/>
  <c r="N637" i="71"/>
  <c r="C637" i="71"/>
  <c r="D637" i="71" s="1"/>
  <c r="K637" i="71"/>
  <c r="B637" i="71"/>
  <c r="E637" i="71" s="1"/>
  <c r="U634" i="71"/>
  <c r="V634" i="71" s="1"/>
  <c r="P636" i="71"/>
  <c r="Y636" i="71"/>
  <c r="Q636" i="71" s="1"/>
  <c r="S636" i="71"/>
  <c r="V635" i="71" l="1"/>
  <c r="Z636" i="71"/>
  <c r="R636" i="71"/>
  <c r="AB636" i="71"/>
  <c r="T636" i="71"/>
  <c r="S637" i="71"/>
  <c r="P637" i="71"/>
  <c r="Y637" i="71"/>
  <c r="Q637" i="71" s="1"/>
  <c r="N638" i="71"/>
  <c r="K638" i="71"/>
  <c r="C638" i="71"/>
  <c r="D638" i="71" s="1"/>
  <c r="A639" i="71"/>
  <c r="B638" i="71"/>
  <c r="E638" i="71" s="1"/>
  <c r="T637" i="71" l="1"/>
  <c r="Z637" i="71"/>
  <c r="R637" i="71"/>
  <c r="AB637" i="71"/>
  <c r="N639" i="71"/>
  <c r="A640" i="71"/>
  <c r="B639" i="71"/>
  <c r="E639" i="71" s="1"/>
  <c r="K639" i="71"/>
  <c r="C639" i="71"/>
  <c r="D639" i="71" s="1"/>
  <c r="S638" i="71"/>
  <c r="P638" i="71"/>
  <c r="Y638" i="71"/>
  <c r="Q638" i="71" s="1"/>
  <c r="U636" i="71"/>
  <c r="V636" i="71" s="1"/>
  <c r="M206" i="71"/>
  <c r="L206" i="71" s="1"/>
  <c r="T638" i="71" l="1"/>
  <c r="Z638" i="71"/>
  <c r="R638" i="71"/>
  <c r="AB638" i="71"/>
  <c r="U637" i="71"/>
  <c r="V637" i="71" s="1"/>
  <c r="N640" i="71"/>
  <c r="B640" i="71"/>
  <c r="E640" i="71" s="1"/>
  <c r="C640" i="71"/>
  <c r="D640" i="71" s="1"/>
  <c r="A641" i="71"/>
  <c r="K640" i="71"/>
  <c r="Y639" i="71"/>
  <c r="Q639" i="71" s="1"/>
  <c r="P639" i="71"/>
  <c r="S639" i="71"/>
  <c r="T639" i="71" l="1"/>
  <c r="Z639" i="71"/>
  <c r="AB639" i="71"/>
  <c r="R639" i="71"/>
  <c r="U639" i="71" s="1"/>
  <c r="V639" i="71" s="1"/>
  <c r="U638" i="71"/>
  <c r="V638" i="71" s="1"/>
  <c r="P640" i="71"/>
  <c r="Y640" i="71"/>
  <c r="Q640" i="71" s="1"/>
  <c r="S640" i="71"/>
  <c r="C641" i="71"/>
  <c r="D641" i="71" s="1"/>
  <c r="K641" i="71"/>
  <c r="A642" i="71"/>
  <c r="N641" i="71"/>
  <c r="B641" i="71"/>
  <c r="E641" i="71" s="1"/>
  <c r="Z640" i="71" l="1"/>
  <c r="R640" i="71"/>
  <c r="AB640" i="71"/>
  <c r="T640" i="71"/>
  <c r="B642" i="71"/>
  <c r="E642" i="71" s="1"/>
  <c r="K642" i="71"/>
  <c r="N642" i="71"/>
  <c r="A643" i="71"/>
  <c r="C642" i="71"/>
  <c r="D642" i="71" s="1"/>
  <c r="Y641" i="71"/>
  <c r="Q641" i="71" s="1"/>
  <c r="S641" i="71"/>
  <c r="P641" i="71"/>
  <c r="M207" i="71"/>
  <c r="L207" i="71" s="1"/>
  <c r="P642" i="71" l="1"/>
  <c r="S642" i="71"/>
  <c r="Y642" i="71"/>
  <c r="Q642" i="71" s="1"/>
  <c r="C643" i="71"/>
  <c r="D643" i="71" s="1"/>
  <c r="K643" i="71"/>
  <c r="N643" i="71"/>
  <c r="A644" i="71"/>
  <c r="B643" i="71"/>
  <c r="E643" i="71" s="1"/>
  <c r="R641" i="71"/>
  <c r="U641" i="71" s="1"/>
  <c r="Z641" i="71"/>
  <c r="AB641" i="71"/>
  <c r="T641" i="71"/>
  <c r="U640" i="71"/>
  <c r="V640" i="71" s="1"/>
  <c r="V641" i="71" l="1"/>
  <c r="C644" i="71"/>
  <c r="D644" i="71" s="1"/>
  <c r="A645" i="71"/>
  <c r="B644" i="71"/>
  <c r="E644" i="71" s="1"/>
  <c r="K644" i="71"/>
  <c r="N644" i="71"/>
  <c r="P643" i="71"/>
  <c r="S643" i="71"/>
  <c r="Y643" i="71"/>
  <c r="Q643" i="71" s="1"/>
  <c r="AB642" i="71"/>
  <c r="R642" i="71"/>
  <c r="U642" i="71" s="1"/>
  <c r="T642" i="71"/>
  <c r="Z642" i="71"/>
  <c r="V642" i="71" l="1"/>
  <c r="B645" i="71"/>
  <c r="E645" i="71" s="1"/>
  <c r="A646" i="71"/>
  <c r="K645" i="71"/>
  <c r="N645" i="71"/>
  <c r="C645" i="71"/>
  <c r="D645" i="71" s="1"/>
  <c r="P644" i="71"/>
  <c r="S644" i="71"/>
  <c r="Y644" i="71"/>
  <c r="Q644" i="71" s="1"/>
  <c r="Z643" i="71"/>
  <c r="R643" i="71"/>
  <c r="AB643" i="71"/>
  <c r="T643" i="71"/>
  <c r="S645" i="71" l="1"/>
  <c r="P645" i="71"/>
  <c r="Y645" i="71"/>
  <c r="Q645" i="71" s="1"/>
  <c r="C646" i="71"/>
  <c r="D646" i="71" s="1"/>
  <c r="B646" i="71"/>
  <c r="E646" i="71" s="1"/>
  <c r="K646" i="71"/>
  <c r="A647" i="71"/>
  <c r="N646" i="71"/>
  <c r="U643" i="71"/>
  <c r="V643" i="71" s="1"/>
  <c r="Z644" i="71"/>
  <c r="R644" i="71"/>
  <c r="T644" i="71"/>
  <c r="AB644" i="71"/>
  <c r="M208" i="71"/>
  <c r="L208" i="71" s="1"/>
  <c r="S646" i="71" l="1"/>
  <c r="P646" i="71"/>
  <c r="Y646" i="71"/>
  <c r="Q646" i="71" s="1"/>
  <c r="K647" i="71"/>
  <c r="B647" i="71"/>
  <c r="E647" i="71" s="1"/>
  <c r="N647" i="71"/>
  <c r="C647" i="71"/>
  <c r="D647" i="71" s="1"/>
  <c r="A648" i="71"/>
  <c r="U644" i="71"/>
  <c r="V644" i="71" s="1"/>
  <c r="T645" i="71"/>
  <c r="Z645" i="71"/>
  <c r="R645" i="71"/>
  <c r="AB645" i="71"/>
  <c r="AB646" i="71" l="1"/>
  <c r="Z646" i="71"/>
  <c r="R646" i="71"/>
  <c r="T646" i="71"/>
  <c r="Y647" i="71"/>
  <c r="Q647" i="71" s="1"/>
  <c r="P647" i="71"/>
  <c r="S647" i="71"/>
  <c r="U645" i="71"/>
  <c r="V645" i="71" s="1"/>
  <c r="C648" i="71"/>
  <c r="D648" i="71" s="1"/>
  <c r="A649" i="71"/>
  <c r="K648" i="71"/>
  <c r="B648" i="71"/>
  <c r="E648" i="71" s="1"/>
  <c r="N648" i="71"/>
  <c r="AB647" i="71" l="1"/>
  <c r="T647" i="71"/>
  <c r="R647" i="71"/>
  <c r="U647" i="71" s="1"/>
  <c r="Z647" i="71"/>
  <c r="S648" i="71"/>
  <c r="P648" i="71"/>
  <c r="Y648" i="71"/>
  <c r="Q648" i="71" s="1"/>
  <c r="B649" i="71"/>
  <c r="E649" i="71" s="1"/>
  <c r="A650" i="71"/>
  <c r="N649" i="71"/>
  <c r="C649" i="71"/>
  <c r="D649" i="71" s="1"/>
  <c r="K649" i="71"/>
  <c r="U646" i="71"/>
  <c r="V646" i="71"/>
  <c r="V647" i="71" l="1"/>
  <c r="Z648" i="71"/>
  <c r="AB648" i="71"/>
  <c r="R648" i="71"/>
  <c r="T648" i="71"/>
  <c r="S649" i="71"/>
  <c r="P649" i="71"/>
  <c r="Y649" i="71"/>
  <c r="Q649" i="71" s="1"/>
  <c r="N650" i="71"/>
  <c r="K650" i="71"/>
  <c r="A651" i="71"/>
  <c r="C650" i="71"/>
  <c r="D650" i="71" s="1"/>
  <c r="B650" i="71"/>
  <c r="E650" i="71" s="1"/>
  <c r="M209" i="71"/>
  <c r="L209" i="71" s="1"/>
  <c r="Z649" i="71" l="1"/>
  <c r="R649" i="71"/>
  <c r="U649" i="71" s="1"/>
  <c r="T649" i="71"/>
  <c r="AB649" i="71"/>
  <c r="B651" i="71"/>
  <c r="E651" i="71" s="1"/>
  <c r="C651" i="71"/>
  <c r="D651" i="71" s="1"/>
  <c r="A652" i="71"/>
  <c r="K651" i="71"/>
  <c r="N651" i="71"/>
  <c r="U648" i="71"/>
  <c r="V648" i="71" s="1"/>
  <c r="P650" i="71"/>
  <c r="S650" i="71"/>
  <c r="Y650" i="71"/>
  <c r="Q650" i="71" s="1"/>
  <c r="Z650" i="71" l="1"/>
  <c r="T650" i="71"/>
  <c r="R650" i="71"/>
  <c r="AB650" i="71"/>
  <c r="P651" i="71"/>
  <c r="S651" i="71"/>
  <c r="Y651" i="71"/>
  <c r="Q651" i="71" s="1"/>
  <c r="V649" i="71"/>
  <c r="A653" i="71"/>
  <c r="K652" i="71"/>
  <c r="N652" i="71"/>
  <c r="B652" i="71"/>
  <c r="E652" i="71" s="1"/>
  <c r="C652" i="71"/>
  <c r="D652" i="71" s="1"/>
  <c r="AB651" i="71" l="1"/>
  <c r="Z651" i="71"/>
  <c r="T651" i="71"/>
  <c r="R651" i="71"/>
  <c r="U651" i="71" s="1"/>
  <c r="U650" i="71"/>
  <c r="V650" i="71" s="1"/>
  <c r="C653" i="71"/>
  <c r="D653" i="71" s="1"/>
  <c r="A654" i="71"/>
  <c r="N653" i="71"/>
  <c r="K653" i="71"/>
  <c r="B653" i="71"/>
  <c r="E653" i="71" s="1"/>
  <c r="S652" i="71"/>
  <c r="P652" i="71"/>
  <c r="Y652" i="71"/>
  <c r="Q652" i="71" s="1"/>
  <c r="M210" i="71"/>
  <c r="L210" i="71" s="1"/>
  <c r="V651" i="71" l="1"/>
  <c r="K654" i="71"/>
  <c r="A655" i="71"/>
  <c r="B654" i="71"/>
  <c r="E654" i="71" s="1"/>
  <c r="C654" i="71"/>
  <c r="D654" i="71" s="1"/>
  <c r="N654" i="71"/>
  <c r="T652" i="71"/>
  <c r="AB652" i="71"/>
  <c r="Z652" i="71"/>
  <c r="R652" i="71"/>
  <c r="Y653" i="71"/>
  <c r="Q653" i="71" s="1"/>
  <c r="P653" i="71"/>
  <c r="S653" i="71"/>
  <c r="S654" i="71" l="1"/>
  <c r="P654" i="71"/>
  <c r="Y654" i="71"/>
  <c r="Q654" i="71" s="1"/>
  <c r="AB653" i="71"/>
  <c r="T653" i="71"/>
  <c r="R653" i="71"/>
  <c r="Z653" i="71"/>
  <c r="K655" i="71"/>
  <c r="A656" i="71"/>
  <c r="N655" i="71"/>
  <c r="B655" i="71"/>
  <c r="E655" i="71" s="1"/>
  <c r="C655" i="71"/>
  <c r="D655" i="71" s="1"/>
  <c r="U652" i="71"/>
  <c r="V652" i="71" s="1"/>
  <c r="Z654" i="71" l="1"/>
  <c r="R654" i="71"/>
  <c r="AB654" i="71"/>
  <c r="T654" i="71"/>
  <c r="U653" i="71"/>
  <c r="V653" i="71" s="1"/>
  <c r="N656" i="71"/>
  <c r="B656" i="71"/>
  <c r="E656" i="71" s="1"/>
  <c r="C656" i="71"/>
  <c r="D656" i="71" s="1"/>
  <c r="K656" i="71"/>
  <c r="A657" i="71"/>
  <c r="S655" i="71"/>
  <c r="Y655" i="71"/>
  <c r="Q655" i="71" s="1"/>
  <c r="P655" i="71"/>
  <c r="M211" i="71"/>
  <c r="L211" i="71" s="1"/>
  <c r="T655" i="71" l="1"/>
  <c r="Z655" i="71"/>
  <c r="R655" i="71"/>
  <c r="U655" i="71" s="1"/>
  <c r="AB655" i="71"/>
  <c r="S656" i="71"/>
  <c r="P656" i="71"/>
  <c r="Y656" i="71"/>
  <c r="Q656" i="71" s="1"/>
  <c r="U654" i="71"/>
  <c r="V654" i="71" s="1"/>
  <c r="B657" i="71"/>
  <c r="E657" i="71" s="1"/>
  <c r="N657" i="71"/>
  <c r="K657" i="71"/>
  <c r="A658" i="71"/>
  <c r="C657" i="71"/>
  <c r="D657" i="71" s="1"/>
  <c r="V655" i="71" l="1"/>
  <c r="AB656" i="71"/>
  <c r="Z656" i="71"/>
  <c r="T656" i="71"/>
  <c r="R656" i="71"/>
  <c r="U656" i="71" s="1"/>
  <c r="K658" i="71"/>
  <c r="A659" i="71"/>
  <c r="B658" i="71"/>
  <c r="E658" i="71" s="1"/>
  <c r="C658" i="71"/>
  <c r="D658" i="71" s="1"/>
  <c r="N658" i="71"/>
  <c r="P657" i="71"/>
  <c r="S657" i="71"/>
  <c r="Y657" i="71"/>
  <c r="Q657" i="71" s="1"/>
  <c r="Z657" i="71" l="1"/>
  <c r="R657" i="71"/>
  <c r="U657" i="71" s="1"/>
  <c r="AB657" i="71"/>
  <c r="T657" i="71"/>
  <c r="B659" i="71"/>
  <c r="E659" i="71" s="1"/>
  <c r="K659" i="71"/>
  <c r="C659" i="71"/>
  <c r="D659" i="71" s="1"/>
  <c r="A660" i="71"/>
  <c r="N659" i="71"/>
  <c r="V656" i="71"/>
  <c r="P658" i="71"/>
  <c r="Y658" i="71"/>
  <c r="Q658" i="71" s="1"/>
  <c r="S658" i="71"/>
  <c r="V657" i="71" l="1"/>
  <c r="Z658" i="71"/>
  <c r="T658" i="71"/>
  <c r="R658" i="71"/>
  <c r="AB658" i="71"/>
  <c r="S659" i="71"/>
  <c r="P659" i="71"/>
  <c r="Y659" i="71"/>
  <c r="Q659" i="71" s="1"/>
  <c r="C660" i="71"/>
  <c r="D660" i="71" s="1"/>
  <c r="A661" i="71"/>
  <c r="B660" i="71"/>
  <c r="E660" i="71" s="1"/>
  <c r="K660" i="71"/>
  <c r="N660" i="71"/>
  <c r="M212" i="71"/>
  <c r="L212" i="71" s="1"/>
  <c r="AB659" i="71" l="1"/>
  <c r="T659" i="71"/>
  <c r="R659" i="71"/>
  <c r="Z659" i="71"/>
  <c r="P660" i="71"/>
  <c r="Y660" i="71"/>
  <c r="Q660" i="71" s="1"/>
  <c r="S660" i="71"/>
  <c r="N661" i="71"/>
  <c r="A662" i="71"/>
  <c r="B661" i="71"/>
  <c r="E661" i="71" s="1"/>
  <c r="C661" i="71"/>
  <c r="D661" i="71" s="1"/>
  <c r="K661" i="71"/>
  <c r="U658" i="71"/>
  <c r="V658" i="71" s="1"/>
  <c r="Z660" i="71" l="1"/>
  <c r="R660" i="71"/>
  <c r="AB660" i="71"/>
  <c r="T660" i="71"/>
  <c r="U659" i="71"/>
  <c r="V659" i="71" s="1"/>
  <c r="C662" i="71"/>
  <c r="D662" i="71" s="1"/>
  <c r="N662" i="71"/>
  <c r="B662" i="71"/>
  <c r="E662" i="71" s="1"/>
  <c r="K662" i="71"/>
  <c r="A663" i="71"/>
  <c r="Y661" i="71"/>
  <c r="Q661" i="71" s="1"/>
  <c r="S661" i="71"/>
  <c r="P661" i="71"/>
  <c r="R661" i="71" l="1"/>
  <c r="AB661" i="71"/>
  <c r="T661" i="71"/>
  <c r="Z661" i="71"/>
  <c r="C663" i="71"/>
  <c r="D663" i="71" s="1"/>
  <c r="K663" i="71"/>
  <c r="A664" i="71"/>
  <c r="B663" i="71"/>
  <c r="E663" i="71" s="1"/>
  <c r="N663" i="71"/>
  <c r="U660" i="71"/>
  <c r="V660" i="71" s="1"/>
  <c r="S662" i="71"/>
  <c r="P662" i="71"/>
  <c r="Y662" i="71"/>
  <c r="Q662" i="71" s="1"/>
  <c r="M213" i="71"/>
  <c r="L213" i="71" s="1"/>
  <c r="Z662" i="71" l="1"/>
  <c r="AB662" i="71"/>
  <c r="R662" i="71"/>
  <c r="T662" i="71"/>
  <c r="S663" i="71"/>
  <c r="Y663" i="71"/>
  <c r="Q663" i="71" s="1"/>
  <c r="P663" i="71"/>
  <c r="N664" i="71"/>
  <c r="B664" i="71"/>
  <c r="E664" i="71" s="1"/>
  <c r="C664" i="71"/>
  <c r="D664" i="71" s="1"/>
  <c r="K664" i="71"/>
  <c r="A665" i="71"/>
  <c r="U661" i="71"/>
  <c r="V661" i="71" s="1"/>
  <c r="Z663" i="71" l="1"/>
  <c r="AB663" i="71"/>
  <c r="R663" i="71"/>
  <c r="U663" i="71" s="1"/>
  <c r="T663" i="71"/>
  <c r="N665" i="71"/>
  <c r="C665" i="71"/>
  <c r="D665" i="71" s="1"/>
  <c r="K665" i="71"/>
  <c r="B665" i="71"/>
  <c r="E665" i="71" s="1"/>
  <c r="A666" i="71"/>
  <c r="U662" i="71"/>
  <c r="V662" i="71" s="1"/>
  <c r="S664" i="71"/>
  <c r="P664" i="71"/>
  <c r="Y664" i="71"/>
  <c r="Q664" i="71" s="1"/>
  <c r="V663" i="71" l="1"/>
  <c r="R664" i="71"/>
  <c r="AB664" i="71"/>
  <c r="T664" i="71"/>
  <c r="Z664" i="71"/>
  <c r="Y665" i="71"/>
  <c r="Q665" i="71" s="1"/>
  <c r="S665" i="71"/>
  <c r="P665" i="71"/>
  <c r="A667" i="71"/>
  <c r="B666" i="71"/>
  <c r="E666" i="71" s="1"/>
  <c r="C666" i="71"/>
  <c r="D666" i="71" s="1"/>
  <c r="N666" i="71"/>
  <c r="K666" i="71"/>
  <c r="R665" i="71" l="1"/>
  <c r="AB665" i="71"/>
  <c r="T665" i="71"/>
  <c r="Z665" i="71"/>
  <c r="N667" i="71"/>
  <c r="A668" i="71"/>
  <c r="B667" i="71"/>
  <c r="E667" i="71" s="1"/>
  <c r="K667" i="71"/>
  <c r="C667" i="71"/>
  <c r="D667" i="71" s="1"/>
  <c r="P666" i="71"/>
  <c r="Y666" i="71"/>
  <c r="Q666" i="71" s="1"/>
  <c r="S666" i="71"/>
  <c r="U664" i="71"/>
  <c r="V664" i="71" s="1"/>
  <c r="M214" i="71"/>
  <c r="L214" i="71" s="1"/>
  <c r="P667" i="71" l="1"/>
  <c r="Y667" i="71"/>
  <c r="Q667" i="71" s="1"/>
  <c r="S667" i="71"/>
  <c r="C668" i="71"/>
  <c r="D668" i="71" s="1"/>
  <c r="A669" i="71"/>
  <c r="N668" i="71"/>
  <c r="B668" i="71"/>
  <c r="E668" i="71" s="1"/>
  <c r="K668" i="71"/>
  <c r="R666" i="71"/>
  <c r="AB666" i="71"/>
  <c r="T666" i="71"/>
  <c r="Z666" i="71"/>
  <c r="U665" i="71"/>
  <c r="V665" i="71"/>
  <c r="Z667" i="71" l="1"/>
  <c r="T667" i="71"/>
  <c r="R667" i="71"/>
  <c r="U667" i="71" s="1"/>
  <c r="AB667" i="71"/>
  <c r="S668" i="71"/>
  <c r="P668" i="71"/>
  <c r="Y668" i="71"/>
  <c r="Q668" i="71" s="1"/>
  <c r="A670" i="71"/>
  <c r="C669" i="71"/>
  <c r="D669" i="71" s="1"/>
  <c r="N669" i="71"/>
  <c r="B669" i="71"/>
  <c r="E669" i="71" s="1"/>
  <c r="K669" i="71"/>
  <c r="U666" i="71"/>
  <c r="V666" i="71" s="1"/>
  <c r="V667" i="71" l="1"/>
  <c r="R668" i="71"/>
  <c r="Z668" i="71"/>
  <c r="AB668" i="71"/>
  <c r="T668" i="71"/>
  <c r="P669" i="71"/>
  <c r="S669" i="71"/>
  <c r="Y669" i="71"/>
  <c r="Q669" i="71" s="1"/>
  <c r="K670" i="71"/>
  <c r="A671" i="71"/>
  <c r="N670" i="71"/>
  <c r="B670" i="71"/>
  <c r="E670" i="71" s="1"/>
  <c r="C670" i="71"/>
  <c r="D670" i="71" s="1"/>
  <c r="AB669" i="71" l="1"/>
  <c r="R669" i="71"/>
  <c r="U669" i="71" s="1"/>
  <c r="Z669" i="71"/>
  <c r="T669" i="71"/>
  <c r="P670" i="71"/>
  <c r="Y670" i="71"/>
  <c r="Q670" i="71" s="1"/>
  <c r="S670" i="71"/>
  <c r="C671" i="71"/>
  <c r="D671" i="71" s="1"/>
  <c r="N671" i="71"/>
  <c r="B671" i="71"/>
  <c r="E671" i="71" s="1"/>
  <c r="A672" i="71"/>
  <c r="K671" i="71"/>
  <c r="U668" i="71"/>
  <c r="V668" i="71" s="1"/>
  <c r="M215" i="71"/>
  <c r="L215" i="71" s="1"/>
  <c r="Z670" i="71" l="1"/>
  <c r="T670" i="71"/>
  <c r="R670" i="71"/>
  <c r="U670" i="71" s="1"/>
  <c r="AB670" i="71"/>
  <c r="N672" i="71"/>
  <c r="B672" i="71"/>
  <c r="E672" i="71" s="1"/>
  <c r="C672" i="71"/>
  <c r="D672" i="71" s="1"/>
  <c r="K672" i="71"/>
  <c r="A673" i="71"/>
  <c r="S671" i="71"/>
  <c r="Y671" i="71"/>
  <c r="Q671" i="71" s="1"/>
  <c r="P671" i="71"/>
  <c r="V669" i="71"/>
  <c r="V670" i="71" l="1"/>
  <c r="Y672" i="71"/>
  <c r="Q672" i="71" s="1"/>
  <c r="P672" i="71"/>
  <c r="S672" i="71"/>
  <c r="B673" i="71"/>
  <c r="E673" i="71" s="1"/>
  <c r="A674" i="71"/>
  <c r="N673" i="71"/>
  <c r="C673" i="71"/>
  <c r="D673" i="71" s="1"/>
  <c r="K673" i="71"/>
  <c r="R671" i="71"/>
  <c r="T671" i="71"/>
  <c r="AB671" i="71"/>
  <c r="Z671" i="71"/>
  <c r="B674" i="71" l="1"/>
  <c r="E674" i="71" s="1"/>
  <c r="C674" i="71"/>
  <c r="D674" i="71" s="1"/>
  <c r="A675" i="71"/>
  <c r="K674" i="71"/>
  <c r="N674" i="71"/>
  <c r="Y673" i="71"/>
  <c r="Q673" i="71" s="1"/>
  <c r="S673" i="71"/>
  <c r="P673" i="71"/>
  <c r="U671" i="71"/>
  <c r="V671" i="71" s="1"/>
  <c r="R672" i="71"/>
  <c r="U672" i="71" s="1"/>
  <c r="AB672" i="71"/>
  <c r="T672" i="71"/>
  <c r="Z672" i="71"/>
  <c r="T673" i="71" l="1"/>
  <c r="R673" i="71"/>
  <c r="Z673" i="71"/>
  <c r="AB673" i="71"/>
  <c r="P674" i="71"/>
  <c r="Y674" i="71"/>
  <c r="Q674" i="71" s="1"/>
  <c r="S674" i="71"/>
  <c r="V672" i="71"/>
  <c r="C675" i="71"/>
  <c r="D675" i="71" s="1"/>
  <c r="N675" i="71"/>
  <c r="K675" i="71"/>
  <c r="A676" i="71"/>
  <c r="B675" i="71"/>
  <c r="E675" i="71" s="1"/>
  <c r="M216" i="71"/>
  <c r="L216" i="71" s="1"/>
  <c r="Z674" i="71" l="1"/>
  <c r="R674" i="71"/>
  <c r="U674" i="71" s="1"/>
  <c r="AB674" i="71"/>
  <c r="T674" i="71"/>
  <c r="A677" i="71"/>
  <c r="C676" i="71"/>
  <c r="D676" i="71" s="1"/>
  <c r="B676" i="71"/>
  <c r="E676" i="71" s="1"/>
  <c r="N676" i="71"/>
  <c r="K676" i="71"/>
  <c r="P675" i="71"/>
  <c r="Y675" i="71"/>
  <c r="Q675" i="71" s="1"/>
  <c r="S675" i="71"/>
  <c r="U673" i="71"/>
  <c r="V673" i="71" s="1"/>
  <c r="V674" i="71" l="1"/>
  <c r="N677" i="71"/>
  <c r="C677" i="71"/>
  <c r="D677" i="71" s="1"/>
  <c r="K677" i="71"/>
  <c r="A678" i="71"/>
  <c r="B677" i="71"/>
  <c r="E677" i="71" s="1"/>
  <c r="P676" i="71"/>
  <c r="S676" i="71"/>
  <c r="Y676" i="71"/>
  <c r="Q676" i="71" s="1"/>
  <c r="Z675" i="71"/>
  <c r="R675" i="71"/>
  <c r="AB675" i="71"/>
  <c r="T675" i="71"/>
  <c r="T676" i="71" l="1"/>
  <c r="Z676" i="71"/>
  <c r="R676" i="71"/>
  <c r="AB676" i="71"/>
  <c r="N678" i="71"/>
  <c r="K678" i="71"/>
  <c r="A679" i="71"/>
  <c r="B678" i="71"/>
  <c r="E678" i="71" s="1"/>
  <c r="C678" i="71"/>
  <c r="D678" i="71" s="1"/>
  <c r="U675" i="71"/>
  <c r="V675" i="71" s="1"/>
  <c r="P677" i="71"/>
  <c r="Y677" i="71"/>
  <c r="Q677" i="71" s="1"/>
  <c r="S677" i="71"/>
  <c r="M217" i="71"/>
  <c r="L217" i="71" s="1"/>
  <c r="Z677" i="71" l="1"/>
  <c r="R677" i="71"/>
  <c r="AB677" i="71"/>
  <c r="T677" i="71"/>
  <c r="C679" i="71"/>
  <c r="D679" i="71" s="1"/>
  <c r="N679" i="71"/>
  <c r="K679" i="71"/>
  <c r="A680" i="71"/>
  <c r="B679" i="71"/>
  <c r="E679" i="71" s="1"/>
  <c r="Y678" i="71"/>
  <c r="Q678" i="71" s="1"/>
  <c r="S678" i="71"/>
  <c r="P678" i="71"/>
  <c r="U676" i="71"/>
  <c r="V676" i="71" s="1"/>
  <c r="P679" i="71" l="1"/>
  <c r="Y679" i="71"/>
  <c r="Q679" i="71" s="1"/>
  <c r="S679" i="71"/>
  <c r="T678" i="71"/>
  <c r="Z678" i="71"/>
  <c r="AB678" i="71"/>
  <c r="R678" i="71"/>
  <c r="U678" i="71" s="1"/>
  <c r="V678" i="71" s="1"/>
  <c r="U677" i="71"/>
  <c r="V677" i="71" s="1"/>
  <c r="N680" i="71"/>
  <c r="B680" i="71"/>
  <c r="E680" i="71" s="1"/>
  <c r="A681" i="71"/>
  <c r="C680" i="71"/>
  <c r="D680" i="71" s="1"/>
  <c r="K680" i="71"/>
  <c r="B681" i="71" l="1"/>
  <c r="E681" i="71" s="1"/>
  <c r="A682" i="71"/>
  <c r="C681" i="71"/>
  <c r="D681" i="71" s="1"/>
  <c r="N681" i="71"/>
  <c r="K681" i="71"/>
  <c r="P680" i="71"/>
  <c r="S680" i="71"/>
  <c r="Y680" i="71"/>
  <c r="Q680" i="71" s="1"/>
  <c r="T679" i="71"/>
  <c r="R679" i="71"/>
  <c r="U679" i="71" s="1"/>
  <c r="AB679" i="71"/>
  <c r="Z679" i="71"/>
  <c r="S681" i="71" l="1"/>
  <c r="Y681" i="71"/>
  <c r="Q681" i="71" s="1"/>
  <c r="P681" i="71"/>
  <c r="V679" i="71"/>
  <c r="Z680" i="71"/>
  <c r="T680" i="71"/>
  <c r="R680" i="71"/>
  <c r="AB680" i="71"/>
  <c r="A683" i="71"/>
  <c r="B682" i="71"/>
  <c r="E682" i="71" s="1"/>
  <c r="K682" i="71"/>
  <c r="N682" i="71"/>
  <c r="C682" i="71"/>
  <c r="D682" i="71" s="1"/>
  <c r="M218" i="71"/>
  <c r="L218" i="71" s="1"/>
  <c r="U680" i="71" l="1"/>
  <c r="V680" i="71" s="1"/>
  <c r="Y682" i="71"/>
  <c r="Q682" i="71" s="1"/>
  <c r="P682" i="71"/>
  <c r="S682" i="71"/>
  <c r="R681" i="71"/>
  <c r="U681" i="71" s="1"/>
  <c r="AB681" i="71"/>
  <c r="T681" i="71"/>
  <c r="Z681" i="71"/>
  <c r="A684" i="71"/>
  <c r="B683" i="71"/>
  <c r="E683" i="71" s="1"/>
  <c r="K683" i="71"/>
  <c r="C683" i="71"/>
  <c r="D683" i="71" s="1"/>
  <c r="N683" i="71"/>
  <c r="P683" i="71" l="1"/>
  <c r="Y683" i="71"/>
  <c r="Q683" i="71" s="1"/>
  <c r="S683" i="71"/>
  <c r="R682" i="71"/>
  <c r="T682" i="71"/>
  <c r="AB682" i="71"/>
  <c r="Z682" i="71"/>
  <c r="V681" i="71"/>
  <c r="C684" i="71"/>
  <c r="D684" i="71" s="1"/>
  <c r="A685" i="71"/>
  <c r="K684" i="71"/>
  <c r="N684" i="71"/>
  <c r="B684" i="71"/>
  <c r="E684" i="71" s="1"/>
  <c r="U682" i="71" l="1"/>
  <c r="V682" i="71" s="1"/>
  <c r="K685" i="71"/>
  <c r="B685" i="71"/>
  <c r="E685" i="71" s="1"/>
  <c r="C685" i="71"/>
  <c r="D685" i="71" s="1"/>
  <c r="A686" i="71"/>
  <c r="N685" i="71"/>
  <c r="T683" i="71"/>
  <c r="AB683" i="71"/>
  <c r="Z683" i="71"/>
  <c r="R683" i="71"/>
  <c r="U683" i="71" s="1"/>
  <c r="P684" i="71"/>
  <c r="Y684" i="71"/>
  <c r="Q684" i="71" s="1"/>
  <c r="S684" i="71"/>
  <c r="P685" i="71" l="1"/>
  <c r="Y685" i="71"/>
  <c r="Q685" i="71" s="1"/>
  <c r="S685" i="71"/>
  <c r="R684" i="71"/>
  <c r="AB684" i="71"/>
  <c r="T684" i="71"/>
  <c r="Z684" i="71"/>
  <c r="V683" i="71"/>
  <c r="N686" i="71"/>
  <c r="K686" i="71"/>
  <c r="A687" i="71"/>
  <c r="B686" i="71"/>
  <c r="E686" i="71" s="1"/>
  <c r="C686" i="71"/>
  <c r="D686" i="71" s="1"/>
  <c r="M219" i="71"/>
  <c r="L219" i="71" s="1"/>
  <c r="AB685" i="71" l="1"/>
  <c r="T685" i="71"/>
  <c r="R685" i="71"/>
  <c r="Z685" i="71"/>
  <c r="U684" i="71"/>
  <c r="V684" i="71" s="1"/>
  <c r="A688" i="71"/>
  <c r="K687" i="71"/>
  <c r="N687" i="71"/>
  <c r="B687" i="71"/>
  <c r="E687" i="71" s="1"/>
  <c r="C687" i="71"/>
  <c r="D687" i="71" s="1"/>
  <c r="S686" i="71"/>
  <c r="P686" i="71"/>
  <c r="Y686" i="71"/>
  <c r="Q686" i="71" s="1"/>
  <c r="K688" i="71" l="1"/>
  <c r="C688" i="71"/>
  <c r="D688" i="71" s="1"/>
  <c r="A689" i="71"/>
  <c r="N688" i="71"/>
  <c r="B688" i="71"/>
  <c r="E688" i="71" s="1"/>
  <c r="U685" i="71"/>
  <c r="V685" i="71" s="1"/>
  <c r="T686" i="71"/>
  <c r="Z686" i="71"/>
  <c r="R686" i="71"/>
  <c r="AB686" i="71"/>
  <c r="S687" i="71"/>
  <c r="Y687" i="71"/>
  <c r="Q687" i="71" s="1"/>
  <c r="P687" i="71"/>
  <c r="S688" i="71" l="1"/>
  <c r="P688" i="71"/>
  <c r="Y688" i="71"/>
  <c r="Q688" i="71" s="1"/>
  <c r="AB687" i="71"/>
  <c r="Z687" i="71"/>
  <c r="T687" i="71"/>
  <c r="R687" i="71"/>
  <c r="U687" i="71" s="1"/>
  <c r="V687" i="71" s="1"/>
  <c r="A690" i="71"/>
  <c r="K689" i="71"/>
  <c r="C689" i="71"/>
  <c r="D689" i="71" s="1"/>
  <c r="B689" i="71"/>
  <c r="N689" i="71"/>
  <c r="E689" i="71"/>
  <c r="U686" i="71"/>
  <c r="V686" i="71"/>
  <c r="Y689" i="71" l="1"/>
  <c r="Q689" i="71" s="1"/>
  <c r="S689" i="71"/>
  <c r="P689" i="71"/>
  <c r="AB688" i="71"/>
  <c r="T688" i="71"/>
  <c r="R688" i="71"/>
  <c r="U688" i="71" s="1"/>
  <c r="Z688" i="71"/>
  <c r="N690" i="71"/>
  <c r="K690" i="71"/>
  <c r="C690" i="71"/>
  <c r="D690" i="71" s="1"/>
  <c r="B690" i="71"/>
  <c r="E690" i="71" s="1"/>
  <c r="A691" i="71"/>
  <c r="M220" i="71"/>
  <c r="L220" i="71" s="1"/>
  <c r="V688" i="71" l="1"/>
  <c r="Y690" i="71"/>
  <c r="Q690" i="71" s="1"/>
  <c r="S690" i="71"/>
  <c r="P690" i="71"/>
  <c r="N691" i="71"/>
  <c r="K691" i="71"/>
  <c r="A692" i="71"/>
  <c r="C691" i="71"/>
  <c r="D691" i="71" s="1"/>
  <c r="B691" i="71"/>
  <c r="E691" i="71" s="1"/>
  <c r="AB689" i="71"/>
  <c r="T689" i="71"/>
  <c r="R689" i="71"/>
  <c r="U689" i="71" s="1"/>
  <c r="Z689" i="71"/>
  <c r="N692" i="71" l="1"/>
  <c r="B692" i="71"/>
  <c r="E692" i="71" s="1"/>
  <c r="C692" i="71"/>
  <c r="D692" i="71" s="1"/>
  <c r="K692" i="71"/>
  <c r="A693" i="71"/>
  <c r="Y691" i="71"/>
  <c r="Q691" i="71" s="1"/>
  <c r="P691" i="71"/>
  <c r="S691" i="71"/>
  <c r="V689" i="71"/>
  <c r="AB690" i="71"/>
  <c r="R690" i="71"/>
  <c r="U690" i="71" s="1"/>
  <c r="T690" i="71"/>
  <c r="Z690" i="71"/>
  <c r="V690" i="71" l="1"/>
  <c r="R691" i="71"/>
  <c r="AB691" i="71"/>
  <c r="T691" i="71"/>
  <c r="Z691" i="71"/>
  <c r="K693" i="71"/>
  <c r="N693" i="71"/>
  <c r="B693" i="71"/>
  <c r="E693" i="71" s="1"/>
  <c r="A694" i="71"/>
  <c r="C693" i="71"/>
  <c r="D693" i="71" s="1"/>
  <c r="P692" i="71"/>
  <c r="Y692" i="71"/>
  <c r="Q692" i="71" s="1"/>
  <c r="S692" i="71"/>
  <c r="M221" i="71"/>
  <c r="L221" i="71" s="1"/>
  <c r="C694" i="71" l="1"/>
  <c r="D694" i="71" s="1"/>
  <c r="K694" i="71"/>
  <c r="B694" i="71"/>
  <c r="E694" i="71" s="1"/>
  <c r="A695" i="71"/>
  <c r="N694" i="71"/>
  <c r="Y693" i="71"/>
  <c r="Q693" i="71" s="1"/>
  <c r="P693" i="71"/>
  <c r="S693" i="71"/>
  <c r="T692" i="71"/>
  <c r="Z692" i="71"/>
  <c r="AB692" i="71"/>
  <c r="R692" i="71"/>
  <c r="U691" i="71"/>
  <c r="V691" i="71"/>
  <c r="Z693" i="71" l="1"/>
  <c r="T693" i="71"/>
  <c r="AB693" i="71"/>
  <c r="R693" i="71"/>
  <c r="U693" i="71" s="1"/>
  <c r="S694" i="71"/>
  <c r="P694" i="71"/>
  <c r="Y694" i="71"/>
  <c r="Q694" i="71" s="1"/>
  <c r="A696" i="71"/>
  <c r="B695" i="71"/>
  <c r="E695" i="71" s="1"/>
  <c r="N695" i="71"/>
  <c r="C695" i="71"/>
  <c r="D695" i="71" s="1"/>
  <c r="K695" i="71"/>
  <c r="U692" i="71"/>
  <c r="V692" i="71"/>
  <c r="V693" i="71" l="1"/>
  <c r="N696" i="71"/>
  <c r="B696" i="71"/>
  <c r="E696" i="71" s="1"/>
  <c r="K696" i="71"/>
  <c r="A697" i="71"/>
  <c r="C696" i="71"/>
  <c r="D696" i="71" s="1"/>
  <c r="AB694" i="71"/>
  <c r="T694" i="71"/>
  <c r="R694" i="71"/>
  <c r="Z694" i="71"/>
  <c r="Y695" i="71"/>
  <c r="Q695" i="71" s="1"/>
  <c r="P695" i="71"/>
  <c r="S695" i="71"/>
  <c r="K697" i="71" l="1"/>
  <c r="B697" i="71"/>
  <c r="E697" i="71" s="1"/>
  <c r="A698" i="71"/>
  <c r="N697" i="71"/>
  <c r="C697" i="71"/>
  <c r="D697" i="71" s="1"/>
  <c r="R695" i="71"/>
  <c r="AB695" i="71"/>
  <c r="T695" i="71"/>
  <c r="Z695" i="71"/>
  <c r="U694" i="71"/>
  <c r="V694" i="71" s="1"/>
  <c r="S696" i="71"/>
  <c r="Y696" i="71"/>
  <c r="Q696" i="71" s="1"/>
  <c r="P696" i="71"/>
  <c r="M222" i="71"/>
  <c r="L222" i="71" s="1"/>
  <c r="AB696" i="71" l="1"/>
  <c r="R696" i="71"/>
  <c r="U696" i="71" s="1"/>
  <c r="T696" i="71"/>
  <c r="Z696" i="71"/>
  <c r="S697" i="71"/>
  <c r="Y697" i="71"/>
  <c r="Q697" i="71" s="1"/>
  <c r="P697" i="71"/>
  <c r="K698" i="71"/>
  <c r="A699" i="71"/>
  <c r="C698" i="71"/>
  <c r="D698" i="71" s="1"/>
  <c r="B698" i="71"/>
  <c r="E698" i="71" s="1"/>
  <c r="N698" i="71"/>
  <c r="U695" i="71"/>
  <c r="V695" i="71" s="1"/>
  <c r="Y698" i="71" l="1"/>
  <c r="Q698" i="71" s="1"/>
  <c r="S698" i="71"/>
  <c r="P698" i="71"/>
  <c r="AB697" i="71"/>
  <c r="Z697" i="71"/>
  <c r="R697" i="71"/>
  <c r="T697" i="71"/>
  <c r="V696" i="71"/>
  <c r="C699" i="71"/>
  <c r="D699" i="71" s="1"/>
  <c r="N699" i="71"/>
  <c r="K699" i="71"/>
  <c r="A700" i="71"/>
  <c r="B699" i="71"/>
  <c r="E699" i="71" s="1"/>
  <c r="U697" i="71" l="1"/>
  <c r="V697" i="71" s="1"/>
  <c r="R698" i="71"/>
  <c r="U698" i="71" s="1"/>
  <c r="AB698" i="71"/>
  <c r="T698" i="71"/>
  <c r="Z698" i="71"/>
  <c r="S699" i="71"/>
  <c r="P699" i="71"/>
  <c r="Y699" i="71"/>
  <c r="Q699" i="71" s="1"/>
  <c r="C700" i="71"/>
  <c r="D700" i="71" s="1"/>
  <c r="B700" i="71"/>
  <c r="E700" i="71" s="1"/>
  <c r="N700" i="71"/>
  <c r="K700" i="71"/>
  <c r="A701" i="71"/>
  <c r="AB699" i="71" l="1"/>
  <c r="Z699" i="71"/>
  <c r="T699" i="71"/>
  <c r="R699" i="71"/>
  <c r="B701" i="71"/>
  <c r="E701" i="71" s="1"/>
  <c r="K701" i="71"/>
  <c r="N701" i="71"/>
  <c r="A702" i="71"/>
  <c r="C701" i="71"/>
  <c r="D701" i="71" s="1"/>
  <c r="P700" i="71"/>
  <c r="Y700" i="71"/>
  <c r="Q700" i="71" s="1"/>
  <c r="S700" i="71"/>
  <c r="V698" i="71"/>
  <c r="M223" i="71"/>
  <c r="L223" i="71" s="1"/>
  <c r="R700" i="71" l="1"/>
  <c r="T700" i="71"/>
  <c r="Z700" i="71"/>
  <c r="AB700" i="71"/>
  <c r="U699" i="71"/>
  <c r="V699" i="71" s="1"/>
  <c r="P701" i="71"/>
  <c r="Y701" i="71"/>
  <c r="Q701" i="71" s="1"/>
  <c r="S701" i="71"/>
  <c r="K702" i="71"/>
  <c r="A703" i="71"/>
  <c r="B702" i="71"/>
  <c r="E702" i="71" s="1"/>
  <c r="N702" i="71"/>
  <c r="C702" i="71"/>
  <c r="D702" i="71" s="1"/>
  <c r="AB701" i="71" l="1"/>
  <c r="T701" i="71"/>
  <c r="R701" i="71"/>
  <c r="Z701" i="71"/>
  <c r="B703" i="71"/>
  <c r="E703" i="71" s="1"/>
  <c r="C703" i="71"/>
  <c r="D703" i="71" s="1"/>
  <c r="A704" i="71"/>
  <c r="K703" i="71"/>
  <c r="N703" i="71"/>
  <c r="Y702" i="71"/>
  <c r="Q702" i="71" s="1"/>
  <c r="S702" i="71"/>
  <c r="P702" i="71"/>
  <c r="U700" i="71"/>
  <c r="V700" i="71" s="1"/>
  <c r="T702" i="71" l="1"/>
  <c r="R702" i="71"/>
  <c r="U702" i="71" s="1"/>
  <c r="Z702" i="71"/>
  <c r="AB702" i="71"/>
  <c r="U701" i="71"/>
  <c r="V701" i="71" s="1"/>
  <c r="C704" i="71"/>
  <c r="D704" i="71" s="1"/>
  <c r="K704" i="71"/>
  <c r="B704" i="71"/>
  <c r="E704" i="71" s="1"/>
  <c r="A705" i="71"/>
  <c r="N704" i="71"/>
  <c r="P703" i="71"/>
  <c r="Y703" i="71"/>
  <c r="Q703" i="71" s="1"/>
  <c r="S703" i="71"/>
  <c r="V702" i="71" l="1"/>
  <c r="S704" i="71"/>
  <c r="P704" i="71"/>
  <c r="Y704" i="71"/>
  <c r="Q704" i="71" s="1"/>
  <c r="Z703" i="71"/>
  <c r="R703" i="71"/>
  <c r="U703" i="71" s="1"/>
  <c r="T703" i="71"/>
  <c r="AB703" i="71"/>
  <c r="A706" i="71"/>
  <c r="K705" i="71"/>
  <c r="B705" i="71"/>
  <c r="E705" i="71" s="1"/>
  <c r="C705" i="71"/>
  <c r="D705" i="71" s="1"/>
  <c r="N705" i="71"/>
  <c r="M224" i="71"/>
  <c r="L224" i="71" s="1"/>
  <c r="V703" i="71" l="1"/>
  <c r="Y705" i="71"/>
  <c r="Q705" i="71" s="1"/>
  <c r="S705" i="71"/>
  <c r="P705" i="71"/>
  <c r="T704" i="71"/>
  <c r="R704" i="71"/>
  <c r="AB704" i="71"/>
  <c r="Z704" i="71"/>
  <c r="N706" i="71"/>
  <c r="A707" i="71"/>
  <c r="B706" i="71"/>
  <c r="E706" i="71" s="1"/>
  <c r="C706" i="71"/>
  <c r="D706" i="71" s="1"/>
  <c r="K706" i="71"/>
  <c r="Z705" i="71" l="1"/>
  <c r="T705" i="71"/>
  <c r="R705" i="71"/>
  <c r="U705" i="71" s="1"/>
  <c r="AB705" i="71"/>
  <c r="U704" i="71"/>
  <c r="V704" i="71" s="1"/>
  <c r="A708" i="71"/>
  <c r="B707" i="71"/>
  <c r="E707" i="71" s="1"/>
  <c r="K707" i="71"/>
  <c r="C707" i="71"/>
  <c r="D707" i="71" s="1"/>
  <c r="N707" i="71"/>
  <c r="S706" i="71"/>
  <c r="P706" i="71"/>
  <c r="Y706" i="71"/>
  <c r="Q706" i="71" s="1"/>
  <c r="V705" i="71" l="1"/>
  <c r="B708" i="71"/>
  <c r="E708" i="71" s="1"/>
  <c r="C708" i="71"/>
  <c r="D708" i="71" s="1"/>
  <c r="K708" i="71"/>
  <c r="N708" i="71"/>
  <c r="A709" i="71"/>
  <c r="P707" i="71"/>
  <c r="Y707" i="71"/>
  <c r="Q707" i="71" s="1"/>
  <c r="S707" i="71"/>
  <c r="R706" i="71"/>
  <c r="T706" i="71"/>
  <c r="Z706" i="71"/>
  <c r="AB706" i="71"/>
  <c r="M225" i="71"/>
  <c r="L225" i="71" s="1"/>
  <c r="R707" i="71" l="1"/>
  <c r="U707" i="71" s="1"/>
  <c r="AB707" i="71"/>
  <c r="T707" i="71"/>
  <c r="Z707" i="71"/>
  <c r="K709" i="71"/>
  <c r="B709" i="71"/>
  <c r="E709" i="71" s="1"/>
  <c r="N709" i="71"/>
  <c r="C709" i="71"/>
  <c r="D709" i="71" s="1"/>
  <c r="A710" i="71"/>
  <c r="P708" i="71"/>
  <c r="Y708" i="71"/>
  <c r="Q708" i="71" s="1"/>
  <c r="S708" i="71"/>
  <c r="U706" i="71"/>
  <c r="V706" i="71" s="1"/>
  <c r="Y709" i="71" l="1"/>
  <c r="Q709" i="71" s="1"/>
  <c r="P709" i="71"/>
  <c r="S709" i="71"/>
  <c r="T708" i="71"/>
  <c r="AB708" i="71"/>
  <c r="R708" i="71"/>
  <c r="Z708" i="71"/>
  <c r="K710" i="71"/>
  <c r="A711" i="71"/>
  <c r="B710" i="71"/>
  <c r="E710" i="71" s="1"/>
  <c r="C710" i="71"/>
  <c r="D710" i="71" s="1"/>
  <c r="N710" i="71"/>
  <c r="V707" i="71"/>
  <c r="U708" i="71" l="1"/>
  <c r="V708" i="71" s="1"/>
  <c r="S710" i="71"/>
  <c r="P710" i="71"/>
  <c r="Y710" i="71"/>
  <c r="Q710" i="71" s="1"/>
  <c r="Z709" i="71"/>
  <c r="T709" i="71"/>
  <c r="R709" i="71"/>
  <c r="U709" i="71" s="1"/>
  <c r="AB709" i="71"/>
  <c r="A712" i="71"/>
  <c r="B711" i="71"/>
  <c r="E711" i="71" s="1"/>
  <c r="N711" i="71"/>
  <c r="C711" i="71"/>
  <c r="D711" i="71" s="1"/>
  <c r="K711" i="71"/>
  <c r="M226" i="71"/>
  <c r="L226" i="71" s="1"/>
  <c r="V709" i="71" l="1"/>
  <c r="R710" i="71"/>
  <c r="AB710" i="71"/>
  <c r="Z710" i="71"/>
  <c r="T710" i="71"/>
  <c r="B712" i="71"/>
  <c r="E712" i="71" s="1"/>
  <c r="K712" i="71"/>
  <c r="C712" i="71"/>
  <c r="D712" i="71" s="1"/>
  <c r="A713" i="71"/>
  <c r="N712" i="71"/>
  <c r="S711" i="71"/>
  <c r="P711" i="71"/>
  <c r="Y711" i="71"/>
  <c r="Q711" i="71" s="1"/>
  <c r="C713" i="71" l="1"/>
  <c r="D713" i="71" s="1"/>
  <c r="K713" i="71"/>
  <c r="A714" i="71"/>
  <c r="B713" i="71"/>
  <c r="E713" i="71" s="1"/>
  <c r="N713" i="71"/>
  <c r="T711" i="71"/>
  <c r="Z711" i="71"/>
  <c r="R711" i="71"/>
  <c r="U711" i="71" s="1"/>
  <c r="AB711" i="71"/>
  <c r="Y712" i="71"/>
  <c r="Q712" i="71" s="1"/>
  <c r="P712" i="71"/>
  <c r="S712" i="71"/>
  <c r="U710" i="71"/>
  <c r="V710" i="71" s="1"/>
  <c r="V711" i="71" l="1"/>
  <c r="Y713" i="71"/>
  <c r="Q713" i="71" s="1"/>
  <c r="S713" i="71"/>
  <c r="P713" i="71"/>
  <c r="A715" i="71"/>
  <c r="C714" i="71"/>
  <c r="D714" i="71" s="1"/>
  <c r="B714" i="71"/>
  <c r="E714" i="71" s="1"/>
  <c r="N714" i="71"/>
  <c r="K714" i="71"/>
  <c r="AB712" i="71"/>
  <c r="T712" i="71"/>
  <c r="R712" i="71"/>
  <c r="Z712" i="71"/>
  <c r="M227" i="71"/>
  <c r="L227" i="71" s="1"/>
  <c r="N715" i="71" l="1"/>
  <c r="A716" i="71"/>
  <c r="B715" i="71"/>
  <c r="E715" i="71" s="1"/>
  <c r="C715" i="71"/>
  <c r="D715" i="71" s="1"/>
  <c r="K715" i="71"/>
  <c r="Y714" i="71"/>
  <c r="Q714" i="71" s="1"/>
  <c r="S714" i="71"/>
  <c r="P714" i="71"/>
  <c r="U712" i="71"/>
  <c r="V712" i="71" s="1"/>
  <c r="Z713" i="71"/>
  <c r="R713" i="71"/>
  <c r="U713" i="71" s="1"/>
  <c r="T713" i="71"/>
  <c r="AB713" i="71"/>
  <c r="R714" i="71" l="1"/>
  <c r="AB714" i="71"/>
  <c r="T714" i="71"/>
  <c r="Z714" i="71"/>
  <c r="B716" i="71"/>
  <c r="E716" i="71" s="1"/>
  <c r="C716" i="71"/>
  <c r="D716" i="71" s="1"/>
  <c r="K716" i="71"/>
  <c r="A717" i="71"/>
  <c r="N716" i="71"/>
  <c r="V713" i="71"/>
  <c r="Y715" i="71"/>
  <c r="Q715" i="71" s="1"/>
  <c r="S715" i="71"/>
  <c r="P715" i="71"/>
  <c r="R715" i="71" l="1"/>
  <c r="U715" i="71" s="1"/>
  <c r="AB715" i="71"/>
  <c r="T715" i="71"/>
  <c r="Z715" i="71"/>
  <c r="S716" i="71"/>
  <c r="P716" i="71"/>
  <c r="Y716" i="71"/>
  <c r="Q716" i="71" s="1"/>
  <c r="N717" i="71"/>
  <c r="B717" i="71"/>
  <c r="E717" i="71" s="1"/>
  <c r="A718" i="71"/>
  <c r="C717" i="71"/>
  <c r="D717" i="71" s="1"/>
  <c r="K717" i="71"/>
  <c r="U714" i="71"/>
  <c r="V714" i="71"/>
  <c r="T716" i="71" l="1"/>
  <c r="R716" i="71"/>
  <c r="U716" i="71" s="1"/>
  <c r="AB716" i="71"/>
  <c r="Z716" i="71"/>
  <c r="P717" i="71"/>
  <c r="S717" i="71"/>
  <c r="Y717" i="71"/>
  <c r="Q717" i="71" s="1"/>
  <c r="K718" i="71"/>
  <c r="A719" i="71"/>
  <c r="C718" i="71"/>
  <c r="D718" i="71" s="1"/>
  <c r="B718" i="71"/>
  <c r="E718" i="71" s="1"/>
  <c r="N718" i="71"/>
  <c r="V715" i="71"/>
  <c r="M228" i="71"/>
  <c r="L228" i="71" s="1"/>
  <c r="V716" i="71" l="1"/>
  <c r="Z717" i="71"/>
  <c r="AB717" i="71"/>
  <c r="R717" i="71"/>
  <c r="U717" i="71" s="1"/>
  <c r="T717" i="71"/>
  <c r="S718" i="71"/>
  <c r="P718" i="71"/>
  <c r="Y718" i="71"/>
  <c r="Q718" i="71" s="1"/>
  <c r="N719" i="71"/>
  <c r="K719" i="71"/>
  <c r="A720" i="71"/>
  <c r="C719" i="71"/>
  <c r="D719" i="71" s="1"/>
  <c r="B719" i="71"/>
  <c r="E719" i="71" s="1"/>
  <c r="V717" i="71" l="1"/>
  <c r="R718" i="71"/>
  <c r="T718" i="71"/>
  <c r="AB718" i="71"/>
  <c r="Z718" i="71"/>
  <c r="A721" i="71"/>
  <c r="N720" i="71"/>
  <c r="B720" i="71"/>
  <c r="E720" i="71" s="1"/>
  <c r="C720" i="71"/>
  <c r="D720" i="71" s="1"/>
  <c r="K720" i="71"/>
  <c r="P719" i="71"/>
  <c r="S719" i="71"/>
  <c r="Y719" i="71"/>
  <c r="Q719" i="71" s="1"/>
  <c r="S720" i="71" l="1"/>
  <c r="P720" i="71"/>
  <c r="Y720" i="71"/>
  <c r="Q720" i="71" s="1"/>
  <c r="AB719" i="71"/>
  <c r="T719" i="71"/>
  <c r="Z719" i="71"/>
  <c r="R719" i="71"/>
  <c r="U719" i="71" s="1"/>
  <c r="V719" i="71" s="1"/>
  <c r="A722" i="71"/>
  <c r="B721" i="71"/>
  <c r="E721" i="71" s="1"/>
  <c r="C721" i="71"/>
  <c r="D721" i="71" s="1"/>
  <c r="K721" i="71"/>
  <c r="N721" i="71"/>
  <c r="U718" i="71"/>
  <c r="V718" i="71" s="1"/>
  <c r="M229" i="71"/>
  <c r="L229" i="71" s="1"/>
  <c r="R720" i="71" l="1"/>
  <c r="AB720" i="71"/>
  <c r="T720" i="71"/>
  <c r="Z720" i="71"/>
  <c r="Y721" i="71"/>
  <c r="Q721" i="71" s="1"/>
  <c r="S721" i="71"/>
  <c r="P721" i="71"/>
  <c r="C722" i="71"/>
  <c r="D722" i="71" s="1"/>
  <c r="N722" i="71"/>
  <c r="A723" i="71"/>
  <c r="B722" i="71"/>
  <c r="E722" i="71" s="1"/>
  <c r="K722" i="71"/>
  <c r="AB721" i="71" l="1"/>
  <c r="R721" i="71"/>
  <c r="Z721" i="71"/>
  <c r="T721" i="71"/>
  <c r="A724" i="71"/>
  <c r="B723" i="71"/>
  <c r="E723" i="71" s="1"/>
  <c r="C723" i="71"/>
  <c r="D723" i="71" s="1"/>
  <c r="N723" i="71"/>
  <c r="K723" i="71"/>
  <c r="S722" i="71"/>
  <c r="P722" i="71"/>
  <c r="Y722" i="71"/>
  <c r="Q722" i="71" s="1"/>
  <c r="U720" i="71"/>
  <c r="V720" i="71" s="1"/>
  <c r="P723" i="71" l="1"/>
  <c r="Y723" i="71"/>
  <c r="Q723" i="71" s="1"/>
  <c r="S723" i="71"/>
  <c r="B724" i="71"/>
  <c r="E724" i="71" s="1"/>
  <c r="C724" i="71"/>
  <c r="D724" i="71" s="1"/>
  <c r="A725" i="71"/>
  <c r="N724" i="71"/>
  <c r="K724" i="71"/>
  <c r="AB722" i="71"/>
  <c r="T722" i="71"/>
  <c r="R722" i="71"/>
  <c r="U722" i="71" s="1"/>
  <c r="Z722" i="71"/>
  <c r="U721" i="71"/>
  <c r="V721" i="71" s="1"/>
  <c r="V722" i="71" l="1"/>
  <c r="K725" i="71"/>
  <c r="B725" i="71"/>
  <c r="E725" i="71" s="1"/>
  <c r="N725" i="71"/>
  <c r="A726" i="71"/>
  <c r="C725" i="71"/>
  <c r="D725" i="71" s="1"/>
  <c r="Y724" i="71"/>
  <c r="Q724" i="71" s="1"/>
  <c r="S724" i="71"/>
  <c r="P724" i="71"/>
  <c r="AB723" i="71"/>
  <c r="T723" i="71"/>
  <c r="R723" i="71"/>
  <c r="U723" i="71" s="1"/>
  <c r="V723" i="71" s="1"/>
  <c r="Z723" i="71"/>
  <c r="M230" i="71"/>
  <c r="L230" i="71" s="1"/>
  <c r="T724" i="71" l="1"/>
  <c r="AB724" i="71"/>
  <c r="Z724" i="71"/>
  <c r="R724" i="71"/>
  <c r="P725" i="71"/>
  <c r="S725" i="71"/>
  <c r="Y725" i="71"/>
  <c r="Q725" i="71" s="1"/>
  <c r="N726" i="71"/>
  <c r="K726" i="71"/>
  <c r="A727" i="71"/>
  <c r="B726" i="71"/>
  <c r="E726" i="71" s="1"/>
  <c r="C726" i="71"/>
  <c r="D726" i="71" s="1"/>
  <c r="T725" i="71" l="1"/>
  <c r="R725" i="71"/>
  <c r="AB725" i="71"/>
  <c r="Z725" i="71"/>
  <c r="C727" i="71"/>
  <c r="D727" i="71" s="1"/>
  <c r="K727" i="71"/>
  <c r="N727" i="71"/>
  <c r="A728" i="71"/>
  <c r="B727" i="71"/>
  <c r="E727" i="71" s="1"/>
  <c r="U724" i="71"/>
  <c r="V724" i="71" s="1"/>
  <c r="S726" i="71"/>
  <c r="Y726" i="71"/>
  <c r="Q726" i="71" s="1"/>
  <c r="P726" i="71"/>
  <c r="T726" i="71" l="1"/>
  <c r="R726" i="71"/>
  <c r="Z726" i="71"/>
  <c r="AB726" i="71"/>
  <c r="A729" i="71"/>
  <c r="C728" i="71"/>
  <c r="D728" i="71" s="1"/>
  <c r="N728" i="71"/>
  <c r="K728" i="71"/>
  <c r="B728" i="71"/>
  <c r="E728" i="71" s="1"/>
  <c r="S727" i="71"/>
  <c r="P727" i="71"/>
  <c r="Y727" i="71"/>
  <c r="Q727" i="71" s="1"/>
  <c r="U725" i="71"/>
  <c r="V725" i="71" s="1"/>
  <c r="M231" i="71"/>
  <c r="L231" i="71" s="1"/>
  <c r="AB727" i="71" l="1"/>
  <c r="T727" i="71"/>
  <c r="Z727" i="71"/>
  <c r="R727" i="71"/>
  <c r="S728" i="71"/>
  <c r="Y728" i="71"/>
  <c r="Q728" i="71" s="1"/>
  <c r="P728" i="71"/>
  <c r="C729" i="71"/>
  <c r="D729" i="71" s="1"/>
  <c r="K729" i="71"/>
  <c r="A730" i="71"/>
  <c r="B729" i="71"/>
  <c r="E729" i="71" s="1"/>
  <c r="N729" i="71"/>
  <c r="U726" i="71"/>
  <c r="V726" i="71" s="1"/>
  <c r="Z728" i="71" l="1"/>
  <c r="R728" i="71"/>
  <c r="AB728" i="71"/>
  <c r="T728" i="71"/>
  <c r="P729" i="71"/>
  <c r="S729" i="71"/>
  <c r="Y729" i="71"/>
  <c r="Q729" i="71" s="1"/>
  <c r="U727" i="71"/>
  <c r="V727" i="71" s="1"/>
  <c r="K730" i="71"/>
  <c r="A731" i="71"/>
  <c r="C730" i="71"/>
  <c r="D730" i="71" s="1"/>
  <c r="B730" i="71"/>
  <c r="E730" i="71" s="1"/>
  <c r="N730" i="71"/>
  <c r="P730" i="71" l="1"/>
  <c r="Y730" i="71"/>
  <c r="Q730" i="71" s="1"/>
  <c r="S730" i="71"/>
  <c r="AB729" i="71"/>
  <c r="T729" i="71"/>
  <c r="Z729" i="71"/>
  <c r="R729" i="71"/>
  <c r="K731" i="71"/>
  <c r="C731" i="71"/>
  <c r="D731" i="71" s="1"/>
  <c r="A732" i="71"/>
  <c r="B731" i="71"/>
  <c r="E731" i="71" s="1"/>
  <c r="N731" i="71"/>
  <c r="U728" i="71"/>
  <c r="V728" i="71" s="1"/>
  <c r="AB730" i="71" l="1"/>
  <c r="Z730" i="71"/>
  <c r="T730" i="71"/>
  <c r="R730" i="71"/>
  <c r="U730" i="71" s="1"/>
  <c r="V730" i="71" s="1"/>
  <c r="U729" i="71"/>
  <c r="V729" i="71" s="1"/>
  <c r="P731" i="71"/>
  <c r="Y731" i="71"/>
  <c r="Q731" i="71" s="1"/>
  <c r="S731" i="71"/>
  <c r="B732" i="71"/>
  <c r="E732" i="71" s="1"/>
  <c r="N732" i="71"/>
  <c r="C732" i="71"/>
  <c r="D732" i="71" s="1"/>
  <c r="K732" i="71"/>
  <c r="A733" i="71"/>
  <c r="M232" i="71"/>
  <c r="L232" i="71" s="1"/>
  <c r="T731" i="71" l="1"/>
  <c r="AB731" i="71"/>
  <c r="Z731" i="71"/>
  <c r="R731" i="71"/>
  <c r="U731" i="71" s="1"/>
  <c r="B733" i="71"/>
  <c r="E733" i="71" s="1"/>
  <c r="A734" i="71"/>
  <c r="C733" i="71"/>
  <c r="D733" i="71" s="1"/>
  <c r="N733" i="71"/>
  <c r="K733" i="71"/>
  <c r="P732" i="71"/>
  <c r="S732" i="71"/>
  <c r="Y732" i="71"/>
  <c r="Q732" i="71" s="1"/>
  <c r="V731" i="71" l="1"/>
  <c r="A735" i="71"/>
  <c r="B734" i="71"/>
  <c r="E734" i="71" s="1"/>
  <c r="N734" i="71"/>
  <c r="C734" i="71"/>
  <c r="D734" i="71" s="1"/>
  <c r="K734" i="71"/>
  <c r="S733" i="71"/>
  <c r="P733" i="71"/>
  <c r="Y733" i="71"/>
  <c r="Q733" i="71" s="1"/>
  <c r="R732" i="71"/>
  <c r="Z732" i="71"/>
  <c r="AB732" i="71"/>
  <c r="T732" i="71"/>
  <c r="AB733" i="71" l="1"/>
  <c r="T733" i="71"/>
  <c r="R733" i="71"/>
  <c r="U733" i="71" s="1"/>
  <c r="Z733" i="71"/>
  <c r="S734" i="71"/>
  <c r="P734" i="71"/>
  <c r="Y734" i="71"/>
  <c r="Q734" i="71" s="1"/>
  <c r="U732" i="71"/>
  <c r="V732" i="71" s="1"/>
  <c r="A736" i="71"/>
  <c r="C735" i="71"/>
  <c r="D735" i="71" s="1"/>
  <c r="N735" i="71"/>
  <c r="K735" i="71"/>
  <c r="B735" i="71"/>
  <c r="E735" i="71" s="1"/>
  <c r="M233" i="71"/>
  <c r="L233" i="71" s="1"/>
  <c r="V733" i="71" l="1"/>
  <c r="T734" i="71"/>
  <c r="AB734" i="71"/>
  <c r="R734" i="71"/>
  <c r="Z734" i="71"/>
  <c r="S735" i="71"/>
  <c r="Y735" i="71"/>
  <c r="Q735" i="71" s="1"/>
  <c r="P735" i="71"/>
  <c r="N736" i="71"/>
  <c r="A737" i="71"/>
  <c r="B736" i="71"/>
  <c r="E736" i="71" s="1"/>
  <c r="C736" i="71"/>
  <c r="D736" i="71" s="1"/>
  <c r="K736" i="71"/>
  <c r="R735" i="71" l="1"/>
  <c r="Z735" i="71"/>
  <c r="T735" i="71"/>
  <c r="AB735" i="71"/>
  <c r="U734" i="71"/>
  <c r="V734" i="71" s="1"/>
  <c r="K737" i="71"/>
  <c r="A738" i="71"/>
  <c r="B737" i="71"/>
  <c r="E737" i="71" s="1"/>
  <c r="C737" i="71"/>
  <c r="D737" i="71" s="1"/>
  <c r="N737" i="71"/>
  <c r="P736" i="71"/>
  <c r="S736" i="71"/>
  <c r="Y736" i="71"/>
  <c r="Q736" i="71" s="1"/>
  <c r="P737" i="71" l="1"/>
  <c r="Y737" i="71"/>
  <c r="Q737" i="71" s="1"/>
  <c r="S737" i="71"/>
  <c r="R736" i="71"/>
  <c r="U736" i="71" s="1"/>
  <c r="Z736" i="71"/>
  <c r="AB736" i="71"/>
  <c r="T736" i="71"/>
  <c r="N738" i="71"/>
  <c r="K738" i="71"/>
  <c r="B738" i="71"/>
  <c r="E738" i="71" s="1"/>
  <c r="A739" i="71"/>
  <c r="C738" i="71"/>
  <c r="D738" i="71" s="1"/>
  <c r="U735" i="71"/>
  <c r="V735" i="71" s="1"/>
  <c r="P738" i="71" l="1"/>
  <c r="Y738" i="71"/>
  <c r="Q738" i="71" s="1"/>
  <c r="S738" i="71"/>
  <c r="V736" i="71"/>
  <c r="A740" i="71"/>
  <c r="B739" i="71"/>
  <c r="E739" i="71" s="1"/>
  <c r="C739" i="71"/>
  <c r="D739" i="71" s="1"/>
  <c r="K739" i="71"/>
  <c r="N739" i="71"/>
  <c r="R737" i="71"/>
  <c r="U737" i="71" s="1"/>
  <c r="AB737" i="71"/>
  <c r="Z737" i="71"/>
  <c r="T737" i="71"/>
  <c r="M234" i="71"/>
  <c r="L234" i="71" s="1"/>
  <c r="R738" i="71" l="1"/>
  <c r="T738" i="71"/>
  <c r="AB738" i="71"/>
  <c r="Z738" i="71"/>
  <c r="N740" i="71"/>
  <c r="B740" i="71"/>
  <c r="E740" i="71" s="1"/>
  <c r="C740" i="71"/>
  <c r="D740" i="71" s="1"/>
  <c r="K740" i="71"/>
  <c r="A741" i="71"/>
  <c r="S739" i="71"/>
  <c r="P739" i="71"/>
  <c r="Y739" i="71"/>
  <c r="Q739" i="71" s="1"/>
  <c r="V737" i="71"/>
  <c r="Z739" i="71" l="1"/>
  <c r="R739" i="71"/>
  <c r="U739" i="71" s="1"/>
  <c r="AB739" i="71"/>
  <c r="T739" i="71"/>
  <c r="S740" i="71"/>
  <c r="Y740" i="71"/>
  <c r="Q740" i="71" s="1"/>
  <c r="P740" i="71"/>
  <c r="B741" i="71"/>
  <c r="E741" i="71" s="1"/>
  <c r="A742" i="71"/>
  <c r="C741" i="71"/>
  <c r="D741" i="71" s="1"/>
  <c r="N741" i="71"/>
  <c r="K741" i="71"/>
  <c r="U738" i="71"/>
  <c r="V738" i="71" s="1"/>
  <c r="T740" i="71" l="1"/>
  <c r="R740" i="71"/>
  <c r="AB740" i="71"/>
  <c r="Z740" i="71"/>
  <c r="V739" i="71"/>
  <c r="P741" i="71"/>
  <c r="Y741" i="71"/>
  <c r="Q741" i="71" s="1"/>
  <c r="S741" i="71"/>
  <c r="K742" i="71"/>
  <c r="A743" i="71"/>
  <c r="B742" i="71"/>
  <c r="E742" i="71" s="1"/>
  <c r="C742" i="71"/>
  <c r="D742" i="71" s="1"/>
  <c r="N742" i="71"/>
  <c r="T741" i="71" l="1"/>
  <c r="Z741" i="71"/>
  <c r="AB741" i="71"/>
  <c r="R741" i="71"/>
  <c r="S742" i="71"/>
  <c r="P742" i="71"/>
  <c r="Y742" i="71"/>
  <c r="Q742" i="71" s="1"/>
  <c r="B743" i="71"/>
  <c r="E743" i="71" s="1"/>
  <c r="K743" i="71"/>
  <c r="N743" i="71"/>
  <c r="C743" i="71"/>
  <c r="D743" i="71" s="1"/>
  <c r="A744" i="71"/>
  <c r="U740" i="71"/>
  <c r="V740" i="71" s="1"/>
  <c r="M235" i="71"/>
  <c r="L235" i="71" s="1"/>
  <c r="Z742" i="71" l="1"/>
  <c r="AB742" i="71"/>
  <c r="R742" i="71"/>
  <c r="T742" i="71"/>
  <c r="N744" i="71"/>
  <c r="B744" i="71"/>
  <c r="E744" i="71" s="1"/>
  <c r="A745" i="71"/>
  <c r="C744" i="71"/>
  <c r="D744" i="71" s="1"/>
  <c r="K744" i="71"/>
  <c r="S743" i="71"/>
  <c r="Y743" i="71"/>
  <c r="Q743" i="71" s="1"/>
  <c r="P743" i="71"/>
  <c r="U741" i="71"/>
  <c r="V741" i="71" s="1"/>
  <c r="P744" i="71" l="1"/>
  <c r="Y744" i="71"/>
  <c r="Q744" i="71" s="1"/>
  <c r="S744" i="71"/>
  <c r="T743" i="71"/>
  <c r="AB743" i="71"/>
  <c r="Z743" i="71"/>
  <c r="R743" i="71"/>
  <c r="U743" i="71" s="1"/>
  <c r="V743" i="71" s="1"/>
  <c r="U742" i="71"/>
  <c r="V742" i="71" s="1"/>
  <c r="A746" i="71"/>
  <c r="C745" i="71"/>
  <c r="D745" i="71" s="1"/>
  <c r="K745" i="71"/>
  <c r="B745" i="71"/>
  <c r="E745" i="71" s="1"/>
  <c r="N745" i="71"/>
  <c r="Z744" i="71" l="1"/>
  <c r="T744" i="71"/>
  <c r="R744" i="71"/>
  <c r="AB744" i="71"/>
  <c r="Y745" i="71"/>
  <c r="Q745" i="71" s="1"/>
  <c r="S745" i="71"/>
  <c r="P745" i="71"/>
  <c r="K746" i="71"/>
  <c r="A747" i="71"/>
  <c r="B746" i="71"/>
  <c r="E746" i="71" s="1"/>
  <c r="N746" i="71"/>
  <c r="C746" i="71"/>
  <c r="D746" i="71" s="1"/>
  <c r="M236" i="71"/>
  <c r="L236" i="71" s="1"/>
  <c r="R745" i="71" l="1"/>
  <c r="Z745" i="71"/>
  <c r="AB745" i="71"/>
  <c r="T745" i="71"/>
  <c r="Y746" i="71"/>
  <c r="Q746" i="71" s="1"/>
  <c r="P746" i="71"/>
  <c r="S746" i="71"/>
  <c r="V744" i="71"/>
  <c r="U744" i="71"/>
  <c r="K747" i="71"/>
  <c r="C747" i="71"/>
  <c r="D747" i="71" s="1"/>
  <c r="B747" i="71"/>
  <c r="E747" i="71" s="1"/>
  <c r="N747" i="71"/>
  <c r="A748" i="71"/>
  <c r="M237" i="71"/>
  <c r="L237" i="71" s="1"/>
  <c r="K748" i="71" l="1"/>
  <c r="A749" i="71"/>
  <c r="C748" i="71"/>
  <c r="D748" i="71" s="1"/>
  <c r="N748" i="71"/>
  <c r="B748" i="71"/>
  <c r="E748" i="71" s="1"/>
  <c r="Z746" i="71"/>
  <c r="AB746" i="71"/>
  <c r="R746" i="71"/>
  <c r="T746" i="71"/>
  <c r="P747" i="71"/>
  <c r="Y747" i="71"/>
  <c r="Q747" i="71" s="1"/>
  <c r="S747" i="71"/>
  <c r="U745" i="71"/>
  <c r="V745" i="71" s="1"/>
  <c r="P748" i="71" l="1"/>
  <c r="Y748" i="71"/>
  <c r="Q748" i="71" s="1"/>
  <c r="S748" i="71"/>
  <c r="C749" i="71"/>
  <c r="D749" i="71" s="1"/>
  <c r="K749" i="71"/>
  <c r="B749" i="71"/>
  <c r="E749" i="71" s="1"/>
  <c r="N749" i="71"/>
  <c r="A750" i="71"/>
  <c r="T747" i="71"/>
  <c r="Z747" i="71"/>
  <c r="AB747" i="71"/>
  <c r="R747" i="71"/>
  <c r="U746" i="71"/>
  <c r="V746" i="71" s="1"/>
  <c r="U747" i="71" l="1"/>
  <c r="V747" i="71" s="1"/>
  <c r="P749" i="71"/>
  <c r="Y749" i="71"/>
  <c r="Q749" i="71" s="1"/>
  <c r="S749" i="71"/>
  <c r="AB748" i="71"/>
  <c r="T748" i="71"/>
  <c r="R748" i="71"/>
  <c r="Z748" i="71"/>
  <c r="K750" i="71"/>
  <c r="N750" i="71"/>
  <c r="A751" i="71"/>
  <c r="B750" i="71"/>
  <c r="E750" i="71" s="1"/>
  <c r="C750" i="71"/>
  <c r="D750" i="71" s="1"/>
  <c r="M238" i="71"/>
  <c r="L238" i="71" s="1"/>
  <c r="U748" i="71" l="1"/>
  <c r="V748" i="71" s="1"/>
  <c r="N751" i="71"/>
  <c r="B751" i="71"/>
  <c r="E751" i="71" s="1"/>
  <c r="C751" i="71"/>
  <c r="D751" i="71" s="1"/>
  <c r="A752" i="71"/>
  <c r="K751" i="71"/>
  <c r="R749" i="71"/>
  <c r="AB749" i="71"/>
  <c r="Z749" i="71"/>
  <c r="T749" i="71"/>
  <c r="S750" i="71"/>
  <c r="P750" i="71"/>
  <c r="Y750" i="71"/>
  <c r="Q750" i="71" s="1"/>
  <c r="T750" i="71" l="1"/>
  <c r="R750" i="71"/>
  <c r="U750" i="71" s="1"/>
  <c r="AB750" i="71"/>
  <c r="Z750" i="71"/>
  <c r="N752" i="71"/>
  <c r="C752" i="71"/>
  <c r="D752" i="71" s="1"/>
  <c r="A753" i="71"/>
  <c r="B752" i="71"/>
  <c r="E752" i="71" s="1"/>
  <c r="K752" i="71"/>
  <c r="S751" i="71"/>
  <c r="Y751" i="71"/>
  <c r="Q751" i="71" s="1"/>
  <c r="P751" i="71"/>
  <c r="U749" i="71"/>
  <c r="V749" i="71" s="1"/>
  <c r="V750" i="71" l="1"/>
  <c r="R751" i="71"/>
  <c r="AB751" i="71"/>
  <c r="T751" i="71"/>
  <c r="Z751" i="71"/>
  <c r="C753" i="71"/>
  <c r="D753" i="71" s="1"/>
  <c r="K753" i="71"/>
  <c r="B753" i="71"/>
  <c r="E753" i="71" s="1"/>
  <c r="A754" i="71"/>
  <c r="N753" i="71"/>
  <c r="Y752" i="71"/>
  <c r="Q752" i="71" s="1"/>
  <c r="S752" i="71"/>
  <c r="P752" i="71"/>
  <c r="M239" i="71"/>
  <c r="L239" i="71" s="1"/>
  <c r="B754" i="71" l="1"/>
  <c r="E754" i="71" s="1"/>
  <c r="C754" i="71"/>
  <c r="D754" i="71" s="1"/>
  <c r="A755" i="71"/>
  <c r="N754" i="71"/>
  <c r="K754" i="71"/>
  <c r="R752" i="71"/>
  <c r="U752" i="71" s="1"/>
  <c r="T752" i="71"/>
  <c r="AB752" i="71"/>
  <c r="Z752" i="71"/>
  <c r="Y753" i="71"/>
  <c r="Q753" i="71" s="1"/>
  <c r="P753" i="71"/>
  <c r="S753" i="71"/>
  <c r="U751" i="71"/>
  <c r="V751" i="71" s="1"/>
  <c r="V752" i="71" l="1"/>
  <c r="P754" i="71"/>
  <c r="Y754" i="71"/>
  <c r="Q754" i="71" s="1"/>
  <c r="S754" i="71"/>
  <c r="A756" i="71"/>
  <c r="B755" i="71"/>
  <c r="E755" i="71" s="1"/>
  <c r="N755" i="71"/>
  <c r="C755" i="71"/>
  <c r="D755" i="71" s="1"/>
  <c r="K755" i="71"/>
  <c r="AB753" i="71"/>
  <c r="T753" i="71"/>
  <c r="Z753" i="71"/>
  <c r="R753" i="71"/>
  <c r="U753" i="71" s="1"/>
  <c r="V753" i="71" s="1"/>
  <c r="R754" i="71" l="1"/>
  <c r="AB754" i="71"/>
  <c r="T754" i="71"/>
  <c r="Z754" i="71"/>
  <c r="A757" i="71"/>
  <c r="N756" i="71"/>
  <c r="B756" i="71"/>
  <c r="E756" i="71" s="1"/>
  <c r="K756" i="71"/>
  <c r="C756" i="71"/>
  <c r="D756" i="71" s="1"/>
  <c r="P755" i="71"/>
  <c r="Y755" i="71"/>
  <c r="Q755" i="71" s="1"/>
  <c r="S755" i="71"/>
  <c r="P756" i="71" l="1"/>
  <c r="Y756" i="71"/>
  <c r="Q756" i="71" s="1"/>
  <c r="S756" i="71"/>
  <c r="C757" i="71"/>
  <c r="D757" i="71" s="1"/>
  <c r="K757" i="71"/>
  <c r="B757" i="71"/>
  <c r="E757" i="71" s="1"/>
  <c r="A758" i="71"/>
  <c r="N757" i="71"/>
  <c r="T755" i="71"/>
  <c r="R755" i="71"/>
  <c r="U755" i="71" s="1"/>
  <c r="AB755" i="71"/>
  <c r="Z755" i="71"/>
  <c r="U754" i="71"/>
  <c r="V754" i="71" s="1"/>
  <c r="M240" i="71"/>
  <c r="L240" i="71" s="1"/>
  <c r="V755" i="71" l="1"/>
  <c r="T756" i="71"/>
  <c r="AB756" i="71"/>
  <c r="R756" i="71"/>
  <c r="U756" i="71" s="1"/>
  <c r="Z756" i="71"/>
  <c r="N758" i="71"/>
  <c r="K758" i="71"/>
  <c r="A759" i="71"/>
  <c r="B758" i="71"/>
  <c r="E758" i="71" s="1"/>
  <c r="C758" i="71"/>
  <c r="D758" i="71" s="1"/>
  <c r="P757" i="71"/>
  <c r="Y757" i="71"/>
  <c r="Q757" i="71" s="1"/>
  <c r="S757" i="71"/>
  <c r="V756" i="71" l="1"/>
  <c r="N759" i="71"/>
  <c r="A760" i="71"/>
  <c r="K759" i="71"/>
  <c r="B759" i="71"/>
  <c r="E759" i="71" s="1"/>
  <c r="C759" i="71"/>
  <c r="D759" i="71" s="1"/>
  <c r="P758" i="71"/>
  <c r="Y758" i="71"/>
  <c r="Q758" i="71" s="1"/>
  <c r="S758" i="71"/>
  <c r="Z757" i="71"/>
  <c r="R757" i="71"/>
  <c r="AB757" i="71"/>
  <c r="T757" i="71"/>
  <c r="M241" i="71"/>
  <c r="L241" i="71" s="1"/>
  <c r="U757" i="71" l="1"/>
  <c r="V757" i="71" s="1"/>
  <c r="N760" i="71"/>
  <c r="A761" i="71"/>
  <c r="B760" i="71"/>
  <c r="E760" i="71" s="1"/>
  <c r="K760" i="71"/>
  <c r="C760" i="71"/>
  <c r="D760" i="71" s="1"/>
  <c r="R758" i="71"/>
  <c r="T758" i="71"/>
  <c r="Z758" i="71"/>
  <c r="AB758" i="71"/>
  <c r="S759" i="71"/>
  <c r="P759" i="71"/>
  <c r="Y759" i="71"/>
  <c r="Q759" i="71" s="1"/>
  <c r="R759" i="71" l="1"/>
  <c r="U759" i="71" s="1"/>
  <c r="AB759" i="71"/>
  <c r="Z759" i="71"/>
  <c r="T759" i="71"/>
  <c r="U758" i="71"/>
  <c r="V758" i="71" s="1"/>
  <c r="B761" i="71"/>
  <c r="E761" i="71" s="1"/>
  <c r="A762" i="71"/>
  <c r="N761" i="71"/>
  <c r="C761" i="71"/>
  <c r="D761" i="71" s="1"/>
  <c r="K761" i="71"/>
  <c r="S760" i="71"/>
  <c r="P760" i="71"/>
  <c r="Y760" i="71"/>
  <c r="Q760" i="71" s="1"/>
  <c r="AB760" i="71" l="1"/>
  <c r="T760" i="71"/>
  <c r="R760" i="71"/>
  <c r="U760" i="71" s="1"/>
  <c r="Z760" i="71"/>
  <c r="B762" i="71"/>
  <c r="E762" i="71" s="1"/>
  <c r="C762" i="71"/>
  <c r="D762" i="71" s="1"/>
  <c r="N762" i="71"/>
  <c r="K762" i="71"/>
  <c r="A763" i="71"/>
  <c r="S761" i="71"/>
  <c r="Y761" i="71"/>
  <c r="Q761" i="71" s="1"/>
  <c r="P761" i="71"/>
  <c r="V759" i="71"/>
  <c r="V760" i="71" l="1"/>
  <c r="P762" i="71"/>
  <c r="S762" i="71"/>
  <c r="Y762" i="71"/>
  <c r="Q762" i="71" s="1"/>
  <c r="R761" i="71"/>
  <c r="U761" i="71" s="1"/>
  <c r="AB761" i="71"/>
  <c r="T761" i="71"/>
  <c r="Z761" i="71"/>
  <c r="K763" i="71"/>
  <c r="N763" i="71"/>
  <c r="A764" i="71"/>
  <c r="B763" i="71"/>
  <c r="E763" i="71" s="1"/>
  <c r="C763" i="71"/>
  <c r="D763" i="71" s="1"/>
  <c r="M242" i="71"/>
  <c r="L242" i="71" s="1"/>
  <c r="V761" i="71" l="1"/>
  <c r="R762" i="71"/>
  <c r="AB762" i="71"/>
  <c r="T762" i="71"/>
  <c r="Z762" i="71"/>
  <c r="B764" i="71"/>
  <c r="E764" i="71" s="1"/>
  <c r="C764" i="71"/>
  <c r="D764" i="71" s="1"/>
  <c r="A765" i="71"/>
  <c r="N764" i="71"/>
  <c r="K764" i="71"/>
  <c r="P763" i="71"/>
  <c r="Y763" i="71"/>
  <c r="Q763" i="71" s="1"/>
  <c r="S763" i="71"/>
  <c r="C765" i="71" l="1"/>
  <c r="D765" i="71" s="1"/>
  <c r="K765" i="71"/>
  <c r="A766" i="71"/>
  <c r="B765" i="71"/>
  <c r="E765" i="71" s="1"/>
  <c r="N765" i="71"/>
  <c r="AB763" i="71"/>
  <c r="T763" i="71"/>
  <c r="R763" i="71"/>
  <c r="U763" i="71" s="1"/>
  <c r="Z763" i="71"/>
  <c r="U762" i="71"/>
  <c r="V762" i="71" s="1"/>
  <c r="P764" i="71"/>
  <c r="S764" i="71"/>
  <c r="Y764" i="71"/>
  <c r="Q764" i="71" s="1"/>
  <c r="V763" i="71" l="1"/>
  <c r="Z764" i="71"/>
  <c r="T764" i="71"/>
  <c r="AB764" i="71"/>
  <c r="R764" i="71"/>
  <c r="Y765" i="71"/>
  <c r="Q765" i="71" s="1"/>
  <c r="S765" i="71"/>
  <c r="P765" i="71"/>
  <c r="N766" i="71"/>
  <c r="K766" i="71"/>
  <c r="A767" i="71"/>
  <c r="B766" i="71"/>
  <c r="E766" i="71" s="1"/>
  <c r="C766" i="71"/>
  <c r="D766" i="71" s="1"/>
  <c r="P766" i="71" l="1"/>
  <c r="S766" i="71"/>
  <c r="Y766" i="71"/>
  <c r="Q766" i="71" s="1"/>
  <c r="R765" i="71"/>
  <c r="U765" i="71" s="1"/>
  <c r="AB765" i="71"/>
  <c r="Z765" i="71"/>
  <c r="T765" i="71"/>
  <c r="U764" i="71"/>
  <c r="V764" i="71" s="1"/>
  <c r="C767" i="71"/>
  <c r="D767" i="71" s="1"/>
  <c r="A768" i="71"/>
  <c r="K767" i="71"/>
  <c r="B767" i="71"/>
  <c r="E767" i="71" s="1"/>
  <c r="N767" i="71"/>
  <c r="M243" i="71"/>
  <c r="L243" i="71" s="1"/>
  <c r="V765" i="71" l="1"/>
  <c r="AB766" i="71"/>
  <c r="Z766" i="71"/>
  <c r="R766" i="71"/>
  <c r="T766" i="71"/>
  <c r="Y767" i="71"/>
  <c r="Q767" i="71" s="1"/>
  <c r="P767" i="71"/>
  <c r="S767" i="71"/>
  <c r="N768" i="71"/>
  <c r="B768" i="71"/>
  <c r="E768" i="71" s="1"/>
  <c r="C768" i="71"/>
  <c r="D768" i="71" s="1"/>
  <c r="K768" i="71"/>
  <c r="A769" i="71"/>
  <c r="R767" i="71" l="1"/>
  <c r="AB767" i="71"/>
  <c r="T767" i="71"/>
  <c r="Z767" i="71"/>
  <c r="N769" i="71"/>
  <c r="K769" i="71"/>
  <c r="B769" i="71"/>
  <c r="E769" i="71" s="1"/>
  <c r="A770" i="71"/>
  <c r="C769" i="71"/>
  <c r="D769" i="71" s="1"/>
  <c r="U766" i="71"/>
  <c r="V766" i="71" s="1"/>
  <c r="Y768" i="71"/>
  <c r="Q768" i="71" s="1"/>
  <c r="S768" i="71"/>
  <c r="P768" i="71"/>
  <c r="A771" i="71" l="1"/>
  <c r="B770" i="71"/>
  <c r="E770" i="71" s="1"/>
  <c r="C770" i="71"/>
  <c r="D770" i="71" s="1"/>
  <c r="N770" i="71"/>
  <c r="K770" i="71"/>
  <c r="Y769" i="71"/>
  <c r="Q769" i="71" s="1"/>
  <c r="S769" i="71"/>
  <c r="P769" i="71"/>
  <c r="T768" i="71"/>
  <c r="R768" i="71"/>
  <c r="U768" i="71" s="1"/>
  <c r="AB768" i="71"/>
  <c r="Z768" i="71"/>
  <c r="U767" i="71"/>
  <c r="V767" i="71" s="1"/>
  <c r="V768" i="71" l="1"/>
  <c r="T769" i="71"/>
  <c r="Z769" i="71"/>
  <c r="AB769" i="71"/>
  <c r="R769" i="71"/>
  <c r="Y770" i="71"/>
  <c r="Q770" i="71" s="1"/>
  <c r="S770" i="71"/>
  <c r="P770" i="71"/>
  <c r="N771" i="71"/>
  <c r="A772" i="71"/>
  <c r="B771" i="71"/>
  <c r="E771" i="71" s="1"/>
  <c r="C771" i="71"/>
  <c r="D771" i="71" s="1"/>
  <c r="K771" i="71"/>
  <c r="M244" i="71"/>
  <c r="L244" i="71" s="1"/>
  <c r="Z770" i="71" l="1"/>
  <c r="R770" i="71"/>
  <c r="T770" i="71"/>
  <c r="AB770" i="71"/>
  <c r="U769" i="71"/>
  <c r="V769" i="71" s="1"/>
  <c r="B772" i="71"/>
  <c r="E772" i="71" s="1"/>
  <c r="A773" i="71"/>
  <c r="C772" i="71"/>
  <c r="D772" i="71" s="1"/>
  <c r="N772" i="71"/>
  <c r="K772" i="71"/>
  <c r="P771" i="71"/>
  <c r="Y771" i="71"/>
  <c r="Q771" i="71" s="1"/>
  <c r="S771" i="71"/>
  <c r="Z771" i="71" l="1"/>
  <c r="T771" i="71"/>
  <c r="AB771" i="71"/>
  <c r="R771" i="71"/>
  <c r="N773" i="71"/>
  <c r="C773" i="71"/>
  <c r="D773" i="71" s="1"/>
  <c r="B773" i="71"/>
  <c r="E773" i="71" s="1"/>
  <c r="K773" i="71"/>
  <c r="A774" i="71"/>
  <c r="P772" i="71"/>
  <c r="S772" i="71"/>
  <c r="Y772" i="71"/>
  <c r="Q772" i="71" s="1"/>
  <c r="U770" i="71"/>
  <c r="V770" i="71" s="1"/>
  <c r="P773" i="71" l="1"/>
  <c r="Y773" i="71"/>
  <c r="Q773" i="71" s="1"/>
  <c r="S773" i="71"/>
  <c r="U771" i="71"/>
  <c r="V771" i="71" s="1"/>
  <c r="R772" i="71"/>
  <c r="U772" i="71" s="1"/>
  <c r="T772" i="71"/>
  <c r="AB772" i="71"/>
  <c r="Z772" i="71"/>
  <c r="B774" i="71"/>
  <c r="E774" i="71" s="1"/>
  <c r="C774" i="71"/>
  <c r="D774" i="71" s="1"/>
  <c r="N774" i="71"/>
  <c r="A775" i="71"/>
  <c r="K774" i="71"/>
  <c r="V772" i="71" l="1"/>
  <c r="C775" i="71"/>
  <c r="D775" i="71" s="1"/>
  <c r="N775" i="71"/>
  <c r="K775" i="71"/>
  <c r="B775" i="71"/>
  <c r="E775" i="71" s="1"/>
  <c r="A776" i="71"/>
  <c r="Y774" i="71"/>
  <c r="Q774" i="71" s="1"/>
  <c r="P774" i="71"/>
  <c r="S774" i="71"/>
  <c r="T773" i="71"/>
  <c r="Z773" i="71"/>
  <c r="R773" i="71"/>
  <c r="AB773" i="71"/>
  <c r="M245" i="71"/>
  <c r="L245" i="71" s="1"/>
  <c r="N776" i="71" l="1"/>
  <c r="B776" i="71"/>
  <c r="E776" i="71" s="1"/>
  <c r="C776" i="71"/>
  <c r="D776" i="71" s="1"/>
  <c r="K776" i="71"/>
  <c r="A777" i="71"/>
  <c r="U773" i="71"/>
  <c r="V773" i="71" s="1"/>
  <c r="R774" i="71"/>
  <c r="AB774" i="71"/>
  <c r="T774" i="71"/>
  <c r="Z774" i="71"/>
  <c r="S775" i="71"/>
  <c r="Y775" i="71"/>
  <c r="Q775" i="71" s="1"/>
  <c r="P775" i="71"/>
  <c r="U774" i="71" l="1"/>
  <c r="V774" i="71" s="1"/>
  <c r="B777" i="71"/>
  <c r="E777" i="71" s="1"/>
  <c r="A778" i="71"/>
  <c r="C777" i="71"/>
  <c r="D777" i="71" s="1"/>
  <c r="K777" i="71"/>
  <c r="N777" i="71"/>
  <c r="Z775" i="71"/>
  <c r="AB775" i="71"/>
  <c r="T775" i="71"/>
  <c r="R775" i="71"/>
  <c r="Y776" i="71"/>
  <c r="Q776" i="71" s="1"/>
  <c r="S776" i="71"/>
  <c r="P776" i="71"/>
  <c r="S777" i="71" l="1"/>
  <c r="Y777" i="71"/>
  <c r="Q777" i="71" s="1"/>
  <c r="P777" i="71"/>
  <c r="R776" i="71"/>
  <c r="U776" i="71" s="1"/>
  <c r="Z776" i="71"/>
  <c r="AB776" i="71"/>
  <c r="T776" i="71"/>
  <c r="N778" i="71"/>
  <c r="A779" i="71"/>
  <c r="K778" i="71"/>
  <c r="B778" i="71"/>
  <c r="E778" i="71" s="1"/>
  <c r="C778" i="71"/>
  <c r="D778" i="71" s="1"/>
  <c r="U775" i="71"/>
  <c r="V775" i="71" s="1"/>
  <c r="V776" i="71" l="1"/>
  <c r="B779" i="71"/>
  <c r="E779" i="71" s="1"/>
  <c r="K779" i="71"/>
  <c r="A780" i="71"/>
  <c r="C779" i="71"/>
  <c r="D779" i="71" s="1"/>
  <c r="N779" i="71"/>
  <c r="AB777" i="71"/>
  <c r="R777" i="71"/>
  <c r="T777" i="71"/>
  <c r="Z777" i="71"/>
  <c r="Y778" i="71"/>
  <c r="Q778" i="71" s="1"/>
  <c r="P778" i="71"/>
  <c r="S778" i="71"/>
  <c r="M246" i="71"/>
  <c r="L246" i="71" s="1"/>
  <c r="R778" i="71" l="1"/>
  <c r="AB778" i="71"/>
  <c r="T778" i="71"/>
  <c r="Z778" i="71"/>
  <c r="S779" i="71"/>
  <c r="Y779" i="71"/>
  <c r="Q779" i="71" s="1"/>
  <c r="P779" i="71"/>
  <c r="A781" i="71"/>
  <c r="N780" i="71"/>
  <c r="B780" i="71"/>
  <c r="E780" i="71" s="1"/>
  <c r="C780" i="71"/>
  <c r="D780" i="71" s="1"/>
  <c r="K780" i="71"/>
  <c r="U777" i="71"/>
  <c r="V777" i="71" s="1"/>
  <c r="Z779" i="71" l="1"/>
  <c r="T779" i="71"/>
  <c r="R779" i="71"/>
  <c r="U779" i="71" s="1"/>
  <c r="AB779" i="71"/>
  <c r="N781" i="71"/>
  <c r="C781" i="71"/>
  <c r="D781" i="71" s="1"/>
  <c r="B781" i="71"/>
  <c r="E781" i="71" s="1"/>
  <c r="K781" i="71"/>
  <c r="A782" i="71"/>
  <c r="Y780" i="71"/>
  <c r="Q780" i="71" s="1"/>
  <c r="S780" i="71"/>
  <c r="P780" i="71"/>
  <c r="U778" i="71"/>
  <c r="V778" i="71" s="1"/>
  <c r="V779" i="71" l="1"/>
  <c r="Y781" i="71"/>
  <c r="Q781" i="71" s="1"/>
  <c r="S781" i="71"/>
  <c r="P781" i="71"/>
  <c r="R780" i="71"/>
  <c r="U780" i="71" s="1"/>
  <c r="AB780" i="71"/>
  <c r="Z780" i="71"/>
  <c r="T780" i="71"/>
  <c r="A783" i="71"/>
  <c r="B782" i="71"/>
  <c r="E782" i="71" s="1"/>
  <c r="C782" i="71"/>
  <c r="D782" i="71" s="1"/>
  <c r="N782" i="71"/>
  <c r="K782" i="71"/>
  <c r="M247" i="71"/>
  <c r="L247" i="71" s="1"/>
  <c r="V780" i="71" l="1"/>
  <c r="N783" i="71"/>
  <c r="K783" i="71"/>
  <c r="A784" i="71"/>
  <c r="B783" i="71"/>
  <c r="E783" i="71" s="1"/>
  <c r="C783" i="71"/>
  <c r="D783" i="71" s="1"/>
  <c r="Y782" i="71"/>
  <c r="Q782" i="71" s="1"/>
  <c r="S782" i="71"/>
  <c r="P782" i="71"/>
  <c r="R781" i="71"/>
  <c r="U781" i="71" s="1"/>
  <c r="AB781" i="71"/>
  <c r="Z781" i="71"/>
  <c r="T781" i="71"/>
  <c r="R782" i="71" l="1"/>
  <c r="T782" i="71"/>
  <c r="Z782" i="71"/>
  <c r="AB782" i="71"/>
  <c r="C784" i="71"/>
  <c r="D784" i="71" s="1"/>
  <c r="K784" i="71"/>
  <c r="A785" i="71"/>
  <c r="N784" i="71"/>
  <c r="B784" i="71"/>
  <c r="E784" i="71" s="1"/>
  <c r="V781" i="71"/>
  <c r="P783" i="71"/>
  <c r="Y783" i="71"/>
  <c r="Q783" i="71" s="1"/>
  <c r="S783" i="71"/>
  <c r="AB783" i="71" l="1"/>
  <c r="T783" i="71"/>
  <c r="Z783" i="71"/>
  <c r="R783" i="71"/>
  <c r="A786" i="71"/>
  <c r="K785" i="71"/>
  <c r="N785" i="71"/>
  <c r="C785" i="71"/>
  <c r="D785" i="71" s="1"/>
  <c r="B785" i="71"/>
  <c r="E785" i="71" s="1"/>
  <c r="Y784" i="71"/>
  <c r="Q784" i="71" s="1"/>
  <c r="P784" i="71"/>
  <c r="S784" i="71"/>
  <c r="U782" i="71"/>
  <c r="V782" i="71" s="1"/>
  <c r="Z784" i="71" l="1"/>
  <c r="T784" i="71"/>
  <c r="R784" i="71"/>
  <c r="AB784" i="71"/>
  <c r="B786" i="71"/>
  <c r="E786" i="71" s="1"/>
  <c r="C786" i="71"/>
  <c r="D786" i="71" s="1"/>
  <c r="A787" i="71"/>
  <c r="K786" i="71"/>
  <c r="N786" i="71"/>
  <c r="P785" i="71"/>
  <c r="S785" i="71"/>
  <c r="Y785" i="71"/>
  <c r="Q785" i="71" s="1"/>
  <c r="U783" i="71"/>
  <c r="V783" i="71" s="1"/>
  <c r="M248" i="71"/>
  <c r="L248" i="71" s="1"/>
  <c r="Z785" i="71" l="1"/>
  <c r="AB785" i="71"/>
  <c r="T785" i="71"/>
  <c r="R785" i="71"/>
  <c r="A788" i="71"/>
  <c r="B787" i="71"/>
  <c r="E787" i="71" s="1"/>
  <c r="K787" i="71"/>
  <c r="C787" i="71"/>
  <c r="D787" i="71" s="1"/>
  <c r="N787" i="71"/>
  <c r="U784" i="71"/>
  <c r="V784" i="71" s="1"/>
  <c r="S786" i="71"/>
  <c r="Y786" i="71"/>
  <c r="Q786" i="71" s="1"/>
  <c r="P786" i="71"/>
  <c r="Z786" i="71" l="1"/>
  <c r="AB786" i="71"/>
  <c r="R786" i="71"/>
  <c r="U786" i="71" s="1"/>
  <c r="T786" i="71"/>
  <c r="K788" i="71"/>
  <c r="A789" i="71"/>
  <c r="B788" i="71"/>
  <c r="E788" i="71" s="1"/>
  <c r="N788" i="71"/>
  <c r="C788" i="71"/>
  <c r="D788" i="71" s="1"/>
  <c r="U785" i="71"/>
  <c r="V785" i="71" s="1"/>
  <c r="P787" i="71"/>
  <c r="S787" i="71"/>
  <c r="Y787" i="71"/>
  <c r="Q787" i="71" s="1"/>
  <c r="V786" i="71" l="1"/>
  <c r="R787" i="71"/>
  <c r="Z787" i="71"/>
  <c r="AB787" i="71"/>
  <c r="T787" i="71"/>
  <c r="S788" i="71"/>
  <c r="P788" i="71"/>
  <c r="Y788" i="71"/>
  <c r="Q788" i="71" s="1"/>
  <c r="B789" i="71"/>
  <c r="E789" i="71" s="1"/>
  <c r="A790" i="71"/>
  <c r="C789" i="71"/>
  <c r="D789" i="71" s="1"/>
  <c r="K789" i="71"/>
  <c r="N789" i="71"/>
  <c r="M249" i="71"/>
  <c r="L249" i="71" s="1"/>
  <c r="T788" i="71" l="1"/>
  <c r="Z788" i="71"/>
  <c r="AB788" i="71"/>
  <c r="R788" i="71"/>
  <c r="U788" i="71" s="1"/>
  <c r="Y789" i="71"/>
  <c r="Q789" i="71" s="1"/>
  <c r="P789" i="71"/>
  <c r="S789" i="71"/>
  <c r="K790" i="71"/>
  <c r="A791" i="71"/>
  <c r="B790" i="71"/>
  <c r="E790" i="71" s="1"/>
  <c r="C790" i="71"/>
  <c r="D790" i="71" s="1"/>
  <c r="N790" i="71"/>
  <c r="U787" i="71"/>
  <c r="V787" i="71" s="1"/>
  <c r="V788" i="71" l="1"/>
  <c r="T789" i="71"/>
  <c r="Z789" i="71"/>
  <c r="R789" i="71"/>
  <c r="U789" i="71" s="1"/>
  <c r="AB789" i="71"/>
  <c r="P790" i="71"/>
  <c r="S790" i="71"/>
  <c r="Y790" i="71"/>
  <c r="Q790" i="71" s="1"/>
  <c r="A792" i="71"/>
  <c r="N791" i="71"/>
  <c r="B791" i="71"/>
  <c r="E791" i="71" s="1"/>
  <c r="K791" i="71"/>
  <c r="C791" i="71"/>
  <c r="D791" i="71" s="1"/>
  <c r="V789" i="71" l="1"/>
  <c r="AB790" i="71"/>
  <c r="R790" i="71"/>
  <c r="T790" i="71"/>
  <c r="Z790" i="71"/>
  <c r="S791" i="71"/>
  <c r="P791" i="71"/>
  <c r="Y791" i="71"/>
  <c r="Q791" i="71" s="1"/>
  <c r="C792" i="71"/>
  <c r="D792" i="71" s="1"/>
  <c r="K792" i="71"/>
  <c r="N792" i="71"/>
  <c r="B792" i="71"/>
  <c r="E792" i="71" s="1"/>
  <c r="A793" i="71"/>
  <c r="M250" i="71"/>
  <c r="L250" i="71" s="1"/>
  <c r="R791" i="71" l="1"/>
  <c r="AB791" i="71"/>
  <c r="T791" i="71"/>
  <c r="Z791" i="71"/>
  <c r="S792" i="71"/>
  <c r="P792" i="71"/>
  <c r="Y792" i="71"/>
  <c r="Q792" i="71" s="1"/>
  <c r="U790" i="71"/>
  <c r="V790" i="71" s="1"/>
  <c r="N793" i="71"/>
  <c r="C793" i="71"/>
  <c r="D793" i="71" s="1"/>
  <c r="K793" i="71"/>
  <c r="B793" i="71"/>
  <c r="E793" i="71" s="1"/>
  <c r="A794" i="71"/>
  <c r="T792" i="71" l="1"/>
  <c r="R792" i="71"/>
  <c r="AB792" i="71"/>
  <c r="Z792" i="71"/>
  <c r="K794" i="71"/>
  <c r="A795" i="71"/>
  <c r="N794" i="71"/>
  <c r="C794" i="71"/>
  <c r="D794" i="71" s="1"/>
  <c r="B794" i="71"/>
  <c r="E794" i="71" s="1"/>
  <c r="S793" i="71"/>
  <c r="P793" i="71"/>
  <c r="Y793" i="71"/>
  <c r="Q793" i="71" s="1"/>
  <c r="U791" i="71"/>
  <c r="V791" i="71"/>
  <c r="S794" i="71" l="1"/>
  <c r="P794" i="71"/>
  <c r="Y794" i="71"/>
  <c r="Q794" i="71" s="1"/>
  <c r="AB793" i="71"/>
  <c r="Z793" i="71"/>
  <c r="T793" i="71"/>
  <c r="R793" i="71"/>
  <c r="U792" i="71"/>
  <c r="V792" i="71" s="1"/>
  <c r="K795" i="71"/>
  <c r="C795" i="71"/>
  <c r="D795" i="71" s="1"/>
  <c r="A796" i="71"/>
  <c r="N795" i="71"/>
  <c r="B795" i="71"/>
  <c r="E795" i="71" s="1"/>
  <c r="T794" i="71" l="1"/>
  <c r="Z794" i="71"/>
  <c r="R794" i="71"/>
  <c r="AB794" i="71"/>
  <c r="U793" i="71"/>
  <c r="V793" i="71" s="1"/>
  <c r="B796" i="71"/>
  <c r="E796" i="71" s="1"/>
  <c r="C796" i="71"/>
  <c r="D796" i="71" s="1"/>
  <c r="K796" i="71"/>
  <c r="A797" i="71"/>
  <c r="N796" i="71"/>
  <c r="P795" i="71"/>
  <c r="Y795" i="71"/>
  <c r="Q795" i="71" s="1"/>
  <c r="S795" i="71"/>
  <c r="M251" i="71"/>
  <c r="L251" i="71" s="1"/>
  <c r="R795" i="71" l="1"/>
  <c r="U795" i="71" s="1"/>
  <c r="AB795" i="71"/>
  <c r="T795" i="71"/>
  <c r="Z795" i="71"/>
  <c r="P796" i="71"/>
  <c r="Y796" i="71"/>
  <c r="Q796" i="71" s="1"/>
  <c r="S796" i="71"/>
  <c r="N797" i="71"/>
  <c r="K797" i="71"/>
  <c r="B797" i="71"/>
  <c r="E797" i="71" s="1"/>
  <c r="A798" i="71"/>
  <c r="C797" i="71"/>
  <c r="D797" i="71" s="1"/>
  <c r="U794" i="71"/>
  <c r="V794" i="71" s="1"/>
  <c r="AB796" i="71" l="1"/>
  <c r="T796" i="71"/>
  <c r="R796" i="71"/>
  <c r="U796" i="71" s="1"/>
  <c r="Z796" i="71"/>
  <c r="B798" i="71"/>
  <c r="E798" i="71" s="1"/>
  <c r="C798" i="71"/>
  <c r="D798" i="71" s="1"/>
  <c r="K798" i="71"/>
  <c r="A799" i="71"/>
  <c r="N798" i="71"/>
  <c r="Y797" i="71"/>
  <c r="Q797" i="71" s="1"/>
  <c r="S797" i="71"/>
  <c r="P797" i="71"/>
  <c r="V795" i="71"/>
  <c r="V796" i="71" l="1"/>
  <c r="B799" i="71"/>
  <c r="E799" i="71" s="1"/>
  <c r="N799" i="71"/>
  <c r="K799" i="71"/>
  <c r="A800" i="71"/>
  <c r="C799" i="71"/>
  <c r="D799" i="71" s="1"/>
  <c r="T797" i="71"/>
  <c r="AB797" i="71"/>
  <c r="R797" i="71"/>
  <c r="Z797" i="71"/>
  <c r="P798" i="71"/>
  <c r="Y798" i="71"/>
  <c r="Q798" i="71" s="1"/>
  <c r="S798" i="71"/>
  <c r="U797" i="71" l="1"/>
  <c r="V797" i="71" s="1"/>
  <c r="A801" i="71"/>
  <c r="K800" i="71"/>
  <c r="C800" i="71"/>
  <c r="D800" i="71" s="1"/>
  <c r="N800" i="71"/>
  <c r="B800" i="71"/>
  <c r="E800" i="71" s="1"/>
  <c r="R798" i="71"/>
  <c r="U798" i="71" s="1"/>
  <c r="V798" i="71" s="1"/>
  <c r="Z798" i="71"/>
  <c r="AB798" i="71"/>
  <c r="T798" i="71"/>
  <c r="P799" i="71"/>
  <c r="S799" i="71"/>
  <c r="Y799" i="71"/>
  <c r="Q799" i="71" s="1"/>
  <c r="M252" i="71"/>
  <c r="L252" i="71" s="1"/>
  <c r="Y800" i="71" l="1"/>
  <c r="Q800" i="71" s="1"/>
  <c r="S800" i="71"/>
  <c r="P800" i="71"/>
  <c r="R799" i="71"/>
  <c r="T799" i="71"/>
  <c r="AB799" i="71"/>
  <c r="Z799" i="71"/>
  <c r="K801" i="71"/>
  <c r="B801" i="71"/>
  <c r="E801" i="71" s="1"/>
  <c r="A802" i="71"/>
  <c r="N801" i="71"/>
  <c r="C801" i="71"/>
  <c r="D801" i="71" s="1"/>
  <c r="U799" i="71" l="1"/>
  <c r="V799" i="71" s="1"/>
  <c r="P801" i="71"/>
  <c r="Y801" i="71"/>
  <c r="Q801" i="71" s="1"/>
  <c r="S801" i="71"/>
  <c r="N802" i="71"/>
  <c r="C802" i="71"/>
  <c r="D802" i="71" s="1"/>
  <c r="K802" i="71"/>
  <c r="B802" i="71"/>
  <c r="E802" i="71" s="1"/>
  <c r="A803" i="71"/>
  <c r="Z800" i="71"/>
  <c r="T800" i="71"/>
  <c r="AB800" i="71"/>
  <c r="R800" i="71"/>
  <c r="U800" i="71" s="1"/>
  <c r="V800" i="71" s="1"/>
  <c r="M253" i="71"/>
  <c r="L253" i="71" s="1"/>
  <c r="Z801" i="71" l="1"/>
  <c r="R801" i="71"/>
  <c r="U801" i="71" s="1"/>
  <c r="AB801" i="71"/>
  <c r="T801" i="71"/>
  <c r="A804" i="71"/>
  <c r="N803" i="71"/>
  <c r="B803" i="71"/>
  <c r="E803" i="71" s="1"/>
  <c r="K803" i="71"/>
  <c r="C803" i="71"/>
  <c r="D803" i="71" s="1"/>
  <c r="S802" i="71"/>
  <c r="Y802" i="71"/>
  <c r="Q802" i="71" s="1"/>
  <c r="P802" i="71"/>
  <c r="V801" i="71" l="1"/>
  <c r="R802" i="71"/>
  <c r="Z802" i="71"/>
  <c r="T802" i="71"/>
  <c r="AB802" i="71"/>
  <c r="S803" i="71"/>
  <c r="Y803" i="71"/>
  <c r="Q803" i="71" s="1"/>
  <c r="P803" i="71"/>
  <c r="K804" i="71"/>
  <c r="A805" i="71"/>
  <c r="B804" i="71"/>
  <c r="E804" i="71" s="1"/>
  <c r="N804" i="71"/>
  <c r="C804" i="71"/>
  <c r="D804" i="71" s="1"/>
  <c r="M254" i="71"/>
  <c r="L254" i="71" s="1"/>
  <c r="P804" i="71" l="1"/>
  <c r="Y804" i="71"/>
  <c r="Q804" i="71" s="1"/>
  <c r="S804" i="71"/>
  <c r="A806" i="71"/>
  <c r="C805" i="71"/>
  <c r="D805" i="71" s="1"/>
  <c r="B805" i="71"/>
  <c r="E805" i="71" s="1"/>
  <c r="N805" i="71"/>
  <c r="K805" i="71"/>
  <c r="AB803" i="71"/>
  <c r="Z803" i="71"/>
  <c r="T803" i="71"/>
  <c r="R803" i="71"/>
  <c r="U803" i="71" s="1"/>
  <c r="U802" i="71"/>
  <c r="V802" i="71" s="1"/>
  <c r="Y805" i="71" l="1"/>
  <c r="Q805" i="71" s="1"/>
  <c r="S805" i="71"/>
  <c r="P805" i="71"/>
  <c r="V803" i="71"/>
  <c r="C806" i="71"/>
  <c r="D806" i="71" s="1"/>
  <c r="K806" i="71"/>
  <c r="A807" i="71"/>
  <c r="B806" i="71"/>
  <c r="E806" i="71" s="1"/>
  <c r="N806" i="71"/>
  <c r="T804" i="71"/>
  <c r="Z804" i="71"/>
  <c r="R804" i="71"/>
  <c r="U804" i="71" s="1"/>
  <c r="AB804" i="71"/>
  <c r="V804" i="71" l="1"/>
  <c r="N807" i="71"/>
  <c r="A808" i="71"/>
  <c r="B807" i="71"/>
  <c r="E807" i="71" s="1"/>
  <c r="C807" i="71"/>
  <c r="D807" i="71" s="1"/>
  <c r="K807" i="71"/>
  <c r="P806" i="71"/>
  <c r="Y806" i="71"/>
  <c r="Q806" i="71" s="1"/>
  <c r="S806" i="71"/>
  <c r="T805" i="71"/>
  <c r="R805" i="71"/>
  <c r="U805" i="71" s="1"/>
  <c r="AB805" i="71"/>
  <c r="Z805" i="71"/>
  <c r="M255" i="71"/>
  <c r="L255" i="71" s="1"/>
  <c r="V805" i="71" l="1"/>
  <c r="R806" i="71"/>
  <c r="AB806" i="71"/>
  <c r="Z806" i="71"/>
  <c r="T806" i="71"/>
  <c r="C808" i="71"/>
  <c r="D808" i="71" s="1"/>
  <c r="K808" i="71"/>
  <c r="A809" i="71"/>
  <c r="N808" i="71"/>
  <c r="B808" i="71"/>
  <c r="E808" i="71" s="1"/>
  <c r="P807" i="71"/>
  <c r="S807" i="71"/>
  <c r="Y807" i="71"/>
  <c r="Q807" i="71" s="1"/>
  <c r="AB807" i="71" l="1"/>
  <c r="T807" i="71"/>
  <c r="Z807" i="71"/>
  <c r="R807" i="71"/>
  <c r="A810" i="71"/>
  <c r="C809" i="71"/>
  <c r="D809" i="71" s="1"/>
  <c r="N809" i="71"/>
  <c r="B809" i="71"/>
  <c r="E809" i="71" s="1"/>
  <c r="K809" i="71"/>
  <c r="Y808" i="71"/>
  <c r="Q808" i="71" s="1"/>
  <c r="S808" i="71"/>
  <c r="P808" i="71"/>
  <c r="U806" i="71"/>
  <c r="V806" i="71"/>
  <c r="B810" i="71" l="1"/>
  <c r="E810" i="71" s="1"/>
  <c r="C810" i="71"/>
  <c r="D810" i="71" s="1"/>
  <c r="A811" i="71"/>
  <c r="K810" i="71"/>
  <c r="N810" i="71"/>
  <c r="P809" i="71"/>
  <c r="Y809" i="71"/>
  <c r="Q809" i="71" s="1"/>
  <c r="S809" i="71"/>
  <c r="Z808" i="71"/>
  <c r="T808" i="71"/>
  <c r="AB808" i="71"/>
  <c r="R808" i="71"/>
  <c r="U807" i="71"/>
  <c r="V807" i="71" s="1"/>
  <c r="Y810" i="71" l="1"/>
  <c r="Q810" i="71" s="1"/>
  <c r="S810" i="71"/>
  <c r="P810" i="71"/>
  <c r="R809" i="71"/>
  <c r="U809" i="71" s="1"/>
  <c r="AB809" i="71"/>
  <c r="Z809" i="71"/>
  <c r="T809" i="71"/>
  <c r="N811" i="71"/>
  <c r="A812" i="71"/>
  <c r="K811" i="71"/>
  <c r="B811" i="71"/>
  <c r="E811" i="71" s="1"/>
  <c r="C811" i="71"/>
  <c r="D811" i="71" s="1"/>
  <c r="U808" i="71"/>
  <c r="V808" i="71" s="1"/>
  <c r="M256" i="71"/>
  <c r="L256" i="71" s="1"/>
  <c r="T810" i="71" l="1"/>
  <c r="Z810" i="71"/>
  <c r="R810" i="71"/>
  <c r="U810" i="71" s="1"/>
  <c r="AB810" i="71"/>
  <c r="V809" i="71"/>
  <c r="A813" i="71"/>
  <c r="N812" i="71"/>
  <c r="B812" i="71"/>
  <c r="E812" i="71" s="1"/>
  <c r="C812" i="71"/>
  <c r="D812" i="71" s="1"/>
  <c r="K812" i="71"/>
  <c r="S811" i="71"/>
  <c r="Y811" i="71"/>
  <c r="Q811" i="71" s="1"/>
  <c r="P811" i="71"/>
  <c r="V810" i="71" l="1"/>
  <c r="P812" i="71"/>
  <c r="Y812" i="71"/>
  <c r="Q812" i="71" s="1"/>
  <c r="S812" i="71"/>
  <c r="K813" i="71"/>
  <c r="A814" i="71"/>
  <c r="N813" i="71"/>
  <c r="B813" i="71"/>
  <c r="E813" i="71" s="1"/>
  <c r="C813" i="71"/>
  <c r="D813" i="71" s="1"/>
  <c r="T811" i="71"/>
  <c r="Z811" i="71"/>
  <c r="R811" i="71"/>
  <c r="U811" i="71" s="1"/>
  <c r="AB811" i="71"/>
  <c r="V811" i="71" l="1"/>
  <c r="R812" i="71"/>
  <c r="U812" i="71" s="1"/>
  <c r="AB812" i="71"/>
  <c r="Z812" i="71"/>
  <c r="T812" i="71"/>
  <c r="K814" i="71"/>
  <c r="A815" i="71"/>
  <c r="B814" i="71"/>
  <c r="E814" i="71" s="1"/>
  <c r="N814" i="71"/>
  <c r="C814" i="71"/>
  <c r="D814" i="71" s="1"/>
  <c r="Y813" i="71"/>
  <c r="Q813" i="71" s="1"/>
  <c r="S813" i="71"/>
  <c r="P813" i="71"/>
  <c r="M257" i="71"/>
  <c r="L257" i="71" s="1"/>
  <c r="P814" i="71" l="1"/>
  <c r="Y814" i="71"/>
  <c r="Q814" i="71" s="1"/>
  <c r="S814" i="71"/>
  <c r="B815" i="71"/>
  <c r="E815" i="71" s="1"/>
  <c r="K815" i="71"/>
  <c r="C815" i="71"/>
  <c r="D815" i="71" s="1"/>
  <c r="N815" i="71"/>
  <c r="A816" i="71"/>
  <c r="AB813" i="71"/>
  <c r="R813" i="71"/>
  <c r="U813" i="71" s="1"/>
  <c r="Z813" i="71"/>
  <c r="T813" i="71"/>
  <c r="V812" i="71"/>
  <c r="N816" i="71" l="1"/>
  <c r="B816" i="71"/>
  <c r="C816" i="71"/>
  <c r="D816" i="71" s="1"/>
  <c r="K816" i="71"/>
  <c r="A817" i="71"/>
  <c r="E816" i="71"/>
  <c r="V813" i="71"/>
  <c r="Z814" i="71"/>
  <c r="AB814" i="71"/>
  <c r="R814" i="71"/>
  <c r="U814" i="71" s="1"/>
  <c r="T814" i="71"/>
  <c r="Y815" i="71"/>
  <c r="Q815" i="71" s="1"/>
  <c r="S815" i="71"/>
  <c r="P815" i="71"/>
  <c r="M258" i="71"/>
  <c r="L258" i="71" s="1"/>
  <c r="V814" i="71" l="1"/>
  <c r="C817" i="71"/>
  <c r="D817" i="71" s="1"/>
  <c r="K817" i="71"/>
  <c r="B817" i="71"/>
  <c r="E817" i="71" s="1"/>
  <c r="A818" i="71"/>
  <c r="N817" i="71"/>
  <c r="Z815" i="71"/>
  <c r="R815" i="71"/>
  <c r="U815" i="71" s="1"/>
  <c r="V815" i="71" s="1"/>
  <c r="AB815" i="71"/>
  <c r="T815" i="71"/>
  <c r="Y816" i="71"/>
  <c r="Q816" i="71" s="1"/>
  <c r="S816" i="71"/>
  <c r="P816" i="71"/>
  <c r="Y817" i="71" l="1"/>
  <c r="Q817" i="71" s="1"/>
  <c r="S817" i="71"/>
  <c r="P817" i="71"/>
  <c r="K818" i="71"/>
  <c r="A819" i="71"/>
  <c r="B818" i="71"/>
  <c r="E818" i="71" s="1"/>
  <c r="N818" i="71"/>
  <c r="C818" i="71"/>
  <c r="D818" i="71" s="1"/>
  <c r="R816" i="71"/>
  <c r="AB816" i="71"/>
  <c r="Z816" i="71"/>
  <c r="T816" i="71"/>
  <c r="B819" i="71" l="1"/>
  <c r="E819" i="71" s="1"/>
  <c r="K819" i="71"/>
  <c r="N819" i="71"/>
  <c r="A820" i="71"/>
  <c r="C819" i="71"/>
  <c r="D819" i="71" s="1"/>
  <c r="S818" i="71"/>
  <c r="P818" i="71"/>
  <c r="Y818" i="71"/>
  <c r="Q818" i="71" s="1"/>
  <c r="U816" i="71"/>
  <c r="V816" i="71" s="1"/>
  <c r="AB817" i="71"/>
  <c r="Z817" i="71"/>
  <c r="T817" i="71"/>
  <c r="R817" i="71"/>
  <c r="U817" i="71" s="1"/>
  <c r="M259" i="71"/>
  <c r="L259" i="71" s="1"/>
  <c r="V817" i="71" l="1"/>
  <c r="S819" i="71"/>
  <c r="Y819" i="71"/>
  <c r="Q819" i="71" s="1"/>
  <c r="P819" i="71"/>
  <c r="Z818" i="71"/>
  <c r="R818" i="71"/>
  <c r="AB818" i="71"/>
  <c r="T818" i="71"/>
  <c r="B820" i="71"/>
  <c r="E820" i="71" s="1"/>
  <c r="N820" i="71"/>
  <c r="C820" i="71"/>
  <c r="D820" i="71" s="1"/>
  <c r="K820" i="71"/>
  <c r="A821" i="71"/>
  <c r="U818" i="71" l="1"/>
  <c r="V818" i="71" s="1"/>
  <c r="B821" i="71"/>
  <c r="E821" i="71" s="1"/>
  <c r="A822" i="71"/>
  <c r="C821" i="71"/>
  <c r="D821" i="71" s="1"/>
  <c r="K821" i="71"/>
  <c r="N821" i="71"/>
  <c r="T819" i="71"/>
  <c r="AB819" i="71"/>
  <c r="R819" i="71"/>
  <c r="U819" i="71" s="1"/>
  <c r="Z819" i="71"/>
  <c r="P820" i="71"/>
  <c r="Y820" i="71"/>
  <c r="Q820" i="71" s="1"/>
  <c r="S820" i="71"/>
  <c r="T820" i="71" l="1"/>
  <c r="Z820" i="71"/>
  <c r="R820" i="71"/>
  <c r="U820" i="71" s="1"/>
  <c r="AB820" i="71"/>
  <c r="N822" i="71"/>
  <c r="B822" i="71"/>
  <c r="E822" i="71" s="1"/>
  <c r="K822" i="71"/>
  <c r="A823" i="71"/>
  <c r="C822" i="71"/>
  <c r="D822" i="71" s="1"/>
  <c r="P821" i="71"/>
  <c r="S821" i="71"/>
  <c r="Y821" i="71"/>
  <c r="Q821" i="71" s="1"/>
  <c r="V819" i="71"/>
  <c r="V820" i="71" l="1"/>
  <c r="R821" i="71"/>
  <c r="U821" i="71" s="1"/>
  <c r="AB821" i="71"/>
  <c r="T821" i="71"/>
  <c r="Z821" i="71"/>
  <c r="Y822" i="71"/>
  <c r="Q822" i="71" s="1"/>
  <c r="S822" i="71"/>
  <c r="P822" i="71"/>
  <c r="B823" i="71"/>
  <c r="E823" i="71" s="1"/>
  <c r="C823" i="71"/>
  <c r="D823" i="71" s="1"/>
  <c r="K823" i="71"/>
  <c r="A824" i="71"/>
  <c r="N823" i="71"/>
  <c r="M260" i="71"/>
  <c r="L260" i="71" s="1"/>
  <c r="T822" i="71" l="1"/>
  <c r="Z822" i="71"/>
  <c r="R822" i="71"/>
  <c r="AB822" i="71"/>
  <c r="C824" i="71"/>
  <c r="D824" i="71" s="1"/>
  <c r="K824" i="71"/>
  <c r="A825" i="71"/>
  <c r="B824" i="71"/>
  <c r="E824" i="71" s="1"/>
  <c r="N824" i="71"/>
  <c r="Y823" i="71"/>
  <c r="Q823" i="71" s="1"/>
  <c r="P823" i="71"/>
  <c r="S823" i="71"/>
  <c r="V821" i="71"/>
  <c r="A826" i="71" l="1"/>
  <c r="C825" i="71"/>
  <c r="D825" i="71" s="1"/>
  <c r="N825" i="71"/>
  <c r="B825" i="71"/>
  <c r="E825" i="71" s="1"/>
  <c r="K825" i="71"/>
  <c r="U822" i="71"/>
  <c r="V822" i="71" s="1"/>
  <c r="R823" i="71"/>
  <c r="AB823" i="71"/>
  <c r="Z823" i="71"/>
  <c r="T823" i="71"/>
  <c r="Y824" i="71"/>
  <c r="Q824" i="71" s="1"/>
  <c r="S824" i="71"/>
  <c r="P824" i="71"/>
  <c r="Z824" i="71" l="1"/>
  <c r="T824" i="71"/>
  <c r="R824" i="71"/>
  <c r="AB824" i="71"/>
  <c r="P825" i="71"/>
  <c r="Y825" i="71"/>
  <c r="Q825" i="71" s="1"/>
  <c r="S825" i="71"/>
  <c r="U823" i="71"/>
  <c r="V823" i="71" s="1"/>
  <c r="K826" i="71"/>
  <c r="A827" i="71"/>
  <c r="B826" i="71"/>
  <c r="E826" i="71" s="1"/>
  <c r="C826" i="71"/>
  <c r="D826" i="71" s="1"/>
  <c r="N826" i="71"/>
  <c r="M261" i="71"/>
  <c r="L261" i="71" s="1"/>
  <c r="S826" i="71" l="1"/>
  <c r="P826" i="71"/>
  <c r="Y826" i="71"/>
  <c r="Q826" i="71" s="1"/>
  <c r="Z825" i="71"/>
  <c r="AB825" i="71"/>
  <c r="T825" i="71"/>
  <c r="R825" i="71"/>
  <c r="C827" i="71"/>
  <c r="D827" i="71" s="1"/>
  <c r="B827" i="71"/>
  <c r="E827" i="71" s="1"/>
  <c r="N827" i="71"/>
  <c r="A828" i="71"/>
  <c r="K827" i="71"/>
  <c r="U824" i="71"/>
  <c r="V824" i="71" s="1"/>
  <c r="AB826" i="71" l="1"/>
  <c r="T826" i="71"/>
  <c r="Z826" i="71"/>
  <c r="R826" i="71"/>
  <c r="U826" i="71" s="1"/>
  <c r="C828" i="71"/>
  <c r="D828" i="71" s="1"/>
  <c r="E828" i="71"/>
  <c r="K828" i="71"/>
  <c r="N828" i="71"/>
  <c r="A829" i="71"/>
  <c r="B828" i="71"/>
  <c r="U825" i="71"/>
  <c r="V825" i="71" s="1"/>
  <c r="S827" i="71"/>
  <c r="Y827" i="71"/>
  <c r="Q827" i="71" s="1"/>
  <c r="P827" i="71"/>
  <c r="V826" i="71" l="1"/>
  <c r="P828" i="71"/>
  <c r="Y828" i="71"/>
  <c r="Q828" i="71" s="1"/>
  <c r="S828" i="71"/>
  <c r="Z827" i="71"/>
  <c r="T827" i="71"/>
  <c r="R827" i="71"/>
  <c r="U827" i="71" s="1"/>
  <c r="AB827" i="71"/>
  <c r="A830" i="71"/>
  <c r="N829" i="71"/>
  <c r="C829" i="71"/>
  <c r="D829" i="71" s="1"/>
  <c r="K829" i="71"/>
  <c r="B829" i="71"/>
  <c r="E829" i="71" s="1"/>
  <c r="M262" i="71"/>
  <c r="L262" i="71" s="1"/>
  <c r="V827" i="71" l="1"/>
  <c r="C830" i="71"/>
  <c r="D830" i="71" s="1"/>
  <c r="A831" i="71"/>
  <c r="B830" i="71"/>
  <c r="E830" i="71" s="1"/>
  <c r="N830" i="71"/>
  <c r="K830" i="71"/>
  <c r="T828" i="71"/>
  <c r="R828" i="71"/>
  <c r="U828" i="71" s="1"/>
  <c r="V828" i="71" s="1"/>
  <c r="AB828" i="71"/>
  <c r="Z828" i="71"/>
  <c r="Y829" i="71"/>
  <c r="Q829" i="71" s="1"/>
  <c r="P829" i="71"/>
  <c r="S829" i="71"/>
  <c r="AB829" i="71" l="1"/>
  <c r="R829" i="71"/>
  <c r="U829" i="71" s="1"/>
  <c r="T829" i="71"/>
  <c r="Z829" i="71"/>
  <c r="A832" i="71"/>
  <c r="C831" i="71"/>
  <c r="D831" i="71" s="1"/>
  <c r="N831" i="71"/>
  <c r="K831" i="71"/>
  <c r="B831" i="71"/>
  <c r="E831" i="71" s="1"/>
  <c r="Y830" i="71"/>
  <c r="Q830" i="71" s="1"/>
  <c r="P830" i="71"/>
  <c r="S830" i="71"/>
  <c r="N832" i="71" l="1"/>
  <c r="B832" i="71"/>
  <c r="E832" i="71" s="1"/>
  <c r="K832" i="71"/>
  <c r="C832" i="71"/>
  <c r="D832" i="71" s="1"/>
  <c r="A833" i="71"/>
  <c r="H15" i="1" s="1"/>
  <c r="T830" i="71"/>
  <c r="R830" i="71"/>
  <c r="AB830" i="71"/>
  <c r="Z830" i="71"/>
  <c r="V829" i="71"/>
  <c r="P831" i="71"/>
  <c r="Y831" i="71"/>
  <c r="Q831" i="71" s="1"/>
  <c r="S831" i="71"/>
  <c r="M263" i="71"/>
  <c r="L263" i="71" s="1"/>
  <c r="U830" i="71" l="1"/>
  <c r="V830" i="71" s="1"/>
  <c r="N833" i="71"/>
  <c r="C833" i="71"/>
  <c r="D833" i="71" s="1"/>
  <c r="K833" i="71"/>
  <c r="B833" i="71"/>
  <c r="E833" i="71" s="1"/>
  <c r="R831" i="71"/>
  <c r="AB831" i="71"/>
  <c r="T831" i="71"/>
  <c r="Z831" i="71"/>
  <c r="Y832" i="71"/>
  <c r="Q832" i="71" s="1"/>
  <c r="S832" i="71"/>
  <c r="P832" i="71"/>
  <c r="T832" i="71" l="1"/>
  <c r="AB832" i="71"/>
  <c r="R832" i="71"/>
  <c r="Z832" i="71"/>
  <c r="U831" i="71"/>
  <c r="V831" i="71" s="1"/>
  <c r="Y833" i="71"/>
  <c r="Q833" i="71" s="1"/>
  <c r="P833" i="71"/>
  <c r="S833" i="71"/>
  <c r="AB833" i="71" l="1"/>
  <c r="Z833" i="71"/>
  <c r="T833" i="71"/>
  <c r="R833" i="71"/>
  <c r="U832" i="71"/>
  <c r="V832" i="71" s="1"/>
  <c r="U833" i="71" l="1"/>
  <c r="V833" i="71" s="1"/>
  <c r="M264" i="71"/>
  <c r="L264" i="71" s="1"/>
  <c r="M265" i="71" l="1"/>
  <c r="L265" i="71" s="1"/>
  <c r="M266" i="71" l="1"/>
  <c r="L266" i="71" s="1"/>
  <c r="M267" i="71" l="1"/>
  <c r="L267" i="71" s="1"/>
  <c r="M268" i="71" l="1"/>
  <c r="L268" i="71" s="1"/>
  <c r="M269" i="71" l="1"/>
  <c r="L269" i="71" s="1"/>
  <c r="M270" i="71" l="1"/>
  <c r="L270" i="71" s="1"/>
  <c r="M271" i="71" l="1"/>
  <c r="L271" i="71" s="1"/>
  <c r="M272" i="71" l="1"/>
  <c r="L272" i="71" s="1"/>
  <c r="M273" i="71" l="1"/>
  <c r="L273" i="71" s="1"/>
  <c r="M274" i="71" l="1"/>
  <c r="L274" i="71" s="1"/>
  <c r="M275" i="71" l="1"/>
  <c r="L275" i="71" s="1"/>
  <c r="M276" i="71" l="1"/>
  <c r="L276" i="71" s="1"/>
  <c r="M277" i="71" l="1"/>
  <c r="L277" i="71" s="1"/>
  <c r="M278" i="71" l="1"/>
  <c r="L278" i="71" s="1"/>
  <c r="M279" i="71" l="1"/>
  <c r="L279" i="71" s="1"/>
  <c r="M280" i="71" l="1"/>
  <c r="L280" i="71" s="1"/>
  <c r="M281" i="71" l="1"/>
  <c r="L281" i="71" s="1"/>
  <c r="M282" i="71" l="1"/>
  <c r="L282" i="71" s="1"/>
  <c r="M283" i="71" l="1"/>
  <c r="L283" i="71" s="1"/>
  <c r="M284" i="71" l="1"/>
  <c r="L284" i="71" s="1"/>
  <c r="M285" i="71" l="1"/>
  <c r="L285" i="71" s="1"/>
  <c r="M286" i="71" l="1"/>
  <c r="L286" i="71" s="1"/>
  <c r="M287" i="71" l="1"/>
  <c r="L287" i="71" s="1"/>
  <c r="M288" i="71" l="1"/>
  <c r="L288" i="71" s="1"/>
  <c r="M289" i="71" l="1"/>
  <c r="L289" i="71" s="1"/>
  <c r="M290" i="71" l="1"/>
  <c r="L290" i="71" s="1"/>
  <c r="M291" i="71" l="1"/>
  <c r="L291" i="71" s="1"/>
  <c r="M292" i="71" l="1"/>
  <c r="L292" i="71" s="1"/>
  <c r="M293" i="71" l="1"/>
  <c r="L293" i="71" s="1"/>
  <c r="M294" i="71" l="1"/>
  <c r="L294" i="71" s="1"/>
  <c r="M295" i="71" l="1"/>
  <c r="L295" i="71" s="1"/>
  <c r="M296" i="71" l="1"/>
  <c r="L296" i="71" s="1"/>
  <c r="M297" i="71" l="1"/>
  <c r="L297" i="71" s="1"/>
  <c r="M298" i="71" l="1"/>
  <c r="L298" i="71" s="1"/>
  <c r="M299" i="71" l="1"/>
  <c r="L299" i="71" s="1"/>
  <c r="M300" i="71" l="1"/>
  <c r="L300" i="71" s="1"/>
  <c r="M301" i="71" l="1"/>
  <c r="L301" i="71" s="1"/>
  <c r="M302" i="71" l="1"/>
  <c r="L302" i="71" s="1"/>
  <c r="M303" i="71" l="1"/>
  <c r="L303" i="71" s="1"/>
  <c r="M304" i="71" l="1"/>
  <c r="L304" i="71" s="1"/>
  <c r="M305" i="71" l="1"/>
  <c r="L305" i="71" s="1"/>
  <c r="M306" i="71" l="1"/>
  <c r="L306" i="71" s="1"/>
  <c r="M307" i="71" l="1"/>
  <c r="L307" i="71" s="1"/>
  <c r="M308" i="71" l="1"/>
  <c r="L308" i="71" s="1"/>
  <c r="M309" i="71" l="1"/>
  <c r="L309" i="71" s="1"/>
  <c r="M310" i="71" l="1"/>
  <c r="L310" i="71" s="1"/>
  <c r="M311" i="71" l="1"/>
  <c r="L311" i="71" s="1"/>
  <c r="M312" i="71" l="1"/>
  <c r="L312" i="71" s="1"/>
  <c r="M313" i="71" l="1"/>
  <c r="L313" i="71" s="1"/>
  <c r="M314" i="71" l="1"/>
  <c r="L314" i="71" s="1"/>
  <c r="M315" i="71" l="1"/>
  <c r="L315" i="71" s="1"/>
  <c r="M316" i="71" l="1"/>
  <c r="L316" i="71" s="1"/>
  <c r="M317" i="71" l="1"/>
  <c r="L317" i="71" s="1"/>
  <c r="M318" i="71" l="1"/>
  <c r="L318" i="71" s="1"/>
  <c r="M319" i="71" l="1"/>
  <c r="L319" i="71" s="1"/>
  <c r="M320" i="71" l="1"/>
  <c r="L320" i="71" s="1"/>
  <c r="M321" i="71" l="1"/>
  <c r="L321" i="71" s="1"/>
  <c r="M322" i="71" l="1"/>
  <c r="L322" i="71" s="1"/>
  <c r="M323" i="71" l="1"/>
  <c r="L323" i="71" s="1"/>
  <c r="M324" i="71" l="1"/>
  <c r="L324" i="71" s="1"/>
  <c r="M325" i="71" l="1"/>
  <c r="L325" i="71" s="1"/>
  <c r="M326" i="71" l="1"/>
  <c r="L326" i="71" s="1"/>
  <c r="M327" i="71" l="1"/>
  <c r="L327" i="71" s="1"/>
  <c r="M328" i="71" l="1"/>
  <c r="L328" i="71" s="1"/>
  <c r="M329" i="71" l="1"/>
  <c r="L329" i="71" s="1"/>
  <c r="M330" i="71" l="1"/>
  <c r="L330" i="71" s="1"/>
  <c r="M331" i="71" l="1"/>
  <c r="L331" i="71" s="1"/>
  <c r="M332" i="71" l="1"/>
  <c r="L332" i="71" s="1"/>
  <c r="M333" i="71" l="1"/>
  <c r="L333" i="71" s="1"/>
  <c r="M334" i="71" l="1"/>
  <c r="L334" i="71" s="1"/>
  <c r="M335" i="71" l="1"/>
  <c r="L335" i="71" s="1"/>
  <c r="M336" i="71" l="1"/>
  <c r="L336" i="71" s="1"/>
  <c r="M337" i="71" l="1"/>
  <c r="L337" i="71" s="1"/>
  <c r="M338" i="71" l="1"/>
  <c r="L338" i="71" s="1"/>
  <c r="M339" i="71" l="1"/>
  <c r="L339" i="71" s="1"/>
  <c r="M340" i="71" l="1"/>
  <c r="L340" i="71" s="1"/>
  <c r="M341" i="71" l="1"/>
  <c r="L341" i="71" s="1"/>
  <c r="M342" i="71" l="1"/>
  <c r="L342" i="71" s="1"/>
  <c r="M343" i="71" l="1"/>
  <c r="L343" i="71" s="1"/>
  <c r="M344" i="71" l="1"/>
  <c r="L344" i="71" s="1"/>
  <c r="M345" i="71" l="1"/>
  <c r="L345" i="71" s="1"/>
  <c r="M346" i="71" l="1"/>
  <c r="L346" i="71" s="1"/>
  <c r="M347" i="71" l="1"/>
  <c r="L347" i="71" s="1"/>
  <c r="M348" i="71" l="1"/>
  <c r="L348" i="71" s="1"/>
  <c r="M349" i="71" l="1"/>
  <c r="L349" i="71" s="1"/>
  <c r="M350" i="71" l="1"/>
  <c r="L350" i="71" s="1"/>
  <c r="M351" i="71" l="1"/>
  <c r="L351" i="71" s="1"/>
  <c r="M352" i="71" l="1"/>
  <c r="L352" i="71" s="1"/>
  <c r="M353" i="71" l="1"/>
  <c r="L353" i="71" s="1"/>
  <c r="M354" i="71" l="1"/>
  <c r="L354" i="71" s="1"/>
  <c r="M355" i="71" l="1"/>
  <c r="L355" i="71" s="1"/>
  <c r="M356" i="71" l="1"/>
  <c r="L356" i="71" s="1"/>
  <c r="M357" i="71" l="1"/>
  <c r="L357" i="71" s="1"/>
  <c r="M358" i="71" l="1"/>
  <c r="L358" i="71" s="1"/>
  <c r="M359" i="71" l="1"/>
  <c r="L359" i="71" s="1"/>
  <c r="M360" i="71" l="1"/>
  <c r="L360" i="71" s="1"/>
  <c r="M361" i="71" l="1"/>
  <c r="L361" i="71" s="1"/>
  <c r="M362" i="71" l="1"/>
  <c r="L362" i="71" s="1"/>
  <c r="M363" i="71" l="1"/>
  <c r="L363" i="71" s="1"/>
  <c r="M364" i="71" l="1"/>
  <c r="L364" i="71" s="1"/>
  <c r="M365" i="71" l="1"/>
  <c r="L365" i="71" s="1"/>
  <c r="M366" i="71" l="1"/>
  <c r="L366" i="71" s="1"/>
  <c r="M367" i="71" l="1"/>
  <c r="L367" i="71" s="1"/>
  <c r="M368" i="71" l="1"/>
  <c r="L368" i="71" s="1"/>
  <c r="M369" i="71" l="1"/>
  <c r="L369" i="71" s="1"/>
  <c r="M370" i="71" l="1"/>
  <c r="L370" i="71" s="1"/>
  <c r="M371" i="71" l="1"/>
  <c r="L371" i="71" s="1"/>
  <c r="M372" i="71" l="1"/>
  <c r="L372" i="71" s="1"/>
  <c r="M373" i="71" l="1"/>
  <c r="L373" i="71" s="1"/>
  <c r="M374" i="71" l="1"/>
  <c r="L374" i="71" s="1"/>
  <c r="M375" i="71" l="1"/>
  <c r="L375" i="71" s="1"/>
  <c r="M376" i="71" l="1"/>
  <c r="L376" i="71" s="1"/>
  <c r="M377" i="71" l="1"/>
  <c r="L377" i="71" s="1"/>
  <c r="M378" i="71" l="1"/>
  <c r="L378" i="71" s="1"/>
  <c r="M379" i="71" l="1"/>
  <c r="L379" i="71" s="1"/>
  <c r="M380" i="71" l="1"/>
  <c r="L380" i="71" s="1"/>
  <c r="M381" i="71" l="1"/>
  <c r="L381" i="71" s="1"/>
  <c r="M382" i="71" l="1"/>
  <c r="L382" i="71" s="1"/>
  <c r="M383" i="71" l="1"/>
  <c r="L383" i="71" s="1"/>
  <c r="M384" i="71" l="1"/>
  <c r="L384" i="71" s="1"/>
  <c r="M385" i="71" l="1"/>
  <c r="L385" i="71" s="1"/>
  <c r="M386" i="71" l="1"/>
  <c r="L386" i="71" s="1"/>
  <c r="M387" i="71" l="1"/>
  <c r="L387" i="71" s="1"/>
  <c r="M388" i="71" l="1"/>
  <c r="L388" i="71" s="1"/>
  <c r="M389" i="71" l="1"/>
  <c r="L389" i="71" s="1"/>
  <c r="M390" i="71" l="1"/>
  <c r="L390" i="71" s="1"/>
  <c r="M391" i="71" l="1"/>
  <c r="L391" i="71" s="1"/>
  <c r="M392" i="71" l="1"/>
  <c r="L392" i="71" s="1"/>
  <c r="M393" i="71" l="1"/>
  <c r="L393" i="71" s="1"/>
  <c r="M394" i="71" l="1"/>
  <c r="L394" i="71" s="1"/>
  <c r="M395" i="71" l="1"/>
  <c r="L395" i="71" s="1"/>
  <c r="M396" i="71" l="1"/>
  <c r="L396" i="71" s="1"/>
  <c r="M397" i="71" l="1"/>
  <c r="L397" i="71" s="1"/>
  <c r="M398" i="71" l="1"/>
  <c r="L398" i="71" s="1"/>
  <c r="M399" i="71" l="1"/>
  <c r="L399" i="71" s="1"/>
  <c r="M400" i="71" l="1"/>
  <c r="L400" i="71" s="1"/>
  <c r="M401" i="71" l="1"/>
  <c r="L401" i="71" s="1"/>
  <c r="M402" i="71" l="1"/>
  <c r="L402" i="71" s="1"/>
  <c r="M403" i="71" l="1"/>
  <c r="L403" i="71" s="1"/>
  <c r="M404" i="71" l="1"/>
  <c r="L404" i="71" s="1"/>
  <c r="M405" i="71" l="1"/>
  <c r="L405" i="71" s="1"/>
  <c r="M406" i="71" l="1"/>
  <c r="L406" i="71" s="1"/>
  <c r="M407" i="71" l="1"/>
  <c r="L407" i="71" s="1"/>
  <c r="M408" i="71" l="1"/>
  <c r="L408" i="71" s="1"/>
  <c r="M409" i="71" l="1"/>
  <c r="L409" i="71" s="1"/>
  <c r="M410" i="71" l="1"/>
  <c r="L410" i="71" s="1"/>
  <c r="M411" i="71" l="1"/>
  <c r="L411" i="71" s="1"/>
  <c r="M412" i="71" l="1"/>
  <c r="L412" i="71" s="1"/>
  <c r="M413" i="71" l="1"/>
  <c r="L413" i="71" s="1"/>
  <c r="M414" i="71" l="1"/>
  <c r="L414" i="71" s="1"/>
  <c r="M415" i="71" l="1"/>
  <c r="L415" i="71" s="1"/>
  <c r="M416" i="71" l="1"/>
  <c r="L416" i="71" s="1"/>
  <c r="M417" i="71" l="1"/>
  <c r="L417" i="71" s="1"/>
  <c r="M418" i="71" l="1"/>
  <c r="L418" i="71" s="1"/>
  <c r="M419" i="71" l="1"/>
  <c r="L419" i="71" s="1"/>
  <c r="M420" i="71" l="1"/>
  <c r="L420" i="71" s="1"/>
  <c r="M421" i="71" l="1"/>
  <c r="L421" i="71" s="1"/>
  <c r="M422" i="71" l="1"/>
  <c r="L422" i="71" s="1"/>
  <c r="M423" i="71" l="1"/>
  <c r="L423" i="71" s="1"/>
  <c r="M424" i="71" l="1"/>
  <c r="L424" i="71" s="1"/>
  <c r="M425" i="71" l="1"/>
  <c r="L425" i="71" s="1"/>
  <c r="M426" i="71" l="1"/>
  <c r="L426" i="71" s="1"/>
  <c r="M427" i="71" l="1"/>
  <c r="L427" i="71" s="1"/>
  <c r="M428" i="71" l="1"/>
  <c r="L428" i="71" s="1"/>
  <c r="M429" i="71" l="1"/>
  <c r="L429" i="71" s="1"/>
  <c r="M430" i="71" l="1"/>
  <c r="L430" i="71" s="1"/>
  <c r="M431" i="71" l="1"/>
  <c r="L431" i="71" s="1"/>
  <c r="M432" i="71" l="1"/>
  <c r="L432" i="71" s="1"/>
  <c r="M433" i="71" l="1"/>
  <c r="L433" i="71" s="1"/>
  <c r="M434" i="71" l="1"/>
  <c r="L434" i="71" s="1"/>
  <c r="M435" i="71" l="1"/>
  <c r="L435" i="71" s="1"/>
  <c r="M436" i="71" l="1"/>
  <c r="L436" i="71" s="1"/>
  <c r="M437" i="71" l="1"/>
  <c r="L437" i="71" s="1"/>
  <c r="M438" i="71" l="1"/>
  <c r="L438" i="71" s="1"/>
  <c r="M439" i="71" l="1"/>
  <c r="L439" i="71" s="1"/>
  <c r="M440" i="71" l="1"/>
  <c r="L440" i="71" s="1"/>
  <c r="M441" i="71" l="1"/>
  <c r="L441" i="71" s="1"/>
  <c r="M442" i="71" l="1"/>
  <c r="L442" i="71" s="1"/>
  <c r="M443" i="71" l="1"/>
  <c r="L443" i="71" s="1"/>
  <c r="M444" i="71" l="1"/>
  <c r="L444" i="71" s="1"/>
  <c r="M445" i="71" l="1"/>
  <c r="L445" i="71" s="1"/>
  <c r="M446" i="71" l="1"/>
  <c r="L446" i="71" s="1"/>
  <c r="M447" i="71" l="1"/>
  <c r="L447" i="71" s="1"/>
  <c r="M448" i="71" l="1"/>
  <c r="L448" i="71" s="1"/>
  <c r="M449" i="71" l="1"/>
  <c r="L449" i="71" s="1"/>
  <c r="M450" i="71" l="1"/>
  <c r="L450" i="71" s="1"/>
  <c r="M451" i="71" l="1"/>
  <c r="L451" i="71" s="1"/>
  <c r="M452" i="71" l="1"/>
  <c r="L452" i="71" s="1"/>
  <c r="M453" i="71" l="1"/>
  <c r="L453" i="71" s="1"/>
  <c r="M454" i="71" l="1"/>
  <c r="L454" i="71" s="1"/>
  <c r="M455" i="71" l="1"/>
  <c r="L455" i="71" s="1"/>
  <c r="M456" i="71" l="1"/>
  <c r="L456" i="71" s="1"/>
  <c r="M457" i="71" l="1"/>
  <c r="L457" i="71" s="1"/>
  <c r="M458" i="71" l="1"/>
  <c r="L458" i="71" s="1"/>
  <c r="M459" i="71" l="1"/>
  <c r="L459" i="71" s="1"/>
  <c r="M460" i="71" l="1"/>
  <c r="L460" i="71" s="1"/>
  <c r="M461" i="71" l="1"/>
  <c r="L461" i="71" s="1"/>
  <c r="M462" i="71" l="1"/>
  <c r="L462" i="71" s="1"/>
  <c r="M463" i="71" l="1"/>
  <c r="L463" i="71" s="1"/>
  <c r="M464" i="71" l="1"/>
  <c r="L464" i="71" s="1"/>
  <c r="M465" i="71" l="1"/>
  <c r="L465" i="71" s="1"/>
  <c r="M466" i="71" l="1"/>
  <c r="L466" i="71" s="1"/>
  <c r="M467" i="71" l="1"/>
  <c r="L467" i="71" s="1"/>
  <c r="M468" i="71" l="1"/>
  <c r="L468" i="71" s="1"/>
  <c r="M469" i="71" l="1"/>
  <c r="L469" i="71" s="1"/>
  <c r="M470" i="71" l="1"/>
  <c r="L470" i="71" s="1"/>
  <c r="M471" i="71" l="1"/>
  <c r="L471" i="71" s="1"/>
  <c r="M472" i="71" l="1"/>
  <c r="L472" i="71" s="1"/>
  <c r="M473" i="71" l="1"/>
  <c r="L473" i="71" s="1"/>
  <c r="M474" i="71" l="1"/>
  <c r="L474" i="71" s="1"/>
  <c r="M475" i="71" l="1"/>
  <c r="L475" i="71" s="1"/>
  <c r="M476" i="71" l="1"/>
  <c r="L476" i="71" s="1"/>
  <c r="M477" i="71" l="1"/>
  <c r="L477" i="71" s="1"/>
  <c r="M478" i="71" l="1"/>
  <c r="L478" i="71" s="1"/>
  <c r="M479" i="71" l="1"/>
  <c r="L479" i="71" s="1"/>
  <c r="M480" i="71" l="1"/>
  <c r="L480" i="71" s="1"/>
  <c r="M481" i="71" l="1"/>
  <c r="L481" i="71" s="1"/>
  <c r="M482" i="71" l="1"/>
  <c r="L482" i="71" s="1"/>
  <c r="M483" i="71" l="1"/>
  <c r="L483" i="71" s="1"/>
  <c r="M484" i="71" l="1"/>
  <c r="L484" i="71" s="1"/>
  <c r="M485" i="71" l="1"/>
  <c r="L485" i="71" s="1"/>
  <c r="M486" i="71" l="1"/>
  <c r="L486" i="71" s="1"/>
  <c r="M487" i="71" l="1"/>
  <c r="L487" i="71" s="1"/>
  <c r="M488" i="71" l="1"/>
  <c r="L488" i="71" s="1"/>
  <c r="M489" i="71" l="1"/>
  <c r="L489" i="71" s="1"/>
  <c r="M490" i="71" l="1"/>
  <c r="L490" i="71" s="1"/>
  <c r="M491" i="71" l="1"/>
  <c r="L491" i="71" s="1"/>
  <c r="M492" i="71" l="1"/>
  <c r="L492" i="71" s="1"/>
  <c r="M493" i="71" l="1"/>
  <c r="L493" i="71" s="1"/>
  <c r="M494" i="71" l="1"/>
  <c r="L494" i="71" s="1"/>
  <c r="M495" i="71" l="1"/>
  <c r="M496" i="71" s="1"/>
  <c r="M497" i="71" l="1"/>
  <c r="L495" i="71"/>
  <c r="L496" i="71" s="1"/>
  <c r="L497" i="71" l="1"/>
  <c r="M498" i="71"/>
  <c r="L498" i="71" l="1"/>
  <c r="M499" i="71"/>
  <c r="L499" i="71" l="1"/>
  <c r="M500" i="71"/>
  <c r="L500" i="71" l="1"/>
  <c r="M501" i="71"/>
  <c r="L501" i="71" l="1"/>
  <c r="M502" i="71"/>
  <c r="L502" i="71" l="1"/>
  <c r="M503" i="71"/>
  <c r="L503" i="71" l="1"/>
  <c r="M504" i="71"/>
  <c r="L504" i="71" l="1"/>
  <c r="M505" i="71"/>
  <c r="L505" i="71" l="1"/>
  <c r="M506" i="71"/>
  <c r="L506" i="71" l="1"/>
  <c r="M507" i="71"/>
  <c r="L507" i="71" l="1"/>
  <c r="M508" i="71"/>
  <c r="L508" i="71" l="1"/>
  <c r="M509" i="71"/>
  <c r="L509" i="71" l="1"/>
  <c r="M510" i="71"/>
  <c r="L510" i="71" l="1"/>
  <c r="M511" i="71"/>
  <c r="L511" i="71" l="1"/>
  <c r="M512" i="71"/>
  <c r="L512" i="71" l="1"/>
  <c r="M513" i="71"/>
  <c r="L513" i="71" l="1"/>
  <c r="M514" i="71"/>
  <c r="L514" i="71" l="1"/>
  <c r="M515" i="71"/>
  <c r="L515" i="71" l="1"/>
  <c r="M516" i="71"/>
  <c r="L516" i="71" l="1"/>
  <c r="M517" i="71"/>
  <c r="L517" i="71" l="1"/>
  <c r="M518" i="71"/>
  <c r="L518" i="71" l="1"/>
  <c r="M519" i="71"/>
  <c r="L519" i="71" l="1"/>
  <c r="M520" i="71"/>
  <c r="L520" i="71" l="1"/>
  <c r="M521" i="71"/>
  <c r="L521" i="71" l="1"/>
  <c r="M522" i="71"/>
  <c r="L522" i="71" l="1"/>
  <c r="M523" i="71"/>
  <c r="L523" i="71" l="1"/>
  <c r="M524" i="71"/>
  <c r="L524" i="71" l="1"/>
  <c r="M525" i="71"/>
  <c r="L525" i="71" l="1"/>
  <c r="M526" i="71"/>
  <c r="L526" i="71" l="1"/>
  <c r="M527" i="71"/>
  <c r="L527" i="71" l="1"/>
  <c r="M528" i="71"/>
  <c r="L528" i="71" l="1"/>
  <c r="M529" i="71"/>
  <c r="L529" i="71" l="1"/>
  <c r="M530" i="71"/>
  <c r="L530" i="71" l="1"/>
  <c r="M531" i="71"/>
  <c r="L531" i="71" l="1"/>
  <c r="M532" i="71"/>
  <c r="L532" i="71" l="1"/>
  <c r="M533" i="71"/>
  <c r="L533" i="71" l="1"/>
  <c r="M534" i="71"/>
  <c r="L534" i="71" l="1"/>
  <c r="M535" i="71"/>
  <c r="L535" i="71" l="1"/>
  <c r="M536" i="71"/>
  <c r="L536" i="71" l="1"/>
  <c r="M537" i="71"/>
  <c r="L537" i="71" l="1"/>
  <c r="M538" i="71"/>
  <c r="L538" i="71" l="1"/>
  <c r="M539" i="71"/>
  <c r="L539" i="71" l="1"/>
  <c r="M540" i="71"/>
  <c r="L540" i="71" l="1"/>
  <c r="M541" i="71"/>
  <c r="L541" i="71" l="1"/>
  <c r="M542" i="71"/>
  <c r="L542" i="71" l="1"/>
  <c r="M543" i="71"/>
  <c r="L543" i="71" l="1"/>
  <c r="M544" i="71"/>
  <c r="L544" i="71" l="1"/>
  <c r="M545" i="71"/>
  <c r="L545" i="71" l="1"/>
  <c r="M546" i="71"/>
  <c r="L546" i="71" l="1"/>
  <c r="M547" i="71"/>
  <c r="L547" i="71" l="1"/>
  <c r="M548" i="71"/>
  <c r="L548" i="71" l="1"/>
  <c r="M549" i="71"/>
  <c r="L549" i="71" l="1"/>
  <c r="M550" i="71"/>
  <c r="L550" i="71" l="1"/>
  <c r="M551" i="71"/>
  <c r="L551" i="71" l="1"/>
  <c r="M552" i="71"/>
  <c r="L552" i="71" l="1"/>
  <c r="M553" i="71"/>
  <c r="L553" i="71" l="1"/>
  <c r="M554" i="71"/>
  <c r="L554" i="71" l="1"/>
  <c r="M555" i="71"/>
  <c r="L555" i="71" l="1"/>
  <c r="M556" i="71"/>
  <c r="L556" i="71" l="1"/>
  <c r="M557" i="71"/>
  <c r="L557" i="71" l="1"/>
  <c r="M558" i="71"/>
  <c r="L558" i="71" l="1"/>
  <c r="M559" i="71"/>
  <c r="L559" i="71" l="1"/>
  <c r="M560" i="71"/>
  <c r="L560" i="71" l="1"/>
  <c r="M561" i="71"/>
  <c r="L561" i="71" l="1"/>
  <c r="M562" i="71"/>
  <c r="L562" i="71" l="1"/>
  <c r="M563" i="71"/>
  <c r="L563" i="71" l="1"/>
  <c r="M564" i="71"/>
  <c r="L564" i="71" l="1"/>
  <c r="M565" i="71"/>
  <c r="L565" i="71" l="1"/>
  <c r="M566" i="71"/>
  <c r="L566" i="71" l="1"/>
  <c r="M567" i="71"/>
  <c r="L567" i="71" l="1"/>
  <c r="M568" i="71"/>
  <c r="L568" i="71" l="1"/>
  <c r="M569" i="71"/>
  <c r="L569" i="71" l="1"/>
  <c r="M570" i="71"/>
  <c r="L570" i="71" l="1"/>
  <c r="M571" i="71"/>
  <c r="L571" i="71" l="1"/>
  <c r="M572" i="71"/>
  <c r="L572" i="71" l="1"/>
  <c r="M573" i="71"/>
  <c r="L573" i="71" l="1"/>
  <c r="M574" i="71"/>
  <c r="L574" i="71" l="1"/>
  <c r="M575" i="71"/>
  <c r="L575" i="71" l="1"/>
  <c r="M576" i="71"/>
  <c r="L576" i="71" l="1"/>
  <c r="M577" i="71"/>
  <c r="L577" i="71" l="1"/>
  <c r="M578" i="71"/>
  <c r="L578" i="71" l="1"/>
  <c r="M579" i="71"/>
  <c r="L579" i="71" l="1"/>
  <c r="M580" i="71"/>
  <c r="L580" i="71" l="1"/>
  <c r="M581" i="71"/>
  <c r="L581" i="71" l="1"/>
  <c r="M582" i="71"/>
  <c r="L582" i="71" l="1"/>
  <c r="M583" i="71"/>
  <c r="L583" i="71" l="1"/>
  <c r="M584" i="71"/>
  <c r="L584" i="71" l="1"/>
  <c r="M585" i="71"/>
  <c r="L585" i="71" l="1"/>
  <c r="M586" i="71"/>
  <c r="L586" i="71" l="1"/>
  <c r="M587" i="71"/>
  <c r="L587" i="71" l="1"/>
  <c r="M588" i="71"/>
  <c r="L588" i="71" l="1"/>
  <c r="M589" i="71"/>
  <c r="L589" i="71" l="1"/>
  <c r="M590" i="71"/>
  <c r="L590" i="71" l="1"/>
  <c r="M591" i="71"/>
  <c r="L591" i="71" l="1"/>
  <c r="M592" i="71"/>
  <c r="L592" i="71" l="1"/>
  <c r="M593" i="71"/>
  <c r="L593" i="71" l="1"/>
  <c r="M594" i="71"/>
  <c r="L594" i="71" l="1"/>
  <c r="M595" i="71"/>
  <c r="L595" i="71" l="1"/>
  <c r="M596" i="71"/>
  <c r="L596" i="71" l="1"/>
  <c r="M597" i="71"/>
  <c r="L597" i="71" l="1"/>
  <c r="M598" i="71"/>
  <c r="L598" i="71" l="1"/>
  <c r="M599" i="71"/>
  <c r="L599" i="71" l="1"/>
  <c r="M600" i="71"/>
  <c r="L600" i="71" l="1"/>
  <c r="M601" i="71"/>
  <c r="L601" i="71" l="1"/>
  <c r="M602" i="71"/>
  <c r="L602" i="71" l="1"/>
  <c r="M603" i="71"/>
  <c r="L603" i="71" l="1"/>
  <c r="M604" i="71"/>
  <c r="L604" i="71" l="1"/>
  <c r="M605" i="71"/>
  <c r="L605" i="71" l="1"/>
  <c r="M606" i="71"/>
  <c r="L606" i="71" l="1"/>
  <c r="M607" i="71"/>
  <c r="L607" i="71" l="1"/>
  <c r="M608" i="71"/>
  <c r="L608" i="71" l="1"/>
  <c r="M609" i="71"/>
  <c r="L609" i="71" l="1"/>
  <c r="M610" i="71"/>
  <c r="L610" i="71" l="1"/>
  <c r="M611" i="71"/>
  <c r="L611" i="71" l="1"/>
  <c r="M612" i="71"/>
  <c r="L612" i="71" l="1"/>
  <c r="M613" i="71"/>
  <c r="L613" i="71" l="1"/>
  <c r="M614" i="71"/>
  <c r="L614" i="71" l="1"/>
  <c r="M615" i="71"/>
  <c r="L615" i="71" l="1"/>
  <c r="M616" i="71"/>
  <c r="L616" i="71" l="1"/>
  <c r="M617" i="71"/>
  <c r="L617" i="71" l="1"/>
  <c r="M618" i="71"/>
  <c r="L618" i="71" l="1"/>
  <c r="M619" i="71"/>
  <c r="L619" i="71" l="1"/>
  <c r="M620" i="71"/>
  <c r="L620" i="71" l="1"/>
  <c r="M621" i="71"/>
  <c r="L621" i="71" l="1"/>
  <c r="M622" i="71"/>
  <c r="L622" i="71" l="1"/>
  <c r="M623" i="71"/>
  <c r="L623" i="71" l="1"/>
  <c r="M624" i="71"/>
  <c r="L624" i="71" l="1"/>
  <c r="M625" i="71"/>
  <c r="L625" i="71" l="1"/>
  <c r="M626" i="71"/>
  <c r="L626" i="71" l="1"/>
  <c r="M627" i="71"/>
  <c r="L627" i="71" l="1"/>
  <c r="M628" i="71"/>
  <c r="L628" i="71" l="1"/>
  <c r="M629" i="71"/>
  <c r="L629" i="71" l="1"/>
  <c r="M630" i="71"/>
  <c r="R19" i="67"/>
  <c r="I27" i="66" s="1"/>
  <c r="H9" i="67"/>
  <c r="H8" i="67"/>
  <c r="H7" i="67"/>
  <c r="E20" i="67"/>
  <c r="D20" i="67"/>
  <c r="C20" i="67"/>
  <c r="H19" i="67"/>
  <c r="F19" i="67"/>
  <c r="G19" i="67" s="1"/>
  <c r="H18" i="67"/>
  <c r="F18" i="67"/>
  <c r="G18" i="67" s="1"/>
  <c r="H17" i="67"/>
  <c r="F17" i="67"/>
  <c r="G17" i="67" s="1"/>
  <c r="R11" i="67"/>
  <c r="R10" i="67"/>
  <c r="R8" i="67"/>
  <c r="J10" i="67"/>
  <c r="D10" i="67"/>
  <c r="C10" i="67"/>
  <c r="E9" i="67"/>
  <c r="F9" i="67" s="1"/>
  <c r="E8" i="67"/>
  <c r="F8" i="67" s="1"/>
  <c r="E7"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L630" i="71" l="1"/>
  <c r="M631" i="71"/>
  <c r="H10" i="67"/>
  <c r="H20" i="67"/>
  <c r="I19" i="67"/>
  <c r="I17" i="67"/>
  <c r="F20" i="67"/>
  <c r="I20" i="67" s="1"/>
  <c r="I18" i="67"/>
  <c r="M19" i="67"/>
  <c r="G9" i="67" s="1"/>
  <c r="I9" i="67" s="1"/>
  <c r="K9" i="67" s="1"/>
  <c r="L19" i="67"/>
  <c r="K19" i="67"/>
  <c r="J19" i="67"/>
  <c r="M17" i="67"/>
  <c r="G7" i="67" s="1"/>
  <c r="L17" i="67"/>
  <c r="K17" i="67"/>
  <c r="G20" i="67"/>
  <c r="J17" i="67"/>
  <c r="M18" i="67"/>
  <c r="G8" i="67" s="1"/>
  <c r="I8" i="67" s="1"/>
  <c r="K8" i="67" s="1"/>
  <c r="L18" i="67"/>
  <c r="K18" i="67"/>
  <c r="J18" i="67"/>
  <c r="R12" i="67"/>
  <c r="F7" i="67"/>
  <c r="R13" i="67" s="1"/>
  <c r="R16" i="67" s="1"/>
  <c r="E10" i="67"/>
  <c r="I3" i="66"/>
  <c r="Z25" i="57"/>
  <c r="AF25" i="57"/>
  <c r="AC25" i="57"/>
  <c r="W25" i="57"/>
  <c r="T25" i="57"/>
  <c r="Q25" i="57"/>
  <c r="N25" i="57"/>
  <c r="K25" i="57"/>
  <c r="H25" i="57"/>
  <c r="E25" i="57"/>
  <c r="B25" i="57"/>
  <c r="L631" i="71" l="1"/>
  <c r="M632" i="71"/>
  <c r="I7" i="67"/>
  <c r="K7" i="67" s="1"/>
  <c r="K10" i="67" s="1"/>
  <c r="G10" i="67"/>
  <c r="M20" i="67"/>
  <c r="L20" i="67"/>
  <c r="K20" i="67"/>
  <c r="J20" i="67"/>
  <c r="F10" i="67"/>
  <c r="R17" i="67"/>
  <c r="R15" i="67"/>
  <c r="J15" i="4"/>
  <c r="K15" i="4" s="1"/>
  <c r="R15" i="1"/>
  <c r="L632" i="71" l="1"/>
  <c r="M633" i="71"/>
  <c r="I10" i="67"/>
  <c r="R7" i="67"/>
  <c r="H41" i="65"/>
  <c r="E26" i="37"/>
  <c r="F4" i="13"/>
  <c r="F29" i="20"/>
  <c r="G29" i="20" s="1"/>
  <c r="M16" i="16"/>
  <c r="N16" i="16" s="1"/>
  <c r="E12" i="16"/>
  <c r="E11" i="16"/>
  <c r="E10" i="16"/>
  <c r="E8" i="16"/>
  <c r="G7" i="18"/>
  <c r="G6" i="18"/>
  <c r="R11" i="1"/>
  <c r="R12" i="1"/>
  <c r="L633" i="71" l="1"/>
  <c r="M634" i="71"/>
  <c r="R9" i="67"/>
  <c r="F17" i="1"/>
  <c r="E17" i="1"/>
  <c r="D17" i="1"/>
  <c r="O5" i="71" l="1"/>
  <c r="Q6" i="71" s="1"/>
  <c r="Q9" i="71" s="1"/>
  <c r="I23" i="66"/>
  <c r="L634" i="71"/>
  <c r="M635" i="71"/>
  <c r="R6" i="71"/>
  <c r="R9" i="71" s="1"/>
  <c r="M64" i="1"/>
  <c r="G14" i="1"/>
  <c r="F8" i="3"/>
  <c r="G8" i="3" s="1"/>
  <c r="F19" i="3"/>
  <c r="F18" i="3"/>
  <c r="F17" i="3"/>
  <c r="F16" i="3"/>
  <c r="F15" i="3"/>
  <c r="F14" i="3"/>
  <c r="F13" i="3"/>
  <c r="F12" i="3"/>
  <c r="F11" i="3"/>
  <c r="F10" i="3"/>
  <c r="F9" i="3"/>
  <c r="J1" i="35"/>
  <c r="K1" i="18"/>
  <c r="K1" i="3"/>
  <c r="O1" i="4"/>
  <c r="K2" i="6"/>
  <c r="L2" i="20"/>
  <c r="K5" i="22"/>
  <c r="J4" i="15"/>
  <c r="I3" i="21"/>
  <c r="A9" i="1"/>
  <c r="P6" i="71" l="1"/>
  <c r="P9" i="71" s="1"/>
  <c r="P5" i="71"/>
  <c r="Q5" i="71"/>
  <c r="R5" i="71"/>
  <c r="L635" i="71"/>
  <c r="M636" i="71"/>
  <c r="O6" i="71"/>
  <c r="J58" i="1"/>
  <c r="M65" i="1" s="1"/>
  <c r="O20" i="71" l="1"/>
  <c r="X20" i="71" s="1"/>
  <c r="O21" i="71" s="1"/>
  <c r="X21" i="71" s="1"/>
  <c r="B10" i="66"/>
  <c r="L636" i="71"/>
  <c r="M637" i="71"/>
  <c r="O9" i="71"/>
  <c r="V8" i="71"/>
  <c r="D14" i="1"/>
  <c r="I52" i="33"/>
  <c r="B37" i="33"/>
  <c r="C37" i="33" s="1"/>
  <c r="B24" i="33"/>
  <c r="Q15" i="1"/>
  <c r="Q12" i="1"/>
  <c r="Q11" i="1"/>
  <c r="F5" i="58"/>
  <c r="F12" i="58"/>
  <c r="F11" i="58"/>
  <c r="F10" i="58"/>
  <c r="F9" i="58"/>
  <c r="J2" i="58"/>
  <c r="G8" i="58" s="1"/>
  <c r="AD20" i="71" l="1"/>
  <c r="AE20" i="71" s="1"/>
  <c r="AD21" i="71" s="1"/>
  <c r="AE21" i="71" s="1"/>
  <c r="AC3" i="71"/>
  <c r="B12" i="66"/>
  <c r="O22" i="71"/>
  <c r="X22" i="71" s="1"/>
  <c r="L637" i="71"/>
  <c r="M638" i="7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O23" i="71" l="1"/>
  <c r="X23" i="71" s="1"/>
  <c r="AD22" i="71"/>
  <c r="AE22" i="71" s="1"/>
  <c r="L638" i="71"/>
  <c r="M639" i="71"/>
  <c r="B11" i="66"/>
  <c r="Q16" i="1"/>
  <c r="R16" i="1"/>
  <c r="AD23" i="71" l="1"/>
  <c r="AE23" i="71" s="1"/>
  <c r="O24" i="71"/>
  <c r="X24" i="71" s="1"/>
  <c r="L639" i="71"/>
  <c r="M640" i="71"/>
  <c r="E3" i="4"/>
  <c r="F9" i="22"/>
  <c r="G9" i="22" s="1"/>
  <c r="G8" i="22"/>
  <c r="F7" i="22"/>
  <c r="G7" i="22" s="1"/>
  <c r="F6" i="22"/>
  <c r="G6" i="22" s="1"/>
  <c r="F5" i="22"/>
  <c r="G5" i="22" s="1"/>
  <c r="E7" i="15"/>
  <c r="F7" i="15" s="1"/>
  <c r="E6" i="15"/>
  <c r="F6" i="15" s="1"/>
  <c r="E5" i="15"/>
  <c r="F5" i="15" s="1"/>
  <c r="G8" i="15"/>
  <c r="O25" i="71" l="1"/>
  <c r="X25" i="71" s="1"/>
  <c r="AD24" i="71"/>
  <c r="AE24" i="71" s="1"/>
  <c r="L640" i="71"/>
  <c r="M641" i="71"/>
  <c r="F19" i="21"/>
  <c r="J4" i="4"/>
  <c r="K4" i="4" s="1"/>
  <c r="J5" i="4"/>
  <c r="K5" i="4" s="1"/>
  <c r="J8" i="4"/>
  <c r="J7" i="4"/>
  <c r="K7" i="4" s="1"/>
  <c r="J6" i="4"/>
  <c r="K6" i="4" s="1"/>
  <c r="E8" i="4"/>
  <c r="H10" i="22"/>
  <c r="F13" i="21"/>
  <c r="F15" i="21"/>
  <c r="F8" i="21"/>
  <c r="F16" i="21"/>
  <c r="F14" i="21"/>
  <c r="F17" i="21"/>
  <c r="F7" i="21"/>
  <c r="F10" i="21"/>
  <c r="F18" i="21"/>
  <c r="F5" i="21"/>
  <c r="F11" i="21"/>
  <c r="F4" i="21"/>
  <c r="F6" i="21"/>
  <c r="F3" i="21"/>
  <c r="O26" i="71" l="1"/>
  <c r="X26" i="71" s="1"/>
  <c r="AD25" i="71"/>
  <c r="AE25" i="71" s="1"/>
  <c r="L641" i="71"/>
  <c r="M642" i="71"/>
  <c r="G5" i="21"/>
  <c r="L9" i="4"/>
  <c r="O27" i="71" l="1"/>
  <c r="X27" i="71" s="1"/>
  <c r="AD26" i="71"/>
  <c r="AE26" i="71" s="1"/>
  <c r="L642" i="71"/>
  <c r="M643" i="71"/>
  <c r="F47" i="1"/>
  <c r="F16" i="1"/>
  <c r="E15" i="1"/>
  <c r="D15" i="1"/>
  <c r="B1" i="1"/>
  <c r="C1" i="1"/>
  <c r="D1" i="1"/>
  <c r="B6" i="1" l="1"/>
  <c r="O28" i="71"/>
  <c r="X28" i="71" s="1"/>
  <c r="AD27" i="71"/>
  <c r="AE27" i="71" s="1"/>
  <c r="L643" i="71"/>
  <c r="M644" i="71"/>
  <c r="C22" i="1"/>
  <c r="J22" i="1" s="1"/>
  <c r="G8" i="1"/>
  <c r="F22" i="1"/>
  <c r="B60" i="1"/>
  <c r="O29" i="71" l="1"/>
  <c r="X29" i="71" s="1"/>
  <c r="AD28" i="71"/>
  <c r="AE28" i="71" s="1"/>
  <c r="L644" i="71"/>
  <c r="M645" i="71"/>
  <c r="C44" i="1"/>
  <c r="E84" i="1"/>
  <c r="H85" i="1"/>
  <c r="D85" i="1"/>
  <c r="B19" i="1"/>
  <c r="AD29" i="71" l="1"/>
  <c r="AE29" i="71" s="1"/>
  <c r="O30" i="71"/>
  <c r="X30" i="71" s="1"/>
  <c r="L645" i="71"/>
  <c r="M646" i="71"/>
  <c r="I24" i="66"/>
  <c r="I25" i="66"/>
  <c r="G7" i="1"/>
  <c r="E10" i="1" s="1"/>
  <c r="G6" i="1"/>
  <c r="F19" i="1"/>
  <c r="O31" i="71" l="1"/>
  <c r="AD30" i="71"/>
  <c r="AE30" i="71" s="1"/>
  <c r="L646" i="71"/>
  <c r="M647" i="71"/>
  <c r="C11" i="62"/>
  <c r="C9" i="62"/>
  <c r="C8" i="62"/>
  <c r="C7" i="62"/>
  <c r="C10" i="62"/>
  <c r="C5" i="62"/>
  <c r="C4" i="62"/>
  <c r="C3" i="62"/>
  <c r="S31" i="71" l="1"/>
  <c r="Q31" i="71" s="1"/>
  <c r="L647" i="71"/>
  <c r="M648" i="71"/>
  <c r="C6" i="62"/>
  <c r="AB31" i="71" l="1"/>
  <c r="AC31" i="71" s="1"/>
  <c r="T31" i="71"/>
  <c r="R31" i="71"/>
  <c r="Z31" i="71"/>
  <c r="L648" i="71"/>
  <c r="M649" i="71"/>
  <c r="E13" i="59"/>
  <c r="U31" i="71" l="1"/>
  <c r="V31" i="71" s="1"/>
  <c r="W31" i="71"/>
  <c r="X31" i="71"/>
  <c r="L649" i="71"/>
  <c r="M650" i="71"/>
  <c r="H13" i="59"/>
  <c r="AD31" i="71" l="1"/>
  <c r="AE31" i="71" s="1"/>
  <c r="O32" i="71"/>
  <c r="L650" i="71"/>
  <c r="M651" i="71"/>
  <c r="A20" i="37"/>
  <c r="G20" i="37"/>
  <c r="H20" i="37" s="1"/>
  <c r="E3" i="59"/>
  <c r="C4" i="59"/>
  <c r="J48" i="4"/>
  <c r="J47" i="4"/>
  <c r="E25" i="16"/>
  <c r="D83" i="1"/>
  <c r="D81" i="1"/>
  <c r="D82" i="1" s="1"/>
  <c r="E81" i="1"/>
  <c r="E82" i="1" s="1"/>
  <c r="E83"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S32" i="71" l="1"/>
  <c r="Q32" i="71" s="1"/>
  <c r="L651" i="71"/>
  <c r="M652" i="71"/>
  <c r="G6" i="20"/>
  <c r="H44" i="1"/>
  <c r="J44" i="1"/>
  <c r="C13" i="59"/>
  <c r="I14" i="59"/>
  <c r="F14" i="59"/>
  <c r="C14" i="59"/>
  <c r="L3" i="59"/>
  <c r="M4" i="59" s="1"/>
  <c r="I13" i="59" s="1"/>
  <c r="H3" i="59"/>
  <c r="I4" i="59" s="1"/>
  <c r="F4" i="59"/>
  <c r="F13" i="59" s="1"/>
  <c r="D27" i="1"/>
  <c r="F76"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Z32" i="71" l="1"/>
  <c r="R32" i="71"/>
  <c r="T32" i="71"/>
  <c r="AB32" i="71"/>
  <c r="L652" i="71"/>
  <c r="M653" i="71"/>
  <c r="G24" i="58"/>
  <c r="G16" i="37" s="1"/>
  <c r="H16" i="37" s="1"/>
  <c r="N16" i="37" s="1"/>
  <c r="B31" i="1"/>
  <c r="B39" i="1"/>
  <c r="B33" i="1"/>
  <c r="B38" i="1"/>
  <c r="B37" i="1"/>
  <c r="B41" i="1"/>
  <c r="B32" i="1"/>
  <c r="K32" i="1" s="1"/>
  <c r="B35" i="1"/>
  <c r="B40" i="1"/>
  <c r="B34" i="1"/>
  <c r="B36" i="1"/>
  <c r="J16" i="59"/>
  <c r="G16" i="59"/>
  <c r="K14" i="59"/>
  <c r="D16" i="59"/>
  <c r="K13" i="59"/>
  <c r="N6" i="59"/>
  <c r="C6" i="53"/>
  <c r="C11" i="53"/>
  <c r="C10" i="53"/>
  <c r="C9" i="53"/>
  <c r="C8" i="53"/>
  <c r="C5" i="53"/>
  <c r="C4" i="53"/>
  <c r="C3" i="53"/>
  <c r="D20" i="1"/>
  <c r="AC32" i="71" l="1"/>
  <c r="K9" i="1"/>
  <c r="U32" i="71"/>
  <c r="V32" i="71" s="1"/>
  <c r="W32" i="71"/>
  <c r="X32" i="71"/>
  <c r="L653" i="71"/>
  <c r="M654" i="71"/>
  <c r="K39" i="1"/>
  <c r="J39" i="1"/>
  <c r="K35" i="1"/>
  <c r="J35" i="1"/>
  <c r="K17" i="59"/>
  <c r="B29" i="1" s="1"/>
  <c r="J29" i="1" s="1"/>
  <c r="B42" i="1"/>
  <c r="J34" i="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2" i="1"/>
  <c r="B53" i="1" s="1"/>
  <c r="F53" i="1" s="1"/>
  <c r="D91" i="1"/>
  <c r="B52" i="1" s="1"/>
  <c r="D52" i="1" s="1"/>
  <c r="F51" i="1"/>
  <c r="D46" i="1"/>
  <c r="D26" i="1"/>
  <c r="H18" i="1"/>
  <c r="J16" i="1"/>
  <c r="O33" i="71" l="1"/>
  <c r="AD32" i="71"/>
  <c r="AE32" i="71" s="1"/>
  <c r="L654" i="71"/>
  <c r="M655" i="71"/>
  <c r="B21" i="1"/>
  <c r="B47" i="66" s="1"/>
  <c r="D42" i="1"/>
  <c r="C17" i="13"/>
  <c r="G20" i="21"/>
  <c r="G24" i="21" s="1"/>
  <c r="G8" i="37" s="1"/>
  <c r="H8" i="37" s="1"/>
  <c r="E11" i="9"/>
  <c r="G27" i="16"/>
  <c r="G17" i="37" s="1"/>
  <c r="H17" i="37" s="1"/>
  <c r="N17" i="37" s="1"/>
  <c r="G42" i="6"/>
  <c r="B5" i="3"/>
  <c r="B4" i="3"/>
  <c r="H17" i="18"/>
  <c r="I18" i="18" s="1"/>
  <c r="G19" i="37" s="1"/>
  <c r="H19" i="37" s="1"/>
  <c r="K23" i="4"/>
  <c r="G17" i="13"/>
  <c r="G18" i="37" s="1"/>
  <c r="H18" i="37" s="1"/>
  <c r="K34" i="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S33" i="71" l="1"/>
  <c r="Q33" i="71" s="1"/>
  <c r="L655" i="71"/>
  <c r="M656" i="71"/>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AB33" i="71" l="1"/>
  <c r="AC33" i="71" s="1"/>
  <c r="Z33" i="71"/>
  <c r="R33" i="71"/>
  <c r="T33" i="71"/>
  <c r="L656" i="71"/>
  <c r="M657" i="71"/>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U33" i="71" l="1"/>
  <c r="V33" i="71" s="1"/>
  <c r="W33" i="71"/>
  <c r="X33" i="71"/>
  <c r="L657" i="71"/>
  <c r="M658" i="71"/>
  <c r="J2" i="37"/>
  <c r="J5" i="37" s="1"/>
  <c r="B68" i="1" s="1"/>
  <c r="D68"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AD33" i="71" l="1"/>
  <c r="AE33" i="71" s="1"/>
  <c r="O34" i="71"/>
  <c r="L658" i="71"/>
  <c r="M659" i="71"/>
  <c r="D70" i="1"/>
  <c r="D71"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S34" i="71" l="1"/>
  <c r="Q34" i="71" s="1"/>
  <c r="L659" i="71"/>
  <c r="M660" i="71"/>
  <c r="B45" i="1"/>
  <c r="D45" i="1" s="1"/>
  <c r="E55"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Z34" i="71" l="1"/>
  <c r="R34" i="71"/>
  <c r="T34" i="71"/>
  <c r="AB34" i="71"/>
  <c r="AC34" i="71" s="1"/>
  <c r="L660" i="71"/>
  <c r="M661" i="71"/>
  <c r="C30" i="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U34" i="71" l="1"/>
  <c r="V34" i="71" s="1"/>
  <c r="W34" i="71"/>
  <c r="X34" i="71"/>
  <c r="L661" i="71"/>
  <c r="M662" i="71"/>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O35" i="71" l="1"/>
  <c r="AD34" i="71"/>
  <c r="AE34" i="71" s="1"/>
  <c r="L662" i="71"/>
  <c r="M663" i="71"/>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S35" i="71" l="1"/>
  <c r="Q35" i="71" s="1"/>
  <c r="L663" i="71"/>
  <c r="M664" i="7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35" i="71" l="1"/>
  <c r="AB35" i="71"/>
  <c r="AC35" i="71" s="1"/>
  <c r="R35" i="71"/>
  <c r="T35" i="71"/>
  <c r="L664" i="71"/>
  <c r="M665" i="71"/>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U35" i="71" l="1"/>
  <c r="V35" i="71" s="1"/>
  <c r="W35" i="71"/>
  <c r="X35" i="71"/>
  <c r="L665" i="71"/>
  <c r="M666" i="71"/>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O36" i="71" l="1"/>
  <c r="AD35" i="71"/>
  <c r="AE35" i="71" s="1"/>
  <c r="L666" i="71"/>
  <c r="M667" i="7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S36" i="71" l="1"/>
  <c r="Q36" i="71" s="1"/>
  <c r="L667" i="71"/>
  <c r="M668" i="71"/>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R36" i="71" l="1"/>
  <c r="T36" i="71"/>
  <c r="Z36" i="71"/>
  <c r="AB36" i="71"/>
  <c r="AC36" i="71" s="1"/>
  <c r="L668" i="71"/>
  <c r="M669" i="71"/>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U36" i="71" l="1"/>
  <c r="V36" i="71" s="1"/>
  <c r="W36" i="71"/>
  <c r="X36" i="71"/>
  <c r="L669" i="71"/>
  <c r="M670" i="7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O37" i="71" l="1"/>
  <c r="AD36" i="71"/>
  <c r="AE36" i="71" s="1"/>
  <c r="L670" i="71"/>
  <c r="M671" i="71"/>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S37" i="71" l="1"/>
  <c r="Q37" i="71" s="1"/>
  <c r="L671" i="71"/>
  <c r="M672" i="71"/>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T37" i="71" l="1"/>
  <c r="R37" i="71"/>
  <c r="Z37" i="71"/>
  <c r="AB37" i="71"/>
  <c r="AC37" i="71" s="1"/>
  <c r="L672" i="71"/>
  <c r="M673" i="7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U37" i="71" l="1"/>
  <c r="V37" i="71" s="1"/>
  <c r="W37" i="71"/>
  <c r="X37" i="71"/>
  <c r="L673" i="71"/>
  <c r="M674" i="71"/>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D37" i="71" l="1"/>
  <c r="AE37" i="71" s="1"/>
  <c r="O38" i="71"/>
  <c r="L674" i="71"/>
  <c r="M675" i="71"/>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S38" i="71" l="1"/>
  <c r="Q38" i="71" s="1"/>
  <c r="L675" i="71"/>
  <c r="M676" i="7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R38" i="71" l="1"/>
  <c r="Z38" i="71"/>
  <c r="AB38" i="71"/>
  <c r="AC38" i="71" s="1"/>
  <c r="T38" i="71"/>
  <c r="L676" i="71"/>
  <c r="M677" i="71"/>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U38" i="71" l="1"/>
  <c r="V38" i="71" s="1"/>
  <c r="W38" i="71"/>
  <c r="X38" i="71"/>
  <c r="L677" i="71"/>
  <c r="M678" i="71"/>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D38" i="71" l="1"/>
  <c r="AE38" i="71" s="1"/>
  <c r="O39" i="71"/>
  <c r="L678" i="71"/>
  <c r="M679" i="7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S39" i="71" l="1"/>
  <c r="Q39" i="71" s="1"/>
  <c r="L679" i="71"/>
  <c r="M680" i="7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B39" i="71" l="1"/>
  <c r="AC39" i="71" s="1"/>
  <c r="T39" i="71"/>
  <c r="R39" i="71"/>
  <c r="Z39" i="71"/>
  <c r="L680" i="71"/>
  <c r="M681" i="71"/>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U39" i="71" l="1"/>
  <c r="V39" i="71" s="1"/>
  <c r="W39" i="71"/>
  <c r="X39" i="71"/>
  <c r="L681" i="71"/>
  <c r="M682" i="7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D39" i="71" l="1"/>
  <c r="AE39" i="71" s="1"/>
  <c r="O40" i="71"/>
  <c r="L682" i="71"/>
  <c r="M683" i="71"/>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S40" i="71" l="1"/>
  <c r="Q40" i="71" s="1"/>
  <c r="L683" i="71"/>
  <c r="M684" i="7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Z40" i="71" l="1"/>
  <c r="R40" i="71"/>
  <c r="AB40" i="71"/>
  <c r="AC40" i="71" s="1"/>
  <c r="T40" i="71"/>
  <c r="L684" i="71"/>
  <c r="M685" i="71"/>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U40" i="71" l="1"/>
  <c r="V40" i="71" s="1"/>
  <c r="W40" i="71"/>
  <c r="X40" i="71"/>
  <c r="L685" i="71"/>
  <c r="M686" i="71"/>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O41" i="71" l="1"/>
  <c r="AD40" i="71"/>
  <c r="AE40" i="71" s="1"/>
  <c r="L686" i="71"/>
  <c r="M687" i="7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S41" i="71" l="1"/>
  <c r="Q41" i="71" s="1"/>
  <c r="L687" i="71"/>
  <c r="M688" i="7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B41" i="71" l="1"/>
  <c r="AC41" i="71" s="1"/>
  <c r="R41" i="71"/>
  <c r="T41" i="71"/>
  <c r="Z41" i="71"/>
  <c r="L688" i="71"/>
  <c r="M689" i="71"/>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U41" i="71" l="1"/>
  <c r="V41" i="71" s="1"/>
  <c r="W41" i="71"/>
  <c r="X41" i="71"/>
  <c r="L689" i="71"/>
  <c r="M690" i="71"/>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D41" i="71" l="1"/>
  <c r="AE41" i="71" s="1"/>
  <c r="O42" i="71"/>
  <c r="L690" i="71"/>
  <c r="M691" i="71"/>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S42" i="71" l="1"/>
  <c r="Q42" i="71" s="1"/>
  <c r="L691" i="71"/>
  <c r="M692" i="71"/>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Z42" i="71" l="1"/>
  <c r="R42" i="71"/>
  <c r="T42" i="71"/>
  <c r="AB42" i="71"/>
  <c r="AC42" i="71" s="1"/>
  <c r="L692" i="71"/>
  <c r="M693" i="7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U42" i="71" l="1"/>
  <c r="V42" i="71" s="1"/>
  <c r="W42" i="71"/>
  <c r="X42" i="71"/>
  <c r="L693" i="71"/>
  <c r="M694" i="7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O43" i="71" l="1"/>
  <c r="AD42" i="71"/>
  <c r="AE42" i="71" s="1"/>
  <c r="L694" i="71"/>
  <c r="M695" i="71"/>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S43" i="71" l="1"/>
  <c r="Q43" i="71" s="1"/>
  <c r="L695" i="71"/>
  <c r="M696" i="71"/>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43" i="71" l="1"/>
  <c r="AC43" i="71" s="1"/>
  <c r="R43" i="71"/>
  <c r="T43" i="71"/>
  <c r="Z43" i="71"/>
  <c r="L696" i="71"/>
  <c r="M697" i="7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U43" i="71" l="1"/>
  <c r="V43" i="71" s="1"/>
  <c r="W43" i="71"/>
  <c r="X43" i="71"/>
  <c r="L697" i="71"/>
  <c r="M698" i="71"/>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D43" i="71" l="1"/>
  <c r="AE43" i="71" s="1"/>
  <c r="O44" i="71"/>
  <c r="L698" i="71"/>
  <c r="M699" i="7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S44" i="71" l="1"/>
  <c r="Q44" i="71" s="1"/>
  <c r="L699" i="71"/>
  <c r="M700" i="7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R44" i="71" l="1"/>
  <c r="T44" i="71"/>
  <c r="Z44" i="71"/>
  <c r="AB44" i="71"/>
  <c r="AC44" i="71" s="1"/>
  <c r="L700" i="71"/>
  <c r="M701" i="7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U44" i="71" l="1"/>
  <c r="V44" i="71" s="1"/>
  <c r="W44" i="71"/>
  <c r="X44" i="71"/>
  <c r="L701" i="71"/>
  <c r="M702" i="71"/>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O45" i="71" l="1"/>
  <c r="AD44" i="71"/>
  <c r="AE44" i="71" s="1"/>
  <c r="L702" i="71"/>
  <c r="M703" i="71"/>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S45" i="71" l="1"/>
  <c r="Q45" i="71" s="1"/>
  <c r="L703" i="71"/>
  <c r="M704" i="7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T45" i="71" l="1"/>
  <c r="Z45" i="71"/>
  <c r="AB45" i="71"/>
  <c r="AC45" i="71" s="1"/>
  <c r="R45" i="71"/>
  <c r="L704" i="71"/>
  <c r="M705" i="71"/>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U45" i="71" l="1"/>
  <c r="V45" i="71" s="1"/>
  <c r="W45" i="71"/>
  <c r="X45" i="71"/>
  <c r="L705" i="71"/>
  <c r="M706" i="7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AD45" i="71" l="1"/>
  <c r="AE45" i="71" s="1"/>
  <c r="O46" i="71"/>
  <c r="L706" i="71"/>
  <c r="M707" i="71"/>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S46" i="71" l="1"/>
  <c r="Q46" i="71" s="1"/>
  <c r="L707" i="71"/>
  <c r="M708" i="71"/>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R46" i="71" l="1"/>
  <c r="T46" i="71"/>
  <c r="Z46" i="71"/>
  <c r="AB46" i="71"/>
  <c r="AC46" i="71" s="1"/>
  <c r="L708" i="71"/>
  <c r="M709" i="71"/>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U46" i="71" l="1"/>
  <c r="V46" i="71" s="1"/>
  <c r="W46" i="71"/>
  <c r="X46" i="71"/>
  <c r="L709" i="71"/>
  <c r="M710" i="71"/>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D46" i="71" l="1"/>
  <c r="AE46" i="71" s="1"/>
  <c r="O47" i="71"/>
  <c r="L710" i="71"/>
  <c r="M711" i="71"/>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S47" i="71" l="1"/>
  <c r="Q47" i="71" s="1"/>
  <c r="L711" i="71"/>
  <c r="M712" i="7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AB47" i="71" l="1"/>
  <c r="AC47" i="71" s="1"/>
  <c r="T47" i="71"/>
  <c r="R47" i="71"/>
  <c r="Z47" i="71"/>
  <c r="L712" i="71"/>
  <c r="M713" i="71"/>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U47" i="71" l="1"/>
  <c r="V47" i="71" s="1"/>
  <c r="W47" i="71"/>
  <c r="X47" i="71"/>
  <c r="L713" i="71"/>
  <c r="M714" i="7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D47" i="71" l="1"/>
  <c r="AE47" i="71" s="1"/>
  <c r="O48" i="71"/>
  <c r="L714" i="71"/>
  <c r="M715" i="7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S48" i="71" l="1"/>
  <c r="Q48" i="71" s="1"/>
  <c r="L715" i="71"/>
  <c r="M716" i="7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Z48" i="71" l="1"/>
  <c r="R48" i="71"/>
  <c r="AB48" i="71"/>
  <c r="AC48" i="71" s="1"/>
  <c r="T48" i="71"/>
  <c r="L716" i="71"/>
  <c r="M717" i="71"/>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U48" i="71" l="1"/>
  <c r="V48" i="71" s="1"/>
  <c r="W48" i="71"/>
  <c r="X48" i="71"/>
  <c r="L717" i="71"/>
  <c r="M718" i="7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AD48" i="71" l="1"/>
  <c r="AE48" i="71" s="1"/>
  <c r="O49" i="71"/>
  <c r="L718" i="71"/>
  <c r="M719" i="71"/>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S49" i="71" l="1"/>
  <c r="Q49" i="71" s="1"/>
  <c r="L719" i="71"/>
  <c r="M720" i="7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9" i="71" l="1"/>
  <c r="AC49" i="71" s="1"/>
  <c r="T49" i="71"/>
  <c r="R49" i="71"/>
  <c r="Z49" i="71"/>
  <c r="L720" i="71"/>
  <c r="M721" i="7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U49" i="71" l="1"/>
  <c r="V49" i="71" s="1"/>
  <c r="W49" i="71"/>
  <c r="X49" i="71"/>
  <c r="L721" i="71"/>
  <c r="M722" i="71"/>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O50" i="71" l="1"/>
  <c r="AD49" i="71"/>
  <c r="AE49" i="71" s="1"/>
  <c r="L722" i="71"/>
  <c r="M723" i="71"/>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S50" i="71" l="1"/>
  <c r="Q50" i="71" s="1"/>
  <c r="L723" i="71"/>
  <c r="M724" i="71"/>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Z50" i="71" l="1"/>
  <c r="AB50" i="71"/>
  <c r="AC50" i="71" s="1"/>
  <c r="R50" i="71"/>
  <c r="T50" i="71"/>
  <c r="L724" i="71"/>
  <c r="M725" i="71"/>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U50" i="71" l="1"/>
  <c r="V50" i="71" s="1"/>
  <c r="W50" i="71"/>
  <c r="X50" i="71"/>
  <c r="L725" i="71"/>
  <c r="M726" i="7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O51" i="71" l="1"/>
  <c r="AD50" i="71"/>
  <c r="AE50" i="71" s="1"/>
  <c r="L726" i="71"/>
  <c r="M727" i="7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S51" i="71" l="1"/>
  <c r="Q51" i="71" s="1"/>
  <c r="L727" i="71"/>
  <c r="M728" i="71"/>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R51" i="71" l="1"/>
  <c r="T51" i="71"/>
  <c r="Z51" i="71"/>
  <c r="AB51" i="71"/>
  <c r="AC51" i="71" s="1"/>
  <c r="L728" i="71"/>
  <c r="M729" i="7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U51" i="71" l="1"/>
  <c r="V51" i="71" s="1"/>
  <c r="W51" i="71"/>
  <c r="X51" i="71"/>
  <c r="L729" i="71"/>
  <c r="M730" i="71"/>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AD51" i="71" l="1"/>
  <c r="AE51" i="71" s="1"/>
  <c r="O52" i="71"/>
  <c r="L730" i="71"/>
  <c r="M731" i="7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S52" i="71" l="1"/>
  <c r="Q52" i="71" s="1"/>
  <c r="L731" i="71"/>
  <c r="M732" i="71"/>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Z52" i="71" l="1"/>
  <c r="R52" i="71"/>
  <c r="T52" i="71"/>
  <c r="AB52" i="71"/>
  <c r="AC52" i="71" s="1"/>
  <c r="L732" i="71"/>
  <c r="M733" i="7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U52" i="71" l="1"/>
  <c r="V52" i="71" s="1"/>
  <c r="W52" i="71"/>
  <c r="X52" i="71"/>
  <c r="L733" i="71"/>
  <c r="M734" i="71"/>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O53" i="71" l="1"/>
  <c r="AD52" i="71"/>
  <c r="AE52" i="71" s="1"/>
  <c r="L734" i="71"/>
  <c r="M735" i="71"/>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S53" i="71" l="1"/>
  <c r="Q53" i="71" s="1"/>
  <c r="L735" i="71"/>
  <c r="M736" i="7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T53" i="71" l="1"/>
  <c r="AB53" i="71"/>
  <c r="AC53" i="71" s="1"/>
  <c r="R53" i="71"/>
  <c r="Z53" i="71"/>
  <c r="L736" i="71"/>
  <c r="M737" i="7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U53" i="71" l="1"/>
  <c r="V53" i="71" s="1"/>
  <c r="W53" i="71"/>
  <c r="X53" i="71"/>
  <c r="L737" i="71"/>
  <c r="M738" i="71"/>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D53" i="71" l="1"/>
  <c r="AE53" i="71" s="1"/>
  <c r="O54" i="71"/>
  <c r="L738" i="71"/>
  <c r="M739" i="71"/>
  <c r="J33" i="1"/>
  <c r="S54" i="71" l="1"/>
  <c r="Q54" i="71" s="1"/>
  <c r="L739" i="71"/>
  <c r="M740" i="71"/>
  <c r="K33" i="1"/>
  <c r="R54" i="71" l="1"/>
  <c r="T54" i="71"/>
  <c r="Z54" i="71"/>
  <c r="AB54" i="71"/>
  <c r="AC54" i="71" s="1"/>
  <c r="L740" i="71"/>
  <c r="M741" i="71"/>
  <c r="L83" i="1"/>
  <c r="L81" i="1"/>
  <c r="U54" i="71" l="1"/>
  <c r="V54" i="71" s="1"/>
  <c r="W54" i="71"/>
  <c r="X54" i="71"/>
  <c r="L741" i="71"/>
  <c r="M742" i="71"/>
  <c r="L82" i="1"/>
  <c r="O55" i="71" l="1"/>
  <c r="AD54" i="71"/>
  <c r="AE54" i="71" s="1"/>
  <c r="L742" i="71"/>
  <c r="M743" i="71"/>
  <c r="L80" i="1"/>
  <c r="L85" i="1" s="1"/>
  <c r="S55" i="71" l="1"/>
  <c r="Q55" i="71" s="1"/>
  <c r="L743" i="71"/>
  <c r="M744" i="71"/>
  <c r="K1" i="33"/>
  <c r="AB55" i="71" l="1"/>
  <c r="AC55" i="71" s="1"/>
  <c r="T55" i="71"/>
  <c r="Z55" i="71"/>
  <c r="R55" i="71"/>
  <c r="L744" i="71"/>
  <c r="M745" i="71"/>
  <c r="J32" i="1"/>
  <c r="J54" i="1" s="1"/>
  <c r="M41" i="1" s="1"/>
  <c r="U55" i="71" l="1"/>
  <c r="V55" i="71" s="1"/>
  <c r="W55" i="71"/>
  <c r="X55" i="71"/>
  <c r="L745" i="71"/>
  <c r="M746" i="71"/>
  <c r="D54" i="1"/>
  <c r="H84" i="1" s="1"/>
  <c r="M49" i="1"/>
  <c r="AD55" i="71" l="1"/>
  <c r="AE55" i="71" s="1"/>
  <c r="O56" i="71"/>
  <c r="L746" i="71"/>
  <c r="M747" i="71"/>
  <c r="G14" i="33"/>
  <c r="E17" i="33" s="1"/>
  <c r="H86" i="1"/>
  <c r="I84" i="1" s="1"/>
  <c r="E39" i="33"/>
  <c r="E15" i="33"/>
  <c r="E25" i="33"/>
  <c r="E52" i="33"/>
  <c r="S56" i="71" l="1"/>
  <c r="Q56" i="71" s="1"/>
  <c r="L747" i="71"/>
  <c r="M748" i="71"/>
  <c r="E16" i="33"/>
  <c r="I80" i="1"/>
  <c r="I81" i="1"/>
  <c r="I82" i="1"/>
  <c r="I83" i="1"/>
  <c r="Z56" i="71" l="1"/>
  <c r="R56" i="71"/>
  <c r="T56" i="71"/>
  <c r="AB56" i="71"/>
  <c r="AC56" i="71" s="1"/>
  <c r="L748" i="71"/>
  <c r="M749" i="71"/>
  <c r="I85" i="1"/>
  <c r="I86" i="1"/>
  <c r="U56" i="71" l="1"/>
  <c r="V56" i="71" s="1"/>
  <c r="W56" i="71"/>
  <c r="X56" i="71"/>
  <c r="L749" i="71"/>
  <c r="M750" i="71"/>
  <c r="I26" i="66"/>
  <c r="O57" i="71" l="1"/>
  <c r="AD56" i="71"/>
  <c r="AE56" i="71" s="1"/>
  <c r="L750" i="71"/>
  <c r="M751" i="71"/>
  <c r="F54" i="1"/>
  <c r="S57" i="71" l="1"/>
  <c r="Q57" i="71" s="1"/>
  <c r="L751" i="71"/>
  <c r="M752" i="71"/>
  <c r="AB57" i="71" l="1"/>
  <c r="AC57" i="71" s="1"/>
  <c r="Z57" i="71"/>
  <c r="R57" i="71"/>
  <c r="T57" i="71"/>
  <c r="L752" i="71"/>
  <c r="M753" i="71"/>
  <c r="U57" i="71" l="1"/>
  <c r="V57" i="71" s="1"/>
  <c r="W57" i="71"/>
  <c r="X57" i="71"/>
  <c r="L753" i="71"/>
  <c r="M754" i="71"/>
  <c r="O58" i="71" l="1"/>
  <c r="AD57" i="71"/>
  <c r="AE57" i="71" s="1"/>
  <c r="L754" i="71"/>
  <c r="M755" i="71"/>
  <c r="S58" i="71" l="1"/>
  <c r="Q58" i="71" s="1"/>
  <c r="L755" i="71"/>
  <c r="M756" i="71"/>
  <c r="Z58" i="71" l="1"/>
  <c r="R58" i="71"/>
  <c r="T58" i="71"/>
  <c r="AB58" i="71"/>
  <c r="AC58" i="71" s="1"/>
  <c r="L756" i="71"/>
  <c r="M757" i="71"/>
  <c r="U58" i="71" l="1"/>
  <c r="V58" i="71" s="1"/>
  <c r="W58" i="71"/>
  <c r="X58" i="71"/>
  <c r="L757" i="71"/>
  <c r="M758" i="71"/>
  <c r="O59" i="71" l="1"/>
  <c r="AD58" i="71"/>
  <c r="AE58" i="71" s="1"/>
  <c r="L758" i="71"/>
  <c r="M759" i="71"/>
  <c r="S59" i="71" l="1"/>
  <c r="Q59" i="71" s="1"/>
  <c r="L759" i="71"/>
  <c r="M760" i="71"/>
  <c r="R59" i="71" l="1"/>
  <c r="T59" i="71"/>
  <c r="Z59" i="71"/>
  <c r="AB59" i="71"/>
  <c r="AC59" i="71" s="1"/>
  <c r="L760" i="71"/>
  <c r="M761" i="71"/>
  <c r="U59" i="71" l="1"/>
  <c r="V59" i="71" s="1"/>
  <c r="W59" i="71"/>
  <c r="X59" i="71"/>
  <c r="L761" i="71"/>
  <c r="M762" i="71"/>
  <c r="AD59" i="71" l="1"/>
  <c r="AE59" i="71" s="1"/>
  <c r="O60" i="71"/>
  <c r="L762" i="71"/>
  <c r="M763" i="71"/>
  <c r="S60" i="71" l="1"/>
  <c r="Q60" i="71" s="1"/>
  <c r="L763" i="71"/>
  <c r="M764" i="71"/>
  <c r="AB60" i="71" l="1"/>
  <c r="AC60" i="71" s="1"/>
  <c r="R60" i="71"/>
  <c r="T60" i="71"/>
  <c r="Z60" i="71"/>
  <c r="L764" i="71"/>
  <c r="M765" i="71"/>
  <c r="U60" i="71" l="1"/>
  <c r="V60" i="71" s="1"/>
  <c r="W60" i="71"/>
  <c r="X60" i="71"/>
  <c r="L765" i="71"/>
  <c r="M766" i="71"/>
  <c r="AD60" i="71" l="1"/>
  <c r="AE60" i="71" s="1"/>
  <c r="O61" i="71"/>
  <c r="L766" i="71"/>
  <c r="M767" i="71"/>
  <c r="S61" i="71" l="1"/>
  <c r="Q61" i="71" s="1"/>
  <c r="L767" i="71"/>
  <c r="M768" i="71"/>
  <c r="Z61" i="71" l="1"/>
  <c r="AB61" i="71"/>
  <c r="AC61" i="71" s="1"/>
  <c r="R61" i="71"/>
  <c r="T61" i="71"/>
  <c r="L768" i="71"/>
  <c r="M769" i="71"/>
  <c r="U61" i="71" l="1"/>
  <c r="V61" i="71" s="1"/>
  <c r="W61" i="71"/>
  <c r="X61" i="71"/>
  <c r="L769" i="71"/>
  <c r="M770" i="71"/>
  <c r="AD61" i="71" l="1"/>
  <c r="AE61" i="71" s="1"/>
  <c r="O62" i="71"/>
  <c r="L770" i="71"/>
  <c r="M771" i="71"/>
  <c r="S62" i="71" l="1"/>
  <c r="Q62" i="71" s="1"/>
  <c r="L771" i="71"/>
  <c r="M772" i="71"/>
  <c r="Z62" i="71" l="1"/>
  <c r="AB62" i="71"/>
  <c r="AC62" i="71" s="1"/>
  <c r="R62" i="71"/>
  <c r="T62" i="71"/>
  <c r="L772" i="71"/>
  <c r="M773" i="71"/>
  <c r="U62" i="71" l="1"/>
  <c r="V62" i="71" s="1"/>
  <c r="W62" i="71"/>
  <c r="X62" i="71"/>
  <c r="L773" i="71"/>
  <c r="M774" i="71"/>
  <c r="O63" i="71" l="1"/>
  <c r="AD62" i="71"/>
  <c r="AE62" i="71" s="1"/>
  <c r="L774" i="71"/>
  <c r="M775" i="71"/>
  <c r="S63" i="71" l="1"/>
  <c r="Q63" i="71" s="1"/>
  <c r="L775" i="71"/>
  <c r="M776" i="71"/>
  <c r="Z63" i="71" l="1"/>
  <c r="AB63" i="71"/>
  <c r="AC63" i="71" s="1"/>
  <c r="R63" i="71"/>
  <c r="T63" i="71"/>
  <c r="L776" i="71"/>
  <c r="M777" i="71"/>
  <c r="U63" i="71" l="1"/>
  <c r="V63" i="71" s="1"/>
  <c r="W63" i="71"/>
  <c r="X63" i="71"/>
  <c r="L777" i="71"/>
  <c r="M778" i="71"/>
  <c r="AD63" i="71" l="1"/>
  <c r="AE63" i="71" s="1"/>
  <c r="O64" i="71"/>
  <c r="L778" i="71"/>
  <c r="M779" i="71"/>
  <c r="S64" i="71" l="1"/>
  <c r="Q64" i="71" s="1"/>
  <c r="L779" i="71"/>
  <c r="M780" i="71"/>
  <c r="R64" i="71" l="1"/>
  <c r="T64" i="71"/>
  <c r="AB64" i="71"/>
  <c r="AC64" i="71" s="1"/>
  <c r="Z64" i="71"/>
  <c r="L780" i="71"/>
  <c r="M781" i="71"/>
  <c r="U64" i="71" l="1"/>
  <c r="V64" i="71" s="1"/>
  <c r="W64" i="71"/>
  <c r="X64" i="71"/>
  <c r="L781" i="71"/>
  <c r="M782" i="71"/>
  <c r="O65" i="71" l="1"/>
  <c r="AD64" i="71"/>
  <c r="AE64" i="71" s="1"/>
  <c r="L782" i="71"/>
  <c r="M783" i="71"/>
  <c r="S65" i="71" l="1"/>
  <c r="Q65" i="71" s="1"/>
  <c r="L783" i="71"/>
  <c r="M784" i="71"/>
  <c r="Z65" i="71" l="1"/>
  <c r="AB65" i="71"/>
  <c r="AC65" i="71" s="1"/>
  <c r="R65" i="71"/>
  <c r="T65" i="71"/>
  <c r="L784" i="71"/>
  <c r="M785" i="71"/>
  <c r="U65" i="71" l="1"/>
  <c r="V65" i="71" s="1"/>
  <c r="W65" i="71"/>
  <c r="X65" i="71"/>
  <c r="L785" i="71"/>
  <c r="M786" i="71"/>
  <c r="O66" i="71" l="1"/>
  <c r="AD65" i="71"/>
  <c r="AE65" i="71" s="1"/>
  <c r="L786" i="71"/>
  <c r="M787" i="71"/>
  <c r="S66" i="71" l="1"/>
  <c r="Q66" i="71" s="1"/>
  <c r="L787" i="71"/>
  <c r="M788" i="71"/>
  <c r="M789" i="71" s="1"/>
  <c r="M790" i="71" s="1"/>
  <c r="M791" i="71" s="1"/>
  <c r="M792" i="71" s="1"/>
  <c r="M793" i="71" s="1"/>
  <c r="M794" i="71" s="1"/>
  <c r="M795" i="71" s="1"/>
  <c r="M796" i="71" s="1"/>
  <c r="M797" i="71" s="1"/>
  <c r="M798" i="71" s="1"/>
  <c r="M799" i="71" s="1"/>
  <c r="M800" i="71" s="1"/>
  <c r="M801" i="71" s="1"/>
  <c r="M802" i="71" s="1"/>
  <c r="M803" i="71" s="1"/>
  <c r="M804" i="71" s="1"/>
  <c r="M805" i="71" s="1"/>
  <c r="M806" i="71" s="1"/>
  <c r="M807" i="71" s="1"/>
  <c r="M808" i="71" s="1"/>
  <c r="M809" i="71" s="1"/>
  <c r="M810" i="71" s="1"/>
  <c r="M811" i="71" s="1"/>
  <c r="M812" i="71" s="1"/>
  <c r="M813" i="71" s="1"/>
  <c r="M814" i="71" s="1"/>
  <c r="M815" i="71" s="1"/>
  <c r="M816" i="71" s="1"/>
  <c r="M817" i="71" s="1"/>
  <c r="M818" i="71" s="1"/>
  <c r="M819" i="71" s="1"/>
  <c r="M820" i="71" s="1"/>
  <c r="M821" i="71" s="1"/>
  <c r="M822" i="71" s="1"/>
  <c r="M823" i="71" s="1"/>
  <c r="M824" i="71" s="1"/>
  <c r="M825" i="71" s="1"/>
  <c r="M826" i="71" s="1"/>
  <c r="M827" i="71" s="1"/>
  <c r="M828" i="71" s="1"/>
  <c r="M829" i="71" s="1"/>
  <c r="M830" i="71" s="1"/>
  <c r="M831" i="71" s="1"/>
  <c r="M832" i="71" s="1"/>
  <c r="M833" i="71" s="1"/>
  <c r="AC6" i="71" s="1"/>
  <c r="R66" i="71" l="1"/>
  <c r="Z66" i="71"/>
  <c r="AB66" i="71"/>
  <c r="AC66" i="71" s="1"/>
  <c r="T66" i="71"/>
  <c r="U66" i="71" l="1"/>
  <c r="V66" i="71" s="1"/>
  <c r="W66" i="71"/>
  <c r="X66" i="71"/>
  <c r="AD66" i="71" l="1"/>
  <c r="AE66" i="71" s="1"/>
  <c r="O67" i="71"/>
  <c r="S67" i="71" l="1"/>
  <c r="Q67" i="71" s="1"/>
  <c r="T67" i="71" l="1"/>
  <c r="R67" i="71"/>
  <c r="Z67" i="71"/>
  <c r="AB67" i="71"/>
  <c r="AC67" i="71" s="1"/>
  <c r="U67" i="71" l="1"/>
  <c r="V67" i="71" s="1"/>
  <c r="W67" i="71"/>
  <c r="X67" i="71"/>
  <c r="AD67" i="71" l="1"/>
  <c r="AE67" i="71" s="1"/>
  <c r="O68" i="71"/>
  <c r="S68" i="71" l="1"/>
  <c r="Q68" i="71" s="1"/>
  <c r="R68" i="71" l="1"/>
  <c r="T68" i="71"/>
  <c r="Z68" i="71"/>
  <c r="AB68" i="71"/>
  <c r="AC68" i="71" s="1"/>
  <c r="U68" i="71" l="1"/>
  <c r="V68" i="71" s="1"/>
  <c r="W68" i="71"/>
  <c r="X68" i="71"/>
  <c r="O69" i="71" l="1"/>
  <c r="AD68" i="71"/>
  <c r="AE68" i="71" s="1"/>
  <c r="S69" i="71" l="1"/>
  <c r="Q69" i="71" s="1"/>
  <c r="R69" i="71" l="1"/>
  <c r="T69" i="71"/>
  <c r="Z69" i="71"/>
  <c r="AB69" i="71"/>
  <c r="AC69" i="71" s="1"/>
  <c r="U69" i="71" l="1"/>
  <c r="V69" i="71" s="1"/>
  <c r="W69" i="71"/>
  <c r="X69" i="71"/>
  <c r="O70" i="71" l="1"/>
  <c r="AD69" i="71"/>
  <c r="AE69" i="71" s="1"/>
  <c r="S70" i="71" l="1"/>
  <c r="Q70" i="71" s="1"/>
  <c r="T70" i="71" l="1"/>
  <c r="Z70" i="71"/>
  <c r="AB70" i="71"/>
  <c r="AC70" i="71" s="1"/>
  <c r="R70" i="71"/>
  <c r="U70" i="71" l="1"/>
  <c r="V70" i="71" s="1"/>
  <c r="W70" i="71"/>
  <c r="X70" i="71"/>
  <c r="O71" i="71" l="1"/>
  <c r="AD70" i="71"/>
  <c r="AE70" i="71" s="1"/>
  <c r="S71" i="71" l="1"/>
  <c r="Q71" i="71" s="1"/>
  <c r="T71" i="71" l="1"/>
  <c r="Z71" i="71"/>
  <c r="AB71" i="71"/>
  <c r="AC71" i="71" s="1"/>
  <c r="R71" i="71"/>
  <c r="U71" i="71" l="1"/>
  <c r="V71" i="71" s="1"/>
  <c r="W71" i="71"/>
  <c r="X71" i="71"/>
  <c r="AD71" i="71" l="1"/>
  <c r="AE71" i="71" s="1"/>
  <c r="O72" i="71"/>
  <c r="S72" i="71" l="1"/>
  <c r="Q72" i="71" s="1"/>
  <c r="R72" i="71" l="1"/>
  <c r="T72" i="71"/>
  <c r="AB72" i="71"/>
  <c r="AC72" i="71" s="1"/>
  <c r="Z72" i="71"/>
  <c r="U72" i="71" l="1"/>
  <c r="V72" i="71" s="1"/>
  <c r="W72" i="71"/>
  <c r="X72" i="71"/>
  <c r="AD72" i="71" l="1"/>
  <c r="AE72" i="71" s="1"/>
  <c r="O73" i="71"/>
  <c r="S73" i="71" l="1"/>
  <c r="Q73" i="71" s="1"/>
  <c r="AB73" i="71" l="1"/>
  <c r="AC73" i="71" s="1"/>
  <c r="R73" i="71"/>
  <c r="T73" i="71"/>
  <c r="Z73" i="71"/>
  <c r="U73" i="71" l="1"/>
  <c r="V73" i="71" s="1"/>
  <c r="W73" i="71"/>
  <c r="X73" i="71"/>
  <c r="AD73" i="71" l="1"/>
  <c r="AE73" i="71" s="1"/>
  <c r="O74" i="71"/>
  <c r="S74" i="71" l="1"/>
  <c r="Q74" i="71" s="1"/>
  <c r="Z74" i="71" l="1"/>
  <c r="AB74" i="71"/>
  <c r="AC74" i="71" s="1"/>
  <c r="R74" i="71"/>
  <c r="T74" i="71"/>
  <c r="U74" i="71" l="1"/>
  <c r="V74" i="71" s="1"/>
  <c r="W74" i="71"/>
  <c r="X74" i="71"/>
  <c r="AD74" i="71" l="1"/>
  <c r="AE74" i="71" s="1"/>
  <c r="O75" i="71"/>
  <c r="S75" i="71" l="1"/>
  <c r="Q75" i="71" s="1"/>
  <c r="Z75" i="71" l="1"/>
  <c r="AB75" i="71"/>
  <c r="AC75" i="71" s="1"/>
  <c r="T75" i="71"/>
  <c r="R75" i="71"/>
  <c r="U75" i="71" l="1"/>
  <c r="V75" i="71" s="1"/>
  <c r="W75" i="71"/>
  <c r="X75" i="71"/>
  <c r="O76" i="71" l="1"/>
  <c r="AD75" i="71"/>
  <c r="AE75" i="71" s="1"/>
  <c r="S76" i="71" l="1"/>
  <c r="Q76" i="71" s="1"/>
  <c r="Z76" i="71" l="1"/>
  <c r="R76" i="71"/>
  <c r="AB76" i="71"/>
  <c r="AC76" i="71" s="1"/>
  <c r="T76" i="71"/>
  <c r="U76" i="71" l="1"/>
  <c r="V76" i="71" s="1"/>
  <c r="W76" i="71"/>
  <c r="X76" i="71"/>
  <c r="O77" i="71" l="1"/>
  <c r="AD76" i="71"/>
  <c r="AE76" i="71" s="1"/>
  <c r="S77" i="71" l="1"/>
  <c r="Q77" i="71" s="1"/>
  <c r="Z77" i="71" l="1"/>
  <c r="AB77" i="71"/>
  <c r="AC77" i="71" s="1"/>
  <c r="T77" i="71"/>
  <c r="R77" i="71"/>
  <c r="U77" i="71" l="1"/>
  <c r="V77" i="71" s="1"/>
  <c r="W77" i="71"/>
  <c r="X77" i="71"/>
  <c r="O78" i="71" l="1"/>
  <c r="AD77" i="71"/>
  <c r="AE77" i="71" s="1"/>
  <c r="S78" i="71" l="1"/>
  <c r="Q78" i="71" s="1"/>
  <c r="R78" i="71" l="1"/>
  <c r="Z78" i="71"/>
  <c r="AB78" i="71"/>
  <c r="AC78" i="71" s="1"/>
  <c r="T78" i="71"/>
  <c r="U78" i="71" l="1"/>
  <c r="V78" i="71" s="1"/>
  <c r="W78" i="71"/>
  <c r="X78" i="71"/>
  <c r="O79" i="71" l="1"/>
  <c r="AD78" i="71"/>
  <c r="AE78" i="71" s="1"/>
  <c r="S79" i="71" l="1"/>
  <c r="Q79" i="71" s="1"/>
  <c r="T79" i="71" l="1"/>
  <c r="Z79" i="71"/>
  <c r="AB79" i="71"/>
  <c r="AC79" i="71" s="1"/>
  <c r="R79" i="71"/>
  <c r="U79" i="71" l="1"/>
  <c r="V79" i="71" s="1"/>
  <c r="W79" i="71"/>
  <c r="X79" i="71"/>
  <c r="AD79" i="71" l="1"/>
  <c r="AE79" i="71" s="1"/>
  <c r="O80" i="71"/>
  <c r="S80" i="71" l="1"/>
  <c r="Q80" i="71" s="1"/>
  <c r="T80" i="71" l="1"/>
  <c r="Z80" i="71"/>
  <c r="AB80" i="71"/>
  <c r="AC80" i="71" s="1"/>
  <c r="R80" i="71"/>
  <c r="U80" i="71" l="1"/>
  <c r="V80" i="71" s="1"/>
  <c r="W80" i="71"/>
  <c r="X80" i="71"/>
  <c r="AD80" i="71" l="1"/>
  <c r="AE80" i="71" s="1"/>
  <c r="O81" i="71"/>
  <c r="S81" i="71" l="1"/>
  <c r="Q81" i="71" s="1"/>
  <c r="R81" i="71" l="1"/>
  <c r="T81" i="71"/>
  <c r="Z81" i="71"/>
  <c r="AB81" i="71"/>
  <c r="AC81" i="71" s="1"/>
  <c r="U81" i="71" l="1"/>
  <c r="V81" i="71" s="1"/>
  <c r="W81" i="71"/>
  <c r="X81" i="71"/>
  <c r="AD81" i="71" l="1"/>
  <c r="AE81" i="71" s="1"/>
  <c r="O82" i="71"/>
  <c r="S82" i="71" l="1"/>
  <c r="Q82" i="71" s="1"/>
  <c r="AB82" i="71" l="1"/>
  <c r="AC82" i="71" s="1"/>
  <c r="R82" i="71"/>
  <c r="Z82" i="71"/>
  <c r="T82" i="71"/>
  <c r="U82" i="71" l="1"/>
  <c r="V82" i="71" s="1"/>
  <c r="W82" i="71"/>
  <c r="X82" i="71"/>
  <c r="AD82" i="71" l="1"/>
  <c r="AE82" i="71" s="1"/>
  <c r="O83" i="71"/>
  <c r="S83" i="71" l="1"/>
  <c r="Q83" i="71" s="1"/>
  <c r="Z83" i="71" l="1"/>
  <c r="R83" i="71"/>
  <c r="T83" i="71"/>
  <c r="AB83" i="71"/>
  <c r="AC83" i="71" s="1"/>
  <c r="U83" i="71" l="1"/>
  <c r="V83" i="71" s="1"/>
  <c r="W83" i="71"/>
  <c r="X83" i="71"/>
  <c r="AD83" i="71" l="1"/>
  <c r="AE83" i="71" s="1"/>
  <c r="O84" i="71"/>
  <c r="S84" i="71" l="1"/>
  <c r="Q84" i="71" s="1"/>
  <c r="R84" i="71" l="1"/>
  <c r="T84" i="71"/>
  <c r="Z84" i="71"/>
  <c r="AB84" i="71"/>
  <c r="AC84" i="71" s="1"/>
  <c r="U84" i="71" l="1"/>
  <c r="V84" i="71" s="1"/>
  <c r="W84" i="71"/>
  <c r="X84" i="71"/>
  <c r="AD84" i="71" l="1"/>
  <c r="AE84" i="71" s="1"/>
  <c r="O85" i="71"/>
  <c r="S85" i="71" l="1"/>
  <c r="Q85" i="71" s="1"/>
  <c r="T85" i="71" l="1"/>
  <c r="R85" i="71"/>
  <c r="Z85" i="71"/>
  <c r="AB85" i="71"/>
  <c r="AC85" i="71" s="1"/>
  <c r="U85" i="71" l="1"/>
  <c r="V85" i="71" s="1"/>
  <c r="W85" i="71"/>
  <c r="X85" i="71"/>
  <c r="O86" i="71" l="1"/>
  <c r="AD85" i="71"/>
  <c r="AE85" i="71" s="1"/>
  <c r="S86" i="71" l="1"/>
  <c r="Q86" i="71" s="1"/>
  <c r="R86" i="71" l="1"/>
  <c r="T86" i="71"/>
  <c r="AB86" i="71"/>
  <c r="AC86" i="71" s="1"/>
  <c r="Z86" i="71"/>
  <c r="U86" i="71" l="1"/>
  <c r="V86" i="71" s="1"/>
  <c r="W86" i="71"/>
  <c r="X86" i="71"/>
  <c r="O87" i="71" l="1"/>
  <c r="AD86" i="71"/>
  <c r="AE86" i="71" s="1"/>
  <c r="S87" i="71" l="1"/>
  <c r="Q87" i="71" s="1"/>
  <c r="Z87" i="71" l="1"/>
  <c r="R87" i="71"/>
  <c r="T87" i="71"/>
  <c r="AB87" i="71"/>
  <c r="AC87" i="71" s="1"/>
  <c r="U87" i="71" l="1"/>
  <c r="V87" i="71" s="1"/>
  <c r="W87" i="71"/>
  <c r="X87" i="71"/>
  <c r="AD87" i="71" l="1"/>
  <c r="AE87" i="71" s="1"/>
  <c r="O88" i="71"/>
  <c r="S88" i="71" l="1"/>
  <c r="Q88" i="71" s="1"/>
  <c r="Z88" i="71" l="1"/>
  <c r="AB88" i="71"/>
  <c r="AC88" i="71" s="1"/>
  <c r="R88" i="71"/>
  <c r="T88" i="71"/>
  <c r="U88" i="71" l="1"/>
  <c r="V88" i="71" s="1"/>
  <c r="W88" i="71"/>
  <c r="X88" i="71"/>
  <c r="O89" i="71" l="1"/>
  <c r="AD88" i="71"/>
  <c r="AE88" i="71" s="1"/>
  <c r="S89" i="71" l="1"/>
  <c r="Q89" i="71" s="1"/>
  <c r="T89" i="71" l="1"/>
  <c r="Z89" i="71"/>
  <c r="AB89" i="71"/>
  <c r="AC89" i="71" s="1"/>
  <c r="R89" i="71"/>
  <c r="U89" i="71" l="1"/>
  <c r="V89" i="71" s="1"/>
  <c r="W89" i="71"/>
  <c r="X89" i="71"/>
  <c r="O90" i="71" l="1"/>
  <c r="AD89" i="71"/>
  <c r="AE89" i="71" s="1"/>
  <c r="S90" i="71" l="1"/>
  <c r="Q90" i="71" s="1"/>
  <c r="R90" i="71" l="1"/>
  <c r="T90" i="71"/>
  <c r="Z90" i="71"/>
  <c r="AB90" i="71"/>
  <c r="AC90" i="71" s="1"/>
  <c r="AC7" i="71" s="1"/>
  <c r="U90" i="71" l="1"/>
  <c r="V90" i="71" s="1"/>
  <c r="W90" i="71"/>
  <c r="X90" i="71"/>
  <c r="O91" i="71" l="1"/>
  <c r="AD90" i="71"/>
  <c r="AC8" i="71" s="1"/>
  <c r="AC5" i="71"/>
  <c r="S91" i="71" l="1"/>
  <c r="AE90" i="71"/>
  <c r="AC9" i="71" s="1"/>
  <c r="J10" i="1" l="1"/>
  <c r="K54" i="1" s="1"/>
  <c r="K55" i="1" s="1"/>
  <c r="K58" i="1" s="1"/>
  <c r="F55" i="1"/>
  <c r="G56" i="1" s="1"/>
  <c r="H56" i="1" l="1"/>
  <c r="H57" i="1" s="1"/>
  <c r="K59" i="1" s="1"/>
  <c r="H54" i="1"/>
  <c r="L59" i="1" l="1"/>
  <c r="M59" i="1" s="1"/>
  <c r="J83" i="1" l="1"/>
  <c r="K83" i="1" s="1"/>
  <c r="J81" i="1"/>
  <c r="K81" i="1" s="1"/>
  <c r="J84" i="1"/>
  <c r="J80" i="1"/>
  <c r="J82" i="1"/>
  <c r="K82" i="1" l="1"/>
  <c r="K80" i="1"/>
  <c r="J85" i="1"/>
  <c r="L84" i="1"/>
  <c r="L86" i="1" s="1"/>
  <c r="K84" i="1"/>
  <c r="L60" i="1" l="1"/>
  <c r="L62" i="1" s="1"/>
  <c r="M60" i="1"/>
  <c r="M61" i="1" s="1"/>
  <c r="M62" i="1" s="1"/>
  <c r="K86" i="1"/>
  <c r="K85" i="1"/>
  <c r="J86" i="1"/>
  <c r="M63" i="1" l="1"/>
  <c r="K4" i="71" s="1"/>
  <c r="R13" i="1"/>
  <c r="Q13" i="1"/>
  <c r="R14" i="1"/>
  <c r="Q14" i="1"/>
  <c r="M66" i="1" l="1"/>
  <c r="G37" i="33"/>
  <c r="D61" i="1"/>
  <c r="G24" i="33"/>
  <c r="C50" i="33"/>
  <c r="E50" i="33" l="1"/>
  <c r="G50" i="33"/>
  <c r="E53" i="33" s="1"/>
  <c r="E26" i="33"/>
  <c r="E27" i="33"/>
  <c r="E41" i="33"/>
  <c r="E40" i="33"/>
  <c r="F50" i="33" l="1"/>
  <c r="E54" i="33" s="1"/>
  <c r="I42" i="33" l="1"/>
  <c r="W4" i="71" l="1"/>
  <c r="O17" i="71"/>
  <c r="V11" i="71" l="1"/>
  <c r="B13" i="66" s="1"/>
  <c r="B14" i="66" s="1"/>
  <c r="AC4" i="71" l="1"/>
  <c r="Q91" i="71"/>
  <c r="T91" i="71" l="1"/>
  <c r="Z91" i="71"/>
  <c r="AB91" i="71"/>
  <c r="AC91" i="71" s="1"/>
  <c r="R91" i="71"/>
  <c r="U91" i="71" l="1"/>
  <c r="V91" i="71" s="1"/>
  <c r="W91" i="71"/>
  <c r="X91" i="71"/>
  <c r="AD91" i="71" l="1"/>
  <c r="AE91" i="71" s="1"/>
  <c r="O92" i="71"/>
  <c r="S92" i="71" l="1"/>
  <c r="Q92" i="71" s="1"/>
  <c r="R92" i="71" l="1"/>
  <c r="T92" i="71"/>
  <c r="Z92" i="71"/>
  <c r="AB92" i="71"/>
  <c r="AC92" i="71" s="1"/>
  <c r="U92" i="71" l="1"/>
  <c r="V92" i="71" s="1"/>
  <c r="W92" i="71"/>
  <c r="X92" i="71"/>
  <c r="AD92" i="71" l="1"/>
  <c r="AE92" i="71" s="1"/>
  <c r="O93" i="71"/>
  <c r="S93" i="71" l="1"/>
  <c r="Q93" i="71" s="1"/>
  <c r="AB93" i="71" l="1"/>
  <c r="AC93" i="71" s="1"/>
  <c r="R93" i="71"/>
  <c r="T93" i="71"/>
  <c r="Z93" i="71"/>
  <c r="U93" i="71" l="1"/>
  <c r="V93" i="71" s="1"/>
  <c r="W93" i="71"/>
  <c r="X93" i="71"/>
  <c r="AD93" i="71" l="1"/>
  <c r="AE93" i="71" s="1"/>
  <c r="O94" i="71"/>
  <c r="S94" i="71" l="1"/>
  <c r="Q94" i="71" s="1"/>
  <c r="Z94" i="71" l="1"/>
  <c r="AB94" i="71"/>
  <c r="AC94" i="71" s="1"/>
  <c r="R94" i="71"/>
  <c r="T94" i="71"/>
  <c r="U94" i="71" l="1"/>
  <c r="V94" i="71" s="1"/>
  <c r="W94" i="71"/>
  <c r="X94" i="71"/>
  <c r="AD94" i="71" l="1"/>
  <c r="AE94" i="71" s="1"/>
  <c r="O95" i="71"/>
  <c r="S95" i="71" l="1"/>
  <c r="Q95" i="71" s="1"/>
  <c r="Z95" i="71" l="1"/>
  <c r="AB95" i="71"/>
  <c r="AC95" i="71" s="1"/>
  <c r="R95" i="71"/>
  <c r="T95" i="71"/>
  <c r="U95" i="71" l="1"/>
  <c r="V95" i="71" s="1"/>
  <c r="W95" i="71"/>
  <c r="X95" i="71"/>
  <c r="AD95" i="71" l="1"/>
  <c r="AE95" i="71" s="1"/>
  <c r="O96" i="71"/>
  <c r="S96" i="71" l="1"/>
  <c r="Q96" i="71" s="1"/>
  <c r="Z96" i="71" l="1"/>
  <c r="R96" i="71"/>
  <c r="T96" i="71"/>
  <c r="AB96" i="71"/>
  <c r="AC96" i="71" s="1"/>
  <c r="U96" i="71" l="1"/>
  <c r="V96" i="71" s="1"/>
  <c r="W96" i="71"/>
  <c r="X96" i="71"/>
  <c r="O97" i="71" l="1"/>
  <c r="AD96" i="71"/>
  <c r="AE96" i="71" s="1"/>
  <c r="S97" i="71" l="1"/>
  <c r="Q97" i="71" s="1"/>
  <c r="AB97" i="71" l="1"/>
  <c r="AC97" i="71" s="1"/>
  <c r="T97" i="71"/>
  <c r="Z97" i="71"/>
  <c r="R97" i="71"/>
  <c r="U97" i="71" l="1"/>
  <c r="V97" i="71" s="1"/>
  <c r="W97" i="71"/>
  <c r="X97" i="71"/>
  <c r="O98" i="71" l="1"/>
  <c r="AD97" i="71"/>
  <c r="AE97" i="71" s="1"/>
  <c r="S98" i="71" l="1"/>
  <c r="Q98" i="71" s="1"/>
  <c r="T98" i="71" l="1"/>
  <c r="Z98" i="71"/>
  <c r="R98" i="71"/>
  <c r="AB98" i="71"/>
  <c r="AC98" i="71" s="1"/>
  <c r="U98" i="71" l="1"/>
  <c r="V98" i="71" s="1"/>
  <c r="W98" i="71"/>
  <c r="X98" i="71"/>
  <c r="O99" i="71" l="1"/>
  <c r="AD98" i="71"/>
  <c r="AE98" i="71" s="1"/>
  <c r="S99" i="71" l="1"/>
  <c r="Q99" i="71" s="1"/>
  <c r="T99" i="71" l="1"/>
  <c r="R99" i="71"/>
  <c r="AB99" i="71"/>
  <c r="AC99" i="71" s="1"/>
  <c r="Z99" i="71"/>
  <c r="U99" i="71" l="1"/>
  <c r="V99" i="71" s="1"/>
  <c r="W99" i="71"/>
  <c r="X99" i="71"/>
  <c r="AD99" i="71" l="1"/>
  <c r="AE99" i="71" s="1"/>
  <c r="O100" i="71"/>
  <c r="S100" i="71" l="1"/>
  <c r="Q100" i="71" s="1"/>
  <c r="R100" i="71" l="1"/>
  <c r="T100" i="71"/>
  <c r="Z100" i="71"/>
  <c r="AB100" i="71"/>
  <c r="AC100" i="71" s="1"/>
  <c r="U100" i="71" l="1"/>
  <c r="V100" i="71" s="1"/>
  <c r="W100" i="71"/>
  <c r="X100" i="71"/>
  <c r="AD100" i="71" l="1"/>
  <c r="AE100" i="71" s="1"/>
  <c r="O101" i="71"/>
  <c r="S101" i="71" l="1"/>
  <c r="Q101" i="71" s="1"/>
  <c r="AB101" i="71" l="1"/>
  <c r="AC101" i="71" s="1"/>
  <c r="R101" i="71"/>
  <c r="T101" i="71"/>
  <c r="Z101" i="71"/>
  <c r="U101" i="71" l="1"/>
  <c r="V101" i="71" s="1"/>
  <c r="W101" i="71"/>
  <c r="X101" i="71"/>
  <c r="AD101" i="71" l="1"/>
  <c r="AE101" i="71" s="1"/>
  <c r="O102" i="71"/>
  <c r="S102" i="71" l="1"/>
  <c r="Q102" i="71" s="1"/>
  <c r="Z102" i="71" l="1"/>
  <c r="AB102" i="71"/>
  <c r="AC102" i="71" s="1"/>
  <c r="R102" i="71"/>
  <c r="T102" i="71"/>
  <c r="U102" i="71" l="1"/>
  <c r="V102" i="71" s="1"/>
  <c r="W102" i="71"/>
  <c r="X102" i="71"/>
  <c r="O103" i="71" l="1"/>
  <c r="AD102" i="71"/>
  <c r="AE102" i="71" s="1"/>
  <c r="S103" i="71" l="1"/>
  <c r="Q103" i="71" s="1"/>
  <c r="Z103" i="71" l="1"/>
  <c r="AB103" i="71"/>
  <c r="AC103" i="71" s="1"/>
  <c r="R103" i="71"/>
  <c r="T103" i="71"/>
  <c r="U103" i="71" l="1"/>
  <c r="V103" i="71" s="1"/>
  <c r="W103" i="71"/>
  <c r="X103" i="71"/>
  <c r="AD103" i="71" l="1"/>
  <c r="AE103" i="71" s="1"/>
  <c r="O104" i="71"/>
  <c r="S104" i="71" l="1"/>
  <c r="Q104" i="71" s="1"/>
  <c r="Z104" i="71" l="1"/>
  <c r="AB104" i="71"/>
  <c r="AC104" i="71" s="1"/>
  <c r="R104" i="71"/>
  <c r="T104" i="71"/>
  <c r="U104" i="71" l="1"/>
  <c r="V104" i="71" s="1"/>
  <c r="W104" i="71"/>
  <c r="X104" i="71"/>
  <c r="O105" i="71" l="1"/>
  <c r="AD104" i="71"/>
  <c r="AE104" i="71" s="1"/>
  <c r="S105" i="71" l="1"/>
  <c r="Q105" i="71" s="1"/>
  <c r="R105" i="71" l="1"/>
  <c r="T105" i="71"/>
  <c r="Z105" i="71"/>
  <c r="AB105" i="71"/>
  <c r="AC105" i="71" s="1"/>
  <c r="U105" i="71" l="1"/>
  <c r="V105" i="71" s="1"/>
  <c r="W105" i="71"/>
  <c r="X105" i="71"/>
  <c r="O106" i="71" l="1"/>
  <c r="AD105" i="71"/>
  <c r="AE105" i="71" s="1"/>
  <c r="S106" i="71" l="1"/>
  <c r="Q106" i="71" s="1"/>
  <c r="AB106" i="71" l="1"/>
  <c r="AC106" i="71" s="1"/>
  <c r="T106" i="71"/>
  <c r="Z106" i="71"/>
  <c r="R106" i="71"/>
  <c r="U106" i="71" l="1"/>
  <c r="V106" i="71" s="1"/>
  <c r="W106" i="71"/>
  <c r="X106" i="71"/>
  <c r="O107" i="71" l="1"/>
  <c r="AD106" i="71"/>
  <c r="AE106" i="71" s="1"/>
  <c r="S107" i="71" l="1"/>
  <c r="Q107" i="71" s="1"/>
  <c r="T107" i="71" l="1"/>
  <c r="Z107" i="71"/>
  <c r="AB107" i="71"/>
  <c r="AC107" i="71" s="1"/>
  <c r="R107" i="71"/>
  <c r="U107" i="71" l="1"/>
  <c r="V107" i="71" s="1"/>
  <c r="W107" i="71"/>
  <c r="X107" i="71"/>
  <c r="AD107" i="71" l="1"/>
  <c r="AE107" i="71" s="1"/>
  <c r="O108" i="71"/>
  <c r="S108" i="71" l="1"/>
  <c r="Q108" i="71" s="1"/>
  <c r="R108" i="71" l="1"/>
  <c r="T108" i="71"/>
  <c r="AB108" i="71"/>
  <c r="AC108" i="71" s="1"/>
  <c r="Z108" i="71"/>
  <c r="U108" i="71" l="1"/>
  <c r="V108" i="71" s="1"/>
  <c r="W108" i="71"/>
  <c r="X108" i="71"/>
  <c r="AD108" i="71" l="1"/>
  <c r="AE108" i="71" s="1"/>
  <c r="O109" i="71"/>
  <c r="S109" i="71" l="1"/>
  <c r="Q109" i="71" s="1"/>
  <c r="AB109" i="71" l="1"/>
  <c r="AC109" i="71" s="1"/>
  <c r="R109" i="71"/>
  <c r="T109" i="71"/>
  <c r="Z109" i="71"/>
  <c r="U109" i="71" l="1"/>
  <c r="V109" i="71" s="1"/>
  <c r="W109" i="71"/>
  <c r="X109" i="71"/>
  <c r="AD109" i="71" l="1"/>
  <c r="AE109" i="71" s="1"/>
  <c r="O110" i="71"/>
  <c r="S110" i="71" l="1"/>
  <c r="Q110" i="71" s="1"/>
  <c r="Z110" i="71" l="1"/>
  <c r="AB110" i="71"/>
  <c r="AC110" i="71" s="1"/>
  <c r="R110" i="71"/>
  <c r="T110" i="71"/>
  <c r="U110" i="71" l="1"/>
  <c r="V110" i="71" s="1"/>
  <c r="W110" i="71"/>
  <c r="X110" i="71"/>
  <c r="O111" i="71" l="1"/>
  <c r="AD110" i="71"/>
  <c r="AE110" i="71" s="1"/>
  <c r="S111" i="71" l="1"/>
  <c r="Q111" i="71" s="1"/>
  <c r="Z111" i="71" l="1"/>
  <c r="AB111" i="71"/>
  <c r="AC111" i="71" s="1"/>
  <c r="R111" i="71"/>
  <c r="T111" i="71"/>
  <c r="U111" i="71" l="1"/>
  <c r="V111" i="71" s="1"/>
  <c r="W111" i="71"/>
  <c r="X111" i="71"/>
  <c r="O112" i="71" l="1"/>
  <c r="AD111" i="71"/>
  <c r="AE111" i="71" s="1"/>
  <c r="S112" i="71" l="1"/>
  <c r="Q112" i="71" s="1"/>
  <c r="Z112" i="71" l="1"/>
  <c r="AB112" i="71"/>
  <c r="AC112" i="71" s="1"/>
  <c r="T112" i="71"/>
  <c r="R112" i="71"/>
  <c r="U112" i="71" l="1"/>
  <c r="V112" i="71" s="1"/>
  <c r="W112" i="71"/>
  <c r="X112" i="71"/>
  <c r="O113" i="71" l="1"/>
  <c r="AD112" i="71"/>
  <c r="AE112" i="71" s="1"/>
  <c r="S113" i="71" l="1"/>
  <c r="Q113" i="71" s="1"/>
  <c r="Z113" i="71" l="1"/>
  <c r="AB113" i="71"/>
  <c r="AC113" i="71" s="1"/>
  <c r="R113" i="71"/>
  <c r="T113" i="71"/>
  <c r="U113" i="71" l="1"/>
  <c r="V113" i="71" s="1"/>
  <c r="W113" i="71"/>
  <c r="X113" i="71"/>
  <c r="O114" i="71" l="1"/>
  <c r="AD113" i="71"/>
  <c r="AE113" i="71" s="1"/>
  <c r="S114" i="71" l="1"/>
  <c r="Q114" i="71" s="1"/>
  <c r="R114" i="71" l="1"/>
  <c r="T114" i="71"/>
  <c r="AB114" i="71"/>
  <c r="AC114" i="71" s="1"/>
  <c r="Z114" i="71"/>
  <c r="U114" i="71" l="1"/>
  <c r="V114" i="71" s="1"/>
  <c r="W114" i="71"/>
  <c r="X114" i="71"/>
  <c r="O115" i="71" l="1"/>
  <c r="AD114" i="71"/>
  <c r="AE114" i="71" s="1"/>
  <c r="S115" i="71" l="1"/>
  <c r="Q115" i="71" s="1"/>
  <c r="T115" i="71" l="1"/>
  <c r="AB115" i="71"/>
  <c r="AC115" i="71" s="1"/>
  <c r="R115" i="71"/>
  <c r="Z115" i="71"/>
  <c r="U115" i="71" l="1"/>
  <c r="V115" i="71" s="1"/>
  <c r="W115" i="71"/>
  <c r="X115" i="71"/>
  <c r="AD115" i="71" l="1"/>
  <c r="AE115" i="71" s="1"/>
  <c r="O116" i="71"/>
  <c r="S116" i="71" l="1"/>
  <c r="Q116" i="71" s="1"/>
  <c r="R116" i="71" l="1"/>
  <c r="T116" i="71"/>
  <c r="Z116" i="71"/>
  <c r="AB116" i="71"/>
  <c r="AC116" i="71" s="1"/>
  <c r="U116" i="71" l="1"/>
  <c r="V116" i="71" s="1"/>
  <c r="W116" i="71"/>
  <c r="X116" i="71"/>
  <c r="AD116" i="71" l="1"/>
  <c r="AE116" i="71" s="1"/>
  <c r="O117" i="71"/>
  <c r="S117" i="71" l="1"/>
  <c r="Q117" i="71" s="1"/>
  <c r="AB117" i="71" l="1"/>
  <c r="AC117" i="71" s="1"/>
  <c r="R117" i="71"/>
  <c r="T117" i="71"/>
  <c r="Z117" i="71"/>
  <c r="U117" i="71" l="1"/>
  <c r="V117" i="71" s="1"/>
  <c r="W117" i="71"/>
  <c r="X117" i="71"/>
  <c r="AD117" i="71" l="1"/>
  <c r="AE117" i="71" s="1"/>
  <c r="O118" i="71"/>
  <c r="S118" i="71" l="1"/>
  <c r="Q118" i="71" s="1"/>
  <c r="Z118" i="71" l="1"/>
  <c r="AB118" i="71"/>
  <c r="AC118" i="71" s="1"/>
  <c r="R118" i="71"/>
  <c r="T118" i="71"/>
  <c r="U118" i="71" l="1"/>
  <c r="V118" i="71" s="1"/>
  <c r="W118" i="71"/>
  <c r="X118" i="71"/>
  <c r="AD118" i="71" l="1"/>
  <c r="AE118" i="71" s="1"/>
  <c r="O119" i="71"/>
  <c r="S119" i="71" l="1"/>
  <c r="Q119" i="71" s="1"/>
  <c r="Z119" i="71" l="1"/>
  <c r="AB119" i="71"/>
  <c r="AC119" i="71" s="1"/>
  <c r="R119" i="71"/>
  <c r="T119" i="71"/>
  <c r="U119" i="71" l="1"/>
  <c r="V119" i="71" s="1"/>
  <c r="W119" i="71"/>
  <c r="X119" i="71"/>
  <c r="AD119" i="71" l="1"/>
  <c r="AE119" i="71" s="1"/>
  <c r="O120" i="71"/>
  <c r="S120" i="71" l="1"/>
  <c r="Q120" i="71" s="1"/>
  <c r="Z120" i="71" l="1"/>
  <c r="R120" i="71"/>
  <c r="T120" i="71"/>
  <c r="AB120" i="71"/>
  <c r="AC120" i="71" s="1"/>
  <c r="U120" i="71" l="1"/>
  <c r="V120" i="71" s="1"/>
  <c r="W120" i="71"/>
  <c r="X120" i="71"/>
  <c r="O121" i="71" l="1"/>
  <c r="AD120" i="71"/>
  <c r="AE120" i="71" s="1"/>
  <c r="S121" i="71" l="1"/>
  <c r="Q121" i="71" s="1"/>
  <c r="R121" i="71" l="1"/>
  <c r="T121" i="71"/>
  <c r="AB121" i="71"/>
  <c r="AC121" i="71" s="1"/>
  <c r="Z121" i="71"/>
  <c r="U121" i="71" l="1"/>
  <c r="V121" i="71" s="1"/>
  <c r="W121" i="71"/>
  <c r="X121" i="71"/>
  <c r="O122" i="71" l="1"/>
  <c r="AD121" i="71"/>
  <c r="AE121" i="71" s="1"/>
  <c r="S122" i="71" l="1"/>
  <c r="Q122" i="71" s="1"/>
  <c r="Z122" i="71" l="1"/>
  <c r="AB122" i="71"/>
  <c r="AC122" i="71" s="1"/>
  <c r="R122" i="71"/>
  <c r="T122" i="71"/>
  <c r="U122" i="71" l="1"/>
  <c r="V122" i="71" s="1"/>
  <c r="W122" i="71"/>
  <c r="X122" i="71"/>
  <c r="O123" i="71" l="1"/>
  <c r="AD122" i="71"/>
  <c r="AE122" i="71" s="1"/>
  <c r="S123" i="71" l="1"/>
  <c r="Q123" i="71" s="1"/>
  <c r="T123" i="71" l="1"/>
  <c r="R123" i="71"/>
  <c r="Z123" i="71"/>
  <c r="AB123" i="71"/>
  <c r="AC123" i="71" s="1"/>
  <c r="U123" i="71" l="1"/>
  <c r="V123" i="71" s="1"/>
  <c r="W123" i="71"/>
  <c r="X123" i="71"/>
  <c r="AD123" i="71" l="1"/>
  <c r="AE123" i="71" s="1"/>
  <c r="O124" i="71"/>
  <c r="S124" i="71" l="1"/>
  <c r="Q124" i="71" s="1"/>
  <c r="R124" i="71" l="1"/>
  <c r="T124" i="71"/>
  <c r="AB124" i="71"/>
  <c r="AC124" i="71" s="1"/>
  <c r="Z124" i="71"/>
  <c r="U124" i="71" l="1"/>
  <c r="V124" i="71" s="1"/>
  <c r="W124" i="71"/>
  <c r="X124" i="71"/>
  <c r="AD124" i="71" l="1"/>
  <c r="AE124" i="71" s="1"/>
  <c r="O125" i="71"/>
  <c r="S125" i="71" l="1"/>
  <c r="Q125" i="71" s="1"/>
  <c r="AB125" i="71" l="1"/>
  <c r="AC125" i="71" s="1"/>
  <c r="R125" i="71"/>
  <c r="T125" i="71"/>
  <c r="Z125" i="71"/>
  <c r="U125" i="71" l="1"/>
  <c r="V125" i="71" s="1"/>
  <c r="W125" i="71"/>
  <c r="X125" i="71"/>
  <c r="AD125" i="71" l="1"/>
  <c r="AE125" i="71" s="1"/>
  <c r="O126" i="71"/>
  <c r="S126" i="71" l="1"/>
  <c r="Q126" i="71" s="1"/>
  <c r="Z126" i="71" l="1"/>
  <c r="AB126" i="71"/>
  <c r="AC126" i="71" s="1"/>
  <c r="R126" i="71"/>
  <c r="T126" i="71"/>
  <c r="U126" i="71" l="1"/>
  <c r="V126" i="71" s="1"/>
  <c r="W126" i="71"/>
  <c r="X126" i="71"/>
  <c r="O127" i="71" l="1"/>
  <c r="AD126" i="71"/>
  <c r="AE126" i="71" s="1"/>
  <c r="S127" i="71" l="1"/>
  <c r="Q127" i="71" s="1"/>
  <c r="Z127" i="71" l="1"/>
  <c r="AB127" i="71"/>
  <c r="AC127" i="71" s="1"/>
  <c r="R127" i="71"/>
  <c r="T127" i="71"/>
  <c r="U127" i="71" l="1"/>
  <c r="V127" i="71" s="1"/>
  <c r="W127" i="71"/>
  <c r="X127" i="71"/>
  <c r="AD127" i="71" l="1"/>
  <c r="AE127" i="71" s="1"/>
  <c r="O128" i="71"/>
  <c r="S128" i="71" l="1"/>
  <c r="Q128" i="71" s="1"/>
  <c r="Z128" i="71" l="1"/>
  <c r="AB128" i="71"/>
  <c r="AC128" i="71" s="1"/>
  <c r="R128" i="71"/>
  <c r="T128" i="71"/>
  <c r="U128" i="71" l="1"/>
  <c r="V128" i="71" s="1"/>
  <c r="W128" i="71"/>
  <c r="X128" i="71"/>
  <c r="O129" i="71" l="1"/>
  <c r="AD128" i="71"/>
  <c r="AE128" i="71" s="1"/>
  <c r="S129" i="71" l="1"/>
  <c r="Q129" i="71" s="1"/>
  <c r="R129" i="71" l="1"/>
  <c r="T129" i="71"/>
  <c r="Z129" i="71"/>
  <c r="AB129" i="71"/>
  <c r="AC129" i="71" s="1"/>
  <c r="U129" i="71" l="1"/>
  <c r="V129" i="71" s="1"/>
  <c r="W129" i="71"/>
  <c r="X129" i="71"/>
  <c r="O130" i="71" l="1"/>
  <c r="AD129" i="71"/>
  <c r="AE129" i="71" s="1"/>
  <c r="S130" i="71" l="1"/>
  <c r="Q130" i="71" s="1"/>
  <c r="Z130" i="71" l="1"/>
  <c r="AB130" i="71"/>
  <c r="AC130" i="71" s="1"/>
  <c r="T130" i="71"/>
  <c r="R130" i="71"/>
  <c r="U130" i="71" l="1"/>
  <c r="V130" i="71" s="1"/>
  <c r="W130" i="71"/>
  <c r="X130" i="71"/>
  <c r="O131" i="71" l="1"/>
  <c r="AD130" i="71"/>
  <c r="AE130" i="71" s="1"/>
  <c r="S131" i="71" l="1"/>
  <c r="Q131" i="71" s="1"/>
  <c r="T131" i="71" l="1"/>
  <c r="Z131" i="71"/>
  <c r="AB131" i="71"/>
  <c r="AC131" i="71" s="1"/>
  <c r="R131" i="71"/>
  <c r="U131" i="71" l="1"/>
  <c r="V131" i="71" s="1"/>
  <c r="W131" i="71"/>
  <c r="X131" i="71"/>
  <c r="AD131" i="71" l="1"/>
  <c r="AE131" i="71" s="1"/>
  <c r="O132" i="71"/>
  <c r="S132" i="71" l="1"/>
  <c r="Q132" i="71" s="1"/>
  <c r="R132" i="71" l="1"/>
  <c r="T132" i="71"/>
  <c r="Z132" i="71"/>
  <c r="AB132" i="71"/>
  <c r="AC132" i="71" s="1"/>
  <c r="U132" i="71" l="1"/>
  <c r="V132" i="71" s="1"/>
  <c r="W132" i="71"/>
  <c r="X132" i="71"/>
  <c r="AD132" i="71" l="1"/>
  <c r="AE132" i="71" s="1"/>
  <c r="O133" i="71"/>
  <c r="S133" i="71" l="1"/>
  <c r="Q133" i="71" s="1"/>
  <c r="AB133" i="71" l="1"/>
  <c r="AC133" i="71" s="1"/>
  <c r="R133" i="71"/>
  <c r="Z133" i="71"/>
  <c r="T133" i="71"/>
  <c r="U133" i="71" l="1"/>
  <c r="V133" i="71" s="1"/>
  <c r="W133" i="71"/>
  <c r="X133" i="71"/>
  <c r="AD133" i="71" l="1"/>
  <c r="AE133" i="71" s="1"/>
  <c r="O134" i="71"/>
  <c r="S134" i="71" l="1"/>
  <c r="Q134" i="71" s="1"/>
  <c r="Z134" i="71" l="1"/>
  <c r="AB134" i="71"/>
  <c r="AC134" i="71" s="1"/>
  <c r="T134" i="71"/>
  <c r="R134" i="71"/>
  <c r="U134" i="71" l="1"/>
  <c r="V134" i="71" s="1"/>
  <c r="W134" i="71"/>
  <c r="X134" i="71"/>
  <c r="O135" i="71" l="1"/>
  <c r="AD134" i="71"/>
  <c r="AE134" i="71" s="1"/>
  <c r="S135" i="71" l="1"/>
  <c r="Q135" i="71" s="1"/>
  <c r="Z135" i="71" l="1"/>
  <c r="AB135" i="71"/>
  <c r="AC135" i="71" s="1"/>
  <c r="R135" i="71"/>
  <c r="T135" i="71"/>
  <c r="U135" i="71" l="1"/>
  <c r="V135" i="71" s="1"/>
  <c r="W135" i="71"/>
  <c r="X135" i="71"/>
  <c r="O136" i="71" l="1"/>
  <c r="AD135" i="71"/>
  <c r="AE135" i="71" s="1"/>
  <c r="S136" i="71" l="1"/>
  <c r="Q136" i="71" s="1"/>
  <c r="Z136" i="71" l="1"/>
  <c r="AB136" i="71"/>
  <c r="AC136" i="71" s="1"/>
  <c r="T136" i="71"/>
  <c r="R136" i="71"/>
  <c r="U136" i="71" l="1"/>
  <c r="V136" i="71" s="1"/>
  <c r="W136" i="71"/>
  <c r="X136" i="71"/>
  <c r="O137" i="71" l="1"/>
  <c r="AD136" i="71"/>
  <c r="AE136" i="71" s="1"/>
  <c r="S137" i="71" l="1"/>
  <c r="Q137" i="71" s="1"/>
  <c r="Z137" i="71" l="1"/>
  <c r="AB137" i="71"/>
  <c r="AC137" i="71" s="1"/>
  <c r="R137" i="71"/>
  <c r="T137" i="71"/>
  <c r="U137" i="71" l="1"/>
  <c r="V137" i="71" s="1"/>
  <c r="W137" i="71"/>
  <c r="X137" i="71"/>
  <c r="AD137" i="71" l="1"/>
  <c r="AE137" i="71" s="1"/>
  <c r="O138" i="71"/>
  <c r="S138" i="71" l="1"/>
  <c r="Q138" i="71" s="1"/>
  <c r="Z138" i="71" l="1"/>
  <c r="AB138" i="71"/>
  <c r="AC138" i="71" s="1"/>
  <c r="R138" i="71"/>
  <c r="T138" i="71"/>
  <c r="U138" i="71" l="1"/>
  <c r="V138" i="71" s="1"/>
  <c r="W138" i="71"/>
  <c r="X138" i="71"/>
  <c r="O139" i="71" l="1"/>
  <c r="AD138" i="71"/>
  <c r="AE138" i="71" s="1"/>
  <c r="S139" i="71" l="1"/>
  <c r="Q139" i="71" s="1"/>
  <c r="Z139" i="71" l="1"/>
  <c r="AB139" i="71"/>
  <c r="AC139" i="71" s="1"/>
  <c r="R139" i="71"/>
  <c r="T139" i="71"/>
  <c r="U139" i="71" l="1"/>
  <c r="V139" i="71" s="1"/>
  <c r="W139" i="71"/>
  <c r="X139" i="71"/>
  <c r="O140" i="71" l="1"/>
  <c r="AD139" i="71"/>
  <c r="AE139" i="71" s="1"/>
  <c r="S140" i="71" l="1"/>
  <c r="Q140" i="71" s="1"/>
  <c r="Z140" i="71" l="1"/>
  <c r="AB140" i="71"/>
  <c r="AC140" i="71" s="1"/>
  <c r="T140" i="71"/>
  <c r="R140" i="71"/>
  <c r="U140" i="71" l="1"/>
  <c r="V140" i="71" s="1"/>
  <c r="W140" i="71"/>
  <c r="X140" i="71"/>
  <c r="O141" i="71" l="1"/>
  <c r="AD140" i="71"/>
  <c r="AE140" i="71" s="1"/>
  <c r="S141" i="71" l="1"/>
  <c r="Q141" i="71" s="1"/>
  <c r="T141" i="71" l="1"/>
  <c r="Z141" i="71"/>
  <c r="AB141" i="71"/>
  <c r="AC141" i="71" s="1"/>
  <c r="R141" i="71"/>
  <c r="U141" i="71" l="1"/>
  <c r="V141" i="71" s="1"/>
  <c r="W141" i="71"/>
  <c r="X141" i="71"/>
  <c r="O142" i="71" l="1"/>
  <c r="AD141" i="71"/>
  <c r="AE141" i="71" s="1"/>
  <c r="S142" i="71" l="1"/>
  <c r="Q142" i="71" s="1"/>
  <c r="R142" i="71" l="1"/>
  <c r="T142" i="71"/>
  <c r="AB142" i="71"/>
  <c r="AC142" i="71" s="1"/>
  <c r="Z142" i="71"/>
  <c r="U142" i="71" l="1"/>
  <c r="V142" i="71" s="1"/>
  <c r="W142" i="71"/>
  <c r="X142" i="71"/>
  <c r="O143" i="71" l="1"/>
  <c r="AD142" i="71"/>
  <c r="AE142" i="71" s="1"/>
  <c r="S143" i="71" l="1"/>
  <c r="Q143" i="71" s="1"/>
  <c r="T143" i="71" l="1"/>
  <c r="Z143" i="71"/>
  <c r="AB143" i="71"/>
  <c r="AC143" i="71" s="1"/>
  <c r="R143" i="71"/>
  <c r="U143" i="71" l="1"/>
  <c r="V143" i="71" s="1"/>
  <c r="W143" i="71"/>
  <c r="X143" i="71"/>
  <c r="AD143" i="71" l="1"/>
  <c r="AE143" i="71" s="1"/>
  <c r="O144" i="71"/>
  <c r="S144" i="71" l="1"/>
  <c r="Q144" i="71" s="1"/>
  <c r="R144" i="71" l="1"/>
  <c r="T144" i="71"/>
  <c r="Z144" i="71"/>
  <c r="AB144" i="71"/>
  <c r="AC144" i="71" s="1"/>
  <c r="U144" i="71" l="1"/>
  <c r="V144" i="71" s="1"/>
  <c r="W144" i="71"/>
  <c r="X144" i="71"/>
  <c r="AD144" i="71" l="1"/>
  <c r="AE144" i="71" s="1"/>
  <c r="O145" i="71"/>
  <c r="S145" i="71" l="1"/>
  <c r="Q145" i="71" s="1"/>
  <c r="AB145" i="71" l="1"/>
  <c r="AC145" i="71" s="1"/>
  <c r="R145" i="71"/>
  <c r="T145" i="71"/>
  <c r="Z145" i="71"/>
  <c r="U145" i="71" l="1"/>
  <c r="V145" i="71" s="1"/>
  <c r="W145" i="71"/>
  <c r="X145" i="71"/>
  <c r="AD145" i="71" l="1"/>
  <c r="AE145" i="71" s="1"/>
  <c r="O146" i="71"/>
  <c r="S146" i="71" l="1"/>
  <c r="Q146" i="71" s="1"/>
  <c r="Z146" i="71" l="1"/>
  <c r="AB146" i="71"/>
  <c r="AC146" i="71" s="1"/>
  <c r="R146" i="71"/>
  <c r="T146" i="71"/>
  <c r="U146" i="71" l="1"/>
  <c r="V146" i="71" s="1"/>
  <c r="W146" i="71"/>
  <c r="X146" i="71"/>
  <c r="AD146" i="71" l="1"/>
  <c r="AE146" i="71" s="1"/>
  <c r="O147" i="71"/>
  <c r="S147" i="71" l="1"/>
  <c r="Q147" i="71" s="1"/>
  <c r="Z147" i="71" l="1"/>
  <c r="AB147" i="71"/>
  <c r="AC147" i="71" s="1"/>
  <c r="R147" i="71"/>
  <c r="T147" i="71"/>
  <c r="U147" i="71" l="1"/>
  <c r="V147" i="71" s="1"/>
  <c r="W147" i="71"/>
  <c r="X147" i="71"/>
  <c r="O148" i="71" l="1"/>
  <c r="AD147" i="71"/>
  <c r="AE147" i="71" s="1"/>
  <c r="S148" i="71" l="1"/>
  <c r="Q148" i="71" s="1"/>
  <c r="Z148" i="71" l="1"/>
  <c r="R148" i="71"/>
  <c r="T148" i="71"/>
  <c r="AB148" i="71"/>
  <c r="AC148" i="71" s="1"/>
  <c r="U148" i="71" l="1"/>
  <c r="V148" i="71" s="1"/>
  <c r="W148" i="71"/>
  <c r="X148" i="71"/>
  <c r="O149" i="71" l="1"/>
  <c r="AD148" i="71"/>
  <c r="AE148" i="71" s="1"/>
  <c r="S149" i="71" l="1"/>
  <c r="Q149" i="71" s="1"/>
  <c r="AB149" i="71" l="1"/>
  <c r="AC149" i="71" s="1"/>
  <c r="R149" i="71"/>
  <c r="T149" i="71"/>
  <c r="Z149" i="71"/>
  <c r="U149" i="71" l="1"/>
  <c r="V149" i="71" s="1"/>
  <c r="W149" i="71"/>
  <c r="X149" i="71"/>
  <c r="O150" i="71" l="1"/>
  <c r="AD149" i="71"/>
  <c r="AE149" i="71" s="1"/>
  <c r="S150" i="71" l="1"/>
  <c r="Q150" i="71" s="1"/>
  <c r="T150" i="71" l="1"/>
  <c r="Z150" i="71"/>
  <c r="R150" i="71"/>
  <c r="AB150" i="71"/>
  <c r="AC150" i="71" s="1"/>
  <c r="U150" i="71" l="1"/>
  <c r="V150" i="71" s="1"/>
  <c r="W150" i="71"/>
  <c r="X150" i="71"/>
  <c r="O151" i="71" l="1"/>
  <c r="AD150" i="71"/>
  <c r="AE150" i="71" s="1"/>
  <c r="S151" i="71" l="1"/>
  <c r="Q151" i="71" s="1"/>
  <c r="T151" i="71" l="1"/>
  <c r="R151" i="71"/>
  <c r="Z151" i="71"/>
  <c r="AB151" i="71"/>
  <c r="AC151" i="71" s="1"/>
  <c r="U151" i="71" l="1"/>
  <c r="V151" i="71" s="1"/>
  <c r="W151" i="71"/>
  <c r="X151" i="71"/>
  <c r="AD151" i="71" l="1"/>
  <c r="AE151" i="71" s="1"/>
  <c r="O152" i="71"/>
  <c r="S152" i="71" l="1"/>
  <c r="Q152" i="71" s="1"/>
  <c r="R152" i="71" l="1"/>
  <c r="T152" i="71"/>
  <c r="Z152" i="71"/>
  <c r="AB152" i="71"/>
  <c r="AC152" i="71" s="1"/>
  <c r="U152" i="71" l="1"/>
  <c r="V152" i="71" s="1"/>
  <c r="W152" i="71"/>
  <c r="X152" i="71"/>
  <c r="AD152" i="71" l="1"/>
  <c r="AE152" i="71" s="1"/>
  <c r="O153" i="71"/>
  <c r="S153" i="71" l="1"/>
  <c r="Q153" i="71" s="1"/>
  <c r="AB153" i="71" l="1"/>
  <c r="AC153" i="71" s="1"/>
  <c r="R153" i="71"/>
  <c r="T153" i="71"/>
  <c r="Z153" i="71"/>
  <c r="U153" i="71" l="1"/>
  <c r="V153" i="71" s="1"/>
  <c r="W153" i="71"/>
  <c r="X153" i="71"/>
  <c r="AD153" i="71" l="1"/>
  <c r="AE153" i="71" s="1"/>
  <c r="O154" i="71"/>
  <c r="S154" i="71" l="1"/>
  <c r="Q154" i="71" s="1"/>
  <c r="Z154" i="71" l="1"/>
  <c r="AB154" i="71"/>
  <c r="AC154" i="71" s="1"/>
  <c r="R154" i="71"/>
  <c r="T154" i="71"/>
  <c r="U154" i="71" l="1"/>
  <c r="V154" i="71" s="1"/>
  <c r="W154" i="71"/>
  <c r="X154" i="71"/>
  <c r="O155" i="71" l="1"/>
  <c r="AD154" i="71"/>
  <c r="AE154" i="71" s="1"/>
  <c r="S155" i="71" l="1"/>
  <c r="Q155" i="71" s="1"/>
  <c r="Z155" i="71" l="1"/>
  <c r="AB155" i="71"/>
  <c r="AC155" i="71" s="1"/>
  <c r="T155" i="71"/>
  <c r="R155" i="71"/>
  <c r="U155" i="71" l="1"/>
  <c r="V155" i="71" s="1"/>
  <c r="W155" i="71"/>
  <c r="X155" i="71"/>
  <c r="AD155" i="71" l="1"/>
  <c r="AE155" i="71" s="1"/>
  <c r="O156" i="71"/>
  <c r="S156" i="71" l="1"/>
  <c r="Q156" i="71" s="1"/>
  <c r="Z156" i="71" l="1"/>
  <c r="T156" i="71"/>
  <c r="R156" i="71"/>
  <c r="AB156" i="71"/>
  <c r="AC156" i="71" s="1"/>
  <c r="U156" i="71" l="1"/>
  <c r="V156" i="71" s="1"/>
  <c r="W156" i="71"/>
  <c r="X156" i="71"/>
  <c r="O157" i="71" l="1"/>
  <c r="AD156" i="71"/>
  <c r="AE156" i="71" s="1"/>
  <c r="S157" i="71" l="1"/>
  <c r="Q157" i="71" s="1"/>
  <c r="Z157" i="71" l="1"/>
  <c r="AB157" i="71"/>
  <c r="AC157" i="71" s="1"/>
  <c r="T157" i="71"/>
  <c r="R157" i="71"/>
  <c r="U157" i="71" l="1"/>
  <c r="V157" i="71" s="1"/>
  <c r="W157" i="71"/>
  <c r="X157" i="71"/>
  <c r="O158" i="71" l="1"/>
  <c r="AD157" i="71"/>
  <c r="AE157" i="71" s="1"/>
  <c r="S158" i="71" l="1"/>
  <c r="Q158" i="71" s="1"/>
  <c r="AB158" i="71" l="1"/>
  <c r="AC158" i="71" s="1"/>
  <c r="R158" i="71"/>
  <c r="T158" i="71"/>
  <c r="Z158" i="71"/>
  <c r="U158" i="71" l="1"/>
  <c r="V158" i="71" s="1"/>
  <c r="W158" i="71"/>
  <c r="X158" i="71"/>
  <c r="AD158" i="71" l="1"/>
  <c r="AE158" i="71" s="1"/>
  <c r="O159" i="71"/>
  <c r="S159" i="71" l="1"/>
  <c r="Q159" i="71" s="1"/>
  <c r="R159" i="71" l="1"/>
  <c r="T159" i="71"/>
  <c r="AB159" i="71"/>
  <c r="AC159" i="71" s="1"/>
  <c r="Z159" i="71"/>
  <c r="U159" i="71" l="1"/>
  <c r="V159" i="71" s="1"/>
  <c r="W159" i="71"/>
  <c r="X159" i="71"/>
  <c r="AD159" i="71" l="1"/>
  <c r="AE159" i="71" s="1"/>
  <c r="O160" i="71"/>
  <c r="S160" i="71" l="1"/>
  <c r="Q160" i="71" s="1"/>
  <c r="T160" i="71" l="1"/>
  <c r="R160" i="71"/>
  <c r="AB160" i="71"/>
  <c r="AC160" i="71" s="1"/>
  <c r="Z160" i="71"/>
  <c r="U160" i="71" l="1"/>
  <c r="V160" i="71" s="1"/>
  <c r="W160" i="71"/>
  <c r="X160" i="71"/>
  <c r="AD160" i="71" l="1"/>
  <c r="AE160" i="71" s="1"/>
  <c r="O161" i="71"/>
  <c r="S161" i="71" l="1"/>
  <c r="Q161" i="71" s="1"/>
  <c r="R161" i="71" l="1"/>
  <c r="AB161" i="71"/>
  <c r="AC161" i="71" s="1"/>
  <c r="Z161" i="71"/>
  <c r="T161" i="71"/>
  <c r="U161" i="71" l="1"/>
  <c r="V161" i="71" s="1"/>
  <c r="W161" i="71"/>
  <c r="X161" i="71"/>
  <c r="O162" i="71" l="1"/>
  <c r="AD161" i="71"/>
  <c r="AE161" i="71" s="1"/>
  <c r="S162" i="71" l="1"/>
  <c r="Q162" i="71" s="1"/>
  <c r="AB162" i="71" l="1"/>
  <c r="AC162" i="71" s="1"/>
  <c r="Z162" i="71"/>
  <c r="R162" i="71"/>
  <c r="T162" i="71"/>
  <c r="U162" i="71" l="1"/>
  <c r="V162" i="71" s="1"/>
  <c r="W162" i="71"/>
  <c r="X162" i="71"/>
  <c r="O163" i="71" l="1"/>
  <c r="AD162" i="71"/>
  <c r="AE162" i="71" s="1"/>
  <c r="S163" i="71" l="1"/>
  <c r="Q163" i="71" s="1"/>
  <c r="Z163" i="71" l="1"/>
  <c r="AB163" i="71"/>
  <c r="AC163" i="71" s="1"/>
  <c r="T163" i="71"/>
  <c r="R163" i="71"/>
  <c r="U163" i="71" l="1"/>
  <c r="V163" i="71" s="1"/>
  <c r="W163" i="71"/>
  <c r="X163" i="71"/>
  <c r="AD163" i="71" l="1"/>
  <c r="AE163" i="71" s="1"/>
  <c r="O164" i="71"/>
  <c r="S164" i="71" l="1"/>
  <c r="Q164" i="71" s="1"/>
  <c r="Z164" i="71" l="1"/>
  <c r="AB164" i="71"/>
  <c r="AC164" i="71" s="1"/>
  <c r="T164" i="71"/>
  <c r="R164" i="71"/>
  <c r="U164" i="71" l="1"/>
  <c r="V164" i="71" s="1"/>
  <c r="W164" i="71"/>
  <c r="X164" i="71"/>
  <c r="O165" i="71" l="1"/>
  <c r="AD164" i="71"/>
  <c r="AE164" i="71" s="1"/>
  <c r="S165" i="71" l="1"/>
  <c r="Q165" i="71" s="1"/>
  <c r="AB165" i="71" l="1"/>
  <c r="AC165" i="71" s="1"/>
  <c r="R165" i="71"/>
  <c r="Z165" i="71"/>
  <c r="T165" i="71"/>
  <c r="U165" i="71" l="1"/>
  <c r="V165" i="71" s="1"/>
  <c r="W165" i="71"/>
  <c r="X165" i="71"/>
  <c r="O166" i="71" l="1"/>
  <c r="AD165" i="71"/>
  <c r="AE165" i="71" s="1"/>
  <c r="S166" i="71" l="1"/>
  <c r="Q166" i="71" s="1"/>
  <c r="R166" i="71" l="1"/>
  <c r="T166" i="71"/>
  <c r="AB166" i="71"/>
  <c r="AC166" i="71" s="1"/>
  <c r="Z166" i="71"/>
  <c r="U166" i="71" l="1"/>
  <c r="V166" i="71" s="1"/>
  <c r="W166" i="71"/>
  <c r="X166" i="71"/>
  <c r="AD166" i="71" l="1"/>
  <c r="AE166" i="71" s="1"/>
  <c r="O167" i="71"/>
  <c r="S167" i="71" l="1"/>
  <c r="Q167" i="71" s="1"/>
  <c r="R167" i="71" l="1"/>
  <c r="T167" i="71"/>
  <c r="Z167" i="71"/>
  <c r="AB167" i="71"/>
  <c r="AC167" i="71" s="1"/>
  <c r="U167" i="71" l="1"/>
  <c r="V167" i="71" s="1"/>
  <c r="W167" i="71"/>
  <c r="X167" i="71"/>
  <c r="AD167" i="71" l="1"/>
  <c r="AE167" i="71" s="1"/>
  <c r="O168" i="71"/>
  <c r="S168" i="71" l="1"/>
  <c r="Q168" i="71" s="1"/>
  <c r="AB168" i="71" l="1"/>
  <c r="AC168" i="71" s="1"/>
  <c r="R168" i="71"/>
  <c r="T168" i="71"/>
  <c r="Z168" i="71"/>
  <c r="U168" i="71" l="1"/>
  <c r="V168" i="71" s="1"/>
  <c r="W168" i="71"/>
  <c r="X168" i="71"/>
  <c r="AD168" i="71" l="1"/>
  <c r="AE168" i="71" s="1"/>
  <c r="O169" i="71"/>
  <c r="S169" i="71" l="1"/>
  <c r="Q169" i="71" s="1"/>
  <c r="Z169" i="71" l="1"/>
  <c r="AB169" i="71"/>
  <c r="AC169" i="71" s="1"/>
  <c r="R169" i="71"/>
  <c r="T169" i="71"/>
  <c r="U169" i="71" l="1"/>
  <c r="V169" i="71" s="1"/>
  <c r="W169" i="71"/>
  <c r="X169" i="71"/>
  <c r="O170" i="71" l="1"/>
  <c r="AD169" i="71"/>
  <c r="AE169" i="71" s="1"/>
  <c r="S170" i="71" l="1"/>
  <c r="Q170" i="71" s="1"/>
  <c r="Z170" i="71" l="1"/>
  <c r="AB170" i="71"/>
  <c r="AC170" i="71" s="1"/>
  <c r="R170" i="71"/>
  <c r="T170" i="71"/>
  <c r="U170" i="71" l="1"/>
  <c r="V170" i="71" s="1"/>
  <c r="W170" i="71"/>
  <c r="X170" i="71"/>
  <c r="O171" i="71" l="1"/>
  <c r="AD170" i="71"/>
  <c r="AE170" i="71" s="1"/>
  <c r="S171" i="71" l="1"/>
  <c r="Q171" i="71" s="1"/>
  <c r="Z171" i="71" l="1"/>
  <c r="T171" i="71"/>
  <c r="AB171" i="71"/>
  <c r="AC171" i="71" s="1"/>
  <c r="R171" i="71"/>
  <c r="U171" i="71" l="1"/>
  <c r="V171" i="71" s="1"/>
  <c r="W171" i="71"/>
  <c r="X171" i="71"/>
  <c r="O172" i="71" l="1"/>
  <c r="AD171" i="71"/>
  <c r="AE171" i="71" s="1"/>
  <c r="S172" i="71" l="1"/>
  <c r="Q172" i="71" s="1"/>
  <c r="R172" i="71" l="1"/>
  <c r="AB172" i="71"/>
  <c r="AC172" i="71" s="1"/>
  <c r="Z172" i="71"/>
  <c r="T172" i="71"/>
  <c r="U172" i="71" l="1"/>
  <c r="V172" i="71" s="1"/>
  <c r="W172" i="71"/>
  <c r="X172" i="71"/>
  <c r="O173" i="71" l="1"/>
  <c r="AD172" i="71"/>
  <c r="AE172" i="71" s="1"/>
  <c r="S173" i="71" l="1"/>
  <c r="Q173" i="71" s="1"/>
  <c r="AB173" i="71" l="1"/>
  <c r="AC173" i="71" s="1"/>
  <c r="Z173" i="71"/>
  <c r="T173" i="71"/>
  <c r="R173" i="71"/>
  <c r="U173" i="71" l="1"/>
  <c r="V173" i="71" s="1"/>
  <c r="W173" i="71"/>
  <c r="X173" i="71"/>
  <c r="O174" i="71" l="1"/>
  <c r="AD173" i="71"/>
  <c r="AE173" i="71" s="1"/>
  <c r="S174" i="71" l="1"/>
  <c r="Q174" i="71" s="1"/>
  <c r="T174" i="71" l="1"/>
  <c r="R174" i="71"/>
  <c r="Z174" i="71"/>
  <c r="AB174" i="71"/>
  <c r="AC174" i="71" s="1"/>
  <c r="U174" i="71" l="1"/>
  <c r="V174" i="71" s="1"/>
  <c r="W174" i="71"/>
  <c r="X174" i="71"/>
  <c r="AD174" i="71" l="1"/>
  <c r="AE174" i="71" s="1"/>
  <c r="O175" i="71"/>
  <c r="S175" i="71" l="1"/>
  <c r="Q175" i="71" s="1"/>
  <c r="R175" i="71" l="1"/>
  <c r="T175" i="71"/>
  <c r="Z175" i="71"/>
  <c r="AB175" i="71"/>
  <c r="AC175" i="71" s="1"/>
  <c r="U175" i="71" l="1"/>
  <c r="V175" i="71" s="1"/>
  <c r="W175" i="71"/>
  <c r="X175" i="71"/>
  <c r="AD175" i="71" l="1"/>
  <c r="AE175" i="71" s="1"/>
  <c r="O176" i="71"/>
  <c r="S176" i="71" l="1"/>
  <c r="Q176" i="71" s="1"/>
  <c r="AB176" i="71" l="1"/>
  <c r="AC176" i="71" s="1"/>
  <c r="R176" i="71"/>
  <c r="T176" i="71"/>
  <c r="Z176" i="71"/>
  <c r="U176" i="71" l="1"/>
  <c r="V176" i="71" s="1"/>
  <c r="W176" i="71"/>
  <c r="X176" i="71"/>
  <c r="AD176" i="71" l="1"/>
  <c r="AE176" i="71" s="1"/>
  <c r="O177" i="71"/>
  <c r="S177" i="71" l="1"/>
  <c r="Q177" i="71" s="1"/>
  <c r="Z177" i="71" l="1"/>
  <c r="AB177" i="71"/>
  <c r="AC177" i="71" s="1"/>
  <c r="R177" i="71"/>
  <c r="T177" i="71"/>
  <c r="U177" i="71" l="1"/>
  <c r="V177" i="71" s="1"/>
  <c r="W177" i="71"/>
  <c r="X177" i="71"/>
  <c r="O178" i="71" l="1"/>
  <c r="AD177" i="71"/>
  <c r="AE177" i="71" s="1"/>
  <c r="S178" i="71" l="1"/>
  <c r="Q178" i="71" s="1"/>
  <c r="Z178" i="71" l="1"/>
  <c r="AB178" i="71"/>
  <c r="AC178" i="71" s="1"/>
  <c r="R178" i="71"/>
  <c r="T178" i="71"/>
  <c r="U178" i="71" l="1"/>
  <c r="V178" i="71" s="1"/>
  <c r="W178" i="71"/>
  <c r="X178" i="71"/>
  <c r="O179" i="71" l="1"/>
  <c r="AD178" i="71"/>
  <c r="AE178" i="71" s="1"/>
  <c r="S179" i="71" l="1"/>
  <c r="Q179" i="71" s="1"/>
  <c r="Z179" i="71" l="1"/>
  <c r="AB179" i="71"/>
  <c r="AC179" i="71" s="1"/>
  <c r="R179" i="71"/>
  <c r="T179" i="71"/>
  <c r="U179" i="71" l="1"/>
  <c r="V179" i="71" s="1"/>
  <c r="W179" i="71"/>
  <c r="X179" i="71"/>
  <c r="O180" i="71" l="1"/>
  <c r="AD179" i="71"/>
  <c r="AE179" i="71" s="1"/>
  <c r="S180" i="71" l="1"/>
  <c r="Q180" i="71" s="1"/>
  <c r="T180" i="71" l="1"/>
  <c r="R180" i="71"/>
  <c r="Z180" i="71"/>
  <c r="AB180" i="71"/>
  <c r="AC180" i="71" s="1"/>
  <c r="U180" i="71" l="1"/>
  <c r="V180" i="71" s="1"/>
  <c r="W180" i="71"/>
  <c r="X180" i="71"/>
  <c r="O181" i="71" l="1"/>
  <c r="AD180" i="71"/>
  <c r="AE180" i="71" s="1"/>
  <c r="S181" i="71" l="1"/>
  <c r="Q181" i="71" s="1"/>
  <c r="R181" i="71" l="1"/>
  <c r="AB181" i="71"/>
  <c r="AC181" i="71" s="1"/>
  <c r="Z181" i="71"/>
  <c r="T181" i="71"/>
  <c r="U181" i="71" l="1"/>
  <c r="V181" i="71" s="1"/>
  <c r="W181" i="71"/>
  <c r="X181" i="71"/>
  <c r="O182" i="71" l="1"/>
  <c r="AD181" i="71"/>
  <c r="AE181" i="71" s="1"/>
  <c r="S182" i="71" l="1"/>
  <c r="Q182" i="71" s="1"/>
  <c r="T182" i="71" l="1"/>
  <c r="AB182" i="71"/>
  <c r="AC182" i="71" s="1"/>
  <c r="R182" i="71"/>
  <c r="Z182" i="71"/>
  <c r="U182" i="71" l="1"/>
  <c r="V182" i="71" s="1"/>
  <c r="W182" i="71"/>
  <c r="X182" i="71"/>
  <c r="AD182" i="71" l="1"/>
  <c r="AE182" i="71" s="1"/>
  <c r="O183" i="71"/>
  <c r="S183" i="71" l="1"/>
  <c r="Q183" i="71" s="1"/>
  <c r="R183" i="71" l="1"/>
  <c r="T183" i="71"/>
  <c r="AB183" i="71"/>
  <c r="AC183" i="71" s="1"/>
  <c r="Z183" i="71"/>
  <c r="U183" i="71" l="1"/>
  <c r="V183" i="71" s="1"/>
  <c r="W183" i="71"/>
  <c r="X183" i="71"/>
  <c r="AD183" i="71" l="1"/>
  <c r="AE183" i="71" s="1"/>
  <c r="O184" i="71"/>
  <c r="S184" i="71" l="1"/>
  <c r="Q184" i="71" s="1"/>
  <c r="AB184" i="71" l="1"/>
  <c r="AC184" i="71" s="1"/>
  <c r="R184" i="71"/>
  <c r="T184" i="71"/>
  <c r="Z184" i="71"/>
  <c r="U184" i="71" l="1"/>
  <c r="V184" i="71" s="1"/>
  <c r="W184" i="71"/>
  <c r="X184" i="71"/>
  <c r="AD184" i="71" l="1"/>
  <c r="AE184" i="71" s="1"/>
  <c r="O185" i="71"/>
  <c r="S185" i="71" l="1"/>
  <c r="Q185" i="71" s="1"/>
  <c r="Z185" i="71" l="1"/>
  <c r="AB185" i="71"/>
  <c r="AC185" i="71" s="1"/>
  <c r="R185" i="71"/>
  <c r="T185" i="71"/>
  <c r="U185" i="71" l="1"/>
  <c r="V185" i="71" s="1"/>
  <c r="W185" i="71"/>
  <c r="X185" i="71"/>
  <c r="AD185" i="71" l="1"/>
  <c r="AE185" i="71" s="1"/>
  <c r="O186" i="71"/>
  <c r="S186" i="71" l="1"/>
  <c r="Q186" i="71" s="1"/>
  <c r="Z186" i="71" l="1"/>
  <c r="AB186" i="71"/>
  <c r="AC186" i="71" s="1"/>
  <c r="T186" i="71"/>
  <c r="R186" i="71"/>
  <c r="U186" i="71" l="1"/>
  <c r="V186" i="71" s="1"/>
  <c r="W186" i="71"/>
  <c r="X186" i="71"/>
  <c r="AD186" i="71" l="1"/>
  <c r="AE186" i="71" s="1"/>
  <c r="O187" i="71"/>
  <c r="S187" i="71" l="1"/>
  <c r="Q187" i="71" s="1"/>
  <c r="Z187" i="71" l="1"/>
  <c r="R187" i="71"/>
  <c r="AB187" i="71"/>
  <c r="AC187" i="71" s="1"/>
  <c r="T187" i="71"/>
  <c r="U187" i="71" l="1"/>
  <c r="V187" i="71" s="1"/>
  <c r="W187" i="71"/>
  <c r="X187" i="71"/>
  <c r="O188" i="71" l="1"/>
  <c r="AD187" i="71"/>
  <c r="AE187" i="71" s="1"/>
  <c r="S188" i="71" l="1"/>
  <c r="Q188" i="71" s="1"/>
  <c r="R188" i="71" l="1"/>
  <c r="T188" i="71"/>
  <c r="AB188" i="71"/>
  <c r="AC188" i="71" s="1"/>
  <c r="Z188" i="71"/>
  <c r="U188" i="71" l="1"/>
  <c r="V188" i="71" s="1"/>
  <c r="W188" i="71"/>
  <c r="X188" i="71"/>
  <c r="O189" i="71" l="1"/>
  <c r="AD188" i="71"/>
  <c r="AE188" i="71" s="1"/>
  <c r="S189" i="71" l="1"/>
  <c r="Q189" i="71" s="1"/>
  <c r="AB189" i="71" l="1"/>
  <c r="AC189" i="71" s="1"/>
  <c r="R189" i="71"/>
  <c r="Z189" i="71"/>
  <c r="T189" i="71"/>
  <c r="U189" i="71" l="1"/>
  <c r="V189" i="71" s="1"/>
  <c r="W189" i="71"/>
  <c r="X189" i="71"/>
  <c r="O190" i="71" l="1"/>
  <c r="AD189" i="71"/>
  <c r="AE189" i="71" s="1"/>
  <c r="S190" i="71" l="1"/>
  <c r="Q190" i="71" s="1"/>
  <c r="T190" i="71" l="1"/>
  <c r="Z190" i="71"/>
  <c r="R190" i="71"/>
  <c r="AB190" i="71"/>
  <c r="AC190" i="71" s="1"/>
  <c r="U190" i="71" l="1"/>
  <c r="V190" i="71" s="1"/>
  <c r="W190" i="71"/>
  <c r="X190" i="71"/>
  <c r="AD190" i="71" l="1"/>
  <c r="AE190" i="71" s="1"/>
  <c r="O191" i="71"/>
  <c r="S191" i="71" l="1"/>
  <c r="Q191" i="71" s="1"/>
  <c r="R191" i="71" l="1"/>
  <c r="T191" i="71"/>
  <c r="AB191" i="71"/>
  <c r="AC191" i="71" s="1"/>
  <c r="Z191" i="71"/>
  <c r="U191" i="71" l="1"/>
  <c r="V191" i="71" s="1"/>
  <c r="W191" i="71"/>
  <c r="X191" i="71"/>
  <c r="AD191" i="71" l="1"/>
  <c r="AE191" i="71" s="1"/>
  <c r="O192" i="71"/>
  <c r="S192" i="71" l="1"/>
  <c r="Q192" i="71" s="1"/>
  <c r="AB192" i="71" l="1"/>
  <c r="AC192" i="71" s="1"/>
  <c r="R192" i="71"/>
  <c r="T192" i="71"/>
  <c r="Z192" i="71"/>
  <c r="U192" i="71" l="1"/>
  <c r="V192" i="71" s="1"/>
  <c r="W192" i="71"/>
  <c r="X192" i="71"/>
  <c r="AD192" i="71" l="1"/>
  <c r="AE192" i="71" s="1"/>
  <c r="O193" i="71"/>
  <c r="S193" i="71" l="1"/>
  <c r="Q193" i="71" s="1"/>
  <c r="Z193" i="71" l="1"/>
  <c r="AB193" i="71"/>
  <c r="AC193" i="71" s="1"/>
  <c r="R193" i="71"/>
  <c r="T193" i="71"/>
  <c r="U193" i="71" l="1"/>
  <c r="V193" i="71" s="1"/>
  <c r="W193" i="71"/>
  <c r="X193" i="71"/>
  <c r="O194" i="71" l="1"/>
  <c r="AD193" i="71"/>
  <c r="AE193" i="71" s="1"/>
  <c r="S194" i="71" l="1"/>
  <c r="Q194" i="71" s="1"/>
  <c r="AB194" i="71" l="1"/>
  <c r="AC194" i="71" s="1"/>
  <c r="T194" i="71"/>
  <c r="R194" i="71"/>
  <c r="Z194" i="71"/>
  <c r="U194" i="71" l="1"/>
  <c r="V194" i="71" s="1"/>
  <c r="W194" i="71"/>
  <c r="X194" i="71"/>
  <c r="AD194" i="71" l="1"/>
  <c r="AE194" i="71" s="1"/>
  <c r="O195" i="71"/>
  <c r="S195" i="71" l="1"/>
  <c r="Q195" i="71" s="1"/>
  <c r="Z195" i="71" l="1"/>
  <c r="AB195" i="71"/>
  <c r="AC195" i="71" s="1"/>
  <c r="T195" i="71"/>
  <c r="R195" i="71"/>
  <c r="U195" i="71" l="1"/>
  <c r="V195" i="71" s="1"/>
  <c r="W195" i="71"/>
  <c r="X195" i="71"/>
  <c r="O196" i="71" l="1"/>
  <c r="AD195" i="71"/>
  <c r="AE195" i="71" s="1"/>
  <c r="S196" i="71" l="1"/>
  <c r="Q196" i="71" s="1"/>
  <c r="AB196" i="71" l="1"/>
  <c r="AC196" i="71" s="1"/>
  <c r="Z196" i="71"/>
  <c r="T196" i="71"/>
  <c r="R196" i="71"/>
  <c r="U196" i="71" l="1"/>
  <c r="V196" i="71" s="1"/>
  <c r="W196" i="71"/>
  <c r="X196" i="71"/>
  <c r="AD196" i="71" l="1"/>
  <c r="AE196" i="71" s="1"/>
  <c r="O197" i="71"/>
  <c r="S197" i="71" l="1"/>
  <c r="Q197" i="71" s="1"/>
  <c r="R197" i="71" l="1"/>
  <c r="Z197" i="71"/>
  <c r="T197" i="71"/>
  <c r="AB197" i="71"/>
  <c r="AC197" i="71" s="1"/>
  <c r="U197" i="71" l="1"/>
  <c r="V197" i="71" s="1"/>
  <c r="W197" i="71"/>
  <c r="X197" i="71"/>
  <c r="O198" i="71" l="1"/>
  <c r="AD197" i="71"/>
  <c r="AE197" i="71" s="1"/>
  <c r="S198" i="71" l="1"/>
  <c r="Q198" i="71" s="1"/>
  <c r="R198" i="71" l="1"/>
  <c r="AB198" i="71"/>
  <c r="AC198" i="71" s="1"/>
  <c r="T198" i="71"/>
  <c r="Z198" i="71"/>
  <c r="U198" i="71" l="1"/>
  <c r="V198" i="71" s="1"/>
  <c r="W198" i="71"/>
  <c r="X198" i="71"/>
  <c r="O199" i="71" l="1"/>
  <c r="AD198" i="71"/>
  <c r="AE198" i="71" s="1"/>
  <c r="S199" i="71" l="1"/>
  <c r="Q199" i="71" s="1"/>
  <c r="R199" i="71" l="1"/>
  <c r="T199" i="71"/>
  <c r="AB199" i="71"/>
  <c r="AC199" i="71" s="1"/>
  <c r="Z199" i="71"/>
  <c r="U199" i="71" l="1"/>
  <c r="V199" i="71" s="1"/>
  <c r="W199" i="71"/>
  <c r="X199" i="71"/>
  <c r="AD199" i="71" l="1"/>
  <c r="AE199" i="71" s="1"/>
  <c r="O200" i="71"/>
  <c r="S200" i="71" l="1"/>
  <c r="Q200" i="71" s="1"/>
  <c r="T200" i="71" l="1"/>
  <c r="R200" i="71"/>
  <c r="Z200" i="71"/>
  <c r="AB200" i="71"/>
  <c r="AC200" i="71" s="1"/>
  <c r="U200" i="71" l="1"/>
  <c r="V200" i="71" s="1"/>
  <c r="W200" i="71"/>
  <c r="X200" i="71"/>
  <c r="O201" i="71" l="1"/>
  <c r="AD200" i="71"/>
  <c r="AE200" i="71" s="1"/>
  <c r="S201" i="71" l="1"/>
  <c r="Q201" i="71" s="1"/>
  <c r="T201" i="71" l="1"/>
  <c r="AB201" i="71"/>
  <c r="AC201" i="71" s="1"/>
  <c r="Z201" i="71"/>
  <c r="R201" i="71"/>
  <c r="U201" i="71" l="1"/>
  <c r="V201" i="71" s="1"/>
  <c r="W201" i="71"/>
  <c r="X201" i="71"/>
  <c r="AD201" i="71" l="1"/>
  <c r="AE201" i="71" s="1"/>
  <c r="O202" i="71"/>
  <c r="S202" i="71" l="1"/>
  <c r="Q202" i="71" s="1"/>
  <c r="R202" i="71" l="1"/>
  <c r="Z202" i="71"/>
  <c r="AB202" i="71"/>
  <c r="AC202" i="71" s="1"/>
  <c r="T202" i="71"/>
  <c r="U202" i="71" l="1"/>
  <c r="V202" i="71" s="1"/>
  <c r="W202" i="71"/>
  <c r="X202" i="71"/>
  <c r="O203" i="71" l="1"/>
  <c r="AD202" i="71"/>
  <c r="AE202" i="71" s="1"/>
  <c r="S203" i="71" l="1"/>
  <c r="Q203" i="71" s="1"/>
  <c r="AB203" i="71" l="1"/>
  <c r="AC203" i="71" s="1"/>
  <c r="Z203" i="71"/>
  <c r="R203" i="71"/>
  <c r="T203" i="71"/>
  <c r="U203" i="71" l="1"/>
  <c r="V203" i="71" s="1"/>
  <c r="W203" i="71"/>
  <c r="X203" i="71"/>
  <c r="O204" i="71" l="1"/>
  <c r="AD203" i="71"/>
  <c r="AE203" i="71" s="1"/>
  <c r="S204" i="71" l="1"/>
  <c r="Q204" i="71" s="1"/>
  <c r="Z204" i="71" l="1"/>
  <c r="AB204" i="71"/>
  <c r="AC204" i="71" s="1"/>
  <c r="T204" i="71"/>
  <c r="R204" i="71"/>
  <c r="U204" i="71" l="1"/>
  <c r="V204" i="71" s="1"/>
  <c r="W204" i="71"/>
  <c r="X204" i="71"/>
  <c r="O205" i="71" l="1"/>
  <c r="AD204" i="71"/>
  <c r="AE204" i="71" s="1"/>
  <c r="S205" i="71" l="1"/>
  <c r="Q205" i="71" s="1"/>
  <c r="R205" i="71" l="1"/>
  <c r="AB205" i="71"/>
  <c r="AC205" i="71" s="1"/>
  <c r="T205" i="71"/>
  <c r="Z205" i="71"/>
  <c r="U205" i="71" l="1"/>
  <c r="V205" i="71" s="1"/>
  <c r="W205" i="71"/>
  <c r="X205" i="71"/>
  <c r="AD205" i="71" l="1"/>
  <c r="AE205" i="71" s="1"/>
  <c r="O206" i="71"/>
  <c r="S206" i="71" l="1"/>
  <c r="Q206" i="71" s="1"/>
  <c r="R206" i="71" l="1"/>
  <c r="T206" i="71"/>
  <c r="Z206" i="71"/>
  <c r="AB206" i="71"/>
  <c r="AC206" i="71" s="1"/>
  <c r="U206" i="71" l="1"/>
  <c r="V206" i="71" s="1"/>
  <c r="W206" i="71"/>
  <c r="X206" i="71"/>
  <c r="O207" i="71" l="1"/>
  <c r="AD206" i="71"/>
  <c r="AE206" i="71" s="1"/>
  <c r="S207" i="71" l="1"/>
  <c r="Q207" i="71" s="1"/>
  <c r="T207" i="71" l="1"/>
  <c r="R207" i="71"/>
  <c r="AB207" i="71"/>
  <c r="AC207" i="71" s="1"/>
  <c r="Z207" i="71"/>
  <c r="U207" i="71" l="1"/>
  <c r="V207" i="71" s="1"/>
  <c r="W207" i="71"/>
  <c r="X207" i="71"/>
  <c r="O208" i="71" l="1"/>
  <c r="AD207" i="71"/>
  <c r="AE207" i="71" s="1"/>
  <c r="S208" i="71" l="1"/>
  <c r="Q208" i="71" s="1"/>
  <c r="T208" i="71" l="1"/>
  <c r="Z208" i="71"/>
  <c r="AB208" i="71"/>
  <c r="AC208" i="71" s="1"/>
  <c r="R208" i="71"/>
  <c r="U208" i="71" l="1"/>
  <c r="V208" i="71" s="1"/>
  <c r="W208" i="71"/>
  <c r="X208" i="71"/>
  <c r="O209" i="71" l="1"/>
  <c r="AD208" i="71"/>
  <c r="AE208" i="71" s="1"/>
  <c r="S209" i="71" l="1"/>
  <c r="Q209" i="71" s="1"/>
  <c r="T209" i="71" l="1"/>
  <c r="Z209" i="71"/>
  <c r="R209" i="71"/>
  <c r="AB209" i="71"/>
  <c r="AC209" i="71" s="1"/>
  <c r="U209" i="71" l="1"/>
  <c r="V209" i="71" s="1"/>
  <c r="W209" i="71"/>
  <c r="X209" i="71"/>
  <c r="AD209" i="71" l="1"/>
  <c r="AE209" i="71" s="1"/>
  <c r="O210" i="71"/>
  <c r="S210" i="71" l="1"/>
  <c r="Q210" i="71" s="1"/>
  <c r="R210" i="71" l="1"/>
  <c r="Z210" i="71"/>
  <c r="T210" i="71"/>
  <c r="AB210" i="71"/>
  <c r="AC210" i="71" s="1"/>
  <c r="AC211" i="71" s="1"/>
  <c r="AC212" i="71" s="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U210" i="71" l="1"/>
  <c r="V210" i="71" s="1"/>
  <c r="W307" i="71"/>
  <c r="W690" i="71"/>
  <c r="W510" i="71"/>
  <c r="W420" i="71"/>
  <c r="W313" i="71"/>
  <c r="W267" i="71"/>
  <c r="W755" i="71"/>
  <c r="W332" i="71"/>
  <c r="W264" i="71"/>
  <c r="W813" i="71"/>
  <c r="W558" i="71"/>
  <c r="W323" i="71"/>
  <c r="W289" i="71"/>
  <c r="W467" i="71"/>
  <c r="W772" i="71"/>
  <c r="W524" i="71"/>
  <c r="W804" i="71"/>
  <c r="W770" i="71"/>
  <c r="W451" i="71"/>
  <c r="W380" i="71"/>
  <c r="W233" i="71"/>
  <c r="W603" i="71"/>
  <c r="W698" i="71"/>
  <c r="W502" i="71"/>
  <c r="W779" i="71"/>
  <c r="W501" i="71"/>
  <c r="W418" i="71"/>
  <c r="W457" i="71"/>
  <c r="W351" i="71"/>
  <c r="W513" i="71"/>
  <c r="W771" i="71"/>
  <c r="W569" i="71"/>
  <c r="W349" i="71"/>
  <c r="W522" i="71"/>
  <c r="W356" i="71"/>
  <c r="W635" i="71"/>
  <c r="W355" i="71"/>
  <c r="W670" i="71"/>
  <c r="W363" i="71"/>
  <c r="W325" i="71"/>
  <c r="W428" i="71"/>
  <c r="W568" i="71"/>
  <c r="W616" i="71"/>
  <c r="W714" i="71"/>
  <c r="W663" i="71"/>
  <c r="W643" i="71"/>
  <c r="W275" i="71"/>
  <c r="W794" i="71"/>
  <c r="W684" i="71"/>
  <c r="W806" i="71"/>
  <c r="W331" i="71"/>
  <c r="W495" i="71"/>
  <c r="W434" i="71"/>
  <c r="W485" i="71"/>
  <c r="W647" i="71"/>
  <c r="W255" i="71"/>
  <c r="W379" i="71"/>
  <c r="W274" i="71"/>
  <c r="W482" i="71"/>
  <c r="W346" i="71"/>
  <c r="W490" i="71"/>
  <c r="W285" i="71"/>
  <c r="W424" i="71"/>
  <c r="W403" i="71"/>
  <c r="W536" i="71"/>
  <c r="W422" i="71"/>
  <c r="W483" i="71"/>
  <c r="W627" i="71"/>
  <c r="W438" i="71"/>
  <c r="W237" i="71"/>
  <c r="W316" i="71"/>
  <c r="W780" i="71"/>
  <c r="W769" i="71"/>
  <c r="W639" i="71"/>
  <c r="W703" i="71"/>
  <c r="W583" i="71"/>
  <c r="W437" i="71"/>
  <c r="W392" i="71"/>
  <c r="W425" i="71"/>
  <c r="W798" i="71"/>
  <c r="W372" i="71"/>
  <c r="W430" i="71"/>
  <c r="W646" i="71"/>
  <c r="W743" i="71"/>
  <c r="W250" i="71"/>
  <c r="W734" i="71"/>
  <c r="W298" i="71"/>
  <c r="W507" i="71"/>
  <c r="W423" i="71"/>
  <c r="W564" i="71"/>
  <c r="W276" i="71"/>
  <c r="W764" i="71"/>
  <c r="W368" i="71"/>
  <c r="W541" i="71"/>
  <c r="W552" i="71"/>
  <c r="W364" i="71"/>
  <c r="W790" i="71"/>
  <c r="W474" i="71"/>
  <c r="W453" i="71"/>
  <c r="W577" i="71"/>
  <c r="W443" i="71"/>
  <c r="W249" i="71"/>
  <c r="W328" i="71"/>
  <c r="W563" i="71"/>
  <c r="W224" i="71"/>
  <c r="W740" i="71"/>
  <c r="W816" i="71"/>
  <c r="W312" i="71"/>
  <c r="W333" i="71"/>
  <c r="W672" i="71"/>
  <c r="W750" i="71"/>
  <c r="W266" i="71"/>
  <c r="W609" i="71"/>
  <c r="W244" i="71"/>
  <c r="W512" i="71"/>
  <c r="W228" i="71"/>
  <c r="W484" i="71"/>
  <c r="W450" i="71"/>
  <c r="W731" i="71"/>
  <c r="W746" i="71"/>
  <c r="W717" i="71"/>
  <c r="W468" i="71"/>
  <c r="W416" i="71"/>
  <c r="W369" i="71"/>
  <c r="W234" i="71"/>
  <c r="W460" i="71"/>
  <c r="W360" i="71"/>
  <c r="W293" i="71"/>
  <c r="W728" i="71"/>
  <c r="W710" i="71"/>
  <c r="W705" i="71"/>
  <c r="W290" i="71"/>
  <c r="W575" i="71"/>
  <c r="W397" i="71"/>
  <c r="W748" i="71"/>
  <c r="W508" i="71"/>
  <c r="W269" i="71"/>
  <c r="W711" i="71"/>
  <c r="W314" i="71"/>
  <c r="W210" i="71"/>
  <c r="W736" i="71"/>
  <c r="W593" i="71"/>
  <c r="W713" i="71"/>
  <c r="W819" i="71"/>
  <c r="W499" i="71"/>
  <c r="W317" i="71"/>
  <c r="W565" i="71"/>
  <c r="W574" i="71"/>
  <c r="W796" i="71"/>
  <c r="W466" i="71"/>
  <c r="W388" i="71"/>
  <c r="W620" i="71"/>
  <c r="W277" i="71"/>
  <c r="W821" i="71"/>
  <c r="W676" i="71"/>
  <c r="W395" i="71"/>
  <c r="W825" i="71"/>
  <c r="W229" i="71"/>
  <c r="W362" i="71"/>
  <c r="W608" i="71"/>
  <c r="W241" i="71"/>
  <c r="W310" i="71"/>
  <c r="W226" i="71"/>
  <c r="W257" i="71"/>
  <c r="W634" i="71"/>
  <c r="W566" i="71"/>
  <c r="W329" i="71"/>
  <c r="W531" i="71"/>
  <c r="W491" i="71"/>
  <c r="W595" i="71"/>
  <c r="W788" i="71"/>
  <c r="W775" i="71"/>
  <c r="W419" i="71"/>
  <c r="W828" i="71"/>
  <c r="W544" i="71"/>
  <c r="W308" i="71"/>
  <c r="W632" i="71"/>
  <c r="W535" i="71"/>
  <c r="W611" i="71"/>
  <c r="W615" i="71"/>
  <c r="W778" i="71"/>
  <c r="W223" i="71"/>
  <c r="W352" i="71"/>
  <c r="W810" i="71"/>
  <c r="W409" i="71"/>
  <c r="W281" i="71"/>
  <c r="W219" i="71"/>
  <c r="W357" i="71"/>
  <c r="W808" i="71"/>
  <c r="W489" i="71"/>
  <c r="W758" i="71"/>
  <c r="W805" i="71"/>
  <c r="W396" i="71"/>
  <c r="W461" i="71"/>
  <c r="W732" i="71"/>
  <c r="W666" i="71"/>
  <c r="W361" i="71"/>
  <c r="W240" i="71"/>
  <c r="W557" i="71"/>
  <c r="W640" i="71"/>
  <c r="W542" i="71"/>
  <c r="W648" i="71"/>
  <c r="W529" i="71"/>
  <c r="W481" i="71"/>
  <c r="W815" i="71"/>
  <c r="W832" i="71"/>
  <c r="W528" i="71"/>
  <c r="W830" i="71"/>
  <c r="W338" i="71"/>
  <c r="W607" i="71"/>
  <c r="W597" i="71"/>
  <c r="W217" i="71"/>
  <c r="W374" i="71"/>
  <c r="W288" i="71"/>
  <c r="W487" i="71"/>
  <c r="W306" i="71"/>
  <c r="W628" i="71"/>
  <c r="W553" i="71"/>
  <c r="W655" i="71"/>
  <c r="W631" i="71"/>
  <c r="W327" i="71"/>
  <c r="W739" i="71"/>
  <c r="W572" i="71"/>
  <c r="W562" i="71"/>
  <c r="W537" i="71"/>
  <c r="W213" i="71"/>
  <c r="W749" i="71"/>
  <c r="W707" i="71"/>
  <c r="W498" i="71"/>
  <c r="W347" i="71"/>
  <c r="W530" i="71"/>
  <c r="W493" i="71"/>
  <c r="W693" i="71"/>
  <c r="W550" i="71"/>
  <c r="W345" i="71"/>
  <c r="W348" i="71"/>
  <c r="W318" i="71"/>
  <c r="W633" i="71"/>
  <c r="W515" i="71"/>
  <c r="W227" i="71"/>
  <c r="W260" i="71"/>
  <c r="W545" i="71"/>
  <c r="W561" i="71"/>
  <c r="W605" i="71"/>
  <c r="W718" i="71"/>
  <c r="W253" i="71"/>
  <c r="W803" i="71"/>
  <c r="W455" i="71"/>
  <c r="W371" i="71"/>
  <c r="W686" i="71"/>
  <c r="W538" i="71"/>
  <c r="W720" i="71"/>
  <c r="W384" i="71"/>
  <c r="W691" i="71"/>
  <c r="W413" i="71"/>
  <c r="W212" i="71"/>
  <c r="W401" i="71"/>
  <c r="W469" i="71"/>
  <c r="W602" i="71"/>
  <c r="W470" i="71"/>
  <c r="W625" i="71"/>
  <c r="W479" i="71"/>
  <c r="W258" i="71"/>
  <c r="W500" i="71"/>
  <c r="W214" i="71"/>
  <c r="W694" i="71"/>
  <c r="W697" i="71"/>
  <c r="W366" i="71"/>
  <c r="W682" i="71"/>
  <c r="W463" i="71"/>
  <c r="W586" i="71"/>
  <c r="W533" i="71"/>
  <c r="W820" i="71"/>
  <c r="W540" i="71"/>
  <c r="W367" i="71"/>
  <c r="W297" i="71"/>
  <c r="W516" i="71"/>
  <c r="W358" i="71"/>
  <c r="W246" i="71"/>
  <c r="W665" i="71"/>
  <c r="W335" i="71"/>
  <c r="W673" i="71"/>
  <c r="W659" i="71"/>
  <c r="W674" i="71"/>
  <c r="W492" i="71"/>
  <c r="W822" i="71"/>
  <c r="W414" i="71"/>
  <c r="W387" i="71"/>
  <c r="W812" i="71"/>
  <c r="W497" i="71"/>
  <c r="W612" i="71"/>
  <c r="W433" i="71"/>
  <c r="W309" i="71"/>
  <c r="W454" i="71"/>
  <c r="W365" i="71"/>
  <c r="W432" i="71"/>
  <c r="W695" i="71"/>
  <c r="W398" i="71"/>
  <c r="W373" i="71"/>
  <c r="W445" i="71"/>
  <c r="W716" i="71"/>
  <c r="W486" i="71"/>
  <c r="W532" i="71"/>
  <c r="W236" i="71"/>
  <c r="W342" i="71"/>
  <c r="W520" i="71"/>
  <c r="W556" i="71"/>
  <c r="W649" i="71"/>
  <c r="W426" i="71"/>
  <c r="W383" i="71"/>
  <c r="W506" i="71"/>
  <c r="W637" i="71"/>
  <c r="W287" i="71"/>
  <c r="W439" i="71"/>
  <c r="W683" i="71"/>
  <c r="W242" i="71"/>
  <c r="W232" i="71"/>
  <c r="W503" i="71"/>
  <c r="W677" i="71"/>
  <c r="W412" i="71"/>
  <c r="W781" i="71"/>
  <c r="W651" i="71"/>
  <c r="W642" i="71"/>
  <c r="W799" i="71"/>
  <c r="W650" i="71"/>
  <c r="W442" i="71"/>
  <c r="W675" i="71"/>
  <c r="W668" i="71"/>
  <c r="W818" i="71"/>
  <c r="W678" i="71"/>
  <c r="W657" i="71"/>
  <c r="W475" i="71"/>
  <c r="W390" i="71"/>
  <c r="W421" i="71"/>
  <c r="W247" i="71"/>
  <c r="W261" i="71"/>
  <c r="W685" i="71"/>
  <c r="W591" i="71"/>
  <c r="W706" i="71"/>
  <c r="W576" i="71"/>
  <c r="W671" i="71"/>
  <c r="W337" i="71"/>
  <c r="W280" i="71"/>
  <c r="W272" i="71"/>
  <c r="W712" i="71"/>
  <c r="W549" i="71"/>
  <c r="W370" i="71"/>
  <c r="W406" i="71"/>
  <c r="W259" i="71"/>
  <c r="W551" i="71"/>
  <c r="W294" i="71"/>
  <c r="W446" i="71"/>
  <c r="W689" i="71"/>
  <c r="W476" i="71"/>
  <c r="W399" i="71"/>
  <c r="W747" i="71"/>
  <c r="W681" i="71"/>
  <c r="W590" i="71"/>
  <c r="W614" i="71"/>
  <c r="W829" i="71"/>
  <c r="W652" i="71"/>
  <c r="W833" i="71"/>
  <c r="W354" i="71"/>
  <c r="W735" i="71"/>
  <c r="W774" i="71"/>
  <c r="W588" i="71"/>
  <c r="W555" i="71"/>
  <c r="W427" i="71"/>
  <c r="W768" i="71"/>
  <c r="W733" i="71"/>
  <c r="W320" i="71"/>
  <c r="W766" i="71"/>
  <c r="W599" i="71"/>
  <c r="W319" i="71"/>
  <c r="W653" i="71"/>
  <c r="W787" i="71"/>
  <c r="W408" i="71"/>
  <c r="W324" i="71"/>
  <c r="W389" i="71"/>
  <c r="W344" i="71"/>
  <c r="W225" i="71"/>
  <c r="W715" i="71"/>
  <c r="W407" i="71"/>
  <c r="W823" i="71"/>
  <c r="W239" i="71"/>
  <c r="W759" i="71"/>
  <c r="W268" i="71"/>
  <c r="W477" i="71"/>
  <c r="W404" i="71"/>
  <c r="W831" i="71"/>
  <c r="W265" i="71"/>
  <c r="W391" i="71"/>
  <c r="W702" i="71"/>
  <c r="W478" i="71"/>
  <c r="W756" i="71"/>
  <c r="W448" i="71"/>
  <c r="W791" i="71"/>
  <c r="W254" i="71"/>
  <c r="W587" i="71"/>
  <c r="W273" i="71"/>
  <c r="W654" i="71"/>
  <c r="W594" i="71"/>
  <c r="W814" i="71"/>
  <c r="W378" i="71"/>
  <c r="W826" i="71"/>
  <c r="W375" i="71"/>
  <c r="W811" i="71"/>
  <c r="W721" i="71"/>
  <c r="W215" i="71"/>
  <c r="W480" i="71"/>
  <c r="W645" i="71"/>
  <c r="W230" i="71"/>
  <c r="W777" i="71"/>
  <c r="W786" i="71"/>
  <c r="W410" i="71"/>
  <c r="W760" i="71"/>
  <c r="W669" i="71"/>
  <c r="W765" i="71"/>
  <c r="W679" i="71"/>
  <c r="W402" i="71"/>
  <c r="W662" i="71"/>
  <c r="W560" i="71"/>
  <c r="W458" i="71"/>
  <c r="W800" i="71"/>
  <c r="W641" i="71"/>
  <c r="W573" i="71"/>
  <c r="W543" i="71"/>
  <c r="W429" i="71"/>
  <c r="W738" i="71"/>
  <c r="W757" i="71"/>
  <c r="W256" i="71"/>
  <c r="W465" i="71"/>
  <c r="W571" i="71"/>
  <c r="W725" i="71"/>
  <c r="W547" i="71"/>
  <c r="W767" i="71"/>
  <c r="W719" i="71"/>
  <c r="W744" i="71"/>
  <c r="W795" i="71"/>
  <c r="W245" i="71"/>
  <c r="W334" i="71"/>
  <c r="W776" i="71"/>
  <c r="W211" i="71"/>
  <c r="W701" i="71"/>
  <c r="W621" i="71"/>
  <c r="W827" i="71"/>
  <c r="W473" i="71"/>
  <c r="W567" i="71"/>
  <c r="W526" i="71"/>
  <c r="W784" i="71"/>
  <c r="W570" i="71"/>
  <c r="W252" i="71"/>
  <c r="W606" i="71"/>
  <c r="W638" i="71"/>
  <c r="W296" i="71"/>
  <c r="W377" i="71"/>
  <c r="W585" i="71"/>
  <c r="W311" i="71"/>
  <c r="W514" i="71"/>
  <c r="W243" i="71"/>
  <c r="W382" i="71"/>
  <c r="W727" i="71"/>
  <c r="W745" i="71"/>
  <c r="W610" i="71"/>
  <c r="W496" i="71"/>
  <c r="W221" i="71"/>
  <c r="W459" i="71"/>
  <c r="W385" i="71"/>
  <c r="W584" i="71"/>
  <c r="W359" i="71"/>
  <c r="W521" i="71"/>
  <c r="W263" i="71"/>
  <c r="W623" i="71"/>
  <c r="W315" i="71"/>
  <c r="W279" i="71"/>
  <c r="W322" i="71"/>
  <c r="W687" i="71"/>
  <c r="W699" i="71"/>
  <c r="W589" i="71"/>
  <c r="W636" i="71"/>
  <c r="W742" i="71"/>
  <c r="W504" i="71"/>
  <c r="W220" i="71"/>
  <c r="W295" i="71"/>
  <c r="W793" i="71"/>
  <c r="W581" i="71"/>
  <c r="W622" i="71"/>
  <c r="W452" i="71"/>
  <c r="W660" i="71"/>
  <c r="W321" i="71"/>
  <c r="W339" i="71"/>
  <c r="W286" i="71"/>
  <c r="W618" i="71"/>
  <c r="W303" i="71"/>
  <c r="W598" i="71"/>
  <c r="W592" i="71"/>
  <c r="W431" i="71"/>
  <c r="W278" i="71"/>
  <c r="W578" i="71"/>
  <c r="W326" i="71"/>
  <c r="W381" i="71"/>
  <c r="W336" i="71"/>
  <c r="W783" i="71"/>
  <c r="W251" i="71"/>
  <c r="W271" i="71"/>
  <c r="W235" i="71"/>
  <c r="W330" i="71"/>
  <c r="W548" i="71"/>
  <c r="W762" i="71"/>
  <c r="W393" i="71"/>
  <c r="W704" i="71"/>
  <c r="W517" i="71"/>
  <c r="W218" i="71"/>
  <c r="W300" i="71"/>
  <c r="W284" i="71"/>
  <c r="W629" i="71"/>
  <c r="W472" i="71"/>
  <c r="W785" i="71"/>
  <c r="W824" i="71"/>
  <c r="W600" i="71"/>
  <c r="W751" i="71"/>
  <c r="W447" i="71"/>
  <c r="W299" i="71"/>
  <c r="W353" i="71"/>
  <c r="W248" i="71"/>
  <c r="W494" i="71"/>
  <c r="W415" i="71"/>
  <c r="W222" i="71"/>
  <c r="W505" i="71"/>
  <c r="W417" i="71"/>
  <c r="W376" i="71"/>
  <c r="W341" i="71"/>
  <c r="W283" i="71"/>
  <c r="W411" i="71"/>
  <c r="W624" i="71"/>
  <c r="W231" i="71"/>
  <c r="W580" i="71"/>
  <c r="W692" i="71"/>
  <c r="W680" i="71"/>
  <c r="W737" i="71"/>
  <c r="W435" i="71"/>
  <c r="W782" i="71"/>
  <c r="W754" i="71"/>
  <c r="W761" i="71"/>
  <c r="W763" i="71"/>
  <c r="W658" i="71"/>
  <c r="W282" i="71"/>
  <c r="W579" i="71"/>
  <c r="W661" i="71"/>
  <c r="W559" i="71"/>
  <c r="W619" i="71"/>
  <c r="W386" i="71"/>
  <c r="W644" i="71"/>
  <c r="W630" i="71"/>
  <c r="W527" i="71"/>
  <c r="W471" i="71"/>
  <c r="W340" i="71"/>
  <c r="W523" i="71"/>
  <c r="W601" i="71"/>
  <c r="W797" i="71"/>
  <c r="W708" i="71"/>
  <c r="W789" i="71"/>
  <c r="W604" i="71"/>
  <c r="W752" i="71"/>
  <c r="W518" i="71"/>
  <c r="W554" i="71"/>
  <c r="W617" i="71"/>
  <c r="W613" i="71"/>
  <c r="W509" i="71"/>
  <c r="W304" i="71"/>
  <c r="W488" i="71"/>
  <c r="W722" i="71"/>
  <c r="W546" i="71"/>
  <c r="W216" i="71"/>
  <c r="W700" i="71"/>
  <c r="W462" i="71"/>
  <c r="W436" i="71"/>
  <c r="W519" i="71"/>
  <c r="W817" i="71"/>
  <c r="W802" i="71"/>
  <c r="W305" i="71"/>
  <c r="W596" i="71"/>
  <c r="W807" i="71"/>
  <c r="W302" i="71"/>
  <c r="W729" i="71"/>
  <c r="W291" i="71"/>
  <c r="W405" i="71"/>
  <c r="W696" i="71"/>
  <c r="W801" i="71"/>
  <c r="W792" i="71"/>
  <c r="W534" i="71"/>
  <c r="W730" i="71"/>
  <c r="W444" i="71"/>
  <c r="W709" i="71"/>
  <c r="W511" i="71"/>
  <c r="W394" i="71"/>
  <c r="W539" i="71"/>
  <c r="W741" i="71"/>
  <c r="W440" i="71"/>
  <c r="W726" i="71"/>
  <c r="W688" i="71"/>
  <c r="W270" i="71"/>
  <c r="W301" i="71"/>
  <c r="W753" i="71"/>
  <c r="W723" i="71"/>
  <c r="W456" i="71"/>
  <c r="W350" i="71"/>
  <c r="W626" i="71"/>
  <c r="W449" i="71"/>
  <c r="W464" i="71"/>
  <c r="W724" i="71"/>
  <c r="W441" i="71"/>
  <c r="W773" i="71"/>
  <c r="W664" i="71"/>
  <c r="W343" i="71"/>
  <c r="W667" i="71"/>
  <c r="W238" i="71"/>
  <c r="W262" i="71"/>
  <c r="W809" i="71"/>
  <c r="W582" i="71"/>
  <c r="W400" i="71"/>
  <c r="W525" i="71"/>
  <c r="W656" i="71"/>
  <c r="W292" i="71"/>
  <c r="X210" i="71"/>
  <c r="AD210" i="71" l="1"/>
  <c r="AE210" i="71"/>
  <c r="O211" i="71"/>
  <c r="X211" i="71" s="1"/>
  <c r="O212" i="71" l="1"/>
  <c r="X212" i="71" s="1"/>
  <c r="AE211" i="71"/>
  <c r="AD211" i="71"/>
  <c r="AE212" i="71" l="1"/>
  <c r="AD212" i="71"/>
  <c r="O213" i="71"/>
  <c r="X213" i="71" s="1"/>
  <c r="AE213" i="71" l="1"/>
  <c r="O214" i="71"/>
  <c r="X214" i="71" s="1"/>
  <c r="AD213" i="71"/>
  <c r="O215" i="71" l="1"/>
  <c r="X215" i="71" s="1"/>
  <c r="AE214" i="71"/>
  <c r="AD214" i="71"/>
  <c r="O216" i="71" l="1"/>
  <c r="X216" i="71" s="1"/>
  <c r="AD215" i="71"/>
  <c r="AE215" i="71"/>
  <c r="O217" i="71" l="1"/>
  <c r="X217" i="71" s="1"/>
  <c r="AE216" i="71"/>
  <c r="AD216" i="71"/>
  <c r="AE217" i="71" l="1"/>
  <c r="AD217" i="71"/>
  <c r="O218" i="71"/>
  <c r="X218" i="71" s="1"/>
  <c r="AD218" i="71" l="1"/>
  <c r="AE218" i="71"/>
  <c r="O219" i="71"/>
  <c r="X219" i="71" s="1"/>
  <c r="O220" i="71" l="1"/>
  <c r="X220" i="71" s="1"/>
  <c r="AE219" i="71"/>
  <c r="AD219" i="71"/>
  <c r="O221" i="71" l="1"/>
  <c r="X221" i="71" s="1"/>
  <c r="AD220" i="71"/>
  <c r="AE220" i="71"/>
  <c r="AE221" i="71" l="1"/>
  <c r="O222" i="71"/>
  <c r="X222" i="71" s="1"/>
  <c r="AD221" i="71"/>
  <c r="O223" i="71" l="1"/>
  <c r="X223" i="71" s="1"/>
  <c r="AE222" i="71"/>
  <c r="AD222" i="71"/>
  <c r="O224" i="71" l="1"/>
  <c r="X224" i="71" s="1"/>
  <c r="AD223" i="71"/>
  <c r="AE223" i="71"/>
  <c r="AE224" i="71" l="1"/>
  <c r="AD224" i="71"/>
  <c r="O225" i="71"/>
  <c r="X225" i="71" s="1"/>
  <c r="AE225" i="71" l="1"/>
  <c r="AD225" i="71"/>
  <c r="O226" i="71"/>
  <c r="X226" i="71" s="1"/>
  <c r="AD226" i="71" l="1"/>
  <c r="O227" i="71"/>
  <c r="X227" i="71" s="1"/>
  <c r="AE226" i="71"/>
  <c r="O228" i="71" l="1"/>
  <c r="X228" i="71" s="1"/>
  <c r="AE227" i="71"/>
  <c r="AD227" i="71"/>
  <c r="AD228" i="71" l="1"/>
  <c r="AE228" i="71"/>
  <c r="O229" i="71"/>
  <c r="X229" i="71" s="1"/>
  <c r="O230" i="71" l="1"/>
  <c r="X230" i="71" s="1"/>
  <c r="AE229" i="71"/>
  <c r="AD229" i="71"/>
  <c r="O231" i="71" l="1"/>
  <c r="X231" i="71" s="1"/>
  <c r="AD230" i="71"/>
  <c r="AE230" i="71"/>
  <c r="O232" i="71" l="1"/>
  <c r="X232" i="71" s="1"/>
  <c r="AE231" i="71"/>
  <c r="AD231" i="71"/>
  <c r="AE232" i="71" l="1"/>
  <c r="AD232" i="71"/>
  <c r="O233" i="71"/>
  <c r="X233" i="71" s="1"/>
  <c r="AE233" i="71" l="1"/>
  <c r="AD233" i="71"/>
  <c r="O234" i="71"/>
  <c r="X234" i="71" s="1"/>
  <c r="AD234" i="71" l="1"/>
  <c r="O235" i="71"/>
  <c r="X235" i="71" s="1"/>
  <c r="AE234" i="71"/>
  <c r="AD235" i="71" l="1"/>
  <c r="O236" i="71"/>
  <c r="X236" i="71" s="1"/>
  <c r="AE235" i="71"/>
  <c r="O237" i="71" l="1"/>
  <c r="X237" i="71" s="1"/>
  <c r="AD236" i="71"/>
  <c r="AE236" i="71"/>
  <c r="O238" i="71" l="1"/>
  <c r="X238" i="71" s="1"/>
  <c r="AD237" i="71"/>
  <c r="AE237" i="71"/>
  <c r="O239" i="71" l="1"/>
  <c r="X239" i="71" s="1"/>
  <c r="AD238" i="71"/>
  <c r="AE238" i="71"/>
  <c r="O240" i="71" l="1"/>
  <c r="X240" i="71" s="1"/>
  <c r="AE239" i="71"/>
  <c r="AD239" i="71"/>
  <c r="AE240" i="71" l="1"/>
  <c r="AD240" i="71"/>
  <c r="O241" i="71"/>
  <c r="X241" i="71" s="1"/>
  <c r="AE241" i="71" l="1"/>
  <c r="AD241" i="71"/>
  <c r="O242" i="71"/>
  <c r="X242" i="71" s="1"/>
  <c r="AD242" i="71" l="1"/>
  <c r="O243" i="71"/>
  <c r="X243" i="71" s="1"/>
  <c r="AE242" i="71"/>
  <c r="AE243" i="71" l="1"/>
  <c r="O244" i="71"/>
  <c r="X244" i="71" s="1"/>
  <c r="AD243" i="71"/>
  <c r="O245" i="71" l="1"/>
  <c r="X245" i="71" s="1"/>
  <c r="AE244" i="71"/>
  <c r="AD244" i="71"/>
  <c r="AD245" i="71" l="1"/>
  <c r="AE245" i="71"/>
  <c r="O246" i="71"/>
  <c r="X246" i="71" s="1"/>
  <c r="O247" i="71" l="1"/>
  <c r="X247" i="71" s="1"/>
  <c r="AD246" i="71"/>
  <c r="AE246" i="71"/>
  <c r="O248" i="71" l="1"/>
  <c r="X248" i="71" s="1"/>
  <c r="AE247" i="71"/>
  <c r="AD247" i="71"/>
  <c r="AE248" i="71" l="1"/>
  <c r="AD248" i="71"/>
  <c r="O249" i="71"/>
  <c r="X249" i="71" s="1"/>
  <c r="AE249" i="71" l="1"/>
  <c r="AD249" i="71"/>
  <c r="O250" i="71"/>
  <c r="X250" i="71" s="1"/>
  <c r="O251" i="71" l="1"/>
  <c r="X251" i="71" s="1"/>
  <c r="AD250" i="71"/>
  <c r="AE250" i="71"/>
  <c r="AD251" i="71" l="1"/>
  <c r="AE251" i="71"/>
  <c r="O252" i="71"/>
  <c r="X252" i="71" s="1"/>
  <c r="O253" i="71" l="1"/>
  <c r="X253" i="71" s="1"/>
  <c r="AE252" i="71"/>
  <c r="AD252" i="71"/>
  <c r="O254" i="71" l="1"/>
  <c r="X254" i="71" s="1"/>
  <c r="AD253" i="71"/>
  <c r="AE253" i="71"/>
  <c r="AE254" i="71" l="1"/>
  <c r="AD254" i="71"/>
  <c r="O255" i="71"/>
  <c r="X255" i="71" s="1"/>
  <c r="AD255" i="71" l="1"/>
  <c r="AE255" i="71"/>
  <c r="O256" i="71"/>
  <c r="X256" i="71" s="1"/>
  <c r="AD256" i="71" l="1"/>
  <c r="O257" i="71"/>
  <c r="X257" i="71" s="1"/>
  <c r="AE256" i="71"/>
  <c r="AE257" i="71" l="1"/>
  <c r="AD257" i="71"/>
  <c r="O258" i="71"/>
  <c r="X258" i="71" s="1"/>
  <c r="O259" i="71" l="1"/>
  <c r="X259" i="71" s="1"/>
  <c r="AE258" i="71"/>
  <c r="AD258" i="71"/>
  <c r="O260" i="71" l="1"/>
  <c r="X260" i="71" s="1"/>
  <c r="AE259" i="71"/>
  <c r="AD259" i="71"/>
  <c r="O261" i="71" l="1"/>
  <c r="X261" i="71" s="1"/>
  <c r="AE260" i="71"/>
  <c r="AD260" i="71"/>
  <c r="O262" i="71" l="1"/>
  <c r="X262" i="71" s="1"/>
  <c r="AD261" i="71"/>
  <c r="AE261" i="71"/>
  <c r="AE262" i="71" l="1"/>
  <c r="AD262" i="71"/>
  <c r="O263" i="71"/>
  <c r="X263" i="71" s="1"/>
  <c r="AD263" i="71" l="1"/>
  <c r="AE263" i="71"/>
  <c r="O264" i="71"/>
  <c r="X264" i="71" s="1"/>
  <c r="AD264" i="71" l="1"/>
  <c r="O265" i="71"/>
  <c r="X265" i="71" s="1"/>
  <c r="AE264" i="71"/>
  <c r="O266" i="71" l="1"/>
  <c r="X266" i="71" s="1"/>
  <c r="AD265" i="71"/>
  <c r="AE265" i="71"/>
  <c r="O267" i="71" l="1"/>
  <c r="X267" i="71" s="1"/>
  <c r="AE266" i="71"/>
  <c r="AD266" i="71"/>
  <c r="AE267" i="71" l="1"/>
  <c r="O268" i="71"/>
  <c r="X268" i="71" s="1"/>
  <c r="AD267" i="71"/>
  <c r="O269" i="71" l="1"/>
  <c r="X269" i="71" s="1"/>
  <c r="AE268" i="71"/>
  <c r="AD268" i="71"/>
  <c r="O270" i="71" l="1"/>
  <c r="X270" i="71" s="1"/>
  <c r="AD269" i="71"/>
  <c r="AE269" i="71"/>
  <c r="AE270" i="71" l="1"/>
  <c r="O271" i="71"/>
  <c r="X271" i="71" s="1"/>
  <c r="AD270" i="71"/>
  <c r="AD271" i="71" l="1"/>
  <c r="AE271" i="71"/>
  <c r="O272" i="71"/>
  <c r="X272" i="71" s="1"/>
  <c r="AD272" i="71" l="1"/>
  <c r="O273" i="71"/>
  <c r="X273" i="71" s="1"/>
  <c r="AE272" i="71"/>
  <c r="AD273" i="71" l="1"/>
  <c r="AE273" i="71"/>
  <c r="O274" i="71"/>
  <c r="X274" i="71" s="1"/>
  <c r="O275" i="71" l="1"/>
  <c r="X275" i="71" s="1"/>
  <c r="AD274" i="71"/>
  <c r="AE274" i="71"/>
  <c r="AE275" i="71" l="1"/>
  <c r="O276" i="71"/>
  <c r="X276" i="71" s="1"/>
  <c r="AD275" i="71"/>
  <c r="O277" i="71" l="1"/>
  <c r="X277" i="71" s="1"/>
  <c r="AD276" i="71"/>
  <c r="AE276" i="71"/>
  <c r="AD277" i="71" l="1"/>
  <c r="AE277" i="71"/>
  <c r="O278" i="71"/>
  <c r="X278" i="71" s="1"/>
  <c r="AE278" i="71" l="1"/>
  <c r="AD278" i="71"/>
  <c r="O279" i="71"/>
  <c r="X279" i="71" s="1"/>
  <c r="O280" i="71" l="1"/>
  <c r="X280" i="71" s="1"/>
  <c r="AE279" i="71"/>
  <c r="AD279" i="71"/>
  <c r="O281" i="71" l="1"/>
  <c r="X281" i="71" s="1"/>
  <c r="AE280" i="71"/>
  <c r="AD280" i="71"/>
  <c r="O282" i="71" l="1"/>
  <c r="X282" i="71" s="1"/>
  <c r="AE281" i="71"/>
  <c r="AD281" i="71"/>
  <c r="AE282" i="71" l="1"/>
  <c r="AD282" i="71"/>
  <c r="O283" i="71"/>
  <c r="X283" i="71" s="1"/>
  <c r="AD283" i="71" l="1"/>
  <c r="AE283" i="71"/>
  <c r="O284" i="71"/>
  <c r="X284" i="71" s="1"/>
  <c r="AD284" i="71" l="1"/>
  <c r="O285" i="71"/>
  <c r="X285" i="71" s="1"/>
  <c r="AE284" i="71"/>
  <c r="O286" i="71" l="1"/>
  <c r="X286" i="71" s="1"/>
  <c r="AD285" i="71"/>
  <c r="AE285" i="71"/>
  <c r="AD286" i="71" l="1"/>
  <c r="O287" i="71"/>
  <c r="X287" i="71" s="1"/>
  <c r="AE286" i="71"/>
  <c r="O288" i="71" l="1"/>
  <c r="X288" i="71" s="1"/>
  <c r="AD287" i="71"/>
  <c r="AE287" i="71"/>
  <c r="O289" i="71" l="1"/>
  <c r="X289" i="71" s="1"/>
  <c r="AE288" i="71"/>
  <c r="AD288" i="71"/>
  <c r="O290" i="71" l="1"/>
  <c r="X290" i="71" s="1"/>
  <c r="AE289" i="71"/>
  <c r="AD289" i="71"/>
  <c r="AE290" i="71" l="1"/>
  <c r="AD290" i="71"/>
  <c r="O291" i="71"/>
  <c r="X291" i="71" s="1"/>
  <c r="AD291" i="71" l="1"/>
  <c r="AE291" i="71"/>
  <c r="O292" i="71"/>
  <c r="X292" i="71" s="1"/>
  <c r="AD292" i="71" l="1"/>
  <c r="AE292" i="71"/>
  <c r="O293" i="71"/>
  <c r="X293" i="71" s="1"/>
  <c r="O294" i="71" l="1"/>
  <c r="X294" i="71" s="1"/>
  <c r="AD293" i="71"/>
  <c r="AE293" i="71"/>
  <c r="O295" i="71" l="1"/>
  <c r="X295" i="71" s="1"/>
  <c r="AD294" i="71"/>
  <c r="AE294" i="71"/>
  <c r="O296" i="71" l="1"/>
  <c r="X296" i="71" s="1"/>
  <c r="AD295" i="71"/>
  <c r="AE295" i="71"/>
  <c r="O297" i="71" l="1"/>
  <c r="X297" i="71" s="1"/>
  <c r="AE296" i="71"/>
  <c r="AD296" i="71"/>
  <c r="O298" i="71" l="1"/>
  <c r="X298" i="71" s="1"/>
  <c r="AE297" i="71"/>
  <c r="AD297" i="71"/>
  <c r="AE298" i="71" l="1"/>
  <c r="AD298" i="71"/>
  <c r="O299" i="71"/>
  <c r="X299" i="71" s="1"/>
  <c r="AD299" i="71" l="1"/>
  <c r="AE299" i="71"/>
  <c r="O300" i="71"/>
  <c r="X300" i="71" s="1"/>
  <c r="AD300" i="71" l="1"/>
  <c r="O301" i="71"/>
  <c r="X301" i="71" s="1"/>
  <c r="AE300" i="71"/>
  <c r="AD301" i="71" l="1"/>
  <c r="AE301" i="71"/>
  <c r="O302" i="71"/>
  <c r="X302" i="71" s="1"/>
  <c r="O303" i="71" l="1"/>
  <c r="X303" i="71" s="1"/>
  <c r="AD302" i="71"/>
  <c r="AE302" i="71"/>
  <c r="O304" i="71" l="1"/>
  <c r="X304" i="71" s="1"/>
  <c r="AD303" i="71"/>
  <c r="AE303" i="71"/>
  <c r="O305" i="71" l="1"/>
  <c r="X305" i="71" s="1"/>
  <c r="AD304" i="71"/>
  <c r="AE304" i="71"/>
  <c r="O306" i="71" l="1"/>
  <c r="X306" i="71" s="1"/>
  <c r="AE305" i="71"/>
  <c r="AD305" i="71"/>
  <c r="AE306" i="71" l="1"/>
  <c r="AD306" i="71"/>
  <c r="O307" i="71"/>
  <c r="X307" i="71" s="1"/>
  <c r="AD307" i="71" l="1"/>
  <c r="AE307" i="71"/>
  <c r="O308" i="71"/>
  <c r="X308" i="71" s="1"/>
  <c r="AD308" i="71" l="1"/>
  <c r="AE308" i="71"/>
  <c r="O309" i="71"/>
  <c r="X309" i="71" s="1"/>
  <c r="O310" i="71" l="1"/>
  <c r="X310" i="71" s="1"/>
  <c r="AE309" i="71"/>
  <c r="AD309" i="71"/>
  <c r="AD310" i="71" l="1"/>
  <c r="AE310" i="71"/>
  <c r="O311" i="71"/>
  <c r="X311" i="71" s="1"/>
  <c r="O312" i="71" l="1"/>
  <c r="X312" i="71" s="1"/>
  <c r="AE311" i="71"/>
  <c r="AD311" i="71"/>
  <c r="O313" i="71" l="1"/>
  <c r="X313" i="71" s="1"/>
  <c r="AD312" i="71"/>
  <c r="AE312" i="71"/>
  <c r="O314" i="71" l="1"/>
  <c r="X314" i="71" s="1"/>
  <c r="AE313" i="71"/>
  <c r="AD313" i="71"/>
  <c r="AE314" i="71" l="1"/>
  <c r="AD314" i="71"/>
  <c r="O315" i="71"/>
  <c r="X315" i="71" s="1"/>
  <c r="AD315" i="71" l="1"/>
  <c r="AE315" i="71"/>
  <c r="O316" i="71"/>
  <c r="X316" i="71" s="1"/>
  <c r="AD316" i="71" l="1"/>
  <c r="AE316" i="71"/>
  <c r="O317" i="71"/>
  <c r="X317" i="71" s="1"/>
  <c r="O318" i="71" l="1"/>
  <c r="X318" i="71" s="1"/>
  <c r="AD317" i="71"/>
  <c r="AE317" i="71"/>
  <c r="O319" i="71" l="1"/>
  <c r="X319" i="71" s="1"/>
  <c r="AE318" i="71"/>
  <c r="AD318" i="71"/>
  <c r="O320" i="71" l="1"/>
  <c r="X320" i="71" s="1"/>
  <c r="AD319" i="71"/>
  <c r="AE319" i="71"/>
  <c r="O321" i="71" l="1"/>
  <c r="X321" i="71" s="1"/>
  <c r="AD320" i="71"/>
  <c r="AE320" i="71"/>
  <c r="O322" i="71" l="1"/>
  <c r="X322" i="71" s="1"/>
  <c r="AE321" i="71"/>
  <c r="AD321" i="71"/>
  <c r="AE322" i="71" l="1"/>
  <c r="AD322" i="71"/>
  <c r="O323" i="71"/>
  <c r="X323" i="71" s="1"/>
  <c r="AD323" i="71" l="1"/>
  <c r="AE323" i="71"/>
  <c r="O324" i="71"/>
  <c r="X324" i="71" s="1"/>
  <c r="AD324" i="71" l="1"/>
  <c r="AE324" i="71"/>
  <c r="O325" i="71"/>
  <c r="X325" i="71" s="1"/>
  <c r="AE325" i="71" l="1"/>
  <c r="O326" i="71"/>
  <c r="X326" i="71" s="1"/>
  <c r="AD325" i="71"/>
  <c r="AD326" i="71" l="1"/>
  <c r="O327" i="71"/>
  <c r="X327" i="71" s="1"/>
  <c r="AE326" i="71"/>
  <c r="O328" i="71" l="1"/>
  <c r="X328" i="71" s="1"/>
  <c r="AE327" i="71"/>
  <c r="AD327" i="71"/>
  <c r="O329" i="71" l="1"/>
  <c r="X329" i="71" s="1"/>
  <c r="AD328" i="71"/>
  <c r="AE328" i="71"/>
  <c r="O330" i="71" l="1"/>
  <c r="X330" i="71" s="1"/>
  <c r="AE329" i="71"/>
  <c r="AD329" i="71"/>
  <c r="AE330" i="71" l="1"/>
  <c r="AD330" i="71"/>
  <c r="O331" i="71"/>
  <c r="X331" i="71" s="1"/>
  <c r="AD331" i="71" l="1"/>
  <c r="AE331" i="71"/>
  <c r="O332" i="71"/>
  <c r="X332" i="71" s="1"/>
  <c r="AD332" i="71" l="1"/>
  <c r="AE332" i="71"/>
  <c r="O333" i="71"/>
  <c r="X333" i="71" s="1"/>
  <c r="AE333" i="71" l="1"/>
  <c r="O334" i="71"/>
  <c r="X334" i="71" s="1"/>
  <c r="AD333" i="71"/>
  <c r="AE334" i="71" l="1"/>
  <c r="AD334" i="71"/>
  <c r="O335" i="71"/>
  <c r="X335" i="71" s="1"/>
  <c r="O336" i="71" l="1"/>
  <c r="X336" i="71" s="1"/>
  <c r="AE335" i="71"/>
  <c r="AD335" i="71"/>
  <c r="O337" i="71" l="1"/>
  <c r="X337" i="71" s="1"/>
  <c r="AE336" i="71"/>
  <c r="AD336" i="71"/>
  <c r="O338" i="71" l="1"/>
  <c r="X338" i="71" s="1"/>
  <c r="AE337" i="71"/>
  <c r="AD337" i="71"/>
  <c r="AE338" i="71" l="1"/>
  <c r="AD338" i="71"/>
  <c r="O339" i="71"/>
  <c r="X339" i="71" s="1"/>
  <c r="AD339" i="71" l="1"/>
  <c r="AE339" i="71"/>
  <c r="O340" i="71"/>
  <c r="X340" i="71" s="1"/>
  <c r="AD340" i="71" l="1"/>
  <c r="O341" i="71"/>
  <c r="X341" i="71" s="1"/>
  <c r="AE340" i="71"/>
  <c r="AD341" i="71" l="1"/>
  <c r="AE341" i="71"/>
  <c r="O342" i="71"/>
  <c r="X342" i="71" s="1"/>
  <c r="AE342" i="71" l="1"/>
  <c r="O343" i="71"/>
  <c r="X343" i="71" s="1"/>
  <c r="AD342" i="71"/>
  <c r="O344" i="71" l="1"/>
  <c r="X344" i="71" s="1"/>
  <c r="AE343" i="71"/>
  <c r="AD343" i="71"/>
  <c r="O345" i="71" l="1"/>
  <c r="X345" i="71" s="1"/>
  <c r="AD344" i="71"/>
  <c r="AE344" i="71"/>
  <c r="O346" i="71" l="1"/>
  <c r="X346" i="71" s="1"/>
  <c r="AE345" i="71"/>
  <c r="AD345" i="71"/>
  <c r="AE346" i="71" l="1"/>
  <c r="AD346" i="71"/>
  <c r="O347" i="71"/>
  <c r="X347" i="71" s="1"/>
  <c r="AD347" i="71" l="1"/>
  <c r="AE347" i="71"/>
  <c r="O348" i="71"/>
  <c r="X348" i="71" s="1"/>
  <c r="AD348" i="71" l="1"/>
  <c r="O349" i="71"/>
  <c r="X349" i="71" s="1"/>
  <c r="AE348" i="71"/>
  <c r="O350" i="71" l="1"/>
  <c r="X350" i="71" s="1"/>
  <c r="AD349" i="71"/>
  <c r="AE349" i="71"/>
  <c r="AD350" i="71" l="1"/>
  <c r="O351" i="71"/>
  <c r="X351" i="71" s="1"/>
  <c r="AE350" i="71"/>
  <c r="O352" i="71" l="1"/>
  <c r="X352" i="71" s="1"/>
  <c r="AE351" i="71"/>
  <c r="AD351" i="71"/>
  <c r="O353" i="71" l="1"/>
  <c r="X353" i="71" s="1"/>
  <c r="AE352" i="71"/>
  <c r="AD352" i="71"/>
  <c r="O354" i="71" l="1"/>
  <c r="X354" i="71" s="1"/>
  <c r="AE353" i="71"/>
  <c r="AD353" i="71"/>
  <c r="AE354" i="71" l="1"/>
  <c r="AD354" i="71"/>
  <c r="O355" i="71"/>
  <c r="X355" i="71" s="1"/>
  <c r="AD355" i="71" l="1"/>
  <c r="AE355" i="71"/>
  <c r="O356" i="71"/>
  <c r="X356" i="71" s="1"/>
  <c r="AD356" i="71" l="1"/>
  <c r="AE356" i="71"/>
  <c r="O357" i="71"/>
  <c r="X357" i="71" s="1"/>
  <c r="O358" i="71" l="1"/>
  <c r="X358" i="71" s="1"/>
  <c r="AE357" i="71"/>
  <c r="AD357" i="71"/>
  <c r="O359" i="71" l="1"/>
  <c r="X359" i="71" s="1"/>
  <c r="AD358" i="71"/>
  <c r="AE358" i="71"/>
  <c r="O360" i="71" l="1"/>
  <c r="X360" i="71" s="1"/>
  <c r="AD359" i="71"/>
  <c r="AE359" i="71"/>
  <c r="O361" i="71" l="1"/>
  <c r="X361" i="71" s="1"/>
  <c r="AD360" i="71"/>
  <c r="AE360" i="71"/>
  <c r="O362" i="71" l="1"/>
  <c r="X362" i="71" s="1"/>
  <c r="AE361" i="71"/>
  <c r="AD361" i="71"/>
  <c r="AE362" i="71" l="1"/>
  <c r="AD362" i="71"/>
  <c r="O363" i="71"/>
  <c r="X363" i="71" s="1"/>
  <c r="AD363" i="71" l="1"/>
  <c r="AE363" i="71"/>
  <c r="O364" i="71"/>
  <c r="X364" i="71" s="1"/>
  <c r="AD364" i="71" l="1"/>
  <c r="O365" i="71"/>
  <c r="X365" i="71" s="1"/>
  <c r="AE364" i="71"/>
  <c r="AD365" i="71" l="1"/>
  <c r="AE365" i="71"/>
  <c r="O366" i="71"/>
  <c r="X366" i="71" s="1"/>
  <c r="O367" i="71" l="1"/>
  <c r="X367" i="71" s="1"/>
  <c r="AD366" i="71"/>
  <c r="AE366" i="71"/>
  <c r="O368" i="71" l="1"/>
  <c r="X368" i="71" s="1"/>
  <c r="AD367" i="71"/>
  <c r="AE367" i="71"/>
  <c r="O369" i="71" l="1"/>
  <c r="X369" i="71" s="1"/>
  <c r="AD368" i="71"/>
  <c r="AE368" i="71"/>
  <c r="O370" i="71" l="1"/>
  <c r="X370" i="71" s="1"/>
  <c r="AE369" i="71"/>
  <c r="AD369" i="71"/>
  <c r="AE370" i="71" l="1"/>
  <c r="AD370" i="71"/>
  <c r="O371" i="71"/>
  <c r="X371" i="71" s="1"/>
  <c r="AD371" i="71" l="1"/>
  <c r="AE371" i="71"/>
  <c r="O372" i="71"/>
  <c r="X372" i="71" s="1"/>
  <c r="AD372" i="71" l="1"/>
  <c r="AE372" i="71"/>
  <c r="O373" i="71"/>
  <c r="X373" i="71" s="1"/>
  <c r="O374" i="71" l="1"/>
  <c r="X374" i="71" s="1"/>
  <c r="AE373" i="71"/>
  <c r="AD373" i="71"/>
  <c r="AD374" i="71" l="1"/>
  <c r="AE374" i="71"/>
  <c r="O375" i="71"/>
  <c r="X375" i="71" s="1"/>
  <c r="O376" i="71" l="1"/>
  <c r="X376" i="71" s="1"/>
  <c r="AE375" i="71"/>
  <c r="AD375" i="71"/>
  <c r="O377" i="71" l="1"/>
  <c r="X377" i="71" s="1"/>
  <c r="AD376" i="71"/>
  <c r="AE376" i="71"/>
  <c r="AE377" i="71" l="1"/>
  <c r="AD377" i="71"/>
  <c r="O378" i="71"/>
  <c r="X378" i="71" s="1"/>
  <c r="AE378" i="71" l="1"/>
  <c r="O379" i="71"/>
  <c r="X379" i="71" s="1"/>
  <c r="AD378" i="71"/>
  <c r="AD379" i="71" l="1"/>
  <c r="O380" i="71"/>
  <c r="X380" i="71" s="1"/>
  <c r="AE379" i="71"/>
  <c r="AD380" i="71" l="1"/>
  <c r="AE380" i="71"/>
  <c r="O381" i="71"/>
  <c r="X381" i="71" s="1"/>
  <c r="AD381" i="71" l="1"/>
  <c r="AE381" i="71"/>
  <c r="O382" i="71"/>
  <c r="X382" i="71" s="1"/>
  <c r="AE382" i="71" l="1"/>
  <c r="AD382" i="71"/>
  <c r="O383" i="71"/>
  <c r="X383" i="71" s="1"/>
  <c r="O384" i="71" l="1"/>
  <c r="X384" i="71" s="1"/>
  <c r="AD383" i="71"/>
  <c r="AE383" i="71"/>
  <c r="O385" i="71" l="1"/>
  <c r="X385" i="71" s="1"/>
  <c r="AE384" i="71"/>
  <c r="AD384" i="71"/>
  <c r="O386" i="71" l="1"/>
  <c r="X386" i="71" s="1"/>
  <c r="AE385" i="71"/>
  <c r="AD385" i="71"/>
  <c r="O387" i="71" l="1"/>
  <c r="X387" i="71" s="1"/>
  <c r="AD386" i="71"/>
  <c r="AE386" i="71"/>
  <c r="O388" i="71" l="1"/>
  <c r="X388" i="71" s="1"/>
  <c r="AE387" i="71"/>
  <c r="AD387" i="71"/>
  <c r="O389" i="71" l="1"/>
  <c r="X389" i="71" s="1"/>
  <c r="AE388" i="71"/>
  <c r="AD388" i="71"/>
  <c r="O390" i="71" l="1"/>
  <c r="X390" i="71" s="1"/>
  <c r="AD389" i="71"/>
  <c r="AE389" i="71"/>
  <c r="AE390" i="71" l="1"/>
  <c r="O391" i="71"/>
  <c r="X391" i="71" s="1"/>
  <c r="AD390" i="71"/>
  <c r="AD391" i="71" l="1"/>
  <c r="AE391" i="71"/>
  <c r="O392" i="71"/>
  <c r="X392" i="71" s="1"/>
  <c r="AD392" i="71" l="1"/>
  <c r="AE392" i="71"/>
  <c r="O393" i="71"/>
  <c r="X393" i="71" s="1"/>
  <c r="AD393" i="71" l="1"/>
  <c r="O394" i="71"/>
  <c r="X394" i="71" s="1"/>
  <c r="AE393" i="71"/>
  <c r="O395" i="71" l="1"/>
  <c r="X395" i="71" s="1"/>
  <c r="AD394" i="71"/>
  <c r="AE394" i="71"/>
  <c r="AD395" i="71" l="1"/>
  <c r="AE395" i="71"/>
  <c r="O396" i="71"/>
  <c r="X396" i="71" s="1"/>
  <c r="O397" i="71" l="1"/>
  <c r="X397" i="71" s="1"/>
  <c r="AE396" i="71"/>
  <c r="AD396" i="71"/>
  <c r="O398" i="71" l="1"/>
  <c r="X398" i="71" s="1"/>
  <c r="AD397" i="71"/>
  <c r="AE397" i="71"/>
  <c r="AE398" i="71" l="1"/>
  <c r="AD398" i="71"/>
  <c r="O399" i="71"/>
  <c r="X399" i="71" s="1"/>
  <c r="AD399" i="71" l="1"/>
  <c r="AE399" i="71"/>
  <c r="O400" i="71"/>
  <c r="X400" i="71" s="1"/>
  <c r="O401" i="71" l="1"/>
  <c r="X401" i="71" s="1"/>
  <c r="AE400" i="71"/>
  <c r="AD400" i="71"/>
  <c r="O402" i="71" l="1"/>
  <c r="X402" i="71" s="1"/>
  <c r="AD401" i="71"/>
  <c r="AE401" i="71"/>
  <c r="O403" i="71" l="1"/>
  <c r="X403" i="71" s="1"/>
  <c r="AD402" i="71"/>
  <c r="AE402" i="71"/>
  <c r="O404" i="71" l="1"/>
  <c r="X404" i="71" s="1"/>
  <c r="AE403" i="71"/>
  <c r="AD403" i="71"/>
  <c r="O405" i="71" l="1"/>
  <c r="X405" i="71" s="1"/>
  <c r="AE404" i="71"/>
  <c r="AD404" i="71"/>
  <c r="AD405" i="71" l="1"/>
  <c r="O406" i="71"/>
  <c r="X406" i="71" s="1"/>
  <c r="AE405" i="71"/>
  <c r="AE406" i="71" l="1"/>
  <c r="O407" i="71"/>
  <c r="X407" i="71" s="1"/>
  <c r="AD406" i="71"/>
  <c r="AD407" i="71" l="1"/>
  <c r="AE407" i="71"/>
  <c r="O408" i="71"/>
  <c r="X408" i="71" s="1"/>
  <c r="O409" i="71" l="1"/>
  <c r="X409" i="71" s="1"/>
  <c r="AD408" i="71"/>
  <c r="AE408" i="71"/>
  <c r="AD409" i="71" l="1"/>
  <c r="AE409" i="71"/>
  <c r="O410" i="71"/>
  <c r="X410" i="71" s="1"/>
  <c r="O411" i="71" l="1"/>
  <c r="X411" i="71" s="1"/>
  <c r="AE410" i="71"/>
  <c r="AD410" i="71"/>
  <c r="O412" i="71" l="1"/>
  <c r="X412" i="71" s="1"/>
  <c r="AD411" i="71"/>
  <c r="AE411" i="71"/>
  <c r="O413" i="71" l="1"/>
  <c r="X413" i="71" s="1"/>
  <c r="AE412" i="71"/>
  <c r="AD412" i="71"/>
  <c r="AD413" i="71" l="1"/>
  <c r="O414" i="71"/>
  <c r="X414" i="71" s="1"/>
  <c r="AE413" i="71"/>
  <c r="AE414" i="71" l="1"/>
  <c r="AD414" i="71"/>
  <c r="O415" i="71"/>
  <c r="X415" i="71" s="1"/>
  <c r="AD415" i="71" l="1"/>
  <c r="O416" i="71"/>
  <c r="X416" i="71" s="1"/>
  <c r="AE415" i="71"/>
  <c r="AD416" i="71" l="1"/>
  <c r="O417" i="71"/>
  <c r="X417" i="71" s="1"/>
  <c r="AE416" i="71"/>
  <c r="AE417" i="71" l="1"/>
  <c r="O418" i="71"/>
  <c r="X418" i="71" s="1"/>
  <c r="AD417" i="71"/>
  <c r="O419" i="71" l="1"/>
  <c r="X419" i="71" s="1"/>
  <c r="AE418" i="71"/>
  <c r="AD418" i="71"/>
  <c r="AD419" i="71" l="1"/>
  <c r="AE419" i="71"/>
  <c r="O420" i="71"/>
  <c r="X420" i="71" s="1"/>
  <c r="O421" i="71" l="1"/>
  <c r="X421" i="71" s="1"/>
  <c r="AE420" i="71"/>
  <c r="AD420" i="71"/>
  <c r="AD421" i="71" l="1"/>
  <c r="AE421" i="71"/>
  <c r="O422" i="71"/>
  <c r="X422" i="71" s="1"/>
  <c r="AE422" i="71" l="1"/>
  <c r="O423" i="71"/>
  <c r="X423" i="71" s="1"/>
  <c r="AD422" i="71"/>
  <c r="AD423" i="71" l="1"/>
  <c r="O424" i="71"/>
  <c r="X424" i="71" s="1"/>
  <c r="AE423" i="71"/>
  <c r="AD424" i="71" l="1"/>
  <c r="AE424" i="71"/>
  <c r="O425" i="71"/>
  <c r="X425" i="71" s="1"/>
  <c r="O426" i="71" l="1"/>
  <c r="X426" i="71" s="1"/>
  <c r="AD425" i="71"/>
  <c r="AE425" i="71"/>
  <c r="O427" i="71" l="1"/>
  <c r="X427" i="71" s="1"/>
  <c r="AD426" i="71"/>
  <c r="AE426" i="71"/>
  <c r="AE427" i="71" l="1"/>
  <c r="O428" i="71"/>
  <c r="X428" i="71" s="1"/>
  <c r="AD427" i="71"/>
  <c r="O429" i="71" l="1"/>
  <c r="X429" i="71" s="1"/>
  <c r="AE428" i="71"/>
  <c r="AD428" i="71"/>
  <c r="AD429" i="71" l="1"/>
  <c r="AE429" i="71"/>
  <c r="O430" i="71"/>
  <c r="X430" i="71" s="1"/>
  <c r="AE430" i="71" l="1"/>
  <c r="O431" i="71"/>
  <c r="X431" i="71" s="1"/>
  <c r="AD430" i="71"/>
  <c r="AD431" i="71" l="1"/>
  <c r="AE431" i="71"/>
  <c r="O432" i="71"/>
  <c r="X432" i="71" s="1"/>
  <c r="O433" i="71" l="1"/>
  <c r="X433" i="71" s="1"/>
  <c r="AD432" i="71"/>
  <c r="AE432" i="71"/>
  <c r="AD433" i="71" l="1"/>
  <c r="O434" i="71"/>
  <c r="X434" i="71" s="1"/>
  <c r="AE433" i="71"/>
  <c r="O435" i="71" l="1"/>
  <c r="X435" i="71" s="1"/>
  <c r="AD434" i="71"/>
  <c r="AE434" i="71"/>
  <c r="O436" i="71" l="1"/>
  <c r="X436" i="71" s="1"/>
  <c r="AD435" i="71"/>
  <c r="AE435" i="71"/>
  <c r="O437" i="71" l="1"/>
  <c r="X437" i="71" s="1"/>
  <c r="AE436" i="71"/>
  <c r="AD436" i="71"/>
  <c r="AD437" i="71" l="1"/>
  <c r="O438" i="71"/>
  <c r="X438" i="71" s="1"/>
  <c r="AE437" i="71"/>
  <c r="AE438" i="71" l="1"/>
  <c r="O439" i="71"/>
  <c r="X439" i="71" s="1"/>
  <c r="AD438" i="71"/>
  <c r="AD439" i="71" l="1"/>
  <c r="AE439" i="71"/>
  <c r="O440" i="71"/>
  <c r="X440" i="71" s="1"/>
  <c r="O441" i="71" l="1"/>
  <c r="X441" i="71" s="1"/>
  <c r="AE440" i="71"/>
  <c r="AD440" i="71"/>
  <c r="AD441" i="71" l="1"/>
  <c r="AE441" i="71"/>
  <c r="O442" i="71"/>
  <c r="X442" i="71" s="1"/>
  <c r="O443" i="71" l="1"/>
  <c r="X443" i="71" s="1"/>
  <c r="AD442" i="71"/>
  <c r="AE442" i="71"/>
  <c r="O444" i="71" l="1"/>
  <c r="X444" i="71" s="1"/>
  <c r="AE443" i="71"/>
  <c r="AD443" i="71"/>
  <c r="AD444" i="71" l="1"/>
  <c r="AE444" i="71"/>
  <c r="O445" i="71"/>
  <c r="X445" i="71" s="1"/>
  <c r="AD445" i="71" l="1"/>
  <c r="O446" i="71"/>
  <c r="X446" i="71" s="1"/>
  <c r="AE445" i="71"/>
  <c r="O447" i="71" l="1"/>
  <c r="X447" i="71" s="1"/>
  <c r="AE446" i="71"/>
  <c r="AD446" i="71"/>
  <c r="AE447" i="71" l="1"/>
  <c r="AD447" i="71"/>
  <c r="O448" i="71"/>
  <c r="X448" i="71" s="1"/>
  <c r="AE448" i="71" l="1"/>
  <c r="AD448" i="71"/>
  <c r="O449" i="71"/>
  <c r="X449" i="71" s="1"/>
  <c r="O450" i="71" l="1"/>
  <c r="X450" i="71" s="1"/>
  <c r="AD449" i="71"/>
  <c r="AE449" i="71"/>
  <c r="O451" i="71" l="1"/>
  <c r="X451" i="71" s="1"/>
  <c r="AD450" i="71"/>
  <c r="AE450" i="71"/>
  <c r="AE451" i="71" l="1"/>
  <c r="AD451" i="71"/>
  <c r="O452" i="71"/>
  <c r="X452" i="71" s="1"/>
  <c r="AD452" i="71" l="1"/>
  <c r="AE452" i="71"/>
  <c r="O453" i="71"/>
  <c r="X453" i="71" s="1"/>
  <c r="AD453" i="71" l="1"/>
  <c r="AE453" i="71"/>
  <c r="O454" i="71"/>
  <c r="X454" i="71" s="1"/>
  <c r="AE454" i="71" l="1"/>
  <c r="AD454" i="71"/>
  <c r="O455" i="71"/>
  <c r="X455" i="71" s="1"/>
  <c r="AD455" i="71" l="1"/>
  <c r="O456" i="71"/>
  <c r="X456" i="71" s="1"/>
  <c r="AE455" i="71"/>
  <c r="O457" i="71" l="1"/>
  <c r="X457" i="71" s="1"/>
  <c r="AE456" i="71"/>
  <c r="AD456" i="71"/>
  <c r="O458" i="71" l="1"/>
  <c r="X458" i="71" s="1"/>
  <c r="AE457" i="71"/>
  <c r="AD457" i="71"/>
  <c r="O459" i="71" l="1"/>
  <c r="X459" i="71" s="1"/>
  <c r="AE458" i="71"/>
  <c r="AD458" i="71"/>
  <c r="AE459" i="71" l="1"/>
  <c r="AD459" i="71"/>
  <c r="O460" i="71"/>
  <c r="X460" i="71" s="1"/>
  <c r="AD460" i="71" l="1"/>
  <c r="AE460" i="71"/>
  <c r="O461" i="71"/>
  <c r="X461" i="71" s="1"/>
  <c r="AD461" i="71" l="1"/>
  <c r="O462" i="71"/>
  <c r="X462" i="71" s="1"/>
  <c r="AE461" i="71"/>
  <c r="O463" i="71" l="1"/>
  <c r="X463" i="71" s="1"/>
  <c r="AE462" i="71"/>
  <c r="AD462" i="71"/>
  <c r="AE463" i="71" l="1"/>
  <c r="O464" i="71"/>
  <c r="X464" i="71" s="1"/>
  <c r="AD463" i="71"/>
  <c r="AE464" i="71" l="1"/>
  <c r="AD464" i="71"/>
  <c r="O465" i="71"/>
  <c r="X465" i="71" s="1"/>
  <c r="O466" i="71" l="1"/>
  <c r="X466" i="71" s="1"/>
  <c r="AD465" i="71"/>
  <c r="AE465" i="71"/>
  <c r="O467" i="71" l="1"/>
  <c r="X467" i="71" s="1"/>
  <c r="AE466" i="71"/>
  <c r="AD466" i="71"/>
  <c r="AE467" i="71" l="1"/>
  <c r="O468" i="71"/>
  <c r="X468" i="71" s="1"/>
  <c r="AD467" i="71"/>
  <c r="AD468" i="71" l="1"/>
  <c r="AE468" i="71"/>
  <c r="O469" i="71"/>
  <c r="X469" i="71" s="1"/>
  <c r="AD469" i="71" l="1"/>
  <c r="AE469" i="71"/>
  <c r="O470" i="71"/>
  <c r="X470" i="71" s="1"/>
  <c r="AE470" i="71" l="1"/>
  <c r="O471" i="71"/>
  <c r="X471" i="71" s="1"/>
  <c r="AD470" i="71"/>
  <c r="AD471" i="71" l="1"/>
  <c r="O472" i="71"/>
  <c r="X472" i="71" s="1"/>
  <c r="AE471" i="71"/>
  <c r="O473" i="71" l="1"/>
  <c r="X473" i="71" s="1"/>
  <c r="AE472" i="71"/>
  <c r="AD472" i="71"/>
  <c r="O474" i="71" l="1"/>
  <c r="X474" i="71" s="1"/>
  <c r="AE473" i="71"/>
  <c r="AD473" i="71"/>
  <c r="O475" i="71" l="1"/>
  <c r="X475" i="71" s="1"/>
  <c r="AE474" i="71"/>
  <c r="AD474" i="71"/>
  <c r="AE475" i="71" l="1"/>
  <c r="AD475" i="71"/>
  <c r="O476" i="71"/>
  <c r="X476" i="71" s="1"/>
  <c r="AD476" i="71" l="1"/>
  <c r="AE476" i="71"/>
  <c r="O477" i="71"/>
  <c r="X477" i="71" s="1"/>
  <c r="AD477" i="71" l="1"/>
  <c r="O478" i="71"/>
  <c r="X478" i="71" s="1"/>
  <c r="AE477" i="71"/>
  <c r="AD478" i="71" l="1"/>
  <c r="AE478" i="71"/>
  <c r="O479" i="71"/>
  <c r="X479" i="71" s="1"/>
  <c r="AE479" i="71" l="1"/>
  <c r="AD479" i="71"/>
  <c r="O480" i="71"/>
  <c r="X480" i="71" s="1"/>
  <c r="O481" i="71" l="1"/>
  <c r="X481" i="71" s="1"/>
  <c r="AD480" i="71"/>
  <c r="AE480" i="71"/>
  <c r="O482" i="71" l="1"/>
  <c r="X482" i="71" s="1"/>
  <c r="AD481" i="71"/>
  <c r="AE481" i="71"/>
  <c r="O483" i="71" l="1"/>
  <c r="X483" i="71" s="1"/>
  <c r="AD482" i="71"/>
  <c r="AE482" i="71"/>
  <c r="AE483" i="71" l="1"/>
  <c r="O484" i="71"/>
  <c r="X484" i="71" s="1"/>
  <c r="AD483" i="71"/>
  <c r="AD484" i="71" l="1"/>
  <c r="AE484" i="71"/>
  <c r="O485" i="71"/>
  <c r="X485" i="71" s="1"/>
  <c r="AD485" i="71" l="1"/>
  <c r="O486" i="71"/>
  <c r="X486" i="71" s="1"/>
  <c r="AE485" i="71"/>
  <c r="AE486" i="71" l="1"/>
  <c r="AD486" i="71"/>
  <c r="O487" i="71"/>
  <c r="X487" i="71" s="1"/>
  <c r="O488" i="71" l="1"/>
  <c r="X488" i="71" s="1"/>
  <c r="AD487" i="71"/>
  <c r="AE487" i="71"/>
  <c r="AD488" i="71" l="1"/>
  <c r="AE488" i="71"/>
  <c r="O489" i="71"/>
  <c r="X489" i="71" s="1"/>
  <c r="O490" i="71" l="1"/>
  <c r="X490" i="71" s="1"/>
  <c r="AE489" i="71"/>
  <c r="AD489" i="71"/>
  <c r="O491" i="71" l="1"/>
  <c r="X491" i="71" s="1"/>
  <c r="AD490" i="71"/>
  <c r="AE490" i="71"/>
  <c r="AE491" i="71" l="1"/>
  <c r="AD491" i="71"/>
  <c r="O492" i="71"/>
  <c r="X492" i="71" s="1"/>
  <c r="AD492" i="71" l="1"/>
  <c r="AE492" i="71"/>
  <c r="O493" i="71"/>
  <c r="X493" i="71" s="1"/>
  <c r="AD493" i="71" l="1"/>
  <c r="AE493" i="71"/>
  <c r="O494" i="71"/>
  <c r="X494" i="71" s="1"/>
  <c r="O495" i="71" l="1"/>
  <c r="X495" i="71" s="1"/>
  <c r="AE494" i="71"/>
  <c r="AD494" i="71"/>
  <c r="AD495" i="71" l="1"/>
  <c r="AE495" i="71"/>
  <c r="O496" i="71"/>
  <c r="X496" i="71" s="1"/>
  <c r="AE496" i="71" l="1"/>
  <c r="O497" i="71"/>
  <c r="X497" i="71" s="1"/>
  <c r="AD496" i="71"/>
  <c r="O498" i="71" l="1"/>
  <c r="X498" i="71" s="1"/>
  <c r="AD497" i="71"/>
  <c r="AE497" i="71"/>
  <c r="O499" i="71" l="1"/>
  <c r="X499" i="71" s="1"/>
  <c r="AD498" i="71"/>
  <c r="AE498" i="71"/>
  <c r="AE499" i="71" l="1"/>
  <c r="AD499" i="71"/>
  <c r="O500" i="71"/>
  <c r="X500" i="71" s="1"/>
  <c r="AD500" i="71" l="1"/>
  <c r="AE500" i="71"/>
  <c r="O501" i="71"/>
  <c r="X501" i="71" s="1"/>
  <c r="AD501" i="71" l="1"/>
  <c r="AE501" i="71"/>
  <c r="O502" i="71"/>
  <c r="X502" i="71" s="1"/>
  <c r="AD502" i="71" l="1"/>
  <c r="AE502" i="71"/>
  <c r="O503" i="71"/>
  <c r="X503" i="71" s="1"/>
  <c r="AD503" i="71" l="1"/>
  <c r="AE503" i="71"/>
  <c r="O504" i="71"/>
  <c r="X504" i="71" s="1"/>
  <c r="O505" i="71" l="1"/>
  <c r="X505" i="71" s="1"/>
  <c r="AE504" i="71"/>
  <c r="AD504" i="71"/>
  <c r="O506" i="71" l="1"/>
  <c r="X506" i="71" s="1"/>
  <c r="AD505" i="71"/>
  <c r="AE505" i="71"/>
  <c r="O507" i="71" l="1"/>
  <c r="X507" i="71" s="1"/>
  <c r="AE506" i="71"/>
  <c r="AD506" i="71"/>
  <c r="AE507" i="71" l="1"/>
  <c r="AD507" i="71"/>
  <c r="O508" i="71"/>
  <c r="X508" i="71" s="1"/>
  <c r="AD508" i="71" l="1"/>
  <c r="AE508" i="71"/>
  <c r="O509" i="71"/>
  <c r="X509" i="71" s="1"/>
  <c r="AD509" i="71" l="1"/>
  <c r="O510" i="71"/>
  <c r="X510" i="71" s="1"/>
  <c r="AE509" i="71"/>
  <c r="AD510" i="71" l="1"/>
  <c r="AE510" i="71"/>
  <c r="O511" i="71"/>
  <c r="X511" i="71" s="1"/>
  <c r="AD511" i="71" l="1"/>
  <c r="AE511" i="71"/>
  <c r="O512" i="71"/>
  <c r="X512" i="71" s="1"/>
  <c r="AD512" i="71" l="1"/>
  <c r="AE512" i="71"/>
  <c r="O513" i="71"/>
  <c r="X513" i="71" s="1"/>
  <c r="O514" i="71" l="1"/>
  <c r="X514" i="71" s="1"/>
  <c r="AD513" i="71"/>
  <c r="AE513" i="71"/>
  <c r="O515" i="71" l="1"/>
  <c r="X515" i="71" s="1"/>
  <c r="AE514" i="71"/>
  <c r="AD514" i="71"/>
  <c r="AD515" i="71" l="1"/>
  <c r="AE515" i="71"/>
  <c r="O516" i="71"/>
  <c r="X516" i="71" s="1"/>
  <c r="AD516" i="71" l="1"/>
  <c r="AE516" i="71"/>
  <c r="O517" i="71"/>
  <c r="X517" i="71" s="1"/>
  <c r="AD517" i="71" l="1"/>
  <c r="AE517" i="71"/>
  <c r="O518" i="71"/>
  <c r="X518" i="71" s="1"/>
  <c r="O519" i="71" l="1"/>
  <c r="X519" i="71" s="1"/>
  <c r="AE518" i="71"/>
  <c r="AD518" i="71"/>
  <c r="AE519" i="71" l="1"/>
  <c r="O520" i="71"/>
  <c r="X520" i="71" s="1"/>
  <c r="AD519" i="71"/>
  <c r="AD520" i="71" l="1"/>
  <c r="AE520" i="71"/>
  <c r="O521" i="71"/>
  <c r="X521" i="71" s="1"/>
  <c r="AD521" i="71" l="1"/>
  <c r="AE521" i="71"/>
  <c r="O522" i="71"/>
  <c r="X522" i="71" s="1"/>
  <c r="AD522" i="71" l="1"/>
  <c r="AE522" i="71"/>
  <c r="O523" i="71"/>
  <c r="X523" i="71" s="1"/>
  <c r="AE523" i="71" l="1"/>
  <c r="AD523" i="71"/>
  <c r="O524" i="71"/>
  <c r="X524" i="71" s="1"/>
  <c r="AD524" i="71" l="1"/>
  <c r="AE524" i="71"/>
  <c r="O525" i="71"/>
  <c r="X525" i="71" s="1"/>
  <c r="O526" i="71" l="1"/>
  <c r="X526" i="71" s="1"/>
  <c r="AD525" i="71"/>
  <c r="AE525" i="71"/>
  <c r="O527" i="71" l="1"/>
  <c r="X527" i="71" s="1"/>
  <c r="AD526" i="71"/>
  <c r="AE526" i="71"/>
  <c r="AE527" i="71" l="1"/>
  <c r="O528" i="71"/>
  <c r="X528" i="71" s="1"/>
  <c r="AD527" i="71"/>
  <c r="AD528" i="71" l="1"/>
  <c r="AE528" i="71"/>
  <c r="O529" i="71"/>
  <c r="X529" i="71" s="1"/>
  <c r="AD529" i="71" l="1"/>
  <c r="AE529" i="71"/>
  <c r="O530" i="71"/>
  <c r="X530" i="71" s="1"/>
  <c r="AD530" i="71" l="1"/>
  <c r="AE530" i="71"/>
  <c r="O531" i="71"/>
  <c r="X531" i="71" s="1"/>
  <c r="AE531" i="71" l="1"/>
  <c r="AD531" i="71"/>
  <c r="O532" i="71"/>
  <c r="X532" i="71" s="1"/>
  <c r="AD532" i="71" l="1"/>
  <c r="AE532" i="71"/>
  <c r="O533" i="71"/>
  <c r="X533" i="71" s="1"/>
  <c r="O534" i="71" l="1"/>
  <c r="X534" i="71" s="1"/>
  <c r="AD533" i="71"/>
  <c r="AE533" i="71"/>
  <c r="O535" i="71" l="1"/>
  <c r="X535" i="71" s="1"/>
  <c r="AE534" i="71"/>
  <c r="AD534" i="71"/>
  <c r="AE535" i="71" l="1"/>
  <c r="O536" i="71"/>
  <c r="X536" i="71" s="1"/>
  <c r="AD535" i="71"/>
  <c r="AD536" i="71" l="1"/>
  <c r="AE536" i="71"/>
  <c r="O537" i="71"/>
  <c r="X537" i="71" s="1"/>
  <c r="AD537" i="71" l="1"/>
  <c r="AE537" i="71"/>
  <c r="O538" i="71"/>
  <c r="X538" i="71" s="1"/>
  <c r="AD538" i="71" l="1"/>
  <c r="AE538" i="71"/>
  <c r="O539" i="71"/>
  <c r="X539" i="71" s="1"/>
  <c r="AE539" i="71" l="1"/>
  <c r="AD539" i="71"/>
  <c r="O540" i="71"/>
  <c r="X540" i="71" s="1"/>
  <c r="AD540" i="71" l="1"/>
  <c r="AE540" i="71"/>
  <c r="O541" i="71"/>
  <c r="X541" i="71" s="1"/>
  <c r="O542" i="71" l="1"/>
  <c r="X542" i="71" s="1"/>
  <c r="AD541" i="71"/>
  <c r="AE541" i="71"/>
  <c r="O543" i="71" l="1"/>
  <c r="X543" i="71" s="1"/>
  <c r="AD542" i="71"/>
  <c r="AE542" i="71"/>
  <c r="AE543" i="71" l="1"/>
  <c r="O544" i="71"/>
  <c r="X544" i="71" s="1"/>
  <c r="AD543" i="71"/>
  <c r="AD544" i="71" l="1"/>
  <c r="AE544" i="71"/>
  <c r="O545" i="71"/>
  <c r="X545" i="71" s="1"/>
  <c r="AD545" i="71" l="1"/>
  <c r="AE545" i="71"/>
  <c r="O546" i="71"/>
  <c r="X546" i="71" s="1"/>
  <c r="AD546" i="71" l="1"/>
  <c r="AE546" i="71"/>
  <c r="O547" i="71"/>
  <c r="X547" i="71" s="1"/>
  <c r="AE547" i="71" l="1"/>
  <c r="AD547" i="71"/>
  <c r="O548" i="71"/>
  <c r="X548" i="71" s="1"/>
  <c r="AD548" i="71" l="1"/>
  <c r="AE548" i="71"/>
  <c r="O549" i="71"/>
  <c r="X549" i="71" s="1"/>
  <c r="O550" i="71" l="1"/>
  <c r="X550" i="71" s="1"/>
  <c r="AD549" i="71"/>
  <c r="AE549" i="71"/>
  <c r="O551" i="71" l="1"/>
  <c r="X551" i="71" s="1"/>
  <c r="AD550" i="71"/>
  <c r="AE550" i="71"/>
  <c r="AE551" i="71" l="1"/>
  <c r="O552" i="71"/>
  <c r="X552" i="71" s="1"/>
  <c r="AD551" i="71"/>
  <c r="AD552" i="71" l="1"/>
  <c r="AE552" i="71"/>
  <c r="O553" i="71"/>
  <c r="X553" i="71" s="1"/>
  <c r="AD553" i="71" l="1"/>
  <c r="AE553" i="71"/>
  <c r="O554" i="71"/>
  <c r="X554" i="71" s="1"/>
  <c r="AD554" i="71" l="1"/>
  <c r="AE554" i="71"/>
  <c r="O555" i="71"/>
  <c r="X555" i="71" s="1"/>
  <c r="AE555" i="71" l="1"/>
  <c r="AD555" i="71"/>
  <c r="O556" i="71"/>
  <c r="X556" i="71" s="1"/>
  <c r="AD556" i="71" l="1"/>
  <c r="AE556" i="71"/>
  <c r="O557" i="71"/>
  <c r="X557" i="71" s="1"/>
  <c r="O558" i="71" l="1"/>
  <c r="X558" i="71" s="1"/>
  <c r="AD557" i="71"/>
  <c r="AE557" i="71"/>
  <c r="O559" i="71" l="1"/>
  <c r="X559" i="71" s="1"/>
  <c r="AD558" i="71"/>
  <c r="AE558" i="71"/>
  <c r="AE559" i="71" l="1"/>
  <c r="O560" i="71"/>
  <c r="X560" i="71" s="1"/>
  <c r="AD559" i="71"/>
  <c r="AD560" i="71" l="1"/>
  <c r="AE560" i="71"/>
  <c r="O561" i="71"/>
  <c r="X561" i="71" s="1"/>
  <c r="AD561" i="71" l="1"/>
  <c r="AE561" i="71"/>
  <c r="O562" i="71"/>
  <c r="X562" i="71" s="1"/>
  <c r="AD562" i="71" l="1"/>
  <c r="AE562" i="71"/>
  <c r="O563" i="71"/>
  <c r="X563" i="71" s="1"/>
  <c r="AE563" i="71" l="1"/>
  <c r="AD563" i="71"/>
  <c r="O564" i="71"/>
  <c r="X564" i="71" s="1"/>
  <c r="AD564" i="71" l="1"/>
  <c r="AE564" i="71"/>
  <c r="O565" i="71"/>
  <c r="X565" i="71" s="1"/>
  <c r="O566" i="71" l="1"/>
  <c r="X566" i="71" s="1"/>
  <c r="AD565" i="71"/>
  <c r="AE565" i="71"/>
  <c r="O567" i="71" l="1"/>
  <c r="X567" i="71" s="1"/>
  <c r="AD566" i="71"/>
  <c r="AE566" i="71"/>
  <c r="AE567" i="71" l="1"/>
  <c r="O568" i="71"/>
  <c r="X568" i="71" s="1"/>
  <c r="AD567" i="71"/>
  <c r="AD568" i="71" l="1"/>
  <c r="AE568" i="71"/>
  <c r="O569" i="71"/>
  <c r="X569" i="71" s="1"/>
  <c r="AD569" i="71" l="1"/>
  <c r="AE569" i="71"/>
  <c r="O570" i="71"/>
  <c r="X570" i="71" s="1"/>
  <c r="AD570" i="71" l="1"/>
  <c r="O571" i="71"/>
  <c r="X571" i="71" s="1"/>
  <c r="AE570" i="71"/>
  <c r="AE571" i="71" l="1"/>
  <c r="O572" i="71"/>
  <c r="X572" i="71" s="1"/>
  <c r="AD571" i="71"/>
  <c r="AD572" i="71" l="1"/>
  <c r="AE572" i="71"/>
  <c r="O573" i="71"/>
  <c r="X573" i="71" s="1"/>
  <c r="O574" i="71" l="1"/>
  <c r="X574" i="71" s="1"/>
  <c r="AD573" i="71"/>
  <c r="AE573" i="71"/>
  <c r="O575" i="71" l="1"/>
  <c r="X575" i="71" s="1"/>
  <c r="AD574" i="71"/>
  <c r="AE574" i="71"/>
  <c r="AE575" i="71" l="1"/>
  <c r="O576" i="71"/>
  <c r="X576" i="71" s="1"/>
  <c r="AD575" i="71"/>
  <c r="AD576" i="71" l="1"/>
  <c r="AE576" i="71"/>
  <c r="O577" i="71"/>
  <c r="X577" i="71" s="1"/>
  <c r="AD577" i="71" l="1"/>
  <c r="AE577" i="71"/>
  <c r="O578" i="71"/>
  <c r="X578" i="71" s="1"/>
  <c r="AD578" i="71" l="1"/>
  <c r="AE578" i="71"/>
  <c r="O579" i="71"/>
  <c r="X579" i="71" s="1"/>
  <c r="AE579" i="71" l="1"/>
  <c r="AD579" i="71"/>
  <c r="O580" i="71"/>
  <c r="X580" i="71" s="1"/>
  <c r="AD580" i="71" l="1"/>
  <c r="AE580" i="71"/>
  <c r="O581" i="71"/>
  <c r="X581" i="71" s="1"/>
  <c r="O582" i="71" l="1"/>
  <c r="X582" i="71" s="1"/>
  <c r="AD581" i="71"/>
  <c r="AE581" i="71"/>
  <c r="O583" i="71" l="1"/>
  <c r="X583" i="71" s="1"/>
  <c r="AE582" i="71"/>
  <c r="AD582" i="71"/>
  <c r="AE583" i="71" l="1"/>
  <c r="O584" i="71"/>
  <c r="X584" i="71" s="1"/>
  <c r="AD583" i="71"/>
  <c r="AD584" i="71" l="1"/>
  <c r="AE584" i="71"/>
  <c r="O585" i="71"/>
  <c r="X585" i="71" s="1"/>
  <c r="AD585" i="71" l="1"/>
  <c r="AE585" i="71"/>
  <c r="O586" i="71"/>
  <c r="X586" i="71" s="1"/>
  <c r="AD586" i="71" l="1"/>
  <c r="O587" i="71"/>
  <c r="X587" i="71" s="1"/>
  <c r="AE586" i="71"/>
  <c r="AE587" i="71" l="1"/>
  <c r="O588" i="71"/>
  <c r="X588" i="71" s="1"/>
  <c r="AD587" i="71"/>
  <c r="AD588" i="71" l="1"/>
  <c r="AE588" i="71"/>
  <c r="O589" i="71"/>
  <c r="X589" i="71" s="1"/>
  <c r="AD589" i="71" l="1"/>
  <c r="AE589" i="71"/>
  <c r="O590" i="71"/>
  <c r="X590" i="71" s="1"/>
  <c r="O591" i="71" l="1"/>
  <c r="X591" i="71" s="1"/>
  <c r="AE590" i="71"/>
  <c r="AD590" i="71"/>
  <c r="O592" i="71" l="1"/>
  <c r="X592" i="71" s="1"/>
  <c r="AD591" i="71"/>
  <c r="AE591" i="71"/>
  <c r="AE592" i="71" l="1"/>
  <c r="O593" i="71"/>
  <c r="X593" i="71" s="1"/>
  <c r="AD592" i="71"/>
  <c r="AD593" i="71" l="1"/>
  <c r="AE593" i="71"/>
  <c r="O594" i="71"/>
  <c r="X594" i="71" s="1"/>
  <c r="AD594" i="71" l="1"/>
  <c r="AE594" i="71"/>
  <c r="O595" i="71"/>
  <c r="X595" i="71" s="1"/>
  <c r="AD595" i="71" l="1"/>
  <c r="AE595" i="71"/>
  <c r="O596" i="71"/>
  <c r="X596" i="71" s="1"/>
  <c r="AD596" i="71" l="1"/>
  <c r="AE596" i="71"/>
  <c r="O597" i="71"/>
  <c r="X597" i="71" s="1"/>
  <c r="AD597" i="71" l="1"/>
  <c r="AE597" i="71"/>
  <c r="O598" i="71"/>
  <c r="X598" i="71" s="1"/>
  <c r="AE598" i="71" l="1"/>
  <c r="O599" i="71"/>
  <c r="X599" i="71" s="1"/>
  <c r="AD598" i="71"/>
  <c r="O600" i="71" l="1"/>
  <c r="X600" i="71" s="1"/>
  <c r="AD599" i="71"/>
  <c r="AE599" i="71"/>
  <c r="AD600" i="71" l="1"/>
  <c r="AE600" i="71"/>
  <c r="O601" i="71"/>
  <c r="X601" i="71" s="1"/>
  <c r="AE601" i="71" l="1"/>
  <c r="AD601" i="71"/>
  <c r="O602" i="71"/>
  <c r="X602" i="71" s="1"/>
  <c r="AD602" i="71" l="1"/>
  <c r="AE602" i="71"/>
  <c r="O603" i="71"/>
  <c r="X603" i="71" s="1"/>
  <c r="O604" i="71" l="1"/>
  <c r="X604" i="71" s="1"/>
  <c r="AD603" i="71"/>
  <c r="AE603" i="71"/>
  <c r="O605" i="71" l="1"/>
  <c r="X605" i="71" s="1"/>
  <c r="AD604" i="71"/>
  <c r="AE604" i="71"/>
  <c r="AE605" i="71" l="1"/>
  <c r="O606" i="71"/>
  <c r="X606" i="71" s="1"/>
  <c r="AD605" i="71"/>
  <c r="AD606" i="71" l="1"/>
  <c r="AE606" i="71"/>
  <c r="O607" i="71"/>
  <c r="X607" i="71" s="1"/>
  <c r="AD607" i="71" l="1"/>
  <c r="AE607" i="71"/>
  <c r="O608" i="71"/>
  <c r="X608" i="71" s="1"/>
  <c r="AD608" i="71" l="1"/>
  <c r="AE608" i="71"/>
  <c r="O609" i="71"/>
  <c r="X609" i="71" s="1"/>
  <c r="AD609" i="71" l="1"/>
  <c r="AE609" i="71"/>
  <c r="O610" i="71"/>
  <c r="X610" i="71" s="1"/>
  <c r="AD610" i="71" l="1"/>
  <c r="AE610" i="71"/>
  <c r="O611" i="71"/>
  <c r="X611" i="71" s="1"/>
  <c r="O612" i="71" l="1"/>
  <c r="X612" i="71" s="1"/>
  <c r="AD611" i="71"/>
  <c r="AE611" i="71"/>
  <c r="O613" i="71" l="1"/>
  <c r="X613" i="71" s="1"/>
  <c r="AE612" i="71"/>
  <c r="AD612" i="71"/>
  <c r="AE613" i="71" l="1"/>
  <c r="O614" i="71"/>
  <c r="X614" i="71" s="1"/>
  <c r="AD613" i="71"/>
  <c r="AD614" i="71" l="1"/>
  <c r="AE614" i="71"/>
  <c r="O615" i="71"/>
  <c r="X615" i="71" s="1"/>
  <c r="AD615" i="71" l="1"/>
  <c r="AE615" i="71"/>
  <c r="O616" i="71"/>
  <c r="X616" i="71" s="1"/>
  <c r="AD616" i="71" l="1"/>
  <c r="AE616" i="71"/>
  <c r="O617" i="71"/>
  <c r="X617" i="71" s="1"/>
  <c r="AD617" i="71" l="1"/>
  <c r="AE617" i="71"/>
  <c r="O618" i="71"/>
  <c r="X618" i="71" s="1"/>
  <c r="AD618" i="71" l="1"/>
  <c r="AE618" i="71"/>
  <c r="O619" i="71"/>
  <c r="X619" i="71" s="1"/>
  <c r="O620" i="71" l="1"/>
  <c r="X620" i="71" s="1"/>
  <c r="AD619" i="71"/>
  <c r="AE619" i="71"/>
  <c r="O621" i="71" l="1"/>
  <c r="X621" i="71" s="1"/>
  <c r="AD620" i="71"/>
  <c r="AE620" i="71"/>
  <c r="AE621" i="71" l="1"/>
  <c r="O622" i="71"/>
  <c r="X622" i="71" s="1"/>
  <c r="AD621" i="71"/>
  <c r="AD622" i="71" l="1"/>
  <c r="AE622" i="71"/>
  <c r="O623" i="71"/>
  <c r="X623" i="71" s="1"/>
  <c r="AD623" i="71" l="1"/>
  <c r="AE623" i="71"/>
  <c r="O624" i="71"/>
  <c r="X624" i="71" s="1"/>
  <c r="AD624" i="71" l="1"/>
  <c r="AE624" i="71"/>
  <c r="O625" i="71"/>
  <c r="X625" i="71" s="1"/>
  <c r="AD625" i="71" l="1"/>
  <c r="AE625" i="71"/>
  <c r="O626" i="71"/>
  <c r="X626" i="71" s="1"/>
  <c r="AD626" i="71" l="1"/>
  <c r="O627" i="71"/>
  <c r="X627" i="71" s="1"/>
  <c r="AE626" i="71"/>
  <c r="O628" i="71" l="1"/>
  <c r="X628" i="71" s="1"/>
  <c r="AD627" i="71"/>
  <c r="AE627" i="71"/>
  <c r="O629" i="71" l="1"/>
  <c r="X629" i="71" s="1"/>
  <c r="AD628" i="71"/>
  <c r="AE628" i="71"/>
  <c r="AE629" i="71" l="1"/>
  <c r="O630" i="71"/>
  <c r="X630" i="71" s="1"/>
  <c r="AD629" i="71"/>
  <c r="AD630" i="71" l="1"/>
  <c r="AE630" i="71"/>
  <c r="O631" i="71"/>
  <c r="X631" i="71" s="1"/>
  <c r="AD631" i="71" l="1"/>
  <c r="AE631" i="71"/>
  <c r="O632" i="71"/>
  <c r="X632" i="71" s="1"/>
  <c r="AD632" i="71" l="1"/>
  <c r="AE632" i="71"/>
  <c r="O633" i="71"/>
  <c r="X633" i="71" s="1"/>
  <c r="AE633" i="71" l="1"/>
  <c r="AD633" i="71"/>
  <c r="O634" i="71"/>
  <c r="X634" i="71" s="1"/>
  <c r="O635" i="71" l="1"/>
  <c r="X635" i="71" s="1"/>
  <c r="AD634" i="71"/>
  <c r="AE634" i="71"/>
  <c r="O636" i="71" l="1"/>
  <c r="X636" i="71" s="1"/>
  <c r="AE635" i="71"/>
  <c r="AD635" i="71"/>
  <c r="O637" i="71" l="1"/>
  <c r="X637" i="71" s="1"/>
  <c r="AD636" i="71"/>
  <c r="AE636" i="71"/>
  <c r="AD637" i="71" l="1"/>
  <c r="AE637" i="71"/>
  <c r="O638" i="71"/>
  <c r="X638" i="71" s="1"/>
  <c r="AE638" i="71" l="1"/>
  <c r="AD638" i="71"/>
  <c r="O639" i="71"/>
  <c r="X639" i="71" s="1"/>
  <c r="AD639" i="71" l="1"/>
  <c r="AE639" i="71"/>
  <c r="O640" i="71"/>
  <c r="X640" i="71" s="1"/>
  <c r="AD640" i="71" l="1"/>
  <c r="AE640" i="71"/>
  <c r="O641" i="71"/>
  <c r="X641" i="71" s="1"/>
  <c r="AD641" i="71" l="1"/>
  <c r="AE641" i="71"/>
  <c r="O642" i="71"/>
  <c r="X642" i="71" s="1"/>
  <c r="O643" i="71" l="1"/>
  <c r="X643" i="71" s="1"/>
  <c r="AE642" i="71"/>
  <c r="AD642" i="71"/>
  <c r="O644" i="71" l="1"/>
  <c r="X644" i="71" s="1"/>
  <c r="AD643" i="71"/>
  <c r="AE643" i="71"/>
  <c r="AE644" i="71" l="1"/>
  <c r="O645" i="71"/>
  <c r="X645" i="71" s="1"/>
  <c r="AD644" i="71"/>
  <c r="AD645" i="71" l="1"/>
  <c r="AE645" i="71"/>
  <c r="O646" i="71"/>
  <c r="X646" i="71" s="1"/>
  <c r="AD646" i="71" l="1"/>
  <c r="AE646" i="71"/>
  <c r="O647" i="71"/>
  <c r="X647" i="71" s="1"/>
  <c r="AD647" i="71" l="1"/>
  <c r="AE647" i="71"/>
  <c r="O648" i="71"/>
  <c r="X648" i="71" s="1"/>
  <c r="AD648" i="71" l="1"/>
  <c r="AE648" i="71"/>
  <c r="O649" i="71"/>
  <c r="X649" i="71" s="1"/>
  <c r="AD649" i="71" l="1"/>
  <c r="AE649" i="71"/>
  <c r="O650" i="71"/>
  <c r="X650" i="71" s="1"/>
  <c r="O651" i="71" l="1"/>
  <c r="X651" i="71" s="1"/>
  <c r="AE650" i="71"/>
  <c r="AD650" i="71"/>
  <c r="O652" i="71" l="1"/>
  <c r="X652" i="71" s="1"/>
  <c r="AD651" i="71"/>
  <c r="AE651" i="71"/>
  <c r="AE652" i="71" l="1"/>
  <c r="O653" i="71"/>
  <c r="X653" i="71" s="1"/>
  <c r="AD652" i="71"/>
  <c r="AD653" i="71" l="1"/>
  <c r="AE653" i="71"/>
  <c r="O654" i="71"/>
  <c r="X654" i="71" s="1"/>
  <c r="AD654" i="71" l="1"/>
  <c r="AE654" i="71"/>
  <c r="O655" i="71"/>
  <c r="X655" i="71" s="1"/>
  <c r="AD655" i="71" l="1"/>
  <c r="AE655" i="71"/>
  <c r="O656" i="71"/>
  <c r="X656" i="71" s="1"/>
  <c r="AD656" i="71" l="1"/>
  <c r="AE656" i="71"/>
  <c r="O657" i="71"/>
  <c r="X657" i="71" s="1"/>
  <c r="AD657" i="71" l="1"/>
  <c r="O658" i="71"/>
  <c r="X658" i="71" s="1"/>
  <c r="AE657" i="71"/>
  <c r="O659" i="71" l="1"/>
  <c r="X659" i="71" s="1"/>
  <c r="AE658" i="71"/>
  <c r="AD658" i="71"/>
  <c r="O660" i="71" l="1"/>
  <c r="X660" i="71" s="1"/>
  <c r="AD659" i="71"/>
  <c r="AE659" i="71"/>
  <c r="AE660" i="71" l="1"/>
  <c r="O661" i="71"/>
  <c r="X661" i="71" s="1"/>
  <c r="AD660" i="71"/>
  <c r="AD661" i="71" l="1"/>
  <c r="AE661" i="71"/>
  <c r="O662" i="71"/>
  <c r="X662" i="71" s="1"/>
  <c r="AD662" i="71" l="1"/>
  <c r="AE662" i="71"/>
  <c r="O663" i="71"/>
  <c r="X663" i="71" s="1"/>
  <c r="AD663" i="71" l="1"/>
  <c r="AE663" i="71"/>
  <c r="O664" i="71"/>
  <c r="X664" i="71" s="1"/>
  <c r="AD664" i="71" l="1"/>
  <c r="AE664" i="71"/>
  <c r="O665" i="71"/>
  <c r="X665" i="71" s="1"/>
  <c r="AD665" i="71" l="1"/>
  <c r="AE665" i="71"/>
  <c r="O666" i="71"/>
  <c r="X666" i="71" s="1"/>
  <c r="O667" i="71" l="1"/>
  <c r="X667" i="71" s="1"/>
  <c r="AE666" i="71"/>
  <c r="AD666" i="71"/>
  <c r="O668" i="71" l="1"/>
  <c r="X668" i="71" s="1"/>
  <c r="AD667" i="71"/>
  <c r="AE667" i="71"/>
  <c r="AE668" i="71" l="1"/>
  <c r="O669" i="71"/>
  <c r="X669" i="71" s="1"/>
  <c r="AD668" i="71"/>
  <c r="AD669" i="71" l="1"/>
  <c r="AE669" i="71"/>
  <c r="O670" i="71"/>
  <c r="X670" i="71" s="1"/>
  <c r="AD670" i="71" l="1"/>
  <c r="AE670" i="71"/>
  <c r="O671" i="71"/>
  <c r="X671" i="71" s="1"/>
  <c r="AD671" i="71" l="1"/>
  <c r="AE671" i="71"/>
  <c r="O672" i="71"/>
  <c r="X672" i="71" s="1"/>
  <c r="AD672" i="71" l="1"/>
  <c r="AE672" i="71"/>
  <c r="O673" i="71"/>
  <c r="X673" i="71" s="1"/>
  <c r="AD673" i="71" l="1"/>
  <c r="AE673" i="71"/>
  <c r="O674" i="71"/>
  <c r="X674" i="71" s="1"/>
  <c r="O675" i="71" l="1"/>
  <c r="X675" i="71" s="1"/>
  <c r="AE674" i="71"/>
  <c r="AD674" i="71"/>
  <c r="O676" i="71" l="1"/>
  <c r="X676" i="71" s="1"/>
  <c r="AD675" i="71"/>
  <c r="AE675" i="71"/>
  <c r="AE676" i="71" l="1"/>
  <c r="O677" i="71"/>
  <c r="X677" i="71" s="1"/>
  <c r="AD676" i="71"/>
  <c r="AD677" i="71" l="1"/>
  <c r="AE677" i="71"/>
  <c r="O678" i="71"/>
  <c r="X678" i="71" s="1"/>
  <c r="AD678" i="71" l="1"/>
  <c r="AE678" i="71"/>
  <c r="O679" i="71"/>
  <c r="X679" i="71" s="1"/>
  <c r="AD679" i="71" l="1"/>
  <c r="AE679" i="71"/>
  <c r="O680" i="71"/>
  <c r="X680" i="71" s="1"/>
  <c r="AD680" i="71" l="1"/>
  <c r="AE680" i="71"/>
  <c r="O681" i="71"/>
  <c r="X681" i="71" s="1"/>
  <c r="AD681" i="71" l="1"/>
  <c r="AE681" i="71"/>
  <c r="O682" i="71"/>
  <c r="X682" i="71" s="1"/>
  <c r="O683" i="71" l="1"/>
  <c r="X683" i="71" s="1"/>
  <c r="AE682" i="71"/>
  <c r="AD682" i="71"/>
  <c r="O684" i="71" l="1"/>
  <c r="X684" i="71" s="1"/>
  <c r="AD683" i="71"/>
  <c r="AE683" i="71"/>
  <c r="AE684" i="71" l="1"/>
  <c r="O685" i="71"/>
  <c r="X685" i="71" s="1"/>
  <c r="AD684" i="71"/>
  <c r="AD685" i="71" l="1"/>
  <c r="AE685" i="71"/>
  <c r="O686" i="71"/>
  <c r="X686" i="71" s="1"/>
  <c r="AD686" i="71" l="1"/>
  <c r="AE686" i="71"/>
  <c r="O687" i="71"/>
  <c r="X687" i="71" s="1"/>
  <c r="AD687" i="71" l="1"/>
  <c r="AE687" i="71"/>
  <c r="O688" i="71"/>
  <c r="X688" i="71" s="1"/>
  <c r="AD688" i="71" l="1"/>
  <c r="AE688" i="71"/>
  <c r="O689" i="71"/>
  <c r="X689" i="71" s="1"/>
  <c r="AD689" i="71" l="1"/>
  <c r="O690" i="71"/>
  <c r="X690" i="71" s="1"/>
  <c r="AE689" i="71"/>
  <c r="O691" i="71" l="1"/>
  <c r="X691" i="71" s="1"/>
  <c r="AE690" i="71"/>
  <c r="AD690" i="71"/>
  <c r="O692" i="71" l="1"/>
  <c r="X692" i="71" s="1"/>
  <c r="AD691" i="71"/>
  <c r="AE691" i="71"/>
  <c r="AE692" i="71" l="1"/>
  <c r="O693" i="71"/>
  <c r="X693" i="71" s="1"/>
  <c r="AD692" i="71"/>
  <c r="AD693" i="71" l="1"/>
  <c r="AE693" i="71"/>
  <c r="O694" i="71"/>
  <c r="X694" i="71" s="1"/>
  <c r="AD694" i="71" l="1"/>
  <c r="AE694" i="71"/>
  <c r="O695" i="71"/>
  <c r="X695" i="71" s="1"/>
  <c r="AD695" i="71" l="1"/>
  <c r="AE695" i="71"/>
  <c r="O696" i="71"/>
  <c r="X696" i="71" s="1"/>
  <c r="AD696" i="71" l="1"/>
  <c r="AE696" i="71"/>
  <c r="O697" i="71"/>
  <c r="X697" i="71" s="1"/>
  <c r="AD697" i="71" l="1"/>
  <c r="O698" i="71"/>
  <c r="X698" i="71" s="1"/>
  <c r="AE697" i="71"/>
  <c r="O699" i="71" l="1"/>
  <c r="X699" i="71" s="1"/>
  <c r="AD698" i="71"/>
  <c r="AE698" i="71"/>
  <c r="O700" i="71" l="1"/>
  <c r="X700" i="71" s="1"/>
  <c r="AE699" i="71"/>
  <c r="AD699" i="71"/>
  <c r="AE700" i="71" l="1"/>
  <c r="O701" i="71"/>
  <c r="X701" i="71" s="1"/>
  <c r="AD700" i="71"/>
  <c r="AD701" i="71" l="1"/>
  <c r="AE701" i="71"/>
  <c r="O702" i="71"/>
  <c r="X702" i="71" s="1"/>
  <c r="AD702" i="71" l="1"/>
  <c r="AE702" i="71"/>
  <c r="O703" i="71"/>
  <c r="X703" i="71" s="1"/>
  <c r="AD703" i="71" l="1"/>
  <c r="AE703" i="71"/>
  <c r="O704" i="71"/>
  <c r="X704" i="71" s="1"/>
  <c r="AD704" i="71" l="1"/>
  <c r="AE704" i="71"/>
  <c r="O705" i="71"/>
  <c r="X705" i="71" s="1"/>
  <c r="AD705" i="71" l="1"/>
  <c r="O706" i="71"/>
  <c r="X706" i="71" s="1"/>
  <c r="AE705" i="71"/>
  <c r="O707" i="71" l="1"/>
  <c r="X707" i="71" s="1"/>
  <c r="AD706" i="71"/>
  <c r="AE706" i="71"/>
  <c r="O708" i="71" l="1"/>
  <c r="X708" i="71" s="1"/>
  <c r="AE707" i="71"/>
  <c r="AD707" i="71"/>
  <c r="AE708" i="71" l="1"/>
  <c r="O709" i="71"/>
  <c r="X709" i="71" s="1"/>
  <c r="AD708" i="71"/>
  <c r="AD709" i="71" l="1"/>
  <c r="AE709" i="71"/>
  <c r="O710" i="71"/>
  <c r="X710" i="71" s="1"/>
  <c r="AD710" i="71" l="1"/>
  <c r="AE710" i="71"/>
  <c r="O711" i="71"/>
  <c r="X711" i="71" s="1"/>
  <c r="AD711" i="71" l="1"/>
  <c r="AE711" i="71"/>
  <c r="O712" i="71"/>
  <c r="X712" i="71" s="1"/>
  <c r="AD712" i="71" l="1"/>
  <c r="AE712" i="71"/>
  <c r="O713" i="71"/>
  <c r="X713" i="71" s="1"/>
  <c r="AD713" i="71" l="1"/>
  <c r="AE713" i="71"/>
  <c r="O714" i="71"/>
  <c r="X714" i="71" s="1"/>
  <c r="O715" i="71" l="1"/>
  <c r="X715" i="71" s="1"/>
  <c r="AD714" i="71"/>
  <c r="AE714" i="71"/>
  <c r="O716" i="71" l="1"/>
  <c r="X716" i="71" s="1"/>
  <c r="AE715" i="71"/>
  <c r="AD715" i="71"/>
  <c r="AE716" i="71" l="1"/>
  <c r="O717" i="71"/>
  <c r="X717" i="71" s="1"/>
  <c r="AD716" i="71"/>
  <c r="AD717" i="71" l="1"/>
  <c r="AE717" i="71"/>
  <c r="O718" i="71"/>
  <c r="X718" i="71" s="1"/>
  <c r="AD718" i="71" l="1"/>
  <c r="AE718" i="71"/>
  <c r="O719" i="71"/>
  <c r="X719" i="71" s="1"/>
  <c r="AD719" i="71" l="1"/>
  <c r="AE719" i="71"/>
  <c r="O720" i="71"/>
  <c r="X720" i="71" s="1"/>
  <c r="AD720" i="71" l="1"/>
  <c r="AE720" i="71"/>
  <c r="O721" i="71"/>
  <c r="X721" i="71" s="1"/>
  <c r="AD721" i="71" l="1"/>
  <c r="AE721" i="71"/>
  <c r="O722" i="71"/>
  <c r="X722" i="71" s="1"/>
  <c r="O723" i="71" l="1"/>
  <c r="X723" i="71" s="1"/>
  <c r="AD722" i="71"/>
  <c r="AE722" i="71"/>
  <c r="O724" i="71" l="1"/>
  <c r="X724" i="71" s="1"/>
  <c r="AD723" i="71"/>
  <c r="AE723" i="71"/>
  <c r="AE724" i="71" l="1"/>
  <c r="O725" i="71"/>
  <c r="X725" i="71" s="1"/>
  <c r="AD724" i="71"/>
  <c r="AD725" i="71" l="1"/>
  <c r="AE725" i="71"/>
  <c r="O726" i="71"/>
  <c r="X726" i="71" s="1"/>
  <c r="AD726" i="71" l="1"/>
  <c r="AE726" i="71"/>
  <c r="O727" i="71"/>
  <c r="X727" i="71" s="1"/>
  <c r="AD727" i="71" l="1"/>
  <c r="AE727" i="71"/>
  <c r="O728" i="71"/>
  <c r="X728" i="71" s="1"/>
  <c r="AD728" i="71" l="1"/>
  <c r="AE728" i="71"/>
  <c r="O729" i="71"/>
  <c r="X729" i="71" s="1"/>
  <c r="AD729" i="71" l="1"/>
  <c r="O730" i="71"/>
  <c r="X730" i="71" s="1"/>
  <c r="AE729" i="71"/>
  <c r="O731" i="71" l="1"/>
  <c r="X731" i="71" s="1"/>
  <c r="AD730" i="71"/>
  <c r="AE730" i="71"/>
  <c r="O732" i="71" l="1"/>
  <c r="X732" i="71" s="1"/>
  <c r="AD731" i="71"/>
  <c r="AE731" i="71"/>
  <c r="AE732" i="71" l="1"/>
  <c r="O733" i="71"/>
  <c r="X733" i="71" s="1"/>
  <c r="AD732" i="71"/>
  <c r="AD733" i="71" l="1"/>
  <c r="AE733" i="71"/>
  <c r="O734" i="71"/>
  <c r="X734" i="71" s="1"/>
  <c r="AD734" i="71" l="1"/>
  <c r="AE734" i="71"/>
  <c r="O735" i="71"/>
  <c r="X735" i="71" s="1"/>
  <c r="AD735" i="71" l="1"/>
  <c r="AE735" i="71"/>
  <c r="O736" i="71"/>
  <c r="X736" i="71" s="1"/>
  <c r="AD736" i="71" l="1"/>
  <c r="AE736" i="71"/>
  <c r="O737" i="71"/>
  <c r="X737" i="71" s="1"/>
  <c r="AD737" i="71" l="1"/>
  <c r="AE737" i="71"/>
  <c r="O738" i="71"/>
  <c r="X738" i="71" s="1"/>
  <c r="O739" i="71" l="1"/>
  <c r="X739" i="71" s="1"/>
  <c r="AE738" i="71"/>
  <c r="AD738" i="71"/>
  <c r="O740" i="71" l="1"/>
  <c r="X740" i="71" s="1"/>
  <c r="AD739" i="71"/>
  <c r="AE739" i="71"/>
  <c r="AE740" i="71" l="1"/>
  <c r="O741" i="71"/>
  <c r="X741" i="71" s="1"/>
  <c r="AD740" i="71"/>
  <c r="AD741" i="71" l="1"/>
  <c r="AE741" i="71"/>
  <c r="O742" i="71"/>
  <c r="X742" i="71" s="1"/>
  <c r="AD742" i="71" l="1"/>
  <c r="AE742" i="71"/>
  <c r="O743" i="71"/>
  <c r="X743" i="71" s="1"/>
  <c r="AD743" i="71" l="1"/>
  <c r="AE743" i="71"/>
  <c r="O744" i="71"/>
  <c r="X744" i="71" s="1"/>
  <c r="AD744" i="71" l="1"/>
  <c r="AE744" i="71"/>
  <c r="O745" i="71"/>
  <c r="X745" i="71" s="1"/>
  <c r="AD745" i="71" l="1"/>
  <c r="AE745" i="71"/>
  <c r="O746" i="71"/>
  <c r="X746" i="71" s="1"/>
  <c r="O747" i="71" l="1"/>
  <c r="X747" i="71" s="1"/>
  <c r="AE746" i="71"/>
  <c r="AD746" i="71"/>
  <c r="O748" i="71" l="1"/>
  <c r="X748" i="71" s="1"/>
  <c r="AD747" i="71"/>
  <c r="AE747" i="71"/>
  <c r="AE748" i="71" l="1"/>
  <c r="O749" i="71"/>
  <c r="X749" i="71" s="1"/>
  <c r="AD748" i="71"/>
  <c r="AD749" i="71" l="1"/>
  <c r="AE749" i="71"/>
  <c r="O750" i="71"/>
  <c r="X750" i="71" s="1"/>
  <c r="AD750" i="71" l="1"/>
  <c r="AE750" i="71"/>
  <c r="O751" i="71"/>
  <c r="X751" i="71" s="1"/>
  <c r="AD751" i="71" l="1"/>
  <c r="AE751" i="71"/>
  <c r="O752" i="71"/>
  <c r="X752" i="71" s="1"/>
  <c r="AD752" i="71" l="1"/>
  <c r="AE752" i="71"/>
  <c r="O753" i="71"/>
  <c r="X753" i="71" s="1"/>
  <c r="AD753" i="71" l="1"/>
  <c r="O754" i="71"/>
  <c r="X754" i="71" s="1"/>
  <c r="AE753" i="71"/>
  <c r="O755" i="71" l="1"/>
  <c r="X755" i="71" s="1"/>
  <c r="AE754" i="71"/>
  <c r="AD754" i="71"/>
  <c r="O756" i="71" l="1"/>
  <c r="X756" i="71" s="1"/>
  <c r="AD755" i="71"/>
  <c r="AE755" i="71"/>
  <c r="AE756" i="71" l="1"/>
  <c r="O757" i="71"/>
  <c r="X757" i="71" s="1"/>
  <c r="AD756" i="71"/>
  <c r="AD757" i="71" l="1"/>
  <c r="AE757" i="71"/>
  <c r="O758" i="71"/>
  <c r="X758" i="71" s="1"/>
  <c r="AD758" i="71" l="1"/>
  <c r="AE758" i="71"/>
  <c r="O759" i="71"/>
  <c r="X759" i="71" s="1"/>
  <c r="AD759" i="71" l="1"/>
  <c r="AE759" i="71"/>
  <c r="O760" i="71"/>
  <c r="X760" i="71" s="1"/>
  <c r="AD760" i="71" l="1"/>
  <c r="AE760" i="71"/>
  <c r="O761" i="71"/>
  <c r="X761" i="71" s="1"/>
  <c r="AD761" i="71" l="1"/>
  <c r="O762" i="71"/>
  <c r="X762" i="71" s="1"/>
  <c r="AE761" i="71"/>
  <c r="O763" i="71" l="1"/>
  <c r="X763" i="71" s="1"/>
  <c r="AD762" i="71"/>
  <c r="AE762" i="71"/>
  <c r="O764" i="71" l="1"/>
  <c r="X764" i="71" s="1"/>
  <c r="AE763" i="71"/>
  <c r="AD763" i="71"/>
  <c r="AE764" i="71" l="1"/>
  <c r="O765" i="71"/>
  <c r="X765" i="71" s="1"/>
  <c r="AD764" i="71"/>
  <c r="AD765" i="71" l="1"/>
  <c r="AE765" i="71"/>
  <c r="O766" i="71"/>
  <c r="X766" i="71" s="1"/>
  <c r="AD766" i="71" l="1"/>
  <c r="AE766" i="71"/>
  <c r="O767" i="71"/>
  <c r="X767" i="71" s="1"/>
  <c r="AD767" i="71" l="1"/>
  <c r="AE767" i="71"/>
  <c r="O768" i="71"/>
  <c r="X768" i="71" s="1"/>
  <c r="AD768" i="71" l="1"/>
  <c r="AE768" i="71"/>
  <c r="O769" i="71"/>
  <c r="X769" i="71" s="1"/>
  <c r="AD769" i="71" l="1"/>
  <c r="AE769" i="71"/>
  <c r="O770" i="71"/>
  <c r="X770" i="71" s="1"/>
  <c r="O771" i="71" l="1"/>
  <c r="X771" i="71" s="1"/>
  <c r="AE770" i="71"/>
  <c r="AD770" i="71"/>
  <c r="O772" i="71" l="1"/>
  <c r="X772" i="71" s="1"/>
  <c r="AE771" i="71"/>
  <c r="AD771" i="71"/>
  <c r="AE772" i="71" l="1"/>
  <c r="O773" i="71"/>
  <c r="X773" i="71" s="1"/>
  <c r="AD772" i="71"/>
  <c r="AE773" i="71" l="1"/>
  <c r="O774" i="71"/>
  <c r="X774" i="71" s="1"/>
  <c r="AD773" i="71"/>
  <c r="AD774" i="71" l="1"/>
  <c r="AE774" i="71"/>
  <c r="O775" i="71"/>
  <c r="X775" i="71" s="1"/>
  <c r="AE775" i="71" l="1"/>
  <c r="AD775" i="71"/>
  <c r="O776" i="71"/>
  <c r="X776" i="71" s="1"/>
  <c r="AD776" i="71" l="1"/>
  <c r="O777" i="71"/>
  <c r="X777" i="71" s="1"/>
  <c r="AE776" i="71"/>
  <c r="AD777" i="71" l="1"/>
  <c r="AE777" i="71"/>
  <c r="O778" i="71"/>
  <c r="X778" i="71" s="1"/>
  <c r="AD778" i="71" l="1"/>
  <c r="O779" i="71"/>
  <c r="X779" i="71" s="1"/>
  <c r="AE778" i="71"/>
  <c r="AE779" i="71" l="1"/>
  <c r="AD779" i="71"/>
  <c r="O780" i="71"/>
  <c r="X780" i="71" s="1"/>
  <c r="AD780" i="71" l="1"/>
  <c r="AE780" i="71"/>
  <c r="O781" i="71"/>
  <c r="X781" i="71" s="1"/>
  <c r="AD781" i="71" l="1"/>
  <c r="O782" i="71"/>
  <c r="X782" i="71" s="1"/>
  <c r="AE781" i="71"/>
  <c r="O783" i="71" l="1"/>
  <c r="X783" i="71" s="1"/>
  <c r="AE782" i="71"/>
  <c r="AD782" i="71"/>
  <c r="O784" i="71" l="1"/>
  <c r="X784" i="71" s="1"/>
  <c r="AD783" i="71"/>
  <c r="AE783" i="71"/>
  <c r="AE784" i="71" l="1"/>
  <c r="AD784" i="71"/>
  <c r="O785" i="71"/>
  <c r="X785" i="71" s="1"/>
  <c r="AD785" i="71" l="1"/>
  <c r="AE785" i="71"/>
  <c r="O786" i="71"/>
  <c r="X786" i="71" s="1"/>
  <c r="AD786" i="71" l="1"/>
  <c r="O787" i="71"/>
  <c r="X787" i="71" s="1"/>
  <c r="AE786" i="71"/>
  <c r="AE787" i="71" l="1"/>
  <c r="O788" i="71"/>
  <c r="X788" i="71" s="1"/>
  <c r="AD787" i="71"/>
  <c r="AD788" i="71" l="1"/>
  <c r="AE788" i="71"/>
  <c r="O789" i="71"/>
  <c r="X789" i="71" s="1"/>
  <c r="AD789" i="71" l="1"/>
  <c r="O790" i="71"/>
  <c r="X790" i="71" s="1"/>
  <c r="AE789" i="71"/>
  <c r="O791" i="71" l="1"/>
  <c r="X791" i="71" s="1"/>
  <c r="AE790" i="71"/>
  <c r="AD790" i="71"/>
  <c r="O792" i="71" l="1"/>
  <c r="X792" i="71" s="1"/>
  <c r="AD791" i="71"/>
  <c r="AE791" i="71"/>
  <c r="AE792" i="71" l="1"/>
  <c r="AD792" i="71"/>
  <c r="O793" i="71"/>
  <c r="X793" i="71" s="1"/>
  <c r="AD793" i="71" l="1"/>
  <c r="AE793" i="71"/>
  <c r="O794" i="71"/>
  <c r="X794" i="71" s="1"/>
  <c r="AD794" i="71" l="1"/>
  <c r="O795" i="71"/>
  <c r="X795" i="71" s="1"/>
  <c r="AE794" i="71"/>
  <c r="AE795" i="71" l="1"/>
  <c r="O796" i="71"/>
  <c r="X796" i="71" s="1"/>
  <c r="AD795" i="71"/>
  <c r="AD796" i="71" l="1"/>
  <c r="AE796" i="71"/>
  <c r="O797" i="71"/>
  <c r="X797" i="71" s="1"/>
  <c r="AD797" i="71" l="1"/>
  <c r="O798" i="71"/>
  <c r="X798" i="71" s="1"/>
  <c r="AE797" i="71"/>
  <c r="O799" i="71" l="1"/>
  <c r="X799" i="71" s="1"/>
  <c r="AE798" i="71"/>
  <c r="AD798" i="71"/>
  <c r="O800" i="71" l="1"/>
  <c r="X800" i="71" s="1"/>
  <c r="AD799" i="71"/>
  <c r="AE799" i="71"/>
  <c r="AE800" i="71" l="1"/>
  <c r="AD800" i="71"/>
  <c r="O801" i="71"/>
  <c r="X801" i="71" s="1"/>
  <c r="AD801" i="71" l="1"/>
  <c r="AE801" i="71"/>
  <c r="O802" i="71"/>
  <c r="X802" i="71" s="1"/>
  <c r="AD802" i="71" l="1"/>
  <c r="O803" i="71"/>
  <c r="X803" i="71" s="1"/>
  <c r="AE802" i="71"/>
  <c r="AE803" i="71" l="1"/>
  <c r="AD803" i="71"/>
  <c r="O804" i="71"/>
  <c r="X804" i="71" s="1"/>
  <c r="AD804" i="71" l="1"/>
  <c r="AE804" i="71"/>
  <c r="O805" i="71"/>
  <c r="X805" i="71" s="1"/>
  <c r="AD805" i="71" l="1"/>
  <c r="O806" i="71"/>
  <c r="X806" i="71" s="1"/>
  <c r="AE805" i="71"/>
  <c r="O807" i="71" l="1"/>
  <c r="X807" i="71" s="1"/>
  <c r="AE806" i="71"/>
  <c r="AD806" i="71"/>
  <c r="O808" i="71" l="1"/>
  <c r="X808" i="71" s="1"/>
  <c r="AD807" i="71"/>
  <c r="AE807" i="71"/>
  <c r="AE808" i="71" l="1"/>
  <c r="AD808" i="71"/>
  <c r="O809" i="71"/>
  <c r="X809" i="71" s="1"/>
  <c r="AD809" i="71" l="1"/>
  <c r="AE809" i="71"/>
  <c r="O810" i="71"/>
  <c r="X810" i="71" s="1"/>
  <c r="AD810" i="71" l="1"/>
  <c r="O811" i="71"/>
  <c r="X811" i="71" s="1"/>
  <c r="AE810" i="71"/>
  <c r="AE811" i="71" l="1"/>
  <c r="AD811" i="71"/>
  <c r="O812" i="71"/>
  <c r="X812" i="71" s="1"/>
  <c r="AD812" i="71" l="1"/>
  <c r="AE812" i="71"/>
  <c r="O813" i="71"/>
  <c r="X813" i="71" s="1"/>
  <c r="AD813" i="71" l="1"/>
  <c r="O814" i="71"/>
  <c r="X814" i="71" s="1"/>
  <c r="AE813" i="71"/>
  <c r="O815" i="71" l="1"/>
  <c r="X815" i="71" s="1"/>
  <c r="AE814" i="71"/>
  <c r="AD814" i="71"/>
  <c r="O816" i="71" l="1"/>
  <c r="X816" i="71" s="1"/>
  <c r="AD815" i="71"/>
  <c r="AE815" i="71"/>
  <c r="AE816" i="71" l="1"/>
  <c r="AD816" i="71"/>
  <c r="O817" i="71"/>
  <c r="X817" i="71" s="1"/>
  <c r="AD817" i="71" l="1"/>
  <c r="AE817" i="71"/>
  <c r="O818" i="71"/>
  <c r="X818" i="71" s="1"/>
  <c r="AD818" i="71" l="1"/>
  <c r="O819" i="71"/>
  <c r="X819" i="71" s="1"/>
  <c r="AE818" i="71"/>
  <c r="AE819" i="71" l="1"/>
  <c r="O820" i="71"/>
  <c r="X820" i="71" s="1"/>
  <c r="AD819" i="71"/>
  <c r="AD820" i="71" l="1"/>
  <c r="AE820" i="71"/>
  <c r="O821" i="71"/>
  <c r="X821" i="71" s="1"/>
  <c r="AD821" i="71" l="1"/>
  <c r="O822" i="71"/>
  <c r="X822" i="71" s="1"/>
  <c r="AE821" i="71"/>
  <c r="O823" i="71" l="1"/>
  <c r="X823" i="71" s="1"/>
  <c r="AE822" i="71"/>
  <c r="AD822" i="71"/>
  <c r="O824" i="71" l="1"/>
  <c r="X824" i="71" s="1"/>
  <c r="AD823" i="71"/>
  <c r="AE823" i="71"/>
  <c r="AE824" i="71" l="1"/>
  <c r="AD824" i="71"/>
  <c r="O825" i="71"/>
  <c r="X825" i="71" s="1"/>
  <c r="AD825" i="71" l="1"/>
  <c r="AE825" i="71"/>
  <c r="O826" i="71"/>
  <c r="X826" i="71" s="1"/>
  <c r="AD826" i="71" l="1"/>
  <c r="O827" i="71"/>
  <c r="X827" i="71" s="1"/>
  <c r="AE826" i="71"/>
  <c r="AE827" i="71" l="1"/>
  <c r="O828" i="71"/>
  <c r="X828" i="71" s="1"/>
  <c r="AD827" i="71"/>
  <c r="AD828" i="71" l="1"/>
  <c r="AE828" i="71"/>
  <c r="O829" i="71"/>
  <c r="X829" i="71" s="1"/>
  <c r="AD829" i="71" l="1"/>
  <c r="O830" i="71"/>
  <c r="X830" i="71" s="1"/>
  <c r="AE829" i="71"/>
  <c r="O831" i="71" l="1"/>
  <c r="X831" i="71" s="1"/>
  <c r="AE830" i="71"/>
  <c r="AD830" i="71"/>
  <c r="O832" i="71" l="1"/>
  <c r="X832" i="71" s="1"/>
  <c r="AD831" i="71"/>
  <c r="AE831" i="71"/>
  <c r="AE832" i="71" l="1"/>
  <c r="AD832" i="71"/>
  <c r="O833" i="71"/>
  <c r="X833" i="71" s="1"/>
  <c r="AD833" i="71" l="1"/>
  <c r="AE833" i="7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<sst xmlns="http://schemas.openxmlformats.org/spreadsheetml/2006/main" count="2910" uniqueCount="1198">
  <si>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</si>
  <si>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</si>
  <si>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</si>
  <si>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</si>
  <si>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</si>
  <si>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</si>
  <si>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</si>
  <si>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</si>
  <si>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</si>
  <si>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</si>
  <si>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</si>
  <si>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</si>
  <si>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</si>
  <si>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</si>
  <si>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</si>
  <si>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</si>
  <si>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</si>
  <si>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</si>
  <si>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</si>
  <si>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</si>
  <si>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</si>
  <si>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</si>
  <si>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</si>
  <si>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</si>
  <si>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</si>
  <si>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</si>
  <si>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</si>
  <si>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</si>
  <si>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</si>
  <si>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</si>
  <si>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</si>
  <si>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</si>
  <si>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</si>
  <si>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</si>
  <si>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</si>
  <si>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</si>
  <si>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</si>
  <si>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</si>
  <si>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</si>
  <si>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</si>
  <si>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</si>
  <si>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</si>
  <si>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</si>
  <si>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</si>
  <si>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</si>
  <si>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</si>
  <si>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</si>
  <si>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</si>
  <si>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</si>
  <si>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</si>
  <si>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</si>
  <si>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</si>
  <si>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</si>
  <si>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</si>
  <si>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</si>
  <si>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</si>
  <si>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</si>
  <si>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</si>
  <si>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</si>
  <si>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</si>
  <si>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</si>
  <si>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</si>
  <si>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</si>
  <si>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</si>
  <si>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</si>
  <si>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</si>
  <si>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</si>
  <si>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</si>
  <si>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</si>
  <si>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</si>
  <si>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</si>
  <si>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</si>
  <si>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</si>
  <si>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</si>
  <si>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</si>
  <si>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</si>
  <si>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</si>
  <si>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</si>
  <si>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</si>
  <si>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</si>
  <si>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</si>
  <si>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</si>
  <si>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</si>
  <si>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</si>
  <si>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</si>
  <si>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</si>
  <si>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</si>
  <si>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</si>
  <si>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</si>
  <si>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</si>
  <si>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</si>
  <si>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</si>
  <si>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</si>
  <si>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</si>
  <si>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</si>
  <si>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</si>
  <si>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</si>
  <si>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</si>
  <si>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</si>
  <si>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</si>
  <si>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</si>
  <si>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</si>
  <si>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</si>
  <si>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</si>
  <si>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</si>
  <si>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</si>
  <si>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</si>
  <si>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</si>
  <si>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</si>
  <si>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</si>
  <si>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</si>
  <si>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</si>
  <si>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</si>
  <si>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</si>
  <si>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</si>
  <si>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</si>
  <si>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</si>
  <si>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</si>
  <si>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</si>
  <si>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</si>
  <si>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</si>
  <si>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</si>
  <si>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</si>
  <si>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</si>
  <si>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</si>
  <si>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</si>
  <si>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</si>
  <si>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</si>
  <si>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</si>
  <si>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</si>
  <si>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</si>
  <si>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</si>
  <si>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</si>
  <si>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</si>
  <si>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</si>
  <si>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</si>
  <si>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</si>
  <si>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</si>
  <si>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</si>
  <si>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</si>
  <si>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</si>
  <si>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</si>
  <si>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</si>
  <si>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</si>
  <si>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</si>
  <si>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</si>
  <si>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</si>
  <si>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</si>
  <si>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</si>
  <si>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</si>
  <si>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</si>
  <si>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</si>
  <si>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</si>
  <si>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</si>
  <si>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</si>
  <si>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</si>
  <si>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</si>
  <si>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</si>
  <si>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</si>
  <si>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</si>
  <si>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</si>
  <si>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</si>
  <si>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</si>
  <si>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</si>
  <si>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</si>
  <si>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</si>
  <si>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</si>
  <si>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</si>
  <si>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</si>
  <si>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</si>
  <si>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</si>
  <si>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</si>
  <si>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</si>
  <si>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</si>
  <si>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</si>
  <si>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</si>
  <si>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</si>
  <si>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</si>
  <si>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</si>
  <si>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</si>
  <si>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</si>
  <si>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</si>
  <si>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</si>
  <si>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</si>
  <si>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</si>
  <si>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</si>
  <si>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</si>
  <si>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</si>
  <si>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</si>
  <si>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</si>
  <si>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</si>
  <si>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</si>
  <si>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</si>
  <si>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</si>
  <si>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</si>
  <si>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</si>
  <si>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</si>
  <si>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</si>
  <si>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</si>
  <si>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</si>
  <si>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</si>
  <si>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</si>
  <si>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</si>
  <si>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</si>
  <si>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</si>
  <si>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</si>
  <si>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</si>
  <si>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</si>
  <si>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</si>
  <si>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</si>
  <si>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</si>
  <si>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</si>
  <si>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</si>
  <si>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</si>
  <si>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</si>
  <si>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</si>
  <si>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</si>
  <si>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</si>
  <si>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</si>
  <si>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</si>
  <si>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</si>
  <si>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</si>
  <si>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</si>
  <si>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</si>
  <si>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</si>
  <si>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</si>
  <si>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</si>
  <si>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</si>
  <si>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</si>
  <si>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</si>
  <si>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</si>
  <si>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</si>
  <si>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</si>
  <si>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</si>
  <si>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</si>
  <si>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</si>
  <si>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</si>
  <si>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</si>
  <si>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</si>
  <si>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</si>
  <si>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</si>
  <si>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</si>
  <si>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</si>
  <si>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</si>
  <si>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</si>
  <si>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</si>
  <si>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</si>
  <si>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</si>
  <si>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</si>
  <si>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</si>
  <si>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</si>
  <si>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</si>
  <si>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</si>
  <si>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</si>
  <si>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</si>
  <si>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</si>
  <si>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</si>
  <si>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</si>
  <si>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</si>
  <si>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</si>
  <si>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</si>
  <si>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</si>
  <si>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</si>
  <si>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</si>
  <si>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</si>
  <si>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</si>
  <si>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</si>
  <si>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</si>
  <si>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</si>
  <si>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</si>
  <si>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</si>
  <si>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</si>
  <si>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</si>
  <si>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</si>
  <si>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</si>
  <si>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</si>
  <si>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</si>
  <si>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</si>
  <si>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</si>
  <si>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</si>
  <si>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</si>
  <si>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</si>
  <si>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</si>
  <si>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</si>
  <si>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</si>
  <si>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</si>
  <si>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</si>
  <si>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</si>
  <si>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</si>
  <si>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</si>
  <si>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</si>
  <si>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</si>
  <si>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</si>
  <si>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</si>
  <si>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</si>
  <si>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</si>
  <si>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</si>
  <si>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</si>
  <si>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</si>
  <si>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</si>
  <si>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</si>
  <si>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</si>
  <si>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</si>
  <si>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</si>
  <si>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</si>
  <si>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</si>
  <si>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</si>
  <si>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</si>
  <si>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</si>
  <si>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</si>
  <si>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</si>
  <si>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</si>
  <si>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</si>
  <si>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</si>
  <si>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</si>
  <si>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</si>
  <si>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</si>
  <si>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</si>
  <si>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</si>
  <si>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</si>
  <si>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</si>
  <si>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</si>
  <si>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</si>
  <si>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</si>
  <si>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</si>
  <si>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</si>
  <si>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</si>
  <si>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</si>
  <si>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</si>
  <si>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</si>
  <si>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</si>
  <si>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</si>
  <si>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</si>
  <si>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</si>
  <si>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</si>
  <si>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</si>
  <si>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</si>
  <si>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</si>
  <si>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</si>
  <si>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</si>
  <si>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</si>
  <si>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</si>
  <si>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</si>
  <si>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</si>
  <si>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</si>
  <si>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</si>
  <si>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</si>
  <si>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</si>
  <si>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</si>
  <si>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</si>
  <si>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</si>
  <si>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</si>
  <si>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</si>
  <si>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</si>
  <si>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</si>
  <si>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</si>
  <si>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</si>
  <si>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</si>
  <si>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</si>
  <si>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</si>
  <si>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</si>
  <si>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</si>
  <si>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</si>
  <si>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</si>
  <si>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</si>
  <si>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</si>
  <si>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</si>
  <si>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</si>
  <si>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</si>
  <si>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</si>
  <si>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</si>
  <si>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</si>
  <si>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</si>
  <si>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</si>
  <si>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</si>
  <si>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</si>
  <si>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</si>
  <si>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</si>
  <si>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</si>
  <si>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</si>
  <si>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</si>
  <si>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</si>
  <si>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</si>
  <si>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</si>
  <si>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</si>
  <si>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</si>
  <si>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</si>
  <si>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</si>
  <si>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</si>
  <si>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</si>
  <si>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</si>
  <si>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</si>
  <si>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</si>
  <si>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</si>
  <si>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</si>
  <si>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</si>
  <si>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</si>
  <si>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</si>
  <si>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</si>
  <si>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</si>
  <si>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</si>
  <si>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</si>
  <si>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</si>
  <si>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</si>
  <si>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</si>
  <si>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</si>
  <si>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</si>
  <si>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</si>
  <si>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</si>
  <si>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</si>
  <si>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</si>
  <si>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</si>
  <si>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</si>
  <si>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</si>
  <si>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</si>
  <si>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</si>
  <si>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</si>
  <si>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</si>
  <si>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</si>
  <si>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</si>
  <si>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</si>
  <si>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</si>
  <si>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</si>
  <si>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</si>
  <si>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</si>
  <si>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</si>
  <si>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</si>
  <si>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</si>
  <si>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</si>
  <si>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</si>
  <si>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</si>
  <si>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</si>
  <si>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</si>
  <si>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</si>
  <si>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</si>
  <si>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</si>
  <si>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</si>
  <si>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</si>
  <si>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</si>
  <si>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</si>
  <si>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</si>
  <si>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</si>
  <si>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</si>
  <si>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</si>
  <si>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</si>
  <si>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</si>
  <si>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</si>
  <si>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</si>
  <si>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</si>
  <si>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</si>
  <si>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</si>
  <si>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</si>
  <si>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</si>
  <si>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</si>
  <si>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</si>
  <si>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</si>
  <si>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</si>
  <si>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</si>
  <si>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</si>
  <si>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</si>
  <si>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</si>
  <si>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</si>
  <si>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</si>
  <si>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</si>
  <si>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</si>
  <si>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</si>
  <si>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</si>
  <si>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</si>
  <si>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</si>
  <si>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</si>
  <si>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</si>
  <si>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</si>
  <si>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</si>
  <si>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</si>
  <si>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</si>
  <si>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</si>
  <si>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</si>
  <si>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</si>
  <si>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</si>
  <si>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</si>
  <si>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</si>
  <si>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</si>
  <si>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</si>
  <si>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</si>
  <si>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</si>
  <si>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</si>
  <si>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</si>
  <si>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</si>
  <si>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</si>
  <si>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</si>
  <si>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</si>
  <si>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</si>
  <si>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</si>
  <si>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</si>
  <si>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</si>
  <si>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</si>
  <si>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</si>
  <si>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</si>
  <si>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</si>
  <si>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</si>
  <si>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</si>
  <si>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</si>
  <si>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</si>
  <si>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</si>
  <si>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</si>
  <si>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</si>
  <si>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</si>
  <si>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</si>
  <si>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</si>
  <si>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</si>
  <si>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</si>
  <si>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</si>
  <si>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</si>
  <si>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</si>
  <si>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</si>
  <si>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</si>
  <si>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</si>
  <si>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</si>
  <si>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</si>
  <si>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</si>
  <si>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</si>
  <si>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</si>
  <si>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</si>
  <si>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</si>
  <si>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</si>
  <si>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</si>
  <si>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</si>
  <si>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</si>
  <si>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</si>
  <si>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</si>
  <si>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</si>
  <si>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</si>
  <si>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</si>
  <si>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</si>
  <si>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</si>
  <si>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</si>
  <si>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</si>
  <si>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</si>
  <si>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</si>
  <si>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</si>
  <si>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</si>
  <si>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</si>
  <si>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</si>
  <si>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</si>
  <si>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</si>
  <si>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</si>
  <si>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</si>
  <si>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</si>
  <si>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</si>
  <si>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</si>
  <si>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</si>
  <si>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</si>
  <si>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</si>
  <si>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</si>
  <si>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</si>
  <si>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</si>
  <si>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</si>
  <si>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</si>
  <si>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</si>
  <si>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</si>
  <si>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</si>
  <si>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</si>
  <si>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</si>
  <si>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</si>
  <si>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</si>
  <si>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</si>
  <si>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</si>
  <si>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</si>
  <si>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</si>
  <si>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</si>
  <si>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</si>
  <si>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</si>
  <si>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</si>
  <si>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</si>
  <si>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</si>
  <si>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</si>
  <si>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</si>
  <si>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</si>
  <si>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</si>
  <si>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</si>
  <si>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</si>
  <si>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</si>
  <si>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</si>
  <si>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</si>
  <si>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</si>
  <si>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</si>
  <si>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</si>
  <si>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</si>
  <si>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</si>
  <si>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</si>
  <si>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</si>
  <si>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</si>
  <si>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</si>
  <si>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</si>
  <si>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</si>
  <si>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</si>
  <si>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</si>
  <si>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</si>
  <si>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</si>
  <si>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</si>
  <si>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</si>
  <si>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</si>
  <si>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</si>
  <si>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</si>
  <si>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</si>
  <si>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</si>
  <si>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</si>
  <si>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</si>
  <si>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</si>
  <si>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</si>
  <si>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</si>
  <si>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</si>
  <si>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</si>
  <si>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</si>
  <si>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</si>
  <si>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</si>
  <si>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</si>
  <si>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</si>
  <si>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</si>
  <si>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</si>
  <si>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</si>
  <si>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</si>
  <si>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</si>
  <si>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</si>
  <si>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</si>
  <si>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</si>
  <si>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</si>
  <si>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</si>
  <si>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</si>
  <si>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</si>
  <si>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</si>
  <si>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</si>
  <si>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</si>
  <si>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</si>
  <si>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</si>
  <si>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</si>
  <si>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</si>
  <si>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</si>
  <si>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</si>
  <si>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</si>
  <si>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</si>
  <si>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</si>
  <si>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</si>
  <si>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</si>
  <si>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</si>
  <si>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</si>
  <si>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</si>
  <si>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</si>
  <si>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</si>
  <si>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</si>
  <si>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</si>
  <si>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</si>
  <si>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</si>
  <si>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</si>
  <si>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</si>
  <si>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</si>
  <si>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</si>
  <si>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</si>
  <si>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</si>
  <si>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</si>
  <si>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</si>
  <si>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</si>
  <si>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</si>
  <si>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</si>
  <si>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</si>
  <si>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</si>
  <si>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</si>
  <si>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</si>
  <si>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</si>
  <si>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</si>
  <si>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</si>
  <si>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</si>
  <si>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</si>
  <si>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</si>
  <si>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</si>
  <si>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</si>
  <si>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</si>
  <si>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</si>
  <si>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</si>
  <si>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</si>
  <si>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</si>
  <si>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</si>
  <si>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</si>
  <si>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</si>
  <si>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</si>
  <si>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</si>
  <si>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</si>
  <si>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</si>
  <si>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</si>
  <si>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</si>
  <si>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</si>
  <si>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</si>
  <si>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</si>
  <si>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</si>
  <si>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</si>
  <si>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</si>
  <si>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</si>
  <si>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</si>
  <si>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</si>
  <si>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</si>
  <si>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</si>
  <si>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</si>
  <si>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</si>
  <si>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</si>
  <si>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</si>
  <si>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</si>
  <si>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</si>
  <si>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</si>
  <si>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</si>
  <si>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</si>
  <si>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</si>
  <si>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</si>
  <si>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</si>
  <si>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</si>
  <si>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</si>
  <si>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</si>
  <si>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</si>
  <si>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</si>
  <si>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</si>
  <si>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</si>
  <si>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</si>
  <si>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</si>
  <si>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</si>
  <si>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</si>
  <si>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</si>
  <si>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</si>
  <si>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</si>
  <si>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</si>
  <si>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</si>
  <si>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</si>
  <si>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</si>
  <si>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</si>
  <si>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</si>
  <si>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</si>
  <si>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</si>
  <si>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</si>
  <si>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</si>
  <si>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</si>
  <si>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</si>
  <si>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</si>
  <si>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</si>
  <si>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</si>
  <si>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</si>
  <si>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</si>
  <si>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</si>
  <si>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</si>
  <si>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</si>
  <si>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</si>
  <si>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</si>
  <si>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</si>
  <si>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</si>
  <si>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</si>
  <si>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</si>
  <si>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</si>
  <si>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</si>
  <si>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</si>
  <si>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</si>
  <si>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</si>
  <si>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</si>
  <si>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</si>
  <si>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</si>
  <si>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</si>
  <si>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</si>
  <si>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</si>
  <si>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</si>
  <si>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</si>
  <si>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</si>
  <si>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</si>
  <si>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</si>
  <si>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</si>
  <si>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</si>
  <si>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</si>
  <si>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</si>
  <si>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</si>
  <si>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</si>
  <si>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</si>
  <si>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</si>
  <si>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</si>
  <si>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</si>
  <si>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</si>
  <si>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</si>
  <si>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</si>
  <si>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</si>
  <si>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</si>
  <si>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</si>
  <si>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</si>
  <si>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</si>
  <si>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</si>
  <si>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</si>
  <si>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</si>
  <si>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</si>
  <si>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</si>
  <si>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</si>
  <si>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</si>
  <si>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</si>
  <si>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</si>
  <si>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</si>
  <si>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</si>
  <si>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</si>
  <si>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</si>
  <si>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</si>
  <si>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</si>
  <si>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</si>
  <si>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</si>
  <si>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</si>
  <si>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</si>
  <si>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</si>
  <si>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</si>
  <si>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</si>
  <si>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</si>
  <si>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</si>
  <si>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</si>
  <si>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</si>
  <si>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</si>
  <si>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</si>
  <si>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</si>
  <si>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</si>
  <si>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</si>
  <si>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</si>
  <si>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</si>
  <si>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</si>
  <si>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</si>
  <si>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</si>
  <si>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</si>
  <si>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</si>
  <si>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</si>
  <si>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</si>
  <si>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</si>
  <si>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</si>
  <si>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</si>
  <si>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</si>
  <si>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</si>
  <si>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</si>
  <si>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</si>
  <si>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</si>
  <si>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</si>
  <si>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</si>
  <si>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</si>
  <si>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</si>
  <si>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</si>
  <si>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</si>
  <si>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</si>
  <si>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</si>
  <si>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</si>
  <si>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</si>
  <si>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</si>
  <si>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</si>
  <si>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</si>
  <si>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</si>
  <si>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</si>
  <si>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</si>
  <si>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</si>
  <si>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</si>
  <si>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</si>
  <si>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</si>
  <si>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</si>
  <si>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</si>
  <si>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</si>
  <si>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</si>
  <si>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</si>
  <si>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</si>
  <si>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</si>
  <si>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</si>
  <si>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</si>
  <si>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</si>
  <si>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</si>
  <si>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</si>
  <si>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</si>
  <si>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</si>
  <si>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</si>
  <si>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</si>
  <si>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</si>
  <si>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</si>
  <si>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</si>
  <si>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</si>
  <si>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</si>
  <si>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</si>
  <si>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</si>
  <si>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</si>
  <si>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</si>
  <si>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</si>
  <si>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</si>
  <si>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</si>
  <si>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</si>
  <si>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</si>
  <si>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</si>
  <si>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</si>
  <si>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</si>
  <si>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</si>
  <si>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</si>
  <si>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</si>
  <si>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</si>
  <si>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</si>
  <si>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</si>
  <si>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</si>
  <si>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</si>
  <si>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</si>
  <si>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</si>
  <si>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</si>
  <si>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</si>
  <si>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</si>
  <si>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</si>
  <si>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</si>
  <si>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</si>
  <si>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</si>
  <si>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</si>
  <si>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</si>
  <si>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</si>
  <si>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</si>
  <si>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</si>
  <si>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</si>
  <si>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</si>
  <si>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</si>
  <si>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</si>
  <si>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</si>
  <si>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</si>
  <si>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</si>
  <si>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</si>
  <si>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</si>
  <si>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</si>
  <si>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</si>
  <si>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</si>
  <si>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</si>
  <si>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</si>
  <si>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</si>
  <si>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</si>
  <si>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</si>
  <si>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</si>
  <si>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</si>
  <si>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</si>
  <si>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</si>
  <si>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</si>
  <si>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</si>
  <si>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</si>
  <si>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</si>
  <si>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</si>
  <si>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</si>
  <si>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</si>
  <si>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</si>
  <si>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</si>
  <si>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</si>
  <si>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</si>
  <si>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</si>
  <si>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</si>
  <si>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</si>
  <si>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</si>
  <si>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</si>
  <si>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</si>
  <si>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</si>
  <si>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</si>
  <si>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</si>
  <si>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</si>
  <si>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</si>
  <si>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</si>
  <si>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</si>
  <si>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</si>
  <si>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</si>
  <si>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</si>
  <si>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</si>
  <si>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</si>
  <si>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</si>
  <si>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</si>
  <si>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</si>
  <si>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</si>
  <si>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</si>
  <si>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</si>
  <si>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</si>
  <si>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</si>
  <si>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</si>
  <si>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</si>
  <si>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</si>
  <si>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</si>
  <si>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</si>
  <si>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</si>
  <si>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</si>
  <si>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</si>
  <si>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</si>
  <si>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</si>
  <si>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</si>
  <si>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</si>
  <si>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</si>
  <si>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</si>
  <si>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</si>
  <si>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</si>
  <si>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</si>
  <si>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</si>
  <si>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</si>
  <si>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</si>
  <si>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</si>
  <si>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</si>
  <si>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</si>
  <si>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</si>
  <si>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</si>
  <si>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</si>
  <si>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</si>
  <si>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</si>
  <si>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</si>
  <si>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</si>
  <si>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</si>
  <si>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</si>
  <si>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</si>
  <si>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</si>
  <si>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</si>
  <si>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</si>
  <si>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</si>
  <si>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</si>
  <si>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</si>
  <si>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</si>
  <si>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</si>
  <si>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</si>
  <si>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</si>
  <si>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</si>
  <si>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</si>
  <si>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</si>
  <si>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</si>
  <si>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</si>
  <si>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</si>
  <si>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</si>
  <si>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</si>
  <si>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</si>
  <si>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</si>
  <si>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</si>
  <si>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</si>
  <si>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</si>
  <si>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</si>
  <si>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</si>
  <si>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</si>
  <si>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</si>
  <si>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</si>
  <si>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</si>
  <si>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</si>
  <si>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</si>
  <si>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</si>
  <si>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</si>
  <si>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</si>
  <si>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</si>
  <si>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</si>
  <si>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</si>
  <si>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</si>
  <si>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</si>
  <si>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</si>
  <si>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</si>
  <si>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</si>
  <si>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</si>
  <si>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</si>
  <si>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</si>
  <si>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</si>
  <si>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</si>
  <si>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</si>
  <si>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</si>
  <si>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</si>
  <si>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</si>
  <si>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</si>
  <si>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</si>
  <si>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</si>
  <si>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</si>
  <si>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</si>
  <si>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</si>
  <si>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</si>
  <si>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</si>
  <si>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</si>
  <si>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</si>
  <si>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</si>
  <si>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</si>
  <si>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</si>
  <si>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</si>
  <si>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</si>
  <si>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</si>
  <si>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</si>
  <si>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</si>
  <si>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</si>
  <si>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</si>
  <si>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</si>
  <si>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</si>
  <si>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</si>
  <si>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</si>
  <si>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</si>
  <si>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</si>
  <si>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</si>
  <si>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</si>
  <si>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</si>
  <si>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</si>
  <si>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</si>
  <si>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</si>
  <si>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</si>
  <si>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</si>
  <si>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</si>
  <si>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</si>
  <si>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</si>
  <si>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</si>
  <si>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</si>
  <si>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</si>
  <si>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</si>
  <si>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</si>
  <si>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</si>
  <si>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</si>
  <si>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</si>
  <si>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</si>
  <si>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</si>
  <si>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</si>
  <si>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</si>
  <si>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</si>
  <si>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</si>
  <si>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</si>
  <si>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</si>
  <si>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</si>
  <si>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</si>
  <si>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</si>
  <si>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</si>
  <si>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</si>
  <si>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</si>
  <si>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</si>
  <si>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</si>
  <si>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</si>
  <si>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</si>
  <si>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</si>
  <si>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</si>
  <si>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</si>
  <si>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</si>
  <si>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</si>
  <si>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</si>
  <si>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</si>
  <si>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</si>
  <si>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</si>
  <si>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</si>
  <si>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</si>
  <si>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</si>
  <si>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</si>
  <si>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</si>
  <si>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</si>
  <si>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</si>
  <si>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</si>
  <si>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</si>
  <si>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</si>
  <si>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</si>
  <si>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</si>
  <si>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</si>
  <si>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</si>
  <si>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</si>
  <si>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</si>
  <si>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</si>
  <si>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</si>
  <si>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</si>
  <si>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End Date:</t>
  </si>
  <si>
    <t>Monthly Finance Payment:</t>
  </si>
  <si>
    <t>1st Year Insurance:</t>
  </si>
  <si>
    <t>1st Year Property Tax:</t>
  </si>
  <si>
    <t>Contract Date:</t>
  </si>
  <si>
    <t>End Date:</t>
  </si>
  <si>
    <t>Monthly Payment:</t>
  </si>
  <si>
    <t>Purchase</t>
  </si>
  <si>
    <t>Appreciation:</t>
  </si>
  <si>
    <t>Capital Gains:</t>
  </si>
  <si>
    <t>Profit Upon Sale:</t>
  </si>
  <si>
    <t>Trade Credit:</t>
  </si>
  <si>
    <t>Start Contract</t>
  </si>
  <si>
    <t>End Contract</t>
  </si>
  <si>
    <t>This value is carried up to cell C31,                         Labled Rehab</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</si>
  <si>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</si>
  <si>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</si>
  <si>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</si>
  <si>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</si>
  <si>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</si>
  <si>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</si>
  <si>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</si>
  <si>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</si>
  <si>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</si>
  <si>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</si>
  <si>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</si>
  <si>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</si>
  <si>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</si>
  <si>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</si>
  <si>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 12 Cash Flow</t>
  </si>
  <si>
    <t>Cumulative Cash Flow</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</si>
  <si>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</si>
  <si>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</si>
  <si>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</si>
  <si>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</si>
  <si>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</si>
  <si>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</si>
  <si>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</si>
  <si>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</si>
  <si>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</si>
  <si>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</si>
  <si>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</si>
  <si>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</si>
  <si>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Balance</t>
  </si>
  <si>
    <t>Known Balance:</t>
  </si>
  <si>
    <t>Remaining Years/Months</t>
  </si>
  <si>
    <t>Known Balance Date:</t>
  </si>
  <si>
    <t>Trade Asset Value Received:</t>
  </si>
  <si>
    <t>Projected Trade Asset Payment Spread:</t>
  </si>
  <si>
    <t>Total Expected Value Including Trade Assets:</t>
  </si>
  <si>
    <t>Monthly Payment Spread</t>
  </si>
  <si>
    <t>Annual Payment Spread</t>
  </si>
  <si>
    <t>Total Annual Payment Spread:</t>
  </si>
  <si>
    <t>Total Monthly Payment Spread:</t>
  </si>
  <si>
    <t>Expected monthly spread from future Contract for Deed/resale payments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</si>
</sst>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4"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
      <b/>
      <sz val="10"/>
      <color theme="0"/>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s>
  <borders count="74">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
      <left/>
      <right/>
      <top style="thin">
        <color auto="1"/>
      </top>
      <bottom/>
      <diagonal/>
    </border>
    <border>
      <left/>
      <right style="medium">
        <color auto="1"/>
      </right>
      <top style="thin">
        <color auto="1"/>
      </top>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52">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164" fontId="15" fillId="3" borderId="30"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0" fontId="14" fillId="0" borderId="40" xfId="0" applyFont="1" applyBorder="1"/>
    <xf numFmtId="164" fontId="14" fillId="3" borderId="5" xfId="0" applyNumberFormat="1" applyFont="1" applyFill="1" applyBorder="1"/>
    <xf numFmtId="3" fontId="14" fillId="18" borderId="28" xfId="0" applyNumberFormat="1" applyFont="1" applyFill="1" applyBorder="1"/>
    <xf numFmtId="0" fontId="0" fillId="2" borderId="0" xfId="0" applyFill="1" applyAlignment="1">
      <alignment horizontal="right"/>
    </xf>
    <xf numFmtId="0" fontId="1" fillId="2" borderId="44"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164" fontId="15" fillId="3" borderId="45" xfId="0" applyNumberFormat="1" applyFont="1" applyFill="1" applyBorder="1"/>
    <xf numFmtId="49" fontId="1" fillId="3" borderId="35" xfId="0" quotePrefix="1" applyNumberFormat="1" applyFont="1" applyFill="1" applyBorder="1" applyAlignment="1">
      <alignment horizontal="center" wrapText="1"/>
    </xf>
    <xf numFmtId="0" fontId="1" fillId="18" borderId="46" xfId="0" applyFont="1" applyFill="1" applyBorder="1" applyAlignment="1">
      <alignment horizontal="right"/>
    </xf>
    <xf numFmtId="164" fontId="1" fillId="18" borderId="29" xfId="0" applyNumberFormat="1" applyFont="1" applyFill="1" applyBorder="1"/>
    <xf numFmtId="0" fontId="1" fillId="18" borderId="47" xfId="0" applyFont="1" applyFill="1" applyBorder="1" applyAlignment="1">
      <alignment horizontal="right"/>
    </xf>
    <xf numFmtId="164" fontId="1" fillId="18" borderId="48" xfId="0" applyNumberFormat="1" applyFont="1" applyFill="1" applyBorder="1"/>
    <xf numFmtId="49" fontId="17" fillId="11" borderId="35" xfId="0" quotePrefix="1" applyNumberFormat="1" applyFont="1" applyFill="1" applyBorder="1" applyAlignment="1">
      <alignment horizontal="center" wrapText="1"/>
    </xf>
    <xf numFmtId="0" fontId="4" fillId="2" borderId="49" xfId="0" applyFont="1" applyFill="1" applyBorder="1" applyAlignment="1">
      <alignment horizontal="right"/>
    </xf>
    <xf numFmtId="0" fontId="4" fillId="2" borderId="48" xfId="0" applyFont="1" applyFill="1" applyBorder="1" applyAlignment="1">
      <alignment horizontal="right"/>
    </xf>
    <xf numFmtId="0" fontId="4" fillId="2" borderId="48" xfId="0" applyFont="1" applyFill="1" applyBorder="1"/>
    <xf numFmtId="0" fontId="4" fillId="2" borderId="50"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4" xfId="0" applyNumberFormat="1" applyFont="1" applyFill="1" applyBorder="1" applyAlignment="1">
      <alignment horizontal="right"/>
    </xf>
    <xf numFmtId="1" fontId="34" fillId="19" borderId="33"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3" xfId="0" applyNumberFormat="1" applyFont="1" applyFill="1" applyBorder="1"/>
    <xf numFmtId="1" fontId="1" fillId="2" borderId="53"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3" xfId="0" applyNumberFormat="1" applyFont="1" applyFill="1" applyBorder="1"/>
    <xf numFmtId="3" fontId="1" fillId="2" borderId="44" xfId="0" applyNumberFormat="1" applyFont="1" applyFill="1" applyBorder="1" applyAlignment="1">
      <alignment horizontal="right"/>
    </xf>
    <xf numFmtId="165" fontId="1" fillId="2" borderId="53"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8"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3"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3" xfId="0" applyNumberFormat="1" applyFont="1" applyFill="1" applyBorder="1"/>
    <xf numFmtId="9" fontId="0" fillId="2" borderId="0" xfId="0" applyNumberFormat="1" applyFill="1"/>
    <xf numFmtId="166" fontId="1" fillId="18" borderId="0" xfId="0" applyNumberFormat="1" applyFont="1" applyFill="1"/>
    <xf numFmtId="164" fontId="1" fillId="18" borderId="53"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4" xfId="0" applyNumberFormat="1" applyFont="1" applyFill="1" applyBorder="1"/>
    <xf numFmtId="3" fontId="1" fillId="3" borderId="44"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2" borderId="44" xfId="0" applyNumberFormat="1" applyFont="1" applyFill="1" applyBorder="1"/>
    <xf numFmtId="3" fontId="1" fillId="3" borderId="55" xfId="0" applyNumberFormat="1" applyFont="1" applyFill="1" applyBorder="1"/>
    <xf numFmtId="3" fontId="17" fillId="11" borderId="56" xfId="0" applyNumberFormat="1" applyFont="1" applyFill="1" applyBorder="1"/>
    <xf numFmtId="3" fontId="17" fillId="11" borderId="57"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8" xfId="0" applyNumberFormat="1" applyFont="1" applyFill="1" applyBorder="1"/>
    <xf numFmtId="3" fontId="1" fillId="3" borderId="49"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5" xfId="0" applyNumberFormat="1" applyFont="1" applyFill="1" applyBorder="1"/>
    <xf numFmtId="49" fontId="0" fillId="0" borderId="0" xfId="0" applyNumberFormat="1" applyAlignment="1">
      <alignment horizontal="right"/>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3" fontId="1" fillId="0" borderId="0" xfId="0" applyNumberFormat="1" applyFont="1"/>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20" borderId="4" xfId="0" applyNumberFormat="1" applyFont="1" applyFill="1" applyBorder="1"/>
    <xf numFmtId="3" fontId="14" fillId="20" borderId="42" xfId="0" applyNumberFormat="1" applyFont="1" applyFill="1" applyBorder="1"/>
    <xf numFmtId="164" fontId="14" fillId="23" borderId="4" xfId="0" applyNumberFormat="1" applyFont="1" applyFill="1" applyBorder="1"/>
    <xf numFmtId="3" fontId="14" fillId="23" borderId="42" xfId="0" applyNumberFormat="1" applyFont="1" applyFill="1" applyBorder="1"/>
    <xf numFmtId="9" fontId="33" fillId="2" borderId="28" xfId="0" applyNumberFormat="1" applyFont="1" applyFill="1" applyBorder="1"/>
    <xf numFmtId="3" fontId="14" fillId="23" borderId="4" xfId="0" applyNumberFormat="1" applyFont="1" applyFill="1" applyBorder="1"/>
    <xf numFmtId="0" fontId="14" fillId="23" borderId="42"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4" borderId="34" xfId="0" applyNumberFormat="1" applyFont="1" applyFill="1" applyBorder="1" applyAlignment="1">
      <alignment horizontal="right"/>
    </xf>
    <xf numFmtId="164" fontId="14" fillId="24" borderId="36" xfId="0" applyNumberFormat="1" applyFont="1" applyFill="1" applyBorder="1"/>
    <xf numFmtId="9" fontId="14" fillId="24" borderId="36" xfId="0" applyNumberFormat="1" applyFont="1" applyFill="1" applyBorder="1"/>
    <xf numFmtId="9" fontId="14" fillId="24"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1"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3" xfId="0" applyNumberFormat="1" applyFont="1" applyFill="1" applyBorder="1"/>
    <xf numFmtId="3" fontId="14" fillId="23" borderId="6" xfId="0" applyNumberFormat="1" applyFont="1" applyFill="1" applyBorder="1"/>
    <xf numFmtId="0" fontId="14" fillId="23" borderId="43" xfId="0" applyFont="1" applyFill="1" applyBorder="1"/>
    <xf numFmtId="3" fontId="14" fillId="23" borderId="2" xfId="0" applyNumberFormat="1" applyFont="1" applyFill="1" applyBorder="1"/>
    <xf numFmtId="0" fontId="14" fillId="26" borderId="2" xfId="0"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2"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3" xfId="0" applyNumberFormat="1" applyFont="1" applyFill="1" applyBorder="1"/>
    <xf numFmtId="0" fontId="14" fillId="23" borderId="0" xfId="0" applyFont="1" applyFill="1"/>
    <xf numFmtId="164" fontId="14" fillId="23" borderId="1" xfId="0" applyNumberFormat="1" applyFont="1" applyFill="1" applyBorder="1"/>
    <xf numFmtId="0" fontId="14" fillId="20" borderId="4" xfId="0" applyFont="1" applyFill="1" applyBorder="1"/>
    <xf numFmtId="38" fontId="0" fillId="18" borderId="28" xfId="0" applyNumberFormat="1" applyFill="1" applyBorder="1"/>
    <xf numFmtId="38" fontId="0" fillId="26" borderId="28" xfId="0" applyNumberFormat="1" applyFill="1" applyBorder="1"/>
    <xf numFmtId="38" fontId="0" fillId="20" borderId="28" xfId="0" applyNumberFormat="1" applyFill="1" applyBorder="1"/>
    <xf numFmtId="164" fontId="14" fillId="9" borderId="43" xfId="0" applyNumberFormat="1" applyFont="1" applyFill="1" applyBorder="1"/>
    <xf numFmtId="0" fontId="14" fillId="20" borderId="42" xfId="0" applyFont="1" applyFill="1" applyBorder="1"/>
    <xf numFmtId="164" fontId="14" fillId="26" borderId="3" xfId="0" applyNumberFormat="1" applyFont="1" applyFill="1" applyBorder="1"/>
    <xf numFmtId="0" fontId="14" fillId="2" borderId="0" xfId="0" applyFont="1" applyFill="1"/>
    <xf numFmtId="0" fontId="0" fillId="18" borderId="1" xfId="0" applyFill="1" applyBorder="1"/>
    <xf numFmtId="0" fontId="0" fillId="20" borderId="37" xfId="0" applyFill="1" applyBorder="1" applyAlignment="1">
      <alignment horizontal="center"/>
    </xf>
    <xf numFmtId="0" fontId="0" fillId="20" borderId="33" xfId="0" applyFill="1" applyBorder="1" applyAlignment="1">
      <alignment horizontal="center"/>
    </xf>
    <xf numFmtId="0" fontId="14" fillId="26" borderId="4" xfId="0" applyFont="1" applyFill="1" applyBorder="1" applyAlignment="1">
      <alignment horizontal="right"/>
    </xf>
    <xf numFmtId="164" fontId="14" fillId="26" borderId="5" xfId="0" applyNumberFormat="1"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4"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6" borderId="28" xfId="0" applyNumberFormat="1" applyFill="1" applyBorder="1"/>
    <xf numFmtId="171" fontId="0" fillId="20"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3" borderId="42"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0" fontId="15" fillId="2" borderId="28" xfId="0" applyFont="1" applyFill="1" applyBorder="1" applyAlignment="1">
      <alignment horizontal="center"/>
    </xf>
    <xf numFmtId="3" fontId="0" fillId="0" borderId="0" xfId="0" applyNumberFormat="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173" fontId="0" fillId="0" borderId="0" xfId="0" applyNumberFormat="1" applyAlignment="1">
      <alignment horizontal="center"/>
    </xf>
    <xf numFmtId="173" fontId="1" fillId="20" borderId="28" xfId="0" applyNumberFormat="1" applyFont="1" applyFill="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9"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0" xfId="0" applyNumberFormat="1" applyFont="1" applyFill="1" applyBorder="1" applyAlignment="1">
      <alignment horizontal="right"/>
    </xf>
    <xf numFmtId="3" fontId="34" fillId="28" borderId="60"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3" borderId="63" xfId="0" applyFill="1" applyBorder="1" applyAlignment="1">
      <alignment vertical="top" wrapText="1"/>
    </xf>
    <xf numFmtId="0" fontId="38" fillId="35" borderId="63" xfId="0" applyFont="1" applyFill="1" applyBorder="1" applyAlignment="1">
      <alignment vertical="top" wrapText="1"/>
    </xf>
    <xf numFmtId="177" fontId="0" fillId="33" borderId="63" xfId="0" applyNumberFormat="1" applyFill="1" applyBorder="1" applyAlignment="1">
      <alignment horizontal="right" vertical="top" wrapText="1"/>
    </xf>
    <xf numFmtId="177" fontId="0" fillId="34" borderId="63" xfId="0" applyNumberFormat="1" applyFill="1" applyBorder="1" applyAlignment="1">
      <alignment horizontal="right" vertical="top" wrapText="1"/>
    </xf>
    <xf numFmtId="177" fontId="38" fillId="35" borderId="63" xfId="0" applyNumberFormat="1" applyFont="1" applyFill="1" applyBorder="1" applyAlignment="1">
      <alignment horizontal="right" vertical="top" wrapText="1"/>
    </xf>
    <xf numFmtId="0" fontId="0" fillId="0" borderId="63" xfId="0" applyBorder="1" applyAlignment="1">
      <alignment vertical="top" wrapText="1"/>
    </xf>
    <xf numFmtId="177" fontId="0" fillId="34" borderId="63" xfId="0" applyNumberFormat="1" applyFill="1" applyBorder="1" applyAlignment="1">
      <alignment vertical="top"/>
    </xf>
    <xf numFmtId="0" fontId="0" fillId="31" borderId="63" xfId="0" applyFill="1" applyBorder="1" applyAlignment="1">
      <alignment vertical="top"/>
    </xf>
    <xf numFmtId="0" fontId="0" fillId="34" borderId="63" xfId="0" applyFill="1" applyBorder="1" applyAlignment="1">
      <alignment vertical="top" wrapText="1"/>
    </xf>
    <xf numFmtId="0" fontId="0" fillId="31" borderId="63" xfId="0" applyFill="1" applyBorder="1" applyAlignment="1">
      <alignment vertical="top" wrapText="1"/>
    </xf>
    <xf numFmtId="8" fontId="38" fillId="31" borderId="63" xfId="0" applyNumberFormat="1" applyFont="1" applyFill="1" applyBorder="1" applyAlignment="1">
      <alignment horizontal="left" vertical="top" wrapText="1"/>
    </xf>
    <xf numFmtId="177" fontId="34" fillId="34" borderId="63" xfId="0" applyNumberFormat="1" applyFont="1" applyFill="1" applyBorder="1" applyAlignment="1">
      <alignment vertical="top" wrapText="1"/>
    </xf>
    <xf numFmtId="0" fontId="34" fillId="34" borderId="63" xfId="0" applyFont="1" applyFill="1" applyBorder="1" applyAlignment="1">
      <alignment vertical="top" wrapText="1"/>
    </xf>
    <xf numFmtId="0" fontId="38" fillId="32" borderId="63" xfId="0" applyFont="1" applyFill="1" applyBorder="1" applyAlignment="1">
      <alignment horizontal="center" wrapText="1"/>
    </xf>
    <xf numFmtId="0" fontId="56" fillId="36" borderId="64" xfId="0" applyFont="1" applyFill="1" applyBorder="1" applyAlignment="1">
      <alignment horizontal="center" vertical="center" wrapText="1"/>
    </xf>
    <xf numFmtId="0" fontId="57" fillId="37" borderId="65" xfId="0" applyFont="1" applyFill="1" applyBorder="1" applyAlignment="1">
      <alignment horizontal="left" vertical="center"/>
    </xf>
    <xf numFmtId="178" fontId="57" fillId="37" borderId="65" xfId="0" applyNumberFormat="1" applyFont="1" applyFill="1" applyBorder="1" applyAlignment="1">
      <alignment vertical="center"/>
    </xf>
    <xf numFmtId="165" fontId="57" fillId="37" borderId="65" xfId="0" applyNumberFormat="1" applyFont="1" applyFill="1" applyBorder="1" applyAlignment="1">
      <alignment vertical="center"/>
    </xf>
    <xf numFmtId="0" fontId="57" fillId="37" borderId="65" xfId="0" applyFont="1" applyFill="1" applyBorder="1" applyAlignment="1">
      <alignment horizontal="left" vertical="center" wrapText="1"/>
    </xf>
    <xf numFmtId="0" fontId="58" fillId="38" borderId="64" xfId="0" applyFont="1" applyFill="1" applyBorder="1" applyAlignment="1">
      <alignment horizontal="left" vertical="center"/>
    </xf>
    <xf numFmtId="178" fontId="58" fillId="38" borderId="64" xfId="0" applyNumberFormat="1" applyFont="1" applyFill="1" applyBorder="1" applyAlignment="1">
      <alignment vertical="center"/>
    </xf>
    <xf numFmtId="165" fontId="58" fillId="38" borderId="64" xfId="0" applyNumberFormat="1" applyFont="1" applyFill="1" applyBorder="1" applyAlignment="1">
      <alignment vertical="center"/>
    </xf>
    <xf numFmtId="0" fontId="58" fillId="38" borderId="64" xfId="0" applyFont="1" applyFill="1" applyBorder="1" applyAlignment="1">
      <alignment horizontal="left" vertical="center" wrapText="1"/>
    </xf>
    <xf numFmtId="0" fontId="59" fillId="16" borderId="0" xfId="0" applyFont="1" applyFill="1"/>
    <xf numFmtId="179" fontId="0" fillId="33" borderId="63"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5"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5" borderId="28" xfId="0" applyNumberFormat="1" applyFill="1" applyBorder="1"/>
    <xf numFmtId="10" fontId="0" fillId="26" borderId="28" xfId="0" applyNumberFormat="1" applyFill="1" applyBorder="1"/>
    <xf numFmtId="10" fontId="0" fillId="20" borderId="28" xfId="0" applyNumberFormat="1" applyFill="1" applyBorder="1"/>
    <xf numFmtId="167" fontId="14" fillId="24"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3" borderId="0" xfId="0" applyNumberFormat="1" applyFont="1" applyFill="1"/>
    <xf numFmtId="0" fontId="15" fillId="18" borderId="28" xfId="0" applyFont="1" applyFill="1" applyBorder="1" applyAlignment="1">
      <alignment horizontal="center" vertical="top" wrapText="1"/>
    </xf>
    <xf numFmtId="0" fontId="38" fillId="31" borderId="63" xfId="0" applyFont="1" applyFill="1" applyBorder="1" applyAlignment="1">
      <alignment horizontal="right" vertical="top"/>
    </xf>
    <xf numFmtId="0" fontId="38" fillId="31" borderId="63" xfId="0" applyFont="1" applyFill="1" applyBorder="1" applyAlignment="1">
      <alignment horizontal="right" vertical="top" wrapText="1"/>
    </xf>
    <xf numFmtId="164" fontId="15" fillId="3" borderId="1" xfId="0" applyNumberFormat="1" applyFont="1" applyFill="1" applyBorder="1"/>
    <xf numFmtId="0" fontId="15" fillId="2" borderId="9" xfId="0" applyFont="1" applyFill="1" applyBorder="1" applyAlignment="1">
      <alignment horizontal="center"/>
    </xf>
    <xf numFmtId="0" fontId="14" fillId="24" borderId="1" xfId="0" applyFont="1" applyFill="1" applyBorder="1"/>
    <xf numFmtId="0" fontId="14" fillId="24" borderId="0" xfId="0" applyFont="1" applyFill="1"/>
    <xf numFmtId="0" fontId="14" fillId="24" borderId="2" xfId="0" applyFont="1" applyFill="1" applyBorder="1"/>
    <xf numFmtId="0" fontId="14" fillId="24" borderId="4" xfId="0" applyFont="1" applyFill="1" applyBorder="1"/>
    <xf numFmtId="3" fontId="14" fillId="24" borderId="4" xfId="0" applyNumberFormat="1" applyFont="1" applyFill="1" applyBorder="1"/>
    <xf numFmtId="0" fontId="14" fillId="24" borderId="6" xfId="0" applyFont="1" applyFill="1" applyBorder="1"/>
    <xf numFmtId="3" fontId="15" fillId="3" borderId="0" xfId="0" applyNumberFormat="1" applyFont="1" applyFill="1"/>
    <xf numFmtId="0" fontId="14" fillId="24" borderId="67" xfId="0" applyFont="1" applyFill="1" applyBorder="1"/>
    <xf numFmtId="0" fontId="14" fillId="24" borderId="68" xfId="0" applyFont="1" applyFill="1" applyBorder="1"/>
    <xf numFmtId="3" fontId="14" fillId="24" borderId="68" xfId="0" applyNumberFormat="1" applyFont="1" applyFill="1" applyBorder="1"/>
    <xf numFmtId="0" fontId="14" fillId="24" borderId="69" xfId="0" applyFont="1" applyFill="1" applyBorder="1"/>
    <xf numFmtId="164" fontId="15" fillId="3" borderId="6" xfId="0" applyNumberFormat="1" applyFont="1" applyFill="1" applyBorder="1"/>
    <xf numFmtId="0" fontId="14" fillId="3" borderId="0" xfId="0" applyFont="1" applyFill="1"/>
    <xf numFmtId="0" fontId="14" fillId="3" borderId="1" xfId="0" applyFont="1" applyFill="1" applyBorder="1" applyAlignment="1">
      <alignment horizontal="right"/>
    </xf>
    <xf numFmtId="164" fontId="14" fillId="3" borderId="7" xfId="0" applyNumberFormat="1" applyFont="1" applyFill="1" applyBorder="1"/>
    <xf numFmtId="1" fontId="15" fillId="18" borderId="1" xfId="0" applyNumberFormat="1" applyFont="1" applyFill="1" applyBorder="1" applyAlignment="1">
      <alignment horizontal="center"/>
    </xf>
    <xf numFmtId="38" fontId="0" fillId="26" borderId="0" xfId="0" applyNumberFormat="1" applyFill="1"/>
    <xf numFmtId="38" fontId="0" fillId="20" borderId="0" xfId="0" applyNumberFormat="1" applyFill="1"/>
    <xf numFmtId="8" fontId="0" fillId="0" borderId="0" xfId="0" applyNumberFormat="1"/>
    <xf numFmtId="170" fontId="0" fillId="20" borderId="37" xfId="0" applyNumberFormat="1" applyFill="1" applyBorder="1" applyAlignment="1">
      <alignment horizontal="center"/>
    </xf>
    <xf numFmtId="170" fontId="0" fillId="20"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9" borderId="28" xfId="0" applyNumberFormat="1" applyFont="1" applyFill="1" applyBorder="1" applyAlignment="1">
      <alignment horizontal="center" wrapText="1"/>
    </xf>
    <xf numFmtId="4" fontId="1" fillId="39" borderId="28" xfId="0" applyNumberFormat="1" applyFont="1" applyFill="1" applyBorder="1" applyAlignment="1">
      <alignment horizontal="center" wrapText="1"/>
    </xf>
    <xf numFmtId="4" fontId="1" fillId="39" borderId="33" xfId="0" applyNumberFormat="1" applyFont="1" applyFill="1" applyBorder="1" applyAlignment="1">
      <alignment horizontal="center" wrapText="1"/>
    </xf>
    <xf numFmtId="3" fontId="1" fillId="39" borderId="33" xfId="0" applyNumberFormat="1" applyFont="1" applyFill="1" applyBorder="1" applyAlignment="1">
      <alignment horizontal="center" wrapText="1"/>
    </xf>
    <xf numFmtId="3" fontId="1" fillId="39" borderId="34" xfId="0" applyNumberFormat="1" applyFont="1" applyFill="1" applyBorder="1" applyAlignment="1">
      <alignment horizontal="center" wrapText="1"/>
    </xf>
    <xf numFmtId="0" fontId="1" fillId="39" borderId="33" xfId="0" applyFont="1" applyFill="1" applyBorder="1" applyAlignment="1">
      <alignment horizontal="center" wrapText="1"/>
    </xf>
    <xf numFmtId="173" fontId="1" fillId="39" borderId="28" xfId="0" applyNumberFormat="1" applyFont="1" applyFill="1" applyBorder="1" applyAlignment="1">
      <alignment horizontal="center" wrapText="1"/>
    </xf>
    <xf numFmtId="0" fontId="1" fillId="39"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5" fillId="18" borderId="28" xfId="0" applyFont="1" applyFill="1" applyBorder="1" applyAlignment="1">
      <alignment horizontal="center" vertical="center" wrapText="1"/>
    </xf>
    <xf numFmtId="0" fontId="0" fillId="31" borderId="70" xfId="0" applyFill="1" applyBorder="1"/>
    <xf numFmtId="165" fontId="0" fillId="31" borderId="70" xfId="0" applyNumberFormat="1" applyFill="1" applyBorder="1" applyAlignment="1">
      <alignment horizontal="right"/>
    </xf>
    <xf numFmtId="0" fontId="38" fillId="32" borderId="71" xfId="0" applyFont="1" applyFill="1" applyBorder="1" applyAlignment="1">
      <alignment horizontal="center" wrapText="1"/>
    </xf>
    <xf numFmtId="0" fontId="34" fillId="32" borderId="71" xfId="0" applyFont="1" applyFill="1" applyBorder="1" applyAlignment="1">
      <alignment horizontal="center" wrapText="1"/>
    </xf>
    <xf numFmtId="0" fontId="54" fillId="30" borderId="0" xfId="0" applyFont="1" applyFill="1" applyAlignment="1">
      <alignment horizontal="center"/>
    </xf>
    <xf numFmtId="0" fontId="34" fillId="31" borderId="0" xfId="0" applyFont="1" applyFill="1" applyAlignment="1">
      <alignment horizontal="center" vertical="top" wrapText="1"/>
    </xf>
    <xf numFmtId="0" fontId="38" fillId="31" borderId="0" xfId="0" applyFont="1" applyFill="1" applyAlignment="1">
      <alignment horizontal="center" vertical="top" wrapText="1"/>
    </xf>
    <xf numFmtId="0" fontId="55" fillId="30" borderId="63" xfId="0" applyFont="1" applyFill="1" applyBorder="1" applyAlignment="1">
      <alignment horizontal="center"/>
    </xf>
    <xf numFmtId="0" fontId="1" fillId="18" borderId="34" xfId="0" applyFont="1" applyFill="1" applyBorder="1" applyAlignment="1">
      <alignment horizontal="center"/>
    </xf>
    <xf numFmtId="0" fontId="1" fillId="18" borderId="36" xfId="0" applyFont="1" applyFill="1" applyBorder="1" applyAlignment="1">
      <alignment horizontal="center"/>
    </xf>
    <xf numFmtId="0" fontId="1" fillId="18" borderId="35" xfId="0" applyFont="1" applyFill="1" applyBorder="1" applyAlignment="1">
      <alignment horizontal="center"/>
    </xf>
    <xf numFmtId="0" fontId="14" fillId="0" borderId="0" xfId="0" applyFont="1" applyAlignment="1">
      <alignment horizontal="right"/>
    </xf>
    <xf numFmtId="0" fontId="0" fillId="0" borderId="0" xfId="0"/>
    <xf numFmtId="164" fontId="15" fillId="3" borderId="9" xfId="0" applyNumberFormat="1" applyFont="1" applyFill="1" applyBorder="1"/>
    <xf numFmtId="0" fontId="0" fillId="0" borderId="9" xfId="0" applyBorder="1"/>
    <xf numFmtId="0" fontId="14" fillId="24" borderId="0" xfId="0" applyFont="1" applyFill="1" applyAlignment="1">
      <alignment horizontal="right"/>
    </xf>
    <xf numFmtId="0" fontId="0" fillId="24" borderId="0" xfId="0" applyFill="1"/>
    <xf numFmtId="0" fontId="15" fillId="3" borderId="26" xfId="0" applyFont="1" applyFill="1" applyBorder="1" applyAlignment="1">
      <alignment horizontal="right"/>
    </xf>
    <xf numFmtId="0" fontId="15" fillId="3" borderId="0" xfId="0" applyFont="1" applyFill="1" applyAlignment="1">
      <alignment horizontal="right"/>
    </xf>
    <xf numFmtId="0" fontId="0" fillId="0" borderId="1" xfId="0" applyBorder="1"/>
    <xf numFmtId="164" fontId="15" fillId="3" borderId="4" xfId="0" applyNumberFormat="1" applyFont="1" applyFill="1" applyBorder="1" applyAlignment="1">
      <alignment horizontal="right"/>
    </xf>
    <xf numFmtId="0" fontId="14" fillId="3" borderId="0" xfId="0" applyFont="1" applyFill="1" applyAlignment="1">
      <alignment horizontal="right"/>
    </xf>
    <xf numFmtId="3" fontId="15" fillId="3" borderId="1" xfId="0" applyNumberFormat="1" applyFont="1" applyFill="1" applyBorder="1"/>
    <xf numFmtId="0" fontId="29" fillId="2" borderId="34" xfId="0" applyFont="1" applyFill="1" applyBorder="1" applyAlignment="1">
      <alignment horizontal="center" vertical="center"/>
    </xf>
    <xf numFmtId="0" fontId="0" fillId="2" borderId="36" xfId="0"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4" fontId="15" fillId="2" borderId="6" xfId="0" applyNumberFormat="1" applyFont="1" applyFill="1" applyBorder="1" applyAlignment="1">
      <alignment horizontal="center" vertical="center"/>
    </xf>
    <xf numFmtId="0" fontId="15" fillId="0" borderId="0" xfId="0" applyFont="1" applyAlignment="1">
      <alignment horizontal="center"/>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3" borderId="9" xfId="0" applyFont="1" applyFill="1" applyBorder="1" applyAlignment="1">
      <alignment horizontal="center" vertical="center" wrapText="1"/>
    </xf>
    <xf numFmtId="0" fontId="15" fillId="3" borderId="0" xfId="0" applyFont="1" applyFill="1" applyAlignment="1">
      <alignment horizontal="center" vertical="center" wrapText="1"/>
    </xf>
    <xf numFmtId="0" fontId="0" fillId="0" borderId="0" xfId="0" applyAlignment="1">
      <alignment horizontal="center" vertical="center"/>
    </xf>
    <xf numFmtId="164" fontId="14" fillId="2" borderId="6" xfId="0" applyNumberFormat="1" applyFont="1" applyFill="1"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61" fillId="0" borderId="34" xfId="0" applyFont="1" applyBorder="1" applyAlignment="1">
      <alignment horizontal="center" wrapText="1"/>
    </xf>
    <xf numFmtId="0" fontId="62" fillId="0" borderId="35" xfId="0" applyFont="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3" borderId="34" xfId="0" applyNumberFormat="1" applyFont="1" applyFill="1" applyBorder="1" applyAlignment="1">
      <alignment horizontal="center"/>
    </xf>
    <xf numFmtId="0" fontId="0" fillId="3" borderId="36" xfId="0" applyFill="1" applyBorder="1" applyAlignment="1">
      <alignment horizontal="center"/>
    </xf>
    <xf numFmtId="0" fontId="0" fillId="3" borderId="35" xfId="0" applyFill="1" applyBorder="1" applyAlignment="1">
      <alignment horizontal="center"/>
    </xf>
    <xf numFmtId="164" fontId="15" fillId="0" borderId="0" xfId="0" applyNumberFormat="1" applyFont="1" applyAlignment="1">
      <alignment horizontal="right"/>
    </xf>
    <xf numFmtId="0" fontId="15" fillId="0" borderId="9" xfId="0" applyFont="1" applyBorder="1" applyAlignment="1">
      <alignment horizontal="right"/>
    </xf>
    <xf numFmtId="0" fontId="14" fillId="18" borderId="34" xfId="0" applyFont="1" applyFill="1" applyBorder="1" applyAlignment="1">
      <alignment horizontal="left"/>
    </xf>
    <xf numFmtId="0" fontId="0" fillId="0" borderId="36" xfId="0" applyBorder="1" applyAlignment="1">
      <alignment horizontal="left"/>
    </xf>
    <xf numFmtId="0" fontId="0" fillId="0" borderId="36" xfId="0" applyBorder="1"/>
    <xf numFmtId="0" fontId="0" fillId="0" borderId="35" xfId="0" applyBorder="1"/>
    <xf numFmtId="0" fontId="15" fillId="18" borderId="2" xfId="0" applyFont="1" applyFill="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164" fontId="14" fillId="0" borderId="11" xfId="0" applyNumberFormat="1" applyFont="1" applyBorder="1"/>
    <xf numFmtId="0" fontId="14" fillId="0" borderId="12" xfId="0" applyFont="1" applyBorder="1"/>
    <xf numFmtId="14" fontId="14" fillId="2" borderId="34" xfId="0" applyNumberFormat="1" applyFont="1" applyFill="1" applyBorder="1" applyAlignment="1">
      <alignment horizontal="center" vertical="center"/>
    </xf>
    <xf numFmtId="0" fontId="0" fillId="2" borderId="35" xfId="0" applyFill="1" applyBorder="1" applyAlignment="1">
      <alignment vertical="center"/>
    </xf>
    <xf numFmtId="3" fontId="14" fillId="18" borderId="34" xfId="0" applyNumberFormat="1" applyFont="1" applyFill="1" applyBorder="1"/>
    <xf numFmtId="0" fontId="0" fillId="18" borderId="35" xfId="0" applyFill="1" applyBorder="1"/>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0" fontId="0" fillId="2" borderId="7" xfId="0" applyFill="1" applyBorder="1"/>
    <xf numFmtId="0" fontId="0" fillId="2" borderId="34" xfId="0" applyFill="1" applyBorder="1" applyAlignment="1">
      <alignment vertical="center"/>
    </xf>
    <xf numFmtId="0" fontId="0" fillId="0" borderId="35" xfId="0" applyBorder="1" applyAlignment="1">
      <alignment vertical="center"/>
    </xf>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51" xfId="0" applyNumberFormat="1" applyFont="1" applyFill="1" applyBorder="1"/>
    <xf numFmtId="0" fontId="0" fillId="0" borderId="5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0" fontId="15" fillId="0" borderId="0" xfId="0" applyFont="1" applyAlignment="1">
      <alignment horizontal="right"/>
    </xf>
    <xf numFmtId="0" fontId="14" fillId="0" borderId="0" xfId="0" applyFont="1"/>
    <xf numFmtId="1" fontId="14" fillId="18" borderId="34" xfId="0" applyNumberFormat="1" applyFont="1" applyFill="1" applyBorder="1"/>
    <xf numFmtId="0" fontId="14" fillId="18" borderId="61" xfId="0" applyFont="1" applyFill="1" applyBorder="1" applyAlignment="1">
      <alignment horizontal="center" vertical="center" wrapText="1"/>
    </xf>
    <xf numFmtId="0" fontId="0" fillId="0" borderId="62" xfId="0" applyBorder="1"/>
    <xf numFmtId="3" fontId="15" fillId="3" borderId="0" xfId="0" applyNumberFormat="1" applyFont="1" applyFill="1"/>
    <xf numFmtId="3" fontId="14" fillId="2" borderId="4" xfId="0" applyNumberFormat="1" applyFont="1" applyFill="1" applyBorder="1"/>
    <xf numFmtId="3" fontId="14" fillId="2" borderId="5" xfId="0" applyNumberFormat="1" applyFont="1" applyFill="1" applyBorder="1"/>
    <xf numFmtId="164" fontId="14" fillId="17" borderId="34" xfId="0" applyNumberFormat="1" applyFont="1" applyFill="1" applyBorder="1"/>
    <xf numFmtId="164" fontId="14" fillId="17" borderId="35" xfId="0" applyNumberFormat="1" applyFont="1" applyFill="1" applyBorder="1"/>
    <xf numFmtId="3" fontId="14" fillId="0" borderId="0" xfId="0" applyNumberFormat="1" applyFont="1"/>
    <xf numFmtId="164" fontId="15" fillId="0" borderId="9" xfId="0" applyNumberFormat="1" applyFont="1" applyBorder="1" applyAlignment="1">
      <alignment horizontal="right"/>
    </xf>
    <xf numFmtId="0" fontId="0" fillId="3" borderId="0" xfId="0" applyFill="1"/>
    <xf numFmtId="3" fontId="14" fillId="2" borderId="31" xfId="0" applyNumberFormat="1" applyFont="1" applyFill="1" applyBorder="1"/>
    <xf numFmtId="3" fontId="14" fillId="2" borderId="32" xfId="0" applyNumberFormat="1" applyFont="1" applyFill="1" applyBorder="1"/>
    <xf numFmtId="164" fontId="14" fillId="0" borderId="1" xfId="0" applyNumberFormat="1" applyFont="1" applyBorder="1"/>
    <xf numFmtId="0" fontId="14" fillId="0" borderId="1" xfId="0" applyFont="1" applyBorder="1"/>
    <xf numFmtId="0" fontId="15" fillId="17"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3" fontId="14" fillId="0" borderId="1" xfId="0" applyNumberFormat="1" applyFont="1" applyBorder="1"/>
    <xf numFmtId="0" fontId="15" fillId="0" borderId="1" xfId="0" applyFont="1" applyBorder="1" applyAlignment="1">
      <alignment horizontal="center"/>
    </xf>
    <xf numFmtId="14" fontId="14" fillId="2" borderId="38" xfId="0" applyNumberFormat="1" applyFont="1" applyFill="1" applyBorder="1" applyAlignment="1">
      <alignment horizontal="center" vertical="center"/>
    </xf>
    <xf numFmtId="0" fontId="0" fillId="0" borderId="33" xfId="0" applyBorder="1" applyAlignment="1">
      <alignment horizontal="center" vertical="center"/>
    </xf>
    <xf numFmtId="3" fontId="15" fillId="3" borderId="36" xfId="0" applyNumberFormat="1" applyFont="1" applyFill="1" applyBorder="1"/>
    <xf numFmtId="3" fontId="14" fillId="2" borderId="38" xfId="0" applyNumberFormat="1" applyFont="1" applyFill="1" applyBorder="1" applyAlignment="1">
      <alignment horizontal="center" vertical="center"/>
    </xf>
    <xf numFmtId="3" fontId="0" fillId="0" borderId="33" xfId="0" applyNumberFormat="1" applyBorder="1" applyAlignment="1">
      <alignment horizontal="center" vertical="center"/>
    </xf>
    <xf numFmtId="0" fontId="1" fillId="2" borderId="36" xfId="0" applyFont="1" applyFill="1" applyBorder="1" applyAlignment="1">
      <alignment horizontal="center"/>
    </xf>
    <xf numFmtId="0" fontId="0" fillId="0" borderId="35" xfId="0" applyBorder="1" applyAlignment="1">
      <alignment horizontal="center"/>
    </xf>
    <xf numFmtId="0" fontId="1" fillId="2" borderId="34" xfId="0" applyFont="1" applyFill="1" applyBorder="1" applyAlignment="1">
      <alignment horizontal="right"/>
    </xf>
    <xf numFmtId="0" fontId="0" fillId="0" borderId="36" xfId="0" applyBorder="1" applyAlignment="1">
      <alignment horizontal="right"/>
    </xf>
    <xf numFmtId="0" fontId="15" fillId="0" borderId="2" xfId="0" applyFont="1" applyBorder="1" applyAlignment="1">
      <alignment horizontal="center"/>
    </xf>
    <xf numFmtId="0" fontId="15" fillId="0" borderId="9" xfId="0" applyFont="1" applyBorder="1" applyAlignment="1">
      <alignment horizontal="center"/>
    </xf>
    <xf numFmtId="3" fontId="14" fillId="2" borderId="2" xfId="0" applyNumberFormat="1" applyFont="1" applyFill="1" applyBorder="1"/>
    <xf numFmtId="3" fontId="14" fillId="2" borderId="3" xfId="0" applyNumberFormat="1" applyFont="1" applyFill="1" applyBorder="1"/>
    <xf numFmtId="3" fontId="14" fillId="2" borderId="6" xfId="0" applyNumberFormat="1" applyFont="1" applyFill="1" applyBorder="1"/>
    <xf numFmtId="3" fontId="14" fillId="2" borderId="7" xfId="0" applyNumberFormat="1" applyFont="1" applyFill="1" applyBorder="1"/>
    <xf numFmtId="0" fontId="15" fillId="3" borderId="4" xfId="0" applyFont="1" applyFill="1" applyBorder="1" applyAlignment="1">
      <alignment horizontal="right"/>
    </xf>
    <xf numFmtId="0" fontId="14" fillId="3" borderId="0" xfId="0" applyFont="1" applyFill="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5" fillId="0" borderId="34" xfId="0" applyFont="1" applyBorder="1" applyAlignment="1">
      <alignment horizontal="center"/>
    </xf>
    <xf numFmtId="0" fontId="1" fillId="0" borderId="35" xfId="0" applyFont="1" applyBorder="1" applyAlignment="1">
      <alignment horizontal="center"/>
    </xf>
    <xf numFmtId="14" fontId="15" fillId="2" borderId="34" xfId="0" applyNumberFormat="1" applyFont="1" applyFill="1" applyBorder="1" applyAlignment="1">
      <alignment horizontal="center" vertical="center"/>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0" fillId="0" borderId="36" xfId="0" applyBorder="1" applyAlignment="1">
      <alignment horizontal="center"/>
    </xf>
    <xf numFmtId="173" fontId="0" fillId="18" borderId="34" xfId="0" applyNumberFormat="1" applyFill="1" applyBorder="1" applyAlignment="1">
      <alignment horizontal="center"/>
    </xf>
    <xf numFmtId="3" fontId="1" fillId="33" borderId="34" xfId="0" applyNumberFormat="1" applyFont="1" applyFill="1" applyBorder="1" applyAlignment="1">
      <alignment horizontal="center" vertical="center"/>
    </xf>
    <xf numFmtId="3" fontId="1" fillId="0" borderId="2" xfId="0" applyNumberFormat="1" applyFont="1" applyBorder="1" applyAlignment="1">
      <alignment horizontal="right"/>
    </xf>
    <xf numFmtId="3" fontId="1" fillId="0" borderId="34" xfId="0" applyNumberFormat="1" applyFont="1" applyBorder="1" applyAlignment="1">
      <alignment horizontal="right"/>
    </xf>
    <xf numFmtId="14" fontId="0" fillId="18" borderId="34" xfId="0" applyNumberFormat="1" applyFill="1" applyBorder="1"/>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1" fillId="3" borderId="34" xfId="0" applyNumberFormat="1" applyFont="1" applyFill="1" applyBorder="1" applyAlignment="1">
      <alignment horizontal="center"/>
    </xf>
    <xf numFmtId="0" fontId="0" fillId="3" borderId="35" xfId="0" applyFill="1" applyBorder="1"/>
    <xf numFmtId="0" fontId="1" fillId="0" borderId="34" xfId="0" applyFont="1" applyBorder="1" applyAlignment="1">
      <alignment horizontal="right"/>
    </xf>
    <xf numFmtId="3" fontId="0" fillId="2" borderId="34" xfId="0" applyNumberFormat="1" applyFill="1" applyBorder="1"/>
    <xf numFmtId="3" fontId="0" fillId="0" borderId="35" xfId="0" applyNumberFormat="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8" fontId="38" fillId="32" borderId="63" xfId="0" applyNumberFormat="1" applyFont="1" applyFill="1" applyBorder="1" applyAlignment="1">
      <alignment horizontal="left" vertical="top" wrapText="1"/>
    </xf>
    <xf numFmtId="0" fontId="34" fillId="34" borderId="66" xfId="0" applyFont="1" applyFill="1" applyBorder="1" applyAlignment="1">
      <alignment vertical="top" wrapText="1"/>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4"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9" borderId="0" xfId="0" applyFont="1" applyFill="1" applyAlignment="1">
      <alignment horizontal="center"/>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0" fillId="0" borderId="5" xfId="0" applyBorder="1" applyAlignment="1">
      <alignment horizontal="right"/>
    </xf>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9" borderId="1" xfId="0" applyNumberFormat="1" applyFill="1"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xf numFmtId="164" fontId="63" fillId="11" borderId="3" xfId="0" applyNumberFormat="1" applyFont="1" applyFill="1" applyBorder="1"/>
    <xf numFmtId="164" fontId="63" fillId="11" borderId="7" xfId="0" applyNumberFormat="1" applyFont="1" applyFill="1" applyBorder="1"/>
    <xf numFmtId="0" fontId="63" fillId="11" borderId="1" xfId="0" applyFont="1" applyFill="1" applyBorder="1" applyAlignment="1">
      <alignment horizontal="right"/>
    </xf>
    <xf numFmtId="0" fontId="8" fillId="11" borderId="1" xfId="0" applyFont="1" applyFill="1" applyBorder="1"/>
    <xf numFmtId="164" fontId="63" fillId="11" borderId="1" xfId="0" applyNumberFormat="1" applyFont="1" applyFill="1" applyBorder="1"/>
    <xf numFmtId="164" fontId="15" fillId="3" borderId="72" xfId="0" applyNumberFormat="1" applyFont="1" applyFill="1" applyBorder="1"/>
    <xf numFmtId="164" fontId="15" fillId="3" borderId="73" xfId="0" applyNumberFormat="1" applyFont="1" applyFill="1" applyBorder="1"/>
    <xf numFmtId="0" fontId="63" fillId="11" borderId="2" xfId="0" applyFont="1" applyFill="1" applyBorder="1" applyAlignment="1">
      <alignment horizontal="right"/>
    </xf>
    <xf numFmtId="0" fontId="63" fillId="11" borderId="9" xfId="0" applyFont="1" applyFill="1" applyBorder="1" applyAlignment="1">
      <alignment horizontal="right"/>
    </xf>
    <xf numFmtId="0" fontId="8" fillId="11" borderId="9" xfId="0" applyFont="1" applyFill="1" applyBorder="1"/>
    <xf numFmtId="164" fontId="63" fillId="11" borderId="9" xfId="0" applyNumberFormat="1" applyFont="1" applyFill="1" applyBorder="1"/>
    <xf numFmtId="0" fontId="63" fillId="11" borderId="4" xfId="0" applyFont="1" applyFill="1" applyBorder="1" applyAlignment="1">
      <alignment horizontal="right"/>
    </xf>
    <xf numFmtId="0" fontId="63" fillId="11" borderId="0" xfId="0" applyFont="1" applyFill="1" applyBorder="1" applyAlignment="1">
      <alignment horizontal="right"/>
    </xf>
    <xf numFmtId="0" fontId="8" fillId="11" borderId="0" xfId="0" applyFont="1" applyFill="1" applyBorder="1"/>
    <xf numFmtId="164" fontId="63" fillId="11" borderId="0" xfId="0" applyNumberFormat="1" applyFont="1" applyFill="1" applyBorder="1"/>
    <xf numFmtId="0" fontId="63" fillId="11" borderId="6" xfId="0" applyFont="1" applyFill="1" applyBorder="1" applyAlignment="1">
      <alignment horizontal="right"/>
    </xf>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4">
    <dxf>
      <numFmt numFmtId="3" formatCode="#,##0"/>
    </dxf>
    <dxf>
      <numFmt numFmtId="167" formatCode="m/d/yy;@"/>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numFmt numFmtId="3" formatCode="#,##0"/>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3"/>
      <tableStyleElement type="headerRow" dxfId="132"/>
      <tableStyleElement type="firstRowStripe" dxfId="131"/>
    </tableStyle>
    <tableStyle name="Gantt Table Style 2" pivot="0" count="3" xr9:uid="{188EAD57-0217-4B5E-8A07-C858B28862F4}">
      <tableStyleElement type="wholeTable" dxfId="130"/>
      <tableStyleElement type="headerRow" dxfId="129"/>
      <tableStyleElement type="firstRowStripe" dxfId="12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22/11/relationships/FeaturePropertyBag" Target="featurePropertyBag/featurePropertyBag.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2.xml"/><Relationship Id="rId48"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U$2" lockText="1" noThreeD="1"/>
</file>

<file path=xl/ctrlProps/ctrlProp2.xml><?xml version="1.0" encoding="utf-8"?>
<formControlPr xmlns="http://schemas.microsoft.com/office/spreadsheetml/2009/9/main" objectType="Radio" firstButton="1" fmlaLink="$E$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U1" lockText="1" noThreeD="1"/>
</file>

<file path=xl/ctrlProps/ctrlProp6.xml><?xml version="1.0" encoding="utf-8"?>
<formControlPr xmlns="http://schemas.microsoft.com/office/spreadsheetml/2009/9/main" objectType="CheckBox" fmlaLink="$U$3" lockText="1" noThreeD="1"/>
</file>

<file path=xl/ctrlProps/ctrlProp7.xml><?xml version="1.0" encoding="utf-8"?>
<formControlPr xmlns="http://schemas.microsoft.com/office/spreadsheetml/2009/9/main" objectType="CheckBox" checked="Checked" fmlaLink="$U$5" lockText="1" noThreeD="1"/>
</file>

<file path=xl/ctrlProps/ctrlProp8.xml><?xml version="1.0" encoding="utf-8"?>
<formControlPr xmlns="http://schemas.microsoft.com/office/spreadsheetml/2009/9/main" objectType="CheckBox" fmlaLink="$U$4" lockText="1" noThreeD="1"/>
</file>

<file path=xl/ctrlProps/ctrlProp9.xml><?xml version="1.0" encoding="utf-8"?>
<formControlPr xmlns="http://schemas.microsoft.com/office/spreadsheetml/2009/9/main" objectType="CheckBox" fmlaLink="$U$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firstButton="1" fmlaLink="$J$4"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CheckBox" checked="Checked" fmlaLink="$L$7" lockText="1" noThreeD="1"/>
</file>

<file path=xl/ctrlProps/ctrlProp16.xml><?xml version="1.0" encoding="utf-8"?>
<formControlPr xmlns="http://schemas.microsoft.com/office/spreadsheetml/2009/9/main" objectType="CheckBox" checked="Checked" fmlaLink="$L$8" lockText="1" noThreeD="1"/>
</file>

<file path=xl/ctrlProps/ctrlProp17.xml><?xml version="1.0" encoding="utf-8"?>
<formControlPr xmlns="http://schemas.microsoft.com/office/spreadsheetml/2009/9/main" objectType="CheckBox" checked="Checked" fmlaLink="$L$9" lockText="1" noThreeD="1"/>
</file>

<file path=xl/ctrlProps/ctrlProp18.xml><?xml version="1.0" encoding="utf-8"?>
<formControlPr xmlns="http://schemas.microsoft.com/office/spreadsheetml/2009/9/main" objectType="Scroll" dx="39" fmlaLink="$AB$24" horiz="1" max="365" page="0" val="0"/>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123825</xdr:rowOff>
        </xdr:from>
        <xdr:to>
          <xdr:col>12</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114300</xdr:rowOff>
        </xdr:from>
        <xdr:to>
          <xdr:col>12</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0</xdr:row>
          <xdr:rowOff>304800</xdr:rowOff>
        </xdr:from>
        <xdr:to>
          <xdr:col>15</xdr:col>
          <xdr:colOff>428625</xdr:colOff>
          <xdr:row>2</xdr:row>
          <xdr:rowOff>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38100</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38100</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3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3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8</xdr:row>
          <xdr:rowOff>28575</xdr:rowOff>
        </xdr:from>
        <xdr:to>
          <xdr:col>12</xdr:col>
          <xdr:colOff>533400</xdr:colOff>
          <xdr:row>8</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3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00" headerRowBorderDxfId="99">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98"/>
    <tableColumn id="2" xr3:uid="{97169920-9E20-46B0-9275-CDB69F2B7E20}" name="Beg" dataDxfId="97"/>
    <tableColumn id="3" xr3:uid="{29B13418-7AB5-4BED-8938-1AFD73584620}" name="Payment" dataDxfId="96"/>
    <tableColumn id="4" xr3:uid="{59D98215-D250-4E98-B28F-28E8FEF5B704}" name="Princ" dataDxfId="95"/>
    <tableColumn id="5" xr3:uid="{CA09D9DD-EDE2-4CFD-9E21-030519667110}" name="Int" dataDxfId="94"/>
    <tableColumn id="6" xr3:uid="{EDF5A829-F409-40AE-89E2-E8CB9B5D0FF4}" name="Ins" dataDxfId="93"/>
    <tableColumn id="7" xr3:uid="{589E968B-91B9-4913-8C3D-42359D5891E7}" name="Taxes" dataDxfId="92"/>
    <tableColumn id="8" xr3:uid="{08030123-3EE6-4201-B7FB-4B90DBAD70D8}" name="Total " dataDxfId="91"/>
    <tableColumn id="9" xr3:uid="{B55DFD4A-3AC5-40B7-8DCD-59805B6DBFDB}" name="Principal" dataDxfId="90"/>
    <tableColumn id="10" xr3:uid="{6B0DA8E4-1B75-412D-9DAC-6338B0794CBF}" name="Interest" dataDxfId="89"/>
    <tableColumn id="11" xr3:uid="{F8CE94A6-5C5E-4EDE-B208-4DCC524F986E}" name="Balance" dataDxfId="88"/>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87" dataDxfId="85" headerRowBorderDxfId="86" tableBorderDxfId="84">
  <autoFilter ref="L19:M833" xr:uid="{73D951D4-A168-44D6-974D-EBA44A3BA7B6}">
    <filterColumn colId="0" hiddenButton="1"/>
    <filterColumn colId="1" hiddenButton="1"/>
  </autoFilter>
  <tableColumns count="2">
    <tableColumn id="1" xr3:uid="{CCF10384-7D00-426D-996F-822402246933}" name="Year" dataDxfId="83"/>
    <tableColumn id="2" xr3:uid="{147517BE-5732-44A7-974A-14DAE4109340}" name="Period" dataDxfId="82">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81" headerRowBorderDxfId="80">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79">
      <calculatedColumnFormula>INDEX(tblSubjectToLoan[Date],ROW()-ROW(tblContractForDeed[#Headers]))</calculatedColumnFormula>
    </tableColumn>
    <tableColumn id="2" xr3:uid="{ECB873B5-C083-4C40-8069-B9E5F8698705}" name="Beg" dataDxfId="78">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77">
      <calculatedColumnFormula>IF(tblContractForDeed[[#This Row],[Date]]="","",IF(tblContractForDeed[[#This Row],[Date]]&lt;cfdRateChangeDate,cfdRate1,cfdRate2))</calculatedColumnFormula>
    </tableColumn>
    <tableColumn id="4" xr3:uid="{1636A52E-B78B-4971-A350-27AAF73BE8AB}" name="Payment" dataDxfId="76">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75">
      <calculatedColumnFormula>IF(tblContractForDeed[[#This Row],[Payment]]=0,0,MAX(0,MIN(tblContractForDeed[[#This Row],[Beg]],tblContractForDeed[[#This Row],[Payment]]-tblContractForDeed[[#This Row],[Int]])))</calculatedColumnFormula>
    </tableColumn>
    <tableColumn id="6" xr3:uid="{333AB5D2-CFCA-47CE-BEB7-DEC4603F289D}" name="Int" dataDxfId="74">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73">
      <calculatedColumnFormula>IF(tblContractForDeed[[#This Row],[Payment]]=0,0,$W$2)</calculatedColumnFormula>
    </tableColumn>
    <tableColumn id="8" xr3:uid="{953DECD1-A993-404F-BB01-67C5B5235815}" name="Taxes" dataDxfId="72">
      <calculatedColumnFormula>IF(tblContractForDeed[[#This Row],[Princ]]=0,0,$W$3)</calculatedColumnFormula>
    </tableColumn>
    <tableColumn id="9" xr3:uid="{61523046-F564-451D-8252-202BB1589694}" name="Total" dataDxfId="71">
      <calculatedColumnFormula>SUM(tblContractForDeed[[#This Row],[Princ]],tblContractForDeed[[#This Row],[Int]],tblContractForDeed[[#This Row],[Ins]],tblContractForDeed[[#This Row],[Taxes]])</calculatedColumnFormula>
    </tableColumn>
    <tableColumn id="10" xr3:uid="{0044FA08-9081-4FAC-B454-F81C52BDD807}" name="Cumul Princ" dataDxfId="70">
      <calculatedColumnFormula>SUM(INDEX(tblContractForDeed[Princ],1):INDEX(tblContractForDeed[Princ],ROW()-ROW(tblContractForDeed[#Headers])))</calculatedColumnFormula>
    </tableColumn>
    <tableColumn id="11" xr3:uid="{E4D2C53C-A408-49FE-BA58-469487DDF7C4}" name="End Bal" dataDxfId="69">
      <calculatedColumnFormula>IF(tblContractForDeed[[#This Row],[Beg]]&lt;=0,0,tblContractForDeed[[#This Row],[Beg]]-tblContractForDeed[[#This Row],[Princ]])</calculatedColumnFormula>
    </tableColumn>
    <tableColumn id="12" xr3:uid="{4416FB9A-4A9F-4AF7-9D43-BF28E4CF4E75}" name="Period" dataDxfId="68">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67" headerRowBorderDxfId="66" tableBorderDxfId="65">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64">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63"/>
    <tableColumn id="4" xr3:uid="{226D6180-901A-48F0-9597-8830FAEE2FB1}" name="Monthly Cash Flow" dataDxfId="62">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61">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60">
      <calculatedColumnFormula>IF(INDEX(tblContractForDeed[End Bal],ROW()-ROW(tblBuyerOutputs[#Headers]))&lt;=0,0,($O$6+IF(ROW()=ROW(tblBuyerOutputs[#Headers])+1,0,INDEX(tblBuyerOutputs[Cumul Appr],ROW()-ROW(tblBuyerOutputs[#Headers])-1)))*$AL$2/12)</calculatedColumnFormula>
    </tableColumn>
    <tableColumn id="7" xr3:uid="{2E8EC801-E3A2-48C6-8CC4-5406785A0C91}" name="Cumul Appr" dataDxfId="59">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1"/>
    <tableColumn id="3" xr3:uid="{5EC4595E-174D-4F70-976B-3F65280A553E}" uniqueName="3" name="Price" queryTableFieldId="22" dataDxfId="0"/>
    <tableColumn id="9" xr3:uid="{AF672E56-69B2-45E3-9B51-49B71E4850F5}" uniqueName="9" name="Done" queryTableFieldId="9" dataDxfId="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5">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4"/>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3">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2"/>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3.xml"/><Relationship Id="rId7" Type="http://schemas.openxmlformats.org/officeDocument/2006/relationships/ctrlProp" Target="../ctrlProps/ctrlProp1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8.bin"/><Relationship Id="rId5" Type="http://schemas.openxmlformats.org/officeDocument/2006/relationships/table" Target="../tables/table8.xml"/><Relationship Id="rId4" Type="http://schemas.openxmlformats.org/officeDocument/2006/relationships/ctrlProp" Target="../ctrlProps/ctrlProp1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Y128"/>
  <sheetViews>
    <sheetView zoomScale="150" zoomScaleNormal="150" workbookViewId="0">
      <pane xSplit="1" ySplit="3" topLeftCell="B4" activePane="bottomRight" state="frozen"/>
      <selection pane="topRight" activeCell="C1" sqref="C1:E1"/>
      <selection pane="bottomLeft" activeCell="C1" sqref="C1:E1"/>
      <selection pane="bottomRight" activeCell="O59" sqref="O59"/>
    </sheetView>
  </sheetViews>
  <sheetFormatPr defaultColWidth="9.140625" defaultRowHeight="15" customHeight="1" x14ac:dyDescent="0.2"/>
  <cols>
    <col min="1" max="1" width="24.7109375" style="38" customWidth="1"/>
    <col min="2" max="2" width="7.7109375" style="38" customWidth="1"/>
    <col min="3" max="3" width="12" style="112" bestFit="1" customWidth="1"/>
    <col min="4" max="5" width="7.5703125" style="37" customWidth="1"/>
    <col min="6" max="6" width="7.85546875" style="37" customWidth="1"/>
    <col min="7" max="7" width="7.5703125" style="37" customWidth="1"/>
    <col min="8" max="9" width="7.42578125" style="37" customWidth="1"/>
    <col min="10" max="10" width="7.85546875" style="38" customWidth="1"/>
    <col min="11" max="11" width="7.85546875" style="112" customWidth="1"/>
    <col min="12" max="12" width="9.85546875" style="37" customWidth="1"/>
    <col min="13" max="13" width="9.5703125" style="37" customWidth="1"/>
    <col min="14" max="14" width="5.28515625" style="37" customWidth="1"/>
    <col min="15" max="15" width="21.140625" style="416" bestFit="1" customWidth="1"/>
    <col min="16" max="16" width="7.42578125" style="132" bestFit="1" customWidth="1"/>
    <col min="17" max="17" width="5.42578125" style="37" bestFit="1" customWidth="1"/>
    <col min="18" max="18" width="9.85546875" style="38" bestFit="1" customWidth="1"/>
    <col min="19" max="19" width="5.42578125" style="37" bestFit="1" customWidth="1"/>
    <col min="20" max="20" width="5" style="37" customWidth="1"/>
    <col min="21" max="21" width="10.140625" style="37" bestFit="1" customWidth="1"/>
    <col min="22" max="22" width="11" style="37" bestFit="1" customWidth="1"/>
    <col min="23" max="23" width="11.28515625" style="37" customWidth="1"/>
    <col min="24" max="25" width="11" style="37" customWidth="1"/>
    <col min="26" max="26" width="6.7109375" style="37" customWidth="1"/>
    <col min="27" max="27" width="8.5703125"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5" ht="24.75" customHeight="1" thickBot="1" x14ac:dyDescent="0.3">
      <c r="A1" s="38" t="s">
        <v>631</v>
      </c>
      <c r="B1" s="566" t="str">
        <f>IF(E1=1,"Flip","")</f>
        <v/>
      </c>
      <c r="C1" s="566" t="str">
        <f>IF(E1=2,"Hold","")</f>
        <v/>
      </c>
      <c r="D1" s="566" t="str">
        <f>IF(E1=3,"Slow Flip","")</f>
        <v>Slow Flip</v>
      </c>
      <c r="E1" s="609">
        <v>3</v>
      </c>
      <c r="F1" s="633" t="s">
        <v>851</v>
      </c>
      <c r="G1" s="634"/>
      <c r="H1" s="634"/>
      <c r="I1" s="634"/>
      <c r="J1" s="634"/>
      <c r="K1" s="635"/>
      <c r="L1" s="635"/>
      <c r="M1" s="636"/>
      <c r="Q1" s="621" t="s">
        <v>633</v>
      </c>
      <c r="R1" s="622"/>
      <c r="S1" s="622"/>
      <c r="T1" s="622"/>
      <c r="U1" s="37" t="b">
        <v>0</v>
      </c>
    </row>
    <row r="2" spans="1:25" ht="16.5" customHeight="1" thickBot="1" x14ac:dyDescent="0.3">
      <c r="A2" s="113"/>
      <c r="B2" s="736" t="s">
        <v>735</v>
      </c>
      <c r="C2" s="737"/>
      <c r="D2" s="737"/>
      <c r="E2" s="734" t="s">
        <v>736</v>
      </c>
      <c r="F2" s="735"/>
      <c r="G2" s="435" t="s">
        <v>737</v>
      </c>
      <c r="H2" s="570"/>
      <c r="I2" s="570"/>
      <c r="J2" s="570"/>
      <c r="K2" s="570"/>
      <c r="L2" s="664" t="s">
        <v>1</v>
      </c>
      <c r="M2" s="729">
        <v>45715</v>
      </c>
      <c r="O2" s="420" t="s">
        <v>2</v>
      </c>
      <c r="P2" s="420"/>
      <c r="Q2" s="621" t="s">
        <v>632</v>
      </c>
      <c r="R2" s="622"/>
      <c r="S2" s="622"/>
      <c r="T2" s="622"/>
      <c r="U2" s="37" t="b">
        <v>0</v>
      </c>
    </row>
    <row r="3" spans="1:25" ht="12" customHeight="1" thickBot="1" x14ac:dyDescent="0.3">
      <c r="A3" s="115" t="s">
        <v>4</v>
      </c>
      <c r="B3" s="116"/>
      <c r="D3" s="666" t="s">
        <v>1150</v>
      </c>
      <c r="E3" s="667"/>
      <c r="F3" s="666" t="s">
        <v>1155</v>
      </c>
      <c r="G3" s="667"/>
      <c r="H3" s="666" t="s">
        <v>1156</v>
      </c>
      <c r="I3" s="667"/>
      <c r="J3" s="666" t="s">
        <v>0</v>
      </c>
      <c r="K3" s="667"/>
      <c r="L3" s="665"/>
      <c r="M3" s="730"/>
      <c r="Q3" s="621" t="s">
        <v>35</v>
      </c>
      <c r="R3" s="622"/>
      <c r="S3" s="622"/>
      <c r="T3" s="622"/>
      <c r="U3" s="37" t="b">
        <v>0</v>
      </c>
    </row>
    <row r="4" spans="1:25" ht="12" customHeight="1" thickBot="1" x14ac:dyDescent="0.3">
      <c r="A4" s="38" t="s">
        <v>5</v>
      </c>
      <c r="B4" s="668">
        <v>330000</v>
      </c>
      <c r="C4" s="669"/>
      <c r="D4" s="353"/>
      <c r="E4" s="354"/>
      <c r="F4" s="375"/>
      <c r="G4" s="335"/>
      <c r="H4" s="573"/>
      <c r="I4" s="578"/>
      <c r="J4" s="368"/>
      <c r="K4" s="369"/>
      <c r="Q4" s="621" t="s">
        <v>36</v>
      </c>
      <c r="R4" s="622"/>
      <c r="S4" s="622"/>
      <c r="T4" s="622"/>
      <c r="U4" s="37" t="b">
        <v>0</v>
      </c>
    </row>
    <row r="5" spans="1:25" ht="12" customHeight="1" thickBot="1" x14ac:dyDescent="0.3">
      <c r="A5" s="38" t="s">
        <v>7</v>
      </c>
      <c r="B5" s="424">
        <f>+Amortization!O2</f>
        <v>0.05</v>
      </c>
      <c r="C5" s="323">
        <v>0</v>
      </c>
      <c r="D5" s="377"/>
      <c r="E5" s="382"/>
      <c r="F5" s="334"/>
      <c r="G5" s="431"/>
      <c r="H5" s="574"/>
      <c r="I5" s="579"/>
      <c r="J5" s="368"/>
      <c r="K5" s="369"/>
      <c r="P5" s="132" t="s">
        <v>8</v>
      </c>
      <c r="Q5" s="621" t="s">
        <v>37</v>
      </c>
      <c r="R5" s="622"/>
      <c r="S5" s="622"/>
      <c r="T5" s="622"/>
      <c r="U5" s="37" t="b">
        <v>1</v>
      </c>
    </row>
    <row r="6" spans="1:25" ht="12" customHeight="1" thickBot="1" x14ac:dyDescent="0.3">
      <c r="A6" s="38" t="s">
        <v>9</v>
      </c>
      <c r="B6" s="670">
        <f>IF(B1="Flip",B4,IF(C1="hold",B4*(1+C5),+Amortization!O3))</f>
        <v>346500</v>
      </c>
      <c r="C6" s="671"/>
      <c r="D6" s="355"/>
      <c r="E6" s="330"/>
      <c r="F6" s="334"/>
      <c r="G6" s="335">
        <f>IF(OR(E1=1,E1=2),$B$6,0)</f>
        <v>0</v>
      </c>
      <c r="H6" s="575"/>
      <c r="I6" s="580"/>
      <c r="J6" s="368"/>
      <c r="K6" s="369"/>
      <c r="Q6" s="621"/>
      <c r="R6" s="622"/>
      <c r="S6" s="622"/>
      <c r="T6" s="622"/>
      <c r="U6" s="37" t="b">
        <v>0</v>
      </c>
    </row>
    <row r="7" spans="1:25" ht="12" customHeight="1" thickBot="1" x14ac:dyDescent="0.25">
      <c r="A7" s="38" t="s">
        <v>11</v>
      </c>
      <c r="B7" s="424">
        <f>+Amortization!$K$3</f>
        <v>0.1</v>
      </c>
      <c r="C7" s="328">
        <f>+Amortization!O4</f>
        <v>34650</v>
      </c>
      <c r="D7" s="355"/>
      <c r="E7" s="330"/>
      <c r="F7" s="334"/>
      <c r="G7" s="565">
        <f>IF(E1=3,+C7,0)</f>
        <v>34650</v>
      </c>
      <c r="H7" s="575"/>
      <c r="I7" s="580"/>
      <c r="J7" s="368"/>
      <c r="K7" s="369"/>
      <c r="L7" s="664" t="s">
        <v>10</v>
      </c>
      <c r="M7" s="637">
        <v>0.03</v>
      </c>
      <c r="Q7" s="260"/>
      <c r="R7" s="419"/>
    </row>
    <row r="8" spans="1:25" ht="12" customHeight="1" thickBot="1" x14ac:dyDescent="0.25">
      <c r="A8" s="38" t="s">
        <v>1151</v>
      </c>
      <c r="B8" s="324"/>
      <c r="C8" s="384"/>
      <c r="D8" s="355"/>
      <c r="E8" s="330"/>
      <c r="F8" s="334"/>
      <c r="G8" s="335">
        <f>+IF($C$1="hold",$M$7,0)*$C$50/12*B4</f>
        <v>0</v>
      </c>
      <c r="H8" s="575"/>
      <c r="I8" s="580"/>
      <c r="J8" s="368"/>
      <c r="K8" s="369"/>
      <c r="L8" s="665"/>
      <c r="M8" s="638"/>
    </row>
    <row r="9" spans="1:25" ht="12" customHeight="1" thickBot="1" x14ac:dyDescent="0.25">
      <c r="A9" s="129" t="str">
        <f>IF(E1=3,"Delta Mortgages","Monthly Rent:")</f>
        <v>Delta Mortgages</v>
      </c>
      <c r="B9" s="660">
        <v>1800</v>
      </c>
      <c r="C9" s="661"/>
      <c r="D9" s="357"/>
      <c r="E9" s="358"/>
      <c r="F9" s="376"/>
      <c r="G9" s="360"/>
      <c r="H9" s="576"/>
      <c r="I9" s="581"/>
      <c r="J9" s="373"/>
      <c r="K9" s="381">
        <f>IF(OR(C1="Hold",D1="Slow Flip"),IF(C1="hold",+B9,IFERROR(_xlfn.XLOOKUP(12,tblScheduleIndex[Period],tblBuyerOutputs[Monthly Cash Flow]),"")),"")</f>
        <v>19.470000000000027</v>
      </c>
      <c r="L9" s="664" t="s">
        <v>12</v>
      </c>
      <c r="M9" s="732">
        <v>1368</v>
      </c>
    </row>
    <row r="10" spans="1:25" ht="12" customHeight="1" thickBot="1" x14ac:dyDescent="0.25">
      <c r="C10" s="675" t="s">
        <v>13</v>
      </c>
      <c r="D10" s="676" t="s">
        <v>13</v>
      </c>
      <c r="E10" s="117">
        <f>SUM(D4:E9)</f>
        <v>0</v>
      </c>
      <c r="F10" s="687">
        <f>+SUM(F4:G9)</f>
        <v>34650</v>
      </c>
      <c r="G10" s="688"/>
      <c r="H10" s="114"/>
      <c r="I10" s="114"/>
      <c r="J10" s="687">
        <f>SUM(J4:K9)</f>
        <v>19.470000000000027</v>
      </c>
      <c r="K10" s="688"/>
      <c r="L10" s="665"/>
      <c r="M10" s="733"/>
      <c r="O10" s="462" t="s">
        <v>624</v>
      </c>
      <c r="P10" s="463"/>
      <c r="Q10" s="456"/>
      <c r="R10" s="464"/>
      <c r="U10" s="37" t="s">
        <v>738</v>
      </c>
      <c r="V10" s="37" t="s">
        <v>739</v>
      </c>
      <c r="W10" s="132"/>
    </row>
    <row r="11" spans="1:25" ht="12" customHeight="1" thickBot="1" x14ac:dyDescent="0.3">
      <c r="C11" s="118"/>
      <c r="D11" s="672" t="str">
        <f>IF(E1=3,"Profit calculations based on selling in 5 years","")</f>
        <v>Profit calculations based on selling in 5 years</v>
      </c>
      <c r="E11" s="673"/>
      <c r="F11" s="673"/>
      <c r="G11" s="673"/>
      <c r="H11" s="673"/>
      <c r="I11" s="673"/>
      <c r="J11" s="673"/>
      <c r="K11" s="674"/>
      <c r="O11" s="465" t="s">
        <v>627</v>
      </c>
      <c r="P11" s="132">
        <v>250000</v>
      </c>
      <c r="Q11" s="320" t="b">
        <f>+$B$4&gt;P11</f>
        <v>1</v>
      </c>
      <c r="R11" s="466">
        <f>B4</f>
        <v>330000</v>
      </c>
      <c r="U11" s="37">
        <v>2</v>
      </c>
      <c r="V11" s="416">
        <v>44672</v>
      </c>
      <c r="W11" s="132">
        <v>6264</v>
      </c>
    </row>
    <row r="12" spans="1:25" ht="12" customHeight="1" thickTop="1" thickBot="1" x14ac:dyDescent="0.25">
      <c r="A12" s="119" t="s">
        <v>14</v>
      </c>
      <c r="B12" s="119"/>
      <c r="C12" s="120"/>
      <c r="D12" s="353"/>
      <c r="E12" s="354"/>
      <c r="F12" s="361"/>
      <c r="G12" s="335"/>
      <c r="H12" s="365"/>
      <c r="I12" s="578"/>
      <c r="J12" s="362"/>
      <c r="K12" s="383"/>
      <c r="O12" s="465" t="s">
        <v>628</v>
      </c>
      <c r="P12" s="132">
        <v>700000</v>
      </c>
      <c r="Q12" s="320" t="b">
        <f>+$B$4&lt;P12</f>
        <v>1</v>
      </c>
      <c r="R12" s="467">
        <f>B4</f>
        <v>330000</v>
      </c>
      <c r="U12" s="37" t="s">
        <v>740</v>
      </c>
      <c r="V12" s="416">
        <v>41353</v>
      </c>
      <c r="W12" s="132">
        <v>86284</v>
      </c>
      <c r="X12" s="37" t="s">
        <v>741</v>
      </c>
    </row>
    <row r="13" spans="1:25" ht="12" customHeight="1" thickBot="1" x14ac:dyDescent="0.25">
      <c r="A13" s="38" t="s">
        <v>609</v>
      </c>
      <c r="B13" s="116"/>
      <c r="D13" s="377"/>
      <c r="E13" s="382"/>
      <c r="F13" s="334"/>
      <c r="G13" s="431"/>
      <c r="H13" s="365"/>
      <c r="I13" s="579"/>
      <c r="J13" s="388"/>
      <c r="K13" s="389"/>
      <c r="L13" s="430" t="s">
        <v>6</v>
      </c>
      <c r="M13" s="432" t="b">
        <v>1</v>
      </c>
      <c r="O13" s="465" t="s">
        <v>626</v>
      </c>
      <c r="P13" s="132">
        <v>80000</v>
      </c>
      <c r="Q13" s="320" t="b">
        <f>P13&lt;M62</f>
        <v>0</v>
      </c>
      <c r="R13" s="466">
        <f>M62</f>
        <v>-124327.09867434995</v>
      </c>
      <c r="V13" s="37">
        <v>2019</v>
      </c>
      <c r="W13" s="132" t="s">
        <v>742</v>
      </c>
      <c r="X13" s="37" t="s">
        <v>743</v>
      </c>
      <c r="Y13" s="37" t="s">
        <v>744</v>
      </c>
    </row>
    <row r="14" spans="1:25" ht="11.25" customHeight="1" thickBot="1" x14ac:dyDescent="0.3">
      <c r="A14" s="38" t="s">
        <v>15</v>
      </c>
      <c r="B14" s="318"/>
      <c r="C14" s="415">
        <v>28063.26</v>
      </c>
      <c r="D14" s="355">
        <f>-C14</f>
        <v>-28063.26</v>
      </c>
      <c r="E14" s="330"/>
      <c r="F14" s="334"/>
      <c r="G14" s="137">
        <f>IF(M13,0,0.3*C14)</f>
        <v>0</v>
      </c>
      <c r="H14" s="677" t="s">
        <v>16</v>
      </c>
      <c r="I14" s="678"/>
      <c r="J14" s="679"/>
      <c r="K14" s="680"/>
      <c r="L14" s="681" t="s">
        <v>17</v>
      </c>
      <c r="M14" s="682"/>
      <c r="O14" s="465" t="s">
        <v>625</v>
      </c>
      <c r="P14" s="468">
        <v>0.35</v>
      </c>
      <c r="Q14" s="320" t="b">
        <f>P14&lt;M62/B4</f>
        <v>0</v>
      </c>
      <c r="R14" s="469">
        <f>+M62/B4</f>
        <v>-0.37674878386166655</v>
      </c>
      <c r="V14" s="37">
        <v>2020</v>
      </c>
      <c r="W14" s="132" t="s">
        <v>742</v>
      </c>
      <c r="X14" s="37" t="s">
        <v>745</v>
      </c>
      <c r="Y14" s="37" t="s">
        <v>746</v>
      </c>
    </row>
    <row r="15" spans="1:25" ht="12" customHeight="1" x14ac:dyDescent="0.2">
      <c r="A15" s="38" t="s">
        <v>18</v>
      </c>
      <c r="B15" s="237">
        <v>3.7499999999999999E-2</v>
      </c>
      <c r="C15" s="199">
        <v>97228</v>
      </c>
      <c r="D15" s="355">
        <f>-C15</f>
        <v>-97228</v>
      </c>
      <c r="E15" s="330">
        <f>+C15</f>
        <v>97228</v>
      </c>
      <c r="F15" s="334"/>
      <c r="G15" s="431"/>
      <c r="H15" s="572">
        <f>IF($E$1=1,-C15,-IFERROR(_xlfn.XLOOKUP(_xlfn.XLOOKUP(cfdContractDate,tblSubjectToLoan[Date],tblScheduleIndex[Period])+cfdFirstRateMonths,tblScheduleIndex[Period],tblSubjectToLoan[Balance]),0))</f>
        <v>-71276.159999999974</v>
      </c>
      <c r="I15" s="580"/>
      <c r="J15" s="368"/>
      <c r="K15" s="369"/>
      <c r="L15" s="683"/>
      <c r="M15" s="684"/>
      <c r="O15" s="465" t="s">
        <v>630</v>
      </c>
      <c r="P15" s="132">
        <v>30000</v>
      </c>
      <c r="Q15" s="320" t="b">
        <f>+P15&gt;($C$14+$C$20)</f>
        <v>0</v>
      </c>
      <c r="R15" s="470">
        <f>$C$14+$C$20</f>
        <v>33063.259999999995</v>
      </c>
      <c r="W15" s="132"/>
      <c r="X15" s="37" t="s">
        <v>747</v>
      </c>
    </row>
    <row r="16" spans="1:25" ht="12" customHeight="1" x14ac:dyDescent="0.2">
      <c r="A16" s="38" t="s">
        <v>606</v>
      </c>
      <c r="B16" s="198"/>
      <c r="C16" s="199"/>
      <c r="D16" s="355"/>
      <c r="E16" s="330"/>
      <c r="F16" s="334">
        <f>-(120-C49)*(C16/120)</f>
        <v>0</v>
      </c>
      <c r="G16" s="335"/>
      <c r="H16" s="572"/>
      <c r="I16" s="580"/>
      <c r="J16" s="368">
        <f>-(C16*B16/12)</f>
        <v>0</v>
      </c>
      <c r="K16" s="369"/>
      <c r="L16" s="683"/>
      <c r="M16" s="684"/>
      <c r="O16" s="465" t="s">
        <v>629</v>
      </c>
      <c r="P16" s="132">
        <v>140000</v>
      </c>
      <c r="Q16" s="320" t="b">
        <f>+P16&gt;($C$14+$C$20+E19)</f>
        <v>1</v>
      </c>
      <c r="R16" s="470">
        <f>($C$14+$C$20+E19)</f>
        <v>33063.259999999995</v>
      </c>
      <c r="V16" s="416">
        <v>41353</v>
      </c>
      <c r="W16" s="132">
        <v>5000</v>
      </c>
      <c r="X16" s="37" t="s">
        <v>748</v>
      </c>
    </row>
    <row r="17" spans="1:24" ht="12" customHeight="1" thickBot="1" x14ac:dyDescent="0.25">
      <c r="A17" s="38" t="s">
        <v>19</v>
      </c>
      <c r="B17" s="198">
        <v>0</v>
      </c>
      <c r="C17" s="199"/>
      <c r="D17" s="355">
        <f>-C17</f>
        <v>0</v>
      </c>
      <c r="E17" s="330">
        <f>+C17</f>
        <v>0</v>
      </c>
      <c r="F17" s="334">
        <f>IF(OR($E$1=1,$E$1=2,$E$1=3),IF(OR($E$1=1,$E$1=2),-C17,),0)</f>
        <v>0</v>
      </c>
      <c r="G17" s="335"/>
      <c r="H17" s="572"/>
      <c r="I17" s="580"/>
      <c r="J17" s="368"/>
      <c r="K17" s="369"/>
      <c r="L17" s="685"/>
      <c r="M17" s="686"/>
      <c r="O17" s="465"/>
      <c r="Q17" s="320"/>
      <c r="R17" s="471"/>
      <c r="V17" s="416">
        <v>44672</v>
      </c>
      <c r="W17" s="132">
        <v>6264</v>
      </c>
      <c r="X17" s="37" t="s">
        <v>749</v>
      </c>
    </row>
    <row r="18" spans="1:24" ht="12" customHeight="1" thickBot="1" x14ac:dyDescent="0.25">
      <c r="A18" s="38" t="s">
        <v>20</v>
      </c>
      <c r="B18" s="178"/>
      <c r="C18" s="179">
        <v>2466</v>
      </c>
      <c r="D18" s="355"/>
      <c r="E18" s="330"/>
      <c r="F18" s="334"/>
      <c r="G18" s="335"/>
      <c r="H18" s="572">
        <f>-C18</f>
        <v>-2466</v>
      </c>
      <c r="I18" s="580"/>
      <c r="J18" s="368"/>
      <c r="K18" s="369"/>
      <c r="L18" s="40"/>
      <c r="M18" s="40"/>
      <c r="O18" s="465"/>
      <c r="Q18" s="320"/>
      <c r="R18" s="471"/>
    </row>
    <row r="19" spans="1:24" ht="12" customHeight="1" thickBot="1" x14ac:dyDescent="0.25">
      <c r="A19" s="38" t="s">
        <v>597</v>
      </c>
      <c r="B19" s="327">
        <f>+B17</f>
        <v>0</v>
      </c>
      <c r="C19" s="328">
        <v>0</v>
      </c>
      <c r="D19" s="329">
        <f>-C19</f>
        <v>0</v>
      </c>
      <c r="E19" s="330">
        <f>+C19</f>
        <v>0</v>
      </c>
      <c r="F19" s="331">
        <f>IF(B1="flip",-C19,0)</f>
        <v>0</v>
      </c>
      <c r="G19" s="332"/>
      <c r="H19" s="365"/>
      <c r="I19" s="580"/>
      <c r="J19" s="368"/>
      <c r="K19" s="369"/>
      <c r="L19" s="40"/>
      <c r="M19" s="40"/>
      <c r="O19" s="465"/>
      <c r="Q19" s="320"/>
      <c r="R19" s="472"/>
    </row>
    <row r="20" spans="1:24" ht="12" customHeight="1" thickBot="1" x14ac:dyDescent="0.25">
      <c r="A20" s="129" t="s">
        <v>22</v>
      </c>
      <c r="B20" s="414"/>
      <c r="C20" s="324">
        <v>5000</v>
      </c>
      <c r="D20" s="355">
        <f>-C20</f>
        <v>-5000</v>
      </c>
      <c r="E20" s="330"/>
      <c r="F20" s="334"/>
      <c r="G20" s="335"/>
      <c r="H20" s="572"/>
      <c r="I20" s="580"/>
      <c r="J20" s="371"/>
      <c r="K20" s="369"/>
      <c r="L20" s="40"/>
      <c r="M20" s="40"/>
      <c r="O20" s="473"/>
      <c r="P20" s="461"/>
      <c r="Q20" s="457"/>
      <c r="R20" s="474"/>
    </row>
    <row r="21" spans="1:24" ht="12" customHeight="1" thickBot="1" x14ac:dyDescent="0.3">
      <c r="A21" s="38" t="s">
        <v>605</v>
      </c>
      <c r="B21" s="691">
        <f>-SUM(D14:D20)</f>
        <v>130291.26</v>
      </c>
      <c r="C21" s="692"/>
      <c r="D21" s="355"/>
      <c r="E21" s="330"/>
      <c r="F21" s="334"/>
      <c r="G21" s="335"/>
      <c r="H21" s="572"/>
      <c r="I21" s="580"/>
      <c r="J21" s="371"/>
      <c r="K21" s="369"/>
      <c r="R21" s="419"/>
    </row>
    <row r="22" spans="1:24" ht="12" customHeight="1" thickBot="1" x14ac:dyDescent="0.25">
      <c r="A22" s="38" t="s">
        <v>598</v>
      </c>
      <c r="B22" s="333">
        <v>0.75</v>
      </c>
      <c r="C22" s="328">
        <f>IF(C1="Hold",+B4*B22,0)</f>
        <v>0</v>
      </c>
      <c r="D22" s="329"/>
      <c r="E22" s="330">
        <f>IF(AND(U1,E1=2),C22+B21,0)</f>
        <v>0</v>
      </c>
      <c r="F22" s="334" t="str">
        <f>IF(AND(U1,E1=2),-C22,"")</f>
        <v/>
      </c>
      <c r="G22" s="335"/>
      <c r="H22" s="572"/>
      <c r="I22" s="580"/>
      <c r="J22" s="370">
        <f>IF(AND(U1,E1=2),IF(U2,IPMT(B23/12,1,C23*12,C22),PMT(B23/12,12*C23,C22)),0)</f>
        <v>0</v>
      </c>
      <c r="K22" s="369"/>
      <c r="L22" s="698" t="s">
        <v>608</v>
      </c>
      <c r="M22" s="699"/>
      <c r="R22" s="419"/>
    </row>
    <row r="23" spans="1:24" ht="12" customHeight="1" thickBot="1" x14ac:dyDescent="0.25">
      <c r="A23" s="38" t="s">
        <v>599</v>
      </c>
      <c r="B23" s="336">
        <v>6.5000000000000002E-2</v>
      </c>
      <c r="C23" s="337">
        <v>30</v>
      </c>
      <c r="D23" s="329"/>
      <c r="E23" s="330"/>
      <c r="F23" s="334"/>
      <c r="G23" s="335"/>
      <c r="H23" s="572"/>
      <c r="I23" s="580"/>
      <c r="J23" s="371"/>
      <c r="K23" s="369"/>
      <c r="L23" s="698" t="s">
        <v>596</v>
      </c>
      <c r="M23" s="699"/>
      <c r="R23" s="419"/>
    </row>
    <row r="24" spans="1:24" ht="12" customHeight="1" thickBot="1" x14ac:dyDescent="0.25">
      <c r="A24" s="38" t="s">
        <v>600</v>
      </c>
      <c r="B24" s="689">
        <v>45566</v>
      </c>
      <c r="C24" s="690"/>
      <c r="D24" s="329"/>
      <c r="E24" s="330"/>
      <c r="F24" s="334"/>
      <c r="G24" s="335"/>
      <c r="H24" s="572"/>
      <c r="I24" s="580"/>
      <c r="J24" s="371"/>
      <c r="K24" s="369"/>
      <c r="M24" s="40"/>
      <c r="R24" s="419"/>
    </row>
    <row r="25" spans="1:24" ht="12" customHeight="1" thickBot="1" x14ac:dyDescent="0.25">
      <c r="A25" s="129" t="s">
        <v>21</v>
      </c>
      <c r="B25" s="164">
        <v>0</v>
      </c>
      <c r="C25" s="165"/>
      <c r="D25" s="355"/>
      <c r="E25" s="330"/>
      <c r="F25" s="334"/>
      <c r="G25" s="335"/>
      <c r="H25" s="572"/>
      <c r="I25" s="580"/>
      <c r="J25" s="370"/>
      <c r="K25" s="369"/>
      <c r="S25" s="132"/>
    </row>
    <row r="26" spans="1:24" ht="12" customHeight="1" thickBot="1" x14ac:dyDescent="0.25">
      <c r="A26" s="129" t="s">
        <v>24</v>
      </c>
      <c r="B26" s="141"/>
      <c r="C26" s="165">
        <v>2466</v>
      </c>
      <c r="D26" s="355">
        <f>-B26</f>
        <v>0</v>
      </c>
      <c r="E26" s="330"/>
      <c r="F26" s="334"/>
      <c r="G26" s="335"/>
      <c r="H26" s="572"/>
      <c r="I26" s="580"/>
      <c r="J26" s="371"/>
      <c r="K26" s="369"/>
      <c r="O26" s="416">
        <v>45894</v>
      </c>
      <c r="P26" s="132">
        <v>276800</v>
      </c>
      <c r="S26" s="132"/>
    </row>
    <row r="27" spans="1:24" ht="12" customHeight="1" thickBot="1" x14ac:dyDescent="0.25">
      <c r="A27" s="129" t="s">
        <v>487</v>
      </c>
      <c r="B27" s="662">
        <v>5000</v>
      </c>
      <c r="C27" s="663">
        <v>5000</v>
      </c>
      <c r="D27" s="355">
        <f>-B27</f>
        <v>-5000</v>
      </c>
      <c r="E27" s="330"/>
      <c r="F27" s="334"/>
      <c r="G27" s="335"/>
      <c r="H27" s="572"/>
      <c r="I27" s="580"/>
      <c r="J27" s="371"/>
      <c r="K27" s="369"/>
    </row>
    <row r="28" spans="1:24" ht="12" customHeight="1" thickBot="1" x14ac:dyDescent="0.25">
      <c r="A28" s="129" t="s">
        <v>581</v>
      </c>
      <c r="B28" s="321">
        <f>+F76/30.42</f>
        <v>6.0157790927021697</v>
      </c>
      <c r="C28" s="122"/>
      <c r="D28" s="355"/>
      <c r="E28" s="330"/>
      <c r="F28" s="334"/>
      <c r="G28" s="335"/>
      <c r="H28" s="572"/>
      <c r="I28" s="580"/>
      <c r="J28" s="370"/>
      <c r="K28" s="369"/>
      <c r="S28" s="132"/>
    </row>
    <row r="29" spans="1:24" ht="12" customHeight="1" x14ac:dyDescent="0.2">
      <c r="A29" s="129" t="s">
        <v>577</v>
      </c>
      <c r="B29" s="319">
        <f>+STR!K17/12</f>
        <v>0</v>
      </c>
      <c r="C29" s="122"/>
      <c r="D29" s="355"/>
      <c r="E29" s="330"/>
      <c r="F29" s="334"/>
      <c r="G29" s="335"/>
      <c r="H29" s="572"/>
      <c r="I29" s="580"/>
      <c r="J29" s="370">
        <f>-B29</f>
        <v>0</v>
      </c>
      <c r="K29" s="369"/>
      <c r="L29" s="639" t="s">
        <v>23</v>
      </c>
      <c r="M29" s="640"/>
      <c r="S29" s="132"/>
    </row>
    <row r="30" spans="1:24" ht="12" customHeight="1" thickBot="1" x14ac:dyDescent="0.25">
      <c r="A30" s="129" t="s">
        <v>580</v>
      </c>
      <c r="C30" s="481">
        <f>+B45/C50</f>
        <v>706.85208086111106</v>
      </c>
      <c r="D30" s="355"/>
      <c r="E30" s="330"/>
      <c r="F30" s="334"/>
      <c r="G30" s="335"/>
      <c r="H30" s="572"/>
      <c r="I30" s="580"/>
      <c r="J30" s="370"/>
      <c r="K30" s="369"/>
      <c r="L30" s="641"/>
      <c r="M30" s="642"/>
      <c r="Q30" s="260"/>
      <c r="R30" s="419"/>
    </row>
    <row r="31" spans="1:24" ht="12" customHeight="1" x14ac:dyDescent="0.2">
      <c r="A31" s="129" t="s">
        <v>839</v>
      </c>
      <c r="B31" s="494">
        <f>+Carrying!B25/Profit!$B$28</f>
        <v>14.95234426229508</v>
      </c>
      <c r="C31" s="122"/>
      <c r="D31" s="355"/>
      <c r="E31" s="330"/>
      <c r="F31" s="334"/>
      <c r="G31" s="335"/>
      <c r="H31" s="572"/>
      <c r="I31" s="580"/>
      <c r="J31" s="370"/>
      <c r="K31" s="369"/>
      <c r="L31" s="647" t="s">
        <v>25</v>
      </c>
      <c r="M31" s="648"/>
      <c r="R31" s="419"/>
    </row>
    <row r="32" spans="1:24" ht="12" customHeight="1" x14ac:dyDescent="0.2">
      <c r="A32" s="129" t="s">
        <v>899</v>
      </c>
      <c r="B32" s="494">
        <f>+Carrying!E25/Profit!$B$28</f>
        <v>549.04775409836066</v>
      </c>
      <c r="C32" s="122"/>
      <c r="D32" s="355"/>
      <c r="E32" s="330"/>
      <c r="F32" s="334"/>
      <c r="G32" s="335"/>
      <c r="H32" s="572"/>
      <c r="I32" s="580"/>
      <c r="J32" s="370">
        <f>IF(OR($E$1=2,$E$1=3),-B32,0)</f>
        <v>-549.04775409836066</v>
      </c>
      <c r="K32" s="369">
        <f>IF($E$1=3,+B32,0)</f>
        <v>549.04775409836066</v>
      </c>
      <c r="L32" s="649"/>
      <c r="M32" s="650"/>
      <c r="R32" s="419"/>
    </row>
    <row r="33" spans="1:13" ht="12" customHeight="1" x14ac:dyDescent="0.2">
      <c r="A33" s="129" t="s">
        <v>586</v>
      </c>
      <c r="B33" s="494">
        <f>+Carrying!H25/Profit!$B$28</f>
        <v>304.65546885245902</v>
      </c>
      <c r="C33" s="122"/>
      <c r="D33" s="355"/>
      <c r="E33" s="330"/>
      <c r="F33" s="334"/>
      <c r="G33" s="335"/>
      <c r="H33" s="572"/>
      <c r="I33" s="580"/>
      <c r="J33" s="370">
        <f>IF(OR($E$1=2,$E$1=3),-B33,0)</f>
        <v>-304.65546885245902</v>
      </c>
      <c r="K33" s="369">
        <f>IF($E$1=3,+B33,0)</f>
        <v>304.65546885245902</v>
      </c>
      <c r="L33" s="649"/>
      <c r="M33" s="650"/>
    </row>
    <row r="34" spans="1:13" ht="12" customHeight="1" thickBot="1" x14ac:dyDescent="0.25">
      <c r="A34" s="129" t="s">
        <v>885</v>
      </c>
      <c r="B34" s="494">
        <f>+Carrying!K25/Profit!$B$28</f>
        <v>0</v>
      </c>
      <c r="C34" s="122"/>
      <c r="D34" s="355"/>
      <c r="E34" s="330"/>
      <c r="F34" s="334"/>
      <c r="G34" s="335"/>
      <c r="H34" s="572"/>
      <c r="I34" s="580"/>
      <c r="J34" s="370">
        <f>IF(OR($E$1=2,$E$1=3),-B34,0)</f>
        <v>0</v>
      </c>
      <c r="K34" s="369">
        <f>IF($E$1=3,+B34,0)</f>
        <v>0</v>
      </c>
      <c r="L34" s="651"/>
      <c r="M34" s="652"/>
    </row>
    <row r="35" spans="1:13" ht="12" customHeight="1" x14ac:dyDescent="0.2">
      <c r="A35" s="129" t="s">
        <v>475</v>
      </c>
      <c r="B35" s="494">
        <f>+Carrying!N25/Profit!$B$28</f>
        <v>0</v>
      </c>
      <c r="C35" s="122"/>
      <c r="D35" s="355"/>
      <c r="E35" s="330"/>
      <c r="F35" s="334"/>
      <c r="G35" s="335"/>
      <c r="H35" s="572"/>
      <c r="I35" s="580"/>
      <c r="J35" s="370">
        <f>IF(OR($E$1=2,$E$1=3),-B35,0)</f>
        <v>0</v>
      </c>
      <c r="K35" s="369">
        <f>IF($E$1=3,+B35,0)</f>
        <v>0</v>
      </c>
    </row>
    <row r="36" spans="1:13" ht="12" customHeight="1" x14ac:dyDescent="0.2">
      <c r="A36" s="129" t="s">
        <v>886</v>
      </c>
      <c r="B36" s="494">
        <f>+Carrying!Q25/Profit!$B$28</f>
        <v>46.151960655737703</v>
      </c>
      <c r="C36" s="122"/>
      <c r="D36" s="355"/>
      <c r="E36" s="330"/>
      <c r="F36" s="334"/>
      <c r="G36" s="335"/>
      <c r="H36" s="572"/>
      <c r="I36" s="580"/>
      <c r="J36" s="370"/>
      <c r="K36" s="369"/>
    </row>
    <row r="37" spans="1:13" ht="12" customHeight="1" x14ac:dyDescent="0.2">
      <c r="A37" s="129" t="s">
        <v>887</v>
      </c>
      <c r="B37" s="494">
        <f>+Carrying!T25/Profit!$B$28</f>
        <v>0</v>
      </c>
      <c r="C37" s="122"/>
      <c r="D37" s="355"/>
      <c r="E37" s="330"/>
      <c r="F37" s="334"/>
      <c r="G37" s="335"/>
      <c r="H37" s="572"/>
      <c r="I37" s="580"/>
      <c r="J37" s="370"/>
      <c r="K37" s="369"/>
    </row>
    <row r="38" spans="1:13" ht="12" customHeight="1" x14ac:dyDescent="0.2">
      <c r="A38" s="129" t="s">
        <v>585</v>
      </c>
      <c r="B38" s="494">
        <f>+Carrying!W25/Profit!$B$28</f>
        <v>0</v>
      </c>
      <c r="C38" s="122"/>
      <c r="D38" s="355"/>
      <c r="E38" s="330"/>
      <c r="F38" s="334"/>
      <c r="G38" s="335"/>
      <c r="H38" s="572"/>
      <c r="I38" s="580"/>
      <c r="J38" s="370"/>
      <c r="K38" s="369"/>
    </row>
    <row r="39" spans="1:13" ht="12" customHeight="1" x14ac:dyDescent="0.2">
      <c r="A39" s="129" t="s">
        <v>634</v>
      </c>
      <c r="B39" s="494">
        <f>+Carrying!Z25/Profit!$B$28</f>
        <v>0</v>
      </c>
      <c r="C39" s="122"/>
      <c r="D39" s="355"/>
      <c r="E39" s="330"/>
      <c r="F39" s="334"/>
      <c r="G39" s="335"/>
      <c r="H39" s="572"/>
      <c r="I39" s="580"/>
      <c r="J39" s="370">
        <f>IF(OR($E$1=2,$E$1=3),-B39,0)</f>
        <v>0</v>
      </c>
      <c r="K39" s="369">
        <f>IF($E$1=3,+B39,0)</f>
        <v>0</v>
      </c>
    </row>
    <row r="40" spans="1:13" ht="12" customHeight="1" thickBot="1" x14ac:dyDescent="0.25">
      <c r="A40" s="129" t="s">
        <v>888</v>
      </c>
      <c r="B40" s="494">
        <f>+Carrying!AC25/Profit!$B$28</f>
        <v>0</v>
      </c>
      <c r="C40" s="122"/>
      <c r="D40" s="355"/>
      <c r="E40" s="330"/>
      <c r="F40" s="334"/>
      <c r="G40" s="335"/>
      <c r="H40" s="572"/>
      <c r="I40" s="580"/>
      <c r="J40" s="370"/>
      <c r="K40" s="369"/>
    </row>
    <row r="41" spans="1:13" ht="12" customHeight="1" thickBot="1" x14ac:dyDescent="0.25">
      <c r="A41" s="129" t="s">
        <v>889</v>
      </c>
      <c r="B41" s="494">
        <f>+Carrying!AF25/Profit!$B$28</f>
        <v>0</v>
      </c>
      <c r="C41" s="122"/>
      <c r="D41" s="355"/>
      <c r="E41" s="330"/>
      <c r="F41" s="334"/>
      <c r="G41" s="335"/>
      <c r="H41" s="572"/>
      <c r="I41" s="580"/>
      <c r="J41" s="370"/>
      <c r="K41" s="369"/>
      <c r="L41" s="709" t="s">
        <v>26</v>
      </c>
      <c r="M41" s="643">
        <f>IF(+E1=3,-J54,+B42/B28)</f>
        <v>1478.7032229508197</v>
      </c>
    </row>
    <row r="42" spans="1:13" ht="12" customHeight="1" thickBot="1" x14ac:dyDescent="0.3">
      <c r="A42" s="38" t="s">
        <v>26</v>
      </c>
      <c r="B42" s="708">
        <f>+B28*SUM(B31:B41)</f>
        <v>5503.2800000000007</v>
      </c>
      <c r="C42" s="680"/>
      <c r="D42" s="329">
        <f>-B42</f>
        <v>-5503.2800000000007</v>
      </c>
      <c r="E42" s="330"/>
      <c r="F42" s="334"/>
      <c r="G42" s="335"/>
      <c r="H42" s="572"/>
      <c r="I42" s="580"/>
      <c r="J42" s="370"/>
      <c r="K42" s="369"/>
      <c r="L42" s="710"/>
      <c r="M42" s="644"/>
    </row>
    <row r="43" spans="1:13" ht="12" customHeight="1" thickBot="1" x14ac:dyDescent="0.25">
      <c r="A43" s="496" t="s">
        <v>28</v>
      </c>
      <c r="B43" s="497">
        <v>0.1</v>
      </c>
      <c r="C43" s="498" t="b">
        <v>1</v>
      </c>
      <c r="D43" s="355"/>
      <c r="E43" s="330"/>
      <c r="F43" s="334"/>
      <c r="G43" s="335"/>
      <c r="H43" s="572"/>
      <c r="I43" s="580"/>
      <c r="J43" s="370"/>
      <c r="K43" s="369"/>
    </row>
    <row r="44" spans="1:13" ht="12" customHeight="1" thickBot="1" x14ac:dyDescent="0.25">
      <c r="A44" s="129" t="s">
        <v>30</v>
      </c>
      <c r="B44" s="499">
        <v>75000</v>
      </c>
      <c r="C44" s="500">
        <f>+(B6*0.75)-SUM(C15:C19)-B44</f>
        <v>85181</v>
      </c>
      <c r="D44" s="355"/>
      <c r="E44" s="330">
        <f>IF(C43,B44,0)</f>
        <v>75000</v>
      </c>
      <c r="F44" s="334"/>
      <c r="G44" s="335"/>
      <c r="H44" s="572">
        <f>IF(C43,-E44,0)</f>
        <v>-75000</v>
      </c>
      <c r="I44" s="580"/>
      <c r="J44" s="370">
        <f>IF($E$1=3,-E44*B43/12,0)</f>
        <v>-625</v>
      </c>
      <c r="K44" s="369"/>
      <c r="L44" s="709" t="s">
        <v>1038</v>
      </c>
      <c r="M44" s="643">
        <f>+SUM(C15:C19)+B44</f>
        <v>174694</v>
      </c>
    </row>
    <row r="45" spans="1:13" ht="12" customHeight="1" thickBot="1" x14ac:dyDescent="0.25">
      <c r="A45" s="129" t="s">
        <v>32</v>
      </c>
      <c r="B45" s="321">
        <f>-D71</f>
        <v>25446.674910999998</v>
      </c>
      <c r="C45" s="122"/>
      <c r="D45" s="355">
        <f>-B45</f>
        <v>-25446.674910999998</v>
      </c>
      <c r="E45" s="330"/>
      <c r="F45" s="334"/>
      <c r="G45" s="335"/>
      <c r="H45" s="572"/>
      <c r="I45" s="580"/>
      <c r="J45" s="371"/>
      <c r="K45" s="369"/>
      <c r="L45" s="710"/>
      <c r="M45" s="644"/>
    </row>
    <row r="46" spans="1:13" ht="12" customHeight="1" thickBot="1" x14ac:dyDescent="0.25">
      <c r="A46" s="129" t="s">
        <v>33</v>
      </c>
      <c r="B46" s="321">
        <v>600</v>
      </c>
      <c r="C46" s="122"/>
      <c r="D46" s="355">
        <f>-B46</f>
        <v>-600</v>
      </c>
      <c r="E46" s="330"/>
      <c r="F46" s="334"/>
      <c r="G46" s="335"/>
      <c r="H46" s="572"/>
      <c r="I46" s="580"/>
      <c r="J46" s="371"/>
      <c r="K46" s="369"/>
    </row>
    <row r="47" spans="1:13" ht="12" customHeight="1" thickBot="1" x14ac:dyDescent="0.3">
      <c r="A47" s="38" t="s">
        <v>35</v>
      </c>
      <c r="B47" s="488"/>
      <c r="C47" s="489">
        <v>500</v>
      </c>
      <c r="D47" s="355"/>
      <c r="E47" s="330"/>
      <c r="F47" s="334" t="str">
        <f>IF(U3,-C47,"")</f>
        <v/>
      </c>
      <c r="G47" s="335"/>
      <c r="H47" s="572"/>
      <c r="I47" s="580"/>
      <c r="J47" s="371"/>
      <c r="K47" s="369"/>
      <c r="L47" s="645" t="s">
        <v>27</v>
      </c>
      <c r="M47" s="643">
        <f>+B21</f>
        <v>130291.26</v>
      </c>
    </row>
    <row r="48" spans="1:13" ht="12" customHeight="1" thickBot="1" x14ac:dyDescent="0.25">
      <c r="A48" s="130" t="s">
        <v>36</v>
      </c>
      <c r="B48" s="390"/>
      <c r="C48" s="131">
        <v>3.5999999999999997E-2</v>
      </c>
      <c r="D48" s="355"/>
      <c r="E48" s="330"/>
      <c r="F48" s="334" t="str">
        <f>IF(U4,IF(OR(E1=1,E1=2),-C48*$F$10,0),"")</f>
        <v/>
      </c>
      <c r="G48" s="335"/>
      <c r="H48" s="572"/>
      <c r="I48" s="580"/>
      <c r="J48" s="371"/>
      <c r="K48" s="369"/>
      <c r="L48" s="646"/>
      <c r="M48" s="644"/>
    </row>
    <row r="49" spans="1:17" ht="12" customHeight="1" thickBot="1" x14ac:dyDescent="0.25">
      <c r="A49" s="130" t="s">
        <v>37</v>
      </c>
      <c r="B49" s="391"/>
      <c r="C49" s="182">
        <v>2.4E-2</v>
      </c>
      <c r="D49" s="355"/>
      <c r="E49" s="330"/>
      <c r="F49" s="334">
        <f>IF(U5,IF(OR(E1=1,E1=2),-C49*$F$10,0),"")</f>
        <v>0</v>
      </c>
      <c r="G49" s="335"/>
      <c r="H49" s="572"/>
      <c r="I49" s="580"/>
      <c r="J49" s="371"/>
      <c r="K49" s="369"/>
      <c r="L49" s="645" t="s">
        <v>31</v>
      </c>
      <c r="M49" s="643">
        <f>-E55</f>
        <v>-4446.7850890000082</v>
      </c>
    </row>
    <row r="50" spans="1:17" ht="12" customHeight="1" thickBot="1" x14ac:dyDescent="0.25">
      <c r="A50" s="183" t="s">
        <v>38</v>
      </c>
      <c r="B50" s="181"/>
      <c r="C50" s="209">
        <v>36</v>
      </c>
      <c r="D50" s="355"/>
      <c r="E50" s="330"/>
      <c r="F50" s="334"/>
      <c r="G50" s="335"/>
      <c r="H50" s="572"/>
      <c r="I50" s="580"/>
      <c r="J50" s="371"/>
      <c r="K50" s="369"/>
      <c r="L50" s="646"/>
      <c r="M50" s="644"/>
    </row>
    <row r="51" spans="1:17" ht="12" customHeight="1" thickBot="1" x14ac:dyDescent="0.3">
      <c r="A51" s="38" t="s">
        <v>39</v>
      </c>
      <c r="B51" s="660"/>
      <c r="C51" s="697"/>
      <c r="D51" s="356"/>
      <c r="E51" s="330"/>
      <c r="F51" s="334">
        <f>-C51</f>
        <v>0</v>
      </c>
      <c r="G51" s="335"/>
      <c r="H51" s="572"/>
      <c r="I51" s="580"/>
      <c r="J51" s="372"/>
      <c r="K51" s="369"/>
      <c r="L51" s="723" t="s">
        <v>34</v>
      </c>
      <c r="M51" s="724"/>
    </row>
    <row r="52" spans="1:17" ht="12" customHeight="1" thickBot="1" x14ac:dyDescent="0.25">
      <c r="A52" s="38" t="s">
        <v>40</v>
      </c>
      <c r="B52" s="695">
        <f>+D91</f>
        <v>940</v>
      </c>
      <c r="C52" s="696"/>
      <c r="D52" s="355">
        <f>-B52</f>
        <v>-940</v>
      </c>
      <c r="E52" s="330"/>
      <c r="F52" s="334"/>
      <c r="G52" s="335"/>
      <c r="H52" s="572"/>
      <c r="I52" s="580"/>
      <c r="J52" s="372"/>
      <c r="K52" s="369"/>
      <c r="L52" s="725"/>
      <c r="M52" s="726"/>
    </row>
    <row r="53" spans="1:17" ht="12" customHeight="1" thickBot="1" x14ac:dyDescent="0.25">
      <c r="A53" s="38" t="s">
        <v>41</v>
      </c>
      <c r="B53" s="693">
        <f>+D102</f>
        <v>290</v>
      </c>
      <c r="C53" s="694"/>
      <c r="D53" s="357"/>
      <c r="E53" s="358"/>
      <c r="F53" s="359">
        <f>-B53</f>
        <v>-290</v>
      </c>
      <c r="G53" s="360"/>
      <c r="H53" s="571"/>
      <c r="I53" s="581"/>
      <c r="J53" s="373"/>
      <c r="K53" s="374"/>
    </row>
    <row r="54" spans="1:17" ht="12" customHeight="1" thickBot="1" x14ac:dyDescent="0.25">
      <c r="B54" s="717" t="s">
        <v>42</v>
      </c>
      <c r="C54" s="676"/>
      <c r="D54" s="192">
        <f>+SUM(D14:D53)</f>
        <v>-167781.21491100002</v>
      </c>
      <c r="E54" s="417"/>
      <c r="F54" s="418">
        <f>+SUM(F14:F53)</f>
        <v>-290</v>
      </c>
      <c r="G54" s="417"/>
      <c r="H54" s="418">
        <f>+SUM(H14:H53)</f>
        <v>-148742.15999999997</v>
      </c>
      <c r="I54" s="417"/>
      <c r="J54" s="418">
        <f>SUM(J15:J53)</f>
        <v>-1478.7032229508197</v>
      </c>
      <c r="K54" s="418">
        <f>SUM(K15:K53)+J10</f>
        <v>873.17322295081976</v>
      </c>
    </row>
    <row r="55" spans="1:17" ht="12" customHeight="1" thickBot="1" x14ac:dyDescent="0.25">
      <c r="A55" s="39"/>
      <c r="B55" s="706" t="s">
        <v>43</v>
      </c>
      <c r="C55" s="707"/>
      <c r="D55" s="707"/>
      <c r="E55" s="582">
        <f>+SUM(D10:E53)</f>
        <v>4446.7850890000082</v>
      </c>
      <c r="F55" s="731">
        <f>+SUM(F10:G53)</f>
        <v>34360</v>
      </c>
      <c r="G55" s="632"/>
      <c r="H55" s="711"/>
      <c r="I55" s="711"/>
      <c r="J55" s="134"/>
      <c r="K55" s="136">
        <f>+SUM(J54:K54)</f>
        <v>-605.53</v>
      </c>
      <c r="L55" s="657" t="s">
        <v>45</v>
      </c>
      <c r="M55" s="657" t="s">
        <v>46</v>
      </c>
      <c r="Q55" s="112"/>
    </row>
    <row r="56" spans="1:17" ht="12" customHeight="1" thickBot="1" x14ac:dyDescent="0.25">
      <c r="A56" s="39"/>
      <c r="B56" s="39"/>
      <c r="D56" s="39"/>
      <c r="E56" s="630" t="s">
        <v>44</v>
      </c>
      <c r="F56" s="631"/>
      <c r="G56" s="569">
        <f>SUM(E55:G55)</f>
        <v>38806.785089000012</v>
      </c>
      <c r="H56" s="632">
        <f>+SUM(H10:I53)</f>
        <v>-148742.15999999997</v>
      </c>
      <c r="I56" s="632"/>
      <c r="J56" s="134"/>
      <c r="K56" s="136"/>
      <c r="L56" s="658"/>
      <c r="M56" s="658"/>
      <c r="Q56" s="112"/>
    </row>
    <row r="57" spans="1:17" ht="12" customHeight="1" x14ac:dyDescent="0.25">
      <c r="A57" s="39"/>
      <c r="B57" s="39"/>
      <c r="D57" s="39"/>
      <c r="E57" s="630" t="s">
        <v>44</v>
      </c>
      <c r="F57" s="631"/>
      <c r="G57" s="133"/>
      <c r="H57" s="623">
        <f>SUM(G56:I56)</f>
        <v>-109935.37491099996</v>
      </c>
      <c r="I57" s="624"/>
      <c r="J57" s="134"/>
      <c r="K57" s="136"/>
      <c r="L57" s="658"/>
      <c r="M57" s="658"/>
      <c r="Q57" s="112"/>
    </row>
    <row r="58" spans="1:17" ht="12" customHeight="1" thickBot="1" x14ac:dyDescent="0.25">
      <c r="A58" s="39"/>
      <c r="B58" s="39"/>
      <c r="E58" s="630" t="s">
        <v>47</v>
      </c>
      <c r="F58" s="631"/>
      <c r="G58" s="631"/>
      <c r="H58" s="134"/>
      <c r="I58" s="584"/>
      <c r="J58" s="586">
        <f>IF(OR(E1=2,E1=3),IF(E1=2,C50,60),0)</f>
        <v>60</v>
      </c>
      <c r="K58" s="585">
        <f>IF(OR(E1=2,E1=3),+J58*K55,0)</f>
        <v>-36331.799999999996</v>
      </c>
      <c r="L58" s="659"/>
      <c r="M58" s="659"/>
    </row>
    <row r="59" spans="1:17" ht="12" customHeight="1" thickBot="1" x14ac:dyDescent="0.25">
      <c r="A59" s="39"/>
      <c r="B59" s="39"/>
      <c r="E59" s="135"/>
      <c r="F59" s="744" t="s">
        <v>610</v>
      </c>
      <c r="G59" s="745"/>
      <c r="H59" s="583"/>
      <c r="I59" s="583"/>
      <c r="J59" s="577"/>
      <c r="K59" s="577">
        <f>+K58+H57</f>
        <v>-146267.17491099995</v>
      </c>
      <c r="L59" s="123">
        <f>$B$25*$K$59</f>
        <v>0</v>
      </c>
      <c r="M59" s="124">
        <f>+$K$59-L59</f>
        <v>-146267.17491099995</v>
      </c>
    </row>
    <row r="60" spans="1:17" ht="12" customHeight="1" thickTop="1" thickBot="1" x14ac:dyDescent="0.3">
      <c r="A60" s="125" t="s">
        <v>48</v>
      </c>
      <c r="B60" s="704">
        <f>IF(OR(C1="Hold",D1="slow flip"),0.15,0)</f>
        <v>0.15</v>
      </c>
      <c r="C60" s="705"/>
      <c r="D60" s="125"/>
      <c r="E60" s="125"/>
      <c r="F60" s="744" t="s">
        <v>601</v>
      </c>
      <c r="G60" s="628"/>
      <c r="H60" s="628"/>
      <c r="I60" s="622"/>
      <c r="J60" s="622"/>
      <c r="K60" s="622"/>
      <c r="L60" s="133">
        <f>-J85</f>
        <v>0</v>
      </c>
      <c r="M60" s="167">
        <f>+J85</f>
        <v>0</v>
      </c>
    </row>
    <row r="61" spans="1:17" ht="12" customHeight="1" thickTop="1" thickBot="1" x14ac:dyDescent="0.3">
      <c r="A61" s="38" t="s">
        <v>49</v>
      </c>
      <c r="B61" s="700">
        <v>0.1</v>
      </c>
      <c r="C61" s="701">
        <v>0.15</v>
      </c>
      <c r="D61" s="702">
        <f>+M63*B61</f>
        <v>-12432.709867434996</v>
      </c>
      <c r="E61" s="703"/>
      <c r="F61" s="627" t="s">
        <v>1152</v>
      </c>
      <c r="G61" s="628"/>
      <c r="H61" s="628"/>
      <c r="I61" s="622"/>
      <c r="J61" s="622"/>
      <c r="K61" s="622"/>
      <c r="L61" s="392" t="s">
        <v>471</v>
      </c>
      <c r="M61" s="167">
        <f>IF(B60="",0,-$B$60*SUM(M59:M60))</f>
        <v>21940.076236649991</v>
      </c>
    </row>
    <row r="62" spans="1:17" ht="12" customHeight="1" x14ac:dyDescent="0.25">
      <c r="F62" s="627" t="s">
        <v>1153</v>
      </c>
      <c r="G62" s="628"/>
      <c r="H62" s="628"/>
      <c r="I62" s="622"/>
      <c r="J62" s="622"/>
      <c r="K62" s="622"/>
      <c r="L62" s="123">
        <f>SUM(L59:L61)</f>
        <v>0</v>
      </c>
      <c r="M62" s="124">
        <f>SUM(M59:M61)</f>
        <v>-124327.09867434995</v>
      </c>
    </row>
    <row r="63" spans="1:17" ht="12" customHeight="1" thickBot="1" x14ac:dyDescent="0.3">
      <c r="A63" s="116"/>
      <c r="C63" s="38"/>
      <c r="D63" s="38"/>
      <c r="E63" s="38"/>
      <c r="F63" s="627" t="s">
        <v>611</v>
      </c>
      <c r="G63" s="628"/>
      <c r="H63" s="628"/>
      <c r="I63" s="622"/>
      <c r="J63" s="622"/>
      <c r="K63" s="622"/>
      <c r="L63" s="941"/>
      <c r="M63" s="942">
        <f>SUM(L62:M62)</f>
        <v>-124327.09867434995</v>
      </c>
    </row>
    <row r="64" spans="1:17" ht="12" customHeight="1" x14ac:dyDescent="0.25">
      <c r="A64" s="116"/>
      <c r="F64" s="943" t="s">
        <v>1190</v>
      </c>
      <c r="G64" s="944"/>
      <c r="H64" s="944"/>
      <c r="I64" s="945"/>
      <c r="J64" s="945"/>
      <c r="K64" s="945"/>
      <c r="L64" s="946"/>
      <c r="M64" s="936">
        <f>IF($E$1=3,Docs!I23,0)</f>
        <v>236592</v>
      </c>
    </row>
    <row r="65" spans="1:13" ht="12" customHeight="1" thickBot="1" x14ac:dyDescent="0.3">
      <c r="A65" s="116"/>
      <c r="C65" s="38"/>
      <c r="F65" s="947" t="s">
        <v>1191</v>
      </c>
      <c r="G65" s="948"/>
      <c r="H65" s="948"/>
      <c r="I65" s="949"/>
      <c r="J65" s="949"/>
      <c r="K65" s="949"/>
      <c r="L65" s="950"/>
      <c r="M65" s="937">
        <f>+tradeMonthlyGrossSpread*J58</f>
        <v>197160</v>
      </c>
    </row>
    <row r="66" spans="1:13" ht="12" customHeight="1" thickBot="1" x14ac:dyDescent="0.3">
      <c r="A66" s="116"/>
      <c r="C66" s="38"/>
      <c r="D66" s="38"/>
      <c r="E66" s="38"/>
      <c r="F66" s="951" t="s">
        <v>1192</v>
      </c>
      <c r="G66" s="938"/>
      <c r="H66" s="938"/>
      <c r="I66" s="939"/>
      <c r="J66" s="939"/>
      <c r="K66" s="939"/>
      <c r="L66" s="940"/>
      <c r="M66" s="937">
        <f>SUM(M63:M65)</f>
        <v>309424.90132565005</v>
      </c>
    </row>
    <row r="67" spans="1:13" ht="12" customHeight="1" thickTop="1" x14ac:dyDescent="0.2">
      <c r="A67" s="119" t="s">
        <v>50</v>
      </c>
    </row>
    <row r="68" spans="1:13" ht="12" customHeight="1" thickBot="1" x14ac:dyDescent="0.25">
      <c r="A68" s="38" t="s">
        <v>51</v>
      </c>
      <c r="B68" s="716">
        <f>+'Gnatt Chart'!J5</f>
        <v>25446.674910999998</v>
      </c>
      <c r="C68" s="716"/>
      <c r="D68" s="716">
        <f>-B68</f>
        <v>-25446.674910999998</v>
      </c>
      <c r="E68" s="716"/>
    </row>
    <row r="69" spans="1:13" ht="12" customHeight="1" thickBot="1" x14ac:dyDescent="0.25">
      <c r="A69" s="38" t="s">
        <v>52</v>
      </c>
      <c r="B69" s="126">
        <v>0.1</v>
      </c>
      <c r="D69" s="716"/>
      <c r="E69" s="716"/>
      <c r="G69" s="681" t="s">
        <v>53</v>
      </c>
      <c r="H69" s="755"/>
      <c r="I69" s="755"/>
      <c r="J69" s="756"/>
      <c r="K69" s="756"/>
      <c r="L69" s="640"/>
    </row>
    <row r="70" spans="1:13" ht="12" customHeight="1" thickBot="1" x14ac:dyDescent="0.25">
      <c r="A70" s="38" t="s">
        <v>54</v>
      </c>
      <c r="B70" s="727">
        <f>IF(M13,0,+B69*SUM(B68:C68))</f>
        <v>0</v>
      </c>
      <c r="C70" s="727"/>
      <c r="D70" s="727">
        <f>-B70</f>
        <v>0</v>
      </c>
      <c r="E70" s="727"/>
      <c r="G70" s="757"/>
      <c r="H70" s="758"/>
      <c r="I70" s="758"/>
      <c r="J70" s="758"/>
      <c r="K70" s="758"/>
      <c r="L70" s="759"/>
    </row>
    <row r="71" spans="1:13" ht="12" customHeight="1" thickBot="1" x14ac:dyDescent="0.25">
      <c r="A71" s="38" t="s">
        <v>55</v>
      </c>
      <c r="D71" s="714">
        <f>+SUM(D68:E70)</f>
        <v>-25446.674910999998</v>
      </c>
      <c r="E71" s="715"/>
      <c r="G71" s="763" t="s">
        <v>1157</v>
      </c>
      <c r="H71" s="764"/>
      <c r="I71" s="764"/>
      <c r="J71" s="765"/>
      <c r="K71" s="765"/>
      <c r="L71" s="766"/>
    </row>
    <row r="72" spans="1:13" ht="12" customHeight="1" thickTop="1" thickBot="1" x14ac:dyDescent="0.25">
      <c r="A72" s="127" t="s">
        <v>56</v>
      </c>
      <c r="B72" s="125"/>
      <c r="C72" s="125"/>
      <c r="D72" s="38"/>
      <c r="E72" s="38"/>
      <c r="G72" s="752"/>
      <c r="H72" s="753"/>
      <c r="I72" s="753"/>
      <c r="J72" s="753"/>
      <c r="K72" s="753"/>
      <c r="L72" s="754"/>
    </row>
    <row r="73" spans="1:13" ht="12" customHeight="1" x14ac:dyDescent="0.2">
      <c r="A73" s="38" t="s">
        <v>57</v>
      </c>
      <c r="B73" s="740">
        <v>350</v>
      </c>
      <c r="C73" s="741"/>
      <c r="D73" s="716"/>
      <c r="E73" s="716"/>
      <c r="J73" s="37"/>
      <c r="K73" s="37"/>
    </row>
    <row r="74" spans="1:13" ht="12" customHeight="1" thickBot="1" x14ac:dyDescent="0.25">
      <c r="A74" s="38" t="s">
        <v>58</v>
      </c>
      <c r="B74" s="712">
        <v>0</v>
      </c>
      <c r="C74" s="713"/>
      <c r="D74" s="716"/>
      <c r="E74" s="716"/>
      <c r="J74" s="37"/>
      <c r="K74" s="37"/>
    </row>
    <row r="75" spans="1:13" ht="12" customHeight="1" thickBot="1" x14ac:dyDescent="0.3">
      <c r="A75" s="38" t="s">
        <v>59</v>
      </c>
      <c r="B75" s="712">
        <v>250</v>
      </c>
      <c r="C75" s="713"/>
      <c r="F75" s="738" t="s">
        <v>480</v>
      </c>
      <c r="G75" s="739"/>
      <c r="H75" s="739" t="s">
        <v>212</v>
      </c>
      <c r="I75" s="739"/>
      <c r="J75" s="654" t="s">
        <v>481</v>
      </c>
      <c r="K75" s="622"/>
    </row>
    <row r="76" spans="1:13" ht="12" customHeight="1" thickBot="1" x14ac:dyDescent="0.3">
      <c r="A76" s="38" t="s">
        <v>59</v>
      </c>
      <c r="B76" s="712"/>
      <c r="C76" s="713"/>
      <c r="F76" s="760">
        <f>_xlfn.DAYS(J76,H76)</f>
        <v>183</v>
      </c>
      <c r="G76" s="761"/>
      <c r="H76" s="762">
        <v>45748</v>
      </c>
      <c r="I76" s="690"/>
      <c r="J76" s="653">
        <v>45931</v>
      </c>
      <c r="K76" s="629"/>
    </row>
    <row r="77" spans="1:13" ht="12" customHeight="1" x14ac:dyDescent="0.2">
      <c r="A77" s="38" t="s">
        <v>60</v>
      </c>
      <c r="B77" s="712"/>
      <c r="C77" s="713"/>
      <c r="D77" s="121"/>
      <c r="E77" s="114"/>
      <c r="F77" s="114"/>
      <c r="H77" s="114"/>
      <c r="I77" s="302"/>
      <c r="J77" s="303"/>
      <c r="K77" s="114"/>
      <c r="L77" s="746" t="s">
        <v>564</v>
      </c>
    </row>
    <row r="78" spans="1:13" ht="12" customHeight="1" x14ac:dyDescent="0.2">
      <c r="A78" s="38" t="s">
        <v>60</v>
      </c>
      <c r="B78" s="712"/>
      <c r="C78" s="713"/>
      <c r="D78" s="304"/>
      <c r="G78" s="655"/>
      <c r="H78" s="655" t="s">
        <v>482</v>
      </c>
      <c r="I78" s="655" t="s">
        <v>483</v>
      </c>
      <c r="J78" s="655" t="s">
        <v>484</v>
      </c>
      <c r="K78" s="655" t="s">
        <v>485</v>
      </c>
      <c r="L78" s="747"/>
    </row>
    <row r="79" spans="1:13" ht="12" customHeight="1" thickBot="1" x14ac:dyDescent="0.25">
      <c r="A79" s="38" t="s">
        <v>61</v>
      </c>
      <c r="B79" s="712"/>
      <c r="C79" s="713"/>
      <c r="D79" s="115" t="s">
        <v>253</v>
      </c>
      <c r="E79" s="728" t="s">
        <v>486</v>
      </c>
      <c r="F79" s="728"/>
      <c r="G79" s="656"/>
      <c r="H79" s="656"/>
      <c r="I79" s="656"/>
      <c r="J79" s="656"/>
      <c r="K79" s="656"/>
      <c r="L79" s="748"/>
    </row>
    <row r="80" spans="1:13" ht="12" customHeight="1" x14ac:dyDescent="0.25">
      <c r="A80" s="38" t="s">
        <v>62</v>
      </c>
      <c r="B80" s="712"/>
      <c r="C80" s="713"/>
      <c r="D80" s="563">
        <v>45397</v>
      </c>
      <c r="E80" s="625" t="s">
        <v>604</v>
      </c>
      <c r="F80" s="626"/>
      <c r="G80" s="622"/>
      <c r="H80" s="363"/>
      <c r="I80" s="364">
        <f>+H80/$H$86</f>
        <v>0</v>
      </c>
      <c r="J80" s="365">
        <f>+$L$59*I80</f>
        <v>0</v>
      </c>
      <c r="K80" s="366">
        <f>+H80+J80</f>
        <v>0</v>
      </c>
      <c r="L80" s="367">
        <f>IF(H80="",0,+J80/H80*365/_xlfn.DAYS($J$76,D80))</f>
        <v>0</v>
      </c>
    </row>
    <row r="81" spans="1:12" ht="12" customHeight="1" x14ac:dyDescent="0.25">
      <c r="A81" s="38" t="s">
        <v>63</v>
      </c>
      <c r="B81" s="712"/>
      <c r="C81" s="713"/>
      <c r="D81" s="563">
        <f>+D80+90</f>
        <v>45487</v>
      </c>
      <c r="E81" s="625" t="str">
        <f>+E80</f>
        <v>unknown</v>
      </c>
      <c r="F81" s="626"/>
      <c r="G81" s="622"/>
      <c r="H81" s="363"/>
      <c r="I81" s="364">
        <f>+H81/$H$86</f>
        <v>0</v>
      </c>
      <c r="J81" s="365">
        <f>+$L$59*I81</f>
        <v>0</v>
      </c>
      <c r="K81" s="366">
        <f>+H81+J81</f>
        <v>0</v>
      </c>
      <c r="L81" s="367">
        <f>IF(H81="",0,+J81/H81*365/_xlfn.DAYS($J$76,D81))</f>
        <v>0</v>
      </c>
    </row>
    <row r="82" spans="1:12" ht="12" customHeight="1" x14ac:dyDescent="0.25">
      <c r="A82" s="38" t="s">
        <v>64</v>
      </c>
      <c r="B82" s="712"/>
      <c r="C82" s="713"/>
      <c r="D82" s="563">
        <f>+D81+270</f>
        <v>45757</v>
      </c>
      <c r="E82" s="625" t="str">
        <f>+E81</f>
        <v>unknown</v>
      </c>
      <c r="F82" s="626"/>
      <c r="G82" s="622"/>
      <c r="H82" s="363"/>
      <c r="I82" s="364">
        <f>+H82/$H$86</f>
        <v>0</v>
      </c>
      <c r="J82" s="365">
        <f>+$L$59*I82</f>
        <v>0</v>
      </c>
      <c r="K82" s="366">
        <f>+H82+J82</f>
        <v>0</v>
      </c>
      <c r="L82" s="367">
        <f>IF(H82="",0,+J82/H82*365/_xlfn.DAYS($J$76,D82))</f>
        <v>0</v>
      </c>
    </row>
    <row r="83" spans="1:12" ht="12" customHeight="1" thickBot="1" x14ac:dyDescent="0.3">
      <c r="A83" s="38" t="s">
        <v>65</v>
      </c>
      <c r="B83" s="712"/>
      <c r="C83" s="713"/>
      <c r="D83" s="563">
        <f>+J76-120</f>
        <v>45811</v>
      </c>
      <c r="E83" s="625" t="str">
        <f>+E82</f>
        <v>unknown</v>
      </c>
      <c r="F83" s="626"/>
      <c r="G83" s="622"/>
      <c r="H83" s="363"/>
      <c r="I83" s="364">
        <f>+H83/$H$86</f>
        <v>0</v>
      </c>
      <c r="J83" s="365">
        <f>+$L$59*I83</f>
        <v>0</v>
      </c>
      <c r="K83" s="366">
        <f>+H83+J83</f>
        <v>0</v>
      </c>
      <c r="L83" s="367">
        <f>IF(H83="",0,+J83/H83*365/_xlfn.DAYS($J$76,D83))</f>
        <v>0</v>
      </c>
    </row>
    <row r="84" spans="1:12" ht="12" customHeight="1" thickBot="1" x14ac:dyDescent="0.3">
      <c r="A84" s="38" t="s">
        <v>66</v>
      </c>
      <c r="B84" s="712">
        <v>200</v>
      </c>
      <c r="C84" s="713"/>
      <c r="D84" s="564">
        <v>45422</v>
      </c>
      <c r="E84" s="631" t="str">
        <f>+F1</f>
        <v>Heritage Management</v>
      </c>
      <c r="F84" s="718"/>
      <c r="G84" s="622"/>
      <c r="H84" s="340">
        <f>-D54-SUM(H79:H82)</f>
        <v>167781.21491100002</v>
      </c>
      <c r="I84" s="339">
        <f>+H84/$H$86</f>
        <v>1</v>
      </c>
      <c r="J84" s="338">
        <f>+$L$59*I84</f>
        <v>0</v>
      </c>
      <c r="K84" s="340">
        <f>+H84+J84</f>
        <v>167781.21491100002</v>
      </c>
      <c r="L84" s="341" t="e">
        <f>IF(H84=0,0,+J84/H84*$F$76/_xlfn.DAYS(J75,H75))</f>
        <v>#VALUE!</v>
      </c>
    </row>
    <row r="85" spans="1:12" ht="12" customHeight="1" thickBot="1" x14ac:dyDescent="0.3">
      <c r="A85" s="38" t="s">
        <v>67</v>
      </c>
      <c r="B85" s="712"/>
      <c r="C85" s="713"/>
      <c r="D85" s="342" t="str">
        <f>+J75</f>
        <v>End Date</v>
      </c>
      <c r="E85" s="625" t="s">
        <v>602</v>
      </c>
      <c r="F85" s="626"/>
      <c r="G85" s="622"/>
      <c r="H85" s="343">
        <f>+SUM(H79:H82)</f>
        <v>0</v>
      </c>
      <c r="I85" s="344">
        <f>+SUM(I79:I82)</f>
        <v>0</v>
      </c>
      <c r="J85" s="343">
        <f>+SUM(J79:J82)</f>
        <v>0</v>
      </c>
      <c r="K85" s="343">
        <f>+SUM(K79:K82)</f>
        <v>0</v>
      </c>
      <c r="L85" s="345">
        <f>AVERAGE(L79:L82)</f>
        <v>0</v>
      </c>
    </row>
    <row r="86" spans="1:12" ht="12" customHeight="1" thickBot="1" x14ac:dyDescent="0.3">
      <c r="A86" s="38" t="s">
        <v>68</v>
      </c>
      <c r="B86" s="712"/>
      <c r="C86" s="713"/>
      <c r="D86" s="346"/>
      <c r="E86" s="347" t="s">
        <v>603</v>
      </c>
      <c r="F86" s="348"/>
      <c r="G86" s="349"/>
      <c r="H86" s="349">
        <f>SUM(H79:H82)+H84</f>
        <v>167781.21491100002</v>
      </c>
      <c r="I86" s="350">
        <f>SUM(I79:I82)+I84</f>
        <v>1</v>
      </c>
      <c r="J86" s="349">
        <f>SUM(J82:J85)</f>
        <v>0</v>
      </c>
      <c r="K86" s="351">
        <f>SUM(K79:K82)</f>
        <v>0</v>
      </c>
      <c r="L86" s="352" t="e">
        <f>AVERAGE(L79:L85)</f>
        <v>#VALUE!</v>
      </c>
    </row>
    <row r="87" spans="1:12" ht="12" customHeight="1" x14ac:dyDescent="0.2">
      <c r="A87" s="38" t="s">
        <v>69</v>
      </c>
      <c r="B87" s="712">
        <v>90</v>
      </c>
      <c r="C87" s="713"/>
      <c r="D87" s="716"/>
      <c r="E87" s="716"/>
    </row>
    <row r="88" spans="1:12" ht="12" customHeight="1" x14ac:dyDescent="0.2">
      <c r="A88" s="38" t="s">
        <v>565</v>
      </c>
      <c r="B88" s="712">
        <v>20</v>
      </c>
      <c r="C88" s="713"/>
      <c r="D88" s="716"/>
      <c r="E88" s="716"/>
    </row>
    <row r="89" spans="1:12" ht="12" customHeight="1" x14ac:dyDescent="0.2">
      <c r="A89" s="38" t="s">
        <v>70</v>
      </c>
      <c r="B89" s="712">
        <v>30</v>
      </c>
      <c r="C89" s="713"/>
      <c r="D89" s="716"/>
      <c r="E89" s="716"/>
    </row>
    <row r="90" spans="1:12" ht="12" customHeight="1" thickBot="1" x14ac:dyDescent="0.25">
      <c r="A90" s="38" t="s">
        <v>71</v>
      </c>
      <c r="B90" s="742"/>
      <c r="C90" s="743"/>
      <c r="D90" s="721"/>
      <c r="E90" s="722"/>
    </row>
    <row r="91" spans="1:12" ht="12" customHeight="1" thickBot="1" x14ac:dyDescent="0.25">
      <c r="D91" s="714">
        <f>+SUM(B73:C90)</f>
        <v>940</v>
      </c>
      <c r="E91" s="715"/>
      <c r="G91" s="723" t="s">
        <v>72</v>
      </c>
      <c r="H91" s="749"/>
      <c r="I91" s="749"/>
      <c r="J91" s="750"/>
      <c r="K91" s="750"/>
      <c r="L91" s="751"/>
    </row>
    <row r="92" spans="1:12" ht="12" customHeight="1" thickBot="1" x14ac:dyDescent="0.25">
      <c r="G92" s="752"/>
      <c r="H92" s="753"/>
      <c r="I92" s="753"/>
      <c r="J92" s="753"/>
      <c r="K92" s="753"/>
      <c r="L92" s="754"/>
    </row>
    <row r="93" spans="1:12" ht="12" customHeight="1" thickTop="1" thickBot="1" x14ac:dyDescent="0.25">
      <c r="A93" s="127" t="s">
        <v>73</v>
      </c>
      <c r="B93" s="125"/>
      <c r="C93" s="125"/>
      <c r="D93" s="125"/>
      <c r="E93" s="125"/>
    </row>
    <row r="94" spans="1:12" ht="12" customHeight="1" x14ac:dyDescent="0.2">
      <c r="A94" s="38" t="s">
        <v>57</v>
      </c>
      <c r="B94" s="740"/>
      <c r="C94" s="741"/>
      <c r="D94" s="716"/>
      <c r="E94" s="716"/>
    </row>
    <row r="95" spans="1:12" ht="12" customHeight="1" x14ac:dyDescent="0.2">
      <c r="A95" s="38" t="s">
        <v>59</v>
      </c>
      <c r="B95" s="712">
        <v>250</v>
      </c>
      <c r="C95" s="713"/>
      <c r="D95" s="716"/>
      <c r="E95" s="716"/>
    </row>
    <row r="96" spans="1:12" ht="12" customHeight="1" x14ac:dyDescent="0.2">
      <c r="A96" s="38" t="s">
        <v>74</v>
      </c>
      <c r="B96" s="712">
        <v>0</v>
      </c>
      <c r="C96" s="713"/>
      <c r="D96" s="716"/>
      <c r="E96" s="716"/>
    </row>
    <row r="97" spans="1:12" ht="12" customHeight="1" x14ac:dyDescent="0.2">
      <c r="A97" s="38" t="s">
        <v>75</v>
      </c>
      <c r="B97" s="712"/>
      <c r="C97" s="713"/>
      <c r="D97" s="716"/>
      <c r="E97" s="716"/>
    </row>
    <row r="98" spans="1:12" ht="12" customHeight="1" x14ac:dyDescent="0.2">
      <c r="A98" s="38" t="s">
        <v>69</v>
      </c>
      <c r="B98" s="712"/>
      <c r="C98" s="713"/>
      <c r="D98" s="716"/>
      <c r="E98" s="716"/>
    </row>
    <row r="99" spans="1:12" ht="12" customHeight="1" x14ac:dyDescent="0.2">
      <c r="A99" s="38" t="s">
        <v>76</v>
      </c>
      <c r="B99" s="712">
        <v>40</v>
      </c>
      <c r="C99" s="713"/>
      <c r="D99" s="716"/>
      <c r="E99" s="716"/>
    </row>
    <row r="100" spans="1:12" ht="12" customHeight="1" x14ac:dyDescent="0.2">
      <c r="A100" s="38" t="s">
        <v>77</v>
      </c>
      <c r="B100" s="712"/>
      <c r="C100" s="713"/>
      <c r="D100" s="716"/>
      <c r="E100" s="716"/>
    </row>
    <row r="101" spans="1:12" ht="12" customHeight="1" thickBot="1" x14ac:dyDescent="0.25">
      <c r="A101" s="38" t="s">
        <v>71</v>
      </c>
      <c r="B101" s="719"/>
      <c r="C101" s="720"/>
      <c r="D101" s="721"/>
      <c r="E101" s="722"/>
    </row>
    <row r="102" spans="1:12" ht="12" customHeight="1" thickTop="1" thickBot="1" x14ac:dyDescent="0.25">
      <c r="D102" s="714">
        <f>+SUM(B94:C101)</f>
        <v>290</v>
      </c>
      <c r="E102" s="715"/>
      <c r="G102" s="723" t="s">
        <v>78</v>
      </c>
      <c r="H102" s="749"/>
      <c r="I102" s="749"/>
      <c r="J102" s="750"/>
      <c r="K102" s="750"/>
      <c r="L102" s="751"/>
    </row>
    <row r="103" spans="1:12" ht="12" customHeight="1" thickBot="1" x14ac:dyDescent="0.25">
      <c r="G103" s="752"/>
      <c r="H103" s="753"/>
      <c r="I103" s="753"/>
      <c r="J103" s="753"/>
      <c r="K103" s="753"/>
      <c r="L103" s="754"/>
    </row>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sheetData>
  <mergeCells count="141">
    <mergeCell ref="D102:E102"/>
    <mergeCell ref="D87:E87"/>
    <mergeCell ref="D96:E96"/>
    <mergeCell ref="H75:I75"/>
    <mergeCell ref="F76:G76"/>
    <mergeCell ref="H76:I76"/>
    <mergeCell ref="F60:K60"/>
    <mergeCell ref="F61:K61"/>
    <mergeCell ref="F62:K62"/>
    <mergeCell ref="F63:K63"/>
    <mergeCell ref="G102:L103"/>
    <mergeCell ref="G71:L72"/>
    <mergeCell ref="L77:L79"/>
    <mergeCell ref="H78:H79"/>
    <mergeCell ref="I78:I79"/>
    <mergeCell ref="J78:J79"/>
    <mergeCell ref="K78:K79"/>
    <mergeCell ref="G91:L92"/>
    <mergeCell ref="G69:L70"/>
    <mergeCell ref="D97:E97"/>
    <mergeCell ref="D90:E90"/>
    <mergeCell ref="B96:C96"/>
    <mergeCell ref="B77:C77"/>
    <mergeCell ref="F75:G75"/>
    <mergeCell ref="B73:C73"/>
    <mergeCell ref="D69:E69"/>
    <mergeCell ref="D68:E68"/>
    <mergeCell ref="B68:C68"/>
    <mergeCell ref="B70:C70"/>
    <mergeCell ref="B85:C85"/>
    <mergeCell ref="B94:C94"/>
    <mergeCell ref="D94:E94"/>
    <mergeCell ref="B95:C95"/>
    <mergeCell ref="D95:E95"/>
    <mergeCell ref="B90:C90"/>
    <mergeCell ref="B101:C101"/>
    <mergeCell ref="D101:E101"/>
    <mergeCell ref="L51:M52"/>
    <mergeCell ref="L49:L50"/>
    <mergeCell ref="B74:C74"/>
    <mergeCell ref="D73:E73"/>
    <mergeCell ref="D71:E71"/>
    <mergeCell ref="D70:E70"/>
    <mergeCell ref="B84:C84"/>
    <mergeCell ref="B76:C76"/>
    <mergeCell ref="E79:F79"/>
    <mergeCell ref="D74:E74"/>
    <mergeCell ref="B80:C80"/>
    <mergeCell ref="B81:C81"/>
    <mergeCell ref="B82:C82"/>
    <mergeCell ref="B83:C83"/>
    <mergeCell ref="B78:C78"/>
    <mergeCell ref="B100:C100"/>
    <mergeCell ref="D100:E100"/>
    <mergeCell ref="B98:C98"/>
    <mergeCell ref="D98:E98"/>
    <mergeCell ref="B99:C99"/>
    <mergeCell ref="D99:E99"/>
    <mergeCell ref="B97:C97"/>
    <mergeCell ref="B86:C86"/>
    <mergeCell ref="B87:C87"/>
    <mergeCell ref="B89:C89"/>
    <mergeCell ref="D91:E91"/>
    <mergeCell ref="D89:E89"/>
    <mergeCell ref="B88:C88"/>
    <mergeCell ref="D88:E88"/>
    <mergeCell ref="B75:C75"/>
    <mergeCell ref="B54:C54"/>
    <mergeCell ref="E82:G82"/>
    <mergeCell ref="E83:G83"/>
    <mergeCell ref="E84:G84"/>
    <mergeCell ref="E85:G85"/>
    <mergeCell ref="F55:G55"/>
    <mergeCell ref="B79:C79"/>
    <mergeCell ref="E56:F56"/>
    <mergeCell ref="E58:G58"/>
    <mergeCell ref="F59:G59"/>
    <mergeCell ref="F65:K65"/>
    <mergeCell ref="B53:C53"/>
    <mergeCell ref="B52:C52"/>
    <mergeCell ref="B51:C51"/>
    <mergeCell ref="L23:M23"/>
    <mergeCell ref="B61:C61"/>
    <mergeCell ref="D61:E61"/>
    <mergeCell ref="B60:C60"/>
    <mergeCell ref="B55:D55"/>
    <mergeCell ref="M49:M50"/>
    <mergeCell ref="B42:C42"/>
    <mergeCell ref="L41:L42"/>
    <mergeCell ref="M41:M42"/>
    <mergeCell ref="L44:L45"/>
    <mergeCell ref="M44:M45"/>
    <mergeCell ref="H55:I55"/>
    <mergeCell ref="B9:C9"/>
    <mergeCell ref="B27:C27"/>
    <mergeCell ref="L2:L3"/>
    <mergeCell ref="D3:E3"/>
    <mergeCell ref="F3:G3"/>
    <mergeCell ref="B4:C4"/>
    <mergeCell ref="B6:C6"/>
    <mergeCell ref="D11:K11"/>
    <mergeCell ref="C10:D10"/>
    <mergeCell ref="J3:K3"/>
    <mergeCell ref="H3:I3"/>
    <mergeCell ref="H14:K14"/>
    <mergeCell ref="L14:M17"/>
    <mergeCell ref="L7:L8"/>
    <mergeCell ref="L9:L10"/>
    <mergeCell ref="J10:K10"/>
    <mergeCell ref="B24:C24"/>
    <mergeCell ref="B21:C21"/>
    <mergeCell ref="M2:M3"/>
    <mergeCell ref="F10:G10"/>
    <mergeCell ref="M9:M10"/>
    <mergeCell ref="L22:M22"/>
    <mergeCell ref="E2:F2"/>
    <mergeCell ref="B2:D2"/>
    <mergeCell ref="Q1:T1"/>
    <mergeCell ref="Q2:T2"/>
    <mergeCell ref="Q3:T3"/>
    <mergeCell ref="Q4:T4"/>
    <mergeCell ref="Q5:T5"/>
    <mergeCell ref="Q6:T6"/>
    <mergeCell ref="H57:I57"/>
    <mergeCell ref="E80:G80"/>
    <mergeCell ref="E81:G81"/>
    <mergeCell ref="F64:K64"/>
    <mergeCell ref="F66:K66"/>
    <mergeCell ref="E57:F57"/>
    <mergeCell ref="H56:I56"/>
    <mergeCell ref="F1:M1"/>
    <mergeCell ref="M7:M8"/>
    <mergeCell ref="L29:M30"/>
    <mergeCell ref="M47:M48"/>
    <mergeCell ref="L47:L48"/>
    <mergeCell ref="L31:M34"/>
    <mergeCell ref="J76:K76"/>
    <mergeCell ref="J75:K75"/>
    <mergeCell ref="G78:G79"/>
    <mergeCell ref="L55:L58"/>
    <mergeCell ref="M55:M58"/>
  </mergeCells>
  <conditionalFormatting sqref="F19">
    <cfRule type="expression" dxfId="127" priority="33">
      <formula>IF(B1="flip",-C19,0)</formula>
    </cfRule>
  </conditionalFormatting>
  <conditionalFormatting sqref="K9">
    <cfRule type="expression" dxfId="126" priority="31">
      <formula>IF(OR(C1="Hold",D1="Slow Flip"),+B9,"")</formula>
    </cfRule>
  </conditionalFormatting>
  <conditionalFormatting sqref="B60">
    <cfRule type="expression" dxfId="125" priority="28">
      <formula>IF(OR(C1="Hold",D1="slow flip"),0.15,0)</formula>
    </cfRule>
  </conditionalFormatting>
  <conditionalFormatting sqref="C22">
    <cfRule type="expression" dxfId="124" priority="100">
      <formula>IF(C1="Hold",+B4*B22,0)</formula>
    </cfRule>
  </conditionalFormatting>
  <conditionalFormatting sqref="F22">
    <cfRule type="expression" dxfId="123" priority="101">
      <formula>IF(OR(C1="hold",D1="slow flip"),-C22,"")</formula>
    </cfRule>
  </conditionalFormatting>
  <conditionalFormatting sqref="J22">
    <cfRule type="expression" dxfId="122" priority="102">
      <formula>IF(OR(C1="hold",C4="slow flip"),IPMT(B23/12,1,C23*12,C22),PMT(B23/12,12*C23,C22))</formula>
    </cfRule>
  </conditionalFormatting>
  <conditionalFormatting sqref="E22">
    <cfRule type="expression" dxfId="121" priority="104">
      <formula>IF(C1="hold",C22-C15-C19-C28-B45,0)</formula>
    </cfRule>
  </conditionalFormatting>
  <conditionalFormatting sqref="J58">
    <cfRule type="expression" dxfId="120" priority="105">
      <formula>IF(OR(C1="Hold",D1="slow Flip"),C50,0)</formula>
    </cfRule>
  </conditionalFormatting>
  <conditionalFormatting sqref="M61">
    <cfRule type="expression" dxfId="119" priority="106">
      <formula>IF(C1="Hold",-$B$60*M59,0)</formula>
    </cfRule>
  </conditionalFormatting>
  <conditionalFormatting sqref="A9">
    <cfRule type="expression" dxfId="118" priority="10">
      <formula>"(R3=3)"</formula>
    </cfRule>
  </conditionalFormatting>
  <conditionalFormatting sqref="C7">
    <cfRule type="expression" dxfId="117" priority="135">
      <formula>IF(C1048571="Hold",+B1048574*B7,0)</formula>
    </cfRule>
  </conditionalFormatting>
  <conditionalFormatting sqref="D45:D47">
    <cfRule type="expression" dxfId="116" priority="139">
      <formula>IF(OR(T7=1,T7=2),-B45,0)</formula>
    </cfRule>
  </conditionalFormatting>
  <conditionalFormatting sqref="D40:D42">
    <cfRule type="expression" dxfId="115" priority="5">
      <formula>IF(OR(T7=1,T7=2),-B40,0)</formula>
    </cfRule>
  </conditionalFormatting>
  <conditionalFormatting sqref="I15:I52">
    <cfRule type="expression" dxfId="114" priority="1">
      <formula>IF(OR(U12=1,U12=2),$B$6,0)</formula>
    </cfRule>
  </conditionalFormatting>
  <conditionalFormatting sqref="I6:I7">
    <cfRule type="expression" dxfId="113" priority="156">
      <formula>IF(OR(Y3=1,Y3=2),$B$6,0)</formula>
    </cfRule>
  </conditionalFormatting>
  <conditionalFormatting sqref="I8">
    <cfRule type="expression" dxfId="112" priority="157">
      <formula>Y3=2</formula>
    </cfRule>
  </conditionalFormatting>
  <conditionalFormatting sqref="H6:H7">
    <cfRule type="expression" dxfId="111" priority="158">
      <formula>IF(OR(Y3=1,Y3=2),$B$6,0)</formula>
    </cfRule>
  </conditionalFormatting>
  <conditionalFormatting sqref="H8">
    <cfRule type="expression" dxfId="110" priority="159">
      <formula>Y3=2</formula>
    </cfRule>
  </conditionalFormatting>
  <conditionalFormatting sqref="H12:H13">
    <cfRule type="expression" dxfId="109" priority="161">
      <formula>IF(Y2=3,+#REF!,0)</formula>
    </cfRule>
  </conditionalFormatting>
  <conditionalFormatting sqref="F17">
    <cfRule type="expression" dxfId="108" priority="171">
      <formula>IF(V5=3,-C17,0)</formula>
    </cfRule>
  </conditionalFormatting>
  <conditionalFormatting sqref="D43:D44">
    <cfRule type="expression" dxfId="107" priority="175">
      <formula>IF(OR(V5=1,V5=2),-B43,0)</formula>
    </cfRule>
  </conditionalFormatting>
  <conditionalFormatting sqref="D38:D39">
    <cfRule type="expression" dxfId="106" priority="177">
      <formula>IF(OR(V5=1,V5=2),-B38,0)</formula>
    </cfRule>
  </conditionalFormatting>
  <conditionalFormatting sqref="F49">
    <cfRule type="expression" dxfId="105" priority="180">
      <formula>OR(E1=1,E1=2)</formula>
    </cfRule>
  </conditionalFormatting>
  <conditionalFormatting sqref="F48">
    <cfRule type="expression" dxfId="104" priority="181">
      <formula>OR(E1=1,E1=2)</formula>
    </cfRule>
  </conditionalFormatting>
  <conditionalFormatting sqref="G7">
    <cfRule type="expression" dxfId="103" priority="182">
      <formula>$E$1=3</formula>
    </cfRule>
  </conditionalFormatting>
  <conditionalFormatting sqref="D37">
    <cfRule type="expression" dxfId="102" priority="183">
      <formula>IF(OR(E1=1,E1=2),-B37,0)</formula>
    </cfRule>
  </conditionalFormatting>
  <conditionalFormatting sqref="D11">
    <cfRule type="expression" dxfId="101" priority="184">
      <formula>IF(E1=3,+#REF!,0)</formula>
    </cfRule>
  </conditionalFormatting>
  <pageMargins left="0.25" right="0.25" top="0.75" bottom="0.75" header="0.3" footer="0.3"/>
  <pageSetup orientation="portrait" r:id="rId1"/>
  <rowBreaks count="1" manualBreakCount="1">
    <brk id="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123825</xdr:rowOff>
                  </from>
                  <to>
                    <xdr:col>12</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114300</xdr:rowOff>
                  </from>
                  <to>
                    <xdr:col>12</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15</xdr:col>
                    <xdr:colOff>142875</xdr:colOff>
                    <xdr:row>0</xdr:row>
                    <xdr:rowOff>304800</xdr:rowOff>
                  </from>
                  <to>
                    <xdr:col>15</xdr:col>
                    <xdr:colOff>428625</xdr:colOff>
                    <xdr:row>1</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R833"/>
  <sheetViews>
    <sheetView tabSelected="1" workbookViewId="0">
      <pane ySplit="19" topLeftCell="A20" activePane="bottomLeft" state="frozen"/>
      <selection pane="bottomLeft" activeCell="AB31" sqref="AB31"/>
    </sheetView>
  </sheetViews>
  <sheetFormatPr defaultRowHeight="15" x14ac:dyDescent="0.25"/>
  <cols>
    <col min="1" max="1" width="8.7109375" style="449" bestFit="1" customWidth="1"/>
    <col min="2" max="2" width="10.28515625" style="275" customWidth="1"/>
    <col min="3" max="3" width="11" style="14" customWidth="1"/>
    <col min="4" max="4" width="8.7109375" style="14" bestFit="1" customWidth="1"/>
    <col min="5" max="6" width="6.5703125" style="14" bestFit="1" customWidth="1"/>
    <col min="7" max="7" width="8.140625" style="14" customWidth="1"/>
    <col min="8" max="8" width="8.140625" style="14" bestFit="1" customWidth="1"/>
    <col min="9" max="10" width="11.140625" style="275" customWidth="1"/>
    <col min="11" max="11" width="7.85546875" style="275" bestFit="1" customWidth="1"/>
    <col min="12" max="12" width="7.140625" style="22" customWidth="1"/>
    <col min="13" max="13" width="9" style="22" customWidth="1"/>
    <col min="14" max="14" width="10.28515625" style="275"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75" customWidth="1"/>
    <col min="22" max="22" width="7.5703125" style="275" customWidth="1"/>
    <col min="23" max="23" width="10.85546875" style="275" customWidth="1"/>
    <col min="24" max="25" width="9.5703125" style="449" customWidth="1"/>
    <col min="26" max="26" width="11.42578125" style="275" customWidth="1"/>
    <col min="27" max="27" width="9.85546875" style="14" bestFit="1" customWidth="1"/>
    <col min="28" max="28" width="8.42578125" style="275" customWidth="1"/>
    <col min="29" max="29" width="12" style="275" customWidth="1"/>
    <col min="30" max="30" width="11" style="275" customWidth="1"/>
    <col min="31" max="31" width="8.5703125" style="275" customWidth="1"/>
    <col min="32" max="32" width="9.140625" style="275" customWidth="1"/>
    <col min="33" max="33" width="5" style="22" bestFit="1" customWidth="1"/>
    <col min="34" max="35" width="10.5703125" style="14" customWidth="1"/>
    <col min="36" max="37" width="22.7109375" style="14" customWidth="1"/>
    <col min="38" max="38" width="16.7109375" style="14" customWidth="1"/>
    <col min="39" max="39" width="9" bestFit="1" customWidth="1"/>
    <col min="40" max="40" width="10.140625" style="14" bestFit="1" customWidth="1"/>
    <col min="41" max="41" width="11.42578125" style="14" customWidth="1"/>
    <col min="42" max="42" width="11.7109375" style="275" bestFit="1" customWidth="1"/>
    <col min="43" max="43" width="8.28515625" style="275" bestFit="1" customWidth="1"/>
    <col min="44" max="44" width="11.85546875" style="14" bestFit="1" customWidth="1"/>
    <col min="45" max="45" width="12.42578125" customWidth="1"/>
    <col min="47" max="47" width="12.7109375" customWidth="1"/>
  </cols>
  <sheetData>
    <row r="1" spans="2:42" ht="15.75" thickBot="1" x14ac:dyDescent="0.3">
      <c r="N1" s="325"/>
      <c r="O1" s="604"/>
      <c r="P1" s="604"/>
      <c r="Q1" s="604"/>
      <c r="R1" s="604"/>
      <c r="S1" s="594">
        <v>1</v>
      </c>
      <c r="T1" s="13"/>
      <c r="Z1" s="325"/>
      <c r="AA1" s="446"/>
      <c r="AD1" s="14"/>
      <c r="AE1" s="13"/>
      <c r="AJ1" s="275"/>
      <c r="AK1" s="275"/>
      <c r="AL1" s="275"/>
      <c r="AM1" s="275"/>
      <c r="AP1"/>
    </row>
    <row r="2" spans="2:42" ht="15.75" thickBot="1" x14ac:dyDescent="0.3">
      <c r="B2" s="788" t="s">
        <v>594</v>
      </c>
      <c r="C2" s="673"/>
      <c r="D2" s="673"/>
      <c r="E2" s="789"/>
      <c r="J2" s="2" t="s">
        <v>1135</v>
      </c>
      <c r="K2" s="791">
        <v>0</v>
      </c>
      <c r="L2" s="792"/>
      <c r="N2" s="30" t="s">
        <v>1136</v>
      </c>
      <c r="O2" s="555">
        <f>IF($S$1=1,P2,IF($S$1=2,Q2,IF($S$1=3,R2)))</f>
        <v>0.05</v>
      </c>
      <c r="P2" s="556">
        <v>0.05</v>
      </c>
      <c r="Q2" s="556">
        <v>0.05</v>
      </c>
      <c r="R2" s="556">
        <v>0.05</v>
      </c>
      <c r="U2" s="14"/>
      <c r="V2" s="446" t="s">
        <v>1145</v>
      </c>
      <c r="W2" s="448">
        <v>134.16999999999999</v>
      </c>
      <c r="Z2" s="788" t="s">
        <v>1168</v>
      </c>
      <c r="AA2" s="797"/>
      <c r="AB2" s="798"/>
      <c r="AC2" s="799"/>
      <c r="AJ2" s="275"/>
      <c r="AK2" s="275"/>
      <c r="AL2" s="275"/>
      <c r="AM2" s="275"/>
      <c r="AP2"/>
    </row>
    <row r="3" spans="2:42" ht="15.75" thickBot="1" x14ac:dyDescent="0.3">
      <c r="B3" s="770" t="s">
        <v>1187</v>
      </c>
      <c r="C3" s="648"/>
      <c r="D3" s="452">
        <f>+Profit!C15</f>
        <v>97228</v>
      </c>
      <c r="E3" s="608"/>
      <c r="J3" s="30" t="s">
        <v>1137</v>
      </c>
      <c r="K3" s="793">
        <v>0.1</v>
      </c>
      <c r="L3" s="794"/>
      <c r="N3" s="30" t="s">
        <v>1138</v>
      </c>
      <c r="O3" s="378">
        <f>IF($S$1=1,P3,IF($S$1=2,Q3,IF($S$1=3,R3)))</f>
        <v>346500</v>
      </c>
      <c r="P3" s="557">
        <f>+Profit!$B$4*(1++P2)</f>
        <v>346500</v>
      </c>
      <c r="Q3" s="379">
        <f>+Profit!$B$4*(1++Q2)</f>
        <v>346500</v>
      </c>
      <c r="R3" s="380">
        <f>+Profit!$B$4*(1++R2)</f>
        <v>346500</v>
      </c>
      <c r="U3" s="14"/>
      <c r="V3" s="446" t="s">
        <v>1146</v>
      </c>
      <c r="W3" s="448">
        <v>188.55</v>
      </c>
      <c r="Z3" s="785" t="s">
        <v>1169</v>
      </c>
      <c r="AA3" s="786"/>
      <c r="AB3" s="787"/>
      <c r="AC3" s="605">
        <f>cfdRate1Payment</f>
        <v>645.28</v>
      </c>
      <c r="AJ3" s="275"/>
      <c r="AK3" s="275"/>
      <c r="AL3" s="275"/>
      <c r="AM3" s="275"/>
      <c r="AP3"/>
    </row>
    <row r="4" spans="2:42" ht="15.75" thickBot="1" x14ac:dyDescent="0.3">
      <c r="B4" s="770" t="s">
        <v>591</v>
      </c>
      <c r="C4" s="648"/>
      <c r="D4" s="433">
        <f>+Profit!B15</f>
        <v>3.7499999999999999E-2</v>
      </c>
      <c r="E4" s="313"/>
      <c r="J4" s="30" t="s">
        <v>1139</v>
      </c>
      <c r="K4" s="795">
        <f>+Profit!M63</f>
        <v>-124327.09867434995</v>
      </c>
      <c r="L4" s="796"/>
      <c r="N4" s="30" t="s">
        <v>1140</v>
      </c>
      <c r="O4" s="378">
        <f>IF($S$1=1,P4,IF($S$1=2,Q4,IF($S$1=3,R4)))</f>
        <v>34650</v>
      </c>
      <c r="P4" s="557">
        <f>+$O$3*$K$3</f>
        <v>34650</v>
      </c>
      <c r="Q4" s="379">
        <f>+$O$3*$K$3</f>
        <v>34650</v>
      </c>
      <c r="R4" s="380">
        <f>+$O$3*$K$3</f>
        <v>34650</v>
      </c>
      <c r="U4" s="14"/>
      <c r="V4" s="446" t="s">
        <v>1149</v>
      </c>
      <c r="W4" s="447">
        <f>+O9+W2+W3</f>
        <v>968</v>
      </c>
      <c r="Z4" s="785" t="s">
        <v>1170</v>
      </c>
      <c r="AA4" s="786"/>
      <c r="AB4" s="787"/>
      <c r="AC4" s="606">
        <f>cfdRate2Payment</f>
        <v>659.9</v>
      </c>
      <c r="AJ4" s="275"/>
      <c r="AK4" s="275"/>
      <c r="AL4" s="275"/>
      <c r="AM4" s="275"/>
      <c r="AO4" s="449"/>
      <c r="AP4" s="14"/>
    </row>
    <row r="5" spans="2:42" ht="15.75" thickBot="1" x14ac:dyDescent="0.3">
      <c r="B5" s="770" t="s">
        <v>1188</v>
      </c>
      <c r="C5" s="648"/>
      <c r="D5" s="452">
        <f>subjectRemainingMonths/12</f>
        <v>17.75</v>
      </c>
      <c r="E5" s="452">
        <f>DATEDIF(subjectKnownBalanceDate,subjectMortgageEndDate,"m")+1</f>
        <v>213</v>
      </c>
      <c r="J5" s="30"/>
      <c r="K5" s="30"/>
      <c r="L5" s="30"/>
      <c r="N5" s="30" t="s">
        <v>1154</v>
      </c>
      <c r="O5" s="378">
        <f>+tradeNetCreditIncluded</f>
        <v>236592</v>
      </c>
      <c r="P5" s="557">
        <f>+O5</f>
        <v>236592</v>
      </c>
      <c r="Q5" s="379">
        <f>+O5</f>
        <v>236592</v>
      </c>
      <c r="R5" s="380">
        <f>+O5</f>
        <v>236592</v>
      </c>
      <c r="U5" s="449"/>
      <c r="V5" s="449"/>
      <c r="W5" s="449"/>
      <c r="Z5" s="785" t="s">
        <v>1171</v>
      </c>
      <c r="AA5" s="786"/>
      <c r="AB5" s="787"/>
      <c r="AC5" s="606">
        <f>IFERROR(_xlfn.XLOOKUP(cfdFirstRateMonths-1,tblContractForDeed[Period],tblContractForDeed[End Bal]),"")</f>
        <v>57470.46</v>
      </c>
      <c r="AH5" s="22"/>
      <c r="AI5" s="22"/>
      <c r="AJ5" s="22"/>
      <c r="AK5"/>
    </row>
    <row r="6" spans="2:42" ht="15.75" thickBot="1" x14ac:dyDescent="0.3">
      <c r="B6" s="770" t="s">
        <v>590</v>
      </c>
      <c r="C6" s="648"/>
      <c r="D6" s="447">
        <f>ROUND(PMT(subjectInterestRate/12,subjectRemainingMonths,-subjectKnownBalance,0),2)</f>
        <v>625.80999999999995</v>
      </c>
      <c r="E6" s="313"/>
      <c r="N6" s="30" t="s">
        <v>1141</v>
      </c>
      <c r="O6" s="378">
        <f>IF($S$1=1,P6,IF($S$1=2,Q6,IF($S$1=3,R6)))</f>
        <v>75258</v>
      </c>
      <c r="P6" s="557">
        <f>+P3-P4-$O$5</f>
        <v>75258</v>
      </c>
      <c r="Q6" s="379">
        <f t="shared" ref="Q6:R6" si="0">+Q3-Q4-$O$5</f>
        <v>75258</v>
      </c>
      <c r="R6" s="380">
        <f t="shared" si="0"/>
        <v>75258</v>
      </c>
      <c r="U6" s="449"/>
      <c r="V6" s="449"/>
      <c r="W6" s="449"/>
      <c r="Z6" s="785" t="s">
        <v>1172</v>
      </c>
      <c r="AA6" s="786"/>
      <c r="AB6" s="787"/>
      <c r="AC6" s="606">
        <f>IFERROR(_xlfn.XLOOKUP(12,tblScheduleIndex[Period],tblBuyerOutputs[Monthly Cash Flow]),"")</f>
        <v>19.470000000000027</v>
      </c>
      <c r="AH6" s="22"/>
      <c r="AI6" s="22"/>
      <c r="AJ6" s="22"/>
      <c r="AK6"/>
    </row>
    <row r="7" spans="2:42" ht="15.75" thickBot="1" x14ac:dyDescent="0.3">
      <c r="B7" s="770" t="s">
        <v>1189</v>
      </c>
      <c r="C7" s="648"/>
      <c r="D7" s="559">
        <v>45870</v>
      </c>
      <c r="E7" s="313"/>
      <c r="N7" s="30" t="s">
        <v>1142</v>
      </c>
      <c r="P7" s="558">
        <v>2.5000000000000001E-2</v>
      </c>
      <c r="Q7" s="558">
        <v>3.5000000000000003E-2</v>
      </c>
      <c r="R7" s="558">
        <v>3.2500000000000001E-2</v>
      </c>
      <c r="U7" s="449"/>
      <c r="V7" s="449"/>
      <c r="W7" s="449"/>
      <c r="Z7" s="785" t="s">
        <v>1173</v>
      </c>
      <c r="AA7" s="786"/>
      <c r="AB7" s="787"/>
      <c r="AC7" s="606">
        <f>IFERROR(_xlfn.XLOOKUP(cfdFirstRateMonths-1,tblContractForDeed[Period],tblBuyerOutputs[Cumul Cash Flow]),"")</f>
        <v>687.64000000000169</v>
      </c>
      <c r="AH7" s="22"/>
      <c r="AI7" s="22"/>
      <c r="AJ7" s="22"/>
      <c r="AK7"/>
    </row>
    <row r="8" spans="2:42" ht="15.75" thickBot="1" x14ac:dyDescent="0.3">
      <c r="B8" s="771" t="s">
        <v>1143</v>
      </c>
      <c r="C8" s="680"/>
      <c r="D8" s="559">
        <v>52322</v>
      </c>
      <c r="E8" s="495"/>
      <c r="N8" s="30" t="s">
        <v>1164</v>
      </c>
      <c r="O8" s="433">
        <f>IF($S$1=1,P8,IF($S$1=2,Q8,IF($S$1=3,R8)))</f>
        <v>6.25E-2</v>
      </c>
      <c r="P8" s="560">
        <f>+$D$4+P7</f>
        <v>6.25E-2</v>
      </c>
      <c r="Q8" s="561">
        <f>+$D$4+Q7</f>
        <v>7.2500000000000009E-2</v>
      </c>
      <c r="R8" s="562">
        <f>+$D$4+R7</f>
        <v>7.0000000000000007E-2</v>
      </c>
      <c r="U8" s="436" t="str">
        <f>"Rate 1 Payment at "&amp;TEXT($O$8,"0.00%")</f>
        <v>Rate 1 Payment at 6.25%</v>
      </c>
      <c r="V8" s="378">
        <f>IF(cfdContractMonths&lt;=0,0,ROUND(PMT(cfdRate1/12,cfdContractMonths,-$O$6,0),2))</f>
        <v>645.28</v>
      </c>
      <c r="Z8" s="785" t="s">
        <v>1174</v>
      </c>
      <c r="AA8" s="786"/>
      <c r="AB8" s="787"/>
      <c r="AC8" s="606">
        <f>IFERROR(_xlfn.XLOOKUP(cfdFirstRateMonths-1,tblContractForDeed[Period],tblBuyerOutputs[Monthly Appr]),"")</f>
        <v>419.51499756505109</v>
      </c>
      <c r="AH8" s="22"/>
      <c r="AI8" s="22"/>
      <c r="AJ8" s="22"/>
      <c r="AK8"/>
    </row>
    <row r="9" spans="2:42" ht="15.75" thickBot="1" x14ac:dyDescent="0.3">
      <c r="N9" s="30" t="s">
        <v>1144</v>
      </c>
      <c r="O9" s="378">
        <f>IF($P$14&lt;=0,0,ROUND(PMT($O$8/12,$P$14,-$O$6,0),2))</f>
        <v>645.28</v>
      </c>
      <c r="P9" s="557">
        <f>IF($P$14&lt;=0,0,ROUND(PMT(P8/12,$P$14,-P6,0),2))</f>
        <v>645.28</v>
      </c>
      <c r="Q9" s="379">
        <f>IF($P$14&lt;=0,0,ROUND(PMT(Q8/12,$P$14,-Q6,0),2))</f>
        <v>687</v>
      </c>
      <c r="R9" s="380">
        <f>IF($P$14&lt;=0,0,ROUND(PMT(R8/12,$P$14,-R6,0),2))</f>
        <v>676.44</v>
      </c>
      <c r="Z9" s="785" t="s">
        <v>1175</v>
      </c>
      <c r="AA9" s="786"/>
      <c r="AB9" s="787"/>
      <c r="AC9" s="606">
        <f>IFERROR(_xlfn.XLOOKUP(cfdFirstRateMonths-1,tblContractForDeed[Period],tblBuyerOutputs[Cumul Appr]),"")</f>
        <v>25845.114413177311</v>
      </c>
      <c r="AH9" s="22"/>
      <c r="AI9" s="22"/>
      <c r="AJ9" s="22"/>
      <c r="AK9"/>
    </row>
    <row r="10" spans="2:42" ht="15.75" thickBot="1" x14ac:dyDescent="0.3">
      <c r="N10" s="30" t="s">
        <v>1180</v>
      </c>
      <c r="P10" s="558">
        <v>0.03</v>
      </c>
      <c r="Q10" s="558">
        <v>3.5000000000000003E-2</v>
      </c>
      <c r="R10" s="558">
        <v>0.04</v>
      </c>
      <c r="Z10" s="800" t="s">
        <v>1176</v>
      </c>
      <c r="AA10" s="801"/>
      <c r="AB10" s="802"/>
      <c r="AC10" s="607">
        <f>cfdFirstRateMonths</f>
        <v>60</v>
      </c>
      <c r="AH10" s="22"/>
      <c r="AI10" s="22"/>
      <c r="AJ10" s="22"/>
      <c r="AK10"/>
    </row>
    <row r="11" spans="2:42" ht="15.75" thickBot="1" x14ac:dyDescent="0.3">
      <c r="N11" s="30" t="s">
        <v>1165</v>
      </c>
      <c r="O11" s="433">
        <f>IF($S$1=1,P11,IF($S$1=2,Q11,IF($S$1=3,R11)))</f>
        <v>6.7500000000000004E-2</v>
      </c>
      <c r="P11" s="560">
        <f>+$D$4+P10</f>
        <v>6.7500000000000004E-2</v>
      </c>
      <c r="Q11" s="421">
        <f>+$D$4+Q10</f>
        <v>7.2500000000000009E-2</v>
      </c>
      <c r="R11" s="422">
        <f>+$D$4+R10</f>
        <v>7.7499999999999999E-2</v>
      </c>
      <c r="T11" s="13"/>
      <c r="U11" s="436" t="str">
        <f>"Rate 2 Payment at "&amp;TEXT($O$11,"0.00%")</f>
        <v>Rate 2 Payment at 6.75%</v>
      </c>
      <c r="V11" s="378">
        <f>IF(MAX(0,cfdContractMonths-cfdFirstRateMonths)&lt;=0,0,ROUND(PMT(cfdRate2/12,MAX(0,cfdContractMonths-cfdFirstRateMonths),-IFERROR(_xlfn.XLOOKUP(cfdFirstRateMonths-1,tblContractForDeed[Period],tblContractForDeed[End Bal]),$O$6),0),2))</f>
        <v>659.9</v>
      </c>
      <c r="AH11" s="22"/>
      <c r="AI11" s="22"/>
      <c r="AJ11" s="22"/>
      <c r="AK11"/>
    </row>
    <row r="12" spans="2:42" ht="15.75" thickBot="1" x14ac:dyDescent="0.3">
      <c r="N12" s="30"/>
      <c r="O12" s="378"/>
      <c r="P12" s="557"/>
      <c r="Q12" s="587"/>
      <c r="R12" s="588"/>
      <c r="T12" s="13"/>
      <c r="AC12"/>
      <c r="AH12" s="22"/>
      <c r="AI12" s="22"/>
      <c r="AJ12" s="22"/>
      <c r="AK12"/>
    </row>
    <row r="13" spans="2:42" ht="15.75" thickBot="1" x14ac:dyDescent="0.3">
      <c r="H13" s="790" t="s">
        <v>1147</v>
      </c>
      <c r="I13" s="680"/>
      <c r="J13" s="593">
        <v>46204</v>
      </c>
      <c r="K13" s="790" t="s">
        <v>1178</v>
      </c>
      <c r="L13" s="679"/>
      <c r="M13" s="679"/>
      <c r="N13" s="680"/>
      <c r="O13" s="451">
        <v>5</v>
      </c>
      <c r="P13" s="452">
        <f>+O13*12</f>
        <v>60</v>
      </c>
      <c r="Q13" s="790" t="s">
        <v>1177</v>
      </c>
      <c r="R13" s="680"/>
      <c r="S13" s="772">
        <f>EDATE(J13,P13)</f>
        <v>48030</v>
      </c>
      <c r="T13" s="692"/>
      <c r="AC13"/>
      <c r="AH13" s="22"/>
      <c r="AI13" s="22"/>
      <c r="AJ13" s="22"/>
      <c r="AK13"/>
    </row>
    <row r="14" spans="2:42" ht="15.75" thickBot="1" x14ac:dyDescent="0.3">
      <c r="K14" s="790" t="s">
        <v>1179</v>
      </c>
      <c r="L14" s="679"/>
      <c r="M14" s="679"/>
      <c r="N14" s="680"/>
      <c r="O14" s="451">
        <v>15</v>
      </c>
      <c r="P14" s="452">
        <f>+O14*12</f>
        <v>180</v>
      </c>
      <c r="Q14" s="790" t="s">
        <v>1148</v>
      </c>
      <c r="R14" s="680"/>
      <c r="S14" s="772">
        <f>EDATE(J13,P14-1)</f>
        <v>51653</v>
      </c>
      <c r="T14" s="692"/>
      <c r="AC14"/>
      <c r="AH14" s="22"/>
      <c r="AI14" s="22"/>
      <c r="AJ14" s="22"/>
      <c r="AK14"/>
    </row>
    <row r="15" spans="2:42" ht="15" customHeight="1" x14ac:dyDescent="0.25">
      <c r="Z15" s="449"/>
      <c r="AA15" s="449"/>
      <c r="AE15" s="14"/>
    </row>
    <row r="16" spans="2:42" ht="15.75" thickBot="1" x14ac:dyDescent="0.3">
      <c r="O16" s="275"/>
      <c r="P16" s="275"/>
      <c r="Q16" s="275"/>
      <c r="R16" s="275"/>
      <c r="S16" s="275"/>
      <c r="T16" s="275"/>
      <c r="Z16" s="589"/>
      <c r="AA16" s="446"/>
      <c r="AE16" s="14"/>
      <c r="AJ16" s="423"/>
      <c r="AK16" s="423"/>
      <c r="AL16" s="423"/>
      <c r="AM16" s="275"/>
    </row>
    <row r="17" spans="1:44" ht="15.75" thickBot="1" x14ac:dyDescent="0.3">
      <c r="A17" s="769" t="s">
        <v>1185</v>
      </c>
      <c r="B17" s="635"/>
      <c r="C17" s="635"/>
      <c r="D17" s="635"/>
      <c r="E17" s="635"/>
      <c r="F17" s="635"/>
      <c r="G17" s="635"/>
      <c r="H17" s="635"/>
      <c r="I17" s="635"/>
      <c r="J17" s="635"/>
      <c r="K17" s="636"/>
      <c r="N17" s="449"/>
      <c r="O17" s="769" t="str">
        <f>"Official Contract for Deed Schedule: "&amp;TEXT($O$8,"0.00%")&amp;" for first "&amp;$O$13&amp;" years, then "&amp;TEXT($O$11,"0.00%")</f>
        <v>Official Contract for Deed Schedule: 6.25% for first 5 years, then 6.75%</v>
      </c>
      <c r="P17" s="635"/>
      <c r="Q17" s="635"/>
      <c r="R17" s="635"/>
      <c r="S17" s="635"/>
      <c r="T17" s="635"/>
      <c r="U17" s="635"/>
      <c r="V17" s="635"/>
      <c r="W17" s="635"/>
      <c r="X17" s="635"/>
      <c r="Y17" s="636"/>
      <c r="Z17" s="769" t="s">
        <v>1184</v>
      </c>
      <c r="AA17" s="635"/>
      <c r="AB17" s="635"/>
      <c r="AC17" s="635"/>
      <c r="AD17" s="635"/>
      <c r="AE17" s="636"/>
    </row>
    <row r="18" spans="1:44" ht="15" customHeight="1" thickBot="1" x14ac:dyDescent="0.3">
      <c r="A18" s="768"/>
      <c r="B18" s="692"/>
      <c r="C18" s="773" t="s">
        <v>657</v>
      </c>
      <c r="D18" s="774"/>
      <c r="E18" s="775"/>
      <c r="F18" s="775"/>
      <c r="G18" s="775"/>
      <c r="H18" s="776"/>
      <c r="I18" s="777" t="s">
        <v>654</v>
      </c>
      <c r="J18" s="620"/>
      <c r="K18" s="398"/>
      <c r="L18" s="777" t="s">
        <v>1181</v>
      </c>
      <c r="M18" s="619"/>
      <c r="N18" s="735"/>
      <c r="O18" s="453"/>
      <c r="P18" s="595"/>
      <c r="Q18" s="778" t="s">
        <v>657</v>
      </c>
      <c r="R18" s="779"/>
      <c r="S18" s="780"/>
      <c r="T18" s="780"/>
      <c r="U18" s="780"/>
      <c r="V18" s="781"/>
      <c r="W18" s="778" t="s">
        <v>654</v>
      </c>
      <c r="X18" s="782"/>
      <c r="Y18" s="398"/>
      <c r="Z18" s="783" t="s">
        <v>1166</v>
      </c>
      <c r="AA18" s="784"/>
      <c r="AB18" s="618" t="s">
        <v>1160</v>
      </c>
      <c r="AC18" s="767"/>
      <c r="AD18" s="767"/>
      <c r="AE18" s="735"/>
    </row>
    <row r="19" spans="1:44" ht="45.75" thickBot="1" x14ac:dyDescent="0.3">
      <c r="A19" s="450" t="s">
        <v>253</v>
      </c>
      <c r="B19" s="596" t="s">
        <v>661</v>
      </c>
      <c r="C19" s="597" t="s">
        <v>200</v>
      </c>
      <c r="D19" s="598" t="s">
        <v>658</v>
      </c>
      <c r="E19" s="597" t="s">
        <v>655</v>
      </c>
      <c r="F19" s="597" t="s">
        <v>662</v>
      </c>
      <c r="G19" s="597" t="s">
        <v>660</v>
      </c>
      <c r="H19" s="597" t="s">
        <v>659</v>
      </c>
      <c r="I19" s="599" t="s">
        <v>1182</v>
      </c>
      <c r="J19" s="599" t="s">
        <v>1183</v>
      </c>
      <c r="K19" s="600" t="s">
        <v>1186</v>
      </c>
      <c r="L19" s="601" t="s">
        <v>607</v>
      </c>
      <c r="M19" s="601" t="s">
        <v>593</v>
      </c>
      <c r="N19" s="602" t="s">
        <v>253</v>
      </c>
      <c r="O19" s="596" t="s">
        <v>661</v>
      </c>
      <c r="P19" s="597" t="s">
        <v>656</v>
      </c>
      <c r="Q19" s="597" t="s">
        <v>200</v>
      </c>
      <c r="R19" s="597" t="s">
        <v>658</v>
      </c>
      <c r="S19" s="597" t="s">
        <v>655</v>
      </c>
      <c r="T19" s="597" t="s">
        <v>662</v>
      </c>
      <c r="U19" s="597" t="s">
        <v>660</v>
      </c>
      <c r="V19" s="597" t="s">
        <v>268</v>
      </c>
      <c r="W19" s="599" t="s">
        <v>1158</v>
      </c>
      <c r="X19" s="599" t="s">
        <v>1159</v>
      </c>
      <c r="Y19" s="598" t="s">
        <v>593</v>
      </c>
      <c r="Z19" s="599" t="s">
        <v>1167</v>
      </c>
      <c r="AA19" s="603" t="s">
        <v>595</v>
      </c>
      <c r="AB19" s="597" t="s">
        <v>0</v>
      </c>
      <c r="AC19" s="597" t="s">
        <v>1161</v>
      </c>
      <c r="AD19" s="596" t="s">
        <v>1162</v>
      </c>
      <c r="AE19" s="596" t="s">
        <v>1163</v>
      </c>
      <c r="AF19" s="22"/>
      <c r="AG19" s="14"/>
      <c r="AL19"/>
      <c r="AM19" s="14"/>
      <c r="AO19" s="275"/>
      <c r="AQ19" s="14"/>
      <c r="AR19"/>
    </row>
    <row r="20" spans="1:44" x14ac:dyDescent="0.25">
      <c r="A20" s="590">
        <f>subjectKnownBalanceDate</f>
        <v>45870</v>
      </c>
      <c r="B20" s="275">
        <f>subjectKnownBalance</f>
        <v>97228</v>
      </c>
      <c r="C20" s="14">
        <f t="shared" ref="C20:C83" si="1">IF(A20="",0,IF(B20&lt;=0,0,IF(A20=subjectMortgageEndDate,B20+E20,MIN(subjectPayment,B20+E20))))</f>
        <v>625.80999999999995</v>
      </c>
      <c r="D20" s="14">
        <f>IF(C20=0,0,MAX(0,MIN(B20,C20-E20)))</f>
        <v>321.96999999999997</v>
      </c>
      <c r="E20" s="14">
        <f t="shared" ref="E20:E83" si="2">IF(OR(A20="",B20&lt;=0),0,ROUND(B20*(subjectInterestRate/12),2))</f>
        <v>303.83999999999997</v>
      </c>
      <c r="I20" s="275">
        <f>+C20</f>
        <v>625.80999999999995</v>
      </c>
      <c r="J20" s="275">
        <f>+E20</f>
        <v>303.83999999999997</v>
      </c>
      <c r="K20" s="275">
        <f>IF(A20="",0,IF(B20&lt;=0,0,MAX(0,B20-D20)))</f>
        <v>96906.03</v>
      </c>
      <c r="L20" s="386">
        <f t="shared" ref="L20:L83" si="3">IF(MOD(M20,12)=0,M20/12,L19)</f>
        <v>0</v>
      </c>
      <c r="M20" s="386">
        <v>0</v>
      </c>
      <c r="N20" s="590">
        <f>INDEX(tblSubjectToLoan[Date],ROW()-ROW(tblContractForDeed[#Headers]))</f>
        <v>45870</v>
      </c>
      <c r="O20" s="275">
        <f>IF(ROW()=ROW(tblContractForDeed[#Headers])+1,$O$6,IF(INDEX(tblContractForDeed[End Bal],ROW()-ROW(tblContractForDeed[#Headers])-1)&lt;0,0,INDEX(tblContractForDeed[End Bal],ROW()-ROW(tblContractForDeed[#Headers])-1)))</f>
        <v>75258</v>
      </c>
      <c r="P20" s="445">
        <f>IF(tblContractForDeed[[#This Row],[Date]]="","",IF(tblContractForDeed[[#This Row],[Date]]&lt;cfdRateChangeDate,cfdRate1,cfdRate2))</f>
        <v>6.25E-2</v>
      </c>
      <c r="Q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75">
        <f>IF(tblContractForDeed[[#This Row],[Payment]]=0,0,MAX(0,MIN(tblContractForDeed[[#This Row],[Beg]],tblContractForDeed[[#This Row],[Payment]]-tblContractForDeed[[#This Row],[Int]])))</f>
        <v>0</v>
      </c>
      <c r="S20" s="275">
        <f>IF(OR(tblContractForDeed[[#This Row],[Date]]&lt;cfdContractDate,tblContractForDeed[[#This Row],[Date]]&gt;cfdEndDate),0,ROUND(tblContractForDeed[[#This Row],[Beg]]*(tblContractForDeed[[#This Row],[Int Rate]]/12),2))</f>
        <v>0</v>
      </c>
      <c r="T20" s="275">
        <f>IF(tblContractForDeed[[#This Row],[Payment]]=0,0,$W$2)</f>
        <v>0</v>
      </c>
      <c r="U20" s="275">
        <f>IF(tblContractForDeed[[#This Row],[Princ]]=0,0,$W$3)</f>
        <v>0</v>
      </c>
      <c r="V20" s="275">
        <f>SUM(tblContractForDeed[[#This Row],[Princ]],tblContractForDeed[[#This Row],[Int]],tblContractForDeed[[#This Row],[Ins]],tblContractForDeed[[#This Row],[Taxes]])</f>
        <v>0</v>
      </c>
      <c r="W20" s="275">
        <f>SUM(INDEX(tblContractForDeed[Princ],1):INDEX(tblContractForDeed[Princ],ROW()-ROW(tblContractForDeed[#Headers])))</f>
        <v>0</v>
      </c>
      <c r="X20" s="275">
        <f>IF(tblContractForDeed[[#This Row],[Beg]]&lt;=0,0,tblContractForDeed[[#This Row],[Beg]]-tblContractForDeed[[#This Row],[Princ]])</f>
        <v>75258</v>
      </c>
      <c r="Y2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54">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75">
        <f>IF(INDEX(tblContractForDeed[End Bal],ROW()-ROW(tblBuyerOutputs[#Headers]))&lt;=0,0,($O$6+IF(ROW()=ROW(tblBuyerOutputs[#Headers])+1,0,INDEX(tblBuyerOutputs[Cumul Appr],ROW()-ROW(tblBuyerOutputs[#Headers])-1)))*$O$2/12)</f>
        <v>313.57499999999999</v>
      </c>
      <c r="AE20" s="275">
        <f>IF(INDEX(tblContractForDeed[End Bal],ROW()-ROW(tblBuyerOutputs[#Headers]))&lt;=0,0,IF(ROW()=ROW(tblBuyerOutputs[#Headers])+1,0,INDEX(tblBuyerOutputs[Cumul Appr],ROW()-ROW(tblBuyerOutputs[#Headers])-1))+tblBuyerOutputs[[#This Row],[Monthly Appr]])</f>
        <v>313.57499999999999</v>
      </c>
      <c r="AF20" s="22"/>
      <c r="AG20" s="14"/>
      <c r="AL20"/>
      <c r="AM20" s="14"/>
      <c r="AO20" s="275"/>
      <c r="AQ20" s="14"/>
      <c r="AR20"/>
    </row>
    <row r="21" spans="1:44" x14ac:dyDescent="0.25">
      <c r="A21" s="590">
        <f t="shared" ref="A21:A84" si="4">IF(OR(A20="",A20&gt;=subjectMortgageEndDate),"",EDATE(A20,1))</f>
        <v>45901</v>
      </c>
      <c r="B21" s="275">
        <f t="shared" ref="B21:B84" si="5">IF(A21="",0,MAX(0,K20))</f>
        <v>96906.03</v>
      </c>
      <c r="C21" s="14">
        <f t="shared" si="1"/>
        <v>625.80999999999995</v>
      </c>
      <c r="D21" s="14">
        <f t="shared" ref="D21:D84" si="6">IF(C21=0,0,MAX(0,MIN(B21,C21-E21)))</f>
        <v>322.97999999999996</v>
      </c>
      <c r="E21" s="14">
        <f t="shared" si="2"/>
        <v>302.83</v>
      </c>
      <c r="I21" s="275">
        <f>$D21+$I20</f>
        <v>948.79</v>
      </c>
      <c r="J21" s="275">
        <f>$E21+$J20</f>
        <v>606.66999999999996</v>
      </c>
      <c r="K21" s="275">
        <f t="shared" ref="K21:K84" si="7">IF(A21="",0,IF(B21&lt;=0,0,MAX(0,B21-D21)))</f>
        <v>96583.05</v>
      </c>
      <c r="L21" s="386">
        <f t="shared" si="3"/>
        <v>0</v>
      </c>
      <c r="M21" s="386">
        <f t="shared" ref="M21:M84" si="8">IF($A21&lt;&gt;"",M20+1,0)</f>
        <v>1</v>
      </c>
      <c r="N21" s="590">
        <f>INDEX(tblSubjectToLoan[Date],ROW()-ROW(tblContractForDeed[#Headers]))</f>
        <v>45901</v>
      </c>
      <c r="O21" s="275">
        <f>IF(ROW()=ROW(tblContractForDeed[#Headers])+1,$O$6,IF(INDEX(tblContractForDeed[End Bal],ROW()-ROW(tblContractForDeed[#Headers])-1)&lt;0,0,INDEX(tblContractForDeed[End Bal],ROW()-ROW(tblContractForDeed[#Headers])-1)))</f>
        <v>75258</v>
      </c>
      <c r="P21" s="445">
        <f>IF(tblContractForDeed[[#This Row],[Date]]="","",IF(tblContractForDeed[[#This Row],[Date]]&lt;cfdRateChangeDate,cfdRate1,cfdRate2))</f>
        <v>6.25E-2</v>
      </c>
      <c r="Q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75">
        <f>IF(tblContractForDeed[[#This Row],[Payment]]=0,0,MAX(0,MIN(tblContractForDeed[[#This Row],[Beg]],tblContractForDeed[[#This Row],[Payment]]-tblContractForDeed[[#This Row],[Int]])))</f>
        <v>0</v>
      </c>
      <c r="S21" s="275">
        <f>IF(OR(tblContractForDeed[[#This Row],[Date]]&lt;cfdContractDate,tblContractForDeed[[#This Row],[Date]]&gt;cfdEndDate),0,ROUND(tblContractForDeed[[#This Row],[Beg]]*(tblContractForDeed[[#This Row],[Int Rate]]/12),2))</f>
        <v>0</v>
      </c>
      <c r="T21" s="275">
        <f>IF(tblContractForDeed[[#This Row],[Payment]]=0,0,$W$2)</f>
        <v>0</v>
      </c>
      <c r="U21" s="275">
        <f>IF(tblContractForDeed[[#This Row],[Princ]]=0,0,$W$3)</f>
        <v>0</v>
      </c>
      <c r="V21" s="275">
        <f>SUM(tblContractForDeed[[#This Row],[Princ]],tblContractForDeed[[#This Row],[Int]],tblContractForDeed[[#This Row],[Ins]],tblContractForDeed[[#This Row],[Taxes]])</f>
        <v>0</v>
      </c>
      <c r="W21" s="275">
        <f>SUM(INDEX(tblContractForDeed[Princ],1):INDEX(tblContractForDeed[Princ],ROW()-ROW(tblContractForDeed[#Headers])))</f>
        <v>0</v>
      </c>
      <c r="X21" s="275">
        <f>IF(tblContractForDeed[[#This Row],[Beg]]&lt;=0,0,tblContractForDeed[[#This Row],[Beg]]-tblContractForDeed[[#This Row],[Princ]])</f>
        <v>75258</v>
      </c>
      <c r="Y2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54">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75">
        <f>IF(INDEX(tblContractForDeed[End Bal],ROW()-ROW(tblBuyerOutputs[#Headers]))&lt;=0,0,($O$6+IF(ROW()=ROW(tblBuyerOutputs[#Headers])+1,0,INDEX(tblBuyerOutputs[Cumul Appr],ROW()-ROW(tblBuyerOutputs[#Headers])-1)))*$O$2/12)</f>
        <v>314.88156250000003</v>
      </c>
      <c r="AE21" s="275">
        <f>IF(INDEX(tblContractForDeed[End Bal],ROW()-ROW(tblBuyerOutputs[#Headers]))&lt;=0,0,IF(ROW()=ROW(tblBuyerOutputs[#Headers])+1,0,INDEX(tblBuyerOutputs[Cumul Appr],ROW()-ROW(tblBuyerOutputs[#Headers])-1))+tblBuyerOutputs[[#This Row],[Monthly Appr]])</f>
        <v>628.45656250000002</v>
      </c>
      <c r="AF21" s="22"/>
      <c r="AG21" s="14"/>
      <c r="AL21"/>
      <c r="AM21" s="14"/>
      <c r="AO21" s="275"/>
      <c r="AQ21" s="14"/>
      <c r="AR21"/>
    </row>
    <row r="22" spans="1:44" x14ac:dyDescent="0.25">
      <c r="A22" s="590">
        <f t="shared" si="4"/>
        <v>45931</v>
      </c>
      <c r="B22" s="275">
        <f t="shared" si="5"/>
        <v>96583.05</v>
      </c>
      <c r="C22" s="14">
        <f t="shared" si="1"/>
        <v>625.80999999999995</v>
      </c>
      <c r="D22" s="14">
        <f t="shared" si="6"/>
        <v>323.98999999999995</v>
      </c>
      <c r="E22" s="14">
        <f t="shared" si="2"/>
        <v>301.82</v>
      </c>
      <c r="I22" s="275">
        <f t="shared" ref="I22:I85" si="9">$D22+$I21</f>
        <v>1272.78</v>
      </c>
      <c r="J22" s="275">
        <f t="shared" ref="J22:J85" si="10">$E22+$J21</f>
        <v>908.49</v>
      </c>
      <c r="K22" s="275">
        <f t="shared" si="7"/>
        <v>96259.06</v>
      </c>
      <c r="L22" s="386">
        <f t="shared" si="3"/>
        <v>0</v>
      </c>
      <c r="M22" s="386">
        <f t="shared" si="8"/>
        <v>2</v>
      </c>
      <c r="N22" s="590">
        <f>INDEX(tblSubjectToLoan[Date],ROW()-ROW(tblContractForDeed[#Headers]))</f>
        <v>45931</v>
      </c>
      <c r="O22" s="275">
        <f>IF(ROW()=ROW(tblContractForDeed[#Headers])+1,$O$6,IF(INDEX(tblContractForDeed[End Bal],ROW()-ROW(tblContractForDeed[#Headers])-1)&lt;0,0,INDEX(tblContractForDeed[End Bal],ROW()-ROW(tblContractForDeed[#Headers])-1)))</f>
        <v>75258</v>
      </c>
      <c r="P22" s="445">
        <f>IF(tblContractForDeed[[#This Row],[Date]]="","",IF(tblContractForDeed[[#This Row],[Date]]&lt;cfdRateChangeDate,cfdRate1,cfdRate2))</f>
        <v>6.25E-2</v>
      </c>
      <c r="Q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75">
        <f>IF(tblContractForDeed[[#This Row],[Payment]]=0,0,MAX(0,MIN(tblContractForDeed[[#This Row],[Beg]],tblContractForDeed[[#This Row],[Payment]]-tblContractForDeed[[#This Row],[Int]])))</f>
        <v>0</v>
      </c>
      <c r="S22" s="275">
        <f>IF(OR(tblContractForDeed[[#This Row],[Date]]&lt;cfdContractDate,tblContractForDeed[[#This Row],[Date]]&gt;cfdEndDate),0,ROUND(tblContractForDeed[[#This Row],[Beg]]*(tblContractForDeed[[#This Row],[Int Rate]]/12),2))</f>
        <v>0</v>
      </c>
      <c r="T22" s="275">
        <f>IF(tblContractForDeed[[#This Row],[Payment]]=0,0,$W$2)</f>
        <v>0</v>
      </c>
      <c r="U22" s="275">
        <f>IF(tblContractForDeed[[#This Row],[Princ]]=0,0,$W$3)</f>
        <v>0</v>
      </c>
      <c r="V22" s="275">
        <f>SUM(tblContractForDeed[[#This Row],[Princ]],tblContractForDeed[[#This Row],[Int]],tblContractForDeed[[#This Row],[Ins]],tblContractForDeed[[#This Row],[Taxes]])</f>
        <v>0</v>
      </c>
      <c r="W22" s="275">
        <f>SUM(INDEX(tblContractForDeed[Princ],1):INDEX(tblContractForDeed[Princ],ROW()-ROW(tblContractForDeed[#Headers])))</f>
        <v>0</v>
      </c>
      <c r="X22" s="275">
        <f>IF(tblContractForDeed[[#This Row],[Beg]]&lt;=0,0,tblContractForDeed[[#This Row],[Beg]]-tblContractForDeed[[#This Row],[Princ]])</f>
        <v>75258</v>
      </c>
      <c r="Y2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54">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75">
        <f>IF(INDEX(tblContractForDeed[End Bal],ROW()-ROW(tblBuyerOutputs[#Headers]))&lt;=0,0,($O$6+IF(ROW()=ROW(tblBuyerOutputs[#Headers])+1,0,INDEX(tblBuyerOutputs[Cumul Appr],ROW()-ROW(tblBuyerOutputs[#Headers])-1)))*$O$2/12)</f>
        <v>316.19356901041664</v>
      </c>
      <c r="AE22" s="275">
        <f>IF(INDEX(tblContractForDeed[End Bal],ROW()-ROW(tblBuyerOutputs[#Headers]))&lt;=0,0,IF(ROW()=ROW(tblBuyerOutputs[#Headers])+1,0,INDEX(tblBuyerOutputs[Cumul Appr],ROW()-ROW(tblBuyerOutputs[#Headers])-1))+tblBuyerOutputs[[#This Row],[Monthly Appr]])</f>
        <v>944.65013151041671</v>
      </c>
      <c r="AF22" s="22"/>
      <c r="AG22" s="14"/>
      <c r="AL22"/>
      <c r="AM22" s="14"/>
      <c r="AO22" s="275"/>
      <c r="AQ22" s="14"/>
      <c r="AR22"/>
    </row>
    <row r="23" spans="1:44" x14ac:dyDescent="0.25">
      <c r="A23" s="590">
        <f t="shared" si="4"/>
        <v>45962</v>
      </c>
      <c r="B23" s="275">
        <f t="shared" si="5"/>
        <v>96259.06</v>
      </c>
      <c r="C23" s="14">
        <f t="shared" si="1"/>
        <v>625.80999999999995</v>
      </c>
      <c r="D23" s="14">
        <f t="shared" si="6"/>
        <v>324.99999999999994</v>
      </c>
      <c r="E23" s="14">
        <f t="shared" si="2"/>
        <v>300.81</v>
      </c>
      <c r="I23" s="275">
        <f t="shared" si="9"/>
        <v>1597.78</v>
      </c>
      <c r="J23" s="275">
        <f t="shared" si="10"/>
        <v>1209.3</v>
      </c>
      <c r="K23" s="275">
        <f t="shared" si="7"/>
        <v>95934.06</v>
      </c>
      <c r="L23" s="386">
        <f t="shared" si="3"/>
        <v>0</v>
      </c>
      <c r="M23" s="386">
        <f t="shared" si="8"/>
        <v>3</v>
      </c>
      <c r="N23" s="590">
        <f>INDEX(tblSubjectToLoan[Date],ROW()-ROW(tblContractForDeed[#Headers]))</f>
        <v>45962</v>
      </c>
      <c r="O23" s="275">
        <f>IF(ROW()=ROW(tblContractForDeed[#Headers])+1,$O$6,IF(INDEX(tblContractForDeed[End Bal],ROW()-ROW(tblContractForDeed[#Headers])-1)&lt;0,0,INDEX(tblContractForDeed[End Bal],ROW()-ROW(tblContractForDeed[#Headers])-1)))</f>
        <v>75258</v>
      </c>
      <c r="P23" s="445">
        <f>IF(tblContractForDeed[[#This Row],[Date]]="","",IF(tblContractForDeed[[#This Row],[Date]]&lt;cfdRateChangeDate,cfdRate1,cfdRate2))</f>
        <v>6.25E-2</v>
      </c>
      <c r="Q2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75">
        <f>IF(tblContractForDeed[[#This Row],[Payment]]=0,0,MAX(0,MIN(tblContractForDeed[[#This Row],[Beg]],tblContractForDeed[[#This Row],[Payment]]-tblContractForDeed[[#This Row],[Int]])))</f>
        <v>0</v>
      </c>
      <c r="S23" s="275">
        <f>IF(OR(tblContractForDeed[[#This Row],[Date]]&lt;cfdContractDate,tblContractForDeed[[#This Row],[Date]]&gt;cfdEndDate),0,ROUND(tblContractForDeed[[#This Row],[Beg]]*(tblContractForDeed[[#This Row],[Int Rate]]/12),2))</f>
        <v>0</v>
      </c>
      <c r="T23" s="275">
        <f>IF(tblContractForDeed[[#This Row],[Payment]]=0,0,$W$2)</f>
        <v>0</v>
      </c>
      <c r="U23" s="275">
        <f>IF(tblContractForDeed[[#This Row],[Princ]]=0,0,$W$3)</f>
        <v>0</v>
      </c>
      <c r="V23" s="275">
        <f>SUM(tblContractForDeed[[#This Row],[Princ]],tblContractForDeed[[#This Row],[Int]],tblContractForDeed[[#This Row],[Ins]],tblContractForDeed[[#This Row],[Taxes]])</f>
        <v>0</v>
      </c>
      <c r="W23" s="275">
        <f>SUM(INDEX(tblContractForDeed[Princ],1):INDEX(tblContractForDeed[Princ],ROW()-ROW(tblContractForDeed[#Headers])))</f>
        <v>0</v>
      </c>
      <c r="X23" s="275">
        <f>IF(tblContractForDeed[[#This Row],[Beg]]&lt;=0,0,tblContractForDeed[[#This Row],[Beg]]-tblContractForDeed[[#This Row],[Princ]])</f>
        <v>75258</v>
      </c>
      <c r="Y2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54">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75">
        <f>IF(INDEX(tblContractForDeed[End Bal],ROW()-ROW(tblBuyerOutputs[#Headers]))&lt;=0,0,($O$6+IF(ROW()=ROW(tblBuyerOutputs[#Headers])+1,0,INDEX(tblBuyerOutputs[Cumul Appr],ROW()-ROW(tblBuyerOutputs[#Headers])-1)))*$O$2/12)</f>
        <v>317.51104221462674</v>
      </c>
      <c r="AE23" s="275">
        <f>IF(INDEX(tblContractForDeed[End Bal],ROW()-ROW(tblBuyerOutputs[#Headers]))&lt;=0,0,IF(ROW()=ROW(tblBuyerOutputs[#Headers])+1,0,INDEX(tblBuyerOutputs[Cumul Appr],ROW()-ROW(tblBuyerOutputs[#Headers])-1))+tblBuyerOutputs[[#This Row],[Monthly Appr]])</f>
        <v>1262.1611737250435</v>
      </c>
      <c r="AF23" s="22"/>
      <c r="AG23" s="14"/>
      <c r="AL23"/>
      <c r="AM23" s="14"/>
      <c r="AO23" s="275"/>
      <c r="AQ23" s="14"/>
      <c r="AR23"/>
    </row>
    <row r="24" spans="1:44" x14ac:dyDescent="0.25">
      <c r="A24" s="590">
        <f t="shared" si="4"/>
        <v>45992</v>
      </c>
      <c r="B24" s="275">
        <f t="shared" si="5"/>
        <v>95934.06</v>
      </c>
      <c r="C24" s="14">
        <f t="shared" si="1"/>
        <v>625.80999999999995</v>
      </c>
      <c r="D24" s="14">
        <f t="shared" si="6"/>
        <v>326.01999999999992</v>
      </c>
      <c r="E24" s="14">
        <f t="shared" si="2"/>
        <v>299.79000000000002</v>
      </c>
      <c r="I24" s="275">
        <f t="shared" si="9"/>
        <v>1923.8</v>
      </c>
      <c r="J24" s="275">
        <f t="shared" si="10"/>
        <v>1509.09</v>
      </c>
      <c r="K24" s="275">
        <f t="shared" si="7"/>
        <v>95608.04</v>
      </c>
      <c r="L24" s="386">
        <f t="shared" si="3"/>
        <v>0</v>
      </c>
      <c r="M24" s="386">
        <f t="shared" si="8"/>
        <v>4</v>
      </c>
      <c r="N24" s="590">
        <f>INDEX(tblSubjectToLoan[Date],ROW()-ROW(tblContractForDeed[#Headers]))</f>
        <v>45992</v>
      </c>
      <c r="O24" s="275">
        <f>IF(ROW()=ROW(tblContractForDeed[#Headers])+1,$O$6,IF(INDEX(tblContractForDeed[End Bal],ROW()-ROW(tblContractForDeed[#Headers])-1)&lt;0,0,INDEX(tblContractForDeed[End Bal],ROW()-ROW(tblContractForDeed[#Headers])-1)))</f>
        <v>75258</v>
      </c>
      <c r="P24" s="445">
        <f>IF(tblContractForDeed[[#This Row],[Date]]="","",IF(tblContractForDeed[[#This Row],[Date]]&lt;cfdRateChangeDate,cfdRate1,cfdRate2))</f>
        <v>6.25E-2</v>
      </c>
      <c r="Q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75">
        <f>IF(tblContractForDeed[[#This Row],[Payment]]=0,0,MAX(0,MIN(tblContractForDeed[[#This Row],[Beg]],tblContractForDeed[[#This Row],[Payment]]-tblContractForDeed[[#This Row],[Int]])))</f>
        <v>0</v>
      </c>
      <c r="S24" s="275">
        <f>IF(OR(tblContractForDeed[[#This Row],[Date]]&lt;cfdContractDate,tblContractForDeed[[#This Row],[Date]]&gt;cfdEndDate),0,ROUND(tblContractForDeed[[#This Row],[Beg]]*(tblContractForDeed[[#This Row],[Int Rate]]/12),2))</f>
        <v>0</v>
      </c>
      <c r="T24" s="275">
        <f>IF(tblContractForDeed[[#This Row],[Payment]]=0,0,$W$2)</f>
        <v>0</v>
      </c>
      <c r="U24" s="275">
        <f>IF(tblContractForDeed[[#This Row],[Princ]]=0,0,$W$3)</f>
        <v>0</v>
      </c>
      <c r="V24" s="275">
        <f>SUM(tblContractForDeed[[#This Row],[Princ]],tblContractForDeed[[#This Row],[Int]],tblContractForDeed[[#This Row],[Ins]],tblContractForDeed[[#This Row],[Taxes]])</f>
        <v>0</v>
      </c>
      <c r="W24" s="275">
        <f>SUM(INDEX(tblContractForDeed[Princ],1):INDEX(tblContractForDeed[Princ],ROW()-ROW(tblContractForDeed[#Headers])))</f>
        <v>0</v>
      </c>
      <c r="X24" s="275">
        <f>IF(tblContractForDeed[[#This Row],[Beg]]&lt;=0,0,tblContractForDeed[[#This Row],[Beg]]-tblContractForDeed[[#This Row],[Princ]])</f>
        <v>75258</v>
      </c>
      <c r="Y2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54">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75">
        <f>IF(INDEX(tblContractForDeed[End Bal],ROW()-ROW(tblBuyerOutputs[#Headers]))&lt;=0,0,($O$6+IF(ROW()=ROW(tblBuyerOutputs[#Headers])+1,0,INDEX(tblBuyerOutputs[Cumul Appr],ROW()-ROW(tblBuyerOutputs[#Headers])-1)))*$O$2/12)</f>
        <v>318.83400489052104</v>
      </c>
      <c r="AE24" s="275">
        <f>IF(INDEX(tblContractForDeed[End Bal],ROW()-ROW(tblBuyerOutputs[#Headers]))&lt;=0,0,IF(ROW()=ROW(tblBuyerOutputs[#Headers])+1,0,INDEX(tblBuyerOutputs[Cumul Appr],ROW()-ROW(tblBuyerOutputs[#Headers])-1))+tblBuyerOutputs[[#This Row],[Monthly Appr]])</f>
        <v>1580.9951786155646</v>
      </c>
      <c r="AF24" s="22"/>
      <c r="AG24" s="14"/>
      <c r="AL24"/>
      <c r="AM24" s="14"/>
      <c r="AO24" s="275"/>
      <c r="AQ24" s="14"/>
      <c r="AR24"/>
    </row>
    <row r="25" spans="1:44" x14ac:dyDescent="0.25">
      <c r="A25" s="590">
        <f t="shared" si="4"/>
        <v>46023</v>
      </c>
      <c r="B25" s="275">
        <f t="shared" si="5"/>
        <v>95608.04</v>
      </c>
      <c r="C25" s="14">
        <f t="shared" si="1"/>
        <v>625.80999999999995</v>
      </c>
      <c r="D25" s="14">
        <f t="shared" si="6"/>
        <v>327.02999999999997</v>
      </c>
      <c r="E25" s="14">
        <f t="shared" si="2"/>
        <v>298.77999999999997</v>
      </c>
      <c r="I25" s="275">
        <f t="shared" si="9"/>
        <v>2250.83</v>
      </c>
      <c r="J25" s="275">
        <f t="shared" si="10"/>
        <v>1807.87</v>
      </c>
      <c r="K25" s="275">
        <f t="shared" si="7"/>
        <v>95281.01</v>
      </c>
      <c r="L25" s="386">
        <f t="shared" si="3"/>
        <v>0</v>
      </c>
      <c r="M25" s="386">
        <f t="shared" si="8"/>
        <v>5</v>
      </c>
      <c r="N25" s="590">
        <f>INDEX(tblSubjectToLoan[Date],ROW()-ROW(tblContractForDeed[#Headers]))</f>
        <v>46023</v>
      </c>
      <c r="O25" s="275">
        <f>IF(ROW()=ROW(tblContractForDeed[#Headers])+1,$O$6,IF(INDEX(tblContractForDeed[End Bal],ROW()-ROW(tblContractForDeed[#Headers])-1)&lt;0,0,INDEX(tblContractForDeed[End Bal],ROW()-ROW(tblContractForDeed[#Headers])-1)))</f>
        <v>75258</v>
      </c>
      <c r="P25" s="445">
        <f>IF(tblContractForDeed[[#This Row],[Date]]="","",IF(tblContractForDeed[[#This Row],[Date]]&lt;cfdRateChangeDate,cfdRate1,cfdRate2))</f>
        <v>6.25E-2</v>
      </c>
      <c r="Q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75">
        <f>IF(tblContractForDeed[[#This Row],[Payment]]=0,0,MAX(0,MIN(tblContractForDeed[[#This Row],[Beg]],tblContractForDeed[[#This Row],[Payment]]-tblContractForDeed[[#This Row],[Int]])))</f>
        <v>0</v>
      </c>
      <c r="S25" s="275">
        <f>IF(OR(tblContractForDeed[[#This Row],[Date]]&lt;cfdContractDate,tblContractForDeed[[#This Row],[Date]]&gt;cfdEndDate),0,ROUND(tblContractForDeed[[#This Row],[Beg]]*(tblContractForDeed[[#This Row],[Int Rate]]/12),2))</f>
        <v>0</v>
      </c>
      <c r="T25" s="275">
        <f>IF(tblContractForDeed[[#This Row],[Payment]]=0,0,$W$2)</f>
        <v>0</v>
      </c>
      <c r="U25" s="275">
        <f>IF(tblContractForDeed[[#This Row],[Princ]]=0,0,$W$3)</f>
        <v>0</v>
      </c>
      <c r="V25" s="275">
        <f>SUM(tblContractForDeed[[#This Row],[Princ]],tblContractForDeed[[#This Row],[Int]],tblContractForDeed[[#This Row],[Ins]],tblContractForDeed[[#This Row],[Taxes]])</f>
        <v>0</v>
      </c>
      <c r="W25" s="275">
        <f>SUM(INDEX(tblContractForDeed[Princ],1):INDEX(tblContractForDeed[Princ],ROW()-ROW(tblContractForDeed[#Headers])))</f>
        <v>0</v>
      </c>
      <c r="X25" s="275">
        <f>IF(tblContractForDeed[[#This Row],[Beg]]&lt;=0,0,tblContractForDeed[[#This Row],[Beg]]-tblContractForDeed[[#This Row],[Princ]])</f>
        <v>75258</v>
      </c>
      <c r="Y2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54">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75">
        <f>IF(INDEX(tblContractForDeed[End Bal],ROW()-ROW(tblBuyerOutputs[#Headers]))&lt;=0,0,($O$6+IF(ROW()=ROW(tblBuyerOutputs[#Headers])+1,0,INDEX(tblBuyerOutputs[Cumul Appr],ROW()-ROW(tblBuyerOutputs[#Headers])-1)))*$O$2/12)</f>
        <v>320.16247991089818</v>
      </c>
      <c r="AE25" s="275">
        <f>IF(INDEX(tblContractForDeed[End Bal],ROW()-ROW(tblBuyerOutputs[#Headers]))&lt;=0,0,IF(ROW()=ROW(tblBuyerOutputs[#Headers])+1,0,INDEX(tblBuyerOutputs[Cumul Appr],ROW()-ROW(tblBuyerOutputs[#Headers])-1))+tblBuyerOutputs[[#This Row],[Monthly Appr]])</f>
        <v>1901.1576585264627</v>
      </c>
      <c r="AF25" s="22"/>
      <c r="AG25" s="14"/>
      <c r="AL25"/>
      <c r="AM25" s="14"/>
      <c r="AO25" s="275"/>
      <c r="AQ25" s="14"/>
      <c r="AR25"/>
    </row>
    <row r="26" spans="1:44" x14ac:dyDescent="0.25">
      <c r="A26" s="590">
        <f t="shared" si="4"/>
        <v>46054</v>
      </c>
      <c r="B26" s="275">
        <f t="shared" si="5"/>
        <v>95281.01</v>
      </c>
      <c r="C26" s="14">
        <f t="shared" si="1"/>
        <v>625.80999999999995</v>
      </c>
      <c r="D26" s="14">
        <f t="shared" si="6"/>
        <v>328.05999999999995</v>
      </c>
      <c r="E26" s="14">
        <f t="shared" si="2"/>
        <v>297.75</v>
      </c>
      <c r="I26" s="275">
        <f t="shared" si="9"/>
        <v>2578.89</v>
      </c>
      <c r="J26" s="275">
        <f t="shared" si="10"/>
        <v>2105.62</v>
      </c>
      <c r="K26" s="275">
        <f t="shared" si="7"/>
        <v>94952.95</v>
      </c>
      <c r="L26" s="386">
        <f t="shared" si="3"/>
        <v>0</v>
      </c>
      <c r="M26" s="386">
        <f t="shared" si="8"/>
        <v>6</v>
      </c>
      <c r="N26" s="590">
        <f>INDEX(tblSubjectToLoan[Date],ROW()-ROW(tblContractForDeed[#Headers]))</f>
        <v>46054</v>
      </c>
      <c r="O26" s="275">
        <f>IF(ROW()=ROW(tblContractForDeed[#Headers])+1,$O$6,IF(INDEX(tblContractForDeed[End Bal],ROW()-ROW(tblContractForDeed[#Headers])-1)&lt;0,0,INDEX(tblContractForDeed[End Bal],ROW()-ROW(tblContractForDeed[#Headers])-1)))</f>
        <v>75258</v>
      </c>
      <c r="P26" s="445">
        <f>IF(tblContractForDeed[[#This Row],[Date]]="","",IF(tblContractForDeed[[#This Row],[Date]]&lt;cfdRateChangeDate,cfdRate1,cfdRate2))</f>
        <v>6.25E-2</v>
      </c>
      <c r="Q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75">
        <f>IF(tblContractForDeed[[#This Row],[Payment]]=0,0,MAX(0,MIN(tblContractForDeed[[#This Row],[Beg]],tblContractForDeed[[#This Row],[Payment]]-tblContractForDeed[[#This Row],[Int]])))</f>
        <v>0</v>
      </c>
      <c r="S26" s="275">
        <f>IF(OR(tblContractForDeed[[#This Row],[Date]]&lt;cfdContractDate,tblContractForDeed[[#This Row],[Date]]&gt;cfdEndDate),0,ROUND(tblContractForDeed[[#This Row],[Beg]]*(tblContractForDeed[[#This Row],[Int Rate]]/12),2))</f>
        <v>0</v>
      </c>
      <c r="T26" s="275">
        <f>IF(tblContractForDeed[[#This Row],[Payment]]=0,0,$W$2)</f>
        <v>0</v>
      </c>
      <c r="U26" s="275">
        <f>IF(tblContractForDeed[[#This Row],[Princ]]=0,0,$W$3)</f>
        <v>0</v>
      </c>
      <c r="V26" s="275">
        <f>SUM(tblContractForDeed[[#This Row],[Princ]],tblContractForDeed[[#This Row],[Int]],tblContractForDeed[[#This Row],[Ins]],tblContractForDeed[[#This Row],[Taxes]])</f>
        <v>0</v>
      </c>
      <c r="W26" s="275">
        <f>SUM(INDEX(tblContractForDeed[Princ],1):INDEX(tblContractForDeed[Princ],ROW()-ROW(tblContractForDeed[#Headers])))</f>
        <v>0</v>
      </c>
      <c r="X26" s="275">
        <f>IF(tblContractForDeed[[#This Row],[Beg]]&lt;=0,0,tblContractForDeed[[#This Row],[Beg]]-tblContractForDeed[[#This Row],[Princ]])</f>
        <v>75258</v>
      </c>
      <c r="Y2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54">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75">
        <f>IF(INDEX(tblContractForDeed[End Bal],ROW()-ROW(tblBuyerOutputs[#Headers]))&lt;=0,0,($O$6+IF(ROW()=ROW(tblBuyerOutputs[#Headers])+1,0,INDEX(tblBuyerOutputs[Cumul Appr],ROW()-ROW(tblBuyerOutputs[#Headers])-1)))*$O$2/12)</f>
        <v>321.49649024386025</v>
      </c>
      <c r="AE26" s="275">
        <f>IF(INDEX(tblContractForDeed[End Bal],ROW()-ROW(tblBuyerOutputs[#Headers]))&lt;=0,0,IF(ROW()=ROW(tblBuyerOutputs[#Headers])+1,0,INDEX(tblBuyerOutputs[Cumul Appr],ROW()-ROW(tblBuyerOutputs[#Headers])-1))+tblBuyerOutputs[[#This Row],[Monthly Appr]])</f>
        <v>2222.654148770323</v>
      </c>
      <c r="AF26" s="22"/>
      <c r="AG26" s="14"/>
      <c r="AL26"/>
      <c r="AM26" s="14"/>
      <c r="AO26" s="275"/>
      <c r="AQ26" s="14"/>
      <c r="AR26"/>
    </row>
    <row r="27" spans="1:44" x14ac:dyDescent="0.25">
      <c r="A27" s="590">
        <f t="shared" si="4"/>
        <v>46082</v>
      </c>
      <c r="B27" s="275">
        <f t="shared" si="5"/>
        <v>94952.95</v>
      </c>
      <c r="C27" s="14">
        <f t="shared" si="1"/>
        <v>625.80999999999995</v>
      </c>
      <c r="D27" s="14">
        <f t="shared" si="6"/>
        <v>329.07999999999993</v>
      </c>
      <c r="E27" s="14">
        <f t="shared" si="2"/>
        <v>296.73</v>
      </c>
      <c r="I27" s="275">
        <f t="shared" si="9"/>
        <v>2907.97</v>
      </c>
      <c r="J27" s="275">
        <f t="shared" si="10"/>
        <v>2402.35</v>
      </c>
      <c r="K27" s="275">
        <f t="shared" si="7"/>
        <v>94623.87</v>
      </c>
      <c r="L27" s="386">
        <f t="shared" si="3"/>
        <v>0</v>
      </c>
      <c r="M27" s="386">
        <f t="shared" si="8"/>
        <v>7</v>
      </c>
      <c r="N27" s="590">
        <f>INDEX(tblSubjectToLoan[Date],ROW()-ROW(tblContractForDeed[#Headers]))</f>
        <v>46082</v>
      </c>
      <c r="O27" s="275">
        <f>IF(ROW()=ROW(tblContractForDeed[#Headers])+1,$O$6,IF(INDEX(tblContractForDeed[End Bal],ROW()-ROW(tblContractForDeed[#Headers])-1)&lt;0,0,INDEX(tblContractForDeed[End Bal],ROW()-ROW(tblContractForDeed[#Headers])-1)))</f>
        <v>75258</v>
      </c>
      <c r="P27" s="445">
        <f>IF(tblContractForDeed[[#This Row],[Date]]="","",IF(tblContractForDeed[[#This Row],[Date]]&lt;cfdRateChangeDate,cfdRate1,cfdRate2))</f>
        <v>6.25E-2</v>
      </c>
      <c r="Q2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75">
        <f>IF(tblContractForDeed[[#This Row],[Payment]]=0,0,MAX(0,MIN(tblContractForDeed[[#This Row],[Beg]],tblContractForDeed[[#This Row],[Payment]]-tblContractForDeed[[#This Row],[Int]])))</f>
        <v>0</v>
      </c>
      <c r="S27" s="275">
        <f>IF(OR(tblContractForDeed[[#This Row],[Date]]&lt;cfdContractDate,tblContractForDeed[[#This Row],[Date]]&gt;cfdEndDate),0,ROUND(tblContractForDeed[[#This Row],[Beg]]*(tblContractForDeed[[#This Row],[Int Rate]]/12),2))</f>
        <v>0</v>
      </c>
      <c r="T27" s="275">
        <f>IF(tblContractForDeed[[#This Row],[Payment]]=0,0,$W$2)</f>
        <v>0</v>
      </c>
      <c r="U27" s="275">
        <f>IF(tblContractForDeed[[#This Row],[Princ]]=0,0,$W$3)</f>
        <v>0</v>
      </c>
      <c r="V27" s="275">
        <f>SUM(tblContractForDeed[[#This Row],[Princ]],tblContractForDeed[[#This Row],[Int]],tblContractForDeed[[#This Row],[Ins]],tblContractForDeed[[#This Row],[Taxes]])</f>
        <v>0</v>
      </c>
      <c r="W27" s="275">
        <f>SUM(INDEX(tblContractForDeed[Princ],1):INDEX(tblContractForDeed[Princ],ROW()-ROW(tblContractForDeed[#Headers])))</f>
        <v>0</v>
      </c>
      <c r="X27" s="275">
        <f>IF(tblContractForDeed[[#This Row],[Beg]]&lt;=0,0,tblContractForDeed[[#This Row],[Beg]]-tblContractForDeed[[#This Row],[Princ]])</f>
        <v>75258</v>
      </c>
      <c r="Y2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54">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75">
        <f>IF(INDEX(tblContractForDeed[End Bal],ROW()-ROW(tblBuyerOutputs[#Headers]))&lt;=0,0,($O$6+IF(ROW()=ROW(tblBuyerOutputs[#Headers])+1,0,INDEX(tblBuyerOutputs[Cumul Appr],ROW()-ROW(tblBuyerOutputs[#Headers])-1)))*$O$2/12)</f>
        <v>322.83605895320972</v>
      </c>
      <c r="AE27" s="275">
        <f>IF(INDEX(tblContractForDeed[End Bal],ROW()-ROW(tblBuyerOutputs[#Headers]))&lt;=0,0,IF(ROW()=ROW(tblBuyerOutputs[#Headers])+1,0,INDEX(tblBuyerOutputs[Cumul Appr],ROW()-ROW(tblBuyerOutputs[#Headers])-1))+tblBuyerOutputs[[#This Row],[Monthly Appr]])</f>
        <v>2545.4902077235329</v>
      </c>
      <c r="AF27" s="22"/>
      <c r="AG27" s="14"/>
      <c r="AL27"/>
      <c r="AM27" s="14"/>
      <c r="AO27" s="275"/>
      <c r="AQ27" s="14"/>
      <c r="AR27"/>
    </row>
    <row r="28" spans="1:44" x14ac:dyDescent="0.25">
      <c r="A28" s="590">
        <f t="shared" si="4"/>
        <v>46113</v>
      </c>
      <c r="B28" s="275">
        <f t="shared" si="5"/>
        <v>94623.87</v>
      </c>
      <c r="C28" s="14">
        <f t="shared" si="1"/>
        <v>625.80999999999995</v>
      </c>
      <c r="D28" s="14">
        <f t="shared" si="6"/>
        <v>330.10999999999996</v>
      </c>
      <c r="E28" s="14">
        <f t="shared" si="2"/>
        <v>295.7</v>
      </c>
      <c r="I28" s="275">
        <f t="shared" si="9"/>
        <v>3238.08</v>
      </c>
      <c r="J28" s="275">
        <f t="shared" si="10"/>
        <v>2698.0499999999997</v>
      </c>
      <c r="K28" s="275">
        <f t="shared" si="7"/>
        <v>94293.759999999995</v>
      </c>
      <c r="L28" s="386">
        <f t="shared" si="3"/>
        <v>0</v>
      </c>
      <c r="M28" s="386">
        <f t="shared" si="8"/>
        <v>8</v>
      </c>
      <c r="N28" s="590">
        <f>INDEX(tblSubjectToLoan[Date],ROW()-ROW(tblContractForDeed[#Headers]))</f>
        <v>46113</v>
      </c>
      <c r="O28" s="275">
        <f>IF(ROW()=ROW(tblContractForDeed[#Headers])+1,$O$6,IF(INDEX(tblContractForDeed[End Bal],ROW()-ROW(tblContractForDeed[#Headers])-1)&lt;0,0,INDEX(tblContractForDeed[End Bal],ROW()-ROW(tblContractForDeed[#Headers])-1)))</f>
        <v>75258</v>
      </c>
      <c r="P28" s="445">
        <f>IF(tblContractForDeed[[#This Row],[Date]]="","",IF(tblContractForDeed[[#This Row],[Date]]&lt;cfdRateChangeDate,cfdRate1,cfdRate2))</f>
        <v>6.25E-2</v>
      </c>
      <c r="Q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75">
        <f>IF(tblContractForDeed[[#This Row],[Payment]]=0,0,MAX(0,MIN(tblContractForDeed[[#This Row],[Beg]],tblContractForDeed[[#This Row],[Payment]]-tblContractForDeed[[#This Row],[Int]])))</f>
        <v>0</v>
      </c>
      <c r="S28" s="275">
        <f>IF(OR(tblContractForDeed[[#This Row],[Date]]&lt;cfdContractDate,tblContractForDeed[[#This Row],[Date]]&gt;cfdEndDate),0,ROUND(tblContractForDeed[[#This Row],[Beg]]*(tblContractForDeed[[#This Row],[Int Rate]]/12),2))</f>
        <v>0</v>
      </c>
      <c r="T28" s="275">
        <f>IF(tblContractForDeed[[#This Row],[Payment]]=0,0,$W$2)</f>
        <v>0</v>
      </c>
      <c r="U28" s="275">
        <f>IF(tblContractForDeed[[#This Row],[Princ]]=0,0,$W$3)</f>
        <v>0</v>
      </c>
      <c r="V28" s="275">
        <f>SUM(tblContractForDeed[[#This Row],[Princ]],tblContractForDeed[[#This Row],[Int]],tblContractForDeed[[#This Row],[Ins]],tblContractForDeed[[#This Row],[Taxes]])</f>
        <v>0</v>
      </c>
      <c r="W28" s="275">
        <f>SUM(INDEX(tblContractForDeed[Princ],1):INDEX(tblContractForDeed[Princ],ROW()-ROW(tblContractForDeed[#Headers])))</f>
        <v>0</v>
      </c>
      <c r="X28" s="275">
        <f>IF(tblContractForDeed[[#This Row],[Beg]]&lt;=0,0,tblContractForDeed[[#This Row],[Beg]]-tblContractForDeed[[#This Row],[Princ]])</f>
        <v>75258</v>
      </c>
      <c r="Y2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54">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75">
        <f>IF(INDEX(tblContractForDeed[End Bal],ROW()-ROW(tblBuyerOutputs[#Headers]))&lt;=0,0,($O$6+IF(ROW()=ROW(tblBuyerOutputs[#Headers])+1,0,INDEX(tblBuyerOutputs[Cumul Appr],ROW()-ROW(tblBuyerOutputs[#Headers])-1)))*$O$2/12)</f>
        <v>324.18120919884808</v>
      </c>
      <c r="AE28" s="275">
        <f>IF(INDEX(tblContractForDeed[End Bal],ROW()-ROW(tblBuyerOutputs[#Headers]))&lt;=0,0,IF(ROW()=ROW(tblBuyerOutputs[#Headers])+1,0,INDEX(tblBuyerOutputs[Cumul Appr],ROW()-ROW(tblBuyerOutputs[#Headers])-1))+tblBuyerOutputs[[#This Row],[Monthly Appr]])</f>
        <v>2869.671416922381</v>
      </c>
      <c r="AF28" s="22"/>
      <c r="AG28" s="14"/>
      <c r="AL28"/>
      <c r="AM28" s="14"/>
      <c r="AO28" s="275"/>
      <c r="AQ28" s="14"/>
      <c r="AR28"/>
    </row>
    <row r="29" spans="1:44" x14ac:dyDescent="0.25">
      <c r="A29" s="590">
        <f t="shared" si="4"/>
        <v>46143</v>
      </c>
      <c r="B29" s="275">
        <f t="shared" si="5"/>
        <v>94293.759999999995</v>
      </c>
      <c r="C29" s="14">
        <f t="shared" si="1"/>
        <v>625.80999999999995</v>
      </c>
      <c r="D29" s="14">
        <f t="shared" si="6"/>
        <v>331.13999999999993</v>
      </c>
      <c r="E29" s="14">
        <f t="shared" si="2"/>
        <v>294.67</v>
      </c>
      <c r="I29" s="275">
        <f t="shared" si="9"/>
        <v>3569.22</v>
      </c>
      <c r="J29" s="275">
        <f t="shared" si="10"/>
        <v>2992.72</v>
      </c>
      <c r="K29" s="275">
        <f t="shared" si="7"/>
        <v>93962.62</v>
      </c>
      <c r="L29" s="386">
        <f t="shared" si="3"/>
        <v>0</v>
      </c>
      <c r="M29" s="386">
        <f t="shared" si="8"/>
        <v>9</v>
      </c>
      <c r="N29" s="590">
        <f>INDEX(tblSubjectToLoan[Date],ROW()-ROW(tblContractForDeed[#Headers]))</f>
        <v>46143</v>
      </c>
      <c r="O29" s="275">
        <f>IF(ROW()=ROW(tblContractForDeed[#Headers])+1,$O$6,IF(INDEX(tblContractForDeed[End Bal],ROW()-ROW(tblContractForDeed[#Headers])-1)&lt;0,0,INDEX(tblContractForDeed[End Bal],ROW()-ROW(tblContractForDeed[#Headers])-1)))</f>
        <v>75258</v>
      </c>
      <c r="P29" s="445">
        <f>IF(tblContractForDeed[[#This Row],[Date]]="","",IF(tblContractForDeed[[#This Row],[Date]]&lt;cfdRateChangeDate,cfdRate1,cfdRate2))</f>
        <v>6.25E-2</v>
      </c>
      <c r="Q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75">
        <f>IF(tblContractForDeed[[#This Row],[Payment]]=0,0,MAX(0,MIN(tblContractForDeed[[#This Row],[Beg]],tblContractForDeed[[#This Row],[Payment]]-tblContractForDeed[[#This Row],[Int]])))</f>
        <v>0</v>
      </c>
      <c r="S29" s="275">
        <f>IF(OR(tblContractForDeed[[#This Row],[Date]]&lt;cfdContractDate,tblContractForDeed[[#This Row],[Date]]&gt;cfdEndDate),0,ROUND(tblContractForDeed[[#This Row],[Beg]]*(tblContractForDeed[[#This Row],[Int Rate]]/12),2))</f>
        <v>0</v>
      </c>
      <c r="T29" s="275">
        <f>IF(tblContractForDeed[[#This Row],[Payment]]=0,0,$W$2)</f>
        <v>0</v>
      </c>
      <c r="U29" s="275">
        <f>IF(tblContractForDeed[[#This Row],[Princ]]=0,0,$W$3)</f>
        <v>0</v>
      </c>
      <c r="V29" s="275">
        <f>SUM(tblContractForDeed[[#This Row],[Princ]],tblContractForDeed[[#This Row],[Int]],tblContractForDeed[[#This Row],[Ins]],tblContractForDeed[[#This Row],[Taxes]])</f>
        <v>0</v>
      </c>
      <c r="W29" s="275">
        <f>SUM(INDEX(tblContractForDeed[Princ],1):INDEX(tblContractForDeed[Princ],ROW()-ROW(tblContractForDeed[#Headers])))</f>
        <v>0</v>
      </c>
      <c r="X29" s="275">
        <f>IF(tblContractForDeed[[#This Row],[Beg]]&lt;=0,0,tblContractForDeed[[#This Row],[Beg]]-tblContractForDeed[[#This Row],[Princ]])</f>
        <v>75258</v>
      </c>
      <c r="Y2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54">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75">
        <f>IF(INDEX(tblContractForDeed[End Bal],ROW()-ROW(tblBuyerOutputs[#Headers]))&lt;=0,0,($O$6+IF(ROW()=ROW(tblBuyerOutputs[#Headers])+1,0,INDEX(tblBuyerOutputs[Cumul Appr],ROW()-ROW(tblBuyerOutputs[#Headers])-1)))*$O$2/12)</f>
        <v>325.53196423717662</v>
      </c>
      <c r="AE29" s="275">
        <f>IF(INDEX(tblContractForDeed[End Bal],ROW()-ROW(tblBuyerOutputs[#Headers]))&lt;=0,0,IF(ROW()=ROW(tblBuyerOutputs[#Headers])+1,0,INDEX(tblBuyerOutputs[Cumul Appr],ROW()-ROW(tblBuyerOutputs[#Headers])-1))+tblBuyerOutputs[[#This Row],[Monthly Appr]])</f>
        <v>3195.2033811595575</v>
      </c>
      <c r="AF29" s="22"/>
      <c r="AG29" s="14"/>
      <c r="AL29"/>
      <c r="AM29" s="14"/>
      <c r="AO29" s="275"/>
      <c r="AQ29" s="14"/>
      <c r="AR29"/>
    </row>
    <row r="30" spans="1:44" x14ac:dyDescent="0.25">
      <c r="A30" s="590">
        <f t="shared" si="4"/>
        <v>46174</v>
      </c>
      <c r="B30" s="275">
        <f t="shared" si="5"/>
        <v>93962.62</v>
      </c>
      <c r="C30" s="14">
        <f t="shared" si="1"/>
        <v>625.80999999999995</v>
      </c>
      <c r="D30" s="14">
        <f t="shared" si="6"/>
        <v>332.17999999999995</v>
      </c>
      <c r="E30" s="14">
        <f t="shared" si="2"/>
        <v>293.63</v>
      </c>
      <c r="I30" s="275">
        <f t="shared" si="9"/>
        <v>3901.3999999999996</v>
      </c>
      <c r="J30" s="275">
        <f t="shared" si="10"/>
        <v>3286.35</v>
      </c>
      <c r="K30" s="275">
        <f t="shared" si="7"/>
        <v>93630.44</v>
      </c>
      <c r="L30" s="386">
        <f t="shared" si="3"/>
        <v>0</v>
      </c>
      <c r="M30" s="386">
        <f t="shared" si="8"/>
        <v>10</v>
      </c>
      <c r="N30" s="590">
        <f>INDEX(tblSubjectToLoan[Date],ROW()-ROW(tblContractForDeed[#Headers]))</f>
        <v>46174</v>
      </c>
      <c r="O30" s="275">
        <f>IF(ROW()=ROW(tblContractForDeed[#Headers])+1,$O$6,IF(INDEX(tblContractForDeed[End Bal],ROW()-ROW(tblContractForDeed[#Headers])-1)&lt;0,0,INDEX(tblContractForDeed[End Bal],ROW()-ROW(tblContractForDeed[#Headers])-1)))</f>
        <v>75258</v>
      </c>
      <c r="P30" s="445">
        <f>IF(tblContractForDeed[[#This Row],[Date]]="","",IF(tblContractForDeed[[#This Row],[Date]]&lt;cfdRateChangeDate,cfdRate1,cfdRate2))</f>
        <v>6.25E-2</v>
      </c>
      <c r="Q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75">
        <f>IF(tblContractForDeed[[#This Row],[Payment]]=0,0,MAX(0,MIN(tblContractForDeed[[#This Row],[Beg]],tblContractForDeed[[#This Row],[Payment]]-tblContractForDeed[[#This Row],[Int]])))</f>
        <v>0</v>
      </c>
      <c r="S30" s="275">
        <f>IF(OR(tblContractForDeed[[#This Row],[Date]]&lt;cfdContractDate,tblContractForDeed[[#This Row],[Date]]&gt;cfdEndDate),0,ROUND(tblContractForDeed[[#This Row],[Beg]]*(tblContractForDeed[[#This Row],[Int Rate]]/12),2))</f>
        <v>0</v>
      </c>
      <c r="T30" s="275">
        <f>IF(tblContractForDeed[[#This Row],[Payment]]=0,0,$W$2)</f>
        <v>0</v>
      </c>
      <c r="U30" s="275">
        <f>IF(tblContractForDeed[[#This Row],[Princ]]=0,0,$W$3)</f>
        <v>0</v>
      </c>
      <c r="V30" s="275">
        <f>SUM(tblContractForDeed[[#This Row],[Princ]],tblContractForDeed[[#This Row],[Int]],tblContractForDeed[[#This Row],[Ins]],tblContractForDeed[[#This Row],[Taxes]])</f>
        <v>0</v>
      </c>
      <c r="W30" s="275">
        <f>SUM(INDEX(tblContractForDeed[Princ],1):INDEX(tblContractForDeed[Princ],ROW()-ROW(tblContractForDeed[#Headers])))</f>
        <v>0</v>
      </c>
      <c r="X30" s="275">
        <f>IF(tblContractForDeed[[#This Row],[Beg]]&lt;=0,0,tblContractForDeed[[#This Row],[Beg]]-tblContractForDeed[[#This Row],[Princ]])</f>
        <v>75258</v>
      </c>
      <c r="Y3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54">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75">
        <f>IF(INDEX(tblContractForDeed[End Bal],ROW()-ROW(tblBuyerOutputs[#Headers]))&lt;=0,0,($O$6+IF(ROW()=ROW(tblBuyerOutputs[#Headers])+1,0,INDEX(tblBuyerOutputs[Cumul Appr],ROW()-ROW(tblBuyerOutputs[#Headers])-1)))*$O$2/12)</f>
        <v>326.88834742149817</v>
      </c>
      <c r="AE30" s="275">
        <f>IF(INDEX(tblContractForDeed[End Bal],ROW()-ROW(tblBuyerOutputs[#Headers]))&lt;=0,0,IF(ROW()=ROW(tblBuyerOutputs[#Headers])+1,0,INDEX(tblBuyerOutputs[Cumul Appr],ROW()-ROW(tblBuyerOutputs[#Headers])-1))+tblBuyerOutputs[[#This Row],[Monthly Appr]])</f>
        <v>3522.0917285810556</v>
      </c>
      <c r="AF30" s="22"/>
      <c r="AG30" s="14"/>
      <c r="AL30"/>
      <c r="AM30" s="14"/>
      <c r="AO30" s="275"/>
      <c r="AQ30" s="14"/>
      <c r="AR30"/>
    </row>
    <row r="31" spans="1:44" ht="15.75" thickBot="1" x14ac:dyDescent="0.3">
      <c r="A31" s="591">
        <f t="shared" si="4"/>
        <v>46204</v>
      </c>
      <c r="B31" s="326">
        <f t="shared" si="5"/>
        <v>93630.44</v>
      </c>
      <c r="C31" s="21">
        <f t="shared" si="1"/>
        <v>625.80999999999995</v>
      </c>
      <c r="D31" s="21">
        <f t="shared" si="6"/>
        <v>333.20999999999992</v>
      </c>
      <c r="E31" s="21">
        <f t="shared" si="2"/>
        <v>292.60000000000002</v>
      </c>
      <c r="F31" s="21"/>
      <c r="G31" s="21"/>
      <c r="H31" s="21"/>
      <c r="I31" s="326">
        <f t="shared" si="9"/>
        <v>4234.6099999999997</v>
      </c>
      <c r="J31" s="326">
        <f t="shared" si="10"/>
        <v>3578.95</v>
      </c>
      <c r="K31" s="326">
        <f t="shared" si="7"/>
        <v>93297.23</v>
      </c>
      <c r="L31" s="387">
        <f t="shared" si="3"/>
        <v>0</v>
      </c>
      <c r="M31" s="387">
        <f t="shared" si="8"/>
        <v>11</v>
      </c>
      <c r="N31" s="591">
        <f>INDEX(tblSubjectToLoan[Date],ROW()-ROW(tblContractForDeed[#Headers]))</f>
        <v>46204</v>
      </c>
      <c r="O31" s="326">
        <f>IF(ROW()=ROW(tblContractForDeed[#Headers])+1,$O$6,IF(INDEX(tblContractForDeed[End Bal],ROW()-ROW(tblContractForDeed[#Headers])-1)&lt;0,0,INDEX(tblContractForDeed[End Bal],ROW()-ROW(tblContractForDeed[#Headers])-1)))</f>
        <v>75258</v>
      </c>
      <c r="P31" s="445">
        <f>IF(tblContractForDeed[[#This Row],[Date]]="","",IF(tblContractForDeed[[#This Row],[Date]]&lt;cfdRateChangeDate,cfdRate1,cfdRate2))</f>
        <v>6.25E-2</v>
      </c>
      <c r="Q3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1" s="326">
        <f>IF(tblContractForDeed[[#This Row],[Payment]]=0,0,MAX(0,MIN(tblContractForDeed[[#This Row],[Beg]],tblContractForDeed[[#This Row],[Payment]]-tblContractForDeed[[#This Row],[Int]])))</f>
        <v>253.30999999999995</v>
      </c>
      <c r="S31" s="326">
        <f>IF(OR(tblContractForDeed[[#This Row],[Date]]&lt;cfdContractDate,tblContractForDeed[[#This Row],[Date]]&gt;cfdEndDate),0,ROUND(tblContractForDeed[[#This Row],[Beg]]*(tblContractForDeed[[#This Row],[Int Rate]]/12),2))</f>
        <v>391.97</v>
      </c>
      <c r="T31" s="326">
        <f>IF(tblContractForDeed[[#This Row],[Payment]]=0,0,$W$2)</f>
        <v>134.16999999999999</v>
      </c>
      <c r="U31" s="326">
        <f>IF(tblContractForDeed[[#This Row],[Princ]]=0,0,$W$3)</f>
        <v>188.55</v>
      </c>
      <c r="V31" s="326">
        <f>SUM(tblContractForDeed[[#This Row],[Princ]],tblContractForDeed[[#This Row],[Int]],tblContractForDeed[[#This Row],[Ins]],tblContractForDeed[[#This Row],[Taxes]])</f>
        <v>968</v>
      </c>
      <c r="W31" s="326">
        <f>SUM(INDEX(tblContractForDeed[Princ],1):INDEX(tblContractForDeed[Princ],ROW()-ROW(tblContractForDeed[#Headers])))</f>
        <v>253.30999999999995</v>
      </c>
      <c r="X31" s="326">
        <f>IF(tblContractForDeed[[#This Row],[Beg]]&lt;=0,0,tblContractForDeed[[#This Row],[Beg]]-tblContractForDeed[[#This Row],[Princ]])</f>
        <v>75004.69</v>
      </c>
      <c r="Y31"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1" s="455">
        <f>IF(INDEX(tblContractForDeed[Payment],ROW()-ROW(tblBuyerOutputs[#Headers]))=0,0,INDEX(tblContractForDeed[Payment],ROW()-ROW(tblBuyerOutputs[#Headers]))-INDEX(tblSubjectToLoan[Payment],ROW()-ROW(tblBuyerOutputs[#Headers])))</f>
        <v>19.470000000000027</v>
      </c>
      <c r="AA31" s="23"/>
      <c r="AB31" s="21">
        <f>IF(INDEX(tblContractForDeed[Payment],ROW()-ROW(tblBuyerOutputs[#Headers]))=0,0,INDEX(tblContractForDeed[Payment],ROW()-ROW(tblBuyerOutputs[#Headers]))-INDEX(tblSubjectToLoan[Payment],ROW()-ROW(tblBuyerOutputs[#Headers])))-IFERROR(tblBuyerOutputs[[#This Row],[PMI]],0)</f>
        <v>19.470000000000027</v>
      </c>
      <c r="AC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19.470000000000027</v>
      </c>
      <c r="AD31" s="326">
        <f>IF(INDEX(tblContractForDeed[End Bal],ROW()-ROW(tblBuyerOutputs[#Headers]))&lt;=0,0,($O$6+IF(ROW()=ROW(tblBuyerOutputs[#Headers])+1,0,INDEX(tblBuyerOutputs[Cumul Appr],ROW()-ROW(tblBuyerOutputs[#Headers])-1)))*$O$2/12)</f>
        <v>328.25038220242112</v>
      </c>
      <c r="AE31" s="275">
        <f>IF(INDEX(tblContractForDeed[End Bal],ROW()-ROW(tblBuyerOutputs[#Headers]))&lt;=0,0,IF(ROW()=ROW(tblBuyerOutputs[#Headers])+1,0,INDEX(tblBuyerOutputs[Cumul Appr],ROW()-ROW(tblBuyerOutputs[#Headers])-1))+tblBuyerOutputs[[#This Row],[Monthly Appr]])</f>
        <v>3850.3421107834765</v>
      </c>
      <c r="AF31" s="22"/>
      <c r="AG31" s="14"/>
      <c r="AL31"/>
      <c r="AM31" s="14"/>
      <c r="AO31" s="275"/>
      <c r="AQ31" s="14"/>
      <c r="AR31"/>
    </row>
    <row r="32" spans="1:44" x14ac:dyDescent="0.25">
      <c r="A32" s="590">
        <f t="shared" si="4"/>
        <v>46235</v>
      </c>
      <c r="B32" s="275">
        <f t="shared" si="5"/>
        <v>93297.23</v>
      </c>
      <c r="C32" s="14">
        <f t="shared" si="1"/>
        <v>625.80999999999995</v>
      </c>
      <c r="D32" s="14">
        <f t="shared" si="6"/>
        <v>334.25999999999993</v>
      </c>
      <c r="E32" s="14">
        <f t="shared" si="2"/>
        <v>291.55</v>
      </c>
      <c r="I32" s="275">
        <f t="shared" si="9"/>
        <v>4568.87</v>
      </c>
      <c r="J32" s="275">
        <f t="shared" si="10"/>
        <v>3870.5</v>
      </c>
      <c r="K32" s="275">
        <f t="shared" si="7"/>
        <v>92962.97</v>
      </c>
      <c r="L32" s="386">
        <f t="shared" si="3"/>
        <v>1</v>
      </c>
      <c r="M32" s="386">
        <f t="shared" si="8"/>
        <v>12</v>
      </c>
      <c r="N32" s="590">
        <f>INDEX(tblSubjectToLoan[Date],ROW()-ROW(tblContractForDeed[#Headers]))</f>
        <v>46235</v>
      </c>
      <c r="O32" s="275">
        <f>IF(ROW()=ROW(tblContractForDeed[#Headers])+1,$O$6,IF(INDEX(tblContractForDeed[End Bal],ROW()-ROW(tblContractForDeed[#Headers])-1)&lt;0,0,INDEX(tblContractForDeed[End Bal],ROW()-ROW(tblContractForDeed[#Headers])-1)))</f>
        <v>75004.69</v>
      </c>
      <c r="P32" s="445">
        <f>IF(tblContractForDeed[[#This Row],[Date]]="","",IF(tblContractForDeed[[#This Row],[Date]]&lt;cfdRateChangeDate,cfdRate1,cfdRate2))</f>
        <v>6.25E-2</v>
      </c>
      <c r="Q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2" s="275">
        <f>IF(tblContractForDeed[[#This Row],[Payment]]=0,0,MAX(0,MIN(tblContractForDeed[[#This Row],[Beg]],tblContractForDeed[[#This Row],[Payment]]-tblContractForDeed[[#This Row],[Int]])))</f>
        <v>254.63</v>
      </c>
      <c r="S32" s="275">
        <f>IF(OR(tblContractForDeed[[#This Row],[Date]]&lt;cfdContractDate,tblContractForDeed[[#This Row],[Date]]&gt;cfdEndDate),0,ROUND(tblContractForDeed[[#This Row],[Beg]]*(tblContractForDeed[[#This Row],[Int Rate]]/12),2))</f>
        <v>390.65</v>
      </c>
      <c r="T32" s="275">
        <f>IF(tblContractForDeed[[#This Row],[Payment]]=0,0,$W$2)</f>
        <v>134.16999999999999</v>
      </c>
      <c r="U32" s="275">
        <f>IF(tblContractForDeed[[#This Row],[Princ]]=0,0,$W$3)</f>
        <v>188.55</v>
      </c>
      <c r="V32" s="275">
        <f>SUM(tblContractForDeed[[#This Row],[Princ]],tblContractForDeed[[#This Row],[Int]],tblContractForDeed[[#This Row],[Ins]],tblContractForDeed[[#This Row],[Taxes]])</f>
        <v>968</v>
      </c>
      <c r="W32" s="275">
        <f>SUM(INDEX(tblContractForDeed[Princ],1):INDEX(tblContractForDeed[Princ],ROW()-ROW(tblContractForDeed[#Headers])))</f>
        <v>507.93999999999994</v>
      </c>
      <c r="X32" s="275">
        <f>IF(tblContractForDeed[[#This Row],[Beg]]&lt;=0,0,tblContractForDeed[[#This Row],[Beg]]-tblContractForDeed[[#This Row],[Princ]])</f>
        <v>74750.06</v>
      </c>
      <c r="Y3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2" s="454">
        <f>IF(INDEX(tblContractForDeed[Payment],ROW()-ROW(tblBuyerOutputs[#Headers]))=0,0,INDEX(tblContractForDeed[Payment],ROW()-ROW(tblBuyerOutputs[#Headers]))-INDEX(tblSubjectToLoan[Payment],ROW()-ROW(tblBuyerOutputs[#Headers])))</f>
        <v>19.470000000000027</v>
      </c>
      <c r="AA32"/>
      <c r="AB32" s="14">
        <f>IF(INDEX(tblContractForDeed[Payment],ROW()-ROW(tblBuyerOutputs[#Headers]))=0,0,INDEX(tblContractForDeed[Payment],ROW()-ROW(tblBuyerOutputs[#Headers]))-INDEX(tblSubjectToLoan[Payment],ROW()-ROW(tblBuyerOutputs[#Headers])))-IFERROR(tblBuyerOutputs[[#This Row],[PMI]],0)</f>
        <v>19.470000000000027</v>
      </c>
      <c r="AC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38.940000000000055</v>
      </c>
      <c r="AD32" s="275">
        <f>IF(INDEX(tblContractForDeed[End Bal],ROW()-ROW(tblBuyerOutputs[#Headers]))&lt;=0,0,($O$6+IF(ROW()=ROW(tblBuyerOutputs[#Headers])+1,0,INDEX(tblBuyerOutputs[Cumul Appr],ROW()-ROW(tblBuyerOutputs[#Headers])-1)))*$O$2/12)</f>
        <v>329.61809212826449</v>
      </c>
      <c r="AE32" s="275">
        <f>IF(INDEX(tblContractForDeed[End Bal],ROW()-ROW(tblBuyerOutputs[#Headers]))&lt;=0,0,IF(ROW()=ROW(tblBuyerOutputs[#Headers])+1,0,INDEX(tblBuyerOutputs[Cumul Appr],ROW()-ROW(tblBuyerOutputs[#Headers])-1))+tblBuyerOutputs[[#This Row],[Monthly Appr]])</f>
        <v>4179.9602029117414</v>
      </c>
      <c r="AF32" s="22"/>
      <c r="AG32" s="14"/>
      <c r="AL32"/>
      <c r="AM32" s="14"/>
      <c r="AO32" s="275"/>
      <c r="AQ32" s="14"/>
      <c r="AR32"/>
    </row>
    <row r="33" spans="1:44" x14ac:dyDescent="0.25">
      <c r="A33" s="590">
        <f t="shared" si="4"/>
        <v>46266</v>
      </c>
      <c r="B33" s="275">
        <f t="shared" si="5"/>
        <v>92962.97</v>
      </c>
      <c r="C33" s="14">
        <f t="shared" si="1"/>
        <v>625.80999999999995</v>
      </c>
      <c r="D33" s="14">
        <f t="shared" si="6"/>
        <v>335.29999999999995</v>
      </c>
      <c r="E33" s="14">
        <f t="shared" si="2"/>
        <v>290.51</v>
      </c>
      <c r="I33" s="275">
        <f t="shared" si="9"/>
        <v>4904.17</v>
      </c>
      <c r="J33" s="275">
        <f t="shared" si="10"/>
        <v>4161.01</v>
      </c>
      <c r="K33" s="275">
        <f t="shared" si="7"/>
        <v>92627.67</v>
      </c>
      <c r="L33" s="386">
        <f t="shared" si="3"/>
        <v>1</v>
      </c>
      <c r="M33" s="386">
        <f t="shared" si="8"/>
        <v>13</v>
      </c>
      <c r="N33" s="590">
        <f>INDEX(tblSubjectToLoan[Date],ROW()-ROW(tblContractForDeed[#Headers]))</f>
        <v>46266</v>
      </c>
      <c r="O33" s="275">
        <f>IF(ROW()=ROW(tblContractForDeed[#Headers])+1,$O$6,IF(INDEX(tblContractForDeed[End Bal],ROW()-ROW(tblContractForDeed[#Headers])-1)&lt;0,0,INDEX(tblContractForDeed[End Bal],ROW()-ROW(tblContractForDeed[#Headers])-1)))</f>
        <v>74750.06</v>
      </c>
      <c r="P33" s="445">
        <f>IF(tblContractForDeed[[#This Row],[Date]]="","",IF(tblContractForDeed[[#This Row],[Date]]&lt;cfdRateChangeDate,cfdRate1,cfdRate2))</f>
        <v>6.25E-2</v>
      </c>
      <c r="Q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3" s="275">
        <f>IF(tblContractForDeed[[#This Row],[Payment]]=0,0,MAX(0,MIN(tblContractForDeed[[#This Row],[Beg]],tblContractForDeed[[#This Row],[Payment]]-tblContractForDeed[[#This Row],[Int]])))</f>
        <v>255.95999999999998</v>
      </c>
      <c r="S33" s="275">
        <f>IF(OR(tblContractForDeed[[#This Row],[Date]]&lt;cfdContractDate,tblContractForDeed[[#This Row],[Date]]&gt;cfdEndDate),0,ROUND(tblContractForDeed[[#This Row],[Beg]]*(tblContractForDeed[[#This Row],[Int Rate]]/12),2))</f>
        <v>389.32</v>
      </c>
      <c r="T33" s="275">
        <f>IF(tblContractForDeed[[#This Row],[Payment]]=0,0,$W$2)</f>
        <v>134.16999999999999</v>
      </c>
      <c r="U33" s="275">
        <f>IF(tblContractForDeed[[#This Row],[Princ]]=0,0,$W$3)</f>
        <v>188.55</v>
      </c>
      <c r="V33" s="275">
        <f>SUM(tblContractForDeed[[#This Row],[Princ]],tblContractForDeed[[#This Row],[Int]],tblContractForDeed[[#This Row],[Ins]],tblContractForDeed[[#This Row],[Taxes]])</f>
        <v>968</v>
      </c>
      <c r="W33" s="275">
        <f>SUM(INDEX(tblContractForDeed[Princ],1):INDEX(tblContractForDeed[Princ],ROW()-ROW(tblContractForDeed[#Headers])))</f>
        <v>763.89999999999986</v>
      </c>
      <c r="X33" s="275">
        <f>IF(tblContractForDeed[[#This Row],[Beg]]&lt;=0,0,tblContractForDeed[[#This Row],[Beg]]-tblContractForDeed[[#This Row],[Princ]])</f>
        <v>74494.099999999991</v>
      </c>
      <c r="Y3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3" s="454">
        <f>IF(INDEX(tblContractForDeed[Payment],ROW()-ROW(tblBuyerOutputs[#Headers]))=0,0,INDEX(tblContractForDeed[Payment],ROW()-ROW(tblBuyerOutputs[#Headers]))-INDEX(tblSubjectToLoan[Payment],ROW()-ROW(tblBuyerOutputs[#Headers])))</f>
        <v>19.470000000000027</v>
      </c>
      <c r="AA33"/>
      <c r="AB33" s="14">
        <f>IF(INDEX(tblContractForDeed[Payment],ROW()-ROW(tblBuyerOutputs[#Headers]))=0,0,INDEX(tblContractForDeed[Payment],ROW()-ROW(tblBuyerOutputs[#Headers]))-INDEX(tblSubjectToLoan[Payment],ROW()-ROW(tblBuyerOutputs[#Headers])))-IFERROR(tblBuyerOutputs[[#This Row],[PMI]],0)</f>
        <v>19.470000000000027</v>
      </c>
      <c r="AC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58.410000000000082</v>
      </c>
      <c r="AD33" s="275">
        <f>IF(INDEX(tblContractForDeed[End Bal],ROW()-ROW(tblBuyerOutputs[#Headers]))&lt;=0,0,($O$6+IF(ROW()=ROW(tblBuyerOutputs[#Headers])+1,0,INDEX(tblBuyerOutputs[Cumul Appr],ROW()-ROW(tblBuyerOutputs[#Headers])-1)))*$O$2/12)</f>
        <v>330.99150084546562</v>
      </c>
      <c r="AE33" s="275">
        <f>IF(INDEX(tblContractForDeed[End Bal],ROW()-ROW(tblBuyerOutputs[#Headers]))&lt;=0,0,IF(ROW()=ROW(tblBuyerOutputs[#Headers])+1,0,INDEX(tblBuyerOutputs[Cumul Appr],ROW()-ROW(tblBuyerOutputs[#Headers])-1))+tblBuyerOutputs[[#This Row],[Monthly Appr]])</f>
        <v>4510.9517037572068</v>
      </c>
      <c r="AF33" s="22"/>
      <c r="AG33" s="14"/>
      <c r="AL33"/>
      <c r="AM33" s="14"/>
      <c r="AO33" s="275"/>
      <c r="AQ33" s="14"/>
      <c r="AR33"/>
    </row>
    <row r="34" spans="1:44" x14ac:dyDescent="0.25">
      <c r="A34" s="590">
        <f t="shared" si="4"/>
        <v>46296</v>
      </c>
      <c r="B34" s="275">
        <f t="shared" si="5"/>
        <v>92627.67</v>
      </c>
      <c r="C34" s="14">
        <f t="shared" si="1"/>
        <v>625.80999999999995</v>
      </c>
      <c r="D34" s="14">
        <f t="shared" si="6"/>
        <v>336.34999999999997</v>
      </c>
      <c r="E34" s="14">
        <f t="shared" si="2"/>
        <v>289.45999999999998</v>
      </c>
      <c r="I34" s="275">
        <f t="shared" si="9"/>
        <v>5240.5200000000004</v>
      </c>
      <c r="J34" s="275">
        <f t="shared" si="10"/>
        <v>4450.47</v>
      </c>
      <c r="K34" s="275">
        <f t="shared" si="7"/>
        <v>92291.319999999992</v>
      </c>
      <c r="L34" s="386">
        <f t="shared" si="3"/>
        <v>1</v>
      </c>
      <c r="M34" s="386">
        <f t="shared" si="8"/>
        <v>14</v>
      </c>
      <c r="N34" s="590">
        <f>INDEX(tblSubjectToLoan[Date],ROW()-ROW(tblContractForDeed[#Headers]))</f>
        <v>46296</v>
      </c>
      <c r="O34" s="275">
        <f>IF(ROW()=ROW(tblContractForDeed[#Headers])+1,$O$6,IF(INDEX(tblContractForDeed[End Bal],ROW()-ROW(tblContractForDeed[#Headers])-1)&lt;0,0,INDEX(tblContractForDeed[End Bal],ROW()-ROW(tblContractForDeed[#Headers])-1)))</f>
        <v>74494.099999999991</v>
      </c>
      <c r="P34" s="445">
        <f>IF(tblContractForDeed[[#This Row],[Date]]="","",IF(tblContractForDeed[[#This Row],[Date]]&lt;cfdRateChangeDate,cfdRate1,cfdRate2))</f>
        <v>6.25E-2</v>
      </c>
      <c r="Q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4" s="275">
        <f>IF(tblContractForDeed[[#This Row],[Payment]]=0,0,MAX(0,MIN(tblContractForDeed[[#This Row],[Beg]],tblContractForDeed[[#This Row],[Payment]]-tblContractForDeed[[#This Row],[Int]])))</f>
        <v>257.28999999999996</v>
      </c>
      <c r="S34" s="275">
        <f>IF(OR(tblContractForDeed[[#This Row],[Date]]&lt;cfdContractDate,tblContractForDeed[[#This Row],[Date]]&gt;cfdEndDate),0,ROUND(tblContractForDeed[[#This Row],[Beg]]*(tblContractForDeed[[#This Row],[Int Rate]]/12),2))</f>
        <v>387.99</v>
      </c>
      <c r="T34" s="275">
        <f>IF(tblContractForDeed[[#This Row],[Payment]]=0,0,$W$2)</f>
        <v>134.16999999999999</v>
      </c>
      <c r="U34" s="275">
        <f>IF(tblContractForDeed[[#This Row],[Princ]]=0,0,$W$3)</f>
        <v>188.55</v>
      </c>
      <c r="V34" s="275">
        <f>SUM(tblContractForDeed[[#This Row],[Princ]],tblContractForDeed[[#This Row],[Int]],tblContractForDeed[[#This Row],[Ins]],tblContractForDeed[[#This Row],[Taxes]])</f>
        <v>968</v>
      </c>
      <c r="W34" s="275">
        <f>SUM(INDEX(tblContractForDeed[Princ],1):INDEX(tblContractForDeed[Princ],ROW()-ROW(tblContractForDeed[#Headers])))</f>
        <v>1021.1899999999998</v>
      </c>
      <c r="X34" s="275">
        <f>IF(tblContractForDeed[[#This Row],[Beg]]&lt;=0,0,tblContractForDeed[[#This Row],[Beg]]-tblContractForDeed[[#This Row],[Princ]])</f>
        <v>74236.81</v>
      </c>
      <c r="Y3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4" s="454">
        <f>IF(INDEX(tblContractForDeed[Payment],ROW()-ROW(tblBuyerOutputs[#Headers]))=0,0,INDEX(tblContractForDeed[Payment],ROW()-ROW(tblBuyerOutputs[#Headers]))-INDEX(tblSubjectToLoan[Payment],ROW()-ROW(tblBuyerOutputs[#Headers])))</f>
        <v>19.470000000000027</v>
      </c>
      <c r="AA34"/>
      <c r="AB34" s="14">
        <f>IF(INDEX(tblContractForDeed[Payment],ROW()-ROW(tblBuyerOutputs[#Headers]))=0,0,INDEX(tblContractForDeed[Payment],ROW()-ROW(tblBuyerOutputs[#Headers]))-INDEX(tblSubjectToLoan[Payment],ROW()-ROW(tblBuyerOutputs[#Headers])))-IFERROR(tblBuyerOutputs[[#This Row],[PMI]],0)</f>
        <v>19.470000000000027</v>
      </c>
      <c r="AC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77.880000000000109</v>
      </c>
      <c r="AD34" s="275">
        <f>IF(INDEX(tblContractForDeed[End Bal],ROW()-ROW(tblBuyerOutputs[#Headers]))&lt;=0,0,($O$6+IF(ROW()=ROW(tblBuyerOutputs[#Headers])+1,0,INDEX(tblBuyerOutputs[Cumul Appr],ROW()-ROW(tblBuyerOutputs[#Headers])-1)))*$O$2/12)</f>
        <v>332.37063209898838</v>
      </c>
      <c r="AE34" s="275">
        <f>IF(INDEX(tblContractForDeed[End Bal],ROW()-ROW(tblBuyerOutputs[#Headers]))&lt;=0,0,IF(ROW()=ROW(tblBuyerOutputs[#Headers])+1,0,INDEX(tblBuyerOutputs[Cumul Appr],ROW()-ROW(tblBuyerOutputs[#Headers])-1))+tblBuyerOutputs[[#This Row],[Monthly Appr]])</f>
        <v>4843.3223358561954</v>
      </c>
      <c r="AF34" s="22"/>
      <c r="AG34" s="14"/>
      <c r="AL34"/>
      <c r="AM34" s="14"/>
      <c r="AO34" s="275"/>
      <c r="AQ34" s="14"/>
      <c r="AR34"/>
    </row>
    <row r="35" spans="1:44" x14ac:dyDescent="0.25">
      <c r="A35" s="590">
        <f t="shared" si="4"/>
        <v>46327</v>
      </c>
      <c r="B35" s="275">
        <f t="shared" si="5"/>
        <v>92291.319999999992</v>
      </c>
      <c r="C35" s="14">
        <f t="shared" si="1"/>
        <v>625.80999999999995</v>
      </c>
      <c r="D35" s="14">
        <f t="shared" si="6"/>
        <v>337.39999999999992</v>
      </c>
      <c r="E35" s="14">
        <f t="shared" si="2"/>
        <v>288.41000000000003</v>
      </c>
      <c r="I35" s="275">
        <f t="shared" si="9"/>
        <v>5577.92</v>
      </c>
      <c r="J35" s="275">
        <f t="shared" si="10"/>
        <v>4738.88</v>
      </c>
      <c r="K35" s="275">
        <f t="shared" si="7"/>
        <v>91953.919999999998</v>
      </c>
      <c r="L35" s="386">
        <f t="shared" si="3"/>
        <v>1</v>
      </c>
      <c r="M35" s="386">
        <f t="shared" si="8"/>
        <v>15</v>
      </c>
      <c r="N35" s="590">
        <f>INDEX(tblSubjectToLoan[Date],ROW()-ROW(tblContractForDeed[#Headers]))</f>
        <v>46327</v>
      </c>
      <c r="O35" s="275">
        <f>IF(ROW()=ROW(tblContractForDeed[#Headers])+1,$O$6,IF(INDEX(tblContractForDeed[End Bal],ROW()-ROW(tblContractForDeed[#Headers])-1)&lt;0,0,INDEX(tblContractForDeed[End Bal],ROW()-ROW(tblContractForDeed[#Headers])-1)))</f>
        <v>74236.81</v>
      </c>
      <c r="P35" s="445">
        <f>IF(tblContractForDeed[[#This Row],[Date]]="","",IF(tblContractForDeed[[#This Row],[Date]]&lt;cfdRateChangeDate,cfdRate1,cfdRate2))</f>
        <v>6.25E-2</v>
      </c>
      <c r="Q3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5" s="275">
        <f>IF(tblContractForDeed[[#This Row],[Payment]]=0,0,MAX(0,MIN(tblContractForDeed[[#This Row],[Beg]],tblContractForDeed[[#This Row],[Payment]]-tblContractForDeed[[#This Row],[Int]])))</f>
        <v>258.63</v>
      </c>
      <c r="S35" s="275">
        <f>IF(OR(tblContractForDeed[[#This Row],[Date]]&lt;cfdContractDate,tblContractForDeed[[#This Row],[Date]]&gt;cfdEndDate),0,ROUND(tblContractForDeed[[#This Row],[Beg]]*(tblContractForDeed[[#This Row],[Int Rate]]/12),2))</f>
        <v>386.65</v>
      </c>
      <c r="T35" s="275">
        <f>IF(tblContractForDeed[[#This Row],[Payment]]=0,0,$W$2)</f>
        <v>134.16999999999999</v>
      </c>
      <c r="U35" s="275">
        <f>IF(tblContractForDeed[[#This Row],[Princ]]=0,0,$W$3)</f>
        <v>188.55</v>
      </c>
      <c r="V35" s="275">
        <f>SUM(tblContractForDeed[[#This Row],[Princ]],tblContractForDeed[[#This Row],[Int]],tblContractForDeed[[#This Row],[Ins]],tblContractForDeed[[#This Row],[Taxes]])</f>
        <v>968</v>
      </c>
      <c r="W35" s="275">
        <f>SUM(INDEX(tblContractForDeed[Princ],1):INDEX(tblContractForDeed[Princ],ROW()-ROW(tblContractForDeed[#Headers])))</f>
        <v>1279.8199999999997</v>
      </c>
      <c r="X35" s="275">
        <f>IF(tblContractForDeed[[#This Row],[Beg]]&lt;=0,0,tblContractForDeed[[#This Row],[Beg]]-tblContractForDeed[[#This Row],[Princ]])</f>
        <v>73978.179999999993</v>
      </c>
      <c r="Y3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5" s="454">
        <f>IF(INDEX(tblContractForDeed[Payment],ROW()-ROW(tblBuyerOutputs[#Headers]))=0,0,INDEX(tblContractForDeed[Payment],ROW()-ROW(tblBuyerOutputs[#Headers]))-INDEX(tblSubjectToLoan[Payment],ROW()-ROW(tblBuyerOutputs[#Headers])))</f>
        <v>19.470000000000027</v>
      </c>
      <c r="AA35"/>
      <c r="AB35" s="14">
        <f>IF(INDEX(tblContractForDeed[Payment],ROW()-ROW(tblBuyerOutputs[#Headers]))=0,0,INDEX(tblContractForDeed[Payment],ROW()-ROW(tblBuyerOutputs[#Headers]))-INDEX(tblSubjectToLoan[Payment],ROW()-ROW(tblBuyerOutputs[#Headers])))-IFERROR(tblBuyerOutputs[[#This Row],[PMI]],0)</f>
        <v>19.470000000000027</v>
      </c>
      <c r="AC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97.350000000000136</v>
      </c>
      <c r="AD35" s="275">
        <f>IF(INDEX(tblContractForDeed[End Bal],ROW()-ROW(tblBuyerOutputs[#Headers]))&lt;=0,0,($O$6+IF(ROW()=ROW(tblBuyerOutputs[#Headers])+1,0,INDEX(tblBuyerOutputs[Cumul Appr],ROW()-ROW(tblBuyerOutputs[#Headers])-1)))*$O$2/12)</f>
        <v>333.7555097327342</v>
      </c>
      <c r="AE35" s="275">
        <f>IF(INDEX(tblContractForDeed[End Bal],ROW()-ROW(tblBuyerOutputs[#Headers]))&lt;=0,0,IF(ROW()=ROW(tblBuyerOutputs[#Headers])+1,0,INDEX(tblBuyerOutputs[Cumul Appr],ROW()-ROW(tblBuyerOutputs[#Headers])-1))+tblBuyerOutputs[[#This Row],[Monthly Appr]])</f>
        <v>5177.0778455889294</v>
      </c>
      <c r="AF35" s="22"/>
      <c r="AG35" s="14"/>
      <c r="AL35"/>
      <c r="AM35" s="14"/>
      <c r="AO35" s="275"/>
      <c r="AQ35" s="14"/>
      <c r="AR35"/>
    </row>
    <row r="36" spans="1:44" x14ac:dyDescent="0.25">
      <c r="A36" s="590">
        <f t="shared" si="4"/>
        <v>46357</v>
      </c>
      <c r="B36" s="275">
        <f t="shared" si="5"/>
        <v>91953.919999999998</v>
      </c>
      <c r="C36" s="14">
        <f t="shared" si="1"/>
        <v>625.80999999999995</v>
      </c>
      <c r="D36" s="14">
        <f t="shared" si="6"/>
        <v>338.44999999999993</v>
      </c>
      <c r="E36" s="14">
        <f t="shared" si="2"/>
        <v>287.36</v>
      </c>
      <c r="I36" s="275">
        <f t="shared" si="9"/>
        <v>5916.37</v>
      </c>
      <c r="J36" s="275">
        <f t="shared" si="10"/>
        <v>5026.24</v>
      </c>
      <c r="K36" s="275">
        <f t="shared" si="7"/>
        <v>91615.47</v>
      </c>
      <c r="L36" s="386">
        <f t="shared" si="3"/>
        <v>1</v>
      </c>
      <c r="M36" s="386">
        <f t="shared" si="8"/>
        <v>16</v>
      </c>
      <c r="N36" s="590">
        <f>INDEX(tblSubjectToLoan[Date],ROW()-ROW(tblContractForDeed[#Headers]))</f>
        <v>46357</v>
      </c>
      <c r="O36" s="275">
        <f>IF(ROW()=ROW(tblContractForDeed[#Headers])+1,$O$6,IF(INDEX(tblContractForDeed[End Bal],ROW()-ROW(tblContractForDeed[#Headers])-1)&lt;0,0,INDEX(tblContractForDeed[End Bal],ROW()-ROW(tblContractForDeed[#Headers])-1)))</f>
        <v>73978.179999999993</v>
      </c>
      <c r="P36" s="445">
        <f>IF(tblContractForDeed[[#This Row],[Date]]="","",IF(tblContractForDeed[[#This Row],[Date]]&lt;cfdRateChangeDate,cfdRate1,cfdRate2))</f>
        <v>6.25E-2</v>
      </c>
      <c r="Q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6" s="275">
        <f>IF(tblContractForDeed[[#This Row],[Payment]]=0,0,MAX(0,MIN(tblContractForDeed[[#This Row],[Beg]],tblContractForDeed[[#This Row],[Payment]]-tblContractForDeed[[#This Row],[Int]])))</f>
        <v>259.97999999999996</v>
      </c>
      <c r="S36" s="275">
        <f>IF(OR(tblContractForDeed[[#This Row],[Date]]&lt;cfdContractDate,tblContractForDeed[[#This Row],[Date]]&gt;cfdEndDate),0,ROUND(tblContractForDeed[[#This Row],[Beg]]*(tblContractForDeed[[#This Row],[Int Rate]]/12),2))</f>
        <v>385.3</v>
      </c>
      <c r="T36" s="275">
        <f>IF(tblContractForDeed[[#This Row],[Payment]]=0,0,$W$2)</f>
        <v>134.16999999999999</v>
      </c>
      <c r="U36" s="275">
        <f>IF(tblContractForDeed[[#This Row],[Princ]]=0,0,$W$3)</f>
        <v>188.55</v>
      </c>
      <c r="V36" s="275">
        <f>SUM(tblContractForDeed[[#This Row],[Princ]],tblContractForDeed[[#This Row],[Int]],tblContractForDeed[[#This Row],[Ins]],tblContractForDeed[[#This Row],[Taxes]])</f>
        <v>968</v>
      </c>
      <c r="W36" s="275">
        <f>SUM(INDEX(tblContractForDeed[Princ],1):INDEX(tblContractForDeed[Princ],ROW()-ROW(tblContractForDeed[#Headers])))</f>
        <v>1539.7999999999997</v>
      </c>
      <c r="X36" s="275">
        <f>IF(tblContractForDeed[[#This Row],[Beg]]&lt;=0,0,tblContractForDeed[[#This Row],[Beg]]-tblContractForDeed[[#This Row],[Princ]])</f>
        <v>73718.2</v>
      </c>
      <c r="Y3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6" s="454">
        <f>IF(INDEX(tblContractForDeed[Payment],ROW()-ROW(tblBuyerOutputs[#Headers]))=0,0,INDEX(tblContractForDeed[Payment],ROW()-ROW(tblBuyerOutputs[#Headers]))-INDEX(tblSubjectToLoan[Payment],ROW()-ROW(tblBuyerOutputs[#Headers])))</f>
        <v>19.470000000000027</v>
      </c>
      <c r="AA36"/>
      <c r="AB36" s="14">
        <f>IF(INDEX(tblContractForDeed[Payment],ROW()-ROW(tblBuyerOutputs[#Headers]))=0,0,INDEX(tblContractForDeed[Payment],ROW()-ROW(tblBuyerOutputs[#Headers]))-INDEX(tblSubjectToLoan[Payment],ROW()-ROW(tblBuyerOutputs[#Headers])))-IFERROR(tblBuyerOutputs[[#This Row],[PMI]],0)</f>
        <v>19.470000000000027</v>
      </c>
      <c r="AC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116.82000000000016</v>
      </c>
      <c r="AD36" s="275">
        <f>IF(INDEX(tblContractForDeed[End Bal],ROW()-ROW(tblBuyerOutputs[#Headers]))&lt;=0,0,($O$6+IF(ROW()=ROW(tblBuyerOutputs[#Headers])+1,0,INDEX(tblBuyerOutputs[Cumul Appr],ROW()-ROW(tblBuyerOutputs[#Headers])-1)))*$O$2/12)</f>
        <v>335.1461576899539</v>
      </c>
      <c r="AE36" s="275">
        <f>IF(INDEX(tblContractForDeed[End Bal],ROW()-ROW(tblBuyerOutputs[#Headers]))&lt;=0,0,IF(ROW()=ROW(tblBuyerOutputs[#Headers])+1,0,INDEX(tblBuyerOutputs[Cumul Appr],ROW()-ROW(tblBuyerOutputs[#Headers])-1))+tblBuyerOutputs[[#This Row],[Monthly Appr]])</f>
        <v>5512.2240032788832</v>
      </c>
      <c r="AF36" s="22"/>
      <c r="AG36" s="14"/>
      <c r="AL36"/>
      <c r="AM36" s="14"/>
      <c r="AO36" s="275"/>
      <c r="AQ36" s="14"/>
      <c r="AR36"/>
    </row>
    <row r="37" spans="1:44" x14ac:dyDescent="0.25">
      <c r="A37" s="590">
        <f t="shared" si="4"/>
        <v>46388</v>
      </c>
      <c r="B37" s="275">
        <f t="shared" si="5"/>
        <v>91615.47</v>
      </c>
      <c r="C37" s="14">
        <f t="shared" si="1"/>
        <v>625.80999999999995</v>
      </c>
      <c r="D37" s="14">
        <f t="shared" si="6"/>
        <v>339.50999999999993</v>
      </c>
      <c r="E37" s="14">
        <f t="shared" si="2"/>
        <v>286.3</v>
      </c>
      <c r="I37" s="275">
        <f t="shared" si="9"/>
        <v>6255.88</v>
      </c>
      <c r="J37" s="275">
        <f t="shared" si="10"/>
        <v>5312.54</v>
      </c>
      <c r="K37" s="275">
        <f t="shared" si="7"/>
        <v>91275.96</v>
      </c>
      <c r="L37" s="386">
        <f t="shared" si="3"/>
        <v>1</v>
      </c>
      <c r="M37" s="386">
        <f t="shared" si="8"/>
        <v>17</v>
      </c>
      <c r="N37" s="590">
        <f>INDEX(tblSubjectToLoan[Date],ROW()-ROW(tblContractForDeed[#Headers]))</f>
        <v>46388</v>
      </c>
      <c r="O37" s="275">
        <f>IF(ROW()=ROW(tblContractForDeed[#Headers])+1,$O$6,IF(INDEX(tblContractForDeed[End Bal],ROW()-ROW(tblContractForDeed[#Headers])-1)&lt;0,0,INDEX(tblContractForDeed[End Bal],ROW()-ROW(tblContractForDeed[#Headers])-1)))</f>
        <v>73718.2</v>
      </c>
      <c r="P37" s="445">
        <f>IF(tblContractForDeed[[#This Row],[Date]]="","",IF(tblContractForDeed[[#This Row],[Date]]&lt;cfdRateChangeDate,cfdRate1,cfdRate2))</f>
        <v>6.25E-2</v>
      </c>
      <c r="Q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7" s="275">
        <f>IF(tblContractForDeed[[#This Row],[Payment]]=0,0,MAX(0,MIN(tblContractForDeed[[#This Row],[Beg]],tblContractForDeed[[#This Row],[Payment]]-tblContractForDeed[[#This Row],[Int]])))</f>
        <v>261.33</v>
      </c>
      <c r="S37" s="275">
        <f>IF(OR(tblContractForDeed[[#This Row],[Date]]&lt;cfdContractDate,tblContractForDeed[[#This Row],[Date]]&gt;cfdEndDate),0,ROUND(tblContractForDeed[[#This Row],[Beg]]*(tblContractForDeed[[#This Row],[Int Rate]]/12),2))</f>
        <v>383.95</v>
      </c>
      <c r="T37" s="275">
        <f>IF(tblContractForDeed[[#This Row],[Payment]]=0,0,$W$2)</f>
        <v>134.16999999999999</v>
      </c>
      <c r="U37" s="275">
        <f>IF(tblContractForDeed[[#This Row],[Princ]]=0,0,$W$3)</f>
        <v>188.55</v>
      </c>
      <c r="V37" s="275">
        <f>SUM(tblContractForDeed[[#This Row],[Princ]],tblContractForDeed[[#This Row],[Int]],tblContractForDeed[[#This Row],[Ins]],tblContractForDeed[[#This Row],[Taxes]])</f>
        <v>968</v>
      </c>
      <c r="W37" s="275">
        <f>SUM(INDEX(tblContractForDeed[Princ],1):INDEX(tblContractForDeed[Princ],ROW()-ROW(tblContractForDeed[#Headers])))</f>
        <v>1801.1299999999997</v>
      </c>
      <c r="X37" s="275">
        <f>IF(tblContractForDeed[[#This Row],[Beg]]&lt;=0,0,tblContractForDeed[[#This Row],[Beg]]-tblContractForDeed[[#This Row],[Princ]])</f>
        <v>73456.87</v>
      </c>
      <c r="Y3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7" s="454">
        <f>IF(INDEX(tblContractForDeed[Payment],ROW()-ROW(tblBuyerOutputs[#Headers]))=0,0,INDEX(tblContractForDeed[Payment],ROW()-ROW(tblBuyerOutputs[#Headers]))-INDEX(tblSubjectToLoan[Payment],ROW()-ROW(tblBuyerOutputs[#Headers])))</f>
        <v>19.470000000000027</v>
      </c>
      <c r="AA37"/>
      <c r="AB37" s="14">
        <f>IF(INDEX(tblContractForDeed[Payment],ROW()-ROW(tblBuyerOutputs[#Headers]))=0,0,INDEX(tblContractForDeed[Payment],ROW()-ROW(tblBuyerOutputs[#Headers]))-INDEX(tblSubjectToLoan[Payment],ROW()-ROW(tblBuyerOutputs[#Headers])))-IFERROR(tblBuyerOutputs[[#This Row],[PMI]],0)</f>
        <v>19.470000000000027</v>
      </c>
      <c r="AC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136.29000000000019</v>
      </c>
      <c r="AD37" s="275">
        <f>IF(INDEX(tblContractForDeed[End Bal],ROW()-ROW(tblBuyerOutputs[#Headers]))&lt;=0,0,($O$6+IF(ROW()=ROW(tblBuyerOutputs[#Headers])+1,0,INDEX(tblBuyerOutputs[Cumul Appr],ROW()-ROW(tblBuyerOutputs[#Headers])-1)))*$O$2/12)</f>
        <v>336.54260001366202</v>
      </c>
      <c r="AE37" s="275">
        <f>IF(INDEX(tblContractForDeed[End Bal],ROW()-ROW(tblBuyerOutputs[#Headers]))&lt;=0,0,IF(ROW()=ROW(tblBuyerOutputs[#Headers])+1,0,INDEX(tblBuyerOutputs[Cumul Appr],ROW()-ROW(tblBuyerOutputs[#Headers])-1))+tblBuyerOutputs[[#This Row],[Monthly Appr]])</f>
        <v>5848.7666032925454</v>
      </c>
      <c r="AF37" s="22"/>
      <c r="AG37" s="14"/>
      <c r="AL37"/>
      <c r="AM37" s="14"/>
      <c r="AO37" s="275"/>
      <c r="AQ37" s="14"/>
      <c r="AR37"/>
    </row>
    <row r="38" spans="1:44" x14ac:dyDescent="0.25">
      <c r="A38" s="590">
        <f t="shared" si="4"/>
        <v>46419</v>
      </c>
      <c r="B38" s="275">
        <f t="shared" si="5"/>
        <v>91275.96</v>
      </c>
      <c r="C38" s="14">
        <f t="shared" si="1"/>
        <v>625.80999999999995</v>
      </c>
      <c r="D38" s="14">
        <f t="shared" si="6"/>
        <v>340.56999999999994</v>
      </c>
      <c r="E38" s="14">
        <f t="shared" si="2"/>
        <v>285.24</v>
      </c>
      <c r="I38" s="275">
        <f t="shared" si="9"/>
        <v>6596.45</v>
      </c>
      <c r="J38" s="275">
        <f t="shared" si="10"/>
        <v>5597.78</v>
      </c>
      <c r="K38" s="275">
        <f t="shared" si="7"/>
        <v>90935.39</v>
      </c>
      <c r="L38" s="386">
        <f t="shared" si="3"/>
        <v>1</v>
      </c>
      <c r="M38" s="386">
        <f t="shared" si="8"/>
        <v>18</v>
      </c>
      <c r="N38" s="590">
        <f>INDEX(tblSubjectToLoan[Date],ROW()-ROW(tblContractForDeed[#Headers]))</f>
        <v>46419</v>
      </c>
      <c r="O38" s="275">
        <f>IF(ROW()=ROW(tblContractForDeed[#Headers])+1,$O$6,IF(INDEX(tblContractForDeed[End Bal],ROW()-ROW(tblContractForDeed[#Headers])-1)&lt;0,0,INDEX(tblContractForDeed[End Bal],ROW()-ROW(tblContractForDeed[#Headers])-1)))</f>
        <v>73456.87</v>
      </c>
      <c r="P38" s="445">
        <f>IF(tblContractForDeed[[#This Row],[Date]]="","",IF(tblContractForDeed[[#This Row],[Date]]&lt;cfdRateChangeDate,cfdRate1,cfdRate2))</f>
        <v>6.25E-2</v>
      </c>
      <c r="Q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8" s="275">
        <f>IF(tblContractForDeed[[#This Row],[Payment]]=0,0,MAX(0,MIN(tblContractForDeed[[#This Row],[Beg]],tblContractForDeed[[#This Row],[Payment]]-tblContractForDeed[[#This Row],[Int]])))</f>
        <v>262.69</v>
      </c>
      <c r="S38" s="275">
        <f>IF(OR(tblContractForDeed[[#This Row],[Date]]&lt;cfdContractDate,tblContractForDeed[[#This Row],[Date]]&gt;cfdEndDate),0,ROUND(tblContractForDeed[[#This Row],[Beg]]*(tblContractForDeed[[#This Row],[Int Rate]]/12),2))</f>
        <v>382.59</v>
      </c>
      <c r="T38" s="275">
        <f>IF(tblContractForDeed[[#This Row],[Payment]]=0,0,$W$2)</f>
        <v>134.16999999999999</v>
      </c>
      <c r="U38" s="275">
        <f>IF(tblContractForDeed[[#This Row],[Princ]]=0,0,$W$3)</f>
        <v>188.55</v>
      </c>
      <c r="V38" s="275">
        <f>SUM(tblContractForDeed[[#This Row],[Princ]],tblContractForDeed[[#This Row],[Int]],tblContractForDeed[[#This Row],[Ins]],tblContractForDeed[[#This Row],[Taxes]])</f>
        <v>968</v>
      </c>
      <c r="W38" s="275">
        <f>SUM(INDEX(tblContractForDeed[Princ],1):INDEX(tblContractForDeed[Princ],ROW()-ROW(tblContractForDeed[#Headers])))</f>
        <v>2063.8199999999997</v>
      </c>
      <c r="X38" s="275">
        <f>IF(tblContractForDeed[[#This Row],[Beg]]&lt;=0,0,tblContractForDeed[[#This Row],[Beg]]-tblContractForDeed[[#This Row],[Princ]])</f>
        <v>73194.179999999993</v>
      </c>
      <c r="Y3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8" s="454">
        <f>IF(INDEX(tblContractForDeed[Payment],ROW()-ROW(tblBuyerOutputs[#Headers]))=0,0,INDEX(tblContractForDeed[Payment],ROW()-ROW(tblBuyerOutputs[#Headers]))-INDEX(tblSubjectToLoan[Payment],ROW()-ROW(tblBuyerOutputs[#Headers])))</f>
        <v>19.470000000000027</v>
      </c>
      <c r="AA38"/>
      <c r="AB38" s="14">
        <f>IF(INDEX(tblContractForDeed[Payment],ROW()-ROW(tblBuyerOutputs[#Headers]))=0,0,INDEX(tblContractForDeed[Payment],ROW()-ROW(tblBuyerOutputs[#Headers]))-INDEX(tblSubjectToLoan[Payment],ROW()-ROW(tblBuyerOutputs[#Headers])))-IFERROR(tblBuyerOutputs[[#This Row],[PMI]],0)</f>
        <v>19.470000000000027</v>
      </c>
      <c r="AC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155.76000000000022</v>
      </c>
      <c r="AD38" s="275">
        <f>IF(INDEX(tblContractForDeed[End Bal],ROW()-ROW(tblBuyerOutputs[#Headers]))&lt;=0,0,($O$6+IF(ROW()=ROW(tblBuyerOutputs[#Headers])+1,0,INDEX(tblBuyerOutputs[Cumul Appr],ROW()-ROW(tblBuyerOutputs[#Headers])-1)))*$O$2/12)</f>
        <v>337.94486084705233</v>
      </c>
      <c r="AE38" s="275">
        <f>IF(INDEX(tblContractForDeed[End Bal],ROW()-ROW(tblBuyerOutputs[#Headers]))&lt;=0,0,IF(ROW()=ROW(tblBuyerOutputs[#Headers])+1,0,INDEX(tblBuyerOutputs[Cumul Appr],ROW()-ROW(tblBuyerOutputs[#Headers])-1))+tblBuyerOutputs[[#This Row],[Monthly Appr]])</f>
        <v>6186.7114641395974</v>
      </c>
      <c r="AF38" s="22"/>
      <c r="AG38" s="14"/>
      <c r="AL38"/>
      <c r="AM38" s="14"/>
      <c r="AO38" s="275"/>
      <c r="AQ38" s="14"/>
      <c r="AR38"/>
    </row>
    <row r="39" spans="1:44" x14ac:dyDescent="0.25">
      <c r="A39" s="590">
        <f t="shared" si="4"/>
        <v>46447</v>
      </c>
      <c r="B39" s="275">
        <f t="shared" si="5"/>
        <v>90935.39</v>
      </c>
      <c r="C39" s="14">
        <f t="shared" si="1"/>
        <v>625.80999999999995</v>
      </c>
      <c r="D39" s="14">
        <f t="shared" si="6"/>
        <v>341.63999999999993</v>
      </c>
      <c r="E39" s="14">
        <f t="shared" si="2"/>
        <v>284.17</v>
      </c>
      <c r="I39" s="275">
        <f t="shared" si="9"/>
        <v>6938.09</v>
      </c>
      <c r="J39" s="275">
        <f t="shared" si="10"/>
        <v>5881.95</v>
      </c>
      <c r="K39" s="275">
        <f t="shared" si="7"/>
        <v>90593.75</v>
      </c>
      <c r="L39" s="386">
        <f t="shared" si="3"/>
        <v>1</v>
      </c>
      <c r="M39" s="386">
        <f t="shared" si="8"/>
        <v>19</v>
      </c>
      <c r="N39" s="590">
        <f>INDEX(tblSubjectToLoan[Date],ROW()-ROW(tblContractForDeed[#Headers]))</f>
        <v>46447</v>
      </c>
      <c r="O39" s="275">
        <f>IF(ROW()=ROW(tblContractForDeed[#Headers])+1,$O$6,IF(INDEX(tblContractForDeed[End Bal],ROW()-ROW(tblContractForDeed[#Headers])-1)&lt;0,0,INDEX(tblContractForDeed[End Bal],ROW()-ROW(tblContractForDeed[#Headers])-1)))</f>
        <v>73194.179999999993</v>
      </c>
      <c r="P39" s="445">
        <f>IF(tblContractForDeed[[#This Row],[Date]]="","",IF(tblContractForDeed[[#This Row],[Date]]&lt;cfdRateChangeDate,cfdRate1,cfdRate2))</f>
        <v>6.25E-2</v>
      </c>
      <c r="Q3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9" s="275">
        <f>IF(tblContractForDeed[[#This Row],[Payment]]=0,0,MAX(0,MIN(tblContractForDeed[[#This Row],[Beg]],tblContractForDeed[[#This Row],[Payment]]-tblContractForDeed[[#This Row],[Int]])))</f>
        <v>264.05999999999995</v>
      </c>
      <c r="S39" s="275">
        <f>IF(OR(tblContractForDeed[[#This Row],[Date]]&lt;cfdContractDate,tblContractForDeed[[#This Row],[Date]]&gt;cfdEndDate),0,ROUND(tblContractForDeed[[#This Row],[Beg]]*(tblContractForDeed[[#This Row],[Int Rate]]/12),2))</f>
        <v>381.22</v>
      </c>
      <c r="T39" s="275">
        <f>IF(tblContractForDeed[[#This Row],[Payment]]=0,0,$W$2)</f>
        <v>134.16999999999999</v>
      </c>
      <c r="U39" s="275">
        <f>IF(tblContractForDeed[[#This Row],[Princ]]=0,0,$W$3)</f>
        <v>188.55</v>
      </c>
      <c r="V39" s="275">
        <f>SUM(tblContractForDeed[[#This Row],[Princ]],tblContractForDeed[[#This Row],[Int]],tblContractForDeed[[#This Row],[Ins]],tblContractForDeed[[#This Row],[Taxes]])</f>
        <v>968</v>
      </c>
      <c r="W39" s="275">
        <f>SUM(INDEX(tblContractForDeed[Princ],1):INDEX(tblContractForDeed[Princ],ROW()-ROW(tblContractForDeed[#Headers])))</f>
        <v>2327.8799999999997</v>
      </c>
      <c r="X39" s="275">
        <f>IF(tblContractForDeed[[#This Row],[Beg]]&lt;=0,0,tblContractForDeed[[#This Row],[Beg]]-tblContractForDeed[[#This Row],[Princ]])</f>
        <v>72930.12</v>
      </c>
      <c r="Y3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39" s="454">
        <f>IF(INDEX(tblContractForDeed[Payment],ROW()-ROW(tblBuyerOutputs[#Headers]))=0,0,INDEX(tblContractForDeed[Payment],ROW()-ROW(tblBuyerOutputs[#Headers]))-INDEX(tblSubjectToLoan[Payment],ROW()-ROW(tblBuyerOutputs[#Headers])))</f>
        <v>19.470000000000027</v>
      </c>
      <c r="AA39"/>
      <c r="AB39" s="14">
        <f>IF(INDEX(tblContractForDeed[Payment],ROW()-ROW(tblBuyerOutputs[#Headers]))=0,0,INDEX(tblContractForDeed[Payment],ROW()-ROW(tblBuyerOutputs[#Headers]))-INDEX(tblSubjectToLoan[Payment],ROW()-ROW(tblBuyerOutputs[#Headers])))-IFERROR(tblBuyerOutputs[[#This Row],[PMI]],0)</f>
        <v>19.470000000000027</v>
      </c>
      <c r="AC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175.23000000000025</v>
      </c>
      <c r="AD39" s="275">
        <f>IF(INDEX(tblContractForDeed[End Bal],ROW()-ROW(tblBuyerOutputs[#Headers]))&lt;=0,0,($O$6+IF(ROW()=ROW(tblBuyerOutputs[#Headers])+1,0,INDEX(tblBuyerOutputs[Cumul Appr],ROW()-ROW(tblBuyerOutputs[#Headers])-1)))*$O$2/12)</f>
        <v>339.35296443391502</v>
      </c>
      <c r="AE39" s="275">
        <f>IF(INDEX(tblContractForDeed[End Bal],ROW()-ROW(tblBuyerOutputs[#Headers]))&lt;=0,0,IF(ROW()=ROW(tblBuyerOutputs[#Headers])+1,0,INDEX(tblBuyerOutputs[Cumul Appr],ROW()-ROW(tblBuyerOutputs[#Headers])-1))+tblBuyerOutputs[[#This Row],[Monthly Appr]])</f>
        <v>6526.0644285735125</v>
      </c>
      <c r="AF39" s="22"/>
      <c r="AG39" s="14"/>
      <c r="AL39"/>
      <c r="AM39" s="14"/>
      <c r="AO39" s="275"/>
      <c r="AQ39" s="14"/>
      <c r="AR39"/>
    </row>
    <row r="40" spans="1:44" x14ac:dyDescent="0.25">
      <c r="A40" s="590">
        <f t="shared" si="4"/>
        <v>46478</v>
      </c>
      <c r="B40" s="275">
        <f t="shared" si="5"/>
        <v>90593.75</v>
      </c>
      <c r="C40" s="14">
        <f t="shared" si="1"/>
        <v>625.80999999999995</v>
      </c>
      <c r="D40" s="14">
        <f t="shared" si="6"/>
        <v>342.69999999999993</v>
      </c>
      <c r="E40" s="14">
        <f t="shared" si="2"/>
        <v>283.11</v>
      </c>
      <c r="I40" s="275">
        <f t="shared" si="9"/>
        <v>7280.79</v>
      </c>
      <c r="J40" s="275">
        <f t="shared" si="10"/>
        <v>6165.0599999999995</v>
      </c>
      <c r="K40" s="275">
        <f t="shared" si="7"/>
        <v>90251.05</v>
      </c>
      <c r="L40" s="386">
        <f t="shared" si="3"/>
        <v>1</v>
      </c>
      <c r="M40" s="386">
        <f t="shared" si="8"/>
        <v>20</v>
      </c>
      <c r="N40" s="590">
        <f>INDEX(tblSubjectToLoan[Date],ROW()-ROW(tblContractForDeed[#Headers]))</f>
        <v>46478</v>
      </c>
      <c r="O40" s="275">
        <f>IF(ROW()=ROW(tblContractForDeed[#Headers])+1,$O$6,IF(INDEX(tblContractForDeed[End Bal],ROW()-ROW(tblContractForDeed[#Headers])-1)&lt;0,0,INDEX(tblContractForDeed[End Bal],ROW()-ROW(tblContractForDeed[#Headers])-1)))</f>
        <v>72930.12</v>
      </c>
      <c r="P40" s="445">
        <f>IF(tblContractForDeed[[#This Row],[Date]]="","",IF(tblContractForDeed[[#This Row],[Date]]&lt;cfdRateChangeDate,cfdRate1,cfdRate2))</f>
        <v>6.25E-2</v>
      </c>
      <c r="Q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0" s="275">
        <f>IF(tblContractForDeed[[#This Row],[Payment]]=0,0,MAX(0,MIN(tblContractForDeed[[#This Row],[Beg]],tblContractForDeed[[#This Row],[Payment]]-tblContractForDeed[[#This Row],[Int]])))</f>
        <v>265.44</v>
      </c>
      <c r="S40" s="275">
        <f>IF(OR(tblContractForDeed[[#This Row],[Date]]&lt;cfdContractDate,tblContractForDeed[[#This Row],[Date]]&gt;cfdEndDate),0,ROUND(tblContractForDeed[[#This Row],[Beg]]*(tblContractForDeed[[#This Row],[Int Rate]]/12),2))</f>
        <v>379.84</v>
      </c>
      <c r="T40" s="275">
        <f>IF(tblContractForDeed[[#This Row],[Payment]]=0,0,$W$2)</f>
        <v>134.16999999999999</v>
      </c>
      <c r="U40" s="275">
        <f>IF(tblContractForDeed[[#This Row],[Princ]]=0,0,$W$3)</f>
        <v>188.55</v>
      </c>
      <c r="V40" s="275">
        <f>SUM(tblContractForDeed[[#This Row],[Princ]],tblContractForDeed[[#This Row],[Int]],tblContractForDeed[[#This Row],[Ins]],tblContractForDeed[[#This Row],[Taxes]])</f>
        <v>968</v>
      </c>
      <c r="W40" s="275">
        <f>SUM(INDEX(tblContractForDeed[Princ],1):INDEX(tblContractForDeed[Princ],ROW()-ROW(tblContractForDeed[#Headers])))</f>
        <v>2593.3199999999997</v>
      </c>
      <c r="X40" s="275">
        <f>IF(tblContractForDeed[[#This Row],[Beg]]&lt;=0,0,tblContractForDeed[[#This Row],[Beg]]-tblContractForDeed[[#This Row],[Princ]])</f>
        <v>72664.679999999993</v>
      </c>
      <c r="Y4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0" s="454">
        <f>IF(INDEX(tblContractForDeed[Payment],ROW()-ROW(tblBuyerOutputs[#Headers]))=0,0,INDEX(tblContractForDeed[Payment],ROW()-ROW(tblBuyerOutputs[#Headers]))-INDEX(tblSubjectToLoan[Payment],ROW()-ROW(tblBuyerOutputs[#Headers])))</f>
        <v>19.470000000000027</v>
      </c>
      <c r="AA40"/>
      <c r="AB40" s="14">
        <f>IF(INDEX(tblContractForDeed[Payment],ROW()-ROW(tblBuyerOutputs[#Headers]))=0,0,INDEX(tblContractForDeed[Payment],ROW()-ROW(tblBuyerOutputs[#Headers]))-INDEX(tblSubjectToLoan[Payment],ROW()-ROW(tblBuyerOutputs[#Headers])))-IFERROR(tblBuyerOutputs[[#This Row],[PMI]],0)</f>
        <v>19.470000000000027</v>
      </c>
      <c r="AC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194.70000000000027</v>
      </c>
      <c r="AD40" s="275">
        <f>IF(INDEX(tblContractForDeed[End Bal],ROW()-ROW(tblBuyerOutputs[#Headers]))&lt;=0,0,($O$6+IF(ROW()=ROW(tblBuyerOutputs[#Headers])+1,0,INDEX(tblBuyerOutputs[Cumul Appr],ROW()-ROW(tblBuyerOutputs[#Headers])-1)))*$O$2/12)</f>
        <v>340.76693511905631</v>
      </c>
      <c r="AE40" s="275">
        <f>IF(INDEX(tblContractForDeed[End Bal],ROW()-ROW(tblBuyerOutputs[#Headers]))&lt;=0,0,IF(ROW()=ROW(tblBuyerOutputs[#Headers])+1,0,INDEX(tblBuyerOutputs[Cumul Appr],ROW()-ROW(tblBuyerOutputs[#Headers])-1))+tblBuyerOutputs[[#This Row],[Monthly Appr]])</f>
        <v>6866.8313636925686</v>
      </c>
      <c r="AF40" s="22"/>
      <c r="AG40" s="14"/>
      <c r="AL40"/>
      <c r="AM40" s="14"/>
      <c r="AO40" s="275"/>
      <c r="AQ40" s="14"/>
      <c r="AR40"/>
    </row>
    <row r="41" spans="1:44" x14ac:dyDescent="0.25">
      <c r="A41" s="590">
        <f t="shared" si="4"/>
        <v>46508</v>
      </c>
      <c r="B41" s="275">
        <f t="shared" si="5"/>
        <v>90251.05</v>
      </c>
      <c r="C41" s="14">
        <f t="shared" si="1"/>
        <v>625.80999999999995</v>
      </c>
      <c r="D41" s="14">
        <f t="shared" si="6"/>
        <v>343.78</v>
      </c>
      <c r="E41" s="14">
        <f t="shared" si="2"/>
        <v>282.02999999999997</v>
      </c>
      <c r="I41" s="275">
        <f t="shared" si="9"/>
        <v>7624.57</v>
      </c>
      <c r="J41" s="275">
        <f t="shared" si="10"/>
        <v>6447.0899999999992</v>
      </c>
      <c r="K41" s="275">
        <f t="shared" si="7"/>
        <v>89907.27</v>
      </c>
      <c r="L41" s="386">
        <f t="shared" si="3"/>
        <v>1</v>
      </c>
      <c r="M41" s="386">
        <f t="shared" si="8"/>
        <v>21</v>
      </c>
      <c r="N41" s="590">
        <f>INDEX(tblSubjectToLoan[Date],ROW()-ROW(tblContractForDeed[#Headers]))</f>
        <v>46508</v>
      </c>
      <c r="O41" s="275">
        <f>IF(ROW()=ROW(tblContractForDeed[#Headers])+1,$O$6,IF(INDEX(tblContractForDeed[End Bal],ROW()-ROW(tblContractForDeed[#Headers])-1)&lt;0,0,INDEX(tblContractForDeed[End Bal],ROW()-ROW(tblContractForDeed[#Headers])-1)))</f>
        <v>72664.679999999993</v>
      </c>
      <c r="P41" s="445">
        <f>IF(tblContractForDeed[[#This Row],[Date]]="","",IF(tblContractForDeed[[#This Row],[Date]]&lt;cfdRateChangeDate,cfdRate1,cfdRate2))</f>
        <v>6.25E-2</v>
      </c>
      <c r="Q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1" s="275">
        <f>IF(tblContractForDeed[[#This Row],[Payment]]=0,0,MAX(0,MIN(tblContractForDeed[[#This Row],[Beg]],tblContractForDeed[[#This Row],[Payment]]-tblContractForDeed[[#This Row],[Int]])))</f>
        <v>266.82</v>
      </c>
      <c r="S41" s="275">
        <f>IF(OR(tblContractForDeed[[#This Row],[Date]]&lt;cfdContractDate,tblContractForDeed[[#This Row],[Date]]&gt;cfdEndDate),0,ROUND(tblContractForDeed[[#This Row],[Beg]]*(tblContractForDeed[[#This Row],[Int Rate]]/12),2))</f>
        <v>378.46</v>
      </c>
      <c r="T41" s="275">
        <f>IF(tblContractForDeed[[#This Row],[Payment]]=0,0,$W$2)</f>
        <v>134.16999999999999</v>
      </c>
      <c r="U41" s="275">
        <f>IF(tblContractForDeed[[#This Row],[Princ]]=0,0,$W$3)</f>
        <v>188.55</v>
      </c>
      <c r="V41" s="275">
        <f>SUM(tblContractForDeed[[#This Row],[Princ]],tblContractForDeed[[#This Row],[Int]],tblContractForDeed[[#This Row],[Ins]],tblContractForDeed[[#This Row],[Taxes]])</f>
        <v>968</v>
      </c>
      <c r="W41" s="275">
        <f>SUM(INDEX(tblContractForDeed[Princ],1):INDEX(tblContractForDeed[Princ],ROW()-ROW(tblContractForDeed[#Headers])))</f>
        <v>2860.14</v>
      </c>
      <c r="X41" s="275">
        <f>IF(tblContractForDeed[[#This Row],[Beg]]&lt;=0,0,tblContractForDeed[[#This Row],[Beg]]-tblContractForDeed[[#This Row],[Princ]])</f>
        <v>72397.859999999986</v>
      </c>
      <c r="Y4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1" s="454">
        <f>IF(INDEX(tblContractForDeed[Payment],ROW()-ROW(tblBuyerOutputs[#Headers]))=0,0,INDEX(tblContractForDeed[Payment],ROW()-ROW(tblBuyerOutputs[#Headers]))-INDEX(tblSubjectToLoan[Payment],ROW()-ROW(tblBuyerOutputs[#Headers])))</f>
        <v>19.470000000000027</v>
      </c>
      <c r="AA41"/>
      <c r="AB41" s="14">
        <f>IF(INDEX(tblContractForDeed[Payment],ROW()-ROW(tblBuyerOutputs[#Headers]))=0,0,INDEX(tblContractForDeed[Payment],ROW()-ROW(tblBuyerOutputs[#Headers]))-INDEX(tblSubjectToLoan[Payment],ROW()-ROW(tblBuyerOutputs[#Headers])))-IFERROR(tblBuyerOutputs[[#This Row],[PMI]],0)</f>
        <v>19.470000000000027</v>
      </c>
      <c r="AC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214.1700000000003</v>
      </c>
      <c r="AD41" s="275">
        <f>IF(INDEX(tblContractForDeed[End Bal],ROW()-ROW(tblBuyerOutputs[#Headers]))&lt;=0,0,($O$6+IF(ROW()=ROW(tblBuyerOutputs[#Headers])+1,0,INDEX(tblBuyerOutputs[Cumul Appr],ROW()-ROW(tblBuyerOutputs[#Headers])-1)))*$O$2/12)</f>
        <v>342.18679734871904</v>
      </c>
      <c r="AE41" s="275">
        <f>IF(INDEX(tblContractForDeed[End Bal],ROW()-ROW(tblBuyerOutputs[#Headers]))&lt;=0,0,IF(ROW()=ROW(tblBuyerOutputs[#Headers])+1,0,INDEX(tblBuyerOutputs[Cumul Appr],ROW()-ROW(tblBuyerOutputs[#Headers])-1))+tblBuyerOutputs[[#This Row],[Monthly Appr]])</f>
        <v>7209.0181610412874</v>
      </c>
      <c r="AF41" s="22"/>
      <c r="AG41" s="14"/>
      <c r="AL41"/>
      <c r="AM41" s="14"/>
      <c r="AO41" s="275"/>
      <c r="AQ41" s="14"/>
      <c r="AR41"/>
    </row>
    <row r="42" spans="1:44" x14ac:dyDescent="0.25">
      <c r="A42" s="590">
        <f t="shared" si="4"/>
        <v>46539</v>
      </c>
      <c r="B42" s="275">
        <f t="shared" si="5"/>
        <v>89907.27</v>
      </c>
      <c r="C42" s="14">
        <f t="shared" si="1"/>
        <v>625.80999999999995</v>
      </c>
      <c r="D42" s="14">
        <f t="shared" si="6"/>
        <v>344.84999999999997</v>
      </c>
      <c r="E42" s="14">
        <f t="shared" si="2"/>
        <v>280.95999999999998</v>
      </c>
      <c r="I42" s="275">
        <f t="shared" si="9"/>
        <v>7969.42</v>
      </c>
      <c r="J42" s="275">
        <f t="shared" si="10"/>
        <v>6728.0499999999993</v>
      </c>
      <c r="K42" s="275">
        <f t="shared" si="7"/>
        <v>89562.42</v>
      </c>
      <c r="L42" s="386">
        <f t="shared" si="3"/>
        <v>1</v>
      </c>
      <c r="M42" s="386">
        <f t="shared" si="8"/>
        <v>22</v>
      </c>
      <c r="N42" s="590">
        <f>INDEX(tblSubjectToLoan[Date],ROW()-ROW(tblContractForDeed[#Headers]))</f>
        <v>46539</v>
      </c>
      <c r="O42" s="275">
        <f>IF(ROW()=ROW(tblContractForDeed[#Headers])+1,$O$6,IF(INDEX(tblContractForDeed[End Bal],ROW()-ROW(tblContractForDeed[#Headers])-1)&lt;0,0,INDEX(tblContractForDeed[End Bal],ROW()-ROW(tblContractForDeed[#Headers])-1)))</f>
        <v>72397.859999999986</v>
      </c>
      <c r="P42" s="445">
        <f>IF(tblContractForDeed[[#This Row],[Date]]="","",IF(tblContractForDeed[[#This Row],[Date]]&lt;cfdRateChangeDate,cfdRate1,cfdRate2))</f>
        <v>6.25E-2</v>
      </c>
      <c r="Q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2" s="275">
        <f>IF(tblContractForDeed[[#This Row],[Payment]]=0,0,MAX(0,MIN(tblContractForDeed[[#This Row],[Beg]],tblContractForDeed[[#This Row],[Payment]]-tblContractForDeed[[#This Row],[Int]])))</f>
        <v>268.20999999999998</v>
      </c>
      <c r="S42" s="275">
        <f>IF(OR(tblContractForDeed[[#This Row],[Date]]&lt;cfdContractDate,tblContractForDeed[[#This Row],[Date]]&gt;cfdEndDate),0,ROUND(tblContractForDeed[[#This Row],[Beg]]*(tblContractForDeed[[#This Row],[Int Rate]]/12),2))</f>
        <v>377.07</v>
      </c>
      <c r="T42" s="275">
        <f>IF(tblContractForDeed[[#This Row],[Payment]]=0,0,$W$2)</f>
        <v>134.16999999999999</v>
      </c>
      <c r="U42" s="275">
        <f>IF(tblContractForDeed[[#This Row],[Princ]]=0,0,$W$3)</f>
        <v>188.55</v>
      </c>
      <c r="V42" s="275">
        <f>SUM(tblContractForDeed[[#This Row],[Princ]],tblContractForDeed[[#This Row],[Int]],tblContractForDeed[[#This Row],[Ins]],tblContractForDeed[[#This Row],[Taxes]])</f>
        <v>968</v>
      </c>
      <c r="W42" s="275">
        <f>SUM(INDEX(tblContractForDeed[Princ],1):INDEX(tblContractForDeed[Princ],ROW()-ROW(tblContractForDeed[#Headers])))</f>
        <v>3128.35</v>
      </c>
      <c r="X42" s="275">
        <f>IF(tblContractForDeed[[#This Row],[Beg]]&lt;=0,0,tblContractForDeed[[#This Row],[Beg]]-tblContractForDeed[[#This Row],[Princ]])</f>
        <v>72129.64999999998</v>
      </c>
      <c r="Y4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2" s="454">
        <f>IF(INDEX(tblContractForDeed[Payment],ROW()-ROW(tblBuyerOutputs[#Headers]))=0,0,INDEX(tblContractForDeed[Payment],ROW()-ROW(tblBuyerOutputs[#Headers]))-INDEX(tblSubjectToLoan[Payment],ROW()-ROW(tblBuyerOutputs[#Headers])))</f>
        <v>19.470000000000027</v>
      </c>
      <c r="AA42"/>
      <c r="AB42" s="14">
        <f>IF(INDEX(tblContractForDeed[Payment],ROW()-ROW(tblBuyerOutputs[#Headers]))=0,0,INDEX(tblContractForDeed[Payment],ROW()-ROW(tblBuyerOutputs[#Headers]))-INDEX(tblSubjectToLoan[Payment],ROW()-ROW(tblBuyerOutputs[#Headers])))-IFERROR(tblBuyerOutputs[[#This Row],[PMI]],0)</f>
        <v>19.470000000000027</v>
      </c>
      <c r="AC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233.64000000000033</v>
      </c>
      <c r="AD42" s="275">
        <f>IF(INDEX(tblContractForDeed[End Bal],ROW()-ROW(tblBuyerOutputs[#Headers]))&lt;=0,0,($O$6+IF(ROW()=ROW(tblBuyerOutputs[#Headers])+1,0,INDEX(tblBuyerOutputs[Cumul Appr],ROW()-ROW(tblBuyerOutputs[#Headers])-1)))*$O$2/12)</f>
        <v>343.61257567100535</v>
      </c>
      <c r="AE42" s="275">
        <f>IF(INDEX(tblContractForDeed[End Bal],ROW()-ROW(tblBuyerOutputs[#Headers]))&lt;=0,0,IF(ROW()=ROW(tblBuyerOutputs[#Headers])+1,0,INDEX(tblBuyerOutputs[Cumul Appr],ROW()-ROW(tblBuyerOutputs[#Headers])-1))+tblBuyerOutputs[[#This Row],[Monthly Appr]])</f>
        <v>7552.6307367122927</v>
      </c>
      <c r="AF42" s="22"/>
      <c r="AG42" s="14"/>
      <c r="AL42"/>
      <c r="AM42" s="14"/>
      <c r="AO42" s="275"/>
      <c r="AQ42" s="14"/>
      <c r="AR42"/>
    </row>
    <row r="43" spans="1:44" ht="15.75" thickBot="1" x14ac:dyDescent="0.3">
      <c r="A43" s="591">
        <f t="shared" si="4"/>
        <v>46569</v>
      </c>
      <c r="B43" s="326">
        <f t="shared" si="5"/>
        <v>89562.42</v>
      </c>
      <c r="C43" s="21">
        <f t="shared" si="1"/>
        <v>625.80999999999995</v>
      </c>
      <c r="D43" s="21">
        <f t="shared" si="6"/>
        <v>345.92999999999995</v>
      </c>
      <c r="E43" s="21">
        <f t="shared" si="2"/>
        <v>279.88</v>
      </c>
      <c r="F43" s="21"/>
      <c r="G43" s="21"/>
      <c r="H43" s="21"/>
      <c r="I43" s="326">
        <f t="shared" si="9"/>
        <v>8315.35</v>
      </c>
      <c r="J43" s="326">
        <f t="shared" si="10"/>
        <v>7007.9299999999994</v>
      </c>
      <c r="K43" s="326">
        <f t="shared" si="7"/>
        <v>89216.49</v>
      </c>
      <c r="L43" s="387">
        <f t="shared" si="3"/>
        <v>1</v>
      </c>
      <c r="M43" s="387">
        <f t="shared" si="8"/>
        <v>23</v>
      </c>
      <c r="N43" s="591">
        <f>INDEX(tblSubjectToLoan[Date],ROW()-ROW(tblContractForDeed[#Headers]))</f>
        <v>46569</v>
      </c>
      <c r="O43" s="326">
        <f>IF(ROW()=ROW(tblContractForDeed[#Headers])+1,$O$6,IF(INDEX(tblContractForDeed[End Bal],ROW()-ROW(tblContractForDeed[#Headers])-1)&lt;0,0,INDEX(tblContractForDeed[End Bal],ROW()-ROW(tblContractForDeed[#Headers])-1)))</f>
        <v>72129.64999999998</v>
      </c>
      <c r="P43" s="445">
        <f>IF(tblContractForDeed[[#This Row],[Date]]="","",IF(tblContractForDeed[[#This Row],[Date]]&lt;cfdRateChangeDate,cfdRate1,cfdRate2))</f>
        <v>6.25E-2</v>
      </c>
      <c r="Q4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3" s="326">
        <f>IF(tblContractForDeed[[#This Row],[Payment]]=0,0,MAX(0,MIN(tblContractForDeed[[#This Row],[Beg]],tblContractForDeed[[#This Row],[Payment]]-tblContractForDeed[[#This Row],[Int]])))</f>
        <v>269.59999999999997</v>
      </c>
      <c r="S43" s="326">
        <f>IF(OR(tblContractForDeed[[#This Row],[Date]]&lt;cfdContractDate,tblContractForDeed[[#This Row],[Date]]&gt;cfdEndDate),0,ROUND(tblContractForDeed[[#This Row],[Beg]]*(tblContractForDeed[[#This Row],[Int Rate]]/12),2))</f>
        <v>375.68</v>
      </c>
      <c r="T43" s="326">
        <f>IF(tblContractForDeed[[#This Row],[Payment]]=0,0,$W$2)</f>
        <v>134.16999999999999</v>
      </c>
      <c r="U43" s="326">
        <f>IF(tblContractForDeed[[#This Row],[Princ]]=0,0,$W$3)</f>
        <v>188.55</v>
      </c>
      <c r="V43" s="326">
        <f>SUM(tblContractForDeed[[#This Row],[Princ]],tblContractForDeed[[#This Row],[Int]],tblContractForDeed[[#This Row],[Ins]],tblContractForDeed[[#This Row],[Taxes]])</f>
        <v>968</v>
      </c>
      <c r="W43" s="326">
        <f>SUM(INDEX(tblContractForDeed[Princ],1):INDEX(tblContractForDeed[Princ],ROW()-ROW(tblContractForDeed[#Headers])))</f>
        <v>3397.95</v>
      </c>
      <c r="X43" s="326">
        <f>IF(tblContractForDeed[[#This Row],[Beg]]&lt;=0,0,tblContractForDeed[[#This Row],[Beg]]-tblContractForDeed[[#This Row],[Princ]])</f>
        <v>71860.049999999974</v>
      </c>
      <c r="Y43"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3" s="455">
        <f>IF(INDEX(tblContractForDeed[Payment],ROW()-ROW(tblBuyerOutputs[#Headers]))=0,0,INDEX(tblContractForDeed[Payment],ROW()-ROW(tblBuyerOutputs[#Headers]))-INDEX(tblSubjectToLoan[Payment],ROW()-ROW(tblBuyerOutputs[#Headers])))</f>
        <v>19.470000000000027</v>
      </c>
      <c r="AA43" s="23"/>
      <c r="AB43" s="21">
        <f>IF(INDEX(tblContractForDeed[Payment],ROW()-ROW(tblBuyerOutputs[#Headers]))=0,0,INDEX(tblContractForDeed[Payment],ROW()-ROW(tblBuyerOutputs[#Headers]))-INDEX(tblSubjectToLoan[Payment],ROW()-ROW(tblBuyerOutputs[#Headers])))-IFERROR(tblBuyerOutputs[[#This Row],[PMI]],0)</f>
        <v>19.470000000000027</v>
      </c>
      <c r="AC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253.11000000000035</v>
      </c>
      <c r="AD43" s="326">
        <f>IF(INDEX(tblContractForDeed[End Bal],ROW()-ROW(tblBuyerOutputs[#Headers]))&lt;=0,0,($O$6+IF(ROW()=ROW(tblBuyerOutputs[#Headers])+1,0,INDEX(tblBuyerOutputs[Cumul Appr],ROW()-ROW(tblBuyerOutputs[#Headers])-1)))*$O$2/12)</f>
        <v>345.04429473630125</v>
      </c>
      <c r="AE43" s="326">
        <f>IF(INDEX(tblContractForDeed[End Bal],ROW()-ROW(tblBuyerOutputs[#Headers]))&lt;=0,0,IF(ROW()=ROW(tblBuyerOutputs[#Headers])+1,0,INDEX(tblBuyerOutputs[Cumul Appr],ROW()-ROW(tblBuyerOutputs[#Headers])-1))+tblBuyerOutputs[[#This Row],[Monthly Appr]])</f>
        <v>7897.6750314485944</v>
      </c>
      <c r="AF43" s="22"/>
      <c r="AG43" s="14"/>
      <c r="AL43"/>
      <c r="AM43" s="14"/>
      <c r="AO43" s="275"/>
      <c r="AQ43" s="14"/>
      <c r="AR43"/>
    </row>
    <row r="44" spans="1:44" x14ac:dyDescent="0.25">
      <c r="A44" s="590">
        <f t="shared" si="4"/>
        <v>46600</v>
      </c>
      <c r="B44" s="275">
        <f t="shared" si="5"/>
        <v>89216.49</v>
      </c>
      <c r="C44" s="14">
        <f t="shared" si="1"/>
        <v>625.80999999999995</v>
      </c>
      <c r="D44" s="14">
        <f t="shared" si="6"/>
        <v>347.00999999999993</v>
      </c>
      <c r="E44" s="14">
        <f t="shared" si="2"/>
        <v>278.8</v>
      </c>
      <c r="I44" s="275">
        <f t="shared" si="9"/>
        <v>8662.36</v>
      </c>
      <c r="J44" s="275">
        <f t="shared" si="10"/>
        <v>7286.73</v>
      </c>
      <c r="K44" s="275">
        <f t="shared" si="7"/>
        <v>88869.48000000001</v>
      </c>
      <c r="L44" s="386">
        <f t="shared" si="3"/>
        <v>2</v>
      </c>
      <c r="M44" s="386">
        <f t="shared" si="8"/>
        <v>24</v>
      </c>
      <c r="N44" s="590">
        <f>INDEX(tblSubjectToLoan[Date],ROW()-ROW(tblContractForDeed[#Headers]))</f>
        <v>46600</v>
      </c>
      <c r="O44" s="275">
        <f>IF(ROW()=ROW(tblContractForDeed[#Headers])+1,$O$6,IF(INDEX(tblContractForDeed[End Bal],ROW()-ROW(tblContractForDeed[#Headers])-1)&lt;0,0,INDEX(tblContractForDeed[End Bal],ROW()-ROW(tblContractForDeed[#Headers])-1)))</f>
        <v>71860.049999999974</v>
      </c>
      <c r="P44" s="445">
        <f>IF(tblContractForDeed[[#This Row],[Date]]="","",IF(tblContractForDeed[[#This Row],[Date]]&lt;cfdRateChangeDate,cfdRate1,cfdRate2))</f>
        <v>6.25E-2</v>
      </c>
      <c r="Q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4" s="275">
        <f>IF(tblContractForDeed[[#This Row],[Payment]]=0,0,MAX(0,MIN(tblContractForDeed[[#This Row],[Beg]],tblContractForDeed[[#This Row],[Payment]]-tblContractForDeed[[#This Row],[Int]])))</f>
        <v>271.01</v>
      </c>
      <c r="S44" s="275">
        <f>IF(OR(tblContractForDeed[[#This Row],[Date]]&lt;cfdContractDate,tblContractForDeed[[#This Row],[Date]]&gt;cfdEndDate),0,ROUND(tblContractForDeed[[#This Row],[Beg]]*(tblContractForDeed[[#This Row],[Int Rate]]/12),2))</f>
        <v>374.27</v>
      </c>
      <c r="T44" s="275">
        <f>IF(tblContractForDeed[[#This Row],[Payment]]=0,0,$W$2)</f>
        <v>134.16999999999999</v>
      </c>
      <c r="U44" s="275">
        <f>IF(tblContractForDeed[[#This Row],[Princ]]=0,0,$W$3)</f>
        <v>188.55</v>
      </c>
      <c r="V44" s="275">
        <f>SUM(tblContractForDeed[[#This Row],[Princ]],tblContractForDeed[[#This Row],[Int]],tblContractForDeed[[#This Row],[Ins]],tblContractForDeed[[#This Row],[Taxes]])</f>
        <v>968</v>
      </c>
      <c r="W44" s="275">
        <f>SUM(INDEX(tblContractForDeed[Princ],1):INDEX(tblContractForDeed[Princ],ROW()-ROW(tblContractForDeed[#Headers])))</f>
        <v>3668.96</v>
      </c>
      <c r="X44" s="275">
        <f>IF(tblContractForDeed[[#This Row],[Beg]]&lt;=0,0,tblContractForDeed[[#This Row],[Beg]]-tblContractForDeed[[#This Row],[Princ]])</f>
        <v>71589.039999999979</v>
      </c>
      <c r="Y4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4" s="454">
        <f>IF(INDEX(tblContractForDeed[Payment],ROW()-ROW(tblBuyerOutputs[#Headers]))=0,0,INDEX(tblContractForDeed[Payment],ROW()-ROW(tblBuyerOutputs[#Headers]))-INDEX(tblSubjectToLoan[Payment],ROW()-ROW(tblBuyerOutputs[#Headers])))</f>
        <v>19.470000000000027</v>
      </c>
      <c r="AA44"/>
      <c r="AB44" s="14">
        <f>IF(INDEX(tblContractForDeed[Payment],ROW()-ROW(tblBuyerOutputs[#Headers]))=0,0,INDEX(tblContractForDeed[Payment],ROW()-ROW(tblBuyerOutputs[#Headers]))-INDEX(tblSubjectToLoan[Payment],ROW()-ROW(tblBuyerOutputs[#Headers])))-IFERROR(tblBuyerOutputs[[#This Row],[PMI]],0)</f>
        <v>19.470000000000027</v>
      </c>
      <c r="AC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272.58000000000038</v>
      </c>
      <c r="AD44" s="275">
        <f>IF(INDEX(tblContractForDeed[End Bal],ROW()-ROW(tblBuyerOutputs[#Headers]))&lt;=0,0,($O$6+IF(ROW()=ROW(tblBuyerOutputs[#Headers])+1,0,INDEX(tblBuyerOutputs[Cumul Appr],ROW()-ROW(tblBuyerOutputs[#Headers])-1)))*$O$2/12)</f>
        <v>346.48197929770254</v>
      </c>
      <c r="AE44" s="275">
        <f>IF(INDEX(tblContractForDeed[End Bal],ROW()-ROW(tblBuyerOutputs[#Headers]))&lt;=0,0,IF(ROW()=ROW(tblBuyerOutputs[#Headers])+1,0,INDEX(tblBuyerOutputs[Cumul Appr],ROW()-ROW(tblBuyerOutputs[#Headers])-1))+tblBuyerOutputs[[#This Row],[Monthly Appr]])</f>
        <v>8244.1570107462976</v>
      </c>
      <c r="AF44" s="22"/>
      <c r="AG44" s="14"/>
      <c r="AL44"/>
      <c r="AM44" s="14"/>
      <c r="AO44" s="275"/>
      <c r="AQ44" s="14"/>
      <c r="AR44"/>
    </row>
    <row r="45" spans="1:44" x14ac:dyDescent="0.25">
      <c r="A45" s="590">
        <f t="shared" si="4"/>
        <v>46631</v>
      </c>
      <c r="B45" s="275">
        <f t="shared" si="5"/>
        <v>88869.48000000001</v>
      </c>
      <c r="C45" s="14">
        <f t="shared" si="1"/>
        <v>625.80999999999995</v>
      </c>
      <c r="D45" s="14">
        <f t="shared" si="6"/>
        <v>348.08999999999992</v>
      </c>
      <c r="E45" s="14">
        <f t="shared" si="2"/>
        <v>277.72000000000003</v>
      </c>
      <c r="I45" s="275">
        <f t="shared" si="9"/>
        <v>9010.4500000000007</v>
      </c>
      <c r="J45" s="275">
        <f t="shared" si="10"/>
        <v>7564.45</v>
      </c>
      <c r="K45" s="275">
        <f t="shared" si="7"/>
        <v>88521.390000000014</v>
      </c>
      <c r="L45" s="386">
        <f t="shared" si="3"/>
        <v>2</v>
      </c>
      <c r="M45" s="386">
        <f t="shared" si="8"/>
        <v>25</v>
      </c>
      <c r="N45" s="590">
        <f>INDEX(tblSubjectToLoan[Date],ROW()-ROW(tblContractForDeed[#Headers]))</f>
        <v>46631</v>
      </c>
      <c r="O45" s="275">
        <f>IF(ROW()=ROW(tblContractForDeed[#Headers])+1,$O$6,IF(INDEX(tblContractForDeed[End Bal],ROW()-ROW(tblContractForDeed[#Headers])-1)&lt;0,0,INDEX(tblContractForDeed[End Bal],ROW()-ROW(tblContractForDeed[#Headers])-1)))</f>
        <v>71589.039999999979</v>
      </c>
      <c r="P45" s="445">
        <f>IF(tblContractForDeed[[#This Row],[Date]]="","",IF(tblContractForDeed[[#This Row],[Date]]&lt;cfdRateChangeDate,cfdRate1,cfdRate2))</f>
        <v>6.25E-2</v>
      </c>
      <c r="Q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5" s="275">
        <f>IF(tblContractForDeed[[#This Row],[Payment]]=0,0,MAX(0,MIN(tblContractForDeed[[#This Row],[Beg]],tblContractForDeed[[#This Row],[Payment]]-tblContractForDeed[[#This Row],[Int]])))</f>
        <v>272.41999999999996</v>
      </c>
      <c r="S45" s="275">
        <f>IF(OR(tblContractForDeed[[#This Row],[Date]]&lt;cfdContractDate,tblContractForDeed[[#This Row],[Date]]&gt;cfdEndDate),0,ROUND(tblContractForDeed[[#This Row],[Beg]]*(tblContractForDeed[[#This Row],[Int Rate]]/12),2))</f>
        <v>372.86</v>
      </c>
      <c r="T45" s="275">
        <f>IF(tblContractForDeed[[#This Row],[Payment]]=0,0,$W$2)</f>
        <v>134.16999999999999</v>
      </c>
      <c r="U45" s="275">
        <f>IF(tblContractForDeed[[#This Row],[Princ]]=0,0,$W$3)</f>
        <v>188.55</v>
      </c>
      <c r="V45" s="275">
        <f>SUM(tblContractForDeed[[#This Row],[Princ]],tblContractForDeed[[#This Row],[Int]],tblContractForDeed[[#This Row],[Ins]],tblContractForDeed[[#This Row],[Taxes]])</f>
        <v>968</v>
      </c>
      <c r="W45" s="275">
        <f>SUM(INDEX(tblContractForDeed[Princ],1):INDEX(tblContractForDeed[Princ],ROW()-ROW(tblContractForDeed[#Headers])))</f>
        <v>3941.38</v>
      </c>
      <c r="X45" s="275">
        <f>IF(tblContractForDeed[[#This Row],[Beg]]&lt;=0,0,tblContractForDeed[[#This Row],[Beg]]-tblContractForDeed[[#This Row],[Princ]])</f>
        <v>71316.619999999981</v>
      </c>
      <c r="Y4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5" s="454">
        <f>IF(INDEX(tblContractForDeed[Payment],ROW()-ROW(tblBuyerOutputs[#Headers]))=0,0,INDEX(tblContractForDeed[Payment],ROW()-ROW(tblBuyerOutputs[#Headers]))-INDEX(tblSubjectToLoan[Payment],ROW()-ROW(tblBuyerOutputs[#Headers])))</f>
        <v>19.470000000000027</v>
      </c>
      <c r="AA45"/>
      <c r="AB45" s="14">
        <f>IF(INDEX(tblContractForDeed[Payment],ROW()-ROW(tblBuyerOutputs[#Headers]))=0,0,INDEX(tblContractForDeed[Payment],ROW()-ROW(tblBuyerOutputs[#Headers]))-INDEX(tblSubjectToLoan[Payment],ROW()-ROW(tblBuyerOutputs[#Headers])))-IFERROR(tblBuyerOutputs[[#This Row],[PMI]],0)</f>
        <v>19.470000000000027</v>
      </c>
      <c r="AC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292.05000000000041</v>
      </c>
      <c r="AD45" s="275">
        <f>IF(INDEX(tblContractForDeed[End Bal],ROW()-ROW(tblBuyerOutputs[#Headers]))&lt;=0,0,($O$6+IF(ROW()=ROW(tblBuyerOutputs[#Headers])+1,0,INDEX(tblBuyerOutputs[Cumul Appr],ROW()-ROW(tblBuyerOutputs[#Headers])-1)))*$O$2/12)</f>
        <v>347.92565421144292</v>
      </c>
      <c r="AE45" s="275">
        <f>IF(INDEX(tblContractForDeed[End Bal],ROW()-ROW(tblBuyerOutputs[#Headers]))&lt;=0,0,IF(ROW()=ROW(tblBuyerOutputs[#Headers])+1,0,INDEX(tblBuyerOutputs[Cumul Appr],ROW()-ROW(tblBuyerOutputs[#Headers])-1))+tblBuyerOutputs[[#This Row],[Monthly Appr]])</f>
        <v>8592.0826649577411</v>
      </c>
      <c r="AF45" s="22"/>
      <c r="AG45" s="14"/>
      <c r="AL45"/>
      <c r="AM45" s="14"/>
      <c r="AO45" s="275"/>
      <c r="AQ45" s="14"/>
      <c r="AR45"/>
    </row>
    <row r="46" spans="1:44" x14ac:dyDescent="0.25">
      <c r="A46" s="590">
        <f t="shared" si="4"/>
        <v>46661</v>
      </c>
      <c r="B46" s="275">
        <f t="shared" si="5"/>
        <v>88521.390000000014</v>
      </c>
      <c r="C46" s="14">
        <f t="shared" si="1"/>
        <v>625.80999999999995</v>
      </c>
      <c r="D46" s="14">
        <f t="shared" si="6"/>
        <v>349.17999999999995</v>
      </c>
      <c r="E46" s="14">
        <f t="shared" si="2"/>
        <v>276.63</v>
      </c>
      <c r="I46" s="275">
        <f t="shared" si="9"/>
        <v>9359.630000000001</v>
      </c>
      <c r="J46" s="275">
        <f t="shared" si="10"/>
        <v>7841.08</v>
      </c>
      <c r="K46" s="275">
        <f t="shared" si="7"/>
        <v>88172.210000000021</v>
      </c>
      <c r="L46" s="386">
        <f t="shared" si="3"/>
        <v>2</v>
      </c>
      <c r="M46" s="386">
        <f t="shared" si="8"/>
        <v>26</v>
      </c>
      <c r="N46" s="590">
        <f>INDEX(tblSubjectToLoan[Date],ROW()-ROW(tblContractForDeed[#Headers]))</f>
        <v>46661</v>
      </c>
      <c r="O46" s="275">
        <f>IF(ROW()=ROW(tblContractForDeed[#Headers])+1,$O$6,IF(INDEX(tblContractForDeed[End Bal],ROW()-ROW(tblContractForDeed[#Headers])-1)&lt;0,0,INDEX(tblContractForDeed[End Bal],ROW()-ROW(tblContractForDeed[#Headers])-1)))</f>
        <v>71316.619999999981</v>
      </c>
      <c r="P46" s="445">
        <f>IF(tblContractForDeed[[#This Row],[Date]]="","",IF(tblContractForDeed[[#This Row],[Date]]&lt;cfdRateChangeDate,cfdRate1,cfdRate2))</f>
        <v>6.25E-2</v>
      </c>
      <c r="Q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6" s="275">
        <f>IF(tblContractForDeed[[#This Row],[Payment]]=0,0,MAX(0,MIN(tblContractForDeed[[#This Row],[Beg]],tblContractForDeed[[#This Row],[Payment]]-tblContractForDeed[[#This Row],[Int]])))</f>
        <v>273.83999999999997</v>
      </c>
      <c r="S46" s="275">
        <f>IF(OR(tblContractForDeed[[#This Row],[Date]]&lt;cfdContractDate,tblContractForDeed[[#This Row],[Date]]&gt;cfdEndDate),0,ROUND(tblContractForDeed[[#This Row],[Beg]]*(tblContractForDeed[[#This Row],[Int Rate]]/12),2))</f>
        <v>371.44</v>
      </c>
      <c r="T46" s="275">
        <f>IF(tblContractForDeed[[#This Row],[Payment]]=0,0,$W$2)</f>
        <v>134.16999999999999</v>
      </c>
      <c r="U46" s="275">
        <f>IF(tblContractForDeed[[#This Row],[Princ]]=0,0,$W$3)</f>
        <v>188.55</v>
      </c>
      <c r="V46" s="275">
        <f>SUM(tblContractForDeed[[#This Row],[Princ]],tblContractForDeed[[#This Row],[Int]],tblContractForDeed[[#This Row],[Ins]],tblContractForDeed[[#This Row],[Taxes]])</f>
        <v>968</v>
      </c>
      <c r="W46" s="275">
        <f>SUM(INDEX(tblContractForDeed[Princ],1):INDEX(tblContractForDeed[Princ],ROW()-ROW(tblContractForDeed[#Headers])))</f>
        <v>4215.22</v>
      </c>
      <c r="X46" s="275">
        <f>IF(tblContractForDeed[[#This Row],[Beg]]&lt;=0,0,tblContractForDeed[[#This Row],[Beg]]-tblContractForDeed[[#This Row],[Princ]])</f>
        <v>71042.779999999984</v>
      </c>
      <c r="Y4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6" s="454">
        <f>IF(INDEX(tblContractForDeed[Payment],ROW()-ROW(tblBuyerOutputs[#Headers]))=0,0,INDEX(tblContractForDeed[Payment],ROW()-ROW(tblBuyerOutputs[#Headers]))-INDEX(tblSubjectToLoan[Payment],ROW()-ROW(tblBuyerOutputs[#Headers])))</f>
        <v>19.470000000000027</v>
      </c>
      <c r="AA46"/>
      <c r="AB46" s="14">
        <f>IF(INDEX(tblContractForDeed[Payment],ROW()-ROW(tblBuyerOutputs[#Headers]))=0,0,INDEX(tblContractForDeed[Payment],ROW()-ROW(tblBuyerOutputs[#Headers]))-INDEX(tblSubjectToLoan[Payment],ROW()-ROW(tblBuyerOutputs[#Headers])))-IFERROR(tblBuyerOutputs[[#This Row],[PMI]],0)</f>
        <v>19.470000000000027</v>
      </c>
      <c r="AC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311.52000000000044</v>
      </c>
      <c r="AD46" s="275">
        <f>IF(INDEX(tblContractForDeed[End Bal],ROW()-ROW(tblBuyerOutputs[#Headers]))&lt;=0,0,($O$6+IF(ROW()=ROW(tblBuyerOutputs[#Headers])+1,0,INDEX(tblBuyerOutputs[Cumul Appr],ROW()-ROW(tblBuyerOutputs[#Headers])-1)))*$O$2/12)</f>
        <v>349.37534443732392</v>
      </c>
      <c r="AE46" s="275">
        <f>IF(INDEX(tblContractForDeed[End Bal],ROW()-ROW(tblBuyerOutputs[#Headers]))&lt;=0,0,IF(ROW()=ROW(tblBuyerOutputs[#Headers])+1,0,INDEX(tblBuyerOutputs[Cumul Appr],ROW()-ROW(tblBuyerOutputs[#Headers])-1))+tblBuyerOutputs[[#This Row],[Monthly Appr]])</f>
        <v>8941.4580093950644</v>
      </c>
      <c r="AF46" s="22"/>
      <c r="AG46" s="14"/>
      <c r="AL46"/>
      <c r="AM46" s="14"/>
      <c r="AO46" s="275"/>
      <c r="AQ46" s="14"/>
      <c r="AR46"/>
    </row>
    <row r="47" spans="1:44" x14ac:dyDescent="0.25">
      <c r="A47" s="590">
        <f t="shared" si="4"/>
        <v>46692</v>
      </c>
      <c r="B47" s="275">
        <f t="shared" si="5"/>
        <v>88172.210000000021</v>
      </c>
      <c r="C47" s="14">
        <f t="shared" si="1"/>
        <v>625.80999999999995</v>
      </c>
      <c r="D47" s="14">
        <f t="shared" si="6"/>
        <v>350.26999999999992</v>
      </c>
      <c r="E47" s="14">
        <f t="shared" si="2"/>
        <v>275.54000000000002</v>
      </c>
      <c r="I47" s="275">
        <f t="shared" si="9"/>
        <v>9709.9000000000015</v>
      </c>
      <c r="J47" s="275">
        <f t="shared" si="10"/>
        <v>8116.62</v>
      </c>
      <c r="K47" s="275">
        <f t="shared" si="7"/>
        <v>87821.940000000017</v>
      </c>
      <c r="L47" s="386">
        <f t="shared" si="3"/>
        <v>2</v>
      </c>
      <c r="M47" s="386">
        <f t="shared" si="8"/>
        <v>27</v>
      </c>
      <c r="N47" s="590">
        <f>INDEX(tblSubjectToLoan[Date],ROW()-ROW(tblContractForDeed[#Headers]))</f>
        <v>46692</v>
      </c>
      <c r="O47" s="275">
        <f>IF(ROW()=ROW(tblContractForDeed[#Headers])+1,$O$6,IF(INDEX(tblContractForDeed[End Bal],ROW()-ROW(tblContractForDeed[#Headers])-1)&lt;0,0,INDEX(tblContractForDeed[End Bal],ROW()-ROW(tblContractForDeed[#Headers])-1)))</f>
        <v>71042.779999999984</v>
      </c>
      <c r="P47" s="445">
        <f>IF(tblContractForDeed[[#This Row],[Date]]="","",IF(tblContractForDeed[[#This Row],[Date]]&lt;cfdRateChangeDate,cfdRate1,cfdRate2))</f>
        <v>6.25E-2</v>
      </c>
      <c r="Q4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7" s="275">
        <f>IF(tblContractForDeed[[#This Row],[Payment]]=0,0,MAX(0,MIN(tblContractForDeed[[#This Row],[Beg]],tblContractForDeed[[#This Row],[Payment]]-tblContractForDeed[[#This Row],[Int]])))</f>
        <v>275.27</v>
      </c>
      <c r="S47" s="275">
        <f>IF(OR(tblContractForDeed[[#This Row],[Date]]&lt;cfdContractDate,tblContractForDeed[[#This Row],[Date]]&gt;cfdEndDate),0,ROUND(tblContractForDeed[[#This Row],[Beg]]*(tblContractForDeed[[#This Row],[Int Rate]]/12),2))</f>
        <v>370.01</v>
      </c>
      <c r="T47" s="275">
        <f>IF(tblContractForDeed[[#This Row],[Payment]]=0,0,$W$2)</f>
        <v>134.16999999999999</v>
      </c>
      <c r="U47" s="275">
        <f>IF(tblContractForDeed[[#This Row],[Princ]]=0,0,$W$3)</f>
        <v>188.55</v>
      </c>
      <c r="V47" s="275">
        <f>SUM(tblContractForDeed[[#This Row],[Princ]],tblContractForDeed[[#This Row],[Int]],tblContractForDeed[[#This Row],[Ins]],tblContractForDeed[[#This Row],[Taxes]])</f>
        <v>968</v>
      </c>
      <c r="W47" s="275">
        <f>SUM(INDEX(tblContractForDeed[Princ],1):INDEX(tblContractForDeed[Princ],ROW()-ROW(tblContractForDeed[#Headers])))</f>
        <v>4490.49</v>
      </c>
      <c r="X47" s="275">
        <f>IF(tblContractForDeed[[#This Row],[Beg]]&lt;=0,0,tblContractForDeed[[#This Row],[Beg]]-tblContractForDeed[[#This Row],[Princ]])</f>
        <v>70767.50999999998</v>
      </c>
      <c r="Y4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7" s="454">
        <f>IF(INDEX(tblContractForDeed[Payment],ROW()-ROW(tblBuyerOutputs[#Headers]))=0,0,INDEX(tblContractForDeed[Payment],ROW()-ROW(tblBuyerOutputs[#Headers]))-INDEX(tblSubjectToLoan[Payment],ROW()-ROW(tblBuyerOutputs[#Headers])))</f>
        <v>19.470000000000027</v>
      </c>
      <c r="AA47"/>
      <c r="AB47" s="14">
        <f>IF(INDEX(tblContractForDeed[Payment],ROW()-ROW(tblBuyerOutputs[#Headers]))=0,0,INDEX(tblContractForDeed[Payment],ROW()-ROW(tblBuyerOutputs[#Headers]))-INDEX(tblSubjectToLoan[Payment],ROW()-ROW(tblBuyerOutputs[#Headers])))-IFERROR(tblBuyerOutputs[[#This Row],[PMI]],0)</f>
        <v>19.470000000000027</v>
      </c>
      <c r="AC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330.99000000000046</v>
      </c>
      <c r="AD47" s="275">
        <f>IF(INDEX(tblContractForDeed[End Bal],ROW()-ROW(tblBuyerOutputs[#Headers]))&lt;=0,0,($O$6+IF(ROW()=ROW(tblBuyerOutputs[#Headers])+1,0,INDEX(tblBuyerOutputs[Cumul Appr],ROW()-ROW(tblBuyerOutputs[#Headers])-1)))*$O$2/12)</f>
        <v>350.83107503914613</v>
      </c>
      <c r="AE47" s="275">
        <f>IF(INDEX(tblContractForDeed[End Bal],ROW()-ROW(tblBuyerOutputs[#Headers]))&lt;=0,0,IF(ROW()=ROW(tblBuyerOutputs[#Headers])+1,0,INDEX(tblBuyerOutputs[Cumul Appr],ROW()-ROW(tblBuyerOutputs[#Headers])-1))+tblBuyerOutputs[[#This Row],[Monthly Appr]])</f>
        <v>9292.289084434211</v>
      </c>
      <c r="AF47" s="22"/>
      <c r="AG47" s="14"/>
      <c r="AL47"/>
      <c r="AM47" s="14"/>
      <c r="AO47" s="275"/>
      <c r="AQ47" s="14"/>
      <c r="AR47"/>
    </row>
    <row r="48" spans="1:44" x14ac:dyDescent="0.25">
      <c r="A48" s="590">
        <f t="shared" si="4"/>
        <v>46722</v>
      </c>
      <c r="B48" s="275">
        <f t="shared" si="5"/>
        <v>87821.940000000017</v>
      </c>
      <c r="C48" s="14">
        <f t="shared" si="1"/>
        <v>625.80999999999995</v>
      </c>
      <c r="D48" s="14">
        <f t="shared" si="6"/>
        <v>351.36999999999995</v>
      </c>
      <c r="E48" s="14">
        <f t="shared" si="2"/>
        <v>274.44</v>
      </c>
      <c r="I48" s="275">
        <f t="shared" si="9"/>
        <v>10061.270000000002</v>
      </c>
      <c r="J48" s="275">
        <f t="shared" si="10"/>
        <v>8391.06</v>
      </c>
      <c r="K48" s="275">
        <f t="shared" si="7"/>
        <v>87470.570000000022</v>
      </c>
      <c r="L48" s="386">
        <f t="shared" si="3"/>
        <v>2</v>
      </c>
      <c r="M48" s="386">
        <f t="shared" si="8"/>
        <v>28</v>
      </c>
      <c r="N48" s="590">
        <f>INDEX(tblSubjectToLoan[Date],ROW()-ROW(tblContractForDeed[#Headers]))</f>
        <v>46722</v>
      </c>
      <c r="O48" s="275">
        <f>IF(ROW()=ROW(tblContractForDeed[#Headers])+1,$O$6,IF(INDEX(tblContractForDeed[End Bal],ROW()-ROW(tblContractForDeed[#Headers])-1)&lt;0,0,INDEX(tblContractForDeed[End Bal],ROW()-ROW(tblContractForDeed[#Headers])-1)))</f>
        <v>70767.50999999998</v>
      </c>
      <c r="P48" s="445">
        <f>IF(tblContractForDeed[[#This Row],[Date]]="","",IF(tblContractForDeed[[#This Row],[Date]]&lt;cfdRateChangeDate,cfdRate1,cfdRate2))</f>
        <v>6.25E-2</v>
      </c>
      <c r="Q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8" s="275">
        <f>IF(tblContractForDeed[[#This Row],[Payment]]=0,0,MAX(0,MIN(tblContractForDeed[[#This Row],[Beg]],tblContractForDeed[[#This Row],[Payment]]-tblContractForDeed[[#This Row],[Int]])))</f>
        <v>276.7</v>
      </c>
      <c r="S48" s="275">
        <f>IF(OR(tblContractForDeed[[#This Row],[Date]]&lt;cfdContractDate,tblContractForDeed[[#This Row],[Date]]&gt;cfdEndDate),0,ROUND(tblContractForDeed[[#This Row],[Beg]]*(tblContractForDeed[[#This Row],[Int Rate]]/12),2))</f>
        <v>368.58</v>
      </c>
      <c r="T48" s="275">
        <f>IF(tblContractForDeed[[#This Row],[Payment]]=0,0,$W$2)</f>
        <v>134.16999999999999</v>
      </c>
      <c r="U48" s="275">
        <f>IF(tblContractForDeed[[#This Row],[Princ]]=0,0,$W$3)</f>
        <v>188.55</v>
      </c>
      <c r="V48" s="275">
        <f>SUM(tblContractForDeed[[#This Row],[Princ]],tblContractForDeed[[#This Row],[Int]],tblContractForDeed[[#This Row],[Ins]],tblContractForDeed[[#This Row],[Taxes]])</f>
        <v>968</v>
      </c>
      <c r="W48" s="275">
        <f>SUM(INDEX(tblContractForDeed[Princ],1):INDEX(tblContractForDeed[Princ],ROW()-ROW(tblContractForDeed[#Headers])))</f>
        <v>4767.1899999999996</v>
      </c>
      <c r="X48" s="275">
        <f>IF(tblContractForDeed[[#This Row],[Beg]]&lt;=0,0,tblContractForDeed[[#This Row],[Beg]]-tblContractForDeed[[#This Row],[Princ]])</f>
        <v>70490.809999999983</v>
      </c>
      <c r="Y4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8" s="454">
        <f>IF(INDEX(tblContractForDeed[Payment],ROW()-ROW(tblBuyerOutputs[#Headers]))=0,0,INDEX(tblContractForDeed[Payment],ROW()-ROW(tblBuyerOutputs[#Headers]))-INDEX(tblSubjectToLoan[Payment],ROW()-ROW(tblBuyerOutputs[#Headers])))</f>
        <v>19.470000000000027</v>
      </c>
      <c r="AA48"/>
      <c r="AB48" s="14">
        <f>IF(INDEX(tblContractForDeed[Payment],ROW()-ROW(tblBuyerOutputs[#Headers]))=0,0,INDEX(tblContractForDeed[Payment],ROW()-ROW(tblBuyerOutputs[#Headers]))-INDEX(tblSubjectToLoan[Payment],ROW()-ROW(tblBuyerOutputs[#Headers])))-IFERROR(tblBuyerOutputs[[#This Row],[PMI]],0)</f>
        <v>19.470000000000027</v>
      </c>
      <c r="AC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350.46000000000049</v>
      </c>
      <c r="AD48" s="275">
        <f>IF(INDEX(tblContractForDeed[End Bal],ROW()-ROW(tblBuyerOutputs[#Headers]))&lt;=0,0,($O$6+IF(ROW()=ROW(tblBuyerOutputs[#Headers])+1,0,INDEX(tblBuyerOutputs[Cumul Appr],ROW()-ROW(tblBuyerOutputs[#Headers])-1)))*$O$2/12)</f>
        <v>352.29287118514259</v>
      </c>
      <c r="AE48" s="275">
        <f>IF(INDEX(tblContractForDeed[End Bal],ROW()-ROW(tblBuyerOutputs[#Headers]))&lt;=0,0,IF(ROW()=ROW(tblBuyerOutputs[#Headers])+1,0,INDEX(tblBuyerOutputs[Cumul Appr],ROW()-ROW(tblBuyerOutputs[#Headers])-1))+tblBuyerOutputs[[#This Row],[Monthly Appr]])</f>
        <v>9644.5819556193528</v>
      </c>
      <c r="AF48" s="22"/>
      <c r="AG48" s="14"/>
      <c r="AL48"/>
      <c r="AM48" s="14"/>
      <c r="AO48" s="275"/>
      <c r="AQ48" s="14"/>
      <c r="AR48"/>
    </row>
    <row r="49" spans="1:44" x14ac:dyDescent="0.25">
      <c r="A49" s="590">
        <f t="shared" si="4"/>
        <v>46753</v>
      </c>
      <c r="B49" s="275">
        <f t="shared" si="5"/>
        <v>87470.570000000022</v>
      </c>
      <c r="C49" s="14">
        <f t="shared" si="1"/>
        <v>625.80999999999995</v>
      </c>
      <c r="D49" s="14">
        <f t="shared" si="6"/>
        <v>352.45999999999992</v>
      </c>
      <c r="E49" s="14">
        <f t="shared" si="2"/>
        <v>273.35000000000002</v>
      </c>
      <c r="I49" s="275">
        <f t="shared" si="9"/>
        <v>10413.730000000001</v>
      </c>
      <c r="J49" s="275">
        <f t="shared" si="10"/>
        <v>8664.41</v>
      </c>
      <c r="K49" s="275">
        <f t="shared" si="7"/>
        <v>87118.110000000015</v>
      </c>
      <c r="L49" s="386">
        <f t="shared" si="3"/>
        <v>2</v>
      </c>
      <c r="M49" s="386">
        <f t="shared" si="8"/>
        <v>29</v>
      </c>
      <c r="N49" s="590">
        <f>INDEX(tblSubjectToLoan[Date],ROW()-ROW(tblContractForDeed[#Headers]))</f>
        <v>46753</v>
      </c>
      <c r="O49" s="275">
        <f>IF(ROW()=ROW(tblContractForDeed[#Headers])+1,$O$6,IF(INDEX(tblContractForDeed[End Bal],ROW()-ROW(tblContractForDeed[#Headers])-1)&lt;0,0,INDEX(tblContractForDeed[End Bal],ROW()-ROW(tblContractForDeed[#Headers])-1)))</f>
        <v>70490.809999999983</v>
      </c>
      <c r="P49" s="445">
        <f>IF(tblContractForDeed[[#This Row],[Date]]="","",IF(tblContractForDeed[[#This Row],[Date]]&lt;cfdRateChangeDate,cfdRate1,cfdRate2))</f>
        <v>6.25E-2</v>
      </c>
      <c r="Q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9" s="275">
        <f>IF(tblContractForDeed[[#This Row],[Payment]]=0,0,MAX(0,MIN(tblContractForDeed[[#This Row],[Beg]],tblContractForDeed[[#This Row],[Payment]]-tblContractForDeed[[#This Row],[Int]])))</f>
        <v>278.14</v>
      </c>
      <c r="S49" s="275">
        <f>IF(OR(tblContractForDeed[[#This Row],[Date]]&lt;cfdContractDate,tblContractForDeed[[#This Row],[Date]]&gt;cfdEndDate),0,ROUND(tblContractForDeed[[#This Row],[Beg]]*(tblContractForDeed[[#This Row],[Int Rate]]/12),2))</f>
        <v>367.14</v>
      </c>
      <c r="T49" s="275">
        <f>IF(tblContractForDeed[[#This Row],[Payment]]=0,0,$W$2)</f>
        <v>134.16999999999999</v>
      </c>
      <c r="U49" s="275">
        <f>IF(tblContractForDeed[[#This Row],[Princ]]=0,0,$W$3)</f>
        <v>188.55</v>
      </c>
      <c r="V49" s="275">
        <f>SUM(tblContractForDeed[[#This Row],[Princ]],tblContractForDeed[[#This Row],[Int]],tblContractForDeed[[#This Row],[Ins]],tblContractForDeed[[#This Row],[Taxes]])</f>
        <v>968</v>
      </c>
      <c r="W49" s="275">
        <f>SUM(INDEX(tblContractForDeed[Princ],1):INDEX(tblContractForDeed[Princ],ROW()-ROW(tblContractForDeed[#Headers])))</f>
        <v>5045.33</v>
      </c>
      <c r="X49" s="275">
        <f>IF(tblContractForDeed[[#This Row],[Beg]]&lt;=0,0,tblContractForDeed[[#This Row],[Beg]]-tblContractForDeed[[#This Row],[Princ]])</f>
        <v>70212.669999999984</v>
      </c>
      <c r="Y4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49" s="454">
        <f>IF(INDEX(tblContractForDeed[Payment],ROW()-ROW(tblBuyerOutputs[#Headers]))=0,0,INDEX(tblContractForDeed[Payment],ROW()-ROW(tblBuyerOutputs[#Headers]))-INDEX(tblSubjectToLoan[Payment],ROW()-ROW(tblBuyerOutputs[#Headers])))</f>
        <v>19.470000000000027</v>
      </c>
      <c r="AA49"/>
      <c r="AB49" s="14">
        <f>IF(INDEX(tblContractForDeed[Payment],ROW()-ROW(tblBuyerOutputs[#Headers]))=0,0,INDEX(tblContractForDeed[Payment],ROW()-ROW(tblBuyerOutputs[#Headers]))-INDEX(tblSubjectToLoan[Payment],ROW()-ROW(tblBuyerOutputs[#Headers])))-IFERROR(tblBuyerOutputs[[#This Row],[PMI]],0)</f>
        <v>19.470000000000027</v>
      </c>
      <c r="AC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369.93000000000052</v>
      </c>
      <c r="AD49" s="275">
        <f>IF(INDEX(tblContractForDeed[End Bal],ROW()-ROW(tblBuyerOutputs[#Headers]))&lt;=0,0,($O$6+IF(ROW()=ROW(tblBuyerOutputs[#Headers])+1,0,INDEX(tblBuyerOutputs[Cumul Appr],ROW()-ROW(tblBuyerOutputs[#Headers])-1)))*$O$2/12)</f>
        <v>353.76075814841403</v>
      </c>
      <c r="AE49" s="275">
        <f>IF(INDEX(tblContractForDeed[End Bal],ROW()-ROW(tblBuyerOutputs[#Headers]))&lt;=0,0,IF(ROW()=ROW(tblBuyerOutputs[#Headers])+1,0,INDEX(tblBuyerOutputs[Cumul Appr],ROW()-ROW(tblBuyerOutputs[#Headers])-1))+tblBuyerOutputs[[#This Row],[Monthly Appr]])</f>
        <v>9998.3427137677663</v>
      </c>
      <c r="AF49" s="22"/>
      <c r="AG49" s="14"/>
      <c r="AL49"/>
      <c r="AM49" s="14"/>
      <c r="AO49" s="275"/>
      <c r="AQ49" s="14"/>
      <c r="AR49"/>
    </row>
    <row r="50" spans="1:44" x14ac:dyDescent="0.25">
      <c r="A50" s="590">
        <f t="shared" si="4"/>
        <v>46784</v>
      </c>
      <c r="B50" s="275">
        <f t="shared" si="5"/>
        <v>87118.110000000015</v>
      </c>
      <c r="C50" s="14">
        <f t="shared" si="1"/>
        <v>625.80999999999995</v>
      </c>
      <c r="D50" s="14">
        <f t="shared" si="6"/>
        <v>353.56999999999994</v>
      </c>
      <c r="E50" s="14">
        <f t="shared" si="2"/>
        <v>272.24</v>
      </c>
      <c r="I50" s="275">
        <f t="shared" si="9"/>
        <v>10767.300000000001</v>
      </c>
      <c r="J50" s="275">
        <f t="shared" si="10"/>
        <v>8936.65</v>
      </c>
      <c r="K50" s="275">
        <f t="shared" si="7"/>
        <v>86764.540000000008</v>
      </c>
      <c r="L50" s="386">
        <f t="shared" si="3"/>
        <v>2</v>
      </c>
      <c r="M50" s="386">
        <f t="shared" si="8"/>
        <v>30</v>
      </c>
      <c r="N50" s="590">
        <f>INDEX(tblSubjectToLoan[Date],ROW()-ROW(tblContractForDeed[#Headers]))</f>
        <v>46784</v>
      </c>
      <c r="O50" s="275">
        <f>IF(ROW()=ROW(tblContractForDeed[#Headers])+1,$O$6,IF(INDEX(tblContractForDeed[End Bal],ROW()-ROW(tblContractForDeed[#Headers])-1)&lt;0,0,INDEX(tblContractForDeed[End Bal],ROW()-ROW(tblContractForDeed[#Headers])-1)))</f>
        <v>70212.669999999984</v>
      </c>
      <c r="P50" s="445">
        <f>IF(tblContractForDeed[[#This Row],[Date]]="","",IF(tblContractForDeed[[#This Row],[Date]]&lt;cfdRateChangeDate,cfdRate1,cfdRate2))</f>
        <v>6.25E-2</v>
      </c>
      <c r="Q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0" s="275">
        <f>IF(tblContractForDeed[[#This Row],[Payment]]=0,0,MAX(0,MIN(tblContractForDeed[[#This Row],[Beg]],tblContractForDeed[[#This Row],[Payment]]-tblContractForDeed[[#This Row],[Int]])))</f>
        <v>279.58999999999997</v>
      </c>
      <c r="S50" s="275">
        <f>IF(OR(tblContractForDeed[[#This Row],[Date]]&lt;cfdContractDate,tblContractForDeed[[#This Row],[Date]]&gt;cfdEndDate),0,ROUND(tblContractForDeed[[#This Row],[Beg]]*(tblContractForDeed[[#This Row],[Int Rate]]/12),2))</f>
        <v>365.69</v>
      </c>
      <c r="T50" s="275">
        <f>IF(tblContractForDeed[[#This Row],[Payment]]=0,0,$W$2)</f>
        <v>134.16999999999999</v>
      </c>
      <c r="U50" s="275">
        <f>IF(tblContractForDeed[[#This Row],[Princ]]=0,0,$W$3)</f>
        <v>188.55</v>
      </c>
      <c r="V50" s="275">
        <f>SUM(tblContractForDeed[[#This Row],[Princ]],tblContractForDeed[[#This Row],[Int]],tblContractForDeed[[#This Row],[Ins]],tblContractForDeed[[#This Row],[Taxes]])</f>
        <v>968</v>
      </c>
      <c r="W50" s="275">
        <f>SUM(INDEX(tblContractForDeed[Princ],1):INDEX(tblContractForDeed[Princ],ROW()-ROW(tblContractForDeed[#Headers])))</f>
        <v>5324.92</v>
      </c>
      <c r="X50" s="275">
        <f>IF(tblContractForDeed[[#This Row],[Beg]]&lt;=0,0,tblContractForDeed[[#This Row],[Beg]]-tblContractForDeed[[#This Row],[Princ]])</f>
        <v>69933.079999999987</v>
      </c>
      <c r="Y5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0" s="454">
        <f>IF(INDEX(tblContractForDeed[Payment],ROW()-ROW(tblBuyerOutputs[#Headers]))=0,0,INDEX(tblContractForDeed[Payment],ROW()-ROW(tblBuyerOutputs[#Headers]))-INDEX(tblSubjectToLoan[Payment],ROW()-ROW(tblBuyerOutputs[#Headers])))</f>
        <v>19.470000000000027</v>
      </c>
      <c r="AA50"/>
      <c r="AB50" s="14">
        <f>IF(INDEX(tblContractForDeed[Payment],ROW()-ROW(tblBuyerOutputs[#Headers]))=0,0,INDEX(tblContractForDeed[Payment],ROW()-ROW(tblBuyerOutputs[#Headers]))-INDEX(tblSubjectToLoan[Payment],ROW()-ROW(tblBuyerOutputs[#Headers])))-IFERROR(tblBuyerOutputs[[#This Row],[PMI]],0)</f>
        <v>19.470000000000027</v>
      </c>
      <c r="AC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389.40000000000055</v>
      </c>
      <c r="AD50" s="275">
        <f>IF(INDEX(tblContractForDeed[End Bal],ROW()-ROW(tblBuyerOutputs[#Headers]))&lt;=0,0,($O$6+IF(ROW()=ROW(tblBuyerOutputs[#Headers])+1,0,INDEX(tblBuyerOutputs[Cumul Appr],ROW()-ROW(tblBuyerOutputs[#Headers])-1)))*$O$2/12)</f>
        <v>355.23476130736572</v>
      </c>
      <c r="AE50" s="275">
        <f>IF(INDEX(tblContractForDeed[End Bal],ROW()-ROW(tblBuyerOutputs[#Headers]))&lt;=0,0,IF(ROW()=ROW(tblBuyerOutputs[#Headers])+1,0,INDEX(tblBuyerOutputs[Cumul Appr],ROW()-ROW(tblBuyerOutputs[#Headers])-1))+tblBuyerOutputs[[#This Row],[Monthly Appr]])</f>
        <v>10353.577475075132</v>
      </c>
      <c r="AF50" s="22"/>
      <c r="AG50" s="14"/>
      <c r="AL50"/>
      <c r="AM50" s="14"/>
      <c r="AO50" s="275"/>
      <c r="AQ50" s="14"/>
      <c r="AR50"/>
    </row>
    <row r="51" spans="1:44" x14ac:dyDescent="0.25">
      <c r="A51" s="590">
        <f t="shared" si="4"/>
        <v>46813</v>
      </c>
      <c r="B51" s="275">
        <f t="shared" si="5"/>
        <v>86764.540000000008</v>
      </c>
      <c r="C51" s="14">
        <f t="shared" si="1"/>
        <v>625.80999999999995</v>
      </c>
      <c r="D51" s="14">
        <f t="shared" si="6"/>
        <v>354.66999999999996</v>
      </c>
      <c r="E51" s="14">
        <f t="shared" si="2"/>
        <v>271.14</v>
      </c>
      <c r="I51" s="275">
        <f t="shared" si="9"/>
        <v>11121.970000000001</v>
      </c>
      <c r="J51" s="275">
        <f t="shared" si="10"/>
        <v>9207.7899999999991</v>
      </c>
      <c r="K51" s="275">
        <f t="shared" si="7"/>
        <v>86409.87000000001</v>
      </c>
      <c r="L51" s="386">
        <f t="shared" si="3"/>
        <v>2</v>
      </c>
      <c r="M51" s="386">
        <f t="shared" si="8"/>
        <v>31</v>
      </c>
      <c r="N51" s="590">
        <f>INDEX(tblSubjectToLoan[Date],ROW()-ROW(tblContractForDeed[#Headers]))</f>
        <v>46813</v>
      </c>
      <c r="O51" s="275">
        <f>IF(ROW()=ROW(tblContractForDeed[#Headers])+1,$O$6,IF(INDEX(tblContractForDeed[End Bal],ROW()-ROW(tblContractForDeed[#Headers])-1)&lt;0,0,INDEX(tblContractForDeed[End Bal],ROW()-ROW(tblContractForDeed[#Headers])-1)))</f>
        <v>69933.079999999987</v>
      </c>
      <c r="P51" s="445">
        <f>IF(tblContractForDeed[[#This Row],[Date]]="","",IF(tblContractForDeed[[#This Row],[Date]]&lt;cfdRateChangeDate,cfdRate1,cfdRate2))</f>
        <v>6.25E-2</v>
      </c>
      <c r="Q5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1" s="275">
        <f>IF(tblContractForDeed[[#This Row],[Payment]]=0,0,MAX(0,MIN(tblContractForDeed[[#This Row],[Beg]],tblContractForDeed[[#This Row],[Payment]]-tblContractForDeed[[#This Row],[Int]])))</f>
        <v>281.04999999999995</v>
      </c>
      <c r="S51" s="275">
        <f>IF(OR(tblContractForDeed[[#This Row],[Date]]&lt;cfdContractDate,tblContractForDeed[[#This Row],[Date]]&gt;cfdEndDate),0,ROUND(tblContractForDeed[[#This Row],[Beg]]*(tblContractForDeed[[#This Row],[Int Rate]]/12),2))</f>
        <v>364.23</v>
      </c>
      <c r="T51" s="275">
        <f>IF(tblContractForDeed[[#This Row],[Payment]]=0,0,$W$2)</f>
        <v>134.16999999999999</v>
      </c>
      <c r="U51" s="275">
        <f>IF(tblContractForDeed[[#This Row],[Princ]]=0,0,$W$3)</f>
        <v>188.55</v>
      </c>
      <c r="V51" s="275">
        <f>SUM(tblContractForDeed[[#This Row],[Princ]],tblContractForDeed[[#This Row],[Int]],tblContractForDeed[[#This Row],[Ins]],tblContractForDeed[[#This Row],[Taxes]])</f>
        <v>968</v>
      </c>
      <c r="W51" s="275">
        <f>SUM(INDEX(tblContractForDeed[Princ],1):INDEX(tblContractForDeed[Princ],ROW()-ROW(tblContractForDeed[#Headers])))</f>
        <v>5605.97</v>
      </c>
      <c r="X51" s="275">
        <f>IF(tblContractForDeed[[#This Row],[Beg]]&lt;=0,0,tblContractForDeed[[#This Row],[Beg]]-tblContractForDeed[[#This Row],[Princ]])</f>
        <v>69652.029999999984</v>
      </c>
      <c r="Y5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1" s="454">
        <f>IF(INDEX(tblContractForDeed[Payment],ROW()-ROW(tblBuyerOutputs[#Headers]))=0,0,INDEX(tblContractForDeed[Payment],ROW()-ROW(tblBuyerOutputs[#Headers]))-INDEX(tblSubjectToLoan[Payment],ROW()-ROW(tblBuyerOutputs[#Headers])))</f>
        <v>19.470000000000027</v>
      </c>
      <c r="AA51"/>
      <c r="AB51" s="14">
        <f>IF(INDEX(tblContractForDeed[Payment],ROW()-ROW(tblBuyerOutputs[#Headers]))=0,0,INDEX(tblContractForDeed[Payment],ROW()-ROW(tblBuyerOutputs[#Headers]))-INDEX(tblSubjectToLoan[Payment],ROW()-ROW(tblBuyerOutputs[#Headers])))-IFERROR(tblBuyerOutputs[[#This Row],[PMI]],0)</f>
        <v>19.470000000000027</v>
      </c>
      <c r="AC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408.87000000000057</v>
      </c>
      <c r="AD51" s="275">
        <f>IF(INDEX(tblContractForDeed[End Bal],ROW()-ROW(tblBuyerOutputs[#Headers]))&lt;=0,0,($O$6+IF(ROW()=ROW(tblBuyerOutputs[#Headers])+1,0,INDEX(tblBuyerOutputs[Cumul Appr],ROW()-ROW(tblBuyerOutputs[#Headers])-1)))*$O$2/12)</f>
        <v>356.7149061461464</v>
      </c>
      <c r="AE51" s="275">
        <f>IF(INDEX(tblContractForDeed[End Bal],ROW()-ROW(tblBuyerOutputs[#Headers]))&lt;=0,0,IF(ROW()=ROW(tblBuyerOutputs[#Headers])+1,0,INDEX(tblBuyerOutputs[Cumul Appr],ROW()-ROW(tblBuyerOutputs[#Headers])-1))+tblBuyerOutputs[[#This Row],[Monthly Appr]])</f>
        <v>10710.292381221278</v>
      </c>
      <c r="AF51" s="22"/>
      <c r="AG51" s="14"/>
      <c r="AL51"/>
      <c r="AM51" s="14"/>
      <c r="AO51" s="275"/>
      <c r="AQ51" s="14"/>
      <c r="AR51"/>
    </row>
    <row r="52" spans="1:44" x14ac:dyDescent="0.25">
      <c r="A52" s="590">
        <f t="shared" si="4"/>
        <v>46844</v>
      </c>
      <c r="B52" s="275">
        <f t="shared" si="5"/>
        <v>86409.87000000001</v>
      </c>
      <c r="C52" s="14">
        <f t="shared" si="1"/>
        <v>625.80999999999995</v>
      </c>
      <c r="D52" s="14">
        <f t="shared" si="6"/>
        <v>355.78</v>
      </c>
      <c r="E52" s="14">
        <f t="shared" si="2"/>
        <v>270.02999999999997</v>
      </c>
      <c r="I52" s="275">
        <f t="shared" si="9"/>
        <v>11477.750000000002</v>
      </c>
      <c r="J52" s="275">
        <f t="shared" si="10"/>
        <v>9477.82</v>
      </c>
      <c r="K52" s="275">
        <f t="shared" si="7"/>
        <v>86054.090000000011</v>
      </c>
      <c r="L52" s="386">
        <f t="shared" si="3"/>
        <v>2</v>
      </c>
      <c r="M52" s="386">
        <f t="shared" si="8"/>
        <v>32</v>
      </c>
      <c r="N52" s="590">
        <f>INDEX(tblSubjectToLoan[Date],ROW()-ROW(tblContractForDeed[#Headers]))</f>
        <v>46844</v>
      </c>
      <c r="O52" s="275">
        <f>IF(ROW()=ROW(tblContractForDeed[#Headers])+1,$O$6,IF(INDEX(tblContractForDeed[End Bal],ROW()-ROW(tblContractForDeed[#Headers])-1)&lt;0,0,INDEX(tblContractForDeed[End Bal],ROW()-ROW(tblContractForDeed[#Headers])-1)))</f>
        <v>69652.029999999984</v>
      </c>
      <c r="P52" s="445">
        <f>IF(tblContractForDeed[[#This Row],[Date]]="","",IF(tblContractForDeed[[#This Row],[Date]]&lt;cfdRateChangeDate,cfdRate1,cfdRate2))</f>
        <v>6.25E-2</v>
      </c>
      <c r="Q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2" s="275">
        <f>IF(tblContractForDeed[[#This Row],[Payment]]=0,0,MAX(0,MIN(tblContractForDeed[[#This Row],[Beg]],tblContractForDeed[[#This Row],[Payment]]-tblContractForDeed[[#This Row],[Int]])))</f>
        <v>282.51</v>
      </c>
      <c r="S52" s="275">
        <f>IF(OR(tblContractForDeed[[#This Row],[Date]]&lt;cfdContractDate,tblContractForDeed[[#This Row],[Date]]&gt;cfdEndDate),0,ROUND(tblContractForDeed[[#This Row],[Beg]]*(tblContractForDeed[[#This Row],[Int Rate]]/12),2))</f>
        <v>362.77</v>
      </c>
      <c r="T52" s="275">
        <f>IF(tblContractForDeed[[#This Row],[Payment]]=0,0,$W$2)</f>
        <v>134.16999999999999</v>
      </c>
      <c r="U52" s="275">
        <f>IF(tblContractForDeed[[#This Row],[Princ]]=0,0,$W$3)</f>
        <v>188.55</v>
      </c>
      <c r="V52" s="275">
        <f>SUM(tblContractForDeed[[#This Row],[Princ]],tblContractForDeed[[#This Row],[Int]],tblContractForDeed[[#This Row],[Ins]],tblContractForDeed[[#This Row],[Taxes]])</f>
        <v>968</v>
      </c>
      <c r="W52" s="275">
        <f>SUM(INDEX(tblContractForDeed[Princ],1):INDEX(tblContractForDeed[Princ],ROW()-ROW(tblContractForDeed[#Headers])))</f>
        <v>5888.4800000000005</v>
      </c>
      <c r="X52" s="275">
        <f>IF(tblContractForDeed[[#This Row],[Beg]]&lt;=0,0,tblContractForDeed[[#This Row],[Beg]]-tblContractForDeed[[#This Row],[Princ]])</f>
        <v>69369.51999999999</v>
      </c>
      <c r="Y5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2" s="454">
        <f>IF(INDEX(tblContractForDeed[Payment],ROW()-ROW(tblBuyerOutputs[#Headers]))=0,0,INDEX(tblContractForDeed[Payment],ROW()-ROW(tblBuyerOutputs[#Headers]))-INDEX(tblSubjectToLoan[Payment],ROW()-ROW(tblBuyerOutputs[#Headers])))</f>
        <v>19.470000000000027</v>
      </c>
      <c r="AA52"/>
      <c r="AB52" s="14">
        <f>IF(INDEX(tblContractForDeed[Payment],ROW()-ROW(tblBuyerOutputs[#Headers]))=0,0,INDEX(tblContractForDeed[Payment],ROW()-ROW(tblBuyerOutputs[#Headers]))-INDEX(tblSubjectToLoan[Payment],ROW()-ROW(tblBuyerOutputs[#Headers])))-IFERROR(tblBuyerOutputs[[#This Row],[PMI]],0)</f>
        <v>19.470000000000027</v>
      </c>
      <c r="AC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428.3400000000006</v>
      </c>
      <c r="AD52" s="275">
        <f>IF(INDEX(tblContractForDeed[End Bal],ROW()-ROW(tblBuyerOutputs[#Headers]))&lt;=0,0,($O$6+IF(ROW()=ROW(tblBuyerOutputs[#Headers])+1,0,INDEX(tblBuyerOutputs[Cumul Appr],ROW()-ROW(tblBuyerOutputs[#Headers])-1)))*$O$2/12)</f>
        <v>358.20121825508869</v>
      </c>
      <c r="AE52" s="275">
        <f>IF(INDEX(tblContractForDeed[End Bal],ROW()-ROW(tblBuyerOutputs[#Headers]))&lt;=0,0,IF(ROW()=ROW(tblBuyerOutputs[#Headers])+1,0,INDEX(tblBuyerOutputs[Cumul Appr],ROW()-ROW(tblBuyerOutputs[#Headers])-1))+tblBuyerOutputs[[#This Row],[Monthly Appr]])</f>
        <v>11068.493599476365</v>
      </c>
      <c r="AF52" s="22"/>
      <c r="AG52" s="14"/>
      <c r="AL52"/>
      <c r="AM52" s="14"/>
      <c r="AO52" s="275"/>
      <c r="AQ52" s="14"/>
      <c r="AR52"/>
    </row>
    <row r="53" spans="1:44" x14ac:dyDescent="0.25">
      <c r="A53" s="590">
        <f t="shared" si="4"/>
        <v>46874</v>
      </c>
      <c r="B53" s="275">
        <f t="shared" si="5"/>
        <v>86054.090000000011</v>
      </c>
      <c r="C53" s="14">
        <f t="shared" si="1"/>
        <v>625.80999999999995</v>
      </c>
      <c r="D53" s="14">
        <f t="shared" si="6"/>
        <v>356.88999999999993</v>
      </c>
      <c r="E53" s="14">
        <f t="shared" si="2"/>
        <v>268.92</v>
      </c>
      <c r="I53" s="275">
        <f t="shared" si="9"/>
        <v>11834.640000000001</v>
      </c>
      <c r="J53" s="275">
        <f t="shared" si="10"/>
        <v>9746.74</v>
      </c>
      <c r="K53" s="275">
        <f t="shared" si="7"/>
        <v>85697.200000000012</v>
      </c>
      <c r="L53" s="386">
        <f t="shared" si="3"/>
        <v>2</v>
      </c>
      <c r="M53" s="386">
        <f t="shared" si="8"/>
        <v>33</v>
      </c>
      <c r="N53" s="590">
        <f>INDEX(tblSubjectToLoan[Date],ROW()-ROW(tblContractForDeed[#Headers]))</f>
        <v>46874</v>
      </c>
      <c r="O53" s="275">
        <f>IF(ROW()=ROW(tblContractForDeed[#Headers])+1,$O$6,IF(INDEX(tblContractForDeed[End Bal],ROW()-ROW(tblContractForDeed[#Headers])-1)&lt;0,0,INDEX(tblContractForDeed[End Bal],ROW()-ROW(tblContractForDeed[#Headers])-1)))</f>
        <v>69369.51999999999</v>
      </c>
      <c r="P53" s="445">
        <f>IF(tblContractForDeed[[#This Row],[Date]]="","",IF(tblContractForDeed[[#This Row],[Date]]&lt;cfdRateChangeDate,cfdRate1,cfdRate2))</f>
        <v>6.25E-2</v>
      </c>
      <c r="Q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3" s="275">
        <f>IF(tblContractForDeed[[#This Row],[Payment]]=0,0,MAX(0,MIN(tblContractForDeed[[#This Row],[Beg]],tblContractForDeed[[#This Row],[Payment]]-tblContractForDeed[[#This Row],[Int]])))</f>
        <v>283.97999999999996</v>
      </c>
      <c r="S53" s="275">
        <f>IF(OR(tblContractForDeed[[#This Row],[Date]]&lt;cfdContractDate,tblContractForDeed[[#This Row],[Date]]&gt;cfdEndDate),0,ROUND(tblContractForDeed[[#This Row],[Beg]]*(tblContractForDeed[[#This Row],[Int Rate]]/12),2))</f>
        <v>361.3</v>
      </c>
      <c r="T53" s="275">
        <f>IF(tblContractForDeed[[#This Row],[Payment]]=0,0,$W$2)</f>
        <v>134.16999999999999</v>
      </c>
      <c r="U53" s="275">
        <f>IF(tblContractForDeed[[#This Row],[Princ]]=0,0,$W$3)</f>
        <v>188.55</v>
      </c>
      <c r="V53" s="275">
        <f>SUM(tblContractForDeed[[#This Row],[Princ]],tblContractForDeed[[#This Row],[Int]],tblContractForDeed[[#This Row],[Ins]],tblContractForDeed[[#This Row],[Taxes]])</f>
        <v>968</v>
      </c>
      <c r="W53" s="275">
        <f>SUM(INDEX(tblContractForDeed[Princ],1):INDEX(tblContractForDeed[Princ],ROW()-ROW(tblContractForDeed[#Headers])))</f>
        <v>6172.46</v>
      </c>
      <c r="X53" s="275">
        <f>IF(tblContractForDeed[[#This Row],[Beg]]&lt;=0,0,tblContractForDeed[[#This Row],[Beg]]-tblContractForDeed[[#This Row],[Princ]])</f>
        <v>69085.539999999994</v>
      </c>
      <c r="Y5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3" s="454">
        <f>IF(INDEX(tblContractForDeed[Payment],ROW()-ROW(tblBuyerOutputs[#Headers]))=0,0,INDEX(tblContractForDeed[Payment],ROW()-ROW(tblBuyerOutputs[#Headers]))-INDEX(tblSubjectToLoan[Payment],ROW()-ROW(tblBuyerOutputs[#Headers])))</f>
        <v>19.470000000000027</v>
      </c>
      <c r="AA53"/>
      <c r="AB53" s="14">
        <f>IF(INDEX(tblContractForDeed[Payment],ROW()-ROW(tblBuyerOutputs[#Headers]))=0,0,INDEX(tblContractForDeed[Payment],ROW()-ROW(tblBuyerOutputs[#Headers]))-INDEX(tblSubjectToLoan[Payment],ROW()-ROW(tblBuyerOutputs[#Headers])))-IFERROR(tblBuyerOutputs[[#This Row],[PMI]],0)</f>
        <v>19.470000000000027</v>
      </c>
      <c r="AC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447.81000000000063</v>
      </c>
      <c r="AD53" s="275">
        <f>IF(INDEX(tblContractForDeed[End Bal],ROW()-ROW(tblBuyerOutputs[#Headers]))&lt;=0,0,($O$6+IF(ROW()=ROW(tblBuyerOutputs[#Headers])+1,0,INDEX(tblBuyerOutputs[Cumul Appr],ROW()-ROW(tblBuyerOutputs[#Headers])-1)))*$O$2/12)</f>
        <v>359.69372333115149</v>
      </c>
      <c r="AE53" s="275">
        <f>IF(INDEX(tblContractForDeed[End Bal],ROW()-ROW(tblBuyerOutputs[#Headers]))&lt;=0,0,IF(ROW()=ROW(tblBuyerOutputs[#Headers])+1,0,INDEX(tblBuyerOutputs[Cumul Appr],ROW()-ROW(tblBuyerOutputs[#Headers])-1))+tblBuyerOutputs[[#This Row],[Monthly Appr]])</f>
        <v>11428.187322807516</v>
      </c>
      <c r="AF53" s="22"/>
      <c r="AG53" s="14"/>
      <c r="AL53"/>
      <c r="AM53" s="14"/>
      <c r="AO53" s="275"/>
      <c r="AQ53" s="14"/>
      <c r="AR53"/>
    </row>
    <row r="54" spans="1:44" x14ac:dyDescent="0.25">
      <c r="A54" s="590">
        <f t="shared" si="4"/>
        <v>46905</v>
      </c>
      <c r="B54" s="275">
        <f t="shared" si="5"/>
        <v>85697.200000000012</v>
      </c>
      <c r="C54" s="14">
        <f t="shared" si="1"/>
        <v>625.80999999999995</v>
      </c>
      <c r="D54" s="14">
        <f t="shared" si="6"/>
        <v>358.00999999999993</v>
      </c>
      <c r="E54" s="14">
        <f t="shared" si="2"/>
        <v>267.8</v>
      </c>
      <c r="I54" s="275">
        <f t="shared" si="9"/>
        <v>12192.650000000001</v>
      </c>
      <c r="J54" s="275">
        <f t="shared" si="10"/>
        <v>10014.539999999999</v>
      </c>
      <c r="K54" s="275">
        <f t="shared" si="7"/>
        <v>85339.190000000017</v>
      </c>
      <c r="L54" s="386">
        <f t="shared" si="3"/>
        <v>2</v>
      </c>
      <c r="M54" s="386">
        <f t="shared" si="8"/>
        <v>34</v>
      </c>
      <c r="N54" s="590">
        <f>INDEX(tblSubjectToLoan[Date],ROW()-ROW(tblContractForDeed[#Headers]))</f>
        <v>46905</v>
      </c>
      <c r="O54" s="275">
        <f>IF(ROW()=ROW(tblContractForDeed[#Headers])+1,$O$6,IF(INDEX(tblContractForDeed[End Bal],ROW()-ROW(tblContractForDeed[#Headers])-1)&lt;0,0,INDEX(tblContractForDeed[End Bal],ROW()-ROW(tblContractForDeed[#Headers])-1)))</f>
        <v>69085.539999999994</v>
      </c>
      <c r="P54" s="445">
        <f>IF(tblContractForDeed[[#This Row],[Date]]="","",IF(tblContractForDeed[[#This Row],[Date]]&lt;cfdRateChangeDate,cfdRate1,cfdRate2))</f>
        <v>6.25E-2</v>
      </c>
      <c r="Q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4" s="275">
        <f>IF(tblContractForDeed[[#This Row],[Payment]]=0,0,MAX(0,MIN(tblContractForDeed[[#This Row],[Beg]],tblContractForDeed[[#This Row],[Payment]]-tblContractForDeed[[#This Row],[Int]])))</f>
        <v>285.45999999999998</v>
      </c>
      <c r="S54" s="275">
        <f>IF(OR(tblContractForDeed[[#This Row],[Date]]&lt;cfdContractDate,tblContractForDeed[[#This Row],[Date]]&gt;cfdEndDate),0,ROUND(tblContractForDeed[[#This Row],[Beg]]*(tblContractForDeed[[#This Row],[Int Rate]]/12),2))</f>
        <v>359.82</v>
      </c>
      <c r="T54" s="275">
        <f>IF(tblContractForDeed[[#This Row],[Payment]]=0,0,$W$2)</f>
        <v>134.16999999999999</v>
      </c>
      <c r="U54" s="275">
        <f>IF(tblContractForDeed[[#This Row],[Princ]]=0,0,$W$3)</f>
        <v>188.55</v>
      </c>
      <c r="V54" s="275">
        <f>SUM(tblContractForDeed[[#This Row],[Princ]],tblContractForDeed[[#This Row],[Int]],tblContractForDeed[[#This Row],[Ins]],tblContractForDeed[[#This Row],[Taxes]])</f>
        <v>968</v>
      </c>
      <c r="W54" s="275">
        <f>SUM(INDEX(tblContractForDeed[Princ],1):INDEX(tblContractForDeed[Princ],ROW()-ROW(tblContractForDeed[#Headers])))</f>
        <v>6457.92</v>
      </c>
      <c r="X54" s="275">
        <f>IF(tblContractForDeed[[#This Row],[Beg]]&lt;=0,0,tblContractForDeed[[#This Row],[Beg]]-tblContractForDeed[[#This Row],[Princ]])</f>
        <v>68800.079999999987</v>
      </c>
      <c r="Y5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4" s="454">
        <f>IF(INDEX(tblContractForDeed[Payment],ROW()-ROW(tblBuyerOutputs[#Headers]))=0,0,INDEX(tblContractForDeed[Payment],ROW()-ROW(tblBuyerOutputs[#Headers]))-INDEX(tblSubjectToLoan[Payment],ROW()-ROW(tblBuyerOutputs[#Headers])))</f>
        <v>19.470000000000027</v>
      </c>
      <c r="AA54"/>
      <c r="AB54" s="14">
        <f>IF(INDEX(tblContractForDeed[Payment],ROW()-ROW(tblBuyerOutputs[#Headers]))=0,0,INDEX(tblContractForDeed[Payment],ROW()-ROW(tblBuyerOutputs[#Headers]))-INDEX(tblSubjectToLoan[Payment],ROW()-ROW(tblBuyerOutputs[#Headers])))-IFERROR(tblBuyerOutputs[[#This Row],[PMI]],0)</f>
        <v>19.470000000000027</v>
      </c>
      <c r="AC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467.28000000000065</v>
      </c>
      <c r="AD54" s="275">
        <f>IF(INDEX(tblContractForDeed[End Bal],ROW()-ROW(tblBuyerOutputs[#Headers]))&lt;=0,0,($O$6+IF(ROW()=ROW(tblBuyerOutputs[#Headers])+1,0,INDEX(tblBuyerOutputs[Cumul Appr],ROW()-ROW(tblBuyerOutputs[#Headers])-1)))*$O$2/12)</f>
        <v>361.1924471783646</v>
      </c>
      <c r="AE54" s="275">
        <f>IF(INDEX(tblContractForDeed[End Bal],ROW()-ROW(tblBuyerOutputs[#Headers]))&lt;=0,0,IF(ROW()=ROW(tblBuyerOutputs[#Headers])+1,0,INDEX(tblBuyerOutputs[Cumul Appr],ROW()-ROW(tblBuyerOutputs[#Headers])-1))+tblBuyerOutputs[[#This Row],[Monthly Appr]])</f>
        <v>11789.379769985881</v>
      </c>
      <c r="AF54" s="22"/>
      <c r="AG54" s="14"/>
      <c r="AL54"/>
      <c r="AM54" s="14"/>
      <c r="AO54" s="275"/>
      <c r="AQ54" s="14"/>
      <c r="AR54"/>
    </row>
    <row r="55" spans="1:44" ht="15.75" thickBot="1" x14ac:dyDescent="0.3">
      <c r="A55" s="591">
        <f t="shared" si="4"/>
        <v>46935</v>
      </c>
      <c r="B55" s="326">
        <f t="shared" si="5"/>
        <v>85339.190000000017</v>
      </c>
      <c r="C55" s="21">
        <f t="shared" si="1"/>
        <v>625.80999999999995</v>
      </c>
      <c r="D55" s="21">
        <f t="shared" si="6"/>
        <v>359.12999999999994</v>
      </c>
      <c r="E55" s="21">
        <f t="shared" si="2"/>
        <v>266.68</v>
      </c>
      <c r="F55" s="21"/>
      <c r="G55" s="21"/>
      <c r="H55" s="21"/>
      <c r="I55" s="326">
        <f t="shared" si="9"/>
        <v>12551.78</v>
      </c>
      <c r="J55" s="326">
        <f t="shared" si="10"/>
        <v>10281.219999999999</v>
      </c>
      <c r="K55" s="326">
        <f t="shared" si="7"/>
        <v>84980.060000000012</v>
      </c>
      <c r="L55" s="387">
        <f t="shared" si="3"/>
        <v>2</v>
      </c>
      <c r="M55" s="387">
        <f t="shared" si="8"/>
        <v>35</v>
      </c>
      <c r="N55" s="591">
        <f>INDEX(tblSubjectToLoan[Date],ROW()-ROW(tblContractForDeed[#Headers]))</f>
        <v>46935</v>
      </c>
      <c r="O55" s="326">
        <f>IF(ROW()=ROW(tblContractForDeed[#Headers])+1,$O$6,IF(INDEX(tblContractForDeed[End Bal],ROW()-ROW(tblContractForDeed[#Headers])-1)&lt;0,0,INDEX(tblContractForDeed[End Bal],ROW()-ROW(tblContractForDeed[#Headers])-1)))</f>
        <v>68800.079999999987</v>
      </c>
      <c r="P55" s="445">
        <f>IF(tblContractForDeed[[#This Row],[Date]]="","",IF(tblContractForDeed[[#This Row],[Date]]&lt;cfdRateChangeDate,cfdRate1,cfdRate2))</f>
        <v>6.25E-2</v>
      </c>
      <c r="Q5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5" s="326">
        <f>IF(tblContractForDeed[[#This Row],[Payment]]=0,0,MAX(0,MIN(tblContractForDeed[[#This Row],[Beg]],tblContractForDeed[[#This Row],[Payment]]-tblContractForDeed[[#This Row],[Int]])))</f>
        <v>286.95</v>
      </c>
      <c r="S55" s="326">
        <f>IF(OR(tblContractForDeed[[#This Row],[Date]]&lt;cfdContractDate,tblContractForDeed[[#This Row],[Date]]&gt;cfdEndDate),0,ROUND(tblContractForDeed[[#This Row],[Beg]]*(tblContractForDeed[[#This Row],[Int Rate]]/12),2))</f>
        <v>358.33</v>
      </c>
      <c r="T55" s="326">
        <f>IF(tblContractForDeed[[#This Row],[Payment]]=0,0,$W$2)</f>
        <v>134.16999999999999</v>
      </c>
      <c r="U55" s="326">
        <f>IF(tblContractForDeed[[#This Row],[Princ]]=0,0,$W$3)</f>
        <v>188.55</v>
      </c>
      <c r="V55" s="326">
        <f>SUM(tblContractForDeed[[#This Row],[Princ]],tblContractForDeed[[#This Row],[Int]],tblContractForDeed[[#This Row],[Ins]],tblContractForDeed[[#This Row],[Taxes]])</f>
        <v>968</v>
      </c>
      <c r="W55" s="326">
        <f>SUM(INDEX(tblContractForDeed[Princ],1):INDEX(tblContractForDeed[Princ],ROW()-ROW(tblContractForDeed[#Headers])))</f>
        <v>6744.87</v>
      </c>
      <c r="X55" s="326">
        <f>IF(tblContractForDeed[[#This Row],[Beg]]&lt;=0,0,tblContractForDeed[[#This Row],[Beg]]-tblContractForDeed[[#This Row],[Princ]])</f>
        <v>68513.12999999999</v>
      </c>
      <c r="Y55"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5" s="455">
        <f>IF(INDEX(tblContractForDeed[Payment],ROW()-ROW(tblBuyerOutputs[#Headers]))=0,0,INDEX(tblContractForDeed[Payment],ROW()-ROW(tblBuyerOutputs[#Headers]))-INDEX(tblSubjectToLoan[Payment],ROW()-ROW(tblBuyerOutputs[#Headers])))</f>
        <v>19.470000000000027</v>
      </c>
      <c r="AA55" s="23"/>
      <c r="AB55" s="21">
        <f>IF(INDEX(tblContractForDeed[Payment],ROW()-ROW(tblBuyerOutputs[#Headers]))=0,0,INDEX(tblContractForDeed[Payment],ROW()-ROW(tblBuyerOutputs[#Headers]))-INDEX(tblSubjectToLoan[Payment],ROW()-ROW(tblBuyerOutputs[#Headers])))-IFERROR(tblBuyerOutputs[[#This Row],[PMI]],0)</f>
        <v>19.470000000000027</v>
      </c>
      <c r="AC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486.75000000000068</v>
      </c>
      <c r="AD55" s="326">
        <f>IF(INDEX(tblContractForDeed[End Bal],ROW()-ROW(tblBuyerOutputs[#Headers]))&lt;=0,0,($O$6+IF(ROW()=ROW(tblBuyerOutputs[#Headers])+1,0,INDEX(tblBuyerOutputs[Cumul Appr],ROW()-ROW(tblBuyerOutputs[#Headers])-1)))*$O$2/12)</f>
        <v>362.69741570827455</v>
      </c>
      <c r="AE55" s="326">
        <f>IF(INDEX(tblContractForDeed[End Bal],ROW()-ROW(tblBuyerOutputs[#Headers]))&lt;=0,0,IF(ROW()=ROW(tblBuyerOutputs[#Headers])+1,0,INDEX(tblBuyerOutputs[Cumul Appr],ROW()-ROW(tblBuyerOutputs[#Headers])-1))+tblBuyerOutputs[[#This Row],[Monthly Appr]])</f>
        <v>12152.077185694156</v>
      </c>
      <c r="AF55" s="22"/>
      <c r="AG55" s="14"/>
      <c r="AL55"/>
      <c r="AM55" s="14"/>
      <c r="AO55" s="275"/>
      <c r="AQ55" s="14"/>
      <c r="AR55"/>
    </row>
    <row r="56" spans="1:44" x14ac:dyDescent="0.25">
      <c r="A56" s="590">
        <f t="shared" si="4"/>
        <v>46966</v>
      </c>
      <c r="B56" s="275">
        <f t="shared" si="5"/>
        <v>84980.060000000012</v>
      </c>
      <c r="C56" s="14">
        <f t="shared" si="1"/>
        <v>625.80999999999995</v>
      </c>
      <c r="D56" s="14">
        <f t="shared" si="6"/>
        <v>360.24999999999994</v>
      </c>
      <c r="E56" s="14">
        <f t="shared" si="2"/>
        <v>265.56</v>
      </c>
      <c r="I56" s="275">
        <f t="shared" si="9"/>
        <v>12912.03</v>
      </c>
      <c r="J56" s="275">
        <f t="shared" si="10"/>
        <v>10546.779999999999</v>
      </c>
      <c r="K56" s="275">
        <f t="shared" si="7"/>
        <v>84619.810000000012</v>
      </c>
      <c r="L56" s="386">
        <f t="shared" si="3"/>
        <v>3</v>
      </c>
      <c r="M56" s="386">
        <f t="shared" si="8"/>
        <v>36</v>
      </c>
      <c r="N56" s="590">
        <f>INDEX(tblSubjectToLoan[Date],ROW()-ROW(tblContractForDeed[#Headers]))</f>
        <v>46966</v>
      </c>
      <c r="O56" s="275">
        <f>IF(ROW()=ROW(tblContractForDeed[#Headers])+1,$O$6,IF(INDEX(tblContractForDeed[End Bal],ROW()-ROW(tblContractForDeed[#Headers])-1)&lt;0,0,INDEX(tblContractForDeed[End Bal],ROW()-ROW(tblContractForDeed[#Headers])-1)))</f>
        <v>68513.12999999999</v>
      </c>
      <c r="P56" s="445">
        <f>IF(tblContractForDeed[[#This Row],[Date]]="","",IF(tblContractForDeed[[#This Row],[Date]]&lt;cfdRateChangeDate,cfdRate1,cfdRate2))</f>
        <v>6.25E-2</v>
      </c>
      <c r="Q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6" s="275">
        <f>IF(tblContractForDeed[[#This Row],[Payment]]=0,0,MAX(0,MIN(tblContractForDeed[[#This Row],[Beg]],tblContractForDeed[[#This Row],[Payment]]-tblContractForDeed[[#This Row],[Int]])))</f>
        <v>288.44</v>
      </c>
      <c r="S56" s="275">
        <f>IF(OR(tblContractForDeed[[#This Row],[Date]]&lt;cfdContractDate,tblContractForDeed[[#This Row],[Date]]&gt;cfdEndDate),0,ROUND(tblContractForDeed[[#This Row],[Beg]]*(tblContractForDeed[[#This Row],[Int Rate]]/12),2))</f>
        <v>356.84</v>
      </c>
      <c r="T56" s="275">
        <f>IF(tblContractForDeed[[#This Row],[Payment]]=0,0,$W$2)</f>
        <v>134.16999999999999</v>
      </c>
      <c r="U56" s="275">
        <f>IF(tblContractForDeed[[#This Row],[Princ]]=0,0,$W$3)</f>
        <v>188.55</v>
      </c>
      <c r="V56" s="275">
        <f>SUM(tblContractForDeed[[#This Row],[Princ]],tblContractForDeed[[#This Row],[Int]],tblContractForDeed[[#This Row],[Ins]],tblContractForDeed[[#This Row],[Taxes]])</f>
        <v>968</v>
      </c>
      <c r="W56" s="275">
        <f>SUM(INDEX(tblContractForDeed[Princ],1):INDEX(tblContractForDeed[Princ],ROW()-ROW(tblContractForDeed[#Headers])))</f>
        <v>7033.3099999999995</v>
      </c>
      <c r="X56" s="275">
        <f>IF(tblContractForDeed[[#This Row],[Beg]]&lt;=0,0,tblContractForDeed[[#This Row],[Beg]]-tblContractForDeed[[#This Row],[Princ]])</f>
        <v>68224.689999999988</v>
      </c>
      <c r="Y5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6" s="454">
        <f>IF(INDEX(tblContractForDeed[Payment],ROW()-ROW(tblBuyerOutputs[#Headers]))=0,0,INDEX(tblContractForDeed[Payment],ROW()-ROW(tblBuyerOutputs[#Headers]))-INDEX(tblSubjectToLoan[Payment],ROW()-ROW(tblBuyerOutputs[#Headers])))</f>
        <v>19.470000000000027</v>
      </c>
      <c r="AA56"/>
      <c r="AB56" s="14">
        <f>IF(INDEX(tblContractForDeed[Payment],ROW()-ROW(tblBuyerOutputs[#Headers]))=0,0,INDEX(tblContractForDeed[Payment],ROW()-ROW(tblBuyerOutputs[#Headers]))-INDEX(tblSubjectToLoan[Payment],ROW()-ROW(tblBuyerOutputs[#Headers])))-IFERROR(tblBuyerOutputs[[#This Row],[PMI]],0)</f>
        <v>19.470000000000027</v>
      </c>
      <c r="AC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506.22000000000071</v>
      </c>
      <c r="AD56" s="275">
        <f>IF(INDEX(tblContractForDeed[End Bal],ROW()-ROW(tblBuyerOutputs[#Headers]))&lt;=0,0,($O$6+IF(ROW()=ROW(tblBuyerOutputs[#Headers])+1,0,INDEX(tblBuyerOutputs[Cumul Appr],ROW()-ROW(tblBuyerOutputs[#Headers])-1)))*$O$2/12)</f>
        <v>364.20865494039231</v>
      </c>
      <c r="AE56" s="275">
        <f>IF(INDEX(tblContractForDeed[End Bal],ROW()-ROW(tblBuyerOutputs[#Headers]))&lt;=0,0,IF(ROW()=ROW(tblBuyerOutputs[#Headers])+1,0,INDEX(tblBuyerOutputs[Cumul Appr],ROW()-ROW(tblBuyerOutputs[#Headers])-1))+tblBuyerOutputs[[#This Row],[Monthly Appr]])</f>
        <v>12516.285840634548</v>
      </c>
      <c r="AF56" s="22"/>
      <c r="AG56" s="14"/>
      <c r="AL56"/>
      <c r="AM56" s="14"/>
      <c r="AO56" s="275"/>
      <c r="AQ56" s="14"/>
      <c r="AR56"/>
    </row>
    <row r="57" spans="1:44" x14ac:dyDescent="0.25">
      <c r="A57" s="590">
        <f t="shared" si="4"/>
        <v>46997</v>
      </c>
      <c r="B57" s="275">
        <f t="shared" si="5"/>
        <v>84619.810000000012</v>
      </c>
      <c r="C57" s="14">
        <f t="shared" si="1"/>
        <v>625.80999999999995</v>
      </c>
      <c r="D57" s="14">
        <f t="shared" si="6"/>
        <v>361.36999999999995</v>
      </c>
      <c r="E57" s="14">
        <f t="shared" si="2"/>
        <v>264.44</v>
      </c>
      <c r="I57" s="275">
        <f t="shared" si="9"/>
        <v>13273.400000000001</v>
      </c>
      <c r="J57" s="275">
        <f t="shared" si="10"/>
        <v>10811.22</v>
      </c>
      <c r="K57" s="275">
        <f t="shared" si="7"/>
        <v>84258.440000000017</v>
      </c>
      <c r="L57" s="386">
        <f t="shared" si="3"/>
        <v>3</v>
      </c>
      <c r="M57" s="386">
        <f t="shared" si="8"/>
        <v>37</v>
      </c>
      <c r="N57" s="590">
        <f>INDEX(tblSubjectToLoan[Date],ROW()-ROW(tblContractForDeed[#Headers]))</f>
        <v>46997</v>
      </c>
      <c r="O57" s="275">
        <f>IF(ROW()=ROW(tblContractForDeed[#Headers])+1,$O$6,IF(INDEX(tblContractForDeed[End Bal],ROW()-ROW(tblContractForDeed[#Headers])-1)&lt;0,0,INDEX(tblContractForDeed[End Bal],ROW()-ROW(tblContractForDeed[#Headers])-1)))</f>
        <v>68224.689999999988</v>
      </c>
      <c r="P57" s="445">
        <f>IF(tblContractForDeed[[#This Row],[Date]]="","",IF(tblContractForDeed[[#This Row],[Date]]&lt;cfdRateChangeDate,cfdRate1,cfdRate2))</f>
        <v>6.25E-2</v>
      </c>
      <c r="Q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7" s="275">
        <f>IF(tblContractForDeed[[#This Row],[Payment]]=0,0,MAX(0,MIN(tblContractForDeed[[#This Row],[Beg]],tblContractForDeed[[#This Row],[Payment]]-tblContractForDeed[[#This Row],[Int]])))</f>
        <v>289.94</v>
      </c>
      <c r="S57" s="275">
        <f>IF(OR(tblContractForDeed[[#This Row],[Date]]&lt;cfdContractDate,tblContractForDeed[[#This Row],[Date]]&gt;cfdEndDate),0,ROUND(tblContractForDeed[[#This Row],[Beg]]*(tblContractForDeed[[#This Row],[Int Rate]]/12),2))</f>
        <v>355.34</v>
      </c>
      <c r="T57" s="275">
        <f>IF(tblContractForDeed[[#This Row],[Payment]]=0,0,$W$2)</f>
        <v>134.16999999999999</v>
      </c>
      <c r="U57" s="275">
        <f>IF(tblContractForDeed[[#This Row],[Princ]]=0,0,$W$3)</f>
        <v>188.55</v>
      </c>
      <c r="V57" s="275">
        <f>SUM(tblContractForDeed[[#This Row],[Princ]],tblContractForDeed[[#This Row],[Int]],tblContractForDeed[[#This Row],[Ins]],tblContractForDeed[[#This Row],[Taxes]])</f>
        <v>968</v>
      </c>
      <c r="W57" s="275">
        <f>SUM(INDEX(tblContractForDeed[Princ],1):INDEX(tblContractForDeed[Princ],ROW()-ROW(tblContractForDeed[#Headers])))</f>
        <v>7323.2499999999991</v>
      </c>
      <c r="X57" s="275">
        <f>IF(tblContractForDeed[[#This Row],[Beg]]&lt;=0,0,tblContractForDeed[[#This Row],[Beg]]-tblContractForDeed[[#This Row],[Princ]])</f>
        <v>67934.749999999985</v>
      </c>
      <c r="Y5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7" s="454">
        <f>IF(INDEX(tblContractForDeed[Payment],ROW()-ROW(tblBuyerOutputs[#Headers]))=0,0,INDEX(tblContractForDeed[Payment],ROW()-ROW(tblBuyerOutputs[#Headers]))-INDEX(tblSubjectToLoan[Payment],ROW()-ROW(tblBuyerOutputs[#Headers])))</f>
        <v>19.470000000000027</v>
      </c>
      <c r="AA57"/>
      <c r="AB57" s="14">
        <f>IF(INDEX(tblContractForDeed[Payment],ROW()-ROW(tblBuyerOutputs[#Headers]))=0,0,INDEX(tblContractForDeed[Payment],ROW()-ROW(tblBuyerOutputs[#Headers]))-INDEX(tblSubjectToLoan[Payment],ROW()-ROW(tblBuyerOutputs[#Headers])))-IFERROR(tblBuyerOutputs[[#This Row],[PMI]],0)</f>
        <v>19.470000000000027</v>
      </c>
      <c r="AC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525.69000000000074</v>
      </c>
      <c r="AD57" s="275">
        <f>IF(INDEX(tblContractForDeed[End Bal],ROW()-ROW(tblBuyerOutputs[#Headers]))&lt;=0,0,($O$6+IF(ROW()=ROW(tblBuyerOutputs[#Headers])+1,0,INDEX(tblBuyerOutputs[Cumul Appr],ROW()-ROW(tblBuyerOutputs[#Headers])-1)))*$O$2/12)</f>
        <v>365.72619100264393</v>
      </c>
      <c r="AE57" s="275">
        <f>IF(INDEX(tblContractForDeed[End Bal],ROW()-ROW(tblBuyerOutputs[#Headers]))&lt;=0,0,IF(ROW()=ROW(tblBuyerOutputs[#Headers])+1,0,INDEX(tblBuyerOutputs[Cumul Appr],ROW()-ROW(tblBuyerOutputs[#Headers])-1))+tblBuyerOutputs[[#This Row],[Monthly Appr]])</f>
        <v>12882.012031637192</v>
      </c>
      <c r="AF57" s="22"/>
      <c r="AG57" s="14"/>
      <c r="AL57"/>
      <c r="AM57" s="14"/>
      <c r="AO57" s="275"/>
      <c r="AQ57" s="14"/>
      <c r="AR57"/>
    </row>
    <row r="58" spans="1:44" x14ac:dyDescent="0.25">
      <c r="A58" s="590">
        <f t="shared" si="4"/>
        <v>47027</v>
      </c>
      <c r="B58" s="275">
        <f t="shared" si="5"/>
        <v>84258.440000000017</v>
      </c>
      <c r="C58" s="14">
        <f t="shared" si="1"/>
        <v>625.80999999999995</v>
      </c>
      <c r="D58" s="14">
        <f t="shared" si="6"/>
        <v>362.49999999999994</v>
      </c>
      <c r="E58" s="14">
        <f t="shared" si="2"/>
        <v>263.31</v>
      </c>
      <c r="I58" s="275">
        <f t="shared" si="9"/>
        <v>13635.900000000001</v>
      </c>
      <c r="J58" s="275">
        <f t="shared" si="10"/>
        <v>11074.529999999999</v>
      </c>
      <c r="K58" s="275">
        <f t="shared" si="7"/>
        <v>83895.940000000017</v>
      </c>
      <c r="L58" s="386">
        <f t="shared" si="3"/>
        <v>3</v>
      </c>
      <c r="M58" s="386">
        <f t="shared" si="8"/>
        <v>38</v>
      </c>
      <c r="N58" s="590">
        <f>INDEX(tblSubjectToLoan[Date],ROW()-ROW(tblContractForDeed[#Headers]))</f>
        <v>47027</v>
      </c>
      <c r="O58" s="275">
        <f>IF(ROW()=ROW(tblContractForDeed[#Headers])+1,$O$6,IF(INDEX(tblContractForDeed[End Bal],ROW()-ROW(tblContractForDeed[#Headers])-1)&lt;0,0,INDEX(tblContractForDeed[End Bal],ROW()-ROW(tblContractForDeed[#Headers])-1)))</f>
        <v>67934.749999999985</v>
      </c>
      <c r="P58" s="445">
        <f>IF(tblContractForDeed[[#This Row],[Date]]="","",IF(tblContractForDeed[[#This Row],[Date]]&lt;cfdRateChangeDate,cfdRate1,cfdRate2))</f>
        <v>6.25E-2</v>
      </c>
      <c r="Q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8" s="275">
        <f>IF(tblContractForDeed[[#This Row],[Payment]]=0,0,MAX(0,MIN(tblContractForDeed[[#This Row],[Beg]],tblContractForDeed[[#This Row],[Payment]]-tblContractForDeed[[#This Row],[Int]])))</f>
        <v>291.45</v>
      </c>
      <c r="S58" s="275">
        <f>IF(OR(tblContractForDeed[[#This Row],[Date]]&lt;cfdContractDate,tblContractForDeed[[#This Row],[Date]]&gt;cfdEndDate),0,ROUND(tblContractForDeed[[#This Row],[Beg]]*(tblContractForDeed[[#This Row],[Int Rate]]/12),2))</f>
        <v>353.83</v>
      </c>
      <c r="T58" s="275">
        <f>IF(tblContractForDeed[[#This Row],[Payment]]=0,0,$W$2)</f>
        <v>134.16999999999999</v>
      </c>
      <c r="U58" s="275">
        <f>IF(tblContractForDeed[[#This Row],[Princ]]=0,0,$W$3)</f>
        <v>188.55</v>
      </c>
      <c r="V58" s="275">
        <f>SUM(tblContractForDeed[[#This Row],[Princ]],tblContractForDeed[[#This Row],[Int]],tblContractForDeed[[#This Row],[Ins]],tblContractForDeed[[#This Row],[Taxes]])</f>
        <v>968</v>
      </c>
      <c r="W58" s="275">
        <f>SUM(INDEX(tblContractForDeed[Princ],1):INDEX(tblContractForDeed[Princ],ROW()-ROW(tblContractForDeed[#Headers])))</f>
        <v>7614.6999999999989</v>
      </c>
      <c r="X58" s="275">
        <f>IF(tblContractForDeed[[#This Row],[Beg]]&lt;=0,0,tblContractForDeed[[#This Row],[Beg]]-tblContractForDeed[[#This Row],[Princ]])</f>
        <v>67643.299999999988</v>
      </c>
      <c r="Y5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8" s="454">
        <f>IF(INDEX(tblContractForDeed[Payment],ROW()-ROW(tblBuyerOutputs[#Headers]))=0,0,INDEX(tblContractForDeed[Payment],ROW()-ROW(tblBuyerOutputs[#Headers]))-INDEX(tblSubjectToLoan[Payment],ROW()-ROW(tblBuyerOutputs[#Headers])))</f>
        <v>19.470000000000027</v>
      </c>
      <c r="AA58"/>
      <c r="AB58" s="14">
        <f>IF(INDEX(tblContractForDeed[Payment],ROW()-ROW(tblBuyerOutputs[#Headers]))=0,0,INDEX(tblContractForDeed[Payment],ROW()-ROW(tblBuyerOutputs[#Headers]))-INDEX(tblSubjectToLoan[Payment],ROW()-ROW(tblBuyerOutputs[#Headers])))-IFERROR(tblBuyerOutputs[[#This Row],[PMI]],0)</f>
        <v>19.470000000000027</v>
      </c>
      <c r="AC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545.16000000000076</v>
      </c>
      <c r="AD58" s="275">
        <f>IF(INDEX(tblContractForDeed[End Bal],ROW()-ROW(tblBuyerOutputs[#Headers]))&lt;=0,0,($O$6+IF(ROW()=ROW(tblBuyerOutputs[#Headers])+1,0,INDEX(tblBuyerOutputs[Cumul Appr],ROW()-ROW(tblBuyerOutputs[#Headers])-1)))*$O$2/12)</f>
        <v>367.25005013182164</v>
      </c>
      <c r="AE58" s="275">
        <f>IF(INDEX(tblContractForDeed[End Bal],ROW()-ROW(tblBuyerOutputs[#Headers]))&lt;=0,0,IF(ROW()=ROW(tblBuyerOutputs[#Headers])+1,0,INDEX(tblBuyerOutputs[Cumul Appr],ROW()-ROW(tblBuyerOutputs[#Headers])-1))+tblBuyerOutputs[[#This Row],[Monthly Appr]])</f>
        <v>13249.262081769013</v>
      </c>
      <c r="AF58" s="22"/>
      <c r="AG58" s="14"/>
      <c r="AL58"/>
      <c r="AM58" s="14"/>
      <c r="AO58" s="275"/>
      <c r="AQ58" s="14"/>
      <c r="AR58"/>
    </row>
    <row r="59" spans="1:44" x14ac:dyDescent="0.25">
      <c r="A59" s="590">
        <f t="shared" si="4"/>
        <v>47058</v>
      </c>
      <c r="B59" s="275">
        <f t="shared" si="5"/>
        <v>83895.940000000017</v>
      </c>
      <c r="C59" s="14">
        <f t="shared" si="1"/>
        <v>625.80999999999995</v>
      </c>
      <c r="D59" s="14">
        <f t="shared" si="6"/>
        <v>363.63999999999993</v>
      </c>
      <c r="E59" s="14">
        <f t="shared" si="2"/>
        <v>262.17</v>
      </c>
      <c r="I59" s="275">
        <f t="shared" si="9"/>
        <v>13999.54</v>
      </c>
      <c r="J59" s="275">
        <f t="shared" si="10"/>
        <v>11336.699999999999</v>
      </c>
      <c r="K59" s="275">
        <f t="shared" si="7"/>
        <v>83532.300000000017</v>
      </c>
      <c r="L59" s="386">
        <f t="shared" si="3"/>
        <v>3</v>
      </c>
      <c r="M59" s="386">
        <f t="shared" si="8"/>
        <v>39</v>
      </c>
      <c r="N59" s="590">
        <f>INDEX(tblSubjectToLoan[Date],ROW()-ROW(tblContractForDeed[#Headers]))</f>
        <v>47058</v>
      </c>
      <c r="O59" s="275">
        <f>IF(ROW()=ROW(tblContractForDeed[#Headers])+1,$O$6,IF(INDEX(tblContractForDeed[End Bal],ROW()-ROW(tblContractForDeed[#Headers])-1)&lt;0,0,INDEX(tblContractForDeed[End Bal],ROW()-ROW(tblContractForDeed[#Headers])-1)))</f>
        <v>67643.299999999988</v>
      </c>
      <c r="P59" s="445">
        <f>IF(tblContractForDeed[[#This Row],[Date]]="","",IF(tblContractForDeed[[#This Row],[Date]]&lt;cfdRateChangeDate,cfdRate1,cfdRate2))</f>
        <v>6.25E-2</v>
      </c>
      <c r="Q5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9" s="275">
        <f>IF(tblContractForDeed[[#This Row],[Payment]]=0,0,MAX(0,MIN(tblContractForDeed[[#This Row],[Beg]],tblContractForDeed[[#This Row],[Payment]]-tblContractForDeed[[#This Row],[Int]])))</f>
        <v>292.96999999999997</v>
      </c>
      <c r="S59" s="275">
        <f>IF(OR(tblContractForDeed[[#This Row],[Date]]&lt;cfdContractDate,tblContractForDeed[[#This Row],[Date]]&gt;cfdEndDate),0,ROUND(tblContractForDeed[[#This Row],[Beg]]*(tblContractForDeed[[#This Row],[Int Rate]]/12),2))</f>
        <v>352.31</v>
      </c>
      <c r="T59" s="275">
        <f>IF(tblContractForDeed[[#This Row],[Payment]]=0,0,$W$2)</f>
        <v>134.16999999999999</v>
      </c>
      <c r="U59" s="275">
        <f>IF(tblContractForDeed[[#This Row],[Princ]]=0,0,$W$3)</f>
        <v>188.55</v>
      </c>
      <c r="V59" s="275">
        <f>SUM(tblContractForDeed[[#This Row],[Princ]],tblContractForDeed[[#This Row],[Int]],tblContractForDeed[[#This Row],[Ins]],tblContractForDeed[[#This Row],[Taxes]])</f>
        <v>968</v>
      </c>
      <c r="W59" s="275">
        <f>SUM(INDEX(tblContractForDeed[Princ],1):INDEX(tblContractForDeed[Princ],ROW()-ROW(tblContractForDeed[#Headers])))</f>
        <v>7907.6699999999992</v>
      </c>
      <c r="X59" s="275">
        <f>IF(tblContractForDeed[[#This Row],[Beg]]&lt;=0,0,tblContractForDeed[[#This Row],[Beg]]-tblContractForDeed[[#This Row],[Princ]])</f>
        <v>67350.329999999987</v>
      </c>
      <c r="Y5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59" s="454">
        <f>IF(INDEX(tblContractForDeed[Payment],ROW()-ROW(tblBuyerOutputs[#Headers]))=0,0,INDEX(tblContractForDeed[Payment],ROW()-ROW(tblBuyerOutputs[#Headers]))-INDEX(tblSubjectToLoan[Payment],ROW()-ROW(tblBuyerOutputs[#Headers])))</f>
        <v>19.470000000000027</v>
      </c>
      <c r="AA59"/>
      <c r="AB59" s="14">
        <f>IF(INDEX(tblContractForDeed[Payment],ROW()-ROW(tblBuyerOutputs[#Headers]))=0,0,INDEX(tblContractForDeed[Payment],ROW()-ROW(tblBuyerOutputs[#Headers]))-INDEX(tblSubjectToLoan[Payment],ROW()-ROW(tblBuyerOutputs[#Headers])))-IFERROR(tblBuyerOutputs[[#This Row],[PMI]],0)</f>
        <v>19.470000000000027</v>
      </c>
      <c r="AC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564.63000000000079</v>
      </c>
      <c r="AD59" s="275">
        <f>IF(INDEX(tblContractForDeed[End Bal],ROW()-ROW(tblBuyerOutputs[#Headers]))&lt;=0,0,($O$6+IF(ROW()=ROW(tblBuyerOutputs[#Headers])+1,0,INDEX(tblBuyerOutputs[Cumul Appr],ROW()-ROW(tblBuyerOutputs[#Headers])-1)))*$O$2/12)</f>
        <v>368.78025867403761</v>
      </c>
      <c r="AE59" s="275">
        <f>IF(INDEX(tblContractForDeed[End Bal],ROW()-ROW(tblBuyerOutputs[#Headers]))&lt;=0,0,IF(ROW()=ROW(tblBuyerOutputs[#Headers])+1,0,INDEX(tblBuyerOutputs[Cumul Appr],ROW()-ROW(tblBuyerOutputs[#Headers])-1))+tblBuyerOutputs[[#This Row],[Monthly Appr]])</f>
        <v>13618.042340443051</v>
      </c>
      <c r="AF59" s="22"/>
      <c r="AG59" s="14"/>
      <c r="AL59"/>
      <c r="AM59" s="14"/>
      <c r="AO59" s="275"/>
      <c r="AQ59" s="14"/>
      <c r="AR59"/>
    </row>
    <row r="60" spans="1:44" x14ac:dyDescent="0.25">
      <c r="A60" s="590">
        <f t="shared" si="4"/>
        <v>47088</v>
      </c>
      <c r="B60" s="275">
        <f t="shared" si="5"/>
        <v>83532.300000000017</v>
      </c>
      <c r="C60" s="14">
        <f t="shared" si="1"/>
        <v>625.80999999999995</v>
      </c>
      <c r="D60" s="14">
        <f t="shared" si="6"/>
        <v>364.76999999999992</v>
      </c>
      <c r="E60" s="14">
        <f t="shared" si="2"/>
        <v>261.04000000000002</v>
      </c>
      <c r="I60" s="275">
        <f t="shared" si="9"/>
        <v>14364.310000000001</v>
      </c>
      <c r="J60" s="275">
        <f t="shared" si="10"/>
        <v>11597.74</v>
      </c>
      <c r="K60" s="275">
        <f t="shared" si="7"/>
        <v>83167.530000000013</v>
      </c>
      <c r="L60" s="386">
        <f t="shared" si="3"/>
        <v>3</v>
      </c>
      <c r="M60" s="386">
        <f t="shared" si="8"/>
        <v>40</v>
      </c>
      <c r="N60" s="590">
        <f>INDEX(tblSubjectToLoan[Date],ROW()-ROW(tblContractForDeed[#Headers]))</f>
        <v>47088</v>
      </c>
      <c r="O60" s="275">
        <f>IF(ROW()=ROW(tblContractForDeed[#Headers])+1,$O$6,IF(INDEX(tblContractForDeed[End Bal],ROW()-ROW(tblContractForDeed[#Headers])-1)&lt;0,0,INDEX(tblContractForDeed[End Bal],ROW()-ROW(tblContractForDeed[#Headers])-1)))</f>
        <v>67350.329999999987</v>
      </c>
      <c r="P60" s="445">
        <f>IF(tblContractForDeed[[#This Row],[Date]]="","",IF(tblContractForDeed[[#This Row],[Date]]&lt;cfdRateChangeDate,cfdRate1,cfdRate2))</f>
        <v>6.25E-2</v>
      </c>
      <c r="Q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0" s="275">
        <f>IF(tblContractForDeed[[#This Row],[Payment]]=0,0,MAX(0,MIN(tblContractForDeed[[#This Row],[Beg]],tblContractForDeed[[#This Row],[Payment]]-tblContractForDeed[[#This Row],[Int]])))</f>
        <v>294.5</v>
      </c>
      <c r="S60" s="275">
        <f>IF(OR(tblContractForDeed[[#This Row],[Date]]&lt;cfdContractDate,tblContractForDeed[[#This Row],[Date]]&gt;cfdEndDate),0,ROUND(tblContractForDeed[[#This Row],[Beg]]*(tblContractForDeed[[#This Row],[Int Rate]]/12),2))</f>
        <v>350.78</v>
      </c>
      <c r="T60" s="275">
        <f>IF(tblContractForDeed[[#This Row],[Payment]]=0,0,$W$2)</f>
        <v>134.16999999999999</v>
      </c>
      <c r="U60" s="275">
        <f>IF(tblContractForDeed[[#This Row],[Princ]]=0,0,$W$3)</f>
        <v>188.55</v>
      </c>
      <c r="V60" s="275">
        <f>SUM(tblContractForDeed[[#This Row],[Princ]],tblContractForDeed[[#This Row],[Int]],tblContractForDeed[[#This Row],[Ins]],tblContractForDeed[[#This Row],[Taxes]])</f>
        <v>968</v>
      </c>
      <c r="W60" s="275">
        <f>SUM(INDEX(tblContractForDeed[Princ],1):INDEX(tblContractForDeed[Princ],ROW()-ROW(tblContractForDeed[#Headers])))</f>
        <v>8202.1699999999983</v>
      </c>
      <c r="X60" s="275">
        <f>IF(tblContractForDeed[[#This Row],[Beg]]&lt;=0,0,tblContractForDeed[[#This Row],[Beg]]-tblContractForDeed[[#This Row],[Princ]])</f>
        <v>67055.829999999987</v>
      </c>
      <c r="Y6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0" s="454">
        <f>IF(INDEX(tblContractForDeed[Payment],ROW()-ROW(tblBuyerOutputs[#Headers]))=0,0,INDEX(tblContractForDeed[Payment],ROW()-ROW(tblBuyerOutputs[#Headers]))-INDEX(tblSubjectToLoan[Payment],ROW()-ROW(tblBuyerOutputs[#Headers])))</f>
        <v>19.470000000000027</v>
      </c>
      <c r="AA60"/>
      <c r="AB60" s="14">
        <f>IF(INDEX(tblContractForDeed[Payment],ROW()-ROW(tblBuyerOutputs[#Headers]))=0,0,INDEX(tblContractForDeed[Payment],ROW()-ROW(tblBuyerOutputs[#Headers]))-INDEX(tblSubjectToLoan[Payment],ROW()-ROW(tblBuyerOutputs[#Headers])))-IFERROR(tblBuyerOutputs[[#This Row],[PMI]],0)</f>
        <v>19.470000000000027</v>
      </c>
      <c r="AC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584.10000000000082</v>
      </c>
      <c r="AD60" s="275">
        <f>IF(INDEX(tblContractForDeed[End Bal],ROW()-ROW(tblBuyerOutputs[#Headers]))&lt;=0,0,($O$6+IF(ROW()=ROW(tblBuyerOutputs[#Headers])+1,0,INDEX(tblBuyerOutputs[Cumul Appr],ROW()-ROW(tblBuyerOutputs[#Headers])-1)))*$O$2/12)</f>
        <v>370.31684308517941</v>
      </c>
      <c r="AE60" s="275">
        <f>IF(INDEX(tblContractForDeed[End Bal],ROW()-ROW(tblBuyerOutputs[#Headers]))&lt;=0,0,IF(ROW()=ROW(tblBuyerOutputs[#Headers])+1,0,INDEX(tblBuyerOutputs[Cumul Appr],ROW()-ROW(tblBuyerOutputs[#Headers])-1))+tblBuyerOutputs[[#This Row],[Monthly Appr]])</f>
        <v>13988.359183528231</v>
      </c>
      <c r="AF60" s="22"/>
      <c r="AG60" s="14"/>
      <c r="AL60"/>
      <c r="AM60" s="14"/>
      <c r="AO60" s="275"/>
      <c r="AQ60" s="14"/>
      <c r="AR60"/>
    </row>
    <row r="61" spans="1:44" x14ac:dyDescent="0.25">
      <c r="A61" s="590">
        <f t="shared" si="4"/>
        <v>47119</v>
      </c>
      <c r="B61" s="275">
        <f t="shared" si="5"/>
        <v>83167.530000000013</v>
      </c>
      <c r="C61" s="14">
        <f t="shared" si="1"/>
        <v>625.80999999999995</v>
      </c>
      <c r="D61" s="14">
        <f t="shared" si="6"/>
        <v>365.90999999999997</v>
      </c>
      <c r="E61" s="14">
        <f t="shared" si="2"/>
        <v>259.89999999999998</v>
      </c>
      <c r="I61" s="275">
        <f t="shared" si="9"/>
        <v>14730.220000000001</v>
      </c>
      <c r="J61" s="275">
        <f t="shared" si="10"/>
        <v>11857.64</v>
      </c>
      <c r="K61" s="275">
        <f t="shared" si="7"/>
        <v>82801.62000000001</v>
      </c>
      <c r="L61" s="386">
        <f t="shared" si="3"/>
        <v>3</v>
      </c>
      <c r="M61" s="386">
        <f t="shared" si="8"/>
        <v>41</v>
      </c>
      <c r="N61" s="590">
        <f>INDEX(tblSubjectToLoan[Date],ROW()-ROW(tblContractForDeed[#Headers]))</f>
        <v>47119</v>
      </c>
      <c r="O61" s="275">
        <f>IF(ROW()=ROW(tblContractForDeed[#Headers])+1,$O$6,IF(INDEX(tblContractForDeed[End Bal],ROW()-ROW(tblContractForDeed[#Headers])-1)&lt;0,0,INDEX(tblContractForDeed[End Bal],ROW()-ROW(tblContractForDeed[#Headers])-1)))</f>
        <v>67055.829999999987</v>
      </c>
      <c r="P61" s="445">
        <f>IF(tblContractForDeed[[#This Row],[Date]]="","",IF(tblContractForDeed[[#This Row],[Date]]&lt;cfdRateChangeDate,cfdRate1,cfdRate2))</f>
        <v>6.25E-2</v>
      </c>
      <c r="Q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1" s="275">
        <f>IF(tblContractForDeed[[#This Row],[Payment]]=0,0,MAX(0,MIN(tblContractForDeed[[#This Row],[Beg]],tblContractForDeed[[#This Row],[Payment]]-tblContractForDeed[[#This Row],[Int]])))</f>
        <v>296.02999999999997</v>
      </c>
      <c r="S61" s="275">
        <f>IF(OR(tblContractForDeed[[#This Row],[Date]]&lt;cfdContractDate,tblContractForDeed[[#This Row],[Date]]&gt;cfdEndDate),0,ROUND(tblContractForDeed[[#This Row],[Beg]]*(tblContractForDeed[[#This Row],[Int Rate]]/12),2))</f>
        <v>349.25</v>
      </c>
      <c r="T61" s="275">
        <f>IF(tblContractForDeed[[#This Row],[Payment]]=0,0,$W$2)</f>
        <v>134.16999999999999</v>
      </c>
      <c r="U61" s="275">
        <f>IF(tblContractForDeed[[#This Row],[Princ]]=0,0,$W$3)</f>
        <v>188.55</v>
      </c>
      <c r="V61" s="275">
        <f>SUM(tblContractForDeed[[#This Row],[Princ]],tblContractForDeed[[#This Row],[Int]],tblContractForDeed[[#This Row],[Ins]],tblContractForDeed[[#This Row],[Taxes]])</f>
        <v>968</v>
      </c>
      <c r="W61" s="275">
        <f>SUM(INDEX(tblContractForDeed[Princ],1):INDEX(tblContractForDeed[Princ],ROW()-ROW(tblContractForDeed[#Headers])))</f>
        <v>8498.1999999999989</v>
      </c>
      <c r="X61" s="275">
        <f>IF(tblContractForDeed[[#This Row],[Beg]]&lt;=0,0,tblContractForDeed[[#This Row],[Beg]]-tblContractForDeed[[#This Row],[Princ]])</f>
        <v>66759.799999999988</v>
      </c>
      <c r="Y6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1" s="454">
        <f>IF(INDEX(tblContractForDeed[Payment],ROW()-ROW(tblBuyerOutputs[#Headers]))=0,0,INDEX(tblContractForDeed[Payment],ROW()-ROW(tblBuyerOutputs[#Headers]))-INDEX(tblSubjectToLoan[Payment],ROW()-ROW(tblBuyerOutputs[#Headers])))</f>
        <v>19.470000000000027</v>
      </c>
      <c r="AA61"/>
      <c r="AB61" s="14">
        <f>IF(INDEX(tblContractForDeed[Payment],ROW()-ROW(tblBuyerOutputs[#Headers]))=0,0,INDEX(tblContractForDeed[Payment],ROW()-ROW(tblBuyerOutputs[#Headers]))-INDEX(tblSubjectToLoan[Payment],ROW()-ROW(tblBuyerOutputs[#Headers])))-IFERROR(tblBuyerOutputs[[#This Row],[PMI]],0)</f>
        <v>19.470000000000027</v>
      </c>
      <c r="AC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603.57000000000085</v>
      </c>
      <c r="AD61" s="275">
        <f>IF(INDEX(tblContractForDeed[End Bal],ROW()-ROW(tblBuyerOutputs[#Headers]))&lt;=0,0,($O$6+IF(ROW()=ROW(tblBuyerOutputs[#Headers])+1,0,INDEX(tblBuyerOutputs[Cumul Appr],ROW()-ROW(tblBuyerOutputs[#Headers])-1)))*$O$2/12)</f>
        <v>371.85982993136764</v>
      </c>
      <c r="AE61" s="275">
        <f>IF(INDEX(tblContractForDeed[End Bal],ROW()-ROW(tblBuyerOutputs[#Headers]))&lt;=0,0,IF(ROW()=ROW(tblBuyerOutputs[#Headers])+1,0,INDEX(tblBuyerOutputs[Cumul Appr],ROW()-ROW(tblBuyerOutputs[#Headers])-1))+tblBuyerOutputs[[#This Row],[Monthly Appr]])</f>
        <v>14360.219013459599</v>
      </c>
      <c r="AF61" s="22"/>
      <c r="AG61" s="14"/>
      <c r="AL61"/>
      <c r="AM61" s="14"/>
      <c r="AO61" s="275"/>
      <c r="AQ61" s="14"/>
      <c r="AR61"/>
    </row>
    <row r="62" spans="1:44" x14ac:dyDescent="0.25">
      <c r="A62" s="590">
        <f t="shared" si="4"/>
        <v>47150</v>
      </c>
      <c r="B62" s="275">
        <f t="shared" si="5"/>
        <v>82801.62000000001</v>
      </c>
      <c r="C62" s="14">
        <f t="shared" si="1"/>
        <v>625.80999999999995</v>
      </c>
      <c r="D62" s="14">
        <f t="shared" si="6"/>
        <v>367.04999999999995</v>
      </c>
      <c r="E62" s="14">
        <f t="shared" si="2"/>
        <v>258.76</v>
      </c>
      <c r="F62" s="14">
        <f>IF(C62=0,0,$W$2)</f>
        <v>134.16999999999999</v>
      </c>
      <c r="G62" s="14">
        <f>IF(D62=0,0,$W$3)</f>
        <v>188.55</v>
      </c>
      <c r="H62" s="14">
        <f>SUM(D62:G62)</f>
        <v>948.53</v>
      </c>
      <c r="I62" s="275">
        <f t="shared" si="9"/>
        <v>15097.27</v>
      </c>
      <c r="J62" s="275">
        <f t="shared" si="10"/>
        <v>12116.4</v>
      </c>
      <c r="K62" s="275">
        <f t="shared" si="7"/>
        <v>82434.570000000007</v>
      </c>
      <c r="L62" s="386">
        <f t="shared" si="3"/>
        <v>3</v>
      </c>
      <c r="M62" s="386">
        <f t="shared" si="8"/>
        <v>42</v>
      </c>
      <c r="N62" s="590">
        <f>INDEX(tblSubjectToLoan[Date],ROW()-ROW(tblContractForDeed[#Headers]))</f>
        <v>47150</v>
      </c>
      <c r="O62" s="275">
        <f>IF(ROW()=ROW(tblContractForDeed[#Headers])+1,$O$6,IF(INDEX(tblContractForDeed[End Bal],ROW()-ROW(tblContractForDeed[#Headers])-1)&lt;0,0,INDEX(tblContractForDeed[End Bal],ROW()-ROW(tblContractForDeed[#Headers])-1)))</f>
        <v>66759.799999999988</v>
      </c>
      <c r="P62" s="445">
        <f>IF(tblContractForDeed[[#This Row],[Date]]="","",IF(tblContractForDeed[[#This Row],[Date]]&lt;cfdRateChangeDate,cfdRate1,cfdRate2))</f>
        <v>6.25E-2</v>
      </c>
      <c r="Q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2" s="275">
        <f>IF(tblContractForDeed[[#This Row],[Payment]]=0,0,MAX(0,MIN(tblContractForDeed[[#This Row],[Beg]],tblContractForDeed[[#This Row],[Payment]]-tblContractForDeed[[#This Row],[Int]])))</f>
        <v>297.57</v>
      </c>
      <c r="S62" s="275">
        <f>IF(OR(tblContractForDeed[[#This Row],[Date]]&lt;cfdContractDate,tblContractForDeed[[#This Row],[Date]]&gt;cfdEndDate),0,ROUND(tblContractForDeed[[#This Row],[Beg]]*(tblContractForDeed[[#This Row],[Int Rate]]/12),2))</f>
        <v>347.71</v>
      </c>
      <c r="T62" s="275">
        <f>IF(tblContractForDeed[[#This Row],[Payment]]=0,0,$W$2)</f>
        <v>134.16999999999999</v>
      </c>
      <c r="U62" s="275">
        <f>IF(tblContractForDeed[[#This Row],[Princ]]=0,0,$W$3)</f>
        <v>188.55</v>
      </c>
      <c r="V62" s="275">
        <f>SUM(tblContractForDeed[[#This Row],[Princ]],tblContractForDeed[[#This Row],[Int]],tblContractForDeed[[#This Row],[Ins]],tblContractForDeed[[#This Row],[Taxes]])</f>
        <v>968</v>
      </c>
      <c r="W62" s="275">
        <f>SUM(INDEX(tblContractForDeed[Princ],1):INDEX(tblContractForDeed[Princ],ROW()-ROW(tblContractForDeed[#Headers])))</f>
        <v>8795.7699999999986</v>
      </c>
      <c r="X62" s="275">
        <f>IF(tblContractForDeed[[#This Row],[Beg]]&lt;=0,0,tblContractForDeed[[#This Row],[Beg]]-tblContractForDeed[[#This Row],[Princ]])</f>
        <v>66462.229999999981</v>
      </c>
      <c r="Y6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2" s="454">
        <f>IF(INDEX(tblContractForDeed[Payment],ROW()-ROW(tblBuyerOutputs[#Headers]))=0,0,INDEX(tblContractForDeed[Payment],ROW()-ROW(tblBuyerOutputs[#Headers]))-INDEX(tblSubjectToLoan[Payment],ROW()-ROW(tblBuyerOutputs[#Headers])))</f>
        <v>19.470000000000027</v>
      </c>
      <c r="AA62"/>
      <c r="AB62" s="14">
        <f>IF(INDEX(tblContractForDeed[Payment],ROW()-ROW(tblBuyerOutputs[#Headers]))=0,0,INDEX(tblContractForDeed[Payment],ROW()-ROW(tblBuyerOutputs[#Headers]))-INDEX(tblSubjectToLoan[Payment],ROW()-ROW(tblBuyerOutputs[#Headers])))-IFERROR(tblBuyerOutputs[[#This Row],[PMI]],0)</f>
        <v>19.470000000000027</v>
      </c>
      <c r="AC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623.04000000000087</v>
      </c>
      <c r="AD62" s="275">
        <f>IF(INDEX(tblContractForDeed[End Bal],ROW()-ROW(tblBuyerOutputs[#Headers]))&lt;=0,0,($O$6+IF(ROW()=ROW(tblBuyerOutputs[#Headers])+1,0,INDEX(tblBuyerOutputs[Cumul Appr],ROW()-ROW(tblBuyerOutputs[#Headers])-1)))*$O$2/12)</f>
        <v>373.40924588941499</v>
      </c>
      <c r="AE62" s="275">
        <f>IF(INDEX(tblContractForDeed[End Bal],ROW()-ROW(tblBuyerOutputs[#Headers]))&lt;=0,0,IF(ROW()=ROW(tblBuyerOutputs[#Headers])+1,0,INDEX(tblBuyerOutputs[Cumul Appr],ROW()-ROW(tblBuyerOutputs[#Headers])-1))+tblBuyerOutputs[[#This Row],[Monthly Appr]])</f>
        <v>14733.628259349014</v>
      </c>
      <c r="AF62" s="22"/>
      <c r="AG62" s="14"/>
      <c r="AL62"/>
      <c r="AM62" s="14"/>
      <c r="AO62" s="275"/>
      <c r="AQ62" s="14"/>
      <c r="AR62"/>
    </row>
    <row r="63" spans="1:44" x14ac:dyDescent="0.25">
      <c r="A63" s="590">
        <f t="shared" si="4"/>
        <v>47178</v>
      </c>
      <c r="B63" s="275">
        <f t="shared" si="5"/>
        <v>82434.570000000007</v>
      </c>
      <c r="C63" s="14">
        <f t="shared" si="1"/>
        <v>625.80999999999995</v>
      </c>
      <c r="D63" s="14">
        <f t="shared" si="6"/>
        <v>368.19999999999993</v>
      </c>
      <c r="E63" s="14">
        <f t="shared" si="2"/>
        <v>257.61</v>
      </c>
      <c r="F63" s="14">
        <f t="shared" ref="F63:H78" si="11">+F62</f>
        <v>134.16999999999999</v>
      </c>
      <c r="G63" s="14">
        <f t="shared" si="11"/>
        <v>188.55</v>
      </c>
      <c r="H63" s="14">
        <f t="shared" si="11"/>
        <v>948.53</v>
      </c>
      <c r="I63" s="275">
        <f t="shared" si="9"/>
        <v>15465.470000000001</v>
      </c>
      <c r="J63" s="275">
        <f t="shared" si="10"/>
        <v>12374.01</v>
      </c>
      <c r="K63" s="275">
        <f t="shared" si="7"/>
        <v>82066.37000000001</v>
      </c>
      <c r="L63" s="386">
        <f t="shared" si="3"/>
        <v>3</v>
      </c>
      <c r="M63" s="386">
        <f t="shared" si="8"/>
        <v>43</v>
      </c>
      <c r="N63" s="590">
        <f>INDEX(tblSubjectToLoan[Date],ROW()-ROW(tblContractForDeed[#Headers]))</f>
        <v>47178</v>
      </c>
      <c r="O63" s="275">
        <f>IF(ROW()=ROW(tblContractForDeed[#Headers])+1,$O$6,IF(INDEX(tblContractForDeed[End Bal],ROW()-ROW(tblContractForDeed[#Headers])-1)&lt;0,0,INDEX(tblContractForDeed[End Bal],ROW()-ROW(tblContractForDeed[#Headers])-1)))</f>
        <v>66462.229999999981</v>
      </c>
      <c r="P63" s="445">
        <f>IF(tblContractForDeed[[#This Row],[Date]]="","",IF(tblContractForDeed[[#This Row],[Date]]&lt;cfdRateChangeDate,cfdRate1,cfdRate2))</f>
        <v>6.25E-2</v>
      </c>
      <c r="Q6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3" s="275">
        <f>IF(tblContractForDeed[[#This Row],[Payment]]=0,0,MAX(0,MIN(tblContractForDeed[[#This Row],[Beg]],tblContractForDeed[[#This Row],[Payment]]-tblContractForDeed[[#This Row],[Int]])))</f>
        <v>299.11999999999995</v>
      </c>
      <c r="S63" s="275">
        <f>IF(OR(tblContractForDeed[[#This Row],[Date]]&lt;cfdContractDate,tblContractForDeed[[#This Row],[Date]]&gt;cfdEndDate),0,ROUND(tblContractForDeed[[#This Row],[Beg]]*(tblContractForDeed[[#This Row],[Int Rate]]/12),2))</f>
        <v>346.16</v>
      </c>
      <c r="T63" s="275">
        <f>IF(tblContractForDeed[[#This Row],[Payment]]=0,0,$W$2)</f>
        <v>134.16999999999999</v>
      </c>
      <c r="U63" s="275">
        <f>IF(tblContractForDeed[[#This Row],[Princ]]=0,0,$W$3)</f>
        <v>188.55</v>
      </c>
      <c r="V63" s="275">
        <f>SUM(tblContractForDeed[[#This Row],[Princ]],tblContractForDeed[[#This Row],[Int]],tblContractForDeed[[#This Row],[Ins]],tblContractForDeed[[#This Row],[Taxes]])</f>
        <v>968</v>
      </c>
      <c r="W63" s="275">
        <f>SUM(INDEX(tblContractForDeed[Princ],1):INDEX(tblContractForDeed[Princ],ROW()-ROW(tblContractForDeed[#Headers])))</f>
        <v>9094.89</v>
      </c>
      <c r="X63" s="275">
        <f>IF(tblContractForDeed[[#This Row],[Beg]]&lt;=0,0,tblContractForDeed[[#This Row],[Beg]]-tblContractForDeed[[#This Row],[Princ]])</f>
        <v>66163.109999999986</v>
      </c>
      <c r="Y6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3" s="454">
        <f>IF(INDEX(tblContractForDeed[Payment],ROW()-ROW(tblBuyerOutputs[#Headers]))=0,0,INDEX(tblContractForDeed[Payment],ROW()-ROW(tblBuyerOutputs[#Headers]))-INDEX(tblSubjectToLoan[Payment],ROW()-ROW(tblBuyerOutputs[#Headers])))</f>
        <v>19.470000000000027</v>
      </c>
      <c r="AA63"/>
      <c r="AB63" s="14">
        <f>IF(INDEX(tblContractForDeed[Payment],ROW()-ROW(tblBuyerOutputs[#Headers]))=0,0,INDEX(tblContractForDeed[Payment],ROW()-ROW(tblBuyerOutputs[#Headers]))-INDEX(tblSubjectToLoan[Payment],ROW()-ROW(tblBuyerOutputs[#Headers])))-IFERROR(tblBuyerOutputs[[#This Row],[PMI]],0)</f>
        <v>19.470000000000027</v>
      </c>
      <c r="AC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642.5100000000009</v>
      </c>
      <c r="AD63" s="275">
        <f>IF(INDEX(tblContractForDeed[End Bal],ROW()-ROW(tblBuyerOutputs[#Headers]))&lt;=0,0,($O$6+IF(ROW()=ROW(tblBuyerOutputs[#Headers])+1,0,INDEX(tblBuyerOutputs[Cumul Appr],ROW()-ROW(tblBuyerOutputs[#Headers])-1)))*$O$2/12)</f>
        <v>374.96511774728759</v>
      </c>
      <c r="AE63" s="275">
        <f>IF(INDEX(tblContractForDeed[End Bal],ROW()-ROW(tblBuyerOutputs[#Headers]))&lt;=0,0,IF(ROW()=ROW(tblBuyerOutputs[#Headers])+1,0,INDEX(tblBuyerOutputs[Cumul Appr],ROW()-ROW(tblBuyerOutputs[#Headers])-1))+tblBuyerOutputs[[#This Row],[Monthly Appr]])</f>
        <v>15108.593377096302</v>
      </c>
      <c r="AF63" s="22"/>
      <c r="AG63" s="14"/>
      <c r="AL63"/>
      <c r="AM63" s="14"/>
      <c r="AO63" s="275"/>
      <c r="AQ63" s="14"/>
      <c r="AR63"/>
    </row>
    <row r="64" spans="1:44" x14ac:dyDescent="0.25">
      <c r="A64" s="590">
        <f t="shared" si="4"/>
        <v>47209</v>
      </c>
      <c r="B64" s="275">
        <f t="shared" si="5"/>
        <v>82066.37000000001</v>
      </c>
      <c r="C64" s="14">
        <f t="shared" si="1"/>
        <v>625.80999999999995</v>
      </c>
      <c r="D64" s="14">
        <f t="shared" si="6"/>
        <v>369.34999999999997</v>
      </c>
      <c r="E64" s="14">
        <f t="shared" si="2"/>
        <v>256.45999999999998</v>
      </c>
      <c r="F64" s="14">
        <f t="shared" si="11"/>
        <v>134.16999999999999</v>
      </c>
      <c r="G64" s="14">
        <f t="shared" si="11"/>
        <v>188.55</v>
      </c>
      <c r="H64" s="14">
        <f t="shared" ref="H64:H127" si="12">SUM(D64:G64)</f>
        <v>948.53</v>
      </c>
      <c r="I64" s="275">
        <f t="shared" si="9"/>
        <v>15834.820000000002</v>
      </c>
      <c r="J64" s="275">
        <f t="shared" si="10"/>
        <v>12630.47</v>
      </c>
      <c r="K64" s="275">
        <f t="shared" si="7"/>
        <v>81697.02</v>
      </c>
      <c r="L64" s="386">
        <f t="shared" si="3"/>
        <v>3</v>
      </c>
      <c r="M64" s="386">
        <f t="shared" si="8"/>
        <v>44</v>
      </c>
      <c r="N64" s="590">
        <f>INDEX(tblSubjectToLoan[Date],ROW()-ROW(tblContractForDeed[#Headers]))</f>
        <v>47209</v>
      </c>
      <c r="O64" s="275">
        <f>IF(ROW()=ROW(tblContractForDeed[#Headers])+1,$O$6,IF(INDEX(tblContractForDeed[End Bal],ROW()-ROW(tblContractForDeed[#Headers])-1)&lt;0,0,INDEX(tblContractForDeed[End Bal],ROW()-ROW(tblContractForDeed[#Headers])-1)))</f>
        <v>66163.109999999986</v>
      </c>
      <c r="P64" s="445">
        <f>IF(tblContractForDeed[[#This Row],[Date]]="","",IF(tblContractForDeed[[#This Row],[Date]]&lt;cfdRateChangeDate,cfdRate1,cfdRate2))</f>
        <v>6.25E-2</v>
      </c>
      <c r="Q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4" s="275">
        <f>IF(tblContractForDeed[[#This Row],[Payment]]=0,0,MAX(0,MIN(tblContractForDeed[[#This Row],[Beg]],tblContractForDeed[[#This Row],[Payment]]-tblContractForDeed[[#This Row],[Int]])))</f>
        <v>300.67999999999995</v>
      </c>
      <c r="S64" s="275">
        <f>IF(OR(tblContractForDeed[[#This Row],[Date]]&lt;cfdContractDate,tblContractForDeed[[#This Row],[Date]]&gt;cfdEndDate),0,ROUND(tblContractForDeed[[#This Row],[Beg]]*(tblContractForDeed[[#This Row],[Int Rate]]/12),2))</f>
        <v>344.6</v>
      </c>
      <c r="T64" s="275">
        <f>IF(tblContractForDeed[[#This Row],[Payment]]=0,0,$W$2)</f>
        <v>134.16999999999999</v>
      </c>
      <c r="U64" s="275">
        <f>IF(tblContractForDeed[[#This Row],[Princ]]=0,0,$W$3)</f>
        <v>188.55</v>
      </c>
      <c r="V64" s="275">
        <f>SUM(tblContractForDeed[[#This Row],[Princ]],tblContractForDeed[[#This Row],[Int]],tblContractForDeed[[#This Row],[Ins]],tblContractForDeed[[#This Row],[Taxes]])</f>
        <v>968</v>
      </c>
      <c r="W64" s="275">
        <f>SUM(INDEX(tblContractForDeed[Princ],1):INDEX(tblContractForDeed[Princ],ROW()-ROW(tblContractForDeed[#Headers])))</f>
        <v>9395.57</v>
      </c>
      <c r="X64" s="275">
        <f>IF(tblContractForDeed[[#This Row],[Beg]]&lt;=0,0,tblContractForDeed[[#This Row],[Beg]]-tblContractForDeed[[#This Row],[Princ]])</f>
        <v>65862.429999999993</v>
      </c>
      <c r="Y6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4" s="454">
        <f>IF(INDEX(tblContractForDeed[Payment],ROW()-ROW(tblBuyerOutputs[#Headers]))=0,0,INDEX(tblContractForDeed[Payment],ROW()-ROW(tblBuyerOutputs[#Headers]))-INDEX(tblSubjectToLoan[Payment],ROW()-ROW(tblBuyerOutputs[#Headers])))</f>
        <v>19.470000000000027</v>
      </c>
      <c r="AA64">
        <v>120.14</v>
      </c>
      <c r="AB64" s="14">
        <f>IF(INDEX(tblContractForDeed[Payment],ROW()-ROW(tblBuyerOutputs[#Headers]))=0,0,INDEX(tblContractForDeed[Payment],ROW()-ROW(tblBuyerOutputs[#Headers]))-INDEX(tblSubjectToLoan[Payment],ROW()-ROW(tblBuyerOutputs[#Headers])))-IFERROR(tblBuyerOutputs[[#This Row],[PMI]],0)</f>
        <v>-100.66999999999997</v>
      </c>
      <c r="AC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541.84000000000094</v>
      </c>
      <c r="AD64" s="275">
        <f>IF(INDEX(tblContractForDeed[End Bal],ROW()-ROW(tblBuyerOutputs[#Headers]))&lt;=0,0,($O$6+IF(ROW()=ROW(tblBuyerOutputs[#Headers])+1,0,INDEX(tblBuyerOutputs[Cumul Appr],ROW()-ROW(tblBuyerOutputs[#Headers])-1)))*$O$2/12)</f>
        <v>376.52747240456796</v>
      </c>
      <c r="AE64" s="275">
        <f>IF(INDEX(tblContractForDeed[End Bal],ROW()-ROW(tblBuyerOutputs[#Headers]))&lt;=0,0,IF(ROW()=ROW(tblBuyerOutputs[#Headers])+1,0,INDEX(tblBuyerOutputs[Cumul Appr],ROW()-ROW(tblBuyerOutputs[#Headers])-1))+tblBuyerOutputs[[#This Row],[Monthly Appr]])</f>
        <v>15485.12084950087</v>
      </c>
      <c r="AF64" s="22"/>
      <c r="AG64" s="14"/>
      <c r="AL64"/>
      <c r="AM64" s="14"/>
      <c r="AO64" s="275"/>
      <c r="AQ64" s="14"/>
      <c r="AR64"/>
    </row>
    <row r="65" spans="1:44" x14ac:dyDescent="0.25">
      <c r="A65" s="590">
        <f t="shared" si="4"/>
        <v>47239</v>
      </c>
      <c r="B65" s="275">
        <f t="shared" si="5"/>
        <v>81697.02</v>
      </c>
      <c r="C65" s="14">
        <f t="shared" si="1"/>
        <v>625.80999999999995</v>
      </c>
      <c r="D65" s="14">
        <f t="shared" si="6"/>
        <v>370.50999999999993</v>
      </c>
      <c r="E65" s="14">
        <f t="shared" si="2"/>
        <v>255.3</v>
      </c>
      <c r="F65" s="14">
        <f t="shared" si="11"/>
        <v>134.16999999999999</v>
      </c>
      <c r="G65" s="14">
        <f t="shared" si="11"/>
        <v>188.55</v>
      </c>
      <c r="H65" s="14">
        <f t="shared" si="12"/>
        <v>948.53</v>
      </c>
      <c r="I65" s="275">
        <f t="shared" si="9"/>
        <v>16205.330000000002</v>
      </c>
      <c r="J65" s="275">
        <f t="shared" si="10"/>
        <v>12885.769999999999</v>
      </c>
      <c r="K65" s="275">
        <f t="shared" si="7"/>
        <v>81326.510000000009</v>
      </c>
      <c r="L65" s="386">
        <f t="shared" si="3"/>
        <v>3</v>
      </c>
      <c r="M65" s="386">
        <f t="shared" si="8"/>
        <v>45</v>
      </c>
      <c r="N65" s="590">
        <f>INDEX(tblSubjectToLoan[Date],ROW()-ROW(tblContractForDeed[#Headers]))</f>
        <v>47239</v>
      </c>
      <c r="O65" s="275">
        <f>IF(ROW()=ROW(tblContractForDeed[#Headers])+1,$O$6,IF(INDEX(tblContractForDeed[End Bal],ROW()-ROW(tblContractForDeed[#Headers])-1)&lt;0,0,INDEX(tblContractForDeed[End Bal],ROW()-ROW(tblContractForDeed[#Headers])-1)))</f>
        <v>65862.429999999993</v>
      </c>
      <c r="P65" s="445">
        <f>IF(tblContractForDeed[[#This Row],[Date]]="","",IF(tblContractForDeed[[#This Row],[Date]]&lt;cfdRateChangeDate,cfdRate1,cfdRate2))</f>
        <v>6.25E-2</v>
      </c>
      <c r="Q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5" s="275">
        <f>IF(tblContractForDeed[[#This Row],[Payment]]=0,0,MAX(0,MIN(tblContractForDeed[[#This Row],[Beg]],tblContractForDeed[[#This Row],[Payment]]-tblContractForDeed[[#This Row],[Int]])))</f>
        <v>302.25</v>
      </c>
      <c r="S65" s="275">
        <f>IF(OR(tblContractForDeed[[#This Row],[Date]]&lt;cfdContractDate,tblContractForDeed[[#This Row],[Date]]&gt;cfdEndDate),0,ROUND(tblContractForDeed[[#This Row],[Beg]]*(tblContractForDeed[[#This Row],[Int Rate]]/12),2))</f>
        <v>343.03</v>
      </c>
      <c r="T65" s="275">
        <f>IF(tblContractForDeed[[#This Row],[Payment]]=0,0,$W$2)</f>
        <v>134.16999999999999</v>
      </c>
      <c r="U65" s="275">
        <f>IF(tblContractForDeed[[#This Row],[Princ]]=0,0,$W$3)</f>
        <v>188.55</v>
      </c>
      <c r="V65" s="275">
        <f>SUM(tblContractForDeed[[#This Row],[Princ]],tblContractForDeed[[#This Row],[Int]],tblContractForDeed[[#This Row],[Ins]],tblContractForDeed[[#This Row],[Taxes]])</f>
        <v>968</v>
      </c>
      <c r="W65" s="275">
        <f>SUM(INDEX(tblContractForDeed[Princ],1):INDEX(tblContractForDeed[Princ],ROW()-ROW(tblContractForDeed[#Headers])))</f>
        <v>9697.82</v>
      </c>
      <c r="X65" s="275">
        <f>IF(tblContractForDeed[[#This Row],[Beg]]&lt;=0,0,tblContractForDeed[[#This Row],[Beg]]-tblContractForDeed[[#This Row],[Princ]])</f>
        <v>65560.179999999993</v>
      </c>
      <c r="Y6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5" s="454">
        <f>IF(INDEX(tblContractForDeed[Payment],ROW()-ROW(tblBuyerOutputs[#Headers]))=0,0,INDEX(tblContractForDeed[Payment],ROW()-ROW(tblBuyerOutputs[#Headers]))-INDEX(tblSubjectToLoan[Payment],ROW()-ROW(tblBuyerOutputs[#Headers])))</f>
        <v>19.470000000000027</v>
      </c>
      <c r="AA65">
        <v>120.14</v>
      </c>
      <c r="AB65" s="14">
        <f>IF(INDEX(tblContractForDeed[Payment],ROW()-ROW(tblBuyerOutputs[#Headers]))=0,0,INDEX(tblContractForDeed[Payment],ROW()-ROW(tblBuyerOutputs[#Headers]))-INDEX(tblSubjectToLoan[Payment],ROW()-ROW(tblBuyerOutputs[#Headers])))-IFERROR(tblBuyerOutputs[[#This Row],[PMI]],0)</f>
        <v>-100.66999999999997</v>
      </c>
      <c r="AC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441.17000000000098</v>
      </c>
      <c r="AD65" s="275">
        <f>IF(INDEX(tblContractForDeed[End Bal],ROW()-ROW(tblBuyerOutputs[#Headers]))&lt;=0,0,($O$6+IF(ROW()=ROW(tblBuyerOutputs[#Headers])+1,0,INDEX(tblBuyerOutputs[Cumul Appr],ROW()-ROW(tblBuyerOutputs[#Headers])-1)))*$O$2/12)</f>
        <v>378.09633687292035</v>
      </c>
      <c r="AE65" s="275">
        <f>IF(INDEX(tblContractForDeed[End Bal],ROW()-ROW(tblBuyerOutputs[#Headers]))&lt;=0,0,IF(ROW()=ROW(tblBuyerOutputs[#Headers])+1,0,INDEX(tblBuyerOutputs[Cumul Appr],ROW()-ROW(tblBuyerOutputs[#Headers])-1))+tblBuyerOutputs[[#This Row],[Monthly Appr]])</f>
        <v>15863.217186373791</v>
      </c>
      <c r="AF65" s="22"/>
      <c r="AG65" s="14"/>
      <c r="AL65"/>
      <c r="AM65" s="14"/>
      <c r="AO65" s="275"/>
      <c r="AQ65" s="14"/>
      <c r="AR65"/>
    </row>
    <row r="66" spans="1:44" x14ac:dyDescent="0.25">
      <c r="A66" s="590">
        <f t="shared" si="4"/>
        <v>47270</v>
      </c>
      <c r="B66" s="275">
        <f t="shared" si="5"/>
        <v>81326.510000000009</v>
      </c>
      <c r="C66" s="14">
        <f t="shared" si="1"/>
        <v>625.80999999999995</v>
      </c>
      <c r="D66" s="14">
        <f t="shared" si="6"/>
        <v>371.65999999999997</v>
      </c>
      <c r="E66" s="14">
        <f t="shared" si="2"/>
        <v>254.15</v>
      </c>
      <c r="F66" s="14">
        <f t="shared" si="11"/>
        <v>134.16999999999999</v>
      </c>
      <c r="G66" s="14">
        <f t="shared" si="11"/>
        <v>188.55</v>
      </c>
      <c r="H66" s="14">
        <f t="shared" si="12"/>
        <v>948.53</v>
      </c>
      <c r="I66" s="275">
        <f t="shared" si="9"/>
        <v>16576.990000000002</v>
      </c>
      <c r="J66" s="275">
        <f t="shared" si="10"/>
        <v>13139.919999999998</v>
      </c>
      <c r="K66" s="275">
        <f t="shared" si="7"/>
        <v>80954.850000000006</v>
      </c>
      <c r="L66" s="386">
        <f t="shared" si="3"/>
        <v>3</v>
      </c>
      <c r="M66" s="386">
        <f t="shared" si="8"/>
        <v>46</v>
      </c>
      <c r="N66" s="590">
        <f>INDEX(tblSubjectToLoan[Date],ROW()-ROW(tblContractForDeed[#Headers]))</f>
        <v>47270</v>
      </c>
      <c r="O66" s="275">
        <f>IF(ROW()=ROW(tblContractForDeed[#Headers])+1,$O$6,IF(INDEX(tblContractForDeed[End Bal],ROW()-ROW(tblContractForDeed[#Headers])-1)&lt;0,0,INDEX(tblContractForDeed[End Bal],ROW()-ROW(tblContractForDeed[#Headers])-1)))</f>
        <v>65560.179999999993</v>
      </c>
      <c r="P66" s="445">
        <f>IF(tblContractForDeed[[#This Row],[Date]]="","",IF(tblContractForDeed[[#This Row],[Date]]&lt;cfdRateChangeDate,cfdRate1,cfdRate2))</f>
        <v>6.25E-2</v>
      </c>
      <c r="Q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6" s="275">
        <f>IF(tblContractForDeed[[#This Row],[Payment]]=0,0,MAX(0,MIN(tblContractForDeed[[#This Row],[Beg]],tblContractForDeed[[#This Row],[Payment]]-tblContractForDeed[[#This Row],[Int]])))</f>
        <v>303.82</v>
      </c>
      <c r="S66" s="275">
        <f>IF(OR(tblContractForDeed[[#This Row],[Date]]&lt;cfdContractDate,tblContractForDeed[[#This Row],[Date]]&gt;cfdEndDate),0,ROUND(tblContractForDeed[[#This Row],[Beg]]*(tblContractForDeed[[#This Row],[Int Rate]]/12),2))</f>
        <v>341.46</v>
      </c>
      <c r="T66" s="275">
        <f>IF(tblContractForDeed[[#This Row],[Payment]]=0,0,$W$2)</f>
        <v>134.16999999999999</v>
      </c>
      <c r="U66" s="275">
        <f>IF(tblContractForDeed[[#This Row],[Princ]]=0,0,$W$3)</f>
        <v>188.55</v>
      </c>
      <c r="V66" s="275">
        <f>SUM(tblContractForDeed[[#This Row],[Princ]],tblContractForDeed[[#This Row],[Int]],tblContractForDeed[[#This Row],[Ins]],tblContractForDeed[[#This Row],[Taxes]])</f>
        <v>968</v>
      </c>
      <c r="W66" s="275">
        <f>SUM(INDEX(tblContractForDeed[Princ],1):INDEX(tblContractForDeed[Princ],ROW()-ROW(tblContractForDeed[#Headers])))</f>
        <v>10001.64</v>
      </c>
      <c r="X66" s="275">
        <f>IF(tblContractForDeed[[#This Row],[Beg]]&lt;=0,0,tblContractForDeed[[#This Row],[Beg]]-tblContractForDeed[[#This Row],[Princ]])</f>
        <v>65256.359999999993</v>
      </c>
      <c r="Y6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6" s="454">
        <f>IF(INDEX(tblContractForDeed[Payment],ROW()-ROW(tblBuyerOutputs[#Headers]))=0,0,INDEX(tblContractForDeed[Payment],ROW()-ROW(tblBuyerOutputs[#Headers]))-INDEX(tblSubjectToLoan[Payment],ROW()-ROW(tblBuyerOutputs[#Headers])))</f>
        <v>19.470000000000027</v>
      </c>
      <c r="AA66">
        <v>120.14</v>
      </c>
      <c r="AB66" s="14">
        <f>IF(INDEX(tblContractForDeed[Payment],ROW()-ROW(tblBuyerOutputs[#Headers]))=0,0,INDEX(tblContractForDeed[Payment],ROW()-ROW(tblBuyerOutputs[#Headers]))-INDEX(tblSubjectToLoan[Payment],ROW()-ROW(tblBuyerOutputs[#Headers])))-IFERROR(tblBuyerOutputs[[#This Row],[PMI]],0)</f>
        <v>-100.66999999999997</v>
      </c>
      <c r="AC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340.50000000000102</v>
      </c>
      <c r="AD66" s="275">
        <f>IF(INDEX(tblContractForDeed[End Bal],ROW()-ROW(tblBuyerOutputs[#Headers]))&lt;=0,0,($O$6+IF(ROW()=ROW(tblBuyerOutputs[#Headers])+1,0,INDEX(tblBuyerOutputs[Cumul Appr],ROW()-ROW(tblBuyerOutputs[#Headers])-1)))*$O$2/12)</f>
        <v>379.67173827655751</v>
      </c>
      <c r="AE66" s="275">
        <f>IF(INDEX(tblContractForDeed[End Bal],ROW()-ROW(tblBuyerOutputs[#Headers]))&lt;=0,0,IF(ROW()=ROW(tblBuyerOutputs[#Headers])+1,0,INDEX(tblBuyerOutputs[Cumul Appr],ROW()-ROW(tblBuyerOutputs[#Headers])-1))+tblBuyerOutputs[[#This Row],[Monthly Appr]])</f>
        <v>16242.88892465035</v>
      </c>
      <c r="AF66" s="22"/>
      <c r="AG66" s="14"/>
      <c r="AL66"/>
      <c r="AM66" s="14"/>
      <c r="AO66" s="275"/>
      <c r="AQ66" s="14"/>
      <c r="AR66"/>
    </row>
    <row r="67" spans="1:44" ht="15.75" thickBot="1" x14ac:dyDescent="0.3">
      <c r="A67" s="591">
        <f t="shared" si="4"/>
        <v>47300</v>
      </c>
      <c r="B67" s="326">
        <f t="shared" si="5"/>
        <v>80954.850000000006</v>
      </c>
      <c r="C67" s="21">
        <f t="shared" si="1"/>
        <v>625.80999999999995</v>
      </c>
      <c r="D67" s="21">
        <f t="shared" si="6"/>
        <v>372.82999999999993</v>
      </c>
      <c r="E67" s="21">
        <f t="shared" si="2"/>
        <v>252.98</v>
      </c>
      <c r="F67" s="21">
        <f t="shared" si="11"/>
        <v>134.16999999999999</v>
      </c>
      <c r="G67" s="21">
        <f t="shared" si="11"/>
        <v>188.55</v>
      </c>
      <c r="H67" s="21">
        <f t="shared" si="12"/>
        <v>948.53</v>
      </c>
      <c r="I67" s="326">
        <f t="shared" si="9"/>
        <v>16949.82</v>
      </c>
      <c r="J67" s="326">
        <f t="shared" si="10"/>
        <v>13392.899999999998</v>
      </c>
      <c r="K67" s="326">
        <f t="shared" si="7"/>
        <v>80582.02</v>
      </c>
      <c r="L67" s="387">
        <f t="shared" si="3"/>
        <v>3</v>
      </c>
      <c r="M67" s="387">
        <f t="shared" si="8"/>
        <v>47</v>
      </c>
      <c r="N67" s="591">
        <f>INDEX(tblSubjectToLoan[Date],ROW()-ROW(tblContractForDeed[#Headers]))</f>
        <v>47300</v>
      </c>
      <c r="O67" s="326">
        <f>IF(ROW()=ROW(tblContractForDeed[#Headers])+1,$O$6,IF(INDEX(tblContractForDeed[End Bal],ROW()-ROW(tblContractForDeed[#Headers])-1)&lt;0,0,INDEX(tblContractForDeed[End Bal],ROW()-ROW(tblContractForDeed[#Headers])-1)))</f>
        <v>65256.359999999993</v>
      </c>
      <c r="P67" s="445">
        <f>IF(tblContractForDeed[[#This Row],[Date]]="","",IF(tblContractForDeed[[#This Row],[Date]]&lt;cfdRateChangeDate,cfdRate1,cfdRate2))</f>
        <v>6.25E-2</v>
      </c>
      <c r="Q6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7" s="326">
        <f>IF(tblContractForDeed[[#This Row],[Payment]]=0,0,MAX(0,MIN(tblContractForDeed[[#This Row],[Beg]],tblContractForDeed[[#This Row],[Payment]]-tblContractForDeed[[#This Row],[Int]])))</f>
        <v>305.39999999999998</v>
      </c>
      <c r="S67" s="326">
        <f>IF(OR(tblContractForDeed[[#This Row],[Date]]&lt;cfdContractDate,tblContractForDeed[[#This Row],[Date]]&gt;cfdEndDate),0,ROUND(tblContractForDeed[[#This Row],[Beg]]*(tblContractForDeed[[#This Row],[Int Rate]]/12),2))</f>
        <v>339.88</v>
      </c>
      <c r="T67" s="326">
        <f>IF(tblContractForDeed[[#This Row],[Payment]]=0,0,$W$2)</f>
        <v>134.16999999999999</v>
      </c>
      <c r="U67" s="326">
        <f>IF(tblContractForDeed[[#This Row],[Princ]]=0,0,$W$3)</f>
        <v>188.55</v>
      </c>
      <c r="V67" s="326">
        <f>SUM(tblContractForDeed[[#This Row],[Princ]],tblContractForDeed[[#This Row],[Int]],tblContractForDeed[[#This Row],[Ins]],tblContractForDeed[[#This Row],[Taxes]])</f>
        <v>968</v>
      </c>
      <c r="W67" s="326">
        <f>SUM(INDEX(tblContractForDeed[Princ],1):INDEX(tblContractForDeed[Princ],ROW()-ROW(tblContractForDeed[#Headers])))</f>
        <v>10307.039999999999</v>
      </c>
      <c r="X67" s="326">
        <f>IF(tblContractForDeed[[#This Row],[Beg]]&lt;=0,0,tblContractForDeed[[#This Row],[Beg]]-tblContractForDeed[[#This Row],[Princ]])</f>
        <v>64950.959999999992</v>
      </c>
      <c r="Y67"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7" s="455">
        <f>IF(INDEX(tblContractForDeed[Payment],ROW()-ROW(tblBuyerOutputs[#Headers]))=0,0,INDEX(tblContractForDeed[Payment],ROW()-ROW(tblBuyerOutputs[#Headers]))-INDEX(tblSubjectToLoan[Payment],ROW()-ROW(tblBuyerOutputs[#Headers])))</f>
        <v>19.470000000000027</v>
      </c>
      <c r="AA67">
        <v>120.14</v>
      </c>
      <c r="AB67" s="21">
        <f>IF(INDEX(tblContractForDeed[Payment],ROW()-ROW(tblBuyerOutputs[#Headers]))=0,0,INDEX(tblContractForDeed[Payment],ROW()-ROW(tblBuyerOutputs[#Headers]))-INDEX(tblSubjectToLoan[Payment],ROW()-ROW(tblBuyerOutputs[#Headers])))-IFERROR(tblBuyerOutputs[[#This Row],[PMI]],0)</f>
        <v>-100.66999999999997</v>
      </c>
      <c r="AC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239.83000000000106</v>
      </c>
      <c r="AD67" s="326">
        <f>IF(INDEX(tblContractForDeed[End Bal],ROW()-ROW(tblBuyerOutputs[#Headers]))&lt;=0,0,($O$6+IF(ROW()=ROW(tblBuyerOutputs[#Headers])+1,0,INDEX(tblBuyerOutputs[Cumul Appr],ROW()-ROW(tblBuyerOutputs[#Headers])-1)))*$O$2/12)</f>
        <v>381.2537038527098</v>
      </c>
      <c r="AE67" s="326">
        <f>IF(INDEX(tblContractForDeed[End Bal],ROW()-ROW(tblBuyerOutputs[#Headers]))&lt;=0,0,IF(ROW()=ROW(tblBuyerOutputs[#Headers])+1,0,INDEX(tblBuyerOutputs[Cumul Appr],ROW()-ROW(tblBuyerOutputs[#Headers])-1))+tblBuyerOutputs[[#This Row],[Monthly Appr]])</f>
        <v>16624.142628503061</v>
      </c>
      <c r="AF67" s="22"/>
      <c r="AG67" s="14"/>
      <c r="AL67"/>
      <c r="AM67" s="14"/>
      <c r="AO67" s="275"/>
      <c r="AQ67" s="14"/>
      <c r="AR67"/>
    </row>
    <row r="68" spans="1:44" x14ac:dyDescent="0.25">
      <c r="A68" s="590">
        <f t="shared" si="4"/>
        <v>47331</v>
      </c>
      <c r="B68" s="275">
        <f t="shared" si="5"/>
        <v>80582.02</v>
      </c>
      <c r="C68" s="14">
        <f t="shared" si="1"/>
        <v>625.80999999999995</v>
      </c>
      <c r="D68" s="14">
        <f t="shared" si="6"/>
        <v>373.98999999999995</v>
      </c>
      <c r="E68" s="14">
        <f t="shared" si="2"/>
        <v>251.82</v>
      </c>
      <c r="F68" s="14">
        <f t="shared" si="11"/>
        <v>134.16999999999999</v>
      </c>
      <c r="G68" s="14">
        <f t="shared" si="11"/>
        <v>188.55</v>
      </c>
      <c r="H68" s="14">
        <f t="shared" si="12"/>
        <v>948.53</v>
      </c>
      <c r="I68" s="275">
        <f t="shared" si="9"/>
        <v>17323.810000000001</v>
      </c>
      <c r="J68" s="275">
        <f t="shared" si="10"/>
        <v>13644.719999999998</v>
      </c>
      <c r="K68" s="275">
        <f t="shared" si="7"/>
        <v>80208.03</v>
      </c>
      <c r="L68" s="386">
        <f t="shared" si="3"/>
        <v>4</v>
      </c>
      <c r="M68" s="386">
        <f t="shared" si="8"/>
        <v>48</v>
      </c>
      <c r="N68" s="590">
        <f>INDEX(tblSubjectToLoan[Date],ROW()-ROW(tblContractForDeed[#Headers]))</f>
        <v>47331</v>
      </c>
      <c r="O68" s="275">
        <f>IF(ROW()=ROW(tblContractForDeed[#Headers])+1,$O$6,IF(INDEX(tblContractForDeed[End Bal],ROW()-ROW(tblContractForDeed[#Headers])-1)&lt;0,0,INDEX(tblContractForDeed[End Bal],ROW()-ROW(tblContractForDeed[#Headers])-1)))</f>
        <v>64950.959999999992</v>
      </c>
      <c r="P68" s="445">
        <f>IF(tblContractForDeed[[#This Row],[Date]]="","",IF(tblContractForDeed[[#This Row],[Date]]&lt;cfdRateChangeDate,cfdRate1,cfdRate2))</f>
        <v>6.25E-2</v>
      </c>
      <c r="Q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8" s="275">
        <f>IF(tblContractForDeed[[#This Row],[Payment]]=0,0,MAX(0,MIN(tblContractForDeed[[#This Row],[Beg]],tblContractForDeed[[#This Row],[Payment]]-tblContractForDeed[[#This Row],[Int]])))</f>
        <v>306.98999999999995</v>
      </c>
      <c r="S68" s="275">
        <f>IF(OR(tblContractForDeed[[#This Row],[Date]]&lt;cfdContractDate,tblContractForDeed[[#This Row],[Date]]&gt;cfdEndDate),0,ROUND(tblContractForDeed[[#This Row],[Beg]]*(tblContractForDeed[[#This Row],[Int Rate]]/12),2))</f>
        <v>338.29</v>
      </c>
      <c r="T68" s="275">
        <f>IF(tblContractForDeed[[#This Row],[Payment]]=0,0,$W$2)</f>
        <v>134.16999999999999</v>
      </c>
      <c r="U68" s="275">
        <f>IF(tblContractForDeed[[#This Row],[Princ]]=0,0,$W$3)</f>
        <v>188.55</v>
      </c>
      <c r="V68" s="275">
        <f>SUM(tblContractForDeed[[#This Row],[Princ]],tblContractForDeed[[#This Row],[Int]],tblContractForDeed[[#This Row],[Ins]],tblContractForDeed[[#This Row],[Taxes]])</f>
        <v>968</v>
      </c>
      <c r="W68" s="275">
        <f>SUM(INDEX(tblContractForDeed[Princ],1):INDEX(tblContractForDeed[Princ],ROW()-ROW(tblContractForDeed[#Headers])))</f>
        <v>10614.029999999999</v>
      </c>
      <c r="X68" s="275">
        <f>IF(tblContractForDeed[[#This Row],[Beg]]&lt;=0,0,tblContractForDeed[[#This Row],[Beg]]-tblContractForDeed[[#This Row],[Princ]])</f>
        <v>64643.969999999994</v>
      </c>
      <c r="Y6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8" s="454">
        <f>IF(INDEX(tblContractForDeed[Payment],ROW()-ROW(tblBuyerOutputs[#Headers]))=0,0,INDEX(tblContractForDeed[Payment],ROW()-ROW(tblBuyerOutputs[#Headers]))-INDEX(tblSubjectToLoan[Payment],ROW()-ROW(tblBuyerOutputs[#Headers])))</f>
        <v>19.470000000000027</v>
      </c>
      <c r="AA68"/>
      <c r="AB68" s="14">
        <f>IF(INDEX(tblContractForDeed[Payment],ROW()-ROW(tblBuyerOutputs[#Headers]))=0,0,INDEX(tblContractForDeed[Payment],ROW()-ROW(tblBuyerOutputs[#Headers]))-INDEX(tblSubjectToLoan[Payment],ROW()-ROW(tblBuyerOutputs[#Headers])))-IFERROR(tblBuyerOutputs[[#This Row],[PMI]],0)</f>
        <v>19.470000000000027</v>
      </c>
      <c r="AC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259.30000000000109</v>
      </c>
      <c r="AD68" s="275">
        <f>IF(INDEX(tblContractForDeed[End Bal],ROW()-ROW(tblBuyerOutputs[#Headers]))&lt;=0,0,($O$6+IF(ROW()=ROW(tblBuyerOutputs[#Headers])+1,0,INDEX(tblBuyerOutputs[Cumul Appr],ROW()-ROW(tblBuyerOutputs[#Headers])-1)))*$O$2/12)</f>
        <v>382.84226095209607</v>
      </c>
      <c r="AE68" s="275">
        <f>IF(INDEX(tblContractForDeed[End Bal],ROW()-ROW(tblBuyerOutputs[#Headers]))&lt;=0,0,IF(ROW()=ROW(tblBuyerOutputs[#Headers])+1,0,INDEX(tblBuyerOutputs[Cumul Appr],ROW()-ROW(tblBuyerOutputs[#Headers])-1))+tblBuyerOutputs[[#This Row],[Monthly Appr]])</f>
        <v>17006.984889455158</v>
      </c>
      <c r="AF68" s="22"/>
      <c r="AG68" s="14"/>
      <c r="AL68"/>
      <c r="AM68" s="14"/>
      <c r="AO68" s="275"/>
      <c r="AQ68" s="14"/>
      <c r="AR68"/>
    </row>
    <row r="69" spans="1:44" x14ac:dyDescent="0.25">
      <c r="A69" s="590">
        <f t="shared" si="4"/>
        <v>47362</v>
      </c>
      <c r="B69" s="275">
        <f t="shared" si="5"/>
        <v>80208.03</v>
      </c>
      <c r="C69" s="14">
        <f t="shared" si="1"/>
        <v>625.80999999999995</v>
      </c>
      <c r="D69" s="14">
        <f t="shared" si="6"/>
        <v>375.15999999999997</v>
      </c>
      <c r="E69" s="14">
        <f t="shared" si="2"/>
        <v>250.65</v>
      </c>
      <c r="F69" s="14">
        <f t="shared" si="11"/>
        <v>134.16999999999999</v>
      </c>
      <c r="G69" s="14">
        <f t="shared" si="11"/>
        <v>188.55</v>
      </c>
      <c r="H69" s="14">
        <f t="shared" si="12"/>
        <v>948.53</v>
      </c>
      <c r="I69" s="275">
        <f t="shared" si="9"/>
        <v>17698.97</v>
      </c>
      <c r="J69" s="275">
        <f t="shared" si="10"/>
        <v>13895.369999999997</v>
      </c>
      <c r="K69" s="275">
        <f t="shared" si="7"/>
        <v>79832.87</v>
      </c>
      <c r="L69" s="386">
        <f t="shared" si="3"/>
        <v>4</v>
      </c>
      <c r="M69" s="386">
        <f t="shared" si="8"/>
        <v>49</v>
      </c>
      <c r="N69" s="590">
        <f>INDEX(tblSubjectToLoan[Date],ROW()-ROW(tblContractForDeed[#Headers]))</f>
        <v>47362</v>
      </c>
      <c r="O69" s="275">
        <f>IF(ROW()=ROW(tblContractForDeed[#Headers])+1,$O$6,IF(INDEX(tblContractForDeed[End Bal],ROW()-ROW(tblContractForDeed[#Headers])-1)&lt;0,0,INDEX(tblContractForDeed[End Bal],ROW()-ROW(tblContractForDeed[#Headers])-1)))</f>
        <v>64643.969999999994</v>
      </c>
      <c r="P69" s="445">
        <f>IF(tblContractForDeed[[#This Row],[Date]]="","",IF(tblContractForDeed[[#This Row],[Date]]&lt;cfdRateChangeDate,cfdRate1,cfdRate2))</f>
        <v>6.25E-2</v>
      </c>
      <c r="Q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9" s="275">
        <f>IF(tblContractForDeed[[#This Row],[Payment]]=0,0,MAX(0,MIN(tblContractForDeed[[#This Row],[Beg]],tblContractForDeed[[#This Row],[Payment]]-tblContractForDeed[[#This Row],[Int]])))</f>
        <v>308.58999999999997</v>
      </c>
      <c r="S69" s="275">
        <f>IF(OR(tblContractForDeed[[#This Row],[Date]]&lt;cfdContractDate,tblContractForDeed[[#This Row],[Date]]&gt;cfdEndDate),0,ROUND(tblContractForDeed[[#This Row],[Beg]]*(tblContractForDeed[[#This Row],[Int Rate]]/12),2))</f>
        <v>336.69</v>
      </c>
      <c r="T69" s="275">
        <f>IF(tblContractForDeed[[#This Row],[Payment]]=0,0,$W$2)</f>
        <v>134.16999999999999</v>
      </c>
      <c r="U69" s="275">
        <f>IF(tblContractForDeed[[#This Row],[Princ]]=0,0,$W$3)</f>
        <v>188.55</v>
      </c>
      <c r="V69" s="275">
        <f>SUM(tblContractForDeed[[#This Row],[Princ]],tblContractForDeed[[#This Row],[Int]],tblContractForDeed[[#This Row],[Ins]],tblContractForDeed[[#This Row],[Taxes]])</f>
        <v>968</v>
      </c>
      <c r="W69" s="275">
        <f>SUM(INDEX(tblContractForDeed[Princ],1):INDEX(tblContractForDeed[Princ],ROW()-ROW(tblContractForDeed[#Headers])))</f>
        <v>10922.619999999999</v>
      </c>
      <c r="X69" s="275">
        <f>IF(tblContractForDeed[[#This Row],[Beg]]&lt;=0,0,tblContractForDeed[[#This Row],[Beg]]-tblContractForDeed[[#This Row],[Princ]])</f>
        <v>64335.38</v>
      </c>
      <c r="Y6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69" s="454">
        <f>IF(INDEX(tblContractForDeed[Payment],ROW()-ROW(tblBuyerOutputs[#Headers]))=0,0,INDEX(tblContractForDeed[Payment],ROW()-ROW(tblBuyerOutputs[#Headers]))-INDEX(tblSubjectToLoan[Payment],ROW()-ROW(tblBuyerOutputs[#Headers])))</f>
        <v>19.470000000000027</v>
      </c>
      <c r="AA69"/>
      <c r="AB69" s="14">
        <f>IF(INDEX(tblContractForDeed[Payment],ROW()-ROW(tblBuyerOutputs[#Headers]))=0,0,INDEX(tblContractForDeed[Payment],ROW()-ROW(tblBuyerOutputs[#Headers]))-INDEX(tblSubjectToLoan[Payment],ROW()-ROW(tblBuyerOutputs[#Headers])))-IFERROR(tblBuyerOutputs[[#This Row],[PMI]],0)</f>
        <v>19.470000000000027</v>
      </c>
      <c r="AC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278.77000000000112</v>
      </c>
      <c r="AD69" s="275">
        <f>IF(INDEX(tblContractForDeed[End Bal],ROW()-ROW(tblBuyerOutputs[#Headers]))&lt;=0,0,($O$6+IF(ROW()=ROW(tblBuyerOutputs[#Headers])+1,0,INDEX(tblBuyerOutputs[Cumul Appr],ROW()-ROW(tblBuyerOutputs[#Headers])-1)))*$O$2/12)</f>
        <v>384.43743703939646</v>
      </c>
      <c r="AE69" s="275">
        <f>IF(INDEX(tblContractForDeed[End Bal],ROW()-ROW(tblBuyerOutputs[#Headers]))&lt;=0,0,IF(ROW()=ROW(tblBuyerOutputs[#Headers])+1,0,INDEX(tblBuyerOutputs[Cumul Appr],ROW()-ROW(tblBuyerOutputs[#Headers])-1))+tblBuyerOutputs[[#This Row],[Monthly Appr]])</f>
        <v>17391.422326494554</v>
      </c>
      <c r="AF69" s="22"/>
      <c r="AG69" s="14"/>
      <c r="AL69"/>
      <c r="AM69" s="14"/>
      <c r="AO69" s="275"/>
      <c r="AQ69" s="14"/>
      <c r="AR69"/>
    </row>
    <row r="70" spans="1:44" x14ac:dyDescent="0.25">
      <c r="A70" s="590">
        <f t="shared" si="4"/>
        <v>47392</v>
      </c>
      <c r="B70" s="275">
        <f t="shared" si="5"/>
        <v>79832.87</v>
      </c>
      <c r="C70" s="14">
        <f t="shared" si="1"/>
        <v>625.80999999999995</v>
      </c>
      <c r="D70" s="14">
        <f t="shared" si="6"/>
        <v>376.32999999999993</v>
      </c>
      <c r="E70" s="14">
        <f t="shared" si="2"/>
        <v>249.48</v>
      </c>
      <c r="F70" s="14">
        <f t="shared" si="11"/>
        <v>134.16999999999999</v>
      </c>
      <c r="G70" s="14">
        <f t="shared" si="11"/>
        <v>188.55</v>
      </c>
      <c r="H70" s="14">
        <f t="shared" si="12"/>
        <v>948.53</v>
      </c>
      <c r="I70" s="275">
        <f t="shared" si="9"/>
        <v>18075.300000000003</v>
      </c>
      <c r="J70" s="275">
        <f t="shared" si="10"/>
        <v>14144.849999999997</v>
      </c>
      <c r="K70" s="275">
        <f t="shared" si="7"/>
        <v>79456.539999999994</v>
      </c>
      <c r="L70" s="386">
        <f t="shared" si="3"/>
        <v>4</v>
      </c>
      <c r="M70" s="386">
        <f t="shared" si="8"/>
        <v>50</v>
      </c>
      <c r="N70" s="590">
        <f>INDEX(tblSubjectToLoan[Date],ROW()-ROW(tblContractForDeed[#Headers]))</f>
        <v>47392</v>
      </c>
      <c r="O70" s="275">
        <f>IF(ROW()=ROW(tblContractForDeed[#Headers])+1,$O$6,IF(INDEX(tblContractForDeed[End Bal],ROW()-ROW(tblContractForDeed[#Headers])-1)&lt;0,0,INDEX(tblContractForDeed[End Bal],ROW()-ROW(tblContractForDeed[#Headers])-1)))</f>
        <v>64335.38</v>
      </c>
      <c r="P70" s="445">
        <f>IF(tblContractForDeed[[#This Row],[Date]]="","",IF(tblContractForDeed[[#This Row],[Date]]&lt;cfdRateChangeDate,cfdRate1,cfdRate2))</f>
        <v>6.25E-2</v>
      </c>
      <c r="Q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0" s="275">
        <f>IF(tblContractForDeed[[#This Row],[Payment]]=0,0,MAX(0,MIN(tblContractForDeed[[#This Row],[Beg]],tblContractForDeed[[#This Row],[Payment]]-tblContractForDeed[[#This Row],[Int]])))</f>
        <v>310.2</v>
      </c>
      <c r="S70" s="275">
        <f>IF(OR(tblContractForDeed[[#This Row],[Date]]&lt;cfdContractDate,tblContractForDeed[[#This Row],[Date]]&gt;cfdEndDate),0,ROUND(tblContractForDeed[[#This Row],[Beg]]*(tblContractForDeed[[#This Row],[Int Rate]]/12),2))</f>
        <v>335.08</v>
      </c>
      <c r="T70" s="275">
        <f>IF(tblContractForDeed[[#This Row],[Payment]]=0,0,$W$2)</f>
        <v>134.16999999999999</v>
      </c>
      <c r="U70" s="275">
        <f>IF(tblContractForDeed[[#This Row],[Princ]]=0,0,$W$3)</f>
        <v>188.55</v>
      </c>
      <c r="V70" s="275">
        <f>SUM(tblContractForDeed[[#This Row],[Princ]],tblContractForDeed[[#This Row],[Int]],tblContractForDeed[[#This Row],[Ins]],tblContractForDeed[[#This Row],[Taxes]])</f>
        <v>968</v>
      </c>
      <c r="W70" s="275">
        <f>SUM(INDEX(tblContractForDeed[Princ],1):INDEX(tblContractForDeed[Princ],ROW()-ROW(tblContractForDeed[#Headers])))</f>
        <v>11232.82</v>
      </c>
      <c r="X70" s="275">
        <f>IF(tblContractForDeed[[#This Row],[Beg]]&lt;=0,0,tblContractForDeed[[#This Row],[Beg]]-tblContractForDeed[[#This Row],[Princ]])</f>
        <v>64025.18</v>
      </c>
      <c r="Y7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0" s="454">
        <f>IF(INDEX(tblContractForDeed[Payment],ROW()-ROW(tblBuyerOutputs[#Headers]))=0,0,INDEX(tblContractForDeed[Payment],ROW()-ROW(tblBuyerOutputs[#Headers]))-INDEX(tblSubjectToLoan[Payment],ROW()-ROW(tblBuyerOutputs[#Headers])))</f>
        <v>19.470000000000027</v>
      </c>
      <c r="AA70"/>
      <c r="AB70" s="14">
        <f>IF(INDEX(tblContractForDeed[Payment],ROW()-ROW(tblBuyerOutputs[#Headers]))=0,0,INDEX(tblContractForDeed[Payment],ROW()-ROW(tblBuyerOutputs[#Headers]))-INDEX(tblSubjectToLoan[Payment],ROW()-ROW(tblBuyerOutputs[#Headers])))-IFERROR(tblBuyerOutputs[[#This Row],[PMI]],0)</f>
        <v>19.470000000000027</v>
      </c>
      <c r="AC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298.24000000000115</v>
      </c>
      <c r="AD70" s="275">
        <f>IF(INDEX(tblContractForDeed[End Bal],ROW()-ROW(tblBuyerOutputs[#Headers]))&lt;=0,0,($O$6+IF(ROW()=ROW(tblBuyerOutputs[#Headers])+1,0,INDEX(tblBuyerOutputs[Cumul Appr],ROW()-ROW(tblBuyerOutputs[#Headers])-1)))*$O$2/12)</f>
        <v>386.03925969372739</v>
      </c>
      <c r="AE70" s="275">
        <f>IF(INDEX(tblContractForDeed[End Bal],ROW()-ROW(tblBuyerOutputs[#Headers]))&lt;=0,0,IF(ROW()=ROW(tblBuyerOutputs[#Headers])+1,0,INDEX(tblBuyerOutputs[Cumul Appr],ROW()-ROW(tblBuyerOutputs[#Headers])-1))+tblBuyerOutputs[[#This Row],[Monthly Appr]])</f>
        <v>17777.461586188281</v>
      </c>
      <c r="AF70" s="22"/>
      <c r="AG70" s="14"/>
      <c r="AL70"/>
      <c r="AM70" s="14"/>
      <c r="AO70" s="275"/>
      <c r="AQ70" s="14"/>
      <c r="AR70"/>
    </row>
    <row r="71" spans="1:44" x14ac:dyDescent="0.25">
      <c r="A71" s="590">
        <f t="shared" si="4"/>
        <v>47423</v>
      </c>
      <c r="B71" s="275">
        <f t="shared" si="5"/>
        <v>79456.539999999994</v>
      </c>
      <c r="C71" s="14">
        <f t="shared" si="1"/>
        <v>625.80999999999995</v>
      </c>
      <c r="D71" s="14">
        <f t="shared" si="6"/>
        <v>377.50999999999993</v>
      </c>
      <c r="E71" s="14">
        <f t="shared" si="2"/>
        <v>248.3</v>
      </c>
      <c r="F71" s="14">
        <f t="shared" si="11"/>
        <v>134.16999999999999</v>
      </c>
      <c r="G71" s="14">
        <f t="shared" si="11"/>
        <v>188.55</v>
      </c>
      <c r="H71" s="14">
        <f t="shared" si="12"/>
        <v>948.53</v>
      </c>
      <c r="I71" s="275">
        <f t="shared" si="9"/>
        <v>18452.810000000001</v>
      </c>
      <c r="J71" s="275">
        <f t="shared" si="10"/>
        <v>14393.149999999996</v>
      </c>
      <c r="K71" s="275">
        <f t="shared" si="7"/>
        <v>79079.03</v>
      </c>
      <c r="L71" s="386">
        <f t="shared" si="3"/>
        <v>4</v>
      </c>
      <c r="M71" s="386">
        <f t="shared" si="8"/>
        <v>51</v>
      </c>
      <c r="N71" s="590">
        <f>INDEX(tblSubjectToLoan[Date],ROW()-ROW(tblContractForDeed[#Headers]))</f>
        <v>47423</v>
      </c>
      <c r="O71" s="275">
        <f>IF(ROW()=ROW(tblContractForDeed[#Headers])+1,$O$6,IF(INDEX(tblContractForDeed[End Bal],ROW()-ROW(tblContractForDeed[#Headers])-1)&lt;0,0,INDEX(tblContractForDeed[End Bal],ROW()-ROW(tblContractForDeed[#Headers])-1)))</f>
        <v>64025.18</v>
      </c>
      <c r="P71" s="445">
        <f>IF(tblContractForDeed[[#This Row],[Date]]="","",IF(tblContractForDeed[[#This Row],[Date]]&lt;cfdRateChangeDate,cfdRate1,cfdRate2))</f>
        <v>6.25E-2</v>
      </c>
      <c r="Q7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1" s="275">
        <f>IF(tblContractForDeed[[#This Row],[Payment]]=0,0,MAX(0,MIN(tblContractForDeed[[#This Row],[Beg]],tblContractForDeed[[#This Row],[Payment]]-tblContractForDeed[[#This Row],[Int]])))</f>
        <v>311.82</v>
      </c>
      <c r="S71" s="275">
        <f>IF(OR(tblContractForDeed[[#This Row],[Date]]&lt;cfdContractDate,tblContractForDeed[[#This Row],[Date]]&gt;cfdEndDate),0,ROUND(tblContractForDeed[[#This Row],[Beg]]*(tblContractForDeed[[#This Row],[Int Rate]]/12),2))</f>
        <v>333.46</v>
      </c>
      <c r="T71" s="275">
        <f>IF(tblContractForDeed[[#This Row],[Payment]]=0,0,$W$2)</f>
        <v>134.16999999999999</v>
      </c>
      <c r="U71" s="275">
        <f>IF(tblContractForDeed[[#This Row],[Princ]]=0,0,$W$3)</f>
        <v>188.55</v>
      </c>
      <c r="V71" s="275">
        <f>SUM(tblContractForDeed[[#This Row],[Princ]],tblContractForDeed[[#This Row],[Int]],tblContractForDeed[[#This Row],[Ins]],tblContractForDeed[[#This Row],[Taxes]])</f>
        <v>968</v>
      </c>
      <c r="W71" s="275">
        <f>SUM(INDEX(tblContractForDeed[Princ],1):INDEX(tblContractForDeed[Princ],ROW()-ROW(tblContractForDeed[#Headers])))</f>
        <v>11544.64</v>
      </c>
      <c r="X71" s="275">
        <f>IF(tblContractForDeed[[#This Row],[Beg]]&lt;=0,0,tblContractForDeed[[#This Row],[Beg]]-tblContractForDeed[[#This Row],[Princ]])</f>
        <v>63713.36</v>
      </c>
      <c r="Y7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1" s="454">
        <f>IF(INDEX(tblContractForDeed[Payment],ROW()-ROW(tblBuyerOutputs[#Headers]))=0,0,INDEX(tblContractForDeed[Payment],ROW()-ROW(tblBuyerOutputs[#Headers]))-INDEX(tblSubjectToLoan[Payment],ROW()-ROW(tblBuyerOutputs[#Headers])))</f>
        <v>19.470000000000027</v>
      </c>
      <c r="AA71"/>
      <c r="AB71" s="14">
        <f>IF(INDEX(tblContractForDeed[Payment],ROW()-ROW(tblBuyerOutputs[#Headers]))=0,0,INDEX(tblContractForDeed[Payment],ROW()-ROW(tblBuyerOutputs[#Headers]))-INDEX(tblSubjectToLoan[Payment],ROW()-ROW(tblBuyerOutputs[#Headers])))-IFERROR(tblBuyerOutputs[[#This Row],[PMI]],0)</f>
        <v>19.470000000000027</v>
      </c>
      <c r="AC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317.71000000000117</v>
      </c>
      <c r="AD71" s="275">
        <f>IF(INDEX(tblContractForDeed[End Bal],ROW()-ROW(tblBuyerOutputs[#Headers]))&lt;=0,0,($O$6+IF(ROW()=ROW(tblBuyerOutputs[#Headers])+1,0,INDEX(tblBuyerOutputs[Cumul Appr],ROW()-ROW(tblBuyerOutputs[#Headers])-1)))*$O$2/12)</f>
        <v>387.64775660911783</v>
      </c>
      <c r="AE71" s="275">
        <f>IF(INDEX(tblContractForDeed[End Bal],ROW()-ROW(tblBuyerOutputs[#Headers]))&lt;=0,0,IF(ROW()=ROW(tblBuyerOutputs[#Headers])+1,0,INDEX(tblBuyerOutputs[Cumul Appr],ROW()-ROW(tblBuyerOutputs[#Headers])-1))+tblBuyerOutputs[[#This Row],[Monthly Appr]])</f>
        <v>18165.109342797397</v>
      </c>
      <c r="AF71" s="22"/>
      <c r="AG71" s="14"/>
      <c r="AL71"/>
      <c r="AM71" s="14"/>
      <c r="AO71" s="275"/>
      <c r="AQ71" s="14"/>
      <c r="AR71"/>
    </row>
    <row r="72" spans="1:44" x14ac:dyDescent="0.25">
      <c r="A72" s="590">
        <f t="shared" si="4"/>
        <v>47453</v>
      </c>
      <c r="B72" s="275">
        <f t="shared" si="5"/>
        <v>79079.03</v>
      </c>
      <c r="C72" s="14">
        <f t="shared" si="1"/>
        <v>625.80999999999995</v>
      </c>
      <c r="D72" s="14">
        <f t="shared" si="6"/>
        <v>378.68999999999994</v>
      </c>
      <c r="E72" s="14">
        <f t="shared" si="2"/>
        <v>247.12</v>
      </c>
      <c r="F72" s="14">
        <f t="shared" si="11"/>
        <v>134.16999999999999</v>
      </c>
      <c r="G72" s="14">
        <f t="shared" si="11"/>
        <v>188.55</v>
      </c>
      <c r="H72" s="14">
        <f t="shared" si="12"/>
        <v>948.53</v>
      </c>
      <c r="I72" s="275">
        <f t="shared" si="9"/>
        <v>18831.5</v>
      </c>
      <c r="J72" s="275">
        <f t="shared" si="10"/>
        <v>14640.269999999997</v>
      </c>
      <c r="K72" s="275">
        <f t="shared" si="7"/>
        <v>78700.34</v>
      </c>
      <c r="L72" s="386">
        <f t="shared" si="3"/>
        <v>4</v>
      </c>
      <c r="M72" s="386">
        <f t="shared" si="8"/>
        <v>52</v>
      </c>
      <c r="N72" s="590">
        <f>INDEX(tblSubjectToLoan[Date],ROW()-ROW(tblContractForDeed[#Headers]))</f>
        <v>47453</v>
      </c>
      <c r="O72" s="275">
        <f>IF(ROW()=ROW(tblContractForDeed[#Headers])+1,$O$6,IF(INDEX(tblContractForDeed[End Bal],ROW()-ROW(tblContractForDeed[#Headers])-1)&lt;0,0,INDEX(tblContractForDeed[End Bal],ROW()-ROW(tblContractForDeed[#Headers])-1)))</f>
        <v>63713.36</v>
      </c>
      <c r="P72" s="445">
        <f>IF(tblContractForDeed[[#This Row],[Date]]="","",IF(tblContractForDeed[[#This Row],[Date]]&lt;cfdRateChangeDate,cfdRate1,cfdRate2))</f>
        <v>6.25E-2</v>
      </c>
      <c r="Q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2" s="275">
        <f>IF(tblContractForDeed[[#This Row],[Payment]]=0,0,MAX(0,MIN(tblContractForDeed[[#This Row],[Beg]],tblContractForDeed[[#This Row],[Payment]]-tblContractForDeed[[#This Row],[Int]])))</f>
        <v>313.44</v>
      </c>
      <c r="S72" s="275">
        <f>IF(OR(tblContractForDeed[[#This Row],[Date]]&lt;cfdContractDate,tblContractForDeed[[#This Row],[Date]]&gt;cfdEndDate),0,ROUND(tblContractForDeed[[#This Row],[Beg]]*(tblContractForDeed[[#This Row],[Int Rate]]/12),2))</f>
        <v>331.84</v>
      </c>
      <c r="T72" s="275">
        <f>IF(tblContractForDeed[[#This Row],[Payment]]=0,0,$W$2)</f>
        <v>134.16999999999999</v>
      </c>
      <c r="U72" s="275">
        <f>IF(tblContractForDeed[[#This Row],[Princ]]=0,0,$W$3)</f>
        <v>188.55</v>
      </c>
      <c r="V72" s="275">
        <f>SUM(tblContractForDeed[[#This Row],[Princ]],tblContractForDeed[[#This Row],[Int]],tblContractForDeed[[#This Row],[Ins]],tblContractForDeed[[#This Row],[Taxes]])</f>
        <v>968</v>
      </c>
      <c r="W72" s="275">
        <f>SUM(INDEX(tblContractForDeed[Princ],1):INDEX(tblContractForDeed[Princ],ROW()-ROW(tblContractForDeed[#Headers])))</f>
        <v>11858.08</v>
      </c>
      <c r="X72" s="275">
        <f>IF(tblContractForDeed[[#This Row],[Beg]]&lt;=0,0,tblContractForDeed[[#This Row],[Beg]]-tblContractForDeed[[#This Row],[Princ]])</f>
        <v>63399.92</v>
      </c>
      <c r="Y7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2" s="454">
        <f>IF(INDEX(tblContractForDeed[Payment],ROW()-ROW(tblBuyerOutputs[#Headers]))=0,0,INDEX(tblContractForDeed[Payment],ROW()-ROW(tblBuyerOutputs[#Headers]))-INDEX(tblSubjectToLoan[Payment],ROW()-ROW(tblBuyerOutputs[#Headers])))</f>
        <v>19.470000000000027</v>
      </c>
      <c r="AA72"/>
      <c r="AB72" s="14">
        <f>IF(INDEX(tblContractForDeed[Payment],ROW()-ROW(tblBuyerOutputs[#Headers]))=0,0,INDEX(tblContractForDeed[Payment],ROW()-ROW(tblBuyerOutputs[#Headers]))-INDEX(tblSubjectToLoan[Payment],ROW()-ROW(tblBuyerOutputs[#Headers])))-IFERROR(tblBuyerOutputs[[#This Row],[PMI]],0)</f>
        <v>19.470000000000027</v>
      </c>
      <c r="AC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337.1800000000012</v>
      </c>
      <c r="AD72" s="275">
        <f>IF(INDEX(tblContractForDeed[End Bal],ROW()-ROW(tblBuyerOutputs[#Headers]))&lt;=0,0,($O$6+IF(ROW()=ROW(tblBuyerOutputs[#Headers])+1,0,INDEX(tblBuyerOutputs[Cumul Appr],ROW()-ROW(tblBuyerOutputs[#Headers])-1)))*$O$2/12)</f>
        <v>389.26295559498914</v>
      </c>
      <c r="AE72" s="275">
        <f>IF(INDEX(tblContractForDeed[End Bal],ROW()-ROW(tblBuyerOutputs[#Headers]))&lt;=0,0,IF(ROW()=ROW(tblBuyerOutputs[#Headers])+1,0,INDEX(tblBuyerOutputs[Cumul Appr],ROW()-ROW(tblBuyerOutputs[#Headers])-1))+tblBuyerOutputs[[#This Row],[Monthly Appr]])</f>
        <v>18554.372298392387</v>
      </c>
      <c r="AF72" s="22"/>
      <c r="AG72" s="14"/>
      <c r="AL72"/>
      <c r="AM72" s="14"/>
      <c r="AO72" s="275"/>
      <c r="AQ72" s="14"/>
      <c r="AR72"/>
    </row>
    <row r="73" spans="1:44" x14ac:dyDescent="0.25">
      <c r="A73" s="590">
        <f t="shared" si="4"/>
        <v>47484</v>
      </c>
      <c r="B73" s="275">
        <f t="shared" si="5"/>
        <v>78700.34</v>
      </c>
      <c r="C73" s="14">
        <f t="shared" si="1"/>
        <v>625.80999999999995</v>
      </c>
      <c r="D73" s="14">
        <f t="shared" si="6"/>
        <v>379.86999999999995</v>
      </c>
      <c r="E73" s="14">
        <f t="shared" si="2"/>
        <v>245.94</v>
      </c>
      <c r="F73" s="14">
        <f t="shared" si="11"/>
        <v>134.16999999999999</v>
      </c>
      <c r="G73" s="14">
        <f t="shared" si="11"/>
        <v>188.55</v>
      </c>
      <c r="H73" s="14">
        <f t="shared" si="12"/>
        <v>948.53</v>
      </c>
      <c r="I73" s="275">
        <f t="shared" si="9"/>
        <v>19211.37</v>
      </c>
      <c r="J73" s="275">
        <f t="shared" si="10"/>
        <v>14886.209999999997</v>
      </c>
      <c r="K73" s="275">
        <f t="shared" si="7"/>
        <v>78320.47</v>
      </c>
      <c r="L73" s="386">
        <f t="shared" si="3"/>
        <v>4</v>
      </c>
      <c r="M73" s="386">
        <f t="shared" si="8"/>
        <v>53</v>
      </c>
      <c r="N73" s="590">
        <f>INDEX(tblSubjectToLoan[Date],ROW()-ROW(tblContractForDeed[#Headers]))</f>
        <v>47484</v>
      </c>
      <c r="O73" s="275">
        <f>IF(ROW()=ROW(tblContractForDeed[#Headers])+1,$O$6,IF(INDEX(tblContractForDeed[End Bal],ROW()-ROW(tblContractForDeed[#Headers])-1)&lt;0,0,INDEX(tblContractForDeed[End Bal],ROW()-ROW(tblContractForDeed[#Headers])-1)))</f>
        <v>63399.92</v>
      </c>
      <c r="P73" s="445">
        <f>IF(tblContractForDeed[[#This Row],[Date]]="","",IF(tblContractForDeed[[#This Row],[Date]]&lt;cfdRateChangeDate,cfdRate1,cfdRate2))</f>
        <v>6.25E-2</v>
      </c>
      <c r="Q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3" s="275">
        <f>IF(tblContractForDeed[[#This Row],[Payment]]=0,0,MAX(0,MIN(tblContractForDeed[[#This Row],[Beg]],tblContractForDeed[[#This Row],[Payment]]-tblContractForDeed[[#This Row],[Int]])))</f>
        <v>315.07</v>
      </c>
      <c r="S73" s="275">
        <f>IF(OR(tblContractForDeed[[#This Row],[Date]]&lt;cfdContractDate,tblContractForDeed[[#This Row],[Date]]&gt;cfdEndDate),0,ROUND(tblContractForDeed[[#This Row],[Beg]]*(tblContractForDeed[[#This Row],[Int Rate]]/12),2))</f>
        <v>330.21</v>
      </c>
      <c r="T73" s="275">
        <f>IF(tblContractForDeed[[#This Row],[Payment]]=0,0,$W$2)</f>
        <v>134.16999999999999</v>
      </c>
      <c r="U73" s="275">
        <f>IF(tblContractForDeed[[#This Row],[Princ]]=0,0,$W$3)</f>
        <v>188.55</v>
      </c>
      <c r="V73" s="275">
        <f>SUM(tblContractForDeed[[#This Row],[Princ]],tblContractForDeed[[#This Row],[Int]],tblContractForDeed[[#This Row],[Ins]],tblContractForDeed[[#This Row],[Taxes]])</f>
        <v>968</v>
      </c>
      <c r="W73" s="275">
        <f>SUM(INDEX(tblContractForDeed[Princ],1):INDEX(tblContractForDeed[Princ],ROW()-ROW(tblContractForDeed[#Headers])))</f>
        <v>12173.15</v>
      </c>
      <c r="X73" s="275">
        <f>IF(tblContractForDeed[[#This Row],[Beg]]&lt;=0,0,tblContractForDeed[[#This Row],[Beg]]-tblContractForDeed[[#This Row],[Princ]])</f>
        <v>63084.85</v>
      </c>
      <c r="Y7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3" s="454">
        <f>IF(INDEX(tblContractForDeed[Payment],ROW()-ROW(tblBuyerOutputs[#Headers]))=0,0,INDEX(tblContractForDeed[Payment],ROW()-ROW(tblBuyerOutputs[#Headers]))-INDEX(tblSubjectToLoan[Payment],ROW()-ROW(tblBuyerOutputs[#Headers])))</f>
        <v>19.470000000000027</v>
      </c>
      <c r="AA73"/>
      <c r="AB73" s="14">
        <f>IF(INDEX(tblContractForDeed[Payment],ROW()-ROW(tblBuyerOutputs[#Headers]))=0,0,INDEX(tblContractForDeed[Payment],ROW()-ROW(tblBuyerOutputs[#Headers]))-INDEX(tblSubjectToLoan[Payment],ROW()-ROW(tblBuyerOutputs[#Headers])))-IFERROR(tblBuyerOutputs[[#This Row],[PMI]],0)</f>
        <v>19.470000000000027</v>
      </c>
      <c r="AC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356.65000000000123</v>
      </c>
      <c r="AD73" s="275">
        <f>IF(INDEX(tblContractForDeed[End Bal],ROW()-ROW(tblBuyerOutputs[#Headers]))&lt;=0,0,($O$6+IF(ROW()=ROW(tblBuyerOutputs[#Headers])+1,0,INDEX(tblBuyerOutputs[Cumul Appr],ROW()-ROW(tblBuyerOutputs[#Headers])-1)))*$O$2/12)</f>
        <v>390.88488457663493</v>
      </c>
      <c r="AE73" s="275">
        <f>IF(INDEX(tblContractForDeed[End Bal],ROW()-ROW(tblBuyerOutputs[#Headers]))&lt;=0,0,IF(ROW()=ROW(tblBuyerOutputs[#Headers])+1,0,INDEX(tblBuyerOutputs[Cumul Appr],ROW()-ROW(tblBuyerOutputs[#Headers])-1))+tblBuyerOutputs[[#This Row],[Monthly Appr]])</f>
        <v>18945.257182969021</v>
      </c>
      <c r="AF73" s="22"/>
      <c r="AG73" s="14"/>
      <c r="AL73"/>
      <c r="AM73" s="14"/>
      <c r="AO73" s="275"/>
      <c r="AQ73" s="14"/>
      <c r="AR73"/>
    </row>
    <row r="74" spans="1:44" x14ac:dyDescent="0.25">
      <c r="A74" s="590">
        <f t="shared" si="4"/>
        <v>47515</v>
      </c>
      <c r="B74" s="275">
        <f t="shared" si="5"/>
        <v>78320.47</v>
      </c>
      <c r="C74" s="14">
        <f t="shared" si="1"/>
        <v>625.80999999999995</v>
      </c>
      <c r="D74" s="14">
        <f t="shared" si="6"/>
        <v>381.05999999999995</v>
      </c>
      <c r="E74" s="14">
        <f t="shared" si="2"/>
        <v>244.75</v>
      </c>
      <c r="F74" s="14">
        <f t="shared" si="11"/>
        <v>134.16999999999999</v>
      </c>
      <c r="G74" s="14">
        <f t="shared" si="11"/>
        <v>188.55</v>
      </c>
      <c r="H74" s="14">
        <f t="shared" si="12"/>
        <v>948.53</v>
      </c>
      <c r="I74" s="275">
        <f t="shared" si="9"/>
        <v>19592.43</v>
      </c>
      <c r="J74" s="275">
        <f t="shared" si="10"/>
        <v>15130.959999999997</v>
      </c>
      <c r="K74" s="275">
        <f t="shared" si="7"/>
        <v>77939.41</v>
      </c>
      <c r="L74" s="386">
        <f t="shared" si="3"/>
        <v>4</v>
      </c>
      <c r="M74" s="386">
        <f t="shared" si="8"/>
        <v>54</v>
      </c>
      <c r="N74" s="590">
        <f>INDEX(tblSubjectToLoan[Date],ROW()-ROW(tblContractForDeed[#Headers]))</f>
        <v>47515</v>
      </c>
      <c r="O74" s="275">
        <f>IF(ROW()=ROW(tblContractForDeed[#Headers])+1,$O$6,IF(INDEX(tblContractForDeed[End Bal],ROW()-ROW(tblContractForDeed[#Headers])-1)&lt;0,0,INDEX(tblContractForDeed[End Bal],ROW()-ROW(tblContractForDeed[#Headers])-1)))</f>
        <v>63084.85</v>
      </c>
      <c r="P74" s="445">
        <f>IF(tblContractForDeed[[#This Row],[Date]]="","",IF(tblContractForDeed[[#This Row],[Date]]&lt;cfdRateChangeDate,cfdRate1,cfdRate2))</f>
        <v>6.25E-2</v>
      </c>
      <c r="Q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4" s="275">
        <f>IF(tblContractForDeed[[#This Row],[Payment]]=0,0,MAX(0,MIN(tblContractForDeed[[#This Row],[Beg]],tblContractForDeed[[#This Row],[Payment]]-tblContractForDeed[[#This Row],[Int]])))</f>
        <v>316.70999999999998</v>
      </c>
      <c r="S74" s="275">
        <f>IF(OR(tblContractForDeed[[#This Row],[Date]]&lt;cfdContractDate,tblContractForDeed[[#This Row],[Date]]&gt;cfdEndDate),0,ROUND(tblContractForDeed[[#This Row],[Beg]]*(tblContractForDeed[[#This Row],[Int Rate]]/12),2))</f>
        <v>328.57</v>
      </c>
      <c r="T74" s="275">
        <f>IF(tblContractForDeed[[#This Row],[Payment]]=0,0,$W$2)</f>
        <v>134.16999999999999</v>
      </c>
      <c r="U74" s="275">
        <f>IF(tblContractForDeed[[#This Row],[Princ]]=0,0,$W$3)</f>
        <v>188.55</v>
      </c>
      <c r="V74" s="275">
        <f>SUM(tblContractForDeed[[#This Row],[Princ]],tblContractForDeed[[#This Row],[Int]],tblContractForDeed[[#This Row],[Ins]],tblContractForDeed[[#This Row],[Taxes]])</f>
        <v>968</v>
      </c>
      <c r="W74" s="275">
        <f>SUM(INDEX(tblContractForDeed[Princ],1):INDEX(tblContractForDeed[Princ],ROW()-ROW(tblContractForDeed[#Headers])))</f>
        <v>12489.859999999999</v>
      </c>
      <c r="X74" s="275">
        <f>IF(tblContractForDeed[[#This Row],[Beg]]&lt;=0,0,tblContractForDeed[[#This Row],[Beg]]-tblContractForDeed[[#This Row],[Princ]])</f>
        <v>62768.14</v>
      </c>
      <c r="Y7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4" s="454">
        <f>IF(INDEX(tblContractForDeed[Payment],ROW()-ROW(tblBuyerOutputs[#Headers]))=0,0,INDEX(tblContractForDeed[Payment],ROW()-ROW(tblBuyerOutputs[#Headers]))-INDEX(tblSubjectToLoan[Payment],ROW()-ROW(tblBuyerOutputs[#Headers])))</f>
        <v>19.470000000000027</v>
      </c>
      <c r="AA74"/>
      <c r="AB74" s="14">
        <f>IF(INDEX(tblContractForDeed[Payment],ROW()-ROW(tblBuyerOutputs[#Headers]))=0,0,INDEX(tblContractForDeed[Payment],ROW()-ROW(tblBuyerOutputs[#Headers]))-INDEX(tblSubjectToLoan[Payment],ROW()-ROW(tblBuyerOutputs[#Headers])))-IFERROR(tblBuyerOutputs[[#This Row],[PMI]],0)</f>
        <v>19.470000000000027</v>
      </c>
      <c r="AC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376.12000000000126</v>
      </c>
      <c r="AD74" s="275">
        <f>IF(INDEX(tblContractForDeed[End Bal],ROW()-ROW(tblBuyerOutputs[#Headers]))&lt;=0,0,($O$6+IF(ROW()=ROW(tblBuyerOutputs[#Headers])+1,0,INDEX(tblBuyerOutputs[Cumul Appr],ROW()-ROW(tblBuyerOutputs[#Headers])-1)))*$O$2/12)</f>
        <v>392.51357159570421</v>
      </c>
      <c r="AE74" s="275">
        <f>IF(INDEX(tblContractForDeed[End Bal],ROW()-ROW(tblBuyerOutputs[#Headers]))&lt;=0,0,IF(ROW()=ROW(tblBuyerOutputs[#Headers])+1,0,INDEX(tblBuyerOutputs[Cumul Appr],ROW()-ROW(tblBuyerOutputs[#Headers])-1))+tblBuyerOutputs[[#This Row],[Monthly Appr]])</f>
        <v>19337.770754564724</v>
      </c>
      <c r="AF74" s="22"/>
      <c r="AG74" s="14"/>
      <c r="AL74"/>
      <c r="AM74" s="14"/>
      <c r="AO74" s="275"/>
      <c r="AQ74" s="14"/>
      <c r="AR74"/>
    </row>
    <row r="75" spans="1:44" x14ac:dyDescent="0.25">
      <c r="A75" s="590">
        <f t="shared" si="4"/>
        <v>47543</v>
      </c>
      <c r="B75" s="275">
        <f t="shared" si="5"/>
        <v>77939.41</v>
      </c>
      <c r="C75" s="14">
        <f t="shared" si="1"/>
        <v>625.80999999999995</v>
      </c>
      <c r="D75" s="14">
        <f t="shared" si="6"/>
        <v>382.24999999999994</v>
      </c>
      <c r="E75" s="14">
        <f t="shared" si="2"/>
        <v>243.56</v>
      </c>
      <c r="F75" s="14">
        <f t="shared" si="11"/>
        <v>134.16999999999999</v>
      </c>
      <c r="G75" s="14">
        <f t="shared" si="11"/>
        <v>188.55</v>
      </c>
      <c r="H75" s="14">
        <f t="shared" si="12"/>
        <v>948.53</v>
      </c>
      <c r="I75" s="275">
        <f t="shared" si="9"/>
        <v>19974.68</v>
      </c>
      <c r="J75" s="275">
        <f t="shared" si="10"/>
        <v>15374.519999999997</v>
      </c>
      <c r="K75" s="275">
        <f t="shared" si="7"/>
        <v>77557.16</v>
      </c>
      <c r="L75" s="386">
        <f t="shared" si="3"/>
        <v>4</v>
      </c>
      <c r="M75" s="386">
        <f t="shared" si="8"/>
        <v>55</v>
      </c>
      <c r="N75" s="590">
        <f>INDEX(tblSubjectToLoan[Date],ROW()-ROW(tblContractForDeed[#Headers]))</f>
        <v>47543</v>
      </c>
      <c r="O75" s="275">
        <f>IF(ROW()=ROW(tblContractForDeed[#Headers])+1,$O$6,IF(INDEX(tblContractForDeed[End Bal],ROW()-ROW(tblContractForDeed[#Headers])-1)&lt;0,0,INDEX(tblContractForDeed[End Bal],ROW()-ROW(tblContractForDeed[#Headers])-1)))</f>
        <v>62768.14</v>
      </c>
      <c r="P75" s="445">
        <f>IF(tblContractForDeed[[#This Row],[Date]]="","",IF(tblContractForDeed[[#This Row],[Date]]&lt;cfdRateChangeDate,cfdRate1,cfdRate2))</f>
        <v>6.25E-2</v>
      </c>
      <c r="Q7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5" s="275">
        <f>IF(tblContractForDeed[[#This Row],[Payment]]=0,0,MAX(0,MIN(tblContractForDeed[[#This Row],[Beg]],tblContractForDeed[[#This Row],[Payment]]-tblContractForDeed[[#This Row],[Int]])))</f>
        <v>318.35999999999996</v>
      </c>
      <c r="S75" s="275">
        <f>IF(OR(tblContractForDeed[[#This Row],[Date]]&lt;cfdContractDate,tblContractForDeed[[#This Row],[Date]]&gt;cfdEndDate),0,ROUND(tblContractForDeed[[#This Row],[Beg]]*(tblContractForDeed[[#This Row],[Int Rate]]/12),2))</f>
        <v>326.92</v>
      </c>
      <c r="T75" s="275">
        <f>IF(tblContractForDeed[[#This Row],[Payment]]=0,0,$W$2)</f>
        <v>134.16999999999999</v>
      </c>
      <c r="U75" s="275">
        <f>IF(tblContractForDeed[[#This Row],[Princ]]=0,0,$W$3)</f>
        <v>188.55</v>
      </c>
      <c r="V75" s="275">
        <f>SUM(tblContractForDeed[[#This Row],[Princ]],tblContractForDeed[[#This Row],[Int]],tblContractForDeed[[#This Row],[Ins]],tblContractForDeed[[#This Row],[Taxes]])</f>
        <v>968</v>
      </c>
      <c r="W75" s="275">
        <f>SUM(INDEX(tblContractForDeed[Princ],1):INDEX(tblContractForDeed[Princ],ROW()-ROW(tblContractForDeed[#Headers])))</f>
        <v>12808.22</v>
      </c>
      <c r="X75" s="275">
        <f>IF(tblContractForDeed[[#This Row],[Beg]]&lt;=0,0,tblContractForDeed[[#This Row],[Beg]]-tblContractForDeed[[#This Row],[Princ]])</f>
        <v>62449.78</v>
      </c>
      <c r="Y7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5" s="454">
        <f>IF(INDEX(tblContractForDeed[Payment],ROW()-ROW(tblBuyerOutputs[#Headers]))=0,0,INDEX(tblContractForDeed[Payment],ROW()-ROW(tblBuyerOutputs[#Headers]))-INDEX(tblSubjectToLoan[Payment],ROW()-ROW(tblBuyerOutputs[#Headers])))</f>
        <v>19.470000000000027</v>
      </c>
      <c r="AA75"/>
      <c r="AB75" s="14">
        <f>IF(INDEX(tblContractForDeed[Payment],ROW()-ROW(tblBuyerOutputs[#Headers]))=0,0,INDEX(tblContractForDeed[Payment],ROW()-ROW(tblBuyerOutputs[#Headers]))-INDEX(tblSubjectToLoan[Payment],ROW()-ROW(tblBuyerOutputs[#Headers])))-IFERROR(tblBuyerOutputs[[#This Row],[PMI]],0)</f>
        <v>19.470000000000027</v>
      </c>
      <c r="AC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395.59000000000128</v>
      </c>
      <c r="AD75" s="275">
        <f>IF(INDEX(tblContractForDeed[End Bal],ROW()-ROW(tblBuyerOutputs[#Headers]))&lt;=0,0,($O$6+IF(ROW()=ROW(tblBuyerOutputs[#Headers])+1,0,INDEX(tblBuyerOutputs[Cumul Appr],ROW()-ROW(tblBuyerOutputs[#Headers])-1)))*$O$2/12)</f>
        <v>394.14904481068635</v>
      </c>
      <c r="AE75" s="275">
        <f>IF(INDEX(tblContractForDeed[End Bal],ROW()-ROW(tblBuyerOutputs[#Headers]))&lt;=0,0,IF(ROW()=ROW(tblBuyerOutputs[#Headers])+1,0,INDEX(tblBuyerOutputs[Cumul Appr],ROW()-ROW(tblBuyerOutputs[#Headers])-1))+tblBuyerOutputs[[#This Row],[Monthly Appr]])</f>
        <v>19731.91979937541</v>
      </c>
      <c r="AF75" s="22"/>
      <c r="AG75" s="14"/>
      <c r="AL75"/>
      <c r="AM75" s="14"/>
      <c r="AO75" s="275"/>
      <c r="AQ75" s="14"/>
      <c r="AR75"/>
    </row>
    <row r="76" spans="1:44" x14ac:dyDescent="0.25">
      <c r="A76" s="590">
        <f t="shared" si="4"/>
        <v>47574</v>
      </c>
      <c r="B76" s="275">
        <f t="shared" si="5"/>
        <v>77557.16</v>
      </c>
      <c r="C76" s="14">
        <f t="shared" si="1"/>
        <v>625.80999999999995</v>
      </c>
      <c r="D76" s="14">
        <f t="shared" si="6"/>
        <v>383.43999999999994</v>
      </c>
      <c r="E76" s="14">
        <f t="shared" si="2"/>
        <v>242.37</v>
      </c>
      <c r="F76" s="14">
        <f t="shared" si="11"/>
        <v>134.16999999999999</v>
      </c>
      <c r="G76" s="14">
        <f t="shared" si="11"/>
        <v>188.55</v>
      </c>
      <c r="H76" s="14">
        <f t="shared" si="12"/>
        <v>948.53</v>
      </c>
      <c r="I76" s="275">
        <f t="shared" si="9"/>
        <v>20358.12</v>
      </c>
      <c r="J76" s="275">
        <f t="shared" si="10"/>
        <v>15616.889999999998</v>
      </c>
      <c r="K76" s="275">
        <f t="shared" si="7"/>
        <v>77173.72</v>
      </c>
      <c r="L76" s="386">
        <f t="shared" si="3"/>
        <v>4</v>
      </c>
      <c r="M76" s="386">
        <f t="shared" si="8"/>
        <v>56</v>
      </c>
      <c r="N76" s="590">
        <f>INDEX(tblSubjectToLoan[Date],ROW()-ROW(tblContractForDeed[#Headers]))</f>
        <v>47574</v>
      </c>
      <c r="O76" s="275">
        <f>IF(ROW()=ROW(tblContractForDeed[#Headers])+1,$O$6,IF(INDEX(tblContractForDeed[End Bal],ROW()-ROW(tblContractForDeed[#Headers])-1)&lt;0,0,INDEX(tblContractForDeed[End Bal],ROW()-ROW(tblContractForDeed[#Headers])-1)))</f>
        <v>62449.78</v>
      </c>
      <c r="P76" s="445">
        <f>IF(tblContractForDeed[[#This Row],[Date]]="","",IF(tblContractForDeed[[#This Row],[Date]]&lt;cfdRateChangeDate,cfdRate1,cfdRate2))</f>
        <v>6.25E-2</v>
      </c>
      <c r="Q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6" s="275">
        <f>IF(tblContractForDeed[[#This Row],[Payment]]=0,0,MAX(0,MIN(tblContractForDeed[[#This Row],[Beg]],tblContractForDeed[[#This Row],[Payment]]-tblContractForDeed[[#This Row],[Int]])))</f>
        <v>320.02</v>
      </c>
      <c r="S76" s="275">
        <f>IF(OR(tblContractForDeed[[#This Row],[Date]]&lt;cfdContractDate,tblContractForDeed[[#This Row],[Date]]&gt;cfdEndDate),0,ROUND(tblContractForDeed[[#This Row],[Beg]]*(tblContractForDeed[[#This Row],[Int Rate]]/12),2))</f>
        <v>325.26</v>
      </c>
      <c r="T76" s="275">
        <f>IF(tblContractForDeed[[#This Row],[Payment]]=0,0,$W$2)</f>
        <v>134.16999999999999</v>
      </c>
      <c r="U76" s="275">
        <f>IF(tblContractForDeed[[#This Row],[Princ]]=0,0,$W$3)</f>
        <v>188.55</v>
      </c>
      <c r="V76" s="275">
        <f>SUM(tblContractForDeed[[#This Row],[Princ]],tblContractForDeed[[#This Row],[Int]],tblContractForDeed[[#This Row],[Ins]],tblContractForDeed[[#This Row],[Taxes]])</f>
        <v>968</v>
      </c>
      <c r="W76" s="275">
        <f>SUM(INDEX(tblContractForDeed[Princ],1):INDEX(tblContractForDeed[Princ],ROW()-ROW(tblContractForDeed[#Headers])))</f>
        <v>13128.24</v>
      </c>
      <c r="X76" s="275">
        <f>IF(tblContractForDeed[[#This Row],[Beg]]&lt;=0,0,tblContractForDeed[[#This Row],[Beg]]-tblContractForDeed[[#This Row],[Princ]])</f>
        <v>62129.760000000002</v>
      </c>
      <c r="Y7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6" s="454">
        <f>IF(INDEX(tblContractForDeed[Payment],ROW()-ROW(tblBuyerOutputs[#Headers]))=0,0,INDEX(tblContractForDeed[Payment],ROW()-ROW(tblBuyerOutputs[#Headers]))-INDEX(tblSubjectToLoan[Payment],ROW()-ROW(tblBuyerOutputs[#Headers])))</f>
        <v>19.470000000000027</v>
      </c>
      <c r="AA76"/>
      <c r="AB76" s="14">
        <f>IF(INDEX(tblContractForDeed[Payment],ROW()-ROW(tblBuyerOutputs[#Headers]))=0,0,INDEX(tblContractForDeed[Payment],ROW()-ROW(tblBuyerOutputs[#Headers]))-INDEX(tblSubjectToLoan[Payment],ROW()-ROW(tblBuyerOutputs[#Headers])))-IFERROR(tblBuyerOutputs[[#This Row],[PMI]],0)</f>
        <v>19.470000000000027</v>
      </c>
      <c r="AC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415.06000000000131</v>
      </c>
      <c r="AD76" s="275">
        <f>IF(INDEX(tblContractForDeed[End Bal],ROW()-ROW(tblBuyerOutputs[#Headers]))&lt;=0,0,($O$6+IF(ROW()=ROW(tblBuyerOutputs[#Headers])+1,0,INDEX(tblBuyerOutputs[Cumul Appr],ROW()-ROW(tblBuyerOutputs[#Headers])-1)))*$O$2/12)</f>
        <v>395.79133249739749</v>
      </c>
      <c r="AE76" s="275">
        <f>IF(INDEX(tblContractForDeed[End Bal],ROW()-ROW(tblBuyerOutputs[#Headers]))&lt;=0,0,IF(ROW()=ROW(tblBuyerOutputs[#Headers])+1,0,INDEX(tblBuyerOutputs[Cumul Appr],ROW()-ROW(tblBuyerOutputs[#Headers])-1))+tblBuyerOutputs[[#This Row],[Monthly Appr]])</f>
        <v>20127.711131872806</v>
      </c>
      <c r="AF76" s="22"/>
      <c r="AG76" s="14"/>
      <c r="AL76"/>
      <c r="AM76" s="14"/>
      <c r="AO76" s="275"/>
      <c r="AQ76" s="14"/>
      <c r="AR76"/>
    </row>
    <row r="77" spans="1:44" x14ac:dyDescent="0.25">
      <c r="A77" s="590">
        <f t="shared" si="4"/>
        <v>47604</v>
      </c>
      <c r="B77" s="275">
        <f t="shared" si="5"/>
        <v>77173.72</v>
      </c>
      <c r="C77" s="14">
        <f t="shared" si="1"/>
        <v>625.80999999999995</v>
      </c>
      <c r="D77" s="14">
        <f t="shared" si="6"/>
        <v>384.64</v>
      </c>
      <c r="E77" s="14">
        <f t="shared" si="2"/>
        <v>241.17</v>
      </c>
      <c r="F77" s="14">
        <f t="shared" si="11"/>
        <v>134.16999999999999</v>
      </c>
      <c r="G77" s="14">
        <f t="shared" si="11"/>
        <v>188.55</v>
      </c>
      <c r="H77" s="14">
        <f t="shared" si="12"/>
        <v>948.53</v>
      </c>
      <c r="I77" s="275">
        <f t="shared" si="9"/>
        <v>20742.759999999998</v>
      </c>
      <c r="J77" s="275">
        <f t="shared" si="10"/>
        <v>15858.059999999998</v>
      </c>
      <c r="K77" s="275">
        <f t="shared" si="7"/>
        <v>76789.08</v>
      </c>
      <c r="L77" s="386">
        <f t="shared" si="3"/>
        <v>4</v>
      </c>
      <c r="M77" s="386">
        <f t="shared" si="8"/>
        <v>57</v>
      </c>
      <c r="N77" s="590">
        <f>INDEX(tblSubjectToLoan[Date],ROW()-ROW(tblContractForDeed[#Headers]))</f>
        <v>47604</v>
      </c>
      <c r="O77" s="275">
        <f>IF(ROW()=ROW(tblContractForDeed[#Headers])+1,$O$6,IF(INDEX(tblContractForDeed[End Bal],ROW()-ROW(tblContractForDeed[#Headers])-1)&lt;0,0,INDEX(tblContractForDeed[End Bal],ROW()-ROW(tblContractForDeed[#Headers])-1)))</f>
        <v>62129.760000000002</v>
      </c>
      <c r="P77" s="445">
        <f>IF(tblContractForDeed[[#This Row],[Date]]="","",IF(tblContractForDeed[[#This Row],[Date]]&lt;cfdRateChangeDate,cfdRate1,cfdRate2))</f>
        <v>6.25E-2</v>
      </c>
      <c r="Q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7" s="275">
        <f>IF(tblContractForDeed[[#This Row],[Payment]]=0,0,MAX(0,MIN(tblContractForDeed[[#This Row],[Beg]],tblContractForDeed[[#This Row],[Payment]]-tblContractForDeed[[#This Row],[Int]])))</f>
        <v>321.69</v>
      </c>
      <c r="S77" s="275">
        <f>IF(OR(tblContractForDeed[[#This Row],[Date]]&lt;cfdContractDate,tblContractForDeed[[#This Row],[Date]]&gt;cfdEndDate),0,ROUND(tblContractForDeed[[#This Row],[Beg]]*(tblContractForDeed[[#This Row],[Int Rate]]/12),2))</f>
        <v>323.58999999999997</v>
      </c>
      <c r="T77" s="275">
        <f>IF(tblContractForDeed[[#This Row],[Payment]]=0,0,$W$2)</f>
        <v>134.16999999999999</v>
      </c>
      <c r="U77" s="275">
        <f>IF(tblContractForDeed[[#This Row],[Princ]]=0,0,$W$3)</f>
        <v>188.55</v>
      </c>
      <c r="V77" s="275">
        <f>SUM(tblContractForDeed[[#This Row],[Princ]],tblContractForDeed[[#This Row],[Int]],tblContractForDeed[[#This Row],[Ins]],tblContractForDeed[[#This Row],[Taxes]])</f>
        <v>968</v>
      </c>
      <c r="W77" s="275">
        <f>SUM(INDEX(tblContractForDeed[Princ],1):INDEX(tblContractForDeed[Princ],ROW()-ROW(tblContractForDeed[#Headers])))</f>
        <v>13449.93</v>
      </c>
      <c r="X77" s="275">
        <f>IF(tblContractForDeed[[#This Row],[Beg]]&lt;=0,0,tblContractForDeed[[#This Row],[Beg]]-tblContractForDeed[[#This Row],[Princ]])</f>
        <v>61808.07</v>
      </c>
      <c r="Y7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7" s="454">
        <f>IF(INDEX(tblContractForDeed[Payment],ROW()-ROW(tblBuyerOutputs[#Headers]))=0,0,INDEX(tblContractForDeed[Payment],ROW()-ROW(tblBuyerOutputs[#Headers]))-INDEX(tblSubjectToLoan[Payment],ROW()-ROW(tblBuyerOutputs[#Headers])))</f>
        <v>19.470000000000027</v>
      </c>
      <c r="AA77"/>
      <c r="AB77" s="14">
        <f>IF(INDEX(tblContractForDeed[Payment],ROW()-ROW(tblBuyerOutputs[#Headers]))=0,0,INDEX(tblContractForDeed[Payment],ROW()-ROW(tblBuyerOutputs[#Headers]))-INDEX(tblSubjectToLoan[Payment],ROW()-ROW(tblBuyerOutputs[#Headers])))-IFERROR(tblBuyerOutputs[[#This Row],[PMI]],0)</f>
        <v>19.470000000000027</v>
      </c>
      <c r="AC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434.53000000000134</v>
      </c>
      <c r="AD77" s="275">
        <f>IF(INDEX(tblContractForDeed[End Bal],ROW()-ROW(tblBuyerOutputs[#Headers]))&lt;=0,0,($O$6+IF(ROW()=ROW(tblBuyerOutputs[#Headers])+1,0,INDEX(tblBuyerOutputs[Cumul Appr],ROW()-ROW(tblBuyerOutputs[#Headers])-1)))*$O$2/12)</f>
        <v>397.44046304947005</v>
      </c>
      <c r="AE77" s="275">
        <f>IF(INDEX(tblContractForDeed[End Bal],ROW()-ROW(tblBuyerOutputs[#Headers]))&lt;=0,0,IF(ROW()=ROW(tblBuyerOutputs[#Headers])+1,0,INDEX(tblBuyerOutputs[Cumul Appr],ROW()-ROW(tblBuyerOutputs[#Headers])-1))+tblBuyerOutputs[[#This Row],[Monthly Appr]])</f>
        <v>20525.151594922274</v>
      </c>
      <c r="AF77" s="22"/>
      <c r="AG77" s="14"/>
      <c r="AL77"/>
      <c r="AM77" s="14"/>
      <c r="AO77" s="275"/>
      <c r="AQ77" s="14"/>
      <c r="AR77"/>
    </row>
    <row r="78" spans="1:44" x14ac:dyDescent="0.25">
      <c r="A78" s="590">
        <f t="shared" si="4"/>
        <v>47635</v>
      </c>
      <c r="B78" s="275">
        <f t="shared" si="5"/>
        <v>76789.08</v>
      </c>
      <c r="C78" s="14">
        <f t="shared" si="1"/>
        <v>625.80999999999995</v>
      </c>
      <c r="D78" s="14">
        <f t="shared" si="6"/>
        <v>385.83999999999992</v>
      </c>
      <c r="E78" s="14">
        <f t="shared" si="2"/>
        <v>239.97</v>
      </c>
      <c r="F78" s="14">
        <f t="shared" si="11"/>
        <v>134.16999999999999</v>
      </c>
      <c r="G78" s="14">
        <f t="shared" si="11"/>
        <v>188.55</v>
      </c>
      <c r="H78" s="14">
        <f t="shared" si="12"/>
        <v>948.53</v>
      </c>
      <c r="I78" s="275">
        <f t="shared" si="9"/>
        <v>21128.6</v>
      </c>
      <c r="J78" s="275">
        <f t="shared" si="10"/>
        <v>16098.029999999997</v>
      </c>
      <c r="K78" s="275">
        <f t="shared" si="7"/>
        <v>76403.240000000005</v>
      </c>
      <c r="L78" s="386">
        <f t="shared" si="3"/>
        <v>4</v>
      </c>
      <c r="M78" s="386">
        <f t="shared" si="8"/>
        <v>58</v>
      </c>
      <c r="N78" s="590">
        <f>INDEX(tblSubjectToLoan[Date],ROW()-ROW(tblContractForDeed[#Headers]))</f>
        <v>47635</v>
      </c>
      <c r="O78" s="275">
        <f>IF(ROW()=ROW(tblContractForDeed[#Headers])+1,$O$6,IF(INDEX(tblContractForDeed[End Bal],ROW()-ROW(tblContractForDeed[#Headers])-1)&lt;0,0,INDEX(tblContractForDeed[End Bal],ROW()-ROW(tblContractForDeed[#Headers])-1)))</f>
        <v>61808.07</v>
      </c>
      <c r="P78" s="445">
        <f>IF(tblContractForDeed[[#This Row],[Date]]="","",IF(tblContractForDeed[[#This Row],[Date]]&lt;cfdRateChangeDate,cfdRate1,cfdRate2))</f>
        <v>6.25E-2</v>
      </c>
      <c r="Q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8" s="275">
        <f>IF(tblContractForDeed[[#This Row],[Payment]]=0,0,MAX(0,MIN(tblContractForDeed[[#This Row],[Beg]],tblContractForDeed[[#This Row],[Payment]]-tblContractForDeed[[#This Row],[Int]])))</f>
        <v>323.35999999999996</v>
      </c>
      <c r="S78" s="275">
        <f>IF(OR(tblContractForDeed[[#This Row],[Date]]&lt;cfdContractDate,tblContractForDeed[[#This Row],[Date]]&gt;cfdEndDate),0,ROUND(tblContractForDeed[[#This Row],[Beg]]*(tblContractForDeed[[#This Row],[Int Rate]]/12),2))</f>
        <v>321.92</v>
      </c>
      <c r="T78" s="275">
        <f>IF(tblContractForDeed[[#This Row],[Payment]]=0,0,$W$2)</f>
        <v>134.16999999999999</v>
      </c>
      <c r="U78" s="275">
        <f>IF(tblContractForDeed[[#This Row],[Princ]]=0,0,$W$3)</f>
        <v>188.55</v>
      </c>
      <c r="V78" s="275">
        <f>SUM(tblContractForDeed[[#This Row],[Princ]],tblContractForDeed[[#This Row],[Int]],tblContractForDeed[[#This Row],[Ins]],tblContractForDeed[[#This Row],[Taxes]])</f>
        <v>968</v>
      </c>
      <c r="W78" s="275">
        <f>SUM(INDEX(tblContractForDeed[Princ],1):INDEX(tblContractForDeed[Princ],ROW()-ROW(tblContractForDeed[#Headers])))</f>
        <v>13773.29</v>
      </c>
      <c r="X78" s="275">
        <f>IF(tblContractForDeed[[#This Row],[Beg]]&lt;=0,0,tblContractForDeed[[#This Row],[Beg]]-tblContractForDeed[[#This Row],[Princ]])</f>
        <v>61484.71</v>
      </c>
      <c r="Y7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8" s="454">
        <f>IF(INDEX(tblContractForDeed[Payment],ROW()-ROW(tblBuyerOutputs[#Headers]))=0,0,INDEX(tblContractForDeed[Payment],ROW()-ROW(tblBuyerOutputs[#Headers]))-INDEX(tblSubjectToLoan[Payment],ROW()-ROW(tblBuyerOutputs[#Headers])))</f>
        <v>19.470000000000027</v>
      </c>
      <c r="AA78"/>
      <c r="AB78" s="14">
        <f>IF(INDEX(tblContractForDeed[Payment],ROW()-ROW(tblBuyerOutputs[#Headers]))=0,0,INDEX(tblContractForDeed[Payment],ROW()-ROW(tblBuyerOutputs[#Headers]))-INDEX(tblSubjectToLoan[Payment],ROW()-ROW(tblBuyerOutputs[#Headers])))-IFERROR(tblBuyerOutputs[[#This Row],[PMI]],0)</f>
        <v>19.470000000000027</v>
      </c>
      <c r="AC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454.00000000000136</v>
      </c>
      <c r="AD78" s="275">
        <f>IF(INDEX(tblContractForDeed[End Bal],ROW()-ROW(tblBuyerOutputs[#Headers]))&lt;=0,0,($O$6+IF(ROW()=ROW(tblBuyerOutputs[#Headers])+1,0,INDEX(tblBuyerOutputs[Cumul Appr],ROW()-ROW(tblBuyerOutputs[#Headers])-1)))*$O$2/12)</f>
        <v>399.09646497884279</v>
      </c>
      <c r="AE78" s="275">
        <f>IF(INDEX(tblContractForDeed[End Bal],ROW()-ROW(tblBuyerOutputs[#Headers]))&lt;=0,0,IF(ROW()=ROW(tblBuyerOutputs[#Headers])+1,0,INDEX(tblBuyerOutputs[Cumul Appr],ROW()-ROW(tblBuyerOutputs[#Headers])-1))+tblBuyerOutputs[[#This Row],[Monthly Appr]])</f>
        <v>20924.248059901118</v>
      </c>
      <c r="AF78" s="22"/>
      <c r="AG78" s="14"/>
      <c r="AL78"/>
      <c r="AM78" s="14"/>
      <c r="AO78" s="275"/>
      <c r="AQ78" s="14"/>
      <c r="AR78"/>
    </row>
    <row r="79" spans="1:44" ht="15.75" thickBot="1" x14ac:dyDescent="0.3">
      <c r="A79" s="591">
        <f t="shared" si="4"/>
        <v>47665</v>
      </c>
      <c r="B79" s="326">
        <f t="shared" si="5"/>
        <v>76403.240000000005</v>
      </c>
      <c r="C79" s="21">
        <f t="shared" si="1"/>
        <v>625.80999999999995</v>
      </c>
      <c r="D79" s="21">
        <f t="shared" si="6"/>
        <v>387.04999999999995</v>
      </c>
      <c r="E79" s="21">
        <f t="shared" si="2"/>
        <v>238.76</v>
      </c>
      <c r="F79" s="21">
        <f t="shared" ref="F79:G94" si="13">+F78</f>
        <v>134.16999999999999</v>
      </c>
      <c r="G79" s="21">
        <f t="shared" si="13"/>
        <v>188.55</v>
      </c>
      <c r="H79" s="21">
        <f t="shared" si="12"/>
        <v>948.53</v>
      </c>
      <c r="I79" s="326">
        <f t="shared" si="9"/>
        <v>21515.649999999998</v>
      </c>
      <c r="J79" s="326">
        <f t="shared" si="10"/>
        <v>16336.789999999997</v>
      </c>
      <c r="K79" s="326">
        <f t="shared" si="7"/>
        <v>76016.19</v>
      </c>
      <c r="L79" s="387">
        <f t="shared" si="3"/>
        <v>4</v>
      </c>
      <c r="M79" s="387">
        <f t="shared" si="8"/>
        <v>59</v>
      </c>
      <c r="N79" s="591">
        <f>INDEX(tblSubjectToLoan[Date],ROW()-ROW(tblContractForDeed[#Headers]))</f>
        <v>47665</v>
      </c>
      <c r="O79" s="326">
        <f>IF(ROW()=ROW(tblContractForDeed[#Headers])+1,$O$6,IF(INDEX(tblContractForDeed[End Bal],ROW()-ROW(tblContractForDeed[#Headers])-1)&lt;0,0,INDEX(tblContractForDeed[End Bal],ROW()-ROW(tblContractForDeed[#Headers])-1)))</f>
        <v>61484.71</v>
      </c>
      <c r="P79" s="445">
        <f>IF(tblContractForDeed[[#This Row],[Date]]="","",IF(tblContractForDeed[[#This Row],[Date]]&lt;cfdRateChangeDate,cfdRate1,cfdRate2))</f>
        <v>6.25E-2</v>
      </c>
      <c r="Q7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9" s="326">
        <f>IF(tblContractForDeed[[#This Row],[Payment]]=0,0,MAX(0,MIN(tblContractForDeed[[#This Row],[Beg]],tblContractForDeed[[#This Row],[Payment]]-tblContractForDeed[[#This Row],[Int]])))</f>
        <v>325.04999999999995</v>
      </c>
      <c r="S79" s="326">
        <f>IF(OR(tblContractForDeed[[#This Row],[Date]]&lt;cfdContractDate,tblContractForDeed[[#This Row],[Date]]&gt;cfdEndDate),0,ROUND(tblContractForDeed[[#This Row],[Beg]]*(tblContractForDeed[[#This Row],[Int Rate]]/12),2))</f>
        <v>320.23</v>
      </c>
      <c r="T79" s="326">
        <f>IF(tblContractForDeed[[#This Row],[Payment]]=0,0,$W$2)</f>
        <v>134.16999999999999</v>
      </c>
      <c r="U79" s="326">
        <f>IF(tblContractForDeed[[#This Row],[Princ]]=0,0,$W$3)</f>
        <v>188.55</v>
      </c>
      <c r="V79" s="326">
        <f>SUM(tblContractForDeed[[#This Row],[Princ]],tblContractForDeed[[#This Row],[Int]],tblContractForDeed[[#This Row],[Ins]],tblContractForDeed[[#This Row],[Taxes]])</f>
        <v>968</v>
      </c>
      <c r="W79" s="326">
        <f>SUM(INDEX(tblContractForDeed[Princ],1):INDEX(tblContractForDeed[Princ],ROW()-ROW(tblContractForDeed[#Headers])))</f>
        <v>14098.34</v>
      </c>
      <c r="X79" s="326">
        <f>IF(tblContractForDeed[[#This Row],[Beg]]&lt;=0,0,tblContractForDeed[[#This Row],[Beg]]-tblContractForDeed[[#This Row],[Princ]])</f>
        <v>61159.659999999996</v>
      </c>
      <c r="Y79"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79" s="455">
        <f>IF(INDEX(tblContractForDeed[Payment],ROW()-ROW(tblBuyerOutputs[#Headers]))=0,0,INDEX(tblContractForDeed[Payment],ROW()-ROW(tblBuyerOutputs[#Headers]))-INDEX(tblSubjectToLoan[Payment],ROW()-ROW(tblBuyerOutputs[#Headers])))</f>
        <v>19.470000000000027</v>
      </c>
      <c r="AA79" s="23"/>
      <c r="AB79" s="21">
        <f>IF(INDEX(tblContractForDeed[Payment],ROW()-ROW(tblBuyerOutputs[#Headers]))=0,0,INDEX(tblContractForDeed[Payment],ROW()-ROW(tblBuyerOutputs[#Headers]))-INDEX(tblSubjectToLoan[Payment],ROW()-ROW(tblBuyerOutputs[#Headers])))-IFERROR(tblBuyerOutputs[[#This Row],[PMI]],0)</f>
        <v>19.470000000000027</v>
      </c>
      <c r="AC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473.47000000000139</v>
      </c>
      <c r="AD79" s="326">
        <f>IF(INDEX(tblContractForDeed[End Bal],ROW()-ROW(tblBuyerOutputs[#Headers]))&lt;=0,0,($O$6+IF(ROW()=ROW(tblBuyerOutputs[#Headers])+1,0,INDEX(tblBuyerOutputs[Cumul Appr],ROW()-ROW(tblBuyerOutputs[#Headers])-1)))*$O$2/12)</f>
        <v>400.75936691625469</v>
      </c>
      <c r="AE79" s="326">
        <f>IF(INDEX(tblContractForDeed[End Bal],ROW()-ROW(tblBuyerOutputs[#Headers]))&lt;=0,0,IF(ROW()=ROW(tblBuyerOutputs[#Headers])+1,0,INDEX(tblBuyerOutputs[Cumul Appr],ROW()-ROW(tblBuyerOutputs[#Headers])-1))+tblBuyerOutputs[[#This Row],[Monthly Appr]])</f>
        <v>21325.007426817374</v>
      </c>
      <c r="AF79" s="22"/>
      <c r="AG79" s="14"/>
      <c r="AL79"/>
      <c r="AM79" s="14"/>
      <c r="AO79" s="275"/>
      <c r="AQ79" s="14"/>
      <c r="AR79"/>
    </row>
    <row r="80" spans="1:44" x14ac:dyDescent="0.25">
      <c r="A80" s="590">
        <f t="shared" si="4"/>
        <v>47696</v>
      </c>
      <c r="B80" s="275">
        <f t="shared" si="5"/>
        <v>76016.19</v>
      </c>
      <c r="C80" s="14">
        <f t="shared" si="1"/>
        <v>625.80999999999995</v>
      </c>
      <c r="D80" s="14">
        <f t="shared" si="6"/>
        <v>388.25999999999993</v>
      </c>
      <c r="E80" s="14">
        <f t="shared" si="2"/>
        <v>237.55</v>
      </c>
      <c r="F80" s="14">
        <f t="shared" si="13"/>
        <v>134.16999999999999</v>
      </c>
      <c r="G80" s="14">
        <f t="shared" si="13"/>
        <v>188.55</v>
      </c>
      <c r="H80" s="14">
        <f t="shared" si="12"/>
        <v>948.53</v>
      </c>
      <c r="I80" s="275">
        <f t="shared" si="9"/>
        <v>21903.909999999996</v>
      </c>
      <c r="J80" s="275">
        <f t="shared" si="10"/>
        <v>16574.339999999997</v>
      </c>
      <c r="K80" s="275">
        <f t="shared" si="7"/>
        <v>75627.930000000008</v>
      </c>
      <c r="L80" s="386">
        <f t="shared" si="3"/>
        <v>5</v>
      </c>
      <c r="M80" s="386">
        <f t="shared" si="8"/>
        <v>60</v>
      </c>
      <c r="N80" s="590">
        <f>INDEX(tblSubjectToLoan[Date],ROW()-ROW(tblContractForDeed[#Headers]))</f>
        <v>47696</v>
      </c>
      <c r="O80" s="275">
        <f>IF(ROW()=ROW(tblContractForDeed[#Headers])+1,$O$6,IF(INDEX(tblContractForDeed[End Bal],ROW()-ROW(tblContractForDeed[#Headers])-1)&lt;0,0,INDEX(tblContractForDeed[End Bal],ROW()-ROW(tblContractForDeed[#Headers])-1)))</f>
        <v>61159.659999999996</v>
      </c>
      <c r="P80" s="445">
        <f>IF(tblContractForDeed[[#This Row],[Date]]="","",IF(tblContractForDeed[[#This Row],[Date]]&lt;cfdRateChangeDate,cfdRate1,cfdRate2))</f>
        <v>6.25E-2</v>
      </c>
      <c r="Q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0" s="275">
        <f>IF(tblContractForDeed[[#This Row],[Payment]]=0,0,MAX(0,MIN(tblContractForDeed[[#This Row],[Beg]],tblContractForDeed[[#This Row],[Payment]]-tblContractForDeed[[#This Row],[Int]])))</f>
        <v>326.73999999999995</v>
      </c>
      <c r="S80" s="275">
        <f>IF(OR(tblContractForDeed[[#This Row],[Date]]&lt;cfdContractDate,tblContractForDeed[[#This Row],[Date]]&gt;cfdEndDate),0,ROUND(tblContractForDeed[[#This Row],[Beg]]*(tblContractForDeed[[#This Row],[Int Rate]]/12),2))</f>
        <v>318.54000000000002</v>
      </c>
      <c r="T80" s="275">
        <f>IF(tblContractForDeed[[#This Row],[Payment]]=0,0,$W$2)</f>
        <v>134.16999999999999</v>
      </c>
      <c r="U80" s="275">
        <f>IF(tblContractForDeed[[#This Row],[Princ]]=0,0,$W$3)</f>
        <v>188.55</v>
      </c>
      <c r="V80" s="275">
        <f>SUM(tblContractForDeed[[#This Row],[Princ]],tblContractForDeed[[#This Row],[Int]],tblContractForDeed[[#This Row],[Ins]],tblContractForDeed[[#This Row],[Taxes]])</f>
        <v>968</v>
      </c>
      <c r="W80" s="275">
        <f>SUM(INDEX(tblContractForDeed[Princ],1):INDEX(tblContractForDeed[Princ],ROW()-ROW(tblContractForDeed[#Headers])))</f>
        <v>14425.08</v>
      </c>
      <c r="X80" s="275">
        <f>IF(tblContractForDeed[[#This Row],[Beg]]&lt;=0,0,tblContractForDeed[[#This Row],[Beg]]-tblContractForDeed[[#This Row],[Princ]])</f>
        <v>60832.92</v>
      </c>
      <c r="Y8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0" s="454">
        <f>IF(INDEX(tblContractForDeed[Payment],ROW()-ROW(tblBuyerOutputs[#Headers]))=0,0,INDEX(tblContractForDeed[Payment],ROW()-ROW(tblBuyerOutputs[#Headers]))-INDEX(tblSubjectToLoan[Payment],ROW()-ROW(tblBuyerOutputs[#Headers])))</f>
        <v>19.470000000000027</v>
      </c>
      <c r="AA80"/>
      <c r="AB80" s="14">
        <f>IF(INDEX(tblContractForDeed[Payment],ROW()-ROW(tblBuyerOutputs[#Headers]))=0,0,INDEX(tblContractForDeed[Payment],ROW()-ROW(tblBuyerOutputs[#Headers]))-INDEX(tblSubjectToLoan[Payment],ROW()-ROW(tblBuyerOutputs[#Headers])))-IFERROR(tblBuyerOutputs[[#This Row],[PMI]],0)</f>
        <v>19.470000000000027</v>
      </c>
      <c r="AC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492.94000000000142</v>
      </c>
      <c r="AD80" s="275">
        <f>IF(INDEX(tblContractForDeed[End Bal],ROW()-ROW(tblBuyerOutputs[#Headers]))&lt;=0,0,($O$6+IF(ROW()=ROW(tblBuyerOutputs[#Headers])+1,0,INDEX(tblBuyerOutputs[Cumul Appr],ROW()-ROW(tblBuyerOutputs[#Headers])-1)))*$O$2/12)</f>
        <v>402.42919761173908</v>
      </c>
      <c r="AE80" s="275">
        <f>IF(INDEX(tblContractForDeed[End Bal],ROW()-ROW(tblBuyerOutputs[#Headers]))&lt;=0,0,IF(ROW()=ROW(tblBuyerOutputs[#Headers])+1,0,INDEX(tblBuyerOutputs[Cumul Appr],ROW()-ROW(tblBuyerOutputs[#Headers])-1))+tblBuyerOutputs[[#This Row],[Monthly Appr]])</f>
        <v>21727.436624429112</v>
      </c>
      <c r="AF80" s="22"/>
      <c r="AG80" s="14"/>
      <c r="AL80"/>
      <c r="AM80" s="14"/>
      <c r="AO80" s="275"/>
      <c r="AQ80" s="14"/>
      <c r="AR80"/>
    </row>
    <row r="81" spans="1:44" x14ac:dyDescent="0.25">
      <c r="A81" s="590">
        <f t="shared" si="4"/>
        <v>47727</v>
      </c>
      <c r="B81" s="275">
        <f t="shared" si="5"/>
        <v>75627.930000000008</v>
      </c>
      <c r="C81" s="14">
        <f t="shared" si="1"/>
        <v>625.80999999999995</v>
      </c>
      <c r="D81" s="14">
        <f t="shared" si="6"/>
        <v>389.46999999999991</v>
      </c>
      <c r="E81" s="14">
        <f t="shared" si="2"/>
        <v>236.34</v>
      </c>
      <c r="F81" s="14">
        <f t="shared" si="13"/>
        <v>134.16999999999999</v>
      </c>
      <c r="G81" s="14">
        <f t="shared" si="13"/>
        <v>188.55</v>
      </c>
      <c r="H81" s="14">
        <f t="shared" si="12"/>
        <v>948.53</v>
      </c>
      <c r="I81" s="275">
        <f t="shared" si="9"/>
        <v>22293.379999999997</v>
      </c>
      <c r="J81" s="275">
        <f t="shared" si="10"/>
        <v>16810.679999999997</v>
      </c>
      <c r="K81" s="275">
        <f t="shared" si="7"/>
        <v>75238.460000000006</v>
      </c>
      <c r="L81" s="386">
        <f t="shared" si="3"/>
        <v>5</v>
      </c>
      <c r="M81" s="386">
        <f t="shared" si="8"/>
        <v>61</v>
      </c>
      <c r="N81" s="590">
        <f>INDEX(tblSubjectToLoan[Date],ROW()-ROW(tblContractForDeed[#Headers]))</f>
        <v>47727</v>
      </c>
      <c r="O81" s="275">
        <f>IF(ROW()=ROW(tblContractForDeed[#Headers])+1,$O$6,IF(INDEX(tblContractForDeed[End Bal],ROW()-ROW(tblContractForDeed[#Headers])-1)&lt;0,0,INDEX(tblContractForDeed[End Bal],ROW()-ROW(tblContractForDeed[#Headers])-1)))</f>
        <v>60832.92</v>
      </c>
      <c r="P81" s="445">
        <f>IF(tblContractForDeed[[#This Row],[Date]]="","",IF(tblContractForDeed[[#This Row],[Date]]&lt;cfdRateChangeDate,cfdRate1,cfdRate2))</f>
        <v>6.25E-2</v>
      </c>
      <c r="Q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1" s="275">
        <f>IF(tblContractForDeed[[#This Row],[Payment]]=0,0,MAX(0,MIN(tblContractForDeed[[#This Row],[Beg]],tblContractForDeed[[#This Row],[Payment]]-tblContractForDeed[[#This Row],[Int]])))</f>
        <v>328.44</v>
      </c>
      <c r="S81" s="275">
        <f>IF(OR(tblContractForDeed[[#This Row],[Date]]&lt;cfdContractDate,tblContractForDeed[[#This Row],[Date]]&gt;cfdEndDate),0,ROUND(tblContractForDeed[[#This Row],[Beg]]*(tblContractForDeed[[#This Row],[Int Rate]]/12),2))</f>
        <v>316.83999999999997</v>
      </c>
      <c r="T81" s="275">
        <f>IF(tblContractForDeed[[#This Row],[Payment]]=0,0,$W$2)</f>
        <v>134.16999999999999</v>
      </c>
      <c r="U81" s="275">
        <f>IF(tblContractForDeed[[#This Row],[Princ]]=0,0,$W$3)</f>
        <v>188.55</v>
      </c>
      <c r="V81" s="275">
        <f>SUM(tblContractForDeed[[#This Row],[Princ]],tblContractForDeed[[#This Row],[Int]],tblContractForDeed[[#This Row],[Ins]],tblContractForDeed[[#This Row],[Taxes]])</f>
        <v>968</v>
      </c>
      <c r="W81" s="275">
        <f>SUM(INDEX(tblContractForDeed[Princ],1):INDEX(tblContractForDeed[Princ],ROW()-ROW(tblContractForDeed[#Headers])))</f>
        <v>14753.52</v>
      </c>
      <c r="X81" s="275">
        <f>IF(tblContractForDeed[[#This Row],[Beg]]&lt;=0,0,tblContractForDeed[[#This Row],[Beg]]-tblContractForDeed[[#This Row],[Princ]])</f>
        <v>60504.479999999996</v>
      </c>
      <c r="Y8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1" s="454">
        <f>IF(INDEX(tblContractForDeed[Payment],ROW()-ROW(tblBuyerOutputs[#Headers]))=0,0,INDEX(tblContractForDeed[Payment],ROW()-ROW(tblBuyerOutputs[#Headers]))-INDEX(tblSubjectToLoan[Payment],ROW()-ROW(tblBuyerOutputs[#Headers])))</f>
        <v>19.470000000000027</v>
      </c>
      <c r="AA81"/>
      <c r="AB81" s="14">
        <f>IF(INDEX(tblContractForDeed[Payment],ROW()-ROW(tblBuyerOutputs[#Headers]))=0,0,INDEX(tblContractForDeed[Payment],ROW()-ROW(tblBuyerOutputs[#Headers]))-INDEX(tblSubjectToLoan[Payment],ROW()-ROW(tblBuyerOutputs[#Headers])))-IFERROR(tblBuyerOutputs[[#This Row],[PMI]],0)</f>
        <v>19.470000000000027</v>
      </c>
      <c r="AC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512.41000000000145</v>
      </c>
      <c r="AD81" s="275">
        <f>IF(INDEX(tblContractForDeed[End Bal],ROW()-ROW(tblBuyerOutputs[#Headers]))&lt;=0,0,($O$6+IF(ROW()=ROW(tblBuyerOutputs[#Headers])+1,0,INDEX(tblBuyerOutputs[Cumul Appr],ROW()-ROW(tblBuyerOutputs[#Headers])-1)))*$O$2/12)</f>
        <v>404.10598593512128</v>
      </c>
      <c r="AE81" s="275">
        <f>IF(INDEX(tblContractForDeed[End Bal],ROW()-ROW(tblBuyerOutputs[#Headers]))&lt;=0,0,IF(ROW()=ROW(tblBuyerOutputs[#Headers])+1,0,INDEX(tblBuyerOutputs[Cumul Appr],ROW()-ROW(tblBuyerOutputs[#Headers])-1))+tblBuyerOutputs[[#This Row],[Monthly Appr]])</f>
        <v>22131.542610364235</v>
      </c>
      <c r="AF81" s="22"/>
      <c r="AG81" s="14"/>
      <c r="AL81"/>
      <c r="AM81" s="14"/>
      <c r="AO81" s="275"/>
      <c r="AQ81" s="14"/>
      <c r="AR81"/>
    </row>
    <row r="82" spans="1:44" x14ac:dyDescent="0.25">
      <c r="A82" s="590">
        <f t="shared" si="4"/>
        <v>47757</v>
      </c>
      <c r="B82" s="275">
        <f t="shared" si="5"/>
        <v>75238.460000000006</v>
      </c>
      <c r="C82" s="14">
        <f t="shared" si="1"/>
        <v>625.80999999999995</v>
      </c>
      <c r="D82" s="14">
        <f t="shared" si="6"/>
        <v>390.68999999999994</v>
      </c>
      <c r="E82" s="14">
        <f t="shared" si="2"/>
        <v>235.12</v>
      </c>
      <c r="F82" s="14">
        <f t="shared" si="13"/>
        <v>134.16999999999999</v>
      </c>
      <c r="G82" s="14">
        <f t="shared" si="13"/>
        <v>188.55</v>
      </c>
      <c r="H82" s="14">
        <f t="shared" si="12"/>
        <v>948.53</v>
      </c>
      <c r="I82" s="275">
        <f t="shared" si="9"/>
        <v>22684.069999999996</v>
      </c>
      <c r="J82" s="275">
        <f t="shared" si="10"/>
        <v>17045.799999999996</v>
      </c>
      <c r="K82" s="275">
        <f t="shared" si="7"/>
        <v>74847.77</v>
      </c>
      <c r="L82" s="386">
        <f t="shared" si="3"/>
        <v>5</v>
      </c>
      <c r="M82" s="386">
        <f t="shared" si="8"/>
        <v>62</v>
      </c>
      <c r="N82" s="590">
        <f>INDEX(tblSubjectToLoan[Date],ROW()-ROW(tblContractForDeed[#Headers]))</f>
        <v>47757</v>
      </c>
      <c r="O82" s="275">
        <f>IF(ROW()=ROW(tblContractForDeed[#Headers])+1,$O$6,IF(INDEX(tblContractForDeed[End Bal],ROW()-ROW(tblContractForDeed[#Headers])-1)&lt;0,0,INDEX(tblContractForDeed[End Bal],ROW()-ROW(tblContractForDeed[#Headers])-1)))</f>
        <v>60504.479999999996</v>
      </c>
      <c r="P82" s="445">
        <f>IF(tblContractForDeed[[#This Row],[Date]]="","",IF(tblContractForDeed[[#This Row],[Date]]&lt;cfdRateChangeDate,cfdRate1,cfdRate2))</f>
        <v>6.25E-2</v>
      </c>
      <c r="Q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2" s="275">
        <f>IF(tblContractForDeed[[#This Row],[Payment]]=0,0,MAX(0,MIN(tblContractForDeed[[#This Row],[Beg]],tblContractForDeed[[#This Row],[Payment]]-tblContractForDeed[[#This Row],[Int]])))</f>
        <v>330.15</v>
      </c>
      <c r="S82" s="275">
        <f>IF(OR(tblContractForDeed[[#This Row],[Date]]&lt;cfdContractDate,tblContractForDeed[[#This Row],[Date]]&gt;cfdEndDate),0,ROUND(tblContractForDeed[[#This Row],[Beg]]*(tblContractForDeed[[#This Row],[Int Rate]]/12),2))</f>
        <v>315.13</v>
      </c>
      <c r="T82" s="275">
        <f>IF(tblContractForDeed[[#This Row],[Payment]]=0,0,$W$2)</f>
        <v>134.16999999999999</v>
      </c>
      <c r="U82" s="275">
        <f>IF(tblContractForDeed[[#This Row],[Princ]]=0,0,$W$3)</f>
        <v>188.55</v>
      </c>
      <c r="V82" s="275">
        <f>SUM(tblContractForDeed[[#This Row],[Princ]],tblContractForDeed[[#This Row],[Int]],tblContractForDeed[[#This Row],[Ins]],tblContractForDeed[[#This Row],[Taxes]])</f>
        <v>968</v>
      </c>
      <c r="W82" s="275">
        <f>SUM(INDEX(tblContractForDeed[Princ],1):INDEX(tblContractForDeed[Princ],ROW()-ROW(tblContractForDeed[#Headers])))</f>
        <v>15083.67</v>
      </c>
      <c r="X82" s="275">
        <f>IF(tblContractForDeed[[#This Row],[Beg]]&lt;=0,0,tblContractForDeed[[#This Row],[Beg]]-tblContractForDeed[[#This Row],[Princ]])</f>
        <v>60174.329999999994</v>
      </c>
      <c r="Y8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2" s="454">
        <f>IF(INDEX(tblContractForDeed[Payment],ROW()-ROW(tblBuyerOutputs[#Headers]))=0,0,INDEX(tblContractForDeed[Payment],ROW()-ROW(tblBuyerOutputs[#Headers]))-INDEX(tblSubjectToLoan[Payment],ROW()-ROW(tblBuyerOutputs[#Headers])))</f>
        <v>19.470000000000027</v>
      </c>
      <c r="AA82"/>
      <c r="AB82" s="14">
        <f>IF(INDEX(tblContractForDeed[Payment],ROW()-ROW(tblBuyerOutputs[#Headers]))=0,0,INDEX(tblContractForDeed[Payment],ROW()-ROW(tblBuyerOutputs[#Headers]))-INDEX(tblSubjectToLoan[Payment],ROW()-ROW(tblBuyerOutputs[#Headers])))-IFERROR(tblBuyerOutputs[[#This Row],[PMI]],0)</f>
        <v>19.470000000000027</v>
      </c>
      <c r="AC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531.88000000000147</v>
      </c>
      <c r="AD82" s="275">
        <f>IF(INDEX(tblContractForDeed[End Bal],ROW()-ROW(tblBuyerOutputs[#Headers]))&lt;=0,0,($O$6+IF(ROW()=ROW(tblBuyerOutputs[#Headers])+1,0,INDEX(tblBuyerOutputs[Cumul Appr],ROW()-ROW(tblBuyerOutputs[#Headers])-1)))*$O$2/12)</f>
        <v>405.78976087651768</v>
      </c>
      <c r="AE82" s="275">
        <f>IF(INDEX(tblContractForDeed[End Bal],ROW()-ROW(tblBuyerOutputs[#Headers]))&lt;=0,0,IF(ROW()=ROW(tblBuyerOutputs[#Headers])+1,0,INDEX(tblBuyerOutputs[Cumul Appr],ROW()-ROW(tblBuyerOutputs[#Headers])-1))+tblBuyerOutputs[[#This Row],[Monthly Appr]])</f>
        <v>22537.332371240751</v>
      </c>
      <c r="AF82" s="22"/>
      <c r="AG82" s="14"/>
      <c r="AL82"/>
      <c r="AM82" s="14"/>
      <c r="AO82" s="275"/>
      <c r="AQ82" s="14"/>
      <c r="AR82"/>
    </row>
    <row r="83" spans="1:44" x14ac:dyDescent="0.25">
      <c r="A83" s="590">
        <f t="shared" si="4"/>
        <v>47788</v>
      </c>
      <c r="B83" s="275">
        <f t="shared" si="5"/>
        <v>74847.77</v>
      </c>
      <c r="C83" s="14">
        <f t="shared" si="1"/>
        <v>625.80999999999995</v>
      </c>
      <c r="D83" s="14">
        <f t="shared" si="6"/>
        <v>391.90999999999997</v>
      </c>
      <c r="E83" s="14">
        <f t="shared" si="2"/>
        <v>233.9</v>
      </c>
      <c r="F83" s="14">
        <f t="shared" si="13"/>
        <v>134.16999999999999</v>
      </c>
      <c r="G83" s="14">
        <f t="shared" si="13"/>
        <v>188.55</v>
      </c>
      <c r="H83" s="14">
        <f t="shared" si="12"/>
        <v>948.53</v>
      </c>
      <c r="I83" s="275">
        <f t="shared" si="9"/>
        <v>23075.979999999996</v>
      </c>
      <c r="J83" s="275">
        <f t="shared" si="10"/>
        <v>17279.699999999997</v>
      </c>
      <c r="K83" s="275">
        <f t="shared" si="7"/>
        <v>74455.86</v>
      </c>
      <c r="L83" s="386">
        <f t="shared" si="3"/>
        <v>5</v>
      </c>
      <c r="M83" s="386">
        <f t="shared" si="8"/>
        <v>63</v>
      </c>
      <c r="N83" s="590">
        <f>INDEX(tblSubjectToLoan[Date],ROW()-ROW(tblContractForDeed[#Headers]))</f>
        <v>47788</v>
      </c>
      <c r="O83" s="275">
        <f>IF(ROW()=ROW(tblContractForDeed[#Headers])+1,$O$6,IF(INDEX(tblContractForDeed[End Bal],ROW()-ROW(tblContractForDeed[#Headers])-1)&lt;0,0,INDEX(tblContractForDeed[End Bal],ROW()-ROW(tblContractForDeed[#Headers])-1)))</f>
        <v>60174.329999999994</v>
      </c>
      <c r="P83" s="445">
        <f>IF(tblContractForDeed[[#This Row],[Date]]="","",IF(tblContractForDeed[[#This Row],[Date]]&lt;cfdRateChangeDate,cfdRate1,cfdRate2))</f>
        <v>6.25E-2</v>
      </c>
      <c r="Q8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3" s="275">
        <f>IF(tblContractForDeed[[#This Row],[Payment]]=0,0,MAX(0,MIN(tblContractForDeed[[#This Row],[Beg]],tblContractForDeed[[#This Row],[Payment]]-tblContractForDeed[[#This Row],[Int]])))</f>
        <v>331.86999999999995</v>
      </c>
      <c r="S83" s="275">
        <f>IF(OR(tblContractForDeed[[#This Row],[Date]]&lt;cfdContractDate,tblContractForDeed[[#This Row],[Date]]&gt;cfdEndDate),0,ROUND(tblContractForDeed[[#This Row],[Beg]]*(tblContractForDeed[[#This Row],[Int Rate]]/12),2))</f>
        <v>313.41000000000003</v>
      </c>
      <c r="T83" s="275">
        <f>IF(tblContractForDeed[[#This Row],[Payment]]=0,0,$W$2)</f>
        <v>134.16999999999999</v>
      </c>
      <c r="U83" s="275">
        <f>IF(tblContractForDeed[[#This Row],[Princ]]=0,0,$W$3)</f>
        <v>188.55</v>
      </c>
      <c r="V83" s="275">
        <f>SUM(tblContractForDeed[[#This Row],[Princ]],tblContractForDeed[[#This Row],[Int]],tblContractForDeed[[#This Row],[Ins]],tblContractForDeed[[#This Row],[Taxes]])</f>
        <v>968</v>
      </c>
      <c r="W83" s="275">
        <f>SUM(INDEX(tblContractForDeed[Princ],1):INDEX(tblContractForDeed[Princ],ROW()-ROW(tblContractForDeed[#Headers])))</f>
        <v>15415.54</v>
      </c>
      <c r="X83" s="275">
        <f>IF(tblContractForDeed[[#This Row],[Beg]]&lt;=0,0,tblContractForDeed[[#This Row],[Beg]]-tblContractForDeed[[#This Row],[Princ]])</f>
        <v>59842.459999999992</v>
      </c>
      <c r="Y8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3" s="454">
        <f>IF(INDEX(tblContractForDeed[Payment],ROW()-ROW(tblBuyerOutputs[#Headers]))=0,0,INDEX(tblContractForDeed[Payment],ROW()-ROW(tblBuyerOutputs[#Headers]))-INDEX(tblSubjectToLoan[Payment],ROW()-ROW(tblBuyerOutputs[#Headers])))</f>
        <v>19.470000000000027</v>
      </c>
      <c r="AA83"/>
      <c r="AB83" s="14">
        <f>IF(INDEX(tblContractForDeed[Payment],ROW()-ROW(tblBuyerOutputs[#Headers]))=0,0,INDEX(tblContractForDeed[Payment],ROW()-ROW(tblBuyerOutputs[#Headers]))-INDEX(tblSubjectToLoan[Payment],ROW()-ROW(tblBuyerOutputs[#Headers])))-IFERROR(tblBuyerOutputs[[#This Row],[PMI]],0)</f>
        <v>19.470000000000027</v>
      </c>
      <c r="AC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551.3500000000015</v>
      </c>
      <c r="AD83" s="275">
        <f>IF(INDEX(tblContractForDeed[End Bal],ROW()-ROW(tblBuyerOutputs[#Headers]))&lt;=0,0,($O$6+IF(ROW()=ROW(tblBuyerOutputs[#Headers])+1,0,INDEX(tblBuyerOutputs[Cumul Appr],ROW()-ROW(tblBuyerOutputs[#Headers])-1)))*$O$2/12)</f>
        <v>407.48055154683647</v>
      </c>
      <c r="AE83" s="275">
        <f>IF(INDEX(tblContractForDeed[End Bal],ROW()-ROW(tblBuyerOutputs[#Headers]))&lt;=0,0,IF(ROW()=ROW(tblBuyerOutputs[#Headers])+1,0,INDEX(tblBuyerOutputs[Cumul Appr],ROW()-ROW(tblBuyerOutputs[#Headers])-1))+tblBuyerOutputs[[#This Row],[Monthly Appr]])</f>
        <v>22944.812922787587</v>
      </c>
      <c r="AF83" s="22"/>
      <c r="AG83" s="14"/>
      <c r="AL83"/>
      <c r="AM83" s="14"/>
      <c r="AO83" s="275"/>
      <c r="AQ83" s="14"/>
      <c r="AR83"/>
    </row>
    <row r="84" spans="1:44" x14ac:dyDescent="0.25">
      <c r="A84" s="590">
        <f t="shared" si="4"/>
        <v>47818</v>
      </c>
      <c r="B84" s="275">
        <f t="shared" si="5"/>
        <v>74455.86</v>
      </c>
      <c r="C84" s="14">
        <f t="shared" ref="C84:C147" si="14">IF(A84="",0,IF(B84&lt;=0,0,IF(A84=subjectMortgageEndDate,B84+E84,MIN(subjectPayment,B84+E84))))</f>
        <v>625.80999999999995</v>
      </c>
      <c r="D84" s="14">
        <f t="shared" si="6"/>
        <v>393.14</v>
      </c>
      <c r="E84" s="14">
        <f t="shared" ref="E84:E147" si="15">IF(OR(A84="",B84&lt;=0),0,ROUND(B84*(subjectInterestRate/12),2))</f>
        <v>232.67</v>
      </c>
      <c r="F84" s="14">
        <f t="shared" si="13"/>
        <v>134.16999999999999</v>
      </c>
      <c r="G84" s="14">
        <f t="shared" si="13"/>
        <v>188.55</v>
      </c>
      <c r="H84" s="14">
        <f t="shared" si="12"/>
        <v>948.53</v>
      </c>
      <c r="I84" s="275">
        <f t="shared" si="9"/>
        <v>23469.119999999995</v>
      </c>
      <c r="J84" s="275">
        <f t="shared" si="10"/>
        <v>17512.369999999995</v>
      </c>
      <c r="K84" s="275">
        <f t="shared" si="7"/>
        <v>74062.720000000001</v>
      </c>
      <c r="L84" s="386">
        <f t="shared" ref="L84:L112" si="16">IF(MOD(M84,12)=0,M84/12,L83)</f>
        <v>5</v>
      </c>
      <c r="M84" s="386">
        <f t="shared" si="8"/>
        <v>64</v>
      </c>
      <c r="N84" s="590">
        <f>INDEX(tblSubjectToLoan[Date],ROW()-ROW(tblContractForDeed[#Headers]))</f>
        <v>47818</v>
      </c>
      <c r="O84" s="275">
        <f>IF(ROW()=ROW(tblContractForDeed[#Headers])+1,$O$6,IF(INDEX(tblContractForDeed[End Bal],ROW()-ROW(tblContractForDeed[#Headers])-1)&lt;0,0,INDEX(tblContractForDeed[End Bal],ROW()-ROW(tblContractForDeed[#Headers])-1)))</f>
        <v>59842.459999999992</v>
      </c>
      <c r="P84" s="445">
        <f>IF(tblContractForDeed[[#This Row],[Date]]="","",IF(tblContractForDeed[[#This Row],[Date]]&lt;cfdRateChangeDate,cfdRate1,cfdRate2))</f>
        <v>6.25E-2</v>
      </c>
      <c r="Q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4" s="275">
        <f>IF(tblContractForDeed[[#This Row],[Payment]]=0,0,MAX(0,MIN(tblContractForDeed[[#This Row],[Beg]],tblContractForDeed[[#This Row],[Payment]]-tblContractForDeed[[#This Row],[Int]])))</f>
        <v>333.59999999999997</v>
      </c>
      <c r="S84" s="275">
        <f>IF(OR(tblContractForDeed[[#This Row],[Date]]&lt;cfdContractDate,tblContractForDeed[[#This Row],[Date]]&gt;cfdEndDate),0,ROUND(tblContractForDeed[[#This Row],[Beg]]*(tblContractForDeed[[#This Row],[Int Rate]]/12),2))</f>
        <v>311.68</v>
      </c>
      <c r="T84" s="275">
        <f>IF(tblContractForDeed[[#This Row],[Payment]]=0,0,$W$2)</f>
        <v>134.16999999999999</v>
      </c>
      <c r="U84" s="275">
        <f>IF(tblContractForDeed[[#This Row],[Princ]]=0,0,$W$3)</f>
        <v>188.55</v>
      </c>
      <c r="V84" s="275">
        <f>SUM(tblContractForDeed[[#This Row],[Princ]],tblContractForDeed[[#This Row],[Int]],tblContractForDeed[[#This Row],[Ins]],tblContractForDeed[[#This Row],[Taxes]])</f>
        <v>968</v>
      </c>
      <c r="W84" s="275">
        <f>SUM(INDEX(tblContractForDeed[Princ],1):INDEX(tblContractForDeed[Princ],ROW()-ROW(tblContractForDeed[#Headers])))</f>
        <v>15749.140000000001</v>
      </c>
      <c r="X84" s="275">
        <f>IF(tblContractForDeed[[#This Row],[Beg]]&lt;=0,0,tblContractForDeed[[#This Row],[Beg]]-tblContractForDeed[[#This Row],[Princ]])</f>
        <v>59508.859999999993</v>
      </c>
      <c r="Y8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4" s="454">
        <f>IF(INDEX(tblContractForDeed[Payment],ROW()-ROW(tblBuyerOutputs[#Headers]))=0,0,INDEX(tblContractForDeed[Payment],ROW()-ROW(tblBuyerOutputs[#Headers]))-INDEX(tblSubjectToLoan[Payment],ROW()-ROW(tblBuyerOutputs[#Headers])))</f>
        <v>19.470000000000027</v>
      </c>
      <c r="AA84"/>
      <c r="AB84" s="14">
        <f>IF(INDEX(tblContractForDeed[Payment],ROW()-ROW(tblBuyerOutputs[#Headers]))=0,0,INDEX(tblContractForDeed[Payment],ROW()-ROW(tblBuyerOutputs[#Headers]))-INDEX(tblSubjectToLoan[Payment],ROW()-ROW(tblBuyerOutputs[#Headers])))-IFERROR(tblBuyerOutputs[[#This Row],[PMI]],0)</f>
        <v>19.470000000000027</v>
      </c>
      <c r="AC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570.82000000000153</v>
      </c>
      <c r="AD84" s="275">
        <f>IF(INDEX(tblContractForDeed[End Bal],ROW()-ROW(tblBuyerOutputs[#Headers]))&lt;=0,0,($O$6+IF(ROW()=ROW(tblBuyerOutputs[#Headers])+1,0,INDEX(tblBuyerOutputs[Cumul Appr],ROW()-ROW(tblBuyerOutputs[#Headers])-1)))*$O$2/12)</f>
        <v>409.17838717828164</v>
      </c>
      <c r="AE84" s="275">
        <f>IF(INDEX(tblContractForDeed[End Bal],ROW()-ROW(tblBuyerOutputs[#Headers]))&lt;=0,0,IF(ROW()=ROW(tblBuyerOutputs[#Headers])+1,0,INDEX(tblBuyerOutputs[Cumul Appr],ROW()-ROW(tblBuyerOutputs[#Headers])-1))+tblBuyerOutputs[[#This Row],[Monthly Appr]])</f>
        <v>23353.99130996587</v>
      </c>
      <c r="AF84" s="22"/>
      <c r="AG84" s="14"/>
      <c r="AL84"/>
      <c r="AM84" s="14"/>
      <c r="AO84" s="275"/>
      <c r="AQ84" s="14"/>
      <c r="AR84"/>
    </row>
    <row r="85" spans="1:44" x14ac:dyDescent="0.25">
      <c r="A85" s="590">
        <f t="shared" ref="A85:A148" si="17">IF(OR(A84="",A84&gt;=subjectMortgageEndDate),"",EDATE(A84,1))</f>
        <v>47849</v>
      </c>
      <c r="B85" s="275">
        <f t="shared" ref="B85:B148" si="18">IF(A85="",0,MAX(0,K84))</f>
        <v>74062.720000000001</v>
      </c>
      <c r="C85" s="14">
        <f t="shared" si="14"/>
        <v>625.80999999999995</v>
      </c>
      <c r="D85" s="14">
        <f t="shared" ref="D85:D148" si="19">IF(C85=0,0,MAX(0,MIN(B85,C85-E85)))</f>
        <v>394.35999999999996</v>
      </c>
      <c r="E85" s="14">
        <f t="shared" si="15"/>
        <v>231.45</v>
      </c>
      <c r="F85" s="14">
        <f t="shared" si="13"/>
        <v>134.16999999999999</v>
      </c>
      <c r="G85" s="14">
        <f t="shared" si="13"/>
        <v>188.55</v>
      </c>
      <c r="H85" s="14">
        <f t="shared" si="12"/>
        <v>948.53</v>
      </c>
      <c r="I85" s="275">
        <f t="shared" si="9"/>
        <v>23863.479999999996</v>
      </c>
      <c r="J85" s="275">
        <f t="shared" si="10"/>
        <v>17743.819999999996</v>
      </c>
      <c r="K85" s="275">
        <f t="shared" ref="K85:K148" si="20">IF(A85="",0,IF(B85&lt;=0,0,MAX(0,B85-D85)))</f>
        <v>73668.36</v>
      </c>
      <c r="L85" s="386">
        <f t="shared" si="16"/>
        <v>5</v>
      </c>
      <c r="M85" s="386">
        <f t="shared" ref="M85:M148" si="21">IF($A85&lt;&gt;"",M84+1,0)</f>
        <v>65</v>
      </c>
      <c r="N85" s="590">
        <f>INDEX(tblSubjectToLoan[Date],ROW()-ROW(tblContractForDeed[#Headers]))</f>
        <v>47849</v>
      </c>
      <c r="O85" s="275">
        <f>IF(ROW()=ROW(tblContractForDeed[#Headers])+1,$O$6,IF(INDEX(tblContractForDeed[End Bal],ROW()-ROW(tblContractForDeed[#Headers])-1)&lt;0,0,INDEX(tblContractForDeed[End Bal],ROW()-ROW(tblContractForDeed[#Headers])-1)))</f>
        <v>59508.859999999993</v>
      </c>
      <c r="P85" s="445">
        <f>IF(tblContractForDeed[[#This Row],[Date]]="","",IF(tblContractForDeed[[#This Row],[Date]]&lt;cfdRateChangeDate,cfdRate1,cfdRate2))</f>
        <v>6.25E-2</v>
      </c>
      <c r="Q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5" s="275">
        <f>IF(tblContractForDeed[[#This Row],[Payment]]=0,0,MAX(0,MIN(tblContractForDeed[[#This Row],[Beg]],tblContractForDeed[[#This Row],[Payment]]-tblContractForDeed[[#This Row],[Int]])))</f>
        <v>335.34</v>
      </c>
      <c r="S85" s="275">
        <f>IF(OR(tblContractForDeed[[#This Row],[Date]]&lt;cfdContractDate,tblContractForDeed[[#This Row],[Date]]&gt;cfdEndDate),0,ROUND(tblContractForDeed[[#This Row],[Beg]]*(tblContractForDeed[[#This Row],[Int Rate]]/12),2))</f>
        <v>309.94</v>
      </c>
      <c r="T85" s="275">
        <f>IF(tblContractForDeed[[#This Row],[Payment]]=0,0,$W$2)</f>
        <v>134.16999999999999</v>
      </c>
      <c r="U85" s="275">
        <f>IF(tblContractForDeed[[#This Row],[Princ]]=0,0,$W$3)</f>
        <v>188.55</v>
      </c>
      <c r="V85" s="275">
        <f>SUM(tblContractForDeed[[#This Row],[Princ]],tblContractForDeed[[#This Row],[Int]],tblContractForDeed[[#This Row],[Ins]],tblContractForDeed[[#This Row],[Taxes]])</f>
        <v>968</v>
      </c>
      <c r="W85" s="275">
        <f>SUM(INDEX(tblContractForDeed[Princ],1):INDEX(tblContractForDeed[Princ],ROW()-ROW(tblContractForDeed[#Headers])))</f>
        <v>16084.480000000001</v>
      </c>
      <c r="X85" s="275">
        <f>IF(tblContractForDeed[[#This Row],[Beg]]&lt;=0,0,tblContractForDeed[[#This Row],[Beg]]-tblContractForDeed[[#This Row],[Princ]])</f>
        <v>59173.52</v>
      </c>
      <c r="Y8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5" s="454">
        <f>IF(INDEX(tblContractForDeed[Payment],ROW()-ROW(tblBuyerOutputs[#Headers]))=0,0,INDEX(tblContractForDeed[Payment],ROW()-ROW(tblBuyerOutputs[#Headers]))-INDEX(tblSubjectToLoan[Payment],ROW()-ROW(tblBuyerOutputs[#Headers])))</f>
        <v>19.470000000000027</v>
      </c>
      <c r="AA85"/>
      <c r="AB85" s="14">
        <f>IF(INDEX(tblContractForDeed[Payment],ROW()-ROW(tblBuyerOutputs[#Headers]))=0,0,INDEX(tblContractForDeed[Payment],ROW()-ROW(tblBuyerOutputs[#Headers]))-INDEX(tblSubjectToLoan[Payment],ROW()-ROW(tblBuyerOutputs[#Headers])))-IFERROR(tblBuyerOutputs[[#This Row],[PMI]],0)</f>
        <v>19.470000000000027</v>
      </c>
      <c r="AC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590.29000000000156</v>
      </c>
      <c r="AD85" s="275">
        <f>IF(INDEX(tblContractForDeed[End Bal],ROW()-ROW(tblBuyerOutputs[#Headers]))&lt;=0,0,($O$6+IF(ROW()=ROW(tblBuyerOutputs[#Headers])+1,0,INDEX(tblBuyerOutputs[Cumul Appr],ROW()-ROW(tblBuyerOutputs[#Headers])-1)))*$O$2/12)</f>
        <v>410.88329712485785</v>
      </c>
      <c r="AE85" s="275">
        <f>IF(INDEX(tblContractForDeed[End Bal],ROW()-ROW(tblBuyerOutputs[#Headers]))&lt;=0,0,IF(ROW()=ROW(tblBuyerOutputs[#Headers])+1,0,INDEX(tblBuyerOutputs[Cumul Appr],ROW()-ROW(tblBuyerOutputs[#Headers])-1))+tblBuyerOutputs[[#This Row],[Monthly Appr]])</f>
        <v>23764.874607090729</v>
      </c>
      <c r="AF85" s="22"/>
      <c r="AG85" s="14"/>
      <c r="AL85"/>
      <c r="AM85" s="14"/>
      <c r="AO85" s="275"/>
      <c r="AQ85" s="14"/>
      <c r="AR85"/>
    </row>
    <row r="86" spans="1:44" x14ac:dyDescent="0.25">
      <c r="A86" s="590">
        <f t="shared" si="17"/>
        <v>47880</v>
      </c>
      <c r="B86" s="275">
        <f t="shared" si="18"/>
        <v>73668.36</v>
      </c>
      <c r="C86" s="14">
        <f t="shared" si="14"/>
        <v>625.80999999999995</v>
      </c>
      <c r="D86" s="14">
        <f t="shared" si="19"/>
        <v>395.59999999999991</v>
      </c>
      <c r="E86" s="14">
        <f t="shared" si="15"/>
        <v>230.21</v>
      </c>
      <c r="F86" s="14">
        <f t="shared" si="13"/>
        <v>134.16999999999999</v>
      </c>
      <c r="G86" s="14">
        <f t="shared" si="13"/>
        <v>188.55</v>
      </c>
      <c r="H86" s="14">
        <f t="shared" si="12"/>
        <v>948.53</v>
      </c>
      <c r="I86" s="275">
        <f t="shared" ref="I86:I149" si="22">$D86+$I85</f>
        <v>24259.079999999994</v>
      </c>
      <c r="J86" s="275">
        <f t="shared" ref="J86:J149" si="23">$E86+$J85</f>
        <v>17974.029999999995</v>
      </c>
      <c r="K86" s="275">
        <f t="shared" si="20"/>
        <v>73272.759999999995</v>
      </c>
      <c r="L86" s="386">
        <f t="shared" si="16"/>
        <v>5</v>
      </c>
      <c r="M86" s="386">
        <f t="shared" si="21"/>
        <v>66</v>
      </c>
      <c r="N86" s="590">
        <f>INDEX(tblSubjectToLoan[Date],ROW()-ROW(tblContractForDeed[#Headers]))</f>
        <v>47880</v>
      </c>
      <c r="O86" s="275">
        <f>IF(ROW()=ROW(tblContractForDeed[#Headers])+1,$O$6,IF(INDEX(tblContractForDeed[End Bal],ROW()-ROW(tblContractForDeed[#Headers])-1)&lt;0,0,INDEX(tblContractForDeed[End Bal],ROW()-ROW(tblContractForDeed[#Headers])-1)))</f>
        <v>59173.52</v>
      </c>
      <c r="P86" s="445">
        <f>IF(tblContractForDeed[[#This Row],[Date]]="","",IF(tblContractForDeed[[#This Row],[Date]]&lt;cfdRateChangeDate,cfdRate1,cfdRate2))</f>
        <v>6.25E-2</v>
      </c>
      <c r="Q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6" s="275">
        <f>IF(tblContractForDeed[[#This Row],[Payment]]=0,0,MAX(0,MIN(tblContractForDeed[[#This Row],[Beg]],tblContractForDeed[[#This Row],[Payment]]-tblContractForDeed[[#This Row],[Int]])))</f>
        <v>337.08</v>
      </c>
      <c r="S86" s="275">
        <f>IF(OR(tblContractForDeed[[#This Row],[Date]]&lt;cfdContractDate,tblContractForDeed[[#This Row],[Date]]&gt;cfdEndDate),0,ROUND(tblContractForDeed[[#This Row],[Beg]]*(tblContractForDeed[[#This Row],[Int Rate]]/12),2))</f>
        <v>308.2</v>
      </c>
      <c r="T86" s="275">
        <f>IF(tblContractForDeed[[#This Row],[Payment]]=0,0,$W$2)</f>
        <v>134.16999999999999</v>
      </c>
      <c r="U86" s="275">
        <f>IF(tblContractForDeed[[#This Row],[Princ]]=0,0,$W$3)</f>
        <v>188.55</v>
      </c>
      <c r="V86" s="275">
        <f>SUM(tblContractForDeed[[#This Row],[Princ]],tblContractForDeed[[#This Row],[Int]],tblContractForDeed[[#This Row],[Ins]],tblContractForDeed[[#This Row],[Taxes]])</f>
        <v>968</v>
      </c>
      <c r="W86" s="275">
        <f>SUM(INDEX(tblContractForDeed[Princ],1):INDEX(tblContractForDeed[Princ],ROW()-ROW(tblContractForDeed[#Headers])))</f>
        <v>16421.560000000001</v>
      </c>
      <c r="X86" s="275">
        <f>IF(tblContractForDeed[[#This Row],[Beg]]&lt;=0,0,tblContractForDeed[[#This Row],[Beg]]-tblContractForDeed[[#This Row],[Princ]])</f>
        <v>58836.439999999995</v>
      </c>
      <c r="Y8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6" s="454">
        <f>IF(INDEX(tblContractForDeed[Payment],ROW()-ROW(tblBuyerOutputs[#Headers]))=0,0,INDEX(tblContractForDeed[Payment],ROW()-ROW(tblBuyerOutputs[#Headers]))-INDEX(tblSubjectToLoan[Payment],ROW()-ROW(tblBuyerOutputs[#Headers])))</f>
        <v>19.470000000000027</v>
      </c>
      <c r="AA86"/>
      <c r="AB86" s="14">
        <f>IF(INDEX(tblContractForDeed[Payment],ROW()-ROW(tblBuyerOutputs[#Headers]))=0,0,INDEX(tblContractForDeed[Payment],ROW()-ROW(tblBuyerOutputs[#Headers]))-INDEX(tblSubjectToLoan[Payment],ROW()-ROW(tblBuyerOutputs[#Headers])))-IFERROR(tblBuyerOutputs[[#This Row],[PMI]],0)</f>
        <v>19.470000000000027</v>
      </c>
      <c r="AC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609.76000000000158</v>
      </c>
      <c r="AD86" s="275">
        <f>IF(INDEX(tblContractForDeed[End Bal],ROW()-ROW(tblBuyerOutputs[#Headers]))&lt;=0,0,($O$6+IF(ROW()=ROW(tblBuyerOutputs[#Headers])+1,0,INDEX(tblBuyerOutputs[Cumul Appr],ROW()-ROW(tblBuyerOutputs[#Headers])-1)))*$O$2/12)</f>
        <v>412.59531086287802</v>
      </c>
      <c r="AE86" s="275">
        <f>IF(INDEX(tblContractForDeed[End Bal],ROW()-ROW(tblBuyerOutputs[#Headers]))&lt;=0,0,IF(ROW()=ROW(tblBuyerOutputs[#Headers])+1,0,INDEX(tblBuyerOutputs[Cumul Appr],ROW()-ROW(tblBuyerOutputs[#Headers])-1))+tblBuyerOutputs[[#This Row],[Monthly Appr]])</f>
        <v>24177.469917953607</v>
      </c>
      <c r="AF86" s="22"/>
      <c r="AG86" s="14"/>
      <c r="AL86"/>
      <c r="AM86" s="14"/>
      <c r="AO86" s="275"/>
      <c r="AQ86" s="14"/>
      <c r="AR86"/>
    </row>
    <row r="87" spans="1:44" x14ac:dyDescent="0.25">
      <c r="A87" s="590">
        <f t="shared" si="17"/>
        <v>47908</v>
      </c>
      <c r="B87" s="275">
        <f t="shared" si="18"/>
        <v>73272.759999999995</v>
      </c>
      <c r="C87" s="14">
        <f t="shared" si="14"/>
        <v>625.80999999999995</v>
      </c>
      <c r="D87" s="14">
        <f t="shared" si="19"/>
        <v>396.82999999999993</v>
      </c>
      <c r="E87" s="14">
        <f t="shared" si="15"/>
        <v>228.98</v>
      </c>
      <c r="F87" s="14">
        <f t="shared" si="13"/>
        <v>134.16999999999999</v>
      </c>
      <c r="G87" s="14">
        <f t="shared" si="13"/>
        <v>188.55</v>
      </c>
      <c r="H87" s="14">
        <f t="shared" si="12"/>
        <v>948.53</v>
      </c>
      <c r="I87" s="275">
        <f t="shared" si="22"/>
        <v>24655.909999999996</v>
      </c>
      <c r="J87" s="275">
        <f t="shared" si="23"/>
        <v>18203.009999999995</v>
      </c>
      <c r="K87" s="275">
        <f t="shared" si="20"/>
        <v>72875.929999999993</v>
      </c>
      <c r="L87" s="386">
        <f t="shared" si="16"/>
        <v>5</v>
      </c>
      <c r="M87" s="386">
        <f t="shared" si="21"/>
        <v>67</v>
      </c>
      <c r="N87" s="590">
        <f>INDEX(tblSubjectToLoan[Date],ROW()-ROW(tblContractForDeed[#Headers]))</f>
        <v>47908</v>
      </c>
      <c r="O87" s="275">
        <f>IF(ROW()=ROW(tblContractForDeed[#Headers])+1,$O$6,IF(INDEX(tblContractForDeed[End Bal],ROW()-ROW(tblContractForDeed[#Headers])-1)&lt;0,0,INDEX(tblContractForDeed[End Bal],ROW()-ROW(tblContractForDeed[#Headers])-1)))</f>
        <v>58836.439999999995</v>
      </c>
      <c r="P87" s="445">
        <f>IF(tblContractForDeed[[#This Row],[Date]]="","",IF(tblContractForDeed[[#This Row],[Date]]&lt;cfdRateChangeDate,cfdRate1,cfdRate2))</f>
        <v>6.25E-2</v>
      </c>
      <c r="Q8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7" s="275">
        <f>IF(tblContractForDeed[[#This Row],[Payment]]=0,0,MAX(0,MIN(tblContractForDeed[[#This Row],[Beg]],tblContractForDeed[[#This Row],[Payment]]-tblContractForDeed[[#This Row],[Int]])))</f>
        <v>338.84</v>
      </c>
      <c r="S87" s="275">
        <f>IF(OR(tblContractForDeed[[#This Row],[Date]]&lt;cfdContractDate,tblContractForDeed[[#This Row],[Date]]&gt;cfdEndDate),0,ROUND(tblContractForDeed[[#This Row],[Beg]]*(tblContractForDeed[[#This Row],[Int Rate]]/12),2))</f>
        <v>306.44</v>
      </c>
      <c r="T87" s="275">
        <f>IF(tblContractForDeed[[#This Row],[Payment]]=0,0,$W$2)</f>
        <v>134.16999999999999</v>
      </c>
      <c r="U87" s="275">
        <f>IF(tblContractForDeed[[#This Row],[Princ]]=0,0,$W$3)</f>
        <v>188.55</v>
      </c>
      <c r="V87" s="275">
        <f>SUM(tblContractForDeed[[#This Row],[Princ]],tblContractForDeed[[#This Row],[Int]],tblContractForDeed[[#This Row],[Ins]],tblContractForDeed[[#This Row],[Taxes]])</f>
        <v>968</v>
      </c>
      <c r="W87" s="275">
        <f>SUM(INDEX(tblContractForDeed[Princ],1):INDEX(tblContractForDeed[Princ],ROW()-ROW(tblContractForDeed[#Headers])))</f>
        <v>16760.400000000001</v>
      </c>
      <c r="X87" s="275">
        <f>IF(tblContractForDeed[[#This Row],[Beg]]&lt;=0,0,tblContractForDeed[[#This Row],[Beg]]-tblContractForDeed[[#This Row],[Princ]])</f>
        <v>58497.599999999999</v>
      </c>
      <c r="Y8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7" s="454">
        <f>IF(INDEX(tblContractForDeed[Payment],ROW()-ROW(tblBuyerOutputs[#Headers]))=0,0,INDEX(tblContractForDeed[Payment],ROW()-ROW(tblBuyerOutputs[#Headers]))-INDEX(tblSubjectToLoan[Payment],ROW()-ROW(tblBuyerOutputs[#Headers])))</f>
        <v>19.470000000000027</v>
      </c>
      <c r="AA87"/>
      <c r="AB87" s="14">
        <f>IF(INDEX(tblContractForDeed[Payment],ROW()-ROW(tblBuyerOutputs[#Headers]))=0,0,INDEX(tblContractForDeed[Payment],ROW()-ROW(tblBuyerOutputs[#Headers]))-INDEX(tblSubjectToLoan[Payment],ROW()-ROW(tblBuyerOutputs[#Headers])))-IFERROR(tblBuyerOutputs[[#This Row],[PMI]],0)</f>
        <v>19.470000000000027</v>
      </c>
      <c r="AC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629.23000000000161</v>
      </c>
      <c r="AD87" s="275">
        <f>IF(INDEX(tblContractForDeed[End Bal],ROW()-ROW(tblBuyerOutputs[#Headers]))&lt;=0,0,($O$6+IF(ROW()=ROW(tblBuyerOutputs[#Headers])+1,0,INDEX(tblBuyerOutputs[Cumul Appr],ROW()-ROW(tblBuyerOutputs[#Headers])-1)))*$O$2/12)</f>
        <v>414.31445799147338</v>
      </c>
      <c r="AE87" s="275">
        <f>IF(INDEX(tblContractForDeed[End Bal],ROW()-ROW(tblBuyerOutputs[#Headers]))&lt;=0,0,IF(ROW()=ROW(tblBuyerOutputs[#Headers])+1,0,INDEX(tblBuyerOutputs[Cumul Appr],ROW()-ROW(tblBuyerOutputs[#Headers])-1))+tblBuyerOutputs[[#This Row],[Monthly Appr]])</f>
        <v>24591.784375945081</v>
      </c>
      <c r="AF87" s="22"/>
      <c r="AG87" s="14"/>
      <c r="AL87"/>
      <c r="AM87" s="14"/>
      <c r="AO87" s="275"/>
      <c r="AQ87" s="14"/>
      <c r="AR87"/>
    </row>
    <row r="88" spans="1:44" x14ac:dyDescent="0.25">
      <c r="A88" s="590">
        <f t="shared" si="17"/>
        <v>47939</v>
      </c>
      <c r="B88" s="275">
        <f t="shared" si="18"/>
        <v>72875.929999999993</v>
      </c>
      <c r="C88" s="14">
        <f t="shared" si="14"/>
        <v>625.80999999999995</v>
      </c>
      <c r="D88" s="14">
        <f t="shared" si="19"/>
        <v>398.06999999999994</v>
      </c>
      <c r="E88" s="14">
        <f t="shared" si="15"/>
        <v>227.74</v>
      </c>
      <c r="F88" s="14">
        <f t="shared" si="13"/>
        <v>134.16999999999999</v>
      </c>
      <c r="G88" s="14">
        <f t="shared" si="13"/>
        <v>188.55</v>
      </c>
      <c r="H88" s="14">
        <f t="shared" si="12"/>
        <v>948.53</v>
      </c>
      <c r="I88" s="275">
        <f t="shared" si="22"/>
        <v>25053.979999999996</v>
      </c>
      <c r="J88" s="275">
        <f t="shared" si="23"/>
        <v>18430.749999999996</v>
      </c>
      <c r="K88" s="275">
        <f t="shared" si="20"/>
        <v>72477.859999999986</v>
      </c>
      <c r="L88" s="386">
        <f t="shared" si="16"/>
        <v>5</v>
      </c>
      <c r="M88" s="386">
        <f t="shared" si="21"/>
        <v>68</v>
      </c>
      <c r="N88" s="590">
        <f>INDEX(tblSubjectToLoan[Date],ROW()-ROW(tblContractForDeed[#Headers]))</f>
        <v>47939</v>
      </c>
      <c r="O88" s="275">
        <f>IF(ROW()=ROW(tblContractForDeed[#Headers])+1,$O$6,IF(INDEX(tblContractForDeed[End Bal],ROW()-ROW(tblContractForDeed[#Headers])-1)&lt;0,0,INDEX(tblContractForDeed[End Bal],ROW()-ROW(tblContractForDeed[#Headers])-1)))</f>
        <v>58497.599999999999</v>
      </c>
      <c r="P88" s="445">
        <f>IF(tblContractForDeed[[#This Row],[Date]]="","",IF(tblContractForDeed[[#This Row],[Date]]&lt;cfdRateChangeDate,cfdRate1,cfdRate2))</f>
        <v>6.25E-2</v>
      </c>
      <c r="Q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8" s="275">
        <f>IF(tblContractForDeed[[#This Row],[Payment]]=0,0,MAX(0,MIN(tblContractForDeed[[#This Row],[Beg]],tblContractForDeed[[#This Row],[Payment]]-tblContractForDeed[[#This Row],[Int]])))</f>
        <v>340.59999999999997</v>
      </c>
      <c r="S88" s="275">
        <f>IF(OR(tblContractForDeed[[#This Row],[Date]]&lt;cfdContractDate,tblContractForDeed[[#This Row],[Date]]&gt;cfdEndDate),0,ROUND(tblContractForDeed[[#This Row],[Beg]]*(tblContractForDeed[[#This Row],[Int Rate]]/12),2))</f>
        <v>304.68</v>
      </c>
      <c r="T88" s="275">
        <f>IF(tblContractForDeed[[#This Row],[Payment]]=0,0,$W$2)</f>
        <v>134.16999999999999</v>
      </c>
      <c r="U88" s="275">
        <f>IF(tblContractForDeed[[#This Row],[Princ]]=0,0,$W$3)</f>
        <v>188.55</v>
      </c>
      <c r="V88" s="275">
        <f>SUM(tblContractForDeed[[#This Row],[Princ]],tblContractForDeed[[#This Row],[Int]],tblContractForDeed[[#This Row],[Ins]],tblContractForDeed[[#This Row],[Taxes]])</f>
        <v>968</v>
      </c>
      <c r="W88" s="275">
        <f>SUM(INDEX(tblContractForDeed[Princ],1):INDEX(tblContractForDeed[Princ],ROW()-ROW(tblContractForDeed[#Headers])))</f>
        <v>17101</v>
      </c>
      <c r="X88" s="275">
        <f>IF(tblContractForDeed[[#This Row],[Beg]]&lt;=0,0,tblContractForDeed[[#This Row],[Beg]]-tblContractForDeed[[#This Row],[Princ]])</f>
        <v>58157</v>
      </c>
      <c r="Y8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8" s="454">
        <f>IF(INDEX(tblContractForDeed[Payment],ROW()-ROW(tblBuyerOutputs[#Headers]))=0,0,INDEX(tblContractForDeed[Payment],ROW()-ROW(tblBuyerOutputs[#Headers]))-INDEX(tblSubjectToLoan[Payment],ROW()-ROW(tblBuyerOutputs[#Headers])))</f>
        <v>19.470000000000027</v>
      </c>
      <c r="AA88"/>
      <c r="AB88" s="14">
        <f>IF(INDEX(tblContractForDeed[Payment],ROW()-ROW(tblBuyerOutputs[#Headers]))=0,0,INDEX(tblContractForDeed[Payment],ROW()-ROW(tblBuyerOutputs[#Headers]))-INDEX(tblSubjectToLoan[Payment],ROW()-ROW(tblBuyerOutputs[#Headers])))-IFERROR(tblBuyerOutputs[[#This Row],[PMI]],0)</f>
        <v>19.470000000000027</v>
      </c>
      <c r="AC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648.70000000000164</v>
      </c>
      <c r="AD88" s="275">
        <f>IF(INDEX(tblContractForDeed[End Bal],ROW()-ROW(tblBuyerOutputs[#Headers]))&lt;=0,0,($O$6+IF(ROW()=ROW(tblBuyerOutputs[#Headers])+1,0,INDEX(tblBuyerOutputs[Cumul Appr],ROW()-ROW(tblBuyerOutputs[#Headers])-1)))*$O$2/12)</f>
        <v>416.04076823310453</v>
      </c>
      <c r="AE88" s="275">
        <f>IF(INDEX(tblContractForDeed[End Bal],ROW()-ROW(tblBuyerOutputs[#Headers]))&lt;=0,0,IF(ROW()=ROW(tblBuyerOutputs[#Headers])+1,0,INDEX(tblBuyerOutputs[Cumul Appr],ROW()-ROW(tblBuyerOutputs[#Headers])-1))+tblBuyerOutputs[[#This Row],[Monthly Appr]])</f>
        <v>25007.825144178187</v>
      </c>
      <c r="AF88" s="22"/>
      <c r="AG88" s="14"/>
      <c r="AL88"/>
      <c r="AM88" s="14"/>
      <c r="AO88" s="275"/>
      <c r="AQ88" s="14"/>
      <c r="AR88"/>
    </row>
    <row r="89" spans="1:44" x14ac:dyDescent="0.25">
      <c r="A89" s="590">
        <f t="shared" si="17"/>
        <v>47969</v>
      </c>
      <c r="B89" s="275">
        <f t="shared" si="18"/>
        <v>72477.859999999986</v>
      </c>
      <c r="C89" s="14">
        <f t="shared" si="14"/>
        <v>625.80999999999995</v>
      </c>
      <c r="D89" s="14">
        <f t="shared" si="19"/>
        <v>399.31999999999994</v>
      </c>
      <c r="E89" s="14">
        <f t="shared" si="15"/>
        <v>226.49</v>
      </c>
      <c r="F89" s="14">
        <f t="shared" si="13"/>
        <v>134.16999999999999</v>
      </c>
      <c r="G89" s="14">
        <f t="shared" si="13"/>
        <v>188.55</v>
      </c>
      <c r="H89" s="14">
        <f t="shared" si="12"/>
        <v>948.53</v>
      </c>
      <c r="I89" s="275">
        <f t="shared" si="22"/>
        <v>25453.299999999996</v>
      </c>
      <c r="J89" s="275">
        <f t="shared" si="23"/>
        <v>18657.239999999998</v>
      </c>
      <c r="K89" s="275">
        <f t="shared" si="20"/>
        <v>72078.539999999979</v>
      </c>
      <c r="L89" s="386">
        <f t="shared" si="16"/>
        <v>5</v>
      </c>
      <c r="M89" s="386">
        <f t="shared" si="21"/>
        <v>69</v>
      </c>
      <c r="N89" s="590">
        <f>INDEX(tblSubjectToLoan[Date],ROW()-ROW(tblContractForDeed[#Headers]))</f>
        <v>47969</v>
      </c>
      <c r="O89" s="275">
        <f>IF(ROW()=ROW(tblContractForDeed[#Headers])+1,$O$6,IF(INDEX(tblContractForDeed[End Bal],ROW()-ROW(tblContractForDeed[#Headers])-1)&lt;0,0,INDEX(tblContractForDeed[End Bal],ROW()-ROW(tblContractForDeed[#Headers])-1)))</f>
        <v>58157</v>
      </c>
      <c r="P89" s="445">
        <f>IF(tblContractForDeed[[#This Row],[Date]]="","",IF(tblContractForDeed[[#This Row],[Date]]&lt;cfdRateChangeDate,cfdRate1,cfdRate2))</f>
        <v>6.25E-2</v>
      </c>
      <c r="Q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9" s="275">
        <f>IF(tblContractForDeed[[#This Row],[Payment]]=0,0,MAX(0,MIN(tblContractForDeed[[#This Row],[Beg]],tblContractForDeed[[#This Row],[Payment]]-tblContractForDeed[[#This Row],[Int]])))</f>
        <v>342.38</v>
      </c>
      <c r="S89" s="275">
        <f>IF(OR(tblContractForDeed[[#This Row],[Date]]&lt;cfdContractDate,tblContractForDeed[[#This Row],[Date]]&gt;cfdEndDate),0,ROUND(tblContractForDeed[[#This Row],[Beg]]*(tblContractForDeed[[#This Row],[Int Rate]]/12),2))</f>
        <v>302.89999999999998</v>
      </c>
      <c r="T89" s="275">
        <f>IF(tblContractForDeed[[#This Row],[Payment]]=0,0,$W$2)</f>
        <v>134.16999999999999</v>
      </c>
      <c r="U89" s="275">
        <f>IF(tblContractForDeed[[#This Row],[Princ]]=0,0,$W$3)</f>
        <v>188.55</v>
      </c>
      <c r="V89" s="275">
        <f>SUM(tblContractForDeed[[#This Row],[Princ]],tblContractForDeed[[#This Row],[Int]],tblContractForDeed[[#This Row],[Ins]],tblContractForDeed[[#This Row],[Taxes]])</f>
        <v>968</v>
      </c>
      <c r="W89" s="275">
        <f>SUM(INDEX(tblContractForDeed[Princ],1):INDEX(tblContractForDeed[Princ],ROW()-ROW(tblContractForDeed[#Headers])))</f>
        <v>17443.38</v>
      </c>
      <c r="X89" s="275">
        <f>IF(tblContractForDeed[[#This Row],[Beg]]&lt;=0,0,tblContractForDeed[[#This Row],[Beg]]-tblContractForDeed[[#This Row],[Princ]])</f>
        <v>57814.62</v>
      </c>
      <c r="Y8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89" s="454">
        <f>IF(INDEX(tblContractForDeed[Payment],ROW()-ROW(tblBuyerOutputs[#Headers]))=0,0,INDEX(tblContractForDeed[Payment],ROW()-ROW(tblBuyerOutputs[#Headers]))-INDEX(tblSubjectToLoan[Payment],ROW()-ROW(tblBuyerOutputs[#Headers])))</f>
        <v>19.470000000000027</v>
      </c>
      <c r="AA89"/>
      <c r="AB89" s="14">
        <f>IF(INDEX(tblContractForDeed[Payment],ROW()-ROW(tblBuyerOutputs[#Headers]))=0,0,INDEX(tblContractForDeed[Payment],ROW()-ROW(tblBuyerOutputs[#Headers]))-INDEX(tblSubjectToLoan[Payment],ROW()-ROW(tblBuyerOutputs[#Headers])))-IFERROR(tblBuyerOutputs[[#This Row],[PMI]],0)</f>
        <v>19.470000000000027</v>
      </c>
      <c r="AC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668.17000000000166</v>
      </c>
      <c r="AD89" s="275">
        <f>IF(INDEX(tblContractForDeed[End Bal],ROW()-ROW(tblBuyerOutputs[#Headers]))&lt;=0,0,($O$6+IF(ROW()=ROW(tblBuyerOutputs[#Headers])+1,0,INDEX(tblBuyerOutputs[Cumul Appr],ROW()-ROW(tblBuyerOutputs[#Headers])-1)))*$O$2/12)</f>
        <v>417.77427143407584</v>
      </c>
      <c r="AE89" s="275">
        <f>IF(INDEX(tblContractForDeed[End Bal],ROW()-ROW(tblBuyerOutputs[#Headers]))&lt;=0,0,IF(ROW()=ROW(tblBuyerOutputs[#Headers])+1,0,INDEX(tblBuyerOutputs[Cumul Appr],ROW()-ROW(tblBuyerOutputs[#Headers])-1))+tblBuyerOutputs[[#This Row],[Monthly Appr]])</f>
        <v>25425.599415612262</v>
      </c>
      <c r="AF89" s="22"/>
      <c r="AG89" s="14"/>
      <c r="AL89"/>
      <c r="AM89" s="14"/>
      <c r="AO89" s="275"/>
      <c r="AQ89" s="14"/>
      <c r="AR89"/>
    </row>
    <row r="90" spans="1:44" x14ac:dyDescent="0.25">
      <c r="A90" s="590">
        <f t="shared" si="17"/>
        <v>48000</v>
      </c>
      <c r="B90" s="275">
        <f t="shared" si="18"/>
        <v>72078.539999999979</v>
      </c>
      <c r="C90" s="14">
        <f t="shared" si="14"/>
        <v>625.80999999999995</v>
      </c>
      <c r="D90" s="14">
        <f t="shared" si="19"/>
        <v>400.55999999999995</v>
      </c>
      <c r="E90" s="14">
        <f t="shared" si="15"/>
        <v>225.25</v>
      </c>
      <c r="F90" s="14">
        <f t="shared" si="13"/>
        <v>134.16999999999999</v>
      </c>
      <c r="G90" s="14">
        <f t="shared" si="13"/>
        <v>188.55</v>
      </c>
      <c r="H90" s="14">
        <f t="shared" si="12"/>
        <v>948.53</v>
      </c>
      <c r="I90" s="275">
        <f t="shared" si="22"/>
        <v>25853.859999999997</v>
      </c>
      <c r="J90" s="275">
        <f t="shared" si="23"/>
        <v>18882.489999999998</v>
      </c>
      <c r="K90" s="275">
        <f t="shared" si="20"/>
        <v>71677.979999999981</v>
      </c>
      <c r="L90" s="386">
        <f t="shared" si="16"/>
        <v>5</v>
      </c>
      <c r="M90" s="386">
        <f t="shared" si="21"/>
        <v>70</v>
      </c>
      <c r="N90" s="590">
        <f>INDEX(tblSubjectToLoan[Date],ROW()-ROW(tblContractForDeed[#Headers]))</f>
        <v>48000</v>
      </c>
      <c r="O90" s="275">
        <f>IF(ROW()=ROW(tblContractForDeed[#Headers])+1,$O$6,IF(INDEX(tblContractForDeed[End Bal],ROW()-ROW(tblContractForDeed[#Headers])-1)&lt;0,0,INDEX(tblContractForDeed[End Bal],ROW()-ROW(tblContractForDeed[#Headers])-1)))</f>
        <v>57814.62</v>
      </c>
      <c r="P90" s="445">
        <f>IF(tblContractForDeed[[#This Row],[Date]]="","",IF(tblContractForDeed[[#This Row],[Date]]&lt;cfdRateChangeDate,cfdRate1,cfdRate2))</f>
        <v>6.25E-2</v>
      </c>
      <c r="Q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90" s="275">
        <f>IF(tblContractForDeed[[#This Row],[Payment]]=0,0,MAX(0,MIN(tblContractForDeed[[#This Row],[Beg]],tblContractForDeed[[#This Row],[Payment]]-tblContractForDeed[[#This Row],[Int]])))</f>
        <v>344.15999999999997</v>
      </c>
      <c r="S90" s="275">
        <f>IF(OR(tblContractForDeed[[#This Row],[Date]]&lt;cfdContractDate,tblContractForDeed[[#This Row],[Date]]&gt;cfdEndDate),0,ROUND(tblContractForDeed[[#This Row],[Beg]]*(tblContractForDeed[[#This Row],[Int Rate]]/12),2))</f>
        <v>301.12</v>
      </c>
      <c r="T90" s="275">
        <f>IF(tblContractForDeed[[#This Row],[Payment]]=0,0,$W$2)</f>
        <v>134.16999999999999</v>
      </c>
      <c r="U90" s="275">
        <f>IF(tblContractForDeed[[#This Row],[Princ]]=0,0,$W$3)</f>
        <v>188.55</v>
      </c>
      <c r="V90" s="275">
        <f>SUM(tblContractForDeed[[#This Row],[Princ]],tblContractForDeed[[#This Row],[Int]],tblContractForDeed[[#This Row],[Ins]],tblContractForDeed[[#This Row],[Taxes]])</f>
        <v>968</v>
      </c>
      <c r="W90" s="275">
        <f>SUM(INDEX(tblContractForDeed[Princ],1):INDEX(tblContractForDeed[Princ],ROW()-ROW(tblContractForDeed[#Headers])))</f>
        <v>17787.54</v>
      </c>
      <c r="X90" s="275">
        <f>IF(tblContractForDeed[[#This Row],[Beg]]&lt;=0,0,tblContractForDeed[[#This Row],[Beg]]-tblContractForDeed[[#This Row],[Princ]])</f>
        <v>57470.46</v>
      </c>
      <c r="Y9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0" s="454">
        <f>IF(INDEX(tblContractForDeed[Payment],ROW()-ROW(tblBuyerOutputs[#Headers]))=0,0,INDEX(tblContractForDeed[Payment],ROW()-ROW(tblBuyerOutputs[#Headers]))-INDEX(tblSubjectToLoan[Payment],ROW()-ROW(tblBuyerOutputs[#Headers])))</f>
        <v>19.470000000000027</v>
      </c>
      <c r="AA90"/>
      <c r="AB90" s="14">
        <f>IF(INDEX(tblContractForDeed[Payment],ROW()-ROW(tblBuyerOutputs[#Headers]))=0,0,INDEX(tblContractForDeed[Payment],ROW()-ROW(tblBuyerOutputs[#Headers]))-INDEX(tblSubjectToLoan[Payment],ROW()-ROW(tblBuyerOutputs[#Headers])))-IFERROR(tblBuyerOutputs[[#This Row],[PMI]],0)</f>
        <v>19.470000000000027</v>
      </c>
      <c r="AC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687.64000000000169</v>
      </c>
      <c r="AD90" s="275">
        <f>IF(INDEX(tblContractForDeed[End Bal],ROW()-ROW(tblBuyerOutputs[#Headers]))&lt;=0,0,($O$6+IF(ROW()=ROW(tblBuyerOutputs[#Headers])+1,0,INDEX(tblBuyerOutputs[Cumul Appr],ROW()-ROW(tblBuyerOutputs[#Headers])-1)))*$O$2/12)</f>
        <v>419.51499756505109</v>
      </c>
      <c r="AE90" s="275">
        <f>IF(INDEX(tblContractForDeed[End Bal],ROW()-ROW(tblBuyerOutputs[#Headers]))&lt;=0,0,IF(ROW()=ROW(tblBuyerOutputs[#Headers])+1,0,INDEX(tblBuyerOutputs[Cumul Appr],ROW()-ROW(tblBuyerOutputs[#Headers])-1))+tblBuyerOutputs[[#This Row],[Monthly Appr]])</f>
        <v>25845.114413177311</v>
      </c>
      <c r="AF90" s="22"/>
      <c r="AG90" s="14"/>
      <c r="AL90"/>
      <c r="AM90" s="14"/>
      <c r="AO90" s="275"/>
      <c r="AQ90" s="14"/>
      <c r="AR90"/>
    </row>
    <row r="91" spans="1:44" ht="15.75" thickBot="1" x14ac:dyDescent="0.3">
      <c r="A91" s="591">
        <f t="shared" si="17"/>
        <v>48030</v>
      </c>
      <c r="B91" s="326">
        <f t="shared" si="18"/>
        <v>71677.979999999981</v>
      </c>
      <c r="C91" s="21">
        <f t="shared" si="14"/>
        <v>625.80999999999995</v>
      </c>
      <c r="D91" s="21">
        <f t="shared" si="19"/>
        <v>401.81999999999994</v>
      </c>
      <c r="E91" s="21">
        <f t="shared" si="15"/>
        <v>223.99</v>
      </c>
      <c r="F91" s="21">
        <f t="shared" si="13"/>
        <v>134.16999999999999</v>
      </c>
      <c r="G91" s="21">
        <f t="shared" si="13"/>
        <v>188.55</v>
      </c>
      <c r="H91" s="21">
        <f t="shared" si="12"/>
        <v>948.53</v>
      </c>
      <c r="I91" s="326">
        <f t="shared" si="22"/>
        <v>26255.679999999997</v>
      </c>
      <c r="J91" s="326">
        <f t="shared" si="23"/>
        <v>19106.48</v>
      </c>
      <c r="K91" s="326">
        <f t="shared" si="20"/>
        <v>71276.159999999974</v>
      </c>
      <c r="L91" s="387">
        <f t="shared" si="16"/>
        <v>5</v>
      </c>
      <c r="M91" s="387">
        <f t="shared" si="21"/>
        <v>71</v>
      </c>
      <c r="N91" s="591">
        <f>INDEX(tblSubjectToLoan[Date],ROW()-ROW(tblContractForDeed[#Headers]))</f>
        <v>48030</v>
      </c>
      <c r="O91" s="326">
        <f>IF(ROW()=ROW(tblContractForDeed[#Headers])+1,$O$6,IF(INDEX(tblContractForDeed[End Bal],ROW()-ROW(tblContractForDeed[#Headers])-1)&lt;0,0,INDEX(tblContractForDeed[End Bal],ROW()-ROW(tblContractForDeed[#Headers])-1)))</f>
        <v>57470.46</v>
      </c>
      <c r="P91" s="445">
        <f>IF(tblContractForDeed[[#This Row],[Date]]="","",IF(tblContractForDeed[[#This Row],[Date]]&lt;cfdRateChangeDate,cfdRate1,cfdRate2))</f>
        <v>6.7500000000000004E-2</v>
      </c>
      <c r="Q9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1" s="326">
        <f>IF(tblContractForDeed[[#This Row],[Payment]]=0,0,MAX(0,MIN(tblContractForDeed[[#This Row],[Beg]],tblContractForDeed[[#This Row],[Payment]]-tblContractForDeed[[#This Row],[Int]])))</f>
        <v>336.63</v>
      </c>
      <c r="S91" s="326">
        <f>IF(OR(tblContractForDeed[[#This Row],[Date]]&lt;cfdContractDate,tblContractForDeed[[#This Row],[Date]]&gt;cfdEndDate),0,ROUND(tblContractForDeed[[#This Row],[Beg]]*(tblContractForDeed[[#This Row],[Int Rate]]/12),2))</f>
        <v>323.27</v>
      </c>
      <c r="T91" s="326">
        <f>IF(tblContractForDeed[[#This Row],[Payment]]=0,0,$W$2)</f>
        <v>134.16999999999999</v>
      </c>
      <c r="U91" s="326">
        <f>IF(tblContractForDeed[[#This Row],[Princ]]=0,0,$W$3)</f>
        <v>188.55</v>
      </c>
      <c r="V91" s="326">
        <f>SUM(tblContractForDeed[[#This Row],[Princ]],tblContractForDeed[[#This Row],[Int]],tblContractForDeed[[#This Row],[Ins]],tblContractForDeed[[#This Row],[Taxes]])</f>
        <v>982.61999999999989</v>
      </c>
      <c r="W91" s="326">
        <f>SUM(INDEX(tblContractForDeed[Princ],1):INDEX(tblContractForDeed[Princ],ROW()-ROW(tblContractForDeed[#Headers])))</f>
        <v>18124.170000000002</v>
      </c>
      <c r="X91" s="326">
        <f>IF(tblContractForDeed[[#This Row],[Beg]]&lt;=0,0,tblContractForDeed[[#This Row],[Beg]]-tblContractForDeed[[#This Row],[Princ]])</f>
        <v>57133.83</v>
      </c>
      <c r="Y91"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1" s="455">
        <f>IF(INDEX(tblContractForDeed[Payment],ROW()-ROW(tblBuyerOutputs[#Headers]))=0,0,INDEX(tblContractForDeed[Payment],ROW()-ROW(tblBuyerOutputs[#Headers]))-INDEX(tblSubjectToLoan[Payment],ROW()-ROW(tblBuyerOutputs[#Headers])))</f>
        <v>34.090000000000032</v>
      </c>
      <c r="AA91" s="23"/>
      <c r="AB91" s="21">
        <f>IF(INDEX(tblContractForDeed[Payment],ROW()-ROW(tblBuyerOutputs[#Headers]))=0,0,INDEX(tblContractForDeed[Payment],ROW()-ROW(tblBuyerOutputs[#Headers]))-INDEX(tblSubjectToLoan[Payment],ROW()-ROW(tblBuyerOutputs[#Headers])))-IFERROR(tblBuyerOutputs[[#This Row],[PMI]],0)</f>
        <v>34.090000000000032</v>
      </c>
      <c r="AC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721.73000000000172</v>
      </c>
      <c r="AD91" s="326">
        <f>IF(INDEX(tblContractForDeed[End Bal],ROW()-ROW(tblBuyerOutputs[#Headers]))&lt;=0,0,($O$6+IF(ROW()=ROW(tblBuyerOutputs[#Headers])+1,0,INDEX(tblBuyerOutputs[Cumul Appr],ROW()-ROW(tblBuyerOutputs[#Headers])-1)))*$O$2/12)</f>
        <v>421.26297672157216</v>
      </c>
      <c r="AE91" s="326">
        <f>IF(INDEX(tblContractForDeed[End Bal],ROW()-ROW(tblBuyerOutputs[#Headers]))&lt;=0,0,IF(ROW()=ROW(tblBuyerOutputs[#Headers])+1,0,INDEX(tblBuyerOutputs[Cumul Appr],ROW()-ROW(tblBuyerOutputs[#Headers])-1))+tblBuyerOutputs[[#This Row],[Monthly Appr]])</f>
        <v>26266.377389898884</v>
      </c>
      <c r="AF91" s="22"/>
      <c r="AG91" s="14"/>
      <c r="AL91"/>
      <c r="AM91" s="14"/>
      <c r="AO91" s="275"/>
      <c r="AQ91" s="14"/>
      <c r="AR91"/>
    </row>
    <row r="92" spans="1:44" x14ac:dyDescent="0.25">
      <c r="A92" s="590">
        <f t="shared" si="17"/>
        <v>48061</v>
      </c>
      <c r="B92" s="275">
        <f t="shared" si="18"/>
        <v>71276.159999999974</v>
      </c>
      <c r="C92" s="14">
        <f t="shared" si="14"/>
        <v>625.80999999999995</v>
      </c>
      <c r="D92" s="14">
        <f t="shared" si="19"/>
        <v>403.06999999999994</v>
      </c>
      <c r="E92" s="14">
        <f t="shared" si="15"/>
        <v>222.74</v>
      </c>
      <c r="F92" s="14">
        <f t="shared" si="13"/>
        <v>134.16999999999999</v>
      </c>
      <c r="G92" s="14">
        <f t="shared" si="13"/>
        <v>188.55</v>
      </c>
      <c r="H92" s="14">
        <f t="shared" si="12"/>
        <v>948.53</v>
      </c>
      <c r="I92" s="275">
        <f t="shared" si="22"/>
        <v>26658.749999999996</v>
      </c>
      <c r="J92" s="275">
        <f t="shared" si="23"/>
        <v>19329.22</v>
      </c>
      <c r="K92" s="275">
        <f t="shared" si="20"/>
        <v>70873.089999999967</v>
      </c>
      <c r="L92" s="386">
        <f t="shared" si="16"/>
        <v>6</v>
      </c>
      <c r="M92" s="386">
        <f t="shared" si="21"/>
        <v>72</v>
      </c>
      <c r="N92" s="590">
        <f>INDEX(tblSubjectToLoan[Date],ROW()-ROW(tblContractForDeed[#Headers]))</f>
        <v>48061</v>
      </c>
      <c r="O92" s="275">
        <f>IF(ROW()=ROW(tblContractForDeed[#Headers])+1,$O$6,IF(INDEX(tblContractForDeed[End Bal],ROW()-ROW(tblContractForDeed[#Headers])-1)&lt;0,0,INDEX(tblContractForDeed[End Bal],ROW()-ROW(tblContractForDeed[#Headers])-1)))</f>
        <v>57133.83</v>
      </c>
      <c r="P92" s="445">
        <f>IF(tblContractForDeed[[#This Row],[Date]]="","",IF(tblContractForDeed[[#This Row],[Date]]&lt;cfdRateChangeDate,cfdRate1,cfdRate2))</f>
        <v>6.7500000000000004E-2</v>
      </c>
      <c r="Q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2" s="275">
        <f>IF(tblContractForDeed[[#This Row],[Payment]]=0,0,MAX(0,MIN(tblContractForDeed[[#This Row],[Beg]],tblContractForDeed[[#This Row],[Payment]]-tblContractForDeed[[#This Row],[Int]])))</f>
        <v>338.52</v>
      </c>
      <c r="S92" s="275">
        <f>IF(OR(tblContractForDeed[[#This Row],[Date]]&lt;cfdContractDate,tblContractForDeed[[#This Row],[Date]]&gt;cfdEndDate),0,ROUND(tblContractForDeed[[#This Row],[Beg]]*(tblContractForDeed[[#This Row],[Int Rate]]/12),2))</f>
        <v>321.38</v>
      </c>
      <c r="T92" s="275">
        <f>IF(tblContractForDeed[[#This Row],[Payment]]=0,0,$W$2)</f>
        <v>134.16999999999999</v>
      </c>
      <c r="U92" s="275">
        <f>IF(tblContractForDeed[[#This Row],[Princ]]=0,0,$W$3)</f>
        <v>188.55</v>
      </c>
      <c r="V92" s="275">
        <f>SUM(tblContractForDeed[[#This Row],[Princ]],tblContractForDeed[[#This Row],[Int]],tblContractForDeed[[#This Row],[Ins]],tblContractForDeed[[#This Row],[Taxes]])</f>
        <v>982.61999999999989</v>
      </c>
      <c r="W92" s="275">
        <f>SUM(INDEX(tblContractForDeed[Princ],1):INDEX(tblContractForDeed[Princ],ROW()-ROW(tblContractForDeed[#Headers])))</f>
        <v>18462.690000000002</v>
      </c>
      <c r="X92" s="275">
        <f>IF(tblContractForDeed[[#This Row],[Beg]]&lt;=0,0,tblContractForDeed[[#This Row],[Beg]]-tblContractForDeed[[#This Row],[Princ]])</f>
        <v>56795.310000000005</v>
      </c>
      <c r="Y9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2" s="454">
        <f>IF(INDEX(tblContractForDeed[Payment],ROW()-ROW(tblBuyerOutputs[#Headers]))=0,0,INDEX(tblContractForDeed[Payment],ROW()-ROW(tblBuyerOutputs[#Headers]))-INDEX(tblSubjectToLoan[Payment],ROW()-ROW(tblBuyerOutputs[#Headers])))</f>
        <v>34.090000000000032</v>
      </c>
      <c r="AA92"/>
      <c r="AB92" s="14">
        <f>IF(INDEX(tblContractForDeed[Payment],ROW()-ROW(tblBuyerOutputs[#Headers]))=0,0,INDEX(tblContractForDeed[Payment],ROW()-ROW(tblBuyerOutputs[#Headers]))-INDEX(tblSubjectToLoan[Payment],ROW()-ROW(tblBuyerOutputs[#Headers])))-IFERROR(tblBuyerOutputs[[#This Row],[PMI]],0)</f>
        <v>34.090000000000032</v>
      </c>
      <c r="AC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755.82000000000176</v>
      </c>
      <c r="AD92" s="275">
        <f>IF(INDEX(tblContractForDeed[End Bal],ROW()-ROW(tblBuyerOutputs[#Headers]))&lt;=0,0,($O$6+IF(ROW()=ROW(tblBuyerOutputs[#Headers])+1,0,INDEX(tblBuyerOutputs[Cumul Appr],ROW()-ROW(tblBuyerOutputs[#Headers])-1)))*$O$2/12)</f>
        <v>423.01823912457871</v>
      </c>
      <c r="AE92" s="275">
        <f>IF(INDEX(tblContractForDeed[End Bal],ROW()-ROW(tblBuyerOutputs[#Headers]))&lt;=0,0,IF(ROW()=ROW(tblBuyerOutputs[#Headers])+1,0,INDEX(tblBuyerOutputs[Cumul Appr],ROW()-ROW(tblBuyerOutputs[#Headers])-1))+tblBuyerOutputs[[#This Row],[Monthly Appr]])</f>
        <v>26689.395629023464</v>
      </c>
      <c r="AF92" s="22"/>
      <c r="AG92" s="14"/>
      <c r="AL92"/>
      <c r="AM92" s="14"/>
      <c r="AO92" s="275"/>
      <c r="AQ92" s="14"/>
      <c r="AR92"/>
    </row>
    <row r="93" spans="1:44" x14ac:dyDescent="0.25">
      <c r="A93" s="590">
        <f t="shared" si="17"/>
        <v>48092</v>
      </c>
      <c r="B93" s="275">
        <f t="shared" si="18"/>
        <v>70873.089999999967</v>
      </c>
      <c r="C93" s="14">
        <f t="shared" si="14"/>
        <v>625.80999999999995</v>
      </c>
      <c r="D93" s="14">
        <f t="shared" si="19"/>
        <v>404.32999999999993</v>
      </c>
      <c r="E93" s="14">
        <f t="shared" si="15"/>
        <v>221.48</v>
      </c>
      <c r="F93" s="14">
        <f t="shared" si="13"/>
        <v>134.16999999999999</v>
      </c>
      <c r="G93" s="14">
        <f t="shared" si="13"/>
        <v>188.55</v>
      </c>
      <c r="H93" s="14">
        <f t="shared" si="12"/>
        <v>948.53</v>
      </c>
      <c r="I93" s="275">
        <f t="shared" si="22"/>
        <v>27063.079999999994</v>
      </c>
      <c r="J93" s="275">
        <f t="shared" si="23"/>
        <v>19550.7</v>
      </c>
      <c r="K93" s="275">
        <f t="shared" si="20"/>
        <v>70468.759999999966</v>
      </c>
      <c r="L93" s="386">
        <f t="shared" si="16"/>
        <v>6</v>
      </c>
      <c r="M93" s="386">
        <f t="shared" si="21"/>
        <v>73</v>
      </c>
      <c r="N93" s="590">
        <f>INDEX(tblSubjectToLoan[Date],ROW()-ROW(tblContractForDeed[#Headers]))</f>
        <v>48092</v>
      </c>
      <c r="O93" s="275">
        <f>IF(ROW()=ROW(tblContractForDeed[#Headers])+1,$O$6,IF(INDEX(tblContractForDeed[End Bal],ROW()-ROW(tblContractForDeed[#Headers])-1)&lt;0,0,INDEX(tblContractForDeed[End Bal],ROW()-ROW(tblContractForDeed[#Headers])-1)))</f>
        <v>56795.310000000005</v>
      </c>
      <c r="P93" s="445">
        <f>IF(tblContractForDeed[[#This Row],[Date]]="","",IF(tblContractForDeed[[#This Row],[Date]]&lt;cfdRateChangeDate,cfdRate1,cfdRate2))</f>
        <v>6.7500000000000004E-2</v>
      </c>
      <c r="Q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3" s="275">
        <f>IF(tblContractForDeed[[#This Row],[Payment]]=0,0,MAX(0,MIN(tblContractForDeed[[#This Row],[Beg]],tblContractForDeed[[#This Row],[Payment]]-tblContractForDeed[[#This Row],[Int]])))</f>
        <v>340.42999999999995</v>
      </c>
      <c r="S93" s="275">
        <f>IF(OR(tblContractForDeed[[#This Row],[Date]]&lt;cfdContractDate,tblContractForDeed[[#This Row],[Date]]&gt;cfdEndDate),0,ROUND(tblContractForDeed[[#This Row],[Beg]]*(tblContractForDeed[[#This Row],[Int Rate]]/12),2))</f>
        <v>319.47000000000003</v>
      </c>
      <c r="T93" s="275">
        <f>IF(tblContractForDeed[[#This Row],[Payment]]=0,0,$W$2)</f>
        <v>134.16999999999999</v>
      </c>
      <c r="U93" s="275">
        <f>IF(tblContractForDeed[[#This Row],[Princ]]=0,0,$W$3)</f>
        <v>188.55</v>
      </c>
      <c r="V93" s="275">
        <f>SUM(tblContractForDeed[[#This Row],[Princ]],tblContractForDeed[[#This Row],[Int]],tblContractForDeed[[#This Row],[Ins]],tblContractForDeed[[#This Row],[Taxes]])</f>
        <v>982.61999999999989</v>
      </c>
      <c r="W93" s="275">
        <f>SUM(INDEX(tblContractForDeed[Princ],1):INDEX(tblContractForDeed[Princ],ROW()-ROW(tblContractForDeed[#Headers])))</f>
        <v>18803.120000000003</v>
      </c>
      <c r="X93" s="275">
        <f>IF(tblContractForDeed[[#This Row],[Beg]]&lt;=0,0,tblContractForDeed[[#This Row],[Beg]]-tblContractForDeed[[#This Row],[Princ]])</f>
        <v>56454.880000000005</v>
      </c>
      <c r="Y9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3" s="454">
        <f>IF(INDEX(tblContractForDeed[Payment],ROW()-ROW(tblBuyerOutputs[#Headers]))=0,0,INDEX(tblContractForDeed[Payment],ROW()-ROW(tblBuyerOutputs[#Headers]))-INDEX(tblSubjectToLoan[Payment],ROW()-ROW(tblBuyerOutputs[#Headers])))</f>
        <v>34.090000000000032</v>
      </c>
      <c r="AA93"/>
      <c r="AB93" s="14">
        <f>IF(INDEX(tblContractForDeed[Payment],ROW()-ROW(tblBuyerOutputs[#Headers]))=0,0,INDEX(tblContractForDeed[Payment],ROW()-ROW(tblBuyerOutputs[#Headers]))-INDEX(tblSubjectToLoan[Payment],ROW()-ROW(tblBuyerOutputs[#Headers])))-IFERROR(tblBuyerOutputs[[#This Row],[PMI]],0)</f>
        <v>34.090000000000032</v>
      </c>
      <c r="AC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789.91000000000179</v>
      </c>
      <c r="AD93" s="275">
        <f>IF(INDEX(tblContractForDeed[End Bal],ROW()-ROW(tblBuyerOutputs[#Headers]))&lt;=0,0,($O$6+IF(ROW()=ROW(tblBuyerOutputs[#Headers])+1,0,INDEX(tblBuyerOutputs[Cumul Appr],ROW()-ROW(tblBuyerOutputs[#Headers])-1)))*$O$2/12)</f>
        <v>424.78081512093109</v>
      </c>
      <c r="AE93" s="275">
        <f>IF(INDEX(tblContractForDeed[End Bal],ROW()-ROW(tblBuyerOutputs[#Headers]))&lt;=0,0,IF(ROW()=ROW(tblBuyerOutputs[#Headers])+1,0,INDEX(tblBuyerOutputs[Cumul Appr],ROW()-ROW(tblBuyerOutputs[#Headers])-1))+tblBuyerOutputs[[#This Row],[Monthly Appr]])</f>
        <v>27114.176444144396</v>
      </c>
      <c r="AF93" s="22"/>
      <c r="AG93" s="14"/>
      <c r="AL93"/>
      <c r="AM93" s="14"/>
      <c r="AO93" s="275"/>
      <c r="AQ93" s="14"/>
      <c r="AR93"/>
    </row>
    <row r="94" spans="1:44" x14ac:dyDescent="0.25">
      <c r="A94" s="590">
        <f t="shared" si="17"/>
        <v>48122</v>
      </c>
      <c r="B94" s="275">
        <f t="shared" si="18"/>
        <v>70468.759999999966</v>
      </c>
      <c r="C94" s="14">
        <f t="shared" si="14"/>
        <v>625.80999999999995</v>
      </c>
      <c r="D94" s="14">
        <f t="shared" si="19"/>
        <v>405.59999999999991</v>
      </c>
      <c r="E94" s="14">
        <f t="shared" si="15"/>
        <v>220.21</v>
      </c>
      <c r="F94" s="14">
        <f t="shared" si="13"/>
        <v>134.16999999999999</v>
      </c>
      <c r="G94" s="14">
        <f t="shared" si="13"/>
        <v>188.55</v>
      </c>
      <c r="H94" s="14">
        <f t="shared" si="12"/>
        <v>948.53</v>
      </c>
      <c r="I94" s="275">
        <f t="shared" si="22"/>
        <v>27468.679999999993</v>
      </c>
      <c r="J94" s="275">
        <f t="shared" si="23"/>
        <v>19770.91</v>
      </c>
      <c r="K94" s="275">
        <f t="shared" si="20"/>
        <v>70063.15999999996</v>
      </c>
      <c r="L94" s="386">
        <f t="shared" si="16"/>
        <v>6</v>
      </c>
      <c r="M94" s="386">
        <f t="shared" si="21"/>
        <v>74</v>
      </c>
      <c r="N94" s="590">
        <f>INDEX(tblSubjectToLoan[Date],ROW()-ROW(tblContractForDeed[#Headers]))</f>
        <v>48122</v>
      </c>
      <c r="O94" s="275">
        <f>IF(ROW()=ROW(tblContractForDeed[#Headers])+1,$O$6,IF(INDEX(tblContractForDeed[End Bal],ROW()-ROW(tblContractForDeed[#Headers])-1)&lt;0,0,INDEX(tblContractForDeed[End Bal],ROW()-ROW(tblContractForDeed[#Headers])-1)))</f>
        <v>56454.880000000005</v>
      </c>
      <c r="P94" s="445">
        <f>IF(tblContractForDeed[[#This Row],[Date]]="","",IF(tblContractForDeed[[#This Row],[Date]]&lt;cfdRateChangeDate,cfdRate1,cfdRate2))</f>
        <v>6.7500000000000004E-2</v>
      </c>
      <c r="Q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4" s="275">
        <f>IF(tblContractForDeed[[#This Row],[Payment]]=0,0,MAX(0,MIN(tblContractForDeed[[#This Row],[Beg]],tblContractForDeed[[#This Row],[Payment]]-tblContractForDeed[[#This Row],[Int]])))</f>
        <v>342.34</v>
      </c>
      <c r="S94" s="275">
        <f>IF(OR(tblContractForDeed[[#This Row],[Date]]&lt;cfdContractDate,tblContractForDeed[[#This Row],[Date]]&gt;cfdEndDate),0,ROUND(tblContractForDeed[[#This Row],[Beg]]*(tblContractForDeed[[#This Row],[Int Rate]]/12),2))</f>
        <v>317.56</v>
      </c>
      <c r="T94" s="275">
        <f>IF(tblContractForDeed[[#This Row],[Payment]]=0,0,$W$2)</f>
        <v>134.16999999999999</v>
      </c>
      <c r="U94" s="275">
        <f>IF(tblContractForDeed[[#This Row],[Princ]]=0,0,$W$3)</f>
        <v>188.55</v>
      </c>
      <c r="V94" s="275">
        <f>SUM(tblContractForDeed[[#This Row],[Princ]],tblContractForDeed[[#This Row],[Int]],tblContractForDeed[[#This Row],[Ins]],tblContractForDeed[[#This Row],[Taxes]])</f>
        <v>982.61999999999989</v>
      </c>
      <c r="W94" s="275">
        <f>SUM(INDEX(tblContractForDeed[Princ],1):INDEX(tblContractForDeed[Princ],ROW()-ROW(tblContractForDeed[#Headers])))</f>
        <v>19145.460000000003</v>
      </c>
      <c r="X94" s="275">
        <f>IF(tblContractForDeed[[#This Row],[Beg]]&lt;=0,0,tblContractForDeed[[#This Row],[Beg]]-tblContractForDeed[[#This Row],[Princ]])</f>
        <v>56112.540000000008</v>
      </c>
      <c r="Y9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4" s="454">
        <f>IF(INDEX(tblContractForDeed[Payment],ROW()-ROW(tblBuyerOutputs[#Headers]))=0,0,INDEX(tblContractForDeed[Payment],ROW()-ROW(tblBuyerOutputs[#Headers]))-INDEX(tblSubjectToLoan[Payment],ROW()-ROW(tblBuyerOutputs[#Headers])))</f>
        <v>34.090000000000032</v>
      </c>
      <c r="AA94"/>
      <c r="AB94" s="14">
        <f>IF(INDEX(tblContractForDeed[Payment],ROW()-ROW(tblBuyerOutputs[#Headers]))=0,0,INDEX(tblContractForDeed[Payment],ROW()-ROW(tblBuyerOutputs[#Headers]))-INDEX(tblSubjectToLoan[Payment],ROW()-ROW(tblBuyerOutputs[#Headers])))-IFERROR(tblBuyerOutputs[[#This Row],[PMI]],0)</f>
        <v>34.090000000000032</v>
      </c>
      <c r="AC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824.00000000000182</v>
      </c>
      <c r="AD94" s="275">
        <f>IF(INDEX(tblContractForDeed[End Bal],ROW()-ROW(tblBuyerOutputs[#Headers]))&lt;=0,0,($O$6+IF(ROW()=ROW(tblBuyerOutputs[#Headers])+1,0,INDEX(tblBuyerOutputs[Cumul Appr],ROW()-ROW(tblBuyerOutputs[#Headers])-1)))*$O$2/12)</f>
        <v>426.55073518393505</v>
      </c>
      <c r="AE94" s="275">
        <f>IF(INDEX(tblContractForDeed[End Bal],ROW()-ROW(tblBuyerOutputs[#Headers]))&lt;=0,0,IF(ROW()=ROW(tblBuyerOutputs[#Headers])+1,0,INDEX(tblBuyerOutputs[Cumul Appr],ROW()-ROW(tblBuyerOutputs[#Headers])-1))+tblBuyerOutputs[[#This Row],[Monthly Appr]])</f>
        <v>27540.727179328329</v>
      </c>
      <c r="AF94" s="22"/>
      <c r="AG94" s="14"/>
      <c r="AL94"/>
      <c r="AM94" s="14"/>
      <c r="AO94" s="275"/>
      <c r="AQ94" s="14"/>
      <c r="AR94"/>
    </row>
    <row r="95" spans="1:44" x14ac:dyDescent="0.25">
      <c r="A95" s="590">
        <f t="shared" si="17"/>
        <v>48153</v>
      </c>
      <c r="B95" s="275">
        <f t="shared" si="18"/>
        <v>70063.15999999996</v>
      </c>
      <c r="C95" s="14">
        <f t="shared" si="14"/>
        <v>625.80999999999995</v>
      </c>
      <c r="D95" s="14">
        <f t="shared" si="19"/>
        <v>406.85999999999996</v>
      </c>
      <c r="E95" s="14">
        <f t="shared" si="15"/>
        <v>218.95</v>
      </c>
      <c r="F95" s="14">
        <f t="shared" ref="F95:G110" si="24">+F94</f>
        <v>134.16999999999999</v>
      </c>
      <c r="G95" s="14">
        <f t="shared" si="24"/>
        <v>188.55</v>
      </c>
      <c r="H95" s="14">
        <f t="shared" si="12"/>
        <v>948.53</v>
      </c>
      <c r="I95" s="275">
        <f t="shared" si="22"/>
        <v>27875.539999999994</v>
      </c>
      <c r="J95" s="275">
        <f t="shared" si="23"/>
        <v>19989.86</v>
      </c>
      <c r="K95" s="275">
        <f t="shared" si="20"/>
        <v>69656.299999999959</v>
      </c>
      <c r="L95" s="386">
        <f t="shared" si="16"/>
        <v>6</v>
      </c>
      <c r="M95" s="386">
        <f t="shared" si="21"/>
        <v>75</v>
      </c>
      <c r="N95" s="590">
        <f>INDEX(tblSubjectToLoan[Date],ROW()-ROW(tblContractForDeed[#Headers]))</f>
        <v>48153</v>
      </c>
      <c r="O95" s="275">
        <f>IF(ROW()=ROW(tblContractForDeed[#Headers])+1,$O$6,IF(INDEX(tblContractForDeed[End Bal],ROW()-ROW(tblContractForDeed[#Headers])-1)&lt;0,0,INDEX(tblContractForDeed[End Bal],ROW()-ROW(tblContractForDeed[#Headers])-1)))</f>
        <v>56112.540000000008</v>
      </c>
      <c r="P95" s="445">
        <f>IF(tblContractForDeed[[#This Row],[Date]]="","",IF(tblContractForDeed[[#This Row],[Date]]&lt;cfdRateChangeDate,cfdRate1,cfdRate2))</f>
        <v>6.7500000000000004E-2</v>
      </c>
      <c r="Q9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5" s="275">
        <f>IF(tblContractForDeed[[#This Row],[Payment]]=0,0,MAX(0,MIN(tblContractForDeed[[#This Row],[Beg]],tblContractForDeed[[#This Row],[Payment]]-tblContractForDeed[[#This Row],[Int]])))</f>
        <v>344.27</v>
      </c>
      <c r="S95" s="275">
        <f>IF(OR(tblContractForDeed[[#This Row],[Date]]&lt;cfdContractDate,tblContractForDeed[[#This Row],[Date]]&gt;cfdEndDate),0,ROUND(tblContractForDeed[[#This Row],[Beg]]*(tblContractForDeed[[#This Row],[Int Rate]]/12),2))</f>
        <v>315.63</v>
      </c>
      <c r="T95" s="275">
        <f>IF(tblContractForDeed[[#This Row],[Payment]]=0,0,$W$2)</f>
        <v>134.16999999999999</v>
      </c>
      <c r="U95" s="275">
        <f>IF(tblContractForDeed[[#This Row],[Princ]]=0,0,$W$3)</f>
        <v>188.55</v>
      </c>
      <c r="V95" s="275">
        <f>SUM(tblContractForDeed[[#This Row],[Princ]],tblContractForDeed[[#This Row],[Int]],tblContractForDeed[[#This Row],[Ins]],tblContractForDeed[[#This Row],[Taxes]])</f>
        <v>982.61999999999989</v>
      </c>
      <c r="W95" s="275">
        <f>SUM(INDEX(tblContractForDeed[Princ],1):INDEX(tblContractForDeed[Princ],ROW()-ROW(tblContractForDeed[#Headers])))</f>
        <v>19489.730000000003</v>
      </c>
      <c r="X95" s="275">
        <f>IF(tblContractForDeed[[#This Row],[Beg]]&lt;=0,0,tblContractForDeed[[#This Row],[Beg]]-tblContractForDeed[[#This Row],[Princ]])</f>
        <v>55768.270000000011</v>
      </c>
      <c r="Y9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5" s="454">
        <f>IF(INDEX(tblContractForDeed[Payment],ROW()-ROW(tblBuyerOutputs[#Headers]))=0,0,INDEX(tblContractForDeed[Payment],ROW()-ROW(tblBuyerOutputs[#Headers]))-INDEX(tblSubjectToLoan[Payment],ROW()-ROW(tblBuyerOutputs[#Headers])))</f>
        <v>34.090000000000032</v>
      </c>
      <c r="AA95"/>
      <c r="AB95" s="14">
        <f>IF(INDEX(tblContractForDeed[Payment],ROW()-ROW(tblBuyerOutputs[#Headers]))=0,0,INDEX(tblContractForDeed[Payment],ROW()-ROW(tblBuyerOutputs[#Headers]))-INDEX(tblSubjectToLoan[Payment],ROW()-ROW(tblBuyerOutputs[#Headers])))-IFERROR(tblBuyerOutputs[[#This Row],[PMI]],0)</f>
        <v>34.090000000000032</v>
      </c>
      <c r="AC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858.09000000000185</v>
      </c>
      <c r="AD95" s="275">
        <f>IF(INDEX(tblContractForDeed[End Bal],ROW()-ROW(tblBuyerOutputs[#Headers]))&lt;=0,0,($O$6+IF(ROW()=ROW(tblBuyerOutputs[#Headers])+1,0,INDEX(tblBuyerOutputs[Cumul Appr],ROW()-ROW(tblBuyerOutputs[#Headers])-1)))*$O$2/12)</f>
        <v>428.32802991386808</v>
      </c>
      <c r="AE95" s="275">
        <f>IF(INDEX(tblContractForDeed[End Bal],ROW()-ROW(tblBuyerOutputs[#Headers]))&lt;=0,0,IF(ROW()=ROW(tblBuyerOutputs[#Headers])+1,0,INDEX(tblBuyerOutputs[Cumul Appr],ROW()-ROW(tblBuyerOutputs[#Headers])-1))+tblBuyerOutputs[[#This Row],[Monthly Appr]])</f>
        <v>27969.055209242197</v>
      </c>
      <c r="AF95" s="22"/>
      <c r="AG95" s="14"/>
      <c r="AL95"/>
      <c r="AM95" s="14"/>
      <c r="AO95" s="275"/>
      <c r="AQ95" s="14"/>
      <c r="AR95"/>
    </row>
    <row r="96" spans="1:44" x14ac:dyDescent="0.25">
      <c r="A96" s="590">
        <f t="shared" si="17"/>
        <v>48183</v>
      </c>
      <c r="B96" s="275">
        <f t="shared" si="18"/>
        <v>69656.299999999959</v>
      </c>
      <c r="C96" s="14">
        <f t="shared" si="14"/>
        <v>625.80999999999995</v>
      </c>
      <c r="D96" s="14">
        <f t="shared" si="19"/>
        <v>408.12999999999994</v>
      </c>
      <c r="E96" s="14">
        <f t="shared" si="15"/>
        <v>217.68</v>
      </c>
      <c r="F96" s="14">
        <f t="shared" si="24"/>
        <v>134.16999999999999</v>
      </c>
      <c r="G96" s="14">
        <f t="shared" si="24"/>
        <v>188.55</v>
      </c>
      <c r="H96" s="14">
        <f t="shared" si="12"/>
        <v>948.53</v>
      </c>
      <c r="I96" s="275">
        <f t="shared" si="22"/>
        <v>28283.669999999995</v>
      </c>
      <c r="J96" s="275">
        <f t="shared" si="23"/>
        <v>20207.54</v>
      </c>
      <c r="K96" s="275">
        <f t="shared" si="20"/>
        <v>69248.169999999955</v>
      </c>
      <c r="L96" s="386">
        <f t="shared" si="16"/>
        <v>6</v>
      </c>
      <c r="M96" s="386">
        <f t="shared" si="21"/>
        <v>76</v>
      </c>
      <c r="N96" s="590">
        <f>INDEX(tblSubjectToLoan[Date],ROW()-ROW(tblContractForDeed[#Headers]))</f>
        <v>48183</v>
      </c>
      <c r="O96" s="275">
        <f>IF(ROW()=ROW(tblContractForDeed[#Headers])+1,$O$6,IF(INDEX(tblContractForDeed[End Bal],ROW()-ROW(tblContractForDeed[#Headers])-1)&lt;0,0,INDEX(tblContractForDeed[End Bal],ROW()-ROW(tblContractForDeed[#Headers])-1)))</f>
        <v>55768.270000000011</v>
      </c>
      <c r="P96" s="445">
        <f>IF(tblContractForDeed[[#This Row],[Date]]="","",IF(tblContractForDeed[[#This Row],[Date]]&lt;cfdRateChangeDate,cfdRate1,cfdRate2))</f>
        <v>6.7500000000000004E-2</v>
      </c>
      <c r="Q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6" s="275">
        <f>IF(tblContractForDeed[[#This Row],[Payment]]=0,0,MAX(0,MIN(tblContractForDeed[[#This Row],[Beg]],tblContractForDeed[[#This Row],[Payment]]-tblContractForDeed[[#This Row],[Int]])))</f>
        <v>346.2</v>
      </c>
      <c r="S96" s="275">
        <f>IF(OR(tblContractForDeed[[#This Row],[Date]]&lt;cfdContractDate,tblContractForDeed[[#This Row],[Date]]&gt;cfdEndDate),0,ROUND(tblContractForDeed[[#This Row],[Beg]]*(tblContractForDeed[[#This Row],[Int Rate]]/12),2))</f>
        <v>313.7</v>
      </c>
      <c r="T96" s="275">
        <f>IF(tblContractForDeed[[#This Row],[Payment]]=0,0,$W$2)</f>
        <v>134.16999999999999</v>
      </c>
      <c r="U96" s="275">
        <f>IF(tblContractForDeed[[#This Row],[Princ]]=0,0,$W$3)</f>
        <v>188.55</v>
      </c>
      <c r="V96" s="275">
        <f>SUM(tblContractForDeed[[#This Row],[Princ]],tblContractForDeed[[#This Row],[Int]],tblContractForDeed[[#This Row],[Ins]],tblContractForDeed[[#This Row],[Taxes]])</f>
        <v>982.61999999999989</v>
      </c>
      <c r="W96" s="275">
        <f>SUM(INDEX(tblContractForDeed[Princ],1):INDEX(tblContractForDeed[Princ],ROW()-ROW(tblContractForDeed[#Headers])))</f>
        <v>19835.930000000004</v>
      </c>
      <c r="X96" s="275">
        <f>IF(tblContractForDeed[[#This Row],[Beg]]&lt;=0,0,tblContractForDeed[[#This Row],[Beg]]-tblContractForDeed[[#This Row],[Princ]])</f>
        <v>55422.070000000014</v>
      </c>
      <c r="Y9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6" s="454">
        <f>IF(INDEX(tblContractForDeed[Payment],ROW()-ROW(tblBuyerOutputs[#Headers]))=0,0,INDEX(tblContractForDeed[Payment],ROW()-ROW(tblBuyerOutputs[#Headers]))-INDEX(tblSubjectToLoan[Payment],ROW()-ROW(tblBuyerOutputs[#Headers])))</f>
        <v>34.090000000000032</v>
      </c>
      <c r="AA96"/>
      <c r="AB96" s="14">
        <f>IF(INDEX(tblContractForDeed[Payment],ROW()-ROW(tblBuyerOutputs[#Headers]))=0,0,INDEX(tblContractForDeed[Payment],ROW()-ROW(tblBuyerOutputs[#Headers]))-INDEX(tblSubjectToLoan[Payment],ROW()-ROW(tblBuyerOutputs[#Headers])))-IFERROR(tblBuyerOutputs[[#This Row],[PMI]],0)</f>
        <v>34.090000000000032</v>
      </c>
      <c r="AC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892.18000000000188</v>
      </c>
      <c r="AD96" s="275">
        <f>IF(INDEX(tblContractForDeed[End Bal],ROW()-ROW(tblBuyerOutputs[#Headers]))&lt;=0,0,($O$6+IF(ROW()=ROW(tblBuyerOutputs[#Headers])+1,0,INDEX(tblBuyerOutputs[Cumul Appr],ROW()-ROW(tblBuyerOutputs[#Headers])-1)))*$O$2/12)</f>
        <v>430.1127300385092</v>
      </c>
      <c r="AE96" s="275">
        <f>IF(INDEX(tblContractForDeed[End Bal],ROW()-ROW(tblBuyerOutputs[#Headers]))&lt;=0,0,IF(ROW()=ROW(tblBuyerOutputs[#Headers])+1,0,INDEX(tblBuyerOutputs[Cumul Appr],ROW()-ROW(tblBuyerOutputs[#Headers])-1))+tblBuyerOutputs[[#This Row],[Monthly Appr]])</f>
        <v>28399.167939280705</v>
      </c>
      <c r="AF96" s="22"/>
      <c r="AG96" s="14"/>
      <c r="AL96"/>
      <c r="AM96" s="14"/>
      <c r="AO96" s="275"/>
      <c r="AQ96" s="14"/>
      <c r="AR96"/>
    </row>
    <row r="97" spans="1:44" x14ac:dyDescent="0.25">
      <c r="A97" s="590">
        <f t="shared" si="17"/>
        <v>48214</v>
      </c>
      <c r="B97" s="275">
        <f t="shared" si="18"/>
        <v>69248.169999999955</v>
      </c>
      <c r="C97" s="14">
        <f t="shared" si="14"/>
        <v>625.80999999999995</v>
      </c>
      <c r="D97" s="14">
        <f t="shared" si="19"/>
        <v>409.40999999999997</v>
      </c>
      <c r="E97" s="14">
        <f t="shared" si="15"/>
        <v>216.4</v>
      </c>
      <c r="F97" s="14">
        <f t="shared" si="24"/>
        <v>134.16999999999999</v>
      </c>
      <c r="G97" s="14">
        <f t="shared" si="24"/>
        <v>188.55</v>
      </c>
      <c r="H97" s="14">
        <f t="shared" si="12"/>
        <v>948.53</v>
      </c>
      <c r="I97" s="275">
        <f t="shared" si="22"/>
        <v>28693.079999999994</v>
      </c>
      <c r="J97" s="275">
        <f t="shared" si="23"/>
        <v>20423.940000000002</v>
      </c>
      <c r="K97" s="275">
        <f t="shared" si="20"/>
        <v>68838.759999999951</v>
      </c>
      <c r="L97" s="386">
        <f t="shared" si="16"/>
        <v>6</v>
      </c>
      <c r="M97" s="386">
        <f t="shared" si="21"/>
        <v>77</v>
      </c>
      <c r="N97" s="590">
        <f>INDEX(tblSubjectToLoan[Date],ROW()-ROW(tblContractForDeed[#Headers]))</f>
        <v>48214</v>
      </c>
      <c r="O97" s="275">
        <f>IF(ROW()=ROW(tblContractForDeed[#Headers])+1,$O$6,IF(INDEX(tblContractForDeed[End Bal],ROW()-ROW(tblContractForDeed[#Headers])-1)&lt;0,0,INDEX(tblContractForDeed[End Bal],ROW()-ROW(tblContractForDeed[#Headers])-1)))</f>
        <v>55422.070000000014</v>
      </c>
      <c r="P97" s="445">
        <f>IF(tblContractForDeed[[#This Row],[Date]]="","",IF(tblContractForDeed[[#This Row],[Date]]&lt;cfdRateChangeDate,cfdRate1,cfdRate2))</f>
        <v>6.7500000000000004E-2</v>
      </c>
      <c r="Q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7" s="275">
        <f>IF(tblContractForDeed[[#This Row],[Payment]]=0,0,MAX(0,MIN(tblContractForDeed[[#This Row],[Beg]],tblContractForDeed[[#This Row],[Payment]]-tblContractForDeed[[#This Row],[Int]])))</f>
        <v>348.15</v>
      </c>
      <c r="S97" s="275">
        <f>IF(OR(tblContractForDeed[[#This Row],[Date]]&lt;cfdContractDate,tblContractForDeed[[#This Row],[Date]]&gt;cfdEndDate),0,ROUND(tblContractForDeed[[#This Row],[Beg]]*(tblContractForDeed[[#This Row],[Int Rate]]/12),2))</f>
        <v>311.75</v>
      </c>
      <c r="T97" s="275">
        <f>IF(tblContractForDeed[[#This Row],[Payment]]=0,0,$W$2)</f>
        <v>134.16999999999999</v>
      </c>
      <c r="U97" s="275">
        <f>IF(tblContractForDeed[[#This Row],[Princ]]=0,0,$W$3)</f>
        <v>188.55</v>
      </c>
      <c r="V97" s="275">
        <f>SUM(tblContractForDeed[[#This Row],[Princ]],tblContractForDeed[[#This Row],[Int]],tblContractForDeed[[#This Row],[Ins]],tblContractForDeed[[#This Row],[Taxes]])</f>
        <v>982.61999999999989</v>
      </c>
      <c r="W97" s="275">
        <f>SUM(INDEX(tblContractForDeed[Princ],1):INDEX(tblContractForDeed[Princ],ROW()-ROW(tblContractForDeed[#Headers])))</f>
        <v>20184.080000000005</v>
      </c>
      <c r="X97" s="275">
        <f>IF(tblContractForDeed[[#This Row],[Beg]]&lt;=0,0,tblContractForDeed[[#This Row],[Beg]]-tblContractForDeed[[#This Row],[Princ]])</f>
        <v>55073.920000000013</v>
      </c>
      <c r="Y9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7" s="454">
        <f>IF(INDEX(tblContractForDeed[Payment],ROW()-ROW(tblBuyerOutputs[#Headers]))=0,0,INDEX(tblContractForDeed[Payment],ROW()-ROW(tblBuyerOutputs[#Headers]))-INDEX(tblSubjectToLoan[Payment],ROW()-ROW(tblBuyerOutputs[#Headers])))</f>
        <v>34.090000000000032</v>
      </c>
      <c r="AA97"/>
      <c r="AB97" s="14">
        <f>IF(INDEX(tblContractForDeed[Payment],ROW()-ROW(tblBuyerOutputs[#Headers]))=0,0,INDEX(tblContractForDeed[Payment],ROW()-ROW(tblBuyerOutputs[#Headers]))-INDEX(tblSubjectToLoan[Payment],ROW()-ROW(tblBuyerOutputs[#Headers])))-IFERROR(tblBuyerOutputs[[#This Row],[PMI]],0)</f>
        <v>34.090000000000032</v>
      </c>
      <c r="AC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926.27000000000191</v>
      </c>
      <c r="AD97" s="275">
        <f>IF(INDEX(tblContractForDeed[End Bal],ROW()-ROW(tblBuyerOutputs[#Headers]))&lt;=0,0,($O$6+IF(ROW()=ROW(tblBuyerOutputs[#Headers])+1,0,INDEX(tblBuyerOutputs[Cumul Appr],ROW()-ROW(tblBuyerOutputs[#Headers])-1)))*$O$2/12)</f>
        <v>431.90486641366965</v>
      </c>
      <c r="AE97" s="275">
        <f>IF(INDEX(tblContractForDeed[End Bal],ROW()-ROW(tblBuyerOutputs[#Headers]))&lt;=0,0,IF(ROW()=ROW(tblBuyerOutputs[#Headers])+1,0,INDEX(tblBuyerOutputs[Cumul Appr],ROW()-ROW(tblBuyerOutputs[#Headers])-1))+tblBuyerOutputs[[#This Row],[Monthly Appr]])</f>
        <v>28831.072805694374</v>
      </c>
      <c r="AF97" s="22"/>
      <c r="AG97" s="14"/>
      <c r="AL97"/>
      <c r="AM97" s="14"/>
      <c r="AO97" s="275"/>
      <c r="AQ97" s="14"/>
      <c r="AR97"/>
    </row>
    <row r="98" spans="1:44" x14ac:dyDescent="0.25">
      <c r="A98" s="590">
        <f t="shared" si="17"/>
        <v>48245</v>
      </c>
      <c r="B98" s="275">
        <f t="shared" si="18"/>
        <v>68838.759999999951</v>
      </c>
      <c r="C98" s="14">
        <f t="shared" si="14"/>
        <v>625.80999999999995</v>
      </c>
      <c r="D98" s="14">
        <f t="shared" si="19"/>
        <v>410.68999999999994</v>
      </c>
      <c r="E98" s="14">
        <f t="shared" si="15"/>
        <v>215.12</v>
      </c>
      <c r="F98" s="14">
        <f t="shared" si="24"/>
        <v>134.16999999999999</v>
      </c>
      <c r="G98" s="14">
        <f t="shared" si="24"/>
        <v>188.55</v>
      </c>
      <c r="H98" s="14">
        <f t="shared" si="12"/>
        <v>948.53</v>
      </c>
      <c r="I98" s="275">
        <f t="shared" si="22"/>
        <v>29103.769999999993</v>
      </c>
      <c r="J98" s="275">
        <f t="shared" si="23"/>
        <v>20639.060000000001</v>
      </c>
      <c r="K98" s="275">
        <f t="shared" si="20"/>
        <v>68428.069999999949</v>
      </c>
      <c r="L98" s="386">
        <f t="shared" si="16"/>
        <v>6</v>
      </c>
      <c r="M98" s="386">
        <f t="shared" si="21"/>
        <v>78</v>
      </c>
      <c r="N98" s="590">
        <f>INDEX(tblSubjectToLoan[Date],ROW()-ROW(tblContractForDeed[#Headers]))</f>
        <v>48245</v>
      </c>
      <c r="O98" s="275">
        <f>IF(ROW()=ROW(tblContractForDeed[#Headers])+1,$O$6,IF(INDEX(tblContractForDeed[End Bal],ROW()-ROW(tblContractForDeed[#Headers])-1)&lt;0,0,INDEX(tblContractForDeed[End Bal],ROW()-ROW(tblContractForDeed[#Headers])-1)))</f>
        <v>55073.920000000013</v>
      </c>
      <c r="P98" s="445">
        <f>IF(tblContractForDeed[[#This Row],[Date]]="","",IF(tblContractForDeed[[#This Row],[Date]]&lt;cfdRateChangeDate,cfdRate1,cfdRate2))</f>
        <v>6.7500000000000004E-2</v>
      </c>
      <c r="Q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8" s="275">
        <f>IF(tblContractForDeed[[#This Row],[Payment]]=0,0,MAX(0,MIN(tblContractForDeed[[#This Row],[Beg]],tblContractForDeed[[#This Row],[Payment]]-tblContractForDeed[[#This Row],[Int]])))</f>
        <v>350.10999999999996</v>
      </c>
      <c r="S98" s="275">
        <f>IF(OR(tblContractForDeed[[#This Row],[Date]]&lt;cfdContractDate,tblContractForDeed[[#This Row],[Date]]&gt;cfdEndDate),0,ROUND(tblContractForDeed[[#This Row],[Beg]]*(tblContractForDeed[[#This Row],[Int Rate]]/12),2))</f>
        <v>309.79000000000002</v>
      </c>
      <c r="T98" s="275">
        <f>IF(tblContractForDeed[[#This Row],[Payment]]=0,0,$W$2)</f>
        <v>134.16999999999999</v>
      </c>
      <c r="U98" s="275">
        <f>IF(tblContractForDeed[[#This Row],[Princ]]=0,0,$W$3)</f>
        <v>188.55</v>
      </c>
      <c r="V98" s="275">
        <f>SUM(tblContractForDeed[[#This Row],[Princ]],tblContractForDeed[[#This Row],[Int]],tblContractForDeed[[#This Row],[Ins]],tblContractForDeed[[#This Row],[Taxes]])</f>
        <v>982.61999999999989</v>
      </c>
      <c r="W98" s="275">
        <f>SUM(INDEX(tblContractForDeed[Princ],1):INDEX(tblContractForDeed[Princ],ROW()-ROW(tblContractForDeed[#Headers])))</f>
        <v>20534.190000000006</v>
      </c>
      <c r="X98" s="275">
        <f>IF(tblContractForDeed[[#This Row],[Beg]]&lt;=0,0,tblContractForDeed[[#This Row],[Beg]]-tblContractForDeed[[#This Row],[Princ]])</f>
        <v>54723.810000000012</v>
      </c>
      <c r="Y9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8" s="454">
        <f>IF(INDEX(tblContractForDeed[Payment],ROW()-ROW(tblBuyerOutputs[#Headers]))=0,0,INDEX(tblContractForDeed[Payment],ROW()-ROW(tblBuyerOutputs[#Headers]))-INDEX(tblSubjectToLoan[Payment],ROW()-ROW(tblBuyerOutputs[#Headers])))</f>
        <v>34.090000000000032</v>
      </c>
      <c r="AA98"/>
      <c r="AB98" s="14">
        <f>IF(INDEX(tblContractForDeed[Payment],ROW()-ROW(tblBuyerOutputs[#Headers]))=0,0,INDEX(tblContractForDeed[Payment],ROW()-ROW(tblBuyerOutputs[#Headers]))-INDEX(tblSubjectToLoan[Payment],ROW()-ROW(tblBuyerOutputs[#Headers])))-IFERROR(tblBuyerOutputs[[#This Row],[PMI]],0)</f>
        <v>34.090000000000032</v>
      </c>
      <c r="AC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960.36000000000195</v>
      </c>
      <c r="AD98" s="275">
        <f>IF(INDEX(tblContractForDeed[End Bal],ROW()-ROW(tblBuyerOutputs[#Headers]))&lt;=0,0,($O$6+IF(ROW()=ROW(tblBuyerOutputs[#Headers])+1,0,INDEX(tblBuyerOutputs[Cumul Appr],ROW()-ROW(tblBuyerOutputs[#Headers])-1)))*$O$2/12)</f>
        <v>433.70447002372657</v>
      </c>
      <c r="AE98" s="275">
        <f>IF(INDEX(tblContractForDeed[End Bal],ROW()-ROW(tblBuyerOutputs[#Headers]))&lt;=0,0,IF(ROW()=ROW(tblBuyerOutputs[#Headers])+1,0,INDEX(tblBuyerOutputs[Cumul Appr],ROW()-ROW(tblBuyerOutputs[#Headers])-1))+tblBuyerOutputs[[#This Row],[Monthly Appr]])</f>
        <v>29264.777275718101</v>
      </c>
      <c r="AF98" s="22"/>
      <c r="AG98" s="14"/>
      <c r="AL98"/>
      <c r="AM98" s="14"/>
      <c r="AO98" s="275"/>
      <c r="AQ98" s="14"/>
      <c r="AR98"/>
    </row>
    <row r="99" spans="1:44" x14ac:dyDescent="0.25">
      <c r="A99" s="590">
        <f t="shared" si="17"/>
        <v>48274</v>
      </c>
      <c r="B99" s="275">
        <f t="shared" si="18"/>
        <v>68428.069999999949</v>
      </c>
      <c r="C99" s="14">
        <f t="shared" si="14"/>
        <v>625.80999999999995</v>
      </c>
      <c r="D99" s="14">
        <f t="shared" si="19"/>
        <v>411.96999999999991</v>
      </c>
      <c r="E99" s="14">
        <f t="shared" si="15"/>
        <v>213.84</v>
      </c>
      <c r="F99" s="14">
        <f t="shared" si="24"/>
        <v>134.16999999999999</v>
      </c>
      <c r="G99" s="14">
        <f t="shared" si="24"/>
        <v>188.55</v>
      </c>
      <c r="H99" s="14">
        <f t="shared" si="12"/>
        <v>948.53</v>
      </c>
      <c r="I99" s="275">
        <f t="shared" si="22"/>
        <v>29515.739999999994</v>
      </c>
      <c r="J99" s="275">
        <f t="shared" si="23"/>
        <v>20852.900000000001</v>
      </c>
      <c r="K99" s="275">
        <f t="shared" si="20"/>
        <v>68016.099999999948</v>
      </c>
      <c r="L99" s="386">
        <f t="shared" si="16"/>
        <v>6</v>
      </c>
      <c r="M99" s="386">
        <f t="shared" si="21"/>
        <v>79</v>
      </c>
      <c r="N99" s="590">
        <f>INDEX(tblSubjectToLoan[Date],ROW()-ROW(tblContractForDeed[#Headers]))</f>
        <v>48274</v>
      </c>
      <c r="O99" s="275">
        <f>IF(ROW()=ROW(tblContractForDeed[#Headers])+1,$O$6,IF(INDEX(tblContractForDeed[End Bal],ROW()-ROW(tblContractForDeed[#Headers])-1)&lt;0,0,INDEX(tblContractForDeed[End Bal],ROW()-ROW(tblContractForDeed[#Headers])-1)))</f>
        <v>54723.810000000012</v>
      </c>
      <c r="P99" s="445">
        <f>IF(tblContractForDeed[[#This Row],[Date]]="","",IF(tblContractForDeed[[#This Row],[Date]]&lt;cfdRateChangeDate,cfdRate1,cfdRate2))</f>
        <v>6.7500000000000004E-2</v>
      </c>
      <c r="Q9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9" s="275">
        <f>IF(tblContractForDeed[[#This Row],[Payment]]=0,0,MAX(0,MIN(tblContractForDeed[[#This Row],[Beg]],tblContractForDeed[[#This Row],[Payment]]-tblContractForDeed[[#This Row],[Int]])))</f>
        <v>352.08</v>
      </c>
      <c r="S99" s="275">
        <f>IF(OR(tblContractForDeed[[#This Row],[Date]]&lt;cfdContractDate,tblContractForDeed[[#This Row],[Date]]&gt;cfdEndDate),0,ROUND(tblContractForDeed[[#This Row],[Beg]]*(tblContractForDeed[[#This Row],[Int Rate]]/12),2))</f>
        <v>307.82</v>
      </c>
      <c r="T99" s="275">
        <f>IF(tblContractForDeed[[#This Row],[Payment]]=0,0,$W$2)</f>
        <v>134.16999999999999</v>
      </c>
      <c r="U99" s="275">
        <f>IF(tblContractForDeed[[#This Row],[Princ]]=0,0,$W$3)</f>
        <v>188.55</v>
      </c>
      <c r="V99" s="275">
        <f>SUM(tblContractForDeed[[#This Row],[Princ]],tblContractForDeed[[#This Row],[Int]],tblContractForDeed[[#This Row],[Ins]],tblContractForDeed[[#This Row],[Taxes]])</f>
        <v>982.61999999999989</v>
      </c>
      <c r="W99" s="275">
        <f>SUM(INDEX(tblContractForDeed[Princ],1):INDEX(tblContractForDeed[Princ],ROW()-ROW(tblContractForDeed[#Headers])))</f>
        <v>20886.270000000008</v>
      </c>
      <c r="X99" s="275">
        <f>IF(tblContractForDeed[[#This Row],[Beg]]&lt;=0,0,tblContractForDeed[[#This Row],[Beg]]-tblContractForDeed[[#This Row],[Princ]])</f>
        <v>54371.73000000001</v>
      </c>
      <c r="Y9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99" s="454">
        <f>IF(INDEX(tblContractForDeed[Payment],ROW()-ROW(tblBuyerOutputs[#Headers]))=0,0,INDEX(tblContractForDeed[Payment],ROW()-ROW(tblBuyerOutputs[#Headers]))-INDEX(tblSubjectToLoan[Payment],ROW()-ROW(tblBuyerOutputs[#Headers])))</f>
        <v>34.090000000000032</v>
      </c>
      <c r="AA99"/>
      <c r="AB99" s="14">
        <f>IF(INDEX(tblContractForDeed[Payment],ROW()-ROW(tblBuyerOutputs[#Headers]))=0,0,INDEX(tblContractForDeed[Payment],ROW()-ROW(tblBuyerOutputs[#Headers]))-INDEX(tblSubjectToLoan[Payment],ROW()-ROW(tblBuyerOutputs[#Headers])))-IFERROR(tblBuyerOutputs[[#This Row],[PMI]],0)</f>
        <v>34.090000000000032</v>
      </c>
      <c r="AC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994.45000000000198</v>
      </c>
      <c r="AD99" s="275">
        <f>IF(INDEX(tblContractForDeed[End Bal],ROW()-ROW(tblBuyerOutputs[#Headers]))&lt;=0,0,($O$6+IF(ROW()=ROW(tblBuyerOutputs[#Headers])+1,0,INDEX(tblBuyerOutputs[Cumul Appr],ROW()-ROW(tblBuyerOutputs[#Headers])-1)))*$O$2/12)</f>
        <v>435.51157198215878</v>
      </c>
      <c r="AE99" s="275">
        <f>IF(INDEX(tblContractForDeed[End Bal],ROW()-ROW(tblBuyerOutputs[#Headers]))&lt;=0,0,IF(ROW()=ROW(tblBuyerOutputs[#Headers])+1,0,INDEX(tblBuyerOutputs[Cumul Appr],ROW()-ROW(tblBuyerOutputs[#Headers])-1))+tblBuyerOutputs[[#This Row],[Monthly Appr]])</f>
        <v>29700.28884770026</v>
      </c>
      <c r="AF99" s="22"/>
      <c r="AG99" s="14"/>
      <c r="AL99"/>
      <c r="AM99" s="14"/>
      <c r="AO99" s="275"/>
      <c r="AQ99" s="14"/>
      <c r="AR99"/>
    </row>
    <row r="100" spans="1:44" x14ac:dyDescent="0.25">
      <c r="A100" s="590">
        <f t="shared" si="17"/>
        <v>48305</v>
      </c>
      <c r="B100" s="275">
        <f t="shared" si="18"/>
        <v>68016.099999999948</v>
      </c>
      <c r="C100" s="14">
        <f t="shared" si="14"/>
        <v>625.80999999999995</v>
      </c>
      <c r="D100" s="14">
        <f t="shared" si="19"/>
        <v>413.25999999999993</v>
      </c>
      <c r="E100" s="14">
        <f t="shared" si="15"/>
        <v>212.55</v>
      </c>
      <c r="F100" s="14">
        <f t="shared" si="24"/>
        <v>134.16999999999999</v>
      </c>
      <c r="G100" s="14">
        <f t="shared" si="24"/>
        <v>188.55</v>
      </c>
      <c r="H100" s="14">
        <f t="shared" si="12"/>
        <v>948.53</v>
      </c>
      <c r="I100" s="275">
        <f t="shared" si="22"/>
        <v>29928.999999999993</v>
      </c>
      <c r="J100" s="275">
        <f t="shared" si="23"/>
        <v>21065.45</v>
      </c>
      <c r="K100" s="275">
        <f t="shared" si="20"/>
        <v>67602.839999999953</v>
      </c>
      <c r="L100" s="386">
        <f t="shared" si="16"/>
        <v>6</v>
      </c>
      <c r="M100" s="386">
        <f t="shared" si="21"/>
        <v>80</v>
      </c>
      <c r="N100" s="590">
        <f>INDEX(tblSubjectToLoan[Date],ROW()-ROW(tblContractForDeed[#Headers]))</f>
        <v>48305</v>
      </c>
      <c r="O100" s="275">
        <f>IF(ROW()=ROW(tblContractForDeed[#Headers])+1,$O$6,IF(INDEX(tblContractForDeed[End Bal],ROW()-ROW(tblContractForDeed[#Headers])-1)&lt;0,0,INDEX(tblContractForDeed[End Bal],ROW()-ROW(tblContractForDeed[#Headers])-1)))</f>
        <v>54371.73000000001</v>
      </c>
      <c r="P100" s="445">
        <f>IF(tblContractForDeed[[#This Row],[Date]]="","",IF(tblContractForDeed[[#This Row],[Date]]&lt;cfdRateChangeDate,cfdRate1,cfdRate2))</f>
        <v>6.7500000000000004E-2</v>
      </c>
      <c r="Q1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0" s="275">
        <f>IF(tblContractForDeed[[#This Row],[Payment]]=0,0,MAX(0,MIN(tblContractForDeed[[#This Row],[Beg]],tblContractForDeed[[#This Row],[Payment]]-tblContractForDeed[[#This Row],[Int]])))</f>
        <v>354.06</v>
      </c>
      <c r="S100" s="275">
        <f>IF(OR(tblContractForDeed[[#This Row],[Date]]&lt;cfdContractDate,tblContractForDeed[[#This Row],[Date]]&gt;cfdEndDate),0,ROUND(tblContractForDeed[[#This Row],[Beg]]*(tblContractForDeed[[#This Row],[Int Rate]]/12),2))</f>
        <v>305.83999999999997</v>
      </c>
      <c r="T100" s="275">
        <f>IF(tblContractForDeed[[#This Row],[Payment]]=0,0,$W$2)</f>
        <v>134.16999999999999</v>
      </c>
      <c r="U100" s="275">
        <f>IF(tblContractForDeed[[#This Row],[Princ]]=0,0,$W$3)</f>
        <v>188.55</v>
      </c>
      <c r="V100" s="275">
        <f>SUM(tblContractForDeed[[#This Row],[Princ]],tblContractForDeed[[#This Row],[Int]],tblContractForDeed[[#This Row],[Ins]],tblContractForDeed[[#This Row],[Taxes]])</f>
        <v>982.61999999999989</v>
      </c>
      <c r="W100" s="275">
        <f>SUM(INDEX(tblContractForDeed[Princ],1):INDEX(tblContractForDeed[Princ],ROW()-ROW(tblContractForDeed[#Headers])))</f>
        <v>21240.330000000009</v>
      </c>
      <c r="X100" s="275">
        <f>IF(tblContractForDeed[[#This Row],[Beg]]&lt;=0,0,tblContractForDeed[[#This Row],[Beg]]-tblContractForDeed[[#This Row],[Princ]])</f>
        <v>54017.670000000013</v>
      </c>
      <c r="Y10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0" s="454">
        <f>IF(INDEX(tblContractForDeed[Payment],ROW()-ROW(tblBuyerOutputs[#Headers]))=0,0,INDEX(tblContractForDeed[Payment],ROW()-ROW(tblBuyerOutputs[#Headers]))-INDEX(tblSubjectToLoan[Payment],ROW()-ROW(tblBuyerOutputs[#Headers])))</f>
        <v>34.090000000000032</v>
      </c>
      <c r="AA100"/>
      <c r="AB100" s="14">
        <f>IF(INDEX(tblContractForDeed[Payment],ROW()-ROW(tblBuyerOutputs[#Headers]))=0,0,INDEX(tblContractForDeed[Payment],ROW()-ROW(tblBuyerOutputs[#Headers]))-INDEX(tblSubjectToLoan[Payment],ROW()-ROW(tblBuyerOutputs[#Headers])))-IFERROR(tblBuyerOutputs[[#This Row],[PMI]],0)</f>
        <v>34.090000000000032</v>
      </c>
      <c r="AC1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1028.540000000002</v>
      </c>
      <c r="AD100" s="275">
        <f>IF(INDEX(tblContractForDeed[End Bal],ROW()-ROW(tblBuyerOutputs[#Headers]))&lt;=0,0,($O$6+IF(ROW()=ROW(tblBuyerOutputs[#Headers])+1,0,INDEX(tblBuyerOutputs[Cumul Appr],ROW()-ROW(tblBuyerOutputs[#Headers])-1)))*$O$2/12)</f>
        <v>437.32620353208443</v>
      </c>
      <c r="AE100" s="275">
        <f>IF(INDEX(tblContractForDeed[End Bal],ROW()-ROW(tblBuyerOutputs[#Headers]))&lt;=0,0,IF(ROW()=ROW(tblBuyerOutputs[#Headers])+1,0,INDEX(tblBuyerOutputs[Cumul Appr],ROW()-ROW(tblBuyerOutputs[#Headers])-1))+tblBuyerOutputs[[#This Row],[Monthly Appr]])</f>
        <v>30137.615051232344</v>
      </c>
      <c r="AF100" s="22"/>
      <c r="AG100" s="14"/>
      <c r="AL100"/>
      <c r="AM100" s="14"/>
      <c r="AO100" s="275"/>
      <c r="AQ100" s="14"/>
      <c r="AR100"/>
    </row>
    <row r="101" spans="1:44" x14ac:dyDescent="0.25">
      <c r="A101" s="590">
        <f t="shared" si="17"/>
        <v>48335</v>
      </c>
      <c r="B101" s="275">
        <f t="shared" si="18"/>
        <v>67602.839999999953</v>
      </c>
      <c r="C101" s="14">
        <f t="shared" si="14"/>
        <v>625.80999999999995</v>
      </c>
      <c r="D101" s="14">
        <f t="shared" si="19"/>
        <v>414.54999999999995</v>
      </c>
      <c r="E101" s="14">
        <f t="shared" si="15"/>
        <v>211.26</v>
      </c>
      <c r="F101" s="14">
        <f t="shared" si="24"/>
        <v>134.16999999999999</v>
      </c>
      <c r="G101" s="14">
        <f t="shared" si="24"/>
        <v>188.55</v>
      </c>
      <c r="H101" s="14">
        <f t="shared" si="12"/>
        <v>948.53</v>
      </c>
      <c r="I101" s="275">
        <f t="shared" si="22"/>
        <v>30343.549999999992</v>
      </c>
      <c r="J101" s="275">
        <f t="shared" si="23"/>
        <v>21276.71</v>
      </c>
      <c r="K101" s="275">
        <f t="shared" si="20"/>
        <v>67188.28999999995</v>
      </c>
      <c r="L101" s="386">
        <f t="shared" si="16"/>
        <v>6</v>
      </c>
      <c r="M101" s="386">
        <f t="shared" si="21"/>
        <v>81</v>
      </c>
      <c r="N101" s="590">
        <f>INDEX(tblSubjectToLoan[Date],ROW()-ROW(tblContractForDeed[#Headers]))</f>
        <v>48335</v>
      </c>
      <c r="O101" s="275">
        <f>IF(ROW()=ROW(tblContractForDeed[#Headers])+1,$O$6,IF(INDEX(tblContractForDeed[End Bal],ROW()-ROW(tblContractForDeed[#Headers])-1)&lt;0,0,INDEX(tblContractForDeed[End Bal],ROW()-ROW(tblContractForDeed[#Headers])-1)))</f>
        <v>54017.670000000013</v>
      </c>
      <c r="P101" s="445">
        <f>IF(tblContractForDeed[[#This Row],[Date]]="","",IF(tblContractForDeed[[#This Row],[Date]]&lt;cfdRateChangeDate,cfdRate1,cfdRate2))</f>
        <v>6.7500000000000004E-2</v>
      </c>
      <c r="Q1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1" s="275">
        <f>IF(tblContractForDeed[[#This Row],[Payment]]=0,0,MAX(0,MIN(tblContractForDeed[[#This Row],[Beg]],tblContractForDeed[[#This Row],[Payment]]-tblContractForDeed[[#This Row],[Int]])))</f>
        <v>356.04999999999995</v>
      </c>
      <c r="S101" s="275">
        <f>IF(OR(tblContractForDeed[[#This Row],[Date]]&lt;cfdContractDate,tblContractForDeed[[#This Row],[Date]]&gt;cfdEndDate),0,ROUND(tblContractForDeed[[#This Row],[Beg]]*(tblContractForDeed[[#This Row],[Int Rate]]/12),2))</f>
        <v>303.85000000000002</v>
      </c>
      <c r="T101" s="275">
        <f>IF(tblContractForDeed[[#This Row],[Payment]]=0,0,$W$2)</f>
        <v>134.16999999999999</v>
      </c>
      <c r="U101" s="275">
        <f>IF(tblContractForDeed[[#This Row],[Princ]]=0,0,$W$3)</f>
        <v>188.55</v>
      </c>
      <c r="V101" s="275">
        <f>SUM(tblContractForDeed[[#This Row],[Princ]],tblContractForDeed[[#This Row],[Int]],tblContractForDeed[[#This Row],[Ins]],tblContractForDeed[[#This Row],[Taxes]])</f>
        <v>982.61999999999989</v>
      </c>
      <c r="W101" s="275">
        <f>SUM(INDEX(tblContractForDeed[Princ],1):INDEX(tblContractForDeed[Princ],ROW()-ROW(tblContractForDeed[#Headers])))</f>
        <v>21596.380000000008</v>
      </c>
      <c r="X101" s="275">
        <f>IF(tblContractForDeed[[#This Row],[Beg]]&lt;=0,0,tblContractForDeed[[#This Row],[Beg]]-tblContractForDeed[[#This Row],[Princ]])</f>
        <v>53661.62000000001</v>
      </c>
      <c r="Y10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1" s="454">
        <f>IF(INDEX(tblContractForDeed[Payment],ROW()-ROW(tblBuyerOutputs[#Headers]))=0,0,INDEX(tblContractForDeed[Payment],ROW()-ROW(tblBuyerOutputs[#Headers]))-INDEX(tblSubjectToLoan[Payment],ROW()-ROW(tblBuyerOutputs[#Headers])))</f>
        <v>34.090000000000032</v>
      </c>
      <c r="AA101"/>
      <c r="AB101" s="14">
        <f>IF(INDEX(tblContractForDeed[Payment],ROW()-ROW(tblBuyerOutputs[#Headers]))=0,0,INDEX(tblContractForDeed[Payment],ROW()-ROW(tblBuyerOutputs[#Headers]))-INDEX(tblSubjectToLoan[Payment],ROW()-ROW(tblBuyerOutputs[#Headers])))-IFERROR(tblBuyerOutputs[[#This Row],[PMI]],0)</f>
        <v>34.090000000000032</v>
      </c>
      <c r="AC1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1062.6300000000019</v>
      </c>
      <c r="AD101" s="275">
        <f>IF(INDEX(tblContractForDeed[End Bal],ROW()-ROW(tblBuyerOutputs[#Headers]))&lt;=0,0,($O$6+IF(ROW()=ROW(tblBuyerOutputs[#Headers])+1,0,INDEX(tblBuyerOutputs[Cumul Appr],ROW()-ROW(tblBuyerOutputs[#Headers])-1)))*$O$2/12)</f>
        <v>439.14839604680145</v>
      </c>
      <c r="AE101" s="275">
        <f>IF(INDEX(tblContractForDeed[End Bal],ROW()-ROW(tblBuyerOutputs[#Headers]))&lt;=0,0,IF(ROW()=ROW(tblBuyerOutputs[#Headers])+1,0,INDEX(tblBuyerOutputs[Cumul Appr],ROW()-ROW(tblBuyerOutputs[#Headers])-1))+tblBuyerOutputs[[#This Row],[Monthly Appr]])</f>
        <v>30576.763447279147</v>
      </c>
      <c r="AF101" s="22"/>
      <c r="AG101" s="14"/>
      <c r="AL101"/>
      <c r="AM101" s="14"/>
      <c r="AO101" s="275"/>
      <c r="AQ101" s="14"/>
      <c r="AR101"/>
    </row>
    <row r="102" spans="1:44" x14ac:dyDescent="0.25">
      <c r="A102" s="590">
        <f t="shared" si="17"/>
        <v>48366</v>
      </c>
      <c r="B102" s="275">
        <f t="shared" si="18"/>
        <v>67188.28999999995</v>
      </c>
      <c r="C102" s="14">
        <f t="shared" si="14"/>
        <v>625.80999999999995</v>
      </c>
      <c r="D102" s="14">
        <f t="shared" si="19"/>
        <v>415.84999999999991</v>
      </c>
      <c r="E102" s="14">
        <f t="shared" si="15"/>
        <v>209.96</v>
      </c>
      <c r="F102" s="14">
        <f t="shared" si="24"/>
        <v>134.16999999999999</v>
      </c>
      <c r="G102" s="14">
        <f t="shared" si="24"/>
        <v>188.55</v>
      </c>
      <c r="H102" s="14">
        <f t="shared" si="12"/>
        <v>948.53</v>
      </c>
      <c r="I102" s="275">
        <f t="shared" si="22"/>
        <v>30759.399999999991</v>
      </c>
      <c r="J102" s="275">
        <f t="shared" si="23"/>
        <v>21486.67</v>
      </c>
      <c r="K102" s="275">
        <f t="shared" si="20"/>
        <v>66772.439999999944</v>
      </c>
      <c r="L102" s="386">
        <f t="shared" si="16"/>
        <v>6</v>
      </c>
      <c r="M102" s="386">
        <f t="shared" si="21"/>
        <v>82</v>
      </c>
      <c r="N102" s="590">
        <f>INDEX(tblSubjectToLoan[Date],ROW()-ROW(tblContractForDeed[#Headers]))</f>
        <v>48366</v>
      </c>
      <c r="O102" s="275">
        <f>IF(ROW()=ROW(tblContractForDeed[#Headers])+1,$O$6,IF(INDEX(tblContractForDeed[End Bal],ROW()-ROW(tblContractForDeed[#Headers])-1)&lt;0,0,INDEX(tblContractForDeed[End Bal],ROW()-ROW(tblContractForDeed[#Headers])-1)))</f>
        <v>53661.62000000001</v>
      </c>
      <c r="P102" s="445">
        <f>IF(tblContractForDeed[[#This Row],[Date]]="","",IF(tblContractForDeed[[#This Row],[Date]]&lt;cfdRateChangeDate,cfdRate1,cfdRate2))</f>
        <v>6.7500000000000004E-2</v>
      </c>
      <c r="Q1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2" s="275">
        <f>IF(tblContractForDeed[[#This Row],[Payment]]=0,0,MAX(0,MIN(tblContractForDeed[[#This Row],[Beg]],tblContractForDeed[[#This Row],[Payment]]-tblContractForDeed[[#This Row],[Int]])))</f>
        <v>358.04999999999995</v>
      </c>
      <c r="S102" s="275">
        <f>IF(OR(tblContractForDeed[[#This Row],[Date]]&lt;cfdContractDate,tblContractForDeed[[#This Row],[Date]]&gt;cfdEndDate),0,ROUND(tblContractForDeed[[#This Row],[Beg]]*(tblContractForDeed[[#This Row],[Int Rate]]/12),2))</f>
        <v>301.85000000000002</v>
      </c>
      <c r="T102" s="275">
        <f>IF(tblContractForDeed[[#This Row],[Payment]]=0,0,$W$2)</f>
        <v>134.16999999999999</v>
      </c>
      <c r="U102" s="275">
        <f>IF(tblContractForDeed[[#This Row],[Princ]]=0,0,$W$3)</f>
        <v>188.55</v>
      </c>
      <c r="V102" s="275">
        <f>SUM(tblContractForDeed[[#This Row],[Princ]],tblContractForDeed[[#This Row],[Int]],tblContractForDeed[[#This Row],[Ins]],tblContractForDeed[[#This Row],[Taxes]])</f>
        <v>982.61999999999989</v>
      </c>
      <c r="W102" s="275">
        <f>SUM(INDEX(tblContractForDeed[Princ],1):INDEX(tblContractForDeed[Princ],ROW()-ROW(tblContractForDeed[#Headers])))</f>
        <v>21954.430000000008</v>
      </c>
      <c r="X102" s="275">
        <f>IF(tblContractForDeed[[#This Row],[Beg]]&lt;=0,0,tblContractForDeed[[#This Row],[Beg]]-tblContractForDeed[[#This Row],[Princ]])</f>
        <v>53303.570000000007</v>
      </c>
      <c r="Y10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2" s="454">
        <f>IF(INDEX(tblContractForDeed[Payment],ROW()-ROW(tblBuyerOutputs[#Headers]))=0,0,INDEX(tblContractForDeed[Payment],ROW()-ROW(tblBuyerOutputs[#Headers]))-INDEX(tblSubjectToLoan[Payment],ROW()-ROW(tblBuyerOutputs[#Headers])))</f>
        <v>34.090000000000032</v>
      </c>
      <c r="AA102"/>
      <c r="AB102" s="14">
        <f>IF(INDEX(tblContractForDeed[Payment],ROW()-ROW(tblBuyerOutputs[#Headers]))=0,0,INDEX(tblContractForDeed[Payment],ROW()-ROW(tblBuyerOutputs[#Headers]))-INDEX(tblSubjectToLoan[Payment],ROW()-ROW(tblBuyerOutputs[#Headers])))-IFERROR(tblBuyerOutputs[[#This Row],[PMI]],0)</f>
        <v>34.090000000000032</v>
      </c>
      <c r="AC1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1096.7200000000021</v>
      </c>
      <c r="AD102" s="275">
        <f>IF(INDEX(tblContractForDeed[End Bal],ROW()-ROW(tblBuyerOutputs[#Headers]))&lt;=0,0,($O$6+IF(ROW()=ROW(tblBuyerOutputs[#Headers])+1,0,INDEX(tblBuyerOutputs[Cumul Appr],ROW()-ROW(tblBuyerOutputs[#Headers])-1)))*$O$2/12)</f>
        <v>440.97818103032978</v>
      </c>
      <c r="AE102" s="275">
        <f>IF(INDEX(tblContractForDeed[End Bal],ROW()-ROW(tblBuyerOutputs[#Headers]))&lt;=0,0,IF(ROW()=ROW(tblBuyerOutputs[#Headers])+1,0,INDEX(tblBuyerOutputs[Cumul Appr],ROW()-ROW(tblBuyerOutputs[#Headers])-1))+tblBuyerOutputs[[#This Row],[Monthly Appr]])</f>
        <v>31017.741628309475</v>
      </c>
      <c r="AF102" s="22"/>
      <c r="AG102" s="14"/>
      <c r="AL102"/>
      <c r="AM102" s="14"/>
      <c r="AO102" s="275"/>
      <c r="AQ102" s="14"/>
      <c r="AR102"/>
    </row>
    <row r="103" spans="1:44" ht="15.75" thickBot="1" x14ac:dyDescent="0.3">
      <c r="A103" s="591">
        <f t="shared" si="17"/>
        <v>48396</v>
      </c>
      <c r="B103" s="326">
        <f t="shared" si="18"/>
        <v>66772.439999999944</v>
      </c>
      <c r="C103" s="21">
        <f t="shared" si="14"/>
        <v>625.80999999999995</v>
      </c>
      <c r="D103" s="21">
        <f t="shared" si="19"/>
        <v>417.15</v>
      </c>
      <c r="E103" s="21">
        <f t="shared" si="15"/>
        <v>208.66</v>
      </c>
      <c r="F103" s="21">
        <f t="shared" si="24"/>
        <v>134.16999999999999</v>
      </c>
      <c r="G103" s="21">
        <f t="shared" si="24"/>
        <v>188.55</v>
      </c>
      <c r="H103" s="21">
        <f t="shared" si="12"/>
        <v>948.53</v>
      </c>
      <c r="I103" s="326">
        <f t="shared" si="22"/>
        <v>31176.549999999992</v>
      </c>
      <c r="J103" s="326">
        <f t="shared" si="23"/>
        <v>21695.329999999998</v>
      </c>
      <c r="K103" s="326">
        <f t="shared" si="20"/>
        <v>66355.28999999995</v>
      </c>
      <c r="L103" s="387">
        <f t="shared" si="16"/>
        <v>6</v>
      </c>
      <c r="M103" s="387">
        <f t="shared" si="21"/>
        <v>83</v>
      </c>
      <c r="N103" s="591">
        <f>INDEX(tblSubjectToLoan[Date],ROW()-ROW(tblContractForDeed[#Headers]))</f>
        <v>48396</v>
      </c>
      <c r="O103" s="326">
        <f>IF(ROW()=ROW(tblContractForDeed[#Headers])+1,$O$6,IF(INDEX(tblContractForDeed[End Bal],ROW()-ROW(tblContractForDeed[#Headers])-1)&lt;0,0,INDEX(tblContractForDeed[End Bal],ROW()-ROW(tblContractForDeed[#Headers])-1)))</f>
        <v>53303.570000000007</v>
      </c>
      <c r="P103" s="445">
        <f>IF(tblContractForDeed[[#This Row],[Date]]="","",IF(tblContractForDeed[[#This Row],[Date]]&lt;cfdRateChangeDate,cfdRate1,cfdRate2))</f>
        <v>6.7500000000000004E-2</v>
      </c>
      <c r="Q10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3" s="326">
        <f>IF(tblContractForDeed[[#This Row],[Payment]]=0,0,MAX(0,MIN(tblContractForDeed[[#This Row],[Beg]],tblContractForDeed[[#This Row],[Payment]]-tblContractForDeed[[#This Row],[Int]])))</f>
        <v>360.07</v>
      </c>
      <c r="S103" s="326">
        <f>IF(OR(tblContractForDeed[[#This Row],[Date]]&lt;cfdContractDate,tblContractForDeed[[#This Row],[Date]]&gt;cfdEndDate),0,ROUND(tblContractForDeed[[#This Row],[Beg]]*(tblContractForDeed[[#This Row],[Int Rate]]/12),2))</f>
        <v>299.83</v>
      </c>
      <c r="T103" s="326">
        <f>IF(tblContractForDeed[[#This Row],[Payment]]=0,0,$W$2)</f>
        <v>134.16999999999999</v>
      </c>
      <c r="U103" s="326">
        <f>IF(tblContractForDeed[[#This Row],[Princ]]=0,0,$W$3)</f>
        <v>188.55</v>
      </c>
      <c r="V103" s="326">
        <f>SUM(tblContractForDeed[[#This Row],[Princ]],tblContractForDeed[[#This Row],[Int]],tblContractForDeed[[#This Row],[Ins]],tblContractForDeed[[#This Row],[Taxes]])</f>
        <v>982.61999999999989</v>
      </c>
      <c r="W103" s="326">
        <f>SUM(INDEX(tblContractForDeed[Princ],1):INDEX(tblContractForDeed[Princ],ROW()-ROW(tblContractForDeed[#Headers])))</f>
        <v>22314.500000000007</v>
      </c>
      <c r="X103" s="326">
        <f>IF(tblContractForDeed[[#This Row],[Beg]]&lt;=0,0,tblContractForDeed[[#This Row],[Beg]]-tblContractForDeed[[#This Row],[Princ]])</f>
        <v>52943.500000000007</v>
      </c>
      <c r="Y103"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3" s="455">
        <f>IF(INDEX(tblContractForDeed[Payment],ROW()-ROW(tblBuyerOutputs[#Headers]))=0,0,INDEX(tblContractForDeed[Payment],ROW()-ROW(tblBuyerOutputs[#Headers]))-INDEX(tblSubjectToLoan[Payment],ROW()-ROW(tblBuyerOutputs[#Headers])))</f>
        <v>34.090000000000032</v>
      </c>
      <c r="AA103" s="23"/>
      <c r="AB103" s="21">
        <f>IF(INDEX(tblContractForDeed[Payment],ROW()-ROW(tblBuyerOutputs[#Headers]))=0,0,INDEX(tblContractForDeed[Payment],ROW()-ROW(tblBuyerOutputs[#Headers]))-INDEX(tblSubjectToLoan[Payment],ROW()-ROW(tblBuyerOutputs[#Headers])))-IFERROR(tblBuyerOutputs[[#This Row],[PMI]],0)</f>
        <v>34.090000000000032</v>
      </c>
      <c r="AC1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1130.8100000000022</v>
      </c>
      <c r="AD103" s="326">
        <f>IF(INDEX(tblContractForDeed[End Bal],ROW()-ROW(tblBuyerOutputs[#Headers]))&lt;=0,0,($O$6+IF(ROW()=ROW(tblBuyerOutputs[#Headers])+1,0,INDEX(tblBuyerOutputs[Cumul Appr],ROW()-ROW(tblBuyerOutputs[#Headers])-1)))*$O$2/12)</f>
        <v>442.81559011795616</v>
      </c>
      <c r="AE103" s="326">
        <f>IF(INDEX(tblContractForDeed[End Bal],ROW()-ROW(tblBuyerOutputs[#Headers]))&lt;=0,0,IF(ROW()=ROW(tblBuyerOutputs[#Headers])+1,0,INDEX(tblBuyerOutputs[Cumul Appr],ROW()-ROW(tblBuyerOutputs[#Headers])-1))+tblBuyerOutputs[[#This Row],[Monthly Appr]])</f>
        <v>31460.557218427432</v>
      </c>
      <c r="AF103" s="22"/>
      <c r="AG103" s="14"/>
      <c r="AL103"/>
      <c r="AM103" s="14"/>
      <c r="AO103" s="275"/>
      <c r="AQ103" s="14"/>
      <c r="AR103"/>
    </row>
    <row r="104" spans="1:44" x14ac:dyDescent="0.25">
      <c r="A104" s="590">
        <f t="shared" si="17"/>
        <v>48427</v>
      </c>
      <c r="B104" s="275">
        <f t="shared" si="18"/>
        <v>66355.28999999995</v>
      </c>
      <c r="C104" s="14">
        <f t="shared" si="14"/>
        <v>625.80999999999995</v>
      </c>
      <c r="D104" s="14">
        <f t="shared" si="19"/>
        <v>418.44999999999993</v>
      </c>
      <c r="E104" s="14">
        <f t="shared" si="15"/>
        <v>207.36</v>
      </c>
      <c r="F104" s="14">
        <f t="shared" si="24"/>
        <v>134.16999999999999</v>
      </c>
      <c r="G104" s="14">
        <f t="shared" si="24"/>
        <v>188.55</v>
      </c>
      <c r="H104" s="14">
        <f t="shared" si="12"/>
        <v>948.53</v>
      </c>
      <c r="I104" s="275">
        <f t="shared" si="22"/>
        <v>31594.999999999993</v>
      </c>
      <c r="J104" s="275">
        <f t="shared" si="23"/>
        <v>21902.69</v>
      </c>
      <c r="K104" s="275">
        <f t="shared" si="20"/>
        <v>65936.839999999953</v>
      </c>
      <c r="L104" s="386">
        <f t="shared" si="16"/>
        <v>7</v>
      </c>
      <c r="M104" s="386">
        <f t="shared" si="21"/>
        <v>84</v>
      </c>
      <c r="N104" s="590">
        <f>INDEX(tblSubjectToLoan[Date],ROW()-ROW(tblContractForDeed[#Headers]))</f>
        <v>48427</v>
      </c>
      <c r="O104" s="275">
        <f>IF(ROW()=ROW(tblContractForDeed[#Headers])+1,$O$6,IF(INDEX(tblContractForDeed[End Bal],ROW()-ROW(tblContractForDeed[#Headers])-1)&lt;0,0,INDEX(tblContractForDeed[End Bal],ROW()-ROW(tblContractForDeed[#Headers])-1)))</f>
        <v>52943.500000000007</v>
      </c>
      <c r="P104" s="445">
        <f>IF(tblContractForDeed[[#This Row],[Date]]="","",IF(tblContractForDeed[[#This Row],[Date]]&lt;cfdRateChangeDate,cfdRate1,cfdRate2))</f>
        <v>6.7500000000000004E-2</v>
      </c>
      <c r="Q1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4" s="275">
        <f>IF(tblContractForDeed[[#This Row],[Payment]]=0,0,MAX(0,MIN(tblContractForDeed[[#This Row],[Beg]],tblContractForDeed[[#This Row],[Payment]]-tblContractForDeed[[#This Row],[Int]])))</f>
        <v>362.09</v>
      </c>
      <c r="S104" s="275">
        <f>IF(OR(tblContractForDeed[[#This Row],[Date]]&lt;cfdContractDate,tblContractForDeed[[#This Row],[Date]]&gt;cfdEndDate),0,ROUND(tblContractForDeed[[#This Row],[Beg]]*(tblContractForDeed[[#This Row],[Int Rate]]/12),2))</f>
        <v>297.81</v>
      </c>
      <c r="T104" s="275">
        <f>IF(tblContractForDeed[[#This Row],[Payment]]=0,0,$W$2)</f>
        <v>134.16999999999999</v>
      </c>
      <c r="U104" s="275">
        <f>IF(tblContractForDeed[[#This Row],[Princ]]=0,0,$W$3)</f>
        <v>188.55</v>
      </c>
      <c r="V104" s="275">
        <f>SUM(tblContractForDeed[[#This Row],[Princ]],tblContractForDeed[[#This Row],[Int]],tblContractForDeed[[#This Row],[Ins]],tblContractForDeed[[#This Row],[Taxes]])</f>
        <v>982.61999999999989</v>
      </c>
      <c r="W104" s="275">
        <f>SUM(INDEX(tblContractForDeed[Princ],1):INDEX(tblContractForDeed[Princ],ROW()-ROW(tblContractForDeed[#Headers])))</f>
        <v>22676.590000000007</v>
      </c>
      <c r="X104" s="275">
        <f>IF(tblContractForDeed[[#This Row],[Beg]]&lt;=0,0,tblContractForDeed[[#This Row],[Beg]]-tblContractForDeed[[#This Row],[Princ]])</f>
        <v>52581.410000000011</v>
      </c>
      <c r="Y10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4" s="454">
        <f>IF(INDEX(tblContractForDeed[Payment],ROW()-ROW(tblBuyerOutputs[#Headers]))=0,0,INDEX(tblContractForDeed[Payment],ROW()-ROW(tblBuyerOutputs[#Headers]))-INDEX(tblSubjectToLoan[Payment],ROW()-ROW(tblBuyerOutputs[#Headers])))</f>
        <v>34.090000000000032</v>
      </c>
      <c r="AA104"/>
      <c r="AB104" s="14">
        <f>IF(INDEX(tblContractForDeed[Payment],ROW()-ROW(tblBuyerOutputs[#Headers]))=0,0,INDEX(tblContractForDeed[Payment],ROW()-ROW(tblBuyerOutputs[#Headers]))-INDEX(tblSubjectToLoan[Payment],ROW()-ROW(tblBuyerOutputs[#Headers])))-IFERROR(tblBuyerOutputs[[#This Row],[PMI]],0)</f>
        <v>34.090000000000032</v>
      </c>
      <c r="AC1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1164.9000000000024</v>
      </c>
      <c r="AD104" s="275">
        <f>IF(INDEX(tblContractForDeed[End Bal],ROW()-ROW(tblBuyerOutputs[#Headers]))&lt;=0,0,($O$6+IF(ROW()=ROW(tblBuyerOutputs[#Headers])+1,0,INDEX(tblBuyerOutputs[Cumul Appr],ROW()-ROW(tblBuyerOutputs[#Headers])-1)))*$O$2/12)</f>
        <v>444.66065507678104</v>
      </c>
      <c r="AE104" s="275">
        <f>IF(INDEX(tblContractForDeed[End Bal],ROW()-ROW(tblBuyerOutputs[#Headers]))&lt;=0,0,IF(ROW()=ROW(tblBuyerOutputs[#Headers])+1,0,INDEX(tblBuyerOutputs[Cumul Appr],ROW()-ROW(tblBuyerOutputs[#Headers])-1))+tblBuyerOutputs[[#This Row],[Monthly Appr]])</f>
        <v>31905.217873504211</v>
      </c>
      <c r="AF104" s="22"/>
      <c r="AG104" s="14"/>
      <c r="AL104"/>
      <c r="AM104" s="14"/>
      <c r="AO104" s="275"/>
      <c r="AQ104" s="14"/>
      <c r="AR104"/>
    </row>
    <row r="105" spans="1:44" x14ac:dyDescent="0.25">
      <c r="A105" s="590">
        <f t="shared" si="17"/>
        <v>48458</v>
      </c>
      <c r="B105" s="275">
        <f t="shared" si="18"/>
        <v>65936.839999999953</v>
      </c>
      <c r="C105" s="14">
        <f t="shared" si="14"/>
        <v>625.80999999999995</v>
      </c>
      <c r="D105" s="14">
        <f t="shared" si="19"/>
        <v>419.75999999999993</v>
      </c>
      <c r="E105" s="14">
        <f t="shared" si="15"/>
        <v>206.05</v>
      </c>
      <c r="F105" s="14">
        <f t="shared" si="24"/>
        <v>134.16999999999999</v>
      </c>
      <c r="G105" s="14">
        <f t="shared" si="24"/>
        <v>188.55</v>
      </c>
      <c r="H105" s="14">
        <f t="shared" si="12"/>
        <v>948.53</v>
      </c>
      <c r="I105" s="275">
        <f t="shared" si="22"/>
        <v>32014.759999999991</v>
      </c>
      <c r="J105" s="275">
        <f t="shared" si="23"/>
        <v>22108.739999999998</v>
      </c>
      <c r="K105" s="275">
        <f t="shared" si="20"/>
        <v>65517.079999999951</v>
      </c>
      <c r="L105" s="386">
        <f t="shared" si="16"/>
        <v>7</v>
      </c>
      <c r="M105" s="386">
        <f t="shared" si="21"/>
        <v>85</v>
      </c>
      <c r="N105" s="590">
        <f>INDEX(tblSubjectToLoan[Date],ROW()-ROW(tblContractForDeed[#Headers]))</f>
        <v>48458</v>
      </c>
      <c r="O105" s="275">
        <f>IF(ROW()=ROW(tblContractForDeed[#Headers])+1,$O$6,IF(INDEX(tblContractForDeed[End Bal],ROW()-ROW(tblContractForDeed[#Headers])-1)&lt;0,0,INDEX(tblContractForDeed[End Bal],ROW()-ROW(tblContractForDeed[#Headers])-1)))</f>
        <v>52581.410000000011</v>
      </c>
      <c r="P105" s="445">
        <f>IF(tblContractForDeed[[#This Row],[Date]]="","",IF(tblContractForDeed[[#This Row],[Date]]&lt;cfdRateChangeDate,cfdRate1,cfdRate2))</f>
        <v>6.7500000000000004E-2</v>
      </c>
      <c r="Q1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5" s="275">
        <f>IF(tblContractForDeed[[#This Row],[Payment]]=0,0,MAX(0,MIN(tblContractForDeed[[#This Row],[Beg]],tblContractForDeed[[#This Row],[Payment]]-tblContractForDeed[[#This Row],[Int]])))</f>
        <v>364.13</v>
      </c>
      <c r="S105" s="275">
        <f>IF(OR(tblContractForDeed[[#This Row],[Date]]&lt;cfdContractDate,tblContractForDeed[[#This Row],[Date]]&gt;cfdEndDate),0,ROUND(tblContractForDeed[[#This Row],[Beg]]*(tblContractForDeed[[#This Row],[Int Rate]]/12),2))</f>
        <v>295.77</v>
      </c>
      <c r="T105" s="275">
        <f>IF(tblContractForDeed[[#This Row],[Payment]]=0,0,$W$2)</f>
        <v>134.16999999999999</v>
      </c>
      <c r="U105" s="275">
        <f>IF(tblContractForDeed[[#This Row],[Princ]]=0,0,$W$3)</f>
        <v>188.55</v>
      </c>
      <c r="V105" s="275">
        <f>SUM(tblContractForDeed[[#This Row],[Princ]],tblContractForDeed[[#This Row],[Int]],tblContractForDeed[[#This Row],[Ins]],tblContractForDeed[[#This Row],[Taxes]])</f>
        <v>982.61999999999989</v>
      </c>
      <c r="W105" s="275">
        <f>SUM(INDEX(tblContractForDeed[Princ],1):INDEX(tblContractForDeed[Princ],ROW()-ROW(tblContractForDeed[#Headers])))</f>
        <v>23040.720000000008</v>
      </c>
      <c r="X105" s="275">
        <f>IF(tblContractForDeed[[#This Row],[Beg]]&lt;=0,0,tblContractForDeed[[#This Row],[Beg]]-tblContractForDeed[[#This Row],[Princ]])</f>
        <v>52217.280000000013</v>
      </c>
      <c r="Y10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5" s="454">
        <f>IF(INDEX(tblContractForDeed[Payment],ROW()-ROW(tblBuyerOutputs[#Headers]))=0,0,INDEX(tblContractForDeed[Payment],ROW()-ROW(tblBuyerOutputs[#Headers]))-INDEX(tblSubjectToLoan[Payment],ROW()-ROW(tblBuyerOutputs[#Headers])))</f>
        <v>34.090000000000032</v>
      </c>
      <c r="AA105"/>
      <c r="AB105" s="14">
        <f>IF(INDEX(tblContractForDeed[Payment],ROW()-ROW(tblBuyerOutputs[#Headers]))=0,0,INDEX(tblContractForDeed[Payment],ROW()-ROW(tblBuyerOutputs[#Headers]))-INDEX(tblSubjectToLoan[Payment],ROW()-ROW(tblBuyerOutputs[#Headers])))-IFERROR(tblBuyerOutputs[[#This Row],[PMI]],0)</f>
        <v>34.090000000000032</v>
      </c>
      <c r="AC1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1198.9900000000025</v>
      </c>
      <c r="AD105" s="275">
        <f>IF(INDEX(tblContractForDeed[End Bal],ROW()-ROW(tblBuyerOutputs[#Headers]))&lt;=0,0,($O$6+IF(ROW()=ROW(tblBuyerOutputs[#Headers])+1,0,INDEX(tblBuyerOutputs[Cumul Appr],ROW()-ROW(tblBuyerOutputs[#Headers])-1)))*$O$2/12)</f>
        <v>446.51340780626759</v>
      </c>
      <c r="AE105" s="275">
        <f>IF(INDEX(tblContractForDeed[End Bal],ROW()-ROW(tblBuyerOutputs[#Headers]))&lt;=0,0,IF(ROW()=ROW(tblBuyerOutputs[#Headers])+1,0,INDEX(tblBuyerOutputs[Cumul Appr],ROW()-ROW(tblBuyerOutputs[#Headers])-1))+tblBuyerOutputs[[#This Row],[Monthly Appr]])</f>
        <v>32351.73128131048</v>
      </c>
      <c r="AF105" s="22"/>
      <c r="AG105" s="14"/>
      <c r="AL105"/>
      <c r="AM105" s="14"/>
      <c r="AO105" s="275"/>
      <c r="AQ105" s="14"/>
      <c r="AR105"/>
    </row>
    <row r="106" spans="1:44" x14ac:dyDescent="0.25">
      <c r="A106" s="590">
        <f t="shared" si="17"/>
        <v>48488</v>
      </c>
      <c r="B106" s="275">
        <f t="shared" si="18"/>
        <v>65517.079999999951</v>
      </c>
      <c r="C106" s="14">
        <f t="shared" si="14"/>
        <v>625.80999999999995</v>
      </c>
      <c r="D106" s="14">
        <f t="shared" si="19"/>
        <v>421.06999999999994</v>
      </c>
      <c r="E106" s="14">
        <f t="shared" si="15"/>
        <v>204.74</v>
      </c>
      <c r="F106" s="14">
        <f t="shared" si="24"/>
        <v>134.16999999999999</v>
      </c>
      <c r="G106" s="14">
        <f t="shared" si="24"/>
        <v>188.55</v>
      </c>
      <c r="H106" s="14">
        <f t="shared" si="12"/>
        <v>948.53</v>
      </c>
      <c r="I106" s="275">
        <f t="shared" si="22"/>
        <v>32435.829999999991</v>
      </c>
      <c r="J106" s="275">
        <f t="shared" si="23"/>
        <v>22313.48</v>
      </c>
      <c r="K106" s="275">
        <f t="shared" si="20"/>
        <v>65096.009999999951</v>
      </c>
      <c r="L106" s="386">
        <f t="shared" si="16"/>
        <v>7</v>
      </c>
      <c r="M106" s="386">
        <f t="shared" si="21"/>
        <v>86</v>
      </c>
      <c r="N106" s="590">
        <f>INDEX(tblSubjectToLoan[Date],ROW()-ROW(tblContractForDeed[#Headers]))</f>
        <v>48488</v>
      </c>
      <c r="O106" s="275">
        <f>IF(ROW()=ROW(tblContractForDeed[#Headers])+1,$O$6,IF(INDEX(tblContractForDeed[End Bal],ROW()-ROW(tblContractForDeed[#Headers])-1)&lt;0,0,INDEX(tblContractForDeed[End Bal],ROW()-ROW(tblContractForDeed[#Headers])-1)))</f>
        <v>52217.280000000013</v>
      </c>
      <c r="P106" s="445">
        <f>IF(tblContractForDeed[[#This Row],[Date]]="","",IF(tblContractForDeed[[#This Row],[Date]]&lt;cfdRateChangeDate,cfdRate1,cfdRate2))</f>
        <v>6.7500000000000004E-2</v>
      </c>
      <c r="Q1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6" s="275">
        <f>IF(tblContractForDeed[[#This Row],[Payment]]=0,0,MAX(0,MIN(tblContractForDeed[[#This Row],[Beg]],tblContractForDeed[[#This Row],[Payment]]-tblContractForDeed[[#This Row],[Int]])))</f>
        <v>366.17999999999995</v>
      </c>
      <c r="S106" s="275">
        <f>IF(OR(tblContractForDeed[[#This Row],[Date]]&lt;cfdContractDate,tblContractForDeed[[#This Row],[Date]]&gt;cfdEndDate),0,ROUND(tblContractForDeed[[#This Row],[Beg]]*(tblContractForDeed[[#This Row],[Int Rate]]/12),2))</f>
        <v>293.72000000000003</v>
      </c>
      <c r="T106" s="275">
        <f>IF(tblContractForDeed[[#This Row],[Payment]]=0,0,$W$2)</f>
        <v>134.16999999999999</v>
      </c>
      <c r="U106" s="275">
        <f>IF(tblContractForDeed[[#This Row],[Princ]]=0,0,$W$3)</f>
        <v>188.55</v>
      </c>
      <c r="V106" s="275">
        <f>SUM(tblContractForDeed[[#This Row],[Princ]],tblContractForDeed[[#This Row],[Int]],tblContractForDeed[[#This Row],[Ins]],tblContractForDeed[[#This Row],[Taxes]])</f>
        <v>982.61999999999989</v>
      </c>
      <c r="W106" s="275">
        <f>SUM(INDEX(tblContractForDeed[Princ],1):INDEX(tblContractForDeed[Princ],ROW()-ROW(tblContractForDeed[#Headers])))</f>
        <v>23406.900000000009</v>
      </c>
      <c r="X106" s="275">
        <f>IF(tblContractForDeed[[#This Row],[Beg]]&lt;=0,0,tblContractForDeed[[#This Row],[Beg]]-tblContractForDeed[[#This Row],[Princ]])</f>
        <v>51851.100000000013</v>
      </c>
      <c r="Y10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6" s="454">
        <f>IF(INDEX(tblContractForDeed[Payment],ROW()-ROW(tblBuyerOutputs[#Headers]))=0,0,INDEX(tblContractForDeed[Payment],ROW()-ROW(tblBuyerOutputs[#Headers]))-INDEX(tblSubjectToLoan[Payment],ROW()-ROW(tblBuyerOutputs[#Headers])))</f>
        <v>34.090000000000032</v>
      </c>
      <c r="AA106"/>
      <c r="AB106" s="14">
        <f>IF(INDEX(tblContractForDeed[Payment],ROW()-ROW(tblBuyerOutputs[#Headers]))=0,0,INDEX(tblContractForDeed[Payment],ROW()-ROW(tblBuyerOutputs[#Headers]))-INDEX(tblSubjectToLoan[Payment],ROW()-ROW(tblBuyerOutputs[#Headers])))-IFERROR(tblBuyerOutputs[[#This Row],[PMI]],0)</f>
        <v>34.090000000000032</v>
      </c>
      <c r="AC1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1233.0800000000027</v>
      </c>
      <c r="AD106" s="275">
        <f>IF(INDEX(tblContractForDeed[End Bal],ROW()-ROW(tblBuyerOutputs[#Headers]))&lt;=0,0,($O$6+IF(ROW()=ROW(tblBuyerOutputs[#Headers])+1,0,INDEX(tblBuyerOutputs[Cumul Appr],ROW()-ROW(tblBuyerOutputs[#Headers])-1)))*$O$2/12)</f>
        <v>448.3738803387937</v>
      </c>
      <c r="AE106" s="275">
        <f>IF(INDEX(tblContractForDeed[End Bal],ROW()-ROW(tblBuyerOutputs[#Headers]))&lt;=0,0,IF(ROW()=ROW(tblBuyerOutputs[#Headers])+1,0,INDEX(tblBuyerOutputs[Cumul Appr],ROW()-ROW(tblBuyerOutputs[#Headers])-1))+tblBuyerOutputs[[#This Row],[Monthly Appr]])</f>
        <v>32800.105161649277</v>
      </c>
      <c r="AF106" s="22"/>
      <c r="AG106" s="14"/>
      <c r="AL106"/>
      <c r="AM106" s="14"/>
      <c r="AO106" s="275"/>
      <c r="AQ106" s="14"/>
      <c r="AR106"/>
    </row>
    <row r="107" spans="1:44" x14ac:dyDescent="0.25">
      <c r="A107" s="590">
        <f t="shared" si="17"/>
        <v>48519</v>
      </c>
      <c r="B107" s="275">
        <f t="shared" si="18"/>
        <v>65096.009999999951</v>
      </c>
      <c r="C107" s="14">
        <f t="shared" si="14"/>
        <v>625.80999999999995</v>
      </c>
      <c r="D107" s="14">
        <f t="shared" si="19"/>
        <v>422.37999999999994</v>
      </c>
      <c r="E107" s="14">
        <f t="shared" si="15"/>
        <v>203.43</v>
      </c>
      <c r="F107" s="14">
        <f t="shared" si="24"/>
        <v>134.16999999999999</v>
      </c>
      <c r="G107" s="14">
        <f t="shared" si="24"/>
        <v>188.55</v>
      </c>
      <c r="H107" s="14">
        <f t="shared" si="12"/>
        <v>948.53</v>
      </c>
      <c r="I107" s="275">
        <f t="shared" si="22"/>
        <v>32858.209999999992</v>
      </c>
      <c r="J107" s="275">
        <f t="shared" si="23"/>
        <v>22516.91</v>
      </c>
      <c r="K107" s="275">
        <f t="shared" si="20"/>
        <v>64673.629999999954</v>
      </c>
      <c r="L107" s="386">
        <f t="shared" si="16"/>
        <v>7</v>
      </c>
      <c r="M107" s="386">
        <f t="shared" si="21"/>
        <v>87</v>
      </c>
      <c r="N107" s="590">
        <f>INDEX(tblSubjectToLoan[Date],ROW()-ROW(tblContractForDeed[#Headers]))</f>
        <v>48519</v>
      </c>
      <c r="O107" s="275">
        <f>IF(ROW()=ROW(tblContractForDeed[#Headers])+1,$O$6,IF(INDEX(tblContractForDeed[End Bal],ROW()-ROW(tblContractForDeed[#Headers])-1)&lt;0,0,INDEX(tblContractForDeed[End Bal],ROW()-ROW(tblContractForDeed[#Headers])-1)))</f>
        <v>51851.100000000013</v>
      </c>
      <c r="P107" s="445">
        <f>IF(tblContractForDeed[[#This Row],[Date]]="","",IF(tblContractForDeed[[#This Row],[Date]]&lt;cfdRateChangeDate,cfdRate1,cfdRate2))</f>
        <v>6.7500000000000004E-2</v>
      </c>
      <c r="Q10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7" s="275">
        <f>IF(tblContractForDeed[[#This Row],[Payment]]=0,0,MAX(0,MIN(tblContractForDeed[[#This Row],[Beg]],tblContractForDeed[[#This Row],[Payment]]-tblContractForDeed[[#This Row],[Int]])))</f>
        <v>368.23999999999995</v>
      </c>
      <c r="S107" s="275">
        <f>IF(OR(tblContractForDeed[[#This Row],[Date]]&lt;cfdContractDate,tblContractForDeed[[#This Row],[Date]]&gt;cfdEndDate),0,ROUND(tblContractForDeed[[#This Row],[Beg]]*(tblContractForDeed[[#This Row],[Int Rate]]/12),2))</f>
        <v>291.66000000000003</v>
      </c>
      <c r="T107" s="275">
        <f>IF(tblContractForDeed[[#This Row],[Payment]]=0,0,$W$2)</f>
        <v>134.16999999999999</v>
      </c>
      <c r="U107" s="275">
        <f>IF(tblContractForDeed[[#This Row],[Princ]]=0,0,$W$3)</f>
        <v>188.55</v>
      </c>
      <c r="V107" s="275">
        <f>SUM(tblContractForDeed[[#This Row],[Princ]],tblContractForDeed[[#This Row],[Int]],tblContractForDeed[[#This Row],[Ins]],tblContractForDeed[[#This Row],[Taxes]])</f>
        <v>982.61999999999989</v>
      </c>
      <c r="W107" s="275">
        <f>SUM(INDEX(tblContractForDeed[Princ],1):INDEX(tblContractForDeed[Princ],ROW()-ROW(tblContractForDeed[#Headers])))</f>
        <v>23775.14000000001</v>
      </c>
      <c r="X107" s="275">
        <f>IF(tblContractForDeed[[#This Row],[Beg]]&lt;=0,0,tblContractForDeed[[#This Row],[Beg]]-tblContractForDeed[[#This Row],[Princ]])</f>
        <v>51482.860000000015</v>
      </c>
      <c r="Y10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7" s="454">
        <f>IF(INDEX(tblContractForDeed[Payment],ROW()-ROW(tblBuyerOutputs[#Headers]))=0,0,INDEX(tblContractForDeed[Payment],ROW()-ROW(tblBuyerOutputs[#Headers]))-INDEX(tblSubjectToLoan[Payment],ROW()-ROW(tblBuyerOutputs[#Headers])))</f>
        <v>34.090000000000032</v>
      </c>
      <c r="AA107"/>
      <c r="AB107" s="14">
        <f>IF(INDEX(tblContractForDeed[Payment],ROW()-ROW(tblBuyerOutputs[#Headers]))=0,0,INDEX(tblContractForDeed[Payment],ROW()-ROW(tblBuyerOutputs[#Headers]))-INDEX(tblSubjectToLoan[Payment],ROW()-ROW(tblBuyerOutputs[#Headers])))-IFERROR(tblBuyerOutputs[[#This Row],[PMI]],0)</f>
        <v>34.090000000000032</v>
      </c>
      <c r="AC1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1267.1700000000028</v>
      </c>
      <c r="AD107" s="275">
        <f>IF(INDEX(tblContractForDeed[End Bal],ROW()-ROW(tblBuyerOutputs[#Headers]))&lt;=0,0,($O$6+IF(ROW()=ROW(tblBuyerOutputs[#Headers])+1,0,INDEX(tblBuyerOutputs[Cumul Appr],ROW()-ROW(tblBuyerOutputs[#Headers])-1)))*$O$2/12)</f>
        <v>450.2421048402054</v>
      </c>
      <c r="AE107" s="275">
        <f>IF(INDEX(tblContractForDeed[End Bal],ROW()-ROW(tblBuyerOutputs[#Headers]))&lt;=0,0,IF(ROW()=ROW(tblBuyerOutputs[#Headers])+1,0,INDEX(tblBuyerOutputs[Cumul Appr],ROW()-ROW(tblBuyerOutputs[#Headers])-1))+tblBuyerOutputs[[#This Row],[Monthly Appr]])</f>
        <v>33250.34726648948</v>
      </c>
      <c r="AF107" s="22"/>
      <c r="AG107" s="14"/>
      <c r="AL107"/>
      <c r="AM107" s="14"/>
      <c r="AO107" s="275"/>
      <c r="AQ107" s="14"/>
      <c r="AR107"/>
    </row>
    <row r="108" spans="1:44" x14ac:dyDescent="0.25">
      <c r="A108" s="590">
        <f t="shared" si="17"/>
        <v>48549</v>
      </c>
      <c r="B108" s="275">
        <f t="shared" si="18"/>
        <v>64673.629999999954</v>
      </c>
      <c r="C108" s="14">
        <f t="shared" si="14"/>
        <v>625.80999999999995</v>
      </c>
      <c r="D108" s="14">
        <f t="shared" si="19"/>
        <v>423.69999999999993</v>
      </c>
      <c r="E108" s="14">
        <f t="shared" si="15"/>
        <v>202.11</v>
      </c>
      <c r="F108" s="14">
        <f t="shared" si="24"/>
        <v>134.16999999999999</v>
      </c>
      <c r="G108" s="14">
        <f t="shared" si="24"/>
        <v>188.55</v>
      </c>
      <c r="H108" s="14">
        <f t="shared" si="12"/>
        <v>948.53</v>
      </c>
      <c r="I108" s="275">
        <f t="shared" si="22"/>
        <v>33281.909999999989</v>
      </c>
      <c r="J108" s="275">
        <f t="shared" si="23"/>
        <v>22719.02</v>
      </c>
      <c r="K108" s="275">
        <f t="shared" si="20"/>
        <v>64249.929999999957</v>
      </c>
      <c r="L108" s="386">
        <f t="shared" si="16"/>
        <v>7</v>
      </c>
      <c r="M108" s="386">
        <f t="shared" si="21"/>
        <v>88</v>
      </c>
      <c r="N108" s="590">
        <f>INDEX(tblSubjectToLoan[Date],ROW()-ROW(tblContractForDeed[#Headers]))</f>
        <v>48549</v>
      </c>
      <c r="O108" s="275">
        <f>IF(ROW()=ROW(tblContractForDeed[#Headers])+1,$O$6,IF(INDEX(tblContractForDeed[End Bal],ROW()-ROW(tblContractForDeed[#Headers])-1)&lt;0,0,INDEX(tblContractForDeed[End Bal],ROW()-ROW(tblContractForDeed[#Headers])-1)))</f>
        <v>51482.860000000015</v>
      </c>
      <c r="P108" s="445">
        <f>IF(tblContractForDeed[[#This Row],[Date]]="","",IF(tblContractForDeed[[#This Row],[Date]]&lt;cfdRateChangeDate,cfdRate1,cfdRate2))</f>
        <v>6.7500000000000004E-2</v>
      </c>
      <c r="Q1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8" s="275">
        <f>IF(tblContractForDeed[[#This Row],[Payment]]=0,0,MAX(0,MIN(tblContractForDeed[[#This Row],[Beg]],tblContractForDeed[[#This Row],[Payment]]-tblContractForDeed[[#This Row],[Int]])))</f>
        <v>370.31</v>
      </c>
      <c r="S108" s="275">
        <f>IF(OR(tblContractForDeed[[#This Row],[Date]]&lt;cfdContractDate,tblContractForDeed[[#This Row],[Date]]&gt;cfdEndDate),0,ROUND(tblContractForDeed[[#This Row],[Beg]]*(tblContractForDeed[[#This Row],[Int Rate]]/12),2))</f>
        <v>289.58999999999997</v>
      </c>
      <c r="T108" s="275">
        <f>IF(tblContractForDeed[[#This Row],[Payment]]=0,0,$W$2)</f>
        <v>134.16999999999999</v>
      </c>
      <c r="U108" s="275">
        <f>IF(tblContractForDeed[[#This Row],[Princ]]=0,0,$W$3)</f>
        <v>188.55</v>
      </c>
      <c r="V108" s="275">
        <f>SUM(tblContractForDeed[[#This Row],[Princ]],tblContractForDeed[[#This Row],[Int]],tblContractForDeed[[#This Row],[Ins]],tblContractForDeed[[#This Row],[Taxes]])</f>
        <v>982.61999999999989</v>
      </c>
      <c r="W108" s="275">
        <f>SUM(INDEX(tblContractForDeed[Princ],1):INDEX(tblContractForDeed[Princ],ROW()-ROW(tblContractForDeed[#Headers])))</f>
        <v>24145.450000000012</v>
      </c>
      <c r="X108" s="275">
        <f>IF(tblContractForDeed[[#This Row],[Beg]]&lt;=0,0,tblContractForDeed[[#This Row],[Beg]]-tblContractForDeed[[#This Row],[Princ]])</f>
        <v>51112.550000000017</v>
      </c>
      <c r="Y10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8" s="454">
        <f>IF(INDEX(tblContractForDeed[Payment],ROW()-ROW(tblBuyerOutputs[#Headers]))=0,0,INDEX(tblContractForDeed[Payment],ROW()-ROW(tblBuyerOutputs[#Headers]))-INDEX(tblSubjectToLoan[Payment],ROW()-ROW(tblBuyerOutputs[#Headers])))</f>
        <v>34.090000000000032</v>
      </c>
      <c r="AA108"/>
      <c r="AB108" s="14">
        <f>IF(INDEX(tblContractForDeed[Payment],ROW()-ROW(tblBuyerOutputs[#Headers]))=0,0,INDEX(tblContractForDeed[Payment],ROW()-ROW(tblBuyerOutputs[#Headers]))-INDEX(tblSubjectToLoan[Payment],ROW()-ROW(tblBuyerOutputs[#Headers])))-IFERROR(tblBuyerOutputs[[#This Row],[PMI]],0)</f>
        <v>34.090000000000032</v>
      </c>
      <c r="AC1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1301.2600000000029</v>
      </c>
      <c r="AD108" s="275">
        <f>IF(INDEX(tblContractForDeed[End Bal],ROW()-ROW(tblBuyerOutputs[#Headers]))&lt;=0,0,($O$6+IF(ROW()=ROW(tblBuyerOutputs[#Headers])+1,0,INDEX(tblBuyerOutputs[Cumul Appr],ROW()-ROW(tblBuyerOutputs[#Headers])-1)))*$O$2/12)</f>
        <v>452.11811361037286</v>
      </c>
      <c r="AE108" s="275">
        <f>IF(INDEX(tblContractForDeed[End Bal],ROW()-ROW(tblBuyerOutputs[#Headers]))&lt;=0,0,IF(ROW()=ROW(tblBuyerOutputs[#Headers])+1,0,INDEX(tblBuyerOutputs[Cumul Appr],ROW()-ROW(tblBuyerOutputs[#Headers])-1))+tblBuyerOutputs[[#This Row],[Monthly Appr]])</f>
        <v>33702.465380099849</v>
      </c>
      <c r="AF108" s="22"/>
      <c r="AG108" s="14"/>
      <c r="AL108"/>
      <c r="AM108" s="14"/>
      <c r="AO108" s="275"/>
      <c r="AQ108" s="14"/>
      <c r="AR108"/>
    </row>
    <row r="109" spans="1:44" x14ac:dyDescent="0.25">
      <c r="A109" s="590">
        <f t="shared" si="17"/>
        <v>48580</v>
      </c>
      <c r="B109" s="275">
        <f t="shared" si="18"/>
        <v>64249.929999999957</v>
      </c>
      <c r="C109" s="14">
        <f t="shared" si="14"/>
        <v>625.80999999999995</v>
      </c>
      <c r="D109" s="14">
        <f t="shared" si="19"/>
        <v>425.03</v>
      </c>
      <c r="E109" s="14">
        <f t="shared" si="15"/>
        <v>200.78</v>
      </c>
      <c r="F109" s="14">
        <f t="shared" si="24"/>
        <v>134.16999999999999</v>
      </c>
      <c r="G109" s="14">
        <f t="shared" si="24"/>
        <v>188.55</v>
      </c>
      <c r="H109" s="14">
        <f t="shared" si="12"/>
        <v>948.53</v>
      </c>
      <c r="I109" s="275">
        <f t="shared" si="22"/>
        <v>33706.939999999988</v>
      </c>
      <c r="J109" s="275">
        <f t="shared" si="23"/>
        <v>22919.8</v>
      </c>
      <c r="K109" s="275">
        <f t="shared" si="20"/>
        <v>63824.899999999958</v>
      </c>
      <c r="L109" s="386">
        <f t="shared" si="16"/>
        <v>7</v>
      </c>
      <c r="M109" s="386">
        <f t="shared" si="21"/>
        <v>89</v>
      </c>
      <c r="N109" s="590">
        <f>INDEX(tblSubjectToLoan[Date],ROW()-ROW(tblContractForDeed[#Headers]))</f>
        <v>48580</v>
      </c>
      <c r="O109" s="275">
        <f>IF(ROW()=ROW(tblContractForDeed[#Headers])+1,$O$6,IF(INDEX(tblContractForDeed[End Bal],ROW()-ROW(tblContractForDeed[#Headers])-1)&lt;0,0,INDEX(tblContractForDeed[End Bal],ROW()-ROW(tblContractForDeed[#Headers])-1)))</f>
        <v>51112.550000000017</v>
      </c>
      <c r="P109" s="445">
        <f>IF(tblContractForDeed[[#This Row],[Date]]="","",IF(tblContractForDeed[[#This Row],[Date]]&lt;cfdRateChangeDate,cfdRate1,cfdRate2))</f>
        <v>6.7500000000000004E-2</v>
      </c>
      <c r="Q1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9" s="275">
        <f>IF(tblContractForDeed[[#This Row],[Payment]]=0,0,MAX(0,MIN(tblContractForDeed[[#This Row],[Beg]],tblContractForDeed[[#This Row],[Payment]]-tblContractForDeed[[#This Row],[Int]])))</f>
        <v>372.39</v>
      </c>
      <c r="S109" s="275">
        <f>IF(OR(tblContractForDeed[[#This Row],[Date]]&lt;cfdContractDate,tblContractForDeed[[#This Row],[Date]]&gt;cfdEndDate),0,ROUND(tblContractForDeed[[#This Row],[Beg]]*(tblContractForDeed[[#This Row],[Int Rate]]/12),2))</f>
        <v>287.51</v>
      </c>
      <c r="T109" s="275">
        <f>IF(tblContractForDeed[[#This Row],[Payment]]=0,0,$W$2)</f>
        <v>134.16999999999999</v>
      </c>
      <c r="U109" s="275">
        <f>IF(tblContractForDeed[[#This Row],[Princ]]=0,0,$W$3)</f>
        <v>188.55</v>
      </c>
      <c r="V109" s="275">
        <f>SUM(tblContractForDeed[[#This Row],[Princ]],tblContractForDeed[[#This Row],[Int]],tblContractForDeed[[#This Row],[Ins]],tblContractForDeed[[#This Row],[Taxes]])</f>
        <v>982.61999999999989</v>
      </c>
      <c r="W109" s="275">
        <f>SUM(INDEX(tblContractForDeed[Princ],1):INDEX(tblContractForDeed[Princ],ROW()-ROW(tblContractForDeed[#Headers])))</f>
        <v>24517.840000000011</v>
      </c>
      <c r="X109" s="275">
        <f>IF(tblContractForDeed[[#This Row],[Beg]]&lt;=0,0,tblContractForDeed[[#This Row],[Beg]]-tblContractForDeed[[#This Row],[Princ]])</f>
        <v>50740.160000000018</v>
      </c>
      <c r="Y10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09" s="454">
        <f>IF(INDEX(tblContractForDeed[Payment],ROW()-ROW(tblBuyerOutputs[#Headers]))=0,0,INDEX(tblContractForDeed[Payment],ROW()-ROW(tblBuyerOutputs[#Headers]))-INDEX(tblSubjectToLoan[Payment],ROW()-ROW(tblBuyerOutputs[#Headers])))</f>
        <v>34.090000000000032</v>
      </c>
      <c r="AA109"/>
      <c r="AB109" s="14">
        <f>IF(INDEX(tblContractForDeed[Payment],ROW()-ROW(tblBuyerOutputs[#Headers]))=0,0,INDEX(tblContractForDeed[Payment],ROW()-ROW(tblBuyerOutputs[#Headers]))-INDEX(tblSubjectToLoan[Payment],ROW()-ROW(tblBuyerOutputs[#Headers])))-IFERROR(tblBuyerOutputs[[#This Row],[PMI]],0)</f>
        <v>34.090000000000032</v>
      </c>
      <c r="AC1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1335.3500000000031</v>
      </c>
      <c r="AD109" s="275">
        <f>IF(INDEX(tblContractForDeed[End Bal],ROW()-ROW(tblBuyerOutputs[#Headers]))&lt;=0,0,($O$6+IF(ROW()=ROW(tblBuyerOutputs[#Headers])+1,0,INDEX(tblBuyerOutputs[Cumul Appr],ROW()-ROW(tblBuyerOutputs[#Headers])-1)))*$O$2/12)</f>
        <v>454.00193908374939</v>
      </c>
      <c r="AE109" s="275">
        <f>IF(INDEX(tblContractForDeed[End Bal],ROW()-ROW(tblBuyerOutputs[#Headers]))&lt;=0,0,IF(ROW()=ROW(tblBuyerOutputs[#Headers])+1,0,INDEX(tblBuyerOutputs[Cumul Appr],ROW()-ROW(tblBuyerOutputs[#Headers])-1))+tblBuyerOutputs[[#This Row],[Monthly Appr]])</f>
        <v>34156.467319183597</v>
      </c>
      <c r="AF109" s="22"/>
      <c r="AG109" s="14"/>
      <c r="AL109"/>
      <c r="AM109" s="14"/>
      <c r="AO109" s="275"/>
      <c r="AQ109" s="14"/>
      <c r="AR109"/>
    </row>
    <row r="110" spans="1:44" x14ac:dyDescent="0.25">
      <c r="A110" s="590">
        <f t="shared" si="17"/>
        <v>48611</v>
      </c>
      <c r="B110" s="275">
        <f t="shared" si="18"/>
        <v>63824.899999999958</v>
      </c>
      <c r="C110" s="14">
        <f t="shared" si="14"/>
        <v>625.80999999999995</v>
      </c>
      <c r="D110" s="14">
        <f t="shared" si="19"/>
        <v>426.35999999999996</v>
      </c>
      <c r="E110" s="14">
        <f t="shared" si="15"/>
        <v>199.45</v>
      </c>
      <c r="F110" s="14">
        <f t="shared" si="24"/>
        <v>134.16999999999999</v>
      </c>
      <c r="G110" s="14">
        <f t="shared" si="24"/>
        <v>188.55</v>
      </c>
      <c r="H110" s="14">
        <f t="shared" si="12"/>
        <v>948.53</v>
      </c>
      <c r="I110" s="275">
        <f t="shared" si="22"/>
        <v>34133.299999999988</v>
      </c>
      <c r="J110" s="275">
        <f t="shared" si="23"/>
        <v>23119.25</v>
      </c>
      <c r="K110" s="275">
        <f t="shared" si="20"/>
        <v>63398.539999999957</v>
      </c>
      <c r="L110" s="386">
        <f t="shared" si="16"/>
        <v>7</v>
      </c>
      <c r="M110" s="386">
        <f t="shared" si="21"/>
        <v>90</v>
      </c>
      <c r="N110" s="590">
        <f>INDEX(tblSubjectToLoan[Date],ROW()-ROW(tblContractForDeed[#Headers]))</f>
        <v>48611</v>
      </c>
      <c r="O110" s="275">
        <f>IF(ROW()=ROW(tblContractForDeed[#Headers])+1,$O$6,IF(INDEX(tblContractForDeed[End Bal],ROW()-ROW(tblContractForDeed[#Headers])-1)&lt;0,0,INDEX(tblContractForDeed[End Bal],ROW()-ROW(tblContractForDeed[#Headers])-1)))</f>
        <v>50740.160000000018</v>
      </c>
      <c r="P110" s="445">
        <f>IF(tblContractForDeed[[#This Row],[Date]]="","",IF(tblContractForDeed[[#This Row],[Date]]&lt;cfdRateChangeDate,cfdRate1,cfdRate2))</f>
        <v>6.7500000000000004E-2</v>
      </c>
      <c r="Q1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0" s="275">
        <f>IF(tblContractForDeed[[#This Row],[Payment]]=0,0,MAX(0,MIN(tblContractForDeed[[#This Row],[Beg]],tblContractForDeed[[#This Row],[Payment]]-tblContractForDeed[[#This Row],[Int]])))</f>
        <v>374.48999999999995</v>
      </c>
      <c r="S110" s="275">
        <f>IF(OR(tblContractForDeed[[#This Row],[Date]]&lt;cfdContractDate,tblContractForDeed[[#This Row],[Date]]&gt;cfdEndDate),0,ROUND(tblContractForDeed[[#This Row],[Beg]]*(tblContractForDeed[[#This Row],[Int Rate]]/12),2))</f>
        <v>285.41000000000003</v>
      </c>
      <c r="T110" s="275">
        <f>IF(tblContractForDeed[[#This Row],[Payment]]=0,0,$W$2)</f>
        <v>134.16999999999999</v>
      </c>
      <c r="U110" s="275">
        <f>IF(tblContractForDeed[[#This Row],[Princ]]=0,0,$W$3)</f>
        <v>188.55</v>
      </c>
      <c r="V110" s="275">
        <f>SUM(tblContractForDeed[[#This Row],[Princ]],tblContractForDeed[[#This Row],[Int]],tblContractForDeed[[#This Row],[Ins]],tblContractForDeed[[#This Row],[Taxes]])</f>
        <v>982.61999999999989</v>
      </c>
      <c r="W110" s="275">
        <f>SUM(INDEX(tblContractForDeed[Princ],1):INDEX(tblContractForDeed[Princ],ROW()-ROW(tblContractForDeed[#Headers])))</f>
        <v>24892.330000000013</v>
      </c>
      <c r="X110" s="275">
        <f>IF(tblContractForDeed[[#This Row],[Beg]]&lt;=0,0,tblContractForDeed[[#This Row],[Beg]]-tblContractForDeed[[#This Row],[Princ]])</f>
        <v>50365.67000000002</v>
      </c>
      <c r="Y11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0" s="454">
        <f>IF(INDEX(tblContractForDeed[Payment],ROW()-ROW(tblBuyerOutputs[#Headers]))=0,0,INDEX(tblContractForDeed[Payment],ROW()-ROW(tblBuyerOutputs[#Headers]))-INDEX(tblSubjectToLoan[Payment],ROW()-ROW(tblBuyerOutputs[#Headers])))</f>
        <v>34.090000000000032</v>
      </c>
      <c r="AA110"/>
      <c r="AB110" s="14">
        <f>IF(INDEX(tblContractForDeed[Payment],ROW()-ROW(tblBuyerOutputs[#Headers]))=0,0,INDEX(tblContractForDeed[Payment],ROW()-ROW(tblBuyerOutputs[#Headers]))-INDEX(tblSubjectToLoan[Payment],ROW()-ROW(tblBuyerOutputs[#Headers])))-IFERROR(tblBuyerOutputs[[#This Row],[PMI]],0)</f>
        <v>34.090000000000032</v>
      </c>
      <c r="AC1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1369.4400000000032</v>
      </c>
      <c r="AD110" s="275">
        <f>IF(INDEX(tblContractForDeed[End Bal],ROW()-ROW(tblBuyerOutputs[#Headers]))&lt;=0,0,($O$6+IF(ROW()=ROW(tblBuyerOutputs[#Headers])+1,0,INDEX(tblBuyerOutputs[Cumul Appr],ROW()-ROW(tblBuyerOutputs[#Headers])-1)))*$O$2/12)</f>
        <v>455.89361382993167</v>
      </c>
      <c r="AE110" s="275">
        <f>IF(INDEX(tblContractForDeed[End Bal],ROW()-ROW(tblBuyerOutputs[#Headers]))&lt;=0,0,IF(ROW()=ROW(tblBuyerOutputs[#Headers])+1,0,INDEX(tblBuyerOutputs[Cumul Appr],ROW()-ROW(tblBuyerOutputs[#Headers])-1))+tblBuyerOutputs[[#This Row],[Monthly Appr]])</f>
        <v>34612.36093301353</v>
      </c>
      <c r="AF110" s="22"/>
      <c r="AG110" s="14"/>
      <c r="AL110"/>
      <c r="AM110" s="14"/>
      <c r="AO110" s="275"/>
      <c r="AQ110" s="14"/>
      <c r="AR110"/>
    </row>
    <row r="111" spans="1:44" x14ac:dyDescent="0.25">
      <c r="A111" s="590">
        <f t="shared" si="17"/>
        <v>48639</v>
      </c>
      <c r="B111" s="275">
        <f t="shared" si="18"/>
        <v>63398.539999999957</v>
      </c>
      <c r="C111" s="14">
        <f t="shared" si="14"/>
        <v>625.80999999999995</v>
      </c>
      <c r="D111" s="14">
        <f t="shared" si="19"/>
        <v>427.68999999999994</v>
      </c>
      <c r="E111" s="14">
        <f t="shared" si="15"/>
        <v>198.12</v>
      </c>
      <c r="F111" s="14">
        <f t="shared" ref="F111:G126" si="25">+F110</f>
        <v>134.16999999999999</v>
      </c>
      <c r="G111" s="14">
        <f t="shared" si="25"/>
        <v>188.55</v>
      </c>
      <c r="H111" s="14">
        <f t="shared" si="12"/>
        <v>948.53</v>
      </c>
      <c r="I111" s="275">
        <f t="shared" si="22"/>
        <v>34560.989999999991</v>
      </c>
      <c r="J111" s="275">
        <f t="shared" si="23"/>
        <v>23317.37</v>
      </c>
      <c r="K111" s="275">
        <f t="shared" si="20"/>
        <v>62970.849999999955</v>
      </c>
      <c r="L111" s="386">
        <f t="shared" si="16"/>
        <v>7</v>
      </c>
      <c r="M111" s="386">
        <f t="shared" si="21"/>
        <v>91</v>
      </c>
      <c r="N111" s="590">
        <f>INDEX(tblSubjectToLoan[Date],ROW()-ROW(tblContractForDeed[#Headers]))</f>
        <v>48639</v>
      </c>
      <c r="O111" s="275">
        <f>IF(ROW()=ROW(tblContractForDeed[#Headers])+1,$O$6,IF(INDEX(tblContractForDeed[End Bal],ROW()-ROW(tblContractForDeed[#Headers])-1)&lt;0,0,INDEX(tblContractForDeed[End Bal],ROW()-ROW(tblContractForDeed[#Headers])-1)))</f>
        <v>50365.67000000002</v>
      </c>
      <c r="P111" s="445">
        <f>IF(tblContractForDeed[[#This Row],[Date]]="","",IF(tblContractForDeed[[#This Row],[Date]]&lt;cfdRateChangeDate,cfdRate1,cfdRate2))</f>
        <v>6.7500000000000004E-2</v>
      </c>
      <c r="Q11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1" s="275">
        <f>IF(tblContractForDeed[[#This Row],[Payment]]=0,0,MAX(0,MIN(tblContractForDeed[[#This Row],[Beg]],tblContractForDeed[[#This Row],[Payment]]-tblContractForDeed[[#This Row],[Int]])))</f>
        <v>376.59</v>
      </c>
      <c r="S111" s="275">
        <f>IF(OR(tblContractForDeed[[#This Row],[Date]]&lt;cfdContractDate,tblContractForDeed[[#This Row],[Date]]&gt;cfdEndDate),0,ROUND(tblContractForDeed[[#This Row],[Beg]]*(tblContractForDeed[[#This Row],[Int Rate]]/12),2))</f>
        <v>283.31</v>
      </c>
      <c r="T111" s="275">
        <f>IF(tblContractForDeed[[#This Row],[Payment]]=0,0,$W$2)</f>
        <v>134.16999999999999</v>
      </c>
      <c r="U111" s="275">
        <f>IF(tblContractForDeed[[#This Row],[Princ]]=0,0,$W$3)</f>
        <v>188.55</v>
      </c>
      <c r="V111" s="275">
        <f>SUM(tblContractForDeed[[#This Row],[Princ]],tblContractForDeed[[#This Row],[Int]],tblContractForDeed[[#This Row],[Ins]],tblContractForDeed[[#This Row],[Taxes]])</f>
        <v>982.61999999999989</v>
      </c>
      <c r="W111" s="275">
        <f>SUM(INDEX(tblContractForDeed[Princ],1):INDEX(tblContractForDeed[Princ],ROW()-ROW(tblContractForDeed[#Headers])))</f>
        <v>25268.920000000013</v>
      </c>
      <c r="X111" s="275">
        <f>IF(tblContractForDeed[[#This Row],[Beg]]&lt;=0,0,tblContractForDeed[[#This Row],[Beg]]-tblContractForDeed[[#This Row],[Princ]])</f>
        <v>49989.080000000024</v>
      </c>
      <c r="Y11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1" s="454">
        <f>IF(INDEX(tblContractForDeed[Payment],ROW()-ROW(tblBuyerOutputs[#Headers]))=0,0,INDEX(tblContractForDeed[Payment],ROW()-ROW(tblBuyerOutputs[#Headers]))-INDEX(tblSubjectToLoan[Payment],ROW()-ROW(tblBuyerOutputs[#Headers])))</f>
        <v>34.090000000000032</v>
      </c>
      <c r="AA111"/>
      <c r="AB111" s="14">
        <f>IF(INDEX(tblContractForDeed[Payment],ROW()-ROW(tblBuyerOutputs[#Headers]))=0,0,INDEX(tblContractForDeed[Payment],ROW()-ROW(tblBuyerOutputs[#Headers]))-INDEX(tblSubjectToLoan[Payment],ROW()-ROW(tblBuyerOutputs[#Headers])))-IFERROR(tblBuyerOutputs[[#This Row],[PMI]],0)</f>
        <v>34.090000000000032</v>
      </c>
      <c r="AC1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1403.5300000000034</v>
      </c>
      <c r="AD111" s="275">
        <f>IF(INDEX(tblContractForDeed[End Bal],ROW()-ROW(tblBuyerOutputs[#Headers]))&lt;=0,0,($O$6+IF(ROW()=ROW(tblBuyerOutputs[#Headers])+1,0,INDEX(tblBuyerOutputs[Cumul Appr],ROW()-ROW(tblBuyerOutputs[#Headers])-1)))*$O$2/12)</f>
        <v>457.79317055422302</v>
      </c>
      <c r="AE111" s="275">
        <f>IF(INDEX(tblContractForDeed[End Bal],ROW()-ROW(tblBuyerOutputs[#Headers]))&lt;=0,0,IF(ROW()=ROW(tblBuyerOutputs[#Headers])+1,0,INDEX(tblBuyerOutputs[Cumul Appr],ROW()-ROW(tblBuyerOutputs[#Headers])-1))+tblBuyerOutputs[[#This Row],[Monthly Appr]])</f>
        <v>35070.154103567751</v>
      </c>
      <c r="AF111" s="22"/>
      <c r="AG111" s="14"/>
      <c r="AL111"/>
      <c r="AM111" s="14"/>
      <c r="AO111" s="275"/>
      <c r="AQ111" s="14"/>
      <c r="AR111"/>
    </row>
    <row r="112" spans="1:44" x14ac:dyDescent="0.25">
      <c r="A112" s="590">
        <f t="shared" si="17"/>
        <v>48670</v>
      </c>
      <c r="B112" s="275">
        <f t="shared" si="18"/>
        <v>62970.849999999955</v>
      </c>
      <c r="C112" s="14">
        <f t="shared" si="14"/>
        <v>625.80999999999995</v>
      </c>
      <c r="D112" s="14">
        <f t="shared" si="19"/>
        <v>429.03</v>
      </c>
      <c r="E112" s="14">
        <f t="shared" si="15"/>
        <v>196.78</v>
      </c>
      <c r="F112" s="14">
        <f t="shared" si="25"/>
        <v>134.16999999999999</v>
      </c>
      <c r="G112" s="14">
        <f t="shared" si="25"/>
        <v>188.55</v>
      </c>
      <c r="H112" s="14">
        <f t="shared" si="12"/>
        <v>948.53</v>
      </c>
      <c r="I112" s="275">
        <f t="shared" si="22"/>
        <v>34990.01999999999</v>
      </c>
      <c r="J112" s="275">
        <f t="shared" si="23"/>
        <v>23514.149999999998</v>
      </c>
      <c r="K112" s="275">
        <f t="shared" si="20"/>
        <v>62541.819999999956</v>
      </c>
      <c r="L112" s="386">
        <f t="shared" si="16"/>
        <v>7</v>
      </c>
      <c r="M112" s="386">
        <f t="shared" si="21"/>
        <v>92</v>
      </c>
      <c r="N112" s="590">
        <f>INDEX(tblSubjectToLoan[Date],ROW()-ROW(tblContractForDeed[#Headers]))</f>
        <v>48670</v>
      </c>
      <c r="O112" s="275">
        <f>IF(ROW()=ROW(tblContractForDeed[#Headers])+1,$O$6,IF(INDEX(tblContractForDeed[End Bal],ROW()-ROW(tblContractForDeed[#Headers])-1)&lt;0,0,INDEX(tblContractForDeed[End Bal],ROW()-ROW(tblContractForDeed[#Headers])-1)))</f>
        <v>49989.080000000024</v>
      </c>
      <c r="P112" s="445">
        <f>IF(tblContractForDeed[[#This Row],[Date]]="","",IF(tblContractForDeed[[#This Row],[Date]]&lt;cfdRateChangeDate,cfdRate1,cfdRate2))</f>
        <v>6.7500000000000004E-2</v>
      </c>
      <c r="Q1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2" s="275">
        <f>IF(tblContractForDeed[[#This Row],[Payment]]=0,0,MAX(0,MIN(tblContractForDeed[[#This Row],[Beg]],tblContractForDeed[[#This Row],[Payment]]-tblContractForDeed[[#This Row],[Int]])))</f>
        <v>378.71</v>
      </c>
      <c r="S112" s="275">
        <f>IF(OR(tblContractForDeed[[#This Row],[Date]]&lt;cfdContractDate,tblContractForDeed[[#This Row],[Date]]&gt;cfdEndDate),0,ROUND(tblContractForDeed[[#This Row],[Beg]]*(tblContractForDeed[[#This Row],[Int Rate]]/12),2))</f>
        <v>281.19</v>
      </c>
      <c r="T112" s="275">
        <f>IF(tblContractForDeed[[#This Row],[Payment]]=0,0,$W$2)</f>
        <v>134.16999999999999</v>
      </c>
      <c r="U112" s="275">
        <f>IF(tblContractForDeed[[#This Row],[Princ]]=0,0,$W$3)</f>
        <v>188.55</v>
      </c>
      <c r="V112" s="275">
        <f>SUM(tblContractForDeed[[#This Row],[Princ]],tblContractForDeed[[#This Row],[Int]],tblContractForDeed[[#This Row],[Ins]],tblContractForDeed[[#This Row],[Taxes]])</f>
        <v>982.61999999999989</v>
      </c>
      <c r="W112" s="275">
        <f>SUM(INDEX(tblContractForDeed[Princ],1):INDEX(tblContractForDeed[Princ],ROW()-ROW(tblContractForDeed[#Headers])))</f>
        <v>25647.630000000012</v>
      </c>
      <c r="X112" s="275">
        <f>IF(tblContractForDeed[[#This Row],[Beg]]&lt;=0,0,tblContractForDeed[[#This Row],[Beg]]-tblContractForDeed[[#This Row],[Princ]])</f>
        <v>49610.370000000024</v>
      </c>
      <c r="Y11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2" s="454">
        <f>IF(INDEX(tblContractForDeed[Payment],ROW()-ROW(tblBuyerOutputs[#Headers]))=0,0,INDEX(tblContractForDeed[Payment],ROW()-ROW(tblBuyerOutputs[#Headers]))-INDEX(tblSubjectToLoan[Payment],ROW()-ROW(tblBuyerOutputs[#Headers])))</f>
        <v>34.090000000000032</v>
      </c>
      <c r="AA112"/>
      <c r="AB112" s="14">
        <f>IF(INDEX(tblContractForDeed[Payment],ROW()-ROW(tblBuyerOutputs[#Headers]))=0,0,INDEX(tblContractForDeed[Payment],ROW()-ROW(tblBuyerOutputs[#Headers]))-INDEX(tblSubjectToLoan[Payment],ROW()-ROW(tblBuyerOutputs[#Headers])))-IFERROR(tblBuyerOutputs[[#This Row],[PMI]],0)</f>
        <v>34.090000000000032</v>
      </c>
      <c r="AC1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1437.6200000000035</v>
      </c>
      <c r="AD112" s="275">
        <f>IF(INDEX(tblContractForDeed[End Bal],ROW()-ROW(tblBuyerOutputs[#Headers]))&lt;=0,0,($O$6+IF(ROW()=ROW(tblBuyerOutputs[#Headers])+1,0,INDEX(tblBuyerOutputs[Cumul Appr],ROW()-ROW(tblBuyerOutputs[#Headers])-1)))*$O$2/12)</f>
        <v>459.70064209819901</v>
      </c>
      <c r="AE112" s="275">
        <f>IF(INDEX(tblContractForDeed[End Bal],ROW()-ROW(tblBuyerOutputs[#Headers]))&lt;=0,0,IF(ROW()=ROW(tblBuyerOutputs[#Headers])+1,0,INDEX(tblBuyerOutputs[Cumul Appr],ROW()-ROW(tblBuyerOutputs[#Headers])-1))+tblBuyerOutputs[[#This Row],[Monthly Appr]])</f>
        <v>35529.854745665951</v>
      </c>
      <c r="AF112" s="22"/>
      <c r="AG112" s="14"/>
      <c r="AL112"/>
      <c r="AM112" s="14"/>
      <c r="AO112" s="275"/>
      <c r="AQ112" s="14"/>
      <c r="AR112"/>
    </row>
    <row r="113" spans="1:44" x14ac:dyDescent="0.25">
      <c r="A113" s="590">
        <f t="shared" si="17"/>
        <v>48700</v>
      </c>
      <c r="B113" s="275">
        <f t="shared" si="18"/>
        <v>62541.819999999956</v>
      </c>
      <c r="C113" s="14">
        <f t="shared" si="14"/>
        <v>625.80999999999995</v>
      </c>
      <c r="D113" s="14">
        <f t="shared" si="19"/>
        <v>430.36999999999995</v>
      </c>
      <c r="E113" s="14">
        <f t="shared" si="15"/>
        <v>195.44</v>
      </c>
      <c r="F113" s="14">
        <f t="shared" si="25"/>
        <v>134.16999999999999</v>
      </c>
      <c r="G113" s="14">
        <f t="shared" si="25"/>
        <v>188.55</v>
      </c>
      <c r="H113" s="14">
        <f t="shared" si="12"/>
        <v>948.53</v>
      </c>
      <c r="I113" s="275">
        <f t="shared" si="22"/>
        <v>35420.389999999992</v>
      </c>
      <c r="J113" s="275">
        <f t="shared" si="23"/>
        <v>23709.589999999997</v>
      </c>
      <c r="K113" s="275">
        <f t="shared" si="20"/>
        <v>62111.449999999953</v>
      </c>
      <c r="L113" s="386">
        <f>IF(MOD(M113,12)=0,M113/12,L112)</f>
        <v>7</v>
      </c>
      <c r="M113" s="386">
        <f t="shared" si="21"/>
        <v>93</v>
      </c>
      <c r="N113" s="590">
        <f>INDEX(tblSubjectToLoan[Date],ROW()-ROW(tblContractForDeed[#Headers]))</f>
        <v>48700</v>
      </c>
      <c r="O113" s="275">
        <f>IF(ROW()=ROW(tblContractForDeed[#Headers])+1,$O$6,IF(INDEX(tblContractForDeed[End Bal],ROW()-ROW(tblContractForDeed[#Headers])-1)&lt;0,0,INDEX(tblContractForDeed[End Bal],ROW()-ROW(tblContractForDeed[#Headers])-1)))</f>
        <v>49610.370000000024</v>
      </c>
      <c r="P113" s="445">
        <f>IF(tblContractForDeed[[#This Row],[Date]]="","",IF(tblContractForDeed[[#This Row],[Date]]&lt;cfdRateChangeDate,cfdRate1,cfdRate2))</f>
        <v>6.7500000000000004E-2</v>
      </c>
      <c r="Q1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3" s="275">
        <f>IF(tblContractForDeed[[#This Row],[Payment]]=0,0,MAX(0,MIN(tblContractForDeed[[#This Row],[Beg]],tblContractForDeed[[#This Row],[Payment]]-tblContractForDeed[[#This Row],[Int]])))</f>
        <v>380.84</v>
      </c>
      <c r="S113" s="275">
        <f>IF(OR(tblContractForDeed[[#This Row],[Date]]&lt;cfdContractDate,tblContractForDeed[[#This Row],[Date]]&gt;cfdEndDate),0,ROUND(tblContractForDeed[[#This Row],[Beg]]*(tblContractForDeed[[#This Row],[Int Rate]]/12),2))</f>
        <v>279.06</v>
      </c>
      <c r="T113" s="275">
        <f>IF(tblContractForDeed[[#This Row],[Payment]]=0,0,$W$2)</f>
        <v>134.16999999999999</v>
      </c>
      <c r="U113" s="275">
        <f>IF(tblContractForDeed[[#This Row],[Princ]]=0,0,$W$3)</f>
        <v>188.55</v>
      </c>
      <c r="V113" s="275">
        <f>SUM(tblContractForDeed[[#This Row],[Princ]],tblContractForDeed[[#This Row],[Int]],tblContractForDeed[[#This Row],[Ins]],tblContractForDeed[[#This Row],[Taxes]])</f>
        <v>982.61999999999989</v>
      </c>
      <c r="W113" s="275">
        <f>SUM(INDEX(tblContractForDeed[Princ],1):INDEX(tblContractForDeed[Princ],ROW()-ROW(tblContractForDeed[#Headers])))</f>
        <v>26028.470000000012</v>
      </c>
      <c r="X113" s="275">
        <f>IF(tblContractForDeed[[#This Row],[Beg]]&lt;=0,0,tblContractForDeed[[#This Row],[Beg]]-tblContractForDeed[[#This Row],[Princ]])</f>
        <v>49229.530000000028</v>
      </c>
      <c r="Y11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3" s="454">
        <f>IF(INDEX(tblContractForDeed[Payment],ROW()-ROW(tblBuyerOutputs[#Headers]))=0,0,INDEX(tblContractForDeed[Payment],ROW()-ROW(tblBuyerOutputs[#Headers]))-INDEX(tblSubjectToLoan[Payment],ROW()-ROW(tblBuyerOutputs[#Headers])))</f>
        <v>34.090000000000032</v>
      </c>
      <c r="AA113"/>
      <c r="AB113" s="14">
        <f>IF(INDEX(tblContractForDeed[Payment],ROW()-ROW(tblBuyerOutputs[#Headers]))=0,0,INDEX(tblContractForDeed[Payment],ROW()-ROW(tblBuyerOutputs[#Headers]))-INDEX(tblSubjectToLoan[Payment],ROW()-ROW(tblBuyerOutputs[#Headers])))-IFERROR(tblBuyerOutputs[[#This Row],[PMI]],0)</f>
        <v>34.090000000000032</v>
      </c>
      <c r="AC1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1471.7100000000037</v>
      </c>
      <c r="AD113" s="275">
        <f>IF(INDEX(tblContractForDeed[End Bal],ROW()-ROW(tblBuyerOutputs[#Headers]))&lt;=0,0,($O$6+IF(ROW()=ROW(tblBuyerOutputs[#Headers])+1,0,INDEX(tblBuyerOutputs[Cumul Appr],ROW()-ROW(tblBuyerOutputs[#Headers])-1)))*$O$2/12)</f>
        <v>461.61606144027479</v>
      </c>
      <c r="AE113" s="275">
        <f>IF(INDEX(tblContractForDeed[End Bal],ROW()-ROW(tblBuyerOutputs[#Headers]))&lt;=0,0,IF(ROW()=ROW(tblBuyerOutputs[#Headers])+1,0,INDEX(tblBuyerOutputs[Cumul Appr],ROW()-ROW(tblBuyerOutputs[#Headers])-1))+tblBuyerOutputs[[#This Row],[Monthly Appr]])</f>
        <v>35991.470807106227</v>
      </c>
      <c r="AF113" s="22"/>
      <c r="AG113" s="14"/>
      <c r="AL113"/>
      <c r="AM113" s="14"/>
      <c r="AO113" s="275"/>
      <c r="AQ113" s="14"/>
      <c r="AR113"/>
    </row>
    <row r="114" spans="1:44" x14ac:dyDescent="0.25">
      <c r="A114" s="590">
        <f t="shared" si="17"/>
        <v>48731</v>
      </c>
      <c r="B114" s="275">
        <f t="shared" si="18"/>
        <v>62111.449999999953</v>
      </c>
      <c r="C114" s="14">
        <f t="shared" si="14"/>
        <v>625.80999999999995</v>
      </c>
      <c r="D114" s="14">
        <f t="shared" si="19"/>
        <v>431.70999999999992</v>
      </c>
      <c r="E114" s="14">
        <f t="shared" si="15"/>
        <v>194.1</v>
      </c>
      <c r="F114" s="14">
        <f t="shared" si="25"/>
        <v>134.16999999999999</v>
      </c>
      <c r="G114" s="14">
        <f t="shared" si="25"/>
        <v>188.55</v>
      </c>
      <c r="H114" s="14">
        <f t="shared" si="12"/>
        <v>948.53</v>
      </c>
      <c r="I114" s="275">
        <f t="shared" si="22"/>
        <v>35852.099999999991</v>
      </c>
      <c r="J114" s="275">
        <f t="shared" si="23"/>
        <v>23903.689999999995</v>
      </c>
      <c r="K114" s="275">
        <f t="shared" si="20"/>
        <v>61679.739999999954</v>
      </c>
      <c r="L114" s="386">
        <f>IF(MOD(M114,12)=0,M114/12,L113)</f>
        <v>7</v>
      </c>
      <c r="M114" s="386">
        <f t="shared" si="21"/>
        <v>94</v>
      </c>
      <c r="N114" s="590">
        <f>INDEX(tblSubjectToLoan[Date],ROW()-ROW(tblContractForDeed[#Headers]))</f>
        <v>48731</v>
      </c>
      <c r="O114" s="275">
        <f>IF(ROW()=ROW(tblContractForDeed[#Headers])+1,$O$6,IF(INDEX(tblContractForDeed[End Bal],ROW()-ROW(tblContractForDeed[#Headers])-1)&lt;0,0,INDEX(tblContractForDeed[End Bal],ROW()-ROW(tblContractForDeed[#Headers])-1)))</f>
        <v>49229.530000000028</v>
      </c>
      <c r="P114" s="445">
        <f>IF(tblContractForDeed[[#This Row],[Date]]="","",IF(tblContractForDeed[[#This Row],[Date]]&lt;cfdRateChangeDate,cfdRate1,cfdRate2))</f>
        <v>6.7500000000000004E-2</v>
      </c>
      <c r="Q1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4" s="275">
        <f>IF(tblContractForDeed[[#This Row],[Payment]]=0,0,MAX(0,MIN(tblContractForDeed[[#This Row],[Beg]],tblContractForDeed[[#This Row],[Payment]]-tblContractForDeed[[#This Row],[Int]])))</f>
        <v>382.97999999999996</v>
      </c>
      <c r="S114" s="275">
        <f>IF(OR(tblContractForDeed[[#This Row],[Date]]&lt;cfdContractDate,tblContractForDeed[[#This Row],[Date]]&gt;cfdEndDate),0,ROUND(tblContractForDeed[[#This Row],[Beg]]*(tblContractForDeed[[#This Row],[Int Rate]]/12),2))</f>
        <v>276.92</v>
      </c>
      <c r="T114" s="275">
        <f>IF(tblContractForDeed[[#This Row],[Payment]]=0,0,$W$2)</f>
        <v>134.16999999999999</v>
      </c>
      <c r="U114" s="275">
        <f>IF(tblContractForDeed[[#This Row],[Princ]]=0,0,$W$3)</f>
        <v>188.55</v>
      </c>
      <c r="V114" s="275">
        <f>SUM(tblContractForDeed[[#This Row],[Princ]],tblContractForDeed[[#This Row],[Int]],tblContractForDeed[[#This Row],[Ins]],tblContractForDeed[[#This Row],[Taxes]])</f>
        <v>982.61999999999989</v>
      </c>
      <c r="W114" s="275">
        <f>SUM(INDEX(tblContractForDeed[Princ],1):INDEX(tblContractForDeed[Princ],ROW()-ROW(tblContractForDeed[#Headers])))</f>
        <v>26411.450000000012</v>
      </c>
      <c r="X114" s="275">
        <f>IF(tblContractForDeed[[#This Row],[Beg]]&lt;=0,0,tblContractForDeed[[#This Row],[Beg]]-tblContractForDeed[[#This Row],[Princ]])</f>
        <v>48846.550000000025</v>
      </c>
      <c r="Y11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4" s="454">
        <f>IF(INDEX(tblContractForDeed[Payment],ROW()-ROW(tblBuyerOutputs[#Headers]))=0,0,INDEX(tblContractForDeed[Payment],ROW()-ROW(tblBuyerOutputs[#Headers]))-INDEX(tblSubjectToLoan[Payment],ROW()-ROW(tblBuyerOutputs[#Headers])))</f>
        <v>34.090000000000032</v>
      </c>
      <c r="AA114"/>
      <c r="AB114" s="14">
        <f>IF(INDEX(tblContractForDeed[Payment],ROW()-ROW(tblBuyerOutputs[#Headers]))=0,0,INDEX(tblContractForDeed[Payment],ROW()-ROW(tblBuyerOutputs[#Headers]))-INDEX(tblSubjectToLoan[Payment],ROW()-ROW(tblBuyerOutputs[#Headers])))-IFERROR(tblBuyerOutputs[[#This Row],[PMI]],0)</f>
        <v>34.090000000000032</v>
      </c>
      <c r="AC1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1505.8000000000038</v>
      </c>
      <c r="AD114" s="275">
        <f>IF(INDEX(tblContractForDeed[End Bal],ROW()-ROW(tblBuyerOutputs[#Headers]))&lt;=0,0,($O$6+IF(ROW()=ROW(tblBuyerOutputs[#Headers])+1,0,INDEX(tblBuyerOutputs[Cumul Appr],ROW()-ROW(tblBuyerOutputs[#Headers])-1)))*$O$2/12)</f>
        <v>463.53946169627602</v>
      </c>
      <c r="AE114" s="275">
        <f>IF(INDEX(tblContractForDeed[End Bal],ROW()-ROW(tblBuyerOutputs[#Headers]))&lt;=0,0,IF(ROW()=ROW(tblBuyerOutputs[#Headers])+1,0,INDEX(tblBuyerOutputs[Cumul Appr],ROW()-ROW(tblBuyerOutputs[#Headers])-1))+tblBuyerOutputs[[#This Row],[Monthly Appr]])</f>
        <v>36455.0102688025</v>
      </c>
      <c r="AF114" s="22"/>
      <c r="AG114" s="14"/>
      <c r="AL114"/>
      <c r="AM114" s="14"/>
      <c r="AO114" s="275"/>
      <c r="AQ114" s="14"/>
      <c r="AR114"/>
    </row>
    <row r="115" spans="1:44" ht="15.75" thickBot="1" x14ac:dyDescent="0.3">
      <c r="A115" s="591">
        <f t="shared" si="17"/>
        <v>48761</v>
      </c>
      <c r="B115" s="326">
        <f t="shared" si="18"/>
        <v>61679.739999999954</v>
      </c>
      <c r="C115" s="21">
        <f t="shared" si="14"/>
        <v>625.80999999999995</v>
      </c>
      <c r="D115" s="21">
        <f t="shared" si="19"/>
        <v>433.05999999999995</v>
      </c>
      <c r="E115" s="21">
        <f t="shared" si="15"/>
        <v>192.75</v>
      </c>
      <c r="F115" s="21">
        <f t="shared" si="25"/>
        <v>134.16999999999999</v>
      </c>
      <c r="G115" s="21">
        <f t="shared" si="25"/>
        <v>188.55</v>
      </c>
      <c r="H115" s="21">
        <f t="shared" si="12"/>
        <v>948.53</v>
      </c>
      <c r="I115" s="326">
        <f t="shared" si="22"/>
        <v>36285.159999999989</v>
      </c>
      <c r="J115" s="326">
        <f t="shared" si="23"/>
        <v>24096.439999999995</v>
      </c>
      <c r="K115" s="326">
        <f t="shared" si="20"/>
        <v>61246.679999999957</v>
      </c>
      <c r="L115" s="387">
        <f>IF(MOD(M115,12)=0,M115/12,L114)</f>
        <v>7</v>
      </c>
      <c r="M115" s="387">
        <f t="shared" si="21"/>
        <v>95</v>
      </c>
      <c r="N115" s="591">
        <f>INDEX(tblSubjectToLoan[Date],ROW()-ROW(tblContractForDeed[#Headers]))</f>
        <v>48761</v>
      </c>
      <c r="O115" s="326">
        <f>IF(ROW()=ROW(tblContractForDeed[#Headers])+1,$O$6,IF(INDEX(tblContractForDeed[End Bal],ROW()-ROW(tblContractForDeed[#Headers])-1)&lt;0,0,INDEX(tblContractForDeed[End Bal],ROW()-ROW(tblContractForDeed[#Headers])-1)))</f>
        <v>48846.550000000025</v>
      </c>
      <c r="P115" s="445">
        <f>IF(tblContractForDeed[[#This Row],[Date]]="","",IF(tblContractForDeed[[#This Row],[Date]]&lt;cfdRateChangeDate,cfdRate1,cfdRate2))</f>
        <v>6.7500000000000004E-2</v>
      </c>
      <c r="Q11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5" s="326">
        <f>IF(tblContractForDeed[[#This Row],[Payment]]=0,0,MAX(0,MIN(tblContractForDeed[[#This Row],[Beg]],tblContractForDeed[[#This Row],[Payment]]-tblContractForDeed[[#This Row],[Int]])))</f>
        <v>385.14</v>
      </c>
      <c r="S115" s="326">
        <f>IF(OR(tblContractForDeed[[#This Row],[Date]]&lt;cfdContractDate,tblContractForDeed[[#This Row],[Date]]&gt;cfdEndDate),0,ROUND(tblContractForDeed[[#This Row],[Beg]]*(tblContractForDeed[[#This Row],[Int Rate]]/12),2))</f>
        <v>274.76</v>
      </c>
      <c r="T115" s="326">
        <f>IF(tblContractForDeed[[#This Row],[Payment]]=0,0,$W$2)</f>
        <v>134.16999999999999</v>
      </c>
      <c r="U115" s="326">
        <f>IF(tblContractForDeed[[#This Row],[Princ]]=0,0,$W$3)</f>
        <v>188.55</v>
      </c>
      <c r="V115" s="326">
        <f>SUM(tblContractForDeed[[#This Row],[Princ]],tblContractForDeed[[#This Row],[Int]],tblContractForDeed[[#This Row],[Ins]],tblContractForDeed[[#This Row],[Taxes]])</f>
        <v>982.61999999999989</v>
      </c>
      <c r="W115" s="326">
        <f>SUM(INDEX(tblContractForDeed[Princ],1):INDEX(tblContractForDeed[Princ],ROW()-ROW(tblContractForDeed[#Headers])))</f>
        <v>26796.590000000011</v>
      </c>
      <c r="X115" s="326">
        <f>IF(tblContractForDeed[[#This Row],[Beg]]&lt;=0,0,tblContractForDeed[[#This Row],[Beg]]-tblContractForDeed[[#This Row],[Princ]])</f>
        <v>48461.410000000025</v>
      </c>
      <c r="Y115"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5" s="455">
        <f>IF(INDEX(tblContractForDeed[Payment],ROW()-ROW(tblBuyerOutputs[#Headers]))=0,0,INDEX(tblContractForDeed[Payment],ROW()-ROW(tblBuyerOutputs[#Headers]))-INDEX(tblSubjectToLoan[Payment],ROW()-ROW(tblBuyerOutputs[#Headers])))</f>
        <v>34.090000000000032</v>
      </c>
      <c r="AA115" s="23"/>
      <c r="AB115" s="21">
        <f>IF(INDEX(tblContractForDeed[Payment],ROW()-ROW(tblBuyerOutputs[#Headers]))=0,0,INDEX(tblContractForDeed[Payment],ROW()-ROW(tblBuyerOutputs[#Headers]))-INDEX(tblSubjectToLoan[Payment],ROW()-ROW(tblBuyerOutputs[#Headers])))-IFERROR(tblBuyerOutputs[[#This Row],[PMI]],0)</f>
        <v>34.090000000000032</v>
      </c>
      <c r="AC1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1539.890000000004</v>
      </c>
      <c r="AD115" s="326">
        <f>IF(INDEX(tblContractForDeed[End Bal],ROW()-ROW(tblBuyerOutputs[#Headers]))&lt;=0,0,($O$6+IF(ROW()=ROW(tblBuyerOutputs[#Headers])+1,0,INDEX(tblBuyerOutputs[Cumul Appr],ROW()-ROW(tblBuyerOutputs[#Headers])-1)))*$O$2/12)</f>
        <v>465.47087612001042</v>
      </c>
      <c r="AE115" s="326">
        <f>IF(INDEX(tblContractForDeed[End Bal],ROW()-ROW(tblBuyerOutputs[#Headers]))&lt;=0,0,IF(ROW()=ROW(tblBuyerOutputs[#Headers])+1,0,INDEX(tblBuyerOutputs[Cumul Appr],ROW()-ROW(tblBuyerOutputs[#Headers])-1))+tblBuyerOutputs[[#This Row],[Monthly Appr]])</f>
        <v>36920.481144922509</v>
      </c>
      <c r="AF115" s="22"/>
      <c r="AG115" s="14"/>
      <c r="AL115"/>
      <c r="AM115" s="14"/>
      <c r="AO115" s="275"/>
      <c r="AQ115" s="14"/>
      <c r="AR115"/>
    </row>
    <row r="116" spans="1:44" x14ac:dyDescent="0.25">
      <c r="A116" s="590">
        <f t="shared" si="17"/>
        <v>48792</v>
      </c>
      <c r="B116" s="275">
        <f t="shared" si="18"/>
        <v>61246.679999999957</v>
      </c>
      <c r="C116" s="14">
        <f t="shared" si="14"/>
        <v>625.80999999999995</v>
      </c>
      <c r="D116" s="14">
        <f t="shared" si="19"/>
        <v>434.40999999999997</v>
      </c>
      <c r="E116" s="14">
        <f t="shared" si="15"/>
        <v>191.4</v>
      </c>
      <c r="F116" s="14">
        <f t="shared" si="25"/>
        <v>134.16999999999999</v>
      </c>
      <c r="G116" s="14">
        <f t="shared" si="25"/>
        <v>188.55</v>
      </c>
      <c r="H116" s="14">
        <f t="shared" si="12"/>
        <v>948.53</v>
      </c>
      <c r="I116" s="275">
        <f t="shared" si="22"/>
        <v>36719.569999999992</v>
      </c>
      <c r="J116" s="275">
        <f t="shared" si="23"/>
        <v>24287.839999999997</v>
      </c>
      <c r="K116" s="275">
        <f t="shared" si="20"/>
        <v>60812.269999999953</v>
      </c>
      <c r="L116" s="386">
        <f t="shared" ref="L116:L179" si="26">IF(MOD(M116,12)=0,M116/12,L115)</f>
        <v>8</v>
      </c>
      <c r="M116" s="386">
        <f t="shared" si="21"/>
        <v>96</v>
      </c>
      <c r="N116" s="590">
        <f>INDEX(tblSubjectToLoan[Date],ROW()-ROW(tblContractForDeed[#Headers]))</f>
        <v>48792</v>
      </c>
      <c r="O116" s="275">
        <f>IF(ROW()=ROW(tblContractForDeed[#Headers])+1,$O$6,IF(INDEX(tblContractForDeed[End Bal],ROW()-ROW(tblContractForDeed[#Headers])-1)&lt;0,0,INDEX(tblContractForDeed[End Bal],ROW()-ROW(tblContractForDeed[#Headers])-1)))</f>
        <v>48461.410000000025</v>
      </c>
      <c r="P116" s="445">
        <f>IF(tblContractForDeed[[#This Row],[Date]]="","",IF(tblContractForDeed[[#This Row],[Date]]&lt;cfdRateChangeDate,cfdRate1,cfdRate2))</f>
        <v>6.7500000000000004E-2</v>
      </c>
      <c r="Q1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6" s="275">
        <f>IF(tblContractForDeed[[#This Row],[Payment]]=0,0,MAX(0,MIN(tblContractForDeed[[#This Row],[Beg]],tblContractForDeed[[#This Row],[Payment]]-tblContractForDeed[[#This Row],[Int]])))</f>
        <v>387.29999999999995</v>
      </c>
      <c r="S116" s="275">
        <f>IF(OR(tblContractForDeed[[#This Row],[Date]]&lt;cfdContractDate,tblContractForDeed[[#This Row],[Date]]&gt;cfdEndDate),0,ROUND(tblContractForDeed[[#This Row],[Beg]]*(tblContractForDeed[[#This Row],[Int Rate]]/12),2))</f>
        <v>272.60000000000002</v>
      </c>
      <c r="T116" s="275">
        <f>IF(tblContractForDeed[[#This Row],[Payment]]=0,0,$W$2)</f>
        <v>134.16999999999999</v>
      </c>
      <c r="U116" s="275">
        <f>IF(tblContractForDeed[[#This Row],[Princ]]=0,0,$W$3)</f>
        <v>188.55</v>
      </c>
      <c r="V116" s="275">
        <f>SUM(tblContractForDeed[[#This Row],[Princ]],tblContractForDeed[[#This Row],[Int]],tblContractForDeed[[#This Row],[Ins]],tblContractForDeed[[#This Row],[Taxes]])</f>
        <v>982.61999999999989</v>
      </c>
      <c r="W116" s="275">
        <f>SUM(INDEX(tblContractForDeed[Princ],1):INDEX(tblContractForDeed[Princ],ROW()-ROW(tblContractForDeed[#Headers])))</f>
        <v>27183.89000000001</v>
      </c>
      <c r="X116" s="275">
        <f>IF(tblContractForDeed[[#This Row],[Beg]]&lt;=0,0,tblContractForDeed[[#This Row],[Beg]]-tblContractForDeed[[#This Row],[Princ]])</f>
        <v>48074.110000000022</v>
      </c>
      <c r="Y11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6" s="454">
        <f>IF(INDEX(tblContractForDeed[Payment],ROW()-ROW(tblBuyerOutputs[#Headers]))=0,0,INDEX(tblContractForDeed[Payment],ROW()-ROW(tblBuyerOutputs[#Headers]))-INDEX(tblSubjectToLoan[Payment],ROW()-ROW(tblBuyerOutputs[#Headers])))</f>
        <v>34.090000000000032</v>
      </c>
      <c r="AA116"/>
      <c r="AB116" s="14">
        <f>IF(INDEX(tblContractForDeed[Payment],ROW()-ROW(tblBuyerOutputs[#Headers]))=0,0,INDEX(tblContractForDeed[Payment],ROW()-ROW(tblBuyerOutputs[#Headers]))-INDEX(tblSubjectToLoan[Payment],ROW()-ROW(tblBuyerOutputs[#Headers])))-IFERROR(tblBuyerOutputs[[#This Row],[PMI]],0)</f>
        <v>34.090000000000032</v>
      </c>
      <c r="AC1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1573.9800000000041</v>
      </c>
      <c r="AD116" s="275">
        <f>IF(INDEX(tblContractForDeed[End Bal],ROW()-ROW(tblBuyerOutputs[#Headers]))&lt;=0,0,($O$6+IF(ROW()=ROW(tblBuyerOutputs[#Headers])+1,0,INDEX(tblBuyerOutputs[Cumul Appr],ROW()-ROW(tblBuyerOutputs[#Headers])-1)))*$O$2/12)</f>
        <v>467.4103381038438</v>
      </c>
      <c r="AE116" s="275">
        <f>IF(INDEX(tblContractForDeed[End Bal],ROW()-ROW(tblBuyerOutputs[#Headers]))&lt;=0,0,IF(ROW()=ROW(tblBuyerOutputs[#Headers])+1,0,INDEX(tblBuyerOutputs[Cumul Appr],ROW()-ROW(tblBuyerOutputs[#Headers])-1))+tblBuyerOutputs[[#This Row],[Monthly Appr]])</f>
        <v>37387.891483026353</v>
      </c>
      <c r="AF116" s="22"/>
      <c r="AG116" s="14"/>
      <c r="AL116"/>
      <c r="AM116" s="14"/>
      <c r="AO116" s="275"/>
      <c r="AQ116" s="14"/>
      <c r="AR116"/>
    </row>
    <row r="117" spans="1:44" x14ac:dyDescent="0.25">
      <c r="A117" s="590">
        <f t="shared" si="17"/>
        <v>48823</v>
      </c>
      <c r="B117" s="275">
        <f t="shared" si="18"/>
        <v>60812.269999999953</v>
      </c>
      <c r="C117" s="14">
        <f t="shared" si="14"/>
        <v>625.80999999999995</v>
      </c>
      <c r="D117" s="14">
        <f t="shared" si="19"/>
        <v>435.77</v>
      </c>
      <c r="E117" s="14">
        <f t="shared" si="15"/>
        <v>190.04</v>
      </c>
      <c r="F117" s="14">
        <f t="shared" si="25"/>
        <v>134.16999999999999</v>
      </c>
      <c r="G117" s="14">
        <f t="shared" si="25"/>
        <v>188.55</v>
      </c>
      <c r="H117" s="14">
        <f t="shared" si="12"/>
        <v>948.53</v>
      </c>
      <c r="I117" s="275">
        <f t="shared" si="22"/>
        <v>37155.339999999989</v>
      </c>
      <c r="J117" s="275">
        <f t="shared" si="23"/>
        <v>24477.879999999997</v>
      </c>
      <c r="K117" s="275">
        <f t="shared" si="20"/>
        <v>60376.499999999956</v>
      </c>
      <c r="L117" s="386">
        <f t="shared" si="26"/>
        <v>8</v>
      </c>
      <c r="M117" s="386">
        <f t="shared" si="21"/>
        <v>97</v>
      </c>
      <c r="N117" s="590">
        <f>INDEX(tblSubjectToLoan[Date],ROW()-ROW(tblContractForDeed[#Headers]))</f>
        <v>48823</v>
      </c>
      <c r="O117" s="275">
        <f>IF(ROW()=ROW(tblContractForDeed[#Headers])+1,$O$6,IF(INDEX(tblContractForDeed[End Bal],ROW()-ROW(tblContractForDeed[#Headers])-1)&lt;0,0,INDEX(tblContractForDeed[End Bal],ROW()-ROW(tblContractForDeed[#Headers])-1)))</f>
        <v>48074.110000000022</v>
      </c>
      <c r="P117" s="445">
        <f>IF(tblContractForDeed[[#This Row],[Date]]="","",IF(tblContractForDeed[[#This Row],[Date]]&lt;cfdRateChangeDate,cfdRate1,cfdRate2))</f>
        <v>6.7500000000000004E-2</v>
      </c>
      <c r="Q1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7" s="275">
        <f>IF(tblContractForDeed[[#This Row],[Payment]]=0,0,MAX(0,MIN(tblContractForDeed[[#This Row],[Beg]],tblContractForDeed[[#This Row],[Payment]]-tblContractForDeed[[#This Row],[Int]])))</f>
        <v>389.47999999999996</v>
      </c>
      <c r="S117" s="275">
        <f>IF(OR(tblContractForDeed[[#This Row],[Date]]&lt;cfdContractDate,tblContractForDeed[[#This Row],[Date]]&gt;cfdEndDate),0,ROUND(tblContractForDeed[[#This Row],[Beg]]*(tblContractForDeed[[#This Row],[Int Rate]]/12),2))</f>
        <v>270.42</v>
      </c>
      <c r="T117" s="275">
        <f>IF(tblContractForDeed[[#This Row],[Payment]]=0,0,$W$2)</f>
        <v>134.16999999999999</v>
      </c>
      <c r="U117" s="275">
        <f>IF(tblContractForDeed[[#This Row],[Princ]]=0,0,$W$3)</f>
        <v>188.55</v>
      </c>
      <c r="V117" s="275">
        <f>SUM(tblContractForDeed[[#This Row],[Princ]],tblContractForDeed[[#This Row],[Int]],tblContractForDeed[[#This Row],[Ins]],tblContractForDeed[[#This Row],[Taxes]])</f>
        <v>982.61999999999989</v>
      </c>
      <c r="W117" s="275">
        <f>SUM(INDEX(tblContractForDeed[Princ],1):INDEX(tblContractForDeed[Princ],ROW()-ROW(tblContractForDeed[#Headers])))</f>
        <v>27573.37000000001</v>
      </c>
      <c r="X117" s="275">
        <f>IF(tblContractForDeed[[#This Row],[Beg]]&lt;=0,0,tblContractForDeed[[#This Row],[Beg]]-tblContractForDeed[[#This Row],[Princ]])</f>
        <v>47684.630000000019</v>
      </c>
      <c r="Y11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7" s="454">
        <f>IF(INDEX(tblContractForDeed[Payment],ROW()-ROW(tblBuyerOutputs[#Headers]))=0,0,INDEX(tblContractForDeed[Payment],ROW()-ROW(tblBuyerOutputs[#Headers]))-INDEX(tblSubjectToLoan[Payment],ROW()-ROW(tblBuyerOutputs[#Headers])))</f>
        <v>34.090000000000032</v>
      </c>
      <c r="AA117"/>
      <c r="AB117" s="14">
        <f>IF(INDEX(tblContractForDeed[Payment],ROW()-ROW(tblBuyerOutputs[#Headers]))=0,0,INDEX(tblContractForDeed[Payment],ROW()-ROW(tblBuyerOutputs[#Headers]))-INDEX(tblSubjectToLoan[Payment],ROW()-ROW(tblBuyerOutputs[#Headers])))-IFERROR(tblBuyerOutputs[[#This Row],[PMI]],0)</f>
        <v>34.090000000000032</v>
      </c>
      <c r="AC1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1608.0700000000043</v>
      </c>
      <c r="AD117" s="275">
        <f>IF(INDEX(tblContractForDeed[End Bal],ROW()-ROW(tblBuyerOutputs[#Headers]))&lt;=0,0,($O$6+IF(ROW()=ROW(tblBuyerOutputs[#Headers])+1,0,INDEX(tblBuyerOutputs[Cumul Appr],ROW()-ROW(tblBuyerOutputs[#Headers])-1)))*$O$2/12)</f>
        <v>469.35788117927649</v>
      </c>
      <c r="AE117" s="275">
        <f>IF(INDEX(tblContractForDeed[End Bal],ROW()-ROW(tblBuyerOutputs[#Headers]))&lt;=0,0,IF(ROW()=ROW(tblBuyerOutputs[#Headers])+1,0,INDEX(tblBuyerOutputs[Cumul Appr],ROW()-ROW(tblBuyerOutputs[#Headers])-1))+tblBuyerOutputs[[#This Row],[Monthly Appr]])</f>
        <v>37857.249364205629</v>
      </c>
      <c r="AF117" s="22"/>
      <c r="AG117" s="14"/>
      <c r="AL117"/>
      <c r="AM117" s="14"/>
      <c r="AO117" s="275"/>
      <c r="AQ117" s="14"/>
      <c r="AR117"/>
    </row>
    <row r="118" spans="1:44" x14ac:dyDescent="0.25">
      <c r="A118" s="590">
        <f t="shared" si="17"/>
        <v>48853</v>
      </c>
      <c r="B118" s="275">
        <f t="shared" si="18"/>
        <v>60376.499999999956</v>
      </c>
      <c r="C118" s="14">
        <f t="shared" si="14"/>
        <v>625.80999999999995</v>
      </c>
      <c r="D118" s="14">
        <f t="shared" si="19"/>
        <v>437.12999999999994</v>
      </c>
      <c r="E118" s="14">
        <f t="shared" si="15"/>
        <v>188.68</v>
      </c>
      <c r="F118" s="14">
        <f t="shared" si="25"/>
        <v>134.16999999999999</v>
      </c>
      <c r="G118" s="14">
        <f t="shared" si="25"/>
        <v>188.55</v>
      </c>
      <c r="H118" s="14">
        <f t="shared" si="12"/>
        <v>948.53</v>
      </c>
      <c r="I118" s="275">
        <f t="shared" si="22"/>
        <v>37592.469999999987</v>
      </c>
      <c r="J118" s="275">
        <f t="shared" si="23"/>
        <v>24666.559999999998</v>
      </c>
      <c r="K118" s="275">
        <f t="shared" si="20"/>
        <v>59939.369999999959</v>
      </c>
      <c r="L118" s="386">
        <f t="shared" si="26"/>
        <v>8</v>
      </c>
      <c r="M118" s="386">
        <f t="shared" si="21"/>
        <v>98</v>
      </c>
      <c r="N118" s="590">
        <f>INDEX(tblSubjectToLoan[Date],ROW()-ROW(tblContractForDeed[#Headers]))</f>
        <v>48853</v>
      </c>
      <c r="O118" s="275">
        <f>IF(ROW()=ROW(tblContractForDeed[#Headers])+1,$O$6,IF(INDEX(tblContractForDeed[End Bal],ROW()-ROW(tblContractForDeed[#Headers])-1)&lt;0,0,INDEX(tblContractForDeed[End Bal],ROW()-ROW(tblContractForDeed[#Headers])-1)))</f>
        <v>47684.630000000019</v>
      </c>
      <c r="P118" s="445">
        <f>IF(tblContractForDeed[[#This Row],[Date]]="","",IF(tblContractForDeed[[#This Row],[Date]]&lt;cfdRateChangeDate,cfdRate1,cfdRate2))</f>
        <v>6.7500000000000004E-2</v>
      </c>
      <c r="Q1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8" s="275">
        <f>IF(tblContractForDeed[[#This Row],[Payment]]=0,0,MAX(0,MIN(tblContractForDeed[[#This Row],[Beg]],tblContractForDeed[[#This Row],[Payment]]-tblContractForDeed[[#This Row],[Int]])))</f>
        <v>391.66999999999996</v>
      </c>
      <c r="S118" s="275">
        <f>IF(OR(tblContractForDeed[[#This Row],[Date]]&lt;cfdContractDate,tblContractForDeed[[#This Row],[Date]]&gt;cfdEndDate),0,ROUND(tblContractForDeed[[#This Row],[Beg]]*(tblContractForDeed[[#This Row],[Int Rate]]/12),2))</f>
        <v>268.23</v>
      </c>
      <c r="T118" s="275">
        <f>IF(tblContractForDeed[[#This Row],[Payment]]=0,0,$W$2)</f>
        <v>134.16999999999999</v>
      </c>
      <c r="U118" s="275">
        <f>IF(tblContractForDeed[[#This Row],[Princ]]=0,0,$W$3)</f>
        <v>188.55</v>
      </c>
      <c r="V118" s="275">
        <f>SUM(tblContractForDeed[[#This Row],[Princ]],tblContractForDeed[[#This Row],[Int]],tblContractForDeed[[#This Row],[Ins]],tblContractForDeed[[#This Row],[Taxes]])</f>
        <v>982.61999999999989</v>
      </c>
      <c r="W118" s="275">
        <f>SUM(INDEX(tblContractForDeed[Princ],1):INDEX(tblContractForDeed[Princ],ROW()-ROW(tblContractForDeed[#Headers])))</f>
        <v>27965.040000000008</v>
      </c>
      <c r="X118" s="275">
        <f>IF(tblContractForDeed[[#This Row],[Beg]]&lt;=0,0,tblContractForDeed[[#This Row],[Beg]]-tblContractForDeed[[#This Row],[Princ]])</f>
        <v>47292.960000000021</v>
      </c>
      <c r="Y11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8" s="454">
        <f>IF(INDEX(tblContractForDeed[Payment],ROW()-ROW(tblBuyerOutputs[#Headers]))=0,0,INDEX(tblContractForDeed[Payment],ROW()-ROW(tblBuyerOutputs[#Headers]))-INDEX(tblSubjectToLoan[Payment],ROW()-ROW(tblBuyerOutputs[#Headers])))</f>
        <v>34.090000000000032</v>
      </c>
      <c r="AA118"/>
      <c r="AB118" s="14">
        <f>IF(INDEX(tblContractForDeed[Payment],ROW()-ROW(tblBuyerOutputs[#Headers]))=0,0,INDEX(tblContractForDeed[Payment],ROW()-ROW(tblBuyerOutputs[#Headers]))-INDEX(tblSubjectToLoan[Payment],ROW()-ROW(tblBuyerOutputs[#Headers])))-IFERROR(tblBuyerOutputs[[#This Row],[PMI]],0)</f>
        <v>34.090000000000032</v>
      </c>
      <c r="AC1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1642.1600000000044</v>
      </c>
      <c r="AD118" s="275">
        <f>IF(INDEX(tblContractForDeed[End Bal],ROW()-ROW(tblBuyerOutputs[#Headers]))&lt;=0,0,($O$6+IF(ROW()=ROW(tblBuyerOutputs[#Headers])+1,0,INDEX(tblBuyerOutputs[Cumul Appr],ROW()-ROW(tblBuyerOutputs[#Headers])-1)))*$O$2/12)</f>
        <v>471.31353901752351</v>
      </c>
      <c r="AE118" s="275">
        <f>IF(INDEX(tblContractForDeed[End Bal],ROW()-ROW(tblBuyerOutputs[#Headers]))&lt;=0,0,IF(ROW()=ROW(tblBuyerOutputs[#Headers])+1,0,INDEX(tblBuyerOutputs[Cumul Appr],ROW()-ROW(tblBuyerOutputs[#Headers])-1))+tblBuyerOutputs[[#This Row],[Monthly Appr]])</f>
        <v>38328.562903223152</v>
      </c>
      <c r="AF118" s="22"/>
      <c r="AG118" s="14"/>
      <c r="AL118"/>
      <c r="AM118" s="14"/>
      <c r="AO118" s="275"/>
      <c r="AQ118" s="14"/>
      <c r="AR118"/>
    </row>
    <row r="119" spans="1:44" x14ac:dyDescent="0.25">
      <c r="A119" s="590">
        <f t="shared" si="17"/>
        <v>48884</v>
      </c>
      <c r="B119" s="275">
        <f t="shared" si="18"/>
        <v>59939.369999999959</v>
      </c>
      <c r="C119" s="14">
        <f t="shared" si="14"/>
        <v>625.80999999999995</v>
      </c>
      <c r="D119" s="14">
        <f t="shared" si="19"/>
        <v>438.49999999999994</v>
      </c>
      <c r="E119" s="14">
        <f t="shared" si="15"/>
        <v>187.31</v>
      </c>
      <c r="F119" s="14">
        <f t="shared" si="25"/>
        <v>134.16999999999999</v>
      </c>
      <c r="G119" s="14">
        <f t="shared" si="25"/>
        <v>188.55</v>
      </c>
      <c r="H119" s="14">
        <f t="shared" si="12"/>
        <v>948.53</v>
      </c>
      <c r="I119" s="275">
        <f t="shared" si="22"/>
        <v>38030.969999999987</v>
      </c>
      <c r="J119" s="275">
        <f t="shared" si="23"/>
        <v>24853.87</v>
      </c>
      <c r="K119" s="275">
        <f t="shared" si="20"/>
        <v>59500.869999999959</v>
      </c>
      <c r="L119" s="386">
        <f t="shared" si="26"/>
        <v>8</v>
      </c>
      <c r="M119" s="386">
        <f t="shared" si="21"/>
        <v>99</v>
      </c>
      <c r="N119" s="590">
        <f>INDEX(tblSubjectToLoan[Date],ROW()-ROW(tblContractForDeed[#Headers]))</f>
        <v>48884</v>
      </c>
      <c r="O119" s="275">
        <f>IF(ROW()=ROW(tblContractForDeed[#Headers])+1,$O$6,IF(INDEX(tblContractForDeed[End Bal],ROW()-ROW(tblContractForDeed[#Headers])-1)&lt;0,0,INDEX(tblContractForDeed[End Bal],ROW()-ROW(tblContractForDeed[#Headers])-1)))</f>
        <v>47292.960000000021</v>
      </c>
      <c r="P119" s="445">
        <f>IF(tblContractForDeed[[#This Row],[Date]]="","",IF(tblContractForDeed[[#This Row],[Date]]&lt;cfdRateChangeDate,cfdRate1,cfdRate2))</f>
        <v>6.7500000000000004E-2</v>
      </c>
      <c r="Q11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9" s="275">
        <f>IF(tblContractForDeed[[#This Row],[Payment]]=0,0,MAX(0,MIN(tblContractForDeed[[#This Row],[Beg]],tblContractForDeed[[#This Row],[Payment]]-tblContractForDeed[[#This Row],[Int]])))</f>
        <v>393.88</v>
      </c>
      <c r="S119" s="275">
        <f>IF(OR(tblContractForDeed[[#This Row],[Date]]&lt;cfdContractDate,tblContractForDeed[[#This Row],[Date]]&gt;cfdEndDate),0,ROUND(tblContractForDeed[[#This Row],[Beg]]*(tblContractForDeed[[#This Row],[Int Rate]]/12),2))</f>
        <v>266.02</v>
      </c>
      <c r="T119" s="275">
        <f>IF(tblContractForDeed[[#This Row],[Payment]]=0,0,$W$2)</f>
        <v>134.16999999999999</v>
      </c>
      <c r="U119" s="275">
        <f>IF(tblContractForDeed[[#This Row],[Princ]]=0,0,$W$3)</f>
        <v>188.55</v>
      </c>
      <c r="V119" s="275">
        <f>SUM(tblContractForDeed[[#This Row],[Princ]],tblContractForDeed[[#This Row],[Int]],tblContractForDeed[[#This Row],[Ins]],tblContractForDeed[[#This Row],[Taxes]])</f>
        <v>982.61999999999989</v>
      </c>
      <c r="W119" s="275">
        <f>SUM(INDEX(tblContractForDeed[Princ],1):INDEX(tblContractForDeed[Princ],ROW()-ROW(tblContractForDeed[#Headers])))</f>
        <v>28358.920000000009</v>
      </c>
      <c r="X119" s="275">
        <f>IF(tblContractForDeed[[#This Row],[Beg]]&lt;=0,0,tblContractForDeed[[#This Row],[Beg]]-tblContractForDeed[[#This Row],[Princ]])</f>
        <v>46899.080000000024</v>
      </c>
      <c r="Y11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19" s="454">
        <f>IF(INDEX(tblContractForDeed[Payment],ROW()-ROW(tblBuyerOutputs[#Headers]))=0,0,INDEX(tblContractForDeed[Payment],ROW()-ROW(tblBuyerOutputs[#Headers]))-INDEX(tblSubjectToLoan[Payment],ROW()-ROW(tblBuyerOutputs[#Headers])))</f>
        <v>34.090000000000032</v>
      </c>
      <c r="AA119"/>
      <c r="AB119" s="14">
        <f>IF(INDEX(tblContractForDeed[Payment],ROW()-ROW(tblBuyerOutputs[#Headers]))=0,0,INDEX(tblContractForDeed[Payment],ROW()-ROW(tblBuyerOutputs[#Headers]))-INDEX(tblSubjectToLoan[Payment],ROW()-ROW(tblBuyerOutputs[#Headers])))-IFERROR(tblBuyerOutputs[[#This Row],[PMI]],0)</f>
        <v>34.090000000000032</v>
      </c>
      <c r="AC1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1676.2500000000045</v>
      </c>
      <c r="AD119" s="275">
        <f>IF(INDEX(tblContractForDeed[End Bal],ROW()-ROW(tblBuyerOutputs[#Headers]))&lt;=0,0,($O$6+IF(ROW()=ROW(tblBuyerOutputs[#Headers])+1,0,INDEX(tblBuyerOutputs[Cumul Appr],ROW()-ROW(tblBuyerOutputs[#Headers])-1)))*$O$2/12)</f>
        <v>473.27734543009655</v>
      </c>
      <c r="AE119" s="275">
        <f>IF(INDEX(tblContractForDeed[End Bal],ROW()-ROW(tblBuyerOutputs[#Headers]))&lt;=0,0,IF(ROW()=ROW(tblBuyerOutputs[#Headers])+1,0,INDEX(tblBuyerOutputs[Cumul Appr],ROW()-ROW(tblBuyerOutputs[#Headers])-1))+tblBuyerOutputs[[#This Row],[Monthly Appr]])</f>
        <v>38801.84024865325</v>
      </c>
      <c r="AF119" s="22"/>
      <c r="AG119" s="14"/>
      <c r="AL119"/>
      <c r="AM119" s="14"/>
      <c r="AO119" s="275"/>
      <c r="AQ119" s="14"/>
      <c r="AR119"/>
    </row>
    <row r="120" spans="1:44" x14ac:dyDescent="0.25">
      <c r="A120" s="590">
        <f t="shared" si="17"/>
        <v>48914</v>
      </c>
      <c r="B120" s="275">
        <f t="shared" si="18"/>
        <v>59500.869999999959</v>
      </c>
      <c r="C120" s="14">
        <f t="shared" si="14"/>
        <v>625.80999999999995</v>
      </c>
      <c r="D120" s="14">
        <f t="shared" si="19"/>
        <v>439.86999999999995</v>
      </c>
      <c r="E120" s="14">
        <f t="shared" si="15"/>
        <v>185.94</v>
      </c>
      <c r="F120" s="14">
        <f t="shared" si="25"/>
        <v>134.16999999999999</v>
      </c>
      <c r="G120" s="14">
        <f t="shared" si="25"/>
        <v>188.55</v>
      </c>
      <c r="H120" s="14">
        <f t="shared" si="12"/>
        <v>948.53</v>
      </c>
      <c r="I120" s="275">
        <f t="shared" si="22"/>
        <v>38470.839999999989</v>
      </c>
      <c r="J120" s="275">
        <f t="shared" si="23"/>
        <v>25039.809999999998</v>
      </c>
      <c r="K120" s="275">
        <f t="shared" si="20"/>
        <v>59060.999999999956</v>
      </c>
      <c r="L120" s="386">
        <f t="shared" si="26"/>
        <v>8</v>
      </c>
      <c r="M120" s="386">
        <f t="shared" si="21"/>
        <v>100</v>
      </c>
      <c r="N120" s="590">
        <f>INDEX(tblSubjectToLoan[Date],ROW()-ROW(tblContractForDeed[#Headers]))</f>
        <v>48914</v>
      </c>
      <c r="O120" s="275">
        <f>IF(ROW()=ROW(tblContractForDeed[#Headers])+1,$O$6,IF(INDEX(tblContractForDeed[End Bal],ROW()-ROW(tblContractForDeed[#Headers])-1)&lt;0,0,INDEX(tblContractForDeed[End Bal],ROW()-ROW(tblContractForDeed[#Headers])-1)))</f>
        <v>46899.080000000024</v>
      </c>
      <c r="P120" s="445">
        <f>IF(tblContractForDeed[[#This Row],[Date]]="","",IF(tblContractForDeed[[#This Row],[Date]]&lt;cfdRateChangeDate,cfdRate1,cfdRate2))</f>
        <v>6.7500000000000004E-2</v>
      </c>
      <c r="Q1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0" s="275">
        <f>IF(tblContractForDeed[[#This Row],[Payment]]=0,0,MAX(0,MIN(tblContractForDeed[[#This Row],[Beg]],tblContractForDeed[[#This Row],[Payment]]-tblContractForDeed[[#This Row],[Int]])))</f>
        <v>396.09</v>
      </c>
      <c r="S120" s="275">
        <f>IF(OR(tblContractForDeed[[#This Row],[Date]]&lt;cfdContractDate,tblContractForDeed[[#This Row],[Date]]&gt;cfdEndDate),0,ROUND(tblContractForDeed[[#This Row],[Beg]]*(tblContractForDeed[[#This Row],[Int Rate]]/12),2))</f>
        <v>263.81</v>
      </c>
      <c r="T120" s="275">
        <f>IF(tblContractForDeed[[#This Row],[Payment]]=0,0,$W$2)</f>
        <v>134.16999999999999</v>
      </c>
      <c r="U120" s="275">
        <f>IF(tblContractForDeed[[#This Row],[Princ]]=0,0,$W$3)</f>
        <v>188.55</v>
      </c>
      <c r="V120" s="275">
        <f>SUM(tblContractForDeed[[#This Row],[Princ]],tblContractForDeed[[#This Row],[Int]],tblContractForDeed[[#This Row],[Ins]],tblContractForDeed[[#This Row],[Taxes]])</f>
        <v>982.61999999999989</v>
      </c>
      <c r="W120" s="275">
        <f>SUM(INDEX(tblContractForDeed[Princ],1):INDEX(tblContractForDeed[Princ],ROW()-ROW(tblContractForDeed[#Headers])))</f>
        <v>28755.010000000009</v>
      </c>
      <c r="X120" s="275">
        <f>IF(tblContractForDeed[[#This Row],[Beg]]&lt;=0,0,tblContractForDeed[[#This Row],[Beg]]-tblContractForDeed[[#This Row],[Princ]])</f>
        <v>46502.990000000027</v>
      </c>
      <c r="Y12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0" s="454">
        <f>IF(INDEX(tblContractForDeed[Payment],ROW()-ROW(tblBuyerOutputs[#Headers]))=0,0,INDEX(tblContractForDeed[Payment],ROW()-ROW(tblBuyerOutputs[#Headers]))-INDEX(tblSubjectToLoan[Payment],ROW()-ROW(tblBuyerOutputs[#Headers])))</f>
        <v>34.090000000000032</v>
      </c>
      <c r="AA120"/>
      <c r="AB120" s="14">
        <f>IF(INDEX(tblContractForDeed[Payment],ROW()-ROW(tblBuyerOutputs[#Headers]))=0,0,INDEX(tblContractForDeed[Payment],ROW()-ROW(tblBuyerOutputs[#Headers]))-INDEX(tblSubjectToLoan[Payment],ROW()-ROW(tblBuyerOutputs[#Headers])))-IFERROR(tblBuyerOutputs[[#This Row],[PMI]],0)</f>
        <v>34.090000000000032</v>
      </c>
      <c r="AC1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1710.3400000000047</v>
      </c>
      <c r="AD120" s="275">
        <f>IF(INDEX(tblContractForDeed[End Bal],ROW()-ROW(tblBuyerOutputs[#Headers]))&lt;=0,0,($O$6+IF(ROW()=ROW(tblBuyerOutputs[#Headers])+1,0,INDEX(tblBuyerOutputs[Cumul Appr],ROW()-ROW(tblBuyerOutputs[#Headers])-1)))*$O$2/12)</f>
        <v>475.24933436938863</v>
      </c>
      <c r="AE120" s="275">
        <f>IF(INDEX(tblContractForDeed[End Bal],ROW()-ROW(tblBuyerOutputs[#Headers]))&lt;=0,0,IF(ROW()=ROW(tblBuyerOutputs[#Headers])+1,0,INDEX(tblBuyerOutputs[Cumul Appr],ROW()-ROW(tblBuyerOutputs[#Headers])-1))+tblBuyerOutputs[[#This Row],[Monthly Appr]])</f>
        <v>39277.089583022636</v>
      </c>
      <c r="AF120" s="22"/>
      <c r="AG120" s="14"/>
      <c r="AL120"/>
      <c r="AM120" s="14"/>
      <c r="AO120" s="275"/>
      <c r="AQ120" s="14"/>
      <c r="AR120"/>
    </row>
    <row r="121" spans="1:44" x14ac:dyDescent="0.25">
      <c r="A121" s="590">
        <f t="shared" si="17"/>
        <v>48945</v>
      </c>
      <c r="B121" s="275">
        <f t="shared" si="18"/>
        <v>59060.999999999956</v>
      </c>
      <c r="C121" s="14">
        <f t="shared" si="14"/>
        <v>625.80999999999995</v>
      </c>
      <c r="D121" s="14">
        <f t="shared" si="19"/>
        <v>441.23999999999995</v>
      </c>
      <c r="E121" s="14">
        <f t="shared" si="15"/>
        <v>184.57</v>
      </c>
      <c r="F121" s="14">
        <f t="shared" si="25"/>
        <v>134.16999999999999</v>
      </c>
      <c r="G121" s="14">
        <f t="shared" si="25"/>
        <v>188.55</v>
      </c>
      <c r="H121" s="14">
        <f t="shared" si="12"/>
        <v>948.53</v>
      </c>
      <c r="I121" s="275">
        <f t="shared" si="22"/>
        <v>38912.079999999987</v>
      </c>
      <c r="J121" s="275">
        <f t="shared" si="23"/>
        <v>25224.379999999997</v>
      </c>
      <c r="K121" s="275">
        <f t="shared" si="20"/>
        <v>58619.759999999958</v>
      </c>
      <c r="L121" s="386">
        <f t="shared" si="26"/>
        <v>8</v>
      </c>
      <c r="M121" s="386">
        <f t="shared" si="21"/>
        <v>101</v>
      </c>
      <c r="N121" s="590">
        <f>INDEX(tblSubjectToLoan[Date],ROW()-ROW(tblContractForDeed[#Headers]))</f>
        <v>48945</v>
      </c>
      <c r="O121" s="275">
        <f>IF(ROW()=ROW(tblContractForDeed[#Headers])+1,$O$6,IF(INDEX(tblContractForDeed[End Bal],ROW()-ROW(tblContractForDeed[#Headers])-1)&lt;0,0,INDEX(tblContractForDeed[End Bal],ROW()-ROW(tblContractForDeed[#Headers])-1)))</f>
        <v>46502.990000000027</v>
      </c>
      <c r="P121" s="445">
        <f>IF(tblContractForDeed[[#This Row],[Date]]="","",IF(tblContractForDeed[[#This Row],[Date]]&lt;cfdRateChangeDate,cfdRate1,cfdRate2))</f>
        <v>6.7500000000000004E-2</v>
      </c>
      <c r="Q1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1" s="275">
        <f>IF(tblContractForDeed[[#This Row],[Payment]]=0,0,MAX(0,MIN(tblContractForDeed[[#This Row],[Beg]],tblContractForDeed[[#This Row],[Payment]]-tblContractForDeed[[#This Row],[Int]])))</f>
        <v>398.32</v>
      </c>
      <c r="S121" s="275">
        <f>IF(OR(tblContractForDeed[[#This Row],[Date]]&lt;cfdContractDate,tblContractForDeed[[#This Row],[Date]]&gt;cfdEndDate),0,ROUND(tblContractForDeed[[#This Row],[Beg]]*(tblContractForDeed[[#This Row],[Int Rate]]/12),2))</f>
        <v>261.58</v>
      </c>
      <c r="T121" s="275">
        <f>IF(tblContractForDeed[[#This Row],[Payment]]=0,0,$W$2)</f>
        <v>134.16999999999999</v>
      </c>
      <c r="U121" s="275">
        <f>IF(tblContractForDeed[[#This Row],[Princ]]=0,0,$W$3)</f>
        <v>188.55</v>
      </c>
      <c r="V121" s="275">
        <f>SUM(tblContractForDeed[[#This Row],[Princ]],tblContractForDeed[[#This Row],[Int]],tblContractForDeed[[#This Row],[Ins]],tblContractForDeed[[#This Row],[Taxes]])</f>
        <v>982.61999999999989</v>
      </c>
      <c r="W121" s="275">
        <f>SUM(INDEX(tblContractForDeed[Princ],1):INDEX(tblContractForDeed[Princ],ROW()-ROW(tblContractForDeed[#Headers])))</f>
        <v>29153.330000000009</v>
      </c>
      <c r="X121" s="275">
        <f>IF(tblContractForDeed[[#This Row],[Beg]]&lt;=0,0,tblContractForDeed[[#This Row],[Beg]]-tblContractForDeed[[#This Row],[Princ]])</f>
        <v>46104.670000000027</v>
      </c>
      <c r="Y12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1" s="454">
        <f>IF(INDEX(tblContractForDeed[Payment],ROW()-ROW(tblBuyerOutputs[#Headers]))=0,0,INDEX(tblContractForDeed[Payment],ROW()-ROW(tblBuyerOutputs[#Headers]))-INDEX(tblSubjectToLoan[Payment],ROW()-ROW(tblBuyerOutputs[#Headers])))</f>
        <v>34.090000000000032</v>
      </c>
      <c r="AA121"/>
      <c r="AB121" s="14">
        <f>IF(INDEX(tblContractForDeed[Payment],ROW()-ROW(tblBuyerOutputs[#Headers]))=0,0,INDEX(tblContractForDeed[Payment],ROW()-ROW(tblBuyerOutputs[#Headers]))-INDEX(tblSubjectToLoan[Payment],ROW()-ROW(tblBuyerOutputs[#Headers])))-IFERROR(tblBuyerOutputs[[#This Row],[PMI]],0)</f>
        <v>34.090000000000032</v>
      </c>
      <c r="AC1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1744.4300000000048</v>
      </c>
      <c r="AD121" s="275">
        <f>IF(INDEX(tblContractForDeed[End Bal],ROW()-ROW(tblBuyerOutputs[#Headers]))&lt;=0,0,($O$6+IF(ROW()=ROW(tblBuyerOutputs[#Headers])+1,0,INDEX(tblBuyerOutputs[Cumul Appr],ROW()-ROW(tblBuyerOutputs[#Headers])-1)))*$O$2/12)</f>
        <v>477.22953992926097</v>
      </c>
      <c r="AE121" s="275">
        <f>IF(INDEX(tblContractForDeed[End Bal],ROW()-ROW(tblBuyerOutputs[#Headers]))&lt;=0,0,IF(ROW()=ROW(tblBuyerOutputs[#Headers])+1,0,INDEX(tblBuyerOutputs[Cumul Appr],ROW()-ROW(tblBuyerOutputs[#Headers])-1))+tblBuyerOutputs[[#This Row],[Monthly Appr]])</f>
        <v>39754.3191229519</v>
      </c>
      <c r="AF121" s="22"/>
      <c r="AG121" s="14"/>
      <c r="AL121"/>
      <c r="AM121" s="14"/>
      <c r="AO121" s="275"/>
      <c r="AQ121" s="14"/>
      <c r="AR121"/>
    </row>
    <row r="122" spans="1:44" x14ac:dyDescent="0.25">
      <c r="A122" s="590">
        <f t="shared" si="17"/>
        <v>48976</v>
      </c>
      <c r="B122" s="275">
        <f t="shared" si="18"/>
        <v>58619.759999999958</v>
      </c>
      <c r="C122" s="14">
        <f t="shared" si="14"/>
        <v>625.80999999999995</v>
      </c>
      <c r="D122" s="14">
        <f t="shared" si="19"/>
        <v>442.61999999999995</v>
      </c>
      <c r="E122" s="14">
        <f t="shared" si="15"/>
        <v>183.19</v>
      </c>
      <c r="F122" s="14">
        <f t="shared" si="25"/>
        <v>134.16999999999999</v>
      </c>
      <c r="G122" s="14">
        <f t="shared" si="25"/>
        <v>188.55</v>
      </c>
      <c r="H122" s="14">
        <f t="shared" si="12"/>
        <v>948.53</v>
      </c>
      <c r="I122" s="275">
        <f t="shared" si="22"/>
        <v>39354.69999999999</v>
      </c>
      <c r="J122" s="275">
        <f t="shared" si="23"/>
        <v>25407.569999999996</v>
      </c>
      <c r="K122" s="275">
        <f t="shared" si="20"/>
        <v>58177.139999999956</v>
      </c>
      <c r="L122" s="386">
        <f t="shared" si="26"/>
        <v>8</v>
      </c>
      <c r="M122" s="386">
        <f t="shared" si="21"/>
        <v>102</v>
      </c>
      <c r="N122" s="590">
        <f>INDEX(tblSubjectToLoan[Date],ROW()-ROW(tblContractForDeed[#Headers]))</f>
        <v>48976</v>
      </c>
      <c r="O122" s="275">
        <f>IF(ROW()=ROW(tblContractForDeed[#Headers])+1,$O$6,IF(INDEX(tblContractForDeed[End Bal],ROW()-ROW(tblContractForDeed[#Headers])-1)&lt;0,0,INDEX(tblContractForDeed[End Bal],ROW()-ROW(tblContractForDeed[#Headers])-1)))</f>
        <v>46104.670000000027</v>
      </c>
      <c r="P122" s="445">
        <f>IF(tblContractForDeed[[#This Row],[Date]]="","",IF(tblContractForDeed[[#This Row],[Date]]&lt;cfdRateChangeDate,cfdRate1,cfdRate2))</f>
        <v>6.7500000000000004E-2</v>
      </c>
      <c r="Q1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2" s="275">
        <f>IF(tblContractForDeed[[#This Row],[Payment]]=0,0,MAX(0,MIN(tblContractForDeed[[#This Row],[Beg]],tblContractForDeed[[#This Row],[Payment]]-tblContractForDeed[[#This Row],[Int]])))</f>
        <v>400.56</v>
      </c>
      <c r="S122" s="275">
        <f>IF(OR(tblContractForDeed[[#This Row],[Date]]&lt;cfdContractDate,tblContractForDeed[[#This Row],[Date]]&gt;cfdEndDate),0,ROUND(tblContractForDeed[[#This Row],[Beg]]*(tblContractForDeed[[#This Row],[Int Rate]]/12),2))</f>
        <v>259.33999999999997</v>
      </c>
      <c r="T122" s="275">
        <f>IF(tblContractForDeed[[#This Row],[Payment]]=0,0,$W$2)</f>
        <v>134.16999999999999</v>
      </c>
      <c r="U122" s="275">
        <f>IF(tblContractForDeed[[#This Row],[Princ]]=0,0,$W$3)</f>
        <v>188.55</v>
      </c>
      <c r="V122" s="275">
        <f>SUM(tblContractForDeed[[#This Row],[Princ]],tblContractForDeed[[#This Row],[Int]],tblContractForDeed[[#This Row],[Ins]],tblContractForDeed[[#This Row],[Taxes]])</f>
        <v>982.61999999999989</v>
      </c>
      <c r="W122" s="275">
        <f>SUM(INDEX(tblContractForDeed[Princ],1):INDEX(tblContractForDeed[Princ],ROW()-ROW(tblContractForDeed[#Headers])))</f>
        <v>29553.89000000001</v>
      </c>
      <c r="X122" s="275">
        <f>IF(tblContractForDeed[[#This Row],[Beg]]&lt;=0,0,tblContractForDeed[[#This Row],[Beg]]-tblContractForDeed[[#This Row],[Princ]])</f>
        <v>45704.11000000003</v>
      </c>
      <c r="Y12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2" s="454">
        <f>IF(INDEX(tblContractForDeed[Payment],ROW()-ROW(tblBuyerOutputs[#Headers]))=0,0,INDEX(tblContractForDeed[Payment],ROW()-ROW(tblBuyerOutputs[#Headers]))-INDEX(tblSubjectToLoan[Payment],ROW()-ROW(tblBuyerOutputs[#Headers])))</f>
        <v>34.090000000000032</v>
      </c>
      <c r="AA122"/>
      <c r="AB122" s="14">
        <f>IF(INDEX(tblContractForDeed[Payment],ROW()-ROW(tblBuyerOutputs[#Headers]))=0,0,INDEX(tblContractForDeed[Payment],ROW()-ROW(tblBuyerOutputs[#Headers]))-INDEX(tblSubjectToLoan[Payment],ROW()-ROW(tblBuyerOutputs[#Headers])))-IFERROR(tblBuyerOutputs[[#This Row],[PMI]],0)</f>
        <v>34.090000000000032</v>
      </c>
      <c r="AC1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1778.520000000005</v>
      </c>
      <c r="AD122" s="275">
        <f>IF(INDEX(tblContractForDeed[End Bal],ROW()-ROW(tblBuyerOutputs[#Headers]))&lt;=0,0,($O$6+IF(ROW()=ROW(tblBuyerOutputs[#Headers])+1,0,INDEX(tblBuyerOutputs[Cumul Appr],ROW()-ROW(tblBuyerOutputs[#Headers])-1)))*$O$2/12)</f>
        <v>479.21799634563291</v>
      </c>
      <c r="AE122" s="275">
        <f>IF(INDEX(tblContractForDeed[End Bal],ROW()-ROW(tblBuyerOutputs[#Headers]))&lt;=0,0,IF(ROW()=ROW(tblBuyerOutputs[#Headers])+1,0,INDEX(tblBuyerOutputs[Cumul Appr],ROW()-ROW(tblBuyerOutputs[#Headers])-1))+tblBuyerOutputs[[#This Row],[Monthly Appr]])</f>
        <v>40233.537119297536</v>
      </c>
      <c r="AF122" s="22"/>
      <c r="AG122" s="14"/>
      <c r="AL122"/>
      <c r="AM122" s="14"/>
      <c r="AO122" s="275"/>
      <c r="AQ122" s="14"/>
      <c r="AR122"/>
    </row>
    <row r="123" spans="1:44" x14ac:dyDescent="0.25">
      <c r="A123" s="590">
        <f t="shared" si="17"/>
        <v>49004</v>
      </c>
      <c r="B123" s="275">
        <f t="shared" si="18"/>
        <v>58177.139999999956</v>
      </c>
      <c r="C123" s="14">
        <f t="shared" si="14"/>
        <v>625.80999999999995</v>
      </c>
      <c r="D123" s="14">
        <f t="shared" si="19"/>
        <v>444.00999999999993</v>
      </c>
      <c r="E123" s="14">
        <f t="shared" si="15"/>
        <v>181.8</v>
      </c>
      <c r="F123" s="14">
        <f t="shared" si="25"/>
        <v>134.16999999999999</v>
      </c>
      <c r="G123" s="14">
        <f t="shared" si="25"/>
        <v>188.55</v>
      </c>
      <c r="H123" s="14">
        <f t="shared" si="12"/>
        <v>948.53</v>
      </c>
      <c r="I123" s="275">
        <f t="shared" si="22"/>
        <v>39798.709999999992</v>
      </c>
      <c r="J123" s="275">
        <f t="shared" si="23"/>
        <v>25589.369999999995</v>
      </c>
      <c r="K123" s="275">
        <f t="shared" si="20"/>
        <v>57733.129999999954</v>
      </c>
      <c r="L123" s="386">
        <f t="shared" si="26"/>
        <v>8</v>
      </c>
      <c r="M123" s="386">
        <f t="shared" si="21"/>
        <v>103</v>
      </c>
      <c r="N123" s="590">
        <f>INDEX(tblSubjectToLoan[Date],ROW()-ROW(tblContractForDeed[#Headers]))</f>
        <v>49004</v>
      </c>
      <c r="O123" s="275">
        <f>IF(ROW()=ROW(tblContractForDeed[#Headers])+1,$O$6,IF(INDEX(tblContractForDeed[End Bal],ROW()-ROW(tblContractForDeed[#Headers])-1)&lt;0,0,INDEX(tblContractForDeed[End Bal],ROW()-ROW(tblContractForDeed[#Headers])-1)))</f>
        <v>45704.11000000003</v>
      </c>
      <c r="P123" s="445">
        <f>IF(tblContractForDeed[[#This Row],[Date]]="","",IF(tblContractForDeed[[#This Row],[Date]]&lt;cfdRateChangeDate,cfdRate1,cfdRate2))</f>
        <v>6.7500000000000004E-2</v>
      </c>
      <c r="Q12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3" s="275">
        <f>IF(tblContractForDeed[[#This Row],[Payment]]=0,0,MAX(0,MIN(tblContractForDeed[[#This Row],[Beg]],tblContractForDeed[[#This Row],[Payment]]-tblContractForDeed[[#This Row],[Int]])))</f>
        <v>402.81</v>
      </c>
      <c r="S123" s="275">
        <f>IF(OR(tblContractForDeed[[#This Row],[Date]]&lt;cfdContractDate,tblContractForDeed[[#This Row],[Date]]&gt;cfdEndDate),0,ROUND(tblContractForDeed[[#This Row],[Beg]]*(tblContractForDeed[[#This Row],[Int Rate]]/12),2))</f>
        <v>257.08999999999997</v>
      </c>
      <c r="T123" s="275">
        <f>IF(tblContractForDeed[[#This Row],[Payment]]=0,0,$W$2)</f>
        <v>134.16999999999999</v>
      </c>
      <c r="U123" s="275">
        <f>IF(tblContractForDeed[[#This Row],[Princ]]=0,0,$W$3)</f>
        <v>188.55</v>
      </c>
      <c r="V123" s="275">
        <f>SUM(tblContractForDeed[[#This Row],[Princ]],tblContractForDeed[[#This Row],[Int]],tblContractForDeed[[#This Row],[Ins]],tblContractForDeed[[#This Row],[Taxes]])</f>
        <v>982.61999999999989</v>
      </c>
      <c r="W123" s="275">
        <f>SUM(INDEX(tblContractForDeed[Princ],1):INDEX(tblContractForDeed[Princ],ROW()-ROW(tblContractForDeed[#Headers])))</f>
        <v>29956.700000000012</v>
      </c>
      <c r="X123" s="275">
        <f>IF(tblContractForDeed[[#This Row],[Beg]]&lt;=0,0,tblContractForDeed[[#This Row],[Beg]]-tblContractForDeed[[#This Row],[Princ]])</f>
        <v>45301.300000000032</v>
      </c>
      <c r="Y12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3" s="454">
        <f>IF(INDEX(tblContractForDeed[Payment],ROW()-ROW(tblBuyerOutputs[#Headers]))=0,0,INDEX(tblContractForDeed[Payment],ROW()-ROW(tblBuyerOutputs[#Headers]))-INDEX(tblSubjectToLoan[Payment],ROW()-ROW(tblBuyerOutputs[#Headers])))</f>
        <v>34.090000000000032</v>
      </c>
      <c r="AA123"/>
      <c r="AB123" s="14">
        <f>IF(INDEX(tblContractForDeed[Payment],ROW()-ROW(tblBuyerOutputs[#Headers]))=0,0,INDEX(tblContractForDeed[Payment],ROW()-ROW(tblBuyerOutputs[#Headers]))-INDEX(tblSubjectToLoan[Payment],ROW()-ROW(tblBuyerOutputs[#Headers])))-IFERROR(tblBuyerOutputs[[#This Row],[PMI]],0)</f>
        <v>34.090000000000032</v>
      </c>
      <c r="AC1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1812.6100000000051</v>
      </c>
      <c r="AD123" s="275">
        <f>IF(INDEX(tblContractForDeed[End Bal],ROW()-ROW(tblBuyerOutputs[#Headers]))&lt;=0,0,($O$6+IF(ROW()=ROW(tblBuyerOutputs[#Headers])+1,0,INDEX(tblBuyerOutputs[Cumul Appr],ROW()-ROW(tblBuyerOutputs[#Headers])-1)))*$O$2/12)</f>
        <v>481.21473799707314</v>
      </c>
      <c r="AE123" s="275">
        <f>IF(INDEX(tblContractForDeed[End Bal],ROW()-ROW(tblBuyerOutputs[#Headers]))&lt;=0,0,IF(ROW()=ROW(tblBuyerOutputs[#Headers])+1,0,INDEX(tblBuyerOutputs[Cumul Appr],ROW()-ROW(tblBuyerOutputs[#Headers])-1))+tblBuyerOutputs[[#This Row],[Monthly Appr]])</f>
        <v>40714.751857294606</v>
      </c>
      <c r="AF123" s="22"/>
      <c r="AG123" s="14"/>
      <c r="AL123"/>
      <c r="AM123" s="14"/>
      <c r="AO123" s="275"/>
      <c r="AQ123" s="14"/>
      <c r="AR123"/>
    </row>
    <row r="124" spans="1:44" x14ac:dyDescent="0.25">
      <c r="A124" s="590">
        <f t="shared" si="17"/>
        <v>49035</v>
      </c>
      <c r="B124" s="275">
        <f t="shared" si="18"/>
        <v>57733.129999999954</v>
      </c>
      <c r="C124" s="14">
        <f t="shared" si="14"/>
        <v>625.80999999999995</v>
      </c>
      <c r="D124" s="14">
        <f t="shared" si="19"/>
        <v>445.39</v>
      </c>
      <c r="E124" s="14">
        <f t="shared" si="15"/>
        <v>180.42</v>
      </c>
      <c r="F124" s="14">
        <f t="shared" si="25"/>
        <v>134.16999999999999</v>
      </c>
      <c r="G124" s="14">
        <f t="shared" si="25"/>
        <v>188.55</v>
      </c>
      <c r="H124" s="14">
        <f t="shared" si="12"/>
        <v>948.53</v>
      </c>
      <c r="I124" s="275">
        <f t="shared" si="22"/>
        <v>40244.099999999991</v>
      </c>
      <c r="J124" s="275">
        <f t="shared" si="23"/>
        <v>25769.789999999994</v>
      </c>
      <c r="K124" s="275">
        <f t="shared" si="20"/>
        <v>57287.739999999954</v>
      </c>
      <c r="L124" s="386">
        <f t="shared" si="26"/>
        <v>8</v>
      </c>
      <c r="M124" s="386">
        <f t="shared" si="21"/>
        <v>104</v>
      </c>
      <c r="N124" s="590">
        <f>INDEX(tblSubjectToLoan[Date],ROW()-ROW(tblContractForDeed[#Headers]))</f>
        <v>49035</v>
      </c>
      <c r="O124" s="275">
        <f>IF(ROW()=ROW(tblContractForDeed[#Headers])+1,$O$6,IF(INDEX(tblContractForDeed[End Bal],ROW()-ROW(tblContractForDeed[#Headers])-1)&lt;0,0,INDEX(tblContractForDeed[End Bal],ROW()-ROW(tblContractForDeed[#Headers])-1)))</f>
        <v>45301.300000000032</v>
      </c>
      <c r="P124" s="445">
        <f>IF(tblContractForDeed[[#This Row],[Date]]="","",IF(tblContractForDeed[[#This Row],[Date]]&lt;cfdRateChangeDate,cfdRate1,cfdRate2))</f>
        <v>6.7500000000000004E-2</v>
      </c>
      <c r="Q1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4" s="275">
        <f>IF(tblContractForDeed[[#This Row],[Payment]]=0,0,MAX(0,MIN(tblContractForDeed[[#This Row],[Beg]],tblContractForDeed[[#This Row],[Payment]]-tblContractForDeed[[#This Row],[Int]])))</f>
        <v>405.08</v>
      </c>
      <c r="S124" s="275">
        <f>IF(OR(tblContractForDeed[[#This Row],[Date]]&lt;cfdContractDate,tblContractForDeed[[#This Row],[Date]]&gt;cfdEndDate),0,ROUND(tblContractForDeed[[#This Row],[Beg]]*(tblContractForDeed[[#This Row],[Int Rate]]/12),2))</f>
        <v>254.82</v>
      </c>
      <c r="T124" s="275">
        <f>IF(tblContractForDeed[[#This Row],[Payment]]=0,0,$W$2)</f>
        <v>134.16999999999999</v>
      </c>
      <c r="U124" s="275">
        <f>IF(tblContractForDeed[[#This Row],[Princ]]=0,0,$W$3)</f>
        <v>188.55</v>
      </c>
      <c r="V124" s="275">
        <f>SUM(tblContractForDeed[[#This Row],[Princ]],tblContractForDeed[[#This Row],[Int]],tblContractForDeed[[#This Row],[Ins]],tblContractForDeed[[#This Row],[Taxes]])</f>
        <v>982.61999999999989</v>
      </c>
      <c r="W124" s="275">
        <f>SUM(INDEX(tblContractForDeed[Princ],1):INDEX(tblContractForDeed[Princ],ROW()-ROW(tblContractForDeed[#Headers])))</f>
        <v>30361.780000000013</v>
      </c>
      <c r="X124" s="275">
        <f>IF(tblContractForDeed[[#This Row],[Beg]]&lt;=0,0,tblContractForDeed[[#This Row],[Beg]]-tblContractForDeed[[#This Row],[Princ]])</f>
        <v>44896.22000000003</v>
      </c>
      <c r="Y12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4" s="454">
        <f>IF(INDEX(tblContractForDeed[Payment],ROW()-ROW(tblBuyerOutputs[#Headers]))=0,0,INDEX(tblContractForDeed[Payment],ROW()-ROW(tblBuyerOutputs[#Headers]))-INDEX(tblSubjectToLoan[Payment],ROW()-ROW(tblBuyerOutputs[#Headers])))</f>
        <v>34.090000000000032</v>
      </c>
      <c r="AA124"/>
      <c r="AB124" s="14">
        <f>IF(INDEX(tblContractForDeed[Payment],ROW()-ROW(tblBuyerOutputs[#Headers]))=0,0,INDEX(tblContractForDeed[Payment],ROW()-ROW(tblBuyerOutputs[#Headers]))-INDEX(tblSubjectToLoan[Payment],ROW()-ROW(tblBuyerOutputs[#Headers])))-IFERROR(tblBuyerOutputs[[#This Row],[PMI]],0)</f>
        <v>34.090000000000032</v>
      </c>
      <c r="AC1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1846.7000000000053</v>
      </c>
      <c r="AD124" s="275">
        <f>IF(INDEX(tblContractForDeed[End Bal],ROW()-ROW(tblBuyerOutputs[#Headers]))&lt;=0,0,($O$6+IF(ROW()=ROW(tblBuyerOutputs[#Headers])+1,0,INDEX(tblBuyerOutputs[Cumul Appr],ROW()-ROW(tblBuyerOutputs[#Headers])-1)))*$O$2/12)</f>
        <v>483.21979940539427</v>
      </c>
      <c r="AE124" s="275">
        <f>IF(INDEX(tblContractForDeed[End Bal],ROW()-ROW(tblBuyerOutputs[#Headers]))&lt;=0,0,IF(ROW()=ROW(tblBuyerOutputs[#Headers])+1,0,INDEX(tblBuyerOutputs[Cumul Appr],ROW()-ROW(tblBuyerOutputs[#Headers])-1))+tblBuyerOutputs[[#This Row],[Monthly Appr]])</f>
        <v>41197.9716567</v>
      </c>
      <c r="AF124" s="22"/>
      <c r="AG124" s="14"/>
      <c r="AL124"/>
      <c r="AM124" s="14"/>
      <c r="AO124" s="275"/>
      <c r="AQ124" s="14"/>
      <c r="AR124"/>
    </row>
    <row r="125" spans="1:44" x14ac:dyDescent="0.25">
      <c r="A125" s="590">
        <f t="shared" si="17"/>
        <v>49065</v>
      </c>
      <c r="B125" s="275">
        <f t="shared" si="18"/>
        <v>57287.739999999954</v>
      </c>
      <c r="C125" s="14">
        <f t="shared" si="14"/>
        <v>625.80999999999995</v>
      </c>
      <c r="D125" s="14">
        <f t="shared" si="19"/>
        <v>446.78999999999996</v>
      </c>
      <c r="E125" s="14">
        <f t="shared" si="15"/>
        <v>179.02</v>
      </c>
      <c r="F125" s="14">
        <f t="shared" si="25"/>
        <v>134.16999999999999</v>
      </c>
      <c r="G125" s="14">
        <f t="shared" si="25"/>
        <v>188.55</v>
      </c>
      <c r="H125" s="14">
        <f t="shared" si="12"/>
        <v>948.53</v>
      </c>
      <c r="I125" s="275">
        <f t="shared" si="22"/>
        <v>40690.889999999992</v>
      </c>
      <c r="J125" s="275">
        <f t="shared" si="23"/>
        <v>25948.809999999994</v>
      </c>
      <c r="K125" s="275">
        <f t="shared" si="20"/>
        <v>56840.949999999953</v>
      </c>
      <c r="L125" s="386">
        <f t="shared" si="26"/>
        <v>8</v>
      </c>
      <c r="M125" s="386">
        <f t="shared" si="21"/>
        <v>105</v>
      </c>
      <c r="N125" s="590">
        <f>INDEX(tblSubjectToLoan[Date],ROW()-ROW(tblContractForDeed[#Headers]))</f>
        <v>49065</v>
      </c>
      <c r="O125" s="275">
        <f>IF(ROW()=ROW(tblContractForDeed[#Headers])+1,$O$6,IF(INDEX(tblContractForDeed[End Bal],ROW()-ROW(tblContractForDeed[#Headers])-1)&lt;0,0,INDEX(tblContractForDeed[End Bal],ROW()-ROW(tblContractForDeed[#Headers])-1)))</f>
        <v>44896.22000000003</v>
      </c>
      <c r="P125" s="445">
        <f>IF(tblContractForDeed[[#This Row],[Date]]="","",IF(tblContractForDeed[[#This Row],[Date]]&lt;cfdRateChangeDate,cfdRate1,cfdRate2))</f>
        <v>6.7500000000000004E-2</v>
      </c>
      <c r="Q1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5" s="275">
        <f>IF(tblContractForDeed[[#This Row],[Payment]]=0,0,MAX(0,MIN(tblContractForDeed[[#This Row],[Beg]],tblContractForDeed[[#This Row],[Payment]]-tblContractForDeed[[#This Row],[Int]])))</f>
        <v>407.36</v>
      </c>
      <c r="S125" s="275">
        <f>IF(OR(tblContractForDeed[[#This Row],[Date]]&lt;cfdContractDate,tblContractForDeed[[#This Row],[Date]]&gt;cfdEndDate),0,ROUND(tblContractForDeed[[#This Row],[Beg]]*(tblContractForDeed[[#This Row],[Int Rate]]/12),2))</f>
        <v>252.54</v>
      </c>
      <c r="T125" s="275">
        <f>IF(tblContractForDeed[[#This Row],[Payment]]=0,0,$W$2)</f>
        <v>134.16999999999999</v>
      </c>
      <c r="U125" s="275">
        <f>IF(tblContractForDeed[[#This Row],[Princ]]=0,0,$W$3)</f>
        <v>188.55</v>
      </c>
      <c r="V125" s="275">
        <f>SUM(tblContractForDeed[[#This Row],[Princ]],tblContractForDeed[[#This Row],[Int]],tblContractForDeed[[#This Row],[Ins]],tblContractForDeed[[#This Row],[Taxes]])</f>
        <v>982.61999999999989</v>
      </c>
      <c r="W125" s="275">
        <f>SUM(INDEX(tblContractForDeed[Princ],1):INDEX(tblContractForDeed[Princ],ROW()-ROW(tblContractForDeed[#Headers])))</f>
        <v>30769.140000000014</v>
      </c>
      <c r="X125" s="275">
        <f>IF(tblContractForDeed[[#This Row],[Beg]]&lt;=0,0,tblContractForDeed[[#This Row],[Beg]]-tblContractForDeed[[#This Row],[Princ]])</f>
        <v>44488.86000000003</v>
      </c>
      <c r="Y12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5" s="454">
        <f>IF(INDEX(tblContractForDeed[Payment],ROW()-ROW(tblBuyerOutputs[#Headers]))=0,0,INDEX(tblContractForDeed[Payment],ROW()-ROW(tblBuyerOutputs[#Headers]))-INDEX(tblSubjectToLoan[Payment],ROW()-ROW(tblBuyerOutputs[#Headers])))</f>
        <v>34.090000000000032</v>
      </c>
      <c r="AA125"/>
      <c r="AB125" s="14">
        <f>IF(INDEX(tblContractForDeed[Payment],ROW()-ROW(tblBuyerOutputs[#Headers]))=0,0,INDEX(tblContractForDeed[Payment],ROW()-ROW(tblBuyerOutputs[#Headers]))-INDEX(tblSubjectToLoan[Payment],ROW()-ROW(tblBuyerOutputs[#Headers])))-IFERROR(tblBuyerOutputs[[#This Row],[PMI]],0)</f>
        <v>34.090000000000032</v>
      </c>
      <c r="AC1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1880.7900000000054</v>
      </c>
      <c r="AD125" s="275">
        <f>IF(INDEX(tblContractForDeed[End Bal],ROW()-ROW(tblBuyerOutputs[#Headers]))&lt;=0,0,($O$6+IF(ROW()=ROW(tblBuyerOutputs[#Headers])+1,0,INDEX(tblBuyerOutputs[Cumul Appr],ROW()-ROW(tblBuyerOutputs[#Headers])-1)))*$O$2/12)</f>
        <v>485.23321523625003</v>
      </c>
      <c r="AE125" s="275">
        <f>IF(INDEX(tblContractForDeed[End Bal],ROW()-ROW(tblBuyerOutputs[#Headers]))&lt;=0,0,IF(ROW()=ROW(tblBuyerOutputs[#Headers])+1,0,INDEX(tblBuyerOutputs[Cumul Appr],ROW()-ROW(tblBuyerOutputs[#Headers])-1))+tblBuyerOutputs[[#This Row],[Monthly Appr]])</f>
        <v>41683.20487193625</v>
      </c>
      <c r="AF125" s="22"/>
      <c r="AG125" s="14"/>
      <c r="AL125"/>
      <c r="AM125" s="14"/>
      <c r="AO125" s="275"/>
      <c r="AQ125" s="14"/>
      <c r="AR125"/>
    </row>
    <row r="126" spans="1:44" x14ac:dyDescent="0.25">
      <c r="A126" s="590">
        <f t="shared" si="17"/>
        <v>49096</v>
      </c>
      <c r="B126" s="275">
        <f t="shared" si="18"/>
        <v>56840.949999999953</v>
      </c>
      <c r="C126" s="14">
        <f t="shared" si="14"/>
        <v>625.80999999999995</v>
      </c>
      <c r="D126" s="14">
        <f t="shared" si="19"/>
        <v>448.17999999999995</v>
      </c>
      <c r="E126" s="14">
        <f t="shared" si="15"/>
        <v>177.63</v>
      </c>
      <c r="F126" s="14">
        <f t="shared" si="25"/>
        <v>134.16999999999999</v>
      </c>
      <c r="G126" s="14">
        <f t="shared" si="25"/>
        <v>188.55</v>
      </c>
      <c r="H126" s="14">
        <f t="shared" si="12"/>
        <v>948.53</v>
      </c>
      <c r="I126" s="275">
        <f t="shared" si="22"/>
        <v>41139.069999999992</v>
      </c>
      <c r="J126" s="275">
        <f t="shared" si="23"/>
        <v>26126.439999999995</v>
      </c>
      <c r="K126" s="275">
        <f t="shared" si="20"/>
        <v>56392.769999999953</v>
      </c>
      <c r="L126" s="386">
        <f t="shared" si="26"/>
        <v>8</v>
      </c>
      <c r="M126" s="386">
        <f t="shared" si="21"/>
        <v>106</v>
      </c>
      <c r="N126" s="590">
        <f>INDEX(tblSubjectToLoan[Date],ROW()-ROW(tblContractForDeed[#Headers]))</f>
        <v>49096</v>
      </c>
      <c r="O126" s="275">
        <f>IF(ROW()=ROW(tblContractForDeed[#Headers])+1,$O$6,IF(INDEX(tblContractForDeed[End Bal],ROW()-ROW(tblContractForDeed[#Headers])-1)&lt;0,0,INDEX(tblContractForDeed[End Bal],ROW()-ROW(tblContractForDeed[#Headers])-1)))</f>
        <v>44488.86000000003</v>
      </c>
      <c r="P126" s="445">
        <f>IF(tblContractForDeed[[#This Row],[Date]]="","",IF(tblContractForDeed[[#This Row],[Date]]&lt;cfdRateChangeDate,cfdRate1,cfdRate2))</f>
        <v>6.7500000000000004E-2</v>
      </c>
      <c r="Q1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6" s="275">
        <f>IF(tblContractForDeed[[#This Row],[Payment]]=0,0,MAX(0,MIN(tblContractForDeed[[#This Row],[Beg]],tblContractForDeed[[#This Row],[Payment]]-tblContractForDeed[[#This Row],[Int]])))</f>
        <v>409.65</v>
      </c>
      <c r="S126" s="275">
        <f>IF(OR(tblContractForDeed[[#This Row],[Date]]&lt;cfdContractDate,tblContractForDeed[[#This Row],[Date]]&gt;cfdEndDate),0,ROUND(tblContractForDeed[[#This Row],[Beg]]*(tblContractForDeed[[#This Row],[Int Rate]]/12),2))</f>
        <v>250.25</v>
      </c>
      <c r="T126" s="275">
        <f>IF(tblContractForDeed[[#This Row],[Payment]]=0,0,$W$2)</f>
        <v>134.16999999999999</v>
      </c>
      <c r="U126" s="275">
        <f>IF(tblContractForDeed[[#This Row],[Princ]]=0,0,$W$3)</f>
        <v>188.55</v>
      </c>
      <c r="V126" s="275">
        <f>SUM(tblContractForDeed[[#This Row],[Princ]],tblContractForDeed[[#This Row],[Int]],tblContractForDeed[[#This Row],[Ins]],tblContractForDeed[[#This Row],[Taxes]])</f>
        <v>982.61999999999989</v>
      </c>
      <c r="W126" s="275">
        <f>SUM(INDEX(tblContractForDeed[Princ],1):INDEX(tblContractForDeed[Princ],ROW()-ROW(tblContractForDeed[#Headers])))</f>
        <v>31178.790000000015</v>
      </c>
      <c r="X126" s="275">
        <f>IF(tblContractForDeed[[#This Row],[Beg]]&lt;=0,0,tblContractForDeed[[#This Row],[Beg]]-tblContractForDeed[[#This Row],[Princ]])</f>
        <v>44079.210000000028</v>
      </c>
      <c r="Y12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6" s="454">
        <f>IF(INDEX(tblContractForDeed[Payment],ROW()-ROW(tblBuyerOutputs[#Headers]))=0,0,INDEX(tblContractForDeed[Payment],ROW()-ROW(tblBuyerOutputs[#Headers]))-INDEX(tblSubjectToLoan[Payment],ROW()-ROW(tblBuyerOutputs[#Headers])))</f>
        <v>34.090000000000032</v>
      </c>
      <c r="AA126"/>
      <c r="AB126" s="14">
        <f>IF(INDEX(tblContractForDeed[Payment],ROW()-ROW(tblBuyerOutputs[#Headers]))=0,0,INDEX(tblContractForDeed[Payment],ROW()-ROW(tblBuyerOutputs[#Headers]))-INDEX(tblSubjectToLoan[Payment],ROW()-ROW(tblBuyerOutputs[#Headers])))-IFERROR(tblBuyerOutputs[[#This Row],[PMI]],0)</f>
        <v>34.090000000000032</v>
      </c>
      <c r="AC1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1914.8800000000056</v>
      </c>
      <c r="AD126" s="275">
        <f>IF(INDEX(tblContractForDeed[End Bal],ROW()-ROW(tblBuyerOutputs[#Headers]))&lt;=0,0,($O$6+IF(ROW()=ROW(tblBuyerOutputs[#Headers])+1,0,INDEX(tblBuyerOutputs[Cumul Appr],ROW()-ROW(tblBuyerOutputs[#Headers])-1)))*$O$2/12)</f>
        <v>487.25502029973444</v>
      </c>
      <c r="AE126" s="275">
        <f>IF(INDEX(tblContractForDeed[End Bal],ROW()-ROW(tblBuyerOutputs[#Headers]))&lt;=0,0,IF(ROW()=ROW(tblBuyerOutputs[#Headers])+1,0,INDEX(tblBuyerOutputs[Cumul Appr],ROW()-ROW(tblBuyerOutputs[#Headers])-1))+tblBuyerOutputs[[#This Row],[Monthly Appr]])</f>
        <v>42170.459892235987</v>
      </c>
      <c r="AF126" s="22"/>
      <c r="AG126" s="14"/>
      <c r="AL126"/>
      <c r="AM126" s="14"/>
      <c r="AO126" s="275"/>
      <c r="AQ126" s="14"/>
      <c r="AR126"/>
    </row>
    <row r="127" spans="1:44" ht="15.75" thickBot="1" x14ac:dyDescent="0.3">
      <c r="A127" s="591">
        <f t="shared" si="17"/>
        <v>49126</v>
      </c>
      <c r="B127" s="326">
        <f t="shared" si="18"/>
        <v>56392.769999999953</v>
      </c>
      <c r="C127" s="21">
        <f t="shared" si="14"/>
        <v>625.80999999999995</v>
      </c>
      <c r="D127" s="21">
        <f t="shared" si="19"/>
        <v>449.57999999999993</v>
      </c>
      <c r="E127" s="21">
        <f t="shared" si="15"/>
        <v>176.23</v>
      </c>
      <c r="F127" s="21">
        <f t="shared" ref="F127:G142" si="27">+F126</f>
        <v>134.16999999999999</v>
      </c>
      <c r="G127" s="21">
        <f t="shared" si="27"/>
        <v>188.55</v>
      </c>
      <c r="H127" s="21">
        <f t="shared" si="12"/>
        <v>948.53</v>
      </c>
      <c r="I127" s="326">
        <f t="shared" si="22"/>
        <v>41588.649999999994</v>
      </c>
      <c r="J127" s="326">
        <f t="shared" si="23"/>
        <v>26302.669999999995</v>
      </c>
      <c r="K127" s="326">
        <f t="shared" si="20"/>
        <v>55943.189999999951</v>
      </c>
      <c r="L127" s="387">
        <f t="shared" si="26"/>
        <v>8</v>
      </c>
      <c r="M127" s="387">
        <f t="shared" si="21"/>
        <v>107</v>
      </c>
      <c r="N127" s="591">
        <f>INDEX(tblSubjectToLoan[Date],ROW()-ROW(tblContractForDeed[#Headers]))</f>
        <v>49126</v>
      </c>
      <c r="O127" s="326">
        <f>IF(ROW()=ROW(tblContractForDeed[#Headers])+1,$O$6,IF(INDEX(tblContractForDeed[End Bal],ROW()-ROW(tblContractForDeed[#Headers])-1)&lt;0,0,INDEX(tblContractForDeed[End Bal],ROW()-ROW(tblContractForDeed[#Headers])-1)))</f>
        <v>44079.210000000028</v>
      </c>
      <c r="P127" s="445">
        <f>IF(tblContractForDeed[[#This Row],[Date]]="","",IF(tblContractForDeed[[#This Row],[Date]]&lt;cfdRateChangeDate,cfdRate1,cfdRate2))</f>
        <v>6.7500000000000004E-2</v>
      </c>
      <c r="Q12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7" s="326">
        <f>IF(tblContractForDeed[[#This Row],[Payment]]=0,0,MAX(0,MIN(tblContractForDeed[[#This Row],[Beg]],tblContractForDeed[[#This Row],[Payment]]-tblContractForDeed[[#This Row],[Int]])))</f>
        <v>411.95</v>
      </c>
      <c r="S127" s="326">
        <f>IF(OR(tblContractForDeed[[#This Row],[Date]]&lt;cfdContractDate,tblContractForDeed[[#This Row],[Date]]&gt;cfdEndDate),0,ROUND(tblContractForDeed[[#This Row],[Beg]]*(tblContractForDeed[[#This Row],[Int Rate]]/12),2))</f>
        <v>247.95</v>
      </c>
      <c r="T127" s="326">
        <f>IF(tblContractForDeed[[#This Row],[Payment]]=0,0,$W$2)</f>
        <v>134.16999999999999</v>
      </c>
      <c r="U127" s="326">
        <f>IF(tblContractForDeed[[#This Row],[Princ]]=0,0,$W$3)</f>
        <v>188.55</v>
      </c>
      <c r="V127" s="326">
        <f>SUM(tblContractForDeed[[#This Row],[Princ]],tblContractForDeed[[#This Row],[Int]],tblContractForDeed[[#This Row],[Ins]],tblContractForDeed[[#This Row],[Taxes]])</f>
        <v>982.61999999999989</v>
      </c>
      <c r="W127" s="326">
        <f>SUM(INDEX(tblContractForDeed[Princ],1):INDEX(tblContractForDeed[Princ],ROW()-ROW(tblContractForDeed[#Headers])))</f>
        <v>31590.740000000016</v>
      </c>
      <c r="X127" s="326">
        <f>IF(tblContractForDeed[[#This Row],[Beg]]&lt;=0,0,tblContractForDeed[[#This Row],[Beg]]-tblContractForDeed[[#This Row],[Princ]])</f>
        <v>43667.260000000031</v>
      </c>
      <c r="Y127"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7" s="455">
        <f>IF(INDEX(tblContractForDeed[Payment],ROW()-ROW(tblBuyerOutputs[#Headers]))=0,0,INDEX(tblContractForDeed[Payment],ROW()-ROW(tblBuyerOutputs[#Headers]))-INDEX(tblSubjectToLoan[Payment],ROW()-ROW(tblBuyerOutputs[#Headers])))</f>
        <v>34.090000000000032</v>
      </c>
      <c r="AA127" s="23"/>
      <c r="AB127" s="21">
        <f>IF(INDEX(tblContractForDeed[Payment],ROW()-ROW(tblBuyerOutputs[#Headers]))=0,0,INDEX(tblContractForDeed[Payment],ROW()-ROW(tblBuyerOutputs[#Headers]))-INDEX(tblSubjectToLoan[Payment],ROW()-ROW(tblBuyerOutputs[#Headers])))-IFERROR(tblBuyerOutputs[[#This Row],[PMI]],0)</f>
        <v>34.090000000000032</v>
      </c>
      <c r="AC1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1948.9700000000057</v>
      </c>
      <c r="AD127" s="326">
        <f>IF(INDEX(tblContractForDeed[End Bal],ROW()-ROW(tblBuyerOutputs[#Headers]))&lt;=0,0,($O$6+IF(ROW()=ROW(tblBuyerOutputs[#Headers])+1,0,INDEX(tblBuyerOutputs[Cumul Appr],ROW()-ROW(tblBuyerOutputs[#Headers])-1)))*$O$2/12)</f>
        <v>489.28524955098328</v>
      </c>
      <c r="AE127" s="326">
        <f>IF(INDEX(tblContractForDeed[End Bal],ROW()-ROW(tblBuyerOutputs[#Headers]))&lt;=0,0,IF(ROW()=ROW(tblBuyerOutputs[#Headers])+1,0,INDEX(tblBuyerOutputs[Cumul Appr],ROW()-ROW(tblBuyerOutputs[#Headers])-1))+tblBuyerOutputs[[#This Row],[Monthly Appr]])</f>
        <v>42659.745141786974</v>
      </c>
      <c r="AF127" s="22"/>
      <c r="AG127" s="14"/>
      <c r="AL127"/>
      <c r="AM127" s="14"/>
      <c r="AO127" s="275"/>
      <c r="AQ127" s="14"/>
      <c r="AR127"/>
    </row>
    <row r="128" spans="1:44" x14ac:dyDescent="0.25">
      <c r="A128" s="590">
        <f t="shared" si="17"/>
        <v>49157</v>
      </c>
      <c r="B128" s="275">
        <f t="shared" si="18"/>
        <v>55943.189999999951</v>
      </c>
      <c r="C128" s="14">
        <f t="shared" si="14"/>
        <v>625.80999999999995</v>
      </c>
      <c r="D128" s="14">
        <f t="shared" si="19"/>
        <v>450.98999999999995</v>
      </c>
      <c r="E128" s="14">
        <f t="shared" si="15"/>
        <v>174.82</v>
      </c>
      <c r="F128" s="14">
        <f t="shared" si="27"/>
        <v>134.16999999999999</v>
      </c>
      <c r="G128" s="14">
        <f t="shared" si="27"/>
        <v>188.55</v>
      </c>
      <c r="H128" s="14">
        <f t="shared" ref="H128:H191" si="28">SUM(D128:G128)</f>
        <v>948.53</v>
      </c>
      <c r="I128" s="275">
        <f t="shared" si="22"/>
        <v>42039.639999999992</v>
      </c>
      <c r="J128" s="275">
        <f t="shared" si="23"/>
        <v>26477.489999999994</v>
      </c>
      <c r="K128" s="275">
        <f t="shared" si="20"/>
        <v>55492.199999999953</v>
      </c>
      <c r="L128" s="386">
        <f t="shared" si="26"/>
        <v>9</v>
      </c>
      <c r="M128" s="386">
        <f t="shared" si="21"/>
        <v>108</v>
      </c>
      <c r="N128" s="590">
        <f>INDEX(tblSubjectToLoan[Date],ROW()-ROW(tblContractForDeed[#Headers]))</f>
        <v>49157</v>
      </c>
      <c r="O128" s="275">
        <f>IF(ROW()=ROW(tblContractForDeed[#Headers])+1,$O$6,IF(INDEX(tblContractForDeed[End Bal],ROW()-ROW(tblContractForDeed[#Headers])-1)&lt;0,0,INDEX(tblContractForDeed[End Bal],ROW()-ROW(tblContractForDeed[#Headers])-1)))</f>
        <v>43667.260000000031</v>
      </c>
      <c r="P128" s="445">
        <f>IF(tblContractForDeed[[#This Row],[Date]]="","",IF(tblContractForDeed[[#This Row],[Date]]&lt;cfdRateChangeDate,cfdRate1,cfdRate2))</f>
        <v>6.7500000000000004E-2</v>
      </c>
      <c r="Q1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8" s="275">
        <f>IF(tblContractForDeed[[#This Row],[Payment]]=0,0,MAX(0,MIN(tblContractForDeed[[#This Row],[Beg]],tblContractForDeed[[#This Row],[Payment]]-tblContractForDeed[[#This Row],[Int]])))</f>
        <v>414.27</v>
      </c>
      <c r="S128" s="275">
        <f>IF(OR(tblContractForDeed[[#This Row],[Date]]&lt;cfdContractDate,tblContractForDeed[[#This Row],[Date]]&gt;cfdEndDate),0,ROUND(tblContractForDeed[[#This Row],[Beg]]*(tblContractForDeed[[#This Row],[Int Rate]]/12),2))</f>
        <v>245.63</v>
      </c>
      <c r="T128" s="275">
        <f>IF(tblContractForDeed[[#This Row],[Payment]]=0,0,$W$2)</f>
        <v>134.16999999999999</v>
      </c>
      <c r="U128" s="275">
        <f>IF(tblContractForDeed[[#This Row],[Princ]]=0,0,$W$3)</f>
        <v>188.55</v>
      </c>
      <c r="V128" s="275">
        <f>SUM(tblContractForDeed[[#This Row],[Princ]],tblContractForDeed[[#This Row],[Int]],tblContractForDeed[[#This Row],[Ins]],tblContractForDeed[[#This Row],[Taxes]])</f>
        <v>982.61999999999989</v>
      </c>
      <c r="W128" s="275">
        <f>SUM(INDEX(tblContractForDeed[Princ],1):INDEX(tblContractForDeed[Princ],ROW()-ROW(tblContractForDeed[#Headers])))</f>
        <v>32005.010000000017</v>
      </c>
      <c r="X128" s="275">
        <f>IF(tblContractForDeed[[#This Row],[Beg]]&lt;=0,0,tblContractForDeed[[#This Row],[Beg]]-tblContractForDeed[[#This Row],[Princ]])</f>
        <v>43252.990000000034</v>
      </c>
      <c r="Y12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8" s="454">
        <f>IF(INDEX(tblContractForDeed[Payment],ROW()-ROW(tblBuyerOutputs[#Headers]))=0,0,INDEX(tblContractForDeed[Payment],ROW()-ROW(tblBuyerOutputs[#Headers]))-INDEX(tblSubjectToLoan[Payment],ROW()-ROW(tblBuyerOutputs[#Headers])))</f>
        <v>34.090000000000032</v>
      </c>
      <c r="AA128"/>
      <c r="AB128" s="14">
        <f>IF(INDEX(tblContractForDeed[Payment],ROW()-ROW(tblBuyerOutputs[#Headers]))=0,0,INDEX(tblContractForDeed[Payment],ROW()-ROW(tblBuyerOutputs[#Headers]))-INDEX(tblSubjectToLoan[Payment],ROW()-ROW(tblBuyerOutputs[#Headers])))-IFERROR(tblBuyerOutputs[[#This Row],[PMI]],0)</f>
        <v>34.090000000000032</v>
      </c>
      <c r="AC1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1983.0600000000059</v>
      </c>
      <c r="AD128" s="275">
        <f>IF(INDEX(tblContractForDeed[End Bal],ROW()-ROW(tblBuyerOutputs[#Headers]))&lt;=0,0,($O$6+IF(ROW()=ROW(tblBuyerOutputs[#Headers])+1,0,INDEX(tblBuyerOutputs[Cumul Appr],ROW()-ROW(tblBuyerOutputs[#Headers])-1)))*$O$2/12)</f>
        <v>491.32393809077911</v>
      </c>
      <c r="AE128" s="275">
        <f>IF(INDEX(tblContractForDeed[End Bal],ROW()-ROW(tblBuyerOutputs[#Headers]))&lt;=0,0,IF(ROW()=ROW(tblBuyerOutputs[#Headers])+1,0,INDEX(tblBuyerOutputs[Cumul Appr],ROW()-ROW(tblBuyerOutputs[#Headers])-1))+tblBuyerOutputs[[#This Row],[Monthly Appr]])</f>
        <v>43151.06907987775</v>
      </c>
      <c r="AF128" s="22"/>
      <c r="AG128" s="14"/>
      <c r="AL128"/>
      <c r="AM128" s="14"/>
      <c r="AO128" s="275"/>
      <c r="AQ128" s="14"/>
      <c r="AR128"/>
    </row>
    <row r="129" spans="1:44" x14ac:dyDescent="0.25">
      <c r="A129" s="590">
        <f t="shared" si="17"/>
        <v>49188</v>
      </c>
      <c r="B129" s="275">
        <f t="shared" si="18"/>
        <v>55492.199999999953</v>
      </c>
      <c r="C129" s="14">
        <f t="shared" si="14"/>
        <v>625.80999999999995</v>
      </c>
      <c r="D129" s="14">
        <f t="shared" si="19"/>
        <v>452.4</v>
      </c>
      <c r="E129" s="14">
        <f t="shared" si="15"/>
        <v>173.41</v>
      </c>
      <c r="F129" s="14">
        <f t="shared" si="27"/>
        <v>134.16999999999999</v>
      </c>
      <c r="G129" s="14">
        <f t="shared" si="27"/>
        <v>188.55</v>
      </c>
      <c r="H129" s="14">
        <f t="shared" si="28"/>
        <v>948.53</v>
      </c>
      <c r="I129" s="275">
        <f t="shared" si="22"/>
        <v>42492.039999999994</v>
      </c>
      <c r="J129" s="275">
        <f t="shared" si="23"/>
        <v>26650.899999999994</v>
      </c>
      <c r="K129" s="275">
        <f t="shared" si="20"/>
        <v>55039.799999999952</v>
      </c>
      <c r="L129" s="386">
        <f t="shared" si="26"/>
        <v>9</v>
      </c>
      <c r="M129" s="386">
        <f t="shared" si="21"/>
        <v>109</v>
      </c>
      <c r="N129" s="590">
        <f>INDEX(tblSubjectToLoan[Date],ROW()-ROW(tblContractForDeed[#Headers]))</f>
        <v>49188</v>
      </c>
      <c r="O129" s="275">
        <f>IF(ROW()=ROW(tblContractForDeed[#Headers])+1,$O$6,IF(INDEX(tblContractForDeed[End Bal],ROW()-ROW(tblContractForDeed[#Headers])-1)&lt;0,0,INDEX(tblContractForDeed[End Bal],ROW()-ROW(tblContractForDeed[#Headers])-1)))</f>
        <v>43252.990000000034</v>
      </c>
      <c r="P129" s="445">
        <f>IF(tblContractForDeed[[#This Row],[Date]]="","",IF(tblContractForDeed[[#This Row],[Date]]&lt;cfdRateChangeDate,cfdRate1,cfdRate2))</f>
        <v>6.7500000000000004E-2</v>
      </c>
      <c r="Q1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9" s="275">
        <f>IF(tblContractForDeed[[#This Row],[Payment]]=0,0,MAX(0,MIN(tblContractForDeed[[#This Row],[Beg]],tblContractForDeed[[#This Row],[Payment]]-tblContractForDeed[[#This Row],[Int]])))</f>
        <v>416.59999999999997</v>
      </c>
      <c r="S129" s="275">
        <f>IF(OR(tblContractForDeed[[#This Row],[Date]]&lt;cfdContractDate,tblContractForDeed[[#This Row],[Date]]&gt;cfdEndDate),0,ROUND(tblContractForDeed[[#This Row],[Beg]]*(tblContractForDeed[[#This Row],[Int Rate]]/12),2))</f>
        <v>243.3</v>
      </c>
      <c r="T129" s="275">
        <f>IF(tblContractForDeed[[#This Row],[Payment]]=0,0,$W$2)</f>
        <v>134.16999999999999</v>
      </c>
      <c r="U129" s="275">
        <f>IF(tblContractForDeed[[#This Row],[Princ]]=0,0,$W$3)</f>
        <v>188.55</v>
      </c>
      <c r="V129" s="275">
        <f>SUM(tblContractForDeed[[#This Row],[Princ]],tblContractForDeed[[#This Row],[Int]],tblContractForDeed[[#This Row],[Ins]],tblContractForDeed[[#This Row],[Taxes]])</f>
        <v>982.61999999999989</v>
      </c>
      <c r="W129" s="275">
        <f>SUM(INDEX(tblContractForDeed[Princ],1):INDEX(tblContractForDeed[Princ],ROW()-ROW(tblContractForDeed[#Headers])))</f>
        <v>32421.610000000015</v>
      </c>
      <c r="X129" s="275">
        <f>IF(tblContractForDeed[[#This Row],[Beg]]&lt;=0,0,tblContractForDeed[[#This Row],[Beg]]-tblContractForDeed[[#This Row],[Princ]])</f>
        <v>42836.390000000036</v>
      </c>
      <c r="Y12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29" s="454">
        <f>IF(INDEX(tblContractForDeed[Payment],ROW()-ROW(tblBuyerOutputs[#Headers]))=0,0,INDEX(tblContractForDeed[Payment],ROW()-ROW(tblBuyerOutputs[#Headers]))-INDEX(tblSubjectToLoan[Payment],ROW()-ROW(tblBuyerOutputs[#Headers])))</f>
        <v>34.090000000000032</v>
      </c>
      <c r="AA129"/>
      <c r="AB129" s="14">
        <f>IF(INDEX(tblContractForDeed[Payment],ROW()-ROW(tblBuyerOutputs[#Headers]))=0,0,INDEX(tblContractForDeed[Payment],ROW()-ROW(tblBuyerOutputs[#Headers]))-INDEX(tblSubjectToLoan[Payment],ROW()-ROW(tblBuyerOutputs[#Headers])))-IFERROR(tblBuyerOutputs[[#This Row],[PMI]],0)</f>
        <v>34.090000000000032</v>
      </c>
      <c r="AC1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2017.150000000006</v>
      </c>
      <c r="AD129" s="275">
        <f>IF(INDEX(tblContractForDeed[End Bal],ROW()-ROW(tblBuyerOutputs[#Headers]))&lt;=0,0,($O$6+IF(ROW()=ROW(tblBuyerOutputs[#Headers])+1,0,INDEX(tblBuyerOutputs[Cumul Appr],ROW()-ROW(tblBuyerOutputs[#Headers])-1)))*$O$2/12)</f>
        <v>493.37112116615731</v>
      </c>
      <c r="AE129" s="275">
        <f>IF(INDEX(tblContractForDeed[End Bal],ROW()-ROW(tblBuyerOutputs[#Headers]))&lt;=0,0,IF(ROW()=ROW(tblBuyerOutputs[#Headers])+1,0,INDEX(tblBuyerOutputs[Cumul Appr],ROW()-ROW(tblBuyerOutputs[#Headers])-1))+tblBuyerOutputs[[#This Row],[Monthly Appr]])</f>
        <v>43644.440201043908</v>
      </c>
      <c r="AF129" s="22"/>
      <c r="AG129" s="14"/>
      <c r="AL129"/>
      <c r="AM129" s="14"/>
      <c r="AO129" s="275"/>
      <c r="AQ129" s="14"/>
      <c r="AR129"/>
    </row>
    <row r="130" spans="1:44" x14ac:dyDescent="0.25">
      <c r="A130" s="590">
        <f t="shared" si="17"/>
        <v>49218</v>
      </c>
      <c r="B130" s="275">
        <f t="shared" si="18"/>
        <v>55039.799999999952</v>
      </c>
      <c r="C130" s="14">
        <f t="shared" si="14"/>
        <v>625.80999999999995</v>
      </c>
      <c r="D130" s="14">
        <f t="shared" si="19"/>
        <v>453.80999999999995</v>
      </c>
      <c r="E130" s="14">
        <f t="shared" si="15"/>
        <v>172</v>
      </c>
      <c r="F130" s="14">
        <f t="shared" si="27"/>
        <v>134.16999999999999</v>
      </c>
      <c r="G130" s="14">
        <f t="shared" si="27"/>
        <v>188.55</v>
      </c>
      <c r="H130" s="14">
        <f t="shared" si="28"/>
        <v>948.53</v>
      </c>
      <c r="I130" s="275">
        <f t="shared" si="22"/>
        <v>42945.849999999991</v>
      </c>
      <c r="J130" s="275">
        <f t="shared" si="23"/>
        <v>26822.899999999994</v>
      </c>
      <c r="K130" s="275">
        <f t="shared" si="20"/>
        <v>54585.989999999954</v>
      </c>
      <c r="L130" s="386">
        <f t="shared" si="26"/>
        <v>9</v>
      </c>
      <c r="M130" s="386">
        <f t="shared" si="21"/>
        <v>110</v>
      </c>
      <c r="N130" s="590">
        <f>INDEX(tblSubjectToLoan[Date],ROW()-ROW(tblContractForDeed[#Headers]))</f>
        <v>49218</v>
      </c>
      <c r="O130" s="275">
        <f>IF(ROW()=ROW(tblContractForDeed[#Headers])+1,$O$6,IF(INDEX(tblContractForDeed[End Bal],ROW()-ROW(tblContractForDeed[#Headers])-1)&lt;0,0,INDEX(tblContractForDeed[End Bal],ROW()-ROW(tblContractForDeed[#Headers])-1)))</f>
        <v>42836.390000000036</v>
      </c>
      <c r="P130" s="445">
        <f>IF(tblContractForDeed[[#This Row],[Date]]="","",IF(tblContractForDeed[[#This Row],[Date]]&lt;cfdRateChangeDate,cfdRate1,cfdRate2))</f>
        <v>6.7500000000000004E-2</v>
      </c>
      <c r="Q1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0" s="275">
        <f>IF(tblContractForDeed[[#This Row],[Payment]]=0,0,MAX(0,MIN(tblContractForDeed[[#This Row],[Beg]],tblContractForDeed[[#This Row],[Payment]]-tblContractForDeed[[#This Row],[Int]])))</f>
        <v>418.95</v>
      </c>
      <c r="S130" s="275">
        <f>IF(OR(tblContractForDeed[[#This Row],[Date]]&lt;cfdContractDate,tblContractForDeed[[#This Row],[Date]]&gt;cfdEndDate),0,ROUND(tblContractForDeed[[#This Row],[Beg]]*(tblContractForDeed[[#This Row],[Int Rate]]/12),2))</f>
        <v>240.95</v>
      </c>
      <c r="T130" s="275">
        <f>IF(tblContractForDeed[[#This Row],[Payment]]=0,0,$W$2)</f>
        <v>134.16999999999999</v>
      </c>
      <c r="U130" s="275">
        <f>IF(tblContractForDeed[[#This Row],[Princ]]=0,0,$W$3)</f>
        <v>188.55</v>
      </c>
      <c r="V130" s="275">
        <f>SUM(tblContractForDeed[[#This Row],[Princ]],tblContractForDeed[[#This Row],[Int]],tblContractForDeed[[#This Row],[Ins]],tblContractForDeed[[#This Row],[Taxes]])</f>
        <v>982.61999999999989</v>
      </c>
      <c r="W130" s="275">
        <f>SUM(INDEX(tblContractForDeed[Princ],1):INDEX(tblContractForDeed[Princ],ROW()-ROW(tblContractForDeed[#Headers])))</f>
        <v>32840.560000000012</v>
      </c>
      <c r="X130" s="275">
        <f>IF(tblContractForDeed[[#This Row],[Beg]]&lt;=0,0,tblContractForDeed[[#This Row],[Beg]]-tblContractForDeed[[#This Row],[Princ]])</f>
        <v>42417.440000000039</v>
      </c>
      <c r="Y13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0" s="454">
        <f>IF(INDEX(tblContractForDeed[Payment],ROW()-ROW(tblBuyerOutputs[#Headers]))=0,0,INDEX(tblContractForDeed[Payment],ROW()-ROW(tblBuyerOutputs[#Headers]))-INDEX(tblSubjectToLoan[Payment],ROW()-ROW(tblBuyerOutputs[#Headers])))</f>
        <v>34.090000000000032</v>
      </c>
      <c r="AA130"/>
      <c r="AB130" s="14">
        <f>IF(INDEX(tblContractForDeed[Payment],ROW()-ROW(tblBuyerOutputs[#Headers]))=0,0,INDEX(tblContractForDeed[Payment],ROW()-ROW(tblBuyerOutputs[#Headers]))-INDEX(tblSubjectToLoan[Payment],ROW()-ROW(tblBuyerOutputs[#Headers])))-IFERROR(tblBuyerOutputs[[#This Row],[PMI]],0)</f>
        <v>34.090000000000032</v>
      </c>
      <c r="AC1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2051.2400000000061</v>
      </c>
      <c r="AD130" s="275">
        <f>IF(INDEX(tblContractForDeed[End Bal],ROW()-ROW(tblBuyerOutputs[#Headers]))&lt;=0,0,($O$6+IF(ROW()=ROW(tblBuyerOutputs[#Headers])+1,0,INDEX(tblBuyerOutputs[Cumul Appr],ROW()-ROW(tblBuyerOutputs[#Headers])-1)))*$O$2/12)</f>
        <v>495.42683417101631</v>
      </c>
      <c r="AE130" s="275">
        <f>IF(INDEX(tblContractForDeed[End Bal],ROW()-ROW(tblBuyerOutputs[#Headers]))&lt;=0,0,IF(ROW()=ROW(tblBuyerOutputs[#Headers])+1,0,INDEX(tblBuyerOutputs[Cumul Appr],ROW()-ROW(tblBuyerOutputs[#Headers])-1))+tblBuyerOutputs[[#This Row],[Monthly Appr]])</f>
        <v>44139.867035214927</v>
      </c>
      <c r="AF130" s="22"/>
      <c r="AG130" s="14"/>
      <c r="AL130"/>
      <c r="AM130" s="14"/>
      <c r="AO130" s="275"/>
      <c r="AQ130" s="14"/>
      <c r="AR130"/>
    </row>
    <row r="131" spans="1:44" x14ac:dyDescent="0.25">
      <c r="A131" s="590">
        <f t="shared" si="17"/>
        <v>49249</v>
      </c>
      <c r="B131" s="275">
        <f t="shared" si="18"/>
        <v>54585.989999999954</v>
      </c>
      <c r="C131" s="14">
        <f t="shared" si="14"/>
        <v>625.80999999999995</v>
      </c>
      <c r="D131" s="14">
        <f t="shared" si="19"/>
        <v>455.2299999999999</v>
      </c>
      <c r="E131" s="14">
        <f t="shared" si="15"/>
        <v>170.58</v>
      </c>
      <c r="F131" s="14">
        <f t="shared" si="27"/>
        <v>134.16999999999999</v>
      </c>
      <c r="G131" s="14">
        <f t="shared" si="27"/>
        <v>188.55</v>
      </c>
      <c r="H131" s="14">
        <f t="shared" si="28"/>
        <v>948.53</v>
      </c>
      <c r="I131" s="275">
        <f t="shared" si="22"/>
        <v>43401.079999999994</v>
      </c>
      <c r="J131" s="275">
        <f t="shared" si="23"/>
        <v>26993.479999999996</v>
      </c>
      <c r="K131" s="275">
        <f t="shared" si="20"/>
        <v>54130.759999999951</v>
      </c>
      <c r="L131" s="386">
        <f t="shared" si="26"/>
        <v>9</v>
      </c>
      <c r="M131" s="386">
        <f t="shared" si="21"/>
        <v>111</v>
      </c>
      <c r="N131" s="590">
        <f>INDEX(tblSubjectToLoan[Date],ROW()-ROW(tblContractForDeed[#Headers]))</f>
        <v>49249</v>
      </c>
      <c r="O131" s="275">
        <f>IF(ROW()=ROW(tblContractForDeed[#Headers])+1,$O$6,IF(INDEX(tblContractForDeed[End Bal],ROW()-ROW(tblContractForDeed[#Headers])-1)&lt;0,0,INDEX(tblContractForDeed[End Bal],ROW()-ROW(tblContractForDeed[#Headers])-1)))</f>
        <v>42417.440000000039</v>
      </c>
      <c r="P131" s="445">
        <f>IF(tblContractForDeed[[#This Row],[Date]]="","",IF(tblContractForDeed[[#This Row],[Date]]&lt;cfdRateChangeDate,cfdRate1,cfdRate2))</f>
        <v>6.7500000000000004E-2</v>
      </c>
      <c r="Q13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1" s="275">
        <f>IF(tblContractForDeed[[#This Row],[Payment]]=0,0,MAX(0,MIN(tblContractForDeed[[#This Row],[Beg]],tblContractForDeed[[#This Row],[Payment]]-tblContractForDeed[[#This Row],[Int]])))</f>
        <v>421.29999999999995</v>
      </c>
      <c r="S131" s="275">
        <f>IF(OR(tblContractForDeed[[#This Row],[Date]]&lt;cfdContractDate,tblContractForDeed[[#This Row],[Date]]&gt;cfdEndDate),0,ROUND(tblContractForDeed[[#This Row],[Beg]]*(tblContractForDeed[[#This Row],[Int Rate]]/12),2))</f>
        <v>238.6</v>
      </c>
      <c r="T131" s="275">
        <f>IF(tblContractForDeed[[#This Row],[Payment]]=0,0,$W$2)</f>
        <v>134.16999999999999</v>
      </c>
      <c r="U131" s="275">
        <f>IF(tblContractForDeed[[#This Row],[Princ]]=0,0,$W$3)</f>
        <v>188.55</v>
      </c>
      <c r="V131" s="275">
        <f>SUM(tblContractForDeed[[#This Row],[Princ]],tblContractForDeed[[#This Row],[Int]],tblContractForDeed[[#This Row],[Ins]],tblContractForDeed[[#This Row],[Taxes]])</f>
        <v>982.61999999999989</v>
      </c>
      <c r="W131" s="275">
        <f>SUM(INDEX(tblContractForDeed[Princ],1):INDEX(tblContractForDeed[Princ],ROW()-ROW(tblContractForDeed[#Headers])))</f>
        <v>33261.860000000015</v>
      </c>
      <c r="X131" s="275">
        <f>IF(tblContractForDeed[[#This Row],[Beg]]&lt;=0,0,tblContractForDeed[[#This Row],[Beg]]-tblContractForDeed[[#This Row],[Princ]])</f>
        <v>41996.140000000036</v>
      </c>
      <c r="Y13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1" s="454">
        <f>IF(INDEX(tblContractForDeed[Payment],ROW()-ROW(tblBuyerOutputs[#Headers]))=0,0,INDEX(tblContractForDeed[Payment],ROW()-ROW(tblBuyerOutputs[#Headers]))-INDEX(tblSubjectToLoan[Payment],ROW()-ROW(tblBuyerOutputs[#Headers])))</f>
        <v>34.090000000000032</v>
      </c>
      <c r="AA131"/>
      <c r="AB131" s="14">
        <f>IF(INDEX(tblContractForDeed[Payment],ROW()-ROW(tblBuyerOutputs[#Headers]))=0,0,INDEX(tblContractForDeed[Payment],ROW()-ROW(tblBuyerOutputs[#Headers]))-INDEX(tblSubjectToLoan[Payment],ROW()-ROW(tblBuyerOutputs[#Headers])))-IFERROR(tblBuyerOutputs[[#This Row],[PMI]],0)</f>
        <v>34.090000000000032</v>
      </c>
      <c r="AC1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2085.3300000000063</v>
      </c>
      <c r="AD131" s="275">
        <f>IF(INDEX(tblContractForDeed[End Bal],ROW()-ROW(tblBuyerOutputs[#Headers]))&lt;=0,0,($O$6+IF(ROW()=ROW(tblBuyerOutputs[#Headers])+1,0,INDEX(tblBuyerOutputs[Cumul Appr],ROW()-ROW(tblBuyerOutputs[#Headers])-1)))*$O$2/12)</f>
        <v>497.49111264672894</v>
      </c>
      <c r="AE131" s="275">
        <f>IF(INDEX(tblContractForDeed[End Bal],ROW()-ROW(tblBuyerOutputs[#Headers]))&lt;=0,0,IF(ROW()=ROW(tblBuyerOutputs[#Headers])+1,0,INDEX(tblBuyerOutputs[Cumul Appr],ROW()-ROW(tblBuyerOutputs[#Headers])-1))+tblBuyerOutputs[[#This Row],[Monthly Appr]])</f>
        <v>44637.358147861654</v>
      </c>
      <c r="AF131" s="22"/>
      <c r="AG131" s="14"/>
      <c r="AL131"/>
      <c r="AM131" s="14"/>
      <c r="AO131" s="275"/>
      <c r="AQ131" s="14"/>
      <c r="AR131"/>
    </row>
    <row r="132" spans="1:44" x14ac:dyDescent="0.25">
      <c r="A132" s="590">
        <f t="shared" si="17"/>
        <v>49279</v>
      </c>
      <c r="B132" s="275">
        <f t="shared" si="18"/>
        <v>54130.759999999951</v>
      </c>
      <c r="C132" s="14">
        <f t="shared" si="14"/>
        <v>625.80999999999995</v>
      </c>
      <c r="D132" s="14">
        <f t="shared" si="19"/>
        <v>456.65</v>
      </c>
      <c r="E132" s="14">
        <f t="shared" si="15"/>
        <v>169.16</v>
      </c>
      <c r="F132" s="14">
        <f t="shared" si="27"/>
        <v>134.16999999999999</v>
      </c>
      <c r="G132" s="14">
        <f t="shared" si="27"/>
        <v>188.55</v>
      </c>
      <c r="H132" s="14">
        <f t="shared" si="28"/>
        <v>948.53</v>
      </c>
      <c r="I132" s="275">
        <f t="shared" si="22"/>
        <v>43857.729999999996</v>
      </c>
      <c r="J132" s="275">
        <f t="shared" si="23"/>
        <v>27162.639999999996</v>
      </c>
      <c r="K132" s="275">
        <f t="shared" si="20"/>
        <v>53674.10999999995</v>
      </c>
      <c r="L132" s="386">
        <f t="shared" si="26"/>
        <v>9</v>
      </c>
      <c r="M132" s="386">
        <f t="shared" si="21"/>
        <v>112</v>
      </c>
      <c r="N132" s="590">
        <f>INDEX(tblSubjectToLoan[Date],ROW()-ROW(tblContractForDeed[#Headers]))</f>
        <v>49279</v>
      </c>
      <c r="O132" s="275">
        <f>IF(ROW()=ROW(tblContractForDeed[#Headers])+1,$O$6,IF(INDEX(tblContractForDeed[End Bal],ROW()-ROW(tblContractForDeed[#Headers])-1)&lt;0,0,INDEX(tblContractForDeed[End Bal],ROW()-ROW(tblContractForDeed[#Headers])-1)))</f>
        <v>41996.140000000036</v>
      </c>
      <c r="P132" s="445">
        <f>IF(tblContractForDeed[[#This Row],[Date]]="","",IF(tblContractForDeed[[#This Row],[Date]]&lt;cfdRateChangeDate,cfdRate1,cfdRate2))</f>
        <v>6.7500000000000004E-2</v>
      </c>
      <c r="Q1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2" s="275">
        <f>IF(tblContractForDeed[[#This Row],[Payment]]=0,0,MAX(0,MIN(tblContractForDeed[[#This Row],[Beg]],tblContractForDeed[[#This Row],[Payment]]-tblContractForDeed[[#This Row],[Int]])))</f>
        <v>423.66999999999996</v>
      </c>
      <c r="S132" s="275">
        <f>IF(OR(tblContractForDeed[[#This Row],[Date]]&lt;cfdContractDate,tblContractForDeed[[#This Row],[Date]]&gt;cfdEndDate),0,ROUND(tblContractForDeed[[#This Row],[Beg]]*(tblContractForDeed[[#This Row],[Int Rate]]/12),2))</f>
        <v>236.23</v>
      </c>
      <c r="T132" s="275">
        <f>IF(tblContractForDeed[[#This Row],[Payment]]=0,0,$W$2)</f>
        <v>134.16999999999999</v>
      </c>
      <c r="U132" s="275">
        <f>IF(tblContractForDeed[[#This Row],[Princ]]=0,0,$W$3)</f>
        <v>188.55</v>
      </c>
      <c r="V132" s="275">
        <f>SUM(tblContractForDeed[[#This Row],[Princ]],tblContractForDeed[[#This Row],[Int]],tblContractForDeed[[#This Row],[Ins]],tblContractForDeed[[#This Row],[Taxes]])</f>
        <v>982.61999999999989</v>
      </c>
      <c r="W132" s="275">
        <f>SUM(INDEX(tblContractForDeed[Princ],1):INDEX(tblContractForDeed[Princ],ROW()-ROW(tblContractForDeed[#Headers])))</f>
        <v>33685.530000000013</v>
      </c>
      <c r="X132" s="275">
        <f>IF(tblContractForDeed[[#This Row],[Beg]]&lt;=0,0,tblContractForDeed[[#This Row],[Beg]]-tblContractForDeed[[#This Row],[Princ]])</f>
        <v>41572.470000000038</v>
      </c>
      <c r="Y13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2" s="454">
        <f>IF(INDEX(tblContractForDeed[Payment],ROW()-ROW(tblBuyerOutputs[#Headers]))=0,0,INDEX(tblContractForDeed[Payment],ROW()-ROW(tblBuyerOutputs[#Headers]))-INDEX(tblSubjectToLoan[Payment],ROW()-ROW(tblBuyerOutputs[#Headers])))</f>
        <v>34.090000000000032</v>
      </c>
      <c r="AA132"/>
      <c r="AB132" s="14">
        <f>IF(INDEX(tblContractForDeed[Payment],ROW()-ROW(tblBuyerOutputs[#Headers]))=0,0,INDEX(tblContractForDeed[Payment],ROW()-ROW(tblBuyerOutputs[#Headers]))-INDEX(tblSubjectToLoan[Payment],ROW()-ROW(tblBuyerOutputs[#Headers])))-IFERROR(tblBuyerOutputs[[#This Row],[PMI]],0)</f>
        <v>34.090000000000032</v>
      </c>
      <c r="AC1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2119.4200000000064</v>
      </c>
      <c r="AD132" s="275">
        <f>IF(INDEX(tblContractForDeed[End Bal],ROW()-ROW(tblBuyerOutputs[#Headers]))&lt;=0,0,($O$6+IF(ROW()=ROW(tblBuyerOutputs[#Headers])+1,0,INDEX(tblBuyerOutputs[Cumul Appr],ROW()-ROW(tblBuyerOutputs[#Headers])-1)))*$O$2/12)</f>
        <v>499.56399228275694</v>
      </c>
      <c r="AE132" s="275">
        <f>IF(INDEX(tblContractForDeed[End Bal],ROW()-ROW(tblBuyerOutputs[#Headers]))&lt;=0,0,IF(ROW()=ROW(tblBuyerOutputs[#Headers])+1,0,INDEX(tblBuyerOutputs[Cumul Appr],ROW()-ROW(tblBuyerOutputs[#Headers])-1))+tblBuyerOutputs[[#This Row],[Monthly Appr]])</f>
        <v>45136.922140144408</v>
      </c>
      <c r="AF132" s="22"/>
      <c r="AG132" s="14"/>
      <c r="AL132"/>
      <c r="AM132" s="14"/>
      <c r="AO132" s="275"/>
      <c r="AQ132" s="14"/>
      <c r="AR132"/>
    </row>
    <row r="133" spans="1:44" x14ac:dyDescent="0.25">
      <c r="A133" s="590">
        <f t="shared" si="17"/>
        <v>49310</v>
      </c>
      <c r="B133" s="275">
        <f t="shared" si="18"/>
        <v>53674.10999999995</v>
      </c>
      <c r="C133" s="14">
        <f t="shared" si="14"/>
        <v>625.80999999999995</v>
      </c>
      <c r="D133" s="14">
        <f t="shared" si="19"/>
        <v>458.07999999999993</v>
      </c>
      <c r="E133" s="14">
        <f t="shared" si="15"/>
        <v>167.73</v>
      </c>
      <c r="F133" s="14">
        <f t="shared" si="27"/>
        <v>134.16999999999999</v>
      </c>
      <c r="G133" s="14">
        <f t="shared" si="27"/>
        <v>188.55</v>
      </c>
      <c r="H133" s="14">
        <f t="shared" si="28"/>
        <v>948.53</v>
      </c>
      <c r="I133" s="275">
        <f t="shared" si="22"/>
        <v>44315.81</v>
      </c>
      <c r="J133" s="275">
        <f t="shared" si="23"/>
        <v>27330.369999999995</v>
      </c>
      <c r="K133" s="275">
        <f t="shared" si="20"/>
        <v>53216.029999999948</v>
      </c>
      <c r="L133" s="386">
        <f t="shared" si="26"/>
        <v>9</v>
      </c>
      <c r="M133" s="386">
        <f t="shared" si="21"/>
        <v>113</v>
      </c>
      <c r="N133" s="590">
        <f>INDEX(tblSubjectToLoan[Date],ROW()-ROW(tblContractForDeed[#Headers]))</f>
        <v>49310</v>
      </c>
      <c r="O133" s="275">
        <f>IF(ROW()=ROW(tblContractForDeed[#Headers])+1,$O$6,IF(INDEX(tblContractForDeed[End Bal],ROW()-ROW(tblContractForDeed[#Headers])-1)&lt;0,0,INDEX(tblContractForDeed[End Bal],ROW()-ROW(tblContractForDeed[#Headers])-1)))</f>
        <v>41572.470000000038</v>
      </c>
      <c r="P133" s="445">
        <f>IF(tblContractForDeed[[#This Row],[Date]]="","",IF(tblContractForDeed[[#This Row],[Date]]&lt;cfdRateChangeDate,cfdRate1,cfdRate2))</f>
        <v>6.7500000000000004E-2</v>
      </c>
      <c r="Q1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3" s="275">
        <f>IF(tblContractForDeed[[#This Row],[Payment]]=0,0,MAX(0,MIN(tblContractForDeed[[#This Row],[Beg]],tblContractForDeed[[#This Row],[Payment]]-tblContractForDeed[[#This Row],[Int]])))</f>
        <v>426.04999999999995</v>
      </c>
      <c r="S133" s="275">
        <f>IF(OR(tblContractForDeed[[#This Row],[Date]]&lt;cfdContractDate,tblContractForDeed[[#This Row],[Date]]&gt;cfdEndDate),0,ROUND(tblContractForDeed[[#This Row],[Beg]]*(tblContractForDeed[[#This Row],[Int Rate]]/12),2))</f>
        <v>233.85</v>
      </c>
      <c r="T133" s="275">
        <f>IF(tblContractForDeed[[#This Row],[Payment]]=0,0,$W$2)</f>
        <v>134.16999999999999</v>
      </c>
      <c r="U133" s="275">
        <f>IF(tblContractForDeed[[#This Row],[Princ]]=0,0,$W$3)</f>
        <v>188.55</v>
      </c>
      <c r="V133" s="275">
        <f>SUM(tblContractForDeed[[#This Row],[Princ]],tblContractForDeed[[#This Row],[Int]],tblContractForDeed[[#This Row],[Ins]],tblContractForDeed[[#This Row],[Taxes]])</f>
        <v>982.61999999999989</v>
      </c>
      <c r="W133" s="275">
        <f>SUM(INDEX(tblContractForDeed[Princ],1):INDEX(tblContractForDeed[Princ],ROW()-ROW(tblContractForDeed[#Headers])))</f>
        <v>34111.580000000016</v>
      </c>
      <c r="X133" s="275">
        <f>IF(tblContractForDeed[[#This Row],[Beg]]&lt;=0,0,tblContractForDeed[[#This Row],[Beg]]-tblContractForDeed[[#This Row],[Princ]])</f>
        <v>41146.420000000035</v>
      </c>
      <c r="Y13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3" s="454">
        <f>IF(INDEX(tblContractForDeed[Payment],ROW()-ROW(tblBuyerOutputs[#Headers]))=0,0,INDEX(tblContractForDeed[Payment],ROW()-ROW(tblBuyerOutputs[#Headers]))-INDEX(tblSubjectToLoan[Payment],ROW()-ROW(tblBuyerOutputs[#Headers])))</f>
        <v>34.090000000000032</v>
      </c>
      <c r="AA133"/>
      <c r="AB133" s="14">
        <f>IF(INDEX(tblContractForDeed[Payment],ROW()-ROW(tblBuyerOutputs[#Headers]))=0,0,INDEX(tblContractForDeed[Payment],ROW()-ROW(tblBuyerOutputs[#Headers]))-INDEX(tblSubjectToLoan[Payment],ROW()-ROW(tblBuyerOutputs[#Headers])))-IFERROR(tblBuyerOutputs[[#This Row],[PMI]],0)</f>
        <v>34.090000000000032</v>
      </c>
      <c r="AC1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2153.5100000000066</v>
      </c>
      <c r="AD133" s="275">
        <f>IF(INDEX(tblContractForDeed[End Bal],ROW()-ROW(tblBuyerOutputs[#Headers]))&lt;=0,0,($O$6+IF(ROW()=ROW(tblBuyerOutputs[#Headers])+1,0,INDEX(tblBuyerOutputs[Cumul Appr],ROW()-ROW(tblBuyerOutputs[#Headers])-1)))*$O$2/12)</f>
        <v>501.64550891726839</v>
      </c>
      <c r="AE133" s="275">
        <f>IF(INDEX(tblContractForDeed[End Bal],ROW()-ROW(tblBuyerOutputs[#Headers]))&lt;=0,0,IF(ROW()=ROW(tblBuyerOutputs[#Headers])+1,0,INDEX(tblBuyerOutputs[Cumul Appr],ROW()-ROW(tblBuyerOutputs[#Headers])-1))+tblBuyerOutputs[[#This Row],[Monthly Appr]])</f>
        <v>45638.567649061675</v>
      </c>
      <c r="AF133" s="22"/>
      <c r="AG133" s="14"/>
      <c r="AL133"/>
      <c r="AM133" s="14"/>
      <c r="AO133" s="275"/>
      <c r="AQ133" s="14"/>
      <c r="AR133"/>
    </row>
    <row r="134" spans="1:44" x14ac:dyDescent="0.25">
      <c r="A134" s="590">
        <f t="shared" si="17"/>
        <v>49341</v>
      </c>
      <c r="B134" s="275">
        <f t="shared" si="18"/>
        <v>53216.029999999948</v>
      </c>
      <c r="C134" s="14">
        <f t="shared" si="14"/>
        <v>625.80999999999995</v>
      </c>
      <c r="D134" s="14">
        <f t="shared" si="19"/>
        <v>459.50999999999993</v>
      </c>
      <c r="E134" s="14">
        <f t="shared" si="15"/>
        <v>166.3</v>
      </c>
      <c r="F134" s="14">
        <f t="shared" si="27"/>
        <v>134.16999999999999</v>
      </c>
      <c r="G134" s="14">
        <f t="shared" si="27"/>
        <v>188.55</v>
      </c>
      <c r="H134" s="14">
        <f t="shared" si="28"/>
        <v>948.53</v>
      </c>
      <c r="I134" s="275">
        <f t="shared" si="22"/>
        <v>44775.32</v>
      </c>
      <c r="J134" s="275">
        <f t="shared" si="23"/>
        <v>27496.669999999995</v>
      </c>
      <c r="K134" s="275">
        <f t="shared" si="20"/>
        <v>52756.519999999946</v>
      </c>
      <c r="L134" s="386">
        <f t="shared" si="26"/>
        <v>9</v>
      </c>
      <c r="M134" s="386">
        <f t="shared" si="21"/>
        <v>114</v>
      </c>
      <c r="N134" s="590">
        <f>INDEX(tblSubjectToLoan[Date],ROW()-ROW(tblContractForDeed[#Headers]))</f>
        <v>49341</v>
      </c>
      <c r="O134" s="275">
        <f>IF(ROW()=ROW(tblContractForDeed[#Headers])+1,$O$6,IF(INDEX(tblContractForDeed[End Bal],ROW()-ROW(tblContractForDeed[#Headers])-1)&lt;0,0,INDEX(tblContractForDeed[End Bal],ROW()-ROW(tblContractForDeed[#Headers])-1)))</f>
        <v>41146.420000000035</v>
      </c>
      <c r="P134" s="445">
        <f>IF(tblContractForDeed[[#This Row],[Date]]="","",IF(tblContractForDeed[[#This Row],[Date]]&lt;cfdRateChangeDate,cfdRate1,cfdRate2))</f>
        <v>6.7500000000000004E-2</v>
      </c>
      <c r="Q1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4" s="275">
        <f>IF(tblContractForDeed[[#This Row],[Payment]]=0,0,MAX(0,MIN(tblContractForDeed[[#This Row],[Beg]],tblContractForDeed[[#This Row],[Payment]]-tblContractForDeed[[#This Row],[Int]])))</f>
        <v>428.45</v>
      </c>
      <c r="S134" s="275">
        <f>IF(OR(tblContractForDeed[[#This Row],[Date]]&lt;cfdContractDate,tblContractForDeed[[#This Row],[Date]]&gt;cfdEndDate),0,ROUND(tblContractForDeed[[#This Row],[Beg]]*(tblContractForDeed[[#This Row],[Int Rate]]/12),2))</f>
        <v>231.45</v>
      </c>
      <c r="T134" s="275">
        <f>IF(tblContractForDeed[[#This Row],[Payment]]=0,0,$W$2)</f>
        <v>134.16999999999999</v>
      </c>
      <c r="U134" s="275">
        <f>IF(tblContractForDeed[[#This Row],[Princ]]=0,0,$W$3)</f>
        <v>188.55</v>
      </c>
      <c r="V134" s="275">
        <f>SUM(tblContractForDeed[[#This Row],[Princ]],tblContractForDeed[[#This Row],[Int]],tblContractForDeed[[#This Row],[Ins]],tblContractForDeed[[#This Row],[Taxes]])</f>
        <v>982.61999999999989</v>
      </c>
      <c r="W134" s="275">
        <f>SUM(INDEX(tblContractForDeed[Princ],1):INDEX(tblContractForDeed[Princ],ROW()-ROW(tblContractForDeed[#Headers])))</f>
        <v>34540.030000000013</v>
      </c>
      <c r="X134" s="275">
        <f>IF(tblContractForDeed[[#This Row],[Beg]]&lt;=0,0,tblContractForDeed[[#This Row],[Beg]]-tblContractForDeed[[#This Row],[Princ]])</f>
        <v>40717.970000000038</v>
      </c>
      <c r="Y13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4" s="454">
        <f>IF(INDEX(tblContractForDeed[Payment],ROW()-ROW(tblBuyerOutputs[#Headers]))=0,0,INDEX(tblContractForDeed[Payment],ROW()-ROW(tblBuyerOutputs[#Headers]))-INDEX(tblSubjectToLoan[Payment],ROW()-ROW(tblBuyerOutputs[#Headers])))</f>
        <v>34.090000000000032</v>
      </c>
      <c r="AA134"/>
      <c r="AB134" s="14">
        <f>IF(INDEX(tblContractForDeed[Payment],ROW()-ROW(tblBuyerOutputs[#Headers]))=0,0,INDEX(tblContractForDeed[Payment],ROW()-ROW(tblBuyerOutputs[#Headers]))-INDEX(tblSubjectToLoan[Payment],ROW()-ROW(tblBuyerOutputs[#Headers])))-IFERROR(tblBuyerOutputs[[#This Row],[PMI]],0)</f>
        <v>34.090000000000032</v>
      </c>
      <c r="AC1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2187.6000000000067</v>
      </c>
      <c r="AD134" s="275">
        <f>IF(INDEX(tblContractForDeed[End Bal],ROW()-ROW(tblBuyerOutputs[#Headers]))&lt;=0,0,($O$6+IF(ROW()=ROW(tblBuyerOutputs[#Headers])+1,0,INDEX(tblBuyerOutputs[Cumul Appr],ROW()-ROW(tblBuyerOutputs[#Headers])-1)))*$O$2/12)</f>
        <v>503.73569853775706</v>
      </c>
      <c r="AE134" s="275">
        <f>IF(INDEX(tblContractForDeed[End Bal],ROW()-ROW(tblBuyerOutputs[#Headers]))&lt;=0,0,IF(ROW()=ROW(tblBuyerOutputs[#Headers])+1,0,INDEX(tblBuyerOutputs[Cumul Appr],ROW()-ROW(tblBuyerOutputs[#Headers])-1))+tblBuyerOutputs[[#This Row],[Monthly Appr]])</f>
        <v>46142.303347599431</v>
      </c>
      <c r="AF134" s="22"/>
      <c r="AG134" s="14"/>
      <c r="AL134"/>
      <c r="AM134" s="14"/>
      <c r="AO134" s="275"/>
      <c r="AQ134" s="14"/>
      <c r="AR134"/>
    </row>
    <row r="135" spans="1:44" x14ac:dyDescent="0.25">
      <c r="A135" s="590">
        <f t="shared" si="17"/>
        <v>49369</v>
      </c>
      <c r="B135" s="275">
        <f t="shared" si="18"/>
        <v>52756.519999999946</v>
      </c>
      <c r="C135" s="14">
        <f t="shared" si="14"/>
        <v>625.80999999999995</v>
      </c>
      <c r="D135" s="14">
        <f t="shared" si="19"/>
        <v>460.94999999999993</v>
      </c>
      <c r="E135" s="14">
        <f t="shared" si="15"/>
        <v>164.86</v>
      </c>
      <c r="F135" s="14">
        <f t="shared" si="27"/>
        <v>134.16999999999999</v>
      </c>
      <c r="G135" s="14">
        <f t="shared" si="27"/>
        <v>188.55</v>
      </c>
      <c r="H135" s="14">
        <f t="shared" si="28"/>
        <v>948.53</v>
      </c>
      <c r="I135" s="275">
        <f t="shared" si="22"/>
        <v>45236.27</v>
      </c>
      <c r="J135" s="275">
        <f t="shared" si="23"/>
        <v>27661.529999999995</v>
      </c>
      <c r="K135" s="275">
        <f t="shared" si="20"/>
        <v>52295.569999999949</v>
      </c>
      <c r="L135" s="386">
        <f t="shared" si="26"/>
        <v>9</v>
      </c>
      <c r="M135" s="386">
        <f t="shared" si="21"/>
        <v>115</v>
      </c>
      <c r="N135" s="590">
        <f>INDEX(tblSubjectToLoan[Date],ROW()-ROW(tblContractForDeed[#Headers]))</f>
        <v>49369</v>
      </c>
      <c r="O135" s="275">
        <f>IF(ROW()=ROW(tblContractForDeed[#Headers])+1,$O$6,IF(INDEX(tblContractForDeed[End Bal],ROW()-ROW(tblContractForDeed[#Headers])-1)&lt;0,0,INDEX(tblContractForDeed[End Bal],ROW()-ROW(tblContractForDeed[#Headers])-1)))</f>
        <v>40717.970000000038</v>
      </c>
      <c r="P135" s="445">
        <f>IF(tblContractForDeed[[#This Row],[Date]]="","",IF(tblContractForDeed[[#This Row],[Date]]&lt;cfdRateChangeDate,cfdRate1,cfdRate2))</f>
        <v>6.7500000000000004E-2</v>
      </c>
      <c r="Q13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5" s="275">
        <f>IF(tblContractForDeed[[#This Row],[Payment]]=0,0,MAX(0,MIN(tblContractForDeed[[#This Row],[Beg]],tblContractForDeed[[#This Row],[Payment]]-tblContractForDeed[[#This Row],[Int]])))</f>
        <v>430.86</v>
      </c>
      <c r="S135" s="275">
        <f>IF(OR(tblContractForDeed[[#This Row],[Date]]&lt;cfdContractDate,tblContractForDeed[[#This Row],[Date]]&gt;cfdEndDate),0,ROUND(tblContractForDeed[[#This Row],[Beg]]*(tblContractForDeed[[#This Row],[Int Rate]]/12),2))</f>
        <v>229.04</v>
      </c>
      <c r="T135" s="275">
        <f>IF(tblContractForDeed[[#This Row],[Payment]]=0,0,$W$2)</f>
        <v>134.16999999999999</v>
      </c>
      <c r="U135" s="275">
        <f>IF(tblContractForDeed[[#This Row],[Princ]]=0,0,$W$3)</f>
        <v>188.55</v>
      </c>
      <c r="V135" s="275">
        <f>SUM(tblContractForDeed[[#This Row],[Princ]],tblContractForDeed[[#This Row],[Int]],tblContractForDeed[[#This Row],[Ins]],tblContractForDeed[[#This Row],[Taxes]])</f>
        <v>982.61999999999989</v>
      </c>
      <c r="W135" s="275">
        <f>SUM(INDEX(tblContractForDeed[Princ],1):INDEX(tblContractForDeed[Princ],ROW()-ROW(tblContractForDeed[#Headers])))</f>
        <v>34970.890000000014</v>
      </c>
      <c r="X135" s="275">
        <f>IF(tblContractForDeed[[#This Row],[Beg]]&lt;=0,0,tblContractForDeed[[#This Row],[Beg]]-tblContractForDeed[[#This Row],[Princ]])</f>
        <v>40287.110000000037</v>
      </c>
      <c r="Y13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5" s="454">
        <f>IF(INDEX(tblContractForDeed[Payment],ROW()-ROW(tblBuyerOutputs[#Headers]))=0,0,INDEX(tblContractForDeed[Payment],ROW()-ROW(tblBuyerOutputs[#Headers]))-INDEX(tblSubjectToLoan[Payment],ROW()-ROW(tblBuyerOutputs[#Headers])))</f>
        <v>34.090000000000032</v>
      </c>
      <c r="AA135"/>
      <c r="AB135" s="14">
        <f>IF(INDEX(tblContractForDeed[Payment],ROW()-ROW(tblBuyerOutputs[#Headers]))=0,0,INDEX(tblContractForDeed[Payment],ROW()-ROW(tblBuyerOutputs[#Headers]))-INDEX(tblSubjectToLoan[Payment],ROW()-ROW(tblBuyerOutputs[#Headers])))-IFERROR(tblBuyerOutputs[[#This Row],[PMI]],0)</f>
        <v>34.090000000000032</v>
      </c>
      <c r="AC1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2221.6900000000069</v>
      </c>
      <c r="AD135" s="275">
        <f>IF(INDEX(tblContractForDeed[End Bal],ROW()-ROW(tblBuyerOutputs[#Headers]))&lt;=0,0,($O$6+IF(ROW()=ROW(tblBuyerOutputs[#Headers])+1,0,INDEX(tblBuyerOutputs[Cumul Appr],ROW()-ROW(tblBuyerOutputs[#Headers])-1)))*$O$2/12)</f>
        <v>505.83459728166434</v>
      </c>
      <c r="AE135" s="275">
        <f>IF(INDEX(tblContractForDeed[End Bal],ROW()-ROW(tblBuyerOutputs[#Headers]))&lt;=0,0,IF(ROW()=ROW(tblBuyerOutputs[#Headers])+1,0,INDEX(tblBuyerOutputs[Cumul Appr],ROW()-ROW(tblBuyerOutputs[#Headers])-1))+tblBuyerOutputs[[#This Row],[Monthly Appr]])</f>
        <v>46648.137944881099</v>
      </c>
      <c r="AF135" s="22"/>
      <c r="AG135" s="14"/>
      <c r="AL135"/>
      <c r="AM135" s="14"/>
      <c r="AO135" s="275"/>
      <c r="AQ135" s="14"/>
      <c r="AR135"/>
    </row>
    <row r="136" spans="1:44" x14ac:dyDescent="0.25">
      <c r="A136" s="590">
        <f t="shared" si="17"/>
        <v>49400</v>
      </c>
      <c r="B136" s="275">
        <f t="shared" si="18"/>
        <v>52295.569999999949</v>
      </c>
      <c r="C136" s="14">
        <f t="shared" si="14"/>
        <v>625.80999999999995</v>
      </c>
      <c r="D136" s="14">
        <f t="shared" si="19"/>
        <v>462.39</v>
      </c>
      <c r="E136" s="14">
        <f t="shared" si="15"/>
        <v>163.41999999999999</v>
      </c>
      <c r="F136" s="14">
        <f t="shared" si="27"/>
        <v>134.16999999999999</v>
      </c>
      <c r="G136" s="14">
        <f t="shared" si="27"/>
        <v>188.55</v>
      </c>
      <c r="H136" s="14">
        <f t="shared" si="28"/>
        <v>948.53</v>
      </c>
      <c r="I136" s="275">
        <f t="shared" si="22"/>
        <v>45698.659999999996</v>
      </c>
      <c r="J136" s="275">
        <f t="shared" si="23"/>
        <v>27824.949999999993</v>
      </c>
      <c r="K136" s="275">
        <f t="shared" si="20"/>
        <v>51833.179999999949</v>
      </c>
      <c r="L136" s="386">
        <f t="shared" si="26"/>
        <v>9</v>
      </c>
      <c r="M136" s="386">
        <f t="shared" si="21"/>
        <v>116</v>
      </c>
      <c r="N136" s="590">
        <f>INDEX(tblSubjectToLoan[Date],ROW()-ROW(tblContractForDeed[#Headers]))</f>
        <v>49400</v>
      </c>
      <c r="O136" s="275">
        <f>IF(ROW()=ROW(tblContractForDeed[#Headers])+1,$O$6,IF(INDEX(tblContractForDeed[End Bal],ROW()-ROW(tblContractForDeed[#Headers])-1)&lt;0,0,INDEX(tblContractForDeed[End Bal],ROW()-ROW(tblContractForDeed[#Headers])-1)))</f>
        <v>40287.110000000037</v>
      </c>
      <c r="P136" s="445">
        <f>IF(tblContractForDeed[[#This Row],[Date]]="","",IF(tblContractForDeed[[#This Row],[Date]]&lt;cfdRateChangeDate,cfdRate1,cfdRate2))</f>
        <v>6.7500000000000004E-2</v>
      </c>
      <c r="Q1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6" s="275">
        <f>IF(tblContractForDeed[[#This Row],[Payment]]=0,0,MAX(0,MIN(tblContractForDeed[[#This Row],[Beg]],tblContractForDeed[[#This Row],[Payment]]-tblContractForDeed[[#This Row],[Int]])))</f>
        <v>433.28999999999996</v>
      </c>
      <c r="S136" s="275">
        <f>IF(OR(tblContractForDeed[[#This Row],[Date]]&lt;cfdContractDate,tblContractForDeed[[#This Row],[Date]]&gt;cfdEndDate),0,ROUND(tblContractForDeed[[#This Row],[Beg]]*(tblContractForDeed[[#This Row],[Int Rate]]/12),2))</f>
        <v>226.61</v>
      </c>
      <c r="T136" s="275">
        <f>IF(tblContractForDeed[[#This Row],[Payment]]=0,0,$W$2)</f>
        <v>134.16999999999999</v>
      </c>
      <c r="U136" s="275">
        <f>IF(tblContractForDeed[[#This Row],[Princ]]=0,0,$W$3)</f>
        <v>188.55</v>
      </c>
      <c r="V136" s="275">
        <f>SUM(tblContractForDeed[[#This Row],[Princ]],tblContractForDeed[[#This Row],[Int]],tblContractForDeed[[#This Row],[Ins]],tblContractForDeed[[#This Row],[Taxes]])</f>
        <v>982.61999999999989</v>
      </c>
      <c r="W136" s="275">
        <f>SUM(INDEX(tblContractForDeed[Princ],1):INDEX(tblContractForDeed[Princ],ROW()-ROW(tblContractForDeed[#Headers])))</f>
        <v>35404.180000000015</v>
      </c>
      <c r="X136" s="275">
        <f>IF(tblContractForDeed[[#This Row],[Beg]]&lt;=0,0,tblContractForDeed[[#This Row],[Beg]]-tblContractForDeed[[#This Row],[Princ]])</f>
        <v>39853.820000000036</v>
      </c>
      <c r="Y13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6" s="454">
        <f>IF(INDEX(tblContractForDeed[Payment],ROW()-ROW(tblBuyerOutputs[#Headers]))=0,0,INDEX(tblContractForDeed[Payment],ROW()-ROW(tblBuyerOutputs[#Headers]))-INDEX(tblSubjectToLoan[Payment],ROW()-ROW(tblBuyerOutputs[#Headers])))</f>
        <v>34.090000000000032</v>
      </c>
      <c r="AA136"/>
      <c r="AB136" s="14">
        <f>IF(INDEX(tblContractForDeed[Payment],ROW()-ROW(tblBuyerOutputs[#Headers]))=0,0,INDEX(tblContractForDeed[Payment],ROW()-ROW(tblBuyerOutputs[#Headers]))-INDEX(tblSubjectToLoan[Payment],ROW()-ROW(tblBuyerOutputs[#Headers])))-IFERROR(tblBuyerOutputs[[#This Row],[PMI]],0)</f>
        <v>34.090000000000032</v>
      </c>
      <c r="AC1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2255.780000000007</v>
      </c>
      <c r="AD136" s="275">
        <f>IF(INDEX(tblContractForDeed[End Bal],ROW()-ROW(tblBuyerOutputs[#Headers]))&lt;=0,0,($O$6+IF(ROW()=ROW(tblBuyerOutputs[#Headers])+1,0,INDEX(tblBuyerOutputs[Cumul Appr],ROW()-ROW(tblBuyerOutputs[#Headers])-1)))*$O$2/12)</f>
        <v>507.94224143700467</v>
      </c>
      <c r="AE136" s="275">
        <f>IF(INDEX(tblContractForDeed[End Bal],ROW()-ROW(tblBuyerOutputs[#Headers]))&lt;=0,0,IF(ROW()=ROW(tblBuyerOutputs[#Headers])+1,0,INDEX(tblBuyerOutputs[Cumul Appr],ROW()-ROW(tblBuyerOutputs[#Headers])-1))+tblBuyerOutputs[[#This Row],[Monthly Appr]])</f>
        <v>47156.080186318104</v>
      </c>
      <c r="AF136" s="22"/>
      <c r="AG136" s="14"/>
      <c r="AL136"/>
      <c r="AM136" s="14"/>
      <c r="AO136" s="275"/>
      <c r="AQ136" s="14"/>
      <c r="AR136"/>
    </row>
    <row r="137" spans="1:44" x14ac:dyDescent="0.25">
      <c r="A137" s="590">
        <f t="shared" si="17"/>
        <v>49430</v>
      </c>
      <c r="B137" s="275">
        <f t="shared" si="18"/>
        <v>51833.179999999949</v>
      </c>
      <c r="C137" s="14">
        <f t="shared" si="14"/>
        <v>625.80999999999995</v>
      </c>
      <c r="D137" s="14">
        <f t="shared" si="19"/>
        <v>463.82999999999993</v>
      </c>
      <c r="E137" s="14">
        <f t="shared" si="15"/>
        <v>161.97999999999999</v>
      </c>
      <c r="F137" s="14">
        <f t="shared" si="27"/>
        <v>134.16999999999999</v>
      </c>
      <c r="G137" s="14">
        <f t="shared" si="27"/>
        <v>188.55</v>
      </c>
      <c r="H137" s="14">
        <f t="shared" si="28"/>
        <v>948.53</v>
      </c>
      <c r="I137" s="275">
        <f t="shared" si="22"/>
        <v>46162.49</v>
      </c>
      <c r="J137" s="275">
        <f t="shared" si="23"/>
        <v>27986.929999999993</v>
      </c>
      <c r="K137" s="275">
        <f t="shared" si="20"/>
        <v>51369.349999999948</v>
      </c>
      <c r="L137" s="386">
        <f t="shared" si="26"/>
        <v>9</v>
      </c>
      <c r="M137" s="386">
        <f t="shared" si="21"/>
        <v>117</v>
      </c>
      <c r="N137" s="590">
        <f>INDEX(tblSubjectToLoan[Date],ROW()-ROW(tblContractForDeed[#Headers]))</f>
        <v>49430</v>
      </c>
      <c r="O137" s="275">
        <f>IF(ROW()=ROW(tblContractForDeed[#Headers])+1,$O$6,IF(INDEX(tblContractForDeed[End Bal],ROW()-ROW(tblContractForDeed[#Headers])-1)&lt;0,0,INDEX(tblContractForDeed[End Bal],ROW()-ROW(tblContractForDeed[#Headers])-1)))</f>
        <v>39853.820000000036</v>
      </c>
      <c r="P137" s="445">
        <f>IF(tblContractForDeed[[#This Row],[Date]]="","",IF(tblContractForDeed[[#This Row],[Date]]&lt;cfdRateChangeDate,cfdRate1,cfdRate2))</f>
        <v>6.7500000000000004E-2</v>
      </c>
      <c r="Q1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7" s="275">
        <f>IF(tblContractForDeed[[#This Row],[Payment]]=0,0,MAX(0,MIN(tblContractForDeed[[#This Row],[Beg]],tblContractForDeed[[#This Row],[Payment]]-tblContractForDeed[[#This Row],[Int]])))</f>
        <v>435.71999999999997</v>
      </c>
      <c r="S137" s="275">
        <f>IF(OR(tblContractForDeed[[#This Row],[Date]]&lt;cfdContractDate,tblContractForDeed[[#This Row],[Date]]&gt;cfdEndDate),0,ROUND(tblContractForDeed[[#This Row],[Beg]]*(tblContractForDeed[[#This Row],[Int Rate]]/12),2))</f>
        <v>224.18</v>
      </c>
      <c r="T137" s="275">
        <f>IF(tblContractForDeed[[#This Row],[Payment]]=0,0,$W$2)</f>
        <v>134.16999999999999</v>
      </c>
      <c r="U137" s="275">
        <f>IF(tblContractForDeed[[#This Row],[Princ]]=0,0,$W$3)</f>
        <v>188.55</v>
      </c>
      <c r="V137" s="275">
        <f>SUM(tblContractForDeed[[#This Row],[Princ]],tblContractForDeed[[#This Row],[Int]],tblContractForDeed[[#This Row],[Ins]],tblContractForDeed[[#This Row],[Taxes]])</f>
        <v>982.61999999999989</v>
      </c>
      <c r="W137" s="275">
        <f>SUM(INDEX(tblContractForDeed[Princ],1):INDEX(tblContractForDeed[Princ],ROW()-ROW(tblContractForDeed[#Headers])))</f>
        <v>35839.900000000016</v>
      </c>
      <c r="X137" s="275">
        <f>IF(tblContractForDeed[[#This Row],[Beg]]&lt;=0,0,tblContractForDeed[[#This Row],[Beg]]-tblContractForDeed[[#This Row],[Princ]])</f>
        <v>39418.100000000035</v>
      </c>
      <c r="Y13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7" s="454">
        <f>IF(INDEX(tblContractForDeed[Payment],ROW()-ROW(tblBuyerOutputs[#Headers]))=0,0,INDEX(tblContractForDeed[Payment],ROW()-ROW(tblBuyerOutputs[#Headers]))-INDEX(tblSubjectToLoan[Payment],ROW()-ROW(tblBuyerOutputs[#Headers])))</f>
        <v>34.090000000000032</v>
      </c>
      <c r="AA137"/>
      <c r="AB137" s="14">
        <f>IF(INDEX(tblContractForDeed[Payment],ROW()-ROW(tblBuyerOutputs[#Headers]))=0,0,INDEX(tblContractForDeed[Payment],ROW()-ROW(tblBuyerOutputs[#Headers]))-INDEX(tblSubjectToLoan[Payment],ROW()-ROW(tblBuyerOutputs[#Headers])))-IFERROR(tblBuyerOutputs[[#This Row],[PMI]],0)</f>
        <v>34.090000000000032</v>
      </c>
      <c r="AC1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2289.8700000000072</v>
      </c>
      <c r="AD137" s="275">
        <f>IF(INDEX(tblContractForDeed[End Bal],ROW()-ROW(tblBuyerOutputs[#Headers]))&lt;=0,0,($O$6+IF(ROW()=ROW(tblBuyerOutputs[#Headers])+1,0,INDEX(tblBuyerOutputs[Cumul Appr],ROW()-ROW(tblBuyerOutputs[#Headers])-1)))*$O$2/12)</f>
        <v>510.05866744299215</v>
      </c>
      <c r="AE137" s="275">
        <f>IF(INDEX(tblContractForDeed[End Bal],ROW()-ROW(tblBuyerOutputs[#Headers]))&lt;=0,0,IF(ROW()=ROW(tblBuyerOutputs[#Headers])+1,0,INDEX(tblBuyerOutputs[Cumul Appr],ROW()-ROW(tblBuyerOutputs[#Headers])-1))+tblBuyerOutputs[[#This Row],[Monthly Appr]])</f>
        <v>47666.138853761098</v>
      </c>
      <c r="AF137" s="22"/>
      <c r="AG137" s="14"/>
      <c r="AL137"/>
      <c r="AM137" s="14"/>
      <c r="AO137" s="275"/>
      <c r="AQ137" s="14"/>
      <c r="AR137"/>
    </row>
    <row r="138" spans="1:44" x14ac:dyDescent="0.25">
      <c r="A138" s="590">
        <f t="shared" si="17"/>
        <v>49461</v>
      </c>
      <c r="B138" s="275">
        <f t="shared" si="18"/>
        <v>51369.349999999948</v>
      </c>
      <c r="C138" s="14">
        <f t="shared" si="14"/>
        <v>625.80999999999995</v>
      </c>
      <c r="D138" s="14">
        <f t="shared" si="19"/>
        <v>465.28</v>
      </c>
      <c r="E138" s="14">
        <f t="shared" si="15"/>
        <v>160.53</v>
      </c>
      <c r="F138" s="14">
        <f t="shared" si="27"/>
        <v>134.16999999999999</v>
      </c>
      <c r="G138" s="14">
        <f t="shared" si="27"/>
        <v>188.55</v>
      </c>
      <c r="H138" s="14">
        <f t="shared" si="28"/>
        <v>948.53</v>
      </c>
      <c r="I138" s="275">
        <f t="shared" si="22"/>
        <v>46627.77</v>
      </c>
      <c r="J138" s="275">
        <f t="shared" si="23"/>
        <v>28147.459999999992</v>
      </c>
      <c r="K138" s="275">
        <f t="shared" si="20"/>
        <v>50904.069999999949</v>
      </c>
      <c r="L138" s="386">
        <f t="shared" si="26"/>
        <v>9</v>
      </c>
      <c r="M138" s="386">
        <f t="shared" si="21"/>
        <v>118</v>
      </c>
      <c r="N138" s="590">
        <f>INDEX(tblSubjectToLoan[Date],ROW()-ROW(tblContractForDeed[#Headers]))</f>
        <v>49461</v>
      </c>
      <c r="O138" s="275">
        <f>IF(ROW()=ROW(tblContractForDeed[#Headers])+1,$O$6,IF(INDEX(tblContractForDeed[End Bal],ROW()-ROW(tblContractForDeed[#Headers])-1)&lt;0,0,INDEX(tblContractForDeed[End Bal],ROW()-ROW(tblContractForDeed[#Headers])-1)))</f>
        <v>39418.100000000035</v>
      </c>
      <c r="P138" s="445">
        <f>IF(tblContractForDeed[[#This Row],[Date]]="","",IF(tblContractForDeed[[#This Row],[Date]]&lt;cfdRateChangeDate,cfdRate1,cfdRate2))</f>
        <v>6.7500000000000004E-2</v>
      </c>
      <c r="Q1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8" s="275">
        <f>IF(tblContractForDeed[[#This Row],[Payment]]=0,0,MAX(0,MIN(tblContractForDeed[[#This Row],[Beg]],tblContractForDeed[[#This Row],[Payment]]-tblContractForDeed[[#This Row],[Int]])))</f>
        <v>438.16999999999996</v>
      </c>
      <c r="S138" s="275">
        <f>IF(OR(tblContractForDeed[[#This Row],[Date]]&lt;cfdContractDate,tblContractForDeed[[#This Row],[Date]]&gt;cfdEndDate),0,ROUND(tblContractForDeed[[#This Row],[Beg]]*(tblContractForDeed[[#This Row],[Int Rate]]/12),2))</f>
        <v>221.73</v>
      </c>
      <c r="T138" s="275">
        <f>IF(tblContractForDeed[[#This Row],[Payment]]=0,0,$W$2)</f>
        <v>134.16999999999999</v>
      </c>
      <c r="U138" s="275">
        <f>IF(tblContractForDeed[[#This Row],[Princ]]=0,0,$W$3)</f>
        <v>188.55</v>
      </c>
      <c r="V138" s="275">
        <f>SUM(tblContractForDeed[[#This Row],[Princ]],tblContractForDeed[[#This Row],[Int]],tblContractForDeed[[#This Row],[Ins]],tblContractForDeed[[#This Row],[Taxes]])</f>
        <v>982.61999999999989</v>
      </c>
      <c r="W138" s="275">
        <f>SUM(INDEX(tblContractForDeed[Princ],1):INDEX(tblContractForDeed[Princ],ROW()-ROW(tblContractForDeed[#Headers])))</f>
        <v>36278.070000000014</v>
      </c>
      <c r="X138" s="275">
        <f>IF(tblContractForDeed[[#This Row],[Beg]]&lt;=0,0,tblContractForDeed[[#This Row],[Beg]]-tblContractForDeed[[#This Row],[Princ]])</f>
        <v>38979.930000000037</v>
      </c>
      <c r="Y13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8" s="454">
        <f>IF(INDEX(tblContractForDeed[Payment],ROW()-ROW(tblBuyerOutputs[#Headers]))=0,0,INDEX(tblContractForDeed[Payment],ROW()-ROW(tblBuyerOutputs[#Headers]))-INDEX(tblSubjectToLoan[Payment],ROW()-ROW(tblBuyerOutputs[#Headers])))</f>
        <v>34.090000000000032</v>
      </c>
      <c r="AA138"/>
      <c r="AB138" s="14">
        <f>IF(INDEX(tblContractForDeed[Payment],ROW()-ROW(tblBuyerOutputs[#Headers]))=0,0,INDEX(tblContractForDeed[Payment],ROW()-ROW(tblBuyerOutputs[#Headers]))-INDEX(tblSubjectToLoan[Payment],ROW()-ROW(tblBuyerOutputs[#Headers])))-IFERROR(tblBuyerOutputs[[#This Row],[PMI]],0)</f>
        <v>34.090000000000032</v>
      </c>
      <c r="AC1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2323.9600000000073</v>
      </c>
      <c r="AD138" s="275">
        <f>IF(INDEX(tblContractForDeed[End Bal],ROW()-ROW(tblBuyerOutputs[#Headers]))&lt;=0,0,($O$6+IF(ROW()=ROW(tblBuyerOutputs[#Headers])+1,0,INDEX(tblBuyerOutputs[Cumul Appr],ROW()-ROW(tblBuyerOutputs[#Headers])-1)))*$O$2/12)</f>
        <v>512.18391189067131</v>
      </c>
      <c r="AE138" s="275">
        <f>IF(INDEX(tblContractForDeed[End Bal],ROW()-ROW(tblBuyerOutputs[#Headers]))&lt;=0,0,IF(ROW()=ROW(tblBuyerOutputs[#Headers])+1,0,INDEX(tblBuyerOutputs[Cumul Appr],ROW()-ROW(tblBuyerOutputs[#Headers])-1))+tblBuyerOutputs[[#This Row],[Monthly Appr]])</f>
        <v>48178.32276565177</v>
      </c>
      <c r="AF138" s="22"/>
      <c r="AG138" s="14"/>
      <c r="AL138"/>
      <c r="AM138" s="14"/>
      <c r="AO138" s="275"/>
      <c r="AQ138" s="14"/>
      <c r="AR138"/>
    </row>
    <row r="139" spans="1:44" ht="15.75" thickBot="1" x14ac:dyDescent="0.3">
      <c r="A139" s="591">
        <f t="shared" si="17"/>
        <v>49491</v>
      </c>
      <c r="B139" s="326">
        <f t="shared" si="18"/>
        <v>50904.069999999949</v>
      </c>
      <c r="C139" s="21">
        <f t="shared" si="14"/>
        <v>625.80999999999995</v>
      </c>
      <c r="D139" s="21">
        <f t="shared" si="19"/>
        <v>466.7299999999999</v>
      </c>
      <c r="E139" s="21">
        <f t="shared" si="15"/>
        <v>159.08000000000001</v>
      </c>
      <c r="F139" s="21">
        <f t="shared" si="27"/>
        <v>134.16999999999999</v>
      </c>
      <c r="G139" s="21">
        <f t="shared" si="27"/>
        <v>188.55</v>
      </c>
      <c r="H139" s="21">
        <f t="shared" si="28"/>
        <v>948.53</v>
      </c>
      <c r="I139" s="326">
        <f t="shared" si="22"/>
        <v>47094.5</v>
      </c>
      <c r="J139" s="326">
        <f t="shared" si="23"/>
        <v>28306.539999999994</v>
      </c>
      <c r="K139" s="326">
        <f t="shared" si="20"/>
        <v>50437.339999999946</v>
      </c>
      <c r="L139" s="387">
        <f t="shared" si="26"/>
        <v>9</v>
      </c>
      <c r="M139" s="387">
        <f t="shared" si="21"/>
        <v>119</v>
      </c>
      <c r="N139" s="591">
        <f>INDEX(tblSubjectToLoan[Date],ROW()-ROW(tblContractForDeed[#Headers]))</f>
        <v>49491</v>
      </c>
      <c r="O139" s="326">
        <f>IF(ROW()=ROW(tblContractForDeed[#Headers])+1,$O$6,IF(INDEX(tblContractForDeed[End Bal],ROW()-ROW(tblContractForDeed[#Headers])-1)&lt;0,0,INDEX(tblContractForDeed[End Bal],ROW()-ROW(tblContractForDeed[#Headers])-1)))</f>
        <v>38979.930000000037</v>
      </c>
      <c r="P139" s="445">
        <f>IF(tblContractForDeed[[#This Row],[Date]]="","",IF(tblContractForDeed[[#This Row],[Date]]&lt;cfdRateChangeDate,cfdRate1,cfdRate2))</f>
        <v>6.7500000000000004E-2</v>
      </c>
      <c r="Q13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9" s="326">
        <f>IF(tblContractForDeed[[#This Row],[Payment]]=0,0,MAX(0,MIN(tblContractForDeed[[#This Row],[Beg]],tblContractForDeed[[#This Row],[Payment]]-tblContractForDeed[[#This Row],[Int]])))</f>
        <v>440.64</v>
      </c>
      <c r="S139" s="326">
        <f>IF(OR(tblContractForDeed[[#This Row],[Date]]&lt;cfdContractDate,tblContractForDeed[[#This Row],[Date]]&gt;cfdEndDate),0,ROUND(tblContractForDeed[[#This Row],[Beg]]*(tblContractForDeed[[#This Row],[Int Rate]]/12),2))</f>
        <v>219.26</v>
      </c>
      <c r="T139" s="326">
        <f>IF(tblContractForDeed[[#This Row],[Payment]]=0,0,$W$2)</f>
        <v>134.16999999999999</v>
      </c>
      <c r="U139" s="326">
        <f>IF(tblContractForDeed[[#This Row],[Princ]]=0,0,$W$3)</f>
        <v>188.55</v>
      </c>
      <c r="V139" s="326">
        <f>SUM(tblContractForDeed[[#This Row],[Princ]],tblContractForDeed[[#This Row],[Int]],tblContractForDeed[[#This Row],[Ins]],tblContractForDeed[[#This Row],[Taxes]])</f>
        <v>982.61999999999989</v>
      </c>
      <c r="W139" s="326">
        <f>SUM(INDEX(tblContractForDeed[Princ],1):INDEX(tblContractForDeed[Princ],ROW()-ROW(tblContractForDeed[#Headers])))</f>
        <v>36718.710000000014</v>
      </c>
      <c r="X139" s="326">
        <f>IF(tblContractForDeed[[#This Row],[Beg]]&lt;=0,0,tblContractForDeed[[#This Row],[Beg]]-tblContractForDeed[[#This Row],[Princ]])</f>
        <v>38539.290000000037</v>
      </c>
      <c r="Y139"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39" s="455">
        <f>IF(INDEX(tblContractForDeed[Payment],ROW()-ROW(tblBuyerOutputs[#Headers]))=0,0,INDEX(tblContractForDeed[Payment],ROW()-ROW(tblBuyerOutputs[#Headers]))-INDEX(tblSubjectToLoan[Payment],ROW()-ROW(tblBuyerOutputs[#Headers])))</f>
        <v>34.090000000000032</v>
      </c>
      <c r="AA139" s="23"/>
      <c r="AB139" s="21">
        <f>IF(INDEX(tblContractForDeed[Payment],ROW()-ROW(tblBuyerOutputs[#Headers]))=0,0,INDEX(tblContractForDeed[Payment],ROW()-ROW(tblBuyerOutputs[#Headers]))-INDEX(tblSubjectToLoan[Payment],ROW()-ROW(tblBuyerOutputs[#Headers])))-IFERROR(tblBuyerOutputs[[#This Row],[PMI]],0)</f>
        <v>34.090000000000032</v>
      </c>
      <c r="AC1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2358.0500000000075</v>
      </c>
      <c r="AD139" s="326">
        <f>IF(INDEX(tblContractForDeed[End Bal],ROW()-ROW(tblBuyerOutputs[#Headers]))&lt;=0,0,($O$6+IF(ROW()=ROW(tblBuyerOutputs[#Headers])+1,0,INDEX(tblBuyerOutputs[Cumul Appr],ROW()-ROW(tblBuyerOutputs[#Headers])-1)))*$O$2/12)</f>
        <v>514.3180115235491</v>
      </c>
      <c r="AE139" s="326">
        <f>IF(INDEX(tblContractForDeed[End Bal],ROW()-ROW(tblBuyerOutputs[#Headers]))&lt;=0,0,IF(ROW()=ROW(tblBuyerOutputs[#Headers])+1,0,INDEX(tblBuyerOutputs[Cumul Appr],ROW()-ROW(tblBuyerOutputs[#Headers])-1))+tblBuyerOutputs[[#This Row],[Monthly Appr]])</f>
        <v>48692.640777175322</v>
      </c>
      <c r="AF139" s="22"/>
      <c r="AG139" s="14"/>
      <c r="AL139"/>
      <c r="AM139" s="14"/>
      <c r="AO139" s="275"/>
      <c r="AQ139" s="14"/>
      <c r="AR139"/>
    </row>
    <row r="140" spans="1:44" x14ac:dyDescent="0.25">
      <c r="A140" s="590">
        <f t="shared" si="17"/>
        <v>49522</v>
      </c>
      <c r="B140" s="275">
        <f t="shared" si="18"/>
        <v>50437.339999999946</v>
      </c>
      <c r="C140" s="14">
        <f t="shared" si="14"/>
        <v>625.80999999999995</v>
      </c>
      <c r="D140" s="14">
        <f t="shared" si="19"/>
        <v>468.18999999999994</v>
      </c>
      <c r="E140" s="14">
        <f t="shared" si="15"/>
        <v>157.62</v>
      </c>
      <c r="F140" s="14">
        <f t="shared" si="27"/>
        <v>134.16999999999999</v>
      </c>
      <c r="G140" s="14">
        <f t="shared" si="27"/>
        <v>188.55</v>
      </c>
      <c r="H140" s="14">
        <f t="shared" si="28"/>
        <v>948.53</v>
      </c>
      <c r="I140" s="275">
        <f t="shared" si="22"/>
        <v>47562.69</v>
      </c>
      <c r="J140" s="275">
        <f t="shared" si="23"/>
        <v>28464.159999999993</v>
      </c>
      <c r="K140" s="275">
        <f t="shared" si="20"/>
        <v>49969.149999999943</v>
      </c>
      <c r="L140" s="386">
        <f t="shared" si="26"/>
        <v>10</v>
      </c>
      <c r="M140" s="386">
        <f t="shared" si="21"/>
        <v>120</v>
      </c>
      <c r="N140" s="590">
        <f>INDEX(tblSubjectToLoan[Date],ROW()-ROW(tblContractForDeed[#Headers]))</f>
        <v>49522</v>
      </c>
      <c r="O140" s="275">
        <f>IF(ROW()=ROW(tblContractForDeed[#Headers])+1,$O$6,IF(INDEX(tblContractForDeed[End Bal],ROW()-ROW(tblContractForDeed[#Headers])-1)&lt;0,0,INDEX(tblContractForDeed[End Bal],ROW()-ROW(tblContractForDeed[#Headers])-1)))</f>
        <v>38539.290000000037</v>
      </c>
      <c r="P140" s="445">
        <f>IF(tblContractForDeed[[#This Row],[Date]]="","",IF(tblContractForDeed[[#This Row],[Date]]&lt;cfdRateChangeDate,cfdRate1,cfdRate2))</f>
        <v>6.7500000000000004E-2</v>
      </c>
      <c r="Q1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0" s="275">
        <f>IF(tblContractForDeed[[#This Row],[Payment]]=0,0,MAX(0,MIN(tblContractForDeed[[#This Row],[Beg]],tblContractForDeed[[#This Row],[Payment]]-tblContractForDeed[[#This Row],[Int]])))</f>
        <v>443.12</v>
      </c>
      <c r="S140" s="275">
        <f>IF(OR(tblContractForDeed[[#This Row],[Date]]&lt;cfdContractDate,tblContractForDeed[[#This Row],[Date]]&gt;cfdEndDate),0,ROUND(tblContractForDeed[[#This Row],[Beg]]*(tblContractForDeed[[#This Row],[Int Rate]]/12),2))</f>
        <v>216.78</v>
      </c>
      <c r="T140" s="275">
        <f>IF(tblContractForDeed[[#This Row],[Payment]]=0,0,$W$2)</f>
        <v>134.16999999999999</v>
      </c>
      <c r="U140" s="275">
        <f>IF(tblContractForDeed[[#This Row],[Princ]]=0,0,$W$3)</f>
        <v>188.55</v>
      </c>
      <c r="V140" s="275">
        <f>SUM(tblContractForDeed[[#This Row],[Princ]],tblContractForDeed[[#This Row],[Int]],tblContractForDeed[[#This Row],[Ins]],tblContractForDeed[[#This Row],[Taxes]])</f>
        <v>982.61999999999989</v>
      </c>
      <c r="W140" s="275">
        <f>SUM(INDEX(tblContractForDeed[Princ],1):INDEX(tblContractForDeed[Princ],ROW()-ROW(tblContractForDeed[#Headers])))</f>
        <v>37161.830000000016</v>
      </c>
      <c r="X140" s="275">
        <f>IF(tblContractForDeed[[#This Row],[Beg]]&lt;=0,0,tblContractForDeed[[#This Row],[Beg]]-tblContractForDeed[[#This Row],[Princ]])</f>
        <v>38096.170000000035</v>
      </c>
      <c r="Y14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0" s="454">
        <f>IF(INDEX(tblContractForDeed[Payment],ROW()-ROW(tblBuyerOutputs[#Headers]))=0,0,INDEX(tblContractForDeed[Payment],ROW()-ROW(tblBuyerOutputs[#Headers]))-INDEX(tblSubjectToLoan[Payment],ROW()-ROW(tblBuyerOutputs[#Headers])))</f>
        <v>34.090000000000032</v>
      </c>
      <c r="AA140"/>
      <c r="AB140" s="14">
        <f>IF(INDEX(tblContractForDeed[Payment],ROW()-ROW(tblBuyerOutputs[#Headers]))=0,0,INDEX(tblContractForDeed[Payment],ROW()-ROW(tblBuyerOutputs[#Headers]))-INDEX(tblSubjectToLoan[Payment],ROW()-ROW(tblBuyerOutputs[#Headers])))-IFERROR(tblBuyerOutputs[[#This Row],[PMI]],0)</f>
        <v>34.090000000000032</v>
      </c>
      <c r="AC1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2392.1400000000076</v>
      </c>
      <c r="AD140" s="275">
        <f>IF(INDEX(tblContractForDeed[End Bal],ROW()-ROW(tblBuyerOutputs[#Headers]))&lt;=0,0,($O$6+IF(ROW()=ROW(tblBuyerOutputs[#Headers])+1,0,INDEX(tblBuyerOutputs[Cumul Appr],ROW()-ROW(tblBuyerOutputs[#Headers])-1)))*$O$2/12)</f>
        <v>516.46100323823055</v>
      </c>
      <c r="AE140" s="275">
        <f>IF(INDEX(tblContractForDeed[End Bal],ROW()-ROW(tblBuyerOutputs[#Headers]))&lt;=0,0,IF(ROW()=ROW(tblBuyerOutputs[#Headers])+1,0,INDEX(tblBuyerOutputs[Cumul Appr],ROW()-ROW(tblBuyerOutputs[#Headers])-1))+tblBuyerOutputs[[#This Row],[Monthly Appr]])</f>
        <v>49209.101780413555</v>
      </c>
      <c r="AF140" s="22"/>
      <c r="AG140" s="14"/>
      <c r="AL140"/>
      <c r="AM140" s="14"/>
      <c r="AO140" s="275"/>
      <c r="AQ140" s="14"/>
      <c r="AR140"/>
    </row>
    <row r="141" spans="1:44" x14ac:dyDescent="0.25">
      <c r="A141" s="590">
        <f t="shared" si="17"/>
        <v>49553</v>
      </c>
      <c r="B141" s="275">
        <f t="shared" si="18"/>
        <v>49969.149999999943</v>
      </c>
      <c r="C141" s="14">
        <f t="shared" si="14"/>
        <v>625.80999999999995</v>
      </c>
      <c r="D141" s="14">
        <f t="shared" si="19"/>
        <v>469.65999999999997</v>
      </c>
      <c r="E141" s="14">
        <f t="shared" si="15"/>
        <v>156.15</v>
      </c>
      <c r="F141" s="14">
        <f t="shared" si="27"/>
        <v>134.16999999999999</v>
      </c>
      <c r="G141" s="14">
        <f t="shared" si="27"/>
        <v>188.55</v>
      </c>
      <c r="H141" s="14">
        <f t="shared" si="28"/>
        <v>948.53</v>
      </c>
      <c r="I141" s="275">
        <f t="shared" si="22"/>
        <v>48032.350000000006</v>
      </c>
      <c r="J141" s="275">
        <f t="shared" si="23"/>
        <v>28620.309999999994</v>
      </c>
      <c r="K141" s="275">
        <f t="shared" si="20"/>
        <v>49499.48999999994</v>
      </c>
      <c r="L141" s="386">
        <f t="shared" si="26"/>
        <v>10</v>
      </c>
      <c r="M141" s="386">
        <f t="shared" si="21"/>
        <v>121</v>
      </c>
      <c r="N141" s="590">
        <f>INDEX(tblSubjectToLoan[Date],ROW()-ROW(tblContractForDeed[#Headers]))</f>
        <v>49553</v>
      </c>
      <c r="O141" s="275">
        <f>IF(ROW()=ROW(tblContractForDeed[#Headers])+1,$O$6,IF(INDEX(tblContractForDeed[End Bal],ROW()-ROW(tblContractForDeed[#Headers])-1)&lt;0,0,INDEX(tblContractForDeed[End Bal],ROW()-ROW(tblContractForDeed[#Headers])-1)))</f>
        <v>38096.170000000035</v>
      </c>
      <c r="P141" s="445">
        <f>IF(tblContractForDeed[[#This Row],[Date]]="","",IF(tblContractForDeed[[#This Row],[Date]]&lt;cfdRateChangeDate,cfdRate1,cfdRate2))</f>
        <v>6.7500000000000004E-2</v>
      </c>
      <c r="Q1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1" s="275">
        <f>IF(tblContractForDeed[[#This Row],[Payment]]=0,0,MAX(0,MIN(tblContractForDeed[[#This Row],[Beg]],tblContractForDeed[[#This Row],[Payment]]-tblContractForDeed[[#This Row],[Int]])))</f>
        <v>445.61</v>
      </c>
      <c r="S141" s="275">
        <f>IF(OR(tblContractForDeed[[#This Row],[Date]]&lt;cfdContractDate,tblContractForDeed[[#This Row],[Date]]&gt;cfdEndDate),0,ROUND(tblContractForDeed[[#This Row],[Beg]]*(tblContractForDeed[[#This Row],[Int Rate]]/12),2))</f>
        <v>214.29</v>
      </c>
      <c r="T141" s="275">
        <f>IF(tblContractForDeed[[#This Row],[Payment]]=0,0,$W$2)</f>
        <v>134.16999999999999</v>
      </c>
      <c r="U141" s="275">
        <f>IF(tblContractForDeed[[#This Row],[Princ]]=0,0,$W$3)</f>
        <v>188.55</v>
      </c>
      <c r="V141" s="275">
        <f>SUM(tblContractForDeed[[#This Row],[Princ]],tblContractForDeed[[#This Row],[Int]],tblContractForDeed[[#This Row],[Ins]],tblContractForDeed[[#This Row],[Taxes]])</f>
        <v>982.61999999999989</v>
      </c>
      <c r="W141" s="275">
        <f>SUM(INDEX(tblContractForDeed[Princ],1):INDEX(tblContractForDeed[Princ],ROW()-ROW(tblContractForDeed[#Headers])))</f>
        <v>37607.440000000017</v>
      </c>
      <c r="X141" s="275">
        <f>IF(tblContractForDeed[[#This Row],[Beg]]&lt;=0,0,tblContractForDeed[[#This Row],[Beg]]-tblContractForDeed[[#This Row],[Princ]])</f>
        <v>37650.560000000034</v>
      </c>
      <c r="Y14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1" s="454">
        <f>IF(INDEX(tblContractForDeed[Payment],ROW()-ROW(tblBuyerOutputs[#Headers]))=0,0,INDEX(tblContractForDeed[Payment],ROW()-ROW(tblBuyerOutputs[#Headers]))-INDEX(tblSubjectToLoan[Payment],ROW()-ROW(tblBuyerOutputs[#Headers])))</f>
        <v>34.090000000000032</v>
      </c>
      <c r="AA141"/>
      <c r="AB141" s="14">
        <f>IF(INDEX(tblContractForDeed[Payment],ROW()-ROW(tblBuyerOutputs[#Headers]))=0,0,INDEX(tblContractForDeed[Payment],ROW()-ROW(tblBuyerOutputs[#Headers]))-INDEX(tblSubjectToLoan[Payment],ROW()-ROW(tblBuyerOutputs[#Headers])))-IFERROR(tblBuyerOutputs[[#This Row],[PMI]],0)</f>
        <v>34.090000000000032</v>
      </c>
      <c r="AC1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2426.2300000000077</v>
      </c>
      <c r="AD141" s="275">
        <f>IF(INDEX(tblContractForDeed[End Bal],ROW()-ROW(tblBuyerOutputs[#Headers]))&lt;=0,0,($O$6+IF(ROW()=ROW(tblBuyerOutputs[#Headers])+1,0,INDEX(tblBuyerOutputs[Cumul Appr],ROW()-ROW(tblBuyerOutputs[#Headers])-1)))*$O$2/12)</f>
        <v>518.61292408505653</v>
      </c>
      <c r="AE141" s="275">
        <f>IF(INDEX(tblContractForDeed[End Bal],ROW()-ROW(tblBuyerOutputs[#Headers]))&lt;=0,0,IF(ROW()=ROW(tblBuyerOutputs[#Headers])+1,0,INDEX(tblBuyerOutputs[Cumul Appr],ROW()-ROW(tblBuyerOutputs[#Headers])-1))+tblBuyerOutputs[[#This Row],[Monthly Appr]])</f>
        <v>49727.714704498612</v>
      </c>
      <c r="AF141" s="22"/>
      <c r="AG141" s="14"/>
      <c r="AL141"/>
      <c r="AM141" s="14"/>
      <c r="AO141" s="275"/>
      <c r="AQ141" s="14"/>
      <c r="AR141"/>
    </row>
    <row r="142" spans="1:44" x14ac:dyDescent="0.25">
      <c r="A142" s="590">
        <f t="shared" si="17"/>
        <v>49583</v>
      </c>
      <c r="B142" s="275">
        <f t="shared" si="18"/>
        <v>49499.48999999994</v>
      </c>
      <c r="C142" s="14">
        <f t="shared" si="14"/>
        <v>625.80999999999995</v>
      </c>
      <c r="D142" s="14">
        <f t="shared" si="19"/>
        <v>471.11999999999995</v>
      </c>
      <c r="E142" s="14">
        <f t="shared" si="15"/>
        <v>154.69</v>
      </c>
      <c r="F142" s="14">
        <f t="shared" si="27"/>
        <v>134.16999999999999</v>
      </c>
      <c r="G142" s="14">
        <f t="shared" si="27"/>
        <v>188.55</v>
      </c>
      <c r="H142" s="14">
        <f t="shared" si="28"/>
        <v>948.53</v>
      </c>
      <c r="I142" s="275">
        <f t="shared" si="22"/>
        <v>48503.470000000008</v>
      </c>
      <c r="J142" s="275">
        <f t="shared" si="23"/>
        <v>28774.999999999993</v>
      </c>
      <c r="K142" s="275">
        <f t="shared" si="20"/>
        <v>49028.369999999937</v>
      </c>
      <c r="L142" s="386">
        <f t="shared" si="26"/>
        <v>10</v>
      </c>
      <c r="M142" s="386">
        <f t="shared" si="21"/>
        <v>122</v>
      </c>
      <c r="N142" s="590">
        <f>INDEX(tblSubjectToLoan[Date],ROW()-ROW(tblContractForDeed[#Headers]))</f>
        <v>49583</v>
      </c>
      <c r="O142" s="275">
        <f>IF(ROW()=ROW(tblContractForDeed[#Headers])+1,$O$6,IF(INDEX(tblContractForDeed[End Bal],ROW()-ROW(tblContractForDeed[#Headers])-1)&lt;0,0,INDEX(tblContractForDeed[End Bal],ROW()-ROW(tblContractForDeed[#Headers])-1)))</f>
        <v>37650.560000000034</v>
      </c>
      <c r="P142" s="445">
        <f>IF(tblContractForDeed[[#This Row],[Date]]="","",IF(tblContractForDeed[[#This Row],[Date]]&lt;cfdRateChangeDate,cfdRate1,cfdRate2))</f>
        <v>6.7500000000000004E-2</v>
      </c>
      <c r="Q1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2" s="275">
        <f>IF(tblContractForDeed[[#This Row],[Payment]]=0,0,MAX(0,MIN(tblContractForDeed[[#This Row],[Beg]],tblContractForDeed[[#This Row],[Payment]]-tblContractForDeed[[#This Row],[Int]])))</f>
        <v>448.12</v>
      </c>
      <c r="S142" s="275">
        <f>IF(OR(tblContractForDeed[[#This Row],[Date]]&lt;cfdContractDate,tblContractForDeed[[#This Row],[Date]]&gt;cfdEndDate),0,ROUND(tblContractForDeed[[#This Row],[Beg]]*(tblContractForDeed[[#This Row],[Int Rate]]/12),2))</f>
        <v>211.78</v>
      </c>
      <c r="T142" s="275">
        <f>IF(tblContractForDeed[[#This Row],[Payment]]=0,0,$W$2)</f>
        <v>134.16999999999999</v>
      </c>
      <c r="U142" s="275">
        <f>IF(tblContractForDeed[[#This Row],[Princ]]=0,0,$W$3)</f>
        <v>188.55</v>
      </c>
      <c r="V142" s="275">
        <f>SUM(tblContractForDeed[[#This Row],[Princ]],tblContractForDeed[[#This Row],[Int]],tblContractForDeed[[#This Row],[Ins]],tblContractForDeed[[#This Row],[Taxes]])</f>
        <v>982.61999999999989</v>
      </c>
      <c r="W142" s="275">
        <f>SUM(INDEX(tblContractForDeed[Princ],1):INDEX(tblContractForDeed[Princ],ROW()-ROW(tblContractForDeed[#Headers])))</f>
        <v>38055.560000000019</v>
      </c>
      <c r="X142" s="275">
        <f>IF(tblContractForDeed[[#This Row],[Beg]]&lt;=0,0,tblContractForDeed[[#This Row],[Beg]]-tblContractForDeed[[#This Row],[Princ]])</f>
        <v>37202.440000000031</v>
      </c>
      <c r="Y14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2" s="454">
        <f>IF(INDEX(tblContractForDeed[Payment],ROW()-ROW(tblBuyerOutputs[#Headers]))=0,0,INDEX(tblContractForDeed[Payment],ROW()-ROW(tblBuyerOutputs[#Headers]))-INDEX(tblSubjectToLoan[Payment],ROW()-ROW(tblBuyerOutputs[#Headers])))</f>
        <v>34.090000000000032</v>
      </c>
      <c r="AA142"/>
      <c r="AB142" s="14">
        <f>IF(INDEX(tblContractForDeed[Payment],ROW()-ROW(tblBuyerOutputs[#Headers]))=0,0,INDEX(tblContractForDeed[Payment],ROW()-ROW(tblBuyerOutputs[#Headers]))-INDEX(tblSubjectToLoan[Payment],ROW()-ROW(tblBuyerOutputs[#Headers])))-IFERROR(tblBuyerOutputs[[#This Row],[PMI]],0)</f>
        <v>34.090000000000032</v>
      </c>
      <c r="AC1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2460.3200000000079</v>
      </c>
      <c r="AD142" s="275">
        <f>IF(INDEX(tblContractForDeed[End Bal],ROW()-ROW(tblBuyerOutputs[#Headers]))&lt;=0,0,($O$6+IF(ROW()=ROW(tblBuyerOutputs[#Headers])+1,0,INDEX(tblBuyerOutputs[Cumul Appr],ROW()-ROW(tblBuyerOutputs[#Headers])-1)))*$O$2/12)</f>
        <v>520.77381126874423</v>
      </c>
      <c r="AE142" s="275">
        <f>IF(INDEX(tblContractForDeed[End Bal],ROW()-ROW(tblBuyerOutputs[#Headers]))&lt;=0,0,IF(ROW()=ROW(tblBuyerOutputs[#Headers])+1,0,INDEX(tblBuyerOutputs[Cumul Appr],ROW()-ROW(tblBuyerOutputs[#Headers])-1))+tblBuyerOutputs[[#This Row],[Monthly Appr]])</f>
        <v>50248.488515767356</v>
      </c>
      <c r="AF142" s="22"/>
      <c r="AG142" s="14"/>
      <c r="AL142"/>
      <c r="AM142" s="14"/>
      <c r="AO142" s="275"/>
      <c r="AQ142" s="14"/>
      <c r="AR142"/>
    </row>
    <row r="143" spans="1:44" x14ac:dyDescent="0.25">
      <c r="A143" s="590">
        <f t="shared" si="17"/>
        <v>49614</v>
      </c>
      <c r="B143" s="275">
        <f t="shared" si="18"/>
        <v>49028.369999999937</v>
      </c>
      <c r="C143" s="14">
        <f t="shared" si="14"/>
        <v>625.80999999999995</v>
      </c>
      <c r="D143" s="14">
        <f t="shared" si="19"/>
        <v>472.59999999999991</v>
      </c>
      <c r="E143" s="14">
        <f t="shared" si="15"/>
        <v>153.21</v>
      </c>
      <c r="F143" s="14">
        <f t="shared" ref="F143:G158" si="29">+F142</f>
        <v>134.16999999999999</v>
      </c>
      <c r="G143" s="14">
        <f t="shared" si="29"/>
        <v>188.55</v>
      </c>
      <c r="H143" s="14">
        <f t="shared" si="28"/>
        <v>948.53</v>
      </c>
      <c r="I143" s="275">
        <f t="shared" si="22"/>
        <v>48976.070000000007</v>
      </c>
      <c r="J143" s="275">
        <f t="shared" si="23"/>
        <v>28928.209999999992</v>
      </c>
      <c r="K143" s="275">
        <f t="shared" si="20"/>
        <v>48555.769999999939</v>
      </c>
      <c r="L143" s="386">
        <f t="shared" si="26"/>
        <v>10</v>
      </c>
      <c r="M143" s="386">
        <f t="shared" si="21"/>
        <v>123</v>
      </c>
      <c r="N143" s="590">
        <f>INDEX(tblSubjectToLoan[Date],ROW()-ROW(tblContractForDeed[#Headers]))</f>
        <v>49614</v>
      </c>
      <c r="O143" s="275">
        <f>IF(ROW()=ROW(tblContractForDeed[#Headers])+1,$O$6,IF(INDEX(tblContractForDeed[End Bal],ROW()-ROW(tblContractForDeed[#Headers])-1)&lt;0,0,INDEX(tblContractForDeed[End Bal],ROW()-ROW(tblContractForDeed[#Headers])-1)))</f>
        <v>37202.440000000031</v>
      </c>
      <c r="P143" s="445">
        <f>IF(tblContractForDeed[[#This Row],[Date]]="","",IF(tblContractForDeed[[#This Row],[Date]]&lt;cfdRateChangeDate,cfdRate1,cfdRate2))</f>
        <v>6.7500000000000004E-2</v>
      </c>
      <c r="Q14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3" s="275">
        <f>IF(tblContractForDeed[[#This Row],[Payment]]=0,0,MAX(0,MIN(tblContractForDeed[[#This Row],[Beg]],tblContractForDeed[[#This Row],[Payment]]-tblContractForDeed[[#This Row],[Int]])))</f>
        <v>450.64</v>
      </c>
      <c r="S143" s="275">
        <f>IF(OR(tblContractForDeed[[#This Row],[Date]]&lt;cfdContractDate,tblContractForDeed[[#This Row],[Date]]&gt;cfdEndDate),0,ROUND(tblContractForDeed[[#This Row],[Beg]]*(tblContractForDeed[[#This Row],[Int Rate]]/12),2))</f>
        <v>209.26</v>
      </c>
      <c r="T143" s="275">
        <f>IF(tblContractForDeed[[#This Row],[Payment]]=0,0,$W$2)</f>
        <v>134.16999999999999</v>
      </c>
      <c r="U143" s="275">
        <f>IF(tblContractForDeed[[#This Row],[Princ]]=0,0,$W$3)</f>
        <v>188.55</v>
      </c>
      <c r="V143" s="275">
        <f>SUM(tblContractForDeed[[#This Row],[Princ]],tblContractForDeed[[#This Row],[Int]],tblContractForDeed[[#This Row],[Ins]],tblContractForDeed[[#This Row],[Taxes]])</f>
        <v>982.61999999999989</v>
      </c>
      <c r="W143" s="275">
        <f>SUM(INDEX(tblContractForDeed[Princ],1):INDEX(tblContractForDeed[Princ],ROW()-ROW(tblContractForDeed[#Headers])))</f>
        <v>38506.200000000019</v>
      </c>
      <c r="X143" s="275">
        <f>IF(tblContractForDeed[[#This Row],[Beg]]&lt;=0,0,tblContractForDeed[[#This Row],[Beg]]-tblContractForDeed[[#This Row],[Princ]])</f>
        <v>36751.800000000032</v>
      </c>
      <c r="Y14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3" s="454">
        <f>IF(INDEX(tblContractForDeed[Payment],ROW()-ROW(tblBuyerOutputs[#Headers]))=0,0,INDEX(tblContractForDeed[Payment],ROW()-ROW(tblBuyerOutputs[#Headers]))-INDEX(tblSubjectToLoan[Payment],ROW()-ROW(tblBuyerOutputs[#Headers])))</f>
        <v>34.090000000000032</v>
      </c>
      <c r="AA143"/>
      <c r="AB143" s="14">
        <f>IF(INDEX(tblContractForDeed[Payment],ROW()-ROW(tblBuyerOutputs[#Headers]))=0,0,INDEX(tblContractForDeed[Payment],ROW()-ROW(tblBuyerOutputs[#Headers]))-INDEX(tblSubjectToLoan[Payment],ROW()-ROW(tblBuyerOutputs[#Headers])))-IFERROR(tblBuyerOutputs[[#This Row],[PMI]],0)</f>
        <v>34.090000000000032</v>
      </c>
      <c r="AC1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2494.410000000008</v>
      </c>
      <c r="AD143" s="275">
        <f>IF(INDEX(tblContractForDeed[End Bal],ROW()-ROW(tblBuyerOutputs[#Headers]))&lt;=0,0,($O$6+IF(ROW()=ROW(tblBuyerOutputs[#Headers])+1,0,INDEX(tblBuyerOutputs[Cumul Appr],ROW()-ROW(tblBuyerOutputs[#Headers])-1)))*$O$2/12)</f>
        <v>522.94370214903063</v>
      </c>
      <c r="AE143" s="275">
        <f>IF(INDEX(tblContractForDeed[End Bal],ROW()-ROW(tblBuyerOutputs[#Headers]))&lt;=0,0,IF(ROW()=ROW(tblBuyerOutputs[#Headers])+1,0,INDEX(tblBuyerOutputs[Cumul Appr],ROW()-ROW(tblBuyerOutputs[#Headers])-1))+tblBuyerOutputs[[#This Row],[Monthly Appr]])</f>
        <v>50771.432217916386</v>
      </c>
      <c r="AF143" s="22"/>
      <c r="AG143" s="14"/>
      <c r="AL143"/>
      <c r="AM143" s="14"/>
      <c r="AO143" s="275"/>
      <c r="AQ143" s="14"/>
      <c r="AR143"/>
    </row>
    <row r="144" spans="1:44" x14ac:dyDescent="0.25">
      <c r="A144" s="590">
        <f t="shared" si="17"/>
        <v>49644</v>
      </c>
      <c r="B144" s="275">
        <f t="shared" si="18"/>
        <v>48555.769999999939</v>
      </c>
      <c r="C144" s="14">
        <f t="shared" si="14"/>
        <v>625.80999999999995</v>
      </c>
      <c r="D144" s="14">
        <f t="shared" si="19"/>
        <v>474.06999999999994</v>
      </c>
      <c r="E144" s="14">
        <f t="shared" si="15"/>
        <v>151.74</v>
      </c>
      <c r="F144" s="14">
        <f t="shared" si="29"/>
        <v>134.16999999999999</v>
      </c>
      <c r="G144" s="14">
        <f t="shared" si="29"/>
        <v>188.55</v>
      </c>
      <c r="H144" s="14">
        <f t="shared" si="28"/>
        <v>948.53</v>
      </c>
      <c r="I144" s="275">
        <f t="shared" si="22"/>
        <v>49450.140000000007</v>
      </c>
      <c r="J144" s="275">
        <f t="shared" si="23"/>
        <v>29079.949999999993</v>
      </c>
      <c r="K144" s="275">
        <f t="shared" si="20"/>
        <v>48081.699999999939</v>
      </c>
      <c r="L144" s="386">
        <f t="shared" si="26"/>
        <v>10</v>
      </c>
      <c r="M144" s="386">
        <f t="shared" si="21"/>
        <v>124</v>
      </c>
      <c r="N144" s="590">
        <f>INDEX(tblSubjectToLoan[Date],ROW()-ROW(tblContractForDeed[#Headers]))</f>
        <v>49644</v>
      </c>
      <c r="O144" s="275">
        <f>IF(ROW()=ROW(tblContractForDeed[#Headers])+1,$O$6,IF(INDEX(tblContractForDeed[End Bal],ROW()-ROW(tblContractForDeed[#Headers])-1)&lt;0,0,INDEX(tblContractForDeed[End Bal],ROW()-ROW(tblContractForDeed[#Headers])-1)))</f>
        <v>36751.800000000032</v>
      </c>
      <c r="P144" s="445">
        <f>IF(tblContractForDeed[[#This Row],[Date]]="","",IF(tblContractForDeed[[#This Row],[Date]]&lt;cfdRateChangeDate,cfdRate1,cfdRate2))</f>
        <v>6.7500000000000004E-2</v>
      </c>
      <c r="Q1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4" s="275">
        <f>IF(tblContractForDeed[[#This Row],[Payment]]=0,0,MAX(0,MIN(tblContractForDeed[[#This Row],[Beg]],tblContractForDeed[[#This Row],[Payment]]-tblContractForDeed[[#This Row],[Int]])))</f>
        <v>453.16999999999996</v>
      </c>
      <c r="S144" s="275">
        <f>IF(OR(tblContractForDeed[[#This Row],[Date]]&lt;cfdContractDate,tblContractForDeed[[#This Row],[Date]]&gt;cfdEndDate),0,ROUND(tblContractForDeed[[#This Row],[Beg]]*(tblContractForDeed[[#This Row],[Int Rate]]/12),2))</f>
        <v>206.73</v>
      </c>
      <c r="T144" s="275">
        <f>IF(tblContractForDeed[[#This Row],[Payment]]=0,0,$W$2)</f>
        <v>134.16999999999999</v>
      </c>
      <c r="U144" s="275">
        <f>IF(tblContractForDeed[[#This Row],[Princ]]=0,0,$W$3)</f>
        <v>188.55</v>
      </c>
      <c r="V144" s="275">
        <f>SUM(tblContractForDeed[[#This Row],[Princ]],tblContractForDeed[[#This Row],[Int]],tblContractForDeed[[#This Row],[Ins]],tblContractForDeed[[#This Row],[Taxes]])</f>
        <v>982.61999999999989</v>
      </c>
      <c r="W144" s="275">
        <f>SUM(INDEX(tblContractForDeed[Princ],1):INDEX(tblContractForDeed[Princ],ROW()-ROW(tblContractForDeed[#Headers])))</f>
        <v>38959.370000000017</v>
      </c>
      <c r="X144" s="275">
        <f>IF(tblContractForDeed[[#This Row],[Beg]]&lt;=0,0,tblContractForDeed[[#This Row],[Beg]]-tblContractForDeed[[#This Row],[Princ]])</f>
        <v>36298.630000000034</v>
      </c>
      <c r="Y14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4" s="454">
        <f>IF(INDEX(tblContractForDeed[Payment],ROW()-ROW(tblBuyerOutputs[#Headers]))=0,0,INDEX(tblContractForDeed[Payment],ROW()-ROW(tblBuyerOutputs[#Headers]))-INDEX(tblSubjectToLoan[Payment],ROW()-ROW(tblBuyerOutputs[#Headers])))</f>
        <v>34.090000000000032</v>
      </c>
      <c r="AA144"/>
      <c r="AB144" s="14">
        <f>IF(INDEX(tblContractForDeed[Payment],ROW()-ROW(tblBuyerOutputs[#Headers]))=0,0,INDEX(tblContractForDeed[Payment],ROW()-ROW(tblBuyerOutputs[#Headers]))-INDEX(tblSubjectToLoan[Payment],ROW()-ROW(tblBuyerOutputs[#Headers])))-IFERROR(tblBuyerOutputs[[#This Row],[PMI]],0)</f>
        <v>34.090000000000032</v>
      </c>
      <c r="AC1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2528.5000000000082</v>
      </c>
      <c r="AD144" s="275">
        <f>IF(INDEX(tblContractForDeed[End Bal],ROW()-ROW(tblBuyerOutputs[#Headers]))&lt;=0,0,($O$6+IF(ROW()=ROW(tblBuyerOutputs[#Headers])+1,0,INDEX(tblBuyerOutputs[Cumul Appr],ROW()-ROW(tblBuyerOutputs[#Headers])-1)))*$O$2/12)</f>
        <v>525.12263424131834</v>
      </c>
      <c r="AE144" s="275">
        <f>IF(INDEX(tblContractForDeed[End Bal],ROW()-ROW(tblBuyerOutputs[#Headers]))&lt;=0,0,IF(ROW()=ROW(tblBuyerOutputs[#Headers])+1,0,INDEX(tblBuyerOutputs[Cumul Appr],ROW()-ROW(tblBuyerOutputs[#Headers])-1))+tblBuyerOutputs[[#This Row],[Monthly Appr]])</f>
        <v>51296.554852157708</v>
      </c>
      <c r="AF144" s="22"/>
      <c r="AG144" s="14"/>
      <c r="AL144"/>
      <c r="AM144" s="14"/>
      <c r="AO144" s="275"/>
      <c r="AQ144" s="14"/>
      <c r="AR144"/>
    </row>
    <row r="145" spans="1:44" x14ac:dyDescent="0.25">
      <c r="A145" s="590">
        <f t="shared" si="17"/>
        <v>49675</v>
      </c>
      <c r="B145" s="275">
        <f t="shared" si="18"/>
        <v>48081.699999999939</v>
      </c>
      <c r="C145" s="14">
        <f t="shared" si="14"/>
        <v>625.80999999999995</v>
      </c>
      <c r="D145" s="14">
        <f t="shared" si="19"/>
        <v>475.54999999999995</v>
      </c>
      <c r="E145" s="14">
        <f t="shared" si="15"/>
        <v>150.26</v>
      </c>
      <c r="F145" s="14">
        <f t="shared" si="29"/>
        <v>134.16999999999999</v>
      </c>
      <c r="G145" s="14">
        <f t="shared" si="29"/>
        <v>188.55</v>
      </c>
      <c r="H145" s="14">
        <f t="shared" si="28"/>
        <v>948.53</v>
      </c>
      <c r="I145" s="275">
        <f t="shared" si="22"/>
        <v>49925.69000000001</v>
      </c>
      <c r="J145" s="275">
        <f t="shared" si="23"/>
        <v>29230.209999999992</v>
      </c>
      <c r="K145" s="275">
        <f t="shared" si="20"/>
        <v>47606.149999999936</v>
      </c>
      <c r="L145" s="386">
        <f t="shared" si="26"/>
        <v>10</v>
      </c>
      <c r="M145" s="386">
        <f t="shared" si="21"/>
        <v>125</v>
      </c>
      <c r="N145" s="590">
        <f>INDEX(tblSubjectToLoan[Date],ROW()-ROW(tblContractForDeed[#Headers]))</f>
        <v>49675</v>
      </c>
      <c r="O145" s="275">
        <f>IF(ROW()=ROW(tblContractForDeed[#Headers])+1,$O$6,IF(INDEX(tblContractForDeed[End Bal],ROW()-ROW(tblContractForDeed[#Headers])-1)&lt;0,0,INDEX(tblContractForDeed[End Bal],ROW()-ROW(tblContractForDeed[#Headers])-1)))</f>
        <v>36298.630000000034</v>
      </c>
      <c r="P145" s="445">
        <f>IF(tblContractForDeed[[#This Row],[Date]]="","",IF(tblContractForDeed[[#This Row],[Date]]&lt;cfdRateChangeDate,cfdRate1,cfdRate2))</f>
        <v>6.7500000000000004E-2</v>
      </c>
      <c r="Q1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5" s="275">
        <f>IF(tblContractForDeed[[#This Row],[Payment]]=0,0,MAX(0,MIN(tblContractForDeed[[#This Row],[Beg]],tblContractForDeed[[#This Row],[Payment]]-tblContractForDeed[[#This Row],[Int]])))</f>
        <v>455.71999999999997</v>
      </c>
      <c r="S145" s="275">
        <f>IF(OR(tblContractForDeed[[#This Row],[Date]]&lt;cfdContractDate,tblContractForDeed[[#This Row],[Date]]&gt;cfdEndDate),0,ROUND(tblContractForDeed[[#This Row],[Beg]]*(tblContractForDeed[[#This Row],[Int Rate]]/12),2))</f>
        <v>204.18</v>
      </c>
      <c r="T145" s="275">
        <f>IF(tblContractForDeed[[#This Row],[Payment]]=0,0,$W$2)</f>
        <v>134.16999999999999</v>
      </c>
      <c r="U145" s="275">
        <f>IF(tblContractForDeed[[#This Row],[Princ]]=0,0,$W$3)</f>
        <v>188.55</v>
      </c>
      <c r="V145" s="275">
        <f>SUM(tblContractForDeed[[#This Row],[Princ]],tblContractForDeed[[#This Row],[Int]],tblContractForDeed[[#This Row],[Ins]],tblContractForDeed[[#This Row],[Taxes]])</f>
        <v>982.61999999999989</v>
      </c>
      <c r="W145" s="275">
        <f>SUM(INDEX(tblContractForDeed[Princ],1):INDEX(tblContractForDeed[Princ],ROW()-ROW(tblContractForDeed[#Headers])))</f>
        <v>39415.090000000018</v>
      </c>
      <c r="X145" s="275">
        <f>IF(tblContractForDeed[[#This Row],[Beg]]&lt;=0,0,tblContractForDeed[[#This Row],[Beg]]-tblContractForDeed[[#This Row],[Princ]])</f>
        <v>35842.910000000033</v>
      </c>
      <c r="Y14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5" s="454">
        <f>IF(INDEX(tblContractForDeed[Payment],ROW()-ROW(tblBuyerOutputs[#Headers]))=0,0,INDEX(tblContractForDeed[Payment],ROW()-ROW(tblBuyerOutputs[#Headers]))-INDEX(tblSubjectToLoan[Payment],ROW()-ROW(tblBuyerOutputs[#Headers])))</f>
        <v>34.090000000000032</v>
      </c>
      <c r="AA145"/>
      <c r="AB145" s="14">
        <f>IF(INDEX(tblContractForDeed[Payment],ROW()-ROW(tblBuyerOutputs[#Headers]))=0,0,INDEX(tblContractForDeed[Payment],ROW()-ROW(tblBuyerOutputs[#Headers]))-INDEX(tblSubjectToLoan[Payment],ROW()-ROW(tblBuyerOutputs[#Headers])))-IFERROR(tblBuyerOutputs[[#This Row],[PMI]],0)</f>
        <v>34.090000000000032</v>
      </c>
      <c r="AC1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2562.5900000000083</v>
      </c>
      <c r="AD145" s="275">
        <f>IF(INDEX(tblContractForDeed[End Bal],ROW()-ROW(tblBuyerOutputs[#Headers]))&lt;=0,0,($O$6+IF(ROW()=ROW(tblBuyerOutputs[#Headers])+1,0,INDEX(tblBuyerOutputs[Cumul Appr],ROW()-ROW(tblBuyerOutputs[#Headers])-1)))*$O$2/12)</f>
        <v>527.31064521732389</v>
      </c>
      <c r="AE145" s="275">
        <f>IF(INDEX(tblContractForDeed[End Bal],ROW()-ROW(tblBuyerOutputs[#Headers]))&lt;=0,0,IF(ROW()=ROW(tblBuyerOutputs[#Headers])+1,0,INDEX(tblBuyerOutputs[Cumul Appr],ROW()-ROW(tblBuyerOutputs[#Headers])-1))+tblBuyerOutputs[[#This Row],[Monthly Appr]])</f>
        <v>51823.865497375031</v>
      </c>
      <c r="AF145" s="22"/>
      <c r="AG145" s="14"/>
      <c r="AL145"/>
      <c r="AM145" s="14"/>
      <c r="AO145" s="275"/>
      <c r="AQ145" s="14"/>
      <c r="AR145"/>
    </row>
    <row r="146" spans="1:44" x14ac:dyDescent="0.25">
      <c r="A146" s="590">
        <f t="shared" si="17"/>
        <v>49706</v>
      </c>
      <c r="B146" s="275">
        <f t="shared" si="18"/>
        <v>47606.149999999936</v>
      </c>
      <c r="C146" s="14">
        <f t="shared" si="14"/>
        <v>625.80999999999995</v>
      </c>
      <c r="D146" s="14">
        <f t="shared" si="19"/>
        <v>477.03999999999996</v>
      </c>
      <c r="E146" s="14">
        <f t="shared" si="15"/>
        <v>148.77000000000001</v>
      </c>
      <c r="F146" s="14">
        <f t="shared" si="29"/>
        <v>134.16999999999999</v>
      </c>
      <c r="G146" s="14">
        <f t="shared" si="29"/>
        <v>188.55</v>
      </c>
      <c r="H146" s="14">
        <f t="shared" si="28"/>
        <v>948.53</v>
      </c>
      <c r="I146" s="275">
        <f t="shared" si="22"/>
        <v>50402.73000000001</v>
      </c>
      <c r="J146" s="275">
        <f t="shared" si="23"/>
        <v>29378.979999999992</v>
      </c>
      <c r="K146" s="275">
        <f t="shared" si="20"/>
        <v>47129.109999999935</v>
      </c>
      <c r="L146" s="386">
        <f t="shared" si="26"/>
        <v>10</v>
      </c>
      <c r="M146" s="386">
        <f t="shared" si="21"/>
        <v>126</v>
      </c>
      <c r="N146" s="590">
        <f>INDEX(tblSubjectToLoan[Date],ROW()-ROW(tblContractForDeed[#Headers]))</f>
        <v>49706</v>
      </c>
      <c r="O146" s="275">
        <f>IF(ROW()=ROW(tblContractForDeed[#Headers])+1,$O$6,IF(INDEX(tblContractForDeed[End Bal],ROW()-ROW(tblContractForDeed[#Headers])-1)&lt;0,0,INDEX(tblContractForDeed[End Bal],ROW()-ROW(tblContractForDeed[#Headers])-1)))</f>
        <v>35842.910000000033</v>
      </c>
      <c r="P146" s="445">
        <f>IF(tblContractForDeed[[#This Row],[Date]]="","",IF(tblContractForDeed[[#This Row],[Date]]&lt;cfdRateChangeDate,cfdRate1,cfdRate2))</f>
        <v>6.7500000000000004E-2</v>
      </c>
      <c r="Q1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6" s="275">
        <f>IF(tblContractForDeed[[#This Row],[Payment]]=0,0,MAX(0,MIN(tblContractForDeed[[#This Row],[Beg]],tblContractForDeed[[#This Row],[Payment]]-tblContractForDeed[[#This Row],[Int]])))</f>
        <v>458.28</v>
      </c>
      <c r="S146" s="275">
        <f>IF(OR(tblContractForDeed[[#This Row],[Date]]&lt;cfdContractDate,tblContractForDeed[[#This Row],[Date]]&gt;cfdEndDate),0,ROUND(tblContractForDeed[[#This Row],[Beg]]*(tblContractForDeed[[#This Row],[Int Rate]]/12),2))</f>
        <v>201.62</v>
      </c>
      <c r="T146" s="275">
        <f>IF(tblContractForDeed[[#This Row],[Payment]]=0,0,$W$2)</f>
        <v>134.16999999999999</v>
      </c>
      <c r="U146" s="275">
        <f>IF(tblContractForDeed[[#This Row],[Princ]]=0,0,$W$3)</f>
        <v>188.55</v>
      </c>
      <c r="V146" s="275">
        <f>SUM(tblContractForDeed[[#This Row],[Princ]],tblContractForDeed[[#This Row],[Int]],tblContractForDeed[[#This Row],[Ins]],tblContractForDeed[[#This Row],[Taxes]])</f>
        <v>982.61999999999989</v>
      </c>
      <c r="W146" s="275">
        <f>SUM(INDEX(tblContractForDeed[Princ],1):INDEX(tblContractForDeed[Princ],ROW()-ROW(tblContractForDeed[#Headers])))</f>
        <v>39873.370000000017</v>
      </c>
      <c r="X146" s="275">
        <f>IF(tblContractForDeed[[#This Row],[Beg]]&lt;=0,0,tblContractForDeed[[#This Row],[Beg]]-tblContractForDeed[[#This Row],[Princ]])</f>
        <v>35384.630000000034</v>
      </c>
      <c r="Y14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6" s="454">
        <f>IF(INDEX(tblContractForDeed[Payment],ROW()-ROW(tblBuyerOutputs[#Headers]))=0,0,INDEX(tblContractForDeed[Payment],ROW()-ROW(tblBuyerOutputs[#Headers]))-INDEX(tblSubjectToLoan[Payment],ROW()-ROW(tblBuyerOutputs[#Headers])))</f>
        <v>34.090000000000032</v>
      </c>
      <c r="AA146"/>
      <c r="AB146" s="14">
        <f>IF(INDEX(tblContractForDeed[Payment],ROW()-ROW(tblBuyerOutputs[#Headers]))=0,0,INDEX(tblContractForDeed[Payment],ROW()-ROW(tblBuyerOutputs[#Headers]))-INDEX(tblSubjectToLoan[Payment],ROW()-ROW(tblBuyerOutputs[#Headers])))-IFERROR(tblBuyerOutputs[[#This Row],[PMI]],0)</f>
        <v>34.090000000000032</v>
      </c>
      <c r="AC1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2596.6800000000085</v>
      </c>
      <c r="AD146" s="275">
        <f>IF(INDEX(tblContractForDeed[End Bal],ROW()-ROW(tblBuyerOutputs[#Headers]))&lt;=0,0,($O$6+IF(ROW()=ROW(tblBuyerOutputs[#Headers])+1,0,INDEX(tblBuyerOutputs[Cumul Appr],ROW()-ROW(tblBuyerOutputs[#Headers])-1)))*$O$2/12)</f>
        <v>529.50777290572933</v>
      </c>
      <c r="AE146" s="275">
        <f>IF(INDEX(tblContractForDeed[End Bal],ROW()-ROW(tblBuyerOutputs[#Headers]))&lt;=0,0,IF(ROW()=ROW(tblBuyerOutputs[#Headers])+1,0,INDEX(tblBuyerOutputs[Cumul Appr],ROW()-ROW(tblBuyerOutputs[#Headers])-1))+tblBuyerOutputs[[#This Row],[Monthly Appr]])</f>
        <v>52353.373270280761</v>
      </c>
      <c r="AF146" s="22"/>
      <c r="AG146" s="14"/>
      <c r="AL146"/>
      <c r="AM146" s="14"/>
      <c r="AO146" s="275"/>
      <c r="AQ146" s="14"/>
      <c r="AR146"/>
    </row>
    <row r="147" spans="1:44" x14ac:dyDescent="0.25">
      <c r="A147" s="590">
        <f t="shared" si="17"/>
        <v>49735</v>
      </c>
      <c r="B147" s="275">
        <f t="shared" si="18"/>
        <v>47129.109999999935</v>
      </c>
      <c r="C147" s="14">
        <f t="shared" si="14"/>
        <v>625.80999999999995</v>
      </c>
      <c r="D147" s="14">
        <f t="shared" si="19"/>
        <v>478.53</v>
      </c>
      <c r="E147" s="14">
        <f t="shared" si="15"/>
        <v>147.28</v>
      </c>
      <c r="F147" s="14">
        <f t="shared" si="29"/>
        <v>134.16999999999999</v>
      </c>
      <c r="G147" s="14">
        <f t="shared" si="29"/>
        <v>188.55</v>
      </c>
      <c r="H147" s="14">
        <f t="shared" si="28"/>
        <v>948.53</v>
      </c>
      <c r="I147" s="275">
        <f t="shared" si="22"/>
        <v>50881.260000000009</v>
      </c>
      <c r="J147" s="275">
        <f t="shared" si="23"/>
        <v>29526.259999999991</v>
      </c>
      <c r="K147" s="275">
        <f t="shared" si="20"/>
        <v>46650.579999999936</v>
      </c>
      <c r="L147" s="386">
        <f t="shared" si="26"/>
        <v>10</v>
      </c>
      <c r="M147" s="386">
        <f t="shared" si="21"/>
        <v>127</v>
      </c>
      <c r="N147" s="590">
        <f>INDEX(tblSubjectToLoan[Date],ROW()-ROW(tblContractForDeed[#Headers]))</f>
        <v>49735</v>
      </c>
      <c r="O147" s="275">
        <f>IF(ROW()=ROW(tblContractForDeed[#Headers])+1,$O$6,IF(INDEX(tblContractForDeed[End Bal],ROW()-ROW(tblContractForDeed[#Headers])-1)&lt;0,0,INDEX(tblContractForDeed[End Bal],ROW()-ROW(tblContractForDeed[#Headers])-1)))</f>
        <v>35384.630000000034</v>
      </c>
      <c r="P147" s="445">
        <f>IF(tblContractForDeed[[#This Row],[Date]]="","",IF(tblContractForDeed[[#This Row],[Date]]&lt;cfdRateChangeDate,cfdRate1,cfdRate2))</f>
        <v>6.7500000000000004E-2</v>
      </c>
      <c r="Q14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7" s="275">
        <f>IF(tblContractForDeed[[#This Row],[Payment]]=0,0,MAX(0,MIN(tblContractForDeed[[#This Row],[Beg]],tblContractForDeed[[#This Row],[Payment]]-tblContractForDeed[[#This Row],[Int]])))</f>
        <v>460.86</v>
      </c>
      <c r="S147" s="275">
        <f>IF(OR(tblContractForDeed[[#This Row],[Date]]&lt;cfdContractDate,tblContractForDeed[[#This Row],[Date]]&gt;cfdEndDate),0,ROUND(tblContractForDeed[[#This Row],[Beg]]*(tblContractForDeed[[#This Row],[Int Rate]]/12),2))</f>
        <v>199.04</v>
      </c>
      <c r="T147" s="275">
        <f>IF(tblContractForDeed[[#This Row],[Payment]]=0,0,$W$2)</f>
        <v>134.16999999999999</v>
      </c>
      <c r="U147" s="275">
        <f>IF(tblContractForDeed[[#This Row],[Princ]]=0,0,$W$3)</f>
        <v>188.55</v>
      </c>
      <c r="V147" s="275">
        <f>SUM(tblContractForDeed[[#This Row],[Princ]],tblContractForDeed[[#This Row],[Int]],tblContractForDeed[[#This Row],[Ins]],tblContractForDeed[[#This Row],[Taxes]])</f>
        <v>982.61999999999989</v>
      </c>
      <c r="W147" s="275">
        <f>SUM(INDEX(tblContractForDeed[Princ],1):INDEX(tblContractForDeed[Princ],ROW()-ROW(tblContractForDeed[#Headers])))</f>
        <v>40334.230000000018</v>
      </c>
      <c r="X147" s="275">
        <f>IF(tblContractForDeed[[#This Row],[Beg]]&lt;=0,0,tblContractForDeed[[#This Row],[Beg]]-tblContractForDeed[[#This Row],[Princ]])</f>
        <v>34923.770000000033</v>
      </c>
      <c r="Y14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7" s="454">
        <f>IF(INDEX(tblContractForDeed[Payment],ROW()-ROW(tblBuyerOutputs[#Headers]))=0,0,INDEX(tblContractForDeed[Payment],ROW()-ROW(tblBuyerOutputs[#Headers]))-INDEX(tblSubjectToLoan[Payment],ROW()-ROW(tblBuyerOutputs[#Headers])))</f>
        <v>34.090000000000032</v>
      </c>
      <c r="AA147"/>
      <c r="AB147" s="14">
        <f>IF(INDEX(tblContractForDeed[Payment],ROW()-ROW(tblBuyerOutputs[#Headers]))=0,0,INDEX(tblContractForDeed[Payment],ROW()-ROW(tblBuyerOutputs[#Headers]))-INDEX(tblSubjectToLoan[Payment],ROW()-ROW(tblBuyerOutputs[#Headers])))-IFERROR(tblBuyerOutputs[[#This Row],[PMI]],0)</f>
        <v>34.090000000000032</v>
      </c>
      <c r="AC1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2630.7700000000086</v>
      </c>
      <c r="AD147" s="275">
        <f>IF(INDEX(tblContractForDeed[End Bal],ROW()-ROW(tblBuyerOutputs[#Headers]))&lt;=0,0,($O$6+IF(ROW()=ROW(tblBuyerOutputs[#Headers])+1,0,INDEX(tblBuyerOutputs[Cumul Appr],ROW()-ROW(tblBuyerOutputs[#Headers])-1)))*$O$2/12)</f>
        <v>531.71405529283652</v>
      </c>
      <c r="AE147" s="275">
        <f>IF(INDEX(tblContractForDeed[End Bal],ROW()-ROW(tblBuyerOutputs[#Headers]))&lt;=0,0,IF(ROW()=ROW(tblBuyerOutputs[#Headers])+1,0,INDEX(tblBuyerOutputs[Cumul Appr],ROW()-ROW(tblBuyerOutputs[#Headers])-1))+tblBuyerOutputs[[#This Row],[Monthly Appr]])</f>
        <v>52885.087325573601</v>
      </c>
      <c r="AF147" s="22"/>
      <c r="AG147" s="14"/>
      <c r="AL147"/>
      <c r="AM147" s="14"/>
      <c r="AO147" s="275"/>
      <c r="AQ147" s="14"/>
      <c r="AR147"/>
    </row>
    <row r="148" spans="1:44" x14ac:dyDescent="0.25">
      <c r="A148" s="590">
        <f t="shared" si="17"/>
        <v>49766</v>
      </c>
      <c r="B148" s="275">
        <f t="shared" si="18"/>
        <v>46650.579999999936</v>
      </c>
      <c r="C148" s="14">
        <f t="shared" ref="C148:C211" si="30">IF(A148="",0,IF(B148&lt;=0,0,IF(A148=subjectMortgageEndDate,B148+E148,MIN(subjectPayment,B148+E148))))</f>
        <v>625.80999999999995</v>
      </c>
      <c r="D148" s="14">
        <f t="shared" si="19"/>
        <v>480.03</v>
      </c>
      <c r="E148" s="14">
        <f t="shared" ref="E148:E211" si="31">IF(OR(A148="",B148&lt;=0),0,ROUND(B148*(subjectInterestRate/12),2))</f>
        <v>145.78</v>
      </c>
      <c r="F148" s="14">
        <f t="shared" si="29"/>
        <v>134.16999999999999</v>
      </c>
      <c r="G148" s="14">
        <f t="shared" si="29"/>
        <v>188.55</v>
      </c>
      <c r="H148" s="14">
        <f t="shared" si="28"/>
        <v>948.53</v>
      </c>
      <c r="I148" s="275">
        <f t="shared" si="22"/>
        <v>51361.290000000008</v>
      </c>
      <c r="J148" s="275">
        <f t="shared" si="23"/>
        <v>29672.03999999999</v>
      </c>
      <c r="K148" s="275">
        <f t="shared" si="20"/>
        <v>46170.549999999937</v>
      </c>
      <c r="L148" s="386">
        <f t="shared" si="26"/>
        <v>10</v>
      </c>
      <c r="M148" s="386">
        <f t="shared" si="21"/>
        <v>128</v>
      </c>
      <c r="N148" s="590">
        <f>INDEX(tblSubjectToLoan[Date],ROW()-ROW(tblContractForDeed[#Headers]))</f>
        <v>49766</v>
      </c>
      <c r="O148" s="275">
        <f>IF(ROW()=ROW(tblContractForDeed[#Headers])+1,$O$6,IF(INDEX(tblContractForDeed[End Bal],ROW()-ROW(tblContractForDeed[#Headers])-1)&lt;0,0,INDEX(tblContractForDeed[End Bal],ROW()-ROW(tblContractForDeed[#Headers])-1)))</f>
        <v>34923.770000000033</v>
      </c>
      <c r="P148" s="445">
        <f>IF(tblContractForDeed[[#This Row],[Date]]="","",IF(tblContractForDeed[[#This Row],[Date]]&lt;cfdRateChangeDate,cfdRate1,cfdRate2))</f>
        <v>6.7500000000000004E-2</v>
      </c>
      <c r="Q1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8" s="275">
        <f>IF(tblContractForDeed[[#This Row],[Payment]]=0,0,MAX(0,MIN(tblContractForDeed[[#This Row],[Beg]],tblContractForDeed[[#This Row],[Payment]]-tblContractForDeed[[#This Row],[Int]])))</f>
        <v>463.45</v>
      </c>
      <c r="S148" s="275">
        <f>IF(OR(tblContractForDeed[[#This Row],[Date]]&lt;cfdContractDate,tblContractForDeed[[#This Row],[Date]]&gt;cfdEndDate),0,ROUND(tblContractForDeed[[#This Row],[Beg]]*(tblContractForDeed[[#This Row],[Int Rate]]/12),2))</f>
        <v>196.45</v>
      </c>
      <c r="T148" s="275">
        <f>IF(tblContractForDeed[[#This Row],[Payment]]=0,0,$W$2)</f>
        <v>134.16999999999999</v>
      </c>
      <c r="U148" s="275">
        <f>IF(tblContractForDeed[[#This Row],[Princ]]=0,0,$W$3)</f>
        <v>188.55</v>
      </c>
      <c r="V148" s="275">
        <f>SUM(tblContractForDeed[[#This Row],[Princ]],tblContractForDeed[[#This Row],[Int]],tblContractForDeed[[#This Row],[Ins]],tblContractForDeed[[#This Row],[Taxes]])</f>
        <v>982.61999999999989</v>
      </c>
      <c r="W148" s="275">
        <f>SUM(INDEX(tblContractForDeed[Princ],1):INDEX(tblContractForDeed[Princ],ROW()-ROW(tblContractForDeed[#Headers])))</f>
        <v>40797.680000000015</v>
      </c>
      <c r="X148" s="275">
        <f>IF(tblContractForDeed[[#This Row],[Beg]]&lt;=0,0,tblContractForDeed[[#This Row],[Beg]]-tblContractForDeed[[#This Row],[Princ]])</f>
        <v>34460.320000000036</v>
      </c>
      <c r="Y14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8" s="454">
        <f>IF(INDEX(tblContractForDeed[Payment],ROW()-ROW(tblBuyerOutputs[#Headers]))=0,0,INDEX(tblContractForDeed[Payment],ROW()-ROW(tblBuyerOutputs[#Headers]))-INDEX(tblSubjectToLoan[Payment],ROW()-ROW(tblBuyerOutputs[#Headers])))</f>
        <v>34.090000000000032</v>
      </c>
      <c r="AA148"/>
      <c r="AB148" s="14">
        <f>IF(INDEX(tblContractForDeed[Payment],ROW()-ROW(tblBuyerOutputs[#Headers]))=0,0,INDEX(tblContractForDeed[Payment],ROW()-ROW(tblBuyerOutputs[#Headers]))-INDEX(tblSubjectToLoan[Payment],ROW()-ROW(tblBuyerOutputs[#Headers])))-IFERROR(tblBuyerOutputs[[#This Row],[PMI]],0)</f>
        <v>34.090000000000032</v>
      </c>
      <c r="AC1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2664.8600000000088</v>
      </c>
      <c r="AD148" s="275">
        <f>IF(INDEX(tblContractForDeed[End Bal],ROW()-ROW(tblBuyerOutputs[#Headers]))&lt;=0,0,($O$6+IF(ROW()=ROW(tblBuyerOutputs[#Headers])+1,0,INDEX(tblBuyerOutputs[Cumul Appr],ROW()-ROW(tblBuyerOutputs[#Headers])-1)))*$O$2/12)</f>
        <v>533.92953052322343</v>
      </c>
      <c r="AE148" s="275">
        <f>IF(INDEX(tblContractForDeed[End Bal],ROW()-ROW(tblBuyerOutputs[#Headers]))&lt;=0,0,IF(ROW()=ROW(tblBuyerOutputs[#Headers])+1,0,INDEX(tblBuyerOutputs[Cumul Appr],ROW()-ROW(tblBuyerOutputs[#Headers])-1))+tblBuyerOutputs[[#This Row],[Monthly Appr]])</f>
        <v>53419.016856096823</v>
      </c>
      <c r="AF148" s="22"/>
      <c r="AG148" s="14"/>
      <c r="AL148"/>
      <c r="AM148" s="14"/>
      <c r="AO148" s="275"/>
      <c r="AQ148" s="14"/>
      <c r="AR148"/>
    </row>
    <row r="149" spans="1:44" x14ac:dyDescent="0.25">
      <c r="A149" s="590">
        <f t="shared" ref="A149:A212" si="32">IF(OR(A148="",A148&gt;=subjectMortgageEndDate),"",EDATE(A148,1))</f>
        <v>49796</v>
      </c>
      <c r="B149" s="275">
        <f t="shared" ref="B149:B212" si="33">IF(A149="",0,MAX(0,K148))</f>
        <v>46170.549999999937</v>
      </c>
      <c r="C149" s="14">
        <f t="shared" si="30"/>
        <v>625.80999999999995</v>
      </c>
      <c r="D149" s="14">
        <f t="shared" ref="D149:D212" si="34">IF(C149=0,0,MAX(0,MIN(B149,C149-E149)))</f>
        <v>481.53</v>
      </c>
      <c r="E149" s="14">
        <f t="shared" si="31"/>
        <v>144.28</v>
      </c>
      <c r="F149" s="14">
        <f t="shared" si="29"/>
        <v>134.16999999999999</v>
      </c>
      <c r="G149" s="14">
        <f t="shared" si="29"/>
        <v>188.55</v>
      </c>
      <c r="H149" s="14">
        <f t="shared" si="28"/>
        <v>948.53</v>
      </c>
      <c r="I149" s="275">
        <f t="shared" si="22"/>
        <v>51842.820000000007</v>
      </c>
      <c r="J149" s="275">
        <f t="shared" si="23"/>
        <v>29816.319999999989</v>
      </c>
      <c r="K149" s="275">
        <f t="shared" ref="K149:K212" si="35">IF(A149="",0,IF(B149&lt;=0,0,MAX(0,B149-D149)))</f>
        <v>45689.019999999939</v>
      </c>
      <c r="L149" s="386">
        <f t="shared" si="26"/>
        <v>10</v>
      </c>
      <c r="M149" s="386">
        <f t="shared" ref="M149:M212" si="36">IF($A149&lt;&gt;"",M148+1,0)</f>
        <v>129</v>
      </c>
      <c r="N149" s="590">
        <f>INDEX(tblSubjectToLoan[Date],ROW()-ROW(tblContractForDeed[#Headers]))</f>
        <v>49796</v>
      </c>
      <c r="O149" s="275">
        <f>IF(ROW()=ROW(tblContractForDeed[#Headers])+1,$O$6,IF(INDEX(tblContractForDeed[End Bal],ROW()-ROW(tblContractForDeed[#Headers])-1)&lt;0,0,INDEX(tblContractForDeed[End Bal],ROW()-ROW(tblContractForDeed[#Headers])-1)))</f>
        <v>34460.320000000036</v>
      </c>
      <c r="P149" s="445">
        <f>IF(tblContractForDeed[[#This Row],[Date]]="","",IF(tblContractForDeed[[#This Row],[Date]]&lt;cfdRateChangeDate,cfdRate1,cfdRate2))</f>
        <v>6.7500000000000004E-2</v>
      </c>
      <c r="Q1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9" s="275">
        <f>IF(tblContractForDeed[[#This Row],[Payment]]=0,0,MAX(0,MIN(tblContractForDeed[[#This Row],[Beg]],tblContractForDeed[[#This Row],[Payment]]-tblContractForDeed[[#This Row],[Int]])))</f>
        <v>466.05999999999995</v>
      </c>
      <c r="S149" s="275">
        <f>IF(OR(tblContractForDeed[[#This Row],[Date]]&lt;cfdContractDate,tblContractForDeed[[#This Row],[Date]]&gt;cfdEndDate),0,ROUND(tblContractForDeed[[#This Row],[Beg]]*(tblContractForDeed[[#This Row],[Int Rate]]/12),2))</f>
        <v>193.84</v>
      </c>
      <c r="T149" s="275">
        <f>IF(tblContractForDeed[[#This Row],[Payment]]=0,0,$W$2)</f>
        <v>134.16999999999999</v>
      </c>
      <c r="U149" s="275">
        <f>IF(tblContractForDeed[[#This Row],[Princ]]=0,0,$W$3)</f>
        <v>188.55</v>
      </c>
      <c r="V149" s="275">
        <f>SUM(tblContractForDeed[[#This Row],[Princ]],tblContractForDeed[[#This Row],[Int]],tblContractForDeed[[#This Row],[Ins]],tblContractForDeed[[#This Row],[Taxes]])</f>
        <v>982.61999999999989</v>
      </c>
      <c r="W149" s="275">
        <f>SUM(INDEX(tblContractForDeed[Princ],1):INDEX(tblContractForDeed[Princ],ROW()-ROW(tblContractForDeed[#Headers])))</f>
        <v>41263.740000000013</v>
      </c>
      <c r="X149" s="275">
        <f>IF(tblContractForDeed[[#This Row],[Beg]]&lt;=0,0,tblContractForDeed[[#This Row],[Beg]]-tblContractForDeed[[#This Row],[Princ]])</f>
        <v>33994.260000000038</v>
      </c>
      <c r="Y14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49" s="454">
        <f>IF(INDEX(tblContractForDeed[Payment],ROW()-ROW(tblBuyerOutputs[#Headers]))=0,0,INDEX(tblContractForDeed[Payment],ROW()-ROW(tblBuyerOutputs[#Headers]))-INDEX(tblSubjectToLoan[Payment],ROW()-ROW(tblBuyerOutputs[#Headers])))</f>
        <v>34.090000000000032</v>
      </c>
      <c r="AA149"/>
      <c r="AB149" s="14">
        <f>IF(INDEX(tblContractForDeed[Payment],ROW()-ROW(tblBuyerOutputs[#Headers]))=0,0,INDEX(tblContractForDeed[Payment],ROW()-ROW(tblBuyerOutputs[#Headers]))-INDEX(tblSubjectToLoan[Payment],ROW()-ROW(tblBuyerOutputs[#Headers])))-IFERROR(tblBuyerOutputs[[#This Row],[PMI]],0)</f>
        <v>34.090000000000032</v>
      </c>
      <c r="AC1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2698.9500000000089</v>
      </c>
      <c r="AD149" s="275">
        <f>IF(INDEX(tblContractForDeed[End Bal],ROW()-ROW(tblBuyerOutputs[#Headers]))&lt;=0,0,($O$6+IF(ROW()=ROW(tblBuyerOutputs[#Headers])+1,0,INDEX(tblBuyerOutputs[Cumul Appr],ROW()-ROW(tblBuyerOutputs[#Headers])-1)))*$O$2/12)</f>
        <v>536.15423690040348</v>
      </c>
      <c r="AE149" s="275">
        <f>IF(INDEX(tblContractForDeed[End Bal],ROW()-ROW(tblBuyerOutputs[#Headers]))&lt;=0,0,IF(ROW()=ROW(tblBuyerOutputs[#Headers])+1,0,INDEX(tblBuyerOutputs[Cumul Appr],ROW()-ROW(tblBuyerOutputs[#Headers])-1))+tblBuyerOutputs[[#This Row],[Monthly Appr]])</f>
        <v>53955.171092997225</v>
      </c>
      <c r="AF149" s="22"/>
      <c r="AG149" s="14"/>
      <c r="AL149"/>
      <c r="AM149" s="14"/>
      <c r="AO149" s="275"/>
      <c r="AQ149" s="14"/>
      <c r="AR149"/>
    </row>
    <row r="150" spans="1:44" x14ac:dyDescent="0.25">
      <c r="A150" s="590">
        <f t="shared" si="32"/>
        <v>49827</v>
      </c>
      <c r="B150" s="275">
        <f t="shared" si="33"/>
        <v>45689.019999999939</v>
      </c>
      <c r="C150" s="14">
        <f t="shared" si="30"/>
        <v>625.80999999999995</v>
      </c>
      <c r="D150" s="14">
        <f t="shared" si="34"/>
        <v>483.03</v>
      </c>
      <c r="E150" s="14">
        <f t="shared" si="31"/>
        <v>142.78</v>
      </c>
      <c r="F150" s="14">
        <f t="shared" si="29"/>
        <v>134.16999999999999</v>
      </c>
      <c r="G150" s="14">
        <f t="shared" si="29"/>
        <v>188.55</v>
      </c>
      <c r="H150" s="14">
        <f t="shared" si="28"/>
        <v>948.53</v>
      </c>
      <c r="I150" s="275">
        <f t="shared" ref="I150:I213" si="37">$D150+$I149</f>
        <v>52325.850000000006</v>
      </c>
      <c r="J150" s="275">
        <f t="shared" ref="J150:J213" si="38">$E150+$J149</f>
        <v>29959.099999999988</v>
      </c>
      <c r="K150" s="275">
        <f t="shared" si="35"/>
        <v>45205.98999999994</v>
      </c>
      <c r="L150" s="386">
        <f t="shared" si="26"/>
        <v>10</v>
      </c>
      <c r="M150" s="386">
        <f t="shared" si="36"/>
        <v>130</v>
      </c>
      <c r="N150" s="590">
        <f>INDEX(tblSubjectToLoan[Date],ROW()-ROW(tblContractForDeed[#Headers]))</f>
        <v>49827</v>
      </c>
      <c r="O150" s="275">
        <f>IF(ROW()=ROW(tblContractForDeed[#Headers])+1,$O$6,IF(INDEX(tblContractForDeed[End Bal],ROW()-ROW(tblContractForDeed[#Headers])-1)&lt;0,0,INDEX(tblContractForDeed[End Bal],ROW()-ROW(tblContractForDeed[#Headers])-1)))</f>
        <v>33994.260000000038</v>
      </c>
      <c r="P150" s="445">
        <f>IF(tblContractForDeed[[#This Row],[Date]]="","",IF(tblContractForDeed[[#This Row],[Date]]&lt;cfdRateChangeDate,cfdRate1,cfdRate2))</f>
        <v>6.7500000000000004E-2</v>
      </c>
      <c r="Q1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0" s="275">
        <f>IF(tblContractForDeed[[#This Row],[Payment]]=0,0,MAX(0,MIN(tblContractForDeed[[#This Row],[Beg]],tblContractForDeed[[#This Row],[Payment]]-tblContractForDeed[[#This Row],[Int]])))</f>
        <v>468.67999999999995</v>
      </c>
      <c r="S150" s="275">
        <f>IF(OR(tblContractForDeed[[#This Row],[Date]]&lt;cfdContractDate,tblContractForDeed[[#This Row],[Date]]&gt;cfdEndDate),0,ROUND(tblContractForDeed[[#This Row],[Beg]]*(tblContractForDeed[[#This Row],[Int Rate]]/12),2))</f>
        <v>191.22</v>
      </c>
      <c r="T150" s="275">
        <f>IF(tblContractForDeed[[#This Row],[Payment]]=0,0,$W$2)</f>
        <v>134.16999999999999</v>
      </c>
      <c r="U150" s="275">
        <f>IF(tblContractForDeed[[#This Row],[Princ]]=0,0,$W$3)</f>
        <v>188.55</v>
      </c>
      <c r="V150" s="275">
        <f>SUM(tblContractForDeed[[#This Row],[Princ]],tblContractForDeed[[#This Row],[Int]],tblContractForDeed[[#This Row],[Ins]],tblContractForDeed[[#This Row],[Taxes]])</f>
        <v>982.61999999999989</v>
      </c>
      <c r="W150" s="275">
        <f>SUM(INDEX(tblContractForDeed[Princ],1):INDEX(tblContractForDeed[Princ],ROW()-ROW(tblContractForDeed[#Headers])))</f>
        <v>41732.420000000013</v>
      </c>
      <c r="X150" s="275">
        <f>IF(tblContractForDeed[[#This Row],[Beg]]&lt;=0,0,tblContractForDeed[[#This Row],[Beg]]-tblContractForDeed[[#This Row],[Princ]])</f>
        <v>33525.580000000038</v>
      </c>
      <c r="Y15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0" s="454">
        <f>IF(INDEX(tblContractForDeed[Payment],ROW()-ROW(tblBuyerOutputs[#Headers]))=0,0,INDEX(tblContractForDeed[Payment],ROW()-ROW(tblBuyerOutputs[#Headers]))-INDEX(tblSubjectToLoan[Payment],ROW()-ROW(tblBuyerOutputs[#Headers])))</f>
        <v>34.090000000000032</v>
      </c>
      <c r="AA150"/>
      <c r="AB150" s="14">
        <f>IF(INDEX(tblContractForDeed[Payment],ROW()-ROW(tblBuyerOutputs[#Headers]))=0,0,INDEX(tblContractForDeed[Payment],ROW()-ROW(tblBuyerOutputs[#Headers]))-INDEX(tblSubjectToLoan[Payment],ROW()-ROW(tblBuyerOutputs[#Headers])))-IFERROR(tblBuyerOutputs[[#This Row],[PMI]],0)</f>
        <v>34.090000000000032</v>
      </c>
      <c r="AC1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2733.0400000000091</v>
      </c>
      <c r="AD150" s="275">
        <f>IF(INDEX(tblContractForDeed[End Bal],ROW()-ROW(tblBuyerOutputs[#Headers]))&lt;=0,0,($O$6+IF(ROW()=ROW(tblBuyerOutputs[#Headers])+1,0,INDEX(tblBuyerOutputs[Cumul Appr],ROW()-ROW(tblBuyerOutputs[#Headers])-1)))*$O$2/12)</f>
        <v>538.38821288748841</v>
      </c>
      <c r="AE150" s="275">
        <f>IF(INDEX(tblContractForDeed[End Bal],ROW()-ROW(tblBuyerOutputs[#Headers]))&lt;=0,0,IF(ROW()=ROW(tblBuyerOutputs[#Headers])+1,0,INDEX(tblBuyerOutputs[Cumul Appr],ROW()-ROW(tblBuyerOutputs[#Headers])-1))+tblBuyerOutputs[[#This Row],[Monthly Appr]])</f>
        <v>54493.559305884715</v>
      </c>
      <c r="AF150" s="22"/>
      <c r="AG150" s="14"/>
      <c r="AL150"/>
      <c r="AM150" s="14"/>
      <c r="AO150" s="275"/>
      <c r="AQ150" s="14"/>
      <c r="AR150"/>
    </row>
    <row r="151" spans="1:44" ht="15.75" thickBot="1" x14ac:dyDescent="0.3">
      <c r="A151" s="591">
        <f t="shared" si="32"/>
        <v>49857</v>
      </c>
      <c r="B151" s="326">
        <f t="shared" si="33"/>
        <v>45205.98999999994</v>
      </c>
      <c r="C151" s="21">
        <f t="shared" si="30"/>
        <v>625.80999999999995</v>
      </c>
      <c r="D151" s="21">
        <f t="shared" si="34"/>
        <v>484.53999999999996</v>
      </c>
      <c r="E151" s="21">
        <f t="shared" si="31"/>
        <v>141.27000000000001</v>
      </c>
      <c r="F151" s="21">
        <f t="shared" si="29"/>
        <v>134.16999999999999</v>
      </c>
      <c r="G151" s="21">
        <f t="shared" si="29"/>
        <v>188.55</v>
      </c>
      <c r="H151" s="21">
        <f t="shared" si="28"/>
        <v>948.53</v>
      </c>
      <c r="I151" s="326">
        <f t="shared" si="37"/>
        <v>52810.390000000007</v>
      </c>
      <c r="J151" s="326">
        <f t="shared" si="38"/>
        <v>30100.369999999988</v>
      </c>
      <c r="K151" s="326">
        <f t="shared" si="35"/>
        <v>44721.449999999939</v>
      </c>
      <c r="L151" s="387">
        <f t="shared" si="26"/>
        <v>10</v>
      </c>
      <c r="M151" s="387">
        <f t="shared" si="36"/>
        <v>131</v>
      </c>
      <c r="N151" s="591">
        <f>INDEX(tblSubjectToLoan[Date],ROW()-ROW(tblContractForDeed[#Headers]))</f>
        <v>49857</v>
      </c>
      <c r="O151" s="326">
        <f>IF(ROW()=ROW(tblContractForDeed[#Headers])+1,$O$6,IF(INDEX(tblContractForDeed[End Bal],ROW()-ROW(tblContractForDeed[#Headers])-1)&lt;0,0,INDEX(tblContractForDeed[End Bal],ROW()-ROW(tblContractForDeed[#Headers])-1)))</f>
        <v>33525.580000000038</v>
      </c>
      <c r="P151" s="445">
        <f>IF(tblContractForDeed[[#This Row],[Date]]="","",IF(tblContractForDeed[[#This Row],[Date]]&lt;cfdRateChangeDate,cfdRate1,cfdRate2))</f>
        <v>6.7500000000000004E-2</v>
      </c>
      <c r="Q15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1" s="326">
        <f>IF(tblContractForDeed[[#This Row],[Payment]]=0,0,MAX(0,MIN(tblContractForDeed[[#This Row],[Beg]],tblContractForDeed[[#This Row],[Payment]]-tblContractForDeed[[#This Row],[Int]])))</f>
        <v>471.31999999999994</v>
      </c>
      <c r="S151" s="326">
        <f>IF(OR(tblContractForDeed[[#This Row],[Date]]&lt;cfdContractDate,tblContractForDeed[[#This Row],[Date]]&gt;cfdEndDate),0,ROUND(tblContractForDeed[[#This Row],[Beg]]*(tblContractForDeed[[#This Row],[Int Rate]]/12),2))</f>
        <v>188.58</v>
      </c>
      <c r="T151" s="326">
        <f>IF(tblContractForDeed[[#This Row],[Payment]]=0,0,$W$2)</f>
        <v>134.16999999999999</v>
      </c>
      <c r="U151" s="326">
        <f>IF(tblContractForDeed[[#This Row],[Princ]]=0,0,$W$3)</f>
        <v>188.55</v>
      </c>
      <c r="V151" s="326">
        <f>SUM(tblContractForDeed[[#This Row],[Princ]],tblContractForDeed[[#This Row],[Int]],tblContractForDeed[[#This Row],[Ins]],tblContractForDeed[[#This Row],[Taxes]])</f>
        <v>982.61999999999989</v>
      </c>
      <c r="W151" s="326">
        <f>SUM(INDEX(tblContractForDeed[Princ],1):INDEX(tblContractForDeed[Princ],ROW()-ROW(tblContractForDeed[#Headers])))</f>
        <v>42203.740000000013</v>
      </c>
      <c r="X151" s="326">
        <f>IF(tblContractForDeed[[#This Row],[Beg]]&lt;=0,0,tblContractForDeed[[#This Row],[Beg]]-tblContractForDeed[[#This Row],[Princ]])</f>
        <v>33054.260000000038</v>
      </c>
      <c r="Y151"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120</v>
      </c>
      <c r="Z151" s="455">
        <f>IF(INDEX(tblContractForDeed[Payment],ROW()-ROW(tblBuyerOutputs[#Headers]))=0,0,INDEX(tblContractForDeed[Payment],ROW()-ROW(tblBuyerOutputs[#Headers]))-INDEX(tblSubjectToLoan[Payment],ROW()-ROW(tblBuyerOutputs[#Headers])))</f>
        <v>34.090000000000032</v>
      </c>
      <c r="AA151" s="23"/>
      <c r="AB151" s="21">
        <f>IF(INDEX(tblContractForDeed[Payment],ROW()-ROW(tblBuyerOutputs[#Headers]))=0,0,INDEX(tblContractForDeed[Payment],ROW()-ROW(tblBuyerOutputs[#Headers]))-INDEX(tblSubjectToLoan[Payment],ROW()-ROW(tblBuyerOutputs[#Headers])))-IFERROR(tblBuyerOutputs[[#This Row],[PMI]],0)</f>
        <v>34.090000000000032</v>
      </c>
      <c r="AC1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2767.1300000000092</v>
      </c>
      <c r="AD151" s="326">
        <f>IF(INDEX(tblContractForDeed[End Bal],ROW()-ROW(tblBuyerOutputs[#Headers]))&lt;=0,0,($O$6+IF(ROW()=ROW(tblBuyerOutputs[#Headers])+1,0,INDEX(tblBuyerOutputs[Cumul Appr],ROW()-ROW(tblBuyerOutputs[#Headers])-1)))*$O$2/12)</f>
        <v>540.63149710785308</v>
      </c>
      <c r="AE151" s="326">
        <f>IF(INDEX(tblContractForDeed[End Bal],ROW()-ROW(tblBuyerOutputs[#Headers]))&lt;=0,0,IF(ROW()=ROW(tblBuyerOutputs[#Headers])+1,0,INDEX(tblBuyerOutputs[Cumul Appr],ROW()-ROW(tblBuyerOutputs[#Headers])-1))+tblBuyerOutputs[[#This Row],[Monthly Appr]])</f>
        <v>55034.190802992569</v>
      </c>
      <c r="AF151" s="22"/>
      <c r="AG151" s="14"/>
      <c r="AL151"/>
      <c r="AM151" s="14"/>
      <c r="AO151" s="275"/>
      <c r="AQ151" s="14"/>
      <c r="AR151"/>
    </row>
    <row r="152" spans="1:44" x14ac:dyDescent="0.25">
      <c r="A152" s="590">
        <f t="shared" si="32"/>
        <v>49888</v>
      </c>
      <c r="B152" s="275">
        <f t="shared" si="33"/>
        <v>44721.449999999939</v>
      </c>
      <c r="C152" s="14">
        <f t="shared" si="30"/>
        <v>625.80999999999995</v>
      </c>
      <c r="D152" s="14">
        <f t="shared" si="34"/>
        <v>486.05999999999995</v>
      </c>
      <c r="E152" s="14">
        <f t="shared" si="31"/>
        <v>139.75</v>
      </c>
      <c r="F152" s="14">
        <f t="shared" si="29"/>
        <v>134.16999999999999</v>
      </c>
      <c r="G152" s="14">
        <f t="shared" si="29"/>
        <v>188.55</v>
      </c>
      <c r="H152" s="14">
        <f t="shared" si="28"/>
        <v>948.53</v>
      </c>
      <c r="I152" s="275">
        <f t="shared" si="37"/>
        <v>53296.450000000004</v>
      </c>
      <c r="J152" s="275">
        <f t="shared" si="38"/>
        <v>30240.119999999988</v>
      </c>
      <c r="K152" s="275">
        <f t="shared" si="35"/>
        <v>44235.389999999941</v>
      </c>
      <c r="L152" s="386">
        <f t="shared" si="26"/>
        <v>11</v>
      </c>
      <c r="M152" s="386">
        <f t="shared" si="36"/>
        <v>132</v>
      </c>
      <c r="N152" s="590">
        <f>INDEX(tblSubjectToLoan[Date],ROW()-ROW(tblContractForDeed[#Headers]))</f>
        <v>49888</v>
      </c>
      <c r="O152" s="275">
        <f>IF(ROW()=ROW(tblContractForDeed[#Headers])+1,$O$6,IF(INDEX(tblContractForDeed[End Bal],ROW()-ROW(tblContractForDeed[#Headers])-1)&lt;0,0,INDEX(tblContractForDeed[End Bal],ROW()-ROW(tblContractForDeed[#Headers])-1)))</f>
        <v>33054.260000000038</v>
      </c>
      <c r="P152" s="445">
        <f>IF(tblContractForDeed[[#This Row],[Date]]="","",IF(tblContractForDeed[[#This Row],[Date]]&lt;cfdRateChangeDate,cfdRate1,cfdRate2))</f>
        <v>6.7500000000000004E-2</v>
      </c>
      <c r="Q1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2" s="275">
        <f>IF(tblContractForDeed[[#This Row],[Payment]]=0,0,MAX(0,MIN(tblContractForDeed[[#This Row],[Beg]],tblContractForDeed[[#This Row],[Payment]]-tblContractForDeed[[#This Row],[Int]])))</f>
        <v>473.96999999999997</v>
      </c>
      <c r="S152" s="275">
        <f>IF(OR(tblContractForDeed[[#This Row],[Date]]&lt;cfdContractDate,tblContractForDeed[[#This Row],[Date]]&gt;cfdEndDate),0,ROUND(tblContractForDeed[[#This Row],[Beg]]*(tblContractForDeed[[#This Row],[Int Rate]]/12),2))</f>
        <v>185.93</v>
      </c>
      <c r="T152" s="275">
        <f>IF(tblContractForDeed[[#This Row],[Payment]]=0,0,$W$2)</f>
        <v>134.16999999999999</v>
      </c>
      <c r="U152" s="275">
        <f>IF(tblContractForDeed[[#This Row],[Princ]]=0,0,$W$3)</f>
        <v>188.55</v>
      </c>
      <c r="V152" s="275">
        <f>SUM(tblContractForDeed[[#This Row],[Princ]],tblContractForDeed[[#This Row],[Int]],tblContractForDeed[[#This Row],[Ins]],tblContractForDeed[[#This Row],[Taxes]])</f>
        <v>982.61999999999989</v>
      </c>
      <c r="W152" s="275">
        <f>SUM(INDEX(tblContractForDeed[Princ],1):INDEX(tblContractForDeed[Princ],ROW()-ROW(tblContractForDeed[#Headers])))</f>
        <v>42677.710000000014</v>
      </c>
      <c r="X152" s="275">
        <f>IF(tblContractForDeed[[#This Row],[Beg]]&lt;=0,0,tblContractForDeed[[#This Row],[Beg]]-tblContractForDeed[[#This Row],[Princ]])</f>
        <v>32580.290000000037</v>
      </c>
      <c r="Y15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121</v>
      </c>
      <c r="Z152" s="454">
        <f>IF(INDEX(tblContractForDeed[Payment],ROW()-ROW(tblBuyerOutputs[#Headers]))=0,0,INDEX(tblContractForDeed[Payment],ROW()-ROW(tblBuyerOutputs[#Headers]))-INDEX(tblSubjectToLoan[Payment],ROW()-ROW(tblBuyerOutputs[#Headers])))</f>
        <v>34.090000000000032</v>
      </c>
      <c r="AA152"/>
      <c r="AB152" s="14">
        <f>IF(INDEX(tblContractForDeed[Payment],ROW()-ROW(tblBuyerOutputs[#Headers]))=0,0,INDEX(tblContractForDeed[Payment],ROW()-ROW(tblBuyerOutputs[#Headers]))-INDEX(tblSubjectToLoan[Payment],ROW()-ROW(tblBuyerOutputs[#Headers])))-IFERROR(tblBuyerOutputs[[#This Row],[PMI]],0)</f>
        <v>34.090000000000032</v>
      </c>
      <c r="AC1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2801.2200000000093</v>
      </c>
      <c r="AD152" s="275">
        <f>IF(INDEX(tblContractForDeed[End Bal],ROW()-ROW(tblBuyerOutputs[#Headers]))&lt;=0,0,($O$6+IF(ROW()=ROW(tblBuyerOutputs[#Headers])+1,0,INDEX(tblBuyerOutputs[Cumul Appr],ROW()-ROW(tblBuyerOutputs[#Headers])-1)))*$O$2/12)</f>
        <v>542.88412834580242</v>
      </c>
      <c r="AE152" s="275">
        <f>IF(INDEX(tblContractForDeed[End Bal],ROW()-ROW(tblBuyerOutputs[#Headers]))&lt;=0,0,IF(ROW()=ROW(tblBuyerOutputs[#Headers])+1,0,INDEX(tblBuyerOutputs[Cumul Appr],ROW()-ROW(tblBuyerOutputs[#Headers])-1))+tblBuyerOutputs[[#This Row],[Monthly Appr]])</f>
        <v>55577.074931338371</v>
      </c>
      <c r="AF152" s="22"/>
      <c r="AG152" s="14"/>
      <c r="AL152"/>
      <c r="AM152" s="14"/>
      <c r="AO152" s="275"/>
      <c r="AQ152" s="14"/>
      <c r="AR152"/>
    </row>
    <row r="153" spans="1:44" x14ac:dyDescent="0.25">
      <c r="A153" s="590">
        <f t="shared" si="32"/>
        <v>49919</v>
      </c>
      <c r="B153" s="275">
        <f t="shared" si="33"/>
        <v>44235.389999999941</v>
      </c>
      <c r="C153" s="14">
        <f t="shared" si="30"/>
        <v>625.80999999999995</v>
      </c>
      <c r="D153" s="14">
        <f t="shared" si="34"/>
        <v>487.56999999999994</v>
      </c>
      <c r="E153" s="14">
        <f t="shared" si="31"/>
        <v>138.24</v>
      </c>
      <c r="F153" s="14">
        <f t="shared" si="29"/>
        <v>134.16999999999999</v>
      </c>
      <c r="G153" s="14">
        <f t="shared" si="29"/>
        <v>188.55</v>
      </c>
      <c r="H153" s="14">
        <f t="shared" si="28"/>
        <v>948.53</v>
      </c>
      <c r="I153" s="275">
        <f t="shared" si="37"/>
        <v>53784.020000000004</v>
      </c>
      <c r="J153" s="275">
        <f t="shared" si="38"/>
        <v>30378.35999999999</v>
      </c>
      <c r="K153" s="275">
        <f t="shared" si="35"/>
        <v>43747.819999999942</v>
      </c>
      <c r="L153" s="386">
        <f t="shared" si="26"/>
        <v>11</v>
      </c>
      <c r="M153" s="386">
        <f t="shared" si="36"/>
        <v>133</v>
      </c>
      <c r="N153" s="590">
        <f>INDEX(tblSubjectToLoan[Date],ROW()-ROW(tblContractForDeed[#Headers]))</f>
        <v>49919</v>
      </c>
      <c r="O153" s="275">
        <f>IF(ROW()=ROW(tblContractForDeed[#Headers])+1,$O$6,IF(INDEX(tblContractForDeed[End Bal],ROW()-ROW(tblContractForDeed[#Headers])-1)&lt;0,0,INDEX(tblContractForDeed[End Bal],ROW()-ROW(tblContractForDeed[#Headers])-1)))</f>
        <v>32580.290000000037</v>
      </c>
      <c r="P153" s="445">
        <f>IF(tblContractForDeed[[#This Row],[Date]]="","",IF(tblContractForDeed[[#This Row],[Date]]&lt;cfdRateChangeDate,cfdRate1,cfdRate2))</f>
        <v>6.7500000000000004E-2</v>
      </c>
      <c r="Q1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3" s="275">
        <f>IF(tblContractForDeed[[#This Row],[Payment]]=0,0,MAX(0,MIN(tblContractForDeed[[#This Row],[Beg]],tblContractForDeed[[#This Row],[Payment]]-tblContractForDeed[[#This Row],[Int]])))</f>
        <v>476.64</v>
      </c>
      <c r="S153" s="275">
        <f>IF(OR(tblContractForDeed[[#This Row],[Date]]&lt;cfdContractDate,tblContractForDeed[[#This Row],[Date]]&gt;cfdEndDate),0,ROUND(tblContractForDeed[[#This Row],[Beg]]*(tblContractForDeed[[#This Row],[Int Rate]]/12),2))</f>
        <v>183.26</v>
      </c>
      <c r="T153" s="275">
        <f>IF(tblContractForDeed[[#This Row],[Payment]]=0,0,$W$2)</f>
        <v>134.16999999999999</v>
      </c>
      <c r="U153" s="275">
        <f>IF(tblContractForDeed[[#This Row],[Princ]]=0,0,$W$3)</f>
        <v>188.55</v>
      </c>
      <c r="V153" s="275">
        <f>SUM(tblContractForDeed[[#This Row],[Princ]],tblContractForDeed[[#This Row],[Int]],tblContractForDeed[[#This Row],[Ins]],tblContractForDeed[[#This Row],[Taxes]])</f>
        <v>982.61999999999989</v>
      </c>
      <c r="W153" s="275">
        <f>SUM(INDEX(tblContractForDeed[Princ],1):INDEX(tblContractForDeed[Princ],ROW()-ROW(tblContractForDeed[#Headers])))</f>
        <v>43154.350000000013</v>
      </c>
      <c r="X153" s="275">
        <f>IF(tblContractForDeed[[#This Row],[Beg]]&lt;=0,0,tblContractForDeed[[#This Row],[Beg]]-tblContractForDeed[[#This Row],[Princ]])</f>
        <v>32103.650000000038</v>
      </c>
      <c r="Y15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122</v>
      </c>
      <c r="Z153" s="454">
        <f>IF(INDEX(tblContractForDeed[Payment],ROW()-ROW(tblBuyerOutputs[#Headers]))=0,0,INDEX(tblContractForDeed[Payment],ROW()-ROW(tblBuyerOutputs[#Headers]))-INDEX(tblSubjectToLoan[Payment],ROW()-ROW(tblBuyerOutputs[#Headers])))</f>
        <v>34.090000000000032</v>
      </c>
      <c r="AA153"/>
      <c r="AB153" s="14">
        <f>IF(INDEX(tblContractForDeed[Payment],ROW()-ROW(tblBuyerOutputs[#Headers]))=0,0,INDEX(tblContractForDeed[Payment],ROW()-ROW(tblBuyerOutputs[#Headers]))-INDEX(tblSubjectToLoan[Payment],ROW()-ROW(tblBuyerOutputs[#Headers])))-IFERROR(tblBuyerOutputs[[#This Row],[PMI]],0)</f>
        <v>34.090000000000032</v>
      </c>
      <c r="AC1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2835.3100000000095</v>
      </c>
      <c r="AD153" s="275">
        <f>IF(INDEX(tblContractForDeed[End Bal],ROW()-ROW(tblBuyerOutputs[#Headers]))&lt;=0,0,($O$6+IF(ROW()=ROW(tblBuyerOutputs[#Headers])+1,0,INDEX(tblBuyerOutputs[Cumul Appr],ROW()-ROW(tblBuyerOutputs[#Headers])-1)))*$O$2/12)</f>
        <v>545.14614554724324</v>
      </c>
      <c r="AE153" s="275">
        <f>IF(INDEX(tblContractForDeed[End Bal],ROW()-ROW(tblBuyerOutputs[#Headers]))&lt;=0,0,IF(ROW()=ROW(tblBuyerOutputs[#Headers])+1,0,INDEX(tblBuyerOutputs[Cumul Appr],ROW()-ROW(tblBuyerOutputs[#Headers])-1))+tblBuyerOutputs[[#This Row],[Monthly Appr]])</f>
        <v>56122.221076885617</v>
      </c>
      <c r="AF153" s="22"/>
      <c r="AG153" s="14"/>
      <c r="AL153"/>
      <c r="AM153" s="14"/>
      <c r="AO153" s="275"/>
      <c r="AQ153" s="14"/>
      <c r="AR153"/>
    </row>
    <row r="154" spans="1:44" x14ac:dyDescent="0.25">
      <c r="A154" s="590">
        <f t="shared" si="32"/>
        <v>49949</v>
      </c>
      <c r="B154" s="275">
        <f t="shared" si="33"/>
        <v>43747.819999999942</v>
      </c>
      <c r="C154" s="14">
        <f t="shared" si="30"/>
        <v>625.80999999999995</v>
      </c>
      <c r="D154" s="14">
        <f t="shared" si="34"/>
        <v>489.09999999999991</v>
      </c>
      <c r="E154" s="14">
        <f t="shared" si="31"/>
        <v>136.71</v>
      </c>
      <c r="F154" s="14">
        <f t="shared" si="29"/>
        <v>134.16999999999999</v>
      </c>
      <c r="G154" s="14">
        <f t="shared" si="29"/>
        <v>188.55</v>
      </c>
      <c r="H154" s="14">
        <f t="shared" si="28"/>
        <v>948.53</v>
      </c>
      <c r="I154" s="275">
        <f t="shared" si="37"/>
        <v>54273.120000000003</v>
      </c>
      <c r="J154" s="275">
        <f t="shared" si="38"/>
        <v>30515.069999999989</v>
      </c>
      <c r="K154" s="275">
        <f t="shared" si="35"/>
        <v>43258.719999999943</v>
      </c>
      <c r="L154" s="386">
        <f t="shared" si="26"/>
        <v>11</v>
      </c>
      <c r="M154" s="386">
        <f t="shared" si="36"/>
        <v>134</v>
      </c>
      <c r="N154" s="590">
        <f>INDEX(tblSubjectToLoan[Date],ROW()-ROW(tblContractForDeed[#Headers]))</f>
        <v>49949</v>
      </c>
      <c r="O154" s="275">
        <f>IF(ROW()=ROW(tblContractForDeed[#Headers])+1,$O$6,IF(INDEX(tblContractForDeed[End Bal],ROW()-ROW(tblContractForDeed[#Headers])-1)&lt;0,0,INDEX(tblContractForDeed[End Bal],ROW()-ROW(tblContractForDeed[#Headers])-1)))</f>
        <v>32103.650000000038</v>
      </c>
      <c r="P154" s="445">
        <f>IF(tblContractForDeed[[#This Row],[Date]]="","",IF(tblContractForDeed[[#This Row],[Date]]&lt;cfdRateChangeDate,cfdRate1,cfdRate2))</f>
        <v>6.7500000000000004E-2</v>
      </c>
      <c r="Q1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4" s="275">
        <f>IF(tblContractForDeed[[#This Row],[Payment]]=0,0,MAX(0,MIN(tblContractForDeed[[#This Row],[Beg]],tblContractForDeed[[#This Row],[Payment]]-tblContractForDeed[[#This Row],[Int]])))</f>
        <v>479.31999999999994</v>
      </c>
      <c r="S154" s="275">
        <f>IF(OR(tblContractForDeed[[#This Row],[Date]]&lt;cfdContractDate,tblContractForDeed[[#This Row],[Date]]&gt;cfdEndDate),0,ROUND(tblContractForDeed[[#This Row],[Beg]]*(tblContractForDeed[[#This Row],[Int Rate]]/12),2))</f>
        <v>180.58</v>
      </c>
      <c r="T154" s="275">
        <f>IF(tblContractForDeed[[#This Row],[Payment]]=0,0,$W$2)</f>
        <v>134.16999999999999</v>
      </c>
      <c r="U154" s="275">
        <f>IF(tblContractForDeed[[#This Row],[Princ]]=0,0,$W$3)</f>
        <v>188.55</v>
      </c>
      <c r="V154" s="275">
        <f>SUM(tblContractForDeed[[#This Row],[Princ]],tblContractForDeed[[#This Row],[Int]],tblContractForDeed[[#This Row],[Ins]],tblContractForDeed[[#This Row],[Taxes]])</f>
        <v>982.61999999999989</v>
      </c>
      <c r="W154" s="275">
        <f>SUM(INDEX(tblContractForDeed[Princ],1):INDEX(tblContractForDeed[Princ],ROW()-ROW(tblContractForDeed[#Headers])))</f>
        <v>43633.670000000013</v>
      </c>
      <c r="X154" s="275">
        <f>IF(tblContractForDeed[[#This Row],[Beg]]&lt;=0,0,tblContractForDeed[[#This Row],[Beg]]-tblContractForDeed[[#This Row],[Princ]])</f>
        <v>31624.330000000038</v>
      </c>
      <c r="Y15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123</v>
      </c>
      <c r="Z154" s="454">
        <f>IF(INDEX(tblContractForDeed[Payment],ROW()-ROW(tblBuyerOutputs[#Headers]))=0,0,INDEX(tblContractForDeed[Payment],ROW()-ROW(tblBuyerOutputs[#Headers]))-INDEX(tblSubjectToLoan[Payment],ROW()-ROW(tblBuyerOutputs[#Headers])))</f>
        <v>34.090000000000032</v>
      </c>
      <c r="AA154"/>
      <c r="AB154" s="14">
        <f>IF(INDEX(tblContractForDeed[Payment],ROW()-ROW(tblBuyerOutputs[#Headers]))=0,0,INDEX(tblContractForDeed[Payment],ROW()-ROW(tblBuyerOutputs[#Headers]))-INDEX(tblSubjectToLoan[Payment],ROW()-ROW(tblBuyerOutputs[#Headers])))-IFERROR(tblBuyerOutputs[[#This Row],[PMI]],0)</f>
        <v>34.090000000000032</v>
      </c>
      <c r="AC1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2869.4000000000096</v>
      </c>
      <c r="AD154" s="275">
        <f>IF(INDEX(tblContractForDeed[End Bal],ROW()-ROW(tblBuyerOutputs[#Headers]))&lt;=0,0,($O$6+IF(ROW()=ROW(tblBuyerOutputs[#Headers])+1,0,INDEX(tblBuyerOutputs[Cumul Appr],ROW()-ROW(tblBuyerOutputs[#Headers])-1)))*$O$2/12)</f>
        <v>547.41758782035674</v>
      </c>
      <c r="AE154" s="275">
        <f>IF(INDEX(tblContractForDeed[End Bal],ROW()-ROW(tblBuyerOutputs[#Headers]))&lt;=0,0,IF(ROW()=ROW(tblBuyerOutputs[#Headers])+1,0,INDEX(tblBuyerOutputs[Cumul Appr],ROW()-ROW(tblBuyerOutputs[#Headers])-1))+tblBuyerOutputs[[#This Row],[Monthly Appr]])</f>
        <v>56669.63866470597</v>
      </c>
      <c r="AF154" s="22"/>
      <c r="AG154" s="14"/>
      <c r="AL154"/>
      <c r="AM154" s="14"/>
      <c r="AO154" s="275"/>
      <c r="AQ154" s="14"/>
      <c r="AR154"/>
    </row>
    <row r="155" spans="1:44" x14ac:dyDescent="0.25">
      <c r="A155" s="590">
        <f t="shared" si="32"/>
        <v>49980</v>
      </c>
      <c r="B155" s="275">
        <f t="shared" si="33"/>
        <v>43258.719999999943</v>
      </c>
      <c r="C155" s="14">
        <f t="shared" si="30"/>
        <v>625.80999999999995</v>
      </c>
      <c r="D155" s="14">
        <f t="shared" si="34"/>
        <v>490.62999999999994</v>
      </c>
      <c r="E155" s="14">
        <f t="shared" si="31"/>
        <v>135.18</v>
      </c>
      <c r="F155" s="14">
        <f t="shared" si="29"/>
        <v>134.16999999999999</v>
      </c>
      <c r="G155" s="14">
        <f t="shared" si="29"/>
        <v>188.55</v>
      </c>
      <c r="H155" s="14">
        <f t="shared" si="28"/>
        <v>948.53</v>
      </c>
      <c r="I155" s="275">
        <f t="shared" si="37"/>
        <v>54763.75</v>
      </c>
      <c r="J155" s="275">
        <f t="shared" si="38"/>
        <v>30650.249999999989</v>
      </c>
      <c r="K155" s="275">
        <f t="shared" si="35"/>
        <v>42768.089999999946</v>
      </c>
      <c r="L155" s="386">
        <f t="shared" si="26"/>
        <v>11</v>
      </c>
      <c r="M155" s="386">
        <f t="shared" si="36"/>
        <v>135</v>
      </c>
      <c r="N155" s="590">
        <f>INDEX(tblSubjectToLoan[Date],ROW()-ROW(tblContractForDeed[#Headers]))</f>
        <v>49980</v>
      </c>
      <c r="O155" s="275">
        <f>IF(ROW()=ROW(tblContractForDeed[#Headers])+1,$O$6,IF(INDEX(tblContractForDeed[End Bal],ROW()-ROW(tblContractForDeed[#Headers])-1)&lt;0,0,INDEX(tblContractForDeed[End Bal],ROW()-ROW(tblContractForDeed[#Headers])-1)))</f>
        <v>31624.330000000038</v>
      </c>
      <c r="P155" s="445">
        <f>IF(tblContractForDeed[[#This Row],[Date]]="","",IF(tblContractForDeed[[#This Row],[Date]]&lt;cfdRateChangeDate,cfdRate1,cfdRate2))</f>
        <v>6.7500000000000004E-2</v>
      </c>
      <c r="Q15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5" s="275">
        <f>IF(tblContractForDeed[[#This Row],[Payment]]=0,0,MAX(0,MIN(tblContractForDeed[[#This Row],[Beg]],tblContractForDeed[[#This Row],[Payment]]-tblContractForDeed[[#This Row],[Int]])))</f>
        <v>482.01</v>
      </c>
      <c r="S155" s="275">
        <f>IF(OR(tblContractForDeed[[#This Row],[Date]]&lt;cfdContractDate,tblContractForDeed[[#This Row],[Date]]&gt;cfdEndDate),0,ROUND(tblContractForDeed[[#This Row],[Beg]]*(tblContractForDeed[[#This Row],[Int Rate]]/12),2))</f>
        <v>177.89</v>
      </c>
      <c r="T155" s="275">
        <f>IF(tblContractForDeed[[#This Row],[Payment]]=0,0,$W$2)</f>
        <v>134.16999999999999</v>
      </c>
      <c r="U155" s="275">
        <f>IF(tblContractForDeed[[#This Row],[Princ]]=0,0,$W$3)</f>
        <v>188.55</v>
      </c>
      <c r="V155" s="275">
        <f>SUM(tblContractForDeed[[#This Row],[Princ]],tblContractForDeed[[#This Row],[Int]],tblContractForDeed[[#This Row],[Ins]],tblContractForDeed[[#This Row],[Taxes]])</f>
        <v>982.61999999999989</v>
      </c>
      <c r="W155" s="275">
        <f>SUM(INDEX(tblContractForDeed[Princ],1):INDEX(tblContractForDeed[Princ],ROW()-ROW(tblContractForDeed[#Headers])))</f>
        <v>44115.680000000015</v>
      </c>
      <c r="X155" s="275">
        <f>IF(tblContractForDeed[[#This Row],[Beg]]&lt;=0,0,tblContractForDeed[[#This Row],[Beg]]-tblContractForDeed[[#This Row],[Princ]])</f>
        <v>31142.32000000004</v>
      </c>
      <c r="Y15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124</v>
      </c>
      <c r="Z155" s="454">
        <f>IF(INDEX(tblContractForDeed[Payment],ROW()-ROW(tblBuyerOutputs[#Headers]))=0,0,INDEX(tblContractForDeed[Payment],ROW()-ROW(tblBuyerOutputs[#Headers]))-INDEX(tblSubjectToLoan[Payment],ROW()-ROW(tblBuyerOutputs[#Headers])))</f>
        <v>34.090000000000032</v>
      </c>
      <c r="AA155"/>
      <c r="AB155" s="14">
        <f>IF(INDEX(tblContractForDeed[Payment],ROW()-ROW(tblBuyerOutputs[#Headers]))=0,0,INDEX(tblContractForDeed[Payment],ROW()-ROW(tblBuyerOutputs[#Headers]))-INDEX(tblSubjectToLoan[Payment],ROW()-ROW(tblBuyerOutputs[#Headers])))-IFERROR(tblBuyerOutputs[[#This Row],[PMI]],0)</f>
        <v>34.090000000000032</v>
      </c>
      <c r="AC1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2903.4900000000098</v>
      </c>
      <c r="AD155" s="275">
        <f>IF(INDEX(tblContractForDeed[End Bal],ROW()-ROW(tblBuyerOutputs[#Headers]))&lt;=0,0,($O$6+IF(ROW()=ROW(tblBuyerOutputs[#Headers])+1,0,INDEX(tblBuyerOutputs[Cumul Appr],ROW()-ROW(tblBuyerOutputs[#Headers])-1)))*$O$2/12)</f>
        <v>549.69849443627493</v>
      </c>
      <c r="AE155" s="275">
        <f>IF(INDEX(tblContractForDeed[End Bal],ROW()-ROW(tblBuyerOutputs[#Headers]))&lt;=0,0,IF(ROW()=ROW(tblBuyerOutputs[#Headers])+1,0,INDEX(tblBuyerOutputs[Cumul Appr],ROW()-ROW(tblBuyerOutputs[#Headers])-1))+tblBuyerOutputs[[#This Row],[Monthly Appr]])</f>
        <v>57219.337159142247</v>
      </c>
      <c r="AF155" s="22"/>
      <c r="AG155" s="14"/>
      <c r="AL155"/>
      <c r="AM155" s="14"/>
      <c r="AO155" s="275"/>
      <c r="AQ155" s="14"/>
      <c r="AR155"/>
    </row>
    <row r="156" spans="1:44" x14ac:dyDescent="0.25">
      <c r="A156" s="590">
        <f t="shared" si="32"/>
        <v>50010</v>
      </c>
      <c r="B156" s="275">
        <f t="shared" si="33"/>
        <v>42768.089999999946</v>
      </c>
      <c r="C156" s="14">
        <f t="shared" si="30"/>
        <v>625.80999999999995</v>
      </c>
      <c r="D156" s="14">
        <f t="shared" si="34"/>
        <v>492.15999999999997</v>
      </c>
      <c r="E156" s="14">
        <f t="shared" si="31"/>
        <v>133.65</v>
      </c>
      <c r="F156" s="14">
        <f t="shared" si="29"/>
        <v>134.16999999999999</v>
      </c>
      <c r="G156" s="14">
        <f t="shared" si="29"/>
        <v>188.55</v>
      </c>
      <c r="H156" s="14">
        <f t="shared" si="28"/>
        <v>948.53</v>
      </c>
      <c r="I156" s="275">
        <f t="shared" si="37"/>
        <v>55255.91</v>
      </c>
      <c r="J156" s="275">
        <f t="shared" si="38"/>
        <v>30783.899999999991</v>
      </c>
      <c r="K156" s="275">
        <f t="shared" si="35"/>
        <v>42275.929999999942</v>
      </c>
      <c r="L156" s="386">
        <f t="shared" si="26"/>
        <v>11</v>
      </c>
      <c r="M156" s="386">
        <f t="shared" si="36"/>
        <v>136</v>
      </c>
      <c r="N156" s="590">
        <f>INDEX(tblSubjectToLoan[Date],ROW()-ROW(tblContractForDeed[#Headers]))</f>
        <v>50010</v>
      </c>
      <c r="O156" s="275">
        <f>IF(ROW()=ROW(tblContractForDeed[#Headers])+1,$O$6,IF(INDEX(tblContractForDeed[End Bal],ROW()-ROW(tblContractForDeed[#Headers])-1)&lt;0,0,INDEX(tblContractForDeed[End Bal],ROW()-ROW(tblContractForDeed[#Headers])-1)))</f>
        <v>31142.32000000004</v>
      </c>
      <c r="P156" s="445">
        <f>IF(tblContractForDeed[[#This Row],[Date]]="","",IF(tblContractForDeed[[#This Row],[Date]]&lt;cfdRateChangeDate,cfdRate1,cfdRate2))</f>
        <v>6.7500000000000004E-2</v>
      </c>
      <c r="Q1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6" s="275">
        <f>IF(tblContractForDeed[[#This Row],[Payment]]=0,0,MAX(0,MIN(tblContractForDeed[[#This Row],[Beg]],tblContractForDeed[[#This Row],[Payment]]-tblContractForDeed[[#This Row],[Int]])))</f>
        <v>484.71999999999997</v>
      </c>
      <c r="S156" s="275">
        <f>IF(OR(tblContractForDeed[[#This Row],[Date]]&lt;cfdContractDate,tblContractForDeed[[#This Row],[Date]]&gt;cfdEndDate),0,ROUND(tblContractForDeed[[#This Row],[Beg]]*(tblContractForDeed[[#This Row],[Int Rate]]/12),2))</f>
        <v>175.18</v>
      </c>
      <c r="T156" s="275">
        <f>IF(tblContractForDeed[[#This Row],[Payment]]=0,0,$W$2)</f>
        <v>134.16999999999999</v>
      </c>
      <c r="U156" s="275">
        <f>IF(tblContractForDeed[[#This Row],[Princ]]=0,0,$W$3)</f>
        <v>188.55</v>
      </c>
      <c r="V156" s="275">
        <f>SUM(tblContractForDeed[[#This Row],[Princ]],tblContractForDeed[[#This Row],[Int]],tblContractForDeed[[#This Row],[Ins]],tblContractForDeed[[#This Row],[Taxes]])</f>
        <v>982.61999999999989</v>
      </c>
      <c r="W156" s="275">
        <f>SUM(INDEX(tblContractForDeed[Princ],1):INDEX(tblContractForDeed[Princ],ROW()-ROW(tblContractForDeed[#Headers])))</f>
        <v>44600.400000000016</v>
      </c>
      <c r="X156" s="275">
        <f>IF(tblContractForDeed[[#This Row],[Beg]]&lt;=0,0,tblContractForDeed[[#This Row],[Beg]]-tblContractForDeed[[#This Row],[Princ]])</f>
        <v>30657.600000000039</v>
      </c>
      <c r="Y15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125</v>
      </c>
      <c r="Z156" s="454">
        <f>IF(INDEX(tblContractForDeed[Payment],ROW()-ROW(tblBuyerOutputs[#Headers]))=0,0,INDEX(tblContractForDeed[Payment],ROW()-ROW(tblBuyerOutputs[#Headers]))-INDEX(tblSubjectToLoan[Payment],ROW()-ROW(tblBuyerOutputs[#Headers])))</f>
        <v>34.090000000000032</v>
      </c>
      <c r="AA156"/>
      <c r="AB156" s="14">
        <f>IF(INDEX(tblContractForDeed[Payment],ROW()-ROW(tblBuyerOutputs[#Headers]))=0,0,INDEX(tblContractForDeed[Payment],ROW()-ROW(tblBuyerOutputs[#Headers]))-INDEX(tblSubjectToLoan[Payment],ROW()-ROW(tblBuyerOutputs[#Headers])))-IFERROR(tblBuyerOutputs[[#This Row],[PMI]],0)</f>
        <v>34.090000000000032</v>
      </c>
      <c r="AC1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2937.5800000000099</v>
      </c>
      <c r="AD156" s="275">
        <f>IF(INDEX(tblContractForDeed[End Bal],ROW()-ROW(tblBuyerOutputs[#Headers]))&lt;=0,0,($O$6+IF(ROW()=ROW(tblBuyerOutputs[#Headers])+1,0,INDEX(tblBuyerOutputs[Cumul Appr],ROW()-ROW(tblBuyerOutputs[#Headers])-1)))*$O$2/12)</f>
        <v>551.98890482975946</v>
      </c>
      <c r="AE156" s="275">
        <f>IF(INDEX(tblContractForDeed[End Bal],ROW()-ROW(tblBuyerOutputs[#Headers]))&lt;=0,0,IF(ROW()=ROW(tblBuyerOutputs[#Headers])+1,0,INDEX(tblBuyerOutputs[Cumul Appr],ROW()-ROW(tblBuyerOutputs[#Headers])-1))+tblBuyerOutputs[[#This Row],[Monthly Appr]])</f>
        <v>57771.32606397201</v>
      </c>
      <c r="AF156" s="22"/>
      <c r="AG156" s="14"/>
      <c r="AL156"/>
      <c r="AM156" s="14"/>
      <c r="AO156" s="275"/>
      <c r="AQ156" s="14"/>
      <c r="AR156"/>
    </row>
    <row r="157" spans="1:44" x14ac:dyDescent="0.25">
      <c r="A157" s="590">
        <f t="shared" si="32"/>
        <v>50041</v>
      </c>
      <c r="B157" s="275">
        <f t="shared" si="33"/>
        <v>42275.929999999942</v>
      </c>
      <c r="C157" s="14">
        <f t="shared" si="30"/>
        <v>625.80999999999995</v>
      </c>
      <c r="D157" s="14">
        <f t="shared" si="34"/>
        <v>493.69999999999993</v>
      </c>
      <c r="E157" s="14">
        <f t="shared" si="31"/>
        <v>132.11000000000001</v>
      </c>
      <c r="F157" s="14">
        <f t="shared" si="29"/>
        <v>134.16999999999999</v>
      </c>
      <c r="G157" s="14">
        <f t="shared" si="29"/>
        <v>188.55</v>
      </c>
      <c r="H157" s="14">
        <f t="shared" si="28"/>
        <v>948.53</v>
      </c>
      <c r="I157" s="275">
        <f t="shared" si="37"/>
        <v>55749.61</v>
      </c>
      <c r="J157" s="275">
        <f t="shared" si="38"/>
        <v>30916.009999999991</v>
      </c>
      <c r="K157" s="275">
        <f t="shared" si="35"/>
        <v>41782.229999999945</v>
      </c>
      <c r="L157" s="386">
        <f t="shared" si="26"/>
        <v>11</v>
      </c>
      <c r="M157" s="386">
        <f t="shared" si="36"/>
        <v>137</v>
      </c>
      <c r="N157" s="590">
        <f>INDEX(tblSubjectToLoan[Date],ROW()-ROW(tblContractForDeed[#Headers]))</f>
        <v>50041</v>
      </c>
      <c r="O157" s="275">
        <f>IF(ROW()=ROW(tblContractForDeed[#Headers])+1,$O$6,IF(INDEX(tblContractForDeed[End Bal],ROW()-ROW(tblContractForDeed[#Headers])-1)&lt;0,0,INDEX(tblContractForDeed[End Bal],ROW()-ROW(tblContractForDeed[#Headers])-1)))</f>
        <v>30657.600000000039</v>
      </c>
      <c r="P157" s="445">
        <f>IF(tblContractForDeed[[#This Row],[Date]]="","",IF(tblContractForDeed[[#This Row],[Date]]&lt;cfdRateChangeDate,cfdRate1,cfdRate2))</f>
        <v>6.7500000000000004E-2</v>
      </c>
      <c r="Q1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7" s="275">
        <f>IF(tblContractForDeed[[#This Row],[Payment]]=0,0,MAX(0,MIN(tblContractForDeed[[#This Row],[Beg]],tblContractForDeed[[#This Row],[Payment]]-tblContractForDeed[[#This Row],[Int]])))</f>
        <v>487.45</v>
      </c>
      <c r="S157" s="275">
        <f>IF(OR(tblContractForDeed[[#This Row],[Date]]&lt;cfdContractDate,tblContractForDeed[[#This Row],[Date]]&gt;cfdEndDate),0,ROUND(tblContractForDeed[[#This Row],[Beg]]*(tblContractForDeed[[#This Row],[Int Rate]]/12),2))</f>
        <v>172.45</v>
      </c>
      <c r="T157" s="275">
        <f>IF(tblContractForDeed[[#This Row],[Payment]]=0,0,$W$2)</f>
        <v>134.16999999999999</v>
      </c>
      <c r="U157" s="275">
        <f>IF(tblContractForDeed[[#This Row],[Princ]]=0,0,$W$3)</f>
        <v>188.55</v>
      </c>
      <c r="V157" s="275">
        <f>SUM(tblContractForDeed[[#This Row],[Princ]],tblContractForDeed[[#This Row],[Int]],tblContractForDeed[[#This Row],[Ins]],tblContractForDeed[[#This Row],[Taxes]])</f>
        <v>982.61999999999989</v>
      </c>
      <c r="W157" s="275">
        <f>SUM(INDEX(tblContractForDeed[Princ],1):INDEX(tblContractForDeed[Princ],ROW()-ROW(tblContractForDeed[#Headers])))</f>
        <v>45087.850000000013</v>
      </c>
      <c r="X157" s="275">
        <f>IF(tblContractForDeed[[#This Row],[Beg]]&lt;=0,0,tblContractForDeed[[#This Row],[Beg]]-tblContractForDeed[[#This Row],[Princ]])</f>
        <v>30170.150000000038</v>
      </c>
      <c r="Y15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126</v>
      </c>
      <c r="Z157" s="454">
        <f>IF(INDEX(tblContractForDeed[Payment],ROW()-ROW(tblBuyerOutputs[#Headers]))=0,0,INDEX(tblContractForDeed[Payment],ROW()-ROW(tblBuyerOutputs[#Headers]))-INDEX(tblSubjectToLoan[Payment],ROW()-ROW(tblBuyerOutputs[#Headers])))</f>
        <v>34.090000000000032</v>
      </c>
      <c r="AA157"/>
      <c r="AB157" s="14">
        <f>IF(INDEX(tblContractForDeed[Payment],ROW()-ROW(tblBuyerOutputs[#Headers]))=0,0,INDEX(tblContractForDeed[Payment],ROW()-ROW(tblBuyerOutputs[#Headers]))-INDEX(tblSubjectToLoan[Payment],ROW()-ROW(tblBuyerOutputs[#Headers])))-IFERROR(tblBuyerOutputs[[#This Row],[PMI]],0)</f>
        <v>34.090000000000032</v>
      </c>
      <c r="AC1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2971.6700000000101</v>
      </c>
      <c r="AD157" s="275">
        <f>IF(INDEX(tblContractForDeed[End Bal],ROW()-ROW(tblBuyerOutputs[#Headers]))&lt;=0,0,($O$6+IF(ROW()=ROW(tblBuyerOutputs[#Headers])+1,0,INDEX(tblBuyerOutputs[Cumul Appr],ROW()-ROW(tblBuyerOutputs[#Headers])-1)))*$O$2/12)</f>
        <v>554.2888585998835</v>
      </c>
      <c r="AE157" s="275">
        <f>IF(INDEX(tblContractForDeed[End Bal],ROW()-ROW(tblBuyerOutputs[#Headers]))&lt;=0,0,IF(ROW()=ROW(tblBuyerOutputs[#Headers])+1,0,INDEX(tblBuyerOutputs[Cumul Appr],ROW()-ROW(tblBuyerOutputs[#Headers])-1))+tblBuyerOutputs[[#This Row],[Monthly Appr]])</f>
        <v>58325.614922571891</v>
      </c>
      <c r="AF157" s="22"/>
      <c r="AG157" s="14"/>
      <c r="AL157"/>
      <c r="AM157" s="14"/>
      <c r="AO157" s="275"/>
      <c r="AQ157" s="14"/>
      <c r="AR157"/>
    </row>
    <row r="158" spans="1:44" x14ac:dyDescent="0.25">
      <c r="A158" s="590">
        <f t="shared" si="32"/>
        <v>50072</v>
      </c>
      <c r="B158" s="275">
        <f t="shared" si="33"/>
        <v>41782.229999999945</v>
      </c>
      <c r="C158" s="14">
        <f t="shared" si="30"/>
        <v>625.80999999999995</v>
      </c>
      <c r="D158" s="14">
        <f t="shared" si="34"/>
        <v>495.23999999999995</v>
      </c>
      <c r="E158" s="14">
        <f t="shared" si="31"/>
        <v>130.57</v>
      </c>
      <c r="F158" s="14">
        <f t="shared" si="29"/>
        <v>134.16999999999999</v>
      </c>
      <c r="G158" s="14">
        <f t="shared" si="29"/>
        <v>188.55</v>
      </c>
      <c r="H158" s="14">
        <f t="shared" si="28"/>
        <v>948.53</v>
      </c>
      <c r="I158" s="275">
        <f t="shared" si="37"/>
        <v>56244.85</v>
      </c>
      <c r="J158" s="275">
        <f t="shared" si="38"/>
        <v>31046.579999999991</v>
      </c>
      <c r="K158" s="275">
        <f t="shared" si="35"/>
        <v>41286.989999999947</v>
      </c>
      <c r="L158" s="386">
        <f t="shared" si="26"/>
        <v>11</v>
      </c>
      <c r="M158" s="386">
        <f t="shared" si="36"/>
        <v>138</v>
      </c>
      <c r="N158" s="590">
        <f>INDEX(tblSubjectToLoan[Date],ROW()-ROW(tblContractForDeed[#Headers]))</f>
        <v>50072</v>
      </c>
      <c r="O158" s="275">
        <f>IF(ROW()=ROW(tblContractForDeed[#Headers])+1,$O$6,IF(INDEX(tblContractForDeed[End Bal],ROW()-ROW(tblContractForDeed[#Headers])-1)&lt;0,0,INDEX(tblContractForDeed[End Bal],ROW()-ROW(tblContractForDeed[#Headers])-1)))</f>
        <v>30170.150000000038</v>
      </c>
      <c r="P158" s="445">
        <f>IF(tblContractForDeed[[#This Row],[Date]]="","",IF(tblContractForDeed[[#This Row],[Date]]&lt;cfdRateChangeDate,cfdRate1,cfdRate2))</f>
        <v>6.7500000000000004E-2</v>
      </c>
      <c r="Q1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8" s="275">
        <f>IF(tblContractForDeed[[#This Row],[Payment]]=0,0,MAX(0,MIN(tblContractForDeed[[#This Row],[Beg]],tblContractForDeed[[#This Row],[Payment]]-tblContractForDeed[[#This Row],[Int]])))</f>
        <v>490.18999999999994</v>
      </c>
      <c r="S158" s="275">
        <f>IF(OR(tblContractForDeed[[#This Row],[Date]]&lt;cfdContractDate,tblContractForDeed[[#This Row],[Date]]&gt;cfdEndDate),0,ROUND(tblContractForDeed[[#This Row],[Beg]]*(tblContractForDeed[[#This Row],[Int Rate]]/12),2))</f>
        <v>169.71</v>
      </c>
      <c r="T158" s="275">
        <f>IF(tblContractForDeed[[#This Row],[Payment]]=0,0,$W$2)</f>
        <v>134.16999999999999</v>
      </c>
      <c r="U158" s="275">
        <f>IF(tblContractForDeed[[#This Row],[Princ]]=0,0,$W$3)</f>
        <v>188.55</v>
      </c>
      <c r="V158" s="275">
        <f>SUM(tblContractForDeed[[#This Row],[Princ]],tblContractForDeed[[#This Row],[Int]],tblContractForDeed[[#This Row],[Ins]],tblContractForDeed[[#This Row],[Taxes]])</f>
        <v>982.61999999999989</v>
      </c>
      <c r="W158" s="275">
        <f>SUM(INDEX(tblContractForDeed[Princ],1):INDEX(tblContractForDeed[Princ],ROW()-ROW(tblContractForDeed[#Headers])))</f>
        <v>45578.040000000015</v>
      </c>
      <c r="X158" s="275">
        <f>IF(tblContractForDeed[[#This Row],[Beg]]&lt;=0,0,tblContractForDeed[[#This Row],[Beg]]-tblContractForDeed[[#This Row],[Princ]])</f>
        <v>29679.960000000039</v>
      </c>
      <c r="Y15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127</v>
      </c>
      <c r="Z158" s="454">
        <f>IF(INDEX(tblContractForDeed[Payment],ROW()-ROW(tblBuyerOutputs[#Headers]))=0,0,INDEX(tblContractForDeed[Payment],ROW()-ROW(tblBuyerOutputs[#Headers]))-INDEX(tblSubjectToLoan[Payment],ROW()-ROW(tblBuyerOutputs[#Headers])))</f>
        <v>34.090000000000032</v>
      </c>
      <c r="AA158"/>
      <c r="AB158" s="14">
        <f>IF(INDEX(tblContractForDeed[Payment],ROW()-ROW(tblBuyerOutputs[#Headers]))=0,0,INDEX(tblContractForDeed[Payment],ROW()-ROW(tblBuyerOutputs[#Headers]))-INDEX(tblSubjectToLoan[Payment],ROW()-ROW(tblBuyerOutputs[#Headers])))-IFERROR(tblBuyerOutputs[[#This Row],[PMI]],0)</f>
        <v>34.090000000000032</v>
      </c>
      <c r="AC1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3005.7600000000102</v>
      </c>
      <c r="AD158" s="275">
        <f>IF(INDEX(tblContractForDeed[End Bal],ROW()-ROW(tblBuyerOutputs[#Headers]))&lt;=0,0,($O$6+IF(ROW()=ROW(tblBuyerOutputs[#Headers])+1,0,INDEX(tblBuyerOutputs[Cumul Appr],ROW()-ROW(tblBuyerOutputs[#Headers])-1)))*$O$2/12)</f>
        <v>556.59839551071627</v>
      </c>
      <c r="AE158" s="275">
        <f>IF(INDEX(tblContractForDeed[End Bal],ROW()-ROW(tblBuyerOutputs[#Headers]))&lt;=0,0,IF(ROW()=ROW(tblBuyerOutputs[#Headers])+1,0,INDEX(tblBuyerOutputs[Cumul Appr],ROW()-ROW(tblBuyerOutputs[#Headers])-1))+tblBuyerOutputs[[#This Row],[Monthly Appr]])</f>
        <v>58882.213318082606</v>
      </c>
      <c r="AF158" s="22"/>
      <c r="AG158" s="14"/>
      <c r="AL158"/>
      <c r="AM158" s="14"/>
      <c r="AO158" s="275"/>
      <c r="AQ158" s="14"/>
      <c r="AR158"/>
    </row>
    <row r="159" spans="1:44" x14ac:dyDescent="0.25">
      <c r="A159" s="590">
        <f t="shared" si="32"/>
        <v>50100</v>
      </c>
      <c r="B159" s="275">
        <f t="shared" si="33"/>
        <v>41286.989999999947</v>
      </c>
      <c r="C159" s="14">
        <f t="shared" si="30"/>
        <v>625.80999999999995</v>
      </c>
      <c r="D159" s="14">
        <f t="shared" si="34"/>
        <v>496.78999999999996</v>
      </c>
      <c r="E159" s="14">
        <f t="shared" si="31"/>
        <v>129.02000000000001</v>
      </c>
      <c r="F159" s="14">
        <f t="shared" ref="F159:G174" si="39">+F158</f>
        <v>134.16999999999999</v>
      </c>
      <c r="G159" s="14">
        <f t="shared" si="39"/>
        <v>188.55</v>
      </c>
      <c r="H159" s="14">
        <f t="shared" si="28"/>
        <v>948.53</v>
      </c>
      <c r="I159" s="275">
        <f t="shared" si="37"/>
        <v>56741.64</v>
      </c>
      <c r="J159" s="275">
        <f t="shared" si="38"/>
        <v>31175.599999999991</v>
      </c>
      <c r="K159" s="275">
        <f t="shared" si="35"/>
        <v>40790.199999999946</v>
      </c>
      <c r="L159" s="386">
        <f t="shared" si="26"/>
        <v>11</v>
      </c>
      <c r="M159" s="386">
        <f t="shared" si="36"/>
        <v>139</v>
      </c>
      <c r="N159" s="590">
        <f>INDEX(tblSubjectToLoan[Date],ROW()-ROW(tblContractForDeed[#Headers]))</f>
        <v>50100</v>
      </c>
      <c r="O159" s="275">
        <f>IF(ROW()=ROW(tblContractForDeed[#Headers])+1,$O$6,IF(INDEX(tblContractForDeed[End Bal],ROW()-ROW(tblContractForDeed[#Headers])-1)&lt;0,0,INDEX(tblContractForDeed[End Bal],ROW()-ROW(tblContractForDeed[#Headers])-1)))</f>
        <v>29679.960000000039</v>
      </c>
      <c r="P159" s="445">
        <f>IF(tblContractForDeed[[#This Row],[Date]]="","",IF(tblContractForDeed[[#This Row],[Date]]&lt;cfdRateChangeDate,cfdRate1,cfdRate2))</f>
        <v>6.7500000000000004E-2</v>
      </c>
      <c r="Q15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9" s="275">
        <f>IF(tblContractForDeed[[#This Row],[Payment]]=0,0,MAX(0,MIN(tblContractForDeed[[#This Row],[Beg]],tblContractForDeed[[#This Row],[Payment]]-tblContractForDeed[[#This Row],[Int]])))</f>
        <v>492.95</v>
      </c>
      <c r="S159" s="275">
        <f>IF(OR(tblContractForDeed[[#This Row],[Date]]&lt;cfdContractDate,tblContractForDeed[[#This Row],[Date]]&gt;cfdEndDate),0,ROUND(tblContractForDeed[[#This Row],[Beg]]*(tblContractForDeed[[#This Row],[Int Rate]]/12),2))</f>
        <v>166.95</v>
      </c>
      <c r="T159" s="275">
        <f>IF(tblContractForDeed[[#This Row],[Payment]]=0,0,$W$2)</f>
        <v>134.16999999999999</v>
      </c>
      <c r="U159" s="275">
        <f>IF(tblContractForDeed[[#This Row],[Princ]]=0,0,$W$3)</f>
        <v>188.55</v>
      </c>
      <c r="V159" s="275">
        <f>SUM(tblContractForDeed[[#This Row],[Princ]],tblContractForDeed[[#This Row],[Int]],tblContractForDeed[[#This Row],[Ins]],tblContractForDeed[[#This Row],[Taxes]])</f>
        <v>982.61999999999989</v>
      </c>
      <c r="W159" s="275">
        <f>SUM(INDEX(tblContractForDeed[Princ],1):INDEX(tblContractForDeed[Princ],ROW()-ROW(tblContractForDeed[#Headers])))</f>
        <v>46070.990000000013</v>
      </c>
      <c r="X159" s="275">
        <f>IF(tblContractForDeed[[#This Row],[Beg]]&lt;=0,0,tblContractForDeed[[#This Row],[Beg]]-tblContractForDeed[[#This Row],[Princ]])</f>
        <v>29187.010000000038</v>
      </c>
      <c r="Y15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128</v>
      </c>
      <c r="Z159" s="454">
        <f>IF(INDEX(tblContractForDeed[Payment],ROW()-ROW(tblBuyerOutputs[#Headers]))=0,0,INDEX(tblContractForDeed[Payment],ROW()-ROW(tblBuyerOutputs[#Headers]))-INDEX(tblSubjectToLoan[Payment],ROW()-ROW(tblBuyerOutputs[#Headers])))</f>
        <v>34.090000000000032</v>
      </c>
      <c r="AA159"/>
      <c r="AB159" s="14">
        <f>IF(INDEX(tblContractForDeed[Payment],ROW()-ROW(tblBuyerOutputs[#Headers]))=0,0,INDEX(tblContractForDeed[Payment],ROW()-ROW(tblBuyerOutputs[#Headers]))-INDEX(tblSubjectToLoan[Payment],ROW()-ROW(tblBuyerOutputs[#Headers])))-IFERROR(tblBuyerOutputs[[#This Row],[PMI]],0)</f>
        <v>34.090000000000032</v>
      </c>
      <c r="AC1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3039.8500000000104</v>
      </c>
      <c r="AD159" s="275">
        <f>IF(INDEX(tblContractForDeed[End Bal],ROW()-ROW(tblBuyerOutputs[#Headers]))&lt;=0,0,($O$6+IF(ROW()=ROW(tblBuyerOutputs[#Headers])+1,0,INDEX(tblBuyerOutputs[Cumul Appr],ROW()-ROW(tblBuyerOutputs[#Headers])-1)))*$O$2/12)</f>
        <v>558.91755549201093</v>
      </c>
      <c r="AE159" s="275">
        <f>IF(INDEX(tblContractForDeed[End Bal],ROW()-ROW(tblBuyerOutputs[#Headers]))&lt;=0,0,IF(ROW()=ROW(tblBuyerOutputs[#Headers])+1,0,INDEX(tblBuyerOutputs[Cumul Appr],ROW()-ROW(tblBuyerOutputs[#Headers])-1))+tblBuyerOutputs[[#This Row],[Monthly Appr]])</f>
        <v>59441.130873574613</v>
      </c>
      <c r="AF159" s="22"/>
      <c r="AG159" s="14"/>
      <c r="AL159"/>
      <c r="AM159" s="14"/>
      <c r="AO159" s="275"/>
      <c r="AQ159" s="14"/>
      <c r="AR159"/>
    </row>
    <row r="160" spans="1:44" x14ac:dyDescent="0.25">
      <c r="A160" s="590">
        <f t="shared" si="32"/>
        <v>50131</v>
      </c>
      <c r="B160" s="275">
        <f t="shared" si="33"/>
        <v>40790.199999999946</v>
      </c>
      <c r="C160" s="14">
        <f t="shared" si="30"/>
        <v>625.80999999999995</v>
      </c>
      <c r="D160" s="14">
        <f t="shared" si="34"/>
        <v>498.33999999999992</v>
      </c>
      <c r="E160" s="14">
        <f t="shared" si="31"/>
        <v>127.47</v>
      </c>
      <c r="F160" s="14">
        <f t="shared" si="39"/>
        <v>134.16999999999999</v>
      </c>
      <c r="G160" s="14">
        <f t="shared" si="39"/>
        <v>188.55</v>
      </c>
      <c r="H160" s="14">
        <f t="shared" si="28"/>
        <v>948.53</v>
      </c>
      <c r="I160" s="275">
        <f t="shared" si="37"/>
        <v>57239.979999999996</v>
      </c>
      <c r="J160" s="275">
        <f t="shared" si="38"/>
        <v>31303.069999999992</v>
      </c>
      <c r="K160" s="275">
        <f t="shared" si="35"/>
        <v>40291.85999999995</v>
      </c>
      <c r="L160" s="386">
        <f t="shared" si="26"/>
        <v>11</v>
      </c>
      <c r="M160" s="386">
        <f t="shared" si="36"/>
        <v>140</v>
      </c>
      <c r="N160" s="590">
        <f>INDEX(tblSubjectToLoan[Date],ROW()-ROW(tblContractForDeed[#Headers]))</f>
        <v>50131</v>
      </c>
      <c r="O160" s="275">
        <f>IF(ROW()=ROW(tblContractForDeed[#Headers])+1,$O$6,IF(INDEX(tblContractForDeed[End Bal],ROW()-ROW(tblContractForDeed[#Headers])-1)&lt;0,0,INDEX(tblContractForDeed[End Bal],ROW()-ROW(tblContractForDeed[#Headers])-1)))</f>
        <v>29187.010000000038</v>
      </c>
      <c r="P160" s="445">
        <f>IF(tblContractForDeed[[#This Row],[Date]]="","",IF(tblContractForDeed[[#This Row],[Date]]&lt;cfdRateChangeDate,cfdRate1,cfdRate2))</f>
        <v>6.7500000000000004E-2</v>
      </c>
      <c r="Q1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0" s="275">
        <f>IF(tblContractForDeed[[#This Row],[Payment]]=0,0,MAX(0,MIN(tblContractForDeed[[#This Row],[Beg]],tblContractForDeed[[#This Row],[Payment]]-tblContractForDeed[[#This Row],[Int]])))</f>
        <v>495.71999999999997</v>
      </c>
      <c r="S160" s="275">
        <f>IF(OR(tblContractForDeed[[#This Row],[Date]]&lt;cfdContractDate,tblContractForDeed[[#This Row],[Date]]&gt;cfdEndDate),0,ROUND(tblContractForDeed[[#This Row],[Beg]]*(tblContractForDeed[[#This Row],[Int Rate]]/12),2))</f>
        <v>164.18</v>
      </c>
      <c r="T160" s="275">
        <f>IF(tblContractForDeed[[#This Row],[Payment]]=0,0,$W$2)</f>
        <v>134.16999999999999</v>
      </c>
      <c r="U160" s="275">
        <f>IF(tblContractForDeed[[#This Row],[Princ]]=0,0,$W$3)</f>
        <v>188.55</v>
      </c>
      <c r="V160" s="275">
        <f>SUM(tblContractForDeed[[#This Row],[Princ]],tblContractForDeed[[#This Row],[Int]],tblContractForDeed[[#This Row],[Ins]],tblContractForDeed[[#This Row],[Taxes]])</f>
        <v>982.61999999999989</v>
      </c>
      <c r="W160" s="275">
        <f>SUM(INDEX(tblContractForDeed[Princ],1):INDEX(tblContractForDeed[Princ],ROW()-ROW(tblContractForDeed[#Headers])))</f>
        <v>46566.710000000014</v>
      </c>
      <c r="X160" s="275">
        <f>IF(tblContractForDeed[[#This Row],[Beg]]&lt;=0,0,tblContractForDeed[[#This Row],[Beg]]-tblContractForDeed[[#This Row],[Princ]])</f>
        <v>28691.290000000037</v>
      </c>
      <c r="Y16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129</v>
      </c>
      <c r="Z160" s="454">
        <f>IF(INDEX(tblContractForDeed[Payment],ROW()-ROW(tblBuyerOutputs[#Headers]))=0,0,INDEX(tblContractForDeed[Payment],ROW()-ROW(tblBuyerOutputs[#Headers]))-INDEX(tblSubjectToLoan[Payment],ROW()-ROW(tblBuyerOutputs[#Headers])))</f>
        <v>34.090000000000032</v>
      </c>
      <c r="AA160"/>
      <c r="AB160" s="14">
        <f>IF(INDEX(tblContractForDeed[Payment],ROW()-ROW(tblBuyerOutputs[#Headers]))=0,0,INDEX(tblContractForDeed[Payment],ROW()-ROW(tblBuyerOutputs[#Headers]))-INDEX(tblSubjectToLoan[Payment],ROW()-ROW(tblBuyerOutputs[#Headers])))-IFERROR(tblBuyerOutputs[[#This Row],[PMI]],0)</f>
        <v>34.090000000000032</v>
      </c>
      <c r="AC1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3073.9400000000105</v>
      </c>
      <c r="AD160" s="275">
        <f>IF(INDEX(tblContractForDeed[End Bal],ROW()-ROW(tblBuyerOutputs[#Headers]))&lt;=0,0,($O$6+IF(ROW()=ROW(tblBuyerOutputs[#Headers])+1,0,INDEX(tblBuyerOutputs[Cumul Appr],ROW()-ROW(tblBuyerOutputs[#Headers])-1)))*$O$2/12)</f>
        <v>561.24637863989426</v>
      </c>
      <c r="AE160" s="275">
        <f>IF(INDEX(tblContractForDeed[End Bal],ROW()-ROW(tblBuyerOutputs[#Headers]))&lt;=0,0,IF(ROW()=ROW(tblBuyerOutputs[#Headers])+1,0,INDEX(tblBuyerOutputs[Cumul Appr],ROW()-ROW(tblBuyerOutputs[#Headers])-1))+tblBuyerOutputs[[#This Row],[Monthly Appr]])</f>
        <v>60002.377252214508</v>
      </c>
      <c r="AF160" s="22"/>
      <c r="AG160" s="14"/>
      <c r="AL160"/>
      <c r="AM160" s="14"/>
      <c r="AO160" s="275"/>
      <c r="AQ160" s="14"/>
      <c r="AR160"/>
    </row>
    <row r="161" spans="1:44" x14ac:dyDescent="0.25">
      <c r="A161" s="590">
        <f t="shared" si="32"/>
        <v>50161</v>
      </c>
      <c r="B161" s="275">
        <f t="shared" si="33"/>
        <v>40291.85999999995</v>
      </c>
      <c r="C161" s="14">
        <f t="shared" si="30"/>
        <v>625.80999999999995</v>
      </c>
      <c r="D161" s="14">
        <f t="shared" si="34"/>
        <v>499.9</v>
      </c>
      <c r="E161" s="14">
        <f t="shared" si="31"/>
        <v>125.91</v>
      </c>
      <c r="F161" s="14">
        <f t="shared" si="39"/>
        <v>134.16999999999999</v>
      </c>
      <c r="G161" s="14">
        <f t="shared" si="39"/>
        <v>188.55</v>
      </c>
      <c r="H161" s="14">
        <f t="shared" si="28"/>
        <v>948.53</v>
      </c>
      <c r="I161" s="275">
        <f t="shared" si="37"/>
        <v>57739.88</v>
      </c>
      <c r="J161" s="275">
        <f t="shared" si="38"/>
        <v>31428.979999999992</v>
      </c>
      <c r="K161" s="275">
        <f t="shared" si="35"/>
        <v>39791.959999999948</v>
      </c>
      <c r="L161" s="386">
        <f t="shared" si="26"/>
        <v>11</v>
      </c>
      <c r="M161" s="386">
        <f t="shared" si="36"/>
        <v>141</v>
      </c>
      <c r="N161" s="590">
        <f>INDEX(tblSubjectToLoan[Date],ROW()-ROW(tblContractForDeed[#Headers]))</f>
        <v>50161</v>
      </c>
      <c r="O161" s="275">
        <f>IF(ROW()=ROW(tblContractForDeed[#Headers])+1,$O$6,IF(INDEX(tblContractForDeed[End Bal],ROW()-ROW(tblContractForDeed[#Headers])-1)&lt;0,0,INDEX(tblContractForDeed[End Bal],ROW()-ROW(tblContractForDeed[#Headers])-1)))</f>
        <v>28691.290000000037</v>
      </c>
      <c r="P161" s="445">
        <f>IF(tblContractForDeed[[#This Row],[Date]]="","",IF(tblContractForDeed[[#This Row],[Date]]&lt;cfdRateChangeDate,cfdRate1,cfdRate2))</f>
        <v>6.7500000000000004E-2</v>
      </c>
      <c r="Q1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1" s="275">
        <f>IF(tblContractForDeed[[#This Row],[Payment]]=0,0,MAX(0,MIN(tblContractForDeed[[#This Row],[Beg]],tblContractForDeed[[#This Row],[Payment]]-tblContractForDeed[[#This Row],[Int]])))</f>
        <v>498.51</v>
      </c>
      <c r="S161" s="275">
        <f>IF(OR(tblContractForDeed[[#This Row],[Date]]&lt;cfdContractDate,tblContractForDeed[[#This Row],[Date]]&gt;cfdEndDate),0,ROUND(tblContractForDeed[[#This Row],[Beg]]*(tblContractForDeed[[#This Row],[Int Rate]]/12),2))</f>
        <v>161.38999999999999</v>
      </c>
      <c r="T161" s="275">
        <f>IF(tblContractForDeed[[#This Row],[Payment]]=0,0,$W$2)</f>
        <v>134.16999999999999</v>
      </c>
      <c r="U161" s="275">
        <f>IF(tblContractForDeed[[#This Row],[Princ]]=0,0,$W$3)</f>
        <v>188.55</v>
      </c>
      <c r="V161" s="275">
        <f>SUM(tblContractForDeed[[#This Row],[Princ]],tblContractForDeed[[#This Row],[Int]],tblContractForDeed[[#This Row],[Ins]],tblContractForDeed[[#This Row],[Taxes]])</f>
        <v>982.61999999999989</v>
      </c>
      <c r="W161" s="275">
        <f>SUM(INDEX(tblContractForDeed[Princ],1):INDEX(tblContractForDeed[Princ],ROW()-ROW(tblContractForDeed[#Headers])))</f>
        <v>47065.220000000016</v>
      </c>
      <c r="X161" s="275">
        <f>IF(tblContractForDeed[[#This Row],[Beg]]&lt;=0,0,tblContractForDeed[[#This Row],[Beg]]-tblContractForDeed[[#This Row],[Princ]])</f>
        <v>28192.780000000039</v>
      </c>
      <c r="Y16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130</v>
      </c>
      <c r="Z161" s="454">
        <f>IF(INDEX(tblContractForDeed[Payment],ROW()-ROW(tblBuyerOutputs[#Headers]))=0,0,INDEX(tblContractForDeed[Payment],ROW()-ROW(tblBuyerOutputs[#Headers]))-INDEX(tblSubjectToLoan[Payment],ROW()-ROW(tblBuyerOutputs[#Headers])))</f>
        <v>34.090000000000032</v>
      </c>
      <c r="AA161"/>
      <c r="AB161" s="14">
        <f>IF(INDEX(tblContractForDeed[Payment],ROW()-ROW(tblBuyerOutputs[#Headers]))=0,0,INDEX(tblContractForDeed[Payment],ROW()-ROW(tblBuyerOutputs[#Headers]))-INDEX(tblSubjectToLoan[Payment],ROW()-ROW(tblBuyerOutputs[#Headers])))-IFERROR(tblBuyerOutputs[[#This Row],[PMI]],0)</f>
        <v>34.090000000000032</v>
      </c>
      <c r="AC1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3108.0300000000107</v>
      </c>
      <c r="AD161" s="275">
        <f>IF(INDEX(tblContractForDeed[End Bal],ROW()-ROW(tblBuyerOutputs[#Headers]))&lt;=0,0,($O$6+IF(ROW()=ROW(tblBuyerOutputs[#Headers])+1,0,INDEX(tblBuyerOutputs[Cumul Appr],ROW()-ROW(tblBuyerOutputs[#Headers])-1)))*$O$2/12)</f>
        <v>563.5849052175605</v>
      </c>
      <c r="AE161" s="275">
        <f>IF(INDEX(tblContractForDeed[End Bal],ROW()-ROW(tblBuyerOutputs[#Headers]))&lt;=0,0,IF(ROW()=ROW(tblBuyerOutputs[#Headers])+1,0,INDEX(tblBuyerOutputs[Cumul Appr],ROW()-ROW(tblBuyerOutputs[#Headers])-1))+tblBuyerOutputs[[#This Row],[Monthly Appr]])</f>
        <v>60565.96215743207</v>
      </c>
      <c r="AF161" s="22"/>
      <c r="AG161" s="14"/>
      <c r="AL161"/>
      <c r="AM161" s="14"/>
      <c r="AO161" s="275"/>
      <c r="AQ161" s="14"/>
      <c r="AR161"/>
    </row>
    <row r="162" spans="1:44" x14ac:dyDescent="0.25">
      <c r="A162" s="590">
        <f t="shared" si="32"/>
        <v>50192</v>
      </c>
      <c r="B162" s="275">
        <f t="shared" si="33"/>
        <v>39791.959999999948</v>
      </c>
      <c r="C162" s="14">
        <f t="shared" si="30"/>
        <v>625.80999999999995</v>
      </c>
      <c r="D162" s="14">
        <f t="shared" si="34"/>
        <v>501.45999999999992</v>
      </c>
      <c r="E162" s="14">
        <f t="shared" si="31"/>
        <v>124.35</v>
      </c>
      <c r="F162" s="14">
        <f t="shared" si="39"/>
        <v>134.16999999999999</v>
      </c>
      <c r="G162" s="14">
        <f t="shared" si="39"/>
        <v>188.55</v>
      </c>
      <c r="H162" s="14">
        <f t="shared" si="28"/>
        <v>948.53</v>
      </c>
      <c r="I162" s="275">
        <f t="shared" si="37"/>
        <v>58241.34</v>
      </c>
      <c r="J162" s="275">
        <f t="shared" si="38"/>
        <v>31553.329999999991</v>
      </c>
      <c r="K162" s="275">
        <f t="shared" si="35"/>
        <v>39290.499999999949</v>
      </c>
      <c r="L162" s="386">
        <f t="shared" si="26"/>
        <v>11</v>
      </c>
      <c r="M162" s="386">
        <f t="shared" si="36"/>
        <v>142</v>
      </c>
      <c r="N162" s="590">
        <f>INDEX(tblSubjectToLoan[Date],ROW()-ROW(tblContractForDeed[#Headers]))</f>
        <v>50192</v>
      </c>
      <c r="O162" s="275">
        <f>IF(ROW()=ROW(tblContractForDeed[#Headers])+1,$O$6,IF(INDEX(tblContractForDeed[End Bal],ROW()-ROW(tblContractForDeed[#Headers])-1)&lt;0,0,INDEX(tblContractForDeed[End Bal],ROW()-ROW(tblContractForDeed[#Headers])-1)))</f>
        <v>28192.780000000039</v>
      </c>
      <c r="P162" s="445">
        <f>IF(tblContractForDeed[[#This Row],[Date]]="","",IF(tblContractForDeed[[#This Row],[Date]]&lt;cfdRateChangeDate,cfdRate1,cfdRate2))</f>
        <v>6.7500000000000004E-2</v>
      </c>
      <c r="Q1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2" s="275">
        <f>IF(tblContractForDeed[[#This Row],[Payment]]=0,0,MAX(0,MIN(tblContractForDeed[[#This Row],[Beg]],tblContractForDeed[[#This Row],[Payment]]-tblContractForDeed[[#This Row],[Int]])))</f>
        <v>501.31999999999994</v>
      </c>
      <c r="S162" s="275">
        <f>IF(OR(tblContractForDeed[[#This Row],[Date]]&lt;cfdContractDate,tblContractForDeed[[#This Row],[Date]]&gt;cfdEndDate),0,ROUND(tblContractForDeed[[#This Row],[Beg]]*(tblContractForDeed[[#This Row],[Int Rate]]/12),2))</f>
        <v>158.58000000000001</v>
      </c>
      <c r="T162" s="275">
        <f>IF(tblContractForDeed[[#This Row],[Payment]]=0,0,$W$2)</f>
        <v>134.16999999999999</v>
      </c>
      <c r="U162" s="275">
        <f>IF(tblContractForDeed[[#This Row],[Princ]]=0,0,$W$3)</f>
        <v>188.55</v>
      </c>
      <c r="V162" s="275">
        <f>SUM(tblContractForDeed[[#This Row],[Princ]],tblContractForDeed[[#This Row],[Int]],tblContractForDeed[[#This Row],[Ins]],tblContractForDeed[[#This Row],[Taxes]])</f>
        <v>982.61999999999989</v>
      </c>
      <c r="W162" s="275">
        <f>SUM(INDEX(tblContractForDeed[Princ],1):INDEX(tblContractForDeed[Princ],ROW()-ROW(tblContractForDeed[#Headers])))</f>
        <v>47566.540000000015</v>
      </c>
      <c r="X162" s="275">
        <f>IF(tblContractForDeed[[#This Row],[Beg]]&lt;=0,0,tblContractForDeed[[#This Row],[Beg]]-tblContractForDeed[[#This Row],[Princ]])</f>
        <v>27691.460000000039</v>
      </c>
      <c r="Y16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131</v>
      </c>
      <c r="Z162" s="454">
        <f>IF(INDEX(tblContractForDeed[Payment],ROW()-ROW(tblBuyerOutputs[#Headers]))=0,0,INDEX(tblContractForDeed[Payment],ROW()-ROW(tblBuyerOutputs[#Headers]))-INDEX(tblSubjectToLoan[Payment],ROW()-ROW(tblBuyerOutputs[#Headers])))</f>
        <v>34.090000000000032</v>
      </c>
      <c r="AA162"/>
      <c r="AB162" s="14">
        <f>IF(INDEX(tblContractForDeed[Payment],ROW()-ROW(tblBuyerOutputs[#Headers]))=0,0,INDEX(tblContractForDeed[Payment],ROW()-ROW(tblBuyerOutputs[#Headers]))-INDEX(tblSubjectToLoan[Payment],ROW()-ROW(tblBuyerOutputs[#Headers])))-IFERROR(tblBuyerOutputs[[#This Row],[PMI]],0)</f>
        <v>34.090000000000032</v>
      </c>
      <c r="AC1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3142.1200000000108</v>
      </c>
      <c r="AD162" s="275">
        <f>IF(INDEX(tblContractForDeed[End Bal],ROW()-ROW(tblBuyerOutputs[#Headers]))&lt;=0,0,($O$6+IF(ROW()=ROW(tblBuyerOutputs[#Headers])+1,0,INDEX(tblBuyerOutputs[Cumul Appr],ROW()-ROW(tblBuyerOutputs[#Headers])-1)))*$O$2/12)</f>
        <v>565.93317565596703</v>
      </c>
      <c r="AE162" s="275">
        <f>IF(INDEX(tblContractForDeed[End Bal],ROW()-ROW(tblBuyerOutputs[#Headers]))&lt;=0,0,IF(ROW()=ROW(tblBuyerOutputs[#Headers])+1,0,INDEX(tblBuyerOutputs[Cumul Appr],ROW()-ROW(tblBuyerOutputs[#Headers])-1))+tblBuyerOutputs[[#This Row],[Monthly Appr]])</f>
        <v>61131.895333088039</v>
      </c>
      <c r="AF162" s="22"/>
      <c r="AG162" s="14"/>
      <c r="AL162"/>
      <c r="AM162" s="14"/>
      <c r="AO162" s="275"/>
      <c r="AQ162" s="14"/>
      <c r="AR162"/>
    </row>
    <row r="163" spans="1:44" ht="15.75" thickBot="1" x14ac:dyDescent="0.3">
      <c r="A163" s="591">
        <f t="shared" si="32"/>
        <v>50222</v>
      </c>
      <c r="B163" s="326">
        <f t="shared" si="33"/>
        <v>39290.499999999949</v>
      </c>
      <c r="C163" s="21">
        <f t="shared" si="30"/>
        <v>625.80999999999995</v>
      </c>
      <c r="D163" s="21">
        <f t="shared" si="34"/>
        <v>503.03</v>
      </c>
      <c r="E163" s="21">
        <f t="shared" si="31"/>
        <v>122.78</v>
      </c>
      <c r="F163" s="21">
        <f t="shared" si="39"/>
        <v>134.16999999999999</v>
      </c>
      <c r="G163" s="21">
        <f t="shared" si="39"/>
        <v>188.55</v>
      </c>
      <c r="H163" s="21">
        <f t="shared" si="28"/>
        <v>948.53</v>
      </c>
      <c r="I163" s="326">
        <f t="shared" si="37"/>
        <v>58744.369999999995</v>
      </c>
      <c r="J163" s="326">
        <f t="shared" si="38"/>
        <v>31676.10999999999</v>
      </c>
      <c r="K163" s="326">
        <f t="shared" si="35"/>
        <v>38787.46999999995</v>
      </c>
      <c r="L163" s="387">
        <f t="shared" si="26"/>
        <v>11</v>
      </c>
      <c r="M163" s="387">
        <f t="shared" si="36"/>
        <v>143</v>
      </c>
      <c r="N163" s="591">
        <f>INDEX(tblSubjectToLoan[Date],ROW()-ROW(tblContractForDeed[#Headers]))</f>
        <v>50222</v>
      </c>
      <c r="O163" s="326">
        <f>IF(ROW()=ROW(tblContractForDeed[#Headers])+1,$O$6,IF(INDEX(tblContractForDeed[End Bal],ROW()-ROW(tblContractForDeed[#Headers])-1)&lt;0,0,INDEX(tblContractForDeed[End Bal],ROW()-ROW(tblContractForDeed[#Headers])-1)))</f>
        <v>27691.460000000039</v>
      </c>
      <c r="P163" s="445">
        <f>IF(tblContractForDeed[[#This Row],[Date]]="","",IF(tblContractForDeed[[#This Row],[Date]]&lt;cfdRateChangeDate,cfdRate1,cfdRate2))</f>
        <v>6.7500000000000004E-2</v>
      </c>
      <c r="Q16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3" s="326">
        <f>IF(tblContractForDeed[[#This Row],[Payment]]=0,0,MAX(0,MIN(tblContractForDeed[[#This Row],[Beg]],tblContractForDeed[[#This Row],[Payment]]-tblContractForDeed[[#This Row],[Int]])))</f>
        <v>504.14</v>
      </c>
      <c r="S163" s="326">
        <f>IF(OR(tblContractForDeed[[#This Row],[Date]]&lt;cfdContractDate,tblContractForDeed[[#This Row],[Date]]&gt;cfdEndDate),0,ROUND(tblContractForDeed[[#This Row],[Beg]]*(tblContractForDeed[[#This Row],[Int Rate]]/12),2))</f>
        <v>155.76</v>
      </c>
      <c r="T163" s="326">
        <f>IF(tblContractForDeed[[#This Row],[Payment]]=0,0,$W$2)</f>
        <v>134.16999999999999</v>
      </c>
      <c r="U163" s="326">
        <f>IF(tblContractForDeed[[#This Row],[Princ]]=0,0,$W$3)</f>
        <v>188.55</v>
      </c>
      <c r="V163" s="326">
        <f>SUM(tblContractForDeed[[#This Row],[Princ]],tblContractForDeed[[#This Row],[Int]],tblContractForDeed[[#This Row],[Ins]],tblContractForDeed[[#This Row],[Taxes]])</f>
        <v>982.61999999999989</v>
      </c>
      <c r="W163" s="326">
        <f>SUM(INDEX(tblContractForDeed[Princ],1):INDEX(tblContractForDeed[Princ],ROW()-ROW(tblContractForDeed[#Headers])))</f>
        <v>48070.680000000015</v>
      </c>
      <c r="X163" s="326">
        <f>IF(tblContractForDeed[[#This Row],[Beg]]&lt;=0,0,tblContractForDeed[[#This Row],[Beg]]-tblContractForDeed[[#This Row],[Princ]])</f>
        <v>27187.32000000004</v>
      </c>
      <c r="Y163"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132</v>
      </c>
      <c r="Z163" s="455">
        <f>IF(INDEX(tblContractForDeed[Payment],ROW()-ROW(tblBuyerOutputs[#Headers]))=0,0,INDEX(tblContractForDeed[Payment],ROW()-ROW(tblBuyerOutputs[#Headers]))-INDEX(tblSubjectToLoan[Payment],ROW()-ROW(tblBuyerOutputs[#Headers])))</f>
        <v>34.090000000000032</v>
      </c>
      <c r="AA163" s="23"/>
      <c r="AB163" s="21">
        <f>IF(INDEX(tblContractForDeed[Payment],ROW()-ROW(tblBuyerOutputs[#Headers]))=0,0,INDEX(tblContractForDeed[Payment],ROW()-ROW(tblBuyerOutputs[#Headers]))-INDEX(tblSubjectToLoan[Payment],ROW()-ROW(tblBuyerOutputs[#Headers])))-IFERROR(tblBuyerOutputs[[#This Row],[PMI]],0)</f>
        <v>34.090000000000032</v>
      </c>
      <c r="AC1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3176.210000000011</v>
      </c>
      <c r="AD163" s="326">
        <f>IF(INDEX(tblContractForDeed[End Bal],ROW()-ROW(tblBuyerOutputs[#Headers]))&lt;=0,0,($O$6+IF(ROW()=ROW(tblBuyerOutputs[#Headers])+1,0,INDEX(tblBuyerOutputs[Cumul Appr],ROW()-ROW(tblBuyerOutputs[#Headers])-1)))*$O$2/12)</f>
        <v>568.29123055453351</v>
      </c>
      <c r="AE163" s="326">
        <f>IF(INDEX(tblContractForDeed[End Bal],ROW()-ROW(tblBuyerOutputs[#Headers]))&lt;=0,0,IF(ROW()=ROW(tblBuyerOutputs[#Headers])+1,0,INDEX(tblBuyerOutputs[Cumul Appr],ROW()-ROW(tblBuyerOutputs[#Headers])-1))+tblBuyerOutputs[[#This Row],[Monthly Appr]])</f>
        <v>61700.186563642572</v>
      </c>
      <c r="AF163" s="22"/>
      <c r="AG163" s="14"/>
      <c r="AL163"/>
      <c r="AM163" s="14"/>
      <c r="AO163" s="275"/>
      <c r="AQ163" s="14"/>
      <c r="AR163"/>
    </row>
    <row r="164" spans="1:44" x14ac:dyDescent="0.25">
      <c r="A164" s="590">
        <f t="shared" si="32"/>
        <v>50253</v>
      </c>
      <c r="B164" s="275">
        <f t="shared" si="33"/>
        <v>38787.46999999995</v>
      </c>
      <c r="C164" s="14">
        <f t="shared" si="30"/>
        <v>625.80999999999995</v>
      </c>
      <c r="D164" s="14">
        <f t="shared" si="34"/>
        <v>504.59999999999997</v>
      </c>
      <c r="E164" s="14">
        <f t="shared" si="31"/>
        <v>121.21</v>
      </c>
      <c r="F164" s="14">
        <f t="shared" si="39"/>
        <v>134.16999999999999</v>
      </c>
      <c r="G164" s="14">
        <f t="shared" si="39"/>
        <v>188.55</v>
      </c>
      <c r="H164" s="14">
        <f t="shared" si="28"/>
        <v>948.53</v>
      </c>
      <c r="I164" s="275">
        <f t="shared" si="37"/>
        <v>59248.969999999994</v>
      </c>
      <c r="J164" s="275">
        <f t="shared" si="38"/>
        <v>31797.319999999989</v>
      </c>
      <c r="K164" s="275">
        <f t="shared" si="35"/>
        <v>38282.869999999952</v>
      </c>
      <c r="L164" s="386">
        <f t="shared" si="26"/>
        <v>12</v>
      </c>
      <c r="M164" s="386">
        <f t="shared" si="36"/>
        <v>144</v>
      </c>
      <c r="N164" s="590">
        <f>INDEX(tblSubjectToLoan[Date],ROW()-ROW(tblContractForDeed[#Headers]))</f>
        <v>50253</v>
      </c>
      <c r="O164" s="275">
        <f>IF(ROW()=ROW(tblContractForDeed[#Headers])+1,$O$6,IF(INDEX(tblContractForDeed[End Bal],ROW()-ROW(tblContractForDeed[#Headers])-1)&lt;0,0,INDEX(tblContractForDeed[End Bal],ROW()-ROW(tblContractForDeed[#Headers])-1)))</f>
        <v>27187.32000000004</v>
      </c>
      <c r="P164" s="445">
        <f>IF(tblContractForDeed[[#This Row],[Date]]="","",IF(tblContractForDeed[[#This Row],[Date]]&lt;cfdRateChangeDate,cfdRate1,cfdRate2))</f>
        <v>6.7500000000000004E-2</v>
      </c>
      <c r="Q1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4" s="275">
        <f>IF(tblContractForDeed[[#This Row],[Payment]]=0,0,MAX(0,MIN(tblContractForDeed[[#This Row],[Beg]],tblContractForDeed[[#This Row],[Payment]]-tblContractForDeed[[#This Row],[Int]])))</f>
        <v>506.96999999999997</v>
      </c>
      <c r="S164" s="275">
        <f>IF(OR(tblContractForDeed[[#This Row],[Date]]&lt;cfdContractDate,tblContractForDeed[[#This Row],[Date]]&gt;cfdEndDate),0,ROUND(tblContractForDeed[[#This Row],[Beg]]*(tblContractForDeed[[#This Row],[Int Rate]]/12),2))</f>
        <v>152.93</v>
      </c>
      <c r="T164" s="275">
        <f>IF(tblContractForDeed[[#This Row],[Payment]]=0,0,$W$2)</f>
        <v>134.16999999999999</v>
      </c>
      <c r="U164" s="275">
        <f>IF(tblContractForDeed[[#This Row],[Princ]]=0,0,$W$3)</f>
        <v>188.55</v>
      </c>
      <c r="V164" s="275">
        <f>SUM(tblContractForDeed[[#This Row],[Princ]],tblContractForDeed[[#This Row],[Int]],tblContractForDeed[[#This Row],[Ins]],tblContractForDeed[[#This Row],[Taxes]])</f>
        <v>982.61999999999989</v>
      </c>
      <c r="W164" s="275">
        <f>SUM(INDEX(tblContractForDeed[Princ],1):INDEX(tblContractForDeed[Princ],ROW()-ROW(tblContractForDeed[#Headers])))</f>
        <v>48577.650000000016</v>
      </c>
      <c r="X164" s="275">
        <f>IF(tblContractForDeed[[#This Row],[Beg]]&lt;=0,0,tblContractForDeed[[#This Row],[Beg]]-tblContractForDeed[[#This Row],[Princ]])</f>
        <v>26680.350000000039</v>
      </c>
      <c r="Y16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133</v>
      </c>
      <c r="Z164" s="454">
        <f>IF(INDEX(tblContractForDeed[Payment],ROW()-ROW(tblBuyerOutputs[#Headers]))=0,0,INDEX(tblContractForDeed[Payment],ROW()-ROW(tblBuyerOutputs[#Headers]))-INDEX(tblSubjectToLoan[Payment],ROW()-ROW(tblBuyerOutputs[#Headers])))</f>
        <v>34.090000000000032</v>
      </c>
      <c r="AA164"/>
      <c r="AB164" s="14">
        <f>IF(INDEX(tblContractForDeed[Payment],ROW()-ROW(tblBuyerOutputs[#Headers]))=0,0,INDEX(tblContractForDeed[Payment],ROW()-ROW(tblBuyerOutputs[#Headers]))-INDEX(tblSubjectToLoan[Payment],ROW()-ROW(tblBuyerOutputs[#Headers])))-IFERROR(tblBuyerOutputs[[#This Row],[PMI]],0)</f>
        <v>34.090000000000032</v>
      </c>
      <c r="AC1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3210.3000000000111</v>
      </c>
      <c r="AD164" s="275">
        <f>IF(INDEX(tblContractForDeed[End Bal],ROW()-ROW(tblBuyerOutputs[#Headers]))&lt;=0,0,($O$6+IF(ROW()=ROW(tblBuyerOutputs[#Headers])+1,0,INDEX(tblBuyerOutputs[Cumul Appr],ROW()-ROW(tblBuyerOutputs[#Headers])-1)))*$O$2/12)</f>
        <v>570.65911068184414</v>
      </c>
      <c r="AE164" s="275">
        <f>IF(INDEX(tblContractForDeed[End Bal],ROW()-ROW(tblBuyerOutputs[#Headers]))&lt;=0,0,IF(ROW()=ROW(tblBuyerOutputs[#Headers])+1,0,INDEX(tblBuyerOutputs[Cumul Appr],ROW()-ROW(tblBuyerOutputs[#Headers])-1))+tblBuyerOutputs[[#This Row],[Monthly Appr]])</f>
        <v>62270.845674324417</v>
      </c>
      <c r="AF164" s="22"/>
      <c r="AG164" s="14"/>
      <c r="AL164"/>
      <c r="AM164" s="14"/>
      <c r="AO164" s="275"/>
      <c r="AQ164" s="14"/>
      <c r="AR164"/>
    </row>
    <row r="165" spans="1:44" x14ac:dyDescent="0.25">
      <c r="A165" s="590">
        <f t="shared" si="32"/>
        <v>50284</v>
      </c>
      <c r="B165" s="275">
        <f t="shared" si="33"/>
        <v>38282.869999999952</v>
      </c>
      <c r="C165" s="14">
        <f t="shared" si="30"/>
        <v>625.80999999999995</v>
      </c>
      <c r="D165" s="14">
        <f t="shared" si="34"/>
        <v>506.17999999999995</v>
      </c>
      <c r="E165" s="14">
        <f t="shared" si="31"/>
        <v>119.63</v>
      </c>
      <c r="F165" s="14">
        <f t="shared" si="39"/>
        <v>134.16999999999999</v>
      </c>
      <c r="G165" s="14">
        <f t="shared" si="39"/>
        <v>188.55</v>
      </c>
      <c r="H165" s="14">
        <f t="shared" si="28"/>
        <v>948.53</v>
      </c>
      <c r="I165" s="275">
        <f t="shared" si="37"/>
        <v>59755.149999999994</v>
      </c>
      <c r="J165" s="275">
        <f t="shared" si="38"/>
        <v>31916.94999999999</v>
      </c>
      <c r="K165" s="275">
        <f t="shared" si="35"/>
        <v>37776.689999999951</v>
      </c>
      <c r="L165" s="386">
        <f t="shared" si="26"/>
        <v>12</v>
      </c>
      <c r="M165" s="386">
        <f t="shared" si="36"/>
        <v>145</v>
      </c>
      <c r="N165" s="590">
        <f>INDEX(tblSubjectToLoan[Date],ROW()-ROW(tblContractForDeed[#Headers]))</f>
        <v>50284</v>
      </c>
      <c r="O165" s="275">
        <f>IF(ROW()=ROW(tblContractForDeed[#Headers])+1,$O$6,IF(INDEX(tblContractForDeed[End Bal],ROW()-ROW(tblContractForDeed[#Headers])-1)&lt;0,0,INDEX(tblContractForDeed[End Bal],ROW()-ROW(tblContractForDeed[#Headers])-1)))</f>
        <v>26680.350000000039</v>
      </c>
      <c r="P165" s="445">
        <f>IF(tblContractForDeed[[#This Row],[Date]]="","",IF(tblContractForDeed[[#This Row],[Date]]&lt;cfdRateChangeDate,cfdRate1,cfdRate2))</f>
        <v>6.7500000000000004E-2</v>
      </c>
      <c r="Q1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5" s="275">
        <f>IF(tblContractForDeed[[#This Row],[Payment]]=0,0,MAX(0,MIN(tblContractForDeed[[#This Row],[Beg]],tblContractForDeed[[#This Row],[Payment]]-tblContractForDeed[[#This Row],[Int]])))</f>
        <v>509.81999999999994</v>
      </c>
      <c r="S165" s="275">
        <f>IF(OR(tblContractForDeed[[#This Row],[Date]]&lt;cfdContractDate,tblContractForDeed[[#This Row],[Date]]&gt;cfdEndDate),0,ROUND(tblContractForDeed[[#This Row],[Beg]]*(tblContractForDeed[[#This Row],[Int Rate]]/12),2))</f>
        <v>150.08000000000001</v>
      </c>
      <c r="T165" s="275">
        <f>IF(tblContractForDeed[[#This Row],[Payment]]=0,0,$W$2)</f>
        <v>134.16999999999999</v>
      </c>
      <c r="U165" s="275">
        <f>IF(tblContractForDeed[[#This Row],[Princ]]=0,0,$W$3)</f>
        <v>188.55</v>
      </c>
      <c r="V165" s="275">
        <f>SUM(tblContractForDeed[[#This Row],[Princ]],tblContractForDeed[[#This Row],[Int]],tblContractForDeed[[#This Row],[Ins]],tblContractForDeed[[#This Row],[Taxes]])</f>
        <v>982.61999999999989</v>
      </c>
      <c r="W165" s="275">
        <f>SUM(INDEX(tblContractForDeed[Princ],1):INDEX(tblContractForDeed[Princ],ROW()-ROW(tblContractForDeed[#Headers])))</f>
        <v>49087.470000000016</v>
      </c>
      <c r="X165" s="275">
        <f>IF(tblContractForDeed[[#This Row],[Beg]]&lt;=0,0,tblContractForDeed[[#This Row],[Beg]]-tblContractForDeed[[#This Row],[Princ]])</f>
        <v>26170.530000000039</v>
      </c>
      <c r="Y16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134</v>
      </c>
      <c r="Z165" s="454">
        <f>IF(INDEX(tblContractForDeed[Payment],ROW()-ROW(tblBuyerOutputs[#Headers]))=0,0,INDEX(tblContractForDeed[Payment],ROW()-ROW(tblBuyerOutputs[#Headers]))-INDEX(tblSubjectToLoan[Payment],ROW()-ROW(tblBuyerOutputs[#Headers])))</f>
        <v>34.090000000000032</v>
      </c>
      <c r="AA165"/>
      <c r="AB165" s="14">
        <f>IF(INDEX(tblContractForDeed[Payment],ROW()-ROW(tblBuyerOutputs[#Headers]))=0,0,INDEX(tblContractForDeed[Payment],ROW()-ROW(tblBuyerOutputs[#Headers]))-INDEX(tblSubjectToLoan[Payment],ROW()-ROW(tblBuyerOutputs[#Headers])))-IFERROR(tblBuyerOutputs[[#This Row],[PMI]],0)</f>
        <v>34.090000000000032</v>
      </c>
      <c r="AC1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3244.3900000000112</v>
      </c>
      <c r="AD165" s="275">
        <f>IF(INDEX(tblContractForDeed[End Bal],ROW()-ROW(tblBuyerOutputs[#Headers]))&lt;=0,0,($O$6+IF(ROW()=ROW(tblBuyerOutputs[#Headers])+1,0,INDEX(tblBuyerOutputs[Cumul Appr],ROW()-ROW(tblBuyerOutputs[#Headers])-1)))*$O$2/12)</f>
        <v>573.03685697635183</v>
      </c>
      <c r="AE165" s="275">
        <f>IF(INDEX(tblContractForDeed[End Bal],ROW()-ROW(tblBuyerOutputs[#Headers]))&lt;=0,0,IF(ROW()=ROW(tblBuyerOutputs[#Headers])+1,0,INDEX(tblBuyerOutputs[Cumul Appr],ROW()-ROW(tblBuyerOutputs[#Headers])-1))+tblBuyerOutputs[[#This Row],[Monthly Appr]])</f>
        <v>62843.882531300769</v>
      </c>
      <c r="AF165" s="22"/>
      <c r="AG165" s="14"/>
      <c r="AL165"/>
      <c r="AM165" s="14"/>
      <c r="AO165" s="275"/>
      <c r="AQ165" s="14"/>
      <c r="AR165"/>
    </row>
    <row r="166" spans="1:44" x14ac:dyDescent="0.25">
      <c r="A166" s="590">
        <f t="shared" si="32"/>
        <v>50314</v>
      </c>
      <c r="B166" s="275">
        <f t="shared" si="33"/>
        <v>37776.689999999951</v>
      </c>
      <c r="C166" s="14">
        <f t="shared" si="30"/>
        <v>625.80999999999995</v>
      </c>
      <c r="D166" s="14">
        <f t="shared" si="34"/>
        <v>507.75999999999993</v>
      </c>
      <c r="E166" s="14">
        <f t="shared" si="31"/>
        <v>118.05</v>
      </c>
      <c r="F166" s="14">
        <f t="shared" si="39"/>
        <v>134.16999999999999</v>
      </c>
      <c r="G166" s="14">
        <f t="shared" si="39"/>
        <v>188.55</v>
      </c>
      <c r="H166" s="14">
        <f t="shared" si="28"/>
        <v>948.53</v>
      </c>
      <c r="I166" s="275">
        <f t="shared" si="37"/>
        <v>60262.909999999996</v>
      </c>
      <c r="J166" s="275">
        <f t="shared" si="38"/>
        <v>32034.999999999989</v>
      </c>
      <c r="K166" s="275">
        <f t="shared" si="35"/>
        <v>37268.929999999949</v>
      </c>
      <c r="L166" s="386">
        <f t="shared" si="26"/>
        <v>12</v>
      </c>
      <c r="M166" s="386">
        <f t="shared" si="36"/>
        <v>146</v>
      </c>
      <c r="N166" s="590">
        <f>INDEX(tblSubjectToLoan[Date],ROW()-ROW(tblContractForDeed[#Headers]))</f>
        <v>50314</v>
      </c>
      <c r="O166" s="275">
        <f>IF(ROW()=ROW(tblContractForDeed[#Headers])+1,$O$6,IF(INDEX(tblContractForDeed[End Bal],ROW()-ROW(tblContractForDeed[#Headers])-1)&lt;0,0,INDEX(tblContractForDeed[End Bal],ROW()-ROW(tblContractForDeed[#Headers])-1)))</f>
        <v>26170.530000000039</v>
      </c>
      <c r="P166" s="445">
        <f>IF(tblContractForDeed[[#This Row],[Date]]="","",IF(tblContractForDeed[[#This Row],[Date]]&lt;cfdRateChangeDate,cfdRate1,cfdRate2))</f>
        <v>6.7500000000000004E-2</v>
      </c>
      <c r="Q1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6" s="275">
        <f>IF(tblContractForDeed[[#This Row],[Payment]]=0,0,MAX(0,MIN(tblContractForDeed[[#This Row],[Beg]],tblContractForDeed[[#This Row],[Payment]]-tblContractForDeed[[#This Row],[Int]])))</f>
        <v>512.68999999999994</v>
      </c>
      <c r="S166" s="275">
        <f>IF(OR(tblContractForDeed[[#This Row],[Date]]&lt;cfdContractDate,tblContractForDeed[[#This Row],[Date]]&gt;cfdEndDate),0,ROUND(tblContractForDeed[[#This Row],[Beg]]*(tblContractForDeed[[#This Row],[Int Rate]]/12),2))</f>
        <v>147.21</v>
      </c>
      <c r="T166" s="275">
        <f>IF(tblContractForDeed[[#This Row],[Payment]]=0,0,$W$2)</f>
        <v>134.16999999999999</v>
      </c>
      <c r="U166" s="275">
        <f>IF(tblContractForDeed[[#This Row],[Princ]]=0,0,$W$3)</f>
        <v>188.55</v>
      </c>
      <c r="V166" s="275">
        <f>SUM(tblContractForDeed[[#This Row],[Princ]],tblContractForDeed[[#This Row],[Int]],tblContractForDeed[[#This Row],[Ins]],tblContractForDeed[[#This Row],[Taxes]])</f>
        <v>982.61999999999989</v>
      </c>
      <c r="W166" s="275">
        <f>SUM(INDEX(tblContractForDeed[Princ],1):INDEX(tblContractForDeed[Princ],ROW()-ROW(tblContractForDeed[#Headers])))</f>
        <v>49600.160000000018</v>
      </c>
      <c r="X166" s="275">
        <f>IF(tblContractForDeed[[#This Row],[Beg]]&lt;=0,0,tblContractForDeed[[#This Row],[Beg]]-tblContractForDeed[[#This Row],[Princ]])</f>
        <v>25657.84000000004</v>
      </c>
      <c r="Y16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135</v>
      </c>
      <c r="Z166" s="454">
        <f>IF(INDEX(tblContractForDeed[Payment],ROW()-ROW(tblBuyerOutputs[#Headers]))=0,0,INDEX(tblContractForDeed[Payment],ROW()-ROW(tblBuyerOutputs[#Headers]))-INDEX(tblSubjectToLoan[Payment],ROW()-ROW(tblBuyerOutputs[#Headers])))</f>
        <v>34.090000000000032</v>
      </c>
      <c r="AA166"/>
      <c r="AB166" s="14">
        <f>IF(INDEX(tblContractForDeed[Payment],ROW()-ROW(tblBuyerOutputs[#Headers]))=0,0,INDEX(tblContractForDeed[Payment],ROW()-ROW(tblBuyerOutputs[#Headers]))-INDEX(tblSubjectToLoan[Payment],ROW()-ROW(tblBuyerOutputs[#Headers])))-IFERROR(tblBuyerOutputs[[#This Row],[PMI]],0)</f>
        <v>34.090000000000032</v>
      </c>
      <c r="AC1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3278.4800000000114</v>
      </c>
      <c r="AD166" s="275">
        <f>IF(INDEX(tblContractForDeed[End Bal],ROW()-ROW(tblBuyerOutputs[#Headers]))&lt;=0,0,($O$6+IF(ROW()=ROW(tblBuyerOutputs[#Headers])+1,0,INDEX(tblBuyerOutputs[Cumul Appr],ROW()-ROW(tblBuyerOutputs[#Headers])-1)))*$O$2/12)</f>
        <v>575.42451054708658</v>
      </c>
      <c r="AE166" s="275">
        <f>IF(INDEX(tblContractForDeed[End Bal],ROW()-ROW(tblBuyerOutputs[#Headers]))&lt;=0,0,IF(ROW()=ROW(tblBuyerOutputs[#Headers])+1,0,INDEX(tblBuyerOutputs[Cumul Appr],ROW()-ROW(tblBuyerOutputs[#Headers])-1))+tblBuyerOutputs[[#This Row],[Monthly Appr]])</f>
        <v>63419.307041847853</v>
      </c>
      <c r="AF166" s="22"/>
      <c r="AG166" s="14"/>
      <c r="AL166"/>
      <c r="AM166" s="14"/>
      <c r="AO166" s="275"/>
      <c r="AQ166" s="14"/>
      <c r="AR166"/>
    </row>
    <row r="167" spans="1:44" x14ac:dyDescent="0.25">
      <c r="A167" s="590">
        <f t="shared" si="32"/>
        <v>50345</v>
      </c>
      <c r="B167" s="275">
        <f t="shared" si="33"/>
        <v>37268.929999999949</v>
      </c>
      <c r="C167" s="14">
        <f t="shared" si="30"/>
        <v>625.80999999999995</v>
      </c>
      <c r="D167" s="14">
        <f t="shared" si="34"/>
        <v>509.33999999999992</v>
      </c>
      <c r="E167" s="14">
        <f t="shared" si="31"/>
        <v>116.47</v>
      </c>
      <c r="F167" s="14">
        <f t="shared" si="39"/>
        <v>134.16999999999999</v>
      </c>
      <c r="G167" s="14">
        <f t="shared" si="39"/>
        <v>188.55</v>
      </c>
      <c r="H167" s="14">
        <f t="shared" si="28"/>
        <v>948.53</v>
      </c>
      <c r="I167" s="275">
        <f t="shared" si="37"/>
        <v>60772.249999999993</v>
      </c>
      <c r="J167" s="275">
        <f t="shared" si="38"/>
        <v>32151.46999999999</v>
      </c>
      <c r="K167" s="275">
        <f t="shared" si="35"/>
        <v>36759.589999999953</v>
      </c>
      <c r="L167" s="386">
        <f t="shared" si="26"/>
        <v>12</v>
      </c>
      <c r="M167" s="386">
        <f t="shared" si="36"/>
        <v>147</v>
      </c>
      <c r="N167" s="590">
        <f>INDEX(tblSubjectToLoan[Date],ROW()-ROW(tblContractForDeed[#Headers]))</f>
        <v>50345</v>
      </c>
      <c r="O167" s="275">
        <f>IF(ROW()=ROW(tblContractForDeed[#Headers])+1,$O$6,IF(INDEX(tblContractForDeed[End Bal],ROW()-ROW(tblContractForDeed[#Headers])-1)&lt;0,0,INDEX(tblContractForDeed[End Bal],ROW()-ROW(tblContractForDeed[#Headers])-1)))</f>
        <v>25657.84000000004</v>
      </c>
      <c r="P167" s="445">
        <f>IF(tblContractForDeed[[#This Row],[Date]]="","",IF(tblContractForDeed[[#This Row],[Date]]&lt;cfdRateChangeDate,cfdRate1,cfdRate2))</f>
        <v>6.7500000000000004E-2</v>
      </c>
      <c r="Q16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7" s="275">
        <f>IF(tblContractForDeed[[#This Row],[Payment]]=0,0,MAX(0,MIN(tblContractForDeed[[#This Row],[Beg]],tblContractForDeed[[#This Row],[Payment]]-tblContractForDeed[[#This Row],[Int]])))</f>
        <v>515.56999999999994</v>
      </c>
      <c r="S167" s="275">
        <f>IF(OR(tblContractForDeed[[#This Row],[Date]]&lt;cfdContractDate,tblContractForDeed[[#This Row],[Date]]&gt;cfdEndDate),0,ROUND(tblContractForDeed[[#This Row],[Beg]]*(tblContractForDeed[[#This Row],[Int Rate]]/12),2))</f>
        <v>144.33000000000001</v>
      </c>
      <c r="T167" s="275">
        <f>IF(tblContractForDeed[[#This Row],[Payment]]=0,0,$W$2)</f>
        <v>134.16999999999999</v>
      </c>
      <c r="U167" s="275">
        <f>IF(tblContractForDeed[[#This Row],[Princ]]=0,0,$W$3)</f>
        <v>188.55</v>
      </c>
      <c r="V167" s="275">
        <f>SUM(tblContractForDeed[[#This Row],[Princ]],tblContractForDeed[[#This Row],[Int]],tblContractForDeed[[#This Row],[Ins]],tblContractForDeed[[#This Row],[Taxes]])</f>
        <v>982.61999999999989</v>
      </c>
      <c r="W167" s="275">
        <f>SUM(INDEX(tblContractForDeed[Princ],1):INDEX(tblContractForDeed[Princ],ROW()-ROW(tblContractForDeed[#Headers])))</f>
        <v>50115.730000000018</v>
      </c>
      <c r="X167" s="275">
        <f>IF(tblContractForDeed[[#This Row],[Beg]]&lt;=0,0,tblContractForDeed[[#This Row],[Beg]]-tblContractForDeed[[#This Row],[Princ]])</f>
        <v>25142.27000000004</v>
      </c>
      <c r="Y16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136</v>
      </c>
      <c r="Z167" s="454">
        <f>IF(INDEX(tblContractForDeed[Payment],ROW()-ROW(tblBuyerOutputs[#Headers]))=0,0,INDEX(tblContractForDeed[Payment],ROW()-ROW(tblBuyerOutputs[#Headers]))-INDEX(tblSubjectToLoan[Payment],ROW()-ROW(tblBuyerOutputs[#Headers])))</f>
        <v>34.090000000000032</v>
      </c>
      <c r="AA167"/>
      <c r="AB167" s="14">
        <f>IF(INDEX(tblContractForDeed[Payment],ROW()-ROW(tblBuyerOutputs[#Headers]))=0,0,INDEX(tblContractForDeed[Payment],ROW()-ROW(tblBuyerOutputs[#Headers]))-INDEX(tblSubjectToLoan[Payment],ROW()-ROW(tblBuyerOutputs[#Headers])))-IFERROR(tblBuyerOutputs[[#This Row],[PMI]],0)</f>
        <v>34.090000000000032</v>
      </c>
      <c r="AC1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3312.5700000000115</v>
      </c>
      <c r="AD167" s="275">
        <f>IF(INDEX(tblContractForDeed[End Bal],ROW()-ROW(tblBuyerOutputs[#Headers]))&lt;=0,0,($O$6+IF(ROW()=ROW(tblBuyerOutputs[#Headers])+1,0,INDEX(tblBuyerOutputs[Cumul Appr],ROW()-ROW(tblBuyerOutputs[#Headers])-1)))*$O$2/12)</f>
        <v>577.82211267436605</v>
      </c>
      <c r="AE167" s="275">
        <f>IF(INDEX(tblContractForDeed[End Bal],ROW()-ROW(tblBuyerOutputs[#Headers]))&lt;=0,0,IF(ROW()=ROW(tblBuyerOutputs[#Headers])+1,0,INDEX(tblBuyerOutputs[Cumul Appr],ROW()-ROW(tblBuyerOutputs[#Headers])-1))+tblBuyerOutputs[[#This Row],[Monthly Appr]])</f>
        <v>63997.129154522219</v>
      </c>
      <c r="AF167" s="22"/>
      <c r="AG167" s="14"/>
      <c r="AL167"/>
      <c r="AM167" s="14"/>
      <c r="AO167" s="275"/>
      <c r="AQ167" s="14"/>
      <c r="AR167"/>
    </row>
    <row r="168" spans="1:44" x14ac:dyDescent="0.25">
      <c r="A168" s="590">
        <f t="shared" si="32"/>
        <v>50375</v>
      </c>
      <c r="B168" s="275">
        <f t="shared" si="33"/>
        <v>36759.589999999953</v>
      </c>
      <c r="C168" s="14">
        <f t="shared" si="30"/>
        <v>625.80999999999995</v>
      </c>
      <c r="D168" s="14">
        <f t="shared" si="34"/>
        <v>510.93999999999994</v>
      </c>
      <c r="E168" s="14">
        <f t="shared" si="31"/>
        <v>114.87</v>
      </c>
      <c r="F168" s="14">
        <f t="shared" si="39"/>
        <v>134.16999999999999</v>
      </c>
      <c r="G168" s="14">
        <f t="shared" si="39"/>
        <v>188.55</v>
      </c>
      <c r="H168" s="14">
        <f t="shared" si="28"/>
        <v>948.53</v>
      </c>
      <c r="I168" s="275">
        <f t="shared" si="37"/>
        <v>61283.189999999995</v>
      </c>
      <c r="J168" s="275">
        <f t="shared" si="38"/>
        <v>32266.339999999989</v>
      </c>
      <c r="K168" s="275">
        <f t="shared" si="35"/>
        <v>36248.649999999951</v>
      </c>
      <c r="L168" s="386">
        <f t="shared" si="26"/>
        <v>12</v>
      </c>
      <c r="M168" s="386">
        <f t="shared" si="36"/>
        <v>148</v>
      </c>
      <c r="N168" s="590">
        <f>INDEX(tblSubjectToLoan[Date],ROW()-ROW(tblContractForDeed[#Headers]))</f>
        <v>50375</v>
      </c>
      <c r="O168" s="275">
        <f>IF(ROW()=ROW(tblContractForDeed[#Headers])+1,$O$6,IF(INDEX(tblContractForDeed[End Bal],ROW()-ROW(tblContractForDeed[#Headers])-1)&lt;0,0,INDEX(tblContractForDeed[End Bal],ROW()-ROW(tblContractForDeed[#Headers])-1)))</f>
        <v>25142.27000000004</v>
      </c>
      <c r="P168" s="445">
        <f>IF(tblContractForDeed[[#This Row],[Date]]="","",IF(tblContractForDeed[[#This Row],[Date]]&lt;cfdRateChangeDate,cfdRate1,cfdRate2))</f>
        <v>6.7500000000000004E-2</v>
      </c>
      <c r="Q1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8" s="275">
        <f>IF(tblContractForDeed[[#This Row],[Payment]]=0,0,MAX(0,MIN(tblContractForDeed[[#This Row],[Beg]],tblContractForDeed[[#This Row],[Payment]]-tblContractForDeed[[#This Row],[Int]])))</f>
        <v>518.47</v>
      </c>
      <c r="S168" s="275">
        <f>IF(OR(tblContractForDeed[[#This Row],[Date]]&lt;cfdContractDate,tblContractForDeed[[#This Row],[Date]]&gt;cfdEndDate),0,ROUND(tblContractForDeed[[#This Row],[Beg]]*(tblContractForDeed[[#This Row],[Int Rate]]/12),2))</f>
        <v>141.43</v>
      </c>
      <c r="T168" s="275">
        <f>IF(tblContractForDeed[[#This Row],[Payment]]=0,0,$W$2)</f>
        <v>134.16999999999999</v>
      </c>
      <c r="U168" s="275">
        <f>IF(tblContractForDeed[[#This Row],[Princ]]=0,0,$W$3)</f>
        <v>188.55</v>
      </c>
      <c r="V168" s="275">
        <f>SUM(tblContractForDeed[[#This Row],[Princ]],tblContractForDeed[[#This Row],[Int]],tblContractForDeed[[#This Row],[Ins]],tblContractForDeed[[#This Row],[Taxes]])</f>
        <v>982.62000000000012</v>
      </c>
      <c r="W168" s="275">
        <f>SUM(INDEX(tblContractForDeed[Princ],1):INDEX(tblContractForDeed[Princ],ROW()-ROW(tblContractForDeed[#Headers])))</f>
        <v>50634.200000000019</v>
      </c>
      <c r="X168" s="275">
        <f>IF(tblContractForDeed[[#This Row],[Beg]]&lt;=0,0,tblContractForDeed[[#This Row],[Beg]]-tblContractForDeed[[#This Row],[Princ]])</f>
        <v>24623.800000000039</v>
      </c>
      <c r="Y16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137</v>
      </c>
      <c r="Z168" s="454">
        <f>IF(INDEX(tblContractForDeed[Payment],ROW()-ROW(tblBuyerOutputs[#Headers]))=0,0,INDEX(tblContractForDeed[Payment],ROW()-ROW(tblBuyerOutputs[#Headers]))-INDEX(tblSubjectToLoan[Payment],ROW()-ROW(tblBuyerOutputs[#Headers])))</f>
        <v>34.090000000000032</v>
      </c>
      <c r="AA168"/>
      <c r="AB168" s="14">
        <f>IF(INDEX(tblContractForDeed[Payment],ROW()-ROW(tblBuyerOutputs[#Headers]))=0,0,INDEX(tblContractForDeed[Payment],ROW()-ROW(tblBuyerOutputs[#Headers]))-INDEX(tblSubjectToLoan[Payment],ROW()-ROW(tblBuyerOutputs[#Headers])))-IFERROR(tblBuyerOutputs[[#This Row],[PMI]],0)</f>
        <v>34.090000000000032</v>
      </c>
      <c r="AC1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3346.6600000000117</v>
      </c>
      <c r="AD168" s="275">
        <f>IF(INDEX(tblContractForDeed[End Bal],ROW()-ROW(tblBuyerOutputs[#Headers]))&lt;=0,0,($O$6+IF(ROW()=ROW(tblBuyerOutputs[#Headers])+1,0,INDEX(tblBuyerOutputs[Cumul Appr],ROW()-ROW(tblBuyerOutputs[#Headers])-1)))*$O$2/12)</f>
        <v>580.22970481050925</v>
      </c>
      <c r="AE168" s="275">
        <f>IF(INDEX(tblContractForDeed[End Bal],ROW()-ROW(tblBuyerOutputs[#Headers]))&lt;=0,0,IF(ROW()=ROW(tblBuyerOutputs[#Headers])+1,0,INDEX(tblBuyerOutputs[Cumul Appr],ROW()-ROW(tblBuyerOutputs[#Headers])-1))+tblBuyerOutputs[[#This Row],[Monthly Appr]])</f>
        <v>64577.358859332729</v>
      </c>
      <c r="AF168" s="22"/>
      <c r="AG168" s="14"/>
      <c r="AL168"/>
      <c r="AM168" s="14"/>
      <c r="AO168" s="275"/>
      <c r="AQ168" s="14"/>
      <c r="AR168"/>
    </row>
    <row r="169" spans="1:44" x14ac:dyDescent="0.25">
      <c r="A169" s="590">
        <f t="shared" si="32"/>
        <v>50406</v>
      </c>
      <c r="B169" s="275">
        <f t="shared" si="33"/>
        <v>36248.649999999951</v>
      </c>
      <c r="C169" s="14">
        <f t="shared" si="30"/>
        <v>625.80999999999995</v>
      </c>
      <c r="D169" s="14">
        <f t="shared" si="34"/>
        <v>512.53</v>
      </c>
      <c r="E169" s="14">
        <f t="shared" si="31"/>
        <v>113.28</v>
      </c>
      <c r="F169" s="14">
        <f t="shared" si="39"/>
        <v>134.16999999999999</v>
      </c>
      <c r="G169" s="14">
        <f t="shared" si="39"/>
        <v>188.55</v>
      </c>
      <c r="H169" s="14">
        <f t="shared" si="28"/>
        <v>948.53</v>
      </c>
      <c r="I169" s="275">
        <f t="shared" si="37"/>
        <v>61795.719999999994</v>
      </c>
      <c r="J169" s="275">
        <f t="shared" si="38"/>
        <v>32379.619999999988</v>
      </c>
      <c r="K169" s="275">
        <f t="shared" si="35"/>
        <v>35736.119999999952</v>
      </c>
      <c r="L169" s="386">
        <f t="shared" si="26"/>
        <v>12</v>
      </c>
      <c r="M169" s="386">
        <f t="shared" si="36"/>
        <v>149</v>
      </c>
      <c r="N169" s="590">
        <f>INDEX(tblSubjectToLoan[Date],ROW()-ROW(tblContractForDeed[#Headers]))</f>
        <v>50406</v>
      </c>
      <c r="O169" s="275">
        <f>IF(ROW()=ROW(tblContractForDeed[#Headers])+1,$O$6,IF(INDEX(tblContractForDeed[End Bal],ROW()-ROW(tblContractForDeed[#Headers])-1)&lt;0,0,INDEX(tblContractForDeed[End Bal],ROW()-ROW(tblContractForDeed[#Headers])-1)))</f>
        <v>24623.800000000039</v>
      </c>
      <c r="P169" s="445">
        <f>IF(tblContractForDeed[[#This Row],[Date]]="","",IF(tblContractForDeed[[#This Row],[Date]]&lt;cfdRateChangeDate,cfdRate1,cfdRate2))</f>
        <v>6.7500000000000004E-2</v>
      </c>
      <c r="Q1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9" s="275">
        <f>IF(tblContractForDeed[[#This Row],[Payment]]=0,0,MAX(0,MIN(tblContractForDeed[[#This Row],[Beg]],tblContractForDeed[[#This Row],[Payment]]-tblContractForDeed[[#This Row],[Int]])))</f>
        <v>521.39</v>
      </c>
      <c r="S169" s="275">
        <f>IF(OR(tblContractForDeed[[#This Row],[Date]]&lt;cfdContractDate,tblContractForDeed[[#This Row],[Date]]&gt;cfdEndDate),0,ROUND(tblContractForDeed[[#This Row],[Beg]]*(tblContractForDeed[[#This Row],[Int Rate]]/12),2))</f>
        <v>138.51</v>
      </c>
      <c r="T169" s="275">
        <f>IF(tblContractForDeed[[#This Row],[Payment]]=0,0,$W$2)</f>
        <v>134.16999999999999</v>
      </c>
      <c r="U169" s="275">
        <f>IF(tblContractForDeed[[#This Row],[Princ]]=0,0,$W$3)</f>
        <v>188.55</v>
      </c>
      <c r="V169" s="275">
        <f>SUM(tblContractForDeed[[#This Row],[Princ]],tblContractForDeed[[#This Row],[Int]],tblContractForDeed[[#This Row],[Ins]],tblContractForDeed[[#This Row],[Taxes]])</f>
        <v>982.61999999999989</v>
      </c>
      <c r="W169" s="275">
        <f>SUM(INDEX(tblContractForDeed[Princ],1):INDEX(tblContractForDeed[Princ],ROW()-ROW(tblContractForDeed[#Headers])))</f>
        <v>51155.590000000018</v>
      </c>
      <c r="X169" s="275">
        <f>IF(tblContractForDeed[[#This Row],[Beg]]&lt;=0,0,tblContractForDeed[[#This Row],[Beg]]-tblContractForDeed[[#This Row],[Princ]])</f>
        <v>24102.41000000004</v>
      </c>
      <c r="Y16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138</v>
      </c>
      <c r="Z169" s="454">
        <f>IF(INDEX(tblContractForDeed[Payment],ROW()-ROW(tblBuyerOutputs[#Headers]))=0,0,INDEX(tblContractForDeed[Payment],ROW()-ROW(tblBuyerOutputs[#Headers]))-INDEX(tblSubjectToLoan[Payment],ROW()-ROW(tblBuyerOutputs[#Headers])))</f>
        <v>34.090000000000032</v>
      </c>
      <c r="AA169"/>
      <c r="AB169" s="14">
        <f>IF(INDEX(tblContractForDeed[Payment],ROW()-ROW(tblBuyerOutputs[#Headers]))=0,0,INDEX(tblContractForDeed[Payment],ROW()-ROW(tblBuyerOutputs[#Headers]))-INDEX(tblSubjectToLoan[Payment],ROW()-ROW(tblBuyerOutputs[#Headers])))-IFERROR(tblBuyerOutputs[[#This Row],[PMI]],0)</f>
        <v>34.090000000000032</v>
      </c>
      <c r="AC1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3380.7500000000118</v>
      </c>
      <c r="AD169" s="275">
        <f>IF(INDEX(tblContractForDeed[End Bal],ROW()-ROW(tblBuyerOutputs[#Headers]))&lt;=0,0,($O$6+IF(ROW()=ROW(tblBuyerOutputs[#Headers])+1,0,INDEX(tblBuyerOutputs[Cumul Appr],ROW()-ROW(tblBuyerOutputs[#Headers])-1)))*$O$2/12)</f>
        <v>582.64732858055311</v>
      </c>
      <c r="AE169" s="275">
        <f>IF(INDEX(tblContractForDeed[End Bal],ROW()-ROW(tblBuyerOutputs[#Headers]))&lt;=0,0,IF(ROW()=ROW(tblBuyerOutputs[#Headers])+1,0,INDEX(tblBuyerOutputs[Cumul Appr],ROW()-ROW(tblBuyerOutputs[#Headers])-1))+tblBuyerOutputs[[#This Row],[Monthly Appr]])</f>
        <v>65160.006187913285</v>
      </c>
      <c r="AF169" s="22"/>
      <c r="AG169" s="14"/>
      <c r="AL169"/>
      <c r="AM169" s="14"/>
      <c r="AO169" s="275"/>
      <c r="AQ169" s="14"/>
      <c r="AR169"/>
    </row>
    <row r="170" spans="1:44" x14ac:dyDescent="0.25">
      <c r="A170" s="590">
        <f t="shared" si="32"/>
        <v>50437</v>
      </c>
      <c r="B170" s="275">
        <f t="shared" si="33"/>
        <v>35736.119999999952</v>
      </c>
      <c r="C170" s="14">
        <f t="shared" si="30"/>
        <v>625.80999999999995</v>
      </c>
      <c r="D170" s="14">
        <f t="shared" si="34"/>
        <v>514.12999999999988</v>
      </c>
      <c r="E170" s="14">
        <f t="shared" si="31"/>
        <v>111.68</v>
      </c>
      <c r="F170" s="14">
        <f t="shared" si="39"/>
        <v>134.16999999999999</v>
      </c>
      <c r="G170" s="14">
        <f t="shared" si="39"/>
        <v>188.55</v>
      </c>
      <c r="H170" s="14">
        <f t="shared" si="28"/>
        <v>948.53</v>
      </c>
      <c r="I170" s="275">
        <f t="shared" si="37"/>
        <v>62309.849999999991</v>
      </c>
      <c r="J170" s="275">
        <f t="shared" si="38"/>
        <v>32491.299999999988</v>
      </c>
      <c r="K170" s="275">
        <f t="shared" si="35"/>
        <v>35221.989999999954</v>
      </c>
      <c r="L170" s="386">
        <f t="shared" si="26"/>
        <v>12</v>
      </c>
      <c r="M170" s="386">
        <f t="shared" si="36"/>
        <v>150</v>
      </c>
      <c r="N170" s="590">
        <f>INDEX(tblSubjectToLoan[Date],ROW()-ROW(tblContractForDeed[#Headers]))</f>
        <v>50437</v>
      </c>
      <c r="O170" s="275">
        <f>IF(ROW()=ROW(tblContractForDeed[#Headers])+1,$O$6,IF(INDEX(tblContractForDeed[End Bal],ROW()-ROW(tblContractForDeed[#Headers])-1)&lt;0,0,INDEX(tblContractForDeed[End Bal],ROW()-ROW(tblContractForDeed[#Headers])-1)))</f>
        <v>24102.41000000004</v>
      </c>
      <c r="P170" s="445">
        <f>IF(tblContractForDeed[[#This Row],[Date]]="","",IF(tblContractForDeed[[#This Row],[Date]]&lt;cfdRateChangeDate,cfdRate1,cfdRate2))</f>
        <v>6.7500000000000004E-2</v>
      </c>
      <c r="Q1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0" s="275">
        <f>IF(tblContractForDeed[[#This Row],[Payment]]=0,0,MAX(0,MIN(tblContractForDeed[[#This Row],[Beg]],tblContractForDeed[[#This Row],[Payment]]-tblContractForDeed[[#This Row],[Int]])))</f>
        <v>524.31999999999994</v>
      </c>
      <c r="S170" s="275">
        <f>IF(OR(tblContractForDeed[[#This Row],[Date]]&lt;cfdContractDate,tblContractForDeed[[#This Row],[Date]]&gt;cfdEndDate),0,ROUND(tblContractForDeed[[#This Row],[Beg]]*(tblContractForDeed[[#This Row],[Int Rate]]/12),2))</f>
        <v>135.58000000000001</v>
      </c>
      <c r="T170" s="275">
        <f>IF(tblContractForDeed[[#This Row],[Payment]]=0,0,$W$2)</f>
        <v>134.16999999999999</v>
      </c>
      <c r="U170" s="275">
        <f>IF(tblContractForDeed[[#This Row],[Princ]]=0,0,$W$3)</f>
        <v>188.55</v>
      </c>
      <c r="V170" s="275">
        <f>SUM(tblContractForDeed[[#This Row],[Princ]],tblContractForDeed[[#This Row],[Int]],tblContractForDeed[[#This Row],[Ins]],tblContractForDeed[[#This Row],[Taxes]])</f>
        <v>982.61999999999989</v>
      </c>
      <c r="W170" s="275">
        <f>SUM(INDEX(tblContractForDeed[Princ],1):INDEX(tblContractForDeed[Princ],ROW()-ROW(tblContractForDeed[#Headers])))</f>
        <v>51679.910000000018</v>
      </c>
      <c r="X170" s="275">
        <f>IF(tblContractForDeed[[#This Row],[Beg]]&lt;=0,0,tblContractForDeed[[#This Row],[Beg]]-tblContractForDeed[[#This Row],[Princ]])</f>
        <v>23578.09000000004</v>
      </c>
      <c r="Y17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139</v>
      </c>
      <c r="Z170" s="454">
        <f>IF(INDEX(tblContractForDeed[Payment],ROW()-ROW(tblBuyerOutputs[#Headers]))=0,0,INDEX(tblContractForDeed[Payment],ROW()-ROW(tblBuyerOutputs[#Headers]))-INDEX(tblSubjectToLoan[Payment],ROW()-ROW(tblBuyerOutputs[#Headers])))</f>
        <v>34.090000000000032</v>
      </c>
      <c r="AA170"/>
      <c r="AB170" s="14">
        <f>IF(INDEX(tblContractForDeed[Payment],ROW()-ROW(tblBuyerOutputs[#Headers]))=0,0,INDEX(tblContractForDeed[Payment],ROW()-ROW(tblBuyerOutputs[#Headers]))-INDEX(tblSubjectToLoan[Payment],ROW()-ROW(tblBuyerOutputs[#Headers])))-IFERROR(tblBuyerOutputs[[#This Row],[PMI]],0)</f>
        <v>34.090000000000032</v>
      </c>
      <c r="AC1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3414.840000000012</v>
      </c>
      <c r="AD170" s="275">
        <f>IF(INDEX(tblContractForDeed[End Bal],ROW()-ROW(tblBuyerOutputs[#Headers]))&lt;=0,0,($O$6+IF(ROW()=ROW(tblBuyerOutputs[#Headers])+1,0,INDEX(tblBuyerOutputs[Cumul Appr],ROW()-ROW(tblBuyerOutputs[#Headers])-1)))*$O$2/12)</f>
        <v>585.07502578297215</v>
      </c>
      <c r="AE170" s="275">
        <f>IF(INDEX(tblContractForDeed[End Bal],ROW()-ROW(tblBuyerOutputs[#Headers]))&lt;=0,0,IF(ROW()=ROW(tblBuyerOutputs[#Headers])+1,0,INDEX(tblBuyerOutputs[Cumul Appr],ROW()-ROW(tblBuyerOutputs[#Headers])-1))+tblBuyerOutputs[[#This Row],[Monthly Appr]])</f>
        <v>65745.081213696263</v>
      </c>
      <c r="AF170" s="22"/>
      <c r="AG170" s="14"/>
      <c r="AL170"/>
      <c r="AM170" s="14"/>
      <c r="AO170" s="275"/>
      <c r="AQ170" s="14"/>
      <c r="AR170"/>
    </row>
    <row r="171" spans="1:44" x14ac:dyDescent="0.25">
      <c r="A171" s="590">
        <f t="shared" si="32"/>
        <v>50465</v>
      </c>
      <c r="B171" s="275">
        <f t="shared" si="33"/>
        <v>35221.989999999954</v>
      </c>
      <c r="C171" s="14">
        <f t="shared" si="30"/>
        <v>625.80999999999995</v>
      </c>
      <c r="D171" s="14">
        <f t="shared" si="34"/>
        <v>515.74</v>
      </c>
      <c r="E171" s="14">
        <f t="shared" si="31"/>
        <v>110.07</v>
      </c>
      <c r="F171" s="14">
        <f t="shared" si="39"/>
        <v>134.16999999999999</v>
      </c>
      <c r="G171" s="14">
        <f t="shared" si="39"/>
        <v>188.55</v>
      </c>
      <c r="H171" s="14">
        <f t="shared" si="28"/>
        <v>948.53</v>
      </c>
      <c r="I171" s="275">
        <f t="shared" si="37"/>
        <v>62825.589999999989</v>
      </c>
      <c r="J171" s="275">
        <f t="shared" si="38"/>
        <v>32601.369999999988</v>
      </c>
      <c r="K171" s="275">
        <f t="shared" si="35"/>
        <v>34706.249999999956</v>
      </c>
      <c r="L171" s="386">
        <f t="shared" si="26"/>
        <v>12</v>
      </c>
      <c r="M171" s="386">
        <f t="shared" si="36"/>
        <v>151</v>
      </c>
      <c r="N171" s="590">
        <f>INDEX(tblSubjectToLoan[Date],ROW()-ROW(tblContractForDeed[#Headers]))</f>
        <v>50465</v>
      </c>
      <c r="O171" s="275">
        <f>IF(ROW()=ROW(tblContractForDeed[#Headers])+1,$O$6,IF(INDEX(tblContractForDeed[End Bal],ROW()-ROW(tblContractForDeed[#Headers])-1)&lt;0,0,INDEX(tblContractForDeed[End Bal],ROW()-ROW(tblContractForDeed[#Headers])-1)))</f>
        <v>23578.09000000004</v>
      </c>
      <c r="P171" s="445">
        <f>IF(tblContractForDeed[[#This Row],[Date]]="","",IF(tblContractForDeed[[#This Row],[Date]]&lt;cfdRateChangeDate,cfdRate1,cfdRate2))</f>
        <v>6.7500000000000004E-2</v>
      </c>
      <c r="Q17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1" s="275">
        <f>IF(tblContractForDeed[[#This Row],[Payment]]=0,0,MAX(0,MIN(tblContractForDeed[[#This Row],[Beg]],tblContractForDeed[[#This Row],[Payment]]-tblContractForDeed[[#This Row],[Int]])))</f>
        <v>527.27</v>
      </c>
      <c r="S171" s="275">
        <f>IF(OR(tblContractForDeed[[#This Row],[Date]]&lt;cfdContractDate,tblContractForDeed[[#This Row],[Date]]&gt;cfdEndDate),0,ROUND(tblContractForDeed[[#This Row],[Beg]]*(tblContractForDeed[[#This Row],[Int Rate]]/12),2))</f>
        <v>132.63</v>
      </c>
      <c r="T171" s="275">
        <f>IF(tblContractForDeed[[#This Row],[Payment]]=0,0,$W$2)</f>
        <v>134.16999999999999</v>
      </c>
      <c r="U171" s="275">
        <f>IF(tblContractForDeed[[#This Row],[Princ]]=0,0,$W$3)</f>
        <v>188.55</v>
      </c>
      <c r="V171" s="275">
        <f>SUM(tblContractForDeed[[#This Row],[Princ]],tblContractForDeed[[#This Row],[Int]],tblContractForDeed[[#This Row],[Ins]],tblContractForDeed[[#This Row],[Taxes]])</f>
        <v>982.61999999999989</v>
      </c>
      <c r="W171" s="275">
        <f>SUM(INDEX(tblContractForDeed[Princ],1):INDEX(tblContractForDeed[Princ],ROW()-ROW(tblContractForDeed[#Headers])))</f>
        <v>52207.180000000015</v>
      </c>
      <c r="X171" s="275">
        <f>IF(tblContractForDeed[[#This Row],[Beg]]&lt;=0,0,tblContractForDeed[[#This Row],[Beg]]-tblContractForDeed[[#This Row],[Princ]])</f>
        <v>23050.82000000004</v>
      </c>
      <c r="Y17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140</v>
      </c>
      <c r="Z171" s="454">
        <f>IF(INDEX(tblContractForDeed[Payment],ROW()-ROW(tblBuyerOutputs[#Headers]))=0,0,INDEX(tblContractForDeed[Payment],ROW()-ROW(tblBuyerOutputs[#Headers]))-INDEX(tblSubjectToLoan[Payment],ROW()-ROW(tblBuyerOutputs[#Headers])))</f>
        <v>34.090000000000032</v>
      </c>
      <c r="AA171"/>
      <c r="AB171" s="14">
        <f>IF(INDEX(tblContractForDeed[Payment],ROW()-ROW(tblBuyerOutputs[#Headers]))=0,0,INDEX(tblContractForDeed[Payment],ROW()-ROW(tblBuyerOutputs[#Headers]))-INDEX(tblSubjectToLoan[Payment],ROW()-ROW(tblBuyerOutputs[#Headers])))-IFERROR(tblBuyerOutputs[[#This Row],[PMI]],0)</f>
        <v>34.090000000000032</v>
      </c>
      <c r="AC1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3448.9300000000121</v>
      </c>
      <c r="AD171" s="275">
        <f>IF(INDEX(tblContractForDeed[End Bal],ROW()-ROW(tblBuyerOutputs[#Headers]))&lt;=0,0,($O$6+IF(ROW()=ROW(tblBuyerOutputs[#Headers])+1,0,INDEX(tblBuyerOutputs[Cumul Appr],ROW()-ROW(tblBuyerOutputs[#Headers])-1)))*$O$2/12)</f>
        <v>587.51283839040116</v>
      </c>
      <c r="AE171" s="275">
        <f>IF(INDEX(tblContractForDeed[End Bal],ROW()-ROW(tblBuyerOutputs[#Headers]))&lt;=0,0,IF(ROW()=ROW(tblBuyerOutputs[#Headers])+1,0,INDEX(tblBuyerOutputs[Cumul Appr],ROW()-ROW(tblBuyerOutputs[#Headers])-1))+tblBuyerOutputs[[#This Row],[Monthly Appr]])</f>
        <v>66332.594052086672</v>
      </c>
      <c r="AF171" s="22"/>
      <c r="AG171" s="14"/>
      <c r="AL171"/>
      <c r="AM171" s="14"/>
      <c r="AO171" s="275"/>
      <c r="AQ171" s="14"/>
      <c r="AR171"/>
    </row>
    <row r="172" spans="1:44" x14ac:dyDescent="0.25">
      <c r="A172" s="590">
        <f t="shared" si="32"/>
        <v>50496</v>
      </c>
      <c r="B172" s="275">
        <f t="shared" si="33"/>
        <v>34706.249999999956</v>
      </c>
      <c r="C172" s="14">
        <f t="shared" si="30"/>
        <v>625.80999999999995</v>
      </c>
      <c r="D172" s="14">
        <f t="shared" si="34"/>
        <v>517.34999999999991</v>
      </c>
      <c r="E172" s="14">
        <f t="shared" si="31"/>
        <v>108.46</v>
      </c>
      <c r="F172" s="14">
        <f t="shared" si="39"/>
        <v>134.16999999999999</v>
      </c>
      <c r="G172" s="14">
        <f t="shared" si="39"/>
        <v>188.55</v>
      </c>
      <c r="H172" s="14">
        <f t="shared" si="28"/>
        <v>948.53</v>
      </c>
      <c r="I172" s="275">
        <f t="shared" si="37"/>
        <v>63342.939999999988</v>
      </c>
      <c r="J172" s="275">
        <f t="shared" si="38"/>
        <v>32709.829999999987</v>
      </c>
      <c r="K172" s="275">
        <f t="shared" si="35"/>
        <v>34188.899999999958</v>
      </c>
      <c r="L172" s="386">
        <f t="shared" si="26"/>
        <v>12</v>
      </c>
      <c r="M172" s="386">
        <f t="shared" si="36"/>
        <v>152</v>
      </c>
      <c r="N172" s="590">
        <f>INDEX(tblSubjectToLoan[Date],ROW()-ROW(tblContractForDeed[#Headers]))</f>
        <v>50496</v>
      </c>
      <c r="O172" s="275">
        <f>IF(ROW()=ROW(tblContractForDeed[#Headers])+1,$O$6,IF(INDEX(tblContractForDeed[End Bal],ROW()-ROW(tblContractForDeed[#Headers])-1)&lt;0,0,INDEX(tblContractForDeed[End Bal],ROW()-ROW(tblContractForDeed[#Headers])-1)))</f>
        <v>23050.82000000004</v>
      </c>
      <c r="P172" s="445">
        <f>IF(tblContractForDeed[[#This Row],[Date]]="","",IF(tblContractForDeed[[#This Row],[Date]]&lt;cfdRateChangeDate,cfdRate1,cfdRate2))</f>
        <v>6.7500000000000004E-2</v>
      </c>
      <c r="Q1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2" s="275">
        <f>IF(tblContractForDeed[[#This Row],[Payment]]=0,0,MAX(0,MIN(tblContractForDeed[[#This Row],[Beg]],tblContractForDeed[[#This Row],[Payment]]-tblContractForDeed[[#This Row],[Int]])))</f>
        <v>530.24</v>
      </c>
      <c r="S172" s="275">
        <f>IF(OR(tblContractForDeed[[#This Row],[Date]]&lt;cfdContractDate,tblContractForDeed[[#This Row],[Date]]&gt;cfdEndDate),0,ROUND(tblContractForDeed[[#This Row],[Beg]]*(tblContractForDeed[[#This Row],[Int Rate]]/12),2))</f>
        <v>129.66</v>
      </c>
      <c r="T172" s="275">
        <f>IF(tblContractForDeed[[#This Row],[Payment]]=0,0,$W$2)</f>
        <v>134.16999999999999</v>
      </c>
      <c r="U172" s="275">
        <f>IF(tblContractForDeed[[#This Row],[Princ]]=0,0,$W$3)</f>
        <v>188.55</v>
      </c>
      <c r="V172" s="275">
        <f>SUM(tblContractForDeed[[#This Row],[Princ]],tblContractForDeed[[#This Row],[Int]],tblContractForDeed[[#This Row],[Ins]],tblContractForDeed[[#This Row],[Taxes]])</f>
        <v>982.61999999999989</v>
      </c>
      <c r="W172" s="275">
        <f>SUM(INDEX(tblContractForDeed[Princ],1):INDEX(tblContractForDeed[Princ],ROW()-ROW(tblContractForDeed[#Headers])))</f>
        <v>52737.420000000013</v>
      </c>
      <c r="X172" s="275">
        <f>IF(tblContractForDeed[[#This Row],[Beg]]&lt;=0,0,tblContractForDeed[[#This Row],[Beg]]-tblContractForDeed[[#This Row],[Princ]])</f>
        <v>22520.580000000038</v>
      </c>
      <c r="Y17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141</v>
      </c>
      <c r="Z172" s="454">
        <f>IF(INDEX(tblContractForDeed[Payment],ROW()-ROW(tblBuyerOutputs[#Headers]))=0,0,INDEX(tblContractForDeed[Payment],ROW()-ROW(tblBuyerOutputs[#Headers]))-INDEX(tblSubjectToLoan[Payment],ROW()-ROW(tblBuyerOutputs[#Headers])))</f>
        <v>34.090000000000032</v>
      </c>
      <c r="AA172"/>
      <c r="AB172" s="14">
        <f>IF(INDEX(tblContractForDeed[Payment],ROW()-ROW(tblBuyerOutputs[#Headers]))=0,0,INDEX(tblContractForDeed[Payment],ROW()-ROW(tblBuyerOutputs[#Headers]))-INDEX(tblSubjectToLoan[Payment],ROW()-ROW(tblBuyerOutputs[#Headers])))-IFERROR(tblBuyerOutputs[[#This Row],[PMI]],0)</f>
        <v>34.090000000000032</v>
      </c>
      <c r="AC1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3483.0200000000123</v>
      </c>
      <c r="AD172" s="275">
        <f>IF(INDEX(tblContractForDeed[End Bal],ROW()-ROW(tblBuyerOutputs[#Headers]))&lt;=0,0,($O$6+IF(ROW()=ROW(tblBuyerOutputs[#Headers])+1,0,INDEX(tblBuyerOutputs[Cumul Appr],ROW()-ROW(tblBuyerOutputs[#Headers])-1)))*$O$2/12)</f>
        <v>589.96080855036109</v>
      </c>
      <c r="AE172" s="275">
        <f>IF(INDEX(tblContractForDeed[End Bal],ROW()-ROW(tblBuyerOutputs[#Headers]))&lt;=0,0,IF(ROW()=ROW(tblBuyerOutputs[#Headers])+1,0,INDEX(tblBuyerOutputs[Cumul Appr],ROW()-ROW(tblBuyerOutputs[#Headers])-1))+tblBuyerOutputs[[#This Row],[Monthly Appr]])</f>
        <v>66922.554860637028</v>
      </c>
      <c r="AF172" s="22"/>
      <c r="AG172" s="14"/>
      <c r="AL172"/>
      <c r="AM172" s="14"/>
      <c r="AO172" s="275"/>
      <c r="AQ172" s="14"/>
      <c r="AR172"/>
    </row>
    <row r="173" spans="1:44" x14ac:dyDescent="0.25">
      <c r="A173" s="590">
        <f t="shared" si="32"/>
        <v>50526</v>
      </c>
      <c r="B173" s="275">
        <f t="shared" si="33"/>
        <v>34188.899999999958</v>
      </c>
      <c r="C173" s="14">
        <f t="shared" si="30"/>
        <v>625.80999999999995</v>
      </c>
      <c r="D173" s="14">
        <f t="shared" si="34"/>
        <v>518.96999999999991</v>
      </c>
      <c r="E173" s="14">
        <f t="shared" si="31"/>
        <v>106.84</v>
      </c>
      <c r="F173" s="14">
        <f t="shared" si="39"/>
        <v>134.16999999999999</v>
      </c>
      <c r="G173" s="14">
        <f t="shared" si="39"/>
        <v>188.55</v>
      </c>
      <c r="H173" s="14">
        <f t="shared" si="28"/>
        <v>948.53</v>
      </c>
      <c r="I173" s="275">
        <f t="shared" si="37"/>
        <v>63861.909999999989</v>
      </c>
      <c r="J173" s="275">
        <f t="shared" si="38"/>
        <v>32816.669999999984</v>
      </c>
      <c r="K173" s="275">
        <f t="shared" si="35"/>
        <v>33669.929999999957</v>
      </c>
      <c r="L173" s="386">
        <f t="shared" si="26"/>
        <v>12</v>
      </c>
      <c r="M173" s="386">
        <f t="shared" si="36"/>
        <v>153</v>
      </c>
      <c r="N173" s="590">
        <f>INDEX(tblSubjectToLoan[Date],ROW()-ROW(tblContractForDeed[#Headers]))</f>
        <v>50526</v>
      </c>
      <c r="O173" s="275">
        <f>IF(ROW()=ROW(tblContractForDeed[#Headers])+1,$O$6,IF(INDEX(tblContractForDeed[End Bal],ROW()-ROW(tblContractForDeed[#Headers])-1)&lt;0,0,INDEX(tblContractForDeed[End Bal],ROW()-ROW(tblContractForDeed[#Headers])-1)))</f>
        <v>22520.580000000038</v>
      </c>
      <c r="P173" s="445">
        <f>IF(tblContractForDeed[[#This Row],[Date]]="","",IF(tblContractForDeed[[#This Row],[Date]]&lt;cfdRateChangeDate,cfdRate1,cfdRate2))</f>
        <v>6.7500000000000004E-2</v>
      </c>
      <c r="Q1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3" s="275">
        <f>IF(tblContractForDeed[[#This Row],[Payment]]=0,0,MAX(0,MIN(tblContractForDeed[[#This Row],[Beg]],tblContractForDeed[[#This Row],[Payment]]-tblContractForDeed[[#This Row],[Int]])))</f>
        <v>533.22</v>
      </c>
      <c r="S173" s="275">
        <f>IF(OR(tblContractForDeed[[#This Row],[Date]]&lt;cfdContractDate,tblContractForDeed[[#This Row],[Date]]&gt;cfdEndDate),0,ROUND(tblContractForDeed[[#This Row],[Beg]]*(tblContractForDeed[[#This Row],[Int Rate]]/12),2))</f>
        <v>126.68</v>
      </c>
      <c r="T173" s="275">
        <f>IF(tblContractForDeed[[#This Row],[Payment]]=0,0,$W$2)</f>
        <v>134.16999999999999</v>
      </c>
      <c r="U173" s="275">
        <f>IF(tblContractForDeed[[#This Row],[Princ]]=0,0,$W$3)</f>
        <v>188.55</v>
      </c>
      <c r="V173" s="275">
        <f>SUM(tblContractForDeed[[#This Row],[Princ]],tblContractForDeed[[#This Row],[Int]],tblContractForDeed[[#This Row],[Ins]],tblContractForDeed[[#This Row],[Taxes]])</f>
        <v>982.62000000000012</v>
      </c>
      <c r="W173" s="275">
        <f>SUM(INDEX(tblContractForDeed[Princ],1):INDEX(tblContractForDeed[Princ],ROW()-ROW(tblContractForDeed[#Headers])))</f>
        <v>53270.640000000014</v>
      </c>
      <c r="X173" s="275">
        <f>IF(tblContractForDeed[[#This Row],[Beg]]&lt;=0,0,tblContractForDeed[[#This Row],[Beg]]-tblContractForDeed[[#This Row],[Princ]])</f>
        <v>21987.360000000037</v>
      </c>
      <c r="Y17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142</v>
      </c>
      <c r="Z173" s="454">
        <f>IF(INDEX(tblContractForDeed[Payment],ROW()-ROW(tblBuyerOutputs[#Headers]))=0,0,INDEX(tblContractForDeed[Payment],ROW()-ROW(tblBuyerOutputs[#Headers]))-INDEX(tblSubjectToLoan[Payment],ROW()-ROW(tblBuyerOutputs[#Headers])))</f>
        <v>34.090000000000032</v>
      </c>
      <c r="AA173"/>
      <c r="AB173" s="14">
        <f>IF(INDEX(tblContractForDeed[Payment],ROW()-ROW(tblBuyerOutputs[#Headers]))=0,0,INDEX(tblContractForDeed[Payment],ROW()-ROW(tblBuyerOutputs[#Headers]))-INDEX(tblSubjectToLoan[Payment],ROW()-ROW(tblBuyerOutputs[#Headers])))-IFERROR(tblBuyerOutputs[[#This Row],[PMI]],0)</f>
        <v>34.090000000000032</v>
      </c>
      <c r="AC1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3517.1100000000124</v>
      </c>
      <c r="AD173" s="275">
        <f>IF(INDEX(tblContractForDeed[End Bal],ROW()-ROW(tblBuyerOutputs[#Headers]))&lt;=0,0,($O$6+IF(ROW()=ROW(tblBuyerOutputs[#Headers])+1,0,INDEX(tblBuyerOutputs[Cumul Appr],ROW()-ROW(tblBuyerOutputs[#Headers])-1)))*$O$2/12)</f>
        <v>592.4189785859877</v>
      </c>
      <c r="AE173" s="275">
        <f>IF(INDEX(tblContractForDeed[End Bal],ROW()-ROW(tblBuyerOutputs[#Headers]))&lt;=0,0,IF(ROW()=ROW(tblBuyerOutputs[#Headers])+1,0,INDEX(tblBuyerOutputs[Cumul Appr],ROW()-ROW(tblBuyerOutputs[#Headers])-1))+tblBuyerOutputs[[#This Row],[Monthly Appr]])</f>
        <v>67514.973839223021</v>
      </c>
      <c r="AF173" s="22"/>
      <c r="AG173" s="14"/>
      <c r="AL173"/>
      <c r="AM173" s="14"/>
      <c r="AO173" s="275"/>
      <c r="AQ173" s="14"/>
      <c r="AR173"/>
    </row>
    <row r="174" spans="1:44" x14ac:dyDescent="0.25">
      <c r="A174" s="590">
        <f t="shared" si="32"/>
        <v>50557</v>
      </c>
      <c r="B174" s="275">
        <f t="shared" si="33"/>
        <v>33669.929999999957</v>
      </c>
      <c r="C174" s="14">
        <f t="shared" si="30"/>
        <v>625.80999999999995</v>
      </c>
      <c r="D174" s="14">
        <f t="shared" si="34"/>
        <v>520.58999999999992</v>
      </c>
      <c r="E174" s="14">
        <f t="shared" si="31"/>
        <v>105.22</v>
      </c>
      <c r="F174" s="14">
        <f t="shared" si="39"/>
        <v>134.16999999999999</v>
      </c>
      <c r="G174" s="14">
        <f t="shared" si="39"/>
        <v>188.55</v>
      </c>
      <c r="H174" s="14">
        <f t="shared" si="28"/>
        <v>948.53</v>
      </c>
      <c r="I174" s="275">
        <f t="shared" si="37"/>
        <v>64382.499999999985</v>
      </c>
      <c r="J174" s="275">
        <f t="shared" si="38"/>
        <v>32921.889999999985</v>
      </c>
      <c r="K174" s="275">
        <f t="shared" si="35"/>
        <v>33149.33999999996</v>
      </c>
      <c r="L174" s="386">
        <f t="shared" si="26"/>
        <v>12</v>
      </c>
      <c r="M174" s="386">
        <f t="shared" si="36"/>
        <v>154</v>
      </c>
      <c r="N174" s="590">
        <f>INDEX(tblSubjectToLoan[Date],ROW()-ROW(tblContractForDeed[#Headers]))</f>
        <v>50557</v>
      </c>
      <c r="O174" s="275">
        <f>IF(ROW()=ROW(tblContractForDeed[#Headers])+1,$O$6,IF(INDEX(tblContractForDeed[End Bal],ROW()-ROW(tblContractForDeed[#Headers])-1)&lt;0,0,INDEX(tblContractForDeed[End Bal],ROW()-ROW(tblContractForDeed[#Headers])-1)))</f>
        <v>21987.360000000037</v>
      </c>
      <c r="P174" s="445">
        <f>IF(tblContractForDeed[[#This Row],[Date]]="","",IF(tblContractForDeed[[#This Row],[Date]]&lt;cfdRateChangeDate,cfdRate1,cfdRate2))</f>
        <v>6.7500000000000004E-2</v>
      </c>
      <c r="Q1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4" s="275">
        <f>IF(tblContractForDeed[[#This Row],[Payment]]=0,0,MAX(0,MIN(tblContractForDeed[[#This Row],[Beg]],tblContractForDeed[[#This Row],[Payment]]-tblContractForDeed[[#This Row],[Int]])))</f>
        <v>536.22</v>
      </c>
      <c r="S174" s="275">
        <f>IF(OR(tblContractForDeed[[#This Row],[Date]]&lt;cfdContractDate,tblContractForDeed[[#This Row],[Date]]&gt;cfdEndDate),0,ROUND(tblContractForDeed[[#This Row],[Beg]]*(tblContractForDeed[[#This Row],[Int Rate]]/12),2))</f>
        <v>123.68</v>
      </c>
      <c r="T174" s="275">
        <f>IF(tblContractForDeed[[#This Row],[Payment]]=0,0,$W$2)</f>
        <v>134.16999999999999</v>
      </c>
      <c r="U174" s="275">
        <f>IF(tblContractForDeed[[#This Row],[Princ]]=0,0,$W$3)</f>
        <v>188.55</v>
      </c>
      <c r="V174" s="275">
        <f>SUM(tblContractForDeed[[#This Row],[Princ]],tblContractForDeed[[#This Row],[Int]],tblContractForDeed[[#This Row],[Ins]],tblContractForDeed[[#This Row],[Taxes]])</f>
        <v>982.62000000000012</v>
      </c>
      <c r="W174" s="275">
        <f>SUM(INDEX(tblContractForDeed[Princ],1):INDEX(tblContractForDeed[Princ],ROW()-ROW(tblContractForDeed[#Headers])))</f>
        <v>53806.860000000015</v>
      </c>
      <c r="X174" s="275">
        <f>IF(tblContractForDeed[[#This Row],[Beg]]&lt;=0,0,tblContractForDeed[[#This Row],[Beg]]-tblContractForDeed[[#This Row],[Princ]])</f>
        <v>21451.140000000036</v>
      </c>
      <c r="Y17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143</v>
      </c>
      <c r="Z174" s="454">
        <f>IF(INDEX(tblContractForDeed[Payment],ROW()-ROW(tblBuyerOutputs[#Headers]))=0,0,INDEX(tblContractForDeed[Payment],ROW()-ROW(tblBuyerOutputs[#Headers]))-INDEX(tblSubjectToLoan[Payment],ROW()-ROW(tblBuyerOutputs[#Headers])))</f>
        <v>34.090000000000032</v>
      </c>
      <c r="AA174"/>
      <c r="AB174" s="14">
        <f>IF(INDEX(tblContractForDeed[Payment],ROW()-ROW(tblBuyerOutputs[#Headers]))=0,0,INDEX(tblContractForDeed[Payment],ROW()-ROW(tblBuyerOutputs[#Headers]))-INDEX(tblSubjectToLoan[Payment],ROW()-ROW(tblBuyerOutputs[#Headers])))-IFERROR(tblBuyerOutputs[[#This Row],[PMI]],0)</f>
        <v>34.090000000000032</v>
      </c>
      <c r="AC1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3551.2000000000126</v>
      </c>
      <c r="AD174" s="275">
        <f>IF(INDEX(tblContractForDeed[End Bal],ROW()-ROW(tblBuyerOutputs[#Headers]))&lt;=0,0,($O$6+IF(ROW()=ROW(tblBuyerOutputs[#Headers])+1,0,INDEX(tblBuyerOutputs[Cumul Appr],ROW()-ROW(tblBuyerOutputs[#Headers])-1)))*$O$2/12)</f>
        <v>594.88739099676275</v>
      </c>
      <c r="AE174" s="275">
        <f>IF(INDEX(tblContractForDeed[End Bal],ROW()-ROW(tblBuyerOutputs[#Headers]))&lt;=0,0,IF(ROW()=ROW(tblBuyerOutputs[#Headers])+1,0,INDEX(tblBuyerOutputs[Cumul Appr],ROW()-ROW(tblBuyerOutputs[#Headers])-1))+tblBuyerOutputs[[#This Row],[Monthly Appr]])</f>
        <v>68109.861230219787</v>
      </c>
      <c r="AF174" s="22"/>
      <c r="AG174" s="14"/>
      <c r="AL174"/>
      <c r="AM174" s="14"/>
      <c r="AO174" s="275"/>
      <c r="AQ174" s="14"/>
      <c r="AR174"/>
    </row>
    <row r="175" spans="1:44" ht="15.75" thickBot="1" x14ac:dyDescent="0.3">
      <c r="A175" s="591">
        <f t="shared" si="32"/>
        <v>50587</v>
      </c>
      <c r="B175" s="326">
        <f t="shared" si="33"/>
        <v>33149.33999999996</v>
      </c>
      <c r="C175" s="21">
        <f t="shared" si="30"/>
        <v>625.80999999999995</v>
      </c>
      <c r="D175" s="21">
        <f t="shared" si="34"/>
        <v>522.21999999999991</v>
      </c>
      <c r="E175" s="21">
        <f t="shared" si="31"/>
        <v>103.59</v>
      </c>
      <c r="F175" s="21">
        <f t="shared" ref="F175:G190" si="40">+F174</f>
        <v>134.16999999999999</v>
      </c>
      <c r="G175" s="21">
        <f t="shared" si="40"/>
        <v>188.55</v>
      </c>
      <c r="H175" s="21">
        <f t="shared" si="28"/>
        <v>948.53</v>
      </c>
      <c r="I175" s="326">
        <f t="shared" si="37"/>
        <v>64904.719999999987</v>
      </c>
      <c r="J175" s="326">
        <f t="shared" si="38"/>
        <v>33025.479999999981</v>
      </c>
      <c r="K175" s="326">
        <f t="shared" si="35"/>
        <v>32627.119999999959</v>
      </c>
      <c r="L175" s="387">
        <f t="shared" si="26"/>
        <v>12</v>
      </c>
      <c r="M175" s="387">
        <f t="shared" si="36"/>
        <v>155</v>
      </c>
      <c r="N175" s="591">
        <f>INDEX(tblSubjectToLoan[Date],ROW()-ROW(tblContractForDeed[#Headers]))</f>
        <v>50587</v>
      </c>
      <c r="O175" s="326">
        <f>IF(ROW()=ROW(tblContractForDeed[#Headers])+1,$O$6,IF(INDEX(tblContractForDeed[End Bal],ROW()-ROW(tblContractForDeed[#Headers])-1)&lt;0,0,INDEX(tblContractForDeed[End Bal],ROW()-ROW(tblContractForDeed[#Headers])-1)))</f>
        <v>21451.140000000036</v>
      </c>
      <c r="P175" s="445">
        <f>IF(tblContractForDeed[[#This Row],[Date]]="","",IF(tblContractForDeed[[#This Row],[Date]]&lt;cfdRateChangeDate,cfdRate1,cfdRate2))</f>
        <v>6.7500000000000004E-2</v>
      </c>
      <c r="Q17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5" s="326">
        <f>IF(tblContractForDeed[[#This Row],[Payment]]=0,0,MAX(0,MIN(tblContractForDeed[[#This Row],[Beg]],tblContractForDeed[[#This Row],[Payment]]-tblContractForDeed[[#This Row],[Int]])))</f>
        <v>539.24</v>
      </c>
      <c r="S175" s="326">
        <f>IF(OR(tblContractForDeed[[#This Row],[Date]]&lt;cfdContractDate,tblContractForDeed[[#This Row],[Date]]&gt;cfdEndDate),0,ROUND(tblContractForDeed[[#This Row],[Beg]]*(tblContractForDeed[[#This Row],[Int Rate]]/12),2))</f>
        <v>120.66</v>
      </c>
      <c r="T175" s="326">
        <f>IF(tblContractForDeed[[#This Row],[Payment]]=0,0,$W$2)</f>
        <v>134.16999999999999</v>
      </c>
      <c r="U175" s="326">
        <f>IF(tblContractForDeed[[#This Row],[Princ]]=0,0,$W$3)</f>
        <v>188.55</v>
      </c>
      <c r="V175" s="326">
        <f>SUM(tblContractForDeed[[#This Row],[Princ]],tblContractForDeed[[#This Row],[Int]],tblContractForDeed[[#This Row],[Ins]],tblContractForDeed[[#This Row],[Taxes]])</f>
        <v>982.61999999999989</v>
      </c>
      <c r="W175" s="326">
        <f>SUM(INDEX(tblContractForDeed[Princ],1):INDEX(tblContractForDeed[Princ],ROW()-ROW(tblContractForDeed[#Headers])))</f>
        <v>54346.100000000013</v>
      </c>
      <c r="X175" s="326">
        <f>IF(tblContractForDeed[[#This Row],[Beg]]&lt;=0,0,tblContractForDeed[[#This Row],[Beg]]-tblContractForDeed[[#This Row],[Princ]])</f>
        <v>20911.900000000034</v>
      </c>
      <c r="Y175"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144</v>
      </c>
      <c r="Z175" s="455">
        <f>IF(INDEX(tblContractForDeed[Payment],ROW()-ROW(tblBuyerOutputs[#Headers]))=0,0,INDEX(tblContractForDeed[Payment],ROW()-ROW(tblBuyerOutputs[#Headers]))-INDEX(tblSubjectToLoan[Payment],ROW()-ROW(tblBuyerOutputs[#Headers])))</f>
        <v>34.090000000000032</v>
      </c>
      <c r="AA175" s="23"/>
      <c r="AB175" s="21">
        <f>IF(INDEX(tblContractForDeed[Payment],ROW()-ROW(tblBuyerOutputs[#Headers]))=0,0,INDEX(tblContractForDeed[Payment],ROW()-ROW(tblBuyerOutputs[#Headers]))-INDEX(tblSubjectToLoan[Payment],ROW()-ROW(tblBuyerOutputs[#Headers])))-IFERROR(tblBuyerOutputs[[#This Row],[PMI]],0)</f>
        <v>34.090000000000032</v>
      </c>
      <c r="AC1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3585.2900000000127</v>
      </c>
      <c r="AD175" s="326">
        <f>IF(INDEX(tblContractForDeed[End Bal],ROW()-ROW(tblBuyerOutputs[#Headers]))&lt;=0,0,($O$6+IF(ROW()=ROW(tblBuyerOutputs[#Headers])+1,0,INDEX(tblBuyerOutputs[Cumul Appr],ROW()-ROW(tblBuyerOutputs[#Headers])-1)))*$O$2/12)</f>
        <v>597.36608845924911</v>
      </c>
      <c r="AE175" s="326">
        <f>IF(INDEX(tblContractForDeed[End Bal],ROW()-ROW(tblBuyerOutputs[#Headers]))&lt;=0,0,IF(ROW()=ROW(tblBuyerOutputs[#Headers])+1,0,INDEX(tblBuyerOutputs[Cumul Appr],ROW()-ROW(tblBuyerOutputs[#Headers])-1))+tblBuyerOutputs[[#This Row],[Monthly Appr]])</f>
        <v>68707.227318679041</v>
      </c>
      <c r="AF175" s="22"/>
      <c r="AG175" s="14"/>
      <c r="AL175"/>
      <c r="AM175" s="14"/>
      <c r="AO175" s="275"/>
      <c r="AQ175" s="14"/>
      <c r="AR175"/>
    </row>
    <row r="176" spans="1:44" x14ac:dyDescent="0.25">
      <c r="A176" s="590">
        <f t="shared" si="32"/>
        <v>50618</v>
      </c>
      <c r="B176" s="275">
        <f t="shared" si="33"/>
        <v>32627.119999999959</v>
      </c>
      <c r="C176" s="14">
        <f t="shared" si="30"/>
        <v>625.80999999999995</v>
      </c>
      <c r="D176" s="14">
        <f t="shared" si="34"/>
        <v>523.84999999999991</v>
      </c>
      <c r="E176" s="14">
        <f t="shared" si="31"/>
        <v>101.96</v>
      </c>
      <c r="F176" s="14">
        <f t="shared" si="40"/>
        <v>134.16999999999999</v>
      </c>
      <c r="G176" s="14">
        <f t="shared" si="40"/>
        <v>188.55</v>
      </c>
      <c r="H176" s="14">
        <f t="shared" si="28"/>
        <v>948.53</v>
      </c>
      <c r="I176" s="275">
        <f t="shared" si="37"/>
        <v>65428.569999999985</v>
      </c>
      <c r="J176" s="275">
        <f t="shared" si="38"/>
        <v>33127.439999999981</v>
      </c>
      <c r="K176" s="275">
        <f t="shared" si="35"/>
        <v>32103.26999999996</v>
      </c>
      <c r="L176" s="386">
        <f t="shared" si="26"/>
        <v>13</v>
      </c>
      <c r="M176" s="386">
        <f t="shared" si="36"/>
        <v>156</v>
      </c>
      <c r="N176" s="590">
        <f>INDEX(tblSubjectToLoan[Date],ROW()-ROW(tblContractForDeed[#Headers]))</f>
        <v>50618</v>
      </c>
      <c r="O176" s="275">
        <f>IF(ROW()=ROW(tblContractForDeed[#Headers])+1,$O$6,IF(INDEX(tblContractForDeed[End Bal],ROW()-ROW(tblContractForDeed[#Headers])-1)&lt;0,0,INDEX(tblContractForDeed[End Bal],ROW()-ROW(tblContractForDeed[#Headers])-1)))</f>
        <v>20911.900000000034</v>
      </c>
      <c r="P176" s="445">
        <f>IF(tblContractForDeed[[#This Row],[Date]]="","",IF(tblContractForDeed[[#This Row],[Date]]&lt;cfdRateChangeDate,cfdRate1,cfdRate2))</f>
        <v>6.7500000000000004E-2</v>
      </c>
      <c r="Q1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6" s="275">
        <f>IF(tblContractForDeed[[#This Row],[Payment]]=0,0,MAX(0,MIN(tblContractForDeed[[#This Row],[Beg]],tblContractForDeed[[#This Row],[Payment]]-tblContractForDeed[[#This Row],[Int]])))</f>
        <v>542.27</v>
      </c>
      <c r="S176" s="275">
        <f>IF(OR(tblContractForDeed[[#This Row],[Date]]&lt;cfdContractDate,tblContractForDeed[[#This Row],[Date]]&gt;cfdEndDate),0,ROUND(tblContractForDeed[[#This Row],[Beg]]*(tblContractForDeed[[#This Row],[Int Rate]]/12),2))</f>
        <v>117.63</v>
      </c>
      <c r="T176" s="275">
        <f>IF(tblContractForDeed[[#This Row],[Payment]]=0,0,$W$2)</f>
        <v>134.16999999999999</v>
      </c>
      <c r="U176" s="275">
        <f>IF(tblContractForDeed[[#This Row],[Princ]]=0,0,$W$3)</f>
        <v>188.55</v>
      </c>
      <c r="V176" s="275">
        <f>SUM(tblContractForDeed[[#This Row],[Princ]],tblContractForDeed[[#This Row],[Int]],tblContractForDeed[[#This Row],[Ins]],tblContractForDeed[[#This Row],[Taxes]])</f>
        <v>982.61999999999989</v>
      </c>
      <c r="W176" s="275">
        <f>SUM(INDEX(tblContractForDeed[Princ],1):INDEX(tblContractForDeed[Princ],ROW()-ROW(tblContractForDeed[#Headers])))</f>
        <v>54888.37000000001</v>
      </c>
      <c r="X176" s="275">
        <f>IF(tblContractForDeed[[#This Row],[Beg]]&lt;=0,0,tblContractForDeed[[#This Row],[Beg]]-tblContractForDeed[[#This Row],[Princ]])</f>
        <v>20369.630000000034</v>
      </c>
      <c r="Y17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145</v>
      </c>
      <c r="Z176" s="454">
        <f>IF(INDEX(tblContractForDeed[Payment],ROW()-ROW(tblBuyerOutputs[#Headers]))=0,0,INDEX(tblContractForDeed[Payment],ROW()-ROW(tblBuyerOutputs[#Headers]))-INDEX(tblSubjectToLoan[Payment],ROW()-ROW(tblBuyerOutputs[#Headers])))</f>
        <v>34.090000000000032</v>
      </c>
      <c r="AA176"/>
      <c r="AB176" s="14">
        <f>IF(INDEX(tblContractForDeed[Payment],ROW()-ROW(tblBuyerOutputs[#Headers]))=0,0,INDEX(tblContractForDeed[Payment],ROW()-ROW(tblBuyerOutputs[#Headers]))-INDEX(tblSubjectToLoan[Payment],ROW()-ROW(tblBuyerOutputs[#Headers])))-IFERROR(tblBuyerOutputs[[#This Row],[PMI]],0)</f>
        <v>34.090000000000032</v>
      </c>
      <c r="AC1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3619.3800000000128</v>
      </c>
      <c r="AD176" s="275">
        <f>IF(INDEX(tblContractForDeed[End Bal],ROW()-ROW(tblBuyerOutputs[#Headers]))&lt;=0,0,($O$6+IF(ROW()=ROW(tblBuyerOutputs[#Headers])+1,0,INDEX(tblBuyerOutputs[Cumul Appr],ROW()-ROW(tblBuyerOutputs[#Headers])-1)))*$O$2/12)</f>
        <v>599.85511382782931</v>
      </c>
      <c r="AE176" s="275">
        <f>IF(INDEX(tblContractForDeed[End Bal],ROW()-ROW(tblBuyerOutputs[#Headers]))&lt;=0,0,IF(ROW()=ROW(tblBuyerOutputs[#Headers])+1,0,INDEX(tblBuyerOutputs[Cumul Appr],ROW()-ROW(tblBuyerOutputs[#Headers])-1))+tblBuyerOutputs[[#This Row],[Monthly Appr]])</f>
        <v>69307.082432506868</v>
      </c>
      <c r="AF176" s="22"/>
      <c r="AG176" s="14"/>
      <c r="AL176"/>
      <c r="AM176" s="14"/>
      <c r="AO176" s="275"/>
      <c r="AQ176" s="14"/>
      <c r="AR176"/>
    </row>
    <row r="177" spans="1:44" x14ac:dyDescent="0.25">
      <c r="A177" s="590">
        <f t="shared" si="32"/>
        <v>50649</v>
      </c>
      <c r="B177" s="275">
        <f t="shared" si="33"/>
        <v>32103.26999999996</v>
      </c>
      <c r="C177" s="14">
        <f t="shared" si="30"/>
        <v>625.80999999999995</v>
      </c>
      <c r="D177" s="14">
        <f t="shared" si="34"/>
        <v>525.49</v>
      </c>
      <c r="E177" s="14">
        <f t="shared" si="31"/>
        <v>100.32</v>
      </c>
      <c r="F177" s="14">
        <f t="shared" si="40"/>
        <v>134.16999999999999</v>
      </c>
      <c r="G177" s="14">
        <f t="shared" si="40"/>
        <v>188.55</v>
      </c>
      <c r="H177" s="14">
        <f t="shared" si="28"/>
        <v>948.53</v>
      </c>
      <c r="I177" s="275">
        <f t="shared" si="37"/>
        <v>65954.059999999983</v>
      </c>
      <c r="J177" s="275">
        <f t="shared" si="38"/>
        <v>33227.75999999998</v>
      </c>
      <c r="K177" s="275">
        <f t="shared" si="35"/>
        <v>31577.779999999959</v>
      </c>
      <c r="L177" s="386">
        <f t="shared" si="26"/>
        <v>13</v>
      </c>
      <c r="M177" s="386">
        <f t="shared" si="36"/>
        <v>157</v>
      </c>
      <c r="N177" s="590">
        <f>INDEX(tblSubjectToLoan[Date],ROW()-ROW(tblContractForDeed[#Headers]))</f>
        <v>50649</v>
      </c>
      <c r="O177" s="275">
        <f>IF(ROW()=ROW(tblContractForDeed[#Headers])+1,$O$6,IF(INDEX(tblContractForDeed[End Bal],ROW()-ROW(tblContractForDeed[#Headers])-1)&lt;0,0,INDEX(tblContractForDeed[End Bal],ROW()-ROW(tblContractForDeed[#Headers])-1)))</f>
        <v>20369.630000000034</v>
      </c>
      <c r="P177" s="445">
        <f>IF(tblContractForDeed[[#This Row],[Date]]="","",IF(tblContractForDeed[[#This Row],[Date]]&lt;cfdRateChangeDate,cfdRate1,cfdRate2))</f>
        <v>6.7500000000000004E-2</v>
      </c>
      <c r="Q1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7" s="275">
        <f>IF(tblContractForDeed[[#This Row],[Payment]]=0,0,MAX(0,MIN(tblContractForDeed[[#This Row],[Beg]],tblContractForDeed[[#This Row],[Payment]]-tblContractForDeed[[#This Row],[Int]])))</f>
        <v>545.31999999999994</v>
      </c>
      <c r="S177" s="275">
        <f>IF(OR(tblContractForDeed[[#This Row],[Date]]&lt;cfdContractDate,tblContractForDeed[[#This Row],[Date]]&gt;cfdEndDate),0,ROUND(tblContractForDeed[[#This Row],[Beg]]*(tblContractForDeed[[#This Row],[Int Rate]]/12),2))</f>
        <v>114.58</v>
      </c>
      <c r="T177" s="275">
        <f>IF(tblContractForDeed[[#This Row],[Payment]]=0,0,$W$2)</f>
        <v>134.16999999999999</v>
      </c>
      <c r="U177" s="275">
        <f>IF(tblContractForDeed[[#This Row],[Princ]]=0,0,$W$3)</f>
        <v>188.55</v>
      </c>
      <c r="V177" s="275">
        <f>SUM(tblContractForDeed[[#This Row],[Princ]],tblContractForDeed[[#This Row],[Int]],tblContractForDeed[[#This Row],[Ins]],tblContractForDeed[[#This Row],[Taxes]])</f>
        <v>982.61999999999989</v>
      </c>
      <c r="W177" s="275">
        <f>SUM(INDEX(tblContractForDeed[Princ],1):INDEX(tblContractForDeed[Princ],ROW()-ROW(tblContractForDeed[#Headers])))</f>
        <v>55433.69000000001</v>
      </c>
      <c r="X177" s="275">
        <f>IF(tblContractForDeed[[#This Row],[Beg]]&lt;=0,0,tblContractForDeed[[#This Row],[Beg]]-tblContractForDeed[[#This Row],[Princ]])</f>
        <v>19824.310000000034</v>
      </c>
      <c r="Y17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146</v>
      </c>
      <c r="Z177" s="454">
        <f>IF(INDEX(tblContractForDeed[Payment],ROW()-ROW(tblBuyerOutputs[#Headers]))=0,0,INDEX(tblContractForDeed[Payment],ROW()-ROW(tblBuyerOutputs[#Headers]))-INDEX(tblSubjectToLoan[Payment],ROW()-ROW(tblBuyerOutputs[#Headers])))</f>
        <v>34.090000000000032</v>
      </c>
      <c r="AA177"/>
      <c r="AB177" s="14">
        <f>IF(INDEX(tblContractForDeed[Payment],ROW()-ROW(tblBuyerOutputs[#Headers]))=0,0,INDEX(tblContractForDeed[Payment],ROW()-ROW(tblBuyerOutputs[#Headers]))-INDEX(tblSubjectToLoan[Payment],ROW()-ROW(tblBuyerOutputs[#Headers])))-IFERROR(tblBuyerOutputs[[#This Row],[PMI]],0)</f>
        <v>34.090000000000032</v>
      </c>
      <c r="AC1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3653.470000000013</v>
      </c>
      <c r="AD177" s="275">
        <f>IF(INDEX(tblContractForDeed[End Bal],ROW()-ROW(tblBuyerOutputs[#Headers]))&lt;=0,0,($O$6+IF(ROW()=ROW(tblBuyerOutputs[#Headers])+1,0,INDEX(tblBuyerOutputs[Cumul Appr],ROW()-ROW(tblBuyerOutputs[#Headers])-1)))*$O$2/12)</f>
        <v>602.35451013544537</v>
      </c>
      <c r="AE177" s="275">
        <f>IF(INDEX(tblContractForDeed[End Bal],ROW()-ROW(tblBuyerOutputs[#Headers]))&lt;=0,0,IF(ROW()=ROW(tblBuyerOutputs[#Headers])+1,0,INDEX(tblBuyerOutputs[Cumul Appr],ROW()-ROW(tblBuyerOutputs[#Headers])-1))+tblBuyerOutputs[[#This Row],[Monthly Appr]])</f>
        <v>69909.436942642307</v>
      </c>
      <c r="AF177" s="22"/>
      <c r="AG177" s="14"/>
      <c r="AL177"/>
      <c r="AM177" s="14"/>
      <c r="AO177" s="275"/>
      <c r="AQ177" s="14"/>
      <c r="AR177"/>
    </row>
    <row r="178" spans="1:44" x14ac:dyDescent="0.25">
      <c r="A178" s="590">
        <f t="shared" si="32"/>
        <v>50679</v>
      </c>
      <c r="B178" s="275">
        <f t="shared" si="33"/>
        <v>31577.779999999959</v>
      </c>
      <c r="C178" s="14">
        <f t="shared" si="30"/>
        <v>625.80999999999995</v>
      </c>
      <c r="D178" s="14">
        <f t="shared" si="34"/>
        <v>527.12999999999988</v>
      </c>
      <c r="E178" s="14">
        <f t="shared" si="31"/>
        <v>98.68</v>
      </c>
      <c r="F178" s="14">
        <f t="shared" si="40"/>
        <v>134.16999999999999</v>
      </c>
      <c r="G178" s="14">
        <f t="shared" si="40"/>
        <v>188.55</v>
      </c>
      <c r="H178" s="14">
        <f t="shared" si="28"/>
        <v>948.53</v>
      </c>
      <c r="I178" s="275">
        <f t="shared" si="37"/>
        <v>66481.189999999988</v>
      </c>
      <c r="J178" s="275">
        <f t="shared" si="38"/>
        <v>33326.439999999981</v>
      </c>
      <c r="K178" s="275">
        <f t="shared" si="35"/>
        <v>31050.649999999958</v>
      </c>
      <c r="L178" s="386">
        <f t="shared" si="26"/>
        <v>13</v>
      </c>
      <c r="M178" s="386">
        <f t="shared" si="36"/>
        <v>158</v>
      </c>
      <c r="N178" s="590">
        <f>INDEX(tblSubjectToLoan[Date],ROW()-ROW(tblContractForDeed[#Headers]))</f>
        <v>50679</v>
      </c>
      <c r="O178" s="275">
        <f>IF(ROW()=ROW(tblContractForDeed[#Headers])+1,$O$6,IF(INDEX(tblContractForDeed[End Bal],ROW()-ROW(tblContractForDeed[#Headers])-1)&lt;0,0,INDEX(tblContractForDeed[End Bal],ROW()-ROW(tblContractForDeed[#Headers])-1)))</f>
        <v>19824.310000000034</v>
      </c>
      <c r="P178" s="445">
        <f>IF(tblContractForDeed[[#This Row],[Date]]="","",IF(tblContractForDeed[[#This Row],[Date]]&lt;cfdRateChangeDate,cfdRate1,cfdRate2))</f>
        <v>6.7500000000000004E-2</v>
      </c>
      <c r="Q1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8" s="275">
        <f>IF(tblContractForDeed[[#This Row],[Payment]]=0,0,MAX(0,MIN(tblContractForDeed[[#This Row],[Beg]],tblContractForDeed[[#This Row],[Payment]]-tblContractForDeed[[#This Row],[Int]])))</f>
        <v>548.39</v>
      </c>
      <c r="S178" s="275">
        <f>IF(OR(tblContractForDeed[[#This Row],[Date]]&lt;cfdContractDate,tblContractForDeed[[#This Row],[Date]]&gt;cfdEndDate),0,ROUND(tblContractForDeed[[#This Row],[Beg]]*(tblContractForDeed[[#This Row],[Int Rate]]/12),2))</f>
        <v>111.51</v>
      </c>
      <c r="T178" s="275">
        <f>IF(tblContractForDeed[[#This Row],[Payment]]=0,0,$W$2)</f>
        <v>134.16999999999999</v>
      </c>
      <c r="U178" s="275">
        <f>IF(tblContractForDeed[[#This Row],[Princ]]=0,0,$W$3)</f>
        <v>188.55</v>
      </c>
      <c r="V178" s="275">
        <f>SUM(tblContractForDeed[[#This Row],[Princ]],tblContractForDeed[[#This Row],[Int]],tblContractForDeed[[#This Row],[Ins]],tblContractForDeed[[#This Row],[Taxes]])</f>
        <v>982.61999999999989</v>
      </c>
      <c r="W178" s="275">
        <f>SUM(INDEX(tblContractForDeed[Princ],1):INDEX(tblContractForDeed[Princ],ROW()-ROW(tblContractForDeed[#Headers])))</f>
        <v>55982.080000000009</v>
      </c>
      <c r="X178" s="275">
        <f>IF(tblContractForDeed[[#This Row],[Beg]]&lt;=0,0,tblContractForDeed[[#This Row],[Beg]]-tblContractForDeed[[#This Row],[Princ]])</f>
        <v>19275.920000000035</v>
      </c>
      <c r="Y17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147</v>
      </c>
      <c r="Z178" s="454">
        <f>IF(INDEX(tblContractForDeed[Payment],ROW()-ROW(tblBuyerOutputs[#Headers]))=0,0,INDEX(tblContractForDeed[Payment],ROW()-ROW(tblBuyerOutputs[#Headers]))-INDEX(tblSubjectToLoan[Payment],ROW()-ROW(tblBuyerOutputs[#Headers])))</f>
        <v>34.090000000000032</v>
      </c>
      <c r="AA178"/>
      <c r="AB178" s="14">
        <f>IF(INDEX(tblContractForDeed[Payment],ROW()-ROW(tblBuyerOutputs[#Headers]))=0,0,INDEX(tblContractForDeed[Payment],ROW()-ROW(tblBuyerOutputs[#Headers]))-INDEX(tblSubjectToLoan[Payment],ROW()-ROW(tblBuyerOutputs[#Headers])))-IFERROR(tblBuyerOutputs[[#This Row],[PMI]],0)</f>
        <v>34.090000000000032</v>
      </c>
      <c r="AC1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3687.5600000000131</v>
      </c>
      <c r="AD178" s="275">
        <f>IF(INDEX(tblContractForDeed[End Bal],ROW()-ROW(tblBuyerOutputs[#Headers]))&lt;=0,0,($O$6+IF(ROW()=ROW(tblBuyerOutputs[#Headers])+1,0,INDEX(tblBuyerOutputs[Cumul Appr],ROW()-ROW(tblBuyerOutputs[#Headers])-1)))*$O$2/12)</f>
        <v>604.86432059434298</v>
      </c>
      <c r="AE178" s="275">
        <f>IF(INDEX(tblContractForDeed[End Bal],ROW()-ROW(tblBuyerOutputs[#Headers]))&lt;=0,0,IF(ROW()=ROW(tblBuyerOutputs[#Headers])+1,0,INDEX(tblBuyerOutputs[Cumul Appr],ROW()-ROW(tblBuyerOutputs[#Headers])-1))+tblBuyerOutputs[[#This Row],[Monthly Appr]])</f>
        <v>70514.301263236644</v>
      </c>
      <c r="AF178" s="22"/>
      <c r="AG178" s="14"/>
      <c r="AL178"/>
      <c r="AM178" s="14"/>
      <c r="AO178" s="275"/>
      <c r="AQ178" s="14"/>
      <c r="AR178"/>
    </row>
    <row r="179" spans="1:44" x14ac:dyDescent="0.25">
      <c r="A179" s="590">
        <f t="shared" si="32"/>
        <v>50710</v>
      </c>
      <c r="B179" s="275">
        <f t="shared" si="33"/>
        <v>31050.649999999958</v>
      </c>
      <c r="C179" s="14">
        <f t="shared" si="30"/>
        <v>625.80999999999995</v>
      </c>
      <c r="D179" s="14">
        <f t="shared" si="34"/>
        <v>528.78</v>
      </c>
      <c r="E179" s="14">
        <f t="shared" si="31"/>
        <v>97.03</v>
      </c>
      <c r="F179" s="14">
        <f t="shared" si="40"/>
        <v>134.16999999999999</v>
      </c>
      <c r="G179" s="14">
        <f t="shared" si="40"/>
        <v>188.55</v>
      </c>
      <c r="H179" s="14">
        <f t="shared" si="28"/>
        <v>948.53</v>
      </c>
      <c r="I179" s="275">
        <f t="shared" si="37"/>
        <v>67009.969999999987</v>
      </c>
      <c r="J179" s="275">
        <f t="shared" si="38"/>
        <v>33423.469999999979</v>
      </c>
      <c r="K179" s="275">
        <f t="shared" si="35"/>
        <v>30521.869999999959</v>
      </c>
      <c r="L179" s="386">
        <f t="shared" si="26"/>
        <v>13</v>
      </c>
      <c r="M179" s="386">
        <f t="shared" si="36"/>
        <v>159</v>
      </c>
      <c r="N179" s="590">
        <f>INDEX(tblSubjectToLoan[Date],ROW()-ROW(tblContractForDeed[#Headers]))</f>
        <v>50710</v>
      </c>
      <c r="O179" s="275">
        <f>IF(ROW()=ROW(tblContractForDeed[#Headers])+1,$O$6,IF(INDEX(tblContractForDeed[End Bal],ROW()-ROW(tblContractForDeed[#Headers])-1)&lt;0,0,INDEX(tblContractForDeed[End Bal],ROW()-ROW(tblContractForDeed[#Headers])-1)))</f>
        <v>19275.920000000035</v>
      </c>
      <c r="P179" s="445">
        <f>IF(tblContractForDeed[[#This Row],[Date]]="","",IF(tblContractForDeed[[#This Row],[Date]]&lt;cfdRateChangeDate,cfdRate1,cfdRate2))</f>
        <v>6.7500000000000004E-2</v>
      </c>
      <c r="Q17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9" s="275">
        <f>IF(tblContractForDeed[[#This Row],[Payment]]=0,0,MAX(0,MIN(tblContractForDeed[[#This Row],[Beg]],tblContractForDeed[[#This Row],[Payment]]-tblContractForDeed[[#This Row],[Int]])))</f>
        <v>551.47</v>
      </c>
      <c r="S179" s="275">
        <f>IF(OR(tblContractForDeed[[#This Row],[Date]]&lt;cfdContractDate,tblContractForDeed[[#This Row],[Date]]&gt;cfdEndDate),0,ROUND(tblContractForDeed[[#This Row],[Beg]]*(tblContractForDeed[[#This Row],[Int Rate]]/12),2))</f>
        <v>108.43</v>
      </c>
      <c r="T179" s="275">
        <f>IF(tblContractForDeed[[#This Row],[Payment]]=0,0,$W$2)</f>
        <v>134.16999999999999</v>
      </c>
      <c r="U179" s="275">
        <f>IF(tblContractForDeed[[#This Row],[Princ]]=0,0,$W$3)</f>
        <v>188.55</v>
      </c>
      <c r="V179" s="275">
        <f>SUM(tblContractForDeed[[#This Row],[Princ]],tblContractForDeed[[#This Row],[Int]],tblContractForDeed[[#This Row],[Ins]],tblContractForDeed[[#This Row],[Taxes]])</f>
        <v>982.62000000000012</v>
      </c>
      <c r="W179" s="275">
        <f>SUM(INDEX(tblContractForDeed[Princ],1):INDEX(tblContractForDeed[Princ],ROW()-ROW(tblContractForDeed[#Headers])))</f>
        <v>56533.55000000001</v>
      </c>
      <c r="X179" s="275">
        <f>IF(tblContractForDeed[[#This Row],[Beg]]&lt;=0,0,tblContractForDeed[[#This Row],[Beg]]-tblContractForDeed[[#This Row],[Princ]])</f>
        <v>18724.450000000033</v>
      </c>
      <c r="Y17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148</v>
      </c>
      <c r="Z179" s="454">
        <f>IF(INDEX(tblContractForDeed[Payment],ROW()-ROW(tblBuyerOutputs[#Headers]))=0,0,INDEX(tblContractForDeed[Payment],ROW()-ROW(tblBuyerOutputs[#Headers]))-INDEX(tblSubjectToLoan[Payment],ROW()-ROW(tblBuyerOutputs[#Headers])))</f>
        <v>34.090000000000032</v>
      </c>
      <c r="AA179"/>
      <c r="AB179" s="14">
        <f>IF(INDEX(tblContractForDeed[Payment],ROW()-ROW(tblBuyerOutputs[#Headers]))=0,0,INDEX(tblContractForDeed[Payment],ROW()-ROW(tblBuyerOutputs[#Headers]))-INDEX(tblSubjectToLoan[Payment],ROW()-ROW(tblBuyerOutputs[#Headers])))-IFERROR(tblBuyerOutputs[[#This Row],[PMI]],0)</f>
        <v>34.090000000000032</v>
      </c>
      <c r="AC1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3721.6500000000133</v>
      </c>
      <c r="AD179" s="275">
        <f>IF(INDEX(tblContractForDeed[End Bal],ROW()-ROW(tblBuyerOutputs[#Headers]))&lt;=0,0,($O$6+IF(ROW()=ROW(tblBuyerOutputs[#Headers])+1,0,INDEX(tblBuyerOutputs[Cumul Appr],ROW()-ROW(tblBuyerOutputs[#Headers])-1)))*$O$2/12)</f>
        <v>607.38458859681941</v>
      </c>
      <c r="AE179" s="275">
        <f>IF(INDEX(tblContractForDeed[End Bal],ROW()-ROW(tblBuyerOutputs[#Headers]))&lt;=0,0,IF(ROW()=ROW(tblBuyerOutputs[#Headers])+1,0,INDEX(tblBuyerOutputs[Cumul Appr],ROW()-ROW(tblBuyerOutputs[#Headers])-1))+tblBuyerOutputs[[#This Row],[Monthly Appr]])</f>
        <v>71121.685851833463</v>
      </c>
      <c r="AF179" s="22"/>
      <c r="AG179" s="14"/>
      <c r="AL179"/>
      <c r="AM179" s="14"/>
      <c r="AO179" s="275"/>
      <c r="AQ179" s="14"/>
      <c r="AR179"/>
    </row>
    <row r="180" spans="1:44" x14ac:dyDescent="0.25">
      <c r="A180" s="590">
        <f t="shared" si="32"/>
        <v>50740</v>
      </c>
      <c r="B180" s="275">
        <f t="shared" si="33"/>
        <v>30521.869999999959</v>
      </c>
      <c r="C180" s="14">
        <f t="shared" si="30"/>
        <v>625.80999999999995</v>
      </c>
      <c r="D180" s="14">
        <f t="shared" si="34"/>
        <v>530.42999999999995</v>
      </c>
      <c r="E180" s="14">
        <f t="shared" si="31"/>
        <v>95.38</v>
      </c>
      <c r="F180" s="14">
        <f t="shared" si="40"/>
        <v>134.16999999999999</v>
      </c>
      <c r="G180" s="14">
        <f t="shared" si="40"/>
        <v>188.55</v>
      </c>
      <c r="H180" s="14">
        <f t="shared" si="28"/>
        <v>948.53</v>
      </c>
      <c r="I180" s="275">
        <f t="shared" si="37"/>
        <v>67540.39999999998</v>
      </c>
      <c r="J180" s="275">
        <f t="shared" si="38"/>
        <v>33518.849999999977</v>
      </c>
      <c r="K180" s="275">
        <f t="shared" si="35"/>
        <v>29991.439999999959</v>
      </c>
      <c r="L180" s="386">
        <f t="shared" ref="L180:L243" si="41">IF(MOD(M180,12)=0,M180/12,L179)</f>
        <v>13</v>
      </c>
      <c r="M180" s="386">
        <f t="shared" si="36"/>
        <v>160</v>
      </c>
      <c r="N180" s="590">
        <f>INDEX(tblSubjectToLoan[Date],ROW()-ROW(tblContractForDeed[#Headers]))</f>
        <v>50740</v>
      </c>
      <c r="O180" s="275">
        <f>IF(ROW()=ROW(tblContractForDeed[#Headers])+1,$O$6,IF(INDEX(tblContractForDeed[End Bal],ROW()-ROW(tblContractForDeed[#Headers])-1)&lt;0,0,INDEX(tblContractForDeed[End Bal],ROW()-ROW(tblContractForDeed[#Headers])-1)))</f>
        <v>18724.450000000033</v>
      </c>
      <c r="P180" s="445">
        <f>IF(tblContractForDeed[[#This Row],[Date]]="","",IF(tblContractForDeed[[#This Row],[Date]]&lt;cfdRateChangeDate,cfdRate1,cfdRate2))</f>
        <v>6.7500000000000004E-2</v>
      </c>
      <c r="Q1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0" s="275">
        <f>IF(tblContractForDeed[[#This Row],[Payment]]=0,0,MAX(0,MIN(tblContractForDeed[[#This Row],[Beg]],tblContractForDeed[[#This Row],[Payment]]-tblContractForDeed[[#This Row],[Int]])))</f>
        <v>554.56999999999994</v>
      </c>
      <c r="S180" s="275">
        <f>IF(OR(tblContractForDeed[[#This Row],[Date]]&lt;cfdContractDate,tblContractForDeed[[#This Row],[Date]]&gt;cfdEndDate),0,ROUND(tblContractForDeed[[#This Row],[Beg]]*(tblContractForDeed[[#This Row],[Int Rate]]/12),2))</f>
        <v>105.33</v>
      </c>
      <c r="T180" s="275">
        <f>IF(tblContractForDeed[[#This Row],[Payment]]=0,0,$W$2)</f>
        <v>134.16999999999999</v>
      </c>
      <c r="U180" s="275">
        <f>IF(tblContractForDeed[[#This Row],[Princ]]=0,0,$W$3)</f>
        <v>188.55</v>
      </c>
      <c r="V180" s="275">
        <f>SUM(tblContractForDeed[[#This Row],[Princ]],tblContractForDeed[[#This Row],[Int]],tblContractForDeed[[#This Row],[Ins]],tblContractForDeed[[#This Row],[Taxes]])</f>
        <v>982.61999999999989</v>
      </c>
      <c r="W180" s="275">
        <f>SUM(INDEX(tblContractForDeed[Princ],1):INDEX(tblContractForDeed[Princ],ROW()-ROW(tblContractForDeed[#Headers])))</f>
        <v>57088.12000000001</v>
      </c>
      <c r="X180" s="275">
        <f>IF(tblContractForDeed[[#This Row],[Beg]]&lt;=0,0,tblContractForDeed[[#This Row],[Beg]]-tblContractForDeed[[#This Row],[Princ]])</f>
        <v>18169.880000000034</v>
      </c>
      <c r="Y18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149</v>
      </c>
      <c r="Z180" s="454">
        <f>IF(INDEX(tblContractForDeed[Payment],ROW()-ROW(tblBuyerOutputs[#Headers]))=0,0,INDEX(tblContractForDeed[Payment],ROW()-ROW(tblBuyerOutputs[#Headers]))-INDEX(tblSubjectToLoan[Payment],ROW()-ROW(tblBuyerOutputs[#Headers])))</f>
        <v>34.090000000000032</v>
      </c>
      <c r="AA180"/>
      <c r="AB180" s="14">
        <f>IF(INDEX(tblContractForDeed[Payment],ROW()-ROW(tblBuyerOutputs[#Headers]))=0,0,INDEX(tblContractForDeed[Payment],ROW()-ROW(tblBuyerOutputs[#Headers]))-INDEX(tblSubjectToLoan[Payment],ROW()-ROW(tblBuyerOutputs[#Headers])))-IFERROR(tblBuyerOutputs[[#This Row],[PMI]],0)</f>
        <v>34.090000000000032</v>
      </c>
      <c r="AC1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3755.7400000000134</v>
      </c>
      <c r="AD180" s="275">
        <f>IF(INDEX(tblContractForDeed[End Bal],ROW()-ROW(tblBuyerOutputs[#Headers]))&lt;=0,0,($O$6+IF(ROW()=ROW(tblBuyerOutputs[#Headers])+1,0,INDEX(tblBuyerOutputs[Cumul Appr],ROW()-ROW(tblBuyerOutputs[#Headers])-1)))*$O$2/12)</f>
        <v>609.91535771597285</v>
      </c>
      <c r="AE180" s="275">
        <f>IF(INDEX(tblContractForDeed[End Bal],ROW()-ROW(tblBuyerOutputs[#Headers]))&lt;=0,0,IF(ROW()=ROW(tblBuyerOutputs[#Headers])+1,0,INDEX(tblBuyerOutputs[Cumul Appr],ROW()-ROW(tblBuyerOutputs[#Headers])-1))+tblBuyerOutputs[[#This Row],[Monthly Appr]])</f>
        <v>71731.601209549437</v>
      </c>
      <c r="AF180" s="22"/>
      <c r="AG180" s="14"/>
      <c r="AL180"/>
      <c r="AM180" s="14"/>
      <c r="AO180" s="275"/>
      <c r="AQ180" s="14"/>
      <c r="AR180"/>
    </row>
    <row r="181" spans="1:44" x14ac:dyDescent="0.25">
      <c r="A181" s="590">
        <f t="shared" si="32"/>
        <v>50771</v>
      </c>
      <c r="B181" s="275">
        <f t="shared" si="33"/>
        <v>29991.439999999959</v>
      </c>
      <c r="C181" s="14">
        <f t="shared" si="30"/>
        <v>625.80999999999995</v>
      </c>
      <c r="D181" s="14">
        <f t="shared" si="34"/>
        <v>532.08999999999992</v>
      </c>
      <c r="E181" s="14">
        <f t="shared" si="31"/>
        <v>93.72</v>
      </c>
      <c r="F181" s="14">
        <f t="shared" si="40"/>
        <v>134.16999999999999</v>
      </c>
      <c r="G181" s="14">
        <f t="shared" si="40"/>
        <v>188.55</v>
      </c>
      <c r="H181" s="14">
        <f t="shared" si="28"/>
        <v>948.53</v>
      </c>
      <c r="I181" s="275">
        <f t="shared" si="37"/>
        <v>68072.489999999976</v>
      </c>
      <c r="J181" s="275">
        <f t="shared" si="38"/>
        <v>33612.569999999978</v>
      </c>
      <c r="K181" s="275">
        <f t="shared" si="35"/>
        <v>29459.349999999959</v>
      </c>
      <c r="L181" s="386">
        <f t="shared" si="41"/>
        <v>13</v>
      </c>
      <c r="M181" s="386">
        <f t="shared" si="36"/>
        <v>161</v>
      </c>
      <c r="N181" s="590">
        <f>INDEX(tblSubjectToLoan[Date],ROW()-ROW(tblContractForDeed[#Headers]))</f>
        <v>50771</v>
      </c>
      <c r="O181" s="275">
        <f>IF(ROW()=ROW(tblContractForDeed[#Headers])+1,$O$6,IF(INDEX(tblContractForDeed[End Bal],ROW()-ROW(tblContractForDeed[#Headers])-1)&lt;0,0,INDEX(tblContractForDeed[End Bal],ROW()-ROW(tblContractForDeed[#Headers])-1)))</f>
        <v>18169.880000000034</v>
      </c>
      <c r="P181" s="445">
        <f>IF(tblContractForDeed[[#This Row],[Date]]="","",IF(tblContractForDeed[[#This Row],[Date]]&lt;cfdRateChangeDate,cfdRate1,cfdRate2))</f>
        <v>6.7500000000000004E-2</v>
      </c>
      <c r="Q1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1" s="275">
        <f>IF(tblContractForDeed[[#This Row],[Payment]]=0,0,MAX(0,MIN(tblContractForDeed[[#This Row],[Beg]],tblContractForDeed[[#This Row],[Payment]]-tblContractForDeed[[#This Row],[Int]])))</f>
        <v>557.68999999999994</v>
      </c>
      <c r="S181" s="275">
        <f>IF(OR(tblContractForDeed[[#This Row],[Date]]&lt;cfdContractDate,tblContractForDeed[[#This Row],[Date]]&gt;cfdEndDate),0,ROUND(tblContractForDeed[[#This Row],[Beg]]*(tblContractForDeed[[#This Row],[Int Rate]]/12),2))</f>
        <v>102.21</v>
      </c>
      <c r="T181" s="275">
        <f>IF(tblContractForDeed[[#This Row],[Payment]]=0,0,$W$2)</f>
        <v>134.16999999999999</v>
      </c>
      <c r="U181" s="275">
        <f>IF(tblContractForDeed[[#This Row],[Princ]]=0,0,$W$3)</f>
        <v>188.55</v>
      </c>
      <c r="V181" s="275">
        <f>SUM(tblContractForDeed[[#This Row],[Princ]],tblContractForDeed[[#This Row],[Int]],tblContractForDeed[[#This Row],[Ins]],tblContractForDeed[[#This Row],[Taxes]])</f>
        <v>982.61999999999989</v>
      </c>
      <c r="W181" s="275">
        <f>SUM(INDEX(tblContractForDeed[Princ],1):INDEX(tblContractForDeed[Princ],ROW()-ROW(tblContractForDeed[#Headers])))</f>
        <v>57645.810000000012</v>
      </c>
      <c r="X181" s="275">
        <f>IF(tblContractForDeed[[#This Row],[Beg]]&lt;=0,0,tblContractForDeed[[#This Row],[Beg]]-tblContractForDeed[[#This Row],[Princ]])</f>
        <v>17612.190000000035</v>
      </c>
      <c r="Y18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150</v>
      </c>
      <c r="Z181" s="454">
        <f>IF(INDEX(tblContractForDeed[Payment],ROW()-ROW(tblBuyerOutputs[#Headers]))=0,0,INDEX(tblContractForDeed[Payment],ROW()-ROW(tblBuyerOutputs[#Headers]))-INDEX(tblSubjectToLoan[Payment],ROW()-ROW(tblBuyerOutputs[#Headers])))</f>
        <v>34.090000000000032</v>
      </c>
      <c r="AA181"/>
      <c r="AB181" s="14">
        <f>IF(INDEX(tblContractForDeed[Payment],ROW()-ROW(tblBuyerOutputs[#Headers]))=0,0,INDEX(tblContractForDeed[Payment],ROW()-ROW(tblBuyerOutputs[#Headers]))-INDEX(tblSubjectToLoan[Payment],ROW()-ROW(tblBuyerOutputs[#Headers])))-IFERROR(tblBuyerOutputs[[#This Row],[PMI]],0)</f>
        <v>34.090000000000032</v>
      </c>
      <c r="AC1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3789.8300000000136</v>
      </c>
      <c r="AD181" s="275">
        <f>IF(INDEX(tblContractForDeed[End Bal],ROW()-ROW(tblBuyerOutputs[#Headers]))&lt;=0,0,($O$6+IF(ROW()=ROW(tblBuyerOutputs[#Headers])+1,0,INDEX(tblBuyerOutputs[Cumul Appr],ROW()-ROW(tblBuyerOutputs[#Headers])-1)))*$O$2/12)</f>
        <v>612.45667170645595</v>
      </c>
      <c r="AE181" s="275">
        <f>IF(INDEX(tblContractForDeed[End Bal],ROW()-ROW(tblBuyerOutputs[#Headers]))&lt;=0,0,IF(ROW()=ROW(tblBuyerOutputs[#Headers])+1,0,INDEX(tblBuyerOutputs[Cumul Appr],ROW()-ROW(tblBuyerOutputs[#Headers])-1))+tblBuyerOutputs[[#This Row],[Monthly Appr]])</f>
        <v>72344.057881255896</v>
      </c>
      <c r="AF181" s="22"/>
      <c r="AG181" s="14"/>
      <c r="AL181"/>
      <c r="AM181" s="14"/>
      <c r="AO181" s="275"/>
      <c r="AQ181" s="14"/>
      <c r="AR181"/>
    </row>
    <row r="182" spans="1:44" x14ac:dyDescent="0.25">
      <c r="A182" s="590">
        <f t="shared" si="32"/>
        <v>50802</v>
      </c>
      <c r="B182" s="275">
        <f t="shared" si="33"/>
        <v>29459.349999999959</v>
      </c>
      <c r="C182" s="14">
        <f t="shared" si="30"/>
        <v>625.80999999999995</v>
      </c>
      <c r="D182" s="14">
        <f t="shared" si="34"/>
        <v>533.75</v>
      </c>
      <c r="E182" s="14">
        <f t="shared" si="31"/>
        <v>92.06</v>
      </c>
      <c r="F182" s="14">
        <f t="shared" si="40"/>
        <v>134.16999999999999</v>
      </c>
      <c r="G182" s="14">
        <f t="shared" si="40"/>
        <v>188.55</v>
      </c>
      <c r="H182" s="14">
        <f t="shared" si="28"/>
        <v>948.53</v>
      </c>
      <c r="I182" s="275">
        <f t="shared" si="37"/>
        <v>68606.239999999976</v>
      </c>
      <c r="J182" s="275">
        <f t="shared" si="38"/>
        <v>33704.629999999976</v>
      </c>
      <c r="K182" s="275">
        <f t="shared" si="35"/>
        <v>28925.599999999959</v>
      </c>
      <c r="L182" s="386">
        <f t="shared" si="41"/>
        <v>13</v>
      </c>
      <c r="M182" s="386">
        <f t="shared" si="36"/>
        <v>162</v>
      </c>
      <c r="N182" s="590">
        <f>INDEX(tblSubjectToLoan[Date],ROW()-ROW(tblContractForDeed[#Headers]))</f>
        <v>50802</v>
      </c>
      <c r="O182" s="275">
        <f>IF(ROW()=ROW(tblContractForDeed[#Headers])+1,$O$6,IF(INDEX(tblContractForDeed[End Bal],ROW()-ROW(tblContractForDeed[#Headers])-1)&lt;0,0,INDEX(tblContractForDeed[End Bal],ROW()-ROW(tblContractForDeed[#Headers])-1)))</f>
        <v>17612.190000000035</v>
      </c>
      <c r="P182" s="445">
        <f>IF(tblContractForDeed[[#This Row],[Date]]="","",IF(tblContractForDeed[[#This Row],[Date]]&lt;cfdRateChangeDate,cfdRate1,cfdRate2))</f>
        <v>6.7500000000000004E-2</v>
      </c>
      <c r="Q1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2" s="275">
        <f>IF(tblContractForDeed[[#This Row],[Payment]]=0,0,MAX(0,MIN(tblContractForDeed[[#This Row],[Beg]],tblContractForDeed[[#This Row],[Payment]]-tblContractForDeed[[#This Row],[Int]])))</f>
        <v>560.82999999999993</v>
      </c>
      <c r="S182" s="275">
        <f>IF(OR(tblContractForDeed[[#This Row],[Date]]&lt;cfdContractDate,tblContractForDeed[[#This Row],[Date]]&gt;cfdEndDate),0,ROUND(tblContractForDeed[[#This Row],[Beg]]*(tblContractForDeed[[#This Row],[Int Rate]]/12),2))</f>
        <v>99.07</v>
      </c>
      <c r="T182" s="275">
        <f>IF(tblContractForDeed[[#This Row],[Payment]]=0,0,$W$2)</f>
        <v>134.16999999999999</v>
      </c>
      <c r="U182" s="275">
        <f>IF(tblContractForDeed[[#This Row],[Princ]]=0,0,$W$3)</f>
        <v>188.55</v>
      </c>
      <c r="V182" s="275">
        <f>SUM(tblContractForDeed[[#This Row],[Princ]],tblContractForDeed[[#This Row],[Int]],tblContractForDeed[[#This Row],[Ins]],tblContractForDeed[[#This Row],[Taxes]])</f>
        <v>982.61999999999989</v>
      </c>
      <c r="W182" s="275">
        <f>SUM(INDEX(tblContractForDeed[Princ],1):INDEX(tblContractForDeed[Princ],ROW()-ROW(tblContractForDeed[#Headers])))</f>
        <v>58206.640000000014</v>
      </c>
      <c r="X182" s="275">
        <f>IF(tblContractForDeed[[#This Row],[Beg]]&lt;=0,0,tblContractForDeed[[#This Row],[Beg]]-tblContractForDeed[[#This Row],[Princ]])</f>
        <v>17051.360000000037</v>
      </c>
      <c r="Y18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151</v>
      </c>
      <c r="Z182" s="454">
        <f>IF(INDEX(tblContractForDeed[Payment],ROW()-ROW(tblBuyerOutputs[#Headers]))=0,0,INDEX(tblContractForDeed[Payment],ROW()-ROW(tblBuyerOutputs[#Headers]))-INDEX(tblSubjectToLoan[Payment],ROW()-ROW(tblBuyerOutputs[#Headers])))</f>
        <v>34.090000000000032</v>
      </c>
      <c r="AA182"/>
      <c r="AB182" s="14">
        <f>IF(INDEX(tblContractForDeed[Payment],ROW()-ROW(tblBuyerOutputs[#Headers]))=0,0,INDEX(tblContractForDeed[Payment],ROW()-ROW(tblBuyerOutputs[#Headers]))-INDEX(tblSubjectToLoan[Payment],ROW()-ROW(tblBuyerOutputs[#Headers])))-IFERROR(tblBuyerOutputs[[#This Row],[PMI]],0)</f>
        <v>34.090000000000032</v>
      </c>
      <c r="AC1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3823.9200000000137</v>
      </c>
      <c r="AD182" s="275">
        <f>IF(INDEX(tblContractForDeed[End Bal],ROW()-ROW(tblBuyerOutputs[#Headers]))&lt;=0,0,($O$6+IF(ROW()=ROW(tblBuyerOutputs[#Headers])+1,0,INDEX(tblBuyerOutputs[Cumul Appr],ROW()-ROW(tblBuyerOutputs[#Headers])-1)))*$O$2/12)</f>
        <v>615.0085745052329</v>
      </c>
      <c r="AE182" s="275">
        <f>IF(INDEX(tblContractForDeed[End Bal],ROW()-ROW(tblBuyerOutputs[#Headers]))&lt;=0,0,IF(ROW()=ROW(tblBuyerOutputs[#Headers])+1,0,INDEX(tblBuyerOutputs[Cumul Appr],ROW()-ROW(tblBuyerOutputs[#Headers])-1))+tblBuyerOutputs[[#This Row],[Monthly Appr]])</f>
        <v>72959.066455761131</v>
      </c>
      <c r="AF182" s="22"/>
      <c r="AG182" s="14"/>
      <c r="AL182"/>
      <c r="AM182" s="14"/>
      <c r="AO182" s="275"/>
      <c r="AQ182" s="14"/>
      <c r="AR182"/>
    </row>
    <row r="183" spans="1:44" x14ac:dyDescent="0.25">
      <c r="A183" s="590">
        <f t="shared" si="32"/>
        <v>50830</v>
      </c>
      <c r="B183" s="275">
        <f t="shared" si="33"/>
        <v>28925.599999999959</v>
      </c>
      <c r="C183" s="14">
        <f t="shared" si="30"/>
        <v>625.80999999999995</v>
      </c>
      <c r="D183" s="14">
        <f t="shared" si="34"/>
        <v>535.41999999999996</v>
      </c>
      <c r="E183" s="14">
        <f t="shared" si="31"/>
        <v>90.39</v>
      </c>
      <c r="F183" s="14">
        <f t="shared" si="40"/>
        <v>134.16999999999999</v>
      </c>
      <c r="G183" s="14">
        <f t="shared" si="40"/>
        <v>188.55</v>
      </c>
      <c r="H183" s="14">
        <f t="shared" si="28"/>
        <v>948.53</v>
      </c>
      <c r="I183" s="275">
        <f t="shared" si="37"/>
        <v>69141.659999999974</v>
      </c>
      <c r="J183" s="275">
        <f t="shared" si="38"/>
        <v>33795.019999999975</v>
      </c>
      <c r="K183" s="275">
        <f t="shared" si="35"/>
        <v>28390.17999999996</v>
      </c>
      <c r="L183" s="386">
        <f t="shared" si="41"/>
        <v>13</v>
      </c>
      <c r="M183" s="386">
        <f t="shared" si="36"/>
        <v>163</v>
      </c>
      <c r="N183" s="590">
        <f>INDEX(tblSubjectToLoan[Date],ROW()-ROW(tblContractForDeed[#Headers]))</f>
        <v>50830</v>
      </c>
      <c r="O183" s="275">
        <f>IF(ROW()=ROW(tblContractForDeed[#Headers])+1,$O$6,IF(INDEX(tblContractForDeed[End Bal],ROW()-ROW(tblContractForDeed[#Headers])-1)&lt;0,0,INDEX(tblContractForDeed[End Bal],ROW()-ROW(tblContractForDeed[#Headers])-1)))</f>
        <v>17051.360000000037</v>
      </c>
      <c r="P183" s="445">
        <f>IF(tblContractForDeed[[#This Row],[Date]]="","",IF(tblContractForDeed[[#This Row],[Date]]&lt;cfdRateChangeDate,cfdRate1,cfdRate2))</f>
        <v>6.7500000000000004E-2</v>
      </c>
      <c r="Q18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3" s="275">
        <f>IF(tblContractForDeed[[#This Row],[Payment]]=0,0,MAX(0,MIN(tblContractForDeed[[#This Row],[Beg]],tblContractForDeed[[#This Row],[Payment]]-tblContractForDeed[[#This Row],[Int]])))</f>
        <v>563.99</v>
      </c>
      <c r="S183" s="275">
        <f>IF(OR(tblContractForDeed[[#This Row],[Date]]&lt;cfdContractDate,tblContractForDeed[[#This Row],[Date]]&gt;cfdEndDate),0,ROUND(tblContractForDeed[[#This Row],[Beg]]*(tblContractForDeed[[#This Row],[Int Rate]]/12),2))</f>
        <v>95.91</v>
      </c>
      <c r="T183" s="275">
        <f>IF(tblContractForDeed[[#This Row],[Payment]]=0,0,$W$2)</f>
        <v>134.16999999999999</v>
      </c>
      <c r="U183" s="275">
        <f>IF(tblContractForDeed[[#This Row],[Princ]]=0,0,$W$3)</f>
        <v>188.55</v>
      </c>
      <c r="V183" s="275">
        <f>SUM(tblContractForDeed[[#This Row],[Princ]],tblContractForDeed[[#This Row],[Int]],tblContractForDeed[[#This Row],[Ins]],tblContractForDeed[[#This Row],[Taxes]])</f>
        <v>982.61999999999989</v>
      </c>
      <c r="W183" s="275">
        <f>SUM(INDEX(tblContractForDeed[Princ],1):INDEX(tblContractForDeed[Princ],ROW()-ROW(tblContractForDeed[#Headers])))</f>
        <v>58770.630000000012</v>
      </c>
      <c r="X183" s="275">
        <f>IF(tblContractForDeed[[#This Row],[Beg]]&lt;=0,0,tblContractForDeed[[#This Row],[Beg]]-tblContractForDeed[[#This Row],[Princ]])</f>
        <v>16487.370000000035</v>
      </c>
      <c r="Y18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152</v>
      </c>
      <c r="Z183" s="454">
        <f>IF(INDEX(tblContractForDeed[Payment],ROW()-ROW(tblBuyerOutputs[#Headers]))=0,0,INDEX(tblContractForDeed[Payment],ROW()-ROW(tblBuyerOutputs[#Headers]))-INDEX(tblSubjectToLoan[Payment],ROW()-ROW(tblBuyerOutputs[#Headers])))</f>
        <v>34.090000000000032</v>
      </c>
      <c r="AA183"/>
      <c r="AB183" s="14">
        <f>IF(INDEX(tblContractForDeed[Payment],ROW()-ROW(tblBuyerOutputs[#Headers]))=0,0,INDEX(tblContractForDeed[Payment],ROW()-ROW(tblBuyerOutputs[#Headers]))-INDEX(tblSubjectToLoan[Payment],ROW()-ROW(tblBuyerOutputs[#Headers])))-IFERROR(tblBuyerOutputs[[#This Row],[PMI]],0)</f>
        <v>34.090000000000032</v>
      </c>
      <c r="AC1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3858.0100000000139</v>
      </c>
      <c r="AD183" s="275">
        <f>IF(INDEX(tblContractForDeed[End Bal],ROW()-ROW(tblBuyerOutputs[#Headers]))&lt;=0,0,($O$6+IF(ROW()=ROW(tblBuyerOutputs[#Headers])+1,0,INDEX(tblBuyerOutputs[Cumul Appr],ROW()-ROW(tblBuyerOutputs[#Headers])-1)))*$O$2/12)</f>
        <v>617.57111023233813</v>
      </c>
      <c r="AE183" s="275">
        <f>IF(INDEX(tblContractForDeed[End Bal],ROW()-ROW(tblBuyerOutputs[#Headers]))&lt;=0,0,IF(ROW()=ROW(tblBuyerOutputs[#Headers])+1,0,INDEX(tblBuyerOutputs[Cumul Appr],ROW()-ROW(tblBuyerOutputs[#Headers])-1))+tblBuyerOutputs[[#This Row],[Monthly Appr]])</f>
        <v>73576.637565993471</v>
      </c>
      <c r="AF183" s="22"/>
      <c r="AG183" s="14"/>
      <c r="AL183"/>
      <c r="AM183" s="14"/>
      <c r="AO183" s="275"/>
      <c r="AQ183" s="14"/>
      <c r="AR183"/>
    </row>
    <row r="184" spans="1:44" x14ac:dyDescent="0.25">
      <c r="A184" s="590">
        <f t="shared" si="32"/>
        <v>50861</v>
      </c>
      <c r="B184" s="275">
        <f t="shared" si="33"/>
        <v>28390.17999999996</v>
      </c>
      <c r="C184" s="14">
        <f t="shared" si="30"/>
        <v>625.80999999999995</v>
      </c>
      <c r="D184" s="14">
        <f t="shared" si="34"/>
        <v>537.08999999999992</v>
      </c>
      <c r="E184" s="14">
        <f t="shared" si="31"/>
        <v>88.72</v>
      </c>
      <c r="F184" s="14">
        <f t="shared" si="40"/>
        <v>134.16999999999999</v>
      </c>
      <c r="G184" s="14">
        <f t="shared" si="40"/>
        <v>188.55</v>
      </c>
      <c r="H184" s="14">
        <f t="shared" si="28"/>
        <v>948.53</v>
      </c>
      <c r="I184" s="275">
        <f t="shared" si="37"/>
        <v>69678.749999999971</v>
      </c>
      <c r="J184" s="275">
        <f t="shared" si="38"/>
        <v>33883.739999999976</v>
      </c>
      <c r="K184" s="275">
        <f t="shared" si="35"/>
        <v>27853.08999999996</v>
      </c>
      <c r="L184" s="386">
        <f t="shared" si="41"/>
        <v>13</v>
      </c>
      <c r="M184" s="386">
        <f t="shared" si="36"/>
        <v>164</v>
      </c>
      <c r="N184" s="590">
        <f>INDEX(tblSubjectToLoan[Date],ROW()-ROW(tblContractForDeed[#Headers]))</f>
        <v>50861</v>
      </c>
      <c r="O184" s="275">
        <f>IF(ROW()=ROW(tblContractForDeed[#Headers])+1,$O$6,IF(INDEX(tblContractForDeed[End Bal],ROW()-ROW(tblContractForDeed[#Headers])-1)&lt;0,0,INDEX(tblContractForDeed[End Bal],ROW()-ROW(tblContractForDeed[#Headers])-1)))</f>
        <v>16487.370000000035</v>
      </c>
      <c r="P184" s="445">
        <f>IF(tblContractForDeed[[#This Row],[Date]]="","",IF(tblContractForDeed[[#This Row],[Date]]&lt;cfdRateChangeDate,cfdRate1,cfdRate2))</f>
        <v>6.7500000000000004E-2</v>
      </c>
      <c r="Q1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4" s="275">
        <f>IF(tblContractForDeed[[#This Row],[Payment]]=0,0,MAX(0,MIN(tblContractForDeed[[#This Row],[Beg]],tblContractForDeed[[#This Row],[Payment]]-tblContractForDeed[[#This Row],[Int]])))</f>
        <v>567.16</v>
      </c>
      <c r="S184" s="275">
        <f>IF(OR(tblContractForDeed[[#This Row],[Date]]&lt;cfdContractDate,tblContractForDeed[[#This Row],[Date]]&gt;cfdEndDate),0,ROUND(tblContractForDeed[[#This Row],[Beg]]*(tblContractForDeed[[#This Row],[Int Rate]]/12),2))</f>
        <v>92.74</v>
      </c>
      <c r="T184" s="275">
        <f>IF(tblContractForDeed[[#This Row],[Payment]]=0,0,$W$2)</f>
        <v>134.16999999999999</v>
      </c>
      <c r="U184" s="275">
        <f>IF(tblContractForDeed[[#This Row],[Princ]]=0,0,$W$3)</f>
        <v>188.55</v>
      </c>
      <c r="V184" s="275">
        <f>SUM(tblContractForDeed[[#This Row],[Princ]],tblContractForDeed[[#This Row],[Int]],tblContractForDeed[[#This Row],[Ins]],tblContractForDeed[[#This Row],[Taxes]])</f>
        <v>982.61999999999989</v>
      </c>
      <c r="W184" s="275">
        <f>SUM(INDEX(tblContractForDeed[Princ],1):INDEX(tblContractForDeed[Princ],ROW()-ROW(tblContractForDeed[#Headers])))</f>
        <v>59337.790000000015</v>
      </c>
      <c r="X184" s="275">
        <f>IF(tblContractForDeed[[#This Row],[Beg]]&lt;=0,0,tblContractForDeed[[#This Row],[Beg]]-tblContractForDeed[[#This Row],[Princ]])</f>
        <v>15920.210000000036</v>
      </c>
      <c r="Y18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153</v>
      </c>
      <c r="Z184" s="454">
        <f>IF(INDEX(tblContractForDeed[Payment],ROW()-ROW(tblBuyerOutputs[#Headers]))=0,0,INDEX(tblContractForDeed[Payment],ROW()-ROW(tblBuyerOutputs[#Headers]))-INDEX(tblSubjectToLoan[Payment],ROW()-ROW(tblBuyerOutputs[#Headers])))</f>
        <v>34.090000000000032</v>
      </c>
      <c r="AA184"/>
      <c r="AB184" s="14">
        <f>IF(INDEX(tblContractForDeed[Payment],ROW()-ROW(tblBuyerOutputs[#Headers]))=0,0,INDEX(tblContractForDeed[Payment],ROW()-ROW(tblBuyerOutputs[#Headers]))-INDEX(tblSubjectToLoan[Payment],ROW()-ROW(tblBuyerOutputs[#Headers])))-IFERROR(tblBuyerOutputs[[#This Row],[PMI]],0)</f>
        <v>34.090000000000032</v>
      </c>
      <c r="AC1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3892.100000000014</v>
      </c>
      <c r="AD184" s="275">
        <f>IF(INDEX(tblContractForDeed[End Bal],ROW()-ROW(tblBuyerOutputs[#Headers]))&lt;=0,0,($O$6+IF(ROW()=ROW(tblBuyerOutputs[#Headers])+1,0,INDEX(tblBuyerOutputs[Cumul Appr],ROW()-ROW(tblBuyerOutputs[#Headers])-1)))*$O$2/12)</f>
        <v>620.1443231916395</v>
      </c>
      <c r="AE184" s="275">
        <f>IF(INDEX(tblContractForDeed[End Bal],ROW()-ROW(tblBuyerOutputs[#Headers]))&lt;=0,0,IF(ROW()=ROW(tblBuyerOutputs[#Headers])+1,0,INDEX(tblBuyerOutputs[Cumul Appr],ROW()-ROW(tblBuyerOutputs[#Headers])-1))+tblBuyerOutputs[[#This Row],[Monthly Appr]])</f>
        <v>74196.781889185106</v>
      </c>
      <c r="AF184" s="22"/>
      <c r="AG184" s="14"/>
      <c r="AL184"/>
      <c r="AM184" s="14"/>
      <c r="AO184" s="275"/>
      <c r="AQ184" s="14"/>
      <c r="AR184"/>
    </row>
    <row r="185" spans="1:44" x14ac:dyDescent="0.25">
      <c r="A185" s="590">
        <f t="shared" si="32"/>
        <v>50891</v>
      </c>
      <c r="B185" s="275">
        <f t="shared" si="33"/>
        <v>27853.08999999996</v>
      </c>
      <c r="C185" s="14">
        <f t="shared" si="30"/>
        <v>625.80999999999995</v>
      </c>
      <c r="D185" s="14">
        <f t="shared" si="34"/>
        <v>538.77</v>
      </c>
      <c r="E185" s="14">
        <f t="shared" si="31"/>
        <v>87.04</v>
      </c>
      <c r="F185" s="14">
        <f t="shared" si="40"/>
        <v>134.16999999999999</v>
      </c>
      <c r="G185" s="14">
        <f t="shared" si="40"/>
        <v>188.55</v>
      </c>
      <c r="H185" s="14">
        <f t="shared" si="28"/>
        <v>948.53</v>
      </c>
      <c r="I185" s="275">
        <f t="shared" si="37"/>
        <v>70217.519999999975</v>
      </c>
      <c r="J185" s="275">
        <f t="shared" si="38"/>
        <v>33970.779999999977</v>
      </c>
      <c r="K185" s="275">
        <f t="shared" si="35"/>
        <v>27314.31999999996</v>
      </c>
      <c r="L185" s="386">
        <f t="shared" si="41"/>
        <v>13</v>
      </c>
      <c r="M185" s="386">
        <f t="shared" si="36"/>
        <v>165</v>
      </c>
      <c r="N185" s="590">
        <f>INDEX(tblSubjectToLoan[Date],ROW()-ROW(tblContractForDeed[#Headers]))</f>
        <v>50891</v>
      </c>
      <c r="O185" s="275">
        <f>IF(ROW()=ROW(tblContractForDeed[#Headers])+1,$O$6,IF(INDEX(tblContractForDeed[End Bal],ROW()-ROW(tblContractForDeed[#Headers])-1)&lt;0,0,INDEX(tblContractForDeed[End Bal],ROW()-ROW(tblContractForDeed[#Headers])-1)))</f>
        <v>15920.210000000036</v>
      </c>
      <c r="P185" s="445">
        <f>IF(tblContractForDeed[[#This Row],[Date]]="","",IF(tblContractForDeed[[#This Row],[Date]]&lt;cfdRateChangeDate,cfdRate1,cfdRate2))</f>
        <v>6.7500000000000004E-2</v>
      </c>
      <c r="Q1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5" s="275">
        <f>IF(tblContractForDeed[[#This Row],[Payment]]=0,0,MAX(0,MIN(tblContractForDeed[[#This Row],[Beg]],tblContractForDeed[[#This Row],[Payment]]-tblContractForDeed[[#This Row],[Int]])))</f>
        <v>570.35</v>
      </c>
      <c r="S185" s="275">
        <f>IF(OR(tblContractForDeed[[#This Row],[Date]]&lt;cfdContractDate,tblContractForDeed[[#This Row],[Date]]&gt;cfdEndDate),0,ROUND(tblContractForDeed[[#This Row],[Beg]]*(tblContractForDeed[[#This Row],[Int Rate]]/12),2))</f>
        <v>89.55</v>
      </c>
      <c r="T185" s="275">
        <f>IF(tblContractForDeed[[#This Row],[Payment]]=0,0,$W$2)</f>
        <v>134.16999999999999</v>
      </c>
      <c r="U185" s="275">
        <f>IF(tblContractForDeed[[#This Row],[Princ]]=0,0,$W$3)</f>
        <v>188.55</v>
      </c>
      <c r="V185" s="275">
        <f>SUM(tblContractForDeed[[#This Row],[Princ]],tblContractForDeed[[#This Row],[Int]],tblContractForDeed[[#This Row],[Ins]],tblContractForDeed[[#This Row],[Taxes]])</f>
        <v>982.61999999999989</v>
      </c>
      <c r="W185" s="275">
        <f>SUM(INDEX(tblContractForDeed[Princ],1):INDEX(tblContractForDeed[Princ],ROW()-ROW(tblContractForDeed[#Headers])))</f>
        <v>59908.140000000014</v>
      </c>
      <c r="X185" s="275">
        <f>IF(tblContractForDeed[[#This Row],[Beg]]&lt;=0,0,tblContractForDeed[[#This Row],[Beg]]-tblContractForDeed[[#This Row],[Princ]])</f>
        <v>15349.860000000035</v>
      </c>
      <c r="Y18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154</v>
      </c>
      <c r="Z185" s="454">
        <f>IF(INDEX(tblContractForDeed[Payment],ROW()-ROW(tblBuyerOutputs[#Headers]))=0,0,INDEX(tblContractForDeed[Payment],ROW()-ROW(tblBuyerOutputs[#Headers]))-INDEX(tblSubjectToLoan[Payment],ROW()-ROW(tblBuyerOutputs[#Headers])))</f>
        <v>34.090000000000032</v>
      </c>
      <c r="AA185"/>
      <c r="AB185" s="14">
        <f>IF(INDEX(tblContractForDeed[Payment],ROW()-ROW(tblBuyerOutputs[#Headers]))=0,0,INDEX(tblContractForDeed[Payment],ROW()-ROW(tblBuyerOutputs[#Headers]))-INDEX(tblSubjectToLoan[Payment],ROW()-ROW(tblBuyerOutputs[#Headers])))-IFERROR(tblBuyerOutputs[[#This Row],[PMI]],0)</f>
        <v>34.090000000000032</v>
      </c>
      <c r="AC1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3926.1900000000142</v>
      </c>
      <c r="AD185" s="275">
        <f>IF(INDEX(tblContractForDeed[End Bal],ROW()-ROW(tblBuyerOutputs[#Headers]))&lt;=0,0,($O$6+IF(ROW()=ROW(tblBuyerOutputs[#Headers])+1,0,INDEX(tblBuyerOutputs[Cumul Appr],ROW()-ROW(tblBuyerOutputs[#Headers])-1)))*$O$2/12)</f>
        <v>622.72825787160457</v>
      </c>
      <c r="AE185" s="275">
        <f>IF(INDEX(tblContractForDeed[End Bal],ROW()-ROW(tblBuyerOutputs[#Headers]))&lt;=0,0,IF(ROW()=ROW(tblBuyerOutputs[#Headers])+1,0,INDEX(tblBuyerOutputs[Cumul Appr],ROW()-ROW(tblBuyerOutputs[#Headers])-1))+tblBuyerOutputs[[#This Row],[Monthly Appr]])</f>
        <v>74819.510147056717</v>
      </c>
      <c r="AF185" s="22"/>
      <c r="AG185" s="14"/>
      <c r="AL185"/>
      <c r="AM185" s="14"/>
      <c r="AO185" s="275"/>
      <c r="AQ185" s="14"/>
      <c r="AR185"/>
    </row>
    <row r="186" spans="1:44" x14ac:dyDescent="0.25">
      <c r="A186" s="590">
        <f t="shared" si="32"/>
        <v>50922</v>
      </c>
      <c r="B186" s="275">
        <f t="shared" si="33"/>
        <v>27314.31999999996</v>
      </c>
      <c r="C186" s="14">
        <f t="shared" si="30"/>
        <v>625.80999999999995</v>
      </c>
      <c r="D186" s="14">
        <f t="shared" si="34"/>
        <v>540.44999999999993</v>
      </c>
      <c r="E186" s="14">
        <f t="shared" si="31"/>
        <v>85.36</v>
      </c>
      <c r="F186" s="14">
        <f t="shared" si="40"/>
        <v>134.16999999999999</v>
      </c>
      <c r="G186" s="14">
        <f t="shared" si="40"/>
        <v>188.55</v>
      </c>
      <c r="H186" s="14">
        <f t="shared" si="28"/>
        <v>948.53</v>
      </c>
      <c r="I186" s="275">
        <f t="shared" si="37"/>
        <v>70757.969999999972</v>
      </c>
      <c r="J186" s="275">
        <f t="shared" si="38"/>
        <v>34056.139999999978</v>
      </c>
      <c r="K186" s="275">
        <f t="shared" si="35"/>
        <v>26773.869999999959</v>
      </c>
      <c r="L186" s="386">
        <f t="shared" si="41"/>
        <v>13</v>
      </c>
      <c r="M186" s="386">
        <f t="shared" si="36"/>
        <v>166</v>
      </c>
      <c r="N186" s="590">
        <f>INDEX(tblSubjectToLoan[Date],ROW()-ROW(tblContractForDeed[#Headers]))</f>
        <v>50922</v>
      </c>
      <c r="O186" s="275">
        <f>IF(ROW()=ROW(tblContractForDeed[#Headers])+1,$O$6,IF(INDEX(tblContractForDeed[End Bal],ROW()-ROW(tblContractForDeed[#Headers])-1)&lt;0,0,INDEX(tblContractForDeed[End Bal],ROW()-ROW(tblContractForDeed[#Headers])-1)))</f>
        <v>15349.860000000035</v>
      </c>
      <c r="P186" s="445">
        <f>IF(tblContractForDeed[[#This Row],[Date]]="","",IF(tblContractForDeed[[#This Row],[Date]]&lt;cfdRateChangeDate,cfdRate1,cfdRate2))</f>
        <v>6.7500000000000004E-2</v>
      </c>
      <c r="Q1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6" s="275">
        <f>IF(tblContractForDeed[[#This Row],[Payment]]=0,0,MAX(0,MIN(tblContractForDeed[[#This Row],[Beg]],tblContractForDeed[[#This Row],[Payment]]-tblContractForDeed[[#This Row],[Int]])))</f>
        <v>573.55999999999995</v>
      </c>
      <c r="S186" s="275">
        <f>IF(OR(tblContractForDeed[[#This Row],[Date]]&lt;cfdContractDate,tblContractForDeed[[#This Row],[Date]]&gt;cfdEndDate),0,ROUND(tblContractForDeed[[#This Row],[Beg]]*(tblContractForDeed[[#This Row],[Int Rate]]/12),2))</f>
        <v>86.34</v>
      </c>
      <c r="T186" s="275">
        <f>IF(tblContractForDeed[[#This Row],[Payment]]=0,0,$W$2)</f>
        <v>134.16999999999999</v>
      </c>
      <c r="U186" s="275">
        <f>IF(tblContractForDeed[[#This Row],[Princ]]=0,0,$W$3)</f>
        <v>188.55</v>
      </c>
      <c r="V186" s="275">
        <f>SUM(tblContractForDeed[[#This Row],[Princ]],tblContractForDeed[[#This Row],[Int]],tblContractForDeed[[#This Row],[Ins]],tblContractForDeed[[#This Row],[Taxes]])</f>
        <v>982.61999999999989</v>
      </c>
      <c r="W186" s="275">
        <f>SUM(INDEX(tblContractForDeed[Princ],1):INDEX(tblContractForDeed[Princ],ROW()-ROW(tblContractForDeed[#Headers])))</f>
        <v>60481.700000000012</v>
      </c>
      <c r="X186" s="275">
        <f>IF(tblContractForDeed[[#This Row],[Beg]]&lt;=0,0,tblContractForDeed[[#This Row],[Beg]]-tblContractForDeed[[#This Row],[Princ]])</f>
        <v>14776.300000000036</v>
      </c>
      <c r="Y18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155</v>
      </c>
      <c r="Z186" s="454">
        <f>IF(INDEX(tblContractForDeed[Payment],ROW()-ROW(tblBuyerOutputs[#Headers]))=0,0,INDEX(tblContractForDeed[Payment],ROW()-ROW(tblBuyerOutputs[#Headers]))-INDEX(tblSubjectToLoan[Payment],ROW()-ROW(tblBuyerOutputs[#Headers])))</f>
        <v>34.090000000000032</v>
      </c>
      <c r="AA186"/>
      <c r="AB186" s="14">
        <f>IF(INDEX(tblContractForDeed[Payment],ROW()-ROW(tblBuyerOutputs[#Headers]))=0,0,INDEX(tblContractForDeed[Payment],ROW()-ROW(tblBuyerOutputs[#Headers]))-INDEX(tblSubjectToLoan[Payment],ROW()-ROW(tblBuyerOutputs[#Headers])))-IFERROR(tblBuyerOutputs[[#This Row],[PMI]],0)</f>
        <v>34.090000000000032</v>
      </c>
      <c r="AC1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3960.2800000000143</v>
      </c>
      <c r="AD186" s="275">
        <f>IF(INDEX(tblContractForDeed[End Bal],ROW()-ROW(tblBuyerOutputs[#Headers]))&lt;=0,0,($O$6+IF(ROW()=ROW(tblBuyerOutputs[#Headers])+1,0,INDEX(tblBuyerOutputs[Cumul Appr],ROW()-ROW(tblBuyerOutputs[#Headers])-1)))*$O$2/12)</f>
        <v>625.32295894606966</v>
      </c>
      <c r="AE186" s="275">
        <f>IF(INDEX(tblContractForDeed[End Bal],ROW()-ROW(tblBuyerOutputs[#Headers]))&lt;=0,0,IF(ROW()=ROW(tblBuyerOutputs[#Headers])+1,0,INDEX(tblBuyerOutputs[Cumul Appr],ROW()-ROW(tblBuyerOutputs[#Headers])-1))+tblBuyerOutputs[[#This Row],[Monthly Appr]])</f>
        <v>75444.833106002785</v>
      </c>
      <c r="AF186" s="22"/>
      <c r="AG186" s="14"/>
      <c r="AL186"/>
      <c r="AM186" s="14"/>
      <c r="AO186" s="275"/>
      <c r="AQ186" s="14"/>
      <c r="AR186"/>
    </row>
    <row r="187" spans="1:44" ht="15.75" thickBot="1" x14ac:dyDescent="0.3">
      <c r="A187" s="591">
        <f t="shared" si="32"/>
        <v>50952</v>
      </c>
      <c r="B187" s="326">
        <f t="shared" si="33"/>
        <v>26773.869999999959</v>
      </c>
      <c r="C187" s="21">
        <f t="shared" si="30"/>
        <v>625.80999999999995</v>
      </c>
      <c r="D187" s="21">
        <f t="shared" si="34"/>
        <v>542.14</v>
      </c>
      <c r="E187" s="21">
        <f t="shared" si="31"/>
        <v>83.67</v>
      </c>
      <c r="F187" s="21">
        <f t="shared" si="40"/>
        <v>134.16999999999999</v>
      </c>
      <c r="G187" s="21">
        <f t="shared" si="40"/>
        <v>188.55</v>
      </c>
      <c r="H187" s="21">
        <f t="shared" si="28"/>
        <v>948.53</v>
      </c>
      <c r="I187" s="326">
        <f t="shared" si="37"/>
        <v>71300.109999999971</v>
      </c>
      <c r="J187" s="326">
        <f t="shared" si="38"/>
        <v>34139.809999999976</v>
      </c>
      <c r="K187" s="326">
        <f t="shared" si="35"/>
        <v>26231.72999999996</v>
      </c>
      <c r="L187" s="387">
        <f t="shared" si="41"/>
        <v>13</v>
      </c>
      <c r="M187" s="387">
        <f t="shared" si="36"/>
        <v>167</v>
      </c>
      <c r="N187" s="591">
        <f>INDEX(tblSubjectToLoan[Date],ROW()-ROW(tblContractForDeed[#Headers]))</f>
        <v>50952</v>
      </c>
      <c r="O187" s="326">
        <f>IF(ROW()=ROW(tblContractForDeed[#Headers])+1,$O$6,IF(INDEX(tblContractForDeed[End Bal],ROW()-ROW(tblContractForDeed[#Headers])-1)&lt;0,0,INDEX(tblContractForDeed[End Bal],ROW()-ROW(tblContractForDeed[#Headers])-1)))</f>
        <v>14776.300000000036</v>
      </c>
      <c r="P187" s="445">
        <f>IF(tblContractForDeed[[#This Row],[Date]]="","",IF(tblContractForDeed[[#This Row],[Date]]&lt;cfdRateChangeDate,cfdRate1,cfdRate2))</f>
        <v>6.7500000000000004E-2</v>
      </c>
      <c r="Q18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7" s="326">
        <f>IF(tblContractForDeed[[#This Row],[Payment]]=0,0,MAX(0,MIN(tblContractForDeed[[#This Row],[Beg]],tblContractForDeed[[#This Row],[Payment]]-tblContractForDeed[[#This Row],[Int]])))</f>
        <v>576.78</v>
      </c>
      <c r="S187" s="326">
        <f>IF(OR(tblContractForDeed[[#This Row],[Date]]&lt;cfdContractDate,tblContractForDeed[[#This Row],[Date]]&gt;cfdEndDate),0,ROUND(tblContractForDeed[[#This Row],[Beg]]*(tblContractForDeed[[#This Row],[Int Rate]]/12),2))</f>
        <v>83.12</v>
      </c>
      <c r="T187" s="326">
        <f>IF(tblContractForDeed[[#This Row],[Payment]]=0,0,$W$2)</f>
        <v>134.16999999999999</v>
      </c>
      <c r="U187" s="326">
        <f>IF(tblContractForDeed[[#This Row],[Princ]]=0,0,$W$3)</f>
        <v>188.55</v>
      </c>
      <c r="V187" s="326">
        <f>SUM(tblContractForDeed[[#This Row],[Princ]],tblContractForDeed[[#This Row],[Int]],tblContractForDeed[[#This Row],[Ins]],tblContractForDeed[[#This Row],[Taxes]])</f>
        <v>982.61999999999989</v>
      </c>
      <c r="W187" s="326">
        <f>SUM(INDEX(tblContractForDeed[Princ],1):INDEX(tblContractForDeed[Princ],ROW()-ROW(tblContractForDeed[#Headers])))</f>
        <v>61058.48000000001</v>
      </c>
      <c r="X187" s="326">
        <f>IF(tblContractForDeed[[#This Row],[Beg]]&lt;=0,0,tblContractForDeed[[#This Row],[Beg]]-tblContractForDeed[[#This Row],[Princ]])</f>
        <v>14199.520000000035</v>
      </c>
      <c r="Y187"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156</v>
      </c>
      <c r="Z187" s="455">
        <f>IF(INDEX(tblContractForDeed[Payment],ROW()-ROW(tblBuyerOutputs[#Headers]))=0,0,INDEX(tblContractForDeed[Payment],ROW()-ROW(tblBuyerOutputs[#Headers]))-INDEX(tblSubjectToLoan[Payment],ROW()-ROW(tblBuyerOutputs[#Headers])))</f>
        <v>34.090000000000032</v>
      </c>
      <c r="AA187" s="23"/>
      <c r="AB187" s="21">
        <f>IF(INDEX(tblContractForDeed[Payment],ROW()-ROW(tblBuyerOutputs[#Headers]))=0,0,INDEX(tblContractForDeed[Payment],ROW()-ROW(tblBuyerOutputs[#Headers]))-INDEX(tblSubjectToLoan[Payment],ROW()-ROW(tblBuyerOutputs[#Headers])))-IFERROR(tblBuyerOutputs[[#This Row],[PMI]],0)</f>
        <v>34.090000000000032</v>
      </c>
      <c r="AC1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3994.3700000000144</v>
      </c>
      <c r="AD187" s="326">
        <f>IF(INDEX(tblContractForDeed[End Bal],ROW()-ROW(tblBuyerOutputs[#Headers]))&lt;=0,0,($O$6+IF(ROW()=ROW(tblBuyerOutputs[#Headers])+1,0,INDEX(tblBuyerOutputs[Cumul Appr],ROW()-ROW(tblBuyerOutputs[#Headers])-1)))*$O$2/12)</f>
        <v>627.92847127501159</v>
      </c>
      <c r="AE187" s="326">
        <f>IF(INDEX(tblContractForDeed[End Bal],ROW()-ROW(tblBuyerOutputs[#Headers]))&lt;=0,0,IF(ROW()=ROW(tblBuyerOutputs[#Headers])+1,0,INDEX(tblBuyerOutputs[Cumul Appr],ROW()-ROW(tblBuyerOutputs[#Headers])-1))+tblBuyerOutputs[[#This Row],[Monthly Appr]])</f>
        <v>76072.761577277794</v>
      </c>
      <c r="AF187" s="22"/>
      <c r="AG187" s="14"/>
      <c r="AL187"/>
      <c r="AM187" s="14"/>
      <c r="AO187" s="275"/>
      <c r="AQ187" s="14"/>
      <c r="AR187"/>
    </row>
    <row r="188" spans="1:44" x14ac:dyDescent="0.25">
      <c r="A188" s="590">
        <f t="shared" si="32"/>
        <v>50983</v>
      </c>
      <c r="B188" s="275">
        <f t="shared" si="33"/>
        <v>26231.72999999996</v>
      </c>
      <c r="C188" s="14">
        <f t="shared" si="30"/>
        <v>625.80999999999995</v>
      </c>
      <c r="D188" s="14">
        <f t="shared" si="34"/>
        <v>543.83999999999992</v>
      </c>
      <c r="E188" s="14">
        <f t="shared" si="31"/>
        <v>81.97</v>
      </c>
      <c r="F188" s="14">
        <f t="shared" si="40"/>
        <v>134.16999999999999</v>
      </c>
      <c r="G188" s="14">
        <f t="shared" si="40"/>
        <v>188.55</v>
      </c>
      <c r="H188" s="14">
        <f t="shared" si="28"/>
        <v>948.53</v>
      </c>
      <c r="I188" s="275">
        <f t="shared" si="37"/>
        <v>71843.949999999968</v>
      </c>
      <c r="J188" s="275">
        <f t="shared" si="38"/>
        <v>34221.779999999977</v>
      </c>
      <c r="K188" s="275">
        <f t="shared" si="35"/>
        <v>25687.889999999959</v>
      </c>
      <c r="L188" s="386">
        <f t="shared" si="41"/>
        <v>14</v>
      </c>
      <c r="M188" s="386">
        <f t="shared" si="36"/>
        <v>168</v>
      </c>
      <c r="N188" s="590">
        <f>INDEX(tblSubjectToLoan[Date],ROW()-ROW(tblContractForDeed[#Headers]))</f>
        <v>50983</v>
      </c>
      <c r="O188" s="275">
        <f>IF(ROW()=ROW(tblContractForDeed[#Headers])+1,$O$6,IF(INDEX(tblContractForDeed[End Bal],ROW()-ROW(tblContractForDeed[#Headers])-1)&lt;0,0,INDEX(tblContractForDeed[End Bal],ROW()-ROW(tblContractForDeed[#Headers])-1)))</f>
        <v>14199.520000000035</v>
      </c>
      <c r="P188" s="445">
        <f>IF(tblContractForDeed[[#This Row],[Date]]="","",IF(tblContractForDeed[[#This Row],[Date]]&lt;cfdRateChangeDate,cfdRate1,cfdRate2))</f>
        <v>6.7500000000000004E-2</v>
      </c>
      <c r="Q1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8" s="275">
        <f>IF(tblContractForDeed[[#This Row],[Payment]]=0,0,MAX(0,MIN(tblContractForDeed[[#This Row],[Beg]],tblContractForDeed[[#This Row],[Payment]]-tblContractForDeed[[#This Row],[Int]])))</f>
        <v>580.03</v>
      </c>
      <c r="S188" s="275">
        <f>IF(OR(tblContractForDeed[[#This Row],[Date]]&lt;cfdContractDate,tblContractForDeed[[#This Row],[Date]]&gt;cfdEndDate),0,ROUND(tblContractForDeed[[#This Row],[Beg]]*(tblContractForDeed[[#This Row],[Int Rate]]/12),2))</f>
        <v>79.87</v>
      </c>
      <c r="T188" s="275">
        <f>IF(tblContractForDeed[[#This Row],[Payment]]=0,0,$W$2)</f>
        <v>134.16999999999999</v>
      </c>
      <c r="U188" s="275">
        <f>IF(tblContractForDeed[[#This Row],[Princ]]=0,0,$W$3)</f>
        <v>188.55</v>
      </c>
      <c r="V188" s="275">
        <f>SUM(tblContractForDeed[[#This Row],[Princ]],tblContractForDeed[[#This Row],[Int]],tblContractForDeed[[#This Row],[Ins]],tblContractForDeed[[#This Row],[Taxes]])</f>
        <v>982.61999999999989</v>
      </c>
      <c r="W188" s="275">
        <f>SUM(INDEX(tblContractForDeed[Princ],1):INDEX(tblContractForDeed[Princ],ROW()-ROW(tblContractForDeed[#Headers])))</f>
        <v>61638.510000000009</v>
      </c>
      <c r="X188" s="275">
        <f>IF(tblContractForDeed[[#This Row],[Beg]]&lt;=0,0,tblContractForDeed[[#This Row],[Beg]]-tblContractForDeed[[#This Row],[Princ]])</f>
        <v>13619.490000000034</v>
      </c>
      <c r="Y18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157</v>
      </c>
      <c r="Z188" s="454">
        <f>IF(INDEX(tblContractForDeed[Payment],ROW()-ROW(tblBuyerOutputs[#Headers]))=0,0,INDEX(tblContractForDeed[Payment],ROW()-ROW(tblBuyerOutputs[#Headers]))-INDEX(tblSubjectToLoan[Payment],ROW()-ROW(tblBuyerOutputs[#Headers])))</f>
        <v>34.090000000000032</v>
      </c>
      <c r="AA188"/>
      <c r="AB188" s="14">
        <f>IF(INDEX(tblContractForDeed[Payment],ROW()-ROW(tblBuyerOutputs[#Headers]))=0,0,INDEX(tblContractForDeed[Payment],ROW()-ROW(tblBuyerOutputs[#Headers]))-INDEX(tblSubjectToLoan[Payment],ROW()-ROW(tblBuyerOutputs[#Headers])))-IFERROR(tblBuyerOutputs[[#This Row],[PMI]],0)</f>
        <v>34.090000000000032</v>
      </c>
      <c r="AC1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4028.4600000000146</v>
      </c>
      <c r="AD188" s="275">
        <f>IF(INDEX(tblContractForDeed[End Bal],ROW()-ROW(tblBuyerOutputs[#Headers]))&lt;=0,0,($O$6+IF(ROW()=ROW(tblBuyerOutputs[#Headers])+1,0,INDEX(tblBuyerOutputs[Cumul Appr],ROW()-ROW(tblBuyerOutputs[#Headers])-1)))*$O$2/12)</f>
        <v>630.54483990532424</v>
      </c>
      <c r="AE188" s="275">
        <f>IF(INDEX(tblContractForDeed[End Bal],ROW()-ROW(tblBuyerOutputs[#Headers]))&lt;=0,0,IF(ROW()=ROW(tblBuyerOutputs[#Headers])+1,0,INDEX(tblBuyerOutputs[Cumul Appr],ROW()-ROW(tblBuyerOutputs[#Headers])-1))+tblBuyerOutputs[[#This Row],[Monthly Appr]])</f>
        <v>76703.306417183121</v>
      </c>
      <c r="AF188" s="22"/>
      <c r="AG188" s="14"/>
      <c r="AL188"/>
      <c r="AM188" s="14"/>
      <c r="AO188" s="275"/>
      <c r="AQ188" s="14"/>
      <c r="AR188"/>
    </row>
    <row r="189" spans="1:44" x14ac:dyDescent="0.25">
      <c r="A189" s="590">
        <f t="shared" si="32"/>
        <v>51014</v>
      </c>
      <c r="B189" s="275">
        <f t="shared" si="33"/>
        <v>25687.889999999959</v>
      </c>
      <c r="C189" s="14">
        <f t="shared" si="30"/>
        <v>625.80999999999995</v>
      </c>
      <c r="D189" s="14">
        <f t="shared" si="34"/>
        <v>545.54</v>
      </c>
      <c r="E189" s="14">
        <f t="shared" si="31"/>
        <v>80.27</v>
      </c>
      <c r="F189" s="14">
        <f t="shared" si="40"/>
        <v>134.16999999999999</v>
      </c>
      <c r="G189" s="14">
        <f t="shared" si="40"/>
        <v>188.55</v>
      </c>
      <c r="H189" s="14">
        <f t="shared" si="28"/>
        <v>948.53</v>
      </c>
      <c r="I189" s="275">
        <f t="shared" si="37"/>
        <v>72389.489999999962</v>
      </c>
      <c r="J189" s="275">
        <f t="shared" si="38"/>
        <v>34302.049999999974</v>
      </c>
      <c r="K189" s="275">
        <f t="shared" si="35"/>
        <v>25142.349999999959</v>
      </c>
      <c r="L189" s="386">
        <f t="shared" si="41"/>
        <v>14</v>
      </c>
      <c r="M189" s="386">
        <f t="shared" si="36"/>
        <v>169</v>
      </c>
      <c r="N189" s="590">
        <f>INDEX(tblSubjectToLoan[Date],ROW()-ROW(tblContractForDeed[#Headers]))</f>
        <v>51014</v>
      </c>
      <c r="O189" s="275">
        <f>IF(ROW()=ROW(tblContractForDeed[#Headers])+1,$O$6,IF(INDEX(tblContractForDeed[End Bal],ROW()-ROW(tblContractForDeed[#Headers])-1)&lt;0,0,INDEX(tblContractForDeed[End Bal],ROW()-ROW(tblContractForDeed[#Headers])-1)))</f>
        <v>13619.490000000034</v>
      </c>
      <c r="P189" s="445">
        <f>IF(tblContractForDeed[[#This Row],[Date]]="","",IF(tblContractForDeed[[#This Row],[Date]]&lt;cfdRateChangeDate,cfdRate1,cfdRate2))</f>
        <v>6.7500000000000004E-2</v>
      </c>
      <c r="Q1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9" s="275">
        <f>IF(tblContractForDeed[[#This Row],[Payment]]=0,0,MAX(0,MIN(tblContractForDeed[[#This Row],[Beg]],tblContractForDeed[[#This Row],[Payment]]-tblContractForDeed[[#This Row],[Int]])))</f>
        <v>583.29</v>
      </c>
      <c r="S189" s="275">
        <f>IF(OR(tblContractForDeed[[#This Row],[Date]]&lt;cfdContractDate,tblContractForDeed[[#This Row],[Date]]&gt;cfdEndDate),0,ROUND(tblContractForDeed[[#This Row],[Beg]]*(tblContractForDeed[[#This Row],[Int Rate]]/12),2))</f>
        <v>76.61</v>
      </c>
      <c r="T189" s="275">
        <f>IF(tblContractForDeed[[#This Row],[Payment]]=0,0,$W$2)</f>
        <v>134.16999999999999</v>
      </c>
      <c r="U189" s="275">
        <f>IF(tblContractForDeed[[#This Row],[Princ]]=0,0,$W$3)</f>
        <v>188.55</v>
      </c>
      <c r="V189" s="275">
        <f>SUM(tblContractForDeed[[#This Row],[Princ]],tblContractForDeed[[#This Row],[Int]],tblContractForDeed[[#This Row],[Ins]],tblContractForDeed[[#This Row],[Taxes]])</f>
        <v>982.61999999999989</v>
      </c>
      <c r="W189" s="275">
        <f>SUM(INDEX(tblContractForDeed[Princ],1):INDEX(tblContractForDeed[Princ],ROW()-ROW(tblContractForDeed[#Headers])))</f>
        <v>62221.80000000001</v>
      </c>
      <c r="X189" s="275">
        <f>IF(tblContractForDeed[[#This Row],[Beg]]&lt;=0,0,tblContractForDeed[[#This Row],[Beg]]-tblContractForDeed[[#This Row],[Princ]])</f>
        <v>13036.200000000033</v>
      </c>
      <c r="Y18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158</v>
      </c>
      <c r="Z189" s="454">
        <f>IF(INDEX(tblContractForDeed[Payment],ROW()-ROW(tblBuyerOutputs[#Headers]))=0,0,INDEX(tblContractForDeed[Payment],ROW()-ROW(tblBuyerOutputs[#Headers]))-INDEX(tblSubjectToLoan[Payment],ROW()-ROW(tblBuyerOutputs[#Headers])))</f>
        <v>34.090000000000032</v>
      </c>
      <c r="AA189"/>
      <c r="AB189" s="14">
        <f>IF(INDEX(tblContractForDeed[Payment],ROW()-ROW(tblBuyerOutputs[#Headers]))=0,0,INDEX(tblContractForDeed[Payment],ROW()-ROW(tblBuyerOutputs[#Headers]))-INDEX(tblSubjectToLoan[Payment],ROW()-ROW(tblBuyerOutputs[#Headers])))-IFERROR(tblBuyerOutputs[[#This Row],[PMI]],0)</f>
        <v>34.090000000000032</v>
      </c>
      <c r="AC1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4062.5500000000147</v>
      </c>
      <c r="AD189" s="275">
        <f>IF(INDEX(tblContractForDeed[End Bal],ROW()-ROW(tblBuyerOutputs[#Headers]))&lt;=0,0,($O$6+IF(ROW()=ROW(tblBuyerOutputs[#Headers])+1,0,INDEX(tblBuyerOutputs[Cumul Appr],ROW()-ROW(tblBuyerOutputs[#Headers])-1)))*$O$2/12)</f>
        <v>633.17211007159642</v>
      </c>
      <c r="AE189" s="275">
        <f>IF(INDEX(tblContractForDeed[End Bal],ROW()-ROW(tblBuyerOutputs[#Headers]))&lt;=0,0,IF(ROW()=ROW(tblBuyerOutputs[#Headers])+1,0,INDEX(tblBuyerOutputs[Cumul Appr],ROW()-ROW(tblBuyerOutputs[#Headers])-1))+tblBuyerOutputs[[#This Row],[Monthly Appr]])</f>
        <v>77336.478527254716</v>
      </c>
      <c r="AF189" s="22"/>
      <c r="AG189" s="14"/>
      <c r="AL189"/>
      <c r="AM189" s="14"/>
      <c r="AO189" s="275"/>
      <c r="AQ189" s="14"/>
      <c r="AR189"/>
    </row>
    <row r="190" spans="1:44" x14ac:dyDescent="0.25">
      <c r="A190" s="590">
        <f t="shared" si="32"/>
        <v>51044</v>
      </c>
      <c r="B190" s="275">
        <f t="shared" si="33"/>
        <v>25142.349999999959</v>
      </c>
      <c r="C190" s="14">
        <f t="shared" si="30"/>
        <v>625.80999999999995</v>
      </c>
      <c r="D190" s="14">
        <f t="shared" si="34"/>
        <v>547.24</v>
      </c>
      <c r="E190" s="14">
        <f t="shared" si="31"/>
        <v>78.569999999999993</v>
      </c>
      <c r="F190" s="14">
        <f t="shared" si="40"/>
        <v>134.16999999999999</v>
      </c>
      <c r="G190" s="14">
        <f t="shared" si="40"/>
        <v>188.55</v>
      </c>
      <c r="H190" s="14">
        <f t="shared" si="28"/>
        <v>948.53</v>
      </c>
      <c r="I190" s="275">
        <f t="shared" si="37"/>
        <v>72936.729999999967</v>
      </c>
      <c r="J190" s="275">
        <f t="shared" si="38"/>
        <v>34380.619999999974</v>
      </c>
      <c r="K190" s="275">
        <f t="shared" si="35"/>
        <v>24595.109999999957</v>
      </c>
      <c r="L190" s="386">
        <f t="shared" si="41"/>
        <v>14</v>
      </c>
      <c r="M190" s="386">
        <f t="shared" si="36"/>
        <v>170</v>
      </c>
      <c r="N190" s="590">
        <f>INDEX(tblSubjectToLoan[Date],ROW()-ROW(tblContractForDeed[#Headers]))</f>
        <v>51044</v>
      </c>
      <c r="O190" s="275">
        <f>IF(ROW()=ROW(tblContractForDeed[#Headers])+1,$O$6,IF(INDEX(tblContractForDeed[End Bal],ROW()-ROW(tblContractForDeed[#Headers])-1)&lt;0,0,INDEX(tblContractForDeed[End Bal],ROW()-ROW(tblContractForDeed[#Headers])-1)))</f>
        <v>13036.200000000033</v>
      </c>
      <c r="P190" s="445">
        <f>IF(tblContractForDeed[[#This Row],[Date]]="","",IF(tblContractForDeed[[#This Row],[Date]]&lt;cfdRateChangeDate,cfdRate1,cfdRate2))</f>
        <v>6.7500000000000004E-2</v>
      </c>
      <c r="Q1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0" s="275">
        <f>IF(tblContractForDeed[[#This Row],[Payment]]=0,0,MAX(0,MIN(tblContractForDeed[[#This Row],[Beg]],tblContractForDeed[[#This Row],[Payment]]-tblContractForDeed[[#This Row],[Int]])))</f>
        <v>586.56999999999994</v>
      </c>
      <c r="S190" s="275">
        <f>IF(OR(tblContractForDeed[[#This Row],[Date]]&lt;cfdContractDate,tblContractForDeed[[#This Row],[Date]]&gt;cfdEndDate),0,ROUND(tblContractForDeed[[#This Row],[Beg]]*(tblContractForDeed[[#This Row],[Int Rate]]/12),2))</f>
        <v>73.33</v>
      </c>
      <c r="T190" s="275">
        <f>IF(tblContractForDeed[[#This Row],[Payment]]=0,0,$W$2)</f>
        <v>134.16999999999999</v>
      </c>
      <c r="U190" s="275">
        <f>IF(tblContractForDeed[[#This Row],[Princ]]=0,0,$W$3)</f>
        <v>188.55</v>
      </c>
      <c r="V190" s="275">
        <f>SUM(tblContractForDeed[[#This Row],[Princ]],tblContractForDeed[[#This Row],[Int]],tblContractForDeed[[#This Row],[Ins]],tblContractForDeed[[#This Row],[Taxes]])</f>
        <v>982.61999999999989</v>
      </c>
      <c r="W190" s="275">
        <f>SUM(INDEX(tblContractForDeed[Princ],1):INDEX(tblContractForDeed[Princ],ROW()-ROW(tblContractForDeed[#Headers])))</f>
        <v>62808.37000000001</v>
      </c>
      <c r="X190" s="275">
        <f>IF(tblContractForDeed[[#This Row],[Beg]]&lt;=0,0,tblContractForDeed[[#This Row],[Beg]]-tblContractForDeed[[#This Row],[Princ]])</f>
        <v>12449.630000000034</v>
      </c>
      <c r="Y19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159</v>
      </c>
      <c r="Z190" s="454">
        <f>IF(INDEX(tblContractForDeed[Payment],ROW()-ROW(tblBuyerOutputs[#Headers]))=0,0,INDEX(tblContractForDeed[Payment],ROW()-ROW(tblBuyerOutputs[#Headers]))-INDEX(tblSubjectToLoan[Payment],ROW()-ROW(tblBuyerOutputs[#Headers])))</f>
        <v>34.090000000000032</v>
      </c>
      <c r="AA190"/>
      <c r="AB190" s="14">
        <f>IF(INDEX(tblContractForDeed[Payment],ROW()-ROW(tblBuyerOutputs[#Headers]))=0,0,INDEX(tblContractForDeed[Payment],ROW()-ROW(tblBuyerOutputs[#Headers]))-INDEX(tblSubjectToLoan[Payment],ROW()-ROW(tblBuyerOutputs[#Headers])))-IFERROR(tblBuyerOutputs[[#This Row],[PMI]],0)</f>
        <v>34.090000000000032</v>
      </c>
      <c r="AC1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4096.6400000000149</v>
      </c>
      <c r="AD190" s="275">
        <f>IF(INDEX(tblContractForDeed[End Bal],ROW()-ROW(tblBuyerOutputs[#Headers]))&lt;=0,0,($O$6+IF(ROW()=ROW(tblBuyerOutputs[#Headers])+1,0,INDEX(tblBuyerOutputs[Cumul Appr],ROW()-ROW(tblBuyerOutputs[#Headers])-1)))*$O$2/12)</f>
        <v>635.81032719689472</v>
      </c>
      <c r="AE190" s="275">
        <f>IF(INDEX(tblContractForDeed[End Bal],ROW()-ROW(tblBuyerOutputs[#Headers]))&lt;=0,0,IF(ROW()=ROW(tblBuyerOutputs[#Headers])+1,0,INDEX(tblBuyerOutputs[Cumul Appr],ROW()-ROW(tblBuyerOutputs[#Headers])-1))+tblBuyerOutputs[[#This Row],[Monthly Appr]])</f>
        <v>77972.288854451617</v>
      </c>
      <c r="AF190" s="22"/>
      <c r="AG190" s="14"/>
      <c r="AL190"/>
      <c r="AM190" s="14"/>
      <c r="AO190" s="275"/>
      <c r="AQ190" s="14"/>
      <c r="AR190"/>
    </row>
    <row r="191" spans="1:44" x14ac:dyDescent="0.25">
      <c r="A191" s="590">
        <f t="shared" si="32"/>
        <v>51075</v>
      </c>
      <c r="B191" s="275">
        <f t="shared" si="33"/>
        <v>24595.109999999957</v>
      </c>
      <c r="C191" s="14">
        <f t="shared" si="30"/>
        <v>625.80999999999995</v>
      </c>
      <c r="D191" s="14">
        <f t="shared" si="34"/>
        <v>548.94999999999993</v>
      </c>
      <c r="E191" s="14">
        <f t="shared" si="31"/>
        <v>76.86</v>
      </c>
      <c r="F191" s="14">
        <f t="shared" ref="F191:G206" si="42">+F190</f>
        <v>134.16999999999999</v>
      </c>
      <c r="G191" s="14">
        <f t="shared" si="42"/>
        <v>188.55</v>
      </c>
      <c r="H191" s="14">
        <f t="shared" si="28"/>
        <v>948.53</v>
      </c>
      <c r="I191" s="275">
        <f t="shared" si="37"/>
        <v>73485.679999999964</v>
      </c>
      <c r="J191" s="275">
        <f t="shared" si="38"/>
        <v>34457.479999999974</v>
      </c>
      <c r="K191" s="275">
        <f t="shared" si="35"/>
        <v>24046.159999999956</v>
      </c>
      <c r="L191" s="386">
        <f t="shared" si="41"/>
        <v>14</v>
      </c>
      <c r="M191" s="386">
        <f t="shared" si="36"/>
        <v>171</v>
      </c>
      <c r="N191" s="590">
        <f>INDEX(tblSubjectToLoan[Date],ROW()-ROW(tblContractForDeed[#Headers]))</f>
        <v>51075</v>
      </c>
      <c r="O191" s="275">
        <f>IF(ROW()=ROW(tblContractForDeed[#Headers])+1,$O$6,IF(INDEX(tblContractForDeed[End Bal],ROW()-ROW(tblContractForDeed[#Headers])-1)&lt;0,0,INDEX(tblContractForDeed[End Bal],ROW()-ROW(tblContractForDeed[#Headers])-1)))</f>
        <v>12449.630000000034</v>
      </c>
      <c r="P191" s="445">
        <f>IF(tblContractForDeed[[#This Row],[Date]]="","",IF(tblContractForDeed[[#This Row],[Date]]&lt;cfdRateChangeDate,cfdRate1,cfdRate2))</f>
        <v>6.7500000000000004E-2</v>
      </c>
      <c r="Q19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1" s="275">
        <f>IF(tblContractForDeed[[#This Row],[Payment]]=0,0,MAX(0,MIN(tblContractForDeed[[#This Row],[Beg]],tblContractForDeed[[#This Row],[Payment]]-tblContractForDeed[[#This Row],[Int]])))</f>
        <v>589.87</v>
      </c>
      <c r="S191" s="275">
        <f>IF(OR(tblContractForDeed[[#This Row],[Date]]&lt;cfdContractDate,tblContractForDeed[[#This Row],[Date]]&gt;cfdEndDate),0,ROUND(tblContractForDeed[[#This Row],[Beg]]*(tblContractForDeed[[#This Row],[Int Rate]]/12),2))</f>
        <v>70.03</v>
      </c>
      <c r="T191" s="275">
        <f>IF(tblContractForDeed[[#This Row],[Payment]]=0,0,$W$2)</f>
        <v>134.16999999999999</v>
      </c>
      <c r="U191" s="275">
        <f>IF(tblContractForDeed[[#This Row],[Princ]]=0,0,$W$3)</f>
        <v>188.55</v>
      </c>
      <c r="V191" s="275">
        <f>SUM(tblContractForDeed[[#This Row],[Princ]],tblContractForDeed[[#This Row],[Int]],tblContractForDeed[[#This Row],[Ins]],tblContractForDeed[[#This Row],[Taxes]])</f>
        <v>982.61999999999989</v>
      </c>
      <c r="W191" s="275">
        <f>SUM(INDEX(tblContractForDeed[Princ],1):INDEX(tblContractForDeed[Princ],ROW()-ROW(tblContractForDeed[#Headers])))</f>
        <v>63398.240000000013</v>
      </c>
      <c r="X191" s="275">
        <f>IF(tblContractForDeed[[#This Row],[Beg]]&lt;=0,0,tblContractForDeed[[#This Row],[Beg]]-tblContractForDeed[[#This Row],[Princ]])</f>
        <v>11859.760000000033</v>
      </c>
      <c r="Y19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160</v>
      </c>
      <c r="Z191" s="454">
        <f>IF(INDEX(tblContractForDeed[Payment],ROW()-ROW(tblBuyerOutputs[#Headers]))=0,0,INDEX(tblContractForDeed[Payment],ROW()-ROW(tblBuyerOutputs[#Headers]))-INDEX(tblSubjectToLoan[Payment],ROW()-ROW(tblBuyerOutputs[#Headers])))</f>
        <v>34.090000000000032</v>
      </c>
      <c r="AA191"/>
      <c r="AB191" s="14">
        <f>IF(INDEX(tblContractForDeed[Payment],ROW()-ROW(tblBuyerOutputs[#Headers]))=0,0,INDEX(tblContractForDeed[Payment],ROW()-ROW(tblBuyerOutputs[#Headers]))-INDEX(tblSubjectToLoan[Payment],ROW()-ROW(tblBuyerOutputs[#Headers])))-IFERROR(tblBuyerOutputs[[#This Row],[PMI]],0)</f>
        <v>34.090000000000032</v>
      </c>
      <c r="AC1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4130.730000000015</v>
      </c>
      <c r="AD191" s="275">
        <f>IF(INDEX(tblContractForDeed[End Bal],ROW()-ROW(tblBuyerOutputs[#Headers]))&lt;=0,0,($O$6+IF(ROW()=ROW(tblBuyerOutputs[#Headers])+1,0,INDEX(tblBuyerOutputs[Cumul Appr],ROW()-ROW(tblBuyerOutputs[#Headers])-1)))*$O$2/12)</f>
        <v>638.45953689354849</v>
      </c>
      <c r="AE191" s="275">
        <f>IF(INDEX(tblContractForDeed[End Bal],ROW()-ROW(tblBuyerOutputs[#Headers]))&lt;=0,0,IF(ROW()=ROW(tblBuyerOutputs[#Headers])+1,0,INDEX(tblBuyerOutputs[Cumul Appr],ROW()-ROW(tblBuyerOutputs[#Headers])-1))+tblBuyerOutputs[[#This Row],[Monthly Appr]])</f>
        <v>78610.748391345172</v>
      </c>
      <c r="AF191" s="22"/>
      <c r="AG191" s="14"/>
      <c r="AL191"/>
      <c r="AM191" s="14"/>
      <c r="AO191" s="275"/>
      <c r="AQ191" s="14"/>
      <c r="AR191"/>
    </row>
    <row r="192" spans="1:44" x14ac:dyDescent="0.25">
      <c r="A192" s="590">
        <f t="shared" si="32"/>
        <v>51105</v>
      </c>
      <c r="B192" s="275">
        <f t="shared" si="33"/>
        <v>24046.159999999956</v>
      </c>
      <c r="C192" s="14">
        <f t="shared" si="30"/>
        <v>625.80999999999995</v>
      </c>
      <c r="D192" s="14">
        <f t="shared" si="34"/>
        <v>550.66999999999996</v>
      </c>
      <c r="E192" s="14">
        <f t="shared" si="31"/>
        <v>75.14</v>
      </c>
      <c r="F192" s="14">
        <f t="shared" si="42"/>
        <v>134.16999999999999</v>
      </c>
      <c r="G192" s="14">
        <f t="shared" si="42"/>
        <v>188.55</v>
      </c>
      <c r="H192" s="14">
        <f t="shared" ref="H192:H255" si="43">SUM(D192:G192)</f>
        <v>948.53</v>
      </c>
      <c r="I192" s="275">
        <f t="shared" si="37"/>
        <v>74036.349999999962</v>
      </c>
      <c r="J192" s="275">
        <f t="shared" si="38"/>
        <v>34532.619999999974</v>
      </c>
      <c r="K192" s="275">
        <f t="shared" si="35"/>
        <v>23495.489999999958</v>
      </c>
      <c r="L192" s="386">
        <f t="shared" si="41"/>
        <v>14</v>
      </c>
      <c r="M192" s="386">
        <f t="shared" si="36"/>
        <v>172</v>
      </c>
      <c r="N192" s="590">
        <f>INDEX(tblSubjectToLoan[Date],ROW()-ROW(tblContractForDeed[#Headers]))</f>
        <v>51105</v>
      </c>
      <c r="O192" s="275">
        <f>IF(ROW()=ROW(tblContractForDeed[#Headers])+1,$O$6,IF(INDEX(tblContractForDeed[End Bal],ROW()-ROW(tblContractForDeed[#Headers])-1)&lt;0,0,INDEX(tblContractForDeed[End Bal],ROW()-ROW(tblContractForDeed[#Headers])-1)))</f>
        <v>11859.760000000033</v>
      </c>
      <c r="P192" s="445">
        <f>IF(tblContractForDeed[[#This Row],[Date]]="","",IF(tblContractForDeed[[#This Row],[Date]]&lt;cfdRateChangeDate,cfdRate1,cfdRate2))</f>
        <v>6.7500000000000004E-2</v>
      </c>
      <c r="Q1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2" s="275">
        <f>IF(tblContractForDeed[[#This Row],[Payment]]=0,0,MAX(0,MIN(tblContractForDeed[[#This Row],[Beg]],tblContractForDeed[[#This Row],[Payment]]-tblContractForDeed[[#This Row],[Int]])))</f>
        <v>593.18999999999994</v>
      </c>
      <c r="S192" s="275">
        <f>IF(OR(tblContractForDeed[[#This Row],[Date]]&lt;cfdContractDate,tblContractForDeed[[#This Row],[Date]]&gt;cfdEndDate),0,ROUND(tblContractForDeed[[#This Row],[Beg]]*(tblContractForDeed[[#This Row],[Int Rate]]/12),2))</f>
        <v>66.709999999999994</v>
      </c>
      <c r="T192" s="275">
        <f>IF(tblContractForDeed[[#This Row],[Payment]]=0,0,$W$2)</f>
        <v>134.16999999999999</v>
      </c>
      <c r="U192" s="275">
        <f>IF(tblContractForDeed[[#This Row],[Princ]]=0,0,$W$3)</f>
        <v>188.55</v>
      </c>
      <c r="V192" s="275">
        <f>SUM(tblContractForDeed[[#This Row],[Princ]],tblContractForDeed[[#This Row],[Int]],tblContractForDeed[[#This Row],[Ins]],tblContractForDeed[[#This Row],[Taxes]])</f>
        <v>982.61999999999989</v>
      </c>
      <c r="W192" s="275">
        <f>SUM(INDEX(tblContractForDeed[Princ],1):INDEX(tblContractForDeed[Princ],ROW()-ROW(tblContractForDeed[#Headers])))</f>
        <v>63991.430000000015</v>
      </c>
      <c r="X192" s="275">
        <f>IF(tblContractForDeed[[#This Row],[Beg]]&lt;=0,0,tblContractForDeed[[#This Row],[Beg]]-tblContractForDeed[[#This Row],[Princ]])</f>
        <v>11266.570000000032</v>
      </c>
      <c r="Y19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161</v>
      </c>
      <c r="Z192" s="454">
        <f>IF(INDEX(tblContractForDeed[Payment],ROW()-ROW(tblBuyerOutputs[#Headers]))=0,0,INDEX(tblContractForDeed[Payment],ROW()-ROW(tblBuyerOutputs[#Headers]))-INDEX(tblSubjectToLoan[Payment],ROW()-ROW(tblBuyerOutputs[#Headers])))</f>
        <v>34.090000000000032</v>
      </c>
      <c r="AA192"/>
      <c r="AB192" s="14">
        <f>IF(INDEX(tblContractForDeed[Payment],ROW()-ROW(tblBuyerOutputs[#Headers]))=0,0,INDEX(tblContractForDeed[Payment],ROW()-ROW(tblBuyerOutputs[#Headers]))-INDEX(tblSubjectToLoan[Payment],ROW()-ROW(tblBuyerOutputs[#Headers])))-IFERROR(tblBuyerOutputs[[#This Row],[PMI]],0)</f>
        <v>34.090000000000032</v>
      </c>
      <c r="AC1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4164.8200000000152</v>
      </c>
      <c r="AD192" s="275">
        <f>IF(INDEX(tblContractForDeed[End Bal],ROW()-ROW(tblBuyerOutputs[#Headers]))&lt;=0,0,($O$6+IF(ROW()=ROW(tblBuyerOutputs[#Headers])+1,0,INDEX(tblBuyerOutputs[Cumul Appr],ROW()-ROW(tblBuyerOutputs[#Headers])-1)))*$O$2/12)</f>
        <v>641.11978496393829</v>
      </c>
      <c r="AE192" s="275">
        <f>IF(INDEX(tblContractForDeed[End Bal],ROW()-ROW(tblBuyerOutputs[#Headers]))&lt;=0,0,IF(ROW()=ROW(tblBuyerOutputs[#Headers])+1,0,INDEX(tblBuyerOutputs[Cumul Appr],ROW()-ROW(tblBuyerOutputs[#Headers])-1))+tblBuyerOutputs[[#This Row],[Monthly Appr]])</f>
        <v>79251.868176309115</v>
      </c>
      <c r="AF192" s="22"/>
      <c r="AG192" s="14"/>
      <c r="AL192"/>
      <c r="AM192" s="14"/>
      <c r="AO192" s="275"/>
      <c r="AQ192" s="14"/>
      <c r="AR192"/>
    </row>
    <row r="193" spans="1:44" x14ac:dyDescent="0.25">
      <c r="A193" s="590">
        <f t="shared" si="32"/>
        <v>51136</v>
      </c>
      <c r="B193" s="275">
        <f t="shared" si="33"/>
        <v>23495.489999999958</v>
      </c>
      <c r="C193" s="14">
        <f t="shared" si="30"/>
        <v>625.80999999999995</v>
      </c>
      <c r="D193" s="14">
        <f t="shared" si="34"/>
        <v>552.39</v>
      </c>
      <c r="E193" s="14">
        <f t="shared" si="31"/>
        <v>73.42</v>
      </c>
      <c r="F193" s="14">
        <f t="shared" si="42"/>
        <v>134.16999999999999</v>
      </c>
      <c r="G193" s="14">
        <f t="shared" si="42"/>
        <v>188.55</v>
      </c>
      <c r="H193" s="14">
        <f t="shared" si="43"/>
        <v>948.53</v>
      </c>
      <c r="I193" s="275">
        <f t="shared" si="37"/>
        <v>74588.739999999962</v>
      </c>
      <c r="J193" s="275">
        <f t="shared" si="38"/>
        <v>34606.039999999972</v>
      </c>
      <c r="K193" s="275">
        <f t="shared" si="35"/>
        <v>22943.099999999959</v>
      </c>
      <c r="L193" s="386">
        <f t="shared" si="41"/>
        <v>14</v>
      </c>
      <c r="M193" s="386">
        <f t="shared" si="36"/>
        <v>173</v>
      </c>
      <c r="N193" s="590">
        <f>INDEX(tblSubjectToLoan[Date],ROW()-ROW(tblContractForDeed[#Headers]))</f>
        <v>51136</v>
      </c>
      <c r="O193" s="275">
        <f>IF(ROW()=ROW(tblContractForDeed[#Headers])+1,$O$6,IF(INDEX(tblContractForDeed[End Bal],ROW()-ROW(tblContractForDeed[#Headers])-1)&lt;0,0,INDEX(tblContractForDeed[End Bal],ROW()-ROW(tblContractForDeed[#Headers])-1)))</f>
        <v>11266.570000000032</v>
      </c>
      <c r="P193" s="445">
        <f>IF(tblContractForDeed[[#This Row],[Date]]="","",IF(tblContractForDeed[[#This Row],[Date]]&lt;cfdRateChangeDate,cfdRate1,cfdRate2))</f>
        <v>6.7500000000000004E-2</v>
      </c>
      <c r="Q1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3" s="275">
        <f>IF(tblContractForDeed[[#This Row],[Payment]]=0,0,MAX(0,MIN(tblContractForDeed[[#This Row],[Beg]],tblContractForDeed[[#This Row],[Payment]]-tblContractForDeed[[#This Row],[Int]])))</f>
        <v>596.53</v>
      </c>
      <c r="S193" s="275">
        <f>IF(OR(tblContractForDeed[[#This Row],[Date]]&lt;cfdContractDate,tblContractForDeed[[#This Row],[Date]]&gt;cfdEndDate),0,ROUND(tblContractForDeed[[#This Row],[Beg]]*(tblContractForDeed[[#This Row],[Int Rate]]/12),2))</f>
        <v>63.37</v>
      </c>
      <c r="T193" s="275">
        <f>IF(tblContractForDeed[[#This Row],[Payment]]=0,0,$W$2)</f>
        <v>134.16999999999999</v>
      </c>
      <c r="U193" s="275">
        <f>IF(tblContractForDeed[[#This Row],[Princ]]=0,0,$W$3)</f>
        <v>188.55</v>
      </c>
      <c r="V193" s="275">
        <f>SUM(tblContractForDeed[[#This Row],[Princ]],tblContractForDeed[[#This Row],[Int]],tblContractForDeed[[#This Row],[Ins]],tblContractForDeed[[#This Row],[Taxes]])</f>
        <v>982.61999999999989</v>
      </c>
      <c r="W193" s="275">
        <f>SUM(INDEX(tblContractForDeed[Princ],1):INDEX(tblContractForDeed[Princ],ROW()-ROW(tblContractForDeed[#Headers])))</f>
        <v>64587.960000000014</v>
      </c>
      <c r="X193" s="275">
        <f>IF(tblContractForDeed[[#This Row],[Beg]]&lt;=0,0,tblContractForDeed[[#This Row],[Beg]]-tblContractForDeed[[#This Row],[Princ]])</f>
        <v>10670.040000000032</v>
      </c>
      <c r="Y19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162</v>
      </c>
      <c r="Z193" s="454">
        <f>IF(INDEX(tblContractForDeed[Payment],ROW()-ROW(tblBuyerOutputs[#Headers]))=0,0,INDEX(tblContractForDeed[Payment],ROW()-ROW(tblBuyerOutputs[#Headers]))-INDEX(tblSubjectToLoan[Payment],ROW()-ROW(tblBuyerOutputs[#Headers])))</f>
        <v>34.090000000000032</v>
      </c>
      <c r="AA193"/>
      <c r="AB193" s="14">
        <f>IF(INDEX(tblContractForDeed[Payment],ROW()-ROW(tblBuyerOutputs[#Headers]))=0,0,INDEX(tblContractForDeed[Payment],ROW()-ROW(tblBuyerOutputs[#Headers]))-INDEX(tblSubjectToLoan[Payment],ROW()-ROW(tblBuyerOutputs[#Headers])))-IFERROR(tblBuyerOutputs[[#This Row],[PMI]],0)</f>
        <v>34.090000000000032</v>
      </c>
      <c r="AC1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4198.9100000000153</v>
      </c>
      <c r="AD193" s="275">
        <f>IF(INDEX(tblContractForDeed[End Bal],ROW()-ROW(tblBuyerOutputs[#Headers]))&lt;=0,0,($O$6+IF(ROW()=ROW(tblBuyerOutputs[#Headers])+1,0,INDEX(tblBuyerOutputs[Cumul Appr],ROW()-ROW(tblBuyerOutputs[#Headers])-1)))*$O$2/12)</f>
        <v>643.79111740128792</v>
      </c>
      <c r="AE193" s="275">
        <f>IF(INDEX(tblContractForDeed[End Bal],ROW()-ROW(tblBuyerOutputs[#Headers]))&lt;=0,0,IF(ROW()=ROW(tblBuyerOutputs[#Headers])+1,0,INDEX(tblBuyerOutputs[Cumul Appr],ROW()-ROW(tblBuyerOutputs[#Headers])-1))+tblBuyerOutputs[[#This Row],[Monthly Appr]])</f>
        <v>79895.6592937104</v>
      </c>
      <c r="AF193" s="22"/>
      <c r="AG193" s="14"/>
      <c r="AL193"/>
      <c r="AM193" s="14"/>
      <c r="AO193" s="275"/>
      <c r="AQ193" s="14"/>
      <c r="AR193"/>
    </row>
    <row r="194" spans="1:44" x14ac:dyDescent="0.25">
      <c r="A194" s="590">
        <f t="shared" si="32"/>
        <v>51167</v>
      </c>
      <c r="B194" s="275">
        <f t="shared" si="33"/>
        <v>22943.099999999959</v>
      </c>
      <c r="C194" s="14">
        <f t="shared" si="30"/>
        <v>625.80999999999995</v>
      </c>
      <c r="D194" s="14">
        <f t="shared" si="34"/>
        <v>554.1099999999999</v>
      </c>
      <c r="E194" s="14">
        <f t="shared" si="31"/>
        <v>71.7</v>
      </c>
      <c r="F194" s="14">
        <f t="shared" si="42"/>
        <v>134.16999999999999</v>
      </c>
      <c r="G194" s="14">
        <f t="shared" si="42"/>
        <v>188.55</v>
      </c>
      <c r="H194" s="14">
        <f t="shared" si="43"/>
        <v>948.53</v>
      </c>
      <c r="I194" s="275">
        <f t="shared" si="37"/>
        <v>75142.849999999962</v>
      </c>
      <c r="J194" s="275">
        <f t="shared" si="38"/>
        <v>34677.739999999969</v>
      </c>
      <c r="K194" s="275">
        <f t="shared" si="35"/>
        <v>22388.989999999958</v>
      </c>
      <c r="L194" s="386">
        <f t="shared" si="41"/>
        <v>14</v>
      </c>
      <c r="M194" s="386">
        <f t="shared" si="36"/>
        <v>174</v>
      </c>
      <c r="N194" s="590">
        <f>INDEX(tblSubjectToLoan[Date],ROW()-ROW(tblContractForDeed[#Headers]))</f>
        <v>51167</v>
      </c>
      <c r="O194" s="275">
        <f>IF(ROW()=ROW(tblContractForDeed[#Headers])+1,$O$6,IF(INDEX(tblContractForDeed[End Bal],ROW()-ROW(tblContractForDeed[#Headers])-1)&lt;0,0,INDEX(tblContractForDeed[End Bal],ROW()-ROW(tblContractForDeed[#Headers])-1)))</f>
        <v>10670.040000000032</v>
      </c>
      <c r="P194" s="445">
        <f>IF(tblContractForDeed[[#This Row],[Date]]="","",IF(tblContractForDeed[[#This Row],[Date]]&lt;cfdRateChangeDate,cfdRate1,cfdRate2))</f>
        <v>6.7500000000000004E-2</v>
      </c>
      <c r="Q1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4" s="275">
        <f>IF(tblContractForDeed[[#This Row],[Payment]]=0,0,MAX(0,MIN(tblContractForDeed[[#This Row],[Beg]],tblContractForDeed[[#This Row],[Payment]]-tblContractForDeed[[#This Row],[Int]])))</f>
        <v>599.88</v>
      </c>
      <c r="S194" s="275">
        <f>IF(OR(tblContractForDeed[[#This Row],[Date]]&lt;cfdContractDate,tblContractForDeed[[#This Row],[Date]]&gt;cfdEndDate),0,ROUND(tblContractForDeed[[#This Row],[Beg]]*(tblContractForDeed[[#This Row],[Int Rate]]/12),2))</f>
        <v>60.02</v>
      </c>
      <c r="T194" s="275">
        <f>IF(tblContractForDeed[[#This Row],[Payment]]=0,0,$W$2)</f>
        <v>134.16999999999999</v>
      </c>
      <c r="U194" s="275">
        <f>IF(tblContractForDeed[[#This Row],[Princ]]=0,0,$W$3)</f>
        <v>188.55</v>
      </c>
      <c r="V194" s="275">
        <f>SUM(tblContractForDeed[[#This Row],[Princ]],tblContractForDeed[[#This Row],[Int]],tblContractForDeed[[#This Row],[Ins]],tblContractForDeed[[#This Row],[Taxes]])</f>
        <v>982.61999999999989</v>
      </c>
      <c r="W194" s="275">
        <f>SUM(INDEX(tblContractForDeed[Princ],1):INDEX(tblContractForDeed[Princ],ROW()-ROW(tblContractForDeed[#Headers])))</f>
        <v>65187.840000000011</v>
      </c>
      <c r="X194" s="275">
        <f>IF(tblContractForDeed[[#This Row],[Beg]]&lt;=0,0,tblContractForDeed[[#This Row],[Beg]]-tblContractForDeed[[#This Row],[Princ]])</f>
        <v>10070.160000000033</v>
      </c>
      <c r="Y19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163</v>
      </c>
      <c r="Z194" s="454">
        <f>IF(INDEX(tblContractForDeed[Payment],ROW()-ROW(tblBuyerOutputs[#Headers]))=0,0,INDEX(tblContractForDeed[Payment],ROW()-ROW(tblBuyerOutputs[#Headers]))-INDEX(tblSubjectToLoan[Payment],ROW()-ROW(tblBuyerOutputs[#Headers])))</f>
        <v>34.090000000000032</v>
      </c>
      <c r="AA194"/>
      <c r="AB194" s="14">
        <f>IF(INDEX(tblContractForDeed[Payment],ROW()-ROW(tblBuyerOutputs[#Headers]))=0,0,INDEX(tblContractForDeed[Payment],ROW()-ROW(tblBuyerOutputs[#Headers]))-INDEX(tblSubjectToLoan[Payment],ROW()-ROW(tblBuyerOutputs[#Headers])))-IFERROR(tblBuyerOutputs[[#This Row],[PMI]],0)</f>
        <v>34.090000000000032</v>
      </c>
      <c r="AC1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4233.0000000000155</v>
      </c>
      <c r="AD194" s="275">
        <f>IF(INDEX(tblContractForDeed[End Bal],ROW()-ROW(tblBuyerOutputs[#Headers]))&lt;=0,0,($O$6+IF(ROW()=ROW(tblBuyerOutputs[#Headers])+1,0,INDEX(tblBuyerOutputs[Cumul Appr],ROW()-ROW(tblBuyerOutputs[#Headers])-1)))*$O$2/12)</f>
        <v>646.47358039046003</v>
      </c>
      <c r="AE194" s="275">
        <f>IF(INDEX(tblContractForDeed[End Bal],ROW()-ROW(tblBuyerOutputs[#Headers]))&lt;=0,0,IF(ROW()=ROW(tblBuyerOutputs[#Headers])+1,0,INDEX(tblBuyerOutputs[Cumul Appr],ROW()-ROW(tblBuyerOutputs[#Headers])-1))+tblBuyerOutputs[[#This Row],[Monthly Appr]])</f>
        <v>80542.132874100862</v>
      </c>
      <c r="AF194" s="22"/>
      <c r="AG194" s="14"/>
      <c r="AL194"/>
      <c r="AM194" s="14"/>
      <c r="AO194" s="275"/>
      <c r="AQ194" s="14"/>
      <c r="AR194"/>
    </row>
    <row r="195" spans="1:44" x14ac:dyDescent="0.25">
      <c r="A195" s="590">
        <f t="shared" si="32"/>
        <v>51196</v>
      </c>
      <c r="B195" s="275">
        <f t="shared" si="33"/>
        <v>22388.989999999958</v>
      </c>
      <c r="C195" s="14">
        <f t="shared" si="30"/>
        <v>625.80999999999995</v>
      </c>
      <c r="D195" s="14">
        <f t="shared" si="34"/>
        <v>555.83999999999992</v>
      </c>
      <c r="E195" s="14">
        <f t="shared" si="31"/>
        <v>69.97</v>
      </c>
      <c r="F195" s="14">
        <f t="shared" si="42"/>
        <v>134.16999999999999</v>
      </c>
      <c r="G195" s="14">
        <f t="shared" si="42"/>
        <v>188.55</v>
      </c>
      <c r="H195" s="14">
        <f t="shared" si="43"/>
        <v>948.53</v>
      </c>
      <c r="I195" s="275">
        <f t="shared" si="37"/>
        <v>75698.689999999959</v>
      </c>
      <c r="J195" s="275">
        <f t="shared" si="38"/>
        <v>34747.70999999997</v>
      </c>
      <c r="K195" s="275">
        <f t="shared" si="35"/>
        <v>21833.149999999958</v>
      </c>
      <c r="L195" s="386">
        <f t="shared" si="41"/>
        <v>14</v>
      </c>
      <c r="M195" s="386">
        <f t="shared" si="36"/>
        <v>175</v>
      </c>
      <c r="N195" s="590">
        <f>INDEX(tblSubjectToLoan[Date],ROW()-ROW(tblContractForDeed[#Headers]))</f>
        <v>51196</v>
      </c>
      <c r="O195" s="275">
        <f>IF(ROW()=ROW(tblContractForDeed[#Headers])+1,$O$6,IF(INDEX(tblContractForDeed[End Bal],ROW()-ROW(tblContractForDeed[#Headers])-1)&lt;0,0,INDEX(tblContractForDeed[End Bal],ROW()-ROW(tblContractForDeed[#Headers])-1)))</f>
        <v>10070.160000000033</v>
      </c>
      <c r="P195" s="445">
        <f>IF(tblContractForDeed[[#This Row],[Date]]="","",IF(tblContractForDeed[[#This Row],[Date]]&lt;cfdRateChangeDate,cfdRate1,cfdRate2))</f>
        <v>6.7500000000000004E-2</v>
      </c>
      <c r="Q19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5" s="275">
        <f>IF(tblContractForDeed[[#This Row],[Payment]]=0,0,MAX(0,MIN(tblContractForDeed[[#This Row],[Beg]],tblContractForDeed[[#This Row],[Payment]]-tblContractForDeed[[#This Row],[Int]])))</f>
        <v>603.26</v>
      </c>
      <c r="S195" s="275">
        <f>IF(OR(tblContractForDeed[[#This Row],[Date]]&lt;cfdContractDate,tblContractForDeed[[#This Row],[Date]]&gt;cfdEndDate),0,ROUND(tblContractForDeed[[#This Row],[Beg]]*(tblContractForDeed[[#This Row],[Int Rate]]/12),2))</f>
        <v>56.64</v>
      </c>
      <c r="T195" s="275">
        <f>IF(tblContractForDeed[[#This Row],[Payment]]=0,0,$W$2)</f>
        <v>134.16999999999999</v>
      </c>
      <c r="U195" s="275">
        <f>IF(tblContractForDeed[[#This Row],[Princ]]=0,0,$W$3)</f>
        <v>188.55</v>
      </c>
      <c r="V195" s="275">
        <f>SUM(tblContractForDeed[[#This Row],[Princ]],tblContractForDeed[[#This Row],[Int]],tblContractForDeed[[#This Row],[Ins]],tblContractForDeed[[#This Row],[Taxes]])</f>
        <v>982.61999999999989</v>
      </c>
      <c r="W195" s="275">
        <f>SUM(INDEX(tblContractForDeed[Princ],1):INDEX(tblContractForDeed[Princ],ROW()-ROW(tblContractForDeed[#Headers])))</f>
        <v>65791.100000000006</v>
      </c>
      <c r="X195" s="275">
        <f>IF(tblContractForDeed[[#This Row],[Beg]]&lt;=0,0,tblContractForDeed[[#This Row],[Beg]]-tblContractForDeed[[#This Row],[Princ]])</f>
        <v>9466.9000000000324</v>
      </c>
      <c r="Y19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164</v>
      </c>
      <c r="Z195" s="454">
        <f>IF(INDEX(tblContractForDeed[Payment],ROW()-ROW(tblBuyerOutputs[#Headers]))=0,0,INDEX(tblContractForDeed[Payment],ROW()-ROW(tblBuyerOutputs[#Headers]))-INDEX(tblSubjectToLoan[Payment],ROW()-ROW(tblBuyerOutputs[#Headers])))</f>
        <v>34.090000000000032</v>
      </c>
      <c r="AA195"/>
      <c r="AB195" s="14">
        <f>IF(INDEX(tblContractForDeed[Payment],ROW()-ROW(tblBuyerOutputs[#Headers]))=0,0,INDEX(tblContractForDeed[Payment],ROW()-ROW(tblBuyerOutputs[#Headers]))-INDEX(tblSubjectToLoan[Payment],ROW()-ROW(tblBuyerOutputs[#Headers])))-IFERROR(tblBuyerOutputs[[#This Row],[PMI]],0)</f>
        <v>34.090000000000032</v>
      </c>
      <c r="AC1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4267.0900000000156</v>
      </c>
      <c r="AD195" s="275">
        <f>IF(INDEX(tblContractForDeed[End Bal],ROW()-ROW(tblBuyerOutputs[#Headers]))&lt;=0,0,($O$6+IF(ROW()=ROW(tblBuyerOutputs[#Headers])+1,0,INDEX(tblBuyerOutputs[Cumul Appr],ROW()-ROW(tblBuyerOutputs[#Headers])-1)))*$O$2/12)</f>
        <v>649.16722030875371</v>
      </c>
      <c r="AE195" s="275">
        <f>IF(INDEX(tblContractForDeed[End Bal],ROW()-ROW(tblBuyerOutputs[#Headers]))&lt;=0,0,IF(ROW()=ROW(tblBuyerOutputs[#Headers])+1,0,INDEX(tblBuyerOutputs[Cumul Appr],ROW()-ROW(tblBuyerOutputs[#Headers])-1))+tblBuyerOutputs[[#This Row],[Monthly Appr]])</f>
        <v>81191.300094409613</v>
      </c>
      <c r="AF195" s="22"/>
      <c r="AG195" s="14"/>
      <c r="AL195"/>
      <c r="AM195" s="14"/>
      <c r="AO195" s="275"/>
      <c r="AQ195" s="14"/>
      <c r="AR195"/>
    </row>
    <row r="196" spans="1:44" x14ac:dyDescent="0.25">
      <c r="A196" s="590">
        <f t="shared" si="32"/>
        <v>51227</v>
      </c>
      <c r="B196" s="275">
        <f t="shared" si="33"/>
        <v>21833.149999999958</v>
      </c>
      <c r="C196" s="14">
        <f t="shared" si="30"/>
        <v>625.80999999999995</v>
      </c>
      <c r="D196" s="14">
        <f t="shared" si="34"/>
        <v>557.57999999999993</v>
      </c>
      <c r="E196" s="14">
        <f t="shared" si="31"/>
        <v>68.23</v>
      </c>
      <c r="F196" s="14">
        <f t="shared" si="42"/>
        <v>134.16999999999999</v>
      </c>
      <c r="G196" s="14">
        <f t="shared" si="42"/>
        <v>188.55</v>
      </c>
      <c r="H196" s="14">
        <f t="shared" si="43"/>
        <v>948.53</v>
      </c>
      <c r="I196" s="275">
        <f t="shared" si="37"/>
        <v>76256.26999999996</v>
      </c>
      <c r="J196" s="275">
        <f t="shared" si="38"/>
        <v>34815.939999999973</v>
      </c>
      <c r="K196" s="275">
        <f t="shared" si="35"/>
        <v>21275.569999999956</v>
      </c>
      <c r="L196" s="386">
        <f t="shared" si="41"/>
        <v>14</v>
      </c>
      <c r="M196" s="386">
        <f t="shared" si="36"/>
        <v>176</v>
      </c>
      <c r="N196" s="590">
        <f>INDEX(tblSubjectToLoan[Date],ROW()-ROW(tblContractForDeed[#Headers]))</f>
        <v>51227</v>
      </c>
      <c r="O196" s="275">
        <f>IF(ROW()=ROW(tblContractForDeed[#Headers])+1,$O$6,IF(INDEX(tblContractForDeed[End Bal],ROW()-ROW(tblContractForDeed[#Headers])-1)&lt;0,0,INDEX(tblContractForDeed[End Bal],ROW()-ROW(tblContractForDeed[#Headers])-1)))</f>
        <v>9466.9000000000324</v>
      </c>
      <c r="P196" s="445">
        <f>IF(tblContractForDeed[[#This Row],[Date]]="","",IF(tblContractForDeed[[#This Row],[Date]]&lt;cfdRateChangeDate,cfdRate1,cfdRate2))</f>
        <v>6.7500000000000004E-2</v>
      </c>
      <c r="Q1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6" s="275">
        <f>IF(tblContractForDeed[[#This Row],[Payment]]=0,0,MAX(0,MIN(tblContractForDeed[[#This Row],[Beg]],tblContractForDeed[[#This Row],[Payment]]-tblContractForDeed[[#This Row],[Int]])))</f>
        <v>606.65</v>
      </c>
      <c r="S196" s="275">
        <f>IF(OR(tblContractForDeed[[#This Row],[Date]]&lt;cfdContractDate,tblContractForDeed[[#This Row],[Date]]&gt;cfdEndDate),0,ROUND(tblContractForDeed[[#This Row],[Beg]]*(tblContractForDeed[[#This Row],[Int Rate]]/12),2))</f>
        <v>53.25</v>
      </c>
      <c r="T196" s="275">
        <f>IF(tblContractForDeed[[#This Row],[Payment]]=0,0,$W$2)</f>
        <v>134.16999999999999</v>
      </c>
      <c r="U196" s="275">
        <f>IF(tblContractForDeed[[#This Row],[Princ]]=0,0,$W$3)</f>
        <v>188.55</v>
      </c>
      <c r="V196" s="275">
        <f>SUM(tblContractForDeed[[#This Row],[Princ]],tblContractForDeed[[#This Row],[Int]],tblContractForDeed[[#This Row],[Ins]],tblContractForDeed[[#This Row],[Taxes]])</f>
        <v>982.61999999999989</v>
      </c>
      <c r="W196" s="275">
        <f>SUM(INDEX(tblContractForDeed[Princ],1):INDEX(tblContractForDeed[Princ],ROW()-ROW(tblContractForDeed[#Headers])))</f>
        <v>66397.75</v>
      </c>
      <c r="X196" s="275">
        <f>IF(tblContractForDeed[[#This Row],[Beg]]&lt;=0,0,tblContractForDeed[[#This Row],[Beg]]-tblContractForDeed[[#This Row],[Princ]])</f>
        <v>8860.2500000000327</v>
      </c>
      <c r="Y19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165</v>
      </c>
      <c r="Z196" s="454">
        <f>IF(INDEX(tblContractForDeed[Payment],ROW()-ROW(tblBuyerOutputs[#Headers]))=0,0,INDEX(tblContractForDeed[Payment],ROW()-ROW(tblBuyerOutputs[#Headers]))-INDEX(tblSubjectToLoan[Payment],ROW()-ROW(tblBuyerOutputs[#Headers])))</f>
        <v>34.090000000000032</v>
      </c>
      <c r="AA196"/>
      <c r="AB196" s="14">
        <f>IF(INDEX(tblContractForDeed[Payment],ROW()-ROW(tblBuyerOutputs[#Headers]))=0,0,INDEX(tblContractForDeed[Payment],ROW()-ROW(tblBuyerOutputs[#Headers]))-INDEX(tblSubjectToLoan[Payment],ROW()-ROW(tblBuyerOutputs[#Headers])))-IFERROR(tblBuyerOutputs[[#This Row],[PMI]],0)</f>
        <v>34.090000000000032</v>
      </c>
      <c r="AC1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4301.1800000000158</v>
      </c>
      <c r="AD196" s="275">
        <f>IF(INDEX(tblContractForDeed[End Bal],ROW()-ROW(tblBuyerOutputs[#Headers]))&lt;=0,0,($O$6+IF(ROW()=ROW(tblBuyerOutputs[#Headers])+1,0,INDEX(tblBuyerOutputs[Cumul Appr],ROW()-ROW(tblBuyerOutputs[#Headers])-1)))*$O$2/12)</f>
        <v>651.87208372670682</v>
      </c>
      <c r="AE196" s="275">
        <f>IF(INDEX(tblContractForDeed[End Bal],ROW()-ROW(tblBuyerOutputs[#Headers]))&lt;=0,0,IF(ROW()=ROW(tblBuyerOutputs[#Headers])+1,0,INDEX(tblBuyerOutputs[Cumul Appr],ROW()-ROW(tblBuyerOutputs[#Headers])-1))+tblBuyerOutputs[[#This Row],[Monthly Appr]])</f>
        <v>81843.172178136316</v>
      </c>
      <c r="AF196" s="22"/>
      <c r="AG196" s="14"/>
      <c r="AL196"/>
      <c r="AM196" s="14"/>
      <c r="AO196" s="275"/>
      <c r="AQ196" s="14"/>
      <c r="AR196"/>
    </row>
    <row r="197" spans="1:44" x14ac:dyDescent="0.25">
      <c r="A197" s="590">
        <f t="shared" si="32"/>
        <v>51257</v>
      </c>
      <c r="B197" s="275">
        <f t="shared" si="33"/>
        <v>21275.569999999956</v>
      </c>
      <c r="C197" s="14">
        <f t="shared" si="30"/>
        <v>625.80999999999995</v>
      </c>
      <c r="D197" s="14">
        <f t="shared" si="34"/>
        <v>559.31999999999994</v>
      </c>
      <c r="E197" s="14">
        <f t="shared" si="31"/>
        <v>66.489999999999995</v>
      </c>
      <c r="F197" s="14">
        <f t="shared" si="42"/>
        <v>134.16999999999999</v>
      </c>
      <c r="G197" s="14">
        <f t="shared" si="42"/>
        <v>188.55</v>
      </c>
      <c r="H197" s="14">
        <f t="shared" si="43"/>
        <v>948.53</v>
      </c>
      <c r="I197" s="275">
        <f t="shared" si="37"/>
        <v>76815.589999999967</v>
      </c>
      <c r="J197" s="275">
        <f t="shared" si="38"/>
        <v>34882.429999999971</v>
      </c>
      <c r="K197" s="275">
        <f t="shared" si="35"/>
        <v>20716.249999999956</v>
      </c>
      <c r="L197" s="386">
        <f t="shared" si="41"/>
        <v>14</v>
      </c>
      <c r="M197" s="386">
        <f t="shared" si="36"/>
        <v>177</v>
      </c>
      <c r="N197" s="590">
        <f>INDEX(tblSubjectToLoan[Date],ROW()-ROW(tblContractForDeed[#Headers]))</f>
        <v>51257</v>
      </c>
      <c r="O197" s="275">
        <f>IF(ROW()=ROW(tblContractForDeed[#Headers])+1,$O$6,IF(INDEX(tblContractForDeed[End Bal],ROW()-ROW(tblContractForDeed[#Headers])-1)&lt;0,0,INDEX(tblContractForDeed[End Bal],ROW()-ROW(tblContractForDeed[#Headers])-1)))</f>
        <v>8860.2500000000327</v>
      </c>
      <c r="P197" s="445">
        <f>IF(tblContractForDeed[[#This Row],[Date]]="","",IF(tblContractForDeed[[#This Row],[Date]]&lt;cfdRateChangeDate,cfdRate1,cfdRate2))</f>
        <v>6.7500000000000004E-2</v>
      </c>
      <c r="Q1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7" s="275">
        <f>IF(tblContractForDeed[[#This Row],[Payment]]=0,0,MAX(0,MIN(tblContractForDeed[[#This Row],[Beg]],tblContractForDeed[[#This Row],[Payment]]-tblContractForDeed[[#This Row],[Int]])))</f>
        <v>610.05999999999995</v>
      </c>
      <c r="S197" s="275">
        <f>IF(OR(tblContractForDeed[[#This Row],[Date]]&lt;cfdContractDate,tblContractForDeed[[#This Row],[Date]]&gt;cfdEndDate),0,ROUND(tblContractForDeed[[#This Row],[Beg]]*(tblContractForDeed[[#This Row],[Int Rate]]/12),2))</f>
        <v>49.84</v>
      </c>
      <c r="T197" s="275">
        <f>IF(tblContractForDeed[[#This Row],[Payment]]=0,0,$W$2)</f>
        <v>134.16999999999999</v>
      </c>
      <c r="U197" s="275">
        <f>IF(tblContractForDeed[[#This Row],[Princ]]=0,0,$W$3)</f>
        <v>188.55</v>
      </c>
      <c r="V197" s="275">
        <f>SUM(tblContractForDeed[[#This Row],[Princ]],tblContractForDeed[[#This Row],[Int]],tblContractForDeed[[#This Row],[Ins]],tblContractForDeed[[#This Row],[Taxes]])</f>
        <v>982.61999999999989</v>
      </c>
      <c r="W197" s="275">
        <f>SUM(INDEX(tblContractForDeed[Princ],1):INDEX(tblContractForDeed[Princ],ROW()-ROW(tblContractForDeed[#Headers])))</f>
        <v>67007.81</v>
      </c>
      <c r="X197" s="275">
        <f>IF(tblContractForDeed[[#This Row],[Beg]]&lt;=0,0,tblContractForDeed[[#This Row],[Beg]]-tblContractForDeed[[#This Row],[Princ]])</f>
        <v>8250.1900000000333</v>
      </c>
      <c r="Y19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166</v>
      </c>
      <c r="Z197" s="454">
        <f>IF(INDEX(tblContractForDeed[Payment],ROW()-ROW(tblBuyerOutputs[#Headers]))=0,0,INDEX(tblContractForDeed[Payment],ROW()-ROW(tblBuyerOutputs[#Headers]))-INDEX(tblSubjectToLoan[Payment],ROW()-ROW(tblBuyerOutputs[#Headers])))</f>
        <v>34.090000000000032</v>
      </c>
      <c r="AA197"/>
      <c r="AB197" s="14">
        <f>IF(INDEX(tblContractForDeed[Payment],ROW()-ROW(tblBuyerOutputs[#Headers]))=0,0,INDEX(tblContractForDeed[Payment],ROW()-ROW(tblBuyerOutputs[#Headers]))-INDEX(tblSubjectToLoan[Payment],ROW()-ROW(tblBuyerOutputs[#Headers])))-IFERROR(tblBuyerOutputs[[#This Row],[PMI]],0)</f>
        <v>34.090000000000032</v>
      </c>
      <c r="AC1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4335.2700000000159</v>
      </c>
      <c r="AD197" s="275">
        <f>IF(INDEX(tblContractForDeed[End Bal],ROW()-ROW(tblBuyerOutputs[#Headers]))&lt;=0,0,($O$6+IF(ROW()=ROW(tblBuyerOutputs[#Headers])+1,0,INDEX(tblBuyerOutputs[Cumul Appr],ROW()-ROW(tblBuyerOutputs[#Headers])-1)))*$O$2/12)</f>
        <v>654.5882174089013</v>
      </c>
      <c r="AE197" s="275">
        <f>IF(INDEX(tblContractForDeed[End Bal],ROW()-ROW(tblBuyerOutputs[#Headers]))&lt;=0,0,IF(ROW()=ROW(tblBuyerOutputs[#Headers])+1,0,INDEX(tblBuyerOutputs[Cumul Appr],ROW()-ROW(tblBuyerOutputs[#Headers])-1))+tblBuyerOutputs[[#This Row],[Monthly Appr]])</f>
        <v>82497.760395545221</v>
      </c>
      <c r="AF197" s="22"/>
      <c r="AG197" s="14"/>
      <c r="AL197"/>
      <c r="AM197" s="14"/>
      <c r="AO197" s="275"/>
      <c r="AQ197" s="14"/>
      <c r="AR197"/>
    </row>
    <row r="198" spans="1:44" x14ac:dyDescent="0.25">
      <c r="A198" s="590">
        <f t="shared" si="32"/>
        <v>51288</v>
      </c>
      <c r="B198" s="275">
        <f t="shared" si="33"/>
        <v>20716.249999999956</v>
      </c>
      <c r="C198" s="14">
        <f t="shared" si="30"/>
        <v>625.80999999999995</v>
      </c>
      <c r="D198" s="14">
        <f t="shared" si="34"/>
        <v>561.06999999999994</v>
      </c>
      <c r="E198" s="14">
        <f t="shared" si="31"/>
        <v>64.739999999999995</v>
      </c>
      <c r="F198" s="14">
        <f t="shared" si="42"/>
        <v>134.16999999999999</v>
      </c>
      <c r="G198" s="14">
        <f t="shared" si="42"/>
        <v>188.55</v>
      </c>
      <c r="H198" s="14">
        <f t="shared" si="43"/>
        <v>948.53</v>
      </c>
      <c r="I198" s="275">
        <f t="shared" si="37"/>
        <v>77376.659999999974</v>
      </c>
      <c r="J198" s="275">
        <f t="shared" si="38"/>
        <v>34947.169999999969</v>
      </c>
      <c r="K198" s="275">
        <f t="shared" si="35"/>
        <v>20155.179999999957</v>
      </c>
      <c r="L198" s="386">
        <f t="shared" si="41"/>
        <v>14</v>
      </c>
      <c r="M198" s="386">
        <f t="shared" si="36"/>
        <v>178</v>
      </c>
      <c r="N198" s="590">
        <f>INDEX(tblSubjectToLoan[Date],ROW()-ROW(tblContractForDeed[#Headers]))</f>
        <v>51288</v>
      </c>
      <c r="O198" s="275">
        <f>IF(ROW()=ROW(tblContractForDeed[#Headers])+1,$O$6,IF(INDEX(tblContractForDeed[End Bal],ROW()-ROW(tblContractForDeed[#Headers])-1)&lt;0,0,INDEX(tblContractForDeed[End Bal],ROW()-ROW(tblContractForDeed[#Headers])-1)))</f>
        <v>8250.1900000000333</v>
      </c>
      <c r="P198" s="445">
        <f>IF(tblContractForDeed[[#This Row],[Date]]="","",IF(tblContractForDeed[[#This Row],[Date]]&lt;cfdRateChangeDate,cfdRate1,cfdRate2))</f>
        <v>6.7500000000000004E-2</v>
      </c>
      <c r="Q1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8" s="275">
        <f>IF(tblContractForDeed[[#This Row],[Payment]]=0,0,MAX(0,MIN(tblContractForDeed[[#This Row],[Beg]],tblContractForDeed[[#This Row],[Payment]]-tblContractForDeed[[#This Row],[Int]])))</f>
        <v>613.49</v>
      </c>
      <c r="S198" s="275">
        <f>IF(OR(tblContractForDeed[[#This Row],[Date]]&lt;cfdContractDate,tblContractForDeed[[#This Row],[Date]]&gt;cfdEndDate),0,ROUND(tblContractForDeed[[#This Row],[Beg]]*(tblContractForDeed[[#This Row],[Int Rate]]/12),2))</f>
        <v>46.41</v>
      </c>
      <c r="T198" s="275">
        <f>IF(tblContractForDeed[[#This Row],[Payment]]=0,0,$W$2)</f>
        <v>134.16999999999999</v>
      </c>
      <c r="U198" s="275">
        <f>IF(tblContractForDeed[[#This Row],[Princ]]=0,0,$W$3)</f>
        <v>188.55</v>
      </c>
      <c r="V198" s="275">
        <f>SUM(tblContractForDeed[[#This Row],[Princ]],tblContractForDeed[[#This Row],[Int]],tblContractForDeed[[#This Row],[Ins]],tblContractForDeed[[#This Row],[Taxes]])</f>
        <v>982.61999999999989</v>
      </c>
      <c r="W198" s="275">
        <f>SUM(INDEX(tblContractForDeed[Princ],1):INDEX(tblContractForDeed[Princ],ROW()-ROW(tblContractForDeed[#Headers])))</f>
        <v>67621.3</v>
      </c>
      <c r="X198" s="275">
        <f>IF(tblContractForDeed[[#This Row],[Beg]]&lt;=0,0,tblContractForDeed[[#This Row],[Beg]]-tblContractForDeed[[#This Row],[Princ]])</f>
        <v>7636.7000000000335</v>
      </c>
      <c r="Y19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167</v>
      </c>
      <c r="Z198" s="454">
        <f>IF(INDEX(tblContractForDeed[Payment],ROW()-ROW(tblBuyerOutputs[#Headers]))=0,0,INDEX(tblContractForDeed[Payment],ROW()-ROW(tblBuyerOutputs[#Headers]))-INDEX(tblSubjectToLoan[Payment],ROW()-ROW(tblBuyerOutputs[#Headers])))</f>
        <v>34.090000000000032</v>
      </c>
      <c r="AA198"/>
      <c r="AB198" s="14">
        <f>IF(INDEX(tblContractForDeed[Payment],ROW()-ROW(tblBuyerOutputs[#Headers]))=0,0,INDEX(tblContractForDeed[Payment],ROW()-ROW(tblBuyerOutputs[#Headers]))-INDEX(tblSubjectToLoan[Payment],ROW()-ROW(tblBuyerOutputs[#Headers])))-IFERROR(tblBuyerOutputs[[#This Row],[PMI]],0)</f>
        <v>34.090000000000032</v>
      </c>
      <c r="AC1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4369.360000000016</v>
      </c>
      <c r="AD198" s="275">
        <f>IF(INDEX(tblContractForDeed[End Bal],ROW()-ROW(tblBuyerOutputs[#Headers]))&lt;=0,0,($O$6+IF(ROW()=ROW(tblBuyerOutputs[#Headers])+1,0,INDEX(tblBuyerOutputs[Cumul Appr],ROW()-ROW(tblBuyerOutputs[#Headers])-1)))*$O$2/12)</f>
        <v>657.31566831477176</v>
      </c>
      <c r="AE198" s="275">
        <f>IF(INDEX(tblContractForDeed[End Bal],ROW()-ROW(tblBuyerOutputs[#Headers]))&lt;=0,0,IF(ROW()=ROW(tblBuyerOutputs[#Headers])+1,0,INDEX(tblBuyerOutputs[Cumul Appr],ROW()-ROW(tblBuyerOutputs[#Headers])-1))+tblBuyerOutputs[[#This Row],[Monthly Appr]])</f>
        <v>83155.07606385999</v>
      </c>
      <c r="AF198" s="22"/>
      <c r="AG198" s="14"/>
      <c r="AL198"/>
      <c r="AM198" s="14"/>
      <c r="AO198" s="275"/>
      <c r="AQ198" s="14"/>
      <c r="AR198"/>
    </row>
    <row r="199" spans="1:44" ht="15.75" thickBot="1" x14ac:dyDescent="0.3">
      <c r="A199" s="591">
        <f t="shared" si="32"/>
        <v>51318</v>
      </c>
      <c r="B199" s="326">
        <f t="shared" si="33"/>
        <v>20155.179999999957</v>
      </c>
      <c r="C199" s="21">
        <f t="shared" si="30"/>
        <v>625.80999999999995</v>
      </c>
      <c r="D199" s="21">
        <f t="shared" si="34"/>
        <v>562.82999999999993</v>
      </c>
      <c r="E199" s="21">
        <f t="shared" si="31"/>
        <v>62.98</v>
      </c>
      <c r="F199" s="21">
        <f t="shared" si="42"/>
        <v>134.16999999999999</v>
      </c>
      <c r="G199" s="21">
        <f t="shared" si="42"/>
        <v>188.55</v>
      </c>
      <c r="H199" s="21">
        <f t="shared" si="43"/>
        <v>948.53</v>
      </c>
      <c r="I199" s="326">
        <f t="shared" si="37"/>
        <v>77939.489999999976</v>
      </c>
      <c r="J199" s="326">
        <f t="shared" si="38"/>
        <v>35010.149999999972</v>
      </c>
      <c r="K199" s="326">
        <f t="shared" si="35"/>
        <v>19592.349999999955</v>
      </c>
      <c r="L199" s="387">
        <f t="shared" si="41"/>
        <v>14</v>
      </c>
      <c r="M199" s="387">
        <f t="shared" si="36"/>
        <v>179</v>
      </c>
      <c r="N199" s="591">
        <f>INDEX(tblSubjectToLoan[Date],ROW()-ROW(tblContractForDeed[#Headers]))</f>
        <v>51318</v>
      </c>
      <c r="O199" s="326">
        <f>IF(ROW()=ROW(tblContractForDeed[#Headers])+1,$O$6,IF(INDEX(tblContractForDeed[End Bal],ROW()-ROW(tblContractForDeed[#Headers])-1)&lt;0,0,INDEX(tblContractForDeed[End Bal],ROW()-ROW(tblContractForDeed[#Headers])-1)))</f>
        <v>7636.7000000000335</v>
      </c>
      <c r="P199" s="445">
        <f>IF(tblContractForDeed[[#This Row],[Date]]="","",IF(tblContractForDeed[[#This Row],[Date]]&lt;cfdRateChangeDate,cfdRate1,cfdRate2))</f>
        <v>6.7500000000000004E-2</v>
      </c>
      <c r="Q19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9" s="326">
        <f>IF(tblContractForDeed[[#This Row],[Payment]]=0,0,MAX(0,MIN(tblContractForDeed[[#This Row],[Beg]],tblContractForDeed[[#This Row],[Payment]]-tblContractForDeed[[#This Row],[Int]])))</f>
        <v>616.93999999999994</v>
      </c>
      <c r="S199" s="326">
        <f>IF(OR(tblContractForDeed[[#This Row],[Date]]&lt;cfdContractDate,tblContractForDeed[[#This Row],[Date]]&gt;cfdEndDate),0,ROUND(tblContractForDeed[[#This Row],[Beg]]*(tblContractForDeed[[#This Row],[Int Rate]]/12),2))</f>
        <v>42.96</v>
      </c>
      <c r="T199" s="326">
        <f>IF(tblContractForDeed[[#This Row],[Payment]]=0,0,$W$2)</f>
        <v>134.16999999999999</v>
      </c>
      <c r="U199" s="326">
        <f>IF(tblContractForDeed[[#This Row],[Princ]]=0,0,$W$3)</f>
        <v>188.55</v>
      </c>
      <c r="V199" s="326">
        <f>SUM(tblContractForDeed[[#This Row],[Princ]],tblContractForDeed[[#This Row],[Int]],tblContractForDeed[[#This Row],[Ins]],tblContractForDeed[[#This Row],[Taxes]])</f>
        <v>982.61999999999989</v>
      </c>
      <c r="W199" s="326">
        <f>SUM(INDEX(tblContractForDeed[Princ],1):INDEX(tblContractForDeed[Princ],ROW()-ROW(tblContractForDeed[#Headers])))</f>
        <v>68238.240000000005</v>
      </c>
      <c r="X199" s="326">
        <f>IF(tblContractForDeed[[#This Row],[Beg]]&lt;=0,0,tblContractForDeed[[#This Row],[Beg]]-tblContractForDeed[[#This Row],[Princ]])</f>
        <v>7019.7600000000339</v>
      </c>
      <c r="Y199"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168</v>
      </c>
      <c r="Z199" s="455">
        <f>IF(INDEX(tblContractForDeed[Payment],ROW()-ROW(tblBuyerOutputs[#Headers]))=0,0,INDEX(tblContractForDeed[Payment],ROW()-ROW(tblBuyerOutputs[#Headers]))-INDEX(tblSubjectToLoan[Payment],ROW()-ROW(tblBuyerOutputs[#Headers])))</f>
        <v>34.090000000000032</v>
      </c>
      <c r="AA199" s="23"/>
      <c r="AB199" s="21">
        <f>IF(INDEX(tblContractForDeed[Payment],ROW()-ROW(tblBuyerOutputs[#Headers]))=0,0,INDEX(tblContractForDeed[Payment],ROW()-ROW(tblBuyerOutputs[#Headers]))-INDEX(tblSubjectToLoan[Payment],ROW()-ROW(tblBuyerOutputs[#Headers])))-IFERROR(tblBuyerOutputs[[#This Row],[PMI]],0)</f>
        <v>34.090000000000032</v>
      </c>
      <c r="AC1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4403.4500000000162</v>
      </c>
      <c r="AD199" s="326">
        <f>IF(INDEX(tblContractForDeed[End Bal],ROW()-ROW(tblBuyerOutputs[#Headers]))&lt;=0,0,($O$6+IF(ROW()=ROW(tblBuyerOutputs[#Headers])+1,0,INDEX(tblBuyerOutputs[Cumul Appr],ROW()-ROW(tblBuyerOutputs[#Headers])-1)))*$O$2/12)</f>
        <v>660.05448359941659</v>
      </c>
      <c r="AE199" s="326">
        <f>IF(INDEX(tblContractForDeed[End Bal],ROW()-ROW(tblBuyerOutputs[#Headers]))&lt;=0,0,IF(ROW()=ROW(tblBuyerOutputs[#Headers])+1,0,INDEX(tblBuyerOutputs[Cumul Appr],ROW()-ROW(tblBuyerOutputs[#Headers])-1))+tblBuyerOutputs[[#This Row],[Monthly Appr]])</f>
        <v>83815.130547459412</v>
      </c>
      <c r="AF199" s="22"/>
      <c r="AG199" s="14"/>
      <c r="AL199"/>
      <c r="AM199" s="14"/>
      <c r="AO199" s="275"/>
      <c r="AQ199" s="14"/>
      <c r="AR199"/>
    </row>
    <row r="200" spans="1:44" x14ac:dyDescent="0.25">
      <c r="A200" s="590">
        <f t="shared" si="32"/>
        <v>51349</v>
      </c>
      <c r="B200" s="275">
        <f t="shared" si="33"/>
        <v>19592.349999999955</v>
      </c>
      <c r="C200" s="14">
        <f t="shared" si="30"/>
        <v>625.80999999999995</v>
      </c>
      <c r="D200" s="14">
        <f t="shared" si="34"/>
        <v>564.57999999999993</v>
      </c>
      <c r="E200" s="14">
        <f t="shared" si="31"/>
        <v>61.23</v>
      </c>
      <c r="F200" s="14">
        <f t="shared" si="42"/>
        <v>134.16999999999999</v>
      </c>
      <c r="G200" s="14">
        <f t="shared" si="42"/>
        <v>188.55</v>
      </c>
      <c r="H200" s="14">
        <f t="shared" si="43"/>
        <v>948.53</v>
      </c>
      <c r="I200" s="275">
        <f t="shared" si="37"/>
        <v>78504.069999999978</v>
      </c>
      <c r="J200" s="275">
        <f t="shared" si="38"/>
        <v>35071.379999999976</v>
      </c>
      <c r="K200" s="275">
        <f t="shared" si="35"/>
        <v>19027.769999999953</v>
      </c>
      <c r="L200" s="386">
        <f t="shared" si="41"/>
        <v>15</v>
      </c>
      <c r="M200" s="386">
        <f t="shared" si="36"/>
        <v>180</v>
      </c>
      <c r="N200" s="590">
        <f>INDEX(tblSubjectToLoan[Date],ROW()-ROW(tblContractForDeed[#Headers]))</f>
        <v>51349</v>
      </c>
      <c r="O200" s="275">
        <f>IF(ROW()=ROW(tblContractForDeed[#Headers])+1,$O$6,IF(INDEX(tblContractForDeed[End Bal],ROW()-ROW(tblContractForDeed[#Headers])-1)&lt;0,0,INDEX(tblContractForDeed[End Bal],ROW()-ROW(tblContractForDeed[#Headers])-1)))</f>
        <v>7019.7600000000339</v>
      </c>
      <c r="P200" s="445">
        <f>IF(tblContractForDeed[[#This Row],[Date]]="","",IF(tblContractForDeed[[#This Row],[Date]]&lt;cfdRateChangeDate,cfdRate1,cfdRate2))</f>
        <v>6.7500000000000004E-2</v>
      </c>
      <c r="Q2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0" s="275">
        <f>IF(tblContractForDeed[[#This Row],[Payment]]=0,0,MAX(0,MIN(tblContractForDeed[[#This Row],[Beg]],tblContractForDeed[[#This Row],[Payment]]-tblContractForDeed[[#This Row],[Int]])))</f>
        <v>620.41</v>
      </c>
      <c r="S200" s="275">
        <f>IF(OR(tblContractForDeed[[#This Row],[Date]]&lt;cfdContractDate,tblContractForDeed[[#This Row],[Date]]&gt;cfdEndDate),0,ROUND(tblContractForDeed[[#This Row],[Beg]]*(tblContractForDeed[[#This Row],[Int Rate]]/12),2))</f>
        <v>39.49</v>
      </c>
      <c r="T200" s="275">
        <f>IF(tblContractForDeed[[#This Row],[Payment]]=0,0,$W$2)</f>
        <v>134.16999999999999</v>
      </c>
      <c r="U200" s="275">
        <f>IF(tblContractForDeed[[#This Row],[Princ]]=0,0,$W$3)</f>
        <v>188.55</v>
      </c>
      <c r="V200" s="275">
        <f>SUM(tblContractForDeed[[#This Row],[Princ]],tblContractForDeed[[#This Row],[Int]],tblContractForDeed[[#This Row],[Ins]],tblContractForDeed[[#This Row],[Taxes]])</f>
        <v>982.61999999999989</v>
      </c>
      <c r="W200" s="275">
        <f>SUM(INDEX(tblContractForDeed[Princ],1):INDEX(tblContractForDeed[Princ],ROW()-ROW(tblContractForDeed[#Headers])))</f>
        <v>68858.650000000009</v>
      </c>
      <c r="X200" s="275">
        <f>IF(tblContractForDeed[[#This Row],[Beg]]&lt;=0,0,tblContractForDeed[[#This Row],[Beg]]-tblContractForDeed[[#This Row],[Princ]])</f>
        <v>6399.350000000034</v>
      </c>
      <c r="Y20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169</v>
      </c>
      <c r="Z200" s="454">
        <f>IF(INDEX(tblContractForDeed[Payment],ROW()-ROW(tblBuyerOutputs[#Headers]))=0,0,INDEX(tblContractForDeed[Payment],ROW()-ROW(tblBuyerOutputs[#Headers]))-INDEX(tblSubjectToLoan[Payment],ROW()-ROW(tblBuyerOutputs[#Headers])))</f>
        <v>34.090000000000032</v>
      </c>
      <c r="AA200"/>
      <c r="AB200" s="14">
        <f>IF(INDEX(tblContractForDeed[Payment],ROW()-ROW(tblBuyerOutputs[#Headers]))=0,0,INDEX(tblContractForDeed[Payment],ROW()-ROW(tblBuyerOutputs[#Headers]))-INDEX(tblSubjectToLoan[Payment],ROW()-ROW(tblBuyerOutputs[#Headers])))-IFERROR(tblBuyerOutputs[[#This Row],[PMI]],0)</f>
        <v>34.090000000000032</v>
      </c>
      <c r="AC2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4437.5400000000163</v>
      </c>
      <c r="AD200" s="275">
        <f>IF(INDEX(tblContractForDeed[End Bal],ROW()-ROW(tblBuyerOutputs[#Headers]))&lt;=0,0,($O$6+IF(ROW()=ROW(tblBuyerOutputs[#Headers])+1,0,INDEX(tblBuyerOutputs[Cumul Appr],ROW()-ROW(tblBuyerOutputs[#Headers])-1)))*$O$2/12)</f>
        <v>662.80471061441426</v>
      </c>
      <c r="AE200" s="275">
        <f>IF(INDEX(tblContractForDeed[End Bal],ROW()-ROW(tblBuyerOutputs[#Headers]))&lt;=0,0,IF(ROW()=ROW(tblBuyerOutputs[#Headers])+1,0,INDEX(tblBuyerOutputs[Cumul Appr],ROW()-ROW(tblBuyerOutputs[#Headers])-1))+tblBuyerOutputs[[#This Row],[Monthly Appr]])</f>
        <v>84477.93525807382</v>
      </c>
      <c r="AF200" s="22"/>
      <c r="AG200" s="14"/>
      <c r="AL200"/>
      <c r="AM200" s="14"/>
      <c r="AO200" s="275"/>
      <c r="AQ200" s="14"/>
      <c r="AR200"/>
    </row>
    <row r="201" spans="1:44" x14ac:dyDescent="0.25">
      <c r="A201" s="590">
        <f t="shared" si="32"/>
        <v>51380</v>
      </c>
      <c r="B201" s="275">
        <f t="shared" si="33"/>
        <v>19027.769999999953</v>
      </c>
      <c r="C201" s="14">
        <f t="shared" si="30"/>
        <v>625.80999999999995</v>
      </c>
      <c r="D201" s="14">
        <f t="shared" si="34"/>
        <v>566.34999999999991</v>
      </c>
      <c r="E201" s="14">
        <f t="shared" si="31"/>
        <v>59.46</v>
      </c>
      <c r="F201" s="14">
        <f t="shared" si="42"/>
        <v>134.16999999999999</v>
      </c>
      <c r="G201" s="14">
        <f t="shared" si="42"/>
        <v>188.55</v>
      </c>
      <c r="H201" s="14">
        <f t="shared" si="43"/>
        <v>948.53</v>
      </c>
      <c r="I201" s="275">
        <f t="shared" si="37"/>
        <v>79070.419999999984</v>
      </c>
      <c r="J201" s="275">
        <f t="shared" si="38"/>
        <v>35130.839999999975</v>
      </c>
      <c r="K201" s="275">
        <f t="shared" si="35"/>
        <v>18461.419999999955</v>
      </c>
      <c r="L201" s="386">
        <f t="shared" si="41"/>
        <v>15</v>
      </c>
      <c r="M201" s="386">
        <f t="shared" si="36"/>
        <v>181</v>
      </c>
      <c r="N201" s="590">
        <f>INDEX(tblSubjectToLoan[Date],ROW()-ROW(tblContractForDeed[#Headers]))</f>
        <v>51380</v>
      </c>
      <c r="O201" s="275">
        <f>IF(ROW()=ROW(tblContractForDeed[#Headers])+1,$O$6,IF(INDEX(tblContractForDeed[End Bal],ROW()-ROW(tblContractForDeed[#Headers])-1)&lt;0,0,INDEX(tblContractForDeed[End Bal],ROW()-ROW(tblContractForDeed[#Headers])-1)))</f>
        <v>6399.350000000034</v>
      </c>
      <c r="P201" s="445">
        <f>IF(tblContractForDeed[[#This Row],[Date]]="","",IF(tblContractForDeed[[#This Row],[Date]]&lt;cfdRateChangeDate,cfdRate1,cfdRate2))</f>
        <v>6.7500000000000004E-2</v>
      </c>
      <c r="Q2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1" s="275">
        <f>IF(tblContractForDeed[[#This Row],[Payment]]=0,0,MAX(0,MIN(tblContractForDeed[[#This Row],[Beg]],tblContractForDeed[[#This Row],[Payment]]-tblContractForDeed[[#This Row],[Int]])))</f>
        <v>623.9</v>
      </c>
      <c r="S201" s="275">
        <f>IF(OR(tblContractForDeed[[#This Row],[Date]]&lt;cfdContractDate,tblContractForDeed[[#This Row],[Date]]&gt;cfdEndDate),0,ROUND(tblContractForDeed[[#This Row],[Beg]]*(tblContractForDeed[[#This Row],[Int Rate]]/12),2))</f>
        <v>36</v>
      </c>
      <c r="T201" s="275">
        <f>IF(tblContractForDeed[[#This Row],[Payment]]=0,0,$W$2)</f>
        <v>134.16999999999999</v>
      </c>
      <c r="U201" s="275">
        <f>IF(tblContractForDeed[[#This Row],[Princ]]=0,0,$W$3)</f>
        <v>188.55</v>
      </c>
      <c r="V201" s="275">
        <f>SUM(tblContractForDeed[[#This Row],[Princ]],tblContractForDeed[[#This Row],[Int]],tblContractForDeed[[#This Row],[Ins]],tblContractForDeed[[#This Row],[Taxes]])</f>
        <v>982.61999999999989</v>
      </c>
      <c r="W201" s="275">
        <f>SUM(INDEX(tblContractForDeed[Princ],1):INDEX(tblContractForDeed[Princ],ROW()-ROW(tblContractForDeed[#Headers])))</f>
        <v>69482.55</v>
      </c>
      <c r="X201" s="275">
        <f>IF(tblContractForDeed[[#This Row],[Beg]]&lt;=0,0,tblContractForDeed[[#This Row],[Beg]]-tblContractForDeed[[#This Row],[Princ]])</f>
        <v>5775.4500000000344</v>
      </c>
      <c r="Y20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170</v>
      </c>
      <c r="Z201" s="454">
        <f>IF(INDEX(tblContractForDeed[Payment],ROW()-ROW(tblBuyerOutputs[#Headers]))=0,0,INDEX(tblContractForDeed[Payment],ROW()-ROW(tblBuyerOutputs[#Headers]))-INDEX(tblSubjectToLoan[Payment],ROW()-ROW(tblBuyerOutputs[#Headers])))</f>
        <v>34.090000000000032</v>
      </c>
      <c r="AA201"/>
      <c r="AB201" s="14">
        <f>IF(INDEX(tblContractForDeed[Payment],ROW()-ROW(tblBuyerOutputs[#Headers]))=0,0,INDEX(tblContractForDeed[Payment],ROW()-ROW(tblBuyerOutputs[#Headers]))-INDEX(tblSubjectToLoan[Payment],ROW()-ROW(tblBuyerOutputs[#Headers])))-IFERROR(tblBuyerOutputs[[#This Row],[PMI]],0)</f>
        <v>34.090000000000032</v>
      </c>
      <c r="AC2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4471.6300000000165</v>
      </c>
      <c r="AD201" s="275">
        <f>IF(INDEX(tblContractForDeed[End Bal],ROW()-ROW(tblBuyerOutputs[#Headers]))&lt;=0,0,($O$6+IF(ROW()=ROW(tblBuyerOutputs[#Headers])+1,0,INDEX(tblBuyerOutputs[Cumul Appr],ROW()-ROW(tblBuyerOutputs[#Headers])-1)))*$O$2/12)</f>
        <v>665.56639690864097</v>
      </c>
      <c r="AE201" s="275">
        <f>IF(INDEX(tblContractForDeed[End Bal],ROW()-ROW(tblBuyerOutputs[#Headers]))&lt;=0,0,IF(ROW()=ROW(tblBuyerOutputs[#Headers])+1,0,INDEX(tblBuyerOutputs[Cumul Appr],ROW()-ROW(tblBuyerOutputs[#Headers])-1))+tblBuyerOutputs[[#This Row],[Monthly Appr]])</f>
        <v>85143.501654982465</v>
      </c>
      <c r="AF201" s="22"/>
      <c r="AG201" s="14"/>
      <c r="AL201"/>
      <c r="AM201" s="14"/>
      <c r="AO201" s="275"/>
      <c r="AQ201" s="14"/>
      <c r="AR201"/>
    </row>
    <row r="202" spans="1:44" x14ac:dyDescent="0.25">
      <c r="A202" s="590">
        <f t="shared" si="32"/>
        <v>51410</v>
      </c>
      <c r="B202" s="275">
        <f t="shared" si="33"/>
        <v>18461.419999999955</v>
      </c>
      <c r="C202" s="14">
        <f t="shared" si="30"/>
        <v>625.80999999999995</v>
      </c>
      <c r="D202" s="14">
        <f t="shared" si="34"/>
        <v>568.11999999999989</v>
      </c>
      <c r="E202" s="14">
        <f t="shared" si="31"/>
        <v>57.69</v>
      </c>
      <c r="F202" s="14">
        <f t="shared" si="42"/>
        <v>134.16999999999999</v>
      </c>
      <c r="G202" s="14">
        <f t="shared" si="42"/>
        <v>188.55</v>
      </c>
      <c r="H202" s="14">
        <f t="shared" si="43"/>
        <v>948.53</v>
      </c>
      <c r="I202" s="275">
        <f t="shared" si="37"/>
        <v>79638.539999999979</v>
      </c>
      <c r="J202" s="275">
        <f t="shared" si="38"/>
        <v>35188.529999999977</v>
      </c>
      <c r="K202" s="275">
        <f t="shared" si="35"/>
        <v>17893.299999999956</v>
      </c>
      <c r="L202" s="386">
        <f t="shared" si="41"/>
        <v>15</v>
      </c>
      <c r="M202" s="386">
        <f t="shared" si="36"/>
        <v>182</v>
      </c>
      <c r="N202" s="590">
        <f>INDEX(tblSubjectToLoan[Date],ROW()-ROW(tblContractForDeed[#Headers]))</f>
        <v>51410</v>
      </c>
      <c r="O202" s="275">
        <f>IF(ROW()=ROW(tblContractForDeed[#Headers])+1,$O$6,IF(INDEX(tblContractForDeed[End Bal],ROW()-ROW(tblContractForDeed[#Headers])-1)&lt;0,0,INDEX(tblContractForDeed[End Bal],ROW()-ROW(tblContractForDeed[#Headers])-1)))</f>
        <v>5775.4500000000344</v>
      </c>
      <c r="P202" s="445">
        <f>IF(tblContractForDeed[[#This Row],[Date]]="","",IF(tblContractForDeed[[#This Row],[Date]]&lt;cfdRateChangeDate,cfdRate1,cfdRate2))</f>
        <v>6.7500000000000004E-2</v>
      </c>
      <c r="Q2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2" s="275">
        <f>IF(tblContractForDeed[[#This Row],[Payment]]=0,0,MAX(0,MIN(tblContractForDeed[[#This Row],[Beg]],tblContractForDeed[[#This Row],[Payment]]-tblContractForDeed[[#This Row],[Int]])))</f>
        <v>627.41</v>
      </c>
      <c r="S202" s="275">
        <f>IF(OR(tblContractForDeed[[#This Row],[Date]]&lt;cfdContractDate,tblContractForDeed[[#This Row],[Date]]&gt;cfdEndDate),0,ROUND(tblContractForDeed[[#This Row],[Beg]]*(tblContractForDeed[[#This Row],[Int Rate]]/12),2))</f>
        <v>32.49</v>
      </c>
      <c r="T202" s="275">
        <f>IF(tblContractForDeed[[#This Row],[Payment]]=0,0,$W$2)</f>
        <v>134.16999999999999</v>
      </c>
      <c r="U202" s="275">
        <f>IF(tblContractForDeed[[#This Row],[Princ]]=0,0,$W$3)</f>
        <v>188.55</v>
      </c>
      <c r="V202" s="275">
        <f>SUM(tblContractForDeed[[#This Row],[Princ]],tblContractForDeed[[#This Row],[Int]],tblContractForDeed[[#This Row],[Ins]],tblContractForDeed[[#This Row],[Taxes]])</f>
        <v>982.61999999999989</v>
      </c>
      <c r="W202" s="275">
        <f>SUM(INDEX(tblContractForDeed[Princ],1):INDEX(tblContractForDeed[Princ],ROW()-ROW(tblContractForDeed[#Headers])))</f>
        <v>70109.960000000006</v>
      </c>
      <c r="X202" s="275">
        <f>IF(tblContractForDeed[[#This Row],[Beg]]&lt;=0,0,tblContractForDeed[[#This Row],[Beg]]-tblContractForDeed[[#This Row],[Princ]])</f>
        <v>5148.0400000000345</v>
      </c>
      <c r="Y20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171</v>
      </c>
      <c r="Z202" s="454">
        <f>IF(INDEX(tblContractForDeed[Payment],ROW()-ROW(tblBuyerOutputs[#Headers]))=0,0,INDEX(tblContractForDeed[Payment],ROW()-ROW(tblBuyerOutputs[#Headers]))-INDEX(tblSubjectToLoan[Payment],ROW()-ROW(tblBuyerOutputs[#Headers])))</f>
        <v>34.090000000000032</v>
      </c>
      <c r="AA202"/>
      <c r="AB202" s="14">
        <f>IF(INDEX(tblContractForDeed[Payment],ROW()-ROW(tblBuyerOutputs[#Headers]))=0,0,INDEX(tblContractForDeed[Payment],ROW()-ROW(tblBuyerOutputs[#Headers]))-INDEX(tblSubjectToLoan[Payment],ROW()-ROW(tblBuyerOutputs[#Headers])))-IFERROR(tblBuyerOutputs[[#This Row],[PMI]],0)</f>
        <v>34.090000000000032</v>
      </c>
      <c r="AC2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4505.7200000000166</v>
      </c>
      <c r="AD202" s="275">
        <f>IF(INDEX(tblContractForDeed[End Bal],ROW()-ROW(tblBuyerOutputs[#Headers]))&lt;=0,0,($O$6+IF(ROW()=ROW(tblBuyerOutputs[#Headers])+1,0,INDEX(tblBuyerOutputs[Cumul Appr],ROW()-ROW(tblBuyerOutputs[#Headers])-1)))*$O$2/12)</f>
        <v>668.33959022909357</v>
      </c>
      <c r="AE202" s="275">
        <f>IF(INDEX(tblContractForDeed[End Bal],ROW()-ROW(tblBuyerOutputs[#Headers]))&lt;=0,0,IF(ROW()=ROW(tblBuyerOutputs[#Headers])+1,0,INDEX(tblBuyerOutputs[Cumul Appr],ROW()-ROW(tblBuyerOutputs[#Headers])-1))+tblBuyerOutputs[[#This Row],[Monthly Appr]])</f>
        <v>85811.841245211559</v>
      </c>
      <c r="AF202" s="22"/>
      <c r="AG202" s="14"/>
      <c r="AL202"/>
      <c r="AM202" s="14"/>
      <c r="AO202" s="275"/>
      <c r="AQ202" s="14"/>
      <c r="AR202"/>
    </row>
    <row r="203" spans="1:44" x14ac:dyDescent="0.25">
      <c r="A203" s="590">
        <f t="shared" si="32"/>
        <v>51441</v>
      </c>
      <c r="B203" s="275">
        <f t="shared" si="33"/>
        <v>17893.299999999956</v>
      </c>
      <c r="C203" s="14">
        <f t="shared" si="30"/>
        <v>625.80999999999995</v>
      </c>
      <c r="D203" s="14">
        <f t="shared" si="34"/>
        <v>569.89</v>
      </c>
      <c r="E203" s="14">
        <f t="shared" si="31"/>
        <v>55.92</v>
      </c>
      <c r="F203" s="14">
        <f t="shared" si="42"/>
        <v>134.16999999999999</v>
      </c>
      <c r="G203" s="14">
        <f t="shared" si="42"/>
        <v>188.55</v>
      </c>
      <c r="H203" s="14">
        <f t="shared" si="43"/>
        <v>948.53</v>
      </c>
      <c r="I203" s="275">
        <f t="shared" si="37"/>
        <v>80208.429999999978</v>
      </c>
      <c r="J203" s="275">
        <f t="shared" si="38"/>
        <v>35244.449999999975</v>
      </c>
      <c r="K203" s="275">
        <f t="shared" si="35"/>
        <v>17323.409999999956</v>
      </c>
      <c r="L203" s="386">
        <f t="shared" si="41"/>
        <v>15</v>
      </c>
      <c r="M203" s="386">
        <f t="shared" si="36"/>
        <v>183</v>
      </c>
      <c r="N203" s="590">
        <f>INDEX(tblSubjectToLoan[Date],ROW()-ROW(tblContractForDeed[#Headers]))</f>
        <v>51441</v>
      </c>
      <c r="O203" s="275">
        <f>IF(ROW()=ROW(tblContractForDeed[#Headers])+1,$O$6,IF(INDEX(tblContractForDeed[End Bal],ROW()-ROW(tblContractForDeed[#Headers])-1)&lt;0,0,INDEX(tblContractForDeed[End Bal],ROW()-ROW(tblContractForDeed[#Headers])-1)))</f>
        <v>5148.0400000000345</v>
      </c>
      <c r="P203" s="445">
        <f>IF(tblContractForDeed[[#This Row],[Date]]="","",IF(tblContractForDeed[[#This Row],[Date]]&lt;cfdRateChangeDate,cfdRate1,cfdRate2))</f>
        <v>6.7500000000000004E-2</v>
      </c>
      <c r="Q20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3" s="275">
        <f>IF(tblContractForDeed[[#This Row],[Payment]]=0,0,MAX(0,MIN(tblContractForDeed[[#This Row],[Beg]],tblContractForDeed[[#This Row],[Payment]]-tblContractForDeed[[#This Row],[Int]])))</f>
        <v>630.93999999999994</v>
      </c>
      <c r="S203" s="275">
        <f>IF(OR(tblContractForDeed[[#This Row],[Date]]&lt;cfdContractDate,tblContractForDeed[[#This Row],[Date]]&gt;cfdEndDate),0,ROUND(tblContractForDeed[[#This Row],[Beg]]*(tblContractForDeed[[#This Row],[Int Rate]]/12),2))</f>
        <v>28.96</v>
      </c>
      <c r="T203" s="275">
        <f>IF(tblContractForDeed[[#This Row],[Payment]]=0,0,$W$2)</f>
        <v>134.16999999999999</v>
      </c>
      <c r="U203" s="275">
        <f>IF(tblContractForDeed[[#This Row],[Princ]]=0,0,$W$3)</f>
        <v>188.55</v>
      </c>
      <c r="V203" s="275">
        <f>SUM(tblContractForDeed[[#This Row],[Princ]],tblContractForDeed[[#This Row],[Int]],tblContractForDeed[[#This Row],[Ins]],tblContractForDeed[[#This Row],[Taxes]])</f>
        <v>982.61999999999989</v>
      </c>
      <c r="W203" s="275">
        <f>SUM(INDEX(tblContractForDeed[Princ],1):INDEX(tblContractForDeed[Princ],ROW()-ROW(tblContractForDeed[#Headers])))</f>
        <v>70740.900000000009</v>
      </c>
      <c r="X203" s="275">
        <f>IF(tblContractForDeed[[#This Row],[Beg]]&lt;=0,0,tblContractForDeed[[#This Row],[Beg]]-tblContractForDeed[[#This Row],[Princ]])</f>
        <v>4517.1000000000349</v>
      </c>
      <c r="Y20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172</v>
      </c>
      <c r="Z203" s="454">
        <f>IF(INDEX(tblContractForDeed[Payment],ROW()-ROW(tblBuyerOutputs[#Headers]))=0,0,INDEX(tblContractForDeed[Payment],ROW()-ROW(tblBuyerOutputs[#Headers]))-INDEX(tblSubjectToLoan[Payment],ROW()-ROW(tblBuyerOutputs[#Headers])))</f>
        <v>34.090000000000032</v>
      </c>
      <c r="AA203"/>
      <c r="AB203" s="14">
        <f>IF(INDEX(tblContractForDeed[Payment],ROW()-ROW(tblBuyerOutputs[#Headers]))=0,0,INDEX(tblContractForDeed[Payment],ROW()-ROW(tblBuyerOutputs[#Headers]))-INDEX(tblSubjectToLoan[Payment],ROW()-ROW(tblBuyerOutputs[#Headers])))-IFERROR(tblBuyerOutputs[[#This Row],[PMI]],0)</f>
        <v>34.090000000000032</v>
      </c>
      <c r="AC2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4539.8100000000168</v>
      </c>
      <c r="AD203" s="275">
        <f>IF(INDEX(tblContractForDeed[End Bal],ROW()-ROW(tblBuyerOutputs[#Headers]))&lt;=0,0,($O$6+IF(ROW()=ROW(tblBuyerOutputs[#Headers])+1,0,INDEX(tblBuyerOutputs[Cumul Appr],ROW()-ROW(tblBuyerOutputs[#Headers])-1)))*$O$2/12)</f>
        <v>671.12433852171478</v>
      </c>
      <c r="AE203" s="275">
        <f>IF(INDEX(tblContractForDeed[End Bal],ROW()-ROW(tblBuyerOutputs[#Headers]))&lt;=0,0,IF(ROW()=ROW(tblBuyerOutputs[#Headers])+1,0,INDEX(tblBuyerOutputs[Cumul Appr],ROW()-ROW(tblBuyerOutputs[#Headers])-1))+tblBuyerOutputs[[#This Row],[Monthly Appr]])</f>
        <v>86482.965583733268</v>
      </c>
      <c r="AF203" s="22"/>
      <c r="AG203" s="14"/>
      <c r="AL203"/>
      <c r="AM203" s="14"/>
      <c r="AO203" s="275"/>
      <c r="AQ203" s="14"/>
      <c r="AR203"/>
    </row>
    <row r="204" spans="1:44" x14ac:dyDescent="0.25">
      <c r="A204" s="590">
        <f t="shared" si="32"/>
        <v>51471</v>
      </c>
      <c r="B204" s="275">
        <f t="shared" si="33"/>
        <v>17323.409999999956</v>
      </c>
      <c r="C204" s="14">
        <f t="shared" si="30"/>
        <v>625.80999999999995</v>
      </c>
      <c r="D204" s="14">
        <f t="shared" si="34"/>
        <v>571.66999999999996</v>
      </c>
      <c r="E204" s="14">
        <f t="shared" si="31"/>
        <v>54.14</v>
      </c>
      <c r="F204" s="14">
        <f t="shared" si="42"/>
        <v>134.16999999999999</v>
      </c>
      <c r="G204" s="14">
        <f t="shared" si="42"/>
        <v>188.55</v>
      </c>
      <c r="H204" s="14">
        <f t="shared" si="43"/>
        <v>948.53</v>
      </c>
      <c r="I204" s="275">
        <f t="shared" si="37"/>
        <v>80780.099999999977</v>
      </c>
      <c r="J204" s="275">
        <f t="shared" si="38"/>
        <v>35298.589999999975</v>
      </c>
      <c r="K204" s="275">
        <f t="shared" si="35"/>
        <v>16751.739999999958</v>
      </c>
      <c r="L204" s="386">
        <f t="shared" si="41"/>
        <v>15</v>
      </c>
      <c r="M204" s="386">
        <f t="shared" si="36"/>
        <v>184</v>
      </c>
      <c r="N204" s="590">
        <f>INDEX(tblSubjectToLoan[Date],ROW()-ROW(tblContractForDeed[#Headers]))</f>
        <v>51471</v>
      </c>
      <c r="O204" s="275">
        <f>IF(ROW()=ROW(tblContractForDeed[#Headers])+1,$O$6,IF(INDEX(tblContractForDeed[End Bal],ROW()-ROW(tblContractForDeed[#Headers])-1)&lt;0,0,INDEX(tblContractForDeed[End Bal],ROW()-ROW(tblContractForDeed[#Headers])-1)))</f>
        <v>4517.1000000000349</v>
      </c>
      <c r="P204" s="445">
        <f>IF(tblContractForDeed[[#This Row],[Date]]="","",IF(tblContractForDeed[[#This Row],[Date]]&lt;cfdRateChangeDate,cfdRate1,cfdRate2))</f>
        <v>6.7500000000000004E-2</v>
      </c>
      <c r="Q2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4" s="275">
        <f>IF(tblContractForDeed[[#This Row],[Payment]]=0,0,MAX(0,MIN(tblContractForDeed[[#This Row],[Beg]],tblContractForDeed[[#This Row],[Payment]]-tblContractForDeed[[#This Row],[Int]])))</f>
        <v>634.49</v>
      </c>
      <c r="S204" s="275">
        <f>IF(OR(tblContractForDeed[[#This Row],[Date]]&lt;cfdContractDate,tblContractForDeed[[#This Row],[Date]]&gt;cfdEndDate),0,ROUND(tblContractForDeed[[#This Row],[Beg]]*(tblContractForDeed[[#This Row],[Int Rate]]/12),2))</f>
        <v>25.41</v>
      </c>
      <c r="T204" s="275">
        <f>IF(tblContractForDeed[[#This Row],[Payment]]=0,0,$W$2)</f>
        <v>134.16999999999999</v>
      </c>
      <c r="U204" s="275">
        <f>IF(tblContractForDeed[[#This Row],[Princ]]=0,0,$W$3)</f>
        <v>188.55</v>
      </c>
      <c r="V204" s="275">
        <f>SUM(tblContractForDeed[[#This Row],[Princ]],tblContractForDeed[[#This Row],[Int]],tblContractForDeed[[#This Row],[Ins]],tblContractForDeed[[#This Row],[Taxes]])</f>
        <v>982.61999999999989</v>
      </c>
      <c r="W204" s="275">
        <f>SUM(INDEX(tblContractForDeed[Princ],1):INDEX(tblContractForDeed[Princ],ROW()-ROW(tblContractForDeed[#Headers])))</f>
        <v>71375.390000000014</v>
      </c>
      <c r="X204" s="275">
        <f>IF(tblContractForDeed[[#This Row],[Beg]]&lt;=0,0,tblContractForDeed[[#This Row],[Beg]]-tblContractForDeed[[#This Row],[Princ]])</f>
        <v>3882.6100000000351</v>
      </c>
      <c r="Y20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173</v>
      </c>
      <c r="Z204" s="454">
        <f>IF(INDEX(tblContractForDeed[Payment],ROW()-ROW(tblBuyerOutputs[#Headers]))=0,0,INDEX(tblContractForDeed[Payment],ROW()-ROW(tblBuyerOutputs[#Headers]))-INDEX(tblSubjectToLoan[Payment],ROW()-ROW(tblBuyerOutputs[#Headers])))</f>
        <v>34.090000000000032</v>
      </c>
      <c r="AA204"/>
      <c r="AB204" s="14">
        <f>IF(INDEX(tblContractForDeed[Payment],ROW()-ROW(tblBuyerOutputs[#Headers]))=0,0,INDEX(tblContractForDeed[Payment],ROW()-ROW(tblBuyerOutputs[#Headers]))-INDEX(tblSubjectToLoan[Payment],ROW()-ROW(tblBuyerOutputs[#Headers])))-IFERROR(tblBuyerOutputs[[#This Row],[PMI]],0)</f>
        <v>34.090000000000032</v>
      </c>
      <c r="AC2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4573.9000000000169</v>
      </c>
      <c r="AD204" s="275">
        <f>IF(INDEX(tblContractForDeed[End Bal],ROW()-ROW(tblBuyerOutputs[#Headers]))&lt;=0,0,($O$6+IF(ROW()=ROW(tblBuyerOutputs[#Headers])+1,0,INDEX(tblBuyerOutputs[Cumul Appr],ROW()-ROW(tblBuyerOutputs[#Headers])-1)))*$O$2/12)</f>
        <v>673.92068993222199</v>
      </c>
      <c r="AE204" s="275">
        <f>IF(INDEX(tblContractForDeed[End Bal],ROW()-ROW(tblBuyerOutputs[#Headers]))&lt;=0,0,IF(ROW()=ROW(tblBuyerOutputs[#Headers])+1,0,INDEX(tblBuyerOutputs[Cumul Appr],ROW()-ROW(tblBuyerOutputs[#Headers])-1))+tblBuyerOutputs[[#This Row],[Monthly Appr]])</f>
        <v>87156.886273665485</v>
      </c>
      <c r="AF204" s="22"/>
      <c r="AG204" s="14"/>
      <c r="AL204"/>
      <c r="AM204" s="14"/>
      <c r="AO204" s="275"/>
      <c r="AQ204" s="14"/>
      <c r="AR204"/>
    </row>
    <row r="205" spans="1:44" x14ac:dyDescent="0.25">
      <c r="A205" s="590">
        <f t="shared" si="32"/>
        <v>51502</v>
      </c>
      <c r="B205" s="275">
        <f t="shared" si="33"/>
        <v>16751.739999999958</v>
      </c>
      <c r="C205" s="14">
        <f t="shared" si="30"/>
        <v>625.80999999999995</v>
      </c>
      <c r="D205" s="14">
        <f t="shared" si="34"/>
        <v>573.45999999999992</v>
      </c>
      <c r="E205" s="14">
        <f t="shared" si="31"/>
        <v>52.35</v>
      </c>
      <c r="F205" s="14">
        <f t="shared" si="42"/>
        <v>134.16999999999999</v>
      </c>
      <c r="G205" s="14">
        <f t="shared" si="42"/>
        <v>188.55</v>
      </c>
      <c r="H205" s="14">
        <f t="shared" si="43"/>
        <v>948.53</v>
      </c>
      <c r="I205" s="275">
        <f t="shared" si="37"/>
        <v>81353.559999999983</v>
      </c>
      <c r="J205" s="275">
        <f t="shared" si="38"/>
        <v>35350.939999999973</v>
      </c>
      <c r="K205" s="275">
        <f t="shared" si="35"/>
        <v>16178.279999999959</v>
      </c>
      <c r="L205" s="386">
        <f t="shared" si="41"/>
        <v>15</v>
      </c>
      <c r="M205" s="386">
        <f t="shared" si="36"/>
        <v>185</v>
      </c>
      <c r="N205" s="590">
        <f>INDEX(tblSubjectToLoan[Date],ROW()-ROW(tblContractForDeed[#Headers]))</f>
        <v>51502</v>
      </c>
      <c r="O205" s="275">
        <f>IF(ROW()=ROW(tblContractForDeed[#Headers])+1,$O$6,IF(INDEX(tblContractForDeed[End Bal],ROW()-ROW(tblContractForDeed[#Headers])-1)&lt;0,0,INDEX(tblContractForDeed[End Bal],ROW()-ROW(tblContractForDeed[#Headers])-1)))</f>
        <v>3882.6100000000351</v>
      </c>
      <c r="P205" s="445">
        <f>IF(tblContractForDeed[[#This Row],[Date]]="","",IF(tblContractForDeed[[#This Row],[Date]]&lt;cfdRateChangeDate,cfdRate1,cfdRate2))</f>
        <v>6.7500000000000004E-2</v>
      </c>
      <c r="Q2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5" s="275">
        <f>IF(tblContractForDeed[[#This Row],[Payment]]=0,0,MAX(0,MIN(tblContractForDeed[[#This Row],[Beg]],tblContractForDeed[[#This Row],[Payment]]-tblContractForDeed[[#This Row],[Int]])))</f>
        <v>638.05999999999995</v>
      </c>
      <c r="S205" s="275">
        <f>IF(OR(tblContractForDeed[[#This Row],[Date]]&lt;cfdContractDate,tblContractForDeed[[#This Row],[Date]]&gt;cfdEndDate),0,ROUND(tblContractForDeed[[#This Row],[Beg]]*(tblContractForDeed[[#This Row],[Int Rate]]/12),2))</f>
        <v>21.84</v>
      </c>
      <c r="T205" s="275">
        <f>IF(tblContractForDeed[[#This Row],[Payment]]=0,0,$W$2)</f>
        <v>134.16999999999999</v>
      </c>
      <c r="U205" s="275">
        <f>IF(tblContractForDeed[[#This Row],[Princ]]=0,0,$W$3)</f>
        <v>188.55</v>
      </c>
      <c r="V205" s="275">
        <f>SUM(tblContractForDeed[[#This Row],[Princ]],tblContractForDeed[[#This Row],[Int]],tblContractForDeed[[#This Row],[Ins]],tblContractForDeed[[#This Row],[Taxes]])</f>
        <v>982.61999999999989</v>
      </c>
      <c r="W205" s="275">
        <f>SUM(INDEX(tblContractForDeed[Princ],1):INDEX(tblContractForDeed[Princ],ROW()-ROW(tblContractForDeed[#Headers])))</f>
        <v>72013.450000000012</v>
      </c>
      <c r="X205" s="275">
        <f>IF(tblContractForDeed[[#This Row],[Beg]]&lt;=0,0,tblContractForDeed[[#This Row],[Beg]]-tblContractForDeed[[#This Row],[Princ]])</f>
        <v>3244.5500000000352</v>
      </c>
      <c r="Y20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174</v>
      </c>
      <c r="Z205" s="454">
        <f>IF(INDEX(tblContractForDeed[Payment],ROW()-ROW(tblBuyerOutputs[#Headers]))=0,0,INDEX(tblContractForDeed[Payment],ROW()-ROW(tblBuyerOutputs[#Headers]))-INDEX(tblSubjectToLoan[Payment],ROW()-ROW(tblBuyerOutputs[#Headers])))</f>
        <v>34.090000000000032</v>
      </c>
      <c r="AA205"/>
      <c r="AB205" s="14">
        <f>IF(INDEX(tblContractForDeed[Payment],ROW()-ROW(tblBuyerOutputs[#Headers]))=0,0,INDEX(tblContractForDeed[Payment],ROW()-ROW(tblBuyerOutputs[#Headers]))-INDEX(tblSubjectToLoan[Payment],ROW()-ROW(tblBuyerOutputs[#Headers])))-IFERROR(tblBuyerOutputs[[#This Row],[PMI]],0)</f>
        <v>34.090000000000032</v>
      </c>
      <c r="AC2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4607.9900000000171</v>
      </c>
      <c r="AD205" s="275">
        <f>IF(INDEX(tblContractForDeed[End Bal],ROW()-ROW(tblBuyerOutputs[#Headers]))&lt;=0,0,($O$6+IF(ROW()=ROW(tblBuyerOutputs[#Headers])+1,0,INDEX(tblBuyerOutputs[Cumul Appr],ROW()-ROW(tblBuyerOutputs[#Headers])-1)))*$O$2/12)</f>
        <v>676.72869280693942</v>
      </c>
      <c r="AE205" s="275">
        <f>IF(INDEX(tblContractForDeed[End Bal],ROW()-ROW(tblBuyerOutputs[#Headers]))&lt;=0,0,IF(ROW()=ROW(tblBuyerOutputs[#Headers])+1,0,INDEX(tblBuyerOutputs[Cumul Appr],ROW()-ROW(tblBuyerOutputs[#Headers])-1))+tblBuyerOutputs[[#This Row],[Monthly Appr]])</f>
        <v>87833.614966472422</v>
      </c>
      <c r="AF205" s="22"/>
      <c r="AG205" s="14"/>
      <c r="AL205"/>
      <c r="AM205" s="14"/>
      <c r="AO205" s="275"/>
      <c r="AQ205" s="14"/>
      <c r="AR205"/>
    </row>
    <row r="206" spans="1:44" x14ac:dyDescent="0.25">
      <c r="A206" s="590">
        <f t="shared" si="32"/>
        <v>51533</v>
      </c>
      <c r="B206" s="275">
        <f t="shared" si="33"/>
        <v>16178.279999999959</v>
      </c>
      <c r="C206" s="14">
        <f t="shared" si="30"/>
        <v>625.80999999999995</v>
      </c>
      <c r="D206" s="14">
        <f t="shared" si="34"/>
        <v>575.25</v>
      </c>
      <c r="E206" s="14">
        <f t="shared" si="31"/>
        <v>50.56</v>
      </c>
      <c r="F206" s="14">
        <f t="shared" si="42"/>
        <v>134.16999999999999</v>
      </c>
      <c r="G206" s="14">
        <f t="shared" si="42"/>
        <v>188.55</v>
      </c>
      <c r="H206" s="14">
        <f t="shared" si="43"/>
        <v>948.53</v>
      </c>
      <c r="I206" s="275">
        <f t="shared" si="37"/>
        <v>81928.809999999983</v>
      </c>
      <c r="J206" s="275">
        <f t="shared" si="38"/>
        <v>35401.499999999971</v>
      </c>
      <c r="K206" s="275">
        <f t="shared" si="35"/>
        <v>15603.029999999959</v>
      </c>
      <c r="L206" s="386">
        <f t="shared" si="41"/>
        <v>15</v>
      </c>
      <c r="M206" s="386">
        <f t="shared" si="36"/>
        <v>186</v>
      </c>
      <c r="N206" s="590">
        <f>INDEX(tblSubjectToLoan[Date],ROW()-ROW(tblContractForDeed[#Headers]))</f>
        <v>51533</v>
      </c>
      <c r="O206" s="275">
        <f>IF(ROW()=ROW(tblContractForDeed[#Headers])+1,$O$6,IF(INDEX(tblContractForDeed[End Bal],ROW()-ROW(tblContractForDeed[#Headers])-1)&lt;0,0,INDEX(tblContractForDeed[End Bal],ROW()-ROW(tblContractForDeed[#Headers])-1)))</f>
        <v>3244.5500000000352</v>
      </c>
      <c r="P206" s="445">
        <f>IF(tblContractForDeed[[#This Row],[Date]]="","",IF(tblContractForDeed[[#This Row],[Date]]&lt;cfdRateChangeDate,cfdRate1,cfdRate2))</f>
        <v>6.7500000000000004E-2</v>
      </c>
      <c r="Q2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6" s="275">
        <f>IF(tblContractForDeed[[#This Row],[Payment]]=0,0,MAX(0,MIN(tblContractForDeed[[#This Row],[Beg]],tblContractForDeed[[#This Row],[Payment]]-tblContractForDeed[[#This Row],[Int]])))</f>
        <v>641.65</v>
      </c>
      <c r="S206" s="275">
        <f>IF(OR(tblContractForDeed[[#This Row],[Date]]&lt;cfdContractDate,tblContractForDeed[[#This Row],[Date]]&gt;cfdEndDate),0,ROUND(tblContractForDeed[[#This Row],[Beg]]*(tblContractForDeed[[#This Row],[Int Rate]]/12),2))</f>
        <v>18.25</v>
      </c>
      <c r="T206" s="275">
        <f>IF(tblContractForDeed[[#This Row],[Payment]]=0,0,$W$2)</f>
        <v>134.16999999999999</v>
      </c>
      <c r="U206" s="275">
        <f>IF(tblContractForDeed[[#This Row],[Princ]]=0,0,$W$3)</f>
        <v>188.55</v>
      </c>
      <c r="V206" s="275">
        <f>SUM(tblContractForDeed[[#This Row],[Princ]],tblContractForDeed[[#This Row],[Int]],tblContractForDeed[[#This Row],[Ins]],tblContractForDeed[[#This Row],[Taxes]])</f>
        <v>982.61999999999989</v>
      </c>
      <c r="W206" s="275">
        <f>SUM(INDEX(tblContractForDeed[Princ],1):INDEX(tblContractForDeed[Princ],ROW()-ROW(tblContractForDeed[#Headers])))</f>
        <v>72655.100000000006</v>
      </c>
      <c r="X206" s="275">
        <f>IF(tblContractForDeed[[#This Row],[Beg]]&lt;=0,0,tblContractForDeed[[#This Row],[Beg]]-tblContractForDeed[[#This Row],[Princ]])</f>
        <v>2602.9000000000351</v>
      </c>
      <c r="Y20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175</v>
      </c>
      <c r="Z206" s="454">
        <f>IF(INDEX(tblContractForDeed[Payment],ROW()-ROW(tblBuyerOutputs[#Headers]))=0,0,INDEX(tblContractForDeed[Payment],ROW()-ROW(tblBuyerOutputs[#Headers]))-INDEX(tblSubjectToLoan[Payment],ROW()-ROW(tblBuyerOutputs[#Headers])))</f>
        <v>34.090000000000032</v>
      </c>
      <c r="AA206"/>
      <c r="AB206" s="14">
        <f>IF(INDEX(tblContractForDeed[Payment],ROW()-ROW(tblBuyerOutputs[#Headers]))=0,0,INDEX(tblContractForDeed[Payment],ROW()-ROW(tblBuyerOutputs[#Headers]))-INDEX(tblSubjectToLoan[Payment],ROW()-ROW(tblBuyerOutputs[#Headers])))-IFERROR(tblBuyerOutputs[[#This Row],[PMI]],0)</f>
        <v>34.090000000000032</v>
      </c>
      <c r="AC2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4642.0800000000172</v>
      </c>
      <c r="AD206" s="275">
        <f>IF(INDEX(tblContractForDeed[End Bal],ROW()-ROW(tblBuyerOutputs[#Headers]))&lt;=0,0,($O$6+IF(ROW()=ROW(tblBuyerOutputs[#Headers])+1,0,INDEX(tblBuyerOutputs[Cumul Appr],ROW()-ROW(tblBuyerOutputs[#Headers])-1)))*$O$2/12)</f>
        <v>679.54839569363514</v>
      </c>
      <c r="AE206" s="275">
        <f>IF(INDEX(tblContractForDeed[End Bal],ROW()-ROW(tblBuyerOutputs[#Headers]))&lt;=0,0,IF(ROW()=ROW(tblBuyerOutputs[#Headers])+1,0,INDEX(tblBuyerOutputs[Cumul Appr],ROW()-ROW(tblBuyerOutputs[#Headers])-1))+tblBuyerOutputs[[#This Row],[Monthly Appr]])</f>
        <v>88513.163362166059</v>
      </c>
      <c r="AF206" s="22"/>
      <c r="AG206" s="14"/>
      <c r="AL206"/>
      <c r="AM206" s="14"/>
      <c r="AO206" s="275"/>
      <c r="AQ206" s="14"/>
      <c r="AR206"/>
    </row>
    <row r="207" spans="1:44" x14ac:dyDescent="0.25">
      <c r="A207" s="590">
        <f t="shared" si="32"/>
        <v>51561</v>
      </c>
      <c r="B207" s="275">
        <f t="shared" si="33"/>
        <v>15603.029999999959</v>
      </c>
      <c r="C207" s="14">
        <f t="shared" si="30"/>
        <v>625.80999999999995</v>
      </c>
      <c r="D207" s="14">
        <f t="shared" si="34"/>
        <v>577.04999999999995</v>
      </c>
      <c r="E207" s="14">
        <f t="shared" si="31"/>
        <v>48.76</v>
      </c>
      <c r="F207" s="14">
        <f t="shared" ref="F207:G222" si="44">+F206</f>
        <v>134.16999999999999</v>
      </c>
      <c r="G207" s="14">
        <f t="shared" si="44"/>
        <v>188.55</v>
      </c>
      <c r="H207" s="14">
        <f t="shared" si="43"/>
        <v>948.53</v>
      </c>
      <c r="I207" s="275">
        <f t="shared" si="37"/>
        <v>82505.859999999986</v>
      </c>
      <c r="J207" s="275">
        <f t="shared" si="38"/>
        <v>35450.259999999973</v>
      </c>
      <c r="K207" s="275">
        <f t="shared" si="35"/>
        <v>15025.97999999996</v>
      </c>
      <c r="L207" s="386">
        <f t="shared" si="41"/>
        <v>15</v>
      </c>
      <c r="M207" s="386">
        <f t="shared" si="36"/>
        <v>187</v>
      </c>
      <c r="N207" s="590">
        <f>INDEX(tblSubjectToLoan[Date],ROW()-ROW(tblContractForDeed[#Headers]))</f>
        <v>51561</v>
      </c>
      <c r="O207" s="275">
        <f>IF(ROW()=ROW(tblContractForDeed[#Headers])+1,$O$6,IF(INDEX(tblContractForDeed[End Bal],ROW()-ROW(tblContractForDeed[#Headers])-1)&lt;0,0,INDEX(tblContractForDeed[End Bal],ROW()-ROW(tblContractForDeed[#Headers])-1)))</f>
        <v>2602.9000000000351</v>
      </c>
      <c r="P207" s="445">
        <f>IF(tblContractForDeed[[#This Row],[Date]]="","",IF(tblContractForDeed[[#This Row],[Date]]&lt;cfdRateChangeDate,cfdRate1,cfdRate2))</f>
        <v>6.7500000000000004E-2</v>
      </c>
      <c r="Q20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7" s="275">
        <f>IF(tblContractForDeed[[#This Row],[Payment]]=0,0,MAX(0,MIN(tblContractForDeed[[#This Row],[Beg]],tblContractForDeed[[#This Row],[Payment]]-tblContractForDeed[[#This Row],[Int]])))</f>
        <v>645.26</v>
      </c>
      <c r="S207" s="275">
        <f>IF(OR(tblContractForDeed[[#This Row],[Date]]&lt;cfdContractDate,tblContractForDeed[[#This Row],[Date]]&gt;cfdEndDate),0,ROUND(tblContractForDeed[[#This Row],[Beg]]*(tblContractForDeed[[#This Row],[Int Rate]]/12),2))</f>
        <v>14.64</v>
      </c>
      <c r="T207" s="275">
        <f>IF(tblContractForDeed[[#This Row],[Payment]]=0,0,$W$2)</f>
        <v>134.16999999999999</v>
      </c>
      <c r="U207" s="275">
        <f>IF(tblContractForDeed[[#This Row],[Princ]]=0,0,$W$3)</f>
        <v>188.55</v>
      </c>
      <c r="V207" s="275">
        <f>SUM(tblContractForDeed[[#This Row],[Princ]],tblContractForDeed[[#This Row],[Int]],tblContractForDeed[[#This Row],[Ins]],tblContractForDeed[[#This Row],[Taxes]])</f>
        <v>982.61999999999989</v>
      </c>
      <c r="W207" s="275">
        <f>SUM(INDEX(tblContractForDeed[Princ],1):INDEX(tblContractForDeed[Princ],ROW()-ROW(tblContractForDeed[#Headers])))</f>
        <v>73300.36</v>
      </c>
      <c r="X207" s="275">
        <f>IF(tblContractForDeed[[#This Row],[Beg]]&lt;=0,0,tblContractForDeed[[#This Row],[Beg]]-tblContractForDeed[[#This Row],[Princ]])</f>
        <v>1957.6400000000351</v>
      </c>
      <c r="Y20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176</v>
      </c>
      <c r="Z207" s="454">
        <f>IF(INDEX(tblContractForDeed[Payment],ROW()-ROW(tblBuyerOutputs[#Headers]))=0,0,INDEX(tblContractForDeed[Payment],ROW()-ROW(tblBuyerOutputs[#Headers]))-INDEX(tblSubjectToLoan[Payment],ROW()-ROW(tblBuyerOutputs[#Headers])))</f>
        <v>34.090000000000032</v>
      </c>
      <c r="AA207"/>
      <c r="AB207" s="14">
        <f>IF(INDEX(tblContractForDeed[Payment],ROW()-ROW(tblBuyerOutputs[#Headers]))=0,0,INDEX(tblContractForDeed[Payment],ROW()-ROW(tblBuyerOutputs[#Headers]))-INDEX(tblSubjectToLoan[Payment],ROW()-ROW(tblBuyerOutputs[#Headers])))-IFERROR(tblBuyerOutputs[[#This Row],[PMI]],0)</f>
        <v>34.090000000000032</v>
      </c>
      <c r="AC2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4676.1700000000174</v>
      </c>
      <c r="AD207" s="275">
        <f>IF(INDEX(tblContractForDeed[End Bal],ROW()-ROW(tblBuyerOutputs[#Headers]))&lt;=0,0,($O$6+IF(ROW()=ROW(tblBuyerOutputs[#Headers])+1,0,INDEX(tblBuyerOutputs[Cumul Appr],ROW()-ROW(tblBuyerOutputs[#Headers])-1)))*$O$2/12)</f>
        <v>682.37984734235863</v>
      </c>
      <c r="AE207" s="275">
        <f>IF(INDEX(tblContractForDeed[End Bal],ROW()-ROW(tblBuyerOutputs[#Headers]))&lt;=0,0,IF(ROW()=ROW(tblBuyerOutputs[#Headers])+1,0,INDEX(tblBuyerOutputs[Cumul Appr],ROW()-ROW(tblBuyerOutputs[#Headers])-1))+tblBuyerOutputs[[#This Row],[Monthly Appr]])</f>
        <v>89195.543209508411</v>
      </c>
      <c r="AF207" s="22"/>
      <c r="AG207" s="14"/>
      <c r="AL207"/>
      <c r="AM207" s="14"/>
      <c r="AO207" s="275"/>
      <c r="AQ207" s="14"/>
      <c r="AR207"/>
    </row>
    <row r="208" spans="1:44" x14ac:dyDescent="0.25">
      <c r="A208" s="590">
        <f t="shared" si="32"/>
        <v>51592</v>
      </c>
      <c r="B208" s="275">
        <f t="shared" si="33"/>
        <v>15025.97999999996</v>
      </c>
      <c r="C208" s="14">
        <f t="shared" si="30"/>
        <v>625.80999999999995</v>
      </c>
      <c r="D208" s="14">
        <f t="shared" si="34"/>
        <v>578.84999999999991</v>
      </c>
      <c r="E208" s="14">
        <f t="shared" si="31"/>
        <v>46.96</v>
      </c>
      <c r="F208" s="14">
        <f t="shared" si="44"/>
        <v>134.16999999999999</v>
      </c>
      <c r="G208" s="14">
        <f t="shared" si="44"/>
        <v>188.55</v>
      </c>
      <c r="H208" s="14">
        <f t="shared" si="43"/>
        <v>948.53</v>
      </c>
      <c r="I208" s="275">
        <f t="shared" si="37"/>
        <v>83084.709999999992</v>
      </c>
      <c r="J208" s="275">
        <f t="shared" si="38"/>
        <v>35497.219999999972</v>
      </c>
      <c r="K208" s="275">
        <f t="shared" si="35"/>
        <v>14447.129999999959</v>
      </c>
      <c r="L208" s="386">
        <f t="shared" si="41"/>
        <v>15</v>
      </c>
      <c r="M208" s="386">
        <f t="shared" si="36"/>
        <v>188</v>
      </c>
      <c r="N208" s="590">
        <f>INDEX(tblSubjectToLoan[Date],ROW()-ROW(tblContractForDeed[#Headers]))</f>
        <v>51592</v>
      </c>
      <c r="O208" s="275">
        <f>IF(ROW()=ROW(tblContractForDeed[#Headers])+1,$O$6,IF(INDEX(tblContractForDeed[End Bal],ROW()-ROW(tblContractForDeed[#Headers])-1)&lt;0,0,INDEX(tblContractForDeed[End Bal],ROW()-ROW(tblContractForDeed[#Headers])-1)))</f>
        <v>1957.6400000000351</v>
      </c>
      <c r="P208" s="445">
        <f>IF(tblContractForDeed[[#This Row],[Date]]="","",IF(tblContractForDeed[[#This Row],[Date]]&lt;cfdRateChangeDate,cfdRate1,cfdRate2))</f>
        <v>6.7500000000000004E-2</v>
      </c>
      <c r="Q2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8" s="275">
        <f>IF(tblContractForDeed[[#This Row],[Payment]]=0,0,MAX(0,MIN(tblContractForDeed[[#This Row],[Beg]],tblContractForDeed[[#This Row],[Payment]]-tblContractForDeed[[#This Row],[Int]])))</f>
        <v>648.89</v>
      </c>
      <c r="S208" s="275">
        <f>IF(OR(tblContractForDeed[[#This Row],[Date]]&lt;cfdContractDate,tblContractForDeed[[#This Row],[Date]]&gt;cfdEndDate),0,ROUND(tblContractForDeed[[#This Row],[Beg]]*(tblContractForDeed[[#This Row],[Int Rate]]/12),2))</f>
        <v>11.01</v>
      </c>
      <c r="T208" s="275">
        <f>IF(tblContractForDeed[[#This Row],[Payment]]=0,0,$W$2)</f>
        <v>134.16999999999999</v>
      </c>
      <c r="U208" s="275">
        <f>IF(tblContractForDeed[[#This Row],[Princ]]=0,0,$W$3)</f>
        <v>188.55</v>
      </c>
      <c r="V208" s="275">
        <f>SUM(tblContractForDeed[[#This Row],[Princ]],tblContractForDeed[[#This Row],[Int]],tblContractForDeed[[#This Row],[Ins]],tblContractForDeed[[#This Row],[Taxes]])</f>
        <v>982.61999999999989</v>
      </c>
      <c r="W208" s="275">
        <f>SUM(INDEX(tblContractForDeed[Princ],1):INDEX(tblContractForDeed[Princ],ROW()-ROW(tblContractForDeed[#Headers])))</f>
        <v>73949.25</v>
      </c>
      <c r="X208" s="275">
        <f>IF(tblContractForDeed[[#This Row],[Beg]]&lt;=0,0,tblContractForDeed[[#This Row],[Beg]]-tblContractForDeed[[#This Row],[Princ]])</f>
        <v>1308.750000000035</v>
      </c>
      <c r="Y20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177</v>
      </c>
      <c r="Z208" s="454">
        <f>IF(INDEX(tblContractForDeed[Payment],ROW()-ROW(tblBuyerOutputs[#Headers]))=0,0,INDEX(tblContractForDeed[Payment],ROW()-ROW(tblBuyerOutputs[#Headers]))-INDEX(tblSubjectToLoan[Payment],ROW()-ROW(tblBuyerOutputs[#Headers])))</f>
        <v>34.090000000000032</v>
      </c>
      <c r="AA208"/>
      <c r="AB208" s="14">
        <f>IF(INDEX(tblContractForDeed[Payment],ROW()-ROW(tblBuyerOutputs[#Headers]))=0,0,INDEX(tblContractForDeed[Payment],ROW()-ROW(tblBuyerOutputs[#Headers]))-INDEX(tblSubjectToLoan[Payment],ROW()-ROW(tblBuyerOutputs[#Headers])))-IFERROR(tblBuyerOutputs[[#This Row],[PMI]],0)</f>
        <v>34.090000000000032</v>
      </c>
      <c r="AC2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4710.2600000000175</v>
      </c>
      <c r="AD208" s="275">
        <f>IF(INDEX(tblContractForDeed[End Bal],ROW()-ROW(tblBuyerOutputs[#Headers]))&lt;=0,0,($O$6+IF(ROW()=ROW(tblBuyerOutputs[#Headers])+1,0,INDEX(tblBuyerOutputs[Cumul Appr],ROW()-ROW(tblBuyerOutputs[#Headers])-1)))*$O$2/12)</f>
        <v>685.22309670628511</v>
      </c>
      <c r="AE208" s="275">
        <f>IF(INDEX(tblContractForDeed[End Bal],ROW()-ROW(tblBuyerOutputs[#Headers]))&lt;=0,0,IF(ROW()=ROW(tblBuyerOutputs[#Headers])+1,0,INDEX(tblBuyerOutputs[Cumul Appr],ROW()-ROW(tblBuyerOutputs[#Headers])-1))+tblBuyerOutputs[[#This Row],[Monthly Appr]])</f>
        <v>89880.766306214689</v>
      </c>
      <c r="AF208" s="22"/>
      <c r="AG208" s="14"/>
      <c r="AL208"/>
      <c r="AM208" s="14"/>
      <c r="AO208" s="275"/>
      <c r="AQ208" s="14"/>
      <c r="AR208"/>
    </row>
    <row r="209" spans="1:44" x14ac:dyDescent="0.25">
      <c r="A209" s="590">
        <f t="shared" si="32"/>
        <v>51622</v>
      </c>
      <c r="B209" s="275">
        <f t="shared" si="33"/>
        <v>14447.129999999959</v>
      </c>
      <c r="C209" s="14">
        <f t="shared" si="30"/>
        <v>625.80999999999995</v>
      </c>
      <c r="D209" s="14">
        <f t="shared" si="34"/>
        <v>580.66</v>
      </c>
      <c r="E209" s="14">
        <f t="shared" si="31"/>
        <v>45.15</v>
      </c>
      <c r="F209" s="14">
        <f t="shared" si="44"/>
        <v>134.16999999999999</v>
      </c>
      <c r="G209" s="14">
        <f t="shared" si="44"/>
        <v>188.55</v>
      </c>
      <c r="H209" s="14">
        <f t="shared" si="43"/>
        <v>948.53</v>
      </c>
      <c r="I209" s="275">
        <f t="shared" si="37"/>
        <v>83665.37</v>
      </c>
      <c r="J209" s="275">
        <f t="shared" si="38"/>
        <v>35542.369999999974</v>
      </c>
      <c r="K209" s="275">
        <f t="shared" si="35"/>
        <v>13866.469999999959</v>
      </c>
      <c r="L209" s="386">
        <f t="shared" si="41"/>
        <v>15</v>
      </c>
      <c r="M209" s="386">
        <f t="shared" si="36"/>
        <v>189</v>
      </c>
      <c r="N209" s="590">
        <f>INDEX(tblSubjectToLoan[Date],ROW()-ROW(tblContractForDeed[#Headers]))</f>
        <v>51622</v>
      </c>
      <c r="O209" s="275">
        <f>IF(ROW()=ROW(tblContractForDeed[#Headers])+1,$O$6,IF(INDEX(tblContractForDeed[End Bal],ROW()-ROW(tblContractForDeed[#Headers])-1)&lt;0,0,INDEX(tblContractForDeed[End Bal],ROW()-ROW(tblContractForDeed[#Headers])-1)))</f>
        <v>1308.750000000035</v>
      </c>
      <c r="P209" s="445">
        <f>IF(tblContractForDeed[[#This Row],[Date]]="","",IF(tblContractForDeed[[#This Row],[Date]]&lt;cfdRateChangeDate,cfdRate1,cfdRate2))</f>
        <v>6.7500000000000004E-2</v>
      </c>
      <c r="Q2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9" s="275">
        <f>IF(tblContractForDeed[[#This Row],[Payment]]=0,0,MAX(0,MIN(tblContractForDeed[[#This Row],[Beg]],tblContractForDeed[[#This Row],[Payment]]-tblContractForDeed[[#This Row],[Int]])))</f>
        <v>652.54</v>
      </c>
      <c r="S209" s="275">
        <f>IF(OR(tblContractForDeed[[#This Row],[Date]]&lt;cfdContractDate,tblContractForDeed[[#This Row],[Date]]&gt;cfdEndDate),0,ROUND(tblContractForDeed[[#This Row],[Beg]]*(tblContractForDeed[[#This Row],[Int Rate]]/12),2))</f>
        <v>7.36</v>
      </c>
      <c r="T209" s="275">
        <f>IF(tblContractForDeed[[#This Row],[Payment]]=0,0,$W$2)</f>
        <v>134.16999999999999</v>
      </c>
      <c r="U209" s="275">
        <f>IF(tblContractForDeed[[#This Row],[Princ]]=0,0,$W$3)</f>
        <v>188.55</v>
      </c>
      <c r="V209" s="275">
        <f>SUM(tblContractForDeed[[#This Row],[Princ]],tblContractForDeed[[#This Row],[Int]],tblContractForDeed[[#This Row],[Ins]],tblContractForDeed[[#This Row],[Taxes]])</f>
        <v>982.61999999999989</v>
      </c>
      <c r="W209" s="275">
        <f>SUM(INDEX(tblContractForDeed[Princ],1):INDEX(tblContractForDeed[Princ],ROW()-ROW(tblContractForDeed[#Headers])))</f>
        <v>74601.789999999994</v>
      </c>
      <c r="X209" s="275">
        <f>IF(tblContractForDeed[[#This Row],[Beg]]&lt;=0,0,tblContractForDeed[[#This Row],[Beg]]-tblContractForDeed[[#This Row],[Princ]])</f>
        <v>656.21000000003505</v>
      </c>
      <c r="Y20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178</v>
      </c>
      <c r="Z209" s="454">
        <f>IF(INDEX(tblContractForDeed[Payment],ROW()-ROW(tblBuyerOutputs[#Headers]))=0,0,INDEX(tblContractForDeed[Payment],ROW()-ROW(tblBuyerOutputs[#Headers]))-INDEX(tblSubjectToLoan[Payment],ROW()-ROW(tblBuyerOutputs[#Headers])))</f>
        <v>34.090000000000032</v>
      </c>
      <c r="AA209"/>
      <c r="AB209" s="14">
        <f>IF(INDEX(tblContractForDeed[Payment],ROW()-ROW(tblBuyerOutputs[#Headers]))=0,0,INDEX(tblContractForDeed[Payment],ROW()-ROW(tblBuyerOutputs[#Headers]))-INDEX(tblSubjectToLoan[Payment],ROW()-ROW(tblBuyerOutputs[#Headers])))-IFERROR(tblBuyerOutputs[[#This Row],[PMI]],0)</f>
        <v>34.090000000000032</v>
      </c>
      <c r="AC2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4744.3500000000176</v>
      </c>
      <c r="AD209" s="275">
        <f>IF(INDEX(tblContractForDeed[End Bal],ROW()-ROW(tblBuyerOutputs[#Headers]))&lt;=0,0,($O$6+IF(ROW()=ROW(tblBuyerOutputs[#Headers])+1,0,INDEX(tblBuyerOutputs[Cumul Appr],ROW()-ROW(tblBuyerOutputs[#Headers])-1)))*$O$2/12)</f>
        <v>688.07819294256115</v>
      </c>
      <c r="AE209" s="275">
        <f>IF(INDEX(tblContractForDeed[End Bal],ROW()-ROW(tblBuyerOutputs[#Headers]))&lt;=0,0,IF(ROW()=ROW(tblBuyerOutputs[#Headers])+1,0,INDEX(tblBuyerOutputs[Cumul Appr],ROW()-ROW(tblBuyerOutputs[#Headers])-1))+tblBuyerOutputs[[#This Row],[Monthly Appr]])</f>
        <v>90568.844499157247</v>
      </c>
      <c r="AF209" s="22"/>
      <c r="AG209" s="14"/>
      <c r="AL209"/>
      <c r="AM209" s="14"/>
      <c r="AO209" s="275"/>
      <c r="AQ209" s="14"/>
      <c r="AR209"/>
    </row>
    <row r="210" spans="1:44" x14ac:dyDescent="0.25">
      <c r="A210" s="590">
        <f t="shared" si="32"/>
        <v>51653</v>
      </c>
      <c r="B210" s="275">
        <f t="shared" si="33"/>
        <v>13866.469999999959</v>
      </c>
      <c r="C210" s="14">
        <f t="shared" si="30"/>
        <v>625.80999999999995</v>
      </c>
      <c r="D210" s="14">
        <f t="shared" si="34"/>
        <v>582.4799999999999</v>
      </c>
      <c r="E210" s="14">
        <f t="shared" si="31"/>
        <v>43.33</v>
      </c>
      <c r="F210" s="14">
        <f t="shared" si="44"/>
        <v>134.16999999999999</v>
      </c>
      <c r="G210" s="14">
        <f t="shared" si="44"/>
        <v>188.55</v>
      </c>
      <c r="H210" s="14">
        <f t="shared" si="43"/>
        <v>948.53</v>
      </c>
      <c r="I210" s="275">
        <f t="shared" si="37"/>
        <v>84247.849999999991</v>
      </c>
      <c r="J210" s="275">
        <f t="shared" si="38"/>
        <v>35585.699999999975</v>
      </c>
      <c r="K210" s="275">
        <f t="shared" si="35"/>
        <v>13283.98999999996</v>
      </c>
      <c r="L210" s="386">
        <f t="shared" si="41"/>
        <v>15</v>
      </c>
      <c r="M210" s="386">
        <f t="shared" si="36"/>
        <v>190</v>
      </c>
      <c r="N210" s="590">
        <f>INDEX(tblSubjectToLoan[Date],ROW()-ROW(tblContractForDeed[#Headers]))</f>
        <v>51653</v>
      </c>
      <c r="O210" s="275">
        <f>IF(ROW()=ROW(tblContractForDeed[#Headers])+1,$O$6,IF(INDEX(tblContractForDeed[End Bal],ROW()-ROW(tblContractForDeed[#Headers])-1)&lt;0,0,INDEX(tblContractForDeed[End Bal],ROW()-ROW(tblContractForDeed[#Headers])-1)))</f>
        <v>656.21000000003505</v>
      </c>
      <c r="P210" s="445">
        <f>IF(tblContractForDeed[[#This Row],[Date]]="","",IF(tblContractForDeed[[#This Row],[Date]]&lt;cfdRateChangeDate,cfdRate1,cfdRate2))</f>
        <v>6.7500000000000004E-2</v>
      </c>
      <c r="Q2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659.90000000003511</v>
      </c>
      <c r="R210" s="275">
        <f>IF(tblContractForDeed[[#This Row],[Payment]]=0,0,MAX(0,MIN(tblContractForDeed[[#This Row],[Beg]],tblContractForDeed[[#This Row],[Payment]]-tblContractForDeed[[#This Row],[Int]])))</f>
        <v>656.21000000003505</v>
      </c>
      <c r="S210" s="275">
        <f>IF(OR(tblContractForDeed[[#This Row],[Date]]&lt;cfdContractDate,tblContractForDeed[[#This Row],[Date]]&gt;cfdEndDate),0,ROUND(tblContractForDeed[[#This Row],[Beg]]*(tblContractForDeed[[#This Row],[Int Rate]]/12),2))</f>
        <v>3.69</v>
      </c>
      <c r="T210" s="275">
        <f>IF(tblContractForDeed[[#This Row],[Payment]]=0,0,$W$2)</f>
        <v>134.16999999999999</v>
      </c>
      <c r="U210" s="275">
        <f>IF(tblContractForDeed[[#This Row],[Princ]]=0,0,$W$3)</f>
        <v>188.55</v>
      </c>
      <c r="V210" s="275">
        <f>SUM(tblContractForDeed[[#This Row],[Princ]],tblContractForDeed[[#This Row],[Int]],tblContractForDeed[[#This Row],[Ins]],tblContractForDeed[[#This Row],[Taxes]])</f>
        <v>982.62000000003513</v>
      </c>
      <c r="W210" s="275">
        <f>SUM(INDEX(tblContractForDeed[Princ],1):INDEX(tblContractForDeed[Princ],ROW()-ROW(tblContractForDeed[#Headers])))</f>
        <v>75258.000000000029</v>
      </c>
      <c r="X210" s="275">
        <f>IF(tblContractForDeed[[#This Row],[Beg]]&lt;=0,0,tblContractForDeed[[#This Row],[Beg]]-tblContractForDeed[[#This Row],[Princ]])</f>
        <v>0</v>
      </c>
      <c r="Y21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179</v>
      </c>
      <c r="Z210" s="454">
        <f>IF(INDEX(tblContractForDeed[Payment],ROW()-ROW(tblBuyerOutputs[#Headers]))=0,0,INDEX(tblContractForDeed[Payment],ROW()-ROW(tblBuyerOutputs[#Headers]))-INDEX(tblSubjectToLoan[Payment],ROW()-ROW(tblBuyerOutputs[#Headers])))</f>
        <v>34.090000000035161</v>
      </c>
      <c r="AA210"/>
      <c r="AB210" s="14">
        <f>IF(INDEX(tblContractForDeed[Payment],ROW()-ROW(tblBuyerOutputs[#Headers]))=0,0,INDEX(tblContractForDeed[Payment],ROW()-ROW(tblBuyerOutputs[#Headers]))-INDEX(tblSubjectToLoan[Payment],ROW()-ROW(tblBuyerOutputs[#Headers])))-IFERROR(tblBuyerOutputs[[#This Row],[PMI]],0)</f>
        <v>34.090000000035161</v>
      </c>
      <c r="AC2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0" s="275">
        <f>IF(INDEX(tblContractForDeed[End Bal],ROW()-ROW(tblBuyerOutputs[#Headers]))&lt;=0,0,($O$6+IF(ROW()=ROW(tblBuyerOutputs[#Headers])+1,0,INDEX(tblBuyerOutputs[Cumul Appr],ROW()-ROW(tblBuyerOutputs[#Headers])-1)))*$O$2/12)</f>
        <v>0</v>
      </c>
      <c r="AE210" s="275">
        <f>IF(INDEX(tblContractForDeed[End Bal],ROW()-ROW(tblBuyerOutputs[#Headers]))&lt;=0,0,IF(ROW()=ROW(tblBuyerOutputs[#Headers])+1,0,INDEX(tblBuyerOutputs[Cumul Appr],ROW()-ROW(tblBuyerOutputs[#Headers])-1))+tblBuyerOutputs[[#This Row],[Monthly Appr]])</f>
        <v>0</v>
      </c>
      <c r="AF210" s="22"/>
      <c r="AG210" s="14"/>
      <c r="AL210"/>
      <c r="AM210" s="14"/>
      <c r="AO210" s="275"/>
      <c r="AQ210" s="14"/>
      <c r="AR210"/>
    </row>
    <row r="211" spans="1:44" ht="15.75" thickBot="1" x14ac:dyDescent="0.3">
      <c r="A211" s="591">
        <f t="shared" si="32"/>
        <v>51683</v>
      </c>
      <c r="B211" s="326">
        <f t="shared" si="33"/>
        <v>13283.98999999996</v>
      </c>
      <c r="C211" s="21">
        <f t="shared" si="30"/>
        <v>625.80999999999995</v>
      </c>
      <c r="D211" s="21">
        <f t="shared" si="34"/>
        <v>584.29999999999995</v>
      </c>
      <c r="E211" s="21">
        <f t="shared" si="31"/>
        <v>41.51</v>
      </c>
      <c r="F211" s="21">
        <f t="shared" si="44"/>
        <v>134.16999999999999</v>
      </c>
      <c r="G211" s="21">
        <f t="shared" si="44"/>
        <v>188.55</v>
      </c>
      <c r="H211" s="21">
        <f t="shared" si="43"/>
        <v>948.53</v>
      </c>
      <c r="I211" s="326">
        <f t="shared" si="37"/>
        <v>84832.15</v>
      </c>
      <c r="J211" s="326">
        <f t="shared" si="38"/>
        <v>35627.209999999977</v>
      </c>
      <c r="K211" s="326">
        <f t="shared" si="35"/>
        <v>12699.68999999996</v>
      </c>
      <c r="L211" s="387">
        <f t="shared" si="41"/>
        <v>15</v>
      </c>
      <c r="M211" s="387">
        <f t="shared" si="36"/>
        <v>191</v>
      </c>
      <c r="N211" s="591">
        <f>INDEX(tblSubjectToLoan[Date],ROW()-ROW(tblContractForDeed[#Headers]))</f>
        <v>51683</v>
      </c>
      <c r="O211" s="326">
        <f>IF(ROW()=ROW(tblContractForDeed[#Headers])+1,$O$6,IF(INDEX(tblContractForDeed[End Bal],ROW()-ROW(tblContractForDeed[#Headers])-1)&lt;0,0,INDEX(tblContractForDeed[End Bal],ROW()-ROW(tblContractForDeed[#Headers])-1)))</f>
        <v>0</v>
      </c>
      <c r="P211" s="445">
        <f>IF(tblContractForDeed[[#This Row],[Date]]="","",IF(tblContractForDeed[[#This Row],[Date]]&lt;cfdRateChangeDate,cfdRate1,cfdRate2))</f>
        <v>6.7500000000000004E-2</v>
      </c>
      <c r="Q21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1" s="326">
        <f>IF(tblContractForDeed[[#This Row],[Payment]]=0,0,MAX(0,MIN(tblContractForDeed[[#This Row],[Beg]],tblContractForDeed[[#This Row],[Payment]]-tblContractForDeed[[#This Row],[Int]])))</f>
        <v>0</v>
      </c>
      <c r="S211" s="326">
        <f>IF(OR(tblContractForDeed[[#This Row],[Date]]&lt;cfdContractDate,tblContractForDeed[[#This Row],[Date]]&gt;cfdEndDate),0,ROUND(tblContractForDeed[[#This Row],[Beg]]*(tblContractForDeed[[#This Row],[Int Rate]]/12),2))</f>
        <v>0</v>
      </c>
      <c r="T211" s="326">
        <f>IF(tblContractForDeed[[#This Row],[Payment]]=0,0,$W$2)</f>
        <v>0</v>
      </c>
      <c r="U211" s="326">
        <f>IF(tblContractForDeed[[#This Row],[Princ]]=0,0,$W$3)</f>
        <v>0</v>
      </c>
      <c r="V211" s="326">
        <f>SUM(tblContractForDeed[[#This Row],[Princ]],tblContractForDeed[[#This Row],[Int]],tblContractForDeed[[#This Row],[Ins]],tblContractForDeed[[#This Row],[Taxes]])</f>
        <v>0</v>
      </c>
      <c r="W211" s="326">
        <f>SUM(INDEX(tblContractForDeed[Princ],1):INDEX(tblContractForDeed[Princ],ROW()-ROW(tblContractForDeed[#Headers])))</f>
        <v>75258.000000000029</v>
      </c>
      <c r="X211" s="326">
        <f>IF(tblContractForDeed[[#This Row],[Beg]]&lt;=0,0,tblContractForDeed[[#This Row],[Beg]]-tblContractForDeed[[#This Row],[Princ]])</f>
        <v>0</v>
      </c>
      <c r="Y21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1" s="455">
        <f>IF(INDEX(tblContractForDeed[Payment],ROW()-ROW(tblBuyerOutputs[#Headers]))=0,0,INDEX(tblContractForDeed[Payment],ROW()-ROW(tblBuyerOutputs[#Headers]))-INDEX(tblSubjectToLoan[Payment],ROW()-ROW(tblBuyerOutputs[#Headers])))</f>
        <v>0</v>
      </c>
      <c r="AA211" s="23"/>
      <c r="AB211" s="21">
        <f>IF(INDEX(tblContractForDeed[Payment],ROW()-ROW(tblBuyerOutputs[#Headers]))=0,0,INDEX(tblContractForDeed[Payment],ROW()-ROW(tblBuyerOutputs[#Headers]))-INDEX(tblSubjectToLoan[Payment],ROW()-ROW(tblBuyerOutputs[#Headers])))-IFERROR(tblBuyerOutputs[[#This Row],[PMI]],0)</f>
        <v>0</v>
      </c>
      <c r="AC2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1" s="326">
        <f>IF(INDEX(tblContractForDeed[End Bal],ROW()-ROW(tblBuyerOutputs[#Headers]))&lt;=0,0,($O$6+IF(ROW()=ROW(tblBuyerOutputs[#Headers])+1,0,INDEX(tblBuyerOutputs[Cumul Appr],ROW()-ROW(tblBuyerOutputs[#Headers])-1)))*$O$2/12)</f>
        <v>0</v>
      </c>
      <c r="AE211" s="326">
        <f>IF(INDEX(tblContractForDeed[End Bal],ROW()-ROW(tblBuyerOutputs[#Headers]))&lt;=0,0,IF(ROW()=ROW(tblBuyerOutputs[#Headers])+1,0,INDEX(tblBuyerOutputs[Cumul Appr],ROW()-ROW(tblBuyerOutputs[#Headers])-1))+tblBuyerOutputs[[#This Row],[Monthly Appr]])</f>
        <v>0</v>
      </c>
      <c r="AF211" s="22"/>
      <c r="AG211" s="14"/>
      <c r="AL211"/>
      <c r="AM211" s="14"/>
      <c r="AO211" s="275"/>
      <c r="AQ211" s="14"/>
      <c r="AR211"/>
    </row>
    <row r="212" spans="1:44" x14ac:dyDescent="0.25">
      <c r="A212" s="590">
        <f t="shared" si="32"/>
        <v>51714</v>
      </c>
      <c r="B212" s="275">
        <f t="shared" si="33"/>
        <v>12699.68999999996</v>
      </c>
      <c r="C212" s="14">
        <f t="shared" ref="C212:C275" si="45">IF(A212="",0,IF(B212&lt;=0,0,IF(A212=subjectMortgageEndDate,B212+E212,MIN(subjectPayment,B212+E212))))</f>
        <v>625.80999999999995</v>
      </c>
      <c r="D212" s="14">
        <f t="shared" si="34"/>
        <v>586.11999999999989</v>
      </c>
      <c r="E212" s="14">
        <f t="shared" ref="E212:E275" si="46">IF(OR(A212="",B212&lt;=0),0,ROUND(B212*(subjectInterestRate/12),2))</f>
        <v>39.69</v>
      </c>
      <c r="F212" s="14">
        <f t="shared" si="44"/>
        <v>134.16999999999999</v>
      </c>
      <c r="G212" s="14">
        <f t="shared" si="44"/>
        <v>188.55</v>
      </c>
      <c r="H212" s="14">
        <f t="shared" si="43"/>
        <v>948.53</v>
      </c>
      <c r="I212" s="275">
        <f t="shared" si="37"/>
        <v>85418.26999999999</v>
      </c>
      <c r="J212" s="275">
        <f t="shared" si="38"/>
        <v>35666.89999999998</v>
      </c>
      <c r="K212" s="275">
        <f t="shared" si="35"/>
        <v>12113.56999999996</v>
      </c>
      <c r="L212" s="386">
        <f t="shared" si="41"/>
        <v>16</v>
      </c>
      <c r="M212" s="386">
        <f t="shared" si="36"/>
        <v>192</v>
      </c>
      <c r="N212" s="590">
        <f>INDEX(tblSubjectToLoan[Date],ROW()-ROW(tblContractForDeed[#Headers]))</f>
        <v>51714</v>
      </c>
      <c r="O212" s="275">
        <f>IF(ROW()=ROW(tblContractForDeed[#Headers])+1,$O$6,IF(INDEX(tblContractForDeed[End Bal],ROW()-ROW(tblContractForDeed[#Headers])-1)&lt;0,0,INDEX(tblContractForDeed[End Bal],ROW()-ROW(tblContractForDeed[#Headers])-1)))</f>
        <v>0</v>
      </c>
      <c r="P212" s="445">
        <f>IF(tblContractForDeed[[#This Row],[Date]]="","",IF(tblContractForDeed[[#This Row],[Date]]&lt;cfdRateChangeDate,cfdRate1,cfdRate2))</f>
        <v>6.7500000000000004E-2</v>
      </c>
      <c r="Q2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75">
        <f>IF(tblContractForDeed[[#This Row],[Payment]]=0,0,MAX(0,MIN(tblContractForDeed[[#This Row],[Beg]],tblContractForDeed[[#This Row],[Payment]]-tblContractForDeed[[#This Row],[Int]])))</f>
        <v>0</v>
      </c>
      <c r="S212" s="275">
        <f>IF(OR(tblContractForDeed[[#This Row],[Date]]&lt;cfdContractDate,tblContractForDeed[[#This Row],[Date]]&gt;cfdEndDate),0,ROUND(tblContractForDeed[[#This Row],[Beg]]*(tblContractForDeed[[#This Row],[Int Rate]]/12),2))</f>
        <v>0</v>
      </c>
      <c r="T212" s="275">
        <f>IF(tblContractForDeed[[#This Row],[Payment]]=0,0,$W$2)</f>
        <v>0</v>
      </c>
      <c r="U212" s="275">
        <f>IF(tblContractForDeed[[#This Row],[Princ]]=0,0,$W$3)</f>
        <v>0</v>
      </c>
      <c r="V212" s="275">
        <f>SUM(tblContractForDeed[[#This Row],[Princ]],tblContractForDeed[[#This Row],[Int]],tblContractForDeed[[#This Row],[Ins]],tblContractForDeed[[#This Row],[Taxes]])</f>
        <v>0</v>
      </c>
      <c r="W212" s="275">
        <f>SUM(INDEX(tblContractForDeed[Princ],1):INDEX(tblContractForDeed[Princ],ROW()-ROW(tblContractForDeed[#Headers])))</f>
        <v>75258.000000000029</v>
      </c>
      <c r="X212" s="275">
        <f>IF(tblContractForDeed[[#This Row],[Beg]]&lt;=0,0,tblContractForDeed[[#This Row],[Beg]]-tblContractForDeed[[#This Row],[Princ]])</f>
        <v>0</v>
      </c>
      <c r="Y21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54">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2" s="275">
        <f>IF(INDEX(tblContractForDeed[End Bal],ROW()-ROW(tblBuyerOutputs[#Headers]))&lt;=0,0,($O$6+IF(ROW()=ROW(tblBuyerOutputs[#Headers])+1,0,INDEX(tblBuyerOutputs[Cumul Appr],ROW()-ROW(tblBuyerOutputs[#Headers])-1)))*$O$2/12)</f>
        <v>0</v>
      </c>
      <c r="AE212" s="275">
        <f>IF(INDEX(tblContractForDeed[End Bal],ROW()-ROW(tblBuyerOutputs[#Headers]))&lt;=0,0,IF(ROW()=ROW(tblBuyerOutputs[#Headers])+1,0,INDEX(tblBuyerOutputs[Cumul Appr],ROW()-ROW(tblBuyerOutputs[#Headers])-1))+tblBuyerOutputs[[#This Row],[Monthly Appr]])</f>
        <v>0</v>
      </c>
      <c r="AF212" s="22"/>
      <c r="AG212" s="14"/>
      <c r="AL212"/>
      <c r="AM212" s="14"/>
      <c r="AO212" s="275"/>
      <c r="AQ212" s="14"/>
      <c r="AR212"/>
    </row>
    <row r="213" spans="1:44" x14ac:dyDescent="0.25">
      <c r="A213" s="590">
        <f t="shared" ref="A213:A276" si="47">IF(OR(A212="",A212&gt;=subjectMortgageEndDate),"",EDATE(A212,1))</f>
        <v>51745</v>
      </c>
      <c r="B213" s="275">
        <f t="shared" ref="B213:B276" si="48">IF(A213="",0,MAX(0,K212))</f>
        <v>12113.56999999996</v>
      </c>
      <c r="C213" s="14">
        <f t="shared" si="45"/>
        <v>625.80999999999995</v>
      </c>
      <c r="D213" s="14">
        <f t="shared" ref="D213:D276" si="49">IF(C213=0,0,MAX(0,MIN(B213,C213-E213)))</f>
        <v>587.95999999999992</v>
      </c>
      <c r="E213" s="14">
        <f t="shared" si="46"/>
        <v>37.85</v>
      </c>
      <c r="F213" s="14">
        <f t="shared" si="44"/>
        <v>134.16999999999999</v>
      </c>
      <c r="G213" s="14">
        <f t="shared" si="44"/>
        <v>188.55</v>
      </c>
      <c r="H213" s="14">
        <f t="shared" si="43"/>
        <v>948.53</v>
      </c>
      <c r="I213" s="275">
        <f t="shared" si="37"/>
        <v>86006.23</v>
      </c>
      <c r="J213" s="275">
        <f t="shared" si="38"/>
        <v>35704.749999999978</v>
      </c>
      <c r="K213" s="275">
        <f t="shared" ref="K213:K276" si="50">IF(A213="",0,IF(B213&lt;=0,0,MAX(0,B213-D213)))</f>
        <v>11525.609999999961</v>
      </c>
      <c r="L213" s="386">
        <f t="shared" si="41"/>
        <v>16</v>
      </c>
      <c r="M213" s="386">
        <f t="shared" ref="M213:M276" si="51">IF($A213&lt;&gt;"",M212+1,0)</f>
        <v>193</v>
      </c>
      <c r="N213" s="590">
        <f>INDEX(tblSubjectToLoan[Date],ROW()-ROW(tblContractForDeed[#Headers]))</f>
        <v>51745</v>
      </c>
      <c r="O213" s="275">
        <f>IF(ROW()=ROW(tblContractForDeed[#Headers])+1,$O$6,IF(INDEX(tblContractForDeed[End Bal],ROW()-ROW(tblContractForDeed[#Headers])-1)&lt;0,0,INDEX(tblContractForDeed[End Bal],ROW()-ROW(tblContractForDeed[#Headers])-1)))</f>
        <v>0</v>
      </c>
      <c r="P213" s="445">
        <f>IF(tblContractForDeed[[#This Row],[Date]]="","",IF(tblContractForDeed[[#This Row],[Date]]&lt;cfdRateChangeDate,cfdRate1,cfdRate2))</f>
        <v>6.7500000000000004E-2</v>
      </c>
      <c r="Q2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75">
        <f>IF(tblContractForDeed[[#This Row],[Payment]]=0,0,MAX(0,MIN(tblContractForDeed[[#This Row],[Beg]],tblContractForDeed[[#This Row],[Payment]]-tblContractForDeed[[#This Row],[Int]])))</f>
        <v>0</v>
      </c>
      <c r="S213" s="275">
        <f>IF(OR(tblContractForDeed[[#This Row],[Date]]&lt;cfdContractDate,tblContractForDeed[[#This Row],[Date]]&gt;cfdEndDate),0,ROUND(tblContractForDeed[[#This Row],[Beg]]*(tblContractForDeed[[#This Row],[Int Rate]]/12),2))</f>
        <v>0</v>
      </c>
      <c r="T213" s="275">
        <f>IF(tblContractForDeed[[#This Row],[Payment]]=0,0,$W$2)</f>
        <v>0</v>
      </c>
      <c r="U213" s="275">
        <f>IF(tblContractForDeed[[#This Row],[Princ]]=0,0,$W$3)</f>
        <v>0</v>
      </c>
      <c r="V213" s="275">
        <f>SUM(tblContractForDeed[[#This Row],[Princ]],tblContractForDeed[[#This Row],[Int]],tblContractForDeed[[#This Row],[Ins]],tblContractForDeed[[#This Row],[Taxes]])</f>
        <v>0</v>
      </c>
      <c r="W213" s="275">
        <f>SUM(INDEX(tblContractForDeed[Princ],1):INDEX(tblContractForDeed[Princ],ROW()-ROW(tblContractForDeed[#Headers])))</f>
        <v>75258.000000000029</v>
      </c>
      <c r="X213" s="275">
        <f>IF(tblContractForDeed[[#This Row],[Beg]]&lt;=0,0,tblContractForDeed[[#This Row],[Beg]]-tblContractForDeed[[#This Row],[Princ]])</f>
        <v>0</v>
      </c>
      <c r="Y21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54">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3" s="275">
        <f>IF(INDEX(tblContractForDeed[End Bal],ROW()-ROW(tblBuyerOutputs[#Headers]))&lt;=0,0,($O$6+IF(ROW()=ROW(tblBuyerOutputs[#Headers])+1,0,INDEX(tblBuyerOutputs[Cumul Appr],ROW()-ROW(tblBuyerOutputs[#Headers])-1)))*$O$2/12)</f>
        <v>0</v>
      </c>
      <c r="AE213" s="275">
        <f>IF(INDEX(tblContractForDeed[End Bal],ROW()-ROW(tblBuyerOutputs[#Headers]))&lt;=0,0,IF(ROW()=ROW(tblBuyerOutputs[#Headers])+1,0,INDEX(tblBuyerOutputs[Cumul Appr],ROW()-ROW(tblBuyerOutputs[#Headers])-1))+tblBuyerOutputs[[#This Row],[Monthly Appr]])</f>
        <v>0</v>
      </c>
      <c r="AF213" s="22"/>
      <c r="AG213" s="14"/>
      <c r="AL213"/>
      <c r="AM213" s="14"/>
      <c r="AO213" s="275"/>
      <c r="AQ213" s="14"/>
      <c r="AR213"/>
    </row>
    <row r="214" spans="1:44" x14ac:dyDescent="0.25">
      <c r="A214" s="590">
        <f t="shared" si="47"/>
        <v>51775</v>
      </c>
      <c r="B214" s="275">
        <f t="shared" si="48"/>
        <v>11525.609999999961</v>
      </c>
      <c r="C214" s="14">
        <f t="shared" si="45"/>
        <v>625.80999999999995</v>
      </c>
      <c r="D214" s="14">
        <f t="shared" si="49"/>
        <v>589.79</v>
      </c>
      <c r="E214" s="14">
        <f t="shared" si="46"/>
        <v>36.020000000000003</v>
      </c>
      <c r="F214" s="14">
        <f t="shared" si="44"/>
        <v>134.16999999999999</v>
      </c>
      <c r="G214" s="14">
        <f t="shared" si="44"/>
        <v>188.55</v>
      </c>
      <c r="H214" s="14">
        <f t="shared" si="43"/>
        <v>948.53</v>
      </c>
      <c r="I214" s="275">
        <f t="shared" ref="I214:I277" si="52">$D214+$I213</f>
        <v>86596.01999999999</v>
      </c>
      <c r="J214" s="275">
        <f t="shared" ref="J214:J277" si="53">$E214+$J213</f>
        <v>35740.769999999975</v>
      </c>
      <c r="K214" s="275">
        <f t="shared" si="50"/>
        <v>10935.81999999996</v>
      </c>
      <c r="L214" s="386">
        <f t="shared" si="41"/>
        <v>16</v>
      </c>
      <c r="M214" s="386">
        <f t="shared" si="51"/>
        <v>194</v>
      </c>
      <c r="N214" s="590">
        <f>INDEX(tblSubjectToLoan[Date],ROW()-ROW(tblContractForDeed[#Headers]))</f>
        <v>51775</v>
      </c>
      <c r="O214" s="275">
        <f>IF(ROW()=ROW(tblContractForDeed[#Headers])+1,$O$6,IF(INDEX(tblContractForDeed[End Bal],ROW()-ROW(tblContractForDeed[#Headers])-1)&lt;0,0,INDEX(tblContractForDeed[End Bal],ROW()-ROW(tblContractForDeed[#Headers])-1)))</f>
        <v>0</v>
      </c>
      <c r="P214" s="445">
        <f>IF(tblContractForDeed[[#This Row],[Date]]="","",IF(tblContractForDeed[[#This Row],[Date]]&lt;cfdRateChangeDate,cfdRate1,cfdRate2))</f>
        <v>6.7500000000000004E-2</v>
      </c>
      <c r="Q2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75">
        <f>IF(tblContractForDeed[[#This Row],[Payment]]=0,0,MAX(0,MIN(tblContractForDeed[[#This Row],[Beg]],tblContractForDeed[[#This Row],[Payment]]-tblContractForDeed[[#This Row],[Int]])))</f>
        <v>0</v>
      </c>
      <c r="S214" s="275">
        <f>IF(OR(tblContractForDeed[[#This Row],[Date]]&lt;cfdContractDate,tblContractForDeed[[#This Row],[Date]]&gt;cfdEndDate),0,ROUND(tblContractForDeed[[#This Row],[Beg]]*(tblContractForDeed[[#This Row],[Int Rate]]/12),2))</f>
        <v>0</v>
      </c>
      <c r="T214" s="275">
        <f>IF(tblContractForDeed[[#This Row],[Payment]]=0,0,$W$2)</f>
        <v>0</v>
      </c>
      <c r="U214" s="275">
        <f>IF(tblContractForDeed[[#This Row],[Princ]]=0,0,$W$3)</f>
        <v>0</v>
      </c>
      <c r="V214" s="275">
        <f>SUM(tblContractForDeed[[#This Row],[Princ]],tblContractForDeed[[#This Row],[Int]],tblContractForDeed[[#This Row],[Ins]],tblContractForDeed[[#This Row],[Taxes]])</f>
        <v>0</v>
      </c>
      <c r="W214" s="275">
        <f>SUM(INDEX(tblContractForDeed[Princ],1):INDEX(tblContractForDeed[Princ],ROW()-ROW(tblContractForDeed[#Headers])))</f>
        <v>75258.000000000029</v>
      </c>
      <c r="X214" s="275">
        <f>IF(tblContractForDeed[[#This Row],[Beg]]&lt;=0,0,tblContractForDeed[[#This Row],[Beg]]-tblContractForDeed[[#This Row],[Princ]])</f>
        <v>0</v>
      </c>
      <c r="Y21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54">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4" s="275">
        <f>IF(INDEX(tblContractForDeed[End Bal],ROW()-ROW(tblBuyerOutputs[#Headers]))&lt;=0,0,($O$6+IF(ROW()=ROW(tblBuyerOutputs[#Headers])+1,0,INDEX(tblBuyerOutputs[Cumul Appr],ROW()-ROW(tblBuyerOutputs[#Headers])-1)))*$O$2/12)</f>
        <v>0</v>
      </c>
      <c r="AE214" s="275">
        <f>IF(INDEX(tblContractForDeed[End Bal],ROW()-ROW(tblBuyerOutputs[#Headers]))&lt;=0,0,IF(ROW()=ROW(tblBuyerOutputs[#Headers])+1,0,INDEX(tblBuyerOutputs[Cumul Appr],ROW()-ROW(tblBuyerOutputs[#Headers])-1))+tblBuyerOutputs[[#This Row],[Monthly Appr]])</f>
        <v>0</v>
      </c>
      <c r="AF214" s="22"/>
      <c r="AG214" s="14"/>
      <c r="AL214"/>
      <c r="AM214" s="14"/>
      <c r="AO214" s="275"/>
      <c r="AQ214" s="14"/>
      <c r="AR214"/>
    </row>
    <row r="215" spans="1:44" x14ac:dyDescent="0.25">
      <c r="A215" s="590">
        <f t="shared" si="47"/>
        <v>51806</v>
      </c>
      <c r="B215" s="275">
        <f t="shared" si="48"/>
        <v>10935.81999999996</v>
      </c>
      <c r="C215" s="14">
        <f t="shared" si="45"/>
        <v>625.80999999999995</v>
      </c>
      <c r="D215" s="14">
        <f t="shared" si="49"/>
        <v>591.64</v>
      </c>
      <c r="E215" s="14">
        <f t="shared" si="46"/>
        <v>34.17</v>
      </c>
      <c r="F215" s="14">
        <f t="shared" si="44"/>
        <v>134.16999999999999</v>
      </c>
      <c r="G215" s="14">
        <f t="shared" si="44"/>
        <v>188.55</v>
      </c>
      <c r="H215" s="14">
        <f t="shared" si="43"/>
        <v>948.53</v>
      </c>
      <c r="I215" s="275">
        <f t="shared" si="52"/>
        <v>87187.659999999989</v>
      </c>
      <c r="J215" s="275">
        <f t="shared" si="53"/>
        <v>35774.939999999973</v>
      </c>
      <c r="K215" s="275">
        <f t="shared" si="50"/>
        <v>10344.17999999996</v>
      </c>
      <c r="L215" s="386">
        <f t="shared" si="41"/>
        <v>16</v>
      </c>
      <c r="M215" s="386">
        <f t="shared" si="51"/>
        <v>195</v>
      </c>
      <c r="N215" s="590">
        <f>INDEX(tblSubjectToLoan[Date],ROW()-ROW(tblContractForDeed[#Headers]))</f>
        <v>51806</v>
      </c>
      <c r="O215" s="275">
        <f>IF(ROW()=ROW(tblContractForDeed[#Headers])+1,$O$6,IF(INDEX(tblContractForDeed[End Bal],ROW()-ROW(tblContractForDeed[#Headers])-1)&lt;0,0,INDEX(tblContractForDeed[End Bal],ROW()-ROW(tblContractForDeed[#Headers])-1)))</f>
        <v>0</v>
      </c>
      <c r="P215" s="445">
        <f>IF(tblContractForDeed[[#This Row],[Date]]="","",IF(tblContractForDeed[[#This Row],[Date]]&lt;cfdRateChangeDate,cfdRate1,cfdRate2))</f>
        <v>6.7500000000000004E-2</v>
      </c>
      <c r="Q21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75">
        <f>IF(tblContractForDeed[[#This Row],[Payment]]=0,0,MAX(0,MIN(tblContractForDeed[[#This Row],[Beg]],tblContractForDeed[[#This Row],[Payment]]-tblContractForDeed[[#This Row],[Int]])))</f>
        <v>0</v>
      </c>
      <c r="S215" s="275">
        <f>IF(OR(tblContractForDeed[[#This Row],[Date]]&lt;cfdContractDate,tblContractForDeed[[#This Row],[Date]]&gt;cfdEndDate),0,ROUND(tblContractForDeed[[#This Row],[Beg]]*(tblContractForDeed[[#This Row],[Int Rate]]/12),2))</f>
        <v>0</v>
      </c>
      <c r="T215" s="275">
        <f>IF(tblContractForDeed[[#This Row],[Payment]]=0,0,$W$2)</f>
        <v>0</v>
      </c>
      <c r="U215" s="275">
        <f>IF(tblContractForDeed[[#This Row],[Princ]]=0,0,$W$3)</f>
        <v>0</v>
      </c>
      <c r="V215" s="275">
        <f>SUM(tblContractForDeed[[#This Row],[Princ]],tblContractForDeed[[#This Row],[Int]],tblContractForDeed[[#This Row],[Ins]],tblContractForDeed[[#This Row],[Taxes]])</f>
        <v>0</v>
      </c>
      <c r="W215" s="275">
        <f>SUM(INDEX(tblContractForDeed[Princ],1):INDEX(tblContractForDeed[Princ],ROW()-ROW(tblContractForDeed[#Headers])))</f>
        <v>75258.000000000029</v>
      </c>
      <c r="X215" s="275">
        <f>IF(tblContractForDeed[[#This Row],[Beg]]&lt;=0,0,tblContractForDeed[[#This Row],[Beg]]-tblContractForDeed[[#This Row],[Princ]])</f>
        <v>0</v>
      </c>
      <c r="Y21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54">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5" s="275">
        <f>IF(INDEX(tblContractForDeed[End Bal],ROW()-ROW(tblBuyerOutputs[#Headers]))&lt;=0,0,($O$6+IF(ROW()=ROW(tblBuyerOutputs[#Headers])+1,0,INDEX(tblBuyerOutputs[Cumul Appr],ROW()-ROW(tblBuyerOutputs[#Headers])-1)))*$O$2/12)</f>
        <v>0</v>
      </c>
      <c r="AE215" s="275">
        <f>IF(INDEX(tblContractForDeed[End Bal],ROW()-ROW(tblBuyerOutputs[#Headers]))&lt;=0,0,IF(ROW()=ROW(tblBuyerOutputs[#Headers])+1,0,INDEX(tblBuyerOutputs[Cumul Appr],ROW()-ROW(tblBuyerOutputs[#Headers])-1))+tblBuyerOutputs[[#This Row],[Monthly Appr]])</f>
        <v>0</v>
      </c>
      <c r="AF215" s="22"/>
      <c r="AG215" s="14"/>
      <c r="AL215"/>
      <c r="AM215" s="14"/>
      <c r="AO215" s="275"/>
      <c r="AQ215" s="14"/>
      <c r="AR215"/>
    </row>
    <row r="216" spans="1:44" x14ac:dyDescent="0.25">
      <c r="A216" s="590">
        <f t="shared" si="47"/>
        <v>51836</v>
      </c>
      <c r="B216" s="275">
        <f t="shared" si="48"/>
        <v>10344.17999999996</v>
      </c>
      <c r="C216" s="14">
        <f t="shared" si="45"/>
        <v>625.80999999999995</v>
      </c>
      <c r="D216" s="14">
        <f t="shared" si="49"/>
        <v>593.4799999999999</v>
      </c>
      <c r="E216" s="14">
        <f t="shared" si="46"/>
        <v>32.33</v>
      </c>
      <c r="F216" s="14">
        <f t="shared" si="44"/>
        <v>134.16999999999999</v>
      </c>
      <c r="G216" s="14">
        <f t="shared" si="44"/>
        <v>188.55</v>
      </c>
      <c r="H216" s="14">
        <f t="shared" si="43"/>
        <v>948.53</v>
      </c>
      <c r="I216" s="275">
        <f t="shared" si="52"/>
        <v>87781.139999999985</v>
      </c>
      <c r="J216" s="275">
        <f t="shared" si="53"/>
        <v>35807.269999999975</v>
      </c>
      <c r="K216" s="275">
        <f t="shared" si="50"/>
        <v>9750.6999999999607</v>
      </c>
      <c r="L216" s="386">
        <f t="shared" si="41"/>
        <v>16</v>
      </c>
      <c r="M216" s="386">
        <f t="shared" si="51"/>
        <v>196</v>
      </c>
      <c r="N216" s="590">
        <f>INDEX(tblSubjectToLoan[Date],ROW()-ROW(tblContractForDeed[#Headers]))</f>
        <v>51836</v>
      </c>
      <c r="O216" s="275">
        <f>IF(ROW()=ROW(tblContractForDeed[#Headers])+1,$O$6,IF(INDEX(tblContractForDeed[End Bal],ROW()-ROW(tblContractForDeed[#Headers])-1)&lt;0,0,INDEX(tblContractForDeed[End Bal],ROW()-ROW(tblContractForDeed[#Headers])-1)))</f>
        <v>0</v>
      </c>
      <c r="P216" s="445">
        <f>IF(tblContractForDeed[[#This Row],[Date]]="","",IF(tblContractForDeed[[#This Row],[Date]]&lt;cfdRateChangeDate,cfdRate1,cfdRate2))</f>
        <v>6.7500000000000004E-2</v>
      </c>
      <c r="Q2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75">
        <f>IF(tblContractForDeed[[#This Row],[Payment]]=0,0,MAX(0,MIN(tblContractForDeed[[#This Row],[Beg]],tblContractForDeed[[#This Row],[Payment]]-tblContractForDeed[[#This Row],[Int]])))</f>
        <v>0</v>
      </c>
      <c r="S216" s="275">
        <f>IF(OR(tblContractForDeed[[#This Row],[Date]]&lt;cfdContractDate,tblContractForDeed[[#This Row],[Date]]&gt;cfdEndDate),0,ROUND(tblContractForDeed[[#This Row],[Beg]]*(tblContractForDeed[[#This Row],[Int Rate]]/12),2))</f>
        <v>0</v>
      </c>
      <c r="T216" s="275">
        <f>IF(tblContractForDeed[[#This Row],[Payment]]=0,0,$W$2)</f>
        <v>0</v>
      </c>
      <c r="U216" s="275">
        <f>IF(tblContractForDeed[[#This Row],[Princ]]=0,0,$W$3)</f>
        <v>0</v>
      </c>
      <c r="V216" s="275">
        <f>SUM(tblContractForDeed[[#This Row],[Princ]],tblContractForDeed[[#This Row],[Int]],tblContractForDeed[[#This Row],[Ins]],tblContractForDeed[[#This Row],[Taxes]])</f>
        <v>0</v>
      </c>
      <c r="W216" s="275">
        <f>SUM(INDEX(tblContractForDeed[Princ],1):INDEX(tblContractForDeed[Princ],ROW()-ROW(tblContractForDeed[#Headers])))</f>
        <v>75258.000000000029</v>
      </c>
      <c r="X216" s="275">
        <f>IF(tblContractForDeed[[#This Row],[Beg]]&lt;=0,0,tblContractForDeed[[#This Row],[Beg]]-tblContractForDeed[[#This Row],[Princ]])</f>
        <v>0</v>
      </c>
      <c r="Y21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54">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6" s="275">
        <f>IF(INDEX(tblContractForDeed[End Bal],ROW()-ROW(tblBuyerOutputs[#Headers]))&lt;=0,0,($O$6+IF(ROW()=ROW(tblBuyerOutputs[#Headers])+1,0,INDEX(tblBuyerOutputs[Cumul Appr],ROW()-ROW(tblBuyerOutputs[#Headers])-1)))*$O$2/12)</f>
        <v>0</v>
      </c>
      <c r="AE216" s="275">
        <f>IF(INDEX(tblContractForDeed[End Bal],ROW()-ROW(tblBuyerOutputs[#Headers]))&lt;=0,0,IF(ROW()=ROW(tblBuyerOutputs[#Headers])+1,0,INDEX(tblBuyerOutputs[Cumul Appr],ROW()-ROW(tblBuyerOutputs[#Headers])-1))+tblBuyerOutputs[[#This Row],[Monthly Appr]])</f>
        <v>0</v>
      </c>
      <c r="AF216" s="22"/>
      <c r="AG216" s="14"/>
      <c r="AL216"/>
      <c r="AM216" s="14"/>
      <c r="AO216" s="275"/>
      <c r="AQ216" s="14"/>
      <c r="AR216"/>
    </row>
    <row r="217" spans="1:44" x14ac:dyDescent="0.25">
      <c r="A217" s="590">
        <f t="shared" si="47"/>
        <v>51867</v>
      </c>
      <c r="B217" s="275">
        <f t="shared" si="48"/>
        <v>9750.6999999999607</v>
      </c>
      <c r="C217" s="14">
        <f t="shared" si="45"/>
        <v>625.80999999999995</v>
      </c>
      <c r="D217" s="14">
        <f t="shared" si="49"/>
        <v>595.33999999999992</v>
      </c>
      <c r="E217" s="14">
        <f t="shared" si="46"/>
        <v>30.47</v>
      </c>
      <c r="F217" s="14">
        <f t="shared" si="44"/>
        <v>134.16999999999999</v>
      </c>
      <c r="G217" s="14">
        <f t="shared" si="44"/>
        <v>188.55</v>
      </c>
      <c r="H217" s="14">
        <f t="shared" si="43"/>
        <v>948.53</v>
      </c>
      <c r="I217" s="275">
        <f t="shared" si="52"/>
        <v>88376.479999999981</v>
      </c>
      <c r="J217" s="275">
        <f t="shared" si="53"/>
        <v>35837.739999999976</v>
      </c>
      <c r="K217" s="275">
        <f t="shared" si="50"/>
        <v>9155.3599999999606</v>
      </c>
      <c r="L217" s="386">
        <f t="shared" si="41"/>
        <v>16</v>
      </c>
      <c r="M217" s="386">
        <f t="shared" si="51"/>
        <v>197</v>
      </c>
      <c r="N217" s="590">
        <f>INDEX(tblSubjectToLoan[Date],ROW()-ROW(tblContractForDeed[#Headers]))</f>
        <v>51867</v>
      </c>
      <c r="O217" s="275">
        <f>IF(ROW()=ROW(tblContractForDeed[#Headers])+1,$O$6,IF(INDEX(tblContractForDeed[End Bal],ROW()-ROW(tblContractForDeed[#Headers])-1)&lt;0,0,INDEX(tblContractForDeed[End Bal],ROW()-ROW(tblContractForDeed[#Headers])-1)))</f>
        <v>0</v>
      </c>
      <c r="P217" s="445">
        <f>IF(tblContractForDeed[[#This Row],[Date]]="","",IF(tblContractForDeed[[#This Row],[Date]]&lt;cfdRateChangeDate,cfdRate1,cfdRate2))</f>
        <v>6.7500000000000004E-2</v>
      </c>
      <c r="Q2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75">
        <f>IF(tblContractForDeed[[#This Row],[Payment]]=0,0,MAX(0,MIN(tblContractForDeed[[#This Row],[Beg]],tblContractForDeed[[#This Row],[Payment]]-tblContractForDeed[[#This Row],[Int]])))</f>
        <v>0</v>
      </c>
      <c r="S217" s="275">
        <f>IF(OR(tblContractForDeed[[#This Row],[Date]]&lt;cfdContractDate,tblContractForDeed[[#This Row],[Date]]&gt;cfdEndDate),0,ROUND(tblContractForDeed[[#This Row],[Beg]]*(tblContractForDeed[[#This Row],[Int Rate]]/12),2))</f>
        <v>0</v>
      </c>
      <c r="T217" s="275">
        <f>IF(tblContractForDeed[[#This Row],[Payment]]=0,0,$W$2)</f>
        <v>0</v>
      </c>
      <c r="U217" s="275">
        <f>IF(tblContractForDeed[[#This Row],[Princ]]=0,0,$W$3)</f>
        <v>0</v>
      </c>
      <c r="V217" s="275">
        <f>SUM(tblContractForDeed[[#This Row],[Princ]],tblContractForDeed[[#This Row],[Int]],tblContractForDeed[[#This Row],[Ins]],tblContractForDeed[[#This Row],[Taxes]])</f>
        <v>0</v>
      </c>
      <c r="W217" s="275">
        <f>SUM(INDEX(tblContractForDeed[Princ],1):INDEX(tblContractForDeed[Princ],ROW()-ROW(tblContractForDeed[#Headers])))</f>
        <v>75258.000000000029</v>
      </c>
      <c r="X217" s="275">
        <f>IF(tblContractForDeed[[#This Row],[Beg]]&lt;=0,0,tblContractForDeed[[#This Row],[Beg]]-tblContractForDeed[[#This Row],[Princ]])</f>
        <v>0</v>
      </c>
      <c r="Y21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54">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7" s="275">
        <f>IF(INDEX(tblContractForDeed[End Bal],ROW()-ROW(tblBuyerOutputs[#Headers]))&lt;=0,0,($O$6+IF(ROW()=ROW(tblBuyerOutputs[#Headers])+1,0,INDEX(tblBuyerOutputs[Cumul Appr],ROW()-ROW(tblBuyerOutputs[#Headers])-1)))*$O$2/12)</f>
        <v>0</v>
      </c>
      <c r="AE217" s="275">
        <f>IF(INDEX(tblContractForDeed[End Bal],ROW()-ROW(tblBuyerOutputs[#Headers]))&lt;=0,0,IF(ROW()=ROW(tblBuyerOutputs[#Headers])+1,0,INDEX(tblBuyerOutputs[Cumul Appr],ROW()-ROW(tblBuyerOutputs[#Headers])-1))+tblBuyerOutputs[[#This Row],[Monthly Appr]])</f>
        <v>0</v>
      </c>
      <c r="AF217" s="22"/>
      <c r="AG217" s="14"/>
      <c r="AL217"/>
      <c r="AM217" s="14"/>
      <c r="AO217" s="275"/>
      <c r="AQ217" s="14"/>
      <c r="AR217"/>
    </row>
    <row r="218" spans="1:44" x14ac:dyDescent="0.25">
      <c r="A218" s="590">
        <f t="shared" si="47"/>
        <v>51898</v>
      </c>
      <c r="B218" s="275">
        <f t="shared" si="48"/>
        <v>9155.3599999999606</v>
      </c>
      <c r="C218" s="14">
        <f t="shared" si="45"/>
        <v>625.80999999999995</v>
      </c>
      <c r="D218" s="14">
        <f t="shared" si="49"/>
        <v>597.19999999999993</v>
      </c>
      <c r="E218" s="14">
        <f t="shared" si="46"/>
        <v>28.61</v>
      </c>
      <c r="F218" s="14">
        <f t="shared" si="44"/>
        <v>134.16999999999999</v>
      </c>
      <c r="G218" s="14">
        <f t="shared" si="44"/>
        <v>188.55</v>
      </c>
      <c r="H218" s="14">
        <f t="shared" si="43"/>
        <v>948.53</v>
      </c>
      <c r="I218" s="275">
        <f t="shared" si="52"/>
        <v>88973.679999999978</v>
      </c>
      <c r="J218" s="275">
        <f t="shared" si="53"/>
        <v>35866.349999999977</v>
      </c>
      <c r="K218" s="275">
        <f t="shared" si="50"/>
        <v>8558.1599999999598</v>
      </c>
      <c r="L218" s="386">
        <f t="shared" si="41"/>
        <v>16</v>
      </c>
      <c r="M218" s="386">
        <f t="shared" si="51"/>
        <v>198</v>
      </c>
      <c r="N218" s="590">
        <f>INDEX(tblSubjectToLoan[Date],ROW()-ROW(tblContractForDeed[#Headers]))</f>
        <v>51898</v>
      </c>
      <c r="O218" s="275">
        <f>IF(ROW()=ROW(tblContractForDeed[#Headers])+1,$O$6,IF(INDEX(tblContractForDeed[End Bal],ROW()-ROW(tblContractForDeed[#Headers])-1)&lt;0,0,INDEX(tblContractForDeed[End Bal],ROW()-ROW(tblContractForDeed[#Headers])-1)))</f>
        <v>0</v>
      </c>
      <c r="P218" s="445">
        <f>IF(tblContractForDeed[[#This Row],[Date]]="","",IF(tblContractForDeed[[#This Row],[Date]]&lt;cfdRateChangeDate,cfdRate1,cfdRate2))</f>
        <v>6.7500000000000004E-2</v>
      </c>
      <c r="Q2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75">
        <f>IF(tblContractForDeed[[#This Row],[Payment]]=0,0,MAX(0,MIN(tblContractForDeed[[#This Row],[Beg]],tblContractForDeed[[#This Row],[Payment]]-tblContractForDeed[[#This Row],[Int]])))</f>
        <v>0</v>
      </c>
      <c r="S218" s="275">
        <f>IF(OR(tblContractForDeed[[#This Row],[Date]]&lt;cfdContractDate,tblContractForDeed[[#This Row],[Date]]&gt;cfdEndDate),0,ROUND(tblContractForDeed[[#This Row],[Beg]]*(tblContractForDeed[[#This Row],[Int Rate]]/12),2))</f>
        <v>0</v>
      </c>
      <c r="T218" s="275">
        <f>IF(tblContractForDeed[[#This Row],[Payment]]=0,0,$W$2)</f>
        <v>0</v>
      </c>
      <c r="U218" s="275">
        <f>IF(tblContractForDeed[[#This Row],[Princ]]=0,0,$W$3)</f>
        <v>0</v>
      </c>
      <c r="V218" s="275">
        <f>SUM(tblContractForDeed[[#This Row],[Princ]],tblContractForDeed[[#This Row],[Int]],tblContractForDeed[[#This Row],[Ins]],tblContractForDeed[[#This Row],[Taxes]])</f>
        <v>0</v>
      </c>
      <c r="W218" s="275">
        <f>SUM(INDEX(tblContractForDeed[Princ],1):INDEX(tblContractForDeed[Princ],ROW()-ROW(tblContractForDeed[#Headers])))</f>
        <v>75258.000000000029</v>
      </c>
      <c r="X218" s="275">
        <f>IF(tblContractForDeed[[#This Row],[Beg]]&lt;=0,0,tblContractForDeed[[#This Row],[Beg]]-tblContractForDeed[[#This Row],[Princ]])</f>
        <v>0</v>
      </c>
      <c r="Y21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54">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8" s="275">
        <f>IF(INDEX(tblContractForDeed[End Bal],ROW()-ROW(tblBuyerOutputs[#Headers]))&lt;=0,0,($O$6+IF(ROW()=ROW(tblBuyerOutputs[#Headers])+1,0,INDEX(tblBuyerOutputs[Cumul Appr],ROW()-ROW(tblBuyerOutputs[#Headers])-1)))*$O$2/12)</f>
        <v>0</v>
      </c>
      <c r="AE218" s="275">
        <f>IF(INDEX(tblContractForDeed[End Bal],ROW()-ROW(tblBuyerOutputs[#Headers]))&lt;=0,0,IF(ROW()=ROW(tblBuyerOutputs[#Headers])+1,0,INDEX(tblBuyerOutputs[Cumul Appr],ROW()-ROW(tblBuyerOutputs[#Headers])-1))+tblBuyerOutputs[[#This Row],[Monthly Appr]])</f>
        <v>0</v>
      </c>
      <c r="AF218" s="22"/>
      <c r="AG218" s="14"/>
      <c r="AL218"/>
      <c r="AM218" s="14"/>
      <c r="AO218" s="275"/>
      <c r="AQ218" s="14"/>
      <c r="AR218"/>
    </row>
    <row r="219" spans="1:44" x14ac:dyDescent="0.25">
      <c r="A219" s="590">
        <f t="shared" si="47"/>
        <v>51926</v>
      </c>
      <c r="B219" s="275">
        <f t="shared" si="48"/>
        <v>8558.1599999999598</v>
      </c>
      <c r="C219" s="14">
        <f t="shared" si="45"/>
        <v>625.80999999999995</v>
      </c>
      <c r="D219" s="14">
        <f t="shared" si="49"/>
        <v>599.06999999999994</v>
      </c>
      <c r="E219" s="14">
        <f t="shared" si="46"/>
        <v>26.74</v>
      </c>
      <c r="F219" s="14">
        <f t="shared" si="44"/>
        <v>134.16999999999999</v>
      </c>
      <c r="G219" s="14">
        <f t="shared" si="44"/>
        <v>188.55</v>
      </c>
      <c r="H219" s="14">
        <f t="shared" si="43"/>
        <v>948.53</v>
      </c>
      <c r="I219" s="275">
        <f t="shared" si="52"/>
        <v>89572.749999999985</v>
      </c>
      <c r="J219" s="275">
        <f t="shared" si="53"/>
        <v>35893.089999999975</v>
      </c>
      <c r="K219" s="275">
        <f t="shared" si="50"/>
        <v>7959.0899999999601</v>
      </c>
      <c r="L219" s="386">
        <f t="shared" si="41"/>
        <v>16</v>
      </c>
      <c r="M219" s="386">
        <f t="shared" si="51"/>
        <v>199</v>
      </c>
      <c r="N219" s="590">
        <f>INDEX(tblSubjectToLoan[Date],ROW()-ROW(tblContractForDeed[#Headers]))</f>
        <v>51926</v>
      </c>
      <c r="O219" s="275">
        <f>IF(ROW()=ROW(tblContractForDeed[#Headers])+1,$O$6,IF(INDEX(tblContractForDeed[End Bal],ROW()-ROW(tblContractForDeed[#Headers])-1)&lt;0,0,INDEX(tblContractForDeed[End Bal],ROW()-ROW(tblContractForDeed[#Headers])-1)))</f>
        <v>0</v>
      </c>
      <c r="P219" s="445">
        <f>IF(tblContractForDeed[[#This Row],[Date]]="","",IF(tblContractForDeed[[#This Row],[Date]]&lt;cfdRateChangeDate,cfdRate1,cfdRate2))</f>
        <v>6.7500000000000004E-2</v>
      </c>
      <c r="Q21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75">
        <f>IF(tblContractForDeed[[#This Row],[Payment]]=0,0,MAX(0,MIN(tblContractForDeed[[#This Row],[Beg]],tblContractForDeed[[#This Row],[Payment]]-tblContractForDeed[[#This Row],[Int]])))</f>
        <v>0</v>
      </c>
      <c r="S219" s="275">
        <f>IF(OR(tblContractForDeed[[#This Row],[Date]]&lt;cfdContractDate,tblContractForDeed[[#This Row],[Date]]&gt;cfdEndDate),0,ROUND(tblContractForDeed[[#This Row],[Beg]]*(tblContractForDeed[[#This Row],[Int Rate]]/12),2))</f>
        <v>0</v>
      </c>
      <c r="T219" s="275">
        <f>IF(tblContractForDeed[[#This Row],[Payment]]=0,0,$W$2)</f>
        <v>0</v>
      </c>
      <c r="U219" s="275">
        <f>IF(tblContractForDeed[[#This Row],[Princ]]=0,0,$W$3)</f>
        <v>0</v>
      </c>
      <c r="V219" s="275">
        <f>SUM(tblContractForDeed[[#This Row],[Princ]],tblContractForDeed[[#This Row],[Int]],tblContractForDeed[[#This Row],[Ins]],tblContractForDeed[[#This Row],[Taxes]])</f>
        <v>0</v>
      </c>
      <c r="W219" s="275">
        <f>SUM(INDEX(tblContractForDeed[Princ],1):INDEX(tblContractForDeed[Princ],ROW()-ROW(tblContractForDeed[#Headers])))</f>
        <v>75258.000000000029</v>
      </c>
      <c r="X219" s="275">
        <f>IF(tblContractForDeed[[#This Row],[Beg]]&lt;=0,0,tblContractForDeed[[#This Row],[Beg]]-tblContractForDeed[[#This Row],[Princ]])</f>
        <v>0</v>
      </c>
      <c r="Y21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54">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9" s="275">
        <f>IF(INDEX(tblContractForDeed[End Bal],ROW()-ROW(tblBuyerOutputs[#Headers]))&lt;=0,0,($O$6+IF(ROW()=ROW(tblBuyerOutputs[#Headers])+1,0,INDEX(tblBuyerOutputs[Cumul Appr],ROW()-ROW(tblBuyerOutputs[#Headers])-1)))*$O$2/12)</f>
        <v>0</v>
      </c>
      <c r="AE219" s="275">
        <f>IF(INDEX(tblContractForDeed[End Bal],ROW()-ROW(tblBuyerOutputs[#Headers]))&lt;=0,0,IF(ROW()=ROW(tblBuyerOutputs[#Headers])+1,0,INDEX(tblBuyerOutputs[Cumul Appr],ROW()-ROW(tblBuyerOutputs[#Headers])-1))+tblBuyerOutputs[[#This Row],[Monthly Appr]])</f>
        <v>0</v>
      </c>
      <c r="AF219" s="22"/>
      <c r="AG219" s="14"/>
      <c r="AL219"/>
      <c r="AM219" s="14"/>
      <c r="AO219" s="275"/>
      <c r="AQ219" s="14"/>
      <c r="AR219"/>
    </row>
    <row r="220" spans="1:44" x14ac:dyDescent="0.25">
      <c r="A220" s="590">
        <f t="shared" si="47"/>
        <v>51957</v>
      </c>
      <c r="B220" s="275">
        <f t="shared" si="48"/>
        <v>7959.0899999999601</v>
      </c>
      <c r="C220" s="14">
        <f t="shared" si="45"/>
        <v>625.80999999999995</v>
      </c>
      <c r="D220" s="14">
        <f t="shared" si="49"/>
        <v>600.93999999999994</v>
      </c>
      <c r="E220" s="14">
        <f t="shared" si="46"/>
        <v>24.87</v>
      </c>
      <c r="F220" s="14">
        <f t="shared" si="44"/>
        <v>134.16999999999999</v>
      </c>
      <c r="G220" s="14">
        <f t="shared" si="44"/>
        <v>188.55</v>
      </c>
      <c r="H220" s="14">
        <f t="shared" si="43"/>
        <v>948.53</v>
      </c>
      <c r="I220" s="275">
        <f t="shared" si="52"/>
        <v>90173.689999999988</v>
      </c>
      <c r="J220" s="275">
        <f t="shared" si="53"/>
        <v>35917.959999999977</v>
      </c>
      <c r="K220" s="275">
        <f t="shared" si="50"/>
        <v>7358.1499999999605</v>
      </c>
      <c r="L220" s="386">
        <f t="shared" si="41"/>
        <v>16</v>
      </c>
      <c r="M220" s="386">
        <f t="shared" si="51"/>
        <v>200</v>
      </c>
      <c r="N220" s="590">
        <f>INDEX(tblSubjectToLoan[Date],ROW()-ROW(tblContractForDeed[#Headers]))</f>
        <v>51957</v>
      </c>
      <c r="O220" s="275">
        <f>IF(ROW()=ROW(tblContractForDeed[#Headers])+1,$O$6,IF(INDEX(tblContractForDeed[End Bal],ROW()-ROW(tblContractForDeed[#Headers])-1)&lt;0,0,INDEX(tblContractForDeed[End Bal],ROW()-ROW(tblContractForDeed[#Headers])-1)))</f>
        <v>0</v>
      </c>
      <c r="P220" s="445">
        <f>IF(tblContractForDeed[[#This Row],[Date]]="","",IF(tblContractForDeed[[#This Row],[Date]]&lt;cfdRateChangeDate,cfdRate1,cfdRate2))</f>
        <v>6.7500000000000004E-2</v>
      </c>
      <c r="Q2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75">
        <f>IF(tblContractForDeed[[#This Row],[Payment]]=0,0,MAX(0,MIN(tblContractForDeed[[#This Row],[Beg]],tblContractForDeed[[#This Row],[Payment]]-tblContractForDeed[[#This Row],[Int]])))</f>
        <v>0</v>
      </c>
      <c r="S220" s="275">
        <f>IF(OR(tblContractForDeed[[#This Row],[Date]]&lt;cfdContractDate,tblContractForDeed[[#This Row],[Date]]&gt;cfdEndDate),0,ROUND(tblContractForDeed[[#This Row],[Beg]]*(tblContractForDeed[[#This Row],[Int Rate]]/12),2))</f>
        <v>0</v>
      </c>
      <c r="T220" s="275">
        <f>IF(tblContractForDeed[[#This Row],[Payment]]=0,0,$W$2)</f>
        <v>0</v>
      </c>
      <c r="U220" s="275">
        <f>IF(tblContractForDeed[[#This Row],[Princ]]=0,0,$W$3)</f>
        <v>0</v>
      </c>
      <c r="V220" s="275">
        <f>SUM(tblContractForDeed[[#This Row],[Princ]],tblContractForDeed[[#This Row],[Int]],tblContractForDeed[[#This Row],[Ins]],tblContractForDeed[[#This Row],[Taxes]])</f>
        <v>0</v>
      </c>
      <c r="W220" s="275">
        <f>SUM(INDEX(tblContractForDeed[Princ],1):INDEX(tblContractForDeed[Princ],ROW()-ROW(tblContractForDeed[#Headers])))</f>
        <v>75258.000000000029</v>
      </c>
      <c r="X220" s="275">
        <f>IF(tblContractForDeed[[#This Row],[Beg]]&lt;=0,0,tblContractForDeed[[#This Row],[Beg]]-tblContractForDeed[[#This Row],[Princ]])</f>
        <v>0</v>
      </c>
      <c r="Y22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54">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0" s="275">
        <f>IF(INDEX(tblContractForDeed[End Bal],ROW()-ROW(tblBuyerOutputs[#Headers]))&lt;=0,0,($O$6+IF(ROW()=ROW(tblBuyerOutputs[#Headers])+1,0,INDEX(tblBuyerOutputs[Cumul Appr],ROW()-ROW(tblBuyerOutputs[#Headers])-1)))*$O$2/12)</f>
        <v>0</v>
      </c>
      <c r="AE220" s="275">
        <f>IF(INDEX(tblContractForDeed[End Bal],ROW()-ROW(tblBuyerOutputs[#Headers]))&lt;=0,0,IF(ROW()=ROW(tblBuyerOutputs[#Headers])+1,0,INDEX(tblBuyerOutputs[Cumul Appr],ROW()-ROW(tblBuyerOutputs[#Headers])-1))+tblBuyerOutputs[[#This Row],[Monthly Appr]])</f>
        <v>0</v>
      </c>
      <c r="AF220" s="22"/>
      <c r="AG220" s="14"/>
      <c r="AL220"/>
      <c r="AM220" s="14"/>
      <c r="AO220" s="275"/>
      <c r="AQ220" s="14"/>
      <c r="AR220"/>
    </row>
    <row r="221" spans="1:44" x14ac:dyDescent="0.25">
      <c r="A221" s="590">
        <f t="shared" si="47"/>
        <v>51987</v>
      </c>
      <c r="B221" s="275">
        <f t="shared" si="48"/>
        <v>7358.1499999999605</v>
      </c>
      <c r="C221" s="14">
        <f t="shared" si="45"/>
        <v>625.80999999999995</v>
      </c>
      <c r="D221" s="14">
        <f t="shared" si="49"/>
        <v>602.81999999999994</v>
      </c>
      <c r="E221" s="14">
        <f t="shared" si="46"/>
        <v>22.99</v>
      </c>
      <c r="F221" s="14">
        <f t="shared" si="44"/>
        <v>134.16999999999999</v>
      </c>
      <c r="G221" s="14">
        <f t="shared" si="44"/>
        <v>188.55</v>
      </c>
      <c r="H221" s="14">
        <f t="shared" si="43"/>
        <v>948.53</v>
      </c>
      <c r="I221" s="275">
        <f t="shared" si="52"/>
        <v>90776.51</v>
      </c>
      <c r="J221" s="275">
        <f t="shared" si="53"/>
        <v>35940.949999999975</v>
      </c>
      <c r="K221" s="275">
        <f t="shared" si="50"/>
        <v>6755.3299999999608</v>
      </c>
      <c r="L221" s="386">
        <f t="shared" si="41"/>
        <v>16</v>
      </c>
      <c r="M221" s="386">
        <f t="shared" si="51"/>
        <v>201</v>
      </c>
      <c r="N221" s="590">
        <f>INDEX(tblSubjectToLoan[Date],ROW()-ROW(tblContractForDeed[#Headers]))</f>
        <v>51987</v>
      </c>
      <c r="O221" s="275">
        <f>IF(ROW()=ROW(tblContractForDeed[#Headers])+1,$O$6,IF(INDEX(tblContractForDeed[End Bal],ROW()-ROW(tblContractForDeed[#Headers])-1)&lt;0,0,INDEX(tblContractForDeed[End Bal],ROW()-ROW(tblContractForDeed[#Headers])-1)))</f>
        <v>0</v>
      </c>
      <c r="P221" s="445">
        <f>IF(tblContractForDeed[[#This Row],[Date]]="","",IF(tblContractForDeed[[#This Row],[Date]]&lt;cfdRateChangeDate,cfdRate1,cfdRate2))</f>
        <v>6.7500000000000004E-2</v>
      </c>
      <c r="Q2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75">
        <f>IF(tblContractForDeed[[#This Row],[Payment]]=0,0,MAX(0,MIN(tblContractForDeed[[#This Row],[Beg]],tblContractForDeed[[#This Row],[Payment]]-tblContractForDeed[[#This Row],[Int]])))</f>
        <v>0</v>
      </c>
      <c r="S221" s="275">
        <f>IF(OR(tblContractForDeed[[#This Row],[Date]]&lt;cfdContractDate,tblContractForDeed[[#This Row],[Date]]&gt;cfdEndDate),0,ROUND(tblContractForDeed[[#This Row],[Beg]]*(tblContractForDeed[[#This Row],[Int Rate]]/12),2))</f>
        <v>0</v>
      </c>
      <c r="T221" s="275">
        <f>IF(tblContractForDeed[[#This Row],[Payment]]=0,0,$W$2)</f>
        <v>0</v>
      </c>
      <c r="U221" s="275">
        <f>IF(tblContractForDeed[[#This Row],[Princ]]=0,0,$W$3)</f>
        <v>0</v>
      </c>
      <c r="V221" s="275">
        <f>SUM(tblContractForDeed[[#This Row],[Princ]],tblContractForDeed[[#This Row],[Int]],tblContractForDeed[[#This Row],[Ins]],tblContractForDeed[[#This Row],[Taxes]])</f>
        <v>0</v>
      </c>
      <c r="W221" s="275">
        <f>SUM(INDEX(tblContractForDeed[Princ],1):INDEX(tblContractForDeed[Princ],ROW()-ROW(tblContractForDeed[#Headers])))</f>
        <v>75258.000000000029</v>
      </c>
      <c r="X221" s="275">
        <f>IF(tblContractForDeed[[#This Row],[Beg]]&lt;=0,0,tblContractForDeed[[#This Row],[Beg]]-tblContractForDeed[[#This Row],[Princ]])</f>
        <v>0</v>
      </c>
      <c r="Y22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54">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1" s="275">
        <f>IF(INDEX(tblContractForDeed[End Bal],ROW()-ROW(tblBuyerOutputs[#Headers]))&lt;=0,0,($O$6+IF(ROW()=ROW(tblBuyerOutputs[#Headers])+1,0,INDEX(tblBuyerOutputs[Cumul Appr],ROW()-ROW(tblBuyerOutputs[#Headers])-1)))*$O$2/12)</f>
        <v>0</v>
      </c>
      <c r="AE221" s="275">
        <f>IF(INDEX(tblContractForDeed[End Bal],ROW()-ROW(tblBuyerOutputs[#Headers]))&lt;=0,0,IF(ROW()=ROW(tblBuyerOutputs[#Headers])+1,0,INDEX(tblBuyerOutputs[Cumul Appr],ROW()-ROW(tblBuyerOutputs[#Headers])-1))+tblBuyerOutputs[[#This Row],[Monthly Appr]])</f>
        <v>0</v>
      </c>
      <c r="AF221" s="22"/>
      <c r="AG221" s="14"/>
      <c r="AL221"/>
      <c r="AM221" s="14"/>
      <c r="AO221" s="275"/>
      <c r="AQ221" s="14"/>
      <c r="AR221"/>
    </row>
    <row r="222" spans="1:44" x14ac:dyDescent="0.25">
      <c r="A222" s="590">
        <f t="shared" si="47"/>
        <v>52018</v>
      </c>
      <c r="B222" s="275">
        <f t="shared" si="48"/>
        <v>6755.3299999999608</v>
      </c>
      <c r="C222" s="14">
        <f t="shared" si="45"/>
        <v>625.80999999999995</v>
      </c>
      <c r="D222" s="14">
        <f t="shared" si="49"/>
        <v>604.69999999999993</v>
      </c>
      <c r="E222" s="14">
        <f t="shared" si="46"/>
        <v>21.11</v>
      </c>
      <c r="F222" s="14">
        <f t="shared" si="44"/>
        <v>134.16999999999999</v>
      </c>
      <c r="G222" s="14">
        <f t="shared" si="44"/>
        <v>188.55</v>
      </c>
      <c r="H222" s="14">
        <f t="shared" si="43"/>
        <v>948.53</v>
      </c>
      <c r="I222" s="275">
        <f t="shared" si="52"/>
        <v>91381.209999999992</v>
      </c>
      <c r="J222" s="275">
        <f t="shared" si="53"/>
        <v>35962.059999999976</v>
      </c>
      <c r="K222" s="275">
        <f t="shared" si="50"/>
        <v>6150.629999999961</v>
      </c>
      <c r="L222" s="386">
        <f t="shared" si="41"/>
        <v>16</v>
      </c>
      <c r="M222" s="386">
        <f t="shared" si="51"/>
        <v>202</v>
      </c>
      <c r="N222" s="590">
        <f>INDEX(tblSubjectToLoan[Date],ROW()-ROW(tblContractForDeed[#Headers]))</f>
        <v>52018</v>
      </c>
      <c r="O222" s="275">
        <f>IF(ROW()=ROW(tblContractForDeed[#Headers])+1,$O$6,IF(INDEX(tblContractForDeed[End Bal],ROW()-ROW(tblContractForDeed[#Headers])-1)&lt;0,0,INDEX(tblContractForDeed[End Bal],ROW()-ROW(tblContractForDeed[#Headers])-1)))</f>
        <v>0</v>
      </c>
      <c r="P222" s="445">
        <f>IF(tblContractForDeed[[#This Row],[Date]]="","",IF(tblContractForDeed[[#This Row],[Date]]&lt;cfdRateChangeDate,cfdRate1,cfdRate2))</f>
        <v>6.7500000000000004E-2</v>
      </c>
      <c r="Q2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75">
        <f>IF(tblContractForDeed[[#This Row],[Payment]]=0,0,MAX(0,MIN(tblContractForDeed[[#This Row],[Beg]],tblContractForDeed[[#This Row],[Payment]]-tblContractForDeed[[#This Row],[Int]])))</f>
        <v>0</v>
      </c>
      <c r="S222" s="275">
        <f>IF(OR(tblContractForDeed[[#This Row],[Date]]&lt;cfdContractDate,tblContractForDeed[[#This Row],[Date]]&gt;cfdEndDate),0,ROUND(tblContractForDeed[[#This Row],[Beg]]*(tblContractForDeed[[#This Row],[Int Rate]]/12),2))</f>
        <v>0</v>
      </c>
      <c r="T222" s="275">
        <f>IF(tblContractForDeed[[#This Row],[Payment]]=0,0,$W$2)</f>
        <v>0</v>
      </c>
      <c r="U222" s="275">
        <f>IF(tblContractForDeed[[#This Row],[Princ]]=0,0,$W$3)</f>
        <v>0</v>
      </c>
      <c r="V222" s="275">
        <f>SUM(tblContractForDeed[[#This Row],[Princ]],tblContractForDeed[[#This Row],[Int]],tblContractForDeed[[#This Row],[Ins]],tblContractForDeed[[#This Row],[Taxes]])</f>
        <v>0</v>
      </c>
      <c r="W222" s="275">
        <f>SUM(INDEX(tblContractForDeed[Princ],1):INDEX(tblContractForDeed[Princ],ROW()-ROW(tblContractForDeed[#Headers])))</f>
        <v>75258.000000000029</v>
      </c>
      <c r="X222" s="275">
        <f>IF(tblContractForDeed[[#This Row],[Beg]]&lt;=0,0,tblContractForDeed[[#This Row],[Beg]]-tblContractForDeed[[#This Row],[Princ]])</f>
        <v>0</v>
      </c>
      <c r="Y22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54">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2" s="275">
        <f>IF(INDEX(tblContractForDeed[End Bal],ROW()-ROW(tblBuyerOutputs[#Headers]))&lt;=0,0,($O$6+IF(ROW()=ROW(tblBuyerOutputs[#Headers])+1,0,INDEX(tblBuyerOutputs[Cumul Appr],ROW()-ROW(tblBuyerOutputs[#Headers])-1)))*$O$2/12)</f>
        <v>0</v>
      </c>
      <c r="AE222" s="275">
        <f>IF(INDEX(tblContractForDeed[End Bal],ROW()-ROW(tblBuyerOutputs[#Headers]))&lt;=0,0,IF(ROW()=ROW(tblBuyerOutputs[#Headers])+1,0,INDEX(tblBuyerOutputs[Cumul Appr],ROW()-ROW(tblBuyerOutputs[#Headers])-1))+tblBuyerOutputs[[#This Row],[Monthly Appr]])</f>
        <v>0</v>
      </c>
      <c r="AF222" s="22"/>
      <c r="AG222" s="14"/>
      <c r="AL222"/>
      <c r="AM222" s="14"/>
      <c r="AO222" s="275"/>
      <c r="AQ222" s="14"/>
      <c r="AR222"/>
    </row>
    <row r="223" spans="1:44" ht="15.75" thickBot="1" x14ac:dyDescent="0.3">
      <c r="A223" s="591">
        <f t="shared" si="47"/>
        <v>52048</v>
      </c>
      <c r="B223" s="326">
        <f t="shared" si="48"/>
        <v>6150.629999999961</v>
      </c>
      <c r="C223" s="21">
        <f t="shared" si="45"/>
        <v>625.80999999999995</v>
      </c>
      <c r="D223" s="21">
        <f t="shared" si="49"/>
        <v>606.58999999999992</v>
      </c>
      <c r="E223" s="21">
        <f t="shared" si="46"/>
        <v>19.22</v>
      </c>
      <c r="F223" s="21">
        <f t="shared" ref="F223:G238" si="54">+F222</f>
        <v>134.16999999999999</v>
      </c>
      <c r="G223" s="21">
        <f t="shared" si="54"/>
        <v>188.55</v>
      </c>
      <c r="H223" s="21">
        <f t="shared" si="43"/>
        <v>948.53</v>
      </c>
      <c r="I223" s="326">
        <f t="shared" si="52"/>
        <v>91987.799999999988</v>
      </c>
      <c r="J223" s="326">
        <f t="shared" si="53"/>
        <v>35981.279999999977</v>
      </c>
      <c r="K223" s="326">
        <f t="shared" si="50"/>
        <v>5544.0399999999609</v>
      </c>
      <c r="L223" s="387">
        <f t="shared" si="41"/>
        <v>16</v>
      </c>
      <c r="M223" s="387">
        <f t="shared" si="51"/>
        <v>203</v>
      </c>
      <c r="N223" s="591">
        <f>INDEX(tblSubjectToLoan[Date],ROW()-ROW(tblContractForDeed[#Headers]))</f>
        <v>52048</v>
      </c>
      <c r="O223" s="326">
        <f>IF(ROW()=ROW(tblContractForDeed[#Headers])+1,$O$6,IF(INDEX(tblContractForDeed[End Bal],ROW()-ROW(tblContractForDeed[#Headers])-1)&lt;0,0,INDEX(tblContractForDeed[End Bal],ROW()-ROW(tblContractForDeed[#Headers])-1)))</f>
        <v>0</v>
      </c>
      <c r="P223" s="445">
        <f>IF(tblContractForDeed[[#This Row],[Date]]="","",IF(tblContractForDeed[[#This Row],[Date]]&lt;cfdRateChangeDate,cfdRate1,cfdRate2))</f>
        <v>6.7500000000000004E-2</v>
      </c>
      <c r="Q22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26">
        <f>IF(tblContractForDeed[[#This Row],[Payment]]=0,0,MAX(0,MIN(tblContractForDeed[[#This Row],[Beg]],tblContractForDeed[[#This Row],[Payment]]-tblContractForDeed[[#This Row],[Int]])))</f>
        <v>0</v>
      </c>
      <c r="S223" s="326">
        <f>IF(OR(tblContractForDeed[[#This Row],[Date]]&lt;cfdContractDate,tblContractForDeed[[#This Row],[Date]]&gt;cfdEndDate),0,ROUND(tblContractForDeed[[#This Row],[Beg]]*(tblContractForDeed[[#This Row],[Int Rate]]/12),2))</f>
        <v>0</v>
      </c>
      <c r="T223" s="326">
        <f>IF(tblContractForDeed[[#This Row],[Payment]]=0,0,$W$2)</f>
        <v>0</v>
      </c>
      <c r="U223" s="326">
        <f>IF(tblContractForDeed[[#This Row],[Princ]]=0,0,$W$3)</f>
        <v>0</v>
      </c>
      <c r="V223" s="326">
        <f>SUM(tblContractForDeed[[#This Row],[Princ]],tblContractForDeed[[#This Row],[Int]],tblContractForDeed[[#This Row],[Ins]],tblContractForDeed[[#This Row],[Taxes]])</f>
        <v>0</v>
      </c>
      <c r="W223" s="326">
        <f>SUM(INDEX(tblContractForDeed[Princ],1):INDEX(tblContractForDeed[Princ],ROW()-ROW(tblContractForDeed[#Headers])))</f>
        <v>75258.000000000029</v>
      </c>
      <c r="X223" s="326">
        <f>IF(tblContractForDeed[[#This Row],[Beg]]&lt;=0,0,tblContractForDeed[[#This Row],[Beg]]-tblContractForDeed[[#This Row],[Princ]])</f>
        <v>0</v>
      </c>
      <c r="Y22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55">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3" s="326">
        <f>IF(INDEX(tblContractForDeed[End Bal],ROW()-ROW(tblBuyerOutputs[#Headers]))&lt;=0,0,($O$6+IF(ROW()=ROW(tblBuyerOutputs[#Headers])+1,0,INDEX(tblBuyerOutputs[Cumul Appr],ROW()-ROW(tblBuyerOutputs[#Headers])-1)))*$O$2/12)</f>
        <v>0</v>
      </c>
      <c r="AE223" s="326">
        <f>IF(INDEX(tblContractForDeed[End Bal],ROW()-ROW(tblBuyerOutputs[#Headers]))&lt;=0,0,IF(ROW()=ROW(tblBuyerOutputs[#Headers])+1,0,INDEX(tblBuyerOutputs[Cumul Appr],ROW()-ROW(tblBuyerOutputs[#Headers])-1))+tblBuyerOutputs[[#This Row],[Monthly Appr]])</f>
        <v>0</v>
      </c>
      <c r="AF223" s="22"/>
      <c r="AG223" s="14"/>
      <c r="AL223"/>
      <c r="AM223" s="14"/>
      <c r="AO223" s="275"/>
      <c r="AQ223" s="14"/>
      <c r="AR223"/>
    </row>
    <row r="224" spans="1:44" x14ac:dyDescent="0.25">
      <c r="A224" s="590">
        <f t="shared" si="47"/>
        <v>52079</v>
      </c>
      <c r="B224" s="275">
        <f t="shared" si="48"/>
        <v>5544.0399999999609</v>
      </c>
      <c r="C224" s="14">
        <f t="shared" si="45"/>
        <v>625.80999999999995</v>
      </c>
      <c r="D224" s="14">
        <f t="shared" si="49"/>
        <v>608.4799999999999</v>
      </c>
      <c r="E224" s="14">
        <f t="shared" si="46"/>
        <v>17.329999999999998</v>
      </c>
      <c r="F224" s="14">
        <f t="shared" si="54"/>
        <v>134.16999999999999</v>
      </c>
      <c r="G224" s="14">
        <f t="shared" si="54"/>
        <v>188.55</v>
      </c>
      <c r="H224" s="14">
        <f t="shared" si="43"/>
        <v>948.53</v>
      </c>
      <c r="I224" s="275">
        <f t="shared" si="52"/>
        <v>92596.279999999984</v>
      </c>
      <c r="J224" s="275">
        <f t="shared" si="53"/>
        <v>35998.609999999979</v>
      </c>
      <c r="K224" s="275">
        <f t="shared" si="50"/>
        <v>4935.5599999999613</v>
      </c>
      <c r="L224" s="386">
        <f t="shared" si="41"/>
        <v>17</v>
      </c>
      <c r="M224" s="386">
        <f t="shared" si="51"/>
        <v>204</v>
      </c>
      <c r="N224" s="590">
        <f>INDEX(tblSubjectToLoan[Date],ROW()-ROW(tblContractForDeed[#Headers]))</f>
        <v>52079</v>
      </c>
      <c r="O224" s="275">
        <f>IF(ROW()=ROW(tblContractForDeed[#Headers])+1,$O$6,IF(INDEX(tblContractForDeed[End Bal],ROW()-ROW(tblContractForDeed[#Headers])-1)&lt;0,0,INDEX(tblContractForDeed[End Bal],ROW()-ROW(tblContractForDeed[#Headers])-1)))</f>
        <v>0</v>
      </c>
      <c r="P224" s="445">
        <f>IF(tblContractForDeed[[#This Row],[Date]]="","",IF(tblContractForDeed[[#This Row],[Date]]&lt;cfdRateChangeDate,cfdRate1,cfdRate2))</f>
        <v>6.7500000000000004E-2</v>
      </c>
      <c r="Q2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75">
        <f>IF(tblContractForDeed[[#This Row],[Payment]]=0,0,MAX(0,MIN(tblContractForDeed[[#This Row],[Beg]],tblContractForDeed[[#This Row],[Payment]]-tblContractForDeed[[#This Row],[Int]])))</f>
        <v>0</v>
      </c>
      <c r="S224" s="275">
        <f>IF(OR(tblContractForDeed[[#This Row],[Date]]&lt;cfdContractDate,tblContractForDeed[[#This Row],[Date]]&gt;cfdEndDate),0,ROUND(tblContractForDeed[[#This Row],[Beg]]*(tblContractForDeed[[#This Row],[Int Rate]]/12),2))</f>
        <v>0</v>
      </c>
      <c r="T224" s="275">
        <f>IF(tblContractForDeed[[#This Row],[Payment]]=0,0,$W$2)</f>
        <v>0</v>
      </c>
      <c r="U224" s="275">
        <f>IF(tblContractForDeed[[#This Row],[Princ]]=0,0,$W$3)</f>
        <v>0</v>
      </c>
      <c r="V224" s="275">
        <f>SUM(tblContractForDeed[[#This Row],[Princ]],tblContractForDeed[[#This Row],[Int]],tblContractForDeed[[#This Row],[Ins]],tblContractForDeed[[#This Row],[Taxes]])</f>
        <v>0</v>
      </c>
      <c r="W224" s="275">
        <f>SUM(INDEX(tblContractForDeed[Princ],1):INDEX(tblContractForDeed[Princ],ROW()-ROW(tblContractForDeed[#Headers])))</f>
        <v>75258.000000000029</v>
      </c>
      <c r="X224" s="275">
        <f>IF(tblContractForDeed[[#This Row],[Beg]]&lt;=0,0,tblContractForDeed[[#This Row],[Beg]]-tblContractForDeed[[#This Row],[Princ]])</f>
        <v>0</v>
      </c>
      <c r="Y22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54">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4" s="275">
        <f>IF(INDEX(tblContractForDeed[End Bal],ROW()-ROW(tblBuyerOutputs[#Headers]))&lt;=0,0,($O$6+IF(ROW()=ROW(tblBuyerOutputs[#Headers])+1,0,INDEX(tblBuyerOutputs[Cumul Appr],ROW()-ROW(tblBuyerOutputs[#Headers])-1)))*$O$2/12)</f>
        <v>0</v>
      </c>
      <c r="AE224" s="275">
        <f>IF(INDEX(tblContractForDeed[End Bal],ROW()-ROW(tblBuyerOutputs[#Headers]))&lt;=0,0,IF(ROW()=ROW(tblBuyerOutputs[#Headers])+1,0,INDEX(tblBuyerOutputs[Cumul Appr],ROW()-ROW(tblBuyerOutputs[#Headers])-1))+tblBuyerOutputs[[#This Row],[Monthly Appr]])</f>
        <v>0</v>
      </c>
      <c r="AF224" s="22"/>
      <c r="AG224" s="14"/>
      <c r="AL224"/>
      <c r="AM224" s="14"/>
      <c r="AO224" s="275"/>
      <c r="AQ224" s="14"/>
      <c r="AR224"/>
    </row>
    <row r="225" spans="1:44" x14ac:dyDescent="0.25">
      <c r="A225" s="590">
        <f t="shared" si="47"/>
        <v>52110</v>
      </c>
      <c r="B225" s="275">
        <f t="shared" si="48"/>
        <v>4935.5599999999613</v>
      </c>
      <c r="C225" s="14">
        <f t="shared" si="45"/>
        <v>625.80999999999995</v>
      </c>
      <c r="D225" s="14">
        <f t="shared" si="49"/>
        <v>610.39</v>
      </c>
      <c r="E225" s="14">
        <f t="shared" si="46"/>
        <v>15.42</v>
      </c>
      <c r="F225" s="14">
        <f t="shared" si="54"/>
        <v>134.16999999999999</v>
      </c>
      <c r="G225" s="14">
        <f t="shared" si="54"/>
        <v>188.55</v>
      </c>
      <c r="H225" s="14">
        <f t="shared" si="43"/>
        <v>948.53</v>
      </c>
      <c r="I225" s="275">
        <f t="shared" si="52"/>
        <v>93206.669999999984</v>
      </c>
      <c r="J225" s="275">
        <f t="shared" si="53"/>
        <v>36014.029999999977</v>
      </c>
      <c r="K225" s="275">
        <f t="shared" si="50"/>
        <v>4325.169999999961</v>
      </c>
      <c r="L225" s="386">
        <f t="shared" si="41"/>
        <v>17</v>
      </c>
      <c r="M225" s="386">
        <f t="shared" si="51"/>
        <v>205</v>
      </c>
      <c r="N225" s="590">
        <f>INDEX(tblSubjectToLoan[Date],ROW()-ROW(tblContractForDeed[#Headers]))</f>
        <v>52110</v>
      </c>
      <c r="O225" s="275">
        <f>IF(ROW()=ROW(tblContractForDeed[#Headers])+1,$O$6,IF(INDEX(tblContractForDeed[End Bal],ROW()-ROW(tblContractForDeed[#Headers])-1)&lt;0,0,INDEX(tblContractForDeed[End Bal],ROW()-ROW(tblContractForDeed[#Headers])-1)))</f>
        <v>0</v>
      </c>
      <c r="P225" s="445">
        <f>IF(tblContractForDeed[[#This Row],[Date]]="","",IF(tblContractForDeed[[#This Row],[Date]]&lt;cfdRateChangeDate,cfdRate1,cfdRate2))</f>
        <v>6.7500000000000004E-2</v>
      </c>
      <c r="Q2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75">
        <f>IF(tblContractForDeed[[#This Row],[Payment]]=0,0,MAX(0,MIN(tblContractForDeed[[#This Row],[Beg]],tblContractForDeed[[#This Row],[Payment]]-tblContractForDeed[[#This Row],[Int]])))</f>
        <v>0</v>
      </c>
      <c r="S225" s="275">
        <f>IF(OR(tblContractForDeed[[#This Row],[Date]]&lt;cfdContractDate,tblContractForDeed[[#This Row],[Date]]&gt;cfdEndDate),0,ROUND(tblContractForDeed[[#This Row],[Beg]]*(tblContractForDeed[[#This Row],[Int Rate]]/12),2))</f>
        <v>0</v>
      </c>
      <c r="T225" s="275">
        <f>IF(tblContractForDeed[[#This Row],[Payment]]=0,0,$W$2)</f>
        <v>0</v>
      </c>
      <c r="U225" s="275">
        <f>IF(tblContractForDeed[[#This Row],[Princ]]=0,0,$W$3)</f>
        <v>0</v>
      </c>
      <c r="V225" s="275">
        <f>SUM(tblContractForDeed[[#This Row],[Princ]],tblContractForDeed[[#This Row],[Int]],tblContractForDeed[[#This Row],[Ins]],tblContractForDeed[[#This Row],[Taxes]])</f>
        <v>0</v>
      </c>
      <c r="W225" s="275">
        <f>SUM(INDEX(tblContractForDeed[Princ],1):INDEX(tblContractForDeed[Princ],ROW()-ROW(tblContractForDeed[#Headers])))</f>
        <v>75258.000000000029</v>
      </c>
      <c r="X225" s="275">
        <f>IF(tblContractForDeed[[#This Row],[Beg]]&lt;=0,0,tblContractForDeed[[#This Row],[Beg]]-tblContractForDeed[[#This Row],[Princ]])</f>
        <v>0</v>
      </c>
      <c r="Y22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54">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5" s="275">
        <f>IF(INDEX(tblContractForDeed[End Bal],ROW()-ROW(tblBuyerOutputs[#Headers]))&lt;=0,0,($O$6+IF(ROW()=ROW(tblBuyerOutputs[#Headers])+1,0,INDEX(tblBuyerOutputs[Cumul Appr],ROW()-ROW(tblBuyerOutputs[#Headers])-1)))*$O$2/12)</f>
        <v>0</v>
      </c>
      <c r="AE225" s="275">
        <f>IF(INDEX(tblContractForDeed[End Bal],ROW()-ROW(tblBuyerOutputs[#Headers]))&lt;=0,0,IF(ROW()=ROW(tblBuyerOutputs[#Headers])+1,0,INDEX(tblBuyerOutputs[Cumul Appr],ROW()-ROW(tblBuyerOutputs[#Headers])-1))+tblBuyerOutputs[[#This Row],[Monthly Appr]])</f>
        <v>0</v>
      </c>
      <c r="AF225" s="22"/>
      <c r="AG225" s="14"/>
      <c r="AL225"/>
      <c r="AM225" s="14"/>
      <c r="AO225" s="275"/>
      <c r="AQ225" s="14"/>
      <c r="AR225"/>
    </row>
    <row r="226" spans="1:44" x14ac:dyDescent="0.25">
      <c r="A226" s="590">
        <f t="shared" si="47"/>
        <v>52140</v>
      </c>
      <c r="B226" s="275">
        <f t="shared" si="48"/>
        <v>4325.169999999961</v>
      </c>
      <c r="C226" s="14">
        <f t="shared" si="45"/>
        <v>625.80999999999995</v>
      </c>
      <c r="D226" s="14">
        <f t="shared" si="49"/>
        <v>612.29</v>
      </c>
      <c r="E226" s="14">
        <f t="shared" si="46"/>
        <v>13.52</v>
      </c>
      <c r="F226" s="14">
        <f t="shared" si="54"/>
        <v>134.16999999999999</v>
      </c>
      <c r="G226" s="14">
        <f t="shared" si="54"/>
        <v>188.55</v>
      </c>
      <c r="H226" s="14">
        <f t="shared" si="43"/>
        <v>948.53</v>
      </c>
      <c r="I226" s="275">
        <f t="shared" si="52"/>
        <v>93818.959999999977</v>
      </c>
      <c r="J226" s="275">
        <f t="shared" si="53"/>
        <v>36027.549999999974</v>
      </c>
      <c r="K226" s="275">
        <f t="shared" si="50"/>
        <v>3712.879999999961</v>
      </c>
      <c r="L226" s="386">
        <f t="shared" si="41"/>
        <v>17</v>
      </c>
      <c r="M226" s="386">
        <f t="shared" si="51"/>
        <v>206</v>
      </c>
      <c r="N226" s="590">
        <f>INDEX(tblSubjectToLoan[Date],ROW()-ROW(tblContractForDeed[#Headers]))</f>
        <v>52140</v>
      </c>
      <c r="O226" s="275">
        <f>IF(ROW()=ROW(tblContractForDeed[#Headers])+1,$O$6,IF(INDEX(tblContractForDeed[End Bal],ROW()-ROW(tblContractForDeed[#Headers])-1)&lt;0,0,INDEX(tblContractForDeed[End Bal],ROW()-ROW(tblContractForDeed[#Headers])-1)))</f>
        <v>0</v>
      </c>
      <c r="P226" s="445">
        <f>IF(tblContractForDeed[[#This Row],[Date]]="","",IF(tblContractForDeed[[#This Row],[Date]]&lt;cfdRateChangeDate,cfdRate1,cfdRate2))</f>
        <v>6.7500000000000004E-2</v>
      </c>
      <c r="Q2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75">
        <f>IF(tblContractForDeed[[#This Row],[Payment]]=0,0,MAX(0,MIN(tblContractForDeed[[#This Row],[Beg]],tblContractForDeed[[#This Row],[Payment]]-tblContractForDeed[[#This Row],[Int]])))</f>
        <v>0</v>
      </c>
      <c r="S226" s="275">
        <f>IF(OR(tblContractForDeed[[#This Row],[Date]]&lt;cfdContractDate,tblContractForDeed[[#This Row],[Date]]&gt;cfdEndDate),0,ROUND(tblContractForDeed[[#This Row],[Beg]]*(tblContractForDeed[[#This Row],[Int Rate]]/12),2))</f>
        <v>0</v>
      </c>
      <c r="T226" s="275">
        <f>IF(tblContractForDeed[[#This Row],[Payment]]=0,0,$W$2)</f>
        <v>0</v>
      </c>
      <c r="U226" s="275">
        <f>IF(tblContractForDeed[[#This Row],[Princ]]=0,0,$W$3)</f>
        <v>0</v>
      </c>
      <c r="V226" s="275">
        <f>SUM(tblContractForDeed[[#This Row],[Princ]],tblContractForDeed[[#This Row],[Int]],tblContractForDeed[[#This Row],[Ins]],tblContractForDeed[[#This Row],[Taxes]])</f>
        <v>0</v>
      </c>
      <c r="W226" s="275">
        <f>SUM(INDEX(tblContractForDeed[Princ],1):INDEX(tblContractForDeed[Princ],ROW()-ROW(tblContractForDeed[#Headers])))</f>
        <v>75258.000000000029</v>
      </c>
      <c r="X226" s="275">
        <f>IF(tblContractForDeed[[#This Row],[Beg]]&lt;=0,0,tblContractForDeed[[#This Row],[Beg]]-tblContractForDeed[[#This Row],[Princ]])</f>
        <v>0</v>
      </c>
      <c r="Y22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54">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6" s="275">
        <f>IF(INDEX(tblContractForDeed[End Bal],ROW()-ROW(tblBuyerOutputs[#Headers]))&lt;=0,0,($O$6+IF(ROW()=ROW(tblBuyerOutputs[#Headers])+1,0,INDEX(tblBuyerOutputs[Cumul Appr],ROW()-ROW(tblBuyerOutputs[#Headers])-1)))*$O$2/12)</f>
        <v>0</v>
      </c>
      <c r="AE226" s="275">
        <f>IF(INDEX(tblContractForDeed[End Bal],ROW()-ROW(tblBuyerOutputs[#Headers]))&lt;=0,0,IF(ROW()=ROW(tblBuyerOutputs[#Headers])+1,0,INDEX(tblBuyerOutputs[Cumul Appr],ROW()-ROW(tblBuyerOutputs[#Headers])-1))+tblBuyerOutputs[[#This Row],[Monthly Appr]])</f>
        <v>0</v>
      </c>
      <c r="AF226" s="22"/>
      <c r="AG226" s="14"/>
      <c r="AL226"/>
      <c r="AM226" s="14"/>
      <c r="AO226" s="275"/>
      <c r="AQ226" s="14"/>
      <c r="AR226"/>
    </row>
    <row r="227" spans="1:44" x14ac:dyDescent="0.25">
      <c r="A227" s="590">
        <f t="shared" si="47"/>
        <v>52171</v>
      </c>
      <c r="B227" s="275">
        <f t="shared" si="48"/>
        <v>3712.879999999961</v>
      </c>
      <c r="C227" s="14">
        <f t="shared" si="45"/>
        <v>625.80999999999995</v>
      </c>
      <c r="D227" s="14">
        <f t="shared" si="49"/>
        <v>614.20999999999992</v>
      </c>
      <c r="E227" s="14">
        <f t="shared" si="46"/>
        <v>11.6</v>
      </c>
      <c r="F227" s="14">
        <f t="shared" si="54"/>
        <v>134.16999999999999</v>
      </c>
      <c r="G227" s="14">
        <f t="shared" si="54"/>
        <v>188.55</v>
      </c>
      <c r="H227" s="14">
        <f t="shared" si="43"/>
        <v>948.53</v>
      </c>
      <c r="I227" s="275">
        <f t="shared" si="52"/>
        <v>94433.169999999984</v>
      </c>
      <c r="J227" s="275">
        <f t="shared" si="53"/>
        <v>36039.149999999972</v>
      </c>
      <c r="K227" s="275">
        <f t="shared" si="50"/>
        <v>3098.669999999961</v>
      </c>
      <c r="L227" s="386">
        <f t="shared" si="41"/>
        <v>17</v>
      </c>
      <c r="M227" s="386">
        <f t="shared" si="51"/>
        <v>207</v>
      </c>
      <c r="N227" s="590">
        <f>INDEX(tblSubjectToLoan[Date],ROW()-ROW(tblContractForDeed[#Headers]))</f>
        <v>52171</v>
      </c>
      <c r="O227" s="275">
        <f>IF(ROW()=ROW(tblContractForDeed[#Headers])+1,$O$6,IF(INDEX(tblContractForDeed[End Bal],ROW()-ROW(tblContractForDeed[#Headers])-1)&lt;0,0,INDEX(tblContractForDeed[End Bal],ROW()-ROW(tblContractForDeed[#Headers])-1)))</f>
        <v>0</v>
      </c>
      <c r="P227" s="445">
        <f>IF(tblContractForDeed[[#This Row],[Date]]="","",IF(tblContractForDeed[[#This Row],[Date]]&lt;cfdRateChangeDate,cfdRate1,cfdRate2))</f>
        <v>6.7500000000000004E-2</v>
      </c>
      <c r="Q22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75">
        <f>IF(tblContractForDeed[[#This Row],[Payment]]=0,0,MAX(0,MIN(tblContractForDeed[[#This Row],[Beg]],tblContractForDeed[[#This Row],[Payment]]-tblContractForDeed[[#This Row],[Int]])))</f>
        <v>0</v>
      </c>
      <c r="S227" s="275">
        <f>IF(OR(tblContractForDeed[[#This Row],[Date]]&lt;cfdContractDate,tblContractForDeed[[#This Row],[Date]]&gt;cfdEndDate),0,ROUND(tblContractForDeed[[#This Row],[Beg]]*(tblContractForDeed[[#This Row],[Int Rate]]/12),2))</f>
        <v>0</v>
      </c>
      <c r="T227" s="275">
        <f>IF(tblContractForDeed[[#This Row],[Payment]]=0,0,$W$2)</f>
        <v>0</v>
      </c>
      <c r="U227" s="275">
        <f>IF(tblContractForDeed[[#This Row],[Princ]]=0,0,$W$3)</f>
        <v>0</v>
      </c>
      <c r="V227" s="275">
        <f>SUM(tblContractForDeed[[#This Row],[Princ]],tblContractForDeed[[#This Row],[Int]],tblContractForDeed[[#This Row],[Ins]],tblContractForDeed[[#This Row],[Taxes]])</f>
        <v>0</v>
      </c>
      <c r="W227" s="275">
        <f>SUM(INDEX(tblContractForDeed[Princ],1):INDEX(tblContractForDeed[Princ],ROW()-ROW(tblContractForDeed[#Headers])))</f>
        <v>75258.000000000029</v>
      </c>
      <c r="X227" s="275">
        <f>IF(tblContractForDeed[[#This Row],[Beg]]&lt;=0,0,tblContractForDeed[[#This Row],[Beg]]-tblContractForDeed[[#This Row],[Princ]])</f>
        <v>0</v>
      </c>
      <c r="Y22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54">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7" s="275">
        <f>IF(INDEX(tblContractForDeed[End Bal],ROW()-ROW(tblBuyerOutputs[#Headers]))&lt;=0,0,($O$6+IF(ROW()=ROW(tblBuyerOutputs[#Headers])+1,0,INDEX(tblBuyerOutputs[Cumul Appr],ROW()-ROW(tblBuyerOutputs[#Headers])-1)))*$O$2/12)</f>
        <v>0</v>
      </c>
      <c r="AE227" s="275">
        <f>IF(INDEX(tblContractForDeed[End Bal],ROW()-ROW(tblBuyerOutputs[#Headers]))&lt;=0,0,IF(ROW()=ROW(tblBuyerOutputs[#Headers])+1,0,INDEX(tblBuyerOutputs[Cumul Appr],ROW()-ROW(tblBuyerOutputs[#Headers])-1))+tblBuyerOutputs[[#This Row],[Monthly Appr]])</f>
        <v>0</v>
      </c>
      <c r="AF227" s="22"/>
      <c r="AG227" s="14"/>
      <c r="AL227"/>
      <c r="AM227" s="14"/>
      <c r="AO227" s="275"/>
      <c r="AQ227" s="14"/>
      <c r="AR227"/>
    </row>
    <row r="228" spans="1:44" x14ac:dyDescent="0.25">
      <c r="A228" s="590">
        <f t="shared" si="47"/>
        <v>52201</v>
      </c>
      <c r="B228" s="275">
        <f t="shared" si="48"/>
        <v>3098.669999999961</v>
      </c>
      <c r="C228" s="14">
        <f t="shared" si="45"/>
        <v>625.80999999999995</v>
      </c>
      <c r="D228" s="14">
        <f t="shared" si="49"/>
        <v>616.13</v>
      </c>
      <c r="E228" s="14">
        <f t="shared" si="46"/>
        <v>9.68</v>
      </c>
      <c r="F228" s="14">
        <f t="shared" si="54"/>
        <v>134.16999999999999</v>
      </c>
      <c r="G228" s="14">
        <f t="shared" si="54"/>
        <v>188.55</v>
      </c>
      <c r="H228" s="14">
        <f t="shared" si="43"/>
        <v>948.53</v>
      </c>
      <c r="I228" s="275">
        <f t="shared" si="52"/>
        <v>95049.299999999988</v>
      </c>
      <c r="J228" s="275">
        <f t="shared" si="53"/>
        <v>36048.829999999973</v>
      </c>
      <c r="K228" s="275">
        <f t="shared" si="50"/>
        <v>2482.5399999999609</v>
      </c>
      <c r="L228" s="386">
        <f t="shared" si="41"/>
        <v>17</v>
      </c>
      <c r="M228" s="386">
        <f t="shared" si="51"/>
        <v>208</v>
      </c>
      <c r="N228" s="590">
        <f>INDEX(tblSubjectToLoan[Date],ROW()-ROW(tblContractForDeed[#Headers]))</f>
        <v>52201</v>
      </c>
      <c r="O228" s="275">
        <f>IF(ROW()=ROW(tblContractForDeed[#Headers])+1,$O$6,IF(INDEX(tblContractForDeed[End Bal],ROW()-ROW(tblContractForDeed[#Headers])-1)&lt;0,0,INDEX(tblContractForDeed[End Bal],ROW()-ROW(tblContractForDeed[#Headers])-1)))</f>
        <v>0</v>
      </c>
      <c r="P228" s="445">
        <f>IF(tblContractForDeed[[#This Row],[Date]]="","",IF(tblContractForDeed[[#This Row],[Date]]&lt;cfdRateChangeDate,cfdRate1,cfdRate2))</f>
        <v>6.7500000000000004E-2</v>
      </c>
      <c r="Q2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75">
        <f>IF(tblContractForDeed[[#This Row],[Payment]]=0,0,MAX(0,MIN(tblContractForDeed[[#This Row],[Beg]],tblContractForDeed[[#This Row],[Payment]]-tblContractForDeed[[#This Row],[Int]])))</f>
        <v>0</v>
      </c>
      <c r="S228" s="275">
        <f>IF(OR(tblContractForDeed[[#This Row],[Date]]&lt;cfdContractDate,tblContractForDeed[[#This Row],[Date]]&gt;cfdEndDate),0,ROUND(tblContractForDeed[[#This Row],[Beg]]*(tblContractForDeed[[#This Row],[Int Rate]]/12),2))</f>
        <v>0</v>
      </c>
      <c r="T228" s="275">
        <f>IF(tblContractForDeed[[#This Row],[Payment]]=0,0,$W$2)</f>
        <v>0</v>
      </c>
      <c r="U228" s="275">
        <f>IF(tblContractForDeed[[#This Row],[Princ]]=0,0,$W$3)</f>
        <v>0</v>
      </c>
      <c r="V228" s="275">
        <f>SUM(tblContractForDeed[[#This Row],[Princ]],tblContractForDeed[[#This Row],[Int]],tblContractForDeed[[#This Row],[Ins]],tblContractForDeed[[#This Row],[Taxes]])</f>
        <v>0</v>
      </c>
      <c r="W228" s="275">
        <f>SUM(INDEX(tblContractForDeed[Princ],1):INDEX(tblContractForDeed[Princ],ROW()-ROW(tblContractForDeed[#Headers])))</f>
        <v>75258.000000000029</v>
      </c>
      <c r="X228" s="275">
        <f>IF(tblContractForDeed[[#This Row],[Beg]]&lt;=0,0,tblContractForDeed[[#This Row],[Beg]]-tblContractForDeed[[#This Row],[Princ]])</f>
        <v>0</v>
      </c>
      <c r="Y22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54">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8" s="275">
        <f>IF(INDEX(tblContractForDeed[End Bal],ROW()-ROW(tblBuyerOutputs[#Headers]))&lt;=0,0,($O$6+IF(ROW()=ROW(tblBuyerOutputs[#Headers])+1,0,INDEX(tblBuyerOutputs[Cumul Appr],ROW()-ROW(tblBuyerOutputs[#Headers])-1)))*$O$2/12)</f>
        <v>0</v>
      </c>
      <c r="AE228" s="275">
        <f>IF(INDEX(tblContractForDeed[End Bal],ROW()-ROW(tblBuyerOutputs[#Headers]))&lt;=0,0,IF(ROW()=ROW(tblBuyerOutputs[#Headers])+1,0,INDEX(tblBuyerOutputs[Cumul Appr],ROW()-ROW(tblBuyerOutputs[#Headers])-1))+tblBuyerOutputs[[#This Row],[Monthly Appr]])</f>
        <v>0</v>
      </c>
      <c r="AF228" s="22"/>
      <c r="AG228" s="14"/>
      <c r="AL228"/>
      <c r="AM228" s="14"/>
      <c r="AO228" s="275"/>
      <c r="AQ228" s="14"/>
      <c r="AR228"/>
    </row>
    <row r="229" spans="1:44" x14ac:dyDescent="0.25">
      <c r="A229" s="590">
        <f t="shared" si="47"/>
        <v>52232</v>
      </c>
      <c r="B229" s="275">
        <f t="shared" si="48"/>
        <v>2482.5399999999609</v>
      </c>
      <c r="C229" s="14">
        <f t="shared" si="45"/>
        <v>625.80999999999995</v>
      </c>
      <c r="D229" s="14">
        <f t="shared" si="49"/>
        <v>618.04999999999995</v>
      </c>
      <c r="E229" s="14">
        <f t="shared" si="46"/>
        <v>7.76</v>
      </c>
      <c r="F229" s="14">
        <f t="shared" si="54"/>
        <v>134.16999999999999</v>
      </c>
      <c r="G229" s="14">
        <f t="shared" si="54"/>
        <v>188.55</v>
      </c>
      <c r="H229" s="14">
        <f t="shared" si="43"/>
        <v>948.53</v>
      </c>
      <c r="I229" s="275">
        <f t="shared" si="52"/>
        <v>95667.349999999991</v>
      </c>
      <c r="J229" s="275">
        <f t="shared" si="53"/>
        <v>36056.589999999975</v>
      </c>
      <c r="K229" s="275">
        <f t="shared" si="50"/>
        <v>1864.4899999999609</v>
      </c>
      <c r="L229" s="386">
        <f t="shared" si="41"/>
        <v>17</v>
      </c>
      <c r="M229" s="386">
        <f t="shared" si="51"/>
        <v>209</v>
      </c>
      <c r="N229" s="590">
        <f>INDEX(tblSubjectToLoan[Date],ROW()-ROW(tblContractForDeed[#Headers]))</f>
        <v>52232</v>
      </c>
      <c r="O229" s="275">
        <f>IF(ROW()=ROW(tblContractForDeed[#Headers])+1,$O$6,IF(INDEX(tblContractForDeed[End Bal],ROW()-ROW(tblContractForDeed[#Headers])-1)&lt;0,0,INDEX(tblContractForDeed[End Bal],ROW()-ROW(tblContractForDeed[#Headers])-1)))</f>
        <v>0</v>
      </c>
      <c r="P229" s="445">
        <f>IF(tblContractForDeed[[#This Row],[Date]]="","",IF(tblContractForDeed[[#This Row],[Date]]&lt;cfdRateChangeDate,cfdRate1,cfdRate2))</f>
        <v>6.7500000000000004E-2</v>
      </c>
      <c r="Q2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75">
        <f>IF(tblContractForDeed[[#This Row],[Payment]]=0,0,MAX(0,MIN(tblContractForDeed[[#This Row],[Beg]],tblContractForDeed[[#This Row],[Payment]]-tblContractForDeed[[#This Row],[Int]])))</f>
        <v>0</v>
      </c>
      <c r="S229" s="275">
        <f>IF(OR(tblContractForDeed[[#This Row],[Date]]&lt;cfdContractDate,tblContractForDeed[[#This Row],[Date]]&gt;cfdEndDate),0,ROUND(tblContractForDeed[[#This Row],[Beg]]*(tblContractForDeed[[#This Row],[Int Rate]]/12),2))</f>
        <v>0</v>
      </c>
      <c r="T229" s="275">
        <f>IF(tblContractForDeed[[#This Row],[Payment]]=0,0,$W$2)</f>
        <v>0</v>
      </c>
      <c r="U229" s="275">
        <f>IF(tblContractForDeed[[#This Row],[Princ]]=0,0,$W$3)</f>
        <v>0</v>
      </c>
      <c r="V229" s="275">
        <f>SUM(tblContractForDeed[[#This Row],[Princ]],tblContractForDeed[[#This Row],[Int]],tblContractForDeed[[#This Row],[Ins]],tblContractForDeed[[#This Row],[Taxes]])</f>
        <v>0</v>
      </c>
      <c r="W229" s="275">
        <f>SUM(INDEX(tblContractForDeed[Princ],1):INDEX(tblContractForDeed[Princ],ROW()-ROW(tblContractForDeed[#Headers])))</f>
        <v>75258.000000000029</v>
      </c>
      <c r="X229" s="275">
        <f>IF(tblContractForDeed[[#This Row],[Beg]]&lt;=0,0,tblContractForDeed[[#This Row],[Beg]]-tblContractForDeed[[#This Row],[Princ]])</f>
        <v>0</v>
      </c>
      <c r="Y22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54">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9" s="275">
        <f>IF(INDEX(tblContractForDeed[End Bal],ROW()-ROW(tblBuyerOutputs[#Headers]))&lt;=0,0,($O$6+IF(ROW()=ROW(tblBuyerOutputs[#Headers])+1,0,INDEX(tblBuyerOutputs[Cumul Appr],ROW()-ROW(tblBuyerOutputs[#Headers])-1)))*$O$2/12)</f>
        <v>0</v>
      </c>
      <c r="AE229" s="275">
        <f>IF(INDEX(tblContractForDeed[End Bal],ROW()-ROW(tblBuyerOutputs[#Headers]))&lt;=0,0,IF(ROW()=ROW(tblBuyerOutputs[#Headers])+1,0,INDEX(tblBuyerOutputs[Cumul Appr],ROW()-ROW(tblBuyerOutputs[#Headers])-1))+tblBuyerOutputs[[#This Row],[Monthly Appr]])</f>
        <v>0</v>
      </c>
      <c r="AF229" s="22"/>
      <c r="AG229" s="14"/>
      <c r="AL229"/>
      <c r="AM229" s="14"/>
      <c r="AO229" s="275"/>
      <c r="AQ229" s="14"/>
      <c r="AR229"/>
    </row>
    <row r="230" spans="1:44" x14ac:dyDescent="0.25">
      <c r="A230" s="590">
        <f t="shared" si="47"/>
        <v>52263</v>
      </c>
      <c r="B230" s="275">
        <f t="shared" si="48"/>
        <v>1864.4899999999609</v>
      </c>
      <c r="C230" s="14">
        <f t="shared" si="45"/>
        <v>625.80999999999995</v>
      </c>
      <c r="D230" s="14">
        <f t="shared" si="49"/>
        <v>619.9799999999999</v>
      </c>
      <c r="E230" s="14">
        <f t="shared" si="46"/>
        <v>5.83</v>
      </c>
      <c r="F230" s="14">
        <f t="shared" si="54"/>
        <v>134.16999999999999</v>
      </c>
      <c r="G230" s="14">
        <f t="shared" si="54"/>
        <v>188.55</v>
      </c>
      <c r="H230" s="14">
        <f t="shared" si="43"/>
        <v>948.53</v>
      </c>
      <c r="I230" s="275">
        <f t="shared" si="52"/>
        <v>96287.329999999987</v>
      </c>
      <c r="J230" s="275">
        <f t="shared" si="53"/>
        <v>36062.419999999976</v>
      </c>
      <c r="K230" s="275">
        <f t="shared" si="50"/>
        <v>1244.5099999999611</v>
      </c>
      <c r="L230" s="386">
        <f t="shared" si="41"/>
        <v>17</v>
      </c>
      <c r="M230" s="386">
        <f t="shared" si="51"/>
        <v>210</v>
      </c>
      <c r="N230" s="590">
        <f>INDEX(tblSubjectToLoan[Date],ROW()-ROW(tblContractForDeed[#Headers]))</f>
        <v>52263</v>
      </c>
      <c r="O230" s="275">
        <f>IF(ROW()=ROW(tblContractForDeed[#Headers])+1,$O$6,IF(INDEX(tblContractForDeed[End Bal],ROW()-ROW(tblContractForDeed[#Headers])-1)&lt;0,0,INDEX(tblContractForDeed[End Bal],ROW()-ROW(tblContractForDeed[#Headers])-1)))</f>
        <v>0</v>
      </c>
      <c r="P230" s="445">
        <f>IF(tblContractForDeed[[#This Row],[Date]]="","",IF(tblContractForDeed[[#This Row],[Date]]&lt;cfdRateChangeDate,cfdRate1,cfdRate2))</f>
        <v>6.7500000000000004E-2</v>
      </c>
      <c r="Q2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75">
        <f>IF(tblContractForDeed[[#This Row],[Payment]]=0,0,MAX(0,MIN(tblContractForDeed[[#This Row],[Beg]],tblContractForDeed[[#This Row],[Payment]]-tblContractForDeed[[#This Row],[Int]])))</f>
        <v>0</v>
      </c>
      <c r="S230" s="275">
        <f>IF(OR(tblContractForDeed[[#This Row],[Date]]&lt;cfdContractDate,tblContractForDeed[[#This Row],[Date]]&gt;cfdEndDate),0,ROUND(tblContractForDeed[[#This Row],[Beg]]*(tblContractForDeed[[#This Row],[Int Rate]]/12),2))</f>
        <v>0</v>
      </c>
      <c r="T230" s="275">
        <f>IF(tblContractForDeed[[#This Row],[Payment]]=0,0,$W$2)</f>
        <v>0</v>
      </c>
      <c r="U230" s="275">
        <f>IF(tblContractForDeed[[#This Row],[Princ]]=0,0,$W$3)</f>
        <v>0</v>
      </c>
      <c r="V230" s="275">
        <f>SUM(tblContractForDeed[[#This Row],[Princ]],tblContractForDeed[[#This Row],[Int]],tblContractForDeed[[#This Row],[Ins]],tblContractForDeed[[#This Row],[Taxes]])</f>
        <v>0</v>
      </c>
      <c r="W230" s="275">
        <f>SUM(INDEX(tblContractForDeed[Princ],1):INDEX(tblContractForDeed[Princ],ROW()-ROW(tblContractForDeed[#Headers])))</f>
        <v>75258.000000000029</v>
      </c>
      <c r="X230" s="275">
        <f>IF(tblContractForDeed[[#This Row],[Beg]]&lt;=0,0,tblContractForDeed[[#This Row],[Beg]]-tblContractForDeed[[#This Row],[Princ]])</f>
        <v>0</v>
      </c>
      <c r="Y23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54">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0" s="275">
        <f>IF(INDEX(tblContractForDeed[End Bal],ROW()-ROW(tblBuyerOutputs[#Headers]))&lt;=0,0,($O$6+IF(ROW()=ROW(tblBuyerOutputs[#Headers])+1,0,INDEX(tblBuyerOutputs[Cumul Appr],ROW()-ROW(tblBuyerOutputs[#Headers])-1)))*$O$2/12)</f>
        <v>0</v>
      </c>
      <c r="AE230" s="275">
        <f>IF(INDEX(tblContractForDeed[End Bal],ROW()-ROW(tblBuyerOutputs[#Headers]))&lt;=0,0,IF(ROW()=ROW(tblBuyerOutputs[#Headers])+1,0,INDEX(tblBuyerOutputs[Cumul Appr],ROW()-ROW(tblBuyerOutputs[#Headers])-1))+tblBuyerOutputs[[#This Row],[Monthly Appr]])</f>
        <v>0</v>
      </c>
      <c r="AF230" s="22"/>
      <c r="AG230" s="14"/>
      <c r="AL230"/>
      <c r="AM230" s="14"/>
      <c r="AO230" s="275"/>
      <c r="AQ230" s="14"/>
      <c r="AR230"/>
    </row>
    <row r="231" spans="1:44" x14ac:dyDescent="0.25">
      <c r="A231" s="590">
        <f t="shared" si="47"/>
        <v>52291</v>
      </c>
      <c r="B231" s="275">
        <f t="shared" si="48"/>
        <v>1244.5099999999611</v>
      </c>
      <c r="C231" s="14">
        <f t="shared" si="45"/>
        <v>625.80999999999995</v>
      </c>
      <c r="D231" s="14">
        <f t="shared" si="49"/>
        <v>621.91999999999996</v>
      </c>
      <c r="E231" s="14">
        <f t="shared" si="46"/>
        <v>3.89</v>
      </c>
      <c r="F231" s="14">
        <f t="shared" si="54"/>
        <v>134.16999999999999</v>
      </c>
      <c r="G231" s="14">
        <f t="shared" si="54"/>
        <v>188.55</v>
      </c>
      <c r="H231" s="14">
        <f t="shared" si="43"/>
        <v>948.53</v>
      </c>
      <c r="I231" s="275">
        <f t="shared" si="52"/>
        <v>96909.249999999985</v>
      </c>
      <c r="J231" s="275">
        <f t="shared" si="53"/>
        <v>36066.309999999976</v>
      </c>
      <c r="K231" s="275">
        <f t="shared" si="50"/>
        <v>622.58999999996115</v>
      </c>
      <c r="L231" s="386">
        <f t="shared" si="41"/>
        <v>17</v>
      </c>
      <c r="M231" s="386">
        <f t="shared" si="51"/>
        <v>211</v>
      </c>
      <c r="N231" s="590">
        <f>INDEX(tblSubjectToLoan[Date],ROW()-ROW(tblContractForDeed[#Headers]))</f>
        <v>52291</v>
      </c>
      <c r="O231" s="275">
        <f>IF(ROW()=ROW(tblContractForDeed[#Headers])+1,$O$6,IF(INDEX(tblContractForDeed[End Bal],ROW()-ROW(tblContractForDeed[#Headers])-1)&lt;0,0,INDEX(tblContractForDeed[End Bal],ROW()-ROW(tblContractForDeed[#Headers])-1)))</f>
        <v>0</v>
      </c>
      <c r="P231" s="445">
        <f>IF(tblContractForDeed[[#This Row],[Date]]="","",IF(tblContractForDeed[[#This Row],[Date]]&lt;cfdRateChangeDate,cfdRate1,cfdRate2))</f>
        <v>6.7500000000000004E-2</v>
      </c>
      <c r="Q23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75">
        <f>IF(tblContractForDeed[[#This Row],[Payment]]=0,0,MAX(0,MIN(tblContractForDeed[[#This Row],[Beg]],tblContractForDeed[[#This Row],[Payment]]-tblContractForDeed[[#This Row],[Int]])))</f>
        <v>0</v>
      </c>
      <c r="S231" s="275">
        <f>IF(OR(tblContractForDeed[[#This Row],[Date]]&lt;cfdContractDate,tblContractForDeed[[#This Row],[Date]]&gt;cfdEndDate),0,ROUND(tblContractForDeed[[#This Row],[Beg]]*(tblContractForDeed[[#This Row],[Int Rate]]/12),2))</f>
        <v>0</v>
      </c>
      <c r="T231" s="275">
        <f>IF(tblContractForDeed[[#This Row],[Payment]]=0,0,$W$2)</f>
        <v>0</v>
      </c>
      <c r="U231" s="275">
        <f>IF(tblContractForDeed[[#This Row],[Princ]]=0,0,$W$3)</f>
        <v>0</v>
      </c>
      <c r="V231" s="275">
        <f>SUM(tblContractForDeed[[#This Row],[Princ]],tblContractForDeed[[#This Row],[Int]],tblContractForDeed[[#This Row],[Ins]],tblContractForDeed[[#This Row],[Taxes]])</f>
        <v>0</v>
      </c>
      <c r="W231" s="275">
        <f>SUM(INDEX(tblContractForDeed[Princ],1):INDEX(tblContractForDeed[Princ],ROW()-ROW(tblContractForDeed[#Headers])))</f>
        <v>75258.000000000029</v>
      </c>
      <c r="X231" s="275">
        <f>IF(tblContractForDeed[[#This Row],[Beg]]&lt;=0,0,tblContractForDeed[[#This Row],[Beg]]-tblContractForDeed[[#This Row],[Princ]])</f>
        <v>0</v>
      </c>
      <c r="Y23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54">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1" s="275">
        <f>IF(INDEX(tblContractForDeed[End Bal],ROW()-ROW(tblBuyerOutputs[#Headers]))&lt;=0,0,($O$6+IF(ROW()=ROW(tblBuyerOutputs[#Headers])+1,0,INDEX(tblBuyerOutputs[Cumul Appr],ROW()-ROW(tblBuyerOutputs[#Headers])-1)))*$O$2/12)</f>
        <v>0</v>
      </c>
      <c r="AE231" s="275">
        <f>IF(INDEX(tblContractForDeed[End Bal],ROW()-ROW(tblBuyerOutputs[#Headers]))&lt;=0,0,IF(ROW()=ROW(tblBuyerOutputs[#Headers])+1,0,INDEX(tblBuyerOutputs[Cumul Appr],ROW()-ROW(tblBuyerOutputs[#Headers])-1))+tblBuyerOutputs[[#This Row],[Monthly Appr]])</f>
        <v>0</v>
      </c>
      <c r="AF231" s="22"/>
      <c r="AG231" s="14"/>
      <c r="AL231"/>
      <c r="AM231" s="14"/>
      <c r="AO231" s="275"/>
      <c r="AQ231" s="14"/>
      <c r="AR231"/>
    </row>
    <row r="232" spans="1:44" x14ac:dyDescent="0.25">
      <c r="A232" s="590">
        <f t="shared" si="47"/>
        <v>52322</v>
      </c>
      <c r="B232" s="275">
        <f t="shared" si="48"/>
        <v>622.58999999996115</v>
      </c>
      <c r="C232" s="14">
        <f t="shared" si="45"/>
        <v>624.5399999999612</v>
      </c>
      <c r="D232" s="14">
        <f t="shared" si="49"/>
        <v>622.58999999996115</v>
      </c>
      <c r="E232" s="14">
        <f t="shared" si="46"/>
        <v>1.95</v>
      </c>
      <c r="F232" s="14">
        <f t="shared" si="54"/>
        <v>134.16999999999999</v>
      </c>
      <c r="G232" s="14">
        <f t="shared" si="54"/>
        <v>188.55</v>
      </c>
      <c r="H232" s="14">
        <f t="shared" si="43"/>
        <v>947.25999999996111</v>
      </c>
      <c r="I232" s="275">
        <f t="shared" si="52"/>
        <v>97531.839999999953</v>
      </c>
      <c r="J232" s="275">
        <f t="shared" si="53"/>
        <v>36068.259999999973</v>
      </c>
      <c r="K232" s="275">
        <f t="shared" si="50"/>
        <v>0</v>
      </c>
      <c r="L232" s="386">
        <f t="shared" si="41"/>
        <v>17</v>
      </c>
      <c r="M232" s="386">
        <f t="shared" si="51"/>
        <v>212</v>
      </c>
      <c r="N232" s="590">
        <f>INDEX(tblSubjectToLoan[Date],ROW()-ROW(tblContractForDeed[#Headers]))</f>
        <v>52322</v>
      </c>
      <c r="O232" s="275">
        <f>IF(ROW()=ROW(tblContractForDeed[#Headers])+1,$O$6,IF(INDEX(tblContractForDeed[End Bal],ROW()-ROW(tblContractForDeed[#Headers])-1)&lt;0,0,INDEX(tblContractForDeed[End Bal],ROW()-ROW(tblContractForDeed[#Headers])-1)))</f>
        <v>0</v>
      </c>
      <c r="P232" s="445">
        <f>IF(tblContractForDeed[[#This Row],[Date]]="","",IF(tblContractForDeed[[#This Row],[Date]]&lt;cfdRateChangeDate,cfdRate1,cfdRate2))</f>
        <v>6.7500000000000004E-2</v>
      </c>
      <c r="Q2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75">
        <f>IF(tblContractForDeed[[#This Row],[Payment]]=0,0,MAX(0,MIN(tblContractForDeed[[#This Row],[Beg]],tblContractForDeed[[#This Row],[Payment]]-tblContractForDeed[[#This Row],[Int]])))</f>
        <v>0</v>
      </c>
      <c r="S232" s="275">
        <f>IF(OR(tblContractForDeed[[#This Row],[Date]]&lt;cfdContractDate,tblContractForDeed[[#This Row],[Date]]&gt;cfdEndDate),0,ROUND(tblContractForDeed[[#This Row],[Beg]]*(tblContractForDeed[[#This Row],[Int Rate]]/12),2))</f>
        <v>0</v>
      </c>
      <c r="T232" s="275">
        <f>IF(tblContractForDeed[[#This Row],[Payment]]=0,0,$W$2)</f>
        <v>0</v>
      </c>
      <c r="U232" s="275">
        <f>IF(tblContractForDeed[[#This Row],[Princ]]=0,0,$W$3)</f>
        <v>0</v>
      </c>
      <c r="V232" s="275">
        <f>SUM(tblContractForDeed[[#This Row],[Princ]],tblContractForDeed[[#This Row],[Int]],tblContractForDeed[[#This Row],[Ins]],tblContractForDeed[[#This Row],[Taxes]])</f>
        <v>0</v>
      </c>
      <c r="W232" s="275">
        <f>SUM(INDEX(tblContractForDeed[Princ],1):INDEX(tblContractForDeed[Princ],ROW()-ROW(tblContractForDeed[#Headers])))</f>
        <v>75258.000000000029</v>
      </c>
      <c r="X232" s="275">
        <f>IF(tblContractForDeed[[#This Row],[Beg]]&lt;=0,0,tblContractForDeed[[#This Row],[Beg]]-tblContractForDeed[[#This Row],[Princ]])</f>
        <v>0</v>
      </c>
      <c r="Y23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54">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2" s="275">
        <f>IF(INDEX(tblContractForDeed[End Bal],ROW()-ROW(tblBuyerOutputs[#Headers]))&lt;=0,0,($O$6+IF(ROW()=ROW(tblBuyerOutputs[#Headers])+1,0,INDEX(tblBuyerOutputs[Cumul Appr],ROW()-ROW(tblBuyerOutputs[#Headers])-1)))*$O$2/12)</f>
        <v>0</v>
      </c>
      <c r="AE232" s="275">
        <f>IF(INDEX(tblContractForDeed[End Bal],ROW()-ROW(tblBuyerOutputs[#Headers]))&lt;=0,0,IF(ROW()=ROW(tblBuyerOutputs[#Headers])+1,0,INDEX(tblBuyerOutputs[Cumul Appr],ROW()-ROW(tblBuyerOutputs[#Headers])-1))+tblBuyerOutputs[[#This Row],[Monthly Appr]])</f>
        <v>0</v>
      </c>
      <c r="AF232" s="22"/>
      <c r="AG232" s="14"/>
      <c r="AL232"/>
      <c r="AM232" s="14"/>
      <c r="AO232" s="275"/>
      <c r="AQ232" s="14"/>
      <c r="AR232"/>
    </row>
    <row r="233" spans="1:44" x14ac:dyDescent="0.25">
      <c r="A233" s="590" t="str">
        <f t="shared" si="47"/>
        <v/>
      </c>
      <c r="B233" s="275">
        <f t="shared" si="48"/>
        <v>0</v>
      </c>
      <c r="C233" s="14">
        <f t="shared" si="45"/>
        <v>0</v>
      </c>
      <c r="D233" s="14">
        <f t="shared" si="49"/>
        <v>0</v>
      </c>
      <c r="E233" s="14">
        <f t="shared" si="46"/>
        <v>0</v>
      </c>
      <c r="F233" s="14">
        <f t="shared" si="54"/>
        <v>134.16999999999999</v>
      </c>
      <c r="G233" s="14">
        <f t="shared" si="54"/>
        <v>188.55</v>
      </c>
      <c r="H233" s="14">
        <f t="shared" si="43"/>
        <v>322.72000000000003</v>
      </c>
      <c r="I233" s="275">
        <f t="shared" si="52"/>
        <v>97531.839999999953</v>
      </c>
      <c r="J233" s="275">
        <f t="shared" si="53"/>
        <v>36068.259999999973</v>
      </c>
      <c r="K233" s="275">
        <f t="shared" si="50"/>
        <v>0</v>
      </c>
      <c r="L233" s="386">
        <f t="shared" si="41"/>
        <v>0</v>
      </c>
      <c r="M233" s="386">
        <f t="shared" si="51"/>
        <v>0</v>
      </c>
      <c r="N233" s="590" t="str">
        <f>INDEX(tblSubjectToLoan[Date],ROW()-ROW(tblContractForDeed[#Headers]))</f>
        <v/>
      </c>
      <c r="O233" s="275">
        <f>IF(ROW()=ROW(tblContractForDeed[#Headers])+1,$O$6,IF(INDEX(tblContractForDeed[End Bal],ROW()-ROW(tblContractForDeed[#Headers])-1)&lt;0,0,INDEX(tblContractForDeed[End Bal],ROW()-ROW(tblContractForDeed[#Headers])-1)))</f>
        <v>0</v>
      </c>
      <c r="P233" s="445" t="str">
        <f>IF(tblContractForDeed[[#This Row],[Date]]="","",IF(tblContractForDeed[[#This Row],[Date]]&lt;cfdRateChangeDate,cfdRate1,cfdRate2))</f>
        <v/>
      </c>
      <c r="Q2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75">
        <f>IF(tblContractForDeed[[#This Row],[Payment]]=0,0,MAX(0,MIN(tblContractForDeed[[#This Row],[Beg]],tblContractForDeed[[#This Row],[Payment]]-tblContractForDeed[[#This Row],[Int]])))</f>
        <v>0</v>
      </c>
      <c r="S233" s="275">
        <f>IF(OR(tblContractForDeed[[#This Row],[Date]]&lt;cfdContractDate,tblContractForDeed[[#This Row],[Date]]&gt;cfdEndDate),0,ROUND(tblContractForDeed[[#This Row],[Beg]]*(tblContractForDeed[[#This Row],[Int Rate]]/12),2))</f>
        <v>0</v>
      </c>
      <c r="T233" s="275">
        <f>IF(tblContractForDeed[[#This Row],[Payment]]=0,0,$W$2)</f>
        <v>0</v>
      </c>
      <c r="U233" s="275">
        <f>IF(tblContractForDeed[[#This Row],[Princ]]=0,0,$W$3)</f>
        <v>0</v>
      </c>
      <c r="V233" s="275">
        <f>SUM(tblContractForDeed[[#This Row],[Princ]],tblContractForDeed[[#This Row],[Int]],tblContractForDeed[[#This Row],[Ins]],tblContractForDeed[[#This Row],[Taxes]])</f>
        <v>0</v>
      </c>
      <c r="W233" s="275">
        <f>SUM(INDEX(tblContractForDeed[Princ],1):INDEX(tblContractForDeed[Princ],ROW()-ROW(tblContractForDeed[#Headers])))</f>
        <v>75258.000000000029</v>
      </c>
      <c r="X233" s="275">
        <f>IF(tblContractForDeed[[#This Row],[Beg]]&lt;=0,0,tblContractForDeed[[#This Row],[Beg]]-tblContractForDeed[[#This Row],[Princ]])</f>
        <v>0</v>
      </c>
      <c r="Y23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54">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3" s="275">
        <f>IF(INDEX(tblContractForDeed[End Bal],ROW()-ROW(tblBuyerOutputs[#Headers]))&lt;=0,0,($O$6+IF(ROW()=ROW(tblBuyerOutputs[#Headers])+1,0,INDEX(tblBuyerOutputs[Cumul Appr],ROW()-ROW(tblBuyerOutputs[#Headers])-1)))*$O$2/12)</f>
        <v>0</v>
      </c>
      <c r="AE233" s="275">
        <f>IF(INDEX(tblContractForDeed[End Bal],ROW()-ROW(tblBuyerOutputs[#Headers]))&lt;=0,0,IF(ROW()=ROW(tblBuyerOutputs[#Headers])+1,0,INDEX(tblBuyerOutputs[Cumul Appr],ROW()-ROW(tblBuyerOutputs[#Headers])-1))+tblBuyerOutputs[[#This Row],[Monthly Appr]])</f>
        <v>0</v>
      </c>
      <c r="AF233" s="22"/>
      <c r="AG233" s="14"/>
      <c r="AL233"/>
      <c r="AM233" s="14"/>
      <c r="AO233" s="275"/>
      <c r="AQ233" s="14"/>
      <c r="AR233"/>
    </row>
    <row r="234" spans="1:44" x14ac:dyDescent="0.25">
      <c r="A234" s="590" t="str">
        <f t="shared" si="47"/>
        <v/>
      </c>
      <c r="B234" s="275">
        <f t="shared" si="48"/>
        <v>0</v>
      </c>
      <c r="C234" s="14">
        <f t="shared" si="45"/>
        <v>0</v>
      </c>
      <c r="D234" s="14">
        <f t="shared" si="49"/>
        <v>0</v>
      </c>
      <c r="E234" s="14">
        <f t="shared" si="46"/>
        <v>0</v>
      </c>
      <c r="F234" s="14">
        <f t="shared" si="54"/>
        <v>134.16999999999999</v>
      </c>
      <c r="G234" s="14">
        <f t="shared" si="54"/>
        <v>188.55</v>
      </c>
      <c r="H234" s="14">
        <f t="shared" si="43"/>
        <v>322.72000000000003</v>
      </c>
      <c r="I234" s="275">
        <f t="shared" si="52"/>
        <v>97531.839999999953</v>
      </c>
      <c r="J234" s="275">
        <f t="shared" si="53"/>
        <v>36068.259999999973</v>
      </c>
      <c r="K234" s="275">
        <f t="shared" si="50"/>
        <v>0</v>
      </c>
      <c r="L234" s="386">
        <f t="shared" si="41"/>
        <v>0</v>
      </c>
      <c r="M234" s="386">
        <f t="shared" si="51"/>
        <v>0</v>
      </c>
      <c r="N234" s="590" t="str">
        <f>INDEX(tblSubjectToLoan[Date],ROW()-ROW(tblContractForDeed[#Headers]))</f>
        <v/>
      </c>
      <c r="O234" s="275">
        <f>IF(ROW()=ROW(tblContractForDeed[#Headers])+1,$O$6,IF(INDEX(tblContractForDeed[End Bal],ROW()-ROW(tblContractForDeed[#Headers])-1)&lt;0,0,INDEX(tblContractForDeed[End Bal],ROW()-ROW(tblContractForDeed[#Headers])-1)))</f>
        <v>0</v>
      </c>
      <c r="P234" s="445" t="str">
        <f>IF(tblContractForDeed[[#This Row],[Date]]="","",IF(tblContractForDeed[[#This Row],[Date]]&lt;cfdRateChangeDate,cfdRate1,cfdRate2))</f>
        <v/>
      </c>
      <c r="Q2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75">
        <f>IF(tblContractForDeed[[#This Row],[Payment]]=0,0,MAX(0,MIN(tblContractForDeed[[#This Row],[Beg]],tblContractForDeed[[#This Row],[Payment]]-tblContractForDeed[[#This Row],[Int]])))</f>
        <v>0</v>
      </c>
      <c r="S234" s="275">
        <f>IF(OR(tblContractForDeed[[#This Row],[Date]]&lt;cfdContractDate,tblContractForDeed[[#This Row],[Date]]&gt;cfdEndDate),0,ROUND(tblContractForDeed[[#This Row],[Beg]]*(tblContractForDeed[[#This Row],[Int Rate]]/12),2))</f>
        <v>0</v>
      </c>
      <c r="T234" s="275">
        <f>IF(tblContractForDeed[[#This Row],[Payment]]=0,0,$W$2)</f>
        <v>0</v>
      </c>
      <c r="U234" s="275">
        <f>IF(tblContractForDeed[[#This Row],[Princ]]=0,0,$W$3)</f>
        <v>0</v>
      </c>
      <c r="V234" s="275">
        <f>SUM(tblContractForDeed[[#This Row],[Princ]],tblContractForDeed[[#This Row],[Int]],tblContractForDeed[[#This Row],[Ins]],tblContractForDeed[[#This Row],[Taxes]])</f>
        <v>0</v>
      </c>
      <c r="W234" s="275">
        <f>SUM(INDEX(tblContractForDeed[Princ],1):INDEX(tblContractForDeed[Princ],ROW()-ROW(tblContractForDeed[#Headers])))</f>
        <v>75258.000000000029</v>
      </c>
      <c r="X234" s="275">
        <f>IF(tblContractForDeed[[#This Row],[Beg]]&lt;=0,0,tblContractForDeed[[#This Row],[Beg]]-tblContractForDeed[[#This Row],[Princ]])</f>
        <v>0</v>
      </c>
      <c r="Y23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54">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4" s="275">
        <f>IF(INDEX(tblContractForDeed[End Bal],ROW()-ROW(tblBuyerOutputs[#Headers]))&lt;=0,0,($O$6+IF(ROW()=ROW(tblBuyerOutputs[#Headers])+1,0,INDEX(tblBuyerOutputs[Cumul Appr],ROW()-ROW(tblBuyerOutputs[#Headers])-1)))*$O$2/12)</f>
        <v>0</v>
      </c>
      <c r="AE234" s="275">
        <f>IF(INDEX(tblContractForDeed[End Bal],ROW()-ROW(tblBuyerOutputs[#Headers]))&lt;=0,0,IF(ROW()=ROW(tblBuyerOutputs[#Headers])+1,0,INDEX(tblBuyerOutputs[Cumul Appr],ROW()-ROW(tblBuyerOutputs[#Headers])-1))+tblBuyerOutputs[[#This Row],[Monthly Appr]])</f>
        <v>0</v>
      </c>
      <c r="AF234" s="22"/>
      <c r="AG234" s="14"/>
      <c r="AL234"/>
      <c r="AM234" s="14"/>
      <c r="AO234" s="275"/>
      <c r="AQ234" s="14"/>
      <c r="AR234"/>
    </row>
    <row r="235" spans="1:44" ht="15.75" thickBot="1" x14ac:dyDescent="0.3">
      <c r="A235" s="591" t="str">
        <f t="shared" si="47"/>
        <v/>
      </c>
      <c r="B235" s="326">
        <f t="shared" si="48"/>
        <v>0</v>
      </c>
      <c r="C235" s="21">
        <f t="shared" si="45"/>
        <v>0</v>
      </c>
      <c r="D235" s="21">
        <f t="shared" si="49"/>
        <v>0</v>
      </c>
      <c r="E235" s="21">
        <f t="shared" si="46"/>
        <v>0</v>
      </c>
      <c r="F235" s="21">
        <f t="shared" si="54"/>
        <v>134.16999999999999</v>
      </c>
      <c r="G235" s="21">
        <f t="shared" si="54"/>
        <v>188.55</v>
      </c>
      <c r="H235" s="21">
        <f t="shared" si="43"/>
        <v>322.72000000000003</v>
      </c>
      <c r="I235" s="326">
        <f t="shared" si="52"/>
        <v>97531.839999999953</v>
      </c>
      <c r="J235" s="326">
        <f t="shared" si="53"/>
        <v>36068.259999999973</v>
      </c>
      <c r="K235" s="326">
        <f t="shared" si="50"/>
        <v>0</v>
      </c>
      <c r="L235" s="387">
        <f t="shared" si="41"/>
        <v>0</v>
      </c>
      <c r="M235" s="387">
        <f t="shared" si="51"/>
        <v>0</v>
      </c>
      <c r="N235" s="591" t="str">
        <f>INDEX(tblSubjectToLoan[Date],ROW()-ROW(tblContractForDeed[#Headers]))</f>
        <v/>
      </c>
      <c r="O235" s="326">
        <f>IF(ROW()=ROW(tblContractForDeed[#Headers])+1,$O$6,IF(INDEX(tblContractForDeed[End Bal],ROW()-ROW(tblContractForDeed[#Headers])-1)&lt;0,0,INDEX(tblContractForDeed[End Bal],ROW()-ROW(tblContractForDeed[#Headers])-1)))</f>
        <v>0</v>
      </c>
      <c r="P235" s="445" t="str">
        <f>IF(tblContractForDeed[[#This Row],[Date]]="","",IF(tblContractForDeed[[#This Row],[Date]]&lt;cfdRateChangeDate,cfdRate1,cfdRate2))</f>
        <v/>
      </c>
      <c r="Q23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26">
        <f>IF(tblContractForDeed[[#This Row],[Payment]]=0,0,MAX(0,MIN(tblContractForDeed[[#This Row],[Beg]],tblContractForDeed[[#This Row],[Payment]]-tblContractForDeed[[#This Row],[Int]])))</f>
        <v>0</v>
      </c>
      <c r="S235" s="326">
        <f>IF(OR(tblContractForDeed[[#This Row],[Date]]&lt;cfdContractDate,tblContractForDeed[[#This Row],[Date]]&gt;cfdEndDate),0,ROUND(tblContractForDeed[[#This Row],[Beg]]*(tblContractForDeed[[#This Row],[Int Rate]]/12),2))</f>
        <v>0</v>
      </c>
      <c r="T235" s="326">
        <f>IF(tblContractForDeed[[#This Row],[Payment]]=0,0,$W$2)</f>
        <v>0</v>
      </c>
      <c r="U235" s="326">
        <f>IF(tblContractForDeed[[#This Row],[Princ]]=0,0,$W$3)</f>
        <v>0</v>
      </c>
      <c r="V235" s="326">
        <f>SUM(tblContractForDeed[[#This Row],[Princ]],tblContractForDeed[[#This Row],[Int]],tblContractForDeed[[#This Row],[Ins]],tblContractForDeed[[#This Row],[Taxes]])</f>
        <v>0</v>
      </c>
      <c r="W235" s="326">
        <f>SUM(INDEX(tblContractForDeed[Princ],1):INDEX(tblContractForDeed[Princ],ROW()-ROW(tblContractForDeed[#Headers])))</f>
        <v>75258.000000000029</v>
      </c>
      <c r="X235" s="326">
        <f>IF(tblContractForDeed[[#This Row],[Beg]]&lt;=0,0,tblContractForDeed[[#This Row],[Beg]]-tblContractForDeed[[#This Row],[Princ]])</f>
        <v>0</v>
      </c>
      <c r="Y23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55">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5" s="326">
        <f>IF(INDEX(tblContractForDeed[End Bal],ROW()-ROW(tblBuyerOutputs[#Headers]))&lt;=0,0,($O$6+IF(ROW()=ROW(tblBuyerOutputs[#Headers])+1,0,INDEX(tblBuyerOutputs[Cumul Appr],ROW()-ROW(tblBuyerOutputs[#Headers])-1)))*$O$2/12)</f>
        <v>0</v>
      </c>
      <c r="AE235" s="326">
        <f>IF(INDEX(tblContractForDeed[End Bal],ROW()-ROW(tblBuyerOutputs[#Headers]))&lt;=0,0,IF(ROW()=ROW(tblBuyerOutputs[#Headers])+1,0,INDEX(tblBuyerOutputs[Cumul Appr],ROW()-ROW(tblBuyerOutputs[#Headers])-1))+tblBuyerOutputs[[#This Row],[Monthly Appr]])</f>
        <v>0</v>
      </c>
      <c r="AF235" s="22"/>
      <c r="AG235" s="14"/>
      <c r="AL235"/>
      <c r="AM235" s="14"/>
      <c r="AO235" s="275"/>
      <c r="AQ235" s="14"/>
      <c r="AR235"/>
    </row>
    <row r="236" spans="1:44" x14ac:dyDescent="0.25">
      <c r="A236" s="590" t="str">
        <f t="shared" si="47"/>
        <v/>
      </c>
      <c r="B236" s="275">
        <f t="shared" si="48"/>
        <v>0</v>
      </c>
      <c r="C236" s="14">
        <f t="shared" si="45"/>
        <v>0</v>
      </c>
      <c r="D236" s="14">
        <f t="shared" si="49"/>
        <v>0</v>
      </c>
      <c r="E236" s="14">
        <f t="shared" si="46"/>
        <v>0</v>
      </c>
      <c r="F236" s="14">
        <f t="shared" si="54"/>
        <v>134.16999999999999</v>
      </c>
      <c r="G236" s="14">
        <f t="shared" si="54"/>
        <v>188.55</v>
      </c>
      <c r="H236" s="14">
        <f t="shared" si="43"/>
        <v>322.72000000000003</v>
      </c>
      <c r="I236" s="275">
        <f t="shared" si="52"/>
        <v>97531.839999999953</v>
      </c>
      <c r="J236" s="275">
        <f t="shared" si="53"/>
        <v>36068.259999999973</v>
      </c>
      <c r="K236" s="275">
        <f t="shared" si="50"/>
        <v>0</v>
      </c>
      <c r="L236" s="386">
        <f t="shared" si="41"/>
        <v>0</v>
      </c>
      <c r="M236" s="386">
        <f t="shared" si="51"/>
        <v>0</v>
      </c>
      <c r="N236" s="590" t="str">
        <f>INDEX(tblSubjectToLoan[Date],ROW()-ROW(tblContractForDeed[#Headers]))</f>
        <v/>
      </c>
      <c r="O236" s="275">
        <f>IF(ROW()=ROW(tblContractForDeed[#Headers])+1,$O$6,IF(INDEX(tblContractForDeed[End Bal],ROW()-ROW(tblContractForDeed[#Headers])-1)&lt;0,0,INDEX(tblContractForDeed[End Bal],ROW()-ROW(tblContractForDeed[#Headers])-1)))</f>
        <v>0</v>
      </c>
      <c r="P236" s="445" t="str">
        <f>IF(tblContractForDeed[[#This Row],[Date]]="","",IF(tblContractForDeed[[#This Row],[Date]]&lt;cfdRateChangeDate,cfdRate1,cfdRate2))</f>
        <v/>
      </c>
      <c r="Q2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75">
        <f>IF(tblContractForDeed[[#This Row],[Payment]]=0,0,MAX(0,MIN(tblContractForDeed[[#This Row],[Beg]],tblContractForDeed[[#This Row],[Payment]]-tblContractForDeed[[#This Row],[Int]])))</f>
        <v>0</v>
      </c>
      <c r="S236" s="275">
        <f>IF(OR(tblContractForDeed[[#This Row],[Date]]&lt;cfdContractDate,tblContractForDeed[[#This Row],[Date]]&gt;cfdEndDate),0,ROUND(tblContractForDeed[[#This Row],[Beg]]*(tblContractForDeed[[#This Row],[Int Rate]]/12),2))</f>
        <v>0</v>
      </c>
      <c r="T236" s="275">
        <f>IF(tblContractForDeed[[#This Row],[Payment]]=0,0,$W$2)</f>
        <v>0</v>
      </c>
      <c r="U236" s="275">
        <f>IF(tblContractForDeed[[#This Row],[Princ]]=0,0,$W$3)</f>
        <v>0</v>
      </c>
      <c r="V236" s="275">
        <f>SUM(tblContractForDeed[[#This Row],[Princ]],tblContractForDeed[[#This Row],[Int]],tblContractForDeed[[#This Row],[Ins]],tblContractForDeed[[#This Row],[Taxes]])</f>
        <v>0</v>
      </c>
      <c r="W236" s="275">
        <f>SUM(INDEX(tblContractForDeed[Princ],1):INDEX(tblContractForDeed[Princ],ROW()-ROW(tblContractForDeed[#Headers])))</f>
        <v>75258.000000000029</v>
      </c>
      <c r="X236" s="275">
        <f>IF(tblContractForDeed[[#This Row],[Beg]]&lt;=0,0,tblContractForDeed[[#This Row],[Beg]]-tblContractForDeed[[#This Row],[Princ]])</f>
        <v>0</v>
      </c>
      <c r="Y23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54">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6" s="275">
        <f>IF(INDEX(tblContractForDeed[End Bal],ROW()-ROW(tblBuyerOutputs[#Headers]))&lt;=0,0,($O$6+IF(ROW()=ROW(tblBuyerOutputs[#Headers])+1,0,INDEX(tblBuyerOutputs[Cumul Appr],ROW()-ROW(tblBuyerOutputs[#Headers])-1)))*$O$2/12)</f>
        <v>0</v>
      </c>
      <c r="AE236" s="275">
        <f>IF(INDEX(tblContractForDeed[End Bal],ROW()-ROW(tblBuyerOutputs[#Headers]))&lt;=0,0,IF(ROW()=ROW(tblBuyerOutputs[#Headers])+1,0,INDEX(tblBuyerOutputs[Cumul Appr],ROW()-ROW(tblBuyerOutputs[#Headers])-1))+tblBuyerOutputs[[#This Row],[Monthly Appr]])</f>
        <v>0</v>
      </c>
      <c r="AF236" s="22"/>
      <c r="AG236" s="14"/>
      <c r="AL236"/>
      <c r="AM236" s="14"/>
      <c r="AO236" s="275"/>
      <c r="AQ236" s="14"/>
      <c r="AR236"/>
    </row>
    <row r="237" spans="1:44" x14ac:dyDescent="0.25">
      <c r="A237" s="590" t="str">
        <f t="shared" si="47"/>
        <v/>
      </c>
      <c r="B237" s="275">
        <f t="shared" si="48"/>
        <v>0</v>
      </c>
      <c r="C237" s="14">
        <f t="shared" si="45"/>
        <v>0</v>
      </c>
      <c r="D237" s="14">
        <f t="shared" si="49"/>
        <v>0</v>
      </c>
      <c r="E237" s="14">
        <f t="shared" si="46"/>
        <v>0</v>
      </c>
      <c r="F237" s="14">
        <f t="shared" si="54"/>
        <v>134.16999999999999</v>
      </c>
      <c r="G237" s="14">
        <f t="shared" si="54"/>
        <v>188.55</v>
      </c>
      <c r="H237" s="14">
        <f t="shared" si="43"/>
        <v>322.72000000000003</v>
      </c>
      <c r="I237" s="275">
        <f t="shared" si="52"/>
        <v>97531.839999999953</v>
      </c>
      <c r="J237" s="275">
        <f t="shared" si="53"/>
        <v>36068.259999999973</v>
      </c>
      <c r="K237" s="275">
        <f t="shared" si="50"/>
        <v>0</v>
      </c>
      <c r="L237" s="386">
        <f t="shared" si="41"/>
        <v>0</v>
      </c>
      <c r="M237" s="386">
        <f t="shared" si="51"/>
        <v>0</v>
      </c>
      <c r="N237" s="590" t="str">
        <f>INDEX(tblSubjectToLoan[Date],ROW()-ROW(tblContractForDeed[#Headers]))</f>
        <v/>
      </c>
      <c r="O237" s="275">
        <f>IF(ROW()=ROW(tblContractForDeed[#Headers])+1,$O$6,IF(INDEX(tblContractForDeed[End Bal],ROW()-ROW(tblContractForDeed[#Headers])-1)&lt;0,0,INDEX(tblContractForDeed[End Bal],ROW()-ROW(tblContractForDeed[#Headers])-1)))</f>
        <v>0</v>
      </c>
      <c r="P237" s="445" t="str">
        <f>IF(tblContractForDeed[[#This Row],[Date]]="","",IF(tblContractForDeed[[#This Row],[Date]]&lt;cfdRateChangeDate,cfdRate1,cfdRate2))</f>
        <v/>
      </c>
      <c r="Q2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75">
        <f>IF(tblContractForDeed[[#This Row],[Payment]]=0,0,MAX(0,MIN(tblContractForDeed[[#This Row],[Beg]],tblContractForDeed[[#This Row],[Payment]]-tblContractForDeed[[#This Row],[Int]])))</f>
        <v>0</v>
      </c>
      <c r="S237" s="275">
        <f>IF(OR(tblContractForDeed[[#This Row],[Date]]&lt;cfdContractDate,tblContractForDeed[[#This Row],[Date]]&gt;cfdEndDate),0,ROUND(tblContractForDeed[[#This Row],[Beg]]*(tblContractForDeed[[#This Row],[Int Rate]]/12),2))</f>
        <v>0</v>
      </c>
      <c r="T237" s="275">
        <f>IF(tblContractForDeed[[#This Row],[Payment]]=0,0,$W$2)</f>
        <v>0</v>
      </c>
      <c r="U237" s="275">
        <f>IF(tblContractForDeed[[#This Row],[Princ]]=0,0,$W$3)</f>
        <v>0</v>
      </c>
      <c r="V237" s="275">
        <f>SUM(tblContractForDeed[[#This Row],[Princ]],tblContractForDeed[[#This Row],[Int]],tblContractForDeed[[#This Row],[Ins]],tblContractForDeed[[#This Row],[Taxes]])</f>
        <v>0</v>
      </c>
      <c r="W237" s="275">
        <f>SUM(INDEX(tblContractForDeed[Princ],1):INDEX(tblContractForDeed[Princ],ROW()-ROW(tblContractForDeed[#Headers])))</f>
        <v>75258.000000000029</v>
      </c>
      <c r="X237" s="275">
        <f>IF(tblContractForDeed[[#This Row],[Beg]]&lt;=0,0,tblContractForDeed[[#This Row],[Beg]]-tblContractForDeed[[#This Row],[Princ]])</f>
        <v>0</v>
      </c>
      <c r="Y23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54">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7" s="275">
        <f>IF(INDEX(tblContractForDeed[End Bal],ROW()-ROW(tblBuyerOutputs[#Headers]))&lt;=0,0,($O$6+IF(ROW()=ROW(tblBuyerOutputs[#Headers])+1,0,INDEX(tblBuyerOutputs[Cumul Appr],ROW()-ROW(tblBuyerOutputs[#Headers])-1)))*$O$2/12)</f>
        <v>0</v>
      </c>
      <c r="AE237" s="275">
        <f>IF(INDEX(tblContractForDeed[End Bal],ROW()-ROW(tblBuyerOutputs[#Headers]))&lt;=0,0,IF(ROW()=ROW(tblBuyerOutputs[#Headers])+1,0,INDEX(tblBuyerOutputs[Cumul Appr],ROW()-ROW(tblBuyerOutputs[#Headers])-1))+tblBuyerOutputs[[#This Row],[Monthly Appr]])</f>
        <v>0</v>
      </c>
      <c r="AF237" s="22"/>
      <c r="AG237" s="14"/>
      <c r="AL237"/>
      <c r="AM237" s="14"/>
      <c r="AO237" s="275"/>
      <c r="AQ237" s="14"/>
      <c r="AR237"/>
    </row>
    <row r="238" spans="1:44" x14ac:dyDescent="0.25">
      <c r="A238" s="590" t="str">
        <f t="shared" si="47"/>
        <v/>
      </c>
      <c r="B238" s="275">
        <f t="shared" si="48"/>
        <v>0</v>
      </c>
      <c r="C238" s="14">
        <f t="shared" si="45"/>
        <v>0</v>
      </c>
      <c r="D238" s="14">
        <f t="shared" si="49"/>
        <v>0</v>
      </c>
      <c r="E238" s="14">
        <f t="shared" si="46"/>
        <v>0</v>
      </c>
      <c r="F238" s="14">
        <f t="shared" si="54"/>
        <v>134.16999999999999</v>
      </c>
      <c r="G238" s="14">
        <f t="shared" si="54"/>
        <v>188.55</v>
      </c>
      <c r="H238" s="14">
        <f t="shared" si="43"/>
        <v>322.72000000000003</v>
      </c>
      <c r="I238" s="275">
        <f t="shared" si="52"/>
        <v>97531.839999999953</v>
      </c>
      <c r="J238" s="275">
        <f t="shared" si="53"/>
        <v>36068.259999999973</v>
      </c>
      <c r="K238" s="275">
        <f t="shared" si="50"/>
        <v>0</v>
      </c>
      <c r="L238" s="386">
        <f t="shared" si="41"/>
        <v>0</v>
      </c>
      <c r="M238" s="386">
        <f t="shared" si="51"/>
        <v>0</v>
      </c>
      <c r="N238" s="590" t="str">
        <f>INDEX(tblSubjectToLoan[Date],ROW()-ROW(tblContractForDeed[#Headers]))</f>
        <v/>
      </c>
      <c r="O238" s="275">
        <f>IF(ROW()=ROW(tblContractForDeed[#Headers])+1,$O$6,IF(INDEX(tblContractForDeed[End Bal],ROW()-ROW(tblContractForDeed[#Headers])-1)&lt;0,0,INDEX(tblContractForDeed[End Bal],ROW()-ROW(tblContractForDeed[#Headers])-1)))</f>
        <v>0</v>
      </c>
      <c r="P238" s="445" t="str">
        <f>IF(tblContractForDeed[[#This Row],[Date]]="","",IF(tblContractForDeed[[#This Row],[Date]]&lt;cfdRateChangeDate,cfdRate1,cfdRate2))</f>
        <v/>
      </c>
      <c r="Q2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75">
        <f>IF(tblContractForDeed[[#This Row],[Payment]]=0,0,MAX(0,MIN(tblContractForDeed[[#This Row],[Beg]],tblContractForDeed[[#This Row],[Payment]]-tblContractForDeed[[#This Row],[Int]])))</f>
        <v>0</v>
      </c>
      <c r="S238" s="275">
        <f>IF(OR(tblContractForDeed[[#This Row],[Date]]&lt;cfdContractDate,tblContractForDeed[[#This Row],[Date]]&gt;cfdEndDate),0,ROUND(tblContractForDeed[[#This Row],[Beg]]*(tblContractForDeed[[#This Row],[Int Rate]]/12),2))</f>
        <v>0</v>
      </c>
      <c r="T238" s="275">
        <f>IF(tblContractForDeed[[#This Row],[Payment]]=0,0,$W$2)</f>
        <v>0</v>
      </c>
      <c r="U238" s="275">
        <f>IF(tblContractForDeed[[#This Row],[Princ]]=0,0,$W$3)</f>
        <v>0</v>
      </c>
      <c r="V238" s="275">
        <f>SUM(tblContractForDeed[[#This Row],[Princ]],tblContractForDeed[[#This Row],[Int]],tblContractForDeed[[#This Row],[Ins]],tblContractForDeed[[#This Row],[Taxes]])</f>
        <v>0</v>
      </c>
      <c r="W238" s="275">
        <f>SUM(INDEX(tblContractForDeed[Princ],1):INDEX(tblContractForDeed[Princ],ROW()-ROW(tblContractForDeed[#Headers])))</f>
        <v>75258.000000000029</v>
      </c>
      <c r="X238" s="275">
        <f>IF(tblContractForDeed[[#This Row],[Beg]]&lt;=0,0,tblContractForDeed[[#This Row],[Beg]]-tblContractForDeed[[#This Row],[Princ]])</f>
        <v>0</v>
      </c>
      <c r="Y23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54">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8" s="275">
        <f>IF(INDEX(tblContractForDeed[End Bal],ROW()-ROW(tblBuyerOutputs[#Headers]))&lt;=0,0,($O$6+IF(ROW()=ROW(tblBuyerOutputs[#Headers])+1,0,INDEX(tblBuyerOutputs[Cumul Appr],ROW()-ROW(tblBuyerOutputs[#Headers])-1)))*$O$2/12)</f>
        <v>0</v>
      </c>
      <c r="AE238" s="275">
        <f>IF(INDEX(tblContractForDeed[End Bal],ROW()-ROW(tblBuyerOutputs[#Headers]))&lt;=0,0,IF(ROW()=ROW(tblBuyerOutputs[#Headers])+1,0,INDEX(tblBuyerOutputs[Cumul Appr],ROW()-ROW(tblBuyerOutputs[#Headers])-1))+tblBuyerOutputs[[#This Row],[Monthly Appr]])</f>
        <v>0</v>
      </c>
      <c r="AF238" s="22"/>
      <c r="AG238" s="14"/>
      <c r="AL238"/>
      <c r="AM238" s="14"/>
      <c r="AO238" s="275"/>
      <c r="AQ238" s="14"/>
      <c r="AR238"/>
    </row>
    <row r="239" spans="1:44" x14ac:dyDescent="0.25">
      <c r="A239" s="590" t="str">
        <f t="shared" si="47"/>
        <v/>
      </c>
      <c r="B239" s="275">
        <f t="shared" si="48"/>
        <v>0</v>
      </c>
      <c r="C239" s="14">
        <f t="shared" si="45"/>
        <v>0</v>
      </c>
      <c r="D239" s="14">
        <f t="shared" si="49"/>
        <v>0</v>
      </c>
      <c r="E239" s="14">
        <f t="shared" si="46"/>
        <v>0</v>
      </c>
      <c r="F239" s="14">
        <f t="shared" ref="F239:G254" si="55">+F238</f>
        <v>134.16999999999999</v>
      </c>
      <c r="G239" s="14">
        <f t="shared" si="55"/>
        <v>188.55</v>
      </c>
      <c r="H239" s="14">
        <f t="shared" si="43"/>
        <v>322.72000000000003</v>
      </c>
      <c r="I239" s="275">
        <f t="shared" si="52"/>
        <v>97531.839999999953</v>
      </c>
      <c r="J239" s="275">
        <f t="shared" si="53"/>
        <v>36068.259999999973</v>
      </c>
      <c r="K239" s="275">
        <f t="shared" si="50"/>
        <v>0</v>
      </c>
      <c r="L239" s="386">
        <f t="shared" si="41"/>
        <v>0</v>
      </c>
      <c r="M239" s="386">
        <f t="shared" si="51"/>
        <v>0</v>
      </c>
      <c r="N239" s="590" t="str">
        <f>INDEX(tblSubjectToLoan[Date],ROW()-ROW(tblContractForDeed[#Headers]))</f>
        <v/>
      </c>
      <c r="O239" s="275">
        <f>IF(ROW()=ROW(tblContractForDeed[#Headers])+1,$O$6,IF(INDEX(tblContractForDeed[End Bal],ROW()-ROW(tblContractForDeed[#Headers])-1)&lt;0,0,INDEX(tblContractForDeed[End Bal],ROW()-ROW(tblContractForDeed[#Headers])-1)))</f>
        <v>0</v>
      </c>
      <c r="P239" s="445" t="str">
        <f>IF(tblContractForDeed[[#This Row],[Date]]="","",IF(tblContractForDeed[[#This Row],[Date]]&lt;cfdRateChangeDate,cfdRate1,cfdRate2))</f>
        <v/>
      </c>
      <c r="Q23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75">
        <f>IF(tblContractForDeed[[#This Row],[Payment]]=0,0,MAX(0,MIN(tblContractForDeed[[#This Row],[Beg]],tblContractForDeed[[#This Row],[Payment]]-tblContractForDeed[[#This Row],[Int]])))</f>
        <v>0</v>
      </c>
      <c r="S239" s="275">
        <f>IF(OR(tblContractForDeed[[#This Row],[Date]]&lt;cfdContractDate,tblContractForDeed[[#This Row],[Date]]&gt;cfdEndDate),0,ROUND(tblContractForDeed[[#This Row],[Beg]]*(tblContractForDeed[[#This Row],[Int Rate]]/12),2))</f>
        <v>0</v>
      </c>
      <c r="T239" s="275">
        <f>IF(tblContractForDeed[[#This Row],[Payment]]=0,0,$W$2)</f>
        <v>0</v>
      </c>
      <c r="U239" s="275">
        <f>IF(tblContractForDeed[[#This Row],[Princ]]=0,0,$W$3)</f>
        <v>0</v>
      </c>
      <c r="V239" s="275">
        <f>SUM(tblContractForDeed[[#This Row],[Princ]],tblContractForDeed[[#This Row],[Int]],tblContractForDeed[[#This Row],[Ins]],tblContractForDeed[[#This Row],[Taxes]])</f>
        <v>0</v>
      </c>
      <c r="W239" s="275">
        <f>SUM(INDEX(tblContractForDeed[Princ],1):INDEX(tblContractForDeed[Princ],ROW()-ROW(tblContractForDeed[#Headers])))</f>
        <v>75258.000000000029</v>
      </c>
      <c r="X239" s="275">
        <f>IF(tblContractForDeed[[#This Row],[Beg]]&lt;=0,0,tblContractForDeed[[#This Row],[Beg]]-tblContractForDeed[[#This Row],[Princ]])</f>
        <v>0</v>
      </c>
      <c r="Y23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54">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9" s="275">
        <f>IF(INDEX(tblContractForDeed[End Bal],ROW()-ROW(tblBuyerOutputs[#Headers]))&lt;=0,0,($O$6+IF(ROW()=ROW(tblBuyerOutputs[#Headers])+1,0,INDEX(tblBuyerOutputs[Cumul Appr],ROW()-ROW(tblBuyerOutputs[#Headers])-1)))*$O$2/12)</f>
        <v>0</v>
      </c>
      <c r="AE239" s="275">
        <f>IF(INDEX(tblContractForDeed[End Bal],ROW()-ROW(tblBuyerOutputs[#Headers]))&lt;=0,0,IF(ROW()=ROW(tblBuyerOutputs[#Headers])+1,0,INDEX(tblBuyerOutputs[Cumul Appr],ROW()-ROW(tblBuyerOutputs[#Headers])-1))+tblBuyerOutputs[[#This Row],[Monthly Appr]])</f>
        <v>0</v>
      </c>
      <c r="AF239" s="22"/>
      <c r="AG239" s="14"/>
      <c r="AL239"/>
      <c r="AM239" s="14"/>
      <c r="AO239" s="275"/>
      <c r="AQ239" s="14"/>
      <c r="AR239"/>
    </row>
    <row r="240" spans="1:44" x14ac:dyDescent="0.25">
      <c r="A240" s="590" t="str">
        <f t="shared" si="47"/>
        <v/>
      </c>
      <c r="B240" s="275">
        <f t="shared" si="48"/>
        <v>0</v>
      </c>
      <c r="C240" s="14">
        <f t="shared" si="45"/>
        <v>0</v>
      </c>
      <c r="D240" s="14">
        <f t="shared" si="49"/>
        <v>0</v>
      </c>
      <c r="E240" s="14">
        <f t="shared" si="46"/>
        <v>0</v>
      </c>
      <c r="F240" s="14">
        <f t="shared" si="55"/>
        <v>134.16999999999999</v>
      </c>
      <c r="G240" s="14">
        <f t="shared" si="55"/>
        <v>188.55</v>
      </c>
      <c r="H240" s="14">
        <f t="shared" si="43"/>
        <v>322.72000000000003</v>
      </c>
      <c r="I240" s="275">
        <f t="shared" si="52"/>
        <v>97531.839999999953</v>
      </c>
      <c r="J240" s="275">
        <f t="shared" si="53"/>
        <v>36068.259999999973</v>
      </c>
      <c r="K240" s="275">
        <f t="shared" si="50"/>
        <v>0</v>
      </c>
      <c r="L240" s="386">
        <f t="shared" si="41"/>
        <v>0</v>
      </c>
      <c r="M240" s="386">
        <f t="shared" si="51"/>
        <v>0</v>
      </c>
      <c r="N240" s="590" t="str">
        <f>INDEX(tblSubjectToLoan[Date],ROW()-ROW(tblContractForDeed[#Headers]))</f>
        <v/>
      </c>
      <c r="O240" s="275">
        <f>IF(ROW()=ROW(tblContractForDeed[#Headers])+1,$O$6,IF(INDEX(tblContractForDeed[End Bal],ROW()-ROW(tblContractForDeed[#Headers])-1)&lt;0,0,INDEX(tblContractForDeed[End Bal],ROW()-ROW(tblContractForDeed[#Headers])-1)))</f>
        <v>0</v>
      </c>
      <c r="P240" s="445" t="str">
        <f>IF(tblContractForDeed[[#This Row],[Date]]="","",IF(tblContractForDeed[[#This Row],[Date]]&lt;cfdRateChangeDate,cfdRate1,cfdRate2))</f>
        <v/>
      </c>
      <c r="Q2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75">
        <f>IF(tblContractForDeed[[#This Row],[Payment]]=0,0,MAX(0,MIN(tblContractForDeed[[#This Row],[Beg]],tblContractForDeed[[#This Row],[Payment]]-tblContractForDeed[[#This Row],[Int]])))</f>
        <v>0</v>
      </c>
      <c r="S240" s="275">
        <f>IF(OR(tblContractForDeed[[#This Row],[Date]]&lt;cfdContractDate,tblContractForDeed[[#This Row],[Date]]&gt;cfdEndDate),0,ROUND(tblContractForDeed[[#This Row],[Beg]]*(tblContractForDeed[[#This Row],[Int Rate]]/12),2))</f>
        <v>0</v>
      </c>
      <c r="T240" s="275">
        <f>IF(tblContractForDeed[[#This Row],[Payment]]=0,0,$W$2)</f>
        <v>0</v>
      </c>
      <c r="U240" s="275">
        <f>IF(tblContractForDeed[[#This Row],[Princ]]=0,0,$W$3)</f>
        <v>0</v>
      </c>
      <c r="V240" s="275">
        <f>SUM(tblContractForDeed[[#This Row],[Princ]],tblContractForDeed[[#This Row],[Int]],tblContractForDeed[[#This Row],[Ins]],tblContractForDeed[[#This Row],[Taxes]])</f>
        <v>0</v>
      </c>
      <c r="W240" s="275">
        <f>SUM(INDEX(tblContractForDeed[Princ],1):INDEX(tblContractForDeed[Princ],ROW()-ROW(tblContractForDeed[#Headers])))</f>
        <v>75258.000000000029</v>
      </c>
      <c r="X240" s="275">
        <f>IF(tblContractForDeed[[#This Row],[Beg]]&lt;=0,0,tblContractForDeed[[#This Row],[Beg]]-tblContractForDeed[[#This Row],[Princ]])</f>
        <v>0</v>
      </c>
      <c r="Y24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54">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0" s="275">
        <f>IF(INDEX(tblContractForDeed[End Bal],ROW()-ROW(tblBuyerOutputs[#Headers]))&lt;=0,0,($O$6+IF(ROW()=ROW(tblBuyerOutputs[#Headers])+1,0,INDEX(tblBuyerOutputs[Cumul Appr],ROW()-ROW(tblBuyerOutputs[#Headers])-1)))*$O$2/12)</f>
        <v>0</v>
      </c>
      <c r="AE240" s="275">
        <f>IF(INDEX(tblContractForDeed[End Bal],ROW()-ROW(tblBuyerOutputs[#Headers]))&lt;=0,0,IF(ROW()=ROW(tblBuyerOutputs[#Headers])+1,0,INDEX(tblBuyerOutputs[Cumul Appr],ROW()-ROW(tblBuyerOutputs[#Headers])-1))+tblBuyerOutputs[[#This Row],[Monthly Appr]])</f>
        <v>0</v>
      </c>
      <c r="AF240" s="22"/>
      <c r="AG240" s="14"/>
      <c r="AL240"/>
      <c r="AM240" s="14"/>
      <c r="AO240" s="275"/>
      <c r="AQ240" s="14"/>
      <c r="AR240"/>
    </row>
    <row r="241" spans="1:44" x14ac:dyDescent="0.25">
      <c r="A241" s="590" t="str">
        <f t="shared" si="47"/>
        <v/>
      </c>
      <c r="B241" s="275">
        <f t="shared" si="48"/>
        <v>0</v>
      </c>
      <c r="C241" s="14">
        <f t="shared" si="45"/>
        <v>0</v>
      </c>
      <c r="D241" s="14">
        <f t="shared" si="49"/>
        <v>0</v>
      </c>
      <c r="E241" s="14">
        <f t="shared" si="46"/>
        <v>0</v>
      </c>
      <c r="F241" s="14">
        <f t="shared" si="55"/>
        <v>134.16999999999999</v>
      </c>
      <c r="G241" s="14">
        <f t="shared" si="55"/>
        <v>188.55</v>
      </c>
      <c r="H241" s="14">
        <f t="shared" si="43"/>
        <v>322.72000000000003</v>
      </c>
      <c r="I241" s="275">
        <f t="shared" si="52"/>
        <v>97531.839999999953</v>
      </c>
      <c r="J241" s="275">
        <f t="shared" si="53"/>
        <v>36068.259999999973</v>
      </c>
      <c r="K241" s="275">
        <f t="shared" si="50"/>
        <v>0</v>
      </c>
      <c r="L241" s="386">
        <f t="shared" si="41"/>
        <v>0</v>
      </c>
      <c r="M241" s="386">
        <f t="shared" si="51"/>
        <v>0</v>
      </c>
      <c r="N241" s="590" t="str">
        <f>INDEX(tblSubjectToLoan[Date],ROW()-ROW(tblContractForDeed[#Headers]))</f>
        <v/>
      </c>
      <c r="O241" s="275">
        <f>IF(ROW()=ROW(tblContractForDeed[#Headers])+1,$O$6,IF(INDEX(tblContractForDeed[End Bal],ROW()-ROW(tblContractForDeed[#Headers])-1)&lt;0,0,INDEX(tblContractForDeed[End Bal],ROW()-ROW(tblContractForDeed[#Headers])-1)))</f>
        <v>0</v>
      </c>
      <c r="P241" s="445" t="str">
        <f>IF(tblContractForDeed[[#This Row],[Date]]="","",IF(tblContractForDeed[[#This Row],[Date]]&lt;cfdRateChangeDate,cfdRate1,cfdRate2))</f>
        <v/>
      </c>
      <c r="Q2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75">
        <f>IF(tblContractForDeed[[#This Row],[Payment]]=0,0,MAX(0,MIN(tblContractForDeed[[#This Row],[Beg]],tblContractForDeed[[#This Row],[Payment]]-tblContractForDeed[[#This Row],[Int]])))</f>
        <v>0</v>
      </c>
      <c r="S241" s="275">
        <f>IF(OR(tblContractForDeed[[#This Row],[Date]]&lt;cfdContractDate,tblContractForDeed[[#This Row],[Date]]&gt;cfdEndDate),0,ROUND(tblContractForDeed[[#This Row],[Beg]]*(tblContractForDeed[[#This Row],[Int Rate]]/12),2))</f>
        <v>0</v>
      </c>
      <c r="T241" s="275">
        <f>IF(tblContractForDeed[[#This Row],[Payment]]=0,0,$W$2)</f>
        <v>0</v>
      </c>
      <c r="U241" s="275">
        <f>IF(tblContractForDeed[[#This Row],[Princ]]=0,0,$W$3)</f>
        <v>0</v>
      </c>
      <c r="V241" s="275">
        <f>SUM(tblContractForDeed[[#This Row],[Princ]],tblContractForDeed[[#This Row],[Int]],tblContractForDeed[[#This Row],[Ins]],tblContractForDeed[[#This Row],[Taxes]])</f>
        <v>0</v>
      </c>
      <c r="W241" s="275">
        <f>SUM(INDEX(tblContractForDeed[Princ],1):INDEX(tblContractForDeed[Princ],ROW()-ROW(tblContractForDeed[#Headers])))</f>
        <v>75258.000000000029</v>
      </c>
      <c r="X241" s="275">
        <f>IF(tblContractForDeed[[#This Row],[Beg]]&lt;=0,0,tblContractForDeed[[#This Row],[Beg]]-tblContractForDeed[[#This Row],[Princ]])</f>
        <v>0</v>
      </c>
      <c r="Y24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54">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1" s="275">
        <f>IF(INDEX(tblContractForDeed[End Bal],ROW()-ROW(tblBuyerOutputs[#Headers]))&lt;=0,0,($O$6+IF(ROW()=ROW(tblBuyerOutputs[#Headers])+1,0,INDEX(tblBuyerOutputs[Cumul Appr],ROW()-ROW(tblBuyerOutputs[#Headers])-1)))*$O$2/12)</f>
        <v>0</v>
      </c>
      <c r="AE241" s="275">
        <f>IF(INDEX(tblContractForDeed[End Bal],ROW()-ROW(tblBuyerOutputs[#Headers]))&lt;=0,0,IF(ROW()=ROW(tblBuyerOutputs[#Headers])+1,0,INDEX(tblBuyerOutputs[Cumul Appr],ROW()-ROW(tblBuyerOutputs[#Headers])-1))+tblBuyerOutputs[[#This Row],[Monthly Appr]])</f>
        <v>0</v>
      </c>
      <c r="AF241" s="22"/>
      <c r="AG241" s="14"/>
      <c r="AL241"/>
      <c r="AM241" s="14"/>
      <c r="AO241" s="275"/>
      <c r="AQ241" s="14"/>
      <c r="AR241"/>
    </row>
    <row r="242" spans="1:44" x14ac:dyDescent="0.25">
      <c r="A242" s="590" t="str">
        <f t="shared" si="47"/>
        <v/>
      </c>
      <c r="B242" s="275">
        <f t="shared" si="48"/>
        <v>0</v>
      </c>
      <c r="C242" s="14">
        <f t="shared" si="45"/>
        <v>0</v>
      </c>
      <c r="D242" s="14">
        <f t="shared" si="49"/>
        <v>0</v>
      </c>
      <c r="E242" s="14">
        <f t="shared" si="46"/>
        <v>0</v>
      </c>
      <c r="F242" s="14">
        <f t="shared" si="55"/>
        <v>134.16999999999999</v>
      </c>
      <c r="G242" s="14">
        <f t="shared" si="55"/>
        <v>188.55</v>
      </c>
      <c r="H242" s="14">
        <f t="shared" si="43"/>
        <v>322.72000000000003</v>
      </c>
      <c r="I242" s="275">
        <f t="shared" si="52"/>
        <v>97531.839999999953</v>
      </c>
      <c r="J242" s="275">
        <f t="shared" si="53"/>
        <v>36068.259999999973</v>
      </c>
      <c r="K242" s="275">
        <f t="shared" si="50"/>
        <v>0</v>
      </c>
      <c r="L242" s="386">
        <f t="shared" si="41"/>
        <v>0</v>
      </c>
      <c r="M242" s="386">
        <f t="shared" si="51"/>
        <v>0</v>
      </c>
      <c r="N242" s="590" t="str">
        <f>INDEX(tblSubjectToLoan[Date],ROW()-ROW(tblContractForDeed[#Headers]))</f>
        <v/>
      </c>
      <c r="O242" s="275">
        <f>IF(ROW()=ROW(tblContractForDeed[#Headers])+1,$O$6,IF(INDEX(tblContractForDeed[End Bal],ROW()-ROW(tblContractForDeed[#Headers])-1)&lt;0,0,INDEX(tblContractForDeed[End Bal],ROW()-ROW(tblContractForDeed[#Headers])-1)))</f>
        <v>0</v>
      </c>
      <c r="P242" s="445" t="str">
        <f>IF(tblContractForDeed[[#This Row],[Date]]="","",IF(tblContractForDeed[[#This Row],[Date]]&lt;cfdRateChangeDate,cfdRate1,cfdRate2))</f>
        <v/>
      </c>
      <c r="Q2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75">
        <f>IF(tblContractForDeed[[#This Row],[Payment]]=0,0,MAX(0,MIN(tblContractForDeed[[#This Row],[Beg]],tblContractForDeed[[#This Row],[Payment]]-tblContractForDeed[[#This Row],[Int]])))</f>
        <v>0</v>
      </c>
      <c r="S242" s="275">
        <f>IF(OR(tblContractForDeed[[#This Row],[Date]]&lt;cfdContractDate,tblContractForDeed[[#This Row],[Date]]&gt;cfdEndDate),0,ROUND(tblContractForDeed[[#This Row],[Beg]]*(tblContractForDeed[[#This Row],[Int Rate]]/12),2))</f>
        <v>0</v>
      </c>
      <c r="T242" s="275">
        <f>IF(tblContractForDeed[[#This Row],[Payment]]=0,0,$W$2)</f>
        <v>0</v>
      </c>
      <c r="U242" s="275">
        <f>IF(tblContractForDeed[[#This Row],[Princ]]=0,0,$W$3)</f>
        <v>0</v>
      </c>
      <c r="V242" s="275">
        <f>SUM(tblContractForDeed[[#This Row],[Princ]],tblContractForDeed[[#This Row],[Int]],tblContractForDeed[[#This Row],[Ins]],tblContractForDeed[[#This Row],[Taxes]])</f>
        <v>0</v>
      </c>
      <c r="W242" s="275">
        <f>SUM(INDEX(tblContractForDeed[Princ],1):INDEX(tblContractForDeed[Princ],ROW()-ROW(tblContractForDeed[#Headers])))</f>
        <v>75258.000000000029</v>
      </c>
      <c r="X242" s="275">
        <f>IF(tblContractForDeed[[#This Row],[Beg]]&lt;=0,0,tblContractForDeed[[#This Row],[Beg]]-tblContractForDeed[[#This Row],[Princ]])</f>
        <v>0</v>
      </c>
      <c r="Y24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54">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2" s="275">
        <f>IF(INDEX(tblContractForDeed[End Bal],ROW()-ROW(tblBuyerOutputs[#Headers]))&lt;=0,0,($O$6+IF(ROW()=ROW(tblBuyerOutputs[#Headers])+1,0,INDEX(tblBuyerOutputs[Cumul Appr],ROW()-ROW(tblBuyerOutputs[#Headers])-1)))*$O$2/12)</f>
        <v>0</v>
      </c>
      <c r="AE242" s="275">
        <f>IF(INDEX(tblContractForDeed[End Bal],ROW()-ROW(tblBuyerOutputs[#Headers]))&lt;=0,0,IF(ROW()=ROW(tblBuyerOutputs[#Headers])+1,0,INDEX(tblBuyerOutputs[Cumul Appr],ROW()-ROW(tblBuyerOutputs[#Headers])-1))+tblBuyerOutputs[[#This Row],[Monthly Appr]])</f>
        <v>0</v>
      </c>
      <c r="AF242" s="22"/>
      <c r="AG242" s="14"/>
      <c r="AL242"/>
      <c r="AM242" s="14"/>
      <c r="AO242" s="275"/>
      <c r="AQ242" s="14"/>
      <c r="AR242"/>
    </row>
    <row r="243" spans="1:44" x14ac:dyDescent="0.25">
      <c r="A243" s="590" t="str">
        <f t="shared" si="47"/>
        <v/>
      </c>
      <c r="B243" s="275">
        <f t="shared" si="48"/>
        <v>0</v>
      </c>
      <c r="C243" s="14">
        <f t="shared" si="45"/>
        <v>0</v>
      </c>
      <c r="D243" s="14">
        <f t="shared" si="49"/>
        <v>0</v>
      </c>
      <c r="E243" s="14">
        <f t="shared" si="46"/>
        <v>0</v>
      </c>
      <c r="F243" s="14">
        <f t="shared" si="55"/>
        <v>134.16999999999999</v>
      </c>
      <c r="G243" s="14">
        <f t="shared" si="55"/>
        <v>188.55</v>
      </c>
      <c r="H243" s="14">
        <f t="shared" si="43"/>
        <v>322.72000000000003</v>
      </c>
      <c r="I243" s="275">
        <f t="shared" si="52"/>
        <v>97531.839999999953</v>
      </c>
      <c r="J243" s="275">
        <f t="shared" si="53"/>
        <v>36068.259999999973</v>
      </c>
      <c r="K243" s="275">
        <f t="shared" si="50"/>
        <v>0</v>
      </c>
      <c r="L243" s="386">
        <f t="shared" si="41"/>
        <v>0</v>
      </c>
      <c r="M243" s="386">
        <f t="shared" si="51"/>
        <v>0</v>
      </c>
      <c r="N243" s="590" t="str">
        <f>INDEX(tblSubjectToLoan[Date],ROW()-ROW(tblContractForDeed[#Headers]))</f>
        <v/>
      </c>
      <c r="O243" s="275">
        <f>IF(ROW()=ROW(tblContractForDeed[#Headers])+1,$O$6,IF(INDEX(tblContractForDeed[End Bal],ROW()-ROW(tblContractForDeed[#Headers])-1)&lt;0,0,INDEX(tblContractForDeed[End Bal],ROW()-ROW(tblContractForDeed[#Headers])-1)))</f>
        <v>0</v>
      </c>
      <c r="P243" s="445" t="str">
        <f>IF(tblContractForDeed[[#This Row],[Date]]="","",IF(tblContractForDeed[[#This Row],[Date]]&lt;cfdRateChangeDate,cfdRate1,cfdRate2))</f>
        <v/>
      </c>
      <c r="Q24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75">
        <f>IF(tblContractForDeed[[#This Row],[Payment]]=0,0,MAX(0,MIN(tblContractForDeed[[#This Row],[Beg]],tblContractForDeed[[#This Row],[Payment]]-tblContractForDeed[[#This Row],[Int]])))</f>
        <v>0</v>
      </c>
      <c r="S243" s="275">
        <f>IF(OR(tblContractForDeed[[#This Row],[Date]]&lt;cfdContractDate,tblContractForDeed[[#This Row],[Date]]&gt;cfdEndDate),0,ROUND(tblContractForDeed[[#This Row],[Beg]]*(tblContractForDeed[[#This Row],[Int Rate]]/12),2))</f>
        <v>0</v>
      </c>
      <c r="T243" s="275">
        <f>IF(tblContractForDeed[[#This Row],[Payment]]=0,0,$W$2)</f>
        <v>0</v>
      </c>
      <c r="U243" s="275">
        <f>IF(tblContractForDeed[[#This Row],[Princ]]=0,0,$W$3)</f>
        <v>0</v>
      </c>
      <c r="V243" s="275">
        <f>SUM(tblContractForDeed[[#This Row],[Princ]],tblContractForDeed[[#This Row],[Int]],tblContractForDeed[[#This Row],[Ins]],tblContractForDeed[[#This Row],[Taxes]])</f>
        <v>0</v>
      </c>
      <c r="W243" s="275">
        <f>SUM(INDEX(tblContractForDeed[Princ],1):INDEX(tblContractForDeed[Princ],ROW()-ROW(tblContractForDeed[#Headers])))</f>
        <v>75258.000000000029</v>
      </c>
      <c r="X243" s="275">
        <f>IF(tblContractForDeed[[#This Row],[Beg]]&lt;=0,0,tblContractForDeed[[#This Row],[Beg]]-tblContractForDeed[[#This Row],[Princ]])</f>
        <v>0</v>
      </c>
      <c r="Y24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54">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3" s="275">
        <f>IF(INDEX(tblContractForDeed[End Bal],ROW()-ROW(tblBuyerOutputs[#Headers]))&lt;=0,0,($O$6+IF(ROW()=ROW(tblBuyerOutputs[#Headers])+1,0,INDEX(tblBuyerOutputs[Cumul Appr],ROW()-ROW(tblBuyerOutputs[#Headers])-1)))*$O$2/12)</f>
        <v>0</v>
      </c>
      <c r="AE243" s="275">
        <f>IF(INDEX(tblContractForDeed[End Bal],ROW()-ROW(tblBuyerOutputs[#Headers]))&lt;=0,0,IF(ROW()=ROW(tblBuyerOutputs[#Headers])+1,0,INDEX(tblBuyerOutputs[Cumul Appr],ROW()-ROW(tblBuyerOutputs[#Headers])-1))+tblBuyerOutputs[[#This Row],[Monthly Appr]])</f>
        <v>0</v>
      </c>
      <c r="AF243" s="22"/>
      <c r="AG243" s="14"/>
      <c r="AL243"/>
      <c r="AM243" s="14"/>
      <c r="AO243" s="275"/>
      <c r="AQ243" s="14"/>
      <c r="AR243"/>
    </row>
    <row r="244" spans="1:44" x14ac:dyDescent="0.25">
      <c r="A244" s="590" t="str">
        <f t="shared" si="47"/>
        <v/>
      </c>
      <c r="B244" s="275">
        <f t="shared" si="48"/>
        <v>0</v>
      </c>
      <c r="C244" s="14">
        <f t="shared" si="45"/>
        <v>0</v>
      </c>
      <c r="D244" s="14">
        <f t="shared" si="49"/>
        <v>0</v>
      </c>
      <c r="E244" s="14">
        <f t="shared" si="46"/>
        <v>0</v>
      </c>
      <c r="F244" s="14">
        <f t="shared" si="55"/>
        <v>134.16999999999999</v>
      </c>
      <c r="G244" s="14">
        <f t="shared" si="55"/>
        <v>188.55</v>
      </c>
      <c r="H244" s="14">
        <f t="shared" si="43"/>
        <v>322.72000000000003</v>
      </c>
      <c r="I244" s="275">
        <f t="shared" si="52"/>
        <v>97531.839999999953</v>
      </c>
      <c r="J244" s="275">
        <f t="shared" si="53"/>
        <v>36068.259999999973</v>
      </c>
      <c r="K244" s="275">
        <f t="shared" si="50"/>
        <v>0</v>
      </c>
      <c r="L244" s="386">
        <f t="shared" ref="L244:L307" si="56">IF(MOD(M244,12)=0,M244/12,L243)</f>
        <v>0</v>
      </c>
      <c r="M244" s="386">
        <f t="shared" si="51"/>
        <v>0</v>
      </c>
      <c r="N244" s="590" t="str">
        <f>INDEX(tblSubjectToLoan[Date],ROW()-ROW(tblContractForDeed[#Headers]))</f>
        <v/>
      </c>
      <c r="O244" s="275">
        <f>IF(ROW()=ROW(tblContractForDeed[#Headers])+1,$O$6,IF(INDEX(tblContractForDeed[End Bal],ROW()-ROW(tblContractForDeed[#Headers])-1)&lt;0,0,INDEX(tblContractForDeed[End Bal],ROW()-ROW(tblContractForDeed[#Headers])-1)))</f>
        <v>0</v>
      </c>
      <c r="P244" s="445" t="str">
        <f>IF(tblContractForDeed[[#This Row],[Date]]="","",IF(tblContractForDeed[[#This Row],[Date]]&lt;cfdRateChangeDate,cfdRate1,cfdRate2))</f>
        <v/>
      </c>
      <c r="Q2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75">
        <f>IF(tblContractForDeed[[#This Row],[Payment]]=0,0,MAX(0,MIN(tblContractForDeed[[#This Row],[Beg]],tblContractForDeed[[#This Row],[Payment]]-tblContractForDeed[[#This Row],[Int]])))</f>
        <v>0</v>
      </c>
      <c r="S244" s="275">
        <f>IF(OR(tblContractForDeed[[#This Row],[Date]]&lt;cfdContractDate,tblContractForDeed[[#This Row],[Date]]&gt;cfdEndDate),0,ROUND(tblContractForDeed[[#This Row],[Beg]]*(tblContractForDeed[[#This Row],[Int Rate]]/12),2))</f>
        <v>0</v>
      </c>
      <c r="T244" s="275">
        <f>IF(tblContractForDeed[[#This Row],[Payment]]=0,0,$W$2)</f>
        <v>0</v>
      </c>
      <c r="U244" s="275">
        <f>IF(tblContractForDeed[[#This Row],[Princ]]=0,0,$W$3)</f>
        <v>0</v>
      </c>
      <c r="V244" s="275">
        <f>SUM(tblContractForDeed[[#This Row],[Princ]],tblContractForDeed[[#This Row],[Int]],tblContractForDeed[[#This Row],[Ins]],tblContractForDeed[[#This Row],[Taxes]])</f>
        <v>0</v>
      </c>
      <c r="W244" s="275">
        <f>SUM(INDEX(tblContractForDeed[Princ],1):INDEX(tblContractForDeed[Princ],ROW()-ROW(tblContractForDeed[#Headers])))</f>
        <v>75258.000000000029</v>
      </c>
      <c r="X244" s="275">
        <f>IF(tblContractForDeed[[#This Row],[Beg]]&lt;=0,0,tblContractForDeed[[#This Row],[Beg]]-tblContractForDeed[[#This Row],[Princ]])</f>
        <v>0</v>
      </c>
      <c r="Y24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54">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4" s="275">
        <f>IF(INDEX(tblContractForDeed[End Bal],ROW()-ROW(tblBuyerOutputs[#Headers]))&lt;=0,0,($O$6+IF(ROW()=ROW(tblBuyerOutputs[#Headers])+1,0,INDEX(tblBuyerOutputs[Cumul Appr],ROW()-ROW(tblBuyerOutputs[#Headers])-1)))*$O$2/12)</f>
        <v>0</v>
      </c>
      <c r="AE244" s="275">
        <f>IF(INDEX(tblContractForDeed[End Bal],ROW()-ROW(tblBuyerOutputs[#Headers]))&lt;=0,0,IF(ROW()=ROW(tblBuyerOutputs[#Headers])+1,0,INDEX(tblBuyerOutputs[Cumul Appr],ROW()-ROW(tblBuyerOutputs[#Headers])-1))+tblBuyerOutputs[[#This Row],[Monthly Appr]])</f>
        <v>0</v>
      </c>
      <c r="AF244" s="22"/>
      <c r="AG244" s="14"/>
      <c r="AL244"/>
      <c r="AM244" s="14"/>
      <c r="AO244" s="275"/>
      <c r="AQ244" s="14"/>
      <c r="AR244"/>
    </row>
    <row r="245" spans="1:44" x14ac:dyDescent="0.25">
      <c r="A245" s="590" t="str">
        <f t="shared" si="47"/>
        <v/>
      </c>
      <c r="B245" s="275">
        <f t="shared" si="48"/>
        <v>0</v>
      </c>
      <c r="C245" s="14">
        <f t="shared" si="45"/>
        <v>0</v>
      </c>
      <c r="D245" s="14">
        <f t="shared" si="49"/>
        <v>0</v>
      </c>
      <c r="E245" s="14">
        <f t="shared" si="46"/>
        <v>0</v>
      </c>
      <c r="F245" s="14">
        <f t="shared" si="55"/>
        <v>134.16999999999999</v>
      </c>
      <c r="G245" s="14">
        <f t="shared" si="55"/>
        <v>188.55</v>
      </c>
      <c r="H245" s="14">
        <f t="shared" si="43"/>
        <v>322.72000000000003</v>
      </c>
      <c r="I245" s="275">
        <f t="shared" si="52"/>
        <v>97531.839999999953</v>
      </c>
      <c r="J245" s="275">
        <f t="shared" si="53"/>
        <v>36068.259999999973</v>
      </c>
      <c r="K245" s="275">
        <f t="shared" si="50"/>
        <v>0</v>
      </c>
      <c r="L245" s="386">
        <f t="shared" si="56"/>
        <v>0</v>
      </c>
      <c r="M245" s="386">
        <f t="shared" si="51"/>
        <v>0</v>
      </c>
      <c r="N245" s="590" t="str">
        <f>INDEX(tblSubjectToLoan[Date],ROW()-ROW(tblContractForDeed[#Headers]))</f>
        <v/>
      </c>
      <c r="O245" s="275">
        <f>IF(ROW()=ROW(tblContractForDeed[#Headers])+1,$O$6,IF(INDEX(tblContractForDeed[End Bal],ROW()-ROW(tblContractForDeed[#Headers])-1)&lt;0,0,INDEX(tblContractForDeed[End Bal],ROW()-ROW(tblContractForDeed[#Headers])-1)))</f>
        <v>0</v>
      </c>
      <c r="P245" s="445" t="str">
        <f>IF(tblContractForDeed[[#This Row],[Date]]="","",IF(tblContractForDeed[[#This Row],[Date]]&lt;cfdRateChangeDate,cfdRate1,cfdRate2))</f>
        <v/>
      </c>
      <c r="Q2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75">
        <f>IF(tblContractForDeed[[#This Row],[Payment]]=0,0,MAX(0,MIN(tblContractForDeed[[#This Row],[Beg]],tblContractForDeed[[#This Row],[Payment]]-tblContractForDeed[[#This Row],[Int]])))</f>
        <v>0</v>
      </c>
      <c r="S245" s="275">
        <f>IF(OR(tblContractForDeed[[#This Row],[Date]]&lt;cfdContractDate,tblContractForDeed[[#This Row],[Date]]&gt;cfdEndDate),0,ROUND(tblContractForDeed[[#This Row],[Beg]]*(tblContractForDeed[[#This Row],[Int Rate]]/12),2))</f>
        <v>0</v>
      </c>
      <c r="T245" s="275">
        <f>IF(tblContractForDeed[[#This Row],[Payment]]=0,0,$W$2)</f>
        <v>0</v>
      </c>
      <c r="U245" s="275">
        <f>IF(tblContractForDeed[[#This Row],[Princ]]=0,0,$W$3)</f>
        <v>0</v>
      </c>
      <c r="V245" s="275">
        <f>SUM(tblContractForDeed[[#This Row],[Princ]],tblContractForDeed[[#This Row],[Int]],tblContractForDeed[[#This Row],[Ins]],tblContractForDeed[[#This Row],[Taxes]])</f>
        <v>0</v>
      </c>
      <c r="W245" s="275">
        <f>SUM(INDEX(tblContractForDeed[Princ],1):INDEX(tblContractForDeed[Princ],ROW()-ROW(tblContractForDeed[#Headers])))</f>
        <v>75258.000000000029</v>
      </c>
      <c r="X245" s="275">
        <f>IF(tblContractForDeed[[#This Row],[Beg]]&lt;=0,0,tblContractForDeed[[#This Row],[Beg]]-tblContractForDeed[[#This Row],[Princ]])</f>
        <v>0</v>
      </c>
      <c r="Y24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54">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5" s="275">
        <f>IF(INDEX(tblContractForDeed[End Bal],ROW()-ROW(tblBuyerOutputs[#Headers]))&lt;=0,0,($O$6+IF(ROW()=ROW(tblBuyerOutputs[#Headers])+1,0,INDEX(tblBuyerOutputs[Cumul Appr],ROW()-ROW(tblBuyerOutputs[#Headers])-1)))*$O$2/12)</f>
        <v>0</v>
      </c>
      <c r="AE245" s="275">
        <f>IF(INDEX(tblContractForDeed[End Bal],ROW()-ROW(tblBuyerOutputs[#Headers]))&lt;=0,0,IF(ROW()=ROW(tblBuyerOutputs[#Headers])+1,0,INDEX(tblBuyerOutputs[Cumul Appr],ROW()-ROW(tblBuyerOutputs[#Headers])-1))+tblBuyerOutputs[[#This Row],[Monthly Appr]])</f>
        <v>0</v>
      </c>
      <c r="AF245" s="22"/>
      <c r="AG245" s="14"/>
      <c r="AL245"/>
      <c r="AM245" s="14"/>
      <c r="AO245" s="275"/>
      <c r="AQ245" s="14"/>
      <c r="AR245"/>
    </row>
    <row r="246" spans="1:44" x14ac:dyDescent="0.25">
      <c r="A246" s="590" t="str">
        <f t="shared" si="47"/>
        <v/>
      </c>
      <c r="B246" s="275">
        <f t="shared" si="48"/>
        <v>0</v>
      </c>
      <c r="C246" s="14">
        <f t="shared" si="45"/>
        <v>0</v>
      </c>
      <c r="D246" s="14">
        <f t="shared" si="49"/>
        <v>0</v>
      </c>
      <c r="E246" s="14">
        <f t="shared" si="46"/>
        <v>0</v>
      </c>
      <c r="F246" s="14">
        <f t="shared" si="55"/>
        <v>134.16999999999999</v>
      </c>
      <c r="G246" s="14">
        <f t="shared" si="55"/>
        <v>188.55</v>
      </c>
      <c r="H246" s="14">
        <f t="shared" si="43"/>
        <v>322.72000000000003</v>
      </c>
      <c r="I246" s="275">
        <f t="shared" si="52"/>
        <v>97531.839999999953</v>
      </c>
      <c r="J246" s="275">
        <f t="shared" si="53"/>
        <v>36068.259999999973</v>
      </c>
      <c r="K246" s="275">
        <f t="shared" si="50"/>
        <v>0</v>
      </c>
      <c r="L246" s="386">
        <f t="shared" si="56"/>
        <v>0</v>
      </c>
      <c r="M246" s="386">
        <f t="shared" si="51"/>
        <v>0</v>
      </c>
      <c r="N246" s="590" t="str">
        <f>INDEX(tblSubjectToLoan[Date],ROW()-ROW(tblContractForDeed[#Headers]))</f>
        <v/>
      </c>
      <c r="O246" s="275">
        <f>IF(ROW()=ROW(tblContractForDeed[#Headers])+1,$O$6,IF(INDEX(tblContractForDeed[End Bal],ROW()-ROW(tblContractForDeed[#Headers])-1)&lt;0,0,INDEX(tblContractForDeed[End Bal],ROW()-ROW(tblContractForDeed[#Headers])-1)))</f>
        <v>0</v>
      </c>
      <c r="P246" s="445" t="str">
        <f>IF(tblContractForDeed[[#This Row],[Date]]="","",IF(tblContractForDeed[[#This Row],[Date]]&lt;cfdRateChangeDate,cfdRate1,cfdRate2))</f>
        <v/>
      </c>
      <c r="Q2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75">
        <f>IF(tblContractForDeed[[#This Row],[Payment]]=0,0,MAX(0,MIN(tblContractForDeed[[#This Row],[Beg]],tblContractForDeed[[#This Row],[Payment]]-tblContractForDeed[[#This Row],[Int]])))</f>
        <v>0</v>
      </c>
      <c r="S246" s="275">
        <f>IF(OR(tblContractForDeed[[#This Row],[Date]]&lt;cfdContractDate,tblContractForDeed[[#This Row],[Date]]&gt;cfdEndDate),0,ROUND(tblContractForDeed[[#This Row],[Beg]]*(tblContractForDeed[[#This Row],[Int Rate]]/12),2))</f>
        <v>0</v>
      </c>
      <c r="T246" s="275">
        <f>IF(tblContractForDeed[[#This Row],[Payment]]=0,0,$W$2)</f>
        <v>0</v>
      </c>
      <c r="U246" s="275">
        <f>IF(tblContractForDeed[[#This Row],[Princ]]=0,0,$W$3)</f>
        <v>0</v>
      </c>
      <c r="V246" s="275">
        <f>SUM(tblContractForDeed[[#This Row],[Princ]],tblContractForDeed[[#This Row],[Int]],tblContractForDeed[[#This Row],[Ins]],tblContractForDeed[[#This Row],[Taxes]])</f>
        <v>0</v>
      </c>
      <c r="W246" s="275">
        <f>SUM(INDEX(tblContractForDeed[Princ],1):INDEX(tblContractForDeed[Princ],ROW()-ROW(tblContractForDeed[#Headers])))</f>
        <v>75258.000000000029</v>
      </c>
      <c r="X246" s="275">
        <f>IF(tblContractForDeed[[#This Row],[Beg]]&lt;=0,0,tblContractForDeed[[#This Row],[Beg]]-tblContractForDeed[[#This Row],[Princ]])</f>
        <v>0</v>
      </c>
      <c r="Y24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54">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6" s="275">
        <f>IF(INDEX(tblContractForDeed[End Bal],ROW()-ROW(tblBuyerOutputs[#Headers]))&lt;=0,0,($O$6+IF(ROW()=ROW(tblBuyerOutputs[#Headers])+1,0,INDEX(tblBuyerOutputs[Cumul Appr],ROW()-ROW(tblBuyerOutputs[#Headers])-1)))*$O$2/12)</f>
        <v>0</v>
      </c>
      <c r="AE246" s="275">
        <f>IF(INDEX(tblContractForDeed[End Bal],ROW()-ROW(tblBuyerOutputs[#Headers]))&lt;=0,0,IF(ROW()=ROW(tblBuyerOutputs[#Headers])+1,0,INDEX(tblBuyerOutputs[Cumul Appr],ROW()-ROW(tblBuyerOutputs[#Headers])-1))+tblBuyerOutputs[[#This Row],[Monthly Appr]])</f>
        <v>0</v>
      </c>
      <c r="AF246" s="22"/>
      <c r="AG246" s="14"/>
      <c r="AL246"/>
      <c r="AM246" s="14"/>
      <c r="AO246" s="275"/>
      <c r="AQ246" s="14"/>
      <c r="AR246"/>
    </row>
    <row r="247" spans="1:44" ht="15.75" thickBot="1" x14ac:dyDescent="0.3">
      <c r="A247" s="591" t="str">
        <f t="shared" si="47"/>
        <v/>
      </c>
      <c r="B247" s="326">
        <f t="shared" si="48"/>
        <v>0</v>
      </c>
      <c r="C247" s="21">
        <f t="shared" si="45"/>
        <v>0</v>
      </c>
      <c r="D247" s="21">
        <f t="shared" si="49"/>
        <v>0</v>
      </c>
      <c r="E247" s="21">
        <f t="shared" si="46"/>
        <v>0</v>
      </c>
      <c r="F247" s="21">
        <f t="shared" si="55"/>
        <v>134.16999999999999</v>
      </c>
      <c r="G247" s="21">
        <f t="shared" si="55"/>
        <v>188.55</v>
      </c>
      <c r="H247" s="21">
        <f t="shared" si="43"/>
        <v>322.72000000000003</v>
      </c>
      <c r="I247" s="326">
        <f t="shared" si="52"/>
        <v>97531.839999999953</v>
      </c>
      <c r="J247" s="326">
        <f t="shared" si="53"/>
        <v>36068.259999999973</v>
      </c>
      <c r="K247" s="326">
        <f t="shared" si="50"/>
        <v>0</v>
      </c>
      <c r="L247" s="387">
        <f t="shared" si="56"/>
        <v>0</v>
      </c>
      <c r="M247" s="387">
        <f t="shared" si="51"/>
        <v>0</v>
      </c>
      <c r="N247" s="591" t="str">
        <f>INDEX(tblSubjectToLoan[Date],ROW()-ROW(tblContractForDeed[#Headers]))</f>
        <v/>
      </c>
      <c r="O247" s="326">
        <f>IF(ROW()=ROW(tblContractForDeed[#Headers])+1,$O$6,IF(INDEX(tblContractForDeed[End Bal],ROW()-ROW(tblContractForDeed[#Headers])-1)&lt;0,0,INDEX(tblContractForDeed[End Bal],ROW()-ROW(tblContractForDeed[#Headers])-1)))</f>
        <v>0</v>
      </c>
      <c r="P247" s="445" t="str">
        <f>IF(tblContractForDeed[[#This Row],[Date]]="","",IF(tblContractForDeed[[#This Row],[Date]]&lt;cfdRateChangeDate,cfdRate1,cfdRate2))</f>
        <v/>
      </c>
      <c r="Q24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26">
        <f>IF(tblContractForDeed[[#This Row],[Payment]]=0,0,MAX(0,MIN(tblContractForDeed[[#This Row],[Beg]],tblContractForDeed[[#This Row],[Payment]]-tblContractForDeed[[#This Row],[Int]])))</f>
        <v>0</v>
      </c>
      <c r="S247" s="326">
        <f>IF(OR(tblContractForDeed[[#This Row],[Date]]&lt;cfdContractDate,tblContractForDeed[[#This Row],[Date]]&gt;cfdEndDate),0,ROUND(tblContractForDeed[[#This Row],[Beg]]*(tblContractForDeed[[#This Row],[Int Rate]]/12),2))</f>
        <v>0</v>
      </c>
      <c r="T247" s="326">
        <f>IF(tblContractForDeed[[#This Row],[Payment]]=0,0,$W$2)</f>
        <v>0</v>
      </c>
      <c r="U247" s="326">
        <f>IF(tblContractForDeed[[#This Row],[Princ]]=0,0,$W$3)</f>
        <v>0</v>
      </c>
      <c r="V247" s="326">
        <f>SUM(tblContractForDeed[[#This Row],[Princ]],tblContractForDeed[[#This Row],[Int]],tblContractForDeed[[#This Row],[Ins]],tblContractForDeed[[#This Row],[Taxes]])</f>
        <v>0</v>
      </c>
      <c r="W247" s="326">
        <f>SUM(INDEX(tblContractForDeed[Princ],1):INDEX(tblContractForDeed[Princ],ROW()-ROW(tblContractForDeed[#Headers])))</f>
        <v>75258.000000000029</v>
      </c>
      <c r="X247" s="326">
        <f>IF(tblContractForDeed[[#This Row],[Beg]]&lt;=0,0,tblContractForDeed[[#This Row],[Beg]]-tblContractForDeed[[#This Row],[Princ]])</f>
        <v>0</v>
      </c>
      <c r="Y24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55">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7" s="326">
        <f>IF(INDEX(tblContractForDeed[End Bal],ROW()-ROW(tblBuyerOutputs[#Headers]))&lt;=0,0,($O$6+IF(ROW()=ROW(tblBuyerOutputs[#Headers])+1,0,INDEX(tblBuyerOutputs[Cumul Appr],ROW()-ROW(tblBuyerOutputs[#Headers])-1)))*$O$2/12)</f>
        <v>0</v>
      </c>
      <c r="AE247" s="326">
        <f>IF(INDEX(tblContractForDeed[End Bal],ROW()-ROW(tblBuyerOutputs[#Headers]))&lt;=0,0,IF(ROW()=ROW(tblBuyerOutputs[#Headers])+1,0,INDEX(tblBuyerOutputs[Cumul Appr],ROW()-ROW(tblBuyerOutputs[#Headers])-1))+tblBuyerOutputs[[#This Row],[Monthly Appr]])</f>
        <v>0</v>
      </c>
      <c r="AF247" s="22"/>
      <c r="AG247" s="14"/>
      <c r="AL247"/>
      <c r="AM247" s="14"/>
      <c r="AO247" s="275"/>
      <c r="AQ247" s="14"/>
      <c r="AR247"/>
    </row>
    <row r="248" spans="1:44" x14ac:dyDescent="0.25">
      <c r="A248" s="590" t="str">
        <f t="shared" si="47"/>
        <v/>
      </c>
      <c r="B248" s="275">
        <f t="shared" si="48"/>
        <v>0</v>
      </c>
      <c r="C248" s="14">
        <f t="shared" si="45"/>
        <v>0</v>
      </c>
      <c r="D248" s="14">
        <f t="shared" si="49"/>
        <v>0</v>
      </c>
      <c r="E248" s="14">
        <f t="shared" si="46"/>
        <v>0</v>
      </c>
      <c r="F248" s="14">
        <f t="shared" si="55"/>
        <v>134.16999999999999</v>
      </c>
      <c r="G248" s="14">
        <f t="shared" si="55"/>
        <v>188.55</v>
      </c>
      <c r="H248" s="14">
        <f t="shared" si="43"/>
        <v>322.72000000000003</v>
      </c>
      <c r="I248" s="275">
        <f t="shared" si="52"/>
        <v>97531.839999999953</v>
      </c>
      <c r="J248" s="275">
        <f t="shared" si="53"/>
        <v>36068.259999999973</v>
      </c>
      <c r="K248" s="275">
        <f t="shared" si="50"/>
        <v>0</v>
      </c>
      <c r="L248" s="386">
        <f t="shared" si="56"/>
        <v>0</v>
      </c>
      <c r="M248" s="386">
        <f t="shared" si="51"/>
        <v>0</v>
      </c>
      <c r="N248" s="590" t="str">
        <f>INDEX(tblSubjectToLoan[Date],ROW()-ROW(tblContractForDeed[#Headers]))</f>
        <v/>
      </c>
      <c r="O248" s="275">
        <f>IF(ROW()=ROW(tblContractForDeed[#Headers])+1,$O$6,IF(INDEX(tblContractForDeed[End Bal],ROW()-ROW(tblContractForDeed[#Headers])-1)&lt;0,0,INDEX(tblContractForDeed[End Bal],ROW()-ROW(tblContractForDeed[#Headers])-1)))</f>
        <v>0</v>
      </c>
      <c r="P248" s="445" t="str">
        <f>IF(tblContractForDeed[[#This Row],[Date]]="","",IF(tblContractForDeed[[#This Row],[Date]]&lt;cfdRateChangeDate,cfdRate1,cfdRate2))</f>
        <v/>
      </c>
      <c r="Q2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75">
        <f>IF(tblContractForDeed[[#This Row],[Payment]]=0,0,MAX(0,MIN(tblContractForDeed[[#This Row],[Beg]],tblContractForDeed[[#This Row],[Payment]]-tblContractForDeed[[#This Row],[Int]])))</f>
        <v>0</v>
      </c>
      <c r="S248" s="275">
        <f>IF(OR(tblContractForDeed[[#This Row],[Date]]&lt;cfdContractDate,tblContractForDeed[[#This Row],[Date]]&gt;cfdEndDate),0,ROUND(tblContractForDeed[[#This Row],[Beg]]*(tblContractForDeed[[#This Row],[Int Rate]]/12),2))</f>
        <v>0</v>
      </c>
      <c r="T248" s="275">
        <f>IF(tblContractForDeed[[#This Row],[Payment]]=0,0,$W$2)</f>
        <v>0</v>
      </c>
      <c r="U248" s="275">
        <f>IF(tblContractForDeed[[#This Row],[Princ]]=0,0,$W$3)</f>
        <v>0</v>
      </c>
      <c r="V248" s="275">
        <f>SUM(tblContractForDeed[[#This Row],[Princ]],tblContractForDeed[[#This Row],[Int]],tblContractForDeed[[#This Row],[Ins]],tblContractForDeed[[#This Row],[Taxes]])</f>
        <v>0</v>
      </c>
      <c r="W248" s="275">
        <f>SUM(INDEX(tblContractForDeed[Princ],1):INDEX(tblContractForDeed[Princ],ROW()-ROW(tblContractForDeed[#Headers])))</f>
        <v>75258.000000000029</v>
      </c>
      <c r="X248" s="275">
        <f>IF(tblContractForDeed[[#This Row],[Beg]]&lt;=0,0,tblContractForDeed[[#This Row],[Beg]]-tblContractForDeed[[#This Row],[Princ]])</f>
        <v>0</v>
      </c>
      <c r="Y24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54">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8" s="275">
        <f>IF(INDEX(tblContractForDeed[End Bal],ROW()-ROW(tblBuyerOutputs[#Headers]))&lt;=0,0,($O$6+IF(ROW()=ROW(tblBuyerOutputs[#Headers])+1,0,INDEX(tblBuyerOutputs[Cumul Appr],ROW()-ROW(tblBuyerOutputs[#Headers])-1)))*$O$2/12)</f>
        <v>0</v>
      </c>
      <c r="AE248" s="275">
        <f>IF(INDEX(tblContractForDeed[End Bal],ROW()-ROW(tblBuyerOutputs[#Headers]))&lt;=0,0,IF(ROW()=ROW(tblBuyerOutputs[#Headers])+1,0,INDEX(tblBuyerOutputs[Cumul Appr],ROW()-ROW(tblBuyerOutputs[#Headers])-1))+tblBuyerOutputs[[#This Row],[Monthly Appr]])</f>
        <v>0</v>
      </c>
      <c r="AF248" s="22"/>
      <c r="AG248" s="14"/>
      <c r="AL248"/>
      <c r="AM248" s="14"/>
      <c r="AO248" s="275"/>
      <c r="AQ248" s="14"/>
      <c r="AR248"/>
    </row>
    <row r="249" spans="1:44" x14ac:dyDescent="0.25">
      <c r="A249" s="590" t="str">
        <f t="shared" si="47"/>
        <v/>
      </c>
      <c r="B249" s="275">
        <f t="shared" si="48"/>
        <v>0</v>
      </c>
      <c r="C249" s="14">
        <f t="shared" si="45"/>
        <v>0</v>
      </c>
      <c r="D249" s="14">
        <f t="shared" si="49"/>
        <v>0</v>
      </c>
      <c r="E249" s="14">
        <f t="shared" si="46"/>
        <v>0</v>
      </c>
      <c r="F249" s="14">
        <f t="shared" si="55"/>
        <v>134.16999999999999</v>
      </c>
      <c r="G249" s="14">
        <f t="shared" si="55"/>
        <v>188.55</v>
      </c>
      <c r="H249" s="14">
        <f t="shared" si="43"/>
        <v>322.72000000000003</v>
      </c>
      <c r="I249" s="275">
        <f t="shared" si="52"/>
        <v>97531.839999999953</v>
      </c>
      <c r="J249" s="275">
        <f t="shared" si="53"/>
        <v>36068.259999999973</v>
      </c>
      <c r="K249" s="275">
        <f t="shared" si="50"/>
        <v>0</v>
      </c>
      <c r="L249" s="386">
        <f t="shared" si="56"/>
        <v>0</v>
      </c>
      <c r="M249" s="386">
        <f t="shared" si="51"/>
        <v>0</v>
      </c>
      <c r="N249" s="590" t="str">
        <f>INDEX(tblSubjectToLoan[Date],ROW()-ROW(tblContractForDeed[#Headers]))</f>
        <v/>
      </c>
      <c r="O249" s="275">
        <f>IF(ROW()=ROW(tblContractForDeed[#Headers])+1,$O$6,IF(INDEX(tblContractForDeed[End Bal],ROW()-ROW(tblContractForDeed[#Headers])-1)&lt;0,0,INDEX(tblContractForDeed[End Bal],ROW()-ROW(tblContractForDeed[#Headers])-1)))</f>
        <v>0</v>
      </c>
      <c r="P249" s="445" t="str">
        <f>IF(tblContractForDeed[[#This Row],[Date]]="","",IF(tblContractForDeed[[#This Row],[Date]]&lt;cfdRateChangeDate,cfdRate1,cfdRate2))</f>
        <v/>
      </c>
      <c r="Q2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75">
        <f>IF(tblContractForDeed[[#This Row],[Payment]]=0,0,MAX(0,MIN(tblContractForDeed[[#This Row],[Beg]],tblContractForDeed[[#This Row],[Payment]]-tblContractForDeed[[#This Row],[Int]])))</f>
        <v>0</v>
      </c>
      <c r="S249" s="275">
        <f>IF(OR(tblContractForDeed[[#This Row],[Date]]&lt;cfdContractDate,tblContractForDeed[[#This Row],[Date]]&gt;cfdEndDate),0,ROUND(tblContractForDeed[[#This Row],[Beg]]*(tblContractForDeed[[#This Row],[Int Rate]]/12),2))</f>
        <v>0</v>
      </c>
      <c r="T249" s="275">
        <f>IF(tblContractForDeed[[#This Row],[Payment]]=0,0,$W$2)</f>
        <v>0</v>
      </c>
      <c r="U249" s="275">
        <f>IF(tblContractForDeed[[#This Row],[Princ]]=0,0,$W$3)</f>
        <v>0</v>
      </c>
      <c r="V249" s="275">
        <f>SUM(tblContractForDeed[[#This Row],[Princ]],tblContractForDeed[[#This Row],[Int]],tblContractForDeed[[#This Row],[Ins]],tblContractForDeed[[#This Row],[Taxes]])</f>
        <v>0</v>
      </c>
      <c r="W249" s="275">
        <f>SUM(INDEX(tblContractForDeed[Princ],1):INDEX(tblContractForDeed[Princ],ROW()-ROW(tblContractForDeed[#Headers])))</f>
        <v>75258.000000000029</v>
      </c>
      <c r="X249" s="275">
        <f>IF(tblContractForDeed[[#This Row],[Beg]]&lt;=0,0,tblContractForDeed[[#This Row],[Beg]]-tblContractForDeed[[#This Row],[Princ]])</f>
        <v>0</v>
      </c>
      <c r="Y24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54">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9" s="275">
        <f>IF(INDEX(tblContractForDeed[End Bal],ROW()-ROW(tblBuyerOutputs[#Headers]))&lt;=0,0,($O$6+IF(ROW()=ROW(tblBuyerOutputs[#Headers])+1,0,INDEX(tblBuyerOutputs[Cumul Appr],ROW()-ROW(tblBuyerOutputs[#Headers])-1)))*$O$2/12)</f>
        <v>0</v>
      </c>
      <c r="AE249" s="275">
        <f>IF(INDEX(tblContractForDeed[End Bal],ROW()-ROW(tblBuyerOutputs[#Headers]))&lt;=0,0,IF(ROW()=ROW(tblBuyerOutputs[#Headers])+1,0,INDEX(tblBuyerOutputs[Cumul Appr],ROW()-ROW(tblBuyerOutputs[#Headers])-1))+tblBuyerOutputs[[#This Row],[Monthly Appr]])</f>
        <v>0</v>
      </c>
      <c r="AF249" s="22"/>
      <c r="AG249" s="14"/>
      <c r="AL249"/>
      <c r="AM249" s="14"/>
      <c r="AO249" s="275"/>
      <c r="AQ249" s="14"/>
      <c r="AR249"/>
    </row>
    <row r="250" spans="1:44" x14ac:dyDescent="0.25">
      <c r="A250" s="590" t="str">
        <f t="shared" si="47"/>
        <v/>
      </c>
      <c r="B250" s="275">
        <f t="shared" si="48"/>
        <v>0</v>
      </c>
      <c r="C250" s="14">
        <f t="shared" si="45"/>
        <v>0</v>
      </c>
      <c r="D250" s="14">
        <f t="shared" si="49"/>
        <v>0</v>
      </c>
      <c r="E250" s="14">
        <f t="shared" si="46"/>
        <v>0</v>
      </c>
      <c r="F250" s="14">
        <f t="shared" si="55"/>
        <v>134.16999999999999</v>
      </c>
      <c r="G250" s="14">
        <f t="shared" si="55"/>
        <v>188.55</v>
      </c>
      <c r="H250" s="14">
        <f t="shared" si="43"/>
        <v>322.72000000000003</v>
      </c>
      <c r="I250" s="275">
        <f t="shared" si="52"/>
        <v>97531.839999999953</v>
      </c>
      <c r="J250" s="275">
        <f t="shared" si="53"/>
        <v>36068.259999999973</v>
      </c>
      <c r="K250" s="275">
        <f t="shared" si="50"/>
        <v>0</v>
      </c>
      <c r="L250" s="386">
        <f t="shared" si="56"/>
        <v>0</v>
      </c>
      <c r="M250" s="386">
        <f t="shared" si="51"/>
        <v>0</v>
      </c>
      <c r="N250" s="590" t="str">
        <f>INDEX(tblSubjectToLoan[Date],ROW()-ROW(tblContractForDeed[#Headers]))</f>
        <v/>
      </c>
      <c r="O250" s="275">
        <f>IF(ROW()=ROW(tblContractForDeed[#Headers])+1,$O$6,IF(INDEX(tblContractForDeed[End Bal],ROW()-ROW(tblContractForDeed[#Headers])-1)&lt;0,0,INDEX(tblContractForDeed[End Bal],ROW()-ROW(tblContractForDeed[#Headers])-1)))</f>
        <v>0</v>
      </c>
      <c r="P250" s="445" t="str">
        <f>IF(tblContractForDeed[[#This Row],[Date]]="","",IF(tblContractForDeed[[#This Row],[Date]]&lt;cfdRateChangeDate,cfdRate1,cfdRate2))</f>
        <v/>
      </c>
      <c r="Q2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75">
        <f>IF(tblContractForDeed[[#This Row],[Payment]]=0,0,MAX(0,MIN(tblContractForDeed[[#This Row],[Beg]],tblContractForDeed[[#This Row],[Payment]]-tblContractForDeed[[#This Row],[Int]])))</f>
        <v>0</v>
      </c>
      <c r="S250" s="275">
        <f>IF(OR(tblContractForDeed[[#This Row],[Date]]&lt;cfdContractDate,tblContractForDeed[[#This Row],[Date]]&gt;cfdEndDate),0,ROUND(tblContractForDeed[[#This Row],[Beg]]*(tblContractForDeed[[#This Row],[Int Rate]]/12),2))</f>
        <v>0</v>
      </c>
      <c r="T250" s="275">
        <f>IF(tblContractForDeed[[#This Row],[Payment]]=0,0,$W$2)</f>
        <v>0</v>
      </c>
      <c r="U250" s="275">
        <f>IF(tblContractForDeed[[#This Row],[Princ]]=0,0,$W$3)</f>
        <v>0</v>
      </c>
      <c r="V250" s="275">
        <f>SUM(tblContractForDeed[[#This Row],[Princ]],tblContractForDeed[[#This Row],[Int]],tblContractForDeed[[#This Row],[Ins]],tblContractForDeed[[#This Row],[Taxes]])</f>
        <v>0</v>
      </c>
      <c r="W250" s="275">
        <f>SUM(INDEX(tblContractForDeed[Princ],1):INDEX(tblContractForDeed[Princ],ROW()-ROW(tblContractForDeed[#Headers])))</f>
        <v>75258.000000000029</v>
      </c>
      <c r="X250" s="275">
        <f>IF(tblContractForDeed[[#This Row],[Beg]]&lt;=0,0,tblContractForDeed[[#This Row],[Beg]]-tblContractForDeed[[#This Row],[Princ]])</f>
        <v>0</v>
      </c>
      <c r="Y25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54">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0" s="275">
        <f>IF(INDEX(tblContractForDeed[End Bal],ROW()-ROW(tblBuyerOutputs[#Headers]))&lt;=0,0,($O$6+IF(ROW()=ROW(tblBuyerOutputs[#Headers])+1,0,INDEX(tblBuyerOutputs[Cumul Appr],ROW()-ROW(tblBuyerOutputs[#Headers])-1)))*$O$2/12)</f>
        <v>0</v>
      </c>
      <c r="AE250" s="275">
        <f>IF(INDEX(tblContractForDeed[End Bal],ROW()-ROW(tblBuyerOutputs[#Headers]))&lt;=0,0,IF(ROW()=ROW(tblBuyerOutputs[#Headers])+1,0,INDEX(tblBuyerOutputs[Cumul Appr],ROW()-ROW(tblBuyerOutputs[#Headers])-1))+tblBuyerOutputs[[#This Row],[Monthly Appr]])</f>
        <v>0</v>
      </c>
      <c r="AF250" s="22"/>
      <c r="AG250" s="14"/>
      <c r="AL250"/>
      <c r="AM250" s="14"/>
      <c r="AO250" s="275"/>
      <c r="AQ250" s="14"/>
      <c r="AR250"/>
    </row>
    <row r="251" spans="1:44" x14ac:dyDescent="0.25">
      <c r="A251" s="590" t="str">
        <f t="shared" si="47"/>
        <v/>
      </c>
      <c r="B251" s="275">
        <f t="shared" si="48"/>
        <v>0</v>
      </c>
      <c r="C251" s="14">
        <f t="shared" si="45"/>
        <v>0</v>
      </c>
      <c r="D251" s="14">
        <f t="shared" si="49"/>
        <v>0</v>
      </c>
      <c r="E251" s="14">
        <f t="shared" si="46"/>
        <v>0</v>
      </c>
      <c r="F251" s="14">
        <f t="shared" si="55"/>
        <v>134.16999999999999</v>
      </c>
      <c r="G251" s="14">
        <f t="shared" si="55"/>
        <v>188.55</v>
      </c>
      <c r="H251" s="14">
        <f t="shared" si="43"/>
        <v>322.72000000000003</v>
      </c>
      <c r="I251" s="275">
        <f t="shared" si="52"/>
        <v>97531.839999999953</v>
      </c>
      <c r="J251" s="275">
        <f t="shared" si="53"/>
        <v>36068.259999999973</v>
      </c>
      <c r="K251" s="275">
        <f t="shared" si="50"/>
        <v>0</v>
      </c>
      <c r="L251" s="386">
        <f t="shared" si="56"/>
        <v>0</v>
      </c>
      <c r="M251" s="386">
        <f t="shared" si="51"/>
        <v>0</v>
      </c>
      <c r="N251" s="590" t="str">
        <f>INDEX(tblSubjectToLoan[Date],ROW()-ROW(tblContractForDeed[#Headers]))</f>
        <v/>
      </c>
      <c r="O251" s="275">
        <f>IF(ROW()=ROW(tblContractForDeed[#Headers])+1,$O$6,IF(INDEX(tblContractForDeed[End Bal],ROW()-ROW(tblContractForDeed[#Headers])-1)&lt;0,0,INDEX(tblContractForDeed[End Bal],ROW()-ROW(tblContractForDeed[#Headers])-1)))</f>
        <v>0</v>
      </c>
      <c r="P251" s="445" t="str">
        <f>IF(tblContractForDeed[[#This Row],[Date]]="","",IF(tblContractForDeed[[#This Row],[Date]]&lt;cfdRateChangeDate,cfdRate1,cfdRate2))</f>
        <v/>
      </c>
      <c r="Q25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75">
        <f>IF(tblContractForDeed[[#This Row],[Payment]]=0,0,MAX(0,MIN(tblContractForDeed[[#This Row],[Beg]],tblContractForDeed[[#This Row],[Payment]]-tblContractForDeed[[#This Row],[Int]])))</f>
        <v>0</v>
      </c>
      <c r="S251" s="275">
        <f>IF(OR(tblContractForDeed[[#This Row],[Date]]&lt;cfdContractDate,tblContractForDeed[[#This Row],[Date]]&gt;cfdEndDate),0,ROUND(tblContractForDeed[[#This Row],[Beg]]*(tblContractForDeed[[#This Row],[Int Rate]]/12),2))</f>
        <v>0</v>
      </c>
      <c r="T251" s="275">
        <f>IF(tblContractForDeed[[#This Row],[Payment]]=0,0,$W$2)</f>
        <v>0</v>
      </c>
      <c r="U251" s="275">
        <f>IF(tblContractForDeed[[#This Row],[Princ]]=0,0,$W$3)</f>
        <v>0</v>
      </c>
      <c r="V251" s="275">
        <f>SUM(tblContractForDeed[[#This Row],[Princ]],tblContractForDeed[[#This Row],[Int]],tblContractForDeed[[#This Row],[Ins]],tblContractForDeed[[#This Row],[Taxes]])</f>
        <v>0</v>
      </c>
      <c r="W251" s="275">
        <f>SUM(INDEX(tblContractForDeed[Princ],1):INDEX(tblContractForDeed[Princ],ROW()-ROW(tblContractForDeed[#Headers])))</f>
        <v>75258.000000000029</v>
      </c>
      <c r="X251" s="275">
        <f>IF(tblContractForDeed[[#This Row],[Beg]]&lt;=0,0,tblContractForDeed[[#This Row],[Beg]]-tblContractForDeed[[#This Row],[Princ]])</f>
        <v>0</v>
      </c>
      <c r="Y25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54">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1" s="275">
        <f>IF(INDEX(tblContractForDeed[End Bal],ROW()-ROW(tblBuyerOutputs[#Headers]))&lt;=0,0,($O$6+IF(ROW()=ROW(tblBuyerOutputs[#Headers])+1,0,INDEX(tblBuyerOutputs[Cumul Appr],ROW()-ROW(tblBuyerOutputs[#Headers])-1)))*$O$2/12)</f>
        <v>0</v>
      </c>
      <c r="AE251" s="275">
        <f>IF(INDEX(tblContractForDeed[End Bal],ROW()-ROW(tblBuyerOutputs[#Headers]))&lt;=0,0,IF(ROW()=ROW(tblBuyerOutputs[#Headers])+1,0,INDEX(tblBuyerOutputs[Cumul Appr],ROW()-ROW(tblBuyerOutputs[#Headers])-1))+tblBuyerOutputs[[#This Row],[Monthly Appr]])</f>
        <v>0</v>
      </c>
      <c r="AF251" s="22"/>
      <c r="AG251" s="14"/>
      <c r="AL251"/>
      <c r="AM251" s="14"/>
      <c r="AO251" s="275"/>
      <c r="AQ251" s="14"/>
      <c r="AR251"/>
    </row>
    <row r="252" spans="1:44" x14ac:dyDescent="0.25">
      <c r="A252" s="590" t="str">
        <f t="shared" si="47"/>
        <v/>
      </c>
      <c r="B252" s="275">
        <f t="shared" si="48"/>
        <v>0</v>
      </c>
      <c r="C252" s="14">
        <f t="shared" si="45"/>
        <v>0</v>
      </c>
      <c r="D252" s="14">
        <f t="shared" si="49"/>
        <v>0</v>
      </c>
      <c r="E252" s="14">
        <f t="shared" si="46"/>
        <v>0</v>
      </c>
      <c r="F252" s="14">
        <f t="shared" si="55"/>
        <v>134.16999999999999</v>
      </c>
      <c r="G252" s="14">
        <f t="shared" si="55"/>
        <v>188.55</v>
      </c>
      <c r="H252" s="14">
        <f t="shared" si="43"/>
        <v>322.72000000000003</v>
      </c>
      <c r="I252" s="275">
        <f t="shared" si="52"/>
        <v>97531.839999999953</v>
      </c>
      <c r="J252" s="275">
        <f t="shared" si="53"/>
        <v>36068.259999999973</v>
      </c>
      <c r="K252" s="275">
        <f t="shared" si="50"/>
        <v>0</v>
      </c>
      <c r="L252" s="386">
        <f t="shared" si="56"/>
        <v>0</v>
      </c>
      <c r="M252" s="386">
        <f t="shared" si="51"/>
        <v>0</v>
      </c>
      <c r="N252" s="590" t="str">
        <f>INDEX(tblSubjectToLoan[Date],ROW()-ROW(tblContractForDeed[#Headers]))</f>
        <v/>
      </c>
      <c r="O252" s="275">
        <f>IF(ROW()=ROW(tblContractForDeed[#Headers])+1,$O$6,IF(INDEX(tblContractForDeed[End Bal],ROW()-ROW(tblContractForDeed[#Headers])-1)&lt;0,0,INDEX(tblContractForDeed[End Bal],ROW()-ROW(tblContractForDeed[#Headers])-1)))</f>
        <v>0</v>
      </c>
      <c r="P252" s="445" t="str">
        <f>IF(tblContractForDeed[[#This Row],[Date]]="","",IF(tblContractForDeed[[#This Row],[Date]]&lt;cfdRateChangeDate,cfdRate1,cfdRate2))</f>
        <v/>
      </c>
      <c r="Q2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75">
        <f>IF(tblContractForDeed[[#This Row],[Payment]]=0,0,MAX(0,MIN(tblContractForDeed[[#This Row],[Beg]],tblContractForDeed[[#This Row],[Payment]]-tblContractForDeed[[#This Row],[Int]])))</f>
        <v>0</v>
      </c>
      <c r="S252" s="275">
        <f>IF(OR(tblContractForDeed[[#This Row],[Date]]&lt;cfdContractDate,tblContractForDeed[[#This Row],[Date]]&gt;cfdEndDate),0,ROUND(tblContractForDeed[[#This Row],[Beg]]*(tblContractForDeed[[#This Row],[Int Rate]]/12),2))</f>
        <v>0</v>
      </c>
      <c r="T252" s="275">
        <f>IF(tblContractForDeed[[#This Row],[Payment]]=0,0,$W$2)</f>
        <v>0</v>
      </c>
      <c r="U252" s="275">
        <f>IF(tblContractForDeed[[#This Row],[Princ]]=0,0,$W$3)</f>
        <v>0</v>
      </c>
      <c r="V252" s="275">
        <f>SUM(tblContractForDeed[[#This Row],[Princ]],tblContractForDeed[[#This Row],[Int]],tblContractForDeed[[#This Row],[Ins]],tblContractForDeed[[#This Row],[Taxes]])</f>
        <v>0</v>
      </c>
      <c r="W252" s="275">
        <f>SUM(INDEX(tblContractForDeed[Princ],1):INDEX(tblContractForDeed[Princ],ROW()-ROW(tblContractForDeed[#Headers])))</f>
        <v>75258.000000000029</v>
      </c>
      <c r="X252" s="275">
        <f>IF(tblContractForDeed[[#This Row],[Beg]]&lt;=0,0,tblContractForDeed[[#This Row],[Beg]]-tblContractForDeed[[#This Row],[Princ]])</f>
        <v>0</v>
      </c>
      <c r="Y25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54">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2" s="275">
        <f>IF(INDEX(tblContractForDeed[End Bal],ROW()-ROW(tblBuyerOutputs[#Headers]))&lt;=0,0,($O$6+IF(ROW()=ROW(tblBuyerOutputs[#Headers])+1,0,INDEX(tblBuyerOutputs[Cumul Appr],ROW()-ROW(tblBuyerOutputs[#Headers])-1)))*$O$2/12)</f>
        <v>0</v>
      </c>
      <c r="AE252" s="275">
        <f>IF(INDEX(tblContractForDeed[End Bal],ROW()-ROW(tblBuyerOutputs[#Headers]))&lt;=0,0,IF(ROW()=ROW(tblBuyerOutputs[#Headers])+1,0,INDEX(tblBuyerOutputs[Cumul Appr],ROW()-ROW(tblBuyerOutputs[#Headers])-1))+tblBuyerOutputs[[#This Row],[Monthly Appr]])</f>
        <v>0</v>
      </c>
      <c r="AF252" s="22"/>
      <c r="AG252" s="14"/>
      <c r="AL252"/>
      <c r="AM252" s="14"/>
      <c r="AO252" s="275"/>
      <c r="AQ252" s="14"/>
      <c r="AR252"/>
    </row>
    <row r="253" spans="1:44" x14ac:dyDescent="0.25">
      <c r="A253" s="590" t="str">
        <f t="shared" si="47"/>
        <v/>
      </c>
      <c r="B253" s="275">
        <f t="shared" si="48"/>
        <v>0</v>
      </c>
      <c r="C253" s="14">
        <f t="shared" si="45"/>
        <v>0</v>
      </c>
      <c r="D253" s="14">
        <f t="shared" si="49"/>
        <v>0</v>
      </c>
      <c r="E253" s="14">
        <f t="shared" si="46"/>
        <v>0</v>
      </c>
      <c r="F253" s="14">
        <f t="shared" si="55"/>
        <v>134.16999999999999</v>
      </c>
      <c r="G253" s="14">
        <f t="shared" si="55"/>
        <v>188.55</v>
      </c>
      <c r="H253" s="14">
        <f t="shared" si="43"/>
        <v>322.72000000000003</v>
      </c>
      <c r="I253" s="275">
        <f t="shared" si="52"/>
        <v>97531.839999999953</v>
      </c>
      <c r="J253" s="275">
        <f t="shared" si="53"/>
        <v>36068.259999999973</v>
      </c>
      <c r="K253" s="275">
        <f t="shared" si="50"/>
        <v>0</v>
      </c>
      <c r="L253" s="386">
        <f t="shared" si="56"/>
        <v>0</v>
      </c>
      <c r="M253" s="386">
        <f t="shared" si="51"/>
        <v>0</v>
      </c>
      <c r="N253" s="590" t="str">
        <f>INDEX(tblSubjectToLoan[Date],ROW()-ROW(tblContractForDeed[#Headers]))</f>
        <v/>
      </c>
      <c r="O253" s="275">
        <f>IF(ROW()=ROW(tblContractForDeed[#Headers])+1,$O$6,IF(INDEX(tblContractForDeed[End Bal],ROW()-ROW(tblContractForDeed[#Headers])-1)&lt;0,0,INDEX(tblContractForDeed[End Bal],ROW()-ROW(tblContractForDeed[#Headers])-1)))</f>
        <v>0</v>
      </c>
      <c r="P253" s="445" t="str">
        <f>IF(tblContractForDeed[[#This Row],[Date]]="","",IF(tblContractForDeed[[#This Row],[Date]]&lt;cfdRateChangeDate,cfdRate1,cfdRate2))</f>
        <v/>
      </c>
      <c r="Q2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75">
        <f>IF(tblContractForDeed[[#This Row],[Payment]]=0,0,MAX(0,MIN(tblContractForDeed[[#This Row],[Beg]],tblContractForDeed[[#This Row],[Payment]]-tblContractForDeed[[#This Row],[Int]])))</f>
        <v>0</v>
      </c>
      <c r="S253" s="275">
        <f>IF(OR(tblContractForDeed[[#This Row],[Date]]&lt;cfdContractDate,tblContractForDeed[[#This Row],[Date]]&gt;cfdEndDate),0,ROUND(tblContractForDeed[[#This Row],[Beg]]*(tblContractForDeed[[#This Row],[Int Rate]]/12),2))</f>
        <v>0</v>
      </c>
      <c r="T253" s="275">
        <f>IF(tblContractForDeed[[#This Row],[Payment]]=0,0,$W$2)</f>
        <v>0</v>
      </c>
      <c r="U253" s="275">
        <f>IF(tblContractForDeed[[#This Row],[Princ]]=0,0,$W$3)</f>
        <v>0</v>
      </c>
      <c r="V253" s="275">
        <f>SUM(tblContractForDeed[[#This Row],[Princ]],tblContractForDeed[[#This Row],[Int]],tblContractForDeed[[#This Row],[Ins]],tblContractForDeed[[#This Row],[Taxes]])</f>
        <v>0</v>
      </c>
      <c r="W253" s="275">
        <f>SUM(INDEX(tblContractForDeed[Princ],1):INDEX(tblContractForDeed[Princ],ROW()-ROW(tblContractForDeed[#Headers])))</f>
        <v>75258.000000000029</v>
      </c>
      <c r="X253" s="275">
        <f>IF(tblContractForDeed[[#This Row],[Beg]]&lt;=0,0,tblContractForDeed[[#This Row],[Beg]]-tblContractForDeed[[#This Row],[Princ]])</f>
        <v>0</v>
      </c>
      <c r="Y25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54">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3" s="275">
        <f>IF(INDEX(tblContractForDeed[End Bal],ROW()-ROW(tblBuyerOutputs[#Headers]))&lt;=0,0,($O$6+IF(ROW()=ROW(tblBuyerOutputs[#Headers])+1,0,INDEX(tblBuyerOutputs[Cumul Appr],ROW()-ROW(tblBuyerOutputs[#Headers])-1)))*$O$2/12)</f>
        <v>0</v>
      </c>
      <c r="AE253" s="275">
        <f>IF(INDEX(tblContractForDeed[End Bal],ROW()-ROW(tblBuyerOutputs[#Headers]))&lt;=0,0,IF(ROW()=ROW(tblBuyerOutputs[#Headers])+1,0,INDEX(tblBuyerOutputs[Cumul Appr],ROW()-ROW(tblBuyerOutputs[#Headers])-1))+tblBuyerOutputs[[#This Row],[Monthly Appr]])</f>
        <v>0</v>
      </c>
      <c r="AF253" s="22"/>
      <c r="AG253" s="14"/>
      <c r="AL253"/>
      <c r="AM253" s="14"/>
      <c r="AO253" s="275"/>
      <c r="AQ253" s="14"/>
      <c r="AR253"/>
    </row>
    <row r="254" spans="1:44" x14ac:dyDescent="0.25">
      <c r="A254" s="590" t="str">
        <f t="shared" si="47"/>
        <v/>
      </c>
      <c r="B254" s="275">
        <f t="shared" si="48"/>
        <v>0</v>
      </c>
      <c r="C254" s="14">
        <f t="shared" si="45"/>
        <v>0</v>
      </c>
      <c r="D254" s="14">
        <f t="shared" si="49"/>
        <v>0</v>
      </c>
      <c r="E254" s="14">
        <f t="shared" si="46"/>
        <v>0</v>
      </c>
      <c r="F254" s="14">
        <f t="shared" si="55"/>
        <v>134.16999999999999</v>
      </c>
      <c r="G254" s="14">
        <f t="shared" si="55"/>
        <v>188.55</v>
      </c>
      <c r="H254" s="14">
        <f t="shared" si="43"/>
        <v>322.72000000000003</v>
      </c>
      <c r="I254" s="275">
        <f t="shared" si="52"/>
        <v>97531.839999999953</v>
      </c>
      <c r="J254" s="275">
        <f t="shared" si="53"/>
        <v>36068.259999999973</v>
      </c>
      <c r="K254" s="275">
        <f t="shared" si="50"/>
        <v>0</v>
      </c>
      <c r="L254" s="386">
        <f t="shared" si="56"/>
        <v>0</v>
      </c>
      <c r="M254" s="386">
        <f t="shared" si="51"/>
        <v>0</v>
      </c>
      <c r="N254" s="590" t="str">
        <f>INDEX(tblSubjectToLoan[Date],ROW()-ROW(tblContractForDeed[#Headers]))</f>
        <v/>
      </c>
      <c r="O254" s="275">
        <f>IF(ROW()=ROW(tblContractForDeed[#Headers])+1,$O$6,IF(INDEX(tblContractForDeed[End Bal],ROW()-ROW(tblContractForDeed[#Headers])-1)&lt;0,0,INDEX(tblContractForDeed[End Bal],ROW()-ROW(tblContractForDeed[#Headers])-1)))</f>
        <v>0</v>
      </c>
      <c r="P254" s="445" t="str">
        <f>IF(tblContractForDeed[[#This Row],[Date]]="","",IF(tblContractForDeed[[#This Row],[Date]]&lt;cfdRateChangeDate,cfdRate1,cfdRate2))</f>
        <v/>
      </c>
      <c r="Q2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75">
        <f>IF(tblContractForDeed[[#This Row],[Payment]]=0,0,MAX(0,MIN(tblContractForDeed[[#This Row],[Beg]],tblContractForDeed[[#This Row],[Payment]]-tblContractForDeed[[#This Row],[Int]])))</f>
        <v>0</v>
      </c>
      <c r="S254" s="275">
        <f>IF(OR(tblContractForDeed[[#This Row],[Date]]&lt;cfdContractDate,tblContractForDeed[[#This Row],[Date]]&gt;cfdEndDate),0,ROUND(tblContractForDeed[[#This Row],[Beg]]*(tblContractForDeed[[#This Row],[Int Rate]]/12),2))</f>
        <v>0</v>
      </c>
      <c r="T254" s="275">
        <f>IF(tblContractForDeed[[#This Row],[Payment]]=0,0,$W$2)</f>
        <v>0</v>
      </c>
      <c r="U254" s="275">
        <f>IF(tblContractForDeed[[#This Row],[Princ]]=0,0,$W$3)</f>
        <v>0</v>
      </c>
      <c r="V254" s="275">
        <f>SUM(tblContractForDeed[[#This Row],[Princ]],tblContractForDeed[[#This Row],[Int]],tblContractForDeed[[#This Row],[Ins]],tblContractForDeed[[#This Row],[Taxes]])</f>
        <v>0</v>
      </c>
      <c r="W254" s="275">
        <f>SUM(INDEX(tblContractForDeed[Princ],1):INDEX(tblContractForDeed[Princ],ROW()-ROW(tblContractForDeed[#Headers])))</f>
        <v>75258.000000000029</v>
      </c>
      <c r="X254" s="275">
        <f>IF(tblContractForDeed[[#This Row],[Beg]]&lt;=0,0,tblContractForDeed[[#This Row],[Beg]]-tblContractForDeed[[#This Row],[Princ]])</f>
        <v>0</v>
      </c>
      <c r="Y25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54">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4" s="275">
        <f>IF(INDEX(tblContractForDeed[End Bal],ROW()-ROW(tblBuyerOutputs[#Headers]))&lt;=0,0,($O$6+IF(ROW()=ROW(tblBuyerOutputs[#Headers])+1,0,INDEX(tblBuyerOutputs[Cumul Appr],ROW()-ROW(tblBuyerOutputs[#Headers])-1)))*$O$2/12)</f>
        <v>0</v>
      </c>
      <c r="AE254" s="275">
        <f>IF(INDEX(tblContractForDeed[End Bal],ROW()-ROW(tblBuyerOutputs[#Headers]))&lt;=0,0,IF(ROW()=ROW(tblBuyerOutputs[#Headers])+1,0,INDEX(tblBuyerOutputs[Cumul Appr],ROW()-ROW(tblBuyerOutputs[#Headers])-1))+tblBuyerOutputs[[#This Row],[Monthly Appr]])</f>
        <v>0</v>
      </c>
      <c r="AF254" s="22"/>
      <c r="AG254" s="14"/>
      <c r="AL254"/>
      <c r="AM254" s="14"/>
      <c r="AO254" s="275"/>
      <c r="AQ254" s="14"/>
      <c r="AR254"/>
    </row>
    <row r="255" spans="1:44" x14ac:dyDescent="0.25">
      <c r="A255" s="590" t="str">
        <f t="shared" si="47"/>
        <v/>
      </c>
      <c r="B255" s="275">
        <f t="shared" si="48"/>
        <v>0</v>
      </c>
      <c r="C255" s="14">
        <f t="shared" si="45"/>
        <v>0</v>
      </c>
      <c r="D255" s="14">
        <f t="shared" si="49"/>
        <v>0</v>
      </c>
      <c r="E255" s="14">
        <f t="shared" si="46"/>
        <v>0</v>
      </c>
      <c r="F255" s="14">
        <f t="shared" ref="F255:G270" si="57">+F254</f>
        <v>134.16999999999999</v>
      </c>
      <c r="G255" s="14">
        <f t="shared" si="57"/>
        <v>188.55</v>
      </c>
      <c r="H255" s="14">
        <f t="shared" si="43"/>
        <v>322.72000000000003</v>
      </c>
      <c r="I255" s="275">
        <f t="shared" si="52"/>
        <v>97531.839999999953</v>
      </c>
      <c r="J255" s="275">
        <f t="shared" si="53"/>
        <v>36068.259999999973</v>
      </c>
      <c r="K255" s="275">
        <f t="shared" si="50"/>
        <v>0</v>
      </c>
      <c r="L255" s="386">
        <f t="shared" si="56"/>
        <v>0</v>
      </c>
      <c r="M255" s="386">
        <f t="shared" si="51"/>
        <v>0</v>
      </c>
      <c r="N255" s="590" t="str">
        <f>INDEX(tblSubjectToLoan[Date],ROW()-ROW(tblContractForDeed[#Headers]))</f>
        <v/>
      </c>
      <c r="O255" s="275">
        <f>IF(ROW()=ROW(tblContractForDeed[#Headers])+1,$O$6,IF(INDEX(tblContractForDeed[End Bal],ROW()-ROW(tblContractForDeed[#Headers])-1)&lt;0,0,INDEX(tblContractForDeed[End Bal],ROW()-ROW(tblContractForDeed[#Headers])-1)))</f>
        <v>0</v>
      </c>
      <c r="P255" s="445" t="str">
        <f>IF(tblContractForDeed[[#This Row],[Date]]="","",IF(tblContractForDeed[[#This Row],[Date]]&lt;cfdRateChangeDate,cfdRate1,cfdRate2))</f>
        <v/>
      </c>
      <c r="Q25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75">
        <f>IF(tblContractForDeed[[#This Row],[Payment]]=0,0,MAX(0,MIN(tblContractForDeed[[#This Row],[Beg]],tblContractForDeed[[#This Row],[Payment]]-tblContractForDeed[[#This Row],[Int]])))</f>
        <v>0</v>
      </c>
      <c r="S255" s="275">
        <f>IF(OR(tblContractForDeed[[#This Row],[Date]]&lt;cfdContractDate,tblContractForDeed[[#This Row],[Date]]&gt;cfdEndDate),0,ROUND(tblContractForDeed[[#This Row],[Beg]]*(tblContractForDeed[[#This Row],[Int Rate]]/12),2))</f>
        <v>0</v>
      </c>
      <c r="T255" s="275">
        <f>IF(tblContractForDeed[[#This Row],[Payment]]=0,0,$W$2)</f>
        <v>0</v>
      </c>
      <c r="U255" s="275">
        <f>IF(tblContractForDeed[[#This Row],[Princ]]=0,0,$W$3)</f>
        <v>0</v>
      </c>
      <c r="V255" s="275">
        <f>SUM(tblContractForDeed[[#This Row],[Princ]],tblContractForDeed[[#This Row],[Int]],tblContractForDeed[[#This Row],[Ins]],tblContractForDeed[[#This Row],[Taxes]])</f>
        <v>0</v>
      </c>
      <c r="W255" s="275">
        <f>SUM(INDEX(tblContractForDeed[Princ],1):INDEX(tblContractForDeed[Princ],ROW()-ROW(tblContractForDeed[#Headers])))</f>
        <v>75258.000000000029</v>
      </c>
      <c r="X255" s="275">
        <f>IF(tblContractForDeed[[#This Row],[Beg]]&lt;=0,0,tblContractForDeed[[#This Row],[Beg]]-tblContractForDeed[[#This Row],[Princ]])</f>
        <v>0</v>
      </c>
      <c r="Y25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54">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5" s="275">
        <f>IF(INDEX(tblContractForDeed[End Bal],ROW()-ROW(tblBuyerOutputs[#Headers]))&lt;=0,0,($O$6+IF(ROW()=ROW(tblBuyerOutputs[#Headers])+1,0,INDEX(tblBuyerOutputs[Cumul Appr],ROW()-ROW(tblBuyerOutputs[#Headers])-1)))*$O$2/12)</f>
        <v>0</v>
      </c>
      <c r="AE255" s="275">
        <f>IF(INDEX(tblContractForDeed[End Bal],ROW()-ROW(tblBuyerOutputs[#Headers]))&lt;=0,0,IF(ROW()=ROW(tblBuyerOutputs[#Headers])+1,0,INDEX(tblBuyerOutputs[Cumul Appr],ROW()-ROW(tblBuyerOutputs[#Headers])-1))+tblBuyerOutputs[[#This Row],[Monthly Appr]])</f>
        <v>0</v>
      </c>
      <c r="AF255" s="22"/>
      <c r="AG255" s="14"/>
      <c r="AL255"/>
      <c r="AM255" s="14"/>
      <c r="AO255" s="275"/>
      <c r="AQ255" s="14"/>
      <c r="AR255"/>
    </row>
    <row r="256" spans="1:44" x14ac:dyDescent="0.25">
      <c r="A256" s="590" t="str">
        <f t="shared" si="47"/>
        <v/>
      </c>
      <c r="B256" s="275">
        <f t="shared" si="48"/>
        <v>0</v>
      </c>
      <c r="C256" s="14">
        <f t="shared" si="45"/>
        <v>0</v>
      </c>
      <c r="D256" s="14">
        <f t="shared" si="49"/>
        <v>0</v>
      </c>
      <c r="E256" s="14">
        <f t="shared" si="46"/>
        <v>0</v>
      </c>
      <c r="F256" s="14">
        <f t="shared" si="57"/>
        <v>134.16999999999999</v>
      </c>
      <c r="G256" s="14">
        <f t="shared" si="57"/>
        <v>188.55</v>
      </c>
      <c r="H256" s="14">
        <f t="shared" ref="H256:H319" si="58">SUM(D256:G256)</f>
        <v>322.72000000000003</v>
      </c>
      <c r="I256" s="275">
        <f t="shared" si="52"/>
        <v>97531.839999999953</v>
      </c>
      <c r="J256" s="275">
        <f t="shared" si="53"/>
        <v>36068.259999999973</v>
      </c>
      <c r="K256" s="275">
        <f t="shared" si="50"/>
        <v>0</v>
      </c>
      <c r="L256" s="386">
        <f t="shared" si="56"/>
        <v>0</v>
      </c>
      <c r="M256" s="386">
        <f t="shared" si="51"/>
        <v>0</v>
      </c>
      <c r="N256" s="590" t="str">
        <f>INDEX(tblSubjectToLoan[Date],ROW()-ROW(tblContractForDeed[#Headers]))</f>
        <v/>
      </c>
      <c r="O256" s="275">
        <f>IF(ROW()=ROW(tblContractForDeed[#Headers])+1,$O$6,IF(INDEX(tblContractForDeed[End Bal],ROW()-ROW(tblContractForDeed[#Headers])-1)&lt;0,0,INDEX(tblContractForDeed[End Bal],ROW()-ROW(tblContractForDeed[#Headers])-1)))</f>
        <v>0</v>
      </c>
      <c r="P256" s="445" t="str">
        <f>IF(tblContractForDeed[[#This Row],[Date]]="","",IF(tblContractForDeed[[#This Row],[Date]]&lt;cfdRateChangeDate,cfdRate1,cfdRate2))</f>
        <v/>
      </c>
      <c r="Q2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75">
        <f>IF(tblContractForDeed[[#This Row],[Payment]]=0,0,MAX(0,MIN(tblContractForDeed[[#This Row],[Beg]],tblContractForDeed[[#This Row],[Payment]]-tblContractForDeed[[#This Row],[Int]])))</f>
        <v>0</v>
      </c>
      <c r="S256" s="275">
        <f>IF(OR(tblContractForDeed[[#This Row],[Date]]&lt;cfdContractDate,tblContractForDeed[[#This Row],[Date]]&gt;cfdEndDate),0,ROUND(tblContractForDeed[[#This Row],[Beg]]*(tblContractForDeed[[#This Row],[Int Rate]]/12),2))</f>
        <v>0</v>
      </c>
      <c r="T256" s="275">
        <f>IF(tblContractForDeed[[#This Row],[Payment]]=0,0,$W$2)</f>
        <v>0</v>
      </c>
      <c r="U256" s="275">
        <f>IF(tblContractForDeed[[#This Row],[Princ]]=0,0,$W$3)</f>
        <v>0</v>
      </c>
      <c r="V256" s="275">
        <f>SUM(tblContractForDeed[[#This Row],[Princ]],tblContractForDeed[[#This Row],[Int]],tblContractForDeed[[#This Row],[Ins]],tblContractForDeed[[#This Row],[Taxes]])</f>
        <v>0</v>
      </c>
      <c r="W256" s="275">
        <f>SUM(INDEX(tblContractForDeed[Princ],1):INDEX(tblContractForDeed[Princ],ROW()-ROW(tblContractForDeed[#Headers])))</f>
        <v>75258.000000000029</v>
      </c>
      <c r="X256" s="275">
        <f>IF(tblContractForDeed[[#This Row],[Beg]]&lt;=0,0,tblContractForDeed[[#This Row],[Beg]]-tblContractForDeed[[#This Row],[Princ]])</f>
        <v>0</v>
      </c>
      <c r="Y25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54">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6" s="275">
        <f>IF(INDEX(tblContractForDeed[End Bal],ROW()-ROW(tblBuyerOutputs[#Headers]))&lt;=0,0,($O$6+IF(ROW()=ROW(tblBuyerOutputs[#Headers])+1,0,INDEX(tblBuyerOutputs[Cumul Appr],ROW()-ROW(tblBuyerOutputs[#Headers])-1)))*$O$2/12)</f>
        <v>0</v>
      </c>
      <c r="AE256" s="275">
        <f>IF(INDEX(tblContractForDeed[End Bal],ROW()-ROW(tblBuyerOutputs[#Headers]))&lt;=0,0,IF(ROW()=ROW(tblBuyerOutputs[#Headers])+1,0,INDEX(tblBuyerOutputs[Cumul Appr],ROW()-ROW(tblBuyerOutputs[#Headers])-1))+tblBuyerOutputs[[#This Row],[Monthly Appr]])</f>
        <v>0</v>
      </c>
      <c r="AF256" s="22"/>
      <c r="AG256" s="14"/>
      <c r="AL256"/>
      <c r="AM256" s="14"/>
      <c r="AO256" s="275"/>
      <c r="AQ256" s="14"/>
      <c r="AR256"/>
    </row>
    <row r="257" spans="1:44" x14ac:dyDescent="0.25">
      <c r="A257" s="590" t="str">
        <f t="shared" si="47"/>
        <v/>
      </c>
      <c r="B257" s="275">
        <f t="shared" si="48"/>
        <v>0</v>
      </c>
      <c r="C257" s="14">
        <f t="shared" si="45"/>
        <v>0</v>
      </c>
      <c r="D257" s="14">
        <f t="shared" si="49"/>
        <v>0</v>
      </c>
      <c r="E257" s="14">
        <f t="shared" si="46"/>
        <v>0</v>
      </c>
      <c r="F257" s="14">
        <f t="shared" si="57"/>
        <v>134.16999999999999</v>
      </c>
      <c r="G257" s="14">
        <f t="shared" si="57"/>
        <v>188.55</v>
      </c>
      <c r="H257" s="14">
        <f t="shared" si="58"/>
        <v>322.72000000000003</v>
      </c>
      <c r="I257" s="275">
        <f t="shared" si="52"/>
        <v>97531.839999999953</v>
      </c>
      <c r="J257" s="275">
        <f t="shared" si="53"/>
        <v>36068.259999999973</v>
      </c>
      <c r="K257" s="275">
        <f t="shared" si="50"/>
        <v>0</v>
      </c>
      <c r="L257" s="386">
        <f t="shared" si="56"/>
        <v>0</v>
      </c>
      <c r="M257" s="386">
        <f t="shared" si="51"/>
        <v>0</v>
      </c>
      <c r="N257" s="590" t="str">
        <f>INDEX(tblSubjectToLoan[Date],ROW()-ROW(tblContractForDeed[#Headers]))</f>
        <v/>
      </c>
      <c r="O257" s="275">
        <f>IF(ROW()=ROW(tblContractForDeed[#Headers])+1,$O$6,IF(INDEX(tblContractForDeed[End Bal],ROW()-ROW(tblContractForDeed[#Headers])-1)&lt;0,0,INDEX(tblContractForDeed[End Bal],ROW()-ROW(tblContractForDeed[#Headers])-1)))</f>
        <v>0</v>
      </c>
      <c r="P257" s="445" t="str">
        <f>IF(tblContractForDeed[[#This Row],[Date]]="","",IF(tblContractForDeed[[#This Row],[Date]]&lt;cfdRateChangeDate,cfdRate1,cfdRate2))</f>
        <v/>
      </c>
      <c r="Q2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75">
        <f>IF(tblContractForDeed[[#This Row],[Payment]]=0,0,MAX(0,MIN(tblContractForDeed[[#This Row],[Beg]],tblContractForDeed[[#This Row],[Payment]]-tblContractForDeed[[#This Row],[Int]])))</f>
        <v>0</v>
      </c>
      <c r="S257" s="275">
        <f>IF(OR(tblContractForDeed[[#This Row],[Date]]&lt;cfdContractDate,tblContractForDeed[[#This Row],[Date]]&gt;cfdEndDate),0,ROUND(tblContractForDeed[[#This Row],[Beg]]*(tblContractForDeed[[#This Row],[Int Rate]]/12),2))</f>
        <v>0</v>
      </c>
      <c r="T257" s="275">
        <f>IF(tblContractForDeed[[#This Row],[Payment]]=0,0,$W$2)</f>
        <v>0</v>
      </c>
      <c r="U257" s="275">
        <f>IF(tblContractForDeed[[#This Row],[Princ]]=0,0,$W$3)</f>
        <v>0</v>
      </c>
      <c r="V257" s="275">
        <f>SUM(tblContractForDeed[[#This Row],[Princ]],tblContractForDeed[[#This Row],[Int]],tblContractForDeed[[#This Row],[Ins]],tblContractForDeed[[#This Row],[Taxes]])</f>
        <v>0</v>
      </c>
      <c r="W257" s="275">
        <f>SUM(INDEX(tblContractForDeed[Princ],1):INDEX(tblContractForDeed[Princ],ROW()-ROW(tblContractForDeed[#Headers])))</f>
        <v>75258.000000000029</v>
      </c>
      <c r="X257" s="275">
        <f>IF(tblContractForDeed[[#This Row],[Beg]]&lt;=0,0,tblContractForDeed[[#This Row],[Beg]]-tblContractForDeed[[#This Row],[Princ]])</f>
        <v>0</v>
      </c>
      <c r="Y25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54">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7" s="275">
        <f>IF(INDEX(tblContractForDeed[End Bal],ROW()-ROW(tblBuyerOutputs[#Headers]))&lt;=0,0,($O$6+IF(ROW()=ROW(tblBuyerOutputs[#Headers])+1,0,INDEX(tblBuyerOutputs[Cumul Appr],ROW()-ROW(tblBuyerOutputs[#Headers])-1)))*$O$2/12)</f>
        <v>0</v>
      </c>
      <c r="AE257" s="275">
        <f>IF(INDEX(tblContractForDeed[End Bal],ROW()-ROW(tblBuyerOutputs[#Headers]))&lt;=0,0,IF(ROW()=ROW(tblBuyerOutputs[#Headers])+1,0,INDEX(tblBuyerOutputs[Cumul Appr],ROW()-ROW(tblBuyerOutputs[#Headers])-1))+tblBuyerOutputs[[#This Row],[Monthly Appr]])</f>
        <v>0</v>
      </c>
      <c r="AF257" s="22"/>
      <c r="AG257" s="14"/>
      <c r="AL257"/>
      <c r="AM257" s="14"/>
      <c r="AO257" s="275"/>
      <c r="AQ257" s="14"/>
      <c r="AR257"/>
    </row>
    <row r="258" spans="1:44" x14ac:dyDescent="0.25">
      <c r="A258" s="590" t="str">
        <f t="shared" si="47"/>
        <v/>
      </c>
      <c r="B258" s="275">
        <f t="shared" si="48"/>
        <v>0</v>
      </c>
      <c r="C258" s="14">
        <f t="shared" si="45"/>
        <v>0</v>
      </c>
      <c r="D258" s="14">
        <f t="shared" si="49"/>
        <v>0</v>
      </c>
      <c r="E258" s="14">
        <f t="shared" si="46"/>
        <v>0</v>
      </c>
      <c r="F258" s="14">
        <f t="shared" si="57"/>
        <v>134.16999999999999</v>
      </c>
      <c r="G258" s="14">
        <f t="shared" si="57"/>
        <v>188.55</v>
      </c>
      <c r="H258" s="14">
        <f t="shared" si="58"/>
        <v>322.72000000000003</v>
      </c>
      <c r="I258" s="275">
        <f t="shared" si="52"/>
        <v>97531.839999999953</v>
      </c>
      <c r="J258" s="275">
        <f t="shared" si="53"/>
        <v>36068.259999999973</v>
      </c>
      <c r="K258" s="275">
        <f t="shared" si="50"/>
        <v>0</v>
      </c>
      <c r="L258" s="386">
        <f t="shared" si="56"/>
        <v>0</v>
      </c>
      <c r="M258" s="386">
        <f t="shared" si="51"/>
        <v>0</v>
      </c>
      <c r="N258" s="590" t="str">
        <f>INDEX(tblSubjectToLoan[Date],ROW()-ROW(tblContractForDeed[#Headers]))</f>
        <v/>
      </c>
      <c r="O258" s="275">
        <f>IF(ROW()=ROW(tblContractForDeed[#Headers])+1,$O$6,IF(INDEX(tblContractForDeed[End Bal],ROW()-ROW(tblContractForDeed[#Headers])-1)&lt;0,0,INDEX(tblContractForDeed[End Bal],ROW()-ROW(tblContractForDeed[#Headers])-1)))</f>
        <v>0</v>
      </c>
      <c r="P258" s="445" t="str">
        <f>IF(tblContractForDeed[[#This Row],[Date]]="","",IF(tblContractForDeed[[#This Row],[Date]]&lt;cfdRateChangeDate,cfdRate1,cfdRate2))</f>
        <v/>
      </c>
      <c r="Q2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75">
        <f>IF(tblContractForDeed[[#This Row],[Payment]]=0,0,MAX(0,MIN(tblContractForDeed[[#This Row],[Beg]],tblContractForDeed[[#This Row],[Payment]]-tblContractForDeed[[#This Row],[Int]])))</f>
        <v>0</v>
      </c>
      <c r="S258" s="275">
        <f>IF(OR(tblContractForDeed[[#This Row],[Date]]&lt;cfdContractDate,tblContractForDeed[[#This Row],[Date]]&gt;cfdEndDate),0,ROUND(tblContractForDeed[[#This Row],[Beg]]*(tblContractForDeed[[#This Row],[Int Rate]]/12),2))</f>
        <v>0</v>
      </c>
      <c r="T258" s="275">
        <f>IF(tblContractForDeed[[#This Row],[Payment]]=0,0,$W$2)</f>
        <v>0</v>
      </c>
      <c r="U258" s="275">
        <f>IF(tblContractForDeed[[#This Row],[Princ]]=0,0,$W$3)</f>
        <v>0</v>
      </c>
      <c r="V258" s="275">
        <f>SUM(tblContractForDeed[[#This Row],[Princ]],tblContractForDeed[[#This Row],[Int]],tblContractForDeed[[#This Row],[Ins]],tblContractForDeed[[#This Row],[Taxes]])</f>
        <v>0</v>
      </c>
      <c r="W258" s="275">
        <f>SUM(INDEX(tblContractForDeed[Princ],1):INDEX(tblContractForDeed[Princ],ROW()-ROW(tblContractForDeed[#Headers])))</f>
        <v>75258.000000000029</v>
      </c>
      <c r="X258" s="275">
        <f>IF(tblContractForDeed[[#This Row],[Beg]]&lt;=0,0,tblContractForDeed[[#This Row],[Beg]]-tblContractForDeed[[#This Row],[Princ]])</f>
        <v>0</v>
      </c>
      <c r="Y25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54">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8" s="275">
        <f>IF(INDEX(tblContractForDeed[End Bal],ROW()-ROW(tblBuyerOutputs[#Headers]))&lt;=0,0,($O$6+IF(ROW()=ROW(tblBuyerOutputs[#Headers])+1,0,INDEX(tblBuyerOutputs[Cumul Appr],ROW()-ROW(tblBuyerOutputs[#Headers])-1)))*$O$2/12)</f>
        <v>0</v>
      </c>
      <c r="AE258" s="275">
        <f>IF(INDEX(tblContractForDeed[End Bal],ROW()-ROW(tblBuyerOutputs[#Headers]))&lt;=0,0,IF(ROW()=ROW(tblBuyerOutputs[#Headers])+1,0,INDEX(tblBuyerOutputs[Cumul Appr],ROW()-ROW(tblBuyerOutputs[#Headers])-1))+tblBuyerOutputs[[#This Row],[Monthly Appr]])</f>
        <v>0</v>
      </c>
      <c r="AF258" s="22"/>
      <c r="AG258" s="14"/>
      <c r="AL258"/>
      <c r="AM258" s="14"/>
      <c r="AO258" s="275"/>
      <c r="AQ258" s="14"/>
      <c r="AR258"/>
    </row>
    <row r="259" spans="1:44" ht="15.75" thickBot="1" x14ac:dyDescent="0.3">
      <c r="A259" s="591" t="str">
        <f t="shared" si="47"/>
        <v/>
      </c>
      <c r="B259" s="326">
        <f t="shared" si="48"/>
        <v>0</v>
      </c>
      <c r="C259" s="21">
        <f t="shared" si="45"/>
        <v>0</v>
      </c>
      <c r="D259" s="21">
        <f t="shared" si="49"/>
        <v>0</v>
      </c>
      <c r="E259" s="21">
        <f t="shared" si="46"/>
        <v>0</v>
      </c>
      <c r="F259" s="21">
        <f t="shared" si="57"/>
        <v>134.16999999999999</v>
      </c>
      <c r="G259" s="21">
        <f t="shared" si="57"/>
        <v>188.55</v>
      </c>
      <c r="H259" s="21">
        <f t="shared" si="58"/>
        <v>322.72000000000003</v>
      </c>
      <c r="I259" s="326">
        <f t="shared" si="52"/>
        <v>97531.839999999953</v>
      </c>
      <c r="J259" s="326">
        <f t="shared" si="53"/>
        <v>36068.259999999973</v>
      </c>
      <c r="K259" s="326">
        <f t="shared" si="50"/>
        <v>0</v>
      </c>
      <c r="L259" s="387">
        <f t="shared" si="56"/>
        <v>0</v>
      </c>
      <c r="M259" s="387">
        <f t="shared" si="51"/>
        <v>0</v>
      </c>
      <c r="N259" s="591" t="str">
        <f>INDEX(tblSubjectToLoan[Date],ROW()-ROW(tblContractForDeed[#Headers]))</f>
        <v/>
      </c>
      <c r="O259" s="326">
        <f>IF(ROW()=ROW(tblContractForDeed[#Headers])+1,$O$6,IF(INDEX(tblContractForDeed[End Bal],ROW()-ROW(tblContractForDeed[#Headers])-1)&lt;0,0,INDEX(tblContractForDeed[End Bal],ROW()-ROW(tblContractForDeed[#Headers])-1)))</f>
        <v>0</v>
      </c>
      <c r="P259" s="445" t="str">
        <f>IF(tblContractForDeed[[#This Row],[Date]]="","",IF(tblContractForDeed[[#This Row],[Date]]&lt;cfdRateChangeDate,cfdRate1,cfdRate2))</f>
        <v/>
      </c>
      <c r="Q25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26">
        <f>IF(tblContractForDeed[[#This Row],[Payment]]=0,0,MAX(0,MIN(tblContractForDeed[[#This Row],[Beg]],tblContractForDeed[[#This Row],[Payment]]-tblContractForDeed[[#This Row],[Int]])))</f>
        <v>0</v>
      </c>
      <c r="S259" s="326">
        <f>IF(OR(tblContractForDeed[[#This Row],[Date]]&lt;cfdContractDate,tblContractForDeed[[#This Row],[Date]]&gt;cfdEndDate),0,ROUND(tblContractForDeed[[#This Row],[Beg]]*(tblContractForDeed[[#This Row],[Int Rate]]/12),2))</f>
        <v>0</v>
      </c>
      <c r="T259" s="326">
        <f>IF(tblContractForDeed[[#This Row],[Payment]]=0,0,$W$2)</f>
        <v>0</v>
      </c>
      <c r="U259" s="326">
        <f>IF(tblContractForDeed[[#This Row],[Princ]]=0,0,$W$3)</f>
        <v>0</v>
      </c>
      <c r="V259" s="326">
        <f>SUM(tblContractForDeed[[#This Row],[Princ]],tblContractForDeed[[#This Row],[Int]],tblContractForDeed[[#This Row],[Ins]],tblContractForDeed[[#This Row],[Taxes]])</f>
        <v>0</v>
      </c>
      <c r="W259" s="326">
        <f>SUM(INDEX(tblContractForDeed[Princ],1):INDEX(tblContractForDeed[Princ],ROW()-ROW(tblContractForDeed[#Headers])))</f>
        <v>75258.000000000029</v>
      </c>
      <c r="X259" s="326">
        <f>IF(tblContractForDeed[[#This Row],[Beg]]&lt;=0,0,tblContractForDeed[[#This Row],[Beg]]-tblContractForDeed[[#This Row],[Princ]])</f>
        <v>0</v>
      </c>
      <c r="Y25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55">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9" s="326">
        <f>IF(INDEX(tblContractForDeed[End Bal],ROW()-ROW(tblBuyerOutputs[#Headers]))&lt;=0,0,($O$6+IF(ROW()=ROW(tblBuyerOutputs[#Headers])+1,0,INDEX(tblBuyerOutputs[Cumul Appr],ROW()-ROW(tblBuyerOutputs[#Headers])-1)))*$O$2/12)</f>
        <v>0</v>
      </c>
      <c r="AE259" s="326">
        <f>IF(INDEX(tblContractForDeed[End Bal],ROW()-ROW(tblBuyerOutputs[#Headers]))&lt;=0,0,IF(ROW()=ROW(tblBuyerOutputs[#Headers])+1,0,INDEX(tblBuyerOutputs[Cumul Appr],ROW()-ROW(tblBuyerOutputs[#Headers])-1))+tblBuyerOutputs[[#This Row],[Monthly Appr]])</f>
        <v>0</v>
      </c>
      <c r="AF259" s="22"/>
      <c r="AG259" s="14"/>
      <c r="AL259"/>
      <c r="AM259" s="14"/>
      <c r="AO259" s="275"/>
      <c r="AQ259" s="14"/>
      <c r="AR259"/>
    </row>
    <row r="260" spans="1:44" x14ac:dyDescent="0.25">
      <c r="A260" s="590" t="str">
        <f t="shared" si="47"/>
        <v/>
      </c>
      <c r="B260" s="275">
        <f t="shared" si="48"/>
        <v>0</v>
      </c>
      <c r="C260" s="14">
        <f t="shared" si="45"/>
        <v>0</v>
      </c>
      <c r="D260" s="14">
        <f t="shared" si="49"/>
        <v>0</v>
      </c>
      <c r="E260" s="14">
        <f t="shared" si="46"/>
        <v>0</v>
      </c>
      <c r="F260" s="14">
        <f t="shared" si="57"/>
        <v>134.16999999999999</v>
      </c>
      <c r="G260" s="14">
        <f t="shared" si="57"/>
        <v>188.55</v>
      </c>
      <c r="H260" s="14">
        <f t="shared" si="58"/>
        <v>322.72000000000003</v>
      </c>
      <c r="I260" s="275">
        <f t="shared" si="52"/>
        <v>97531.839999999953</v>
      </c>
      <c r="J260" s="275">
        <f t="shared" si="53"/>
        <v>36068.259999999973</v>
      </c>
      <c r="K260" s="275">
        <f t="shared" si="50"/>
        <v>0</v>
      </c>
      <c r="L260" s="386">
        <f t="shared" si="56"/>
        <v>0</v>
      </c>
      <c r="M260" s="386">
        <f t="shared" si="51"/>
        <v>0</v>
      </c>
      <c r="N260" s="590" t="str">
        <f>INDEX(tblSubjectToLoan[Date],ROW()-ROW(tblContractForDeed[#Headers]))</f>
        <v/>
      </c>
      <c r="O260" s="275">
        <f>IF(ROW()=ROW(tblContractForDeed[#Headers])+1,$O$6,IF(INDEX(tblContractForDeed[End Bal],ROW()-ROW(tblContractForDeed[#Headers])-1)&lt;0,0,INDEX(tblContractForDeed[End Bal],ROW()-ROW(tblContractForDeed[#Headers])-1)))</f>
        <v>0</v>
      </c>
      <c r="P260" s="445" t="str">
        <f>IF(tblContractForDeed[[#This Row],[Date]]="","",IF(tblContractForDeed[[#This Row],[Date]]&lt;cfdRateChangeDate,cfdRate1,cfdRate2))</f>
        <v/>
      </c>
      <c r="Q2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75">
        <f>IF(tblContractForDeed[[#This Row],[Payment]]=0,0,MAX(0,MIN(tblContractForDeed[[#This Row],[Beg]],tblContractForDeed[[#This Row],[Payment]]-tblContractForDeed[[#This Row],[Int]])))</f>
        <v>0</v>
      </c>
      <c r="S260" s="275">
        <f>IF(OR(tblContractForDeed[[#This Row],[Date]]&lt;cfdContractDate,tblContractForDeed[[#This Row],[Date]]&gt;cfdEndDate),0,ROUND(tblContractForDeed[[#This Row],[Beg]]*(tblContractForDeed[[#This Row],[Int Rate]]/12),2))</f>
        <v>0</v>
      </c>
      <c r="T260" s="275">
        <f>IF(tblContractForDeed[[#This Row],[Payment]]=0,0,$W$2)</f>
        <v>0</v>
      </c>
      <c r="U260" s="275">
        <f>IF(tblContractForDeed[[#This Row],[Princ]]=0,0,$W$3)</f>
        <v>0</v>
      </c>
      <c r="V260" s="275">
        <f>SUM(tblContractForDeed[[#This Row],[Princ]],tblContractForDeed[[#This Row],[Int]],tblContractForDeed[[#This Row],[Ins]],tblContractForDeed[[#This Row],[Taxes]])</f>
        <v>0</v>
      </c>
      <c r="W260" s="275">
        <f>SUM(INDEX(tblContractForDeed[Princ],1):INDEX(tblContractForDeed[Princ],ROW()-ROW(tblContractForDeed[#Headers])))</f>
        <v>75258.000000000029</v>
      </c>
      <c r="X260" s="275">
        <f>IF(tblContractForDeed[[#This Row],[Beg]]&lt;=0,0,tblContractForDeed[[#This Row],[Beg]]-tblContractForDeed[[#This Row],[Princ]])</f>
        <v>0</v>
      </c>
      <c r="Y26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54">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0" s="275">
        <f>IF(INDEX(tblContractForDeed[End Bal],ROW()-ROW(tblBuyerOutputs[#Headers]))&lt;=0,0,($O$6+IF(ROW()=ROW(tblBuyerOutputs[#Headers])+1,0,INDEX(tblBuyerOutputs[Cumul Appr],ROW()-ROW(tblBuyerOutputs[#Headers])-1)))*$O$2/12)</f>
        <v>0</v>
      </c>
      <c r="AE260" s="275">
        <f>IF(INDEX(tblContractForDeed[End Bal],ROW()-ROW(tblBuyerOutputs[#Headers]))&lt;=0,0,IF(ROW()=ROW(tblBuyerOutputs[#Headers])+1,0,INDEX(tblBuyerOutputs[Cumul Appr],ROW()-ROW(tblBuyerOutputs[#Headers])-1))+tblBuyerOutputs[[#This Row],[Monthly Appr]])</f>
        <v>0</v>
      </c>
      <c r="AF260" s="22"/>
      <c r="AG260" s="14"/>
      <c r="AL260"/>
      <c r="AM260" s="14"/>
      <c r="AO260" s="275"/>
      <c r="AQ260" s="14"/>
      <c r="AR260"/>
    </row>
    <row r="261" spans="1:44" x14ac:dyDescent="0.25">
      <c r="A261" s="590" t="str">
        <f t="shared" si="47"/>
        <v/>
      </c>
      <c r="B261" s="275">
        <f t="shared" si="48"/>
        <v>0</v>
      </c>
      <c r="C261" s="14">
        <f t="shared" si="45"/>
        <v>0</v>
      </c>
      <c r="D261" s="14">
        <f t="shared" si="49"/>
        <v>0</v>
      </c>
      <c r="E261" s="14">
        <f t="shared" si="46"/>
        <v>0</v>
      </c>
      <c r="F261" s="14">
        <f t="shared" si="57"/>
        <v>134.16999999999999</v>
      </c>
      <c r="G261" s="14">
        <f t="shared" si="57"/>
        <v>188.55</v>
      </c>
      <c r="H261" s="14">
        <f t="shared" si="58"/>
        <v>322.72000000000003</v>
      </c>
      <c r="I261" s="275">
        <f t="shared" si="52"/>
        <v>97531.839999999953</v>
      </c>
      <c r="J261" s="275">
        <f t="shared" si="53"/>
        <v>36068.259999999973</v>
      </c>
      <c r="K261" s="275">
        <f t="shared" si="50"/>
        <v>0</v>
      </c>
      <c r="L261" s="386">
        <f t="shared" si="56"/>
        <v>0</v>
      </c>
      <c r="M261" s="386">
        <f t="shared" si="51"/>
        <v>0</v>
      </c>
      <c r="N261" s="590" t="str">
        <f>INDEX(tblSubjectToLoan[Date],ROW()-ROW(tblContractForDeed[#Headers]))</f>
        <v/>
      </c>
      <c r="O261" s="275">
        <f>IF(ROW()=ROW(tblContractForDeed[#Headers])+1,$O$6,IF(INDEX(tblContractForDeed[End Bal],ROW()-ROW(tblContractForDeed[#Headers])-1)&lt;0,0,INDEX(tblContractForDeed[End Bal],ROW()-ROW(tblContractForDeed[#Headers])-1)))</f>
        <v>0</v>
      </c>
      <c r="P261" s="445" t="str">
        <f>IF(tblContractForDeed[[#This Row],[Date]]="","",IF(tblContractForDeed[[#This Row],[Date]]&lt;cfdRateChangeDate,cfdRate1,cfdRate2))</f>
        <v/>
      </c>
      <c r="Q2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75">
        <f>IF(tblContractForDeed[[#This Row],[Payment]]=0,0,MAX(0,MIN(tblContractForDeed[[#This Row],[Beg]],tblContractForDeed[[#This Row],[Payment]]-tblContractForDeed[[#This Row],[Int]])))</f>
        <v>0</v>
      </c>
      <c r="S261" s="275">
        <f>IF(OR(tblContractForDeed[[#This Row],[Date]]&lt;cfdContractDate,tblContractForDeed[[#This Row],[Date]]&gt;cfdEndDate),0,ROUND(tblContractForDeed[[#This Row],[Beg]]*(tblContractForDeed[[#This Row],[Int Rate]]/12),2))</f>
        <v>0</v>
      </c>
      <c r="T261" s="275">
        <f>IF(tblContractForDeed[[#This Row],[Payment]]=0,0,$W$2)</f>
        <v>0</v>
      </c>
      <c r="U261" s="275">
        <f>IF(tblContractForDeed[[#This Row],[Princ]]=0,0,$W$3)</f>
        <v>0</v>
      </c>
      <c r="V261" s="275">
        <f>SUM(tblContractForDeed[[#This Row],[Princ]],tblContractForDeed[[#This Row],[Int]],tblContractForDeed[[#This Row],[Ins]],tblContractForDeed[[#This Row],[Taxes]])</f>
        <v>0</v>
      </c>
      <c r="W261" s="275">
        <f>SUM(INDEX(tblContractForDeed[Princ],1):INDEX(tblContractForDeed[Princ],ROW()-ROW(tblContractForDeed[#Headers])))</f>
        <v>75258.000000000029</v>
      </c>
      <c r="X261" s="275">
        <f>IF(tblContractForDeed[[#This Row],[Beg]]&lt;=0,0,tblContractForDeed[[#This Row],[Beg]]-tblContractForDeed[[#This Row],[Princ]])</f>
        <v>0</v>
      </c>
      <c r="Y26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54">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1" s="275">
        <f>IF(INDEX(tblContractForDeed[End Bal],ROW()-ROW(tblBuyerOutputs[#Headers]))&lt;=0,0,($O$6+IF(ROW()=ROW(tblBuyerOutputs[#Headers])+1,0,INDEX(tblBuyerOutputs[Cumul Appr],ROW()-ROW(tblBuyerOutputs[#Headers])-1)))*$O$2/12)</f>
        <v>0</v>
      </c>
      <c r="AE261" s="275">
        <f>IF(INDEX(tblContractForDeed[End Bal],ROW()-ROW(tblBuyerOutputs[#Headers]))&lt;=0,0,IF(ROW()=ROW(tblBuyerOutputs[#Headers])+1,0,INDEX(tblBuyerOutputs[Cumul Appr],ROW()-ROW(tblBuyerOutputs[#Headers])-1))+tblBuyerOutputs[[#This Row],[Monthly Appr]])</f>
        <v>0</v>
      </c>
      <c r="AF261" s="22"/>
      <c r="AG261" s="14"/>
      <c r="AL261"/>
      <c r="AM261" s="14"/>
      <c r="AO261" s="275"/>
      <c r="AQ261" s="14"/>
      <c r="AR261"/>
    </row>
    <row r="262" spans="1:44" x14ac:dyDescent="0.25">
      <c r="A262" s="590" t="str">
        <f t="shared" si="47"/>
        <v/>
      </c>
      <c r="B262" s="275">
        <f t="shared" si="48"/>
        <v>0</v>
      </c>
      <c r="C262" s="14">
        <f t="shared" si="45"/>
        <v>0</v>
      </c>
      <c r="D262" s="14">
        <f t="shared" si="49"/>
        <v>0</v>
      </c>
      <c r="E262" s="14">
        <f t="shared" si="46"/>
        <v>0</v>
      </c>
      <c r="F262" s="14">
        <f t="shared" si="57"/>
        <v>134.16999999999999</v>
      </c>
      <c r="G262" s="14">
        <f t="shared" si="57"/>
        <v>188.55</v>
      </c>
      <c r="H262" s="14">
        <f t="shared" si="58"/>
        <v>322.72000000000003</v>
      </c>
      <c r="I262" s="275">
        <f t="shared" si="52"/>
        <v>97531.839999999953</v>
      </c>
      <c r="J262" s="275">
        <f t="shared" si="53"/>
        <v>36068.259999999973</v>
      </c>
      <c r="K262" s="275">
        <f t="shared" si="50"/>
        <v>0</v>
      </c>
      <c r="L262" s="386">
        <f t="shared" si="56"/>
        <v>0</v>
      </c>
      <c r="M262" s="386">
        <f t="shared" si="51"/>
        <v>0</v>
      </c>
      <c r="N262" s="590" t="str">
        <f>INDEX(tblSubjectToLoan[Date],ROW()-ROW(tblContractForDeed[#Headers]))</f>
        <v/>
      </c>
      <c r="O262" s="275">
        <f>IF(ROW()=ROW(tblContractForDeed[#Headers])+1,$O$6,IF(INDEX(tblContractForDeed[End Bal],ROW()-ROW(tblContractForDeed[#Headers])-1)&lt;0,0,INDEX(tblContractForDeed[End Bal],ROW()-ROW(tblContractForDeed[#Headers])-1)))</f>
        <v>0</v>
      </c>
      <c r="P262" s="445" t="str">
        <f>IF(tblContractForDeed[[#This Row],[Date]]="","",IF(tblContractForDeed[[#This Row],[Date]]&lt;cfdRateChangeDate,cfdRate1,cfdRate2))</f>
        <v/>
      </c>
      <c r="Q2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75">
        <f>IF(tblContractForDeed[[#This Row],[Payment]]=0,0,MAX(0,MIN(tblContractForDeed[[#This Row],[Beg]],tblContractForDeed[[#This Row],[Payment]]-tblContractForDeed[[#This Row],[Int]])))</f>
        <v>0</v>
      </c>
      <c r="S262" s="275">
        <f>IF(OR(tblContractForDeed[[#This Row],[Date]]&lt;cfdContractDate,tblContractForDeed[[#This Row],[Date]]&gt;cfdEndDate),0,ROUND(tblContractForDeed[[#This Row],[Beg]]*(tblContractForDeed[[#This Row],[Int Rate]]/12),2))</f>
        <v>0</v>
      </c>
      <c r="T262" s="275">
        <f>IF(tblContractForDeed[[#This Row],[Payment]]=0,0,$W$2)</f>
        <v>0</v>
      </c>
      <c r="U262" s="275">
        <f>IF(tblContractForDeed[[#This Row],[Princ]]=0,0,$W$3)</f>
        <v>0</v>
      </c>
      <c r="V262" s="275">
        <f>SUM(tblContractForDeed[[#This Row],[Princ]],tblContractForDeed[[#This Row],[Int]],tblContractForDeed[[#This Row],[Ins]],tblContractForDeed[[#This Row],[Taxes]])</f>
        <v>0</v>
      </c>
      <c r="W262" s="275">
        <f>SUM(INDEX(tblContractForDeed[Princ],1):INDEX(tblContractForDeed[Princ],ROW()-ROW(tblContractForDeed[#Headers])))</f>
        <v>75258.000000000029</v>
      </c>
      <c r="X262" s="275">
        <f>IF(tblContractForDeed[[#This Row],[Beg]]&lt;=0,0,tblContractForDeed[[#This Row],[Beg]]-tblContractForDeed[[#This Row],[Princ]])</f>
        <v>0</v>
      </c>
      <c r="Y26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54">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2" s="275">
        <f>IF(INDEX(tblContractForDeed[End Bal],ROW()-ROW(tblBuyerOutputs[#Headers]))&lt;=0,0,($O$6+IF(ROW()=ROW(tblBuyerOutputs[#Headers])+1,0,INDEX(tblBuyerOutputs[Cumul Appr],ROW()-ROW(tblBuyerOutputs[#Headers])-1)))*$O$2/12)</f>
        <v>0</v>
      </c>
      <c r="AE262" s="275">
        <f>IF(INDEX(tblContractForDeed[End Bal],ROW()-ROW(tblBuyerOutputs[#Headers]))&lt;=0,0,IF(ROW()=ROW(tblBuyerOutputs[#Headers])+1,0,INDEX(tblBuyerOutputs[Cumul Appr],ROW()-ROW(tblBuyerOutputs[#Headers])-1))+tblBuyerOutputs[[#This Row],[Monthly Appr]])</f>
        <v>0</v>
      </c>
      <c r="AF262" s="22"/>
      <c r="AG262" s="14"/>
      <c r="AL262"/>
      <c r="AM262" s="14"/>
      <c r="AO262" s="275"/>
      <c r="AQ262" s="14"/>
      <c r="AR262"/>
    </row>
    <row r="263" spans="1:44" x14ac:dyDescent="0.25">
      <c r="A263" s="590" t="str">
        <f t="shared" si="47"/>
        <v/>
      </c>
      <c r="B263" s="275">
        <f t="shared" si="48"/>
        <v>0</v>
      </c>
      <c r="C263" s="14">
        <f t="shared" si="45"/>
        <v>0</v>
      </c>
      <c r="D263" s="14">
        <f t="shared" si="49"/>
        <v>0</v>
      </c>
      <c r="E263" s="14">
        <f t="shared" si="46"/>
        <v>0</v>
      </c>
      <c r="F263" s="14">
        <f t="shared" si="57"/>
        <v>134.16999999999999</v>
      </c>
      <c r="G263" s="14">
        <f t="shared" si="57"/>
        <v>188.55</v>
      </c>
      <c r="H263" s="14">
        <f t="shared" si="58"/>
        <v>322.72000000000003</v>
      </c>
      <c r="I263" s="275">
        <f t="shared" si="52"/>
        <v>97531.839999999953</v>
      </c>
      <c r="J263" s="275">
        <f t="shared" si="53"/>
        <v>36068.259999999973</v>
      </c>
      <c r="K263" s="275">
        <f t="shared" si="50"/>
        <v>0</v>
      </c>
      <c r="L263" s="386">
        <f t="shared" si="56"/>
        <v>0</v>
      </c>
      <c r="M263" s="386">
        <f t="shared" si="51"/>
        <v>0</v>
      </c>
      <c r="N263" s="590" t="str">
        <f>INDEX(tblSubjectToLoan[Date],ROW()-ROW(tblContractForDeed[#Headers]))</f>
        <v/>
      </c>
      <c r="O263" s="275">
        <f>IF(ROW()=ROW(tblContractForDeed[#Headers])+1,$O$6,IF(INDEX(tblContractForDeed[End Bal],ROW()-ROW(tblContractForDeed[#Headers])-1)&lt;0,0,INDEX(tblContractForDeed[End Bal],ROW()-ROW(tblContractForDeed[#Headers])-1)))</f>
        <v>0</v>
      </c>
      <c r="P263" s="445" t="str">
        <f>IF(tblContractForDeed[[#This Row],[Date]]="","",IF(tblContractForDeed[[#This Row],[Date]]&lt;cfdRateChangeDate,cfdRate1,cfdRate2))</f>
        <v/>
      </c>
      <c r="Q26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75">
        <f>IF(tblContractForDeed[[#This Row],[Payment]]=0,0,MAX(0,MIN(tblContractForDeed[[#This Row],[Beg]],tblContractForDeed[[#This Row],[Payment]]-tblContractForDeed[[#This Row],[Int]])))</f>
        <v>0</v>
      </c>
      <c r="S263" s="275">
        <f>IF(OR(tblContractForDeed[[#This Row],[Date]]&lt;cfdContractDate,tblContractForDeed[[#This Row],[Date]]&gt;cfdEndDate),0,ROUND(tblContractForDeed[[#This Row],[Beg]]*(tblContractForDeed[[#This Row],[Int Rate]]/12),2))</f>
        <v>0</v>
      </c>
      <c r="T263" s="275">
        <f>IF(tblContractForDeed[[#This Row],[Payment]]=0,0,$W$2)</f>
        <v>0</v>
      </c>
      <c r="U263" s="275">
        <f>IF(tblContractForDeed[[#This Row],[Princ]]=0,0,$W$3)</f>
        <v>0</v>
      </c>
      <c r="V263" s="275">
        <f>SUM(tblContractForDeed[[#This Row],[Princ]],tblContractForDeed[[#This Row],[Int]],tblContractForDeed[[#This Row],[Ins]],tblContractForDeed[[#This Row],[Taxes]])</f>
        <v>0</v>
      </c>
      <c r="W263" s="275">
        <f>SUM(INDEX(tblContractForDeed[Princ],1):INDEX(tblContractForDeed[Princ],ROW()-ROW(tblContractForDeed[#Headers])))</f>
        <v>75258.000000000029</v>
      </c>
      <c r="X263" s="275">
        <f>IF(tblContractForDeed[[#This Row],[Beg]]&lt;=0,0,tblContractForDeed[[#This Row],[Beg]]-tblContractForDeed[[#This Row],[Princ]])</f>
        <v>0</v>
      </c>
      <c r="Y26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54">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3" s="275">
        <f>IF(INDEX(tblContractForDeed[End Bal],ROW()-ROW(tblBuyerOutputs[#Headers]))&lt;=0,0,($O$6+IF(ROW()=ROW(tblBuyerOutputs[#Headers])+1,0,INDEX(tblBuyerOutputs[Cumul Appr],ROW()-ROW(tblBuyerOutputs[#Headers])-1)))*$O$2/12)</f>
        <v>0</v>
      </c>
      <c r="AE263" s="275">
        <f>IF(INDEX(tblContractForDeed[End Bal],ROW()-ROW(tblBuyerOutputs[#Headers]))&lt;=0,0,IF(ROW()=ROW(tblBuyerOutputs[#Headers])+1,0,INDEX(tblBuyerOutputs[Cumul Appr],ROW()-ROW(tblBuyerOutputs[#Headers])-1))+tblBuyerOutputs[[#This Row],[Monthly Appr]])</f>
        <v>0</v>
      </c>
      <c r="AF263" s="22"/>
      <c r="AG263" s="14"/>
      <c r="AL263"/>
      <c r="AM263" s="14"/>
      <c r="AO263" s="275"/>
      <c r="AQ263" s="14"/>
      <c r="AR263"/>
    </row>
    <row r="264" spans="1:44" x14ac:dyDescent="0.25">
      <c r="A264" s="590" t="str">
        <f t="shared" si="47"/>
        <v/>
      </c>
      <c r="B264" s="275">
        <f t="shared" si="48"/>
        <v>0</v>
      </c>
      <c r="C264" s="14">
        <f t="shared" si="45"/>
        <v>0</v>
      </c>
      <c r="D264" s="14">
        <f t="shared" si="49"/>
        <v>0</v>
      </c>
      <c r="E264" s="14">
        <f t="shared" si="46"/>
        <v>0</v>
      </c>
      <c r="F264" s="14">
        <f t="shared" si="57"/>
        <v>134.16999999999999</v>
      </c>
      <c r="G264" s="14">
        <f t="shared" si="57"/>
        <v>188.55</v>
      </c>
      <c r="H264" s="14">
        <f t="shared" si="58"/>
        <v>322.72000000000003</v>
      </c>
      <c r="I264" s="275">
        <f t="shared" si="52"/>
        <v>97531.839999999953</v>
      </c>
      <c r="J264" s="275">
        <f t="shared" si="53"/>
        <v>36068.259999999973</v>
      </c>
      <c r="K264" s="275">
        <f t="shared" si="50"/>
        <v>0</v>
      </c>
      <c r="L264" s="386">
        <f t="shared" si="56"/>
        <v>0</v>
      </c>
      <c r="M264" s="386">
        <f t="shared" si="51"/>
        <v>0</v>
      </c>
      <c r="N264" s="590" t="str">
        <f>INDEX(tblSubjectToLoan[Date],ROW()-ROW(tblContractForDeed[#Headers]))</f>
        <v/>
      </c>
      <c r="O264" s="275">
        <f>IF(ROW()=ROW(tblContractForDeed[#Headers])+1,$O$6,IF(INDEX(tblContractForDeed[End Bal],ROW()-ROW(tblContractForDeed[#Headers])-1)&lt;0,0,INDEX(tblContractForDeed[End Bal],ROW()-ROW(tblContractForDeed[#Headers])-1)))</f>
        <v>0</v>
      </c>
      <c r="P264" s="445" t="str">
        <f>IF(tblContractForDeed[[#This Row],[Date]]="","",IF(tblContractForDeed[[#This Row],[Date]]&lt;cfdRateChangeDate,cfdRate1,cfdRate2))</f>
        <v/>
      </c>
      <c r="Q2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75">
        <f>IF(tblContractForDeed[[#This Row],[Payment]]=0,0,MAX(0,MIN(tblContractForDeed[[#This Row],[Beg]],tblContractForDeed[[#This Row],[Payment]]-tblContractForDeed[[#This Row],[Int]])))</f>
        <v>0</v>
      </c>
      <c r="S264" s="275">
        <f>IF(OR(tblContractForDeed[[#This Row],[Date]]&lt;cfdContractDate,tblContractForDeed[[#This Row],[Date]]&gt;cfdEndDate),0,ROUND(tblContractForDeed[[#This Row],[Beg]]*(tblContractForDeed[[#This Row],[Int Rate]]/12),2))</f>
        <v>0</v>
      </c>
      <c r="T264" s="275">
        <f>IF(tblContractForDeed[[#This Row],[Payment]]=0,0,$W$2)</f>
        <v>0</v>
      </c>
      <c r="U264" s="275">
        <f>IF(tblContractForDeed[[#This Row],[Princ]]=0,0,$W$3)</f>
        <v>0</v>
      </c>
      <c r="V264" s="275">
        <f>SUM(tblContractForDeed[[#This Row],[Princ]],tblContractForDeed[[#This Row],[Int]],tblContractForDeed[[#This Row],[Ins]],tblContractForDeed[[#This Row],[Taxes]])</f>
        <v>0</v>
      </c>
      <c r="W264" s="275">
        <f>SUM(INDEX(tblContractForDeed[Princ],1):INDEX(tblContractForDeed[Princ],ROW()-ROW(tblContractForDeed[#Headers])))</f>
        <v>75258.000000000029</v>
      </c>
      <c r="X264" s="275">
        <f>IF(tblContractForDeed[[#This Row],[Beg]]&lt;=0,0,tblContractForDeed[[#This Row],[Beg]]-tblContractForDeed[[#This Row],[Princ]])</f>
        <v>0</v>
      </c>
      <c r="Y26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54">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4" s="275">
        <f>IF(INDEX(tblContractForDeed[End Bal],ROW()-ROW(tblBuyerOutputs[#Headers]))&lt;=0,0,($O$6+IF(ROW()=ROW(tblBuyerOutputs[#Headers])+1,0,INDEX(tblBuyerOutputs[Cumul Appr],ROW()-ROW(tblBuyerOutputs[#Headers])-1)))*$O$2/12)</f>
        <v>0</v>
      </c>
      <c r="AE264" s="275">
        <f>IF(INDEX(tblContractForDeed[End Bal],ROW()-ROW(tblBuyerOutputs[#Headers]))&lt;=0,0,IF(ROW()=ROW(tblBuyerOutputs[#Headers])+1,0,INDEX(tblBuyerOutputs[Cumul Appr],ROW()-ROW(tblBuyerOutputs[#Headers])-1))+tblBuyerOutputs[[#This Row],[Monthly Appr]])</f>
        <v>0</v>
      </c>
      <c r="AF264" s="22"/>
      <c r="AG264" s="14"/>
      <c r="AL264"/>
      <c r="AM264" s="14"/>
      <c r="AO264" s="275"/>
      <c r="AQ264" s="14"/>
      <c r="AR264"/>
    </row>
    <row r="265" spans="1:44" x14ac:dyDescent="0.25">
      <c r="A265" s="590" t="str">
        <f t="shared" si="47"/>
        <v/>
      </c>
      <c r="B265" s="275">
        <f t="shared" si="48"/>
        <v>0</v>
      </c>
      <c r="C265" s="14">
        <f t="shared" si="45"/>
        <v>0</v>
      </c>
      <c r="D265" s="14">
        <f t="shared" si="49"/>
        <v>0</v>
      </c>
      <c r="E265" s="14">
        <f t="shared" si="46"/>
        <v>0</v>
      </c>
      <c r="F265" s="14">
        <f t="shared" si="57"/>
        <v>134.16999999999999</v>
      </c>
      <c r="G265" s="14">
        <f t="shared" si="57"/>
        <v>188.55</v>
      </c>
      <c r="H265" s="14">
        <f t="shared" si="58"/>
        <v>322.72000000000003</v>
      </c>
      <c r="I265" s="275">
        <f t="shared" si="52"/>
        <v>97531.839999999953</v>
      </c>
      <c r="J265" s="275">
        <f t="shared" si="53"/>
        <v>36068.259999999973</v>
      </c>
      <c r="K265" s="275">
        <f t="shared" si="50"/>
        <v>0</v>
      </c>
      <c r="L265" s="386">
        <f t="shared" si="56"/>
        <v>0</v>
      </c>
      <c r="M265" s="386">
        <f t="shared" si="51"/>
        <v>0</v>
      </c>
      <c r="N265" s="590" t="str">
        <f>INDEX(tblSubjectToLoan[Date],ROW()-ROW(tblContractForDeed[#Headers]))</f>
        <v/>
      </c>
      <c r="O265" s="275">
        <f>IF(ROW()=ROW(tblContractForDeed[#Headers])+1,$O$6,IF(INDEX(tblContractForDeed[End Bal],ROW()-ROW(tblContractForDeed[#Headers])-1)&lt;0,0,INDEX(tblContractForDeed[End Bal],ROW()-ROW(tblContractForDeed[#Headers])-1)))</f>
        <v>0</v>
      </c>
      <c r="P265" s="445" t="str">
        <f>IF(tblContractForDeed[[#This Row],[Date]]="","",IF(tblContractForDeed[[#This Row],[Date]]&lt;cfdRateChangeDate,cfdRate1,cfdRate2))</f>
        <v/>
      </c>
      <c r="Q2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75">
        <f>IF(tblContractForDeed[[#This Row],[Payment]]=0,0,MAX(0,MIN(tblContractForDeed[[#This Row],[Beg]],tblContractForDeed[[#This Row],[Payment]]-tblContractForDeed[[#This Row],[Int]])))</f>
        <v>0</v>
      </c>
      <c r="S265" s="275">
        <f>IF(OR(tblContractForDeed[[#This Row],[Date]]&lt;cfdContractDate,tblContractForDeed[[#This Row],[Date]]&gt;cfdEndDate),0,ROUND(tblContractForDeed[[#This Row],[Beg]]*(tblContractForDeed[[#This Row],[Int Rate]]/12),2))</f>
        <v>0</v>
      </c>
      <c r="T265" s="275">
        <f>IF(tblContractForDeed[[#This Row],[Payment]]=0,0,$W$2)</f>
        <v>0</v>
      </c>
      <c r="U265" s="275">
        <f>IF(tblContractForDeed[[#This Row],[Princ]]=0,0,$W$3)</f>
        <v>0</v>
      </c>
      <c r="V265" s="275">
        <f>SUM(tblContractForDeed[[#This Row],[Princ]],tblContractForDeed[[#This Row],[Int]],tblContractForDeed[[#This Row],[Ins]],tblContractForDeed[[#This Row],[Taxes]])</f>
        <v>0</v>
      </c>
      <c r="W265" s="275">
        <f>SUM(INDEX(tblContractForDeed[Princ],1):INDEX(tblContractForDeed[Princ],ROW()-ROW(tblContractForDeed[#Headers])))</f>
        <v>75258.000000000029</v>
      </c>
      <c r="X265" s="275">
        <f>IF(tblContractForDeed[[#This Row],[Beg]]&lt;=0,0,tblContractForDeed[[#This Row],[Beg]]-tblContractForDeed[[#This Row],[Princ]])</f>
        <v>0</v>
      </c>
      <c r="Y26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54">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5" s="275">
        <f>IF(INDEX(tblContractForDeed[End Bal],ROW()-ROW(tblBuyerOutputs[#Headers]))&lt;=0,0,($O$6+IF(ROW()=ROW(tblBuyerOutputs[#Headers])+1,0,INDEX(tblBuyerOutputs[Cumul Appr],ROW()-ROW(tblBuyerOutputs[#Headers])-1)))*$O$2/12)</f>
        <v>0</v>
      </c>
      <c r="AE265" s="275">
        <f>IF(INDEX(tblContractForDeed[End Bal],ROW()-ROW(tblBuyerOutputs[#Headers]))&lt;=0,0,IF(ROW()=ROW(tblBuyerOutputs[#Headers])+1,0,INDEX(tblBuyerOutputs[Cumul Appr],ROW()-ROW(tblBuyerOutputs[#Headers])-1))+tblBuyerOutputs[[#This Row],[Monthly Appr]])</f>
        <v>0</v>
      </c>
      <c r="AF265" s="22"/>
      <c r="AG265" s="14"/>
      <c r="AL265"/>
      <c r="AM265" s="14"/>
      <c r="AO265" s="275"/>
      <c r="AQ265" s="14"/>
      <c r="AR265"/>
    </row>
    <row r="266" spans="1:44" x14ac:dyDescent="0.25">
      <c r="A266" s="590" t="str">
        <f t="shared" si="47"/>
        <v/>
      </c>
      <c r="B266" s="275">
        <f t="shared" si="48"/>
        <v>0</v>
      </c>
      <c r="C266" s="14">
        <f t="shared" si="45"/>
        <v>0</v>
      </c>
      <c r="D266" s="14">
        <f t="shared" si="49"/>
        <v>0</v>
      </c>
      <c r="E266" s="14">
        <f t="shared" si="46"/>
        <v>0</v>
      </c>
      <c r="F266" s="14">
        <f t="shared" si="57"/>
        <v>134.16999999999999</v>
      </c>
      <c r="G266" s="14">
        <f t="shared" si="57"/>
        <v>188.55</v>
      </c>
      <c r="H266" s="14">
        <f t="shared" si="58"/>
        <v>322.72000000000003</v>
      </c>
      <c r="I266" s="275">
        <f t="shared" si="52"/>
        <v>97531.839999999953</v>
      </c>
      <c r="J266" s="275">
        <f t="shared" si="53"/>
        <v>36068.259999999973</v>
      </c>
      <c r="K266" s="275">
        <f t="shared" si="50"/>
        <v>0</v>
      </c>
      <c r="L266" s="386">
        <f t="shared" si="56"/>
        <v>0</v>
      </c>
      <c r="M266" s="386">
        <f t="shared" si="51"/>
        <v>0</v>
      </c>
      <c r="N266" s="590" t="str">
        <f>INDEX(tblSubjectToLoan[Date],ROW()-ROW(tblContractForDeed[#Headers]))</f>
        <v/>
      </c>
      <c r="O266" s="275">
        <f>IF(ROW()=ROW(tblContractForDeed[#Headers])+1,$O$6,IF(INDEX(tblContractForDeed[End Bal],ROW()-ROW(tblContractForDeed[#Headers])-1)&lt;0,0,INDEX(tblContractForDeed[End Bal],ROW()-ROW(tblContractForDeed[#Headers])-1)))</f>
        <v>0</v>
      </c>
      <c r="P266" s="445" t="str">
        <f>IF(tblContractForDeed[[#This Row],[Date]]="","",IF(tblContractForDeed[[#This Row],[Date]]&lt;cfdRateChangeDate,cfdRate1,cfdRate2))</f>
        <v/>
      </c>
      <c r="Q2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75">
        <f>IF(tblContractForDeed[[#This Row],[Payment]]=0,0,MAX(0,MIN(tblContractForDeed[[#This Row],[Beg]],tblContractForDeed[[#This Row],[Payment]]-tblContractForDeed[[#This Row],[Int]])))</f>
        <v>0</v>
      </c>
      <c r="S266" s="275">
        <f>IF(OR(tblContractForDeed[[#This Row],[Date]]&lt;cfdContractDate,tblContractForDeed[[#This Row],[Date]]&gt;cfdEndDate),0,ROUND(tblContractForDeed[[#This Row],[Beg]]*(tblContractForDeed[[#This Row],[Int Rate]]/12),2))</f>
        <v>0</v>
      </c>
      <c r="T266" s="275">
        <f>IF(tblContractForDeed[[#This Row],[Payment]]=0,0,$W$2)</f>
        <v>0</v>
      </c>
      <c r="U266" s="275">
        <f>IF(tblContractForDeed[[#This Row],[Princ]]=0,0,$W$3)</f>
        <v>0</v>
      </c>
      <c r="V266" s="275">
        <f>SUM(tblContractForDeed[[#This Row],[Princ]],tblContractForDeed[[#This Row],[Int]],tblContractForDeed[[#This Row],[Ins]],tblContractForDeed[[#This Row],[Taxes]])</f>
        <v>0</v>
      </c>
      <c r="W266" s="275">
        <f>SUM(INDEX(tblContractForDeed[Princ],1):INDEX(tblContractForDeed[Princ],ROW()-ROW(tblContractForDeed[#Headers])))</f>
        <v>75258.000000000029</v>
      </c>
      <c r="X266" s="275">
        <f>IF(tblContractForDeed[[#This Row],[Beg]]&lt;=0,0,tblContractForDeed[[#This Row],[Beg]]-tblContractForDeed[[#This Row],[Princ]])</f>
        <v>0</v>
      </c>
      <c r="Y26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54">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6" s="275">
        <f>IF(INDEX(tblContractForDeed[End Bal],ROW()-ROW(tblBuyerOutputs[#Headers]))&lt;=0,0,($O$6+IF(ROW()=ROW(tblBuyerOutputs[#Headers])+1,0,INDEX(tblBuyerOutputs[Cumul Appr],ROW()-ROW(tblBuyerOutputs[#Headers])-1)))*$O$2/12)</f>
        <v>0</v>
      </c>
      <c r="AE266" s="275">
        <f>IF(INDEX(tblContractForDeed[End Bal],ROW()-ROW(tblBuyerOutputs[#Headers]))&lt;=0,0,IF(ROW()=ROW(tblBuyerOutputs[#Headers])+1,0,INDEX(tblBuyerOutputs[Cumul Appr],ROW()-ROW(tblBuyerOutputs[#Headers])-1))+tblBuyerOutputs[[#This Row],[Monthly Appr]])</f>
        <v>0</v>
      </c>
      <c r="AF266" s="22"/>
      <c r="AG266" s="14"/>
      <c r="AL266"/>
      <c r="AM266" s="14"/>
      <c r="AO266" s="275"/>
      <c r="AQ266" s="14"/>
      <c r="AR266"/>
    </row>
    <row r="267" spans="1:44" x14ac:dyDescent="0.25">
      <c r="A267" s="590" t="str">
        <f t="shared" si="47"/>
        <v/>
      </c>
      <c r="B267" s="275">
        <f t="shared" si="48"/>
        <v>0</v>
      </c>
      <c r="C267" s="14">
        <f t="shared" si="45"/>
        <v>0</v>
      </c>
      <c r="D267" s="14">
        <f t="shared" si="49"/>
        <v>0</v>
      </c>
      <c r="E267" s="14">
        <f t="shared" si="46"/>
        <v>0</v>
      </c>
      <c r="F267" s="14">
        <f t="shared" si="57"/>
        <v>134.16999999999999</v>
      </c>
      <c r="G267" s="14">
        <f t="shared" si="57"/>
        <v>188.55</v>
      </c>
      <c r="H267" s="14">
        <f t="shared" si="58"/>
        <v>322.72000000000003</v>
      </c>
      <c r="I267" s="275">
        <f t="shared" si="52"/>
        <v>97531.839999999953</v>
      </c>
      <c r="J267" s="275">
        <f t="shared" si="53"/>
        <v>36068.259999999973</v>
      </c>
      <c r="K267" s="275">
        <f t="shared" si="50"/>
        <v>0</v>
      </c>
      <c r="L267" s="386">
        <f t="shared" si="56"/>
        <v>0</v>
      </c>
      <c r="M267" s="386">
        <f t="shared" si="51"/>
        <v>0</v>
      </c>
      <c r="N267" s="590" t="str">
        <f>INDEX(tblSubjectToLoan[Date],ROW()-ROW(tblContractForDeed[#Headers]))</f>
        <v/>
      </c>
      <c r="O267" s="275">
        <f>IF(ROW()=ROW(tblContractForDeed[#Headers])+1,$O$6,IF(INDEX(tblContractForDeed[End Bal],ROW()-ROW(tblContractForDeed[#Headers])-1)&lt;0,0,INDEX(tblContractForDeed[End Bal],ROW()-ROW(tblContractForDeed[#Headers])-1)))</f>
        <v>0</v>
      </c>
      <c r="P267" s="445" t="str">
        <f>IF(tblContractForDeed[[#This Row],[Date]]="","",IF(tblContractForDeed[[#This Row],[Date]]&lt;cfdRateChangeDate,cfdRate1,cfdRate2))</f>
        <v/>
      </c>
      <c r="Q26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75">
        <f>IF(tblContractForDeed[[#This Row],[Payment]]=0,0,MAX(0,MIN(tblContractForDeed[[#This Row],[Beg]],tblContractForDeed[[#This Row],[Payment]]-tblContractForDeed[[#This Row],[Int]])))</f>
        <v>0</v>
      </c>
      <c r="S267" s="275">
        <f>IF(OR(tblContractForDeed[[#This Row],[Date]]&lt;cfdContractDate,tblContractForDeed[[#This Row],[Date]]&gt;cfdEndDate),0,ROUND(tblContractForDeed[[#This Row],[Beg]]*(tblContractForDeed[[#This Row],[Int Rate]]/12),2))</f>
        <v>0</v>
      </c>
      <c r="T267" s="275">
        <f>IF(tblContractForDeed[[#This Row],[Payment]]=0,0,$W$2)</f>
        <v>0</v>
      </c>
      <c r="U267" s="275">
        <f>IF(tblContractForDeed[[#This Row],[Princ]]=0,0,$W$3)</f>
        <v>0</v>
      </c>
      <c r="V267" s="275">
        <f>SUM(tblContractForDeed[[#This Row],[Princ]],tblContractForDeed[[#This Row],[Int]],tblContractForDeed[[#This Row],[Ins]],tblContractForDeed[[#This Row],[Taxes]])</f>
        <v>0</v>
      </c>
      <c r="W267" s="275">
        <f>SUM(INDEX(tblContractForDeed[Princ],1):INDEX(tblContractForDeed[Princ],ROW()-ROW(tblContractForDeed[#Headers])))</f>
        <v>75258.000000000029</v>
      </c>
      <c r="X267" s="275">
        <f>IF(tblContractForDeed[[#This Row],[Beg]]&lt;=0,0,tblContractForDeed[[#This Row],[Beg]]-tblContractForDeed[[#This Row],[Princ]])</f>
        <v>0</v>
      </c>
      <c r="Y26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54">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7" s="275">
        <f>IF(INDEX(tblContractForDeed[End Bal],ROW()-ROW(tblBuyerOutputs[#Headers]))&lt;=0,0,($O$6+IF(ROW()=ROW(tblBuyerOutputs[#Headers])+1,0,INDEX(tblBuyerOutputs[Cumul Appr],ROW()-ROW(tblBuyerOutputs[#Headers])-1)))*$O$2/12)</f>
        <v>0</v>
      </c>
      <c r="AE267" s="275">
        <f>IF(INDEX(tblContractForDeed[End Bal],ROW()-ROW(tblBuyerOutputs[#Headers]))&lt;=0,0,IF(ROW()=ROW(tblBuyerOutputs[#Headers])+1,0,INDEX(tblBuyerOutputs[Cumul Appr],ROW()-ROW(tblBuyerOutputs[#Headers])-1))+tblBuyerOutputs[[#This Row],[Monthly Appr]])</f>
        <v>0</v>
      </c>
      <c r="AF267" s="22"/>
      <c r="AG267" s="14"/>
      <c r="AL267"/>
      <c r="AM267" s="14"/>
      <c r="AO267" s="275"/>
      <c r="AQ267" s="14"/>
      <c r="AR267"/>
    </row>
    <row r="268" spans="1:44" x14ac:dyDescent="0.25">
      <c r="A268" s="590" t="str">
        <f t="shared" si="47"/>
        <v/>
      </c>
      <c r="B268" s="275">
        <f t="shared" si="48"/>
        <v>0</v>
      </c>
      <c r="C268" s="14">
        <f t="shared" si="45"/>
        <v>0</v>
      </c>
      <c r="D268" s="14">
        <f t="shared" si="49"/>
        <v>0</v>
      </c>
      <c r="E268" s="14">
        <f t="shared" si="46"/>
        <v>0</v>
      </c>
      <c r="F268" s="14">
        <f t="shared" si="57"/>
        <v>134.16999999999999</v>
      </c>
      <c r="G268" s="14">
        <f t="shared" si="57"/>
        <v>188.55</v>
      </c>
      <c r="H268" s="14">
        <f t="shared" si="58"/>
        <v>322.72000000000003</v>
      </c>
      <c r="I268" s="275">
        <f t="shared" si="52"/>
        <v>97531.839999999953</v>
      </c>
      <c r="J268" s="275">
        <f t="shared" si="53"/>
        <v>36068.259999999973</v>
      </c>
      <c r="K268" s="275">
        <f t="shared" si="50"/>
        <v>0</v>
      </c>
      <c r="L268" s="386">
        <f t="shared" si="56"/>
        <v>0</v>
      </c>
      <c r="M268" s="386">
        <f t="shared" si="51"/>
        <v>0</v>
      </c>
      <c r="N268" s="590" t="str">
        <f>INDEX(tblSubjectToLoan[Date],ROW()-ROW(tblContractForDeed[#Headers]))</f>
        <v/>
      </c>
      <c r="O268" s="275">
        <f>IF(ROW()=ROW(tblContractForDeed[#Headers])+1,$O$6,IF(INDEX(tblContractForDeed[End Bal],ROW()-ROW(tblContractForDeed[#Headers])-1)&lt;0,0,INDEX(tblContractForDeed[End Bal],ROW()-ROW(tblContractForDeed[#Headers])-1)))</f>
        <v>0</v>
      </c>
      <c r="P268" s="445" t="str">
        <f>IF(tblContractForDeed[[#This Row],[Date]]="","",IF(tblContractForDeed[[#This Row],[Date]]&lt;cfdRateChangeDate,cfdRate1,cfdRate2))</f>
        <v/>
      </c>
      <c r="Q2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75">
        <f>IF(tblContractForDeed[[#This Row],[Payment]]=0,0,MAX(0,MIN(tblContractForDeed[[#This Row],[Beg]],tblContractForDeed[[#This Row],[Payment]]-tblContractForDeed[[#This Row],[Int]])))</f>
        <v>0</v>
      </c>
      <c r="S268" s="275">
        <f>IF(OR(tblContractForDeed[[#This Row],[Date]]&lt;cfdContractDate,tblContractForDeed[[#This Row],[Date]]&gt;cfdEndDate),0,ROUND(tblContractForDeed[[#This Row],[Beg]]*(tblContractForDeed[[#This Row],[Int Rate]]/12),2))</f>
        <v>0</v>
      </c>
      <c r="T268" s="275">
        <f>IF(tblContractForDeed[[#This Row],[Payment]]=0,0,$W$2)</f>
        <v>0</v>
      </c>
      <c r="U268" s="275">
        <f>IF(tblContractForDeed[[#This Row],[Princ]]=0,0,$W$3)</f>
        <v>0</v>
      </c>
      <c r="V268" s="275">
        <f>SUM(tblContractForDeed[[#This Row],[Princ]],tblContractForDeed[[#This Row],[Int]],tblContractForDeed[[#This Row],[Ins]],tblContractForDeed[[#This Row],[Taxes]])</f>
        <v>0</v>
      </c>
      <c r="W268" s="275">
        <f>SUM(INDEX(tblContractForDeed[Princ],1):INDEX(tblContractForDeed[Princ],ROW()-ROW(tblContractForDeed[#Headers])))</f>
        <v>75258.000000000029</v>
      </c>
      <c r="X268" s="275">
        <f>IF(tblContractForDeed[[#This Row],[Beg]]&lt;=0,0,tblContractForDeed[[#This Row],[Beg]]-tblContractForDeed[[#This Row],[Princ]])</f>
        <v>0</v>
      </c>
      <c r="Y26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54">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8" s="275">
        <f>IF(INDEX(tblContractForDeed[End Bal],ROW()-ROW(tblBuyerOutputs[#Headers]))&lt;=0,0,($O$6+IF(ROW()=ROW(tblBuyerOutputs[#Headers])+1,0,INDEX(tblBuyerOutputs[Cumul Appr],ROW()-ROW(tblBuyerOutputs[#Headers])-1)))*$O$2/12)</f>
        <v>0</v>
      </c>
      <c r="AE268" s="275">
        <f>IF(INDEX(tblContractForDeed[End Bal],ROW()-ROW(tblBuyerOutputs[#Headers]))&lt;=0,0,IF(ROW()=ROW(tblBuyerOutputs[#Headers])+1,0,INDEX(tblBuyerOutputs[Cumul Appr],ROW()-ROW(tblBuyerOutputs[#Headers])-1))+tblBuyerOutputs[[#This Row],[Monthly Appr]])</f>
        <v>0</v>
      </c>
      <c r="AF268" s="22"/>
      <c r="AG268" s="14"/>
      <c r="AL268"/>
      <c r="AM268" s="14"/>
      <c r="AO268" s="275"/>
      <c r="AQ268" s="14"/>
      <c r="AR268"/>
    </row>
    <row r="269" spans="1:44" x14ac:dyDescent="0.25">
      <c r="A269" s="590" t="str">
        <f t="shared" si="47"/>
        <v/>
      </c>
      <c r="B269" s="275">
        <f t="shared" si="48"/>
        <v>0</v>
      </c>
      <c r="C269" s="14">
        <f t="shared" si="45"/>
        <v>0</v>
      </c>
      <c r="D269" s="14">
        <f t="shared" si="49"/>
        <v>0</v>
      </c>
      <c r="E269" s="14">
        <f t="shared" si="46"/>
        <v>0</v>
      </c>
      <c r="F269" s="14">
        <f t="shared" si="57"/>
        <v>134.16999999999999</v>
      </c>
      <c r="G269" s="14">
        <f t="shared" si="57"/>
        <v>188.55</v>
      </c>
      <c r="H269" s="14">
        <f t="shared" si="58"/>
        <v>322.72000000000003</v>
      </c>
      <c r="I269" s="275">
        <f t="shared" si="52"/>
        <v>97531.839999999953</v>
      </c>
      <c r="J269" s="275">
        <f t="shared" si="53"/>
        <v>36068.259999999973</v>
      </c>
      <c r="K269" s="275">
        <f t="shared" si="50"/>
        <v>0</v>
      </c>
      <c r="L269" s="386">
        <f t="shared" si="56"/>
        <v>0</v>
      </c>
      <c r="M269" s="386">
        <f t="shared" si="51"/>
        <v>0</v>
      </c>
      <c r="N269" s="590" t="str">
        <f>INDEX(tblSubjectToLoan[Date],ROW()-ROW(tblContractForDeed[#Headers]))</f>
        <v/>
      </c>
      <c r="O269" s="275">
        <f>IF(ROW()=ROW(tblContractForDeed[#Headers])+1,$O$6,IF(INDEX(tblContractForDeed[End Bal],ROW()-ROW(tblContractForDeed[#Headers])-1)&lt;0,0,INDEX(tblContractForDeed[End Bal],ROW()-ROW(tblContractForDeed[#Headers])-1)))</f>
        <v>0</v>
      </c>
      <c r="P269" s="445" t="str">
        <f>IF(tblContractForDeed[[#This Row],[Date]]="","",IF(tblContractForDeed[[#This Row],[Date]]&lt;cfdRateChangeDate,cfdRate1,cfdRate2))</f>
        <v/>
      </c>
      <c r="Q2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75">
        <f>IF(tblContractForDeed[[#This Row],[Payment]]=0,0,MAX(0,MIN(tblContractForDeed[[#This Row],[Beg]],tblContractForDeed[[#This Row],[Payment]]-tblContractForDeed[[#This Row],[Int]])))</f>
        <v>0</v>
      </c>
      <c r="S269" s="275">
        <f>IF(OR(tblContractForDeed[[#This Row],[Date]]&lt;cfdContractDate,tblContractForDeed[[#This Row],[Date]]&gt;cfdEndDate),0,ROUND(tblContractForDeed[[#This Row],[Beg]]*(tblContractForDeed[[#This Row],[Int Rate]]/12),2))</f>
        <v>0</v>
      </c>
      <c r="T269" s="275">
        <f>IF(tblContractForDeed[[#This Row],[Payment]]=0,0,$W$2)</f>
        <v>0</v>
      </c>
      <c r="U269" s="275">
        <f>IF(tblContractForDeed[[#This Row],[Princ]]=0,0,$W$3)</f>
        <v>0</v>
      </c>
      <c r="V269" s="275">
        <f>SUM(tblContractForDeed[[#This Row],[Princ]],tblContractForDeed[[#This Row],[Int]],tblContractForDeed[[#This Row],[Ins]],tblContractForDeed[[#This Row],[Taxes]])</f>
        <v>0</v>
      </c>
      <c r="W269" s="275">
        <f>SUM(INDEX(tblContractForDeed[Princ],1):INDEX(tblContractForDeed[Princ],ROW()-ROW(tblContractForDeed[#Headers])))</f>
        <v>75258.000000000029</v>
      </c>
      <c r="X269" s="275">
        <f>IF(tblContractForDeed[[#This Row],[Beg]]&lt;=0,0,tblContractForDeed[[#This Row],[Beg]]-tblContractForDeed[[#This Row],[Princ]])</f>
        <v>0</v>
      </c>
      <c r="Y26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54">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9" s="275">
        <f>IF(INDEX(tblContractForDeed[End Bal],ROW()-ROW(tblBuyerOutputs[#Headers]))&lt;=0,0,($O$6+IF(ROW()=ROW(tblBuyerOutputs[#Headers])+1,0,INDEX(tblBuyerOutputs[Cumul Appr],ROW()-ROW(tblBuyerOutputs[#Headers])-1)))*$O$2/12)</f>
        <v>0</v>
      </c>
      <c r="AE269" s="275">
        <f>IF(INDEX(tblContractForDeed[End Bal],ROW()-ROW(tblBuyerOutputs[#Headers]))&lt;=0,0,IF(ROW()=ROW(tblBuyerOutputs[#Headers])+1,0,INDEX(tblBuyerOutputs[Cumul Appr],ROW()-ROW(tblBuyerOutputs[#Headers])-1))+tblBuyerOutputs[[#This Row],[Monthly Appr]])</f>
        <v>0</v>
      </c>
      <c r="AF269" s="22"/>
      <c r="AG269" s="14"/>
      <c r="AL269"/>
      <c r="AM269" s="14"/>
      <c r="AO269" s="275"/>
      <c r="AQ269" s="14"/>
      <c r="AR269"/>
    </row>
    <row r="270" spans="1:44" x14ac:dyDescent="0.25">
      <c r="A270" s="590" t="str">
        <f t="shared" si="47"/>
        <v/>
      </c>
      <c r="B270" s="275">
        <f t="shared" si="48"/>
        <v>0</v>
      </c>
      <c r="C270" s="14">
        <f t="shared" si="45"/>
        <v>0</v>
      </c>
      <c r="D270" s="14">
        <f t="shared" si="49"/>
        <v>0</v>
      </c>
      <c r="E270" s="14">
        <f t="shared" si="46"/>
        <v>0</v>
      </c>
      <c r="F270" s="14">
        <f t="shared" si="57"/>
        <v>134.16999999999999</v>
      </c>
      <c r="G270" s="14">
        <f t="shared" si="57"/>
        <v>188.55</v>
      </c>
      <c r="H270" s="14">
        <f t="shared" si="58"/>
        <v>322.72000000000003</v>
      </c>
      <c r="I270" s="275">
        <f t="shared" si="52"/>
        <v>97531.839999999953</v>
      </c>
      <c r="J270" s="275">
        <f t="shared" si="53"/>
        <v>36068.259999999973</v>
      </c>
      <c r="K270" s="275">
        <f t="shared" si="50"/>
        <v>0</v>
      </c>
      <c r="L270" s="386">
        <f t="shared" si="56"/>
        <v>0</v>
      </c>
      <c r="M270" s="386">
        <f t="shared" si="51"/>
        <v>0</v>
      </c>
      <c r="N270" s="590" t="str">
        <f>INDEX(tblSubjectToLoan[Date],ROW()-ROW(tblContractForDeed[#Headers]))</f>
        <v/>
      </c>
      <c r="O270" s="275">
        <f>IF(ROW()=ROW(tblContractForDeed[#Headers])+1,$O$6,IF(INDEX(tblContractForDeed[End Bal],ROW()-ROW(tblContractForDeed[#Headers])-1)&lt;0,0,INDEX(tblContractForDeed[End Bal],ROW()-ROW(tblContractForDeed[#Headers])-1)))</f>
        <v>0</v>
      </c>
      <c r="P270" s="445" t="str">
        <f>IF(tblContractForDeed[[#This Row],[Date]]="","",IF(tblContractForDeed[[#This Row],[Date]]&lt;cfdRateChangeDate,cfdRate1,cfdRate2))</f>
        <v/>
      </c>
      <c r="Q2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75">
        <f>IF(tblContractForDeed[[#This Row],[Payment]]=0,0,MAX(0,MIN(tblContractForDeed[[#This Row],[Beg]],tblContractForDeed[[#This Row],[Payment]]-tblContractForDeed[[#This Row],[Int]])))</f>
        <v>0</v>
      </c>
      <c r="S270" s="275">
        <f>IF(OR(tblContractForDeed[[#This Row],[Date]]&lt;cfdContractDate,tblContractForDeed[[#This Row],[Date]]&gt;cfdEndDate),0,ROUND(tblContractForDeed[[#This Row],[Beg]]*(tblContractForDeed[[#This Row],[Int Rate]]/12),2))</f>
        <v>0</v>
      </c>
      <c r="T270" s="275">
        <f>IF(tblContractForDeed[[#This Row],[Payment]]=0,0,$W$2)</f>
        <v>0</v>
      </c>
      <c r="U270" s="275">
        <f>IF(tblContractForDeed[[#This Row],[Princ]]=0,0,$W$3)</f>
        <v>0</v>
      </c>
      <c r="V270" s="275">
        <f>SUM(tblContractForDeed[[#This Row],[Princ]],tblContractForDeed[[#This Row],[Int]],tblContractForDeed[[#This Row],[Ins]],tblContractForDeed[[#This Row],[Taxes]])</f>
        <v>0</v>
      </c>
      <c r="W270" s="275">
        <f>SUM(INDEX(tblContractForDeed[Princ],1):INDEX(tblContractForDeed[Princ],ROW()-ROW(tblContractForDeed[#Headers])))</f>
        <v>75258.000000000029</v>
      </c>
      <c r="X270" s="275">
        <f>IF(tblContractForDeed[[#This Row],[Beg]]&lt;=0,0,tblContractForDeed[[#This Row],[Beg]]-tblContractForDeed[[#This Row],[Princ]])</f>
        <v>0</v>
      </c>
      <c r="Y27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54">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0" s="275">
        <f>IF(INDEX(tblContractForDeed[End Bal],ROW()-ROW(tblBuyerOutputs[#Headers]))&lt;=0,0,($O$6+IF(ROW()=ROW(tblBuyerOutputs[#Headers])+1,0,INDEX(tblBuyerOutputs[Cumul Appr],ROW()-ROW(tblBuyerOutputs[#Headers])-1)))*$O$2/12)</f>
        <v>0</v>
      </c>
      <c r="AE270" s="275">
        <f>IF(INDEX(tblContractForDeed[End Bal],ROW()-ROW(tblBuyerOutputs[#Headers]))&lt;=0,0,IF(ROW()=ROW(tblBuyerOutputs[#Headers])+1,0,INDEX(tblBuyerOutputs[Cumul Appr],ROW()-ROW(tblBuyerOutputs[#Headers])-1))+tblBuyerOutputs[[#This Row],[Monthly Appr]])</f>
        <v>0</v>
      </c>
      <c r="AF270" s="22"/>
      <c r="AG270" s="14"/>
      <c r="AL270"/>
      <c r="AM270" s="14"/>
      <c r="AO270" s="275"/>
      <c r="AQ270" s="14"/>
      <c r="AR270"/>
    </row>
    <row r="271" spans="1:44" ht="15.75" thickBot="1" x14ac:dyDescent="0.3">
      <c r="A271" s="591" t="str">
        <f t="shared" si="47"/>
        <v/>
      </c>
      <c r="B271" s="326">
        <f t="shared" si="48"/>
        <v>0</v>
      </c>
      <c r="C271" s="21">
        <f t="shared" si="45"/>
        <v>0</v>
      </c>
      <c r="D271" s="21">
        <f t="shared" si="49"/>
        <v>0</v>
      </c>
      <c r="E271" s="21">
        <f t="shared" si="46"/>
        <v>0</v>
      </c>
      <c r="F271" s="21">
        <f t="shared" ref="F271:G286" si="59">+F270</f>
        <v>134.16999999999999</v>
      </c>
      <c r="G271" s="21">
        <f t="shared" si="59"/>
        <v>188.55</v>
      </c>
      <c r="H271" s="21">
        <f t="shared" si="58"/>
        <v>322.72000000000003</v>
      </c>
      <c r="I271" s="326">
        <f t="shared" si="52"/>
        <v>97531.839999999953</v>
      </c>
      <c r="J271" s="326">
        <f t="shared" si="53"/>
        <v>36068.259999999973</v>
      </c>
      <c r="K271" s="326">
        <f t="shared" si="50"/>
        <v>0</v>
      </c>
      <c r="L271" s="387">
        <f t="shared" si="56"/>
        <v>0</v>
      </c>
      <c r="M271" s="387">
        <f t="shared" si="51"/>
        <v>0</v>
      </c>
      <c r="N271" s="591" t="str">
        <f>INDEX(tblSubjectToLoan[Date],ROW()-ROW(tblContractForDeed[#Headers]))</f>
        <v/>
      </c>
      <c r="O271" s="326">
        <f>IF(ROW()=ROW(tblContractForDeed[#Headers])+1,$O$6,IF(INDEX(tblContractForDeed[End Bal],ROW()-ROW(tblContractForDeed[#Headers])-1)&lt;0,0,INDEX(tblContractForDeed[End Bal],ROW()-ROW(tblContractForDeed[#Headers])-1)))</f>
        <v>0</v>
      </c>
      <c r="P271" s="445" t="str">
        <f>IF(tblContractForDeed[[#This Row],[Date]]="","",IF(tblContractForDeed[[#This Row],[Date]]&lt;cfdRateChangeDate,cfdRate1,cfdRate2))</f>
        <v/>
      </c>
      <c r="Q27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26">
        <f>IF(tblContractForDeed[[#This Row],[Payment]]=0,0,MAX(0,MIN(tblContractForDeed[[#This Row],[Beg]],tblContractForDeed[[#This Row],[Payment]]-tblContractForDeed[[#This Row],[Int]])))</f>
        <v>0</v>
      </c>
      <c r="S271" s="326">
        <f>IF(OR(tblContractForDeed[[#This Row],[Date]]&lt;cfdContractDate,tblContractForDeed[[#This Row],[Date]]&gt;cfdEndDate),0,ROUND(tblContractForDeed[[#This Row],[Beg]]*(tblContractForDeed[[#This Row],[Int Rate]]/12),2))</f>
        <v>0</v>
      </c>
      <c r="T271" s="326">
        <f>IF(tblContractForDeed[[#This Row],[Payment]]=0,0,$W$2)</f>
        <v>0</v>
      </c>
      <c r="U271" s="326">
        <f>IF(tblContractForDeed[[#This Row],[Princ]]=0,0,$W$3)</f>
        <v>0</v>
      </c>
      <c r="V271" s="326">
        <f>SUM(tblContractForDeed[[#This Row],[Princ]],tblContractForDeed[[#This Row],[Int]],tblContractForDeed[[#This Row],[Ins]],tblContractForDeed[[#This Row],[Taxes]])</f>
        <v>0</v>
      </c>
      <c r="W271" s="326">
        <f>SUM(INDEX(tblContractForDeed[Princ],1):INDEX(tblContractForDeed[Princ],ROW()-ROW(tblContractForDeed[#Headers])))</f>
        <v>75258.000000000029</v>
      </c>
      <c r="X271" s="326">
        <f>IF(tblContractForDeed[[#This Row],[Beg]]&lt;=0,0,tblContractForDeed[[#This Row],[Beg]]-tblContractForDeed[[#This Row],[Princ]])</f>
        <v>0</v>
      </c>
      <c r="Y27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55">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1" s="326">
        <f>IF(INDEX(tblContractForDeed[End Bal],ROW()-ROW(tblBuyerOutputs[#Headers]))&lt;=0,0,($O$6+IF(ROW()=ROW(tblBuyerOutputs[#Headers])+1,0,INDEX(tblBuyerOutputs[Cumul Appr],ROW()-ROW(tblBuyerOutputs[#Headers])-1)))*$O$2/12)</f>
        <v>0</v>
      </c>
      <c r="AE271" s="326">
        <f>IF(INDEX(tblContractForDeed[End Bal],ROW()-ROW(tblBuyerOutputs[#Headers]))&lt;=0,0,IF(ROW()=ROW(tblBuyerOutputs[#Headers])+1,0,INDEX(tblBuyerOutputs[Cumul Appr],ROW()-ROW(tblBuyerOutputs[#Headers])-1))+tblBuyerOutputs[[#This Row],[Monthly Appr]])</f>
        <v>0</v>
      </c>
      <c r="AF271" s="22"/>
      <c r="AG271" s="14"/>
      <c r="AL271"/>
      <c r="AM271" s="14"/>
      <c r="AO271" s="275"/>
      <c r="AQ271" s="14"/>
      <c r="AR271"/>
    </row>
    <row r="272" spans="1:44" x14ac:dyDescent="0.25">
      <c r="A272" s="590" t="str">
        <f t="shared" si="47"/>
        <v/>
      </c>
      <c r="B272" s="275">
        <f t="shared" si="48"/>
        <v>0</v>
      </c>
      <c r="C272" s="14">
        <f t="shared" si="45"/>
        <v>0</v>
      </c>
      <c r="D272" s="14">
        <f t="shared" si="49"/>
        <v>0</v>
      </c>
      <c r="E272" s="14">
        <f t="shared" si="46"/>
        <v>0</v>
      </c>
      <c r="F272" s="14">
        <f t="shared" si="59"/>
        <v>134.16999999999999</v>
      </c>
      <c r="G272" s="14">
        <f t="shared" si="59"/>
        <v>188.55</v>
      </c>
      <c r="H272" s="14">
        <f t="shared" si="58"/>
        <v>322.72000000000003</v>
      </c>
      <c r="I272" s="275">
        <f t="shared" si="52"/>
        <v>97531.839999999953</v>
      </c>
      <c r="J272" s="275">
        <f t="shared" si="53"/>
        <v>36068.259999999973</v>
      </c>
      <c r="K272" s="275">
        <f t="shared" si="50"/>
        <v>0</v>
      </c>
      <c r="L272" s="386">
        <f t="shared" si="56"/>
        <v>0</v>
      </c>
      <c r="M272" s="386">
        <f t="shared" si="51"/>
        <v>0</v>
      </c>
      <c r="N272" s="590" t="str">
        <f>INDEX(tblSubjectToLoan[Date],ROW()-ROW(tblContractForDeed[#Headers]))</f>
        <v/>
      </c>
      <c r="O272" s="275">
        <f>IF(ROW()=ROW(tblContractForDeed[#Headers])+1,$O$6,IF(INDEX(tblContractForDeed[End Bal],ROW()-ROW(tblContractForDeed[#Headers])-1)&lt;0,0,INDEX(tblContractForDeed[End Bal],ROW()-ROW(tblContractForDeed[#Headers])-1)))</f>
        <v>0</v>
      </c>
      <c r="P272" s="445" t="str">
        <f>IF(tblContractForDeed[[#This Row],[Date]]="","",IF(tblContractForDeed[[#This Row],[Date]]&lt;cfdRateChangeDate,cfdRate1,cfdRate2))</f>
        <v/>
      </c>
      <c r="Q2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75">
        <f>IF(tblContractForDeed[[#This Row],[Payment]]=0,0,MAX(0,MIN(tblContractForDeed[[#This Row],[Beg]],tblContractForDeed[[#This Row],[Payment]]-tblContractForDeed[[#This Row],[Int]])))</f>
        <v>0</v>
      </c>
      <c r="S272" s="275">
        <f>IF(OR(tblContractForDeed[[#This Row],[Date]]&lt;cfdContractDate,tblContractForDeed[[#This Row],[Date]]&gt;cfdEndDate),0,ROUND(tblContractForDeed[[#This Row],[Beg]]*(tblContractForDeed[[#This Row],[Int Rate]]/12),2))</f>
        <v>0</v>
      </c>
      <c r="T272" s="275">
        <f>IF(tblContractForDeed[[#This Row],[Payment]]=0,0,$W$2)</f>
        <v>0</v>
      </c>
      <c r="U272" s="275">
        <f>IF(tblContractForDeed[[#This Row],[Princ]]=0,0,$W$3)</f>
        <v>0</v>
      </c>
      <c r="V272" s="275">
        <f>SUM(tblContractForDeed[[#This Row],[Princ]],tblContractForDeed[[#This Row],[Int]],tblContractForDeed[[#This Row],[Ins]],tblContractForDeed[[#This Row],[Taxes]])</f>
        <v>0</v>
      </c>
      <c r="W272" s="275">
        <f>SUM(INDEX(tblContractForDeed[Princ],1):INDEX(tblContractForDeed[Princ],ROW()-ROW(tblContractForDeed[#Headers])))</f>
        <v>75258.000000000029</v>
      </c>
      <c r="X272" s="275">
        <f>IF(tblContractForDeed[[#This Row],[Beg]]&lt;=0,0,tblContractForDeed[[#This Row],[Beg]]-tblContractForDeed[[#This Row],[Princ]])</f>
        <v>0</v>
      </c>
      <c r="Y27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54">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2" s="275">
        <f>IF(INDEX(tblContractForDeed[End Bal],ROW()-ROW(tblBuyerOutputs[#Headers]))&lt;=0,0,($O$6+IF(ROW()=ROW(tblBuyerOutputs[#Headers])+1,0,INDEX(tblBuyerOutputs[Cumul Appr],ROW()-ROW(tblBuyerOutputs[#Headers])-1)))*$O$2/12)</f>
        <v>0</v>
      </c>
      <c r="AE272" s="275">
        <f>IF(INDEX(tblContractForDeed[End Bal],ROW()-ROW(tblBuyerOutputs[#Headers]))&lt;=0,0,IF(ROW()=ROW(tblBuyerOutputs[#Headers])+1,0,INDEX(tblBuyerOutputs[Cumul Appr],ROW()-ROW(tblBuyerOutputs[#Headers])-1))+tblBuyerOutputs[[#This Row],[Monthly Appr]])</f>
        <v>0</v>
      </c>
      <c r="AF272" s="22"/>
      <c r="AG272" s="14"/>
      <c r="AL272"/>
      <c r="AM272" s="14"/>
      <c r="AO272" s="275"/>
      <c r="AQ272" s="14"/>
      <c r="AR272"/>
    </row>
    <row r="273" spans="1:44" x14ac:dyDescent="0.25">
      <c r="A273" s="590" t="str">
        <f t="shared" si="47"/>
        <v/>
      </c>
      <c r="B273" s="275">
        <f t="shared" si="48"/>
        <v>0</v>
      </c>
      <c r="C273" s="14">
        <f t="shared" si="45"/>
        <v>0</v>
      </c>
      <c r="D273" s="14">
        <f t="shared" si="49"/>
        <v>0</v>
      </c>
      <c r="E273" s="14">
        <f t="shared" si="46"/>
        <v>0</v>
      </c>
      <c r="F273" s="14">
        <f t="shared" si="59"/>
        <v>134.16999999999999</v>
      </c>
      <c r="G273" s="14">
        <f t="shared" si="59"/>
        <v>188.55</v>
      </c>
      <c r="H273" s="14">
        <f t="shared" si="58"/>
        <v>322.72000000000003</v>
      </c>
      <c r="I273" s="275">
        <f t="shared" si="52"/>
        <v>97531.839999999953</v>
      </c>
      <c r="J273" s="275">
        <f t="shared" si="53"/>
        <v>36068.259999999973</v>
      </c>
      <c r="K273" s="275">
        <f t="shared" si="50"/>
        <v>0</v>
      </c>
      <c r="L273" s="386">
        <f t="shared" si="56"/>
        <v>0</v>
      </c>
      <c r="M273" s="386">
        <f t="shared" si="51"/>
        <v>0</v>
      </c>
      <c r="N273" s="590" t="str">
        <f>INDEX(tblSubjectToLoan[Date],ROW()-ROW(tblContractForDeed[#Headers]))</f>
        <v/>
      </c>
      <c r="O273" s="275">
        <f>IF(ROW()=ROW(tblContractForDeed[#Headers])+1,$O$6,IF(INDEX(tblContractForDeed[End Bal],ROW()-ROW(tblContractForDeed[#Headers])-1)&lt;0,0,INDEX(tblContractForDeed[End Bal],ROW()-ROW(tblContractForDeed[#Headers])-1)))</f>
        <v>0</v>
      </c>
      <c r="P273" s="445" t="str">
        <f>IF(tblContractForDeed[[#This Row],[Date]]="","",IF(tblContractForDeed[[#This Row],[Date]]&lt;cfdRateChangeDate,cfdRate1,cfdRate2))</f>
        <v/>
      </c>
      <c r="Q2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75">
        <f>IF(tblContractForDeed[[#This Row],[Payment]]=0,0,MAX(0,MIN(tblContractForDeed[[#This Row],[Beg]],tblContractForDeed[[#This Row],[Payment]]-tblContractForDeed[[#This Row],[Int]])))</f>
        <v>0</v>
      </c>
      <c r="S273" s="275">
        <f>IF(OR(tblContractForDeed[[#This Row],[Date]]&lt;cfdContractDate,tblContractForDeed[[#This Row],[Date]]&gt;cfdEndDate),0,ROUND(tblContractForDeed[[#This Row],[Beg]]*(tblContractForDeed[[#This Row],[Int Rate]]/12),2))</f>
        <v>0</v>
      </c>
      <c r="T273" s="275">
        <f>IF(tblContractForDeed[[#This Row],[Payment]]=0,0,$W$2)</f>
        <v>0</v>
      </c>
      <c r="U273" s="275">
        <f>IF(tblContractForDeed[[#This Row],[Princ]]=0,0,$W$3)</f>
        <v>0</v>
      </c>
      <c r="V273" s="275">
        <f>SUM(tblContractForDeed[[#This Row],[Princ]],tblContractForDeed[[#This Row],[Int]],tblContractForDeed[[#This Row],[Ins]],tblContractForDeed[[#This Row],[Taxes]])</f>
        <v>0</v>
      </c>
      <c r="W273" s="275">
        <f>SUM(INDEX(tblContractForDeed[Princ],1):INDEX(tblContractForDeed[Princ],ROW()-ROW(tblContractForDeed[#Headers])))</f>
        <v>75258.000000000029</v>
      </c>
      <c r="X273" s="275">
        <f>IF(tblContractForDeed[[#This Row],[Beg]]&lt;=0,0,tblContractForDeed[[#This Row],[Beg]]-tblContractForDeed[[#This Row],[Princ]])</f>
        <v>0</v>
      </c>
      <c r="Y27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54">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3" s="275">
        <f>IF(INDEX(tblContractForDeed[End Bal],ROW()-ROW(tblBuyerOutputs[#Headers]))&lt;=0,0,($O$6+IF(ROW()=ROW(tblBuyerOutputs[#Headers])+1,0,INDEX(tblBuyerOutputs[Cumul Appr],ROW()-ROW(tblBuyerOutputs[#Headers])-1)))*$O$2/12)</f>
        <v>0</v>
      </c>
      <c r="AE273" s="275">
        <f>IF(INDEX(tblContractForDeed[End Bal],ROW()-ROW(tblBuyerOutputs[#Headers]))&lt;=0,0,IF(ROW()=ROW(tblBuyerOutputs[#Headers])+1,0,INDEX(tblBuyerOutputs[Cumul Appr],ROW()-ROW(tblBuyerOutputs[#Headers])-1))+tblBuyerOutputs[[#This Row],[Monthly Appr]])</f>
        <v>0</v>
      </c>
      <c r="AF273" s="22"/>
      <c r="AG273" s="14"/>
      <c r="AL273"/>
      <c r="AM273" s="14"/>
      <c r="AO273" s="275"/>
      <c r="AQ273" s="14"/>
      <c r="AR273"/>
    </row>
    <row r="274" spans="1:44" x14ac:dyDescent="0.25">
      <c r="A274" s="590" t="str">
        <f t="shared" si="47"/>
        <v/>
      </c>
      <c r="B274" s="275">
        <f t="shared" si="48"/>
        <v>0</v>
      </c>
      <c r="C274" s="14">
        <f t="shared" si="45"/>
        <v>0</v>
      </c>
      <c r="D274" s="14">
        <f t="shared" si="49"/>
        <v>0</v>
      </c>
      <c r="E274" s="14">
        <f t="shared" si="46"/>
        <v>0</v>
      </c>
      <c r="F274" s="14">
        <f t="shared" si="59"/>
        <v>134.16999999999999</v>
      </c>
      <c r="G274" s="14">
        <f t="shared" si="59"/>
        <v>188.55</v>
      </c>
      <c r="H274" s="14">
        <f t="shared" si="58"/>
        <v>322.72000000000003</v>
      </c>
      <c r="I274" s="275">
        <f t="shared" si="52"/>
        <v>97531.839999999953</v>
      </c>
      <c r="J274" s="275">
        <f t="shared" si="53"/>
        <v>36068.259999999973</v>
      </c>
      <c r="K274" s="275">
        <f t="shared" si="50"/>
        <v>0</v>
      </c>
      <c r="L274" s="386">
        <f t="shared" si="56"/>
        <v>0</v>
      </c>
      <c r="M274" s="386">
        <f t="shared" si="51"/>
        <v>0</v>
      </c>
      <c r="N274" s="590" t="str">
        <f>INDEX(tblSubjectToLoan[Date],ROW()-ROW(tblContractForDeed[#Headers]))</f>
        <v/>
      </c>
      <c r="O274" s="275">
        <f>IF(ROW()=ROW(tblContractForDeed[#Headers])+1,$O$6,IF(INDEX(tblContractForDeed[End Bal],ROW()-ROW(tblContractForDeed[#Headers])-1)&lt;0,0,INDEX(tblContractForDeed[End Bal],ROW()-ROW(tblContractForDeed[#Headers])-1)))</f>
        <v>0</v>
      </c>
      <c r="P274" s="445" t="str">
        <f>IF(tblContractForDeed[[#This Row],[Date]]="","",IF(tblContractForDeed[[#This Row],[Date]]&lt;cfdRateChangeDate,cfdRate1,cfdRate2))</f>
        <v/>
      </c>
      <c r="Q2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75">
        <f>IF(tblContractForDeed[[#This Row],[Payment]]=0,0,MAX(0,MIN(tblContractForDeed[[#This Row],[Beg]],tblContractForDeed[[#This Row],[Payment]]-tblContractForDeed[[#This Row],[Int]])))</f>
        <v>0</v>
      </c>
      <c r="S274" s="275">
        <f>IF(OR(tblContractForDeed[[#This Row],[Date]]&lt;cfdContractDate,tblContractForDeed[[#This Row],[Date]]&gt;cfdEndDate),0,ROUND(tblContractForDeed[[#This Row],[Beg]]*(tblContractForDeed[[#This Row],[Int Rate]]/12),2))</f>
        <v>0</v>
      </c>
      <c r="T274" s="275">
        <f>IF(tblContractForDeed[[#This Row],[Payment]]=0,0,$W$2)</f>
        <v>0</v>
      </c>
      <c r="U274" s="275">
        <f>IF(tblContractForDeed[[#This Row],[Princ]]=0,0,$W$3)</f>
        <v>0</v>
      </c>
      <c r="V274" s="275">
        <f>SUM(tblContractForDeed[[#This Row],[Princ]],tblContractForDeed[[#This Row],[Int]],tblContractForDeed[[#This Row],[Ins]],tblContractForDeed[[#This Row],[Taxes]])</f>
        <v>0</v>
      </c>
      <c r="W274" s="275">
        <f>SUM(INDEX(tblContractForDeed[Princ],1):INDEX(tblContractForDeed[Princ],ROW()-ROW(tblContractForDeed[#Headers])))</f>
        <v>75258.000000000029</v>
      </c>
      <c r="X274" s="275">
        <f>IF(tblContractForDeed[[#This Row],[Beg]]&lt;=0,0,tblContractForDeed[[#This Row],[Beg]]-tblContractForDeed[[#This Row],[Princ]])</f>
        <v>0</v>
      </c>
      <c r="Y27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54">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4" s="275">
        <f>IF(INDEX(tblContractForDeed[End Bal],ROW()-ROW(tblBuyerOutputs[#Headers]))&lt;=0,0,($O$6+IF(ROW()=ROW(tblBuyerOutputs[#Headers])+1,0,INDEX(tblBuyerOutputs[Cumul Appr],ROW()-ROW(tblBuyerOutputs[#Headers])-1)))*$O$2/12)</f>
        <v>0</v>
      </c>
      <c r="AE274" s="275">
        <f>IF(INDEX(tblContractForDeed[End Bal],ROW()-ROW(tblBuyerOutputs[#Headers]))&lt;=0,0,IF(ROW()=ROW(tblBuyerOutputs[#Headers])+1,0,INDEX(tblBuyerOutputs[Cumul Appr],ROW()-ROW(tblBuyerOutputs[#Headers])-1))+tblBuyerOutputs[[#This Row],[Monthly Appr]])</f>
        <v>0</v>
      </c>
      <c r="AF274" s="22"/>
      <c r="AG274" s="14"/>
      <c r="AL274"/>
      <c r="AM274" s="14"/>
      <c r="AO274" s="275"/>
      <c r="AQ274" s="14"/>
      <c r="AR274"/>
    </row>
    <row r="275" spans="1:44" x14ac:dyDescent="0.25">
      <c r="A275" s="590" t="str">
        <f t="shared" si="47"/>
        <v/>
      </c>
      <c r="B275" s="275">
        <f t="shared" si="48"/>
        <v>0</v>
      </c>
      <c r="C275" s="14">
        <f t="shared" si="45"/>
        <v>0</v>
      </c>
      <c r="D275" s="14">
        <f t="shared" si="49"/>
        <v>0</v>
      </c>
      <c r="E275" s="14">
        <f t="shared" si="46"/>
        <v>0</v>
      </c>
      <c r="F275" s="14">
        <f t="shared" si="59"/>
        <v>134.16999999999999</v>
      </c>
      <c r="G275" s="14">
        <f t="shared" si="59"/>
        <v>188.55</v>
      </c>
      <c r="H275" s="14">
        <f t="shared" si="58"/>
        <v>322.72000000000003</v>
      </c>
      <c r="I275" s="275">
        <f t="shared" si="52"/>
        <v>97531.839999999953</v>
      </c>
      <c r="J275" s="275">
        <f t="shared" si="53"/>
        <v>36068.259999999973</v>
      </c>
      <c r="K275" s="275">
        <f t="shared" si="50"/>
        <v>0</v>
      </c>
      <c r="L275" s="386">
        <f t="shared" si="56"/>
        <v>0</v>
      </c>
      <c r="M275" s="386">
        <f t="shared" si="51"/>
        <v>0</v>
      </c>
      <c r="N275" s="590" t="str">
        <f>INDEX(tblSubjectToLoan[Date],ROW()-ROW(tblContractForDeed[#Headers]))</f>
        <v/>
      </c>
      <c r="O275" s="275">
        <f>IF(ROW()=ROW(tblContractForDeed[#Headers])+1,$O$6,IF(INDEX(tblContractForDeed[End Bal],ROW()-ROW(tblContractForDeed[#Headers])-1)&lt;0,0,INDEX(tblContractForDeed[End Bal],ROW()-ROW(tblContractForDeed[#Headers])-1)))</f>
        <v>0</v>
      </c>
      <c r="P275" s="445" t="str">
        <f>IF(tblContractForDeed[[#This Row],[Date]]="","",IF(tblContractForDeed[[#This Row],[Date]]&lt;cfdRateChangeDate,cfdRate1,cfdRate2))</f>
        <v/>
      </c>
      <c r="Q27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75">
        <f>IF(tblContractForDeed[[#This Row],[Payment]]=0,0,MAX(0,MIN(tblContractForDeed[[#This Row],[Beg]],tblContractForDeed[[#This Row],[Payment]]-tblContractForDeed[[#This Row],[Int]])))</f>
        <v>0</v>
      </c>
      <c r="S275" s="275">
        <f>IF(OR(tblContractForDeed[[#This Row],[Date]]&lt;cfdContractDate,tblContractForDeed[[#This Row],[Date]]&gt;cfdEndDate),0,ROUND(tblContractForDeed[[#This Row],[Beg]]*(tblContractForDeed[[#This Row],[Int Rate]]/12),2))</f>
        <v>0</v>
      </c>
      <c r="T275" s="275">
        <f>IF(tblContractForDeed[[#This Row],[Payment]]=0,0,$W$2)</f>
        <v>0</v>
      </c>
      <c r="U275" s="275">
        <f>IF(tblContractForDeed[[#This Row],[Princ]]=0,0,$W$3)</f>
        <v>0</v>
      </c>
      <c r="V275" s="275">
        <f>SUM(tblContractForDeed[[#This Row],[Princ]],tblContractForDeed[[#This Row],[Int]],tblContractForDeed[[#This Row],[Ins]],tblContractForDeed[[#This Row],[Taxes]])</f>
        <v>0</v>
      </c>
      <c r="W275" s="275">
        <f>SUM(INDEX(tblContractForDeed[Princ],1):INDEX(tblContractForDeed[Princ],ROW()-ROW(tblContractForDeed[#Headers])))</f>
        <v>75258.000000000029</v>
      </c>
      <c r="X275" s="275">
        <f>IF(tblContractForDeed[[#This Row],[Beg]]&lt;=0,0,tblContractForDeed[[#This Row],[Beg]]-tblContractForDeed[[#This Row],[Princ]])</f>
        <v>0</v>
      </c>
      <c r="Y27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54">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5" s="275">
        <f>IF(INDEX(tblContractForDeed[End Bal],ROW()-ROW(tblBuyerOutputs[#Headers]))&lt;=0,0,($O$6+IF(ROW()=ROW(tblBuyerOutputs[#Headers])+1,0,INDEX(tblBuyerOutputs[Cumul Appr],ROW()-ROW(tblBuyerOutputs[#Headers])-1)))*$O$2/12)</f>
        <v>0</v>
      </c>
      <c r="AE275" s="275">
        <f>IF(INDEX(tblContractForDeed[End Bal],ROW()-ROW(tblBuyerOutputs[#Headers]))&lt;=0,0,IF(ROW()=ROW(tblBuyerOutputs[#Headers])+1,0,INDEX(tblBuyerOutputs[Cumul Appr],ROW()-ROW(tblBuyerOutputs[#Headers])-1))+tblBuyerOutputs[[#This Row],[Monthly Appr]])</f>
        <v>0</v>
      </c>
      <c r="AF275" s="22"/>
      <c r="AG275" s="14"/>
      <c r="AL275"/>
      <c r="AM275" s="14"/>
      <c r="AO275" s="275"/>
      <c r="AQ275" s="14"/>
      <c r="AR275"/>
    </row>
    <row r="276" spans="1:44" x14ac:dyDescent="0.25">
      <c r="A276" s="590" t="str">
        <f t="shared" si="47"/>
        <v/>
      </c>
      <c r="B276" s="275">
        <f t="shared" si="48"/>
        <v>0</v>
      </c>
      <c r="C276" s="14">
        <f t="shared" ref="C276:C339" si="60">IF(A276="",0,IF(B276&lt;=0,0,IF(A276=subjectMortgageEndDate,B276+E276,MIN(subjectPayment,B276+E276))))</f>
        <v>0</v>
      </c>
      <c r="D276" s="14">
        <f t="shared" si="49"/>
        <v>0</v>
      </c>
      <c r="E276" s="14">
        <f t="shared" ref="E276:E339" si="61">IF(OR(A276="",B276&lt;=0),0,ROUND(B276*(subjectInterestRate/12),2))</f>
        <v>0</v>
      </c>
      <c r="F276" s="14">
        <f t="shared" si="59"/>
        <v>134.16999999999999</v>
      </c>
      <c r="G276" s="14">
        <f t="shared" si="59"/>
        <v>188.55</v>
      </c>
      <c r="H276" s="14">
        <f t="shared" si="58"/>
        <v>322.72000000000003</v>
      </c>
      <c r="I276" s="275">
        <f t="shared" si="52"/>
        <v>97531.839999999953</v>
      </c>
      <c r="J276" s="275">
        <f t="shared" si="53"/>
        <v>36068.259999999973</v>
      </c>
      <c r="K276" s="275">
        <f t="shared" si="50"/>
        <v>0</v>
      </c>
      <c r="L276" s="386">
        <f t="shared" si="56"/>
        <v>0</v>
      </c>
      <c r="M276" s="386">
        <f t="shared" si="51"/>
        <v>0</v>
      </c>
      <c r="N276" s="590" t="str">
        <f>INDEX(tblSubjectToLoan[Date],ROW()-ROW(tblContractForDeed[#Headers]))</f>
        <v/>
      </c>
      <c r="O276" s="275">
        <f>IF(ROW()=ROW(tblContractForDeed[#Headers])+1,$O$6,IF(INDEX(tblContractForDeed[End Bal],ROW()-ROW(tblContractForDeed[#Headers])-1)&lt;0,0,INDEX(tblContractForDeed[End Bal],ROW()-ROW(tblContractForDeed[#Headers])-1)))</f>
        <v>0</v>
      </c>
      <c r="P276" s="445" t="str">
        <f>IF(tblContractForDeed[[#This Row],[Date]]="","",IF(tblContractForDeed[[#This Row],[Date]]&lt;cfdRateChangeDate,cfdRate1,cfdRate2))</f>
        <v/>
      </c>
      <c r="Q2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75">
        <f>IF(tblContractForDeed[[#This Row],[Payment]]=0,0,MAX(0,MIN(tblContractForDeed[[#This Row],[Beg]],tblContractForDeed[[#This Row],[Payment]]-tblContractForDeed[[#This Row],[Int]])))</f>
        <v>0</v>
      </c>
      <c r="S276" s="275">
        <f>IF(OR(tblContractForDeed[[#This Row],[Date]]&lt;cfdContractDate,tblContractForDeed[[#This Row],[Date]]&gt;cfdEndDate),0,ROUND(tblContractForDeed[[#This Row],[Beg]]*(tblContractForDeed[[#This Row],[Int Rate]]/12),2))</f>
        <v>0</v>
      </c>
      <c r="T276" s="275">
        <f>IF(tblContractForDeed[[#This Row],[Payment]]=0,0,$W$2)</f>
        <v>0</v>
      </c>
      <c r="U276" s="275">
        <f>IF(tblContractForDeed[[#This Row],[Princ]]=0,0,$W$3)</f>
        <v>0</v>
      </c>
      <c r="V276" s="275">
        <f>SUM(tblContractForDeed[[#This Row],[Princ]],tblContractForDeed[[#This Row],[Int]],tblContractForDeed[[#This Row],[Ins]],tblContractForDeed[[#This Row],[Taxes]])</f>
        <v>0</v>
      </c>
      <c r="W276" s="275">
        <f>SUM(INDEX(tblContractForDeed[Princ],1):INDEX(tblContractForDeed[Princ],ROW()-ROW(tblContractForDeed[#Headers])))</f>
        <v>75258.000000000029</v>
      </c>
      <c r="X276" s="275">
        <f>IF(tblContractForDeed[[#This Row],[Beg]]&lt;=0,0,tblContractForDeed[[#This Row],[Beg]]-tblContractForDeed[[#This Row],[Princ]])</f>
        <v>0</v>
      </c>
      <c r="Y27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54">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6" s="275">
        <f>IF(INDEX(tblContractForDeed[End Bal],ROW()-ROW(tblBuyerOutputs[#Headers]))&lt;=0,0,($O$6+IF(ROW()=ROW(tblBuyerOutputs[#Headers])+1,0,INDEX(tblBuyerOutputs[Cumul Appr],ROW()-ROW(tblBuyerOutputs[#Headers])-1)))*$O$2/12)</f>
        <v>0</v>
      </c>
      <c r="AE276" s="275">
        <f>IF(INDEX(tblContractForDeed[End Bal],ROW()-ROW(tblBuyerOutputs[#Headers]))&lt;=0,0,IF(ROW()=ROW(tblBuyerOutputs[#Headers])+1,0,INDEX(tblBuyerOutputs[Cumul Appr],ROW()-ROW(tblBuyerOutputs[#Headers])-1))+tblBuyerOutputs[[#This Row],[Monthly Appr]])</f>
        <v>0</v>
      </c>
      <c r="AF276" s="22"/>
      <c r="AG276" s="14"/>
      <c r="AL276"/>
      <c r="AM276" s="14"/>
      <c r="AO276" s="275"/>
      <c r="AQ276" s="14"/>
      <c r="AR276"/>
    </row>
    <row r="277" spans="1:44" x14ac:dyDescent="0.25">
      <c r="A277" s="590" t="str">
        <f t="shared" ref="A277:A340" si="62">IF(OR(A276="",A276&gt;=subjectMortgageEndDate),"",EDATE(A276,1))</f>
        <v/>
      </c>
      <c r="B277" s="275">
        <f t="shared" ref="B277:B340" si="63">IF(A277="",0,MAX(0,K276))</f>
        <v>0</v>
      </c>
      <c r="C277" s="14">
        <f t="shared" si="60"/>
        <v>0</v>
      </c>
      <c r="D277" s="14">
        <f t="shared" ref="D277:D340" si="64">IF(C277=0,0,MAX(0,MIN(B277,C277-E277)))</f>
        <v>0</v>
      </c>
      <c r="E277" s="14">
        <f t="shared" si="61"/>
        <v>0</v>
      </c>
      <c r="F277" s="14">
        <f t="shared" si="59"/>
        <v>134.16999999999999</v>
      </c>
      <c r="G277" s="14">
        <f t="shared" si="59"/>
        <v>188.55</v>
      </c>
      <c r="H277" s="14">
        <f t="shared" si="58"/>
        <v>322.72000000000003</v>
      </c>
      <c r="I277" s="275">
        <f t="shared" si="52"/>
        <v>97531.839999999953</v>
      </c>
      <c r="J277" s="275">
        <f t="shared" si="53"/>
        <v>36068.259999999973</v>
      </c>
      <c r="K277" s="275">
        <f t="shared" ref="K277:K340" si="65">IF(A277="",0,IF(B277&lt;=0,0,MAX(0,B277-D277)))</f>
        <v>0</v>
      </c>
      <c r="L277" s="386">
        <f t="shared" si="56"/>
        <v>0</v>
      </c>
      <c r="M277" s="386">
        <f t="shared" ref="M277:M340" si="66">IF($A277&lt;&gt;"",M276+1,0)</f>
        <v>0</v>
      </c>
      <c r="N277" s="590" t="str">
        <f>INDEX(tblSubjectToLoan[Date],ROW()-ROW(tblContractForDeed[#Headers]))</f>
        <v/>
      </c>
      <c r="O277" s="275">
        <f>IF(ROW()=ROW(tblContractForDeed[#Headers])+1,$O$6,IF(INDEX(tblContractForDeed[End Bal],ROW()-ROW(tblContractForDeed[#Headers])-1)&lt;0,0,INDEX(tblContractForDeed[End Bal],ROW()-ROW(tblContractForDeed[#Headers])-1)))</f>
        <v>0</v>
      </c>
      <c r="P277" s="445" t="str">
        <f>IF(tblContractForDeed[[#This Row],[Date]]="","",IF(tblContractForDeed[[#This Row],[Date]]&lt;cfdRateChangeDate,cfdRate1,cfdRate2))</f>
        <v/>
      </c>
      <c r="Q2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75">
        <f>IF(tblContractForDeed[[#This Row],[Payment]]=0,0,MAX(0,MIN(tblContractForDeed[[#This Row],[Beg]],tblContractForDeed[[#This Row],[Payment]]-tblContractForDeed[[#This Row],[Int]])))</f>
        <v>0</v>
      </c>
      <c r="S277" s="275">
        <f>IF(OR(tblContractForDeed[[#This Row],[Date]]&lt;cfdContractDate,tblContractForDeed[[#This Row],[Date]]&gt;cfdEndDate),0,ROUND(tblContractForDeed[[#This Row],[Beg]]*(tblContractForDeed[[#This Row],[Int Rate]]/12),2))</f>
        <v>0</v>
      </c>
      <c r="T277" s="275">
        <f>IF(tblContractForDeed[[#This Row],[Payment]]=0,0,$W$2)</f>
        <v>0</v>
      </c>
      <c r="U277" s="275">
        <f>IF(tblContractForDeed[[#This Row],[Princ]]=0,0,$W$3)</f>
        <v>0</v>
      </c>
      <c r="V277" s="275">
        <f>SUM(tblContractForDeed[[#This Row],[Princ]],tblContractForDeed[[#This Row],[Int]],tblContractForDeed[[#This Row],[Ins]],tblContractForDeed[[#This Row],[Taxes]])</f>
        <v>0</v>
      </c>
      <c r="W277" s="275">
        <f>SUM(INDEX(tblContractForDeed[Princ],1):INDEX(tblContractForDeed[Princ],ROW()-ROW(tblContractForDeed[#Headers])))</f>
        <v>75258.000000000029</v>
      </c>
      <c r="X277" s="275">
        <f>IF(tblContractForDeed[[#This Row],[Beg]]&lt;=0,0,tblContractForDeed[[#This Row],[Beg]]-tblContractForDeed[[#This Row],[Princ]])</f>
        <v>0</v>
      </c>
      <c r="Y27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54">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7" s="275">
        <f>IF(INDEX(tblContractForDeed[End Bal],ROW()-ROW(tblBuyerOutputs[#Headers]))&lt;=0,0,($O$6+IF(ROW()=ROW(tblBuyerOutputs[#Headers])+1,0,INDEX(tblBuyerOutputs[Cumul Appr],ROW()-ROW(tblBuyerOutputs[#Headers])-1)))*$O$2/12)</f>
        <v>0</v>
      </c>
      <c r="AE277" s="275">
        <f>IF(INDEX(tblContractForDeed[End Bal],ROW()-ROW(tblBuyerOutputs[#Headers]))&lt;=0,0,IF(ROW()=ROW(tblBuyerOutputs[#Headers])+1,0,INDEX(tblBuyerOutputs[Cumul Appr],ROW()-ROW(tblBuyerOutputs[#Headers])-1))+tblBuyerOutputs[[#This Row],[Monthly Appr]])</f>
        <v>0</v>
      </c>
      <c r="AF277" s="22"/>
      <c r="AG277" s="14"/>
      <c r="AL277"/>
      <c r="AM277" s="14"/>
      <c r="AO277" s="275"/>
      <c r="AQ277" s="14"/>
      <c r="AR277"/>
    </row>
    <row r="278" spans="1:44" x14ac:dyDescent="0.25">
      <c r="A278" s="590" t="str">
        <f t="shared" si="62"/>
        <v/>
      </c>
      <c r="B278" s="275">
        <f t="shared" si="63"/>
        <v>0</v>
      </c>
      <c r="C278" s="14">
        <f t="shared" si="60"/>
        <v>0</v>
      </c>
      <c r="D278" s="14">
        <f t="shared" si="64"/>
        <v>0</v>
      </c>
      <c r="E278" s="14">
        <f t="shared" si="61"/>
        <v>0</v>
      </c>
      <c r="F278" s="14">
        <f t="shared" si="59"/>
        <v>134.16999999999999</v>
      </c>
      <c r="G278" s="14">
        <f t="shared" si="59"/>
        <v>188.55</v>
      </c>
      <c r="H278" s="14">
        <f t="shared" si="58"/>
        <v>322.72000000000003</v>
      </c>
      <c r="I278" s="275">
        <f t="shared" ref="I278:I341" si="67">$D278+$I277</f>
        <v>97531.839999999953</v>
      </c>
      <c r="J278" s="275">
        <f t="shared" ref="J278:J341" si="68">$E278+$J277</f>
        <v>36068.259999999973</v>
      </c>
      <c r="K278" s="275">
        <f t="shared" si="65"/>
        <v>0</v>
      </c>
      <c r="L278" s="386">
        <f t="shared" si="56"/>
        <v>0</v>
      </c>
      <c r="M278" s="386">
        <f t="shared" si="66"/>
        <v>0</v>
      </c>
      <c r="N278" s="590" t="str">
        <f>INDEX(tblSubjectToLoan[Date],ROW()-ROW(tblContractForDeed[#Headers]))</f>
        <v/>
      </c>
      <c r="O278" s="275">
        <f>IF(ROW()=ROW(tblContractForDeed[#Headers])+1,$O$6,IF(INDEX(tblContractForDeed[End Bal],ROW()-ROW(tblContractForDeed[#Headers])-1)&lt;0,0,INDEX(tblContractForDeed[End Bal],ROW()-ROW(tblContractForDeed[#Headers])-1)))</f>
        <v>0</v>
      </c>
      <c r="P278" s="445" t="str">
        <f>IF(tblContractForDeed[[#This Row],[Date]]="","",IF(tblContractForDeed[[#This Row],[Date]]&lt;cfdRateChangeDate,cfdRate1,cfdRate2))</f>
        <v/>
      </c>
      <c r="Q2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75">
        <f>IF(tblContractForDeed[[#This Row],[Payment]]=0,0,MAX(0,MIN(tblContractForDeed[[#This Row],[Beg]],tblContractForDeed[[#This Row],[Payment]]-tblContractForDeed[[#This Row],[Int]])))</f>
        <v>0</v>
      </c>
      <c r="S278" s="275">
        <f>IF(OR(tblContractForDeed[[#This Row],[Date]]&lt;cfdContractDate,tblContractForDeed[[#This Row],[Date]]&gt;cfdEndDate),0,ROUND(tblContractForDeed[[#This Row],[Beg]]*(tblContractForDeed[[#This Row],[Int Rate]]/12),2))</f>
        <v>0</v>
      </c>
      <c r="T278" s="275">
        <f>IF(tblContractForDeed[[#This Row],[Payment]]=0,0,$W$2)</f>
        <v>0</v>
      </c>
      <c r="U278" s="275">
        <f>IF(tblContractForDeed[[#This Row],[Princ]]=0,0,$W$3)</f>
        <v>0</v>
      </c>
      <c r="V278" s="275">
        <f>SUM(tblContractForDeed[[#This Row],[Princ]],tblContractForDeed[[#This Row],[Int]],tblContractForDeed[[#This Row],[Ins]],tblContractForDeed[[#This Row],[Taxes]])</f>
        <v>0</v>
      </c>
      <c r="W278" s="275">
        <f>SUM(INDEX(tblContractForDeed[Princ],1):INDEX(tblContractForDeed[Princ],ROW()-ROW(tblContractForDeed[#Headers])))</f>
        <v>75258.000000000029</v>
      </c>
      <c r="X278" s="275">
        <f>IF(tblContractForDeed[[#This Row],[Beg]]&lt;=0,0,tblContractForDeed[[#This Row],[Beg]]-tblContractForDeed[[#This Row],[Princ]])</f>
        <v>0</v>
      </c>
      <c r="Y27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54">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8" s="275">
        <f>IF(INDEX(tblContractForDeed[End Bal],ROW()-ROW(tblBuyerOutputs[#Headers]))&lt;=0,0,($O$6+IF(ROW()=ROW(tblBuyerOutputs[#Headers])+1,0,INDEX(tblBuyerOutputs[Cumul Appr],ROW()-ROW(tblBuyerOutputs[#Headers])-1)))*$O$2/12)</f>
        <v>0</v>
      </c>
      <c r="AE278" s="275">
        <f>IF(INDEX(tblContractForDeed[End Bal],ROW()-ROW(tblBuyerOutputs[#Headers]))&lt;=0,0,IF(ROW()=ROW(tblBuyerOutputs[#Headers])+1,0,INDEX(tblBuyerOutputs[Cumul Appr],ROW()-ROW(tblBuyerOutputs[#Headers])-1))+tblBuyerOutputs[[#This Row],[Monthly Appr]])</f>
        <v>0</v>
      </c>
      <c r="AF278" s="22"/>
      <c r="AG278" s="14"/>
      <c r="AL278"/>
      <c r="AM278" s="14"/>
      <c r="AO278" s="275"/>
      <c r="AQ278" s="14"/>
      <c r="AR278"/>
    </row>
    <row r="279" spans="1:44" x14ac:dyDescent="0.25">
      <c r="A279" s="590" t="str">
        <f t="shared" si="62"/>
        <v/>
      </c>
      <c r="B279" s="275">
        <f t="shared" si="63"/>
        <v>0</v>
      </c>
      <c r="C279" s="14">
        <f t="shared" si="60"/>
        <v>0</v>
      </c>
      <c r="D279" s="14">
        <f t="shared" si="64"/>
        <v>0</v>
      </c>
      <c r="E279" s="14">
        <f t="shared" si="61"/>
        <v>0</v>
      </c>
      <c r="F279" s="14">
        <f t="shared" si="59"/>
        <v>134.16999999999999</v>
      </c>
      <c r="G279" s="14">
        <f t="shared" si="59"/>
        <v>188.55</v>
      </c>
      <c r="H279" s="14">
        <f t="shared" si="58"/>
        <v>322.72000000000003</v>
      </c>
      <c r="I279" s="275">
        <f t="shared" si="67"/>
        <v>97531.839999999953</v>
      </c>
      <c r="J279" s="275">
        <f t="shared" si="68"/>
        <v>36068.259999999973</v>
      </c>
      <c r="K279" s="275">
        <f t="shared" si="65"/>
        <v>0</v>
      </c>
      <c r="L279" s="386">
        <f t="shared" si="56"/>
        <v>0</v>
      </c>
      <c r="M279" s="386">
        <f t="shared" si="66"/>
        <v>0</v>
      </c>
      <c r="N279" s="590" t="str">
        <f>INDEX(tblSubjectToLoan[Date],ROW()-ROW(tblContractForDeed[#Headers]))</f>
        <v/>
      </c>
      <c r="O279" s="275">
        <f>IF(ROW()=ROW(tblContractForDeed[#Headers])+1,$O$6,IF(INDEX(tblContractForDeed[End Bal],ROW()-ROW(tblContractForDeed[#Headers])-1)&lt;0,0,INDEX(tblContractForDeed[End Bal],ROW()-ROW(tblContractForDeed[#Headers])-1)))</f>
        <v>0</v>
      </c>
      <c r="P279" s="445" t="str">
        <f>IF(tblContractForDeed[[#This Row],[Date]]="","",IF(tblContractForDeed[[#This Row],[Date]]&lt;cfdRateChangeDate,cfdRate1,cfdRate2))</f>
        <v/>
      </c>
      <c r="Q27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75">
        <f>IF(tblContractForDeed[[#This Row],[Payment]]=0,0,MAX(0,MIN(tblContractForDeed[[#This Row],[Beg]],tblContractForDeed[[#This Row],[Payment]]-tblContractForDeed[[#This Row],[Int]])))</f>
        <v>0</v>
      </c>
      <c r="S279" s="275">
        <f>IF(OR(tblContractForDeed[[#This Row],[Date]]&lt;cfdContractDate,tblContractForDeed[[#This Row],[Date]]&gt;cfdEndDate),0,ROUND(tblContractForDeed[[#This Row],[Beg]]*(tblContractForDeed[[#This Row],[Int Rate]]/12),2))</f>
        <v>0</v>
      </c>
      <c r="T279" s="275">
        <f>IF(tblContractForDeed[[#This Row],[Payment]]=0,0,$W$2)</f>
        <v>0</v>
      </c>
      <c r="U279" s="275">
        <f>IF(tblContractForDeed[[#This Row],[Princ]]=0,0,$W$3)</f>
        <v>0</v>
      </c>
      <c r="V279" s="275">
        <f>SUM(tblContractForDeed[[#This Row],[Princ]],tblContractForDeed[[#This Row],[Int]],tblContractForDeed[[#This Row],[Ins]],tblContractForDeed[[#This Row],[Taxes]])</f>
        <v>0</v>
      </c>
      <c r="W279" s="275">
        <f>SUM(INDEX(tblContractForDeed[Princ],1):INDEX(tblContractForDeed[Princ],ROW()-ROW(tblContractForDeed[#Headers])))</f>
        <v>75258.000000000029</v>
      </c>
      <c r="X279" s="275">
        <f>IF(tblContractForDeed[[#This Row],[Beg]]&lt;=0,0,tblContractForDeed[[#This Row],[Beg]]-tblContractForDeed[[#This Row],[Princ]])</f>
        <v>0</v>
      </c>
      <c r="Y27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54">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9" s="275">
        <f>IF(INDEX(tblContractForDeed[End Bal],ROW()-ROW(tblBuyerOutputs[#Headers]))&lt;=0,0,($O$6+IF(ROW()=ROW(tblBuyerOutputs[#Headers])+1,0,INDEX(tblBuyerOutputs[Cumul Appr],ROW()-ROW(tblBuyerOutputs[#Headers])-1)))*$O$2/12)</f>
        <v>0</v>
      </c>
      <c r="AE279" s="275">
        <f>IF(INDEX(tblContractForDeed[End Bal],ROW()-ROW(tblBuyerOutputs[#Headers]))&lt;=0,0,IF(ROW()=ROW(tblBuyerOutputs[#Headers])+1,0,INDEX(tblBuyerOutputs[Cumul Appr],ROW()-ROW(tblBuyerOutputs[#Headers])-1))+tblBuyerOutputs[[#This Row],[Monthly Appr]])</f>
        <v>0</v>
      </c>
      <c r="AF279" s="22"/>
      <c r="AG279" s="14"/>
      <c r="AL279"/>
      <c r="AM279" s="14"/>
      <c r="AO279" s="275"/>
      <c r="AQ279" s="14"/>
      <c r="AR279"/>
    </row>
    <row r="280" spans="1:44" x14ac:dyDescent="0.25">
      <c r="A280" s="590" t="str">
        <f t="shared" si="62"/>
        <v/>
      </c>
      <c r="B280" s="275">
        <f t="shared" si="63"/>
        <v>0</v>
      </c>
      <c r="C280" s="14">
        <f t="shared" si="60"/>
        <v>0</v>
      </c>
      <c r="D280" s="14">
        <f t="shared" si="64"/>
        <v>0</v>
      </c>
      <c r="E280" s="14">
        <f t="shared" si="61"/>
        <v>0</v>
      </c>
      <c r="F280" s="14">
        <f t="shared" si="59"/>
        <v>134.16999999999999</v>
      </c>
      <c r="G280" s="14">
        <f t="shared" si="59"/>
        <v>188.55</v>
      </c>
      <c r="H280" s="14">
        <f t="shared" si="58"/>
        <v>322.72000000000003</v>
      </c>
      <c r="I280" s="275">
        <f t="shared" si="67"/>
        <v>97531.839999999953</v>
      </c>
      <c r="J280" s="275">
        <f t="shared" si="68"/>
        <v>36068.259999999973</v>
      </c>
      <c r="K280" s="275">
        <f t="shared" si="65"/>
        <v>0</v>
      </c>
      <c r="L280" s="386">
        <f t="shared" si="56"/>
        <v>0</v>
      </c>
      <c r="M280" s="386">
        <f t="shared" si="66"/>
        <v>0</v>
      </c>
      <c r="N280" s="590" t="str">
        <f>INDEX(tblSubjectToLoan[Date],ROW()-ROW(tblContractForDeed[#Headers]))</f>
        <v/>
      </c>
      <c r="O280" s="275">
        <f>IF(ROW()=ROW(tblContractForDeed[#Headers])+1,$O$6,IF(INDEX(tblContractForDeed[End Bal],ROW()-ROW(tblContractForDeed[#Headers])-1)&lt;0,0,INDEX(tblContractForDeed[End Bal],ROW()-ROW(tblContractForDeed[#Headers])-1)))</f>
        <v>0</v>
      </c>
      <c r="P280" s="445" t="str">
        <f>IF(tblContractForDeed[[#This Row],[Date]]="","",IF(tblContractForDeed[[#This Row],[Date]]&lt;cfdRateChangeDate,cfdRate1,cfdRate2))</f>
        <v/>
      </c>
      <c r="Q2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75">
        <f>IF(tblContractForDeed[[#This Row],[Payment]]=0,0,MAX(0,MIN(tblContractForDeed[[#This Row],[Beg]],tblContractForDeed[[#This Row],[Payment]]-tblContractForDeed[[#This Row],[Int]])))</f>
        <v>0</v>
      </c>
      <c r="S280" s="275">
        <f>IF(OR(tblContractForDeed[[#This Row],[Date]]&lt;cfdContractDate,tblContractForDeed[[#This Row],[Date]]&gt;cfdEndDate),0,ROUND(tblContractForDeed[[#This Row],[Beg]]*(tblContractForDeed[[#This Row],[Int Rate]]/12),2))</f>
        <v>0</v>
      </c>
      <c r="T280" s="275">
        <f>IF(tblContractForDeed[[#This Row],[Payment]]=0,0,$W$2)</f>
        <v>0</v>
      </c>
      <c r="U280" s="275">
        <f>IF(tblContractForDeed[[#This Row],[Princ]]=0,0,$W$3)</f>
        <v>0</v>
      </c>
      <c r="V280" s="275">
        <f>SUM(tblContractForDeed[[#This Row],[Princ]],tblContractForDeed[[#This Row],[Int]],tblContractForDeed[[#This Row],[Ins]],tblContractForDeed[[#This Row],[Taxes]])</f>
        <v>0</v>
      </c>
      <c r="W280" s="275">
        <f>SUM(INDEX(tblContractForDeed[Princ],1):INDEX(tblContractForDeed[Princ],ROW()-ROW(tblContractForDeed[#Headers])))</f>
        <v>75258.000000000029</v>
      </c>
      <c r="X280" s="275">
        <f>IF(tblContractForDeed[[#This Row],[Beg]]&lt;=0,0,tblContractForDeed[[#This Row],[Beg]]-tblContractForDeed[[#This Row],[Princ]])</f>
        <v>0</v>
      </c>
      <c r="Y28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54">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0" s="275">
        <f>IF(INDEX(tblContractForDeed[End Bal],ROW()-ROW(tblBuyerOutputs[#Headers]))&lt;=0,0,($O$6+IF(ROW()=ROW(tblBuyerOutputs[#Headers])+1,0,INDEX(tblBuyerOutputs[Cumul Appr],ROW()-ROW(tblBuyerOutputs[#Headers])-1)))*$O$2/12)</f>
        <v>0</v>
      </c>
      <c r="AE280" s="275">
        <f>IF(INDEX(tblContractForDeed[End Bal],ROW()-ROW(tblBuyerOutputs[#Headers]))&lt;=0,0,IF(ROW()=ROW(tblBuyerOutputs[#Headers])+1,0,INDEX(tblBuyerOutputs[Cumul Appr],ROW()-ROW(tblBuyerOutputs[#Headers])-1))+tblBuyerOutputs[[#This Row],[Monthly Appr]])</f>
        <v>0</v>
      </c>
      <c r="AF280" s="22"/>
      <c r="AG280" s="14"/>
      <c r="AL280"/>
      <c r="AM280" s="14"/>
      <c r="AO280" s="275"/>
      <c r="AQ280" s="14"/>
      <c r="AR280"/>
    </row>
    <row r="281" spans="1:44" x14ac:dyDescent="0.25">
      <c r="A281" s="590" t="str">
        <f t="shared" si="62"/>
        <v/>
      </c>
      <c r="B281" s="275">
        <f t="shared" si="63"/>
        <v>0</v>
      </c>
      <c r="C281" s="14">
        <f t="shared" si="60"/>
        <v>0</v>
      </c>
      <c r="D281" s="14">
        <f t="shared" si="64"/>
        <v>0</v>
      </c>
      <c r="E281" s="14">
        <f t="shared" si="61"/>
        <v>0</v>
      </c>
      <c r="F281" s="14">
        <f t="shared" si="59"/>
        <v>134.16999999999999</v>
      </c>
      <c r="G281" s="14">
        <f t="shared" si="59"/>
        <v>188.55</v>
      </c>
      <c r="H281" s="14">
        <f t="shared" si="58"/>
        <v>322.72000000000003</v>
      </c>
      <c r="I281" s="275">
        <f t="shared" si="67"/>
        <v>97531.839999999953</v>
      </c>
      <c r="J281" s="275">
        <f t="shared" si="68"/>
        <v>36068.259999999973</v>
      </c>
      <c r="K281" s="275">
        <f t="shared" si="65"/>
        <v>0</v>
      </c>
      <c r="L281" s="386">
        <f t="shared" si="56"/>
        <v>0</v>
      </c>
      <c r="M281" s="386">
        <f t="shared" si="66"/>
        <v>0</v>
      </c>
      <c r="N281" s="590" t="str">
        <f>INDEX(tblSubjectToLoan[Date],ROW()-ROW(tblContractForDeed[#Headers]))</f>
        <v/>
      </c>
      <c r="O281" s="275">
        <f>IF(ROW()=ROW(tblContractForDeed[#Headers])+1,$O$6,IF(INDEX(tblContractForDeed[End Bal],ROW()-ROW(tblContractForDeed[#Headers])-1)&lt;0,0,INDEX(tblContractForDeed[End Bal],ROW()-ROW(tblContractForDeed[#Headers])-1)))</f>
        <v>0</v>
      </c>
      <c r="P281" s="445" t="str">
        <f>IF(tblContractForDeed[[#This Row],[Date]]="","",IF(tblContractForDeed[[#This Row],[Date]]&lt;cfdRateChangeDate,cfdRate1,cfdRate2))</f>
        <v/>
      </c>
      <c r="Q2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75">
        <f>IF(tblContractForDeed[[#This Row],[Payment]]=0,0,MAX(0,MIN(tblContractForDeed[[#This Row],[Beg]],tblContractForDeed[[#This Row],[Payment]]-tblContractForDeed[[#This Row],[Int]])))</f>
        <v>0</v>
      </c>
      <c r="S281" s="275">
        <f>IF(OR(tblContractForDeed[[#This Row],[Date]]&lt;cfdContractDate,tblContractForDeed[[#This Row],[Date]]&gt;cfdEndDate),0,ROUND(tblContractForDeed[[#This Row],[Beg]]*(tblContractForDeed[[#This Row],[Int Rate]]/12),2))</f>
        <v>0</v>
      </c>
      <c r="T281" s="275">
        <f>IF(tblContractForDeed[[#This Row],[Payment]]=0,0,$W$2)</f>
        <v>0</v>
      </c>
      <c r="U281" s="275">
        <f>IF(tblContractForDeed[[#This Row],[Princ]]=0,0,$W$3)</f>
        <v>0</v>
      </c>
      <c r="V281" s="275">
        <f>SUM(tblContractForDeed[[#This Row],[Princ]],tblContractForDeed[[#This Row],[Int]],tblContractForDeed[[#This Row],[Ins]],tblContractForDeed[[#This Row],[Taxes]])</f>
        <v>0</v>
      </c>
      <c r="W281" s="275">
        <f>SUM(INDEX(tblContractForDeed[Princ],1):INDEX(tblContractForDeed[Princ],ROW()-ROW(tblContractForDeed[#Headers])))</f>
        <v>75258.000000000029</v>
      </c>
      <c r="X281" s="275">
        <f>IF(tblContractForDeed[[#This Row],[Beg]]&lt;=0,0,tblContractForDeed[[#This Row],[Beg]]-tblContractForDeed[[#This Row],[Princ]])</f>
        <v>0</v>
      </c>
      <c r="Y28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54">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1" s="275">
        <f>IF(INDEX(tblContractForDeed[End Bal],ROW()-ROW(tblBuyerOutputs[#Headers]))&lt;=0,0,($O$6+IF(ROW()=ROW(tblBuyerOutputs[#Headers])+1,0,INDEX(tblBuyerOutputs[Cumul Appr],ROW()-ROW(tblBuyerOutputs[#Headers])-1)))*$O$2/12)</f>
        <v>0</v>
      </c>
      <c r="AE281" s="275">
        <f>IF(INDEX(tblContractForDeed[End Bal],ROW()-ROW(tblBuyerOutputs[#Headers]))&lt;=0,0,IF(ROW()=ROW(tblBuyerOutputs[#Headers])+1,0,INDEX(tblBuyerOutputs[Cumul Appr],ROW()-ROW(tblBuyerOutputs[#Headers])-1))+tblBuyerOutputs[[#This Row],[Monthly Appr]])</f>
        <v>0</v>
      </c>
      <c r="AF281" s="22"/>
      <c r="AG281" s="14"/>
      <c r="AL281"/>
      <c r="AM281" s="14"/>
      <c r="AO281" s="275"/>
      <c r="AQ281" s="14"/>
      <c r="AR281"/>
    </row>
    <row r="282" spans="1:44" x14ac:dyDescent="0.25">
      <c r="A282" s="590" t="str">
        <f t="shared" si="62"/>
        <v/>
      </c>
      <c r="B282" s="275">
        <f t="shared" si="63"/>
        <v>0</v>
      </c>
      <c r="C282" s="14">
        <f t="shared" si="60"/>
        <v>0</v>
      </c>
      <c r="D282" s="14">
        <f t="shared" si="64"/>
        <v>0</v>
      </c>
      <c r="E282" s="14">
        <f t="shared" si="61"/>
        <v>0</v>
      </c>
      <c r="F282" s="14">
        <f t="shared" si="59"/>
        <v>134.16999999999999</v>
      </c>
      <c r="G282" s="14">
        <f t="shared" si="59"/>
        <v>188.55</v>
      </c>
      <c r="H282" s="14">
        <f t="shared" si="58"/>
        <v>322.72000000000003</v>
      </c>
      <c r="I282" s="275">
        <f t="shared" si="67"/>
        <v>97531.839999999953</v>
      </c>
      <c r="J282" s="275">
        <f t="shared" si="68"/>
        <v>36068.259999999973</v>
      </c>
      <c r="K282" s="275">
        <f t="shared" si="65"/>
        <v>0</v>
      </c>
      <c r="L282" s="386">
        <f t="shared" si="56"/>
        <v>0</v>
      </c>
      <c r="M282" s="386">
        <f t="shared" si="66"/>
        <v>0</v>
      </c>
      <c r="N282" s="590" t="str">
        <f>INDEX(tblSubjectToLoan[Date],ROW()-ROW(tblContractForDeed[#Headers]))</f>
        <v/>
      </c>
      <c r="O282" s="275">
        <f>IF(ROW()=ROW(tblContractForDeed[#Headers])+1,$O$6,IF(INDEX(tblContractForDeed[End Bal],ROW()-ROW(tblContractForDeed[#Headers])-1)&lt;0,0,INDEX(tblContractForDeed[End Bal],ROW()-ROW(tblContractForDeed[#Headers])-1)))</f>
        <v>0</v>
      </c>
      <c r="P282" s="445" t="str">
        <f>IF(tblContractForDeed[[#This Row],[Date]]="","",IF(tblContractForDeed[[#This Row],[Date]]&lt;cfdRateChangeDate,cfdRate1,cfdRate2))</f>
        <v/>
      </c>
      <c r="Q2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75">
        <f>IF(tblContractForDeed[[#This Row],[Payment]]=0,0,MAX(0,MIN(tblContractForDeed[[#This Row],[Beg]],tblContractForDeed[[#This Row],[Payment]]-tblContractForDeed[[#This Row],[Int]])))</f>
        <v>0</v>
      </c>
      <c r="S282" s="275">
        <f>IF(OR(tblContractForDeed[[#This Row],[Date]]&lt;cfdContractDate,tblContractForDeed[[#This Row],[Date]]&gt;cfdEndDate),0,ROUND(tblContractForDeed[[#This Row],[Beg]]*(tblContractForDeed[[#This Row],[Int Rate]]/12),2))</f>
        <v>0</v>
      </c>
      <c r="T282" s="275">
        <f>IF(tblContractForDeed[[#This Row],[Payment]]=0,0,$W$2)</f>
        <v>0</v>
      </c>
      <c r="U282" s="275">
        <f>IF(tblContractForDeed[[#This Row],[Princ]]=0,0,$W$3)</f>
        <v>0</v>
      </c>
      <c r="V282" s="275">
        <f>SUM(tblContractForDeed[[#This Row],[Princ]],tblContractForDeed[[#This Row],[Int]],tblContractForDeed[[#This Row],[Ins]],tblContractForDeed[[#This Row],[Taxes]])</f>
        <v>0</v>
      </c>
      <c r="W282" s="275">
        <f>SUM(INDEX(tblContractForDeed[Princ],1):INDEX(tblContractForDeed[Princ],ROW()-ROW(tblContractForDeed[#Headers])))</f>
        <v>75258.000000000029</v>
      </c>
      <c r="X282" s="275">
        <f>IF(tblContractForDeed[[#This Row],[Beg]]&lt;=0,0,tblContractForDeed[[#This Row],[Beg]]-tblContractForDeed[[#This Row],[Princ]])</f>
        <v>0</v>
      </c>
      <c r="Y28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54">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2" s="275">
        <f>IF(INDEX(tblContractForDeed[End Bal],ROW()-ROW(tblBuyerOutputs[#Headers]))&lt;=0,0,($O$6+IF(ROW()=ROW(tblBuyerOutputs[#Headers])+1,0,INDEX(tblBuyerOutputs[Cumul Appr],ROW()-ROW(tblBuyerOutputs[#Headers])-1)))*$O$2/12)</f>
        <v>0</v>
      </c>
      <c r="AE282" s="275">
        <f>IF(INDEX(tblContractForDeed[End Bal],ROW()-ROW(tblBuyerOutputs[#Headers]))&lt;=0,0,IF(ROW()=ROW(tblBuyerOutputs[#Headers])+1,0,INDEX(tblBuyerOutputs[Cumul Appr],ROW()-ROW(tblBuyerOutputs[#Headers])-1))+tblBuyerOutputs[[#This Row],[Monthly Appr]])</f>
        <v>0</v>
      </c>
      <c r="AF282" s="22"/>
      <c r="AG282" s="14"/>
      <c r="AL282"/>
      <c r="AM282" s="14"/>
      <c r="AO282" s="275"/>
      <c r="AQ282" s="14"/>
      <c r="AR282"/>
    </row>
    <row r="283" spans="1:44" ht="15.75" thickBot="1" x14ac:dyDescent="0.3">
      <c r="A283" s="591" t="str">
        <f t="shared" si="62"/>
        <v/>
      </c>
      <c r="B283" s="326">
        <f t="shared" si="63"/>
        <v>0</v>
      </c>
      <c r="C283" s="21">
        <f t="shared" si="60"/>
        <v>0</v>
      </c>
      <c r="D283" s="21">
        <f t="shared" si="64"/>
        <v>0</v>
      </c>
      <c r="E283" s="21">
        <f t="shared" si="61"/>
        <v>0</v>
      </c>
      <c r="F283" s="21">
        <f t="shared" si="59"/>
        <v>134.16999999999999</v>
      </c>
      <c r="G283" s="21">
        <f t="shared" si="59"/>
        <v>188.55</v>
      </c>
      <c r="H283" s="21">
        <f t="shared" si="58"/>
        <v>322.72000000000003</v>
      </c>
      <c r="I283" s="326">
        <f t="shared" si="67"/>
        <v>97531.839999999953</v>
      </c>
      <c r="J283" s="326">
        <f t="shared" si="68"/>
        <v>36068.259999999973</v>
      </c>
      <c r="K283" s="326">
        <f t="shared" si="65"/>
        <v>0</v>
      </c>
      <c r="L283" s="387">
        <f t="shared" si="56"/>
        <v>0</v>
      </c>
      <c r="M283" s="387">
        <f t="shared" si="66"/>
        <v>0</v>
      </c>
      <c r="N283" s="591" t="str">
        <f>INDEX(tblSubjectToLoan[Date],ROW()-ROW(tblContractForDeed[#Headers]))</f>
        <v/>
      </c>
      <c r="O283" s="326">
        <f>IF(ROW()=ROW(tblContractForDeed[#Headers])+1,$O$6,IF(INDEX(tblContractForDeed[End Bal],ROW()-ROW(tblContractForDeed[#Headers])-1)&lt;0,0,INDEX(tblContractForDeed[End Bal],ROW()-ROW(tblContractForDeed[#Headers])-1)))</f>
        <v>0</v>
      </c>
      <c r="P283" s="445" t="str">
        <f>IF(tblContractForDeed[[#This Row],[Date]]="","",IF(tblContractForDeed[[#This Row],[Date]]&lt;cfdRateChangeDate,cfdRate1,cfdRate2))</f>
        <v/>
      </c>
      <c r="Q28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26">
        <f>IF(tblContractForDeed[[#This Row],[Payment]]=0,0,MAX(0,MIN(tblContractForDeed[[#This Row],[Beg]],tblContractForDeed[[#This Row],[Payment]]-tblContractForDeed[[#This Row],[Int]])))</f>
        <v>0</v>
      </c>
      <c r="S283" s="326">
        <f>IF(OR(tblContractForDeed[[#This Row],[Date]]&lt;cfdContractDate,tblContractForDeed[[#This Row],[Date]]&gt;cfdEndDate),0,ROUND(tblContractForDeed[[#This Row],[Beg]]*(tblContractForDeed[[#This Row],[Int Rate]]/12),2))</f>
        <v>0</v>
      </c>
      <c r="T283" s="326">
        <f>IF(tblContractForDeed[[#This Row],[Payment]]=0,0,$W$2)</f>
        <v>0</v>
      </c>
      <c r="U283" s="326">
        <f>IF(tblContractForDeed[[#This Row],[Princ]]=0,0,$W$3)</f>
        <v>0</v>
      </c>
      <c r="V283" s="326">
        <f>SUM(tblContractForDeed[[#This Row],[Princ]],tblContractForDeed[[#This Row],[Int]],tblContractForDeed[[#This Row],[Ins]],tblContractForDeed[[#This Row],[Taxes]])</f>
        <v>0</v>
      </c>
      <c r="W283" s="326">
        <f>SUM(INDEX(tblContractForDeed[Princ],1):INDEX(tblContractForDeed[Princ],ROW()-ROW(tblContractForDeed[#Headers])))</f>
        <v>75258.000000000029</v>
      </c>
      <c r="X283" s="326">
        <f>IF(tblContractForDeed[[#This Row],[Beg]]&lt;=0,0,tblContractForDeed[[#This Row],[Beg]]-tblContractForDeed[[#This Row],[Princ]])</f>
        <v>0</v>
      </c>
      <c r="Y28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55">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3" s="326">
        <f>IF(INDEX(tblContractForDeed[End Bal],ROW()-ROW(tblBuyerOutputs[#Headers]))&lt;=0,0,($O$6+IF(ROW()=ROW(tblBuyerOutputs[#Headers])+1,0,INDEX(tblBuyerOutputs[Cumul Appr],ROW()-ROW(tblBuyerOutputs[#Headers])-1)))*$O$2/12)</f>
        <v>0</v>
      </c>
      <c r="AE283" s="326">
        <f>IF(INDEX(tblContractForDeed[End Bal],ROW()-ROW(tblBuyerOutputs[#Headers]))&lt;=0,0,IF(ROW()=ROW(tblBuyerOutputs[#Headers])+1,0,INDEX(tblBuyerOutputs[Cumul Appr],ROW()-ROW(tblBuyerOutputs[#Headers])-1))+tblBuyerOutputs[[#This Row],[Monthly Appr]])</f>
        <v>0</v>
      </c>
      <c r="AF283" s="22"/>
      <c r="AG283" s="14"/>
      <c r="AL283"/>
      <c r="AM283" s="14"/>
      <c r="AO283" s="275"/>
      <c r="AQ283" s="14"/>
      <c r="AR283"/>
    </row>
    <row r="284" spans="1:44" x14ac:dyDescent="0.25">
      <c r="A284" s="590" t="str">
        <f t="shared" si="62"/>
        <v/>
      </c>
      <c r="B284" s="275">
        <f t="shared" si="63"/>
        <v>0</v>
      </c>
      <c r="C284" s="14">
        <f t="shared" si="60"/>
        <v>0</v>
      </c>
      <c r="D284" s="14">
        <f t="shared" si="64"/>
        <v>0</v>
      </c>
      <c r="E284" s="14">
        <f t="shared" si="61"/>
        <v>0</v>
      </c>
      <c r="F284" s="14">
        <f t="shared" si="59"/>
        <v>134.16999999999999</v>
      </c>
      <c r="G284" s="14">
        <f t="shared" si="59"/>
        <v>188.55</v>
      </c>
      <c r="H284" s="14">
        <f t="shared" si="58"/>
        <v>322.72000000000003</v>
      </c>
      <c r="I284" s="275">
        <f t="shared" si="67"/>
        <v>97531.839999999953</v>
      </c>
      <c r="J284" s="275">
        <f t="shared" si="68"/>
        <v>36068.259999999973</v>
      </c>
      <c r="K284" s="275">
        <f t="shared" si="65"/>
        <v>0</v>
      </c>
      <c r="L284" s="386">
        <f t="shared" si="56"/>
        <v>0</v>
      </c>
      <c r="M284" s="386">
        <f t="shared" si="66"/>
        <v>0</v>
      </c>
      <c r="N284" s="590" t="str">
        <f>INDEX(tblSubjectToLoan[Date],ROW()-ROW(tblContractForDeed[#Headers]))</f>
        <v/>
      </c>
      <c r="O284" s="275">
        <f>IF(ROW()=ROW(tblContractForDeed[#Headers])+1,$O$6,IF(INDEX(tblContractForDeed[End Bal],ROW()-ROW(tblContractForDeed[#Headers])-1)&lt;0,0,INDEX(tblContractForDeed[End Bal],ROW()-ROW(tblContractForDeed[#Headers])-1)))</f>
        <v>0</v>
      </c>
      <c r="P284" s="445" t="str">
        <f>IF(tblContractForDeed[[#This Row],[Date]]="","",IF(tblContractForDeed[[#This Row],[Date]]&lt;cfdRateChangeDate,cfdRate1,cfdRate2))</f>
        <v/>
      </c>
      <c r="Q2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75">
        <f>IF(tblContractForDeed[[#This Row],[Payment]]=0,0,MAX(0,MIN(tblContractForDeed[[#This Row],[Beg]],tblContractForDeed[[#This Row],[Payment]]-tblContractForDeed[[#This Row],[Int]])))</f>
        <v>0</v>
      </c>
      <c r="S284" s="275">
        <f>IF(OR(tblContractForDeed[[#This Row],[Date]]&lt;cfdContractDate,tblContractForDeed[[#This Row],[Date]]&gt;cfdEndDate),0,ROUND(tblContractForDeed[[#This Row],[Beg]]*(tblContractForDeed[[#This Row],[Int Rate]]/12),2))</f>
        <v>0</v>
      </c>
      <c r="T284" s="275">
        <f>IF(tblContractForDeed[[#This Row],[Payment]]=0,0,$W$2)</f>
        <v>0</v>
      </c>
      <c r="U284" s="275">
        <f>IF(tblContractForDeed[[#This Row],[Princ]]=0,0,$W$3)</f>
        <v>0</v>
      </c>
      <c r="V284" s="275">
        <f>SUM(tblContractForDeed[[#This Row],[Princ]],tblContractForDeed[[#This Row],[Int]],tblContractForDeed[[#This Row],[Ins]],tblContractForDeed[[#This Row],[Taxes]])</f>
        <v>0</v>
      </c>
      <c r="W284" s="275">
        <f>SUM(INDEX(tblContractForDeed[Princ],1):INDEX(tblContractForDeed[Princ],ROW()-ROW(tblContractForDeed[#Headers])))</f>
        <v>75258.000000000029</v>
      </c>
      <c r="X284" s="275">
        <f>IF(tblContractForDeed[[#This Row],[Beg]]&lt;=0,0,tblContractForDeed[[#This Row],[Beg]]-tblContractForDeed[[#This Row],[Princ]])</f>
        <v>0</v>
      </c>
      <c r="Y28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54">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4" s="275">
        <f>IF(INDEX(tblContractForDeed[End Bal],ROW()-ROW(tblBuyerOutputs[#Headers]))&lt;=0,0,($O$6+IF(ROW()=ROW(tblBuyerOutputs[#Headers])+1,0,INDEX(tblBuyerOutputs[Cumul Appr],ROW()-ROW(tblBuyerOutputs[#Headers])-1)))*$O$2/12)</f>
        <v>0</v>
      </c>
      <c r="AE284" s="275">
        <f>IF(INDEX(tblContractForDeed[End Bal],ROW()-ROW(tblBuyerOutputs[#Headers]))&lt;=0,0,IF(ROW()=ROW(tblBuyerOutputs[#Headers])+1,0,INDEX(tblBuyerOutputs[Cumul Appr],ROW()-ROW(tblBuyerOutputs[#Headers])-1))+tblBuyerOutputs[[#This Row],[Monthly Appr]])</f>
        <v>0</v>
      </c>
      <c r="AF284" s="22"/>
      <c r="AG284" s="14"/>
      <c r="AL284"/>
      <c r="AM284" s="14"/>
      <c r="AO284" s="275"/>
      <c r="AQ284" s="14"/>
      <c r="AR284"/>
    </row>
    <row r="285" spans="1:44" x14ac:dyDescent="0.25">
      <c r="A285" s="590" t="str">
        <f t="shared" si="62"/>
        <v/>
      </c>
      <c r="B285" s="275">
        <f t="shared" si="63"/>
        <v>0</v>
      </c>
      <c r="C285" s="14">
        <f t="shared" si="60"/>
        <v>0</v>
      </c>
      <c r="D285" s="14">
        <f t="shared" si="64"/>
        <v>0</v>
      </c>
      <c r="E285" s="14">
        <f t="shared" si="61"/>
        <v>0</v>
      </c>
      <c r="F285" s="14">
        <f t="shared" si="59"/>
        <v>134.16999999999999</v>
      </c>
      <c r="G285" s="14">
        <f t="shared" si="59"/>
        <v>188.55</v>
      </c>
      <c r="H285" s="14">
        <f t="shared" si="58"/>
        <v>322.72000000000003</v>
      </c>
      <c r="I285" s="275">
        <f t="shared" si="67"/>
        <v>97531.839999999953</v>
      </c>
      <c r="J285" s="275">
        <f t="shared" si="68"/>
        <v>36068.259999999973</v>
      </c>
      <c r="K285" s="275">
        <f t="shared" si="65"/>
        <v>0</v>
      </c>
      <c r="L285" s="386">
        <f t="shared" si="56"/>
        <v>0</v>
      </c>
      <c r="M285" s="386">
        <f t="shared" si="66"/>
        <v>0</v>
      </c>
      <c r="N285" s="590" t="str">
        <f>INDEX(tblSubjectToLoan[Date],ROW()-ROW(tblContractForDeed[#Headers]))</f>
        <v/>
      </c>
      <c r="O285" s="275">
        <f>IF(ROW()=ROW(tblContractForDeed[#Headers])+1,$O$6,IF(INDEX(tblContractForDeed[End Bal],ROW()-ROW(tblContractForDeed[#Headers])-1)&lt;0,0,INDEX(tblContractForDeed[End Bal],ROW()-ROW(tblContractForDeed[#Headers])-1)))</f>
        <v>0</v>
      </c>
      <c r="P285" s="445" t="str">
        <f>IF(tblContractForDeed[[#This Row],[Date]]="","",IF(tblContractForDeed[[#This Row],[Date]]&lt;cfdRateChangeDate,cfdRate1,cfdRate2))</f>
        <v/>
      </c>
      <c r="Q2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75">
        <f>IF(tblContractForDeed[[#This Row],[Payment]]=0,0,MAX(0,MIN(tblContractForDeed[[#This Row],[Beg]],tblContractForDeed[[#This Row],[Payment]]-tblContractForDeed[[#This Row],[Int]])))</f>
        <v>0</v>
      </c>
      <c r="S285" s="275">
        <f>IF(OR(tblContractForDeed[[#This Row],[Date]]&lt;cfdContractDate,tblContractForDeed[[#This Row],[Date]]&gt;cfdEndDate),0,ROUND(tblContractForDeed[[#This Row],[Beg]]*(tblContractForDeed[[#This Row],[Int Rate]]/12),2))</f>
        <v>0</v>
      </c>
      <c r="T285" s="275">
        <f>IF(tblContractForDeed[[#This Row],[Payment]]=0,0,$W$2)</f>
        <v>0</v>
      </c>
      <c r="U285" s="275">
        <f>IF(tblContractForDeed[[#This Row],[Princ]]=0,0,$W$3)</f>
        <v>0</v>
      </c>
      <c r="V285" s="275">
        <f>SUM(tblContractForDeed[[#This Row],[Princ]],tblContractForDeed[[#This Row],[Int]],tblContractForDeed[[#This Row],[Ins]],tblContractForDeed[[#This Row],[Taxes]])</f>
        <v>0</v>
      </c>
      <c r="W285" s="275">
        <f>SUM(INDEX(tblContractForDeed[Princ],1):INDEX(tblContractForDeed[Princ],ROW()-ROW(tblContractForDeed[#Headers])))</f>
        <v>75258.000000000029</v>
      </c>
      <c r="X285" s="275">
        <f>IF(tblContractForDeed[[#This Row],[Beg]]&lt;=0,0,tblContractForDeed[[#This Row],[Beg]]-tblContractForDeed[[#This Row],[Princ]])</f>
        <v>0</v>
      </c>
      <c r="Y28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54">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5" s="275">
        <f>IF(INDEX(tblContractForDeed[End Bal],ROW()-ROW(tblBuyerOutputs[#Headers]))&lt;=0,0,($O$6+IF(ROW()=ROW(tblBuyerOutputs[#Headers])+1,0,INDEX(tblBuyerOutputs[Cumul Appr],ROW()-ROW(tblBuyerOutputs[#Headers])-1)))*$O$2/12)</f>
        <v>0</v>
      </c>
      <c r="AE285" s="275">
        <f>IF(INDEX(tblContractForDeed[End Bal],ROW()-ROW(tblBuyerOutputs[#Headers]))&lt;=0,0,IF(ROW()=ROW(tblBuyerOutputs[#Headers])+1,0,INDEX(tblBuyerOutputs[Cumul Appr],ROW()-ROW(tblBuyerOutputs[#Headers])-1))+tblBuyerOutputs[[#This Row],[Monthly Appr]])</f>
        <v>0</v>
      </c>
      <c r="AF285" s="22"/>
      <c r="AG285" s="14"/>
      <c r="AL285"/>
      <c r="AM285" s="14"/>
      <c r="AO285" s="275"/>
      <c r="AQ285" s="14"/>
      <c r="AR285"/>
    </row>
    <row r="286" spans="1:44" x14ac:dyDescent="0.25">
      <c r="A286" s="590" t="str">
        <f t="shared" si="62"/>
        <v/>
      </c>
      <c r="B286" s="275">
        <f t="shared" si="63"/>
        <v>0</v>
      </c>
      <c r="C286" s="14">
        <f t="shared" si="60"/>
        <v>0</v>
      </c>
      <c r="D286" s="14">
        <f t="shared" si="64"/>
        <v>0</v>
      </c>
      <c r="E286" s="14">
        <f t="shared" si="61"/>
        <v>0</v>
      </c>
      <c r="F286" s="14">
        <f t="shared" si="59"/>
        <v>134.16999999999999</v>
      </c>
      <c r="G286" s="14">
        <f t="shared" si="59"/>
        <v>188.55</v>
      </c>
      <c r="H286" s="14">
        <f t="shared" si="58"/>
        <v>322.72000000000003</v>
      </c>
      <c r="I286" s="275">
        <f t="shared" si="67"/>
        <v>97531.839999999953</v>
      </c>
      <c r="J286" s="275">
        <f t="shared" si="68"/>
        <v>36068.259999999973</v>
      </c>
      <c r="K286" s="275">
        <f t="shared" si="65"/>
        <v>0</v>
      </c>
      <c r="L286" s="386">
        <f t="shared" si="56"/>
        <v>0</v>
      </c>
      <c r="M286" s="386">
        <f t="shared" si="66"/>
        <v>0</v>
      </c>
      <c r="N286" s="590" t="str">
        <f>INDEX(tblSubjectToLoan[Date],ROW()-ROW(tblContractForDeed[#Headers]))</f>
        <v/>
      </c>
      <c r="O286" s="275">
        <f>IF(ROW()=ROW(tblContractForDeed[#Headers])+1,$O$6,IF(INDEX(tblContractForDeed[End Bal],ROW()-ROW(tblContractForDeed[#Headers])-1)&lt;0,0,INDEX(tblContractForDeed[End Bal],ROW()-ROW(tblContractForDeed[#Headers])-1)))</f>
        <v>0</v>
      </c>
      <c r="P286" s="445" t="str">
        <f>IF(tblContractForDeed[[#This Row],[Date]]="","",IF(tblContractForDeed[[#This Row],[Date]]&lt;cfdRateChangeDate,cfdRate1,cfdRate2))</f>
        <v/>
      </c>
      <c r="Q2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75">
        <f>IF(tblContractForDeed[[#This Row],[Payment]]=0,0,MAX(0,MIN(tblContractForDeed[[#This Row],[Beg]],tblContractForDeed[[#This Row],[Payment]]-tblContractForDeed[[#This Row],[Int]])))</f>
        <v>0</v>
      </c>
      <c r="S286" s="275">
        <f>IF(OR(tblContractForDeed[[#This Row],[Date]]&lt;cfdContractDate,tblContractForDeed[[#This Row],[Date]]&gt;cfdEndDate),0,ROUND(tblContractForDeed[[#This Row],[Beg]]*(tblContractForDeed[[#This Row],[Int Rate]]/12),2))</f>
        <v>0</v>
      </c>
      <c r="T286" s="275">
        <f>IF(tblContractForDeed[[#This Row],[Payment]]=0,0,$W$2)</f>
        <v>0</v>
      </c>
      <c r="U286" s="275">
        <f>IF(tblContractForDeed[[#This Row],[Princ]]=0,0,$W$3)</f>
        <v>0</v>
      </c>
      <c r="V286" s="275">
        <f>SUM(tblContractForDeed[[#This Row],[Princ]],tblContractForDeed[[#This Row],[Int]],tblContractForDeed[[#This Row],[Ins]],tblContractForDeed[[#This Row],[Taxes]])</f>
        <v>0</v>
      </c>
      <c r="W286" s="275">
        <f>SUM(INDEX(tblContractForDeed[Princ],1):INDEX(tblContractForDeed[Princ],ROW()-ROW(tblContractForDeed[#Headers])))</f>
        <v>75258.000000000029</v>
      </c>
      <c r="X286" s="275">
        <f>IF(tblContractForDeed[[#This Row],[Beg]]&lt;=0,0,tblContractForDeed[[#This Row],[Beg]]-tblContractForDeed[[#This Row],[Princ]])</f>
        <v>0</v>
      </c>
      <c r="Y28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54">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6" s="275">
        <f>IF(INDEX(tblContractForDeed[End Bal],ROW()-ROW(tblBuyerOutputs[#Headers]))&lt;=0,0,($O$6+IF(ROW()=ROW(tblBuyerOutputs[#Headers])+1,0,INDEX(tblBuyerOutputs[Cumul Appr],ROW()-ROW(tblBuyerOutputs[#Headers])-1)))*$O$2/12)</f>
        <v>0</v>
      </c>
      <c r="AE286" s="275">
        <f>IF(INDEX(tblContractForDeed[End Bal],ROW()-ROW(tblBuyerOutputs[#Headers]))&lt;=0,0,IF(ROW()=ROW(tblBuyerOutputs[#Headers])+1,0,INDEX(tblBuyerOutputs[Cumul Appr],ROW()-ROW(tblBuyerOutputs[#Headers])-1))+tblBuyerOutputs[[#This Row],[Monthly Appr]])</f>
        <v>0</v>
      </c>
      <c r="AF286" s="22"/>
      <c r="AG286" s="14"/>
      <c r="AL286"/>
      <c r="AM286" s="14"/>
      <c r="AO286" s="275"/>
      <c r="AQ286" s="14"/>
      <c r="AR286"/>
    </row>
    <row r="287" spans="1:44" x14ac:dyDescent="0.25">
      <c r="A287" s="590" t="str">
        <f t="shared" si="62"/>
        <v/>
      </c>
      <c r="B287" s="275">
        <f t="shared" si="63"/>
        <v>0</v>
      </c>
      <c r="C287" s="14">
        <f t="shared" si="60"/>
        <v>0</v>
      </c>
      <c r="D287" s="14">
        <f t="shared" si="64"/>
        <v>0</v>
      </c>
      <c r="E287" s="14">
        <f t="shared" si="61"/>
        <v>0</v>
      </c>
      <c r="F287" s="14">
        <f t="shared" ref="F287:G302" si="69">+F286</f>
        <v>134.16999999999999</v>
      </c>
      <c r="G287" s="14">
        <f t="shared" si="69"/>
        <v>188.55</v>
      </c>
      <c r="H287" s="14">
        <f t="shared" si="58"/>
        <v>322.72000000000003</v>
      </c>
      <c r="I287" s="275">
        <f t="shared" si="67"/>
        <v>97531.839999999953</v>
      </c>
      <c r="J287" s="275">
        <f t="shared" si="68"/>
        <v>36068.259999999973</v>
      </c>
      <c r="K287" s="275">
        <f t="shared" si="65"/>
        <v>0</v>
      </c>
      <c r="L287" s="386">
        <f t="shared" si="56"/>
        <v>0</v>
      </c>
      <c r="M287" s="386">
        <f t="shared" si="66"/>
        <v>0</v>
      </c>
      <c r="N287" s="590" t="str">
        <f>INDEX(tblSubjectToLoan[Date],ROW()-ROW(tblContractForDeed[#Headers]))</f>
        <v/>
      </c>
      <c r="O287" s="275">
        <f>IF(ROW()=ROW(tblContractForDeed[#Headers])+1,$O$6,IF(INDEX(tblContractForDeed[End Bal],ROW()-ROW(tblContractForDeed[#Headers])-1)&lt;0,0,INDEX(tblContractForDeed[End Bal],ROW()-ROW(tblContractForDeed[#Headers])-1)))</f>
        <v>0</v>
      </c>
      <c r="P287" s="445" t="str">
        <f>IF(tblContractForDeed[[#This Row],[Date]]="","",IF(tblContractForDeed[[#This Row],[Date]]&lt;cfdRateChangeDate,cfdRate1,cfdRate2))</f>
        <v/>
      </c>
      <c r="Q28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75">
        <f>IF(tblContractForDeed[[#This Row],[Payment]]=0,0,MAX(0,MIN(tblContractForDeed[[#This Row],[Beg]],tblContractForDeed[[#This Row],[Payment]]-tblContractForDeed[[#This Row],[Int]])))</f>
        <v>0</v>
      </c>
      <c r="S287" s="275">
        <f>IF(OR(tblContractForDeed[[#This Row],[Date]]&lt;cfdContractDate,tblContractForDeed[[#This Row],[Date]]&gt;cfdEndDate),0,ROUND(tblContractForDeed[[#This Row],[Beg]]*(tblContractForDeed[[#This Row],[Int Rate]]/12),2))</f>
        <v>0</v>
      </c>
      <c r="T287" s="275">
        <f>IF(tblContractForDeed[[#This Row],[Payment]]=0,0,$W$2)</f>
        <v>0</v>
      </c>
      <c r="U287" s="275">
        <f>IF(tblContractForDeed[[#This Row],[Princ]]=0,0,$W$3)</f>
        <v>0</v>
      </c>
      <c r="V287" s="275">
        <f>SUM(tblContractForDeed[[#This Row],[Princ]],tblContractForDeed[[#This Row],[Int]],tblContractForDeed[[#This Row],[Ins]],tblContractForDeed[[#This Row],[Taxes]])</f>
        <v>0</v>
      </c>
      <c r="W287" s="275">
        <f>SUM(INDEX(tblContractForDeed[Princ],1):INDEX(tblContractForDeed[Princ],ROW()-ROW(tblContractForDeed[#Headers])))</f>
        <v>75258.000000000029</v>
      </c>
      <c r="X287" s="275">
        <f>IF(tblContractForDeed[[#This Row],[Beg]]&lt;=0,0,tblContractForDeed[[#This Row],[Beg]]-tblContractForDeed[[#This Row],[Princ]])</f>
        <v>0</v>
      </c>
      <c r="Y28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54">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7" s="275">
        <f>IF(INDEX(tblContractForDeed[End Bal],ROW()-ROW(tblBuyerOutputs[#Headers]))&lt;=0,0,($O$6+IF(ROW()=ROW(tblBuyerOutputs[#Headers])+1,0,INDEX(tblBuyerOutputs[Cumul Appr],ROW()-ROW(tblBuyerOutputs[#Headers])-1)))*$O$2/12)</f>
        <v>0</v>
      </c>
      <c r="AE287" s="275">
        <f>IF(INDEX(tblContractForDeed[End Bal],ROW()-ROW(tblBuyerOutputs[#Headers]))&lt;=0,0,IF(ROW()=ROW(tblBuyerOutputs[#Headers])+1,0,INDEX(tblBuyerOutputs[Cumul Appr],ROW()-ROW(tblBuyerOutputs[#Headers])-1))+tblBuyerOutputs[[#This Row],[Monthly Appr]])</f>
        <v>0</v>
      </c>
      <c r="AF287" s="22"/>
      <c r="AG287" s="14"/>
      <c r="AL287"/>
      <c r="AM287" s="14"/>
      <c r="AO287" s="275"/>
      <c r="AQ287" s="14"/>
      <c r="AR287"/>
    </row>
    <row r="288" spans="1:44" x14ac:dyDescent="0.25">
      <c r="A288" s="590" t="str">
        <f t="shared" si="62"/>
        <v/>
      </c>
      <c r="B288" s="275">
        <f t="shared" si="63"/>
        <v>0</v>
      </c>
      <c r="C288" s="14">
        <f t="shared" si="60"/>
        <v>0</v>
      </c>
      <c r="D288" s="14">
        <f t="shared" si="64"/>
        <v>0</v>
      </c>
      <c r="E288" s="14">
        <f t="shared" si="61"/>
        <v>0</v>
      </c>
      <c r="F288" s="14">
        <f t="shared" si="69"/>
        <v>134.16999999999999</v>
      </c>
      <c r="G288" s="14">
        <f t="shared" si="69"/>
        <v>188.55</v>
      </c>
      <c r="H288" s="14">
        <f t="shared" si="58"/>
        <v>322.72000000000003</v>
      </c>
      <c r="I288" s="275">
        <f t="shared" si="67"/>
        <v>97531.839999999953</v>
      </c>
      <c r="J288" s="275">
        <f t="shared" si="68"/>
        <v>36068.259999999973</v>
      </c>
      <c r="K288" s="275">
        <f t="shared" si="65"/>
        <v>0</v>
      </c>
      <c r="L288" s="386">
        <f t="shared" si="56"/>
        <v>0</v>
      </c>
      <c r="M288" s="386">
        <f t="shared" si="66"/>
        <v>0</v>
      </c>
      <c r="N288" s="590" t="str">
        <f>INDEX(tblSubjectToLoan[Date],ROW()-ROW(tblContractForDeed[#Headers]))</f>
        <v/>
      </c>
      <c r="O288" s="275">
        <f>IF(ROW()=ROW(tblContractForDeed[#Headers])+1,$O$6,IF(INDEX(tblContractForDeed[End Bal],ROW()-ROW(tblContractForDeed[#Headers])-1)&lt;0,0,INDEX(tblContractForDeed[End Bal],ROW()-ROW(tblContractForDeed[#Headers])-1)))</f>
        <v>0</v>
      </c>
      <c r="P288" s="445" t="str">
        <f>IF(tblContractForDeed[[#This Row],[Date]]="","",IF(tblContractForDeed[[#This Row],[Date]]&lt;cfdRateChangeDate,cfdRate1,cfdRate2))</f>
        <v/>
      </c>
      <c r="Q2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75">
        <f>IF(tblContractForDeed[[#This Row],[Payment]]=0,0,MAX(0,MIN(tblContractForDeed[[#This Row],[Beg]],tblContractForDeed[[#This Row],[Payment]]-tblContractForDeed[[#This Row],[Int]])))</f>
        <v>0</v>
      </c>
      <c r="S288" s="275">
        <f>IF(OR(tblContractForDeed[[#This Row],[Date]]&lt;cfdContractDate,tblContractForDeed[[#This Row],[Date]]&gt;cfdEndDate),0,ROUND(tblContractForDeed[[#This Row],[Beg]]*(tblContractForDeed[[#This Row],[Int Rate]]/12),2))</f>
        <v>0</v>
      </c>
      <c r="T288" s="275">
        <f>IF(tblContractForDeed[[#This Row],[Payment]]=0,0,$W$2)</f>
        <v>0</v>
      </c>
      <c r="U288" s="275">
        <f>IF(tblContractForDeed[[#This Row],[Princ]]=0,0,$W$3)</f>
        <v>0</v>
      </c>
      <c r="V288" s="275">
        <f>SUM(tblContractForDeed[[#This Row],[Princ]],tblContractForDeed[[#This Row],[Int]],tblContractForDeed[[#This Row],[Ins]],tblContractForDeed[[#This Row],[Taxes]])</f>
        <v>0</v>
      </c>
      <c r="W288" s="275">
        <f>SUM(INDEX(tblContractForDeed[Princ],1):INDEX(tblContractForDeed[Princ],ROW()-ROW(tblContractForDeed[#Headers])))</f>
        <v>75258.000000000029</v>
      </c>
      <c r="X288" s="275">
        <f>IF(tblContractForDeed[[#This Row],[Beg]]&lt;=0,0,tblContractForDeed[[#This Row],[Beg]]-tblContractForDeed[[#This Row],[Princ]])</f>
        <v>0</v>
      </c>
      <c r="Y28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54">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8" s="275">
        <f>IF(INDEX(tblContractForDeed[End Bal],ROW()-ROW(tblBuyerOutputs[#Headers]))&lt;=0,0,($O$6+IF(ROW()=ROW(tblBuyerOutputs[#Headers])+1,0,INDEX(tblBuyerOutputs[Cumul Appr],ROW()-ROW(tblBuyerOutputs[#Headers])-1)))*$O$2/12)</f>
        <v>0</v>
      </c>
      <c r="AE288" s="275">
        <f>IF(INDEX(tblContractForDeed[End Bal],ROW()-ROW(tblBuyerOutputs[#Headers]))&lt;=0,0,IF(ROW()=ROW(tblBuyerOutputs[#Headers])+1,0,INDEX(tblBuyerOutputs[Cumul Appr],ROW()-ROW(tblBuyerOutputs[#Headers])-1))+tblBuyerOutputs[[#This Row],[Monthly Appr]])</f>
        <v>0</v>
      </c>
      <c r="AF288" s="22"/>
      <c r="AG288" s="14"/>
      <c r="AL288"/>
      <c r="AM288" s="14"/>
      <c r="AO288" s="275"/>
      <c r="AQ288" s="14"/>
      <c r="AR288"/>
    </row>
    <row r="289" spans="1:44" x14ac:dyDescent="0.25">
      <c r="A289" s="590" t="str">
        <f t="shared" si="62"/>
        <v/>
      </c>
      <c r="B289" s="275">
        <f t="shared" si="63"/>
        <v>0</v>
      </c>
      <c r="C289" s="14">
        <f t="shared" si="60"/>
        <v>0</v>
      </c>
      <c r="D289" s="14">
        <f t="shared" si="64"/>
        <v>0</v>
      </c>
      <c r="E289" s="14">
        <f t="shared" si="61"/>
        <v>0</v>
      </c>
      <c r="F289" s="14">
        <f t="shared" si="69"/>
        <v>134.16999999999999</v>
      </c>
      <c r="G289" s="14">
        <f t="shared" si="69"/>
        <v>188.55</v>
      </c>
      <c r="H289" s="14">
        <f t="shared" si="58"/>
        <v>322.72000000000003</v>
      </c>
      <c r="I289" s="275">
        <f t="shared" si="67"/>
        <v>97531.839999999953</v>
      </c>
      <c r="J289" s="275">
        <f t="shared" si="68"/>
        <v>36068.259999999973</v>
      </c>
      <c r="K289" s="275">
        <f t="shared" si="65"/>
        <v>0</v>
      </c>
      <c r="L289" s="386">
        <f t="shared" si="56"/>
        <v>0</v>
      </c>
      <c r="M289" s="386">
        <f t="shared" si="66"/>
        <v>0</v>
      </c>
      <c r="N289" s="590" t="str">
        <f>INDEX(tblSubjectToLoan[Date],ROW()-ROW(tblContractForDeed[#Headers]))</f>
        <v/>
      </c>
      <c r="O289" s="275">
        <f>IF(ROW()=ROW(tblContractForDeed[#Headers])+1,$O$6,IF(INDEX(tblContractForDeed[End Bal],ROW()-ROW(tblContractForDeed[#Headers])-1)&lt;0,0,INDEX(tblContractForDeed[End Bal],ROW()-ROW(tblContractForDeed[#Headers])-1)))</f>
        <v>0</v>
      </c>
      <c r="P289" s="445" t="str">
        <f>IF(tblContractForDeed[[#This Row],[Date]]="","",IF(tblContractForDeed[[#This Row],[Date]]&lt;cfdRateChangeDate,cfdRate1,cfdRate2))</f>
        <v/>
      </c>
      <c r="Q2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75">
        <f>IF(tblContractForDeed[[#This Row],[Payment]]=0,0,MAX(0,MIN(tblContractForDeed[[#This Row],[Beg]],tblContractForDeed[[#This Row],[Payment]]-tblContractForDeed[[#This Row],[Int]])))</f>
        <v>0</v>
      </c>
      <c r="S289" s="275">
        <f>IF(OR(tblContractForDeed[[#This Row],[Date]]&lt;cfdContractDate,tblContractForDeed[[#This Row],[Date]]&gt;cfdEndDate),0,ROUND(tblContractForDeed[[#This Row],[Beg]]*(tblContractForDeed[[#This Row],[Int Rate]]/12),2))</f>
        <v>0</v>
      </c>
      <c r="T289" s="275">
        <f>IF(tblContractForDeed[[#This Row],[Payment]]=0,0,$W$2)</f>
        <v>0</v>
      </c>
      <c r="U289" s="275">
        <f>IF(tblContractForDeed[[#This Row],[Princ]]=0,0,$W$3)</f>
        <v>0</v>
      </c>
      <c r="V289" s="275">
        <f>SUM(tblContractForDeed[[#This Row],[Princ]],tblContractForDeed[[#This Row],[Int]],tblContractForDeed[[#This Row],[Ins]],tblContractForDeed[[#This Row],[Taxes]])</f>
        <v>0</v>
      </c>
      <c r="W289" s="275">
        <f>SUM(INDEX(tblContractForDeed[Princ],1):INDEX(tblContractForDeed[Princ],ROW()-ROW(tblContractForDeed[#Headers])))</f>
        <v>75258.000000000029</v>
      </c>
      <c r="X289" s="275">
        <f>IF(tblContractForDeed[[#This Row],[Beg]]&lt;=0,0,tblContractForDeed[[#This Row],[Beg]]-tblContractForDeed[[#This Row],[Princ]])</f>
        <v>0</v>
      </c>
      <c r="Y28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54">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9" s="275">
        <f>IF(INDEX(tblContractForDeed[End Bal],ROW()-ROW(tblBuyerOutputs[#Headers]))&lt;=0,0,($O$6+IF(ROW()=ROW(tblBuyerOutputs[#Headers])+1,0,INDEX(tblBuyerOutputs[Cumul Appr],ROW()-ROW(tblBuyerOutputs[#Headers])-1)))*$O$2/12)</f>
        <v>0</v>
      </c>
      <c r="AE289" s="275">
        <f>IF(INDEX(tblContractForDeed[End Bal],ROW()-ROW(tblBuyerOutputs[#Headers]))&lt;=0,0,IF(ROW()=ROW(tblBuyerOutputs[#Headers])+1,0,INDEX(tblBuyerOutputs[Cumul Appr],ROW()-ROW(tblBuyerOutputs[#Headers])-1))+tblBuyerOutputs[[#This Row],[Monthly Appr]])</f>
        <v>0</v>
      </c>
      <c r="AF289" s="22"/>
      <c r="AG289" s="14"/>
      <c r="AL289"/>
      <c r="AM289" s="14"/>
      <c r="AO289" s="275"/>
      <c r="AQ289" s="14"/>
      <c r="AR289"/>
    </row>
    <row r="290" spans="1:44" x14ac:dyDescent="0.25">
      <c r="A290" s="590" t="str">
        <f t="shared" si="62"/>
        <v/>
      </c>
      <c r="B290" s="275">
        <f t="shared" si="63"/>
        <v>0</v>
      </c>
      <c r="C290" s="14">
        <f t="shared" si="60"/>
        <v>0</v>
      </c>
      <c r="D290" s="14">
        <f t="shared" si="64"/>
        <v>0</v>
      </c>
      <c r="E290" s="14">
        <f t="shared" si="61"/>
        <v>0</v>
      </c>
      <c r="F290" s="14">
        <f t="shared" si="69"/>
        <v>134.16999999999999</v>
      </c>
      <c r="G290" s="14">
        <f t="shared" si="69"/>
        <v>188.55</v>
      </c>
      <c r="H290" s="14">
        <f t="shared" si="58"/>
        <v>322.72000000000003</v>
      </c>
      <c r="I290" s="275">
        <f t="shared" si="67"/>
        <v>97531.839999999953</v>
      </c>
      <c r="J290" s="275">
        <f t="shared" si="68"/>
        <v>36068.259999999973</v>
      </c>
      <c r="K290" s="275">
        <f t="shared" si="65"/>
        <v>0</v>
      </c>
      <c r="L290" s="386">
        <f t="shared" si="56"/>
        <v>0</v>
      </c>
      <c r="M290" s="386">
        <f t="shared" si="66"/>
        <v>0</v>
      </c>
      <c r="N290" s="590" t="str">
        <f>INDEX(tblSubjectToLoan[Date],ROW()-ROW(tblContractForDeed[#Headers]))</f>
        <v/>
      </c>
      <c r="O290" s="275">
        <f>IF(ROW()=ROW(tblContractForDeed[#Headers])+1,$O$6,IF(INDEX(tblContractForDeed[End Bal],ROW()-ROW(tblContractForDeed[#Headers])-1)&lt;0,0,INDEX(tblContractForDeed[End Bal],ROW()-ROW(tblContractForDeed[#Headers])-1)))</f>
        <v>0</v>
      </c>
      <c r="P290" s="445" t="str">
        <f>IF(tblContractForDeed[[#This Row],[Date]]="","",IF(tblContractForDeed[[#This Row],[Date]]&lt;cfdRateChangeDate,cfdRate1,cfdRate2))</f>
        <v/>
      </c>
      <c r="Q2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75">
        <f>IF(tblContractForDeed[[#This Row],[Payment]]=0,0,MAX(0,MIN(tblContractForDeed[[#This Row],[Beg]],tblContractForDeed[[#This Row],[Payment]]-tblContractForDeed[[#This Row],[Int]])))</f>
        <v>0</v>
      </c>
      <c r="S290" s="275">
        <f>IF(OR(tblContractForDeed[[#This Row],[Date]]&lt;cfdContractDate,tblContractForDeed[[#This Row],[Date]]&gt;cfdEndDate),0,ROUND(tblContractForDeed[[#This Row],[Beg]]*(tblContractForDeed[[#This Row],[Int Rate]]/12),2))</f>
        <v>0</v>
      </c>
      <c r="T290" s="275">
        <f>IF(tblContractForDeed[[#This Row],[Payment]]=0,0,$W$2)</f>
        <v>0</v>
      </c>
      <c r="U290" s="275">
        <f>IF(tblContractForDeed[[#This Row],[Princ]]=0,0,$W$3)</f>
        <v>0</v>
      </c>
      <c r="V290" s="275">
        <f>SUM(tblContractForDeed[[#This Row],[Princ]],tblContractForDeed[[#This Row],[Int]],tblContractForDeed[[#This Row],[Ins]],tblContractForDeed[[#This Row],[Taxes]])</f>
        <v>0</v>
      </c>
      <c r="W290" s="275">
        <f>SUM(INDEX(tblContractForDeed[Princ],1):INDEX(tblContractForDeed[Princ],ROW()-ROW(tblContractForDeed[#Headers])))</f>
        <v>75258.000000000029</v>
      </c>
      <c r="X290" s="275">
        <f>IF(tblContractForDeed[[#This Row],[Beg]]&lt;=0,0,tblContractForDeed[[#This Row],[Beg]]-tblContractForDeed[[#This Row],[Princ]])</f>
        <v>0</v>
      </c>
      <c r="Y29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54">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0" s="275">
        <f>IF(INDEX(tblContractForDeed[End Bal],ROW()-ROW(tblBuyerOutputs[#Headers]))&lt;=0,0,($O$6+IF(ROW()=ROW(tblBuyerOutputs[#Headers])+1,0,INDEX(tblBuyerOutputs[Cumul Appr],ROW()-ROW(tblBuyerOutputs[#Headers])-1)))*$O$2/12)</f>
        <v>0</v>
      </c>
      <c r="AE290" s="275">
        <f>IF(INDEX(tblContractForDeed[End Bal],ROW()-ROW(tblBuyerOutputs[#Headers]))&lt;=0,0,IF(ROW()=ROW(tblBuyerOutputs[#Headers])+1,0,INDEX(tblBuyerOutputs[Cumul Appr],ROW()-ROW(tblBuyerOutputs[#Headers])-1))+tblBuyerOutputs[[#This Row],[Monthly Appr]])</f>
        <v>0</v>
      </c>
      <c r="AF290" s="22"/>
      <c r="AG290" s="14"/>
      <c r="AL290"/>
      <c r="AM290" s="14"/>
      <c r="AO290" s="275"/>
      <c r="AQ290" s="14"/>
      <c r="AR290"/>
    </row>
    <row r="291" spans="1:44" x14ac:dyDescent="0.25">
      <c r="A291" s="590" t="str">
        <f t="shared" si="62"/>
        <v/>
      </c>
      <c r="B291" s="275">
        <f t="shared" si="63"/>
        <v>0</v>
      </c>
      <c r="C291" s="14">
        <f t="shared" si="60"/>
        <v>0</v>
      </c>
      <c r="D291" s="14">
        <f t="shared" si="64"/>
        <v>0</v>
      </c>
      <c r="E291" s="14">
        <f t="shared" si="61"/>
        <v>0</v>
      </c>
      <c r="F291" s="14">
        <f t="shared" si="69"/>
        <v>134.16999999999999</v>
      </c>
      <c r="G291" s="14">
        <f t="shared" si="69"/>
        <v>188.55</v>
      </c>
      <c r="H291" s="14">
        <f t="shared" si="58"/>
        <v>322.72000000000003</v>
      </c>
      <c r="I291" s="275">
        <f t="shared" si="67"/>
        <v>97531.839999999953</v>
      </c>
      <c r="J291" s="275">
        <f t="shared" si="68"/>
        <v>36068.259999999973</v>
      </c>
      <c r="K291" s="275">
        <f t="shared" si="65"/>
        <v>0</v>
      </c>
      <c r="L291" s="386">
        <f t="shared" si="56"/>
        <v>0</v>
      </c>
      <c r="M291" s="386">
        <f t="shared" si="66"/>
        <v>0</v>
      </c>
      <c r="N291" s="590" t="str">
        <f>INDEX(tblSubjectToLoan[Date],ROW()-ROW(tblContractForDeed[#Headers]))</f>
        <v/>
      </c>
      <c r="O291" s="275">
        <f>IF(ROW()=ROW(tblContractForDeed[#Headers])+1,$O$6,IF(INDEX(tblContractForDeed[End Bal],ROW()-ROW(tblContractForDeed[#Headers])-1)&lt;0,0,INDEX(tblContractForDeed[End Bal],ROW()-ROW(tblContractForDeed[#Headers])-1)))</f>
        <v>0</v>
      </c>
      <c r="P291" s="445" t="str">
        <f>IF(tblContractForDeed[[#This Row],[Date]]="","",IF(tblContractForDeed[[#This Row],[Date]]&lt;cfdRateChangeDate,cfdRate1,cfdRate2))</f>
        <v/>
      </c>
      <c r="Q29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75">
        <f>IF(tblContractForDeed[[#This Row],[Payment]]=0,0,MAX(0,MIN(tblContractForDeed[[#This Row],[Beg]],tblContractForDeed[[#This Row],[Payment]]-tblContractForDeed[[#This Row],[Int]])))</f>
        <v>0</v>
      </c>
      <c r="S291" s="275">
        <f>IF(OR(tblContractForDeed[[#This Row],[Date]]&lt;cfdContractDate,tblContractForDeed[[#This Row],[Date]]&gt;cfdEndDate),0,ROUND(tblContractForDeed[[#This Row],[Beg]]*(tblContractForDeed[[#This Row],[Int Rate]]/12),2))</f>
        <v>0</v>
      </c>
      <c r="T291" s="275">
        <f>IF(tblContractForDeed[[#This Row],[Payment]]=0,0,$W$2)</f>
        <v>0</v>
      </c>
      <c r="U291" s="275">
        <f>IF(tblContractForDeed[[#This Row],[Princ]]=0,0,$W$3)</f>
        <v>0</v>
      </c>
      <c r="V291" s="275">
        <f>SUM(tblContractForDeed[[#This Row],[Princ]],tblContractForDeed[[#This Row],[Int]],tblContractForDeed[[#This Row],[Ins]],tblContractForDeed[[#This Row],[Taxes]])</f>
        <v>0</v>
      </c>
      <c r="W291" s="275">
        <f>SUM(INDEX(tblContractForDeed[Princ],1):INDEX(tblContractForDeed[Princ],ROW()-ROW(tblContractForDeed[#Headers])))</f>
        <v>75258.000000000029</v>
      </c>
      <c r="X291" s="275">
        <f>IF(tblContractForDeed[[#This Row],[Beg]]&lt;=0,0,tblContractForDeed[[#This Row],[Beg]]-tblContractForDeed[[#This Row],[Princ]])</f>
        <v>0</v>
      </c>
      <c r="Y29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54">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1" s="275">
        <f>IF(INDEX(tblContractForDeed[End Bal],ROW()-ROW(tblBuyerOutputs[#Headers]))&lt;=0,0,($O$6+IF(ROW()=ROW(tblBuyerOutputs[#Headers])+1,0,INDEX(tblBuyerOutputs[Cumul Appr],ROW()-ROW(tblBuyerOutputs[#Headers])-1)))*$O$2/12)</f>
        <v>0</v>
      </c>
      <c r="AE291" s="275">
        <f>IF(INDEX(tblContractForDeed[End Bal],ROW()-ROW(tblBuyerOutputs[#Headers]))&lt;=0,0,IF(ROW()=ROW(tblBuyerOutputs[#Headers])+1,0,INDEX(tblBuyerOutputs[Cumul Appr],ROW()-ROW(tblBuyerOutputs[#Headers])-1))+tblBuyerOutputs[[#This Row],[Monthly Appr]])</f>
        <v>0</v>
      </c>
      <c r="AF291" s="22"/>
      <c r="AG291" s="14"/>
      <c r="AL291"/>
      <c r="AM291" s="14"/>
      <c r="AO291" s="275"/>
      <c r="AQ291" s="14"/>
      <c r="AR291"/>
    </row>
    <row r="292" spans="1:44" x14ac:dyDescent="0.25">
      <c r="A292" s="590" t="str">
        <f t="shared" si="62"/>
        <v/>
      </c>
      <c r="B292" s="275">
        <f t="shared" si="63"/>
        <v>0</v>
      </c>
      <c r="C292" s="14">
        <f t="shared" si="60"/>
        <v>0</v>
      </c>
      <c r="D292" s="14">
        <f t="shared" si="64"/>
        <v>0</v>
      </c>
      <c r="E292" s="14">
        <f t="shared" si="61"/>
        <v>0</v>
      </c>
      <c r="F292" s="14">
        <f t="shared" si="69"/>
        <v>134.16999999999999</v>
      </c>
      <c r="G292" s="14">
        <f t="shared" si="69"/>
        <v>188.55</v>
      </c>
      <c r="H292" s="14">
        <f t="shared" si="58"/>
        <v>322.72000000000003</v>
      </c>
      <c r="I292" s="275">
        <f t="shared" si="67"/>
        <v>97531.839999999953</v>
      </c>
      <c r="J292" s="275">
        <f t="shared" si="68"/>
        <v>36068.259999999973</v>
      </c>
      <c r="K292" s="275">
        <f t="shared" si="65"/>
        <v>0</v>
      </c>
      <c r="L292" s="386">
        <f t="shared" si="56"/>
        <v>0</v>
      </c>
      <c r="M292" s="386">
        <f t="shared" si="66"/>
        <v>0</v>
      </c>
      <c r="N292" s="590" t="str">
        <f>INDEX(tblSubjectToLoan[Date],ROW()-ROW(tblContractForDeed[#Headers]))</f>
        <v/>
      </c>
      <c r="O292" s="275">
        <f>IF(ROW()=ROW(tblContractForDeed[#Headers])+1,$O$6,IF(INDEX(tblContractForDeed[End Bal],ROW()-ROW(tblContractForDeed[#Headers])-1)&lt;0,0,INDEX(tblContractForDeed[End Bal],ROW()-ROW(tblContractForDeed[#Headers])-1)))</f>
        <v>0</v>
      </c>
      <c r="P292" s="445" t="str">
        <f>IF(tblContractForDeed[[#This Row],[Date]]="","",IF(tblContractForDeed[[#This Row],[Date]]&lt;cfdRateChangeDate,cfdRate1,cfdRate2))</f>
        <v/>
      </c>
      <c r="Q2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75">
        <f>IF(tblContractForDeed[[#This Row],[Payment]]=0,0,MAX(0,MIN(tblContractForDeed[[#This Row],[Beg]],tblContractForDeed[[#This Row],[Payment]]-tblContractForDeed[[#This Row],[Int]])))</f>
        <v>0</v>
      </c>
      <c r="S292" s="275">
        <f>IF(OR(tblContractForDeed[[#This Row],[Date]]&lt;cfdContractDate,tblContractForDeed[[#This Row],[Date]]&gt;cfdEndDate),0,ROUND(tblContractForDeed[[#This Row],[Beg]]*(tblContractForDeed[[#This Row],[Int Rate]]/12),2))</f>
        <v>0</v>
      </c>
      <c r="T292" s="275">
        <f>IF(tblContractForDeed[[#This Row],[Payment]]=0,0,$W$2)</f>
        <v>0</v>
      </c>
      <c r="U292" s="275">
        <f>IF(tblContractForDeed[[#This Row],[Princ]]=0,0,$W$3)</f>
        <v>0</v>
      </c>
      <c r="V292" s="275">
        <f>SUM(tblContractForDeed[[#This Row],[Princ]],tblContractForDeed[[#This Row],[Int]],tblContractForDeed[[#This Row],[Ins]],tblContractForDeed[[#This Row],[Taxes]])</f>
        <v>0</v>
      </c>
      <c r="W292" s="275">
        <f>SUM(INDEX(tblContractForDeed[Princ],1):INDEX(tblContractForDeed[Princ],ROW()-ROW(tblContractForDeed[#Headers])))</f>
        <v>75258.000000000029</v>
      </c>
      <c r="X292" s="275">
        <f>IF(tblContractForDeed[[#This Row],[Beg]]&lt;=0,0,tblContractForDeed[[#This Row],[Beg]]-tblContractForDeed[[#This Row],[Princ]])</f>
        <v>0</v>
      </c>
      <c r="Y29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54">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2" s="275">
        <f>IF(INDEX(tblContractForDeed[End Bal],ROW()-ROW(tblBuyerOutputs[#Headers]))&lt;=0,0,($O$6+IF(ROW()=ROW(tblBuyerOutputs[#Headers])+1,0,INDEX(tblBuyerOutputs[Cumul Appr],ROW()-ROW(tblBuyerOutputs[#Headers])-1)))*$O$2/12)</f>
        <v>0</v>
      </c>
      <c r="AE292" s="275">
        <f>IF(INDEX(tblContractForDeed[End Bal],ROW()-ROW(tblBuyerOutputs[#Headers]))&lt;=0,0,IF(ROW()=ROW(tblBuyerOutputs[#Headers])+1,0,INDEX(tblBuyerOutputs[Cumul Appr],ROW()-ROW(tblBuyerOutputs[#Headers])-1))+tblBuyerOutputs[[#This Row],[Monthly Appr]])</f>
        <v>0</v>
      </c>
      <c r="AF292" s="22"/>
      <c r="AG292" s="14"/>
      <c r="AL292"/>
      <c r="AM292" s="14"/>
      <c r="AO292" s="275"/>
      <c r="AQ292" s="14"/>
      <c r="AR292"/>
    </row>
    <row r="293" spans="1:44" x14ac:dyDescent="0.25">
      <c r="A293" s="590" t="str">
        <f t="shared" si="62"/>
        <v/>
      </c>
      <c r="B293" s="275">
        <f t="shared" si="63"/>
        <v>0</v>
      </c>
      <c r="C293" s="14">
        <f t="shared" si="60"/>
        <v>0</v>
      </c>
      <c r="D293" s="14">
        <f t="shared" si="64"/>
        <v>0</v>
      </c>
      <c r="E293" s="14">
        <f t="shared" si="61"/>
        <v>0</v>
      </c>
      <c r="F293" s="14">
        <f t="shared" si="69"/>
        <v>134.16999999999999</v>
      </c>
      <c r="G293" s="14">
        <f t="shared" si="69"/>
        <v>188.55</v>
      </c>
      <c r="H293" s="14">
        <f t="shared" si="58"/>
        <v>322.72000000000003</v>
      </c>
      <c r="I293" s="275">
        <f t="shared" si="67"/>
        <v>97531.839999999953</v>
      </c>
      <c r="J293" s="275">
        <f t="shared" si="68"/>
        <v>36068.259999999973</v>
      </c>
      <c r="K293" s="275">
        <f t="shared" si="65"/>
        <v>0</v>
      </c>
      <c r="L293" s="386">
        <f t="shared" si="56"/>
        <v>0</v>
      </c>
      <c r="M293" s="386">
        <f t="shared" si="66"/>
        <v>0</v>
      </c>
      <c r="N293" s="590" t="str">
        <f>INDEX(tblSubjectToLoan[Date],ROW()-ROW(tblContractForDeed[#Headers]))</f>
        <v/>
      </c>
      <c r="O293" s="275">
        <f>IF(ROW()=ROW(tblContractForDeed[#Headers])+1,$O$6,IF(INDEX(tblContractForDeed[End Bal],ROW()-ROW(tblContractForDeed[#Headers])-1)&lt;0,0,INDEX(tblContractForDeed[End Bal],ROW()-ROW(tblContractForDeed[#Headers])-1)))</f>
        <v>0</v>
      </c>
      <c r="P293" s="445" t="str">
        <f>IF(tblContractForDeed[[#This Row],[Date]]="","",IF(tblContractForDeed[[#This Row],[Date]]&lt;cfdRateChangeDate,cfdRate1,cfdRate2))</f>
        <v/>
      </c>
      <c r="Q2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75">
        <f>IF(tblContractForDeed[[#This Row],[Payment]]=0,0,MAX(0,MIN(tblContractForDeed[[#This Row],[Beg]],tblContractForDeed[[#This Row],[Payment]]-tblContractForDeed[[#This Row],[Int]])))</f>
        <v>0</v>
      </c>
      <c r="S293" s="275">
        <f>IF(OR(tblContractForDeed[[#This Row],[Date]]&lt;cfdContractDate,tblContractForDeed[[#This Row],[Date]]&gt;cfdEndDate),0,ROUND(tblContractForDeed[[#This Row],[Beg]]*(tblContractForDeed[[#This Row],[Int Rate]]/12),2))</f>
        <v>0</v>
      </c>
      <c r="T293" s="275">
        <f>IF(tblContractForDeed[[#This Row],[Payment]]=0,0,$W$2)</f>
        <v>0</v>
      </c>
      <c r="U293" s="275">
        <f>IF(tblContractForDeed[[#This Row],[Princ]]=0,0,$W$3)</f>
        <v>0</v>
      </c>
      <c r="V293" s="275">
        <f>SUM(tblContractForDeed[[#This Row],[Princ]],tblContractForDeed[[#This Row],[Int]],tblContractForDeed[[#This Row],[Ins]],tblContractForDeed[[#This Row],[Taxes]])</f>
        <v>0</v>
      </c>
      <c r="W293" s="275">
        <f>SUM(INDEX(tblContractForDeed[Princ],1):INDEX(tblContractForDeed[Princ],ROW()-ROW(tblContractForDeed[#Headers])))</f>
        <v>75258.000000000029</v>
      </c>
      <c r="X293" s="275">
        <f>IF(tblContractForDeed[[#This Row],[Beg]]&lt;=0,0,tblContractForDeed[[#This Row],[Beg]]-tblContractForDeed[[#This Row],[Princ]])</f>
        <v>0</v>
      </c>
      <c r="Y29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54">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3" s="275">
        <f>IF(INDEX(tblContractForDeed[End Bal],ROW()-ROW(tblBuyerOutputs[#Headers]))&lt;=0,0,($O$6+IF(ROW()=ROW(tblBuyerOutputs[#Headers])+1,0,INDEX(tblBuyerOutputs[Cumul Appr],ROW()-ROW(tblBuyerOutputs[#Headers])-1)))*$O$2/12)</f>
        <v>0</v>
      </c>
      <c r="AE293" s="275">
        <f>IF(INDEX(tblContractForDeed[End Bal],ROW()-ROW(tblBuyerOutputs[#Headers]))&lt;=0,0,IF(ROW()=ROW(tblBuyerOutputs[#Headers])+1,0,INDEX(tblBuyerOutputs[Cumul Appr],ROW()-ROW(tblBuyerOutputs[#Headers])-1))+tblBuyerOutputs[[#This Row],[Monthly Appr]])</f>
        <v>0</v>
      </c>
      <c r="AF293" s="22"/>
      <c r="AG293" s="14"/>
      <c r="AL293"/>
      <c r="AM293" s="14"/>
      <c r="AO293" s="275"/>
      <c r="AQ293" s="14"/>
      <c r="AR293"/>
    </row>
    <row r="294" spans="1:44" x14ac:dyDescent="0.25">
      <c r="A294" s="590" t="str">
        <f t="shared" si="62"/>
        <v/>
      </c>
      <c r="B294" s="275">
        <f t="shared" si="63"/>
        <v>0</v>
      </c>
      <c r="C294" s="14">
        <f t="shared" si="60"/>
        <v>0</v>
      </c>
      <c r="D294" s="14">
        <f t="shared" si="64"/>
        <v>0</v>
      </c>
      <c r="E294" s="14">
        <f t="shared" si="61"/>
        <v>0</v>
      </c>
      <c r="F294" s="14">
        <f t="shared" si="69"/>
        <v>134.16999999999999</v>
      </c>
      <c r="G294" s="14">
        <f t="shared" si="69"/>
        <v>188.55</v>
      </c>
      <c r="H294" s="14">
        <f t="shared" si="58"/>
        <v>322.72000000000003</v>
      </c>
      <c r="I294" s="275">
        <f t="shared" si="67"/>
        <v>97531.839999999953</v>
      </c>
      <c r="J294" s="275">
        <f t="shared" si="68"/>
        <v>36068.259999999973</v>
      </c>
      <c r="K294" s="275">
        <f t="shared" si="65"/>
        <v>0</v>
      </c>
      <c r="L294" s="386">
        <f t="shared" si="56"/>
        <v>0</v>
      </c>
      <c r="M294" s="386">
        <f t="shared" si="66"/>
        <v>0</v>
      </c>
      <c r="N294" s="590" t="str">
        <f>INDEX(tblSubjectToLoan[Date],ROW()-ROW(tblContractForDeed[#Headers]))</f>
        <v/>
      </c>
      <c r="O294" s="275">
        <f>IF(ROW()=ROW(tblContractForDeed[#Headers])+1,$O$6,IF(INDEX(tblContractForDeed[End Bal],ROW()-ROW(tblContractForDeed[#Headers])-1)&lt;0,0,INDEX(tblContractForDeed[End Bal],ROW()-ROW(tblContractForDeed[#Headers])-1)))</f>
        <v>0</v>
      </c>
      <c r="P294" s="445" t="str">
        <f>IF(tblContractForDeed[[#This Row],[Date]]="","",IF(tblContractForDeed[[#This Row],[Date]]&lt;cfdRateChangeDate,cfdRate1,cfdRate2))</f>
        <v/>
      </c>
      <c r="Q2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75">
        <f>IF(tblContractForDeed[[#This Row],[Payment]]=0,0,MAX(0,MIN(tblContractForDeed[[#This Row],[Beg]],tblContractForDeed[[#This Row],[Payment]]-tblContractForDeed[[#This Row],[Int]])))</f>
        <v>0</v>
      </c>
      <c r="S294" s="275">
        <f>IF(OR(tblContractForDeed[[#This Row],[Date]]&lt;cfdContractDate,tblContractForDeed[[#This Row],[Date]]&gt;cfdEndDate),0,ROUND(tblContractForDeed[[#This Row],[Beg]]*(tblContractForDeed[[#This Row],[Int Rate]]/12),2))</f>
        <v>0</v>
      </c>
      <c r="T294" s="275">
        <f>IF(tblContractForDeed[[#This Row],[Payment]]=0,0,$W$2)</f>
        <v>0</v>
      </c>
      <c r="U294" s="275">
        <f>IF(tblContractForDeed[[#This Row],[Princ]]=0,0,$W$3)</f>
        <v>0</v>
      </c>
      <c r="V294" s="275">
        <f>SUM(tblContractForDeed[[#This Row],[Princ]],tblContractForDeed[[#This Row],[Int]],tblContractForDeed[[#This Row],[Ins]],tblContractForDeed[[#This Row],[Taxes]])</f>
        <v>0</v>
      </c>
      <c r="W294" s="275">
        <f>SUM(INDEX(tblContractForDeed[Princ],1):INDEX(tblContractForDeed[Princ],ROW()-ROW(tblContractForDeed[#Headers])))</f>
        <v>75258.000000000029</v>
      </c>
      <c r="X294" s="275">
        <f>IF(tblContractForDeed[[#This Row],[Beg]]&lt;=0,0,tblContractForDeed[[#This Row],[Beg]]-tblContractForDeed[[#This Row],[Princ]])</f>
        <v>0</v>
      </c>
      <c r="Y29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54">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4" s="275">
        <f>IF(INDEX(tblContractForDeed[End Bal],ROW()-ROW(tblBuyerOutputs[#Headers]))&lt;=0,0,($O$6+IF(ROW()=ROW(tblBuyerOutputs[#Headers])+1,0,INDEX(tblBuyerOutputs[Cumul Appr],ROW()-ROW(tblBuyerOutputs[#Headers])-1)))*$O$2/12)</f>
        <v>0</v>
      </c>
      <c r="AE294" s="275">
        <f>IF(INDEX(tblContractForDeed[End Bal],ROW()-ROW(tblBuyerOutputs[#Headers]))&lt;=0,0,IF(ROW()=ROW(tblBuyerOutputs[#Headers])+1,0,INDEX(tblBuyerOutputs[Cumul Appr],ROW()-ROW(tblBuyerOutputs[#Headers])-1))+tblBuyerOutputs[[#This Row],[Monthly Appr]])</f>
        <v>0</v>
      </c>
      <c r="AF294" s="22"/>
      <c r="AG294" s="14"/>
      <c r="AL294"/>
      <c r="AM294" s="14"/>
      <c r="AO294" s="275"/>
      <c r="AQ294" s="14"/>
      <c r="AR294"/>
    </row>
    <row r="295" spans="1:44" ht="15.75" thickBot="1" x14ac:dyDescent="0.3">
      <c r="A295" s="591" t="str">
        <f t="shared" si="62"/>
        <v/>
      </c>
      <c r="B295" s="326">
        <f t="shared" si="63"/>
        <v>0</v>
      </c>
      <c r="C295" s="21">
        <f t="shared" si="60"/>
        <v>0</v>
      </c>
      <c r="D295" s="21">
        <f t="shared" si="64"/>
        <v>0</v>
      </c>
      <c r="E295" s="21">
        <f t="shared" si="61"/>
        <v>0</v>
      </c>
      <c r="F295" s="21">
        <f t="shared" si="69"/>
        <v>134.16999999999999</v>
      </c>
      <c r="G295" s="21">
        <f t="shared" si="69"/>
        <v>188.55</v>
      </c>
      <c r="H295" s="21">
        <f t="shared" si="58"/>
        <v>322.72000000000003</v>
      </c>
      <c r="I295" s="326">
        <f t="shared" si="67"/>
        <v>97531.839999999953</v>
      </c>
      <c r="J295" s="326">
        <f t="shared" si="68"/>
        <v>36068.259999999973</v>
      </c>
      <c r="K295" s="326">
        <f t="shared" si="65"/>
        <v>0</v>
      </c>
      <c r="L295" s="387">
        <f t="shared" si="56"/>
        <v>0</v>
      </c>
      <c r="M295" s="387">
        <f t="shared" si="66"/>
        <v>0</v>
      </c>
      <c r="N295" s="591" t="str">
        <f>INDEX(tblSubjectToLoan[Date],ROW()-ROW(tblContractForDeed[#Headers]))</f>
        <v/>
      </c>
      <c r="O295" s="326">
        <f>IF(ROW()=ROW(tblContractForDeed[#Headers])+1,$O$6,IF(INDEX(tblContractForDeed[End Bal],ROW()-ROW(tblContractForDeed[#Headers])-1)&lt;0,0,INDEX(tblContractForDeed[End Bal],ROW()-ROW(tblContractForDeed[#Headers])-1)))</f>
        <v>0</v>
      </c>
      <c r="P295" s="445" t="str">
        <f>IF(tblContractForDeed[[#This Row],[Date]]="","",IF(tblContractForDeed[[#This Row],[Date]]&lt;cfdRateChangeDate,cfdRate1,cfdRate2))</f>
        <v/>
      </c>
      <c r="Q29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26">
        <f>IF(tblContractForDeed[[#This Row],[Payment]]=0,0,MAX(0,MIN(tblContractForDeed[[#This Row],[Beg]],tblContractForDeed[[#This Row],[Payment]]-tblContractForDeed[[#This Row],[Int]])))</f>
        <v>0</v>
      </c>
      <c r="S295" s="326">
        <f>IF(OR(tblContractForDeed[[#This Row],[Date]]&lt;cfdContractDate,tblContractForDeed[[#This Row],[Date]]&gt;cfdEndDate),0,ROUND(tblContractForDeed[[#This Row],[Beg]]*(tblContractForDeed[[#This Row],[Int Rate]]/12),2))</f>
        <v>0</v>
      </c>
      <c r="T295" s="326">
        <f>IF(tblContractForDeed[[#This Row],[Payment]]=0,0,$W$2)</f>
        <v>0</v>
      </c>
      <c r="U295" s="326">
        <f>IF(tblContractForDeed[[#This Row],[Princ]]=0,0,$W$3)</f>
        <v>0</v>
      </c>
      <c r="V295" s="326">
        <f>SUM(tblContractForDeed[[#This Row],[Princ]],tblContractForDeed[[#This Row],[Int]],tblContractForDeed[[#This Row],[Ins]],tblContractForDeed[[#This Row],[Taxes]])</f>
        <v>0</v>
      </c>
      <c r="W295" s="326">
        <f>SUM(INDEX(tblContractForDeed[Princ],1):INDEX(tblContractForDeed[Princ],ROW()-ROW(tblContractForDeed[#Headers])))</f>
        <v>75258.000000000029</v>
      </c>
      <c r="X295" s="326">
        <f>IF(tblContractForDeed[[#This Row],[Beg]]&lt;=0,0,tblContractForDeed[[#This Row],[Beg]]-tblContractForDeed[[#This Row],[Princ]])</f>
        <v>0</v>
      </c>
      <c r="Y29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55">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5" s="326">
        <f>IF(INDEX(tblContractForDeed[End Bal],ROW()-ROW(tblBuyerOutputs[#Headers]))&lt;=0,0,($O$6+IF(ROW()=ROW(tblBuyerOutputs[#Headers])+1,0,INDEX(tblBuyerOutputs[Cumul Appr],ROW()-ROW(tblBuyerOutputs[#Headers])-1)))*$O$2/12)</f>
        <v>0</v>
      </c>
      <c r="AE295" s="326">
        <f>IF(INDEX(tblContractForDeed[End Bal],ROW()-ROW(tblBuyerOutputs[#Headers]))&lt;=0,0,IF(ROW()=ROW(tblBuyerOutputs[#Headers])+1,0,INDEX(tblBuyerOutputs[Cumul Appr],ROW()-ROW(tblBuyerOutputs[#Headers])-1))+tblBuyerOutputs[[#This Row],[Monthly Appr]])</f>
        <v>0</v>
      </c>
      <c r="AF295" s="22"/>
      <c r="AG295" s="14"/>
      <c r="AL295"/>
      <c r="AM295" s="14"/>
      <c r="AO295" s="275"/>
      <c r="AQ295" s="14"/>
      <c r="AR295"/>
    </row>
    <row r="296" spans="1:44" x14ac:dyDescent="0.25">
      <c r="A296" s="590" t="str">
        <f t="shared" si="62"/>
        <v/>
      </c>
      <c r="B296" s="275">
        <f t="shared" si="63"/>
        <v>0</v>
      </c>
      <c r="C296" s="14">
        <f t="shared" si="60"/>
        <v>0</v>
      </c>
      <c r="D296" s="14">
        <f t="shared" si="64"/>
        <v>0</v>
      </c>
      <c r="E296" s="14">
        <f t="shared" si="61"/>
        <v>0</v>
      </c>
      <c r="F296" s="14">
        <f t="shared" si="69"/>
        <v>134.16999999999999</v>
      </c>
      <c r="G296" s="14">
        <f t="shared" si="69"/>
        <v>188.55</v>
      </c>
      <c r="H296" s="14">
        <f t="shared" si="58"/>
        <v>322.72000000000003</v>
      </c>
      <c r="I296" s="275">
        <f t="shared" si="67"/>
        <v>97531.839999999953</v>
      </c>
      <c r="J296" s="275">
        <f t="shared" si="68"/>
        <v>36068.259999999973</v>
      </c>
      <c r="K296" s="275">
        <f t="shared" si="65"/>
        <v>0</v>
      </c>
      <c r="L296" s="386">
        <f t="shared" si="56"/>
        <v>0</v>
      </c>
      <c r="M296" s="386">
        <f t="shared" si="66"/>
        <v>0</v>
      </c>
      <c r="N296" s="590" t="str">
        <f>INDEX(tblSubjectToLoan[Date],ROW()-ROW(tblContractForDeed[#Headers]))</f>
        <v/>
      </c>
      <c r="O296" s="275">
        <f>IF(ROW()=ROW(tblContractForDeed[#Headers])+1,$O$6,IF(INDEX(tblContractForDeed[End Bal],ROW()-ROW(tblContractForDeed[#Headers])-1)&lt;0,0,INDEX(tblContractForDeed[End Bal],ROW()-ROW(tblContractForDeed[#Headers])-1)))</f>
        <v>0</v>
      </c>
      <c r="P296" s="445" t="str">
        <f>IF(tblContractForDeed[[#This Row],[Date]]="","",IF(tblContractForDeed[[#This Row],[Date]]&lt;cfdRateChangeDate,cfdRate1,cfdRate2))</f>
        <v/>
      </c>
      <c r="Q2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75">
        <f>IF(tblContractForDeed[[#This Row],[Payment]]=0,0,MAX(0,MIN(tblContractForDeed[[#This Row],[Beg]],tblContractForDeed[[#This Row],[Payment]]-tblContractForDeed[[#This Row],[Int]])))</f>
        <v>0</v>
      </c>
      <c r="S296" s="275">
        <f>IF(OR(tblContractForDeed[[#This Row],[Date]]&lt;cfdContractDate,tblContractForDeed[[#This Row],[Date]]&gt;cfdEndDate),0,ROUND(tblContractForDeed[[#This Row],[Beg]]*(tblContractForDeed[[#This Row],[Int Rate]]/12),2))</f>
        <v>0</v>
      </c>
      <c r="T296" s="275">
        <f>IF(tblContractForDeed[[#This Row],[Payment]]=0,0,$W$2)</f>
        <v>0</v>
      </c>
      <c r="U296" s="275">
        <f>IF(tblContractForDeed[[#This Row],[Princ]]=0,0,$W$3)</f>
        <v>0</v>
      </c>
      <c r="V296" s="275">
        <f>SUM(tblContractForDeed[[#This Row],[Princ]],tblContractForDeed[[#This Row],[Int]],tblContractForDeed[[#This Row],[Ins]],tblContractForDeed[[#This Row],[Taxes]])</f>
        <v>0</v>
      </c>
      <c r="W296" s="275">
        <f>SUM(INDEX(tblContractForDeed[Princ],1):INDEX(tblContractForDeed[Princ],ROW()-ROW(tblContractForDeed[#Headers])))</f>
        <v>75258.000000000029</v>
      </c>
      <c r="X296" s="275">
        <f>IF(tblContractForDeed[[#This Row],[Beg]]&lt;=0,0,tblContractForDeed[[#This Row],[Beg]]-tblContractForDeed[[#This Row],[Princ]])</f>
        <v>0</v>
      </c>
      <c r="Y29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54">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6" s="275">
        <f>IF(INDEX(tblContractForDeed[End Bal],ROW()-ROW(tblBuyerOutputs[#Headers]))&lt;=0,0,($O$6+IF(ROW()=ROW(tblBuyerOutputs[#Headers])+1,0,INDEX(tblBuyerOutputs[Cumul Appr],ROW()-ROW(tblBuyerOutputs[#Headers])-1)))*$O$2/12)</f>
        <v>0</v>
      </c>
      <c r="AE296" s="275">
        <f>IF(INDEX(tblContractForDeed[End Bal],ROW()-ROW(tblBuyerOutputs[#Headers]))&lt;=0,0,IF(ROW()=ROW(tblBuyerOutputs[#Headers])+1,0,INDEX(tblBuyerOutputs[Cumul Appr],ROW()-ROW(tblBuyerOutputs[#Headers])-1))+tblBuyerOutputs[[#This Row],[Monthly Appr]])</f>
        <v>0</v>
      </c>
      <c r="AF296" s="22"/>
      <c r="AG296" s="14"/>
      <c r="AL296"/>
      <c r="AM296" s="14"/>
      <c r="AO296" s="275"/>
      <c r="AQ296" s="14"/>
      <c r="AR296"/>
    </row>
    <row r="297" spans="1:44" x14ac:dyDescent="0.25">
      <c r="A297" s="590" t="str">
        <f t="shared" si="62"/>
        <v/>
      </c>
      <c r="B297" s="275">
        <f t="shared" si="63"/>
        <v>0</v>
      </c>
      <c r="C297" s="14">
        <f t="shared" si="60"/>
        <v>0</v>
      </c>
      <c r="D297" s="14">
        <f t="shared" si="64"/>
        <v>0</v>
      </c>
      <c r="E297" s="14">
        <f t="shared" si="61"/>
        <v>0</v>
      </c>
      <c r="F297" s="14">
        <f t="shared" si="69"/>
        <v>134.16999999999999</v>
      </c>
      <c r="G297" s="14">
        <f t="shared" si="69"/>
        <v>188.55</v>
      </c>
      <c r="H297" s="14">
        <f t="shared" si="58"/>
        <v>322.72000000000003</v>
      </c>
      <c r="I297" s="275">
        <f t="shared" si="67"/>
        <v>97531.839999999953</v>
      </c>
      <c r="J297" s="275">
        <f t="shared" si="68"/>
        <v>36068.259999999973</v>
      </c>
      <c r="K297" s="275">
        <f t="shared" si="65"/>
        <v>0</v>
      </c>
      <c r="L297" s="386">
        <f t="shared" si="56"/>
        <v>0</v>
      </c>
      <c r="M297" s="386">
        <f t="shared" si="66"/>
        <v>0</v>
      </c>
      <c r="N297" s="590" t="str">
        <f>INDEX(tblSubjectToLoan[Date],ROW()-ROW(tblContractForDeed[#Headers]))</f>
        <v/>
      </c>
      <c r="O297" s="275">
        <f>IF(ROW()=ROW(tblContractForDeed[#Headers])+1,$O$6,IF(INDEX(tblContractForDeed[End Bal],ROW()-ROW(tblContractForDeed[#Headers])-1)&lt;0,0,INDEX(tblContractForDeed[End Bal],ROW()-ROW(tblContractForDeed[#Headers])-1)))</f>
        <v>0</v>
      </c>
      <c r="P297" s="445" t="str">
        <f>IF(tblContractForDeed[[#This Row],[Date]]="","",IF(tblContractForDeed[[#This Row],[Date]]&lt;cfdRateChangeDate,cfdRate1,cfdRate2))</f>
        <v/>
      </c>
      <c r="Q2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75">
        <f>IF(tblContractForDeed[[#This Row],[Payment]]=0,0,MAX(0,MIN(tblContractForDeed[[#This Row],[Beg]],tblContractForDeed[[#This Row],[Payment]]-tblContractForDeed[[#This Row],[Int]])))</f>
        <v>0</v>
      </c>
      <c r="S297" s="275">
        <f>IF(OR(tblContractForDeed[[#This Row],[Date]]&lt;cfdContractDate,tblContractForDeed[[#This Row],[Date]]&gt;cfdEndDate),0,ROUND(tblContractForDeed[[#This Row],[Beg]]*(tblContractForDeed[[#This Row],[Int Rate]]/12),2))</f>
        <v>0</v>
      </c>
      <c r="T297" s="275">
        <f>IF(tblContractForDeed[[#This Row],[Payment]]=0,0,$W$2)</f>
        <v>0</v>
      </c>
      <c r="U297" s="275">
        <f>IF(tblContractForDeed[[#This Row],[Princ]]=0,0,$W$3)</f>
        <v>0</v>
      </c>
      <c r="V297" s="275">
        <f>SUM(tblContractForDeed[[#This Row],[Princ]],tblContractForDeed[[#This Row],[Int]],tblContractForDeed[[#This Row],[Ins]],tblContractForDeed[[#This Row],[Taxes]])</f>
        <v>0</v>
      </c>
      <c r="W297" s="275">
        <f>SUM(INDEX(tblContractForDeed[Princ],1):INDEX(tblContractForDeed[Princ],ROW()-ROW(tblContractForDeed[#Headers])))</f>
        <v>75258.000000000029</v>
      </c>
      <c r="X297" s="275">
        <f>IF(tblContractForDeed[[#This Row],[Beg]]&lt;=0,0,tblContractForDeed[[#This Row],[Beg]]-tblContractForDeed[[#This Row],[Princ]])</f>
        <v>0</v>
      </c>
      <c r="Y29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54">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7" s="275">
        <f>IF(INDEX(tblContractForDeed[End Bal],ROW()-ROW(tblBuyerOutputs[#Headers]))&lt;=0,0,($O$6+IF(ROW()=ROW(tblBuyerOutputs[#Headers])+1,0,INDEX(tblBuyerOutputs[Cumul Appr],ROW()-ROW(tblBuyerOutputs[#Headers])-1)))*$O$2/12)</f>
        <v>0</v>
      </c>
      <c r="AE297" s="275">
        <f>IF(INDEX(tblContractForDeed[End Bal],ROW()-ROW(tblBuyerOutputs[#Headers]))&lt;=0,0,IF(ROW()=ROW(tblBuyerOutputs[#Headers])+1,0,INDEX(tblBuyerOutputs[Cumul Appr],ROW()-ROW(tblBuyerOutputs[#Headers])-1))+tblBuyerOutputs[[#This Row],[Monthly Appr]])</f>
        <v>0</v>
      </c>
      <c r="AF297" s="22"/>
      <c r="AG297" s="14"/>
      <c r="AL297"/>
      <c r="AM297" s="14"/>
      <c r="AO297" s="275"/>
      <c r="AQ297" s="14"/>
      <c r="AR297"/>
    </row>
    <row r="298" spans="1:44" x14ac:dyDescent="0.25">
      <c r="A298" s="590" t="str">
        <f t="shared" si="62"/>
        <v/>
      </c>
      <c r="B298" s="275">
        <f t="shared" si="63"/>
        <v>0</v>
      </c>
      <c r="C298" s="14">
        <f t="shared" si="60"/>
        <v>0</v>
      </c>
      <c r="D298" s="14">
        <f t="shared" si="64"/>
        <v>0</v>
      </c>
      <c r="E298" s="14">
        <f t="shared" si="61"/>
        <v>0</v>
      </c>
      <c r="F298" s="14">
        <f t="shared" si="69"/>
        <v>134.16999999999999</v>
      </c>
      <c r="G298" s="14">
        <f t="shared" si="69"/>
        <v>188.55</v>
      </c>
      <c r="H298" s="14">
        <f t="shared" si="58"/>
        <v>322.72000000000003</v>
      </c>
      <c r="I298" s="275">
        <f t="shared" si="67"/>
        <v>97531.839999999953</v>
      </c>
      <c r="J298" s="275">
        <f t="shared" si="68"/>
        <v>36068.259999999973</v>
      </c>
      <c r="K298" s="275">
        <f t="shared" si="65"/>
        <v>0</v>
      </c>
      <c r="L298" s="386">
        <f t="shared" si="56"/>
        <v>0</v>
      </c>
      <c r="M298" s="386">
        <f t="shared" si="66"/>
        <v>0</v>
      </c>
      <c r="N298" s="590" t="str">
        <f>INDEX(tblSubjectToLoan[Date],ROW()-ROW(tblContractForDeed[#Headers]))</f>
        <v/>
      </c>
      <c r="O298" s="275">
        <f>IF(ROW()=ROW(tblContractForDeed[#Headers])+1,$O$6,IF(INDEX(tblContractForDeed[End Bal],ROW()-ROW(tblContractForDeed[#Headers])-1)&lt;0,0,INDEX(tblContractForDeed[End Bal],ROW()-ROW(tblContractForDeed[#Headers])-1)))</f>
        <v>0</v>
      </c>
      <c r="P298" s="445" t="str">
        <f>IF(tblContractForDeed[[#This Row],[Date]]="","",IF(tblContractForDeed[[#This Row],[Date]]&lt;cfdRateChangeDate,cfdRate1,cfdRate2))</f>
        <v/>
      </c>
      <c r="Q2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75">
        <f>IF(tblContractForDeed[[#This Row],[Payment]]=0,0,MAX(0,MIN(tblContractForDeed[[#This Row],[Beg]],tblContractForDeed[[#This Row],[Payment]]-tblContractForDeed[[#This Row],[Int]])))</f>
        <v>0</v>
      </c>
      <c r="S298" s="275">
        <f>IF(OR(tblContractForDeed[[#This Row],[Date]]&lt;cfdContractDate,tblContractForDeed[[#This Row],[Date]]&gt;cfdEndDate),0,ROUND(tblContractForDeed[[#This Row],[Beg]]*(tblContractForDeed[[#This Row],[Int Rate]]/12),2))</f>
        <v>0</v>
      </c>
      <c r="T298" s="275">
        <f>IF(tblContractForDeed[[#This Row],[Payment]]=0,0,$W$2)</f>
        <v>0</v>
      </c>
      <c r="U298" s="275">
        <f>IF(tblContractForDeed[[#This Row],[Princ]]=0,0,$W$3)</f>
        <v>0</v>
      </c>
      <c r="V298" s="275">
        <f>SUM(tblContractForDeed[[#This Row],[Princ]],tblContractForDeed[[#This Row],[Int]],tblContractForDeed[[#This Row],[Ins]],tblContractForDeed[[#This Row],[Taxes]])</f>
        <v>0</v>
      </c>
      <c r="W298" s="275">
        <f>SUM(INDEX(tblContractForDeed[Princ],1):INDEX(tblContractForDeed[Princ],ROW()-ROW(tblContractForDeed[#Headers])))</f>
        <v>75258.000000000029</v>
      </c>
      <c r="X298" s="275">
        <f>IF(tblContractForDeed[[#This Row],[Beg]]&lt;=0,0,tblContractForDeed[[#This Row],[Beg]]-tblContractForDeed[[#This Row],[Princ]])</f>
        <v>0</v>
      </c>
      <c r="Y29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54">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8" s="275">
        <f>IF(INDEX(tblContractForDeed[End Bal],ROW()-ROW(tblBuyerOutputs[#Headers]))&lt;=0,0,($O$6+IF(ROW()=ROW(tblBuyerOutputs[#Headers])+1,0,INDEX(tblBuyerOutputs[Cumul Appr],ROW()-ROW(tblBuyerOutputs[#Headers])-1)))*$O$2/12)</f>
        <v>0</v>
      </c>
      <c r="AE298" s="275">
        <f>IF(INDEX(tblContractForDeed[End Bal],ROW()-ROW(tblBuyerOutputs[#Headers]))&lt;=0,0,IF(ROW()=ROW(tblBuyerOutputs[#Headers])+1,0,INDEX(tblBuyerOutputs[Cumul Appr],ROW()-ROW(tblBuyerOutputs[#Headers])-1))+tblBuyerOutputs[[#This Row],[Monthly Appr]])</f>
        <v>0</v>
      </c>
      <c r="AF298" s="22"/>
      <c r="AG298" s="14"/>
      <c r="AL298"/>
      <c r="AM298" s="14"/>
      <c r="AO298" s="275"/>
      <c r="AQ298" s="14"/>
      <c r="AR298"/>
    </row>
    <row r="299" spans="1:44" x14ac:dyDescent="0.25">
      <c r="A299" s="590" t="str">
        <f t="shared" si="62"/>
        <v/>
      </c>
      <c r="B299" s="275">
        <f t="shared" si="63"/>
        <v>0</v>
      </c>
      <c r="C299" s="14">
        <f t="shared" si="60"/>
        <v>0</v>
      </c>
      <c r="D299" s="14">
        <f t="shared" si="64"/>
        <v>0</v>
      </c>
      <c r="E299" s="14">
        <f t="shared" si="61"/>
        <v>0</v>
      </c>
      <c r="F299" s="14">
        <f t="shared" si="69"/>
        <v>134.16999999999999</v>
      </c>
      <c r="G299" s="14">
        <f t="shared" si="69"/>
        <v>188.55</v>
      </c>
      <c r="H299" s="14">
        <f t="shared" si="58"/>
        <v>322.72000000000003</v>
      </c>
      <c r="I299" s="275">
        <f t="shared" si="67"/>
        <v>97531.839999999953</v>
      </c>
      <c r="J299" s="275">
        <f t="shared" si="68"/>
        <v>36068.259999999973</v>
      </c>
      <c r="K299" s="275">
        <f t="shared" si="65"/>
        <v>0</v>
      </c>
      <c r="L299" s="386">
        <f t="shared" si="56"/>
        <v>0</v>
      </c>
      <c r="M299" s="386">
        <f t="shared" si="66"/>
        <v>0</v>
      </c>
      <c r="N299" s="590" t="str">
        <f>INDEX(tblSubjectToLoan[Date],ROW()-ROW(tblContractForDeed[#Headers]))</f>
        <v/>
      </c>
      <c r="O299" s="275">
        <f>IF(ROW()=ROW(tblContractForDeed[#Headers])+1,$O$6,IF(INDEX(tblContractForDeed[End Bal],ROW()-ROW(tblContractForDeed[#Headers])-1)&lt;0,0,INDEX(tblContractForDeed[End Bal],ROW()-ROW(tblContractForDeed[#Headers])-1)))</f>
        <v>0</v>
      </c>
      <c r="P299" s="445" t="str">
        <f>IF(tblContractForDeed[[#This Row],[Date]]="","",IF(tblContractForDeed[[#This Row],[Date]]&lt;cfdRateChangeDate,cfdRate1,cfdRate2))</f>
        <v/>
      </c>
      <c r="Q29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75">
        <f>IF(tblContractForDeed[[#This Row],[Payment]]=0,0,MAX(0,MIN(tblContractForDeed[[#This Row],[Beg]],tblContractForDeed[[#This Row],[Payment]]-tblContractForDeed[[#This Row],[Int]])))</f>
        <v>0</v>
      </c>
      <c r="S299" s="275">
        <f>IF(OR(tblContractForDeed[[#This Row],[Date]]&lt;cfdContractDate,tblContractForDeed[[#This Row],[Date]]&gt;cfdEndDate),0,ROUND(tblContractForDeed[[#This Row],[Beg]]*(tblContractForDeed[[#This Row],[Int Rate]]/12),2))</f>
        <v>0</v>
      </c>
      <c r="T299" s="275">
        <f>IF(tblContractForDeed[[#This Row],[Payment]]=0,0,$W$2)</f>
        <v>0</v>
      </c>
      <c r="U299" s="275">
        <f>IF(tblContractForDeed[[#This Row],[Princ]]=0,0,$W$3)</f>
        <v>0</v>
      </c>
      <c r="V299" s="275">
        <f>SUM(tblContractForDeed[[#This Row],[Princ]],tblContractForDeed[[#This Row],[Int]],tblContractForDeed[[#This Row],[Ins]],tblContractForDeed[[#This Row],[Taxes]])</f>
        <v>0</v>
      </c>
      <c r="W299" s="275">
        <f>SUM(INDEX(tblContractForDeed[Princ],1):INDEX(tblContractForDeed[Princ],ROW()-ROW(tblContractForDeed[#Headers])))</f>
        <v>75258.000000000029</v>
      </c>
      <c r="X299" s="275">
        <f>IF(tblContractForDeed[[#This Row],[Beg]]&lt;=0,0,tblContractForDeed[[#This Row],[Beg]]-tblContractForDeed[[#This Row],[Princ]])</f>
        <v>0</v>
      </c>
      <c r="Y29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54">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9" s="275">
        <f>IF(INDEX(tblContractForDeed[End Bal],ROW()-ROW(tblBuyerOutputs[#Headers]))&lt;=0,0,($O$6+IF(ROW()=ROW(tblBuyerOutputs[#Headers])+1,0,INDEX(tblBuyerOutputs[Cumul Appr],ROW()-ROW(tblBuyerOutputs[#Headers])-1)))*$O$2/12)</f>
        <v>0</v>
      </c>
      <c r="AE299" s="275">
        <f>IF(INDEX(tblContractForDeed[End Bal],ROW()-ROW(tblBuyerOutputs[#Headers]))&lt;=0,0,IF(ROW()=ROW(tblBuyerOutputs[#Headers])+1,0,INDEX(tblBuyerOutputs[Cumul Appr],ROW()-ROW(tblBuyerOutputs[#Headers])-1))+tblBuyerOutputs[[#This Row],[Monthly Appr]])</f>
        <v>0</v>
      </c>
      <c r="AF299" s="22"/>
      <c r="AG299" s="14"/>
      <c r="AL299"/>
      <c r="AM299" s="14"/>
      <c r="AO299" s="275"/>
      <c r="AQ299" s="14"/>
      <c r="AR299"/>
    </row>
    <row r="300" spans="1:44" x14ac:dyDescent="0.25">
      <c r="A300" s="590" t="str">
        <f t="shared" si="62"/>
        <v/>
      </c>
      <c r="B300" s="275">
        <f t="shared" si="63"/>
        <v>0</v>
      </c>
      <c r="C300" s="14">
        <f t="shared" si="60"/>
        <v>0</v>
      </c>
      <c r="D300" s="14">
        <f t="shared" si="64"/>
        <v>0</v>
      </c>
      <c r="E300" s="14">
        <f t="shared" si="61"/>
        <v>0</v>
      </c>
      <c r="F300" s="14">
        <f t="shared" si="69"/>
        <v>134.16999999999999</v>
      </c>
      <c r="G300" s="14">
        <f t="shared" si="69"/>
        <v>188.55</v>
      </c>
      <c r="H300" s="14">
        <f t="shared" si="58"/>
        <v>322.72000000000003</v>
      </c>
      <c r="I300" s="275">
        <f t="shared" si="67"/>
        <v>97531.839999999953</v>
      </c>
      <c r="J300" s="275">
        <f t="shared" si="68"/>
        <v>36068.259999999973</v>
      </c>
      <c r="K300" s="275">
        <f t="shared" si="65"/>
        <v>0</v>
      </c>
      <c r="L300" s="386">
        <f t="shared" si="56"/>
        <v>0</v>
      </c>
      <c r="M300" s="386">
        <f t="shared" si="66"/>
        <v>0</v>
      </c>
      <c r="N300" s="590" t="str">
        <f>INDEX(tblSubjectToLoan[Date],ROW()-ROW(tblContractForDeed[#Headers]))</f>
        <v/>
      </c>
      <c r="O300" s="275">
        <f>IF(ROW()=ROW(tblContractForDeed[#Headers])+1,$O$6,IF(INDEX(tblContractForDeed[End Bal],ROW()-ROW(tblContractForDeed[#Headers])-1)&lt;0,0,INDEX(tblContractForDeed[End Bal],ROW()-ROW(tblContractForDeed[#Headers])-1)))</f>
        <v>0</v>
      </c>
      <c r="P300" s="445" t="str">
        <f>IF(tblContractForDeed[[#This Row],[Date]]="","",IF(tblContractForDeed[[#This Row],[Date]]&lt;cfdRateChangeDate,cfdRate1,cfdRate2))</f>
        <v/>
      </c>
      <c r="Q3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75">
        <f>IF(tblContractForDeed[[#This Row],[Payment]]=0,0,MAX(0,MIN(tblContractForDeed[[#This Row],[Beg]],tblContractForDeed[[#This Row],[Payment]]-tblContractForDeed[[#This Row],[Int]])))</f>
        <v>0</v>
      </c>
      <c r="S300" s="275">
        <f>IF(OR(tblContractForDeed[[#This Row],[Date]]&lt;cfdContractDate,tblContractForDeed[[#This Row],[Date]]&gt;cfdEndDate),0,ROUND(tblContractForDeed[[#This Row],[Beg]]*(tblContractForDeed[[#This Row],[Int Rate]]/12),2))</f>
        <v>0</v>
      </c>
      <c r="T300" s="275">
        <f>IF(tblContractForDeed[[#This Row],[Payment]]=0,0,$W$2)</f>
        <v>0</v>
      </c>
      <c r="U300" s="275">
        <f>IF(tblContractForDeed[[#This Row],[Princ]]=0,0,$W$3)</f>
        <v>0</v>
      </c>
      <c r="V300" s="275">
        <f>SUM(tblContractForDeed[[#This Row],[Princ]],tblContractForDeed[[#This Row],[Int]],tblContractForDeed[[#This Row],[Ins]],tblContractForDeed[[#This Row],[Taxes]])</f>
        <v>0</v>
      </c>
      <c r="W300" s="275">
        <f>SUM(INDEX(tblContractForDeed[Princ],1):INDEX(tblContractForDeed[Princ],ROW()-ROW(tblContractForDeed[#Headers])))</f>
        <v>75258.000000000029</v>
      </c>
      <c r="X300" s="275">
        <f>IF(tblContractForDeed[[#This Row],[Beg]]&lt;=0,0,tblContractForDeed[[#This Row],[Beg]]-tblContractForDeed[[#This Row],[Princ]])</f>
        <v>0</v>
      </c>
      <c r="Y30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54">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0" s="275">
        <f>IF(INDEX(tblContractForDeed[End Bal],ROW()-ROW(tblBuyerOutputs[#Headers]))&lt;=0,0,($O$6+IF(ROW()=ROW(tblBuyerOutputs[#Headers])+1,0,INDEX(tblBuyerOutputs[Cumul Appr],ROW()-ROW(tblBuyerOutputs[#Headers])-1)))*$O$2/12)</f>
        <v>0</v>
      </c>
      <c r="AE300" s="275">
        <f>IF(INDEX(tblContractForDeed[End Bal],ROW()-ROW(tblBuyerOutputs[#Headers]))&lt;=0,0,IF(ROW()=ROW(tblBuyerOutputs[#Headers])+1,0,INDEX(tblBuyerOutputs[Cumul Appr],ROW()-ROW(tblBuyerOutputs[#Headers])-1))+tblBuyerOutputs[[#This Row],[Monthly Appr]])</f>
        <v>0</v>
      </c>
      <c r="AF300" s="22"/>
      <c r="AG300" s="14"/>
      <c r="AL300"/>
      <c r="AM300" s="14"/>
      <c r="AO300" s="275"/>
      <c r="AQ300" s="14"/>
      <c r="AR300"/>
    </row>
    <row r="301" spans="1:44" x14ac:dyDescent="0.25">
      <c r="A301" s="590" t="str">
        <f t="shared" si="62"/>
        <v/>
      </c>
      <c r="B301" s="275">
        <f t="shared" si="63"/>
        <v>0</v>
      </c>
      <c r="C301" s="14">
        <f t="shared" si="60"/>
        <v>0</v>
      </c>
      <c r="D301" s="14">
        <f t="shared" si="64"/>
        <v>0</v>
      </c>
      <c r="E301" s="14">
        <f t="shared" si="61"/>
        <v>0</v>
      </c>
      <c r="F301" s="14">
        <f t="shared" si="69"/>
        <v>134.16999999999999</v>
      </c>
      <c r="G301" s="14">
        <f t="shared" si="69"/>
        <v>188.55</v>
      </c>
      <c r="H301" s="14">
        <f t="shared" si="58"/>
        <v>322.72000000000003</v>
      </c>
      <c r="I301" s="275">
        <f t="shared" si="67"/>
        <v>97531.839999999953</v>
      </c>
      <c r="J301" s="275">
        <f t="shared" si="68"/>
        <v>36068.259999999973</v>
      </c>
      <c r="K301" s="275">
        <f t="shared" si="65"/>
        <v>0</v>
      </c>
      <c r="L301" s="386">
        <f t="shared" si="56"/>
        <v>0</v>
      </c>
      <c r="M301" s="386">
        <f t="shared" si="66"/>
        <v>0</v>
      </c>
      <c r="N301" s="590" t="str">
        <f>INDEX(tblSubjectToLoan[Date],ROW()-ROW(tblContractForDeed[#Headers]))</f>
        <v/>
      </c>
      <c r="O301" s="275">
        <f>IF(ROW()=ROW(tblContractForDeed[#Headers])+1,$O$6,IF(INDEX(tblContractForDeed[End Bal],ROW()-ROW(tblContractForDeed[#Headers])-1)&lt;0,0,INDEX(tblContractForDeed[End Bal],ROW()-ROW(tblContractForDeed[#Headers])-1)))</f>
        <v>0</v>
      </c>
      <c r="P301" s="445" t="str">
        <f>IF(tblContractForDeed[[#This Row],[Date]]="","",IF(tblContractForDeed[[#This Row],[Date]]&lt;cfdRateChangeDate,cfdRate1,cfdRate2))</f>
        <v/>
      </c>
      <c r="Q3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75">
        <f>IF(tblContractForDeed[[#This Row],[Payment]]=0,0,MAX(0,MIN(tblContractForDeed[[#This Row],[Beg]],tblContractForDeed[[#This Row],[Payment]]-tblContractForDeed[[#This Row],[Int]])))</f>
        <v>0</v>
      </c>
      <c r="S301" s="275">
        <f>IF(OR(tblContractForDeed[[#This Row],[Date]]&lt;cfdContractDate,tblContractForDeed[[#This Row],[Date]]&gt;cfdEndDate),0,ROUND(tblContractForDeed[[#This Row],[Beg]]*(tblContractForDeed[[#This Row],[Int Rate]]/12),2))</f>
        <v>0</v>
      </c>
      <c r="T301" s="275">
        <f>IF(tblContractForDeed[[#This Row],[Payment]]=0,0,$W$2)</f>
        <v>0</v>
      </c>
      <c r="U301" s="275">
        <f>IF(tblContractForDeed[[#This Row],[Princ]]=0,0,$W$3)</f>
        <v>0</v>
      </c>
      <c r="V301" s="275">
        <f>SUM(tblContractForDeed[[#This Row],[Princ]],tblContractForDeed[[#This Row],[Int]],tblContractForDeed[[#This Row],[Ins]],tblContractForDeed[[#This Row],[Taxes]])</f>
        <v>0</v>
      </c>
      <c r="W301" s="275">
        <f>SUM(INDEX(tblContractForDeed[Princ],1):INDEX(tblContractForDeed[Princ],ROW()-ROW(tblContractForDeed[#Headers])))</f>
        <v>75258.000000000029</v>
      </c>
      <c r="X301" s="275">
        <f>IF(tblContractForDeed[[#This Row],[Beg]]&lt;=0,0,tblContractForDeed[[#This Row],[Beg]]-tblContractForDeed[[#This Row],[Princ]])</f>
        <v>0</v>
      </c>
      <c r="Y30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54">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1" s="275">
        <f>IF(INDEX(tblContractForDeed[End Bal],ROW()-ROW(tblBuyerOutputs[#Headers]))&lt;=0,0,($O$6+IF(ROW()=ROW(tblBuyerOutputs[#Headers])+1,0,INDEX(tblBuyerOutputs[Cumul Appr],ROW()-ROW(tblBuyerOutputs[#Headers])-1)))*$O$2/12)</f>
        <v>0</v>
      </c>
      <c r="AE301" s="275">
        <f>IF(INDEX(tblContractForDeed[End Bal],ROW()-ROW(tblBuyerOutputs[#Headers]))&lt;=0,0,IF(ROW()=ROW(tblBuyerOutputs[#Headers])+1,0,INDEX(tblBuyerOutputs[Cumul Appr],ROW()-ROW(tblBuyerOutputs[#Headers])-1))+tblBuyerOutputs[[#This Row],[Monthly Appr]])</f>
        <v>0</v>
      </c>
      <c r="AF301" s="22"/>
      <c r="AG301" s="14"/>
      <c r="AL301"/>
      <c r="AM301" s="14"/>
      <c r="AO301" s="275"/>
      <c r="AQ301" s="14"/>
      <c r="AR301"/>
    </row>
    <row r="302" spans="1:44" x14ac:dyDescent="0.25">
      <c r="A302" s="590" t="str">
        <f t="shared" si="62"/>
        <v/>
      </c>
      <c r="B302" s="275">
        <f t="shared" si="63"/>
        <v>0</v>
      </c>
      <c r="C302" s="14">
        <f t="shared" si="60"/>
        <v>0</v>
      </c>
      <c r="D302" s="14">
        <f t="shared" si="64"/>
        <v>0</v>
      </c>
      <c r="E302" s="14">
        <f t="shared" si="61"/>
        <v>0</v>
      </c>
      <c r="F302" s="14">
        <f t="shared" si="69"/>
        <v>134.16999999999999</v>
      </c>
      <c r="G302" s="14">
        <f t="shared" si="69"/>
        <v>188.55</v>
      </c>
      <c r="H302" s="14">
        <f t="shared" si="58"/>
        <v>322.72000000000003</v>
      </c>
      <c r="I302" s="275">
        <f t="shared" si="67"/>
        <v>97531.839999999953</v>
      </c>
      <c r="J302" s="275">
        <f t="shared" si="68"/>
        <v>36068.259999999973</v>
      </c>
      <c r="K302" s="275">
        <f t="shared" si="65"/>
        <v>0</v>
      </c>
      <c r="L302" s="386">
        <f t="shared" si="56"/>
        <v>0</v>
      </c>
      <c r="M302" s="386">
        <f t="shared" si="66"/>
        <v>0</v>
      </c>
      <c r="N302" s="590" t="str">
        <f>INDEX(tblSubjectToLoan[Date],ROW()-ROW(tblContractForDeed[#Headers]))</f>
        <v/>
      </c>
      <c r="O302" s="275">
        <f>IF(ROW()=ROW(tblContractForDeed[#Headers])+1,$O$6,IF(INDEX(tblContractForDeed[End Bal],ROW()-ROW(tblContractForDeed[#Headers])-1)&lt;0,0,INDEX(tblContractForDeed[End Bal],ROW()-ROW(tblContractForDeed[#Headers])-1)))</f>
        <v>0</v>
      </c>
      <c r="P302" s="445" t="str">
        <f>IF(tblContractForDeed[[#This Row],[Date]]="","",IF(tblContractForDeed[[#This Row],[Date]]&lt;cfdRateChangeDate,cfdRate1,cfdRate2))</f>
        <v/>
      </c>
      <c r="Q3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75">
        <f>IF(tblContractForDeed[[#This Row],[Payment]]=0,0,MAX(0,MIN(tblContractForDeed[[#This Row],[Beg]],tblContractForDeed[[#This Row],[Payment]]-tblContractForDeed[[#This Row],[Int]])))</f>
        <v>0</v>
      </c>
      <c r="S302" s="275">
        <f>IF(OR(tblContractForDeed[[#This Row],[Date]]&lt;cfdContractDate,tblContractForDeed[[#This Row],[Date]]&gt;cfdEndDate),0,ROUND(tblContractForDeed[[#This Row],[Beg]]*(tblContractForDeed[[#This Row],[Int Rate]]/12),2))</f>
        <v>0</v>
      </c>
      <c r="T302" s="275">
        <f>IF(tblContractForDeed[[#This Row],[Payment]]=0,0,$W$2)</f>
        <v>0</v>
      </c>
      <c r="U302" s="275">
        <f>IF(tblContractForDeed[[#This Row],[Princ]]=0,0,$W$3)</f>
        <v>0</v>
      </c>
      <c r="V302" s="275">
        <f>SUM(tblContractForDeed[[#This Row],[Princ]],tblContractForDeed[[#This Row],[Int]],tblContractForDeed[[#This Row],[Ins]],tblContractForDeed[[#This Row],[Taxes]])</f>
        <v>0</v>
      </c>
      <c r="W302" s="275">
        <f>SUM(INDEX(tblContractForDeed[Princ],1):INDEX(tblContractForDeed[Princ],ROW()-ROW(tblContractForDeed[#Headers])))</f>
        <v>75258.000000000029</v>
      </c>
      <c r="X302" s="275">
        <f>IF(tblContractForDeed[[#This Row],[Beg]]&lt;=0,0,tblContractForDeed[[#This Row],[Beg]]-tblContractForDeed[[#This Row],[Princ]])</f>
        <v>0</v>
      </c>
      <c r="Y30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54">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2" s="275">
        <f>IF(INDEX(tblContractForDeed[End Bal],ROW()-ROW(tblBuyerOutputs[#Headers]))&lt;=0,0,($O$6+IF(ROW()=ROW(tblBuyerOutputs[#Headers])+1,0,INDEX(tblBuyerOutputs[Cumul Appr],ROW()-ROW(tblBuyerOutputs[#Headers])-1)))*$O$2/12)</f>
        <v>0</v>
      </c>
      <c r="AE302" s="275">
        <f>IF(INDEX(tblContractForDeed[End Bal],ROW()-ROW(tblBuyerOutputs[#Headers]))&lt;=0,0,IF(ROW()=ROW(tblBuyerOutputs[#Headers])+1,0,INDEX(tblBuyerOutputs[Cumul Appr],ROW()-ROW(tblBuyerOutputs[#Headers])-1))+tblBuyerOutputs[[#This Row],[Monthly Appr]])</f>
        <v>0</v>
      </c>
      <c r="AF302" s="22"/>
      <c r="AG302" s="14"/>
      <c r="AL302"/>
      <c r="AM302" s="14"/>
      <c r="AO302" s="275"/>
      <c r="AQ302" s="14"/>
      <c r="AR302"/>
    </row>
    <row r="303" spans="1:44" x14ac:dyDescent="0.25">
      <c r="A303" s="590" t="str">
        <f t="shared" si="62"/>
        <v/>
      </c>
      <c r="B303" s="275">
        <f t="shared" si="63"/>
        <v>0</v>
      </c>
      <c r="C303" s="14">
        <f t="shared" si="60"/>
        <v>0</v>
      </c>
      <c r="D303" s="14">
        <f t="shared" si="64"/>
        <v>0</v>
      </c>
      <c r="E303" s="14">
        <f t="shared" si="61"/>
        <v>0</v>
      </c>
      <c r="F303" s="14">
        <f t="shared" ref="F303:G318" si="70">+F302</f>
        <v>134.16999999999999</v>
      </c>
      <c r="G303" s="14">
        <f t="shared" si="70"/>
        <v>188.55</v>
      </c>
      <c r="H303" s="14">
        <f t="shared" si="58"/>
        <v>322.72000000000003</v>
      </c>
      <c r="I303" s="275">
        <f t="shared" si="67"/>
        <v>97531.839999999953</v>
      </c>
      <c r="J303" s="275">
        <f t="shared" si="68"/>
        <v>36068.259999999973</v>
      </c>
      <c r="K303" s="275">
        <f t="shared" si="65"/>
        <v>0</v>
      </c>
      <c r="L303" s="386">
        <f t="shared" si="56"/>
        <v>0</v>
      </c>
      <c r="M303" s="386">
        <f t="shared" si="66"/>
        <v>0</v>
      </c>
      <c r="N303" s="590" t="str">
        <f>INDEX(tblSubjectToLoan[Date],ROW()-ROW(tblContractForDeed[#Headers]))</f>
        <v/>
      </c>
      <c r="O303" s="275">
        <f>IF(ROW()=ROW(tblContractForDeed[#Headers])+1,$O$6,IF(INDEX(tblContractForDeed[End Bal],ROW()-ROW(tblContractForDeed[#Headers])-1)&lt;0,0,INDEX(tblContractForDeed[End Bal],ROW()-ROW(tblContractForDeed[#Headers])-1)))</f>
        <v>0</v>
      </c>
      <c r="P303" s="445" t="str">
        <f>IF(tblContractForDeed[[#This Row],[Date]]="","",IF(tblContractForDeed[[#This Row],[Date]]&lt;cfdRateChangeDate,cfdRate1,cfdRate2))</f>
        <v/>
      </c>
      <c r="Q30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75">
        <f>IF(tblContractForDeed[[#This Row],[Payment]]=0,0,MAX(0,MIN(tblContractForDeed[[#This Row],[Beg]],tblContractForDeed[[#This Row],[Payment]]-tblContractForDeed[[#This Row],[Int]])))</f>
        <v>0</v>
      </c>
      <c r="S303" s="275">
        <f>IF(OR(tblContractForDeed[[#This Row],[Date]]&lt;cfdContractDate,tblContractForDeed[[#This Row],[Date]]&gt;cfdEndDate),0,ROUND(tblContractForDeed[[#This Row],[Beg]]*(tblContractForDeed[[#This Row],[Int Rate]]/12),2))</f>
        <v>0</v>
      </c>
      <c r="T303" s="275">
        <f>IF(tblContractForDeed[[#This Row],[Payment]]=0,0,$W$2)</f>
        <v>0</v>
      </c>
      <c r="U303" s="275">
        <f>IF(tblContractForDeed[[#This Row],[Princ]]=0,0,$W$3)</f>
        <v>0</v>
      </c>
      <c r="V303" s="275">
        <f>SUM(tblContractForDeed[[#This Row],[Princ]],tblContractForDeed[[#This Row],[Int]],tblContractForDeed[[#This Row],[Ins]],tblContractForDeed[[#This Row],[Taxes]])</f>
        <v>0</v>
      </c>
      <c r="W303" s="275">
        <f>SUM(INDEX(tblContractForDeed[Princ],1):INDEX(tblContractForDeed[Princ],ROW()-ROW(tblContractForDeed[#Headers])))</f>
        <v>75258.000000000029</v>
      </c>
      <c r="X303" s="275">
        <f>IF(tblContractForDeed[[#This Row],[Beg]]&lt;=0,0,tblContractForDeed[[#This Row],[Beg]]-tblContractForDeed[[#This Row],[Princ]])</f>
        <v>0</v>
      </c>
      <c r="Y30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54">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3" s="275">
        <f>IF(INDEX(tblContractForDeed[End Bal],ROW()-ROW(tblBuyerOutputs[#Headers]))&lt;=0,0,($O$6+IF(ROW()=ROW(tblBuyerOutputs[#Headers])+1,0,INDEX(tblBuyerOutputs[Cumul Appr],ROW()-ROW(tblBuyerOutputs[#Headers])-1)))*$O$2/12)</f>
        <v>0</v>
      </c>
      <c r="AE303" s="275">
        <f>IF(INDEX(tblContractForDeed[End Bal],ROW()-ROW(tblBuyerOutputs[#Headers]))&lt;=0,0,IF(ROW()=ROW(tblBuyerOutputs[#Headers])+1,0,INDEX(tblBuyerOutputs[Cumul Appr],ROW()-ROW(tblBuyerOutputs[#Headers])-1))+tblBuyerOutputs[[#This Row],[Monthly Appr]])</f>
        <v>0</v>
      </c>
      <c r="AF303" s="22"/>
      <c r="AG303" s="14"/>
      <c r="AL303"/>
      <c r="AM303" s="14"/>
      <c r="AO303" s="275"/>
      <c r="AQ303" s="14"/>
      <c r="AR303"/>
    </row>
    <row r="304" spans="1:44" x14ac:dyDescent="0.25">
      <c r="A304" s="590" t="str">
        <f t="shared" si="62"/>
        <v/>
      </c>
      <c r="B304" s="275">
        <f t="shared" si="63"/>
        <v>0</v>
      </c>
      <c r="C304" s="14">
        <f t="shared" si="60"/>
        <v>0</v>
      </c>
      <c r="D304" s="14">
        <f t="shared" si="64"/>
        <v>0</v>
      </c>
      <c r="E304" s="14">
        <f t="shared" si="61"/>
        <v>0</v>
      </c>
      <c r="F304" s="14">
        <f t="shared" si="70"/>
        <v>134.16999999999999</v>
      </c>
      <c r="G304" s="14">
        <f t="shared" si="70"/>
        <v>188.55</v>
      </c>
      <c r="H304" s="14">
        <f t="shared" si="58"/>
        <v>322.72000000000003</v>
      </c>
      <c r="I304" s="275">
        <f t="shared" si="67"/>
        <v>97531.839999999953</v>
      </c>
      <c r="J304" s="275">
        <f t="shared" si="68"/>
        <v>36068.259999999973</v>
      </c>
      <c r="K304" s="275">
        <f t="shared" si="65"/>
        <v>0</v>
      </c>
      <c r="L304" s="386">
        <f t="shared" si="56"/>
        <v>0</v>
      </c>
      <c r="M304" s="386">
        <f t="shared" si="66"/>
        <v>0</v>
      </c>
      <c r="N304" s="590" t="str">
        <f>INDEX(tblSubjectToLoan[Date],ROW()-ROW(tblContractForDeed[#Headers]))</f>
        <v/>
      </c>
      <c r="O304" s="275">
        <f>IF(ROW()=ROW(tblContractForDeed[#Headers])+1,$O$6,IF(INDEX(tblContractForDeed[End Bal],ROW()-ROW(tblContractForDeed[#Headers])-1)&lt;0,0,INDEX(tblContractForDeed[End Bal],ROW()-ROW(tblContractForDeed[#Headers])-1)))</f>
        <v>0</v>
      </c>
      <c r="P304" s="445" t="str">
        <f>IF(tblContractForDeed[[#This Row],[Date]]="","",IF(tblContractForDeed[[#This Row],[Date]]&lt;cfdRateChangeDate,cfdRate1,cfdRate2))</f>
        <v/>
      </c>
      <c r="Q3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75">
        <f>IF(tblContractForDeed[[#This Row],[Payment]]=0,0,MAX(0,MIN(tblContractForDeed[[#This Row],[Beg]],tblContractForDeed[[#This Row],[Payment]]-tblContractForDeed[[#This Row],[Int]])))</f>
        <v>0</v>
      </c>
      <c r="S304" s="275">
        <f>IF(OR(tblContractForDeed[[#This Row],[Date]]&lt;cfdContractDate,tblContractForDeed[[#This Row],[Date]]&gt;cfdEndDate),0,ROUND(tblContractForDeed[[#This Row],[Beg]]*(tblContractForDeed[[#This Row],[Int Rate]]/12),2))</f>
        <v>0</v>
      </c>
      <c r="T304" s="275">
        <f>IF(tblContractForDeed[[#This Row],[Payment]]=0,0,$W$2)</f>
        <v>0</v>
      </c>
      <c r="U304" s="275">
        <f>IF(tblContractForDeed[[#This Row],[Princ]]=0,0,$W$3)</f>
        <v>0</v>
      </c>
      <c r="V304" s="275">
        <f>SUM(tblContractForDeed[[#This Row],[Princ]],tblContractForDeed[[#This Row],[Int]],tblContractForDeed[[#This Row],[Ins]],tblContractForDeed[[#This Row],[Taxes]])</f>
        <v>0</v>
      </c>
      <c r="W304" s="275">
        <f>SUM(INDEX(tblContractForDeed[Princ],1):INDEX(tblContractForDeed[Princ],ROW()-ROW(tblContractForDeed[#Headers])))</f>
        <v>75258.000000000029</v>
      </c>
      <c r="X304" s="275">
        <f>IF(tblContractForDeed[[#This Row],[Beg]]&lt;=0,0,tblContractForDeed[[#This Row],[Beg]]-tblContractForDeed[[#This Row],[Princ]])</f>
        <v>0</v>
      </c>
      <c r="Y30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54">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4" s="275">
        <f>IF(INDEX(tblContractForDeed[End Bal],ROW()-ROW(tblBuyerOutputs[#Headers]))&lt;=0,0,($O$6+IF(ROW()=ROW(tblBuyerOutputs[#Headers])+1,0,INDEX(tblBuyerOutputs[Cumul Appr],ROW()-ROW(tblBuyerOutputs[#Headers])-1)))*$O$2/12)</f>
        <v>0</v>
      </c>
      <c r="AE304" s="275">
        <f>IF(INDEX(tblContractForDeed[End Bal],ROW()-ROW(tblBuyerOutputs[#Headers]))&lt;=0,0,IF(ROW()=ROW(tblBuyerOutputs[#Headers])+1,0,INDEX(tblBuyerOutputs[Cumul Appr],ROW()-ROW(tblBuyerOutputs[#Headers])-1))+tblBuyerOutputs[[#This Row],[Monthly Appr]])</f>
        <v>0</v>
      </c>
      <c r="AF304" s="22"/>
      <c r="AG304" s="14"/>
      <c r="AL304"/>
      <c r="AM304" s="14"/>
      <c r="AO304" s="275"/>
      <c r="AQ304" s="14"/>
      <c r="AR304"/>
    </row>
    <row r="305" spans="1:44" x14ac:dyDescent="0.25">
      <c r="A305" s="590" t="str">
        <f t="shared" si="62"/>
        <v/>
      </c>
      <c r="B305" s="275">
        <f t="shared" si="63"/>
        <v>0</v>
      </c>
      <c r="C305" s="14">
        <f t="shared" si="60"/>
        <v>0</v>
      </c>
      <c r="D305" s="14">
        <f t="shared" si="64"/>
        <v>0</v>
      </c>
      <c r="E305" s="14">
        <f t="shared" si="61"/>
        <v>0</v>
      </c>
      <c r="F305" s="14">
        <f t="shared" si="70"/>
        <v>134.16999999999999</v>
      </c>
      <c r="G305" s="14">
        <f t="shared" si="70"/>
        <v>188.55</v>
      </c>
      <c r="H305" s="14">
        <f t="shared" si="58"/>
        <v>322.72000000000003</v>
      </c>
      <c r="I305" s="275">
        <f t="shared" si="67"/>
        <v>97531.839999999953</v>
      </c>
      <c r="J305" s="275">
        <f t="shared" si="68"/>
        <v>36068.259999999973</v>
      </c>
      <c r="K305" s="275">
        <f t="shared" si="65"/>
        <v>0</v>
      </c>
      <c r="L305" s="386">
        <f t="shared" si="56"/>
        <v>0</v>
      </c>
      <c r="M305" s="386">
        <f t="shared" si="66"/>
        <v>0</v>
      </c>
      <c r="N305" s="590" t="str">
        <f>INDEX(tblSubjectToLoan[Date],ROW()-ROW(tblContractForDeed[#Headers]))</f>
        <v/>
      </c>
      <c r="O305" s="275">
        <f>IF(ROW()=ROW(tblContractForDeed[#Headers])+1,$O$6,IF(INDEX(tblContractForDeed[End Bal],ROW()-ROW(tblContractForDeed[#Headers])-1)&lt;0,0,INDEX(tblContractForDeed[End Bal],ROW()-ROW(tblContractForDeed[#Headers])-1)))</f>
        <v>0</v>
      </c>
      <c r="P305" s="445" t="str">
        <f>IF(tblContractForDeed[[#This Row],[Date]]="","",IF(tblContractForDeed[[#This Row],[Date]]&lt;cfdRateChangeDate,cfdRate1,cfdRate2))</f>
        <v/>
      </c>
      <c r="Q3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75">
        <f>IF(tblContractForDeed[[#This Row],[Payment]]=0,0,MAX(0,MIN(tblContractForDeed[[#This Row],[Beg]],tblContractForDeed[[#This Row],[Payment]]-tblContractForDeed[[#This Row],[Int]])))</f>
        <v>0</v>
      </c>
      <c r="S305" s="275">
        <f>IF(OR(tblContractForDeed[[#This Row],[Date]]&lt;cfdContractDate,tblContractForDeed[[#This Row],[Date]]&gt;cfdEndDate),0,ROUND(tblContractForDeed[[#This Row],[Beg]]*(tblContractForDeed[[#This Row],[Int Rate]]/12),2))</f>
        <v>0</v>
      </c>
      <c r="T305" s="275">
        <f>IF(tblContractForDeed[[#This Row],[Payment]]=0,0,$W$2)</f>
        <v>0</v>
      </c>
      <c r="U305" s="275">
        <f>IF(tblContractForDeed[[#This Row],[Princ]]=0,0,$W$3)</f>
        <v>0</v>
      </c>
      <c r="V305" s="275">
        <f>SUM(tblContractForDeed[[#This Row],[Princ]],tblContractForDeed[[#This Row],[Int]],tblContractForDeed[[#This Row],[Ins]],tblContractForDeed[[#This Row],[Taxes]])</f>
        <v>0</v>
      </c>
      <c r="W305" s="275">
        <f>SUM(INDEX(tblContractForDeed[Princ],1):INDEX(tblContractForDeed[Princ],ROW()-ROW(tblContractForDeed[#Headers])))</f>
        <v>75258.000000000029</v>
      </c>
      <c r="X305" s="275">
        <f>IF(tblContractForDeed[[#This Row],[Beg]]&lt;=0,0,tblContractForDeed[[#This Row],[Beg]]-tblContractForDeed[[#This Row],[Princ]])</f>
        <v>0</v>
      </c>
      <c r="Y30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54">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5" s="275">
        <f>IF(INDEX(tblContractForDeed[End Bal],ROW()-ROW(tblBuyerOutputs[#Headers]))&lt;=0,0,($O$6+IF(ROW()=ROW(tblBuyerOutputs[#Headers])+1,0,INDEX(tblBuyerOutputs[Cumul Appr],ROW()-ROW(tblBuyerOutputs[#Headers])-1)))*$O$2/12)</f>
        <v>0</v>
      </c>
      <c r="AE305" s="275">
        <f>IF(INDEX(tblContractForDeed[End Bal],ROW()-ROW(tblBuyerOutputs[#Headers]))&lt;=0,0,IF(ROW()=ROW(tblBuyerOutputs[#Headers])+1,0,INDEX(tblBuyerOutputs[Cumul Appr],ROW()-ROW(tblBuyerOutputs[#Headers])-1))+tblBuyerOutputs[[#This Row],[Monthly Appr]])</f>
        <v>0</v>
      </c>
      <c r="AF305" s="22"/>
      <c r="AG305" s="14"/>
      <c r="AL305"/>
      <c r="AM305" s="14"/>
      <c r="AO305" s="275"/>
      <c r="AQ305" s="14"/>
      <c r="AR305"/>
    </row>
    <row r="306" spans="1:44" x14ac:dyDescent="0.25">
      <c r="A306" s="590" t="str">
        <f t="shared" si="62"/>
        <v/>
      </c>
      <c r="B306" s="275">
        <f t="shared" si="63"/>
        <v>0</v>
      </c>
      <c r="C306" s="14">
        <f t="shared" si="60"/>
        <v>0</v>
      </c>
      <c r="D306" s="14">
        <f t="shared" si="64"/>
        <v>0</v>
      </c>
      <c r="E306" s="14">
        <f t="shared" si="61"/>
        <v>0</v>
      </c>
      <c r="F306" s="14">
        <f t="shared" si="70"/>
        <v>134.16999999999999</v>
      </c>
      <c r="G306" s="14">
        <f t="shared" si="70"/>
        <v>188.55</v>
      </c>
      <c r="H306" s="14">
        <f t="shared" si="58"/>
        <v>322.72000000000003</v>
      </c>
      <c r="I306" s="275">
        <f t="shared" si="67"/>
        <v>97531.839999999953</v>
      </c>
      <c r="J306" s="275">
        <f t="shared" si="68"/>
        <v>36068.259999999973</v>
      </c>
      <c r="K306" s="275">
        <f t="shared" si="65"/>
        <v>0</v>
      </c>
      <c r="L306" s="386">
        <f t="shared" si="56"/>
        <v>0</v>
      </c>
      <c r="M306" s="386">
        <f t="shared" si="66"/>
        <v>0</v>
      </c>
      <c r="N306" s="590" t="str">
        <f>INDEX(tblSubjectToLoan[Date],ROW()-ROW(tblContractForDeed[#Headers]))</f>
        <v/>
      </c>
      <c r="O306" s="275">
        <f>IF(ROW()=ROW(tblContractForDeed[#Headers])+1,$O$6,IF(INDEX(tblContractForDeed[End Bal],ROW()-ROW(tblContractForDeed[#Headers])-1)&lt;0,0,INDEX(tblContractForDeed[End Bal],ROW()-ROW(tblContractForDeed[#Headers])-1)))</f>
        <v>0</v>
      </c>
      <c r="P306" s="445" t="str">
        <f>IF(tblContractForDeed[[#This Row],[Date]]="","",IF(tblContractForDeed[[#This Row],[Date]]&lt;cfdRateChangeDate,cfdRate1,cfdRate2))</f>
        <v/>
      </c>
      <c r="Q3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75">
        <f>IF(tblContractForDeed[[#This Row],[Payment]]=0,0,MAX(0,MIN(tblContractForDeed[[#This Row],[Beg]],tblContractForDeed[[#This Row],[Payment]]-tblContractForDeed[[#This Row],[Int]])))</f>
        <v>0</v>
      </c>
      <c r="S306" s="275">
        <f>IF(OR(tblContractForDeed[[#This Row],[Date]]&lt;cfdContractDate,tblContractForDeed[[#This Row],[Date]]&gt;cfdEndDate),0,ROUND(tblContractForDeed[[#This Row],[Beg]]*(tblContractForDeed[[#This Row],[Int Rate]]/12),2))</f>
        <v>0</v>
      </c>
      <c r="T306" s="275">
        <f>IF(tblContractForDeed[[#This Row],[Payment]]=0,0,$W$2)</f>
        <v>0</v>
      </c>
      <c r="U306" s="275">
        <f>IF(tblContractForDeed[[#This Row],[Princ]]=0,0,$W$3)</f>
        <v>0</v>
      </c>
      <c r="V306" s="275">
        <f>SUM(tblContractForDeed[[#This Row],[Princ]],tblContractForDeed[[#This Row],[Int]],tblContractForDeed[[#This Row],[Ins]],tblContractForDeed[[#This Row],[Taxes]])</f>
        <v>0</v>
      </c>
      <c r="W306" s="275">
        <f>SUM(INDEX(tblContractForDeed[Princ],1):INDEX(tblContractForDeed[Princ],ROW()-ROW(tblContractForDeed[#Headers])))</f>
        <v>75258.000000000029</v>
      </c>
      <c r="X306" s="275">
        <f>IF(tblContractForDeed[[#This Row],[Beg]]&lt;=0,0,tblContractForDeed[[#This Row],[Beg]]-tblContractForDeed[[#This Row],[Princ]])</f>
        <v>0</v>
      </c>
      <c r="Y30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54">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6" s="275">
        <f>IF(INDEX(tblContractForDeed[End Bal],ROW()-ROW(tblBuyerOutputs[#Headers]))&lt;=0,0,($O$6+IF(ROW()=ROW(tblBuyerOutputs[#Headers])+1,0,INDEX(tblBuyerOutputs[Cumul Appr],ROW()-ROW(tblBuyerOutputs[#Headers])-1)))*$O$2/12)</f>
        <v>0</v>
      </c>
      <c r="AE306" s="275">
        <f>IF(INDEX(tblContractForDeed[End Bal],ROW()-ROW(tblBuyerOutputs[#Headers]))&lt;=0,0,IF(ROW()=ROW(tblBuyerOutputs[#Headers])+1,0,INDEX(tblBuyerOutputs[Cumul Appr],ROW()-ROW(tblBuyerOutputs[#Headers])-1))+tblBuyerOutputs[[#This Row],[Monthly Appr]])</f>
        <v>0</v>
      </c>
      <c r="AF306" s="22"/>
      <c r="AG306" s="14"/>
      <c r="AL306"/>
      <c r="AM306" s="14"/>
      <c r="AO306" s="275"/>
      <c r="AQ306" s="14"/>
      <c r="AR306"/>
    </row>
    <row r="307" spans="1:44" ht="15.75" thickBot="1" x14ac:dyDescent="0.3">
      <c r="A307" s="591" t="str">
        <f t="shared" si="62"/>
        <v/>
      </c>
      <c r="B307" s="326">
        <f t="shared" si="63"/>
        <v>0</v>
      </c>
      <c r="C307" s="21">
        <f t="shared" si="60"/>
        <v>0</v>
      </c>
      <c r="D307" s="21">
        <f t="shared" si="64"/>
        <v>0</v>
      </c>
      <c r="E307" s="21">
        <f t="shared" si="61"/>
        <v>0</v>
      </c>
      <c r="F307" s="21">
        <f t="shared" si="70"/>
        <v>134.16999999999999</v>
      </c>
      <c r="G307" s="21">
        <f t="shared" si="70"/>
        <v>188.55</v>
      </c>
      <c r="H307" s="21">
        <f t="shared" si="58"/>
        <v>322.72000000000003</v>
      </c>
      <c r="I307" s="326">
        <f t="shared" si="67"/>
        <v>97531.839999999953</v>
      </c>
      <c r="J307" s="326">
        <f t="shared" si="68"/>
        <v>36068.259999999973</v>
      </c>
      <c r="K307" s="326">
        <f t="shared" si="65"/>
        <v>0</v>
      </c>
      <c r="L307" s="387">
        <f t="shared" si="56"/>
        <v>0</v>
      </c>
      <c r="M307" s="387">
        <f t="shared" si="66"/>
        <v>0</v>
      </c>
      <c r="N307" s="591" t="str">
        <f>INDEX(tblSubjectToLoan[Date],ROW()-ROW(tblContractForDeed[#Headers]))</f>
        <v/>
      </c>
      <c r="O307" s="326">
        <f>IF(ROW()=ROW(tblContractForDeed[#Headers])+1,$O$6,IF(INDEX(tblContractForDeed[End Bal],ROW()-ROW(tblContractForDeed[#Headers])-1)&lt;0,0,INDEX(tblContractForDeed[End Bal],ROW()-ROW(tblContractForDeed[#Headers])-1)))</f>
        <v>0</v>
      </c>
      <c r="P307" s="445" t="str">
        <f>IF(tblContractForDeed[[#This Row],[Date]]="","",IF(tblContractForDeed[[#This Row],[Date]]&lt;cfdRateChangeDate,cfdRate1,cfdRate2))</f>
        <v/>
      </c>
      <c r="Q30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26">
        <f>IF(tblContractForDeed[[#This Row],[Payment]]=0,0,MAX(0,MIN(tblContractForDeed[[#This Row],[Beg]],tblContractForDeed[[#This Row],[Payment]]-tblContractForDeed[[#This Row],[Int]])))</f>
        <v>0</v>
      </c>
      <c r="S307" s="326">
        <f>IF(OR(tblContractForDeed[[#This Row],[Date]]&lt;cfdContractDate,tblContractForDeed[[#This Row],[Date]]&gt;cfdEndDate),0,ROUND(tblContractForDeed[[#This Row],[Beg]]*(tblContractForDeed[[#This Row],[Int Rate]]/12),2))</f>
        <v>0</v>
      </c>
      <c r="T307" s="326">
        <f>IF(tblContractForDeed[[#This Row],[Payment]]=0,0,$W$2)</f>
        <v>0</v>
      </c>
      <c r="U307" s="326">
        <f>IF(tblContractForDeed[[#This Row],[Princ]]=0,0,$W$3)</f>
        <v>0</v>
      </c>
      <c r="V307" s="326">
        <f>SUM(tblContractForDeed[[#This Row],[Princ]],tblContractForDeed[[#This Row],[Int]],tblContractForDeed[[#This Row],[Ins]],tblContractForDeed[[#This Row],[Taxes]])</f>
        <v>0</v>
      </c>
      <c r="W307" s="326">
        <f>SUM(INDEX(tblContractForDeed[Princ],1):INDEX(tblContractForDeed[Princ],ROW()-ROW(tblContractForDeed[#Headers])))</f>
        <v>75258.000000000029</v>
      </c>
      <c r="X307" s="326">
        <f>IF(tblContractForDeed[[#This Row],[Beg]]&lt;=0,0,tblContractForDeed[[#This Row],[Beg]]-tblContractForDeed[[#This Row],[Princ]])</f>
        <v>0</v>
      </c>
      <c r="Y30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55">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7" s="326">
        <f>IF(INDEX(tblContractForDeed[End Bal],ROW()-ROW(tblBuyerOutputs[#Headers]))&lt;=0,0,($O$6+IF(ROW()=ROW(tblBuyerOutputs[#Headers])+1,0,INDEX(tblBuyerOutputs[Cumul Appr],ROW()-ROW(tblBuyerOutputs[#Headers])-1)))*$O$2/12)</f>
        <v>0</v>
      </c>
      <c r="AE307" s="326">
        <f>IF(INDEX(tblContractForDeed[End Bal],ROW()-ROW(tblBuyerOutputs[#Headers]))&lt;=0,0,IF(ROW()=ROW(tblBuyerOutputs[#Headers])+1,0,INDEX(tblBuyerOutputs[Cumul Appr],ROW()-ROW(tblBuyerOutputs[#Headers])-1))+tblBuyerOutputs[[#This Row],[Monthly Appr]])</f>
        <v>0</v>
      </c>
      <c r="AF307" s="22"/>
      <c r="AG307" s="14"/>
      <c r="AL307"/>
      <c r="AM307" s="14"/>
      <c r="AO307" s="275"/>
      <c r="AQ307" s="14"/>
      <c r="AR307"/>
    </row>
    <row r="308" spans="1:44" x14ac:dyDescent="0.25">
      <c r="A308" s="590" t="str">
        <f t="shared" si="62"/>
        <v/>
      </c>
      <c r="B308" s="275">
        <f t="shared" si="63"/>
        <v>0</v>
      </c>
      <c r="C308" s="14">
        <f t="shared" si="60"/>
        <v>0</v>
      </c>
      <c r="D308" s="14">
        <f t="shared" si="64"/>
        <v>0</v>
      </c>
      <c r="E308" s="14">
        <f t="shared" si="61"/>
        <v>0</v>
      </c>
      <c r="F308" s="14">
        <f t="shared" si="70"/>
        <v>134.16999999999999</v>
      </c>
      <c r="G308" s="14">
        <f t="shared" si="70"/>
        <v>188.55</v>
      </c>
      <c r="H308" s="14">
        <f t="shared" si="58"/>
        <v>322.72000000000003</v>
      </c>
      <c r="I308" s="275">
        <f t="shared" si="67"/>
        <v>97531.839999999953</v>
      </c>
      <c r="J308" s="275">
        <f t="shared" si="68"/>
        <v>36068.259999999973</v>
      </c>
      <c r="K308" s="275">
        <f t="shared" si="65"/>
        <v>0</v>
      </c>
      <c r="L308" s="386">
        <f t="shared" ref="L308:L371" si="71">IF(MOD(M308,12)=0,M308/12,L307)</f>
        <v>0</v>
      </c>
      <c r="M308" s="386">
        <f t="shared" si="66"/>
        <v>0</v>
      </c>
      <c r="N308" s="590" t="str">
        <f>INDEX(tblSubjectToLoan[Date],ROW()-ROW(tblContractForDeed[#Headers]))</f>
        <v/>
      </c>
      <c r="O308" s="275">
        <f>IF(ROW()=ROW(tblContractForDeed[#Headers])+1,$O$6,IF(INDEX(tblContractForDeed[End Bal],ROW()-ROW(tblContractForDeed[#Headers])-1)&lt;0,0,INDEX(tblContractForDeed[End Bal],ROW()-ROW(tblContractForDeed[#Headers])-1)))</f>
        <v>0</v>
      </c>
      <c r="P308" s="445" t="str">
        <f>IF(tblContractForDeed[[#This Row],[Date]]="","",IF(tblContractForDeed[[#This Row],[Date]]&lt;cfdRateChangeDate,cfdRate1,cfdRate2))</f>
        <v/>
      </c>
      <c r="Q3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75">
        <f>IF(tblContractForDeed[[#This Row],[Payment]]=0,0,MAX(0,MIN(tblContractForDeed[[#This Row],[Beg]],tblContractForDeed[[#This Row],[Payment]]-tblContractForDeed[[#This Row],[Int]])))</f>
        <v>0</v>
      </c>
      <c r="S308" s="275">
        <f>IF(OR(tblContractForDeed[[#This Row],[Date]]&lt;cfdContractDate,tblContractForDeed[[#This Row],[Date]]&gt;cfdEndDate),0,ROUND(tblContractForDeed[[#This Row],[Beg]]*(tblContractForDeed[[#This Row],[Int Rate]]/12),2))</f>
        <v>0</v>
      </c>
      <c r="T308" s="275">
        <f>IF(tblContractForDeed[[#This Row],[Payment]]=0,0,$W$2)</f>
        <v>0</v>
      </c>
      <c r="U308" s="275">
        <f>IF(tblContractForDeed[[#This Row],[Princ]]=0,0,$W$3)</f>
        <v>0</v>
      </c>
      <c r="V308" s="275">
        <f>SUM(tblContractForDeed[[#This Row],[Princ]],tblContractForDeed[[#This Row],[Int]],tblContractForDeed[[#This Row],[Ins]],tblContractForDeed[[#This Row],[Taxes]])</f>
        <v>0</v>
      </c>
      <c r="W308" s="275">
        <f>SUM(INDEX(tblContractForDeed[Princ],1):INDEX(tblContractForDeed[Princ],ROW()-ROW(tblContractForDeed[#Headers])))</f>
        <v>75258.000000000029</v>
      </c>
      <c r="X308" s="275">
        <f>IF(tblContractForDeed[[#This Row],[Beg]]&lt;=0,0,tblContractForDeed[[#This Row],[Beg]]-tblContractForDeed[[#This Row],[Princ]])</f>
        <v>0</v>
      </c>
      <c r="Y30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54">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8" s="275">
        <f>IF(INDEX(tblContractForDeed[End Bal],ROW()-ROW(tblBuyerOutputs[#Headers]))&lt;=0,0,($O$6+IF(ROW()=ROW(tblBuyerOutputs[#Headers])+1,0,INDEX(tblBuyerOutputs[Cumul Appr],ROW()-ROW(tblBuyerOutputs[#Headers])-1)))*$O$2/12)</f>
        <v>0</v>
      </c>
      <c r="AE308" s="275">
        <f>IF(INDEX(tblContractForDeed[End Bal],ROW()-ROW(tblBuyerOutputs[#Headers]))&lt;=0,0,IF(ROW()=ROW(tblBuyerOutputs[#Headers])+1,0,INDEX(tblBuyerOutputs[Cumul Appr],ROW()-ROW(tblBuyerOutputs[#Headers])-1))+tblBuyerOutputs[[#This Row],[Monthly Appr]])</f>
        <v>0</v>
      </c>
      <c r="AF308" s="22"/>
      <c r="AG308" s="14"/>
      <c r="AL308"/>
      <c r="AM308" s="14"/>
      <c r="AO308" s="275"/>
      <c r="AQ308" s="14"/>
      <c r="AR308"/>
    </row>
    <row r="309" spans="1:44" x14ac:dyDescent="0.25">
      <c r="A309" s="590" t="str">
        <f t="shared" si="62"/>
        <v/>
      </c>
      <c r="B309" s="275">
        <f t="shared" si="63"/>
        <v>0</v>
      </c>
      <c r="C309" s="14">
        <f t="shared" si="60"/>
        <v>0</v>
      </c>
      <c r="D309" s="14">
        <f t="shared" si="64"/>
        <v>0</v>
      </c>
      <c r="E309" s="14">
        <f t="shared" si="61"/>
        <v>0</v>
      </c>
      <c r="F309" s="14">
        <f t="shared" si="70"/>
        <v>134.16999999999999</v>
      </c>
      <c r="G309" s="14">
        <f t="shared" si="70"/>
        <v>188.55</v>
      </c>
      <c r="H309" s="14">
        <f t="shared" si="58"/>
        <v>322.72000000000003</v>
      </c>
      <c r="I309" s="275">
        <f t="shared" si="67"/>
        <v>97531.839999999953</v>
      </c>
      <c r="J309" s="275">
        <f t="shared" si="68"/>
        <v>36068.259999999973</v>
      </c>
      <c r="K309" s="275">
        <f t="shared" si="65"/>
        <v>0</v>
      </c>
      <c r="L309" s="386">
        <f t="shared" si="71"/>
        <v>0</v>
      </c>
      <c r="M309" s="386">
        <f t="shared" si="66"/>
        <v>0</v>
      </c>
      <c r="N309" s="590" t="str">
        <f>INDEX(tblSubjectToLoan[Date],ROW()-ROW(tblContractForDeed[#Headers]))</f>
        <v/>
      </c>
      <c r="O309" s="275">
        <f>IF(ROW()=ROW(tblContractForDeed[#Headers])+1,$O$6,IF(INDEX(tblContractForDeed[End Bal],ROW()-ROW(tblContractForDeed[#Headers])-1)&lt;0,0,INDEX(tblContractForDeed[End Bal],ROW()-ROW(tblContractForDeed[#Headers])-1)))</f>
        <v>0</v>
      </c>
      <c r="P309" s="445" t="str">
        <f>IF(tblContractForDeed[[#This Row],[Date]]="","",IF(tblContractForDeed[[#This Row],[Date]]&lt;cfdRateChangeDate,cfdRate1,cfdRate2))</f>
        <v/>
      </c>
      <c r="Q3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75">
        <f>IF(tblContractForDeed[[#This Row],[Payment]]=0,0,MAX(0,MIN(tblContractForDeed[[#This Row],[Beg]],tblContractForDeed[[#This Row],[Payment]]-tblContractForDeed[[#This Row],[Int]])))</f>
        <v>0</v>
      </c>
      <c r="S309" s="275">
        <f>IF(OR(tblContractForDeed[[#This Row],[Date]]&lt;cfdContractDate,tblContractForDeed[[#This Row],[Date]]&gt;cfdEndDate),0,ROUND(tblContractForDeed[[#This Row],[Beg]]*(tblContractForDeed[[#This Row],[Int Rate]]/12),2))</f>
        <v>0</v>
      </c>
      <c r="T309" s="275">
        <f>IF(tblContractForDeed[[#This Row],[Payment]]=0,0,$W$2)</f>
        <v>0</v>
      </c>
      <c r="U309" s="275">
        <f>IF(tblContractForDeed[[#This Row],[Princ]]=0,0,$W$3)</f>
        <v>0</v>
      </c>
      <c r="V309" s="275">
        <f>SUM(tblContractForDeed[[#This Row],[Princ]],tblContractForDeed[[#This Row],[Int]],tblContractForDeed[[#This Row],[Ins]],tblContractForDeed[[#This Row],[Taxes]])</f>
        <v>0</v>
      </c>
      <c r="W309" s="275">
        <f>SUM(INDEX(tblContractForDeed[Princ],1):INDEX(tblContractForDeed[Princ],ROW()-ROW(tblContractForDeed[#Headers])))</f>
        <v>75258.000000000029</v>
      </c>
      <c r="X309" s="275">
        <f>IF(tblContractForDeed[[#This Row],[Beg]]&lt;=0,0,tblContractForDeed[[#This Row],[Beg]]-tblContractForDeed[[#This Row],[Princ]])</f>
        <v>0</v>
      </c>
      <c r="Y30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54">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9" s="275">
        <f>IF(INDEX(tblContractForDeed[End Bal],ROW()-ROW(tblBuyerOutputs[#Headers]))&lt;=0,0,($O$6+IF(ROW()=ROW(tblBuyerOutputs[#Headers])+1,0,INDEX(tblBuyerOutputs[Cumul Appr],ROW()-ROW(tblBuyerOutputs[#Headers])-1)))*$O$2/12)</f>
        <v>0</v>
      </c>
      <c r="AE309" s="275">
        <f>IF(INDEX(tblContractForDeed[End Bal],ROW()-ROW(tblBuyerOutputs[#Headers]))&lt;=0,0,IF(ROW()=ROW(tblBuyerOutputs[#Headers])+1,0,INDEX(tblBuyerOutputs[Cumul Appr],ROW()-ROW(tblBuyerOutputs[#Headers])-1))+tblBuyerOutputs[[#This Row],[Monthly Appr]])</f>
        <v>0</v>
      </c>
      <c r="AF309" s="22"/>
      <c r="AG309" s="14"/>
      <c r="AL309"/>
      <c r="AM309" s="14"/>
      <c r="AO309" s="275"/>
      <c r="AQ309" s="14"/>
      <c r="AR309"/>
    </row>
    <row r="310" spans="1:44" x14ac:dyDescent="0.25">
      <c r="A310" s="590" t="str">
        <f t="shared" si="62"/>
        <v/>
      </c>
      <c r="B310" s="275">
        <f t="shared" si="63"/>
        <v>0</v>
      </c>
      <c r="C310" s="14">
        <f t="shared" si="60"/>
        <v>0</v>
      </c>
      <c r="D310" s="14">
        <f t="shared" si="64"/>
        <v>0</v>
      </c>
      <c r="E310" s="14">
        <f t="shared" si="61"/>
        <v>0</v>
      </c>
      <c r="F310" s="14">
        <f t="shared" si="70"/>
        <v>134.16999999999999</v>
      </c>
      <c r="G310" s="14">
        <f t="shared" si="70"/>
        <v>188.55</v>
      </c>
      <c r="H310" s="14">
        <f t="shared" si="58"/>
        <v>322.72000000000003</v>
      </c>
      <c r="I310" s="275">
        <f t="shared" si="67"/>
        <v>97531.839999999953</v>
      </c>
      <c r="J310" s="275">
        <f t="shared" si="68"/>
        <v>36068.259999999973</v>
      </c>
      <c r="K310" s="275">
        <f t="shared" si="65"/>
        <v>0</v>
      </c>
      <c r="L310" s="386">
        <f t="shared" si="71"/>
        <v>0</v>
      </c>
      <c r="M310" s="386">
        <f t="shared" si="66"/>
        <v>0</v>
      </c>
      <c r="N310" s="590" t="str">
        <f>INDEX(tblSubjectToLoan[Date],ROW()-ROW(tblContractForDeed[#Headers]))</f>
        <v/>
      </c>
      <c r="O310" s="275">
        <f>IF(ROW()=ROW(tblContractForDeed[#Headers])+1,$O$6,IF(INDEX(tblContractForDeed[End Bal],ROW()-ROW(tblContractForDeed[#Headers])-1)&lt;0,0,INDEX(tblContractForDeed[End Bal],ROW()-ROW(tblContractForDeed[#Headers])-1)))</f>
        <v>0</v>
      </c>
      <c r="P310" s="445" t="str">
        <f>IF(tblContractForDeed[[#This Row],[Date]]="","",IF(tblContractForDeed[[#This Row],[Date]]&lt;cfdRateChangeDate,cfdRate1,cfdRate2))</f>
        <v/>
      </c>
      <c r="Q3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75">
        <f>IF(tblContractForDeed[[#This Row],[Payment]]=0,0,MAX(0,MIN(tblContractForDeed[[#This Row],[Beg]],tblContractForDeed[[#This Row],[Payment]]-tblContractForDeed[[#This Row],[Int]])))</f>
        <v>0</v>
      </c>
      <c r="S310" s="275">
        <f>IF(OR(tblContractForDeed[[#This Row],[Date]]&lt;cfdContractDate,tblContractForDeed[[#This Row],[Date]]&gt;cfdEndDate),0,ROUND(tblContractForDeed[[#This Row],[Beg]]*(tblContractForDeed[[#This Row],[Int Rate]]/12),2))</f>
        <v>0</v>
      </c>
      <c r="T310" s="275">
        <f>IF(tblContractForDeed[[#This Row],[Payment]]=0,0,$W$2)</f>
        <v>0</v>
      </c>
      <c r="U310" s="275">
        <f>IF(tblContractForDeed[[#This Row],[Princ]]=0,0,$W$3)</f>
        <v>0</v>
      </c>
      <c r="V310" s="275">
        <f>SUM(tblContractForDeed[[#This Row],[Princ]],tblContractForDeed[[#This Row],[Int]],tblContractForDeed[[#This Row],[Ins]],tblContractForDeed[[#This Row],[Taxes]])</f>
        <v>0</v>
      </c>
      <c r="W310" s="275">
        <f>SUM(INDEX(tblContractForDeed[Princ],1):INDEX(tblContractForDeed[Princ],ROW()-ROW(tblContractForDeed[#Headers])))</f>
        <v>75258.000000000029</v>
      </c>
      <c r="X310" s="275">
        <f>IF(tblContractForDeed[[#This Row],[Beg]]&lt;=0,0,tblContractForDeed[[#This Row],[Beg]]-tblContractForDeed[[#This Row],[Princ]])</f>
        <v>0</v>
      </c>
      <c r="Y31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54">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0" s="275">
        <f>IF(INDEX(tblContractForDeed[End Bal],ROW()-ROW(tblBuyerOutputs[#Headers]))&lt;=0,0,($O$6+IF(ROW()=ROW(tblBuyerOutputs[#Headers])+1,0,INDEX(tblBuyerOutputs[Cumul Appr],ROW()-ROW(tblBuyerOutputs[#Headers])-1)))*$O$2/12)</f>
        <v>0</v>
      </c>
      <c r="AE310" s="275">
        <f>IF(INDEX(tblContractForDeed[End Bal],ROW()-ROW(tblBuyerOutputs[#Headers]))&lt;=0,0,IF(ROW()=ROW(tblBuyerOutputs[#Headers])+1,0,INDEX(tblBuyerOutputs[Cumul Appr],ROW()-ROW(tblBuyerOutputs[#Headers])-1))+tblBuyerOutputs[[#This Row],[Monthly Appr]])</f>
        <v>0</v>
      </c>
      <c r="AF310" s="22"/>
      <c r="AG310" s="14"/>
      <c r="AL310"/>
      <c r="AM310" s="14"/>
      <c r="AO310" s="275"/>
      <c r="AQ310" s="14"/>
      <c r="AR310"/>
    </row>
    <row r="311" spans="1:44" x14ac:dyDescent="0.25">
      <c r="A311" s="590" t="str">
        <f t="shared" si="62"/>
        <v/>
      </c>
      <c r="B311" s="275">
        <f t="shared" si="63"/>
        <v>0</v>
      </c>
      <c r="C311" s="14">
        <f t="shared" si="60"/>
        <v>0</v>
      </c>
      <c r="D311" s="14">
        <f t="shared" si="64"/>
        <v>0</v>
      </c>
      <c r="E311" s="14">
        <f t="shared" si="61"/>
        <v>0</v>
      </c>
      <c r="F311" s="14">
        <f t="shared" si="70"/>
        <v>134.16999999999999</v>
      </c>
      <c r="G311" s="14">
        <f t="shared" si="70"/>
        <v>188.55</v>
      </c>
      <c r="H311" s="14">
        <f t="shared" si="58"/>
        <v>322.72000000000003</v>
      </c>
      <c r="I311" s="275">
        <f t="shared" si="67"/>
        <v>97531.839999999953</v>
      </c>
      <c r="J311" s="275">
        <f t="shared" si="68"/>
        <v>36068.259999999973</v>
      </c>
      <c r="K311" s="275">
        <f t="shared" si="65"/>
        <v>0</v>
      </c>
      <c r="L311" s="386">
        <f t="shared" si="71"/>
        <v>0</v>
      </c>
      <c r="M311" s="386">
        <f t="shared" si="66"/>
        <v>0</v>
      </c>
      <c r="N311" s="590" t="str">
        <f>INDEX(tblSubjectToLoan[Date],ROW()-ROW(tblContractForDeed[#Headers]))</f>
        <v/>
      </c>
      <c r="O311" s="275">
        <f>IF(ROW()=ROW(tblContractForDeed[#Headers])+1,$O$6,IF(INDEX(tblContractForDeed[End Bal],ROW()-ROW(tblContractForDeed[#Headers])-1)&lt;0,0,INDEX(tblContractForDeed[End Bal],ROW()-ROW(tblContractForDeed[#Headers])-1)))</f>
        <v>0</v>
      </c>
      <c r="P311" s="445" t="str">
        <f>IF(tblContractForDeed[[#This Row],[Date]]="","",IF(tblContractForDeed[[#This Row],[Date]]&lt;cfdRateChangeDate,cfdRate1,cfdRate2))</f>
        <v/>
      </c>
      <c r="Q31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75">
        <f>IF(tblContractForDeed[[#This Row],[Payment]]=0,0,MAX(0,MIN(tblContractForDeed[[#This Row],[Beg]],tblContractForDeed[[#This Row],[Payment]]-tblContractForDeed[[#This Row],[Int]])))</f>
        <v>0</v>
      </c>
      <c r="S311" s="275">
        <f>IF(OR(tblContractForDeed[[#This Row],[Date]]&lt;cfdContractDate,tblContractForDeed[[#This Row],[Date]]&gt;cfdEndDate),0,ROUND(tblContractForDeed[[#This Row],[Beg]]*(tblContractForDeed[[#This Row],[Int Rate]]/12),2))</f>
        <v>0</v>
      </c>
      <c r="T311" s="275">
        <f>IF(tblContractForDeed[[#This Row],[Payment]]=0,0,$W$2)</f>
        <v>0</v>
      </c>
      <c r="U311" s="275">
        <f>IF(tblContractForDeed[[#This Row],[Princ]]=0,0,$W$3)</f>
        <v>0</v>
      </c>
      <c r="V311" s="275">
        <f>SUM(tblContractForDeed[[#This Row],[Princ]],tblContractForDeed[[#This Row],[Int]],tblContractForDeed[[#This Row],[Ins]],tblContractForDeed[[#This Row],[Taxes]])</f>
        <v>0</v>
      </c>
      <c r="W311" s="275">
        <f>SUM(INDEX(tblContractForDeed[Princ],1):INDEX(tblContractForDeed[Princ],ROW()-ROW(tblContractForDeed[#Headers])))</f>
        <v>75258.000000000029</v>
      </c>
      <c r="X311" s="275">
        <f>IF(tblContractForDeed[[#This Row],[Beg]]&lt;=0,0,tblContractForDeed[[#This Row],[Beg]]-tblContractForDeed[[#This Row],[Princ]])</f>
        <v>0</v>
      </c>
      <c r="Y31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54">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1" s="275">
        <f>IF(INDEX(tblContractForDeed[End Bal],ROW()-ROW(tblBuyerOutputs[#Headers]))&lt;=0,0,($O$6+IF(ROW()=ROW(tblBuyerOutputs[#Headers])+1,0,INDEX(tblBuyerOutputs[Cumul Appr],ROW()-ROW(tblBuyerOutputs[#Headers])-1)))*$O$2/12)</f>
        <v>0</v>
      </c>
      <c r="AE311" s="275">
        <f>IF(INDEX(tblContractForDeed[End Bal],ROW()-ROW(tblBuyerOutputs[#Headers]))&lt;=0,0,IF(ROW()=ROW(tblBuyerOutputs[#Headers])+1,0,INDEX(tblBuyerOutputs[Cumul Appr],ROW()-ROW(tblBuyerOutputs[#Headers])-1))+tblBuyerOutputs[[#This Row],[Monthly Appr]])</f>
        <v>0</v>
      </c>
      <c r="AF311" s="22"/>
      <c r="AG311" s="14"/>
      <c r="AL311"/>
      <c r="AM311" s="14"/>
      <c r="AO311" s="275"/>
      <c r="AQ311" s="14"/>
      <c r="AR311"/>
    </row>
    <row r="312" spans="1:44" x14ac:dyDescent="0.25">
      <c r="A312" s="590" t="str">
        <f t="shared" si="62"/>
        <v/>
      </c>
      <c r="B312" s="275">
        <f t="shared" si="63"/>
        <v>0</v>
      </c>
      <c r="C312" s="14">
        <f t="shared" si="60"/>
        <v>0</v>
      </c>
      <c r="D312" s="14">
        <f t="shared" si="64"/>
        <v>0</v>
      </c>
      <c r="E312" s="14">
        <f t="shared" si="61"/>
        <v>0</v>
      </c>
      <c r="F312" s="14">
        <f t="shared" si="70"/>
        <v>134.16999999999999</v>
      </c>
      <c r="G312" s="14">
        <f t="shared" si="70"/>
        <v>188.55</v>
      </c>
      <c r="H312" s="14">
        <f t="shared" si="58"/>
        <v>322.72000000000003</v>
      </c>
      <c r="I312" s="275">
        <f t="shared" si="67"/>
        <v>97531.839999999953</v>
      </c>
      <c r="J312" s="275">
        <f t="shared" si="68"/>
        <v>36068.259999999973</v>
      </c>
      <c r="K312" s="275">
        <f t="shared" si="65"/>
        <v>0</v>
      </c>
      <c r="L312" s="386">
        <f t="shared" si="71"/>
        <v>0</v>
      </c>
      <c r="M312" s="386">
        <f t="shared" si="66"/>
        <v>0</v>
      </c>
      <c r="N312" s="590" t="str">
        <f>INDEX(tblSubjectToLoan[Date],ROW()-ROW(tblContractForDeed[#Headers]))</f>
        <v/>
      </c>
      <c r="O312" s="275">
        <f>IF(ROW()=ROW(tblContractForDeed[#Headers])+1,$O$6,IF(INDEX(tblContractForDeed[End Bal],ROW()-ROW(tblContractForDeed[#Headers])-1)&lt;0,0,INDEX(tblContractForDeed[End Bal],ROW()-ROW(tblContractForDeed[#Headers])-1)))</f>
        <v>0</v>
      </c>
      <c r="P312" s="445" t="str">
        <f>IF(tblContractForDeed[[#This Row],[Date]]="","",IF(tblContractForDeed[[#This Row],[Date]]&lt;cfdRateChangeDate,cfdRate1,cfdRate2))</f>
        <v/>
      </c>
      <c r="Q3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75">
        <f>IF(tblContractForDeed[[#This Row],[Payment]]=0,0,MAX(0,MIN(tblContractForDeed[[#This Row],[Beg]],tblContractForDeed[[#This Row],[Payment]]-tblContractForDeed[[#This Row],[Int]])))</f>
        <v>0</v>
      </c>
      <c r="S312" s="275">
        <f>IF(OR(tblContractForDeed[[#This Row],[Date]]&lt;cfdContractDate,tblContractForDeed[[#This Row],[Date]]&gt;cfdEndDate),0,ROUND(tblContractForDeed[[#This Row],[Beg]]*(tblContractForDeed[[#This Row],[Int Rate]]/12),2))</f>
        <v>0</v>
      </c>
      <c r="T312" s="275">
        <f>IF(tblContractForDeed[[#This Row],[Payment]]=0,0,$W$2)</f>
        <v>0</v>
      </c>
      <c r="U312" s="275">
        <f>IF(tblContractForDeed[[#This Row],[Princ]]=0,0,$W$3)</f>
        <v>0</v>
      </c>
      <c r="V312" s="275">
        <f>SUM(tblContractForDeed[[#This Row],[Princ]],tblContractForDeed[[#This Row],[Int]],tblContractForDeed[[#This Row],[Ins]],tblContractForDeed[[#This Row],[Taxes]])</f>
        <v>0</v>
      </c>
      <c r="W312" s="275">
        <f>SUM(INDEX(tblContractForDeed[Princ],1):INDEX(tblContractForDeed[Princ],ROW()-ROW(tblContractForDeed[#Headers])))</f>
        <v>75258.000000000029</v>
      </c>
      <c r="X312" s="275">
        <f>IF(tblContractForDeed[[#This Row],[Beg]]&lt;=0,0,tblContractForDeed[[#This Row],[Beg]]-tblContractForDeed[[#This Row],[Princ]])</f>
        <v>0</v>
      </c>
      <c r="Y31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54">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2" s="275">
        <f>IF(INDEX(tblContractForDeed[End Bal],ROW()-ROW(tblBuyerOutputs[#Headers]))&lt;=0,0,($O$6+IF(ROW()=ROW(tblBuyerOutputs[#Headers])+1,0,INDEX(tblBuyerOutputs[Cumul Appr],ROW()-ROW(tblBuyerOutputs[#Headers])-1)))*$O$2/12)</f>
        <v>0</v>
      </c>
      <c r="AE312" s="275">
        <f>IF(INDEX(tblContractForDeed[End Bal],ROW()-ROW(tblBuyerOutputs[#Headers]))&lt;=0,0,IF(ROW()=ROW(tblBuyerOutputs[#Headers])+1,0,INDEX(tblBuyerOutputs[Cumul Appr],ROW()-ROW(tblBuyerOutputs[#Headers])-1))+tblBuyerOutputs[[#This Row],[Monthly Appr]])</f>
        <v>0</v>
      </c>
      <c r="AF312" s="22"/>
      <c r="AG312" s="14"/>
      <c r="AL312"/>
      <c r="AM312" s="14"/>
      <c r="AO312" s="275"/>
      <c r="AQ312" s="14"/>
      <c r="AR312"/>
    </row>
    <row r="313" spans="1:44" x14ac:dyDescent="0.25">
      <c r="A313" s="590" t="str">
        <f t="shared" si="62"/>
        <v/>
      </c>
      <c r="B313" s="275">
        <f t="shared" si="63"/>
        <v>0</v>
      </c>
      <c r="C313" s="14">
        <f t="shared" si="60"/>
        <v>0</v>
      </c>
      <c r="D313" s="14">
        <f t="shared" si="64"/>
        <v>0</v>
      </c>
      <c r="E313" s="14">
        <f t="shared" si="61"/>
        <v>0</v>
      </c>
      <c r="F313" s="14">
        <f t="shared" si="70"/>
        <v>134.16999999999999</v>
      </c>
      <c r="G313" s="14">
        <f t="shared" si="70"/>
        <v>188.55</v>
      </c>
      <c r="H313" s="14">
        <f t="shared" si="58"/>
        <v>322.72000000000003</v>
      </c>
      <c r="I313" s="275">
        <f t="shared" si="67"/>
        <v>97531.839999999953</v>
      </c>
      <c r="J313" s="275">
        <f t="shared" si="68"/>
        <v>36068.259999999973</v>
      </c>
      <c r="K313" s="275">
        <f t="shared" si="65"/>
        <v>0</v>
      </c>
      <c r="L313" s="386">
        <f t="shared" si="71"/>
        <v>0</v>
      </c>
      <c r="M313" s="386">
        <f t="shared" si="66"/>
        <v>0</v>
      </c>
      <c r="N313" s="590" t="str">
        <f>INDEX(tblSubjectToLoan[Date],ROW()-ROW(tblContractForDeed[#Headers]))</f>
        <v/>
      </c>
      <c r="O313" s="275">
        <f>IF(ROW()=ROW(tblContractForDeed[#Headers])+1,$O$6,IF(INDEX(tblContractForDeed[End Bal],ROW()-ROW(tblContractForDeed[#Headers])-1)&lt;0,0,INDEX(tblContractForDeed[End Bal],ROW()-ROW(tblContractForDeed[#Headers])-1)))</f>
        <v>0</v>
      </c>
      <c r="P313" s="445" t="str">
        <f>IF(tblContractForDeed[[#This Row],[Date]]="","",IF(tblContractForDeed[[#This Row],[Date]]&lt;cfdRateChangeDate,cfdRate1,cfdRate2))</f>
        <v/>
      </c>
      <c r="Q3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75">
        <f>IF(tblContractForDeed[[#This Row],[Payment]]=0,0,MAX(0,MIN(tblContractForDeed[[#This Row],[Beg]],tblContractForDeed[[#This Row],[Payment]]-tblContractForDeed[[#This Row],[Int]])))</f>
        <v>0</v>
      </c>
      <c r="S313" s="275">
        <f>IF(OR(tblContractForDeed[[#This Row],[Date]]&lt;cfdContractDate,tblContractForDeed[[#This Row],[Date]]&gt;cfdEndDate),0,ROUND(tblContractForDeed[[#This Row],[Beg]]*(tblContractForDeed[[#This Row],[Int Rate]]/12),2))</f>
        <v>0</v>
      </c>
      <c r="T313" s="275">
        <f>IF(tblContractForDeed[[#This Row],[Payment]]=0,0,$W$2)</f>
        <v>0</v>
      </c>
      <c r="U313" s="275">
        <f>IF(tblContractForDeed[[#This Row],[Princ]]=0,0,$W$3)</f>
        <v>0</v>
      </c>
      <c r="V313" s="275">
        <f>SUM(tblContractForDeed[[#This Row],[Princ]],tblContractForDeed[[#This Row],[Int]],tblContractForDeed[[#This Row],[Ins]],tblContractForDeed[[#This Row],[Taxes]])</f>
        <v>0</v>
      </c>
      <c r="W313" s="275">
        <f>SUM(INDEX(tblContractForDeed[Princ],1):INDEX(tblContractForDeed[Princ],ROW()-ROW(tblContractForDeed[#Headers])))</f>
        <v>75258.000000000029</v>
      </c>
      <c r="X313" s="275">
        <f>IF(tblContractForDeed[[#This Row],[Beg]]&lt;=0,0,tblContractForDeed[[#This Row],[Beg]]-tblContractForDeed[[#This Row],[Princ]])</f>
        <v>0</v>
      </c>
      <c r="Y31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54">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3" s="275">
        <f>IF(INDEX(tblContractForDeed[End Bal],ROW()-ROW(tblBuyerOutputs[#Headers]))&lt;=0,0,($O$6+IF(ROW()=ROW(tblBuyerOutputs[#Headers])+1,0,INDEX(tblBuyerOutputs[Cumul Appr],ROW()-ROW(tblBuyerOutputs[#Headers])-1)))*$O$2/12)</f>
        <v>0</v>
      </c>
      <c r="AE313" s="275">
        <f>IF(INDEX(tblContractForDeed[End Bal],ROW()-ROW(tblBuyerOutputs[#Headers]))&lt;=0,0,IF(ROW()=ROW(tblBuyerOutputs[#Headers])+1,0,INDEX(tblBuyerOutputs[Cumul Appr],ROW()-ROW(tblBuyerOutputs[#Headers])-1))+tblBuyerOutputs[[#This Row],[Monthly Appr]])</f>
        <v>0</v>
      </c>
      <c r="AF313" s="22"/>
      <c r="AG313" s="14"/>
      <c r="AL313"/>
      <c r="AM313" s="14"/>
      <c r="AO313" s="275"/>
      <c r="AQ313" s="14"/>
      <c r="AR313"/>
    </row>
    <row r="314" spans="1:44" x14ac:dyDescent="0.25">
      <c r="A314" s="590" t="str">
        <f t="shared" si="62"/>
        <v/>
      </c>
      <c r="B314" s="275">
        <f t="shared" si="63"/>
        <v>0</v>
      </c>
      <c r="C314" s="14">
        <f t="shared" si="60"/>
        <v>0</v>
      </c>
      <c r="D314" s="14">
        <f t="shared" si="64"/>
        <v>0</v>
      </c>
      <c r="E314" s="14">
        <f t="shared" si="61"/>
        <v>0</v>
      </c>
      <c r="F314" s="14">
        <f t="shared" si="70"/>
        <v>134.16999999999999</v>
      </c>
      <c r="G314" s="14">
        <f t="shared" si="70"/>
        <v>188.55</v>
      </c>
      <c r="H314" s="14">
        <f t="shared" si="58"/>
        <v>322.72000000000003</v>
      </c>
      <c r="I314" s="275">
        <f t="shared" si="67"/>
        <v>97531.839999999953</v>
      </c>
      <c r="J314" s="275">
        <f t="shared" si="68"/>
        <v>36068.259999999973</v>
      </c>
      <c r="K314" s="275">
        <f t="shared" si="65"/>
        <v>0</v>
      </c>
      <c r="L314" s="386">
        <f t="shared" si="71"/>
        <v>0</v>
      </c>
      <c r="M314" s="386">
        <f t="shared" si="66"/>
        <v>0</v>
      </c>
      <c r="N314" s="590" t="str">
        <f>INDEX(tblSubjectToLoan[Date],ROW()-ROW(tblContractForDeed[#Headers]))</f>
        <v/>
      </c>
      <c r="O314" s="275">
        <f>IF(ROW()=ROW(tblContractForDeed[#Headers])+1,$O$6,IF(INDEX(tblContractForDeed[End Bal],ROW()-ROW(tblContractForDeed[#Headers])-1)&lt;0,0,INDEX(tblContractForDeed[End Bal],ROW()-ROW(tblContractForDeed[#Headers])-1)))</f>
        <v>0</v>
      </c>
      <c r="P314" s="445" t="str">
        <f>IF(tblContractForDeed[[#This Row],[Date]]="","",IF(tblContractForDeed[[#This Row],[Date]]&lt;cfdRateChangeDate,cfdRate1,cfdRate2))</f>
        <v/>
      </c>
      <c r="Q3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75">
        <f>IF(tblContractForDeed[[#This Row],[Payment]]=0,0,MAX(0,MIN(tblContractForDeed[[#This Row],[Beg]],tblContractForDeed[[#This Row],[Payment]]-tblContractForDeed[[#This Row],[Int]])))</f>
        <v>0</v>
      </c>
      <c r="S314" s="275">
        <f>IF(OR(tblContractForDeed[[#This Row],[Date]]&lt;cfdContractDate,tblContractForDeed[[#This Row],[Date]]&gt;cfdEndDate),0,ROUND(tblContractForDeed[[#This Row],[Beg]]*(tblContractForDeed[[#This Row],[Int Rate]]/12),2))</f>
        <v>0</v>
      </c>
      <c r="T314" s="275">
        <f>IF(tblContractForDeed[[#This Row],[Payment]]=0,0,$W$2)</f>
        <v>0</v>
      </c>
      <c r="U314" s="275">
        <f>IF(tblContractForDeed[[#This Row],[Princ]]=0,0,$W$3)</f>
        <v>0</v>
      </c>
      <c r="V314" s="275">
        <f>SUM(tblContractForDeed[[#This Row],[Princ]],tblContractForDeed[[#This Row],[Int]],tblContractForDeed[[#This Row],[Ins]],tblContractForDeed[[#This Row],[Taxes]])</f>
        <v>0</v>
      </c>
      <c r="W314" s="275">
        <f>SUM(INDEX(tblContractForDeed[Princ],1):INDEX(tblContractForDeed[Princ],ROW()-ROW(tblContractForDeed[#Headers])))</f>
        <v>75258.000000000029</v>
      </c>
      <c r="X314" s="275">
        <f>IF(tblContractForDeed[[#This Row],[Beg]]&lt;=0,0,tblContractForDeed[[#This Row],[Beg]]-tblContractForDeed[[#This Row],[Princ]])</f>
        <v>0</v>
      </c>
      <c r="Y31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54">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4" s="275">
        <f>IF(INDEX(tblContractForDeed[End Bal],ROW()-ROW(tblBuyerOutputs[#Headers]))&lt;=0,0,($O$6+IF(ROW()=ROW(tblBuyerOutputs[#Headers])+1,0,INDEX(tblBuyerOutputs[Cumul Appr],ROW()-ROW(tblBuyerOutputs[#Headers])-1)))*$O$2/12)</f>
        <v>0</v>
      </c>
      <c r="AE314" s="275">
        <f>IF(INDEX(tblContractForDeed[End Bal],ROW()-ROW(tblBuyerOutputs[#Headers]))&lt;=0,0,IF(ROW()=ROW(tblBuyerOutputs[#Headers])+1,0,INDEX(tblBuyerOutputs[Cumul Appr],ROW()-ROW(tblBuyerOutputs[#Headers])-1))+tblBuyerOutputs[[#This Row],[Monthly Appr]])</f>
        <v>0</v>
      </c>
      <c r="AF314" s="22"/>
      <c r="AG314" s="14"/>
      <c r="AL314"/>
      <c r="AM314" s="14"/>
      <c r="AO314" s="275"/>
      <c r="AQ314" s="14"/>
      <c r="AR314"/>
    </row>
    <row r="315" spans="1:44" x14ac:dyDescent="0.25">
      <c r="A315" s="590" t="str">
        <f t="shared" si="62"/>
        <v/>
      </c>
      <c r="B315" s="275">
        <f t="shared" si="63"/>
        <v>0</v>
      </c>
      <c r="C315" s="14">
        <f t="shared" si="60"/>
        <v>0</v>
      </c>
      <c r="D315" s="14">
        <f t="shared" si="64"/>
        <v>0</v>
      </c>
      <c r="E315" s="14">
        <f t="shared" si="61"/>
        <v>0</v>
      </c>
      <c r="F315" s="14">
        <f t="shared" si="70"/>
        <v>134.16999999999999</v>
      </c>
      <c r="G315" s="14">
        <f t="shared" si="70"/>
        <v>188.55</v>
      </c>
      <c r="H315" s="14">
        <f t="shared" si="58"/>
        <v>322.72000000000003</v>
      </c>
      <c r="I315" s="275">
        <f t="shared" si="67"/>
        <v>97531.839999999953</v>
      </c>
      <c r="J315" s="275">
        <f t="shared" si="68"/>
        <v>36068.259999999973</v>
      </c>
      <c r="K315" s="275">
        <f t="shared" si="65"/>
        <v>0</v>
      </c>
      <c r="L315" s="386">
        <f t="shared" si="71"/>
        <v>0</v>
      </c>
      <c r="M315" s="386">
        <f t="shared" si="66"/>
        <v>0</v>
      </c>
      <c r="N315" s="590" t="str">
        <f>INDEX(tblSubjectToLoan[Date],ROW()-ROW(tblContractForDeed[#Headers]))</f>
        <v/>
      </c>
      <c r="O315" s="275">
        <f>IF(ROW()=ROW(tblContractForDeed[#Headers])+1,$O$6,IF(INDEX(tblContractForDeed[End Bal],ROW()-ROW(tblContractForDeed[#Headers])-1)&lt;0,0,INDEX(tblContractForDeed[End Bal],ROW()-ROW(tblContractForDeed[#Headers])-1)))</f>
        <v>0</v>
      </c>
      <c r="P315" s="445" t="str">
        <f>IF(tblContractForDeed[[#This Row],[Date]]="","",IF(tblContractForDeed[[#This Row],[Date]]&lt;cfdRateChangeDate,cfdRate1,cfdRate2))</f>
        <v/>
      </c>
      <c r="Q31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75">
        <f>IF(tblContractForDeed[[#This Row],[Payment]]=0,0,MAX(0,MIN(tblContractForDeed[[#This Row],[Beg]],tblContractForDeed[[#This Row],[Payment]]-tblContractForDeed[[#This Row],[Int]])))</f>
        <v>0</v>
      </c>
      <c r="S315" s="275">
        <f>IF(OR(tblContractForDeed[[#This Row],[Date]]&lt;cfdContractDate,tblContractForDeed[[#This Row],[Date]]&gt;cfdEndDate),0,ROUND(tblContractForDeed[[#This Row],[Beg]]*(tblContractForDeed[[#This Row],[Int Rate]]/12),2))</f>
        <v>0</v>
      </c>
      <c r="T315" s="275">
        <f>IF(tblContractForDeed[[#This Row],[Payment]]=0,0,$W$2)</f>
        <v>0</v>
      </c>
      <c r="U315" s="275">
        <f>IF(tblContractForDeed[[#This Row],[Princ]]=0,0,$W$3)</f>
        <v>0</v>
      </c>
      <c r="V315" s="275">
        <f>SUM(tblContractForDeed[[#This Row],[Princ]],tblContractForDeed[[#This Row],[Int]],tblContractForDeed[[#This Row],[Ins]],tblContractForDeed[[#This Row],[Taxes]])</f>
        <v>0</v>
      </c>
      <c r="W315" s="275">
        <f>SUM(INDEX(tblContractForDeed[Princ],1):INDEX(tblContractForDeed[Princ],ROW()-ROW(tblContractForDeed[#Headers])))</f>
        <v>75258.000000000029</v>
      </c>
      <c r="X315" s="275">
        <f>IF(tblContractForDeed[[#This Row],[Beg]]&lt;=0,0,tblContractForDeed[[#This Row],[Beg]]-tblContractForDeed[[#This Row],[Princ]])</f>
        <v>0</v>
      </c>
      <c r="Y31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54">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5" s="275">
        <f>IF(INDEX(tblContractForDeed[End Bal],ROW()-ROW(tblBuyerOutputs[#Headers]))&lt;=0,0,($O$6+IF(ROW()=ROW(tblBuyerOutputs[#Headers])+1,0,INDEX(tblBuyerOutputs[Cumul Appr],ROW()-ROW(tblBuyerOutputs[#Headers])-1)))*$O$2/12)</f>
        <v>0</v>
      </c>
      <c r="AE315" s="275">
        <f>IF(INDEX(tblContractForDeed[End Bal],ROW()-ROW(tblBuyerOutputs[#Headers]))&lt;=0,0,IF(ROW()=ROW(tblBuyerOutputs[#Headers])+1,0,INDEX(tblBuyerOutputs[Cumul Appr],ROW()-ROW(tblBuyerOutputs[#Headers])-1))+tblBuyerOutputs[[#This Row],[Monthly Appr]])</f>
        <v>0</v>
      </c>
      <c r="AF315" s="22"/>
      <c r="AG315" s="14"/>
      <c r="AL315"/>
      <c r="AM315" s="14"/>
      <c r="AO315" s="275"/>
      <c r="AQ315" s="14"/>
      <c r="AR315"/>
    </row>
    <row r="316" spans="1:44" x14ac:dyDescent="0.25">
      <c r="A316" s="590" t="str">
        <f t="shared" si="62"/>
        <v/>
      </c>
      <c r="B316" s="275">
        <f t="shared" si="63"/>
        <v>0</v>
      </c>
      <c r="C316" s="14">
        <f t="shared" si="60"/>
        <v>0</v>
      </c>
      <c r="D316" s="14">
        <f t="shared" si="64"/>
        <v>0</v>
      </c>
      <c r="E316" s="14">
        <f t="shared" si="61"/>
        <v>0</v>
      </c>
      <c r="F316" s="14">
        <f t="shared" si="70"/>
        <v>134.16999999999999</v>
      </c>
      <c r="G316" s="14">
        <f t="shared" si="70"/>
        <v>188.55</v>
      </c>
      <c r="H316" s="14">
        <f t="shared" si="58"/>
        <v>322.72000000000003</v>
      </c>
      <c r="I316" s="275">
        <f t="shared" si="67"/>
        <v>97531.839999999953</v>
      </c>
      <c r="J316" s="275">
        <f t="shared" si="68"/>
        <v>36068.259999999973</v>
      </c>
      <c r="K316" s="275">
        <f t="shared" si="65"/>
        <v>0</v>
      </c>
      <c r="L316" s="386">
        <f t="shared" si="71"/>
        <v>0</v>
      </c>
      <c r="M316" s="386">
        <f t="shared" si="66"/>
        <v>0</v>
      </c>
      <c r="N316" s="590" t="str">
        <f>INDEX(tblSubjectToLoan[Date],ROW()-ROW(tblContractForDeed[#Headers]))</f>
        <v/>
      </c>
      <c r="O316" s="275">
        <f>IF(ROW()=ROW(tblContractForDeed[#Headers])+1,$O$6,IF(INDEX(tblContractForDeed[End Bal],ROW()-ROW(tblContractForDeed[#Headers])-1)&lt;0,0,INDEX(tblContractForDeed[End Bal],ROW()-ROW(tblContractForDeed[#Headers])-1)))</f>
        <v>0</v>
      </c>
      <c r="P316" s="445" t="str">
        <f>IF(tblContractForDeed[[#This Row],[Date]]="","",IF(tblContractForDeed[[#This Row],[Date]]&lt;cfdRateChangeDate,cfdRate1,cfdRate2))</f>
        <v/>
      </c>
      <c r="Q3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75">
        <f>IF(tblContractForDeed[[#This Row],[Payment]]=0,0,MAX(0,MIN(tblContractForDeed[[#This Row],[Beg]],tblContractForDeed[[#This Row],[Payment]]-tblContractForDeed[[#This Row],[Int]])))</f>
        <v>0</v>
      </c>
      <c r="S316" s="275">
        <f>IF(OR(tblContractForDeed[[#This Row],[Date]]&lt;cfdContractDate,tblContractForDeed[[#This Row],[Date]]&gt;cfdEndDate),0,ROUND(tblContractForDeed[[#This Row],[Beg]]*(tblContractForDeed[[#This Row],[Int Rate]]/12),2))</f>
        <v>0</v>
      </c>
      <c r="T316" s="275">
        <f>IF(tblContractForDeed[[#This Row],[Payment]]=0,0,$W$2)</f>
        <v>0</v>
      </c>
      <c r="U316" s="275">
        <f>IF(tblContractForDeed[[#This Row],[Princ]]=0,0,$W$3)</f>
        <v>0</v>
      </c>
      <c r="V316" s="275">
        <f>SUM(tblContractForDeed[[#This Row],[Princ]],tblContractForDeed[[#This Row],[Int]],tblContractForDeed[[#This Row],[Ins]],tblContractForDeed[[#This Row],[Taxes]])</f>
        <v>0</v>
      </c>
      <c r="W316" s="275">
        <f>SUM(INDEX(tblContractForDeed[Princ],1):INDEX(tblContractForDeed[Princ],ROW()-ROW(tblContractForDeed[#Headers])))</f>
        <v>75258.000000000029</v>
      </c>
      <c r="X316" s="275">
        <f>IF(tblContractForDeed[[#This Row],[Beg]]&lt;=0,0,tblContractForDeed[[#This Row],[Beg]]-tblContractForDeed[[#This Row],[Princ]])</f>
        <v>0</v>
      </c>
      <c r="Y31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54">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6" s="275">
        <f>IF(INDEX(tblContractForDeed[End Bal],ROW()-ROW(tblBuyerOutputs[#Headers]))&lt;=0,0,($O$6+IF(ROW()=ROW(tblBuyerOutputs[#Headers])+1,0,INDEX(tblBuyerOutputs[Cumul Appr],ROW()-ROW(tblBuyerOutputs[#Headers])-1)))*$O$2/12)</f>
        <v>0</v>
      </c>
      <c r="AE316" s="275">
        <f>IF(INDEX(tblContractForDeed[End Bal],ROW()-ROW(tblBuyerOutputs[#Headers]))&lt;=0,0,IF(ROW()=ROW(tblBuyerOutputs[#Headers])+1,0,INDEX(tblBuyerOutputs[Cumul Appr],ROW()-ROW(tblBuyerOutputs[#Headers])-1))+tblBuyerOutputs[[#This Row],[Monthly Appr]])</f>
        <v>0</v>
      </c>
      <c r="AF316" s="22"/>
      <c r="AG316" s="14"/>
      <c r="AL316"/>
      <c r="AM316" s="14"/>
      <c r="AO316" s="275"/>
      <c r="AQ316" s="14"/>
      <c r="AR316"/>
    </row>
    <row r="317" spans="1:44" x14ac:dyDescent="0.25">
      <c r="A317" s="590" t="str">
        <f t="shared" si="62"/>
        <v/>
      </c>
      <c r="B317" s="275">
        <f t="shared" si="63"/>
        <v>0</v>
      </c>
      <c r="C317" s="14">
        <f t="shared" si="60"/>
        <v>0</v>
      </c>
      <c r="D317" s="14">
        <f t="shared" si="64"/>
        <v>0</v>
      </c>
      <c r="E317" s="14">
        <f t="shared" si="61"/>
        <v>0</v>
      </c>
      <c r="F317" s="14">
        <f t="shared" si="70"/>
        <v>134.16999999999999</v>
      </c>
      <c r="G317" s="14">
        <f t="shared" si="70"/>
        <v>188.55</v>
      </c>
      <c r="H317" s="14">
        <f t="shared" si="58"/>
        <v>322.72000000000003</v>
      </c>
      <c r="I317" s="275">
        <f t="shared" si="67"/>
        <v>97531.839999999953</v>
      </c>
      <c r="J317" s="275">
        <f t="shared" si="68"/>
        <v>36068.259999999973</v>
      </c>
      <c r="K317" s="275">
        <f t="shared" si="65"/>
        <v>0</v>
      </c>
      <c r="L317" s="386">
        <f t="shared" si="71"/>
        <v>0</v>
      </c>
      <c r="M317" s="386">
        <f t="shared" si="66"/>
        <v>0</v>
      </c>
      <c r="N317" s="590" t="str">
        <f>INDEX(tblSubjectToLoan[Date],ROW()-ROW(tblContractForDeed[#Headers]))</f>
        <v/>
      </c>
      <c r="O317" s="275">
        <f>IF(ROW()=ROW(tblContractForDeed[#Headers])+1,$O$6,IF(INDEX(tblContractForDeed[End Bal],ROW()-ROW(tblContractForDeed[#Headers])-1)&lt;0,0,INDEX(tblContractForDeed[End Bal],ROW()-ROW(tblContractForDeed[#Headers])-1)))</f>
        <v>0</v>
      </c>
      <c r="P317" s="445" t="str">
        <f>IF(tblContractForDeed[[#This Row],[Date]]="","",IF(tblContractForDeed[[#This Row],[Date]]&lt;cfdRateChangeDate,cfdRate1,cfdRate2))</f>
        <v/>
      </c>
      <c r="Q3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75">
        <f>IF(tblContractForDeed[[#This Row],[Payment]]=0,0,MAX(0,MIN(tblContractForDeed[[#This Row],[Beg]],tblContractForDeed[[#This Row],[Payment]]-tblContractForDeed[[#This Row],[Int]])))</f>
        <v>0</v>
      </c>
      <c r="S317" s="275">
        <f>IF(OR(tblContractForDeed[[#This Row],[Date]]&lt;cfdContractDate,tblContractForDeed[[#This Row],[Date]]&gt;cfdEndDate),0,ROUND(tblContractForDeed[[#This Row],[Beg]]*(tblContractForDeed[[#This Row],[Int Rate]]/12),2))</f>
        <v>0</v>
      </c>
      <c r="T317" s="275">
        <f>IF(tblContractForDeed[[#This Row],[Payment]]=0,0,$W$2)</f>
        <v>0</v>
      </c>
      <c r="U317" s="275">
        <f>IF(tblContractForDeed[[#This Row],[Princ]]=0,0,$W$3)</f>
        <v>0</v>
      </c>
      <c r="V317" s="275">
        <f>SUM(tblContractForDeed[[#This Row],[Princ]],tblContractForDeed[[#This Row],[Int]],tblContractForDeed[[#This Row],[Ins]],tblContractForDeed[[#This Row],[Taxes]])</f>
        <v>0</v>
      </c>
      <c r="W317" s="275">
        <f>SUM(INDEX(tblContractForDeed[Princ],1):INDEX(tblContractForDeed[Princ],ROW()-ROW(tblContractForDeed[#Headers])))</f>
        <v>75258.000000000029</v>
      </c>
      <c r="X317" s="275">
        <f>IF(tblContractForDeed[[#This Row],[Beg]]&lt;=0,0,tblContractForDeed[[#This Row],[Beg]]-tblContractForDeed[[#This Row],[Princ]])</f>
        <v>0</v>
      </c>
      <c r="Y31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54">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7" s="275">
        <f>IF(INDEX(tblContractForDeed[End Bal],ROW()-ROW(tblBuyerOutputs[#Headers]))&lt;=0,0,($O$6+IF(ROW()=ROW(tblBuyerOutputs[#Headers])+1,0,INDEX(tblBuyerOutputs[Cumul Appr],ROW()-ROW(tblBuyerOutputs[#Headers])-1)))*$O$2/12)</f>
        <v>0</v>
      </c>
      <c r="AE317" s="275">
        <f>IF(INDEX(tblContractForDeed[End Bal],ROW()-ROW(tblBuyerOutputs[#Headers]))&lt;=0,0,IF(ROW()=ROW(tblBuyerOutputs[#Headers])+1,0,INDEX(tblBuyerOutputs[Cumul Appr],ROW()-ROW(tblBuyerOutputs[#Headers])-1))+tblBuyerOutputs[[#This Row],[Monthly Appr]])</f>
        <v>0</v>
      </c>
      <c r="AF317" s="22"/>
      <c r="AG317" s="14"/>
      <c r="AL317"/>
      <c r="AM317" s="14"/>
      <c r="AO317" s="275"/>
      <c r="AQ317" s="14"/>
      <c r="AR317"/>
    </row>
    <row r="318" spans="1:44" x14ac:dyDescent="0.25">
      <c r="A318" s="590" t="str">
        <f t="shared" si="62"/>
        <v/>
      </c>
      <c r="B318" s="275">
        <f t="shared" si="63"/>
        <v>0</v>
      </c>
      <c r="C318" s="14">
        <f t="shared" si="60"/>
        <v>0</v>
      </c>
      <c r="D318" s="14">
        <f t="shared" si="64"/>
        <v>0</v>
      </c>
      <c r="E318" s="14">
        <f t="shared" si="61"/>
        <v>0</v>
      </c>
      <c r="F318" s="14">
        <f t="shared" si="70"/>
        <v>134.16999999999999</v>
      </c>
      <c r="G318" s="14">
        <f t="shared" si="70"/>
        <v>188.55</v>
      </c>
      <c r="H318" s="14">
        <f t="shared" si="58"/>
        <v>322.72000000000003</v>
      </c>
      <c r="I318" s="275">
        <f t="shared" si="67"/>
        <v>97531.839999999953</v>
      </c>
      <c r="J318" s="275">
        <f t="shared" si="68"/>
        <v>36068.259999999973</v>
      </c>
      <c r="K318" s="275">
        <f t="shared" si="65"/>
        <v>0</v>
      </c>
      <c r="L318" s="386">
        <f t="shared" si="71"/>
        <v>0</v>
      </c>
      <c r="M318" s="386">
        <f t="shared" si="66"/>
        <v>0</v>
      </c>
      <c r="N318" s="590" t="str">
        <f>INDEX(tblSubjectToLoan[Date],ROW()-ROW(tblContractForDeed[#Headers]))</f>
        <v/>
      </c>
      <c r="O318" s="275">
        <f>IF(ROW()=ROW(tblContractForDeed[#Headers])+1,$O$6,IF(INDEX(tblContractForDeed[End Bal],ROW()-ROW(tblContractForDeed[#Headers])-1)&lt;0,0,INDEX(tblContractForDeed[End Bal],ROW()-ROW(tblContractForDeed[#Headers])-1)))</f>
        <v>0</v>
      </c>
      <c r="P318" s="445" t="str">
        <f>IF(tblContractForDeed[[#This Row],[Date]]="","",IF(tblContractForDeed[[#This Row],[Date]]&lt;cfdRateChangeDate,cfdRate1,cfdRate2))</f>
        <v/>
      </c>
      <c r="Q3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75">
        <f>IF(tblContractForDeed[[#This Row],[Payment]]=0,0,MAX(0,MIN(tblContractForDeed[[#This Row],[Beg]],tblContractForDeed[[#This Row],[Payment]]-tblContractForDeed[[#This Row],[Int]])))</f>
        <v>0</v>
      </c>
      <c r="S318" s="275">
        <f>IF(OR(tblContractForDeed[[#This Row],[Date]]&lt;cfdContractDate,tblContractForDeed[[#This Row],[Date]]&gt;cfdEndDate),0,ROUND(tblContractForDeed[[#This Row],[Beg]]*(tblContractForDeed[[#This Row],[Int Rate]]/12),2))</f>
        <v>0</v>
      </c>
      <c r="T318" s="275">
        <f>IF(tblContractForDeed[[#This Row],[Payment]]=0,0,$W$2)</f>
        <v>0</v>
      </c>
      <c r="U318" s="275">
        <f>IF(tblContractForDeed[[#This Row],[Princ]]=0,0,$W$3)</f>
        <v>0</v>
      </c>
      <c r="V318" s="275">
        <f>SUM(tblContractForDeed[[#This Row],[Princ]],tblContractForDeed[[#This Row],[Int]],tblContractForDeed[[#This Row],[Ins]],tblContractForDeed[[#This Row],[Taxes]])</f>
        <v>0</v>
      </c>
      <c r="W318" s="275">
        <f>SUM(INDEX(tblContractForDeed[Princ],1):INDEX(tblContractForDeed[Princ],ROW()-ROW(tblContractForDeed[#Headers])))</f>
        <v>75258.000000000029</v>
      </c>
      <c r="X318" s="275">
        <f>IF(tblContractForDeed[[#This Row],[Beg]]&lt;=0,0,tblContractForDeed[[#This Row],[Beg]]-tblContractForDeed[[#This Row],[Princ]])</f>
        <v>0</v>
      </c>
      <c r="Y31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54">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8" s="275">
        <f>IF(INDEX(tblContractForDeed[End Bal],ROW()-ROW(tblBuyerOutputs[#Headers]))&lt;=0,0,($O$6+IF(ROW()=ROW(tblBuyerOutputs[#Headers])+1,0,INDEX(tblBuyerOutputs[Cumul Appr],ROW()-ROW(tblBuyerOutputs[#Headers])-1)))*$O$2/12)</f>
        <v>0</v>
      </c>
      <c r="AE318" s="275">
        <f>IF(INDEX(tblContractForDeed[End Bal],ROW()-ROW(tblBuyerOutputs[#Headers]))&lt;=0,0,IF(ROW()=ROW(tblBuyerOutputs[#Headers])+1,0,INDEX(tblBuyerOutputs[Cumul Appr],ROW()-ROW(tblBuyerOutputs[#Headers])-1))+tblBuyerOutputs[[#This Row],[Monthly Appr]])</f>
        <v>0</v>
      </c>
      <c r="AF318" s="22"/>
      <c r="AG318" s="14"/>
      <c r="AL318"/>
      <c r="AM318" s="14"/>
      <c r="AO318" s="275"/>
      <c r="AQ318" s="14"/>
      <c r="AR318"/>
    </row>
    <row r="319" spans="1:44" ht="15.75" thickBot="1" x14ac:dyDescent="0.3">
      <c r="A319" s="591" t="str">
        <f t="shared" si="62"/>
        <v/>
      </c>
      <c r="B319" s="326">
        <f t="shared" si="63"/>
        <v>0</v>
      </c>
      <c r="C319" s="21">
        <f t="shared" si="60"/>
        <v>0</v>
      </c>
      <c r="D319" s="21">
        <f t="shared" si="64"/>
        <v>0</v>
      </c>
      <c r="E319" s="21">
        <f t="shared" si="61"/>
        <v>0</v>
      </c>
      <c r="F319" s="21">
        <f t="shared" ref="F319:G334" si="72">+F318</f>
        <v>134.16999999999999</v>
      </c>
      <c r="G319" s="21">
        <f t="shared" si="72"/>
        <v>188.55</v>
      </c>
      <c r="H319" s="21">
        <f t="shared" si="58"/>
        <v>322.72000000000003</v>
      </c>
      <c r="I319" s="326">
        <f t="shared" si="67"/>
        <v>97531.839999999953</v>
      </c>
      <c r="J319" s="326">
        <f t="shared" si="68"/>
        <v>36068.259999999973</v>
      </c>
      <c r="K319" s="326">
        <f t="shared" si="65"/>
        <v>0</v>
      </c>
      <c r="L319" s="387">
        <f t="shared" si="71"/>
        <v>0</v>
      </c>
      <c r="M319" s="387">
        <f t="shared" si="66"/>
        <v>0</v>
      </c>
      <c r="N319" s="591" t="str">
        <f>INDEX(tblSubjectToLoan[Date],ROW()-ROW(tblContractForDeed[#Headers]))</f>
        <v/>
      </c>
      <c r="O319" s="326">
        <f>IF(ROW()=ROW(tblContractForDeed[#Headers])+1,$O$6,IF(INDEX(tblContractForDeed[End Bal],ROW()-ROW(tblContractForDeed[#Headers])-1)&lt;0,0,INDEX(tblContractForDeed[End Bal],ROW()-ROW(tblContractForDeed[#Headers])-1)))</f>
        <v>0</v>
      </c>
      <c r="P319" s="445" t="str">
        <f>IF(tblContractForDeed[[#This Row],[Date]]="","",IF(tblContractForDeed[[#This Row],[Date]]&lt;cfdRateChangeDate,cfdRate1,cfdRate2))</f>
        <v/>
      </c>
      <c r="Q31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26">
        <f>IF(tblContractForDeed[[#This Row],[Payment]]=0,0,MAX(0,MIN(tblContractForDeed[[#This Row],[Beg]],tblContractForDeed[[#This Row],[Payment]]-tblContractForDeed[[#This Row],[Int]])))</f>
        <v>0</v>
      </c>
      <c r="S319" s="326">
        <f>IF(OR(tblContractForDeed[[#This Row],[Date]]&lt;cfdContractDate,tblContractForDeed[[#This Row],[Date]]&gt;cfdEndDate),0,ROUND(tblContractForDeed[[#This Row],[Beg]]*(tblContractForDeed[[#This Row],[Int Rate]]/12),2))</f>
        <v>0</v>
      </c>
      <c r="T319" s="326">
        <f>IF(tblContractForDeed[[#This Row],[Payment]]=0,0,$W$2)</f>
        <v>0</v>
      </c>
      <c r="U319" s="326">
        <f>IF(tblContractForDeed[[#This Row],[Princ]]=0,0,$W$3)</f>
        <v>0</v>
      </c>
      <c r="V319" s="326">
        <f>SUM(tblContractForDeed[[#This Row],[Princ]],tblContractForDeed[[#This Row],[Int]],tblContractForDeed[[#This Row],[Ins]],tblContractForDeed[[#This Row],[Taxes]])</f>
        <v>0</v>
      </c>
      <c r="W319" s="326">
        <f>SUM(INDEX(tblContractForDeed[Princ],1):INDEX(tblContractForDeed[Princ],ROW()-ROW(tblContractForDeed[#Headers])))</f>
        <v>75258.000000000029</v>
      </c>
      <c r="X319" s="326">
        <f>IF(tblContractForDeed[[#This Row],[Beg]]&lt;=0,0,tblContractForDeed[[#This Row],[Beg]]-tblContractForDeed[[#This Row],[Princ]])</f>
        <v>0</v>
      </c>
      <c r="Y31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55">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9" s="326">
        <f>IF(INDEX(tblContractForDeed[End Bal],ROW()-ROW(tblBuyerOutputs[#Headers]))&lt;=0,0,($O$6+IF(ROW()=ROW(tblBuyerOutputs[#Headers])+1,0,INDEX(tblBuyerOutputs[Cumul Appr],ROW()-ROW(tblBuyerOutputs[#Headers])-1)))*$O$2/12)</f>
        <v>0</v>
      </c>
      <c r="AE319" s="326">
        <f>IF(INDEX(tblContractForDeed[End Bal],ROW()-ROW(tblBuyerOutputs[#Headers]))&lt;=0,0,IF(ROW()=ROW(tblBuyerOutputs[#Headers])+1,0,INDEX(tblBuyerOutputs[Cumul Appr],ROW()-ROW(tblBuyerOutputs[#Headers])-1))+tblBuyerOutputs[[#This Row],[Monthly Appr]])</f>
        <v>0</v>
      </c>
      <c r="AF319" s="22"/>
      <c r="AG319" s="14"/>
      <c r="AL319"/>
      <c r="AM319" s="14"/>
      <c r="AO319" s="275"/>
      <c r="AQ319" s="14"/>
      <c r="AR319"/>
    </row>
    <row r="320" spans="1:44" x14ac:dyDescent="0.25">
      <c r="A320" s="590" t="str">
        <f t="shared" si="62"/>
        <v/>
      </c>
      <c r="B320" s="275">
        <f t="shared" si="63"/>
        <v>0</v>
      </c>
      <c r="C320" s="14">
        <f t="shared" si="60"/>
        <v>0</v>
      </c>
      <c r="D320" s="14">
        <f t="shared" si="64"/>
        <v>0</v>
      </c>
      <c r="E320" s="14">
        <f t="shared" si="61"/>
        <v>0</v>
      </c>
      <c r="F320" s="14">
        <f t="shared" si="72"/>
        <v>134.16999999999999</v>
      </c>
      <c r="G320" s="14">
        <f t="shared" si="72"/>
        <v>188.55</v>
      </c>
      <c r="H320" s="14">
        <f t="shared" ref="H320:H383" si="73">SUM(D320:G320)</f>
        <v>322.72000000000003</v>
      </c>
      <c r="I320" s="275">
        <f t="shared" si="67"/>
        <v>97531.839999999953</v>
      </c>
      <c r="J320" s="275">
        <f t="shared" si="68"/>
        <v>36068.259999999973</v>
      </c>
      <c r="K320" s="275">
        <f t="shared" si="65"/>
        <v>0</v>
      </c>
      <c r="L320" s="386">
        <f t="shared" si="71"/>
        <v>0</v>
      </c>
      <c r="M320" s="386">
        <f t="shared" si="66"/>
        <v>0</v>
      </c>
      <c r="N320" s="590" t="str">
        <f>INDEX(tblSubjectToLoan[Date],ROW()-ROW(tblContractForDeed[#Headers]))</f>
        <v/>
      </c>
      <c r="O320" s="275">
        <f>IF(ROW()=ROW(tblContractForDeed[#Headers])+1,$O$6,IF(INDEX(tblContractForDeed[End Bal],ROW()-ROW(tblContractForDeed[#Headers])-1)&lt;0,0,INDEX(tblContractForDeed[End Bal],ROW()-ROW(tblContractForDeed[#Headers])-1)))</f>
        <v>0</v>
      </c>
      <c r="P320" s="445" t="str">
        <f>IF(tblContractForDeed[[#This Row],[Date]]="","",IF(tblContractForDeed[[#This Row],[Date]]&lt;cfdRateChangeDate,cfdRate1,cfdRate2))</f>
        <v/>
      </c>
      <c r="Q3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75">
        <f>IF(tblContractForDeed[[#This Row],[Payment]]=0,0,MAX(0,MIN(tblContractForDeed[[#This Row],[Beg]],tblContractForDeed[[#This Row],[Payment]]-tblContractForDeed[[#This Row],[Int]])))</f>
        <v>0</v>
      </c>
      <c r="S320" s="275">
        <f>IF(OR(tblContractForDeed[[#This Row],[Date]]&lt;cfdContractDate,tblContractForDeed[[#This Row],[Date]]&gt;cfdEndDate),0,ROUND(tblContractForDeed[[#This Row],[Beg]]*(tblContractForDeed[[#This Row],[Int Rate]]/12),2))</f>
        <v>0</v>
      </c>
      <c r="T320" s="275">
        <f>IF(tblContractForDeed[[#This Row],[Payment]]=0,0,$W$2)</f>
        <v>0</v>
      </c>
      <c r="U320" s="275">
        <f>IF(tblContractForDeed[[#This Row],[Princ]]=0,0,$W$3)</f>
        <v>0</v>
      </c>
      <c r="V320" s="275">
        <f>SUM(tblContractForDeed[[#This Row],[Princ]],tblContractForDeed[[#This Row],[Int]],tblContractForDeed[[#This Row],[Ins]],tblContractForDeed[[#This Row],[Taxes]])</f>
        <v>0</v>
      </c>
      <c r="W320" s="275">
        <f>SUM(INDEX(tblContractForDeed[Princ],1):INDEX(tblContractForDeed[Princ],ROW()-ROW(tblContractForDeed[#Headers])))</f>
        <v>75258.000000000029</v>
      </c>
      <c r="X320" s="275">
        <f>IF(tblContractForDeed[[#This Row],[Beg]]&lt;=0,0,tblContractForDeed[[#This Row],[Beg]]-tblContractForDeed[[#This Row],[Princ]])</f>
        <v>0</v>
      </c>
      <c r="Y32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54">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0" s="275">
        <f>IF(INDEX(tblContractForDeed[End Bal],ROW()-ROW(tblBuyerOutputs[#Headers]))&lt;=0,0,($O$6+IF(ROW()=ROW(tblBuyerOutputs[#Headers])+1,0,INDEX(tblBuyerOutputs[Cumul Appr],ROW()-ROW(tblBuyerOutputs[#Headers])-1)))*$O$2/12)</f>
        <v>0</v>
      </c>
      <c r="AE320" s="275">
        <f>IF(INDEX(tblContractForDeed[End Bal],ROW()-ROW(tblBuyerOutputs[#Headers]))&lt;=0,0,IF(ROW()=ROW(tblBuyerOutputs[#Headers])+1,0,INDEX(tblBuyerOutputs[Cumul Appr],ROW()-ROW(tblBuyerOutputs[#Headers])-1))+tblBuyerOutputs[[#This Row],[Monthly Appr]])</f>
        <v>0</v>
      </c>
      <c r="AF320" s="22"/>
      <c r="AG320" s="14"/>
      <c r="AL320"/>
      <c r="AM320" s="14"/>
      <c r="AO320" s="275"/>
      <c r="AQ320" s="14"/>
      <c r="AR320"/>
    </row>
    <row r="321" spans="1:44" x14ac:dyDescent="0.25">
      <c r="A321" s="590" t="str">
        <f t="shared" si="62"/>
        <v/>
      </c>
      <c r="B321" s="275">
        <f t="shared" si="63"/>
        <v>0</v>
      </c>
      <c r="C321" s="14">
        <f t="shared" si="60"/>
        <v>0</v>
      </c>
      <c r="D321" s="14">
        <f t="shared" si="64"/>
        <v>0</v>
      </c>
      <c r="E321" s="14">
        <f t="shared" si="61"/>
        <v>0</v>
      </c>
      <c r="F321" s="14">
        <f t="shared" si="72"/>
        <v>134.16999999999999</v>
      </c>
      <c r="G321" s="14">
        <f t="shared" si="72"/>
        <v>188.55</v>
      </c>
      <c r="H321" s="14">
        <f t="shared" si="73"/>
        <v>322.72000000000003</v>
      </c>
      <c r="I321" s="275">
        <f t="shared" si="67"/>
        <v>97531.839999999953</v>
      </c>
      <c r="J321" s="275">
        <f t="shared" si="68"/>
        <v>36068.259999999973</v>
      </c>
      <c r="K321" s="275">
        <f t="shared" si="65"/>
        <v>0</v>
      </c>
      <c r="L321" s="386">
        <f t="shared" si="71"/>
        <v>0</v>
      </c>
      <c r="M321" s="386">
        <f t="shared" si="66"/>
        <v>0</v>
      </c>
      <c r="N321" s="590" t="str">
        <f>INDEX(tblSubjectToLoan[Date],ROW()-ROW(tblContractForDeed[#Headers]))</f>
        <v/>
      </c>
      <c r="O321" s="275">
        <f>IF(ROW()=ROW(tblContractForDeed[#Headers])+1,$O$6,IF(INDEX(tblContractForDeed[End Bal],ROW()-ROW(tblContractForDeed[#Headers])-1)&lt;0,0,INDEX(tblContractForDeed[End Bal],ROW()-ROW(tblContractForDeed[#Headers])-1)))</f>
        <v>0</v>
      </c>
      <c r="P321" s="445" t="str">
        <f>IF(tblContractForDeed[[#This Row],[Date]]="","",IF(tblContractForDeed[[#This Row],[Date]]&lt;cfdRateChangeDate,cfdRate1,cfdRate2))</f>
        <v/>
      </c>
      <c r="Q3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75">
        <f>IF(tblContractForDeed[[#This Row],[Payment]]=0,0,MAX(0,MIN(tblContractForDeed[[#This Row],[Beg]],tblContractForDeed[[#This Row],[Payment]]-tblContractForDeed[[#This Row],[Int]])))</f>
        <v>0</v>
      </c>
      <c r="S321" s="275">
        <f>IF(OR(tblContractForDeed[[#This Row],[Date]]&lt;cfdContractDate,tblContractForDeed[[#This Row],[Date]]&gt;cfdEndDate),0,ROUND(tblContractForDeed[[#This Row],[Beg]]*(tblContractForDeed[[#This Row],[Int Rate]]/12),2))</f>
        <v>0</v>
      </c>
      <c r="T321" s="275">
        <f>IF(tblContractForDeed[[#This Row],[Payment]]=0,0,$W$2)</f>
        <v>0</v>
      </c>
      <c r="U321" s="275">
        <f>IF(tblContractForDeed[[#This Row],[Princ]]=0,0,$W$3)</f>
        <v>0</v>
      </c>
      <c r="V321" s="275">
        <f>SUM(tblContractForDeed[[#This Row],[Princ]],tblContractForDeed[[#This Row],[Int]],tblContractForDeed[[#This Row],[Ins]],tblContractForDeed[[#This Row],[Taxes]])</f>
        <v>0</v>
      </c>
      <c r="W321" s="275">
        <f>SUM(INDEX(tblContractForDeed[Princ],1):INDEX(tblContractForDeed[Princ],ROW()-ROW(tblContractForDeed[#Headers])))</f>
        <v>75258.000000000029</v>
      </c>
      <c r="X321" s="275">
        <f>IF(tblContractForDeed[[#This Row],[Beg]]&lt;=0,0,tblContractForDeed[[#This Row],[Beg]]-tblContractForDeed[[#This Row],[Princ]])</f>
        <v>0</v>
      </c>
      <c r="Y32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54">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1" s="275">
        <f>IF(INDEX(tblContractForDeed[End Bal],ROW()-ROW(tblBuyerOutputs[#Headers]))&lt;=0,0,($O$6+IF(ROW()=ROW(tblBuyerOutputs[#Headers])+1,0,INDEX(tblBuyerOutputs[Cumul Appr],ROW()-ROW(tblBuyerOutputs[#Headers])-1)))*$O$2/12)</f>
        <v>0</v>
      </c>
      <c r="AE321" s="275">
        <f>IF(INDEX(tblContractForDeed[End Bal],ROW()-ROW(tblBuyerOutputs[#Headers]))&lt;=0,0,IF(ROW()=ROW(tblBuyerOutputs[#Headers])+1,0,INDEX(tblBuyerOutputs[Cumul Appr],ROW()-ROW(tblBuyerOutputs[#Headers])-1))+tblBuyerOutputs[[#This Row],[Monthly Appr]])</f>
        <v>0</v>
      </c>
      <c r="AF321" s="22"/>
      <c r="AG321" s="14"/>
      <c r="AL321"/>
      <c r="AM321" s="14"/>
      <c r="AO321" s="275"/>
      <c r="AQ321" s="14"/>
      <c r="AR321"/>
    </row>
    <row r="322" spans="1:44" x14ac:dyDescent="0.25">
      <c r="A322" s="590" t="str">
        <f t="shared" si="62"/>
        <v/>
      </c>
      <c r="B322" s="275">
        <f t="shared" si="63"/>
        <v>0</v>
      </c>
      <c r="C322" s="14">
        <f t="shared" si="60"/>
        <v>0</v>
      </c>
      <c r="D322" s="14">
        <f t="shared" si="64"/>
        <v>0</v>
      </c>
      <c r="E322" s="14">
        <f t="shared" si="61"/>
        <v>0</v>
      </c>
      <c r="F322" s="14">
        <f t="shared" si="72"/>
        <v>134.16999999999999</v>
      </c>
      <c r="G322" s="14">
        <f t="shared" si="72"/>
        <v>188.55</v>
      </c>
      <c r="H322" s="14">
        <f t="shared" si="73"/>
        <v>322.72000000000003</v>
      </c>
      <c r="I322" s="275">
        <f t="shared" si="67"/>
        <v>97531.839999999953</v>
      </c>
      <c r="J322" s="275">
        <f t="shared" si="68"/>
        <v>36068.259999999973</v>
      </c>
      <c r="K322" s="275">
        <f t="shared" si="65"/>
        <v>0</v>
      </c>
      <c r="L322" s="386">
        <f t="shared" si="71"/>
        <v>0</v>
      </c>
      <c r="M322" s="386">
        <f t="shared" si="66"/>
        <v>0</v>
      </c>
      <c r="N322" s="590" t="str">
        <f>INDEX(tblSubjectToLoan[Date],ROW()-ROW(tblContractForDeed[#Headers]))</f>
        <v/>
      </c>
      <c r="O322" s="275">
        <f>IF(ROW()=ROW(tblContractForDeed[#Headers])+1,$O$6,IF(INDEX(tblContractForDeed[End Bal],ROW()-ROW(tblContractForDeed[#Headers])-1)&lt;0,0,INDEX(tblContractForDeed[End Bal],ROW()-ROW(tblContractForDeed[#Headers])-1)))</f>
        <v>0</v>
      </c>
      <c r="P322" s="445" t="str">
        <f>IF(tblContractForDeed[[#This Row],[Date]]="","",IF(tblContractForDeed[[#This Row],[Date]]&lt;cfdRateChangeDate,cfdRate1,cfdRate2))</f>
        <v/>
      </c>
      <c r="Q3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75">
        <f>IF(tblContractForDeed[[#This Row],[Payment]]=0,0,MAX(0,MIN(tblContractForDeed[[#This Row],[Beg]],tblContractForDeed[[#This Row],[Payment]]-tblContractForDeed[[#This Row],[Int]])))</f>
        <v>0</v>
      </c>
      <c r="S322" s="275">
        <f>IF(OR(tblContractForDeed[[#This Row],[Date]]&lt;cfdContractDate,tblContractForDeed[[#This Row],[Date]]&gt;cfdEndDate),0,ROUND(tblContractForDeed[[#This Row],[Beg]]*(tblContractForDeed[[#This Row],[Int Rate]]/12),2))</f>
        <v>0</v>
      </c>
      <c r="T322" s="275">
        <f>IF(tblContractForDeed[[#This Row],[Payment]]=0,0,$W$2)</f>
        <v>0</v>
      </c>
      <c r="U322" s="275">
        <f>IF(tblContractForDeed[[#This Row],[Princ]]=0,0,$W$3)</f>
        <v>0</v>
      </c>
      <c r="V322" s="275">
        <f>SUM(tblContractForDeed[[#This Row],[Princ]],tblContractForDeed[[#This Row],[Int]],tblContractForDeed[[#This Row],[Ins]],tblContractForDeed[[#This Row],[Taxes]])</f>
        <v>0</v>
      </c>
      <c r="W322" s="275">
        <f>SUM(INDEX(tblContractForDeed[Princ],1):INDEX(tblContractForDeed[Princ],ROW()-ROW(tblContractForDeed[#Headers])))</f>
        <v>75258.000000000029</v>
      </c>
      <c r="X322" s="275">
        <f>IF(tblContractForDeed[[#This Row],[Beg]]&lt;=0,0,tblContractForDeed[[#This Row],[Beg]]-tblContractForDeed[[#This Row],[Princ]])</f>
        <v>0</v>
      </c>
      <c r="Y32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54">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2" s="275">
        <f>IF(INDEX(tblContractForDeed[End Bal],ROW()-ROW(tblBuyerOutputs[#Headers]))&lt;=0,0,($O$6+IF(ROW()=ROW(tblBuyerOutputs[#Headers])+1,0,INDEX(tblBuyerOutputs[Cumul Appr],ROW()-ROW(tblBuyerOutputs[#Headers])-1)))*$O$2/12)</f>
        <v>0</v>
      </c>
      <c r="AE322" s="275">
        <f>IF(INDEX(tblContractForDeed[End Bal],ROW()-ROW(tblBuyerOutputs[#Headers]))&lt;=0,0,IF(ROW()=ROW(tblBuyerOutputs[#Headers])+1,0,INDEX(tblBuyerOutputs[Cumul Appr],ROW()-ROW(tblBuyerOutputs[#Headers])-1))+tblBuyerOutputs[[#This Row],[Monthly Appr]])</f>
        <v>0</v>
      </c>
      <c r="AF322" s="22"/>
      <c r="AG322" s="14"/>
      <c r="AL322"/>
      <c r="AM322" s="14"/>
      <c r="AO322" s="275"/>
      <c r="AQ322" s="14"/>
      <c r="AR322"/>
    </row>
    <row r="323" spans="1:44" x14ac:dyDescent="0.25">
      <c r="A323" s="590" t="str">
        <f t="shared" si="62"/>
        <v/>
      </c>
      <c r="B323" s="275">
        <f t="shared" si="63"/>
        <v>0</v>
      </c>
      <c r="C323" s="14">
        <f t="shared" si="60"/>
        <v>0</v>
      </c>
      <c r="D323" s="14">
        <f t="shared" si="64"/>
        <v>0</v>
      </c>
      <c r="E323" s="14">
        <f t="shared" si="61"/>
        <v>0</v>
      </c>
      <c r="F323" s="14">
        <f t="shared" si="72"/>
        <v>134.16999999999999</v>
      </c>
      <c r="G323" s="14">
        <f t="shared" si="72"/>
        <v>188.55</v>
      </c>
      <c r="H323" s="14">
        <f t="shared" si="73"/>
        <v>322.72000000000003</v>
      </c>
      <c r="I323" s="275">
        <f t="shared" si="67"/>
        <v>97531.839999999953</v>
      </c>
      <c r="J323" s="275">
        <f t="shared" si="68"/>
        <v>36068.259999999973</v>
      </c>
      <c r="K323" s="275">
        <f t="shared" si="65"/>
        <v>0</v>
      </c>
      <c r="L323" s="386">
        <f t="shared" si="71"/>
        <v>0</v>
      </c>
      <c r="M323" s="386">
        <f t="shared" si="66"/>
        <v>0</v>
      </c>
      <c r="N323" s="590" t="str">
        <f>INDEX(tblSubjectToLoan[Date],ROW()-ROW(tblContractForDeed[#Headers]))</f>
        <v/>
      </c>
      <c r="O323" s="275">
        <f>IF(ROW()=ROW(tblContractForDeed[#Headers])+1,$O$6,IF(INDEX(tblContractForDeed[End Bal],ROW()-ROW(tblContractForDeed[#Headers])-1)&lt;0,0,INDEX(tblContractForDeed[End Bal],ROW()-ROW(tblContractForDeed[#Headers])-1)))</f>
        <v>0</v>
      </c>
      <c r="P323" s="445" t="str">
        <f>IF(tblContractForDeed[[#This Row],[Date]]="","",IF(tblContractForDeed[[#This Row],[Date]]&lt;cfdRateChangeDate,cfdRate1,cfdRate2))</f>
        <v/>
      </c>
      <c r="Q32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75">
        <f>IF(tblContractForDeed[[#This Row],[Payment]]=0,0,MAX(0,MIN(tblContractForDeed[[#This Row],[Beg]],tblContractForDeed[[#This Row],[Payment]]-tblContractForDeed[[#This Row],[Int]])))</f>
        <v>0</v>
      </c>
      <c r="S323" s="275">
        <f>IF(OR(tblContractForDeed[[#This Row],[Date]]&lt;cfdContractDate,tblContractForDeed[[#This Row],[Date]]&gt;cfdEndDate),0,ROUND(tblContractForDeed[[#This Row],[Beg]]*(tblContractForDeed[[#This Row],[Int Rate]]/12),2))</f>
        <v>0</v>
      </c>
      <c r="T323" s="275">
        <f>IF(tblContractForDeed[[#This Row],[Payment]]=0,0,$W$2)</f>
        <v>0</v>
      </c>
      <c r="U323" s="275">
        <f>IF(tblContractForDeed[[#This Row],[Princ]]=0,0,$W$3)</f>
        <v>0</v>
      </c>
      <c r="V323" s="275">
        <f>SUM(tblContractForDeed[[#This Row],[Princ]],tblContractForDeed[[#This Row],[Int]],tblContractForDeed[[#This Row],[Ins]],tblContractForDeed[[#This Row],[Taxes]])</f>
        <v>0</v>
      </c>
      <c r="W323" s="275">
        <f>SUM(INDEX(tblContractForDeed[Princ],1):INDEX(tblContractForDeed[Princ],ROW()-ROW(tblContractForDeed[#Headers])))</f>
        <v>75258.000000000029</v>
      </c>
      <c r="X323" s="275">
        <f>IF(tblContractForDeed[[#This Row],[Beg]]&lt;=0,0,tblContractForDeed[[#This Row],[Beg]]-tblContractForDeed[[#This Row],[Princ]])</f>
        <v>0</v>
      </c>
      <c r="Y32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54">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3" s="275">
        <f>IF(INDEX(tblContractForDeed[End Bal],ROW()-ROW(tblBuyerOutputs[#Headers]))&lt;=0,0,($O$6+IF(ROW()=ROW(tblBuyerOutputs[#Headers])+1,0,INDEX(tblBuyerOutputs[Cumul Appr],ROW()-ROW(tblBuyerOutputs[#Headers])-1)))*$O$2/12)</f>
        <v>0</v>
      </c>
      <c r="AE323" s="275">
        <f>IF(INDEX(tblContractForDeed[End Bal],ROW()-ROW(tblBuyerOutputs[#Headers]))&lt;=0,0,IF(ROW()=ROW(tblBuyerOutputs[#Headers])+1,0,INDEX(tblBuyerOutputs[Cumul Appr],ROW()-ROW(tblBuyerOutputs[#Headers])-1))+tblBuyerOutputs[[#This Row],[Monthly Appr]])</f>
        <v>0</v>
      </c>
      <c r="AF323" s="22"/>
      <c r="AG323" s="14"/>
      <c r="AL323"/>
      <c r="AM323" s="14"/>
      <c r="AO323" s="275"/>
      <c r="AQ323" s="14"/>
      <c r="AR323"/>
    </row>
    <row r="324" spans="1:44" x14ac:dyDescent="0.25">
      <c r="A324" s="590" t="str">
        <f t="shared" si="62"/>
        <v/>
      </c>
      <c r="B324" s="275">
        <f t="shared" si="63"/>
        <v>0</v>
      </c>
      <c r="C324" s="14">
        <f t="shared" si="60"/>
        <v>0</v>
      </c>
      <c r="D324" s="14">
        <f t="shared" si="64"/>
        <v>0</v>
      </c>
      <c r="E324" s="14">
        <f t="shared" si="61"/>
        <v>0</v>
      </c>
      <c r="F324" s="14">
        <f t="shared" si="72"/>
        <v>134.16999999999999</v>
      </c>
      <c r="G324" s="14">
        <f t="shared" si="72"/>
        <v>188.55</v>
      </c>
      <c r="H324" s="14">
        <f t="shared" si="73"/>
        <v>322.72000000000003</v>
      </c>
      <c r="I324" s="275">
        <f t="shared" si="67"/>
        <v>97531.839999999953</v>
      </c>
      <c r="J324" s="275">
        <f t="shared" si="68"/>
        <v>36068.259999999973</v>
      </c>
      <c r="K324" s="275">
        <f t="shared" si="65"/>
        <v>0</v>
      </c>
      <c r="L324" s="386">
        <f t="shared" si="71"/>
        <v>0</v>
      </c>
      <c r="M324" s="386">
        <f t="shared" si="66"/>
        <v>0</v>
      </c>
      <c r="N324" s="590" t="str">
        <f>INDEX(tblSubjectToLoan[Date],ROW()-ROW(tblContractForDeed[#Headers]))</f>
        <v/>
      </c>
      <c r="O324" s="275">
        <f>IF(ROW()=ROW(tblContractForDeed[#Headers])+1,$O$6,IF(INDEX(tblContractForDeed[End Bal],ROW()-ROW(tblContractForDeed[#Headers])-1)&lt;0,0,INDEX(tblContractForDeed[End Bal],ROW()-ROW(tblContractForDeed[#Headers])-1)))</f>
        <v>0</v>
      </c>
      <c r="P324" s="445" t="str">
        <f>IF(tblContractForDeed[[#This Row],[Date]]="","",IF(tblContractForDeed[[#This Row],[Date]]&lt;cfdRateChangeDate,cfdRate1,cfdRate2))</f>
        <v/>
      </c>
      <c r="Q3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75">
        <f>IF(tblContractForDeed[[#This Row],[Payment]]=0,0,MAX(0,MIN(tblContractForDeed[[#This Row],[Beg]],tblContractForDeed[[#This Row],[Payment]]-tblContractForDeed[[#This Row],[Int]])))</f>
        <v>0</v>
      </c>
      <c r="S324" s="275">
        <f>IF(OR(tblContractForDeed[[#This Row],[Date]]&lt;cfdContractDate,tblContractForDeed[[#This Row],[Date]]&gt;cfdEndDate),0,ROUND(tblContractForDeed[[#This Row],[Beg]]*(tblContractForDeed[[#This Row],[Int Rate]]/12),2))</f>
        <v>0</v>
      </c>
      <c r="T324" s="275">
        <f>IF(tblContractForDeed[[#This Row],[Payment]]=0,0,$W$2)</f>
        <v>0</v>
      </c>
      <c r="U324" s="275">
        <f>IF(tblContractForDeed[[#This Row],[Princ]]=0,0,$W$3)</f>
        <v>0</v>
      </c>
      <c r="V324" s="275">
        <f>SUM(tblContractForDeed[[#This Row],[Princ]],tblContractForDeed[[#This Row],[Int]],tblContractForDeed[[#This Row],[Ins]],tblContractForDeed[[#This Row],[Taxes]])</f>
        <v>0</v>
      </c>
      <c r="W324" s="275">
        <f>SUM(INDEX(tblContractForDeed[Princ],1):INDEX(tblContractForDeed[Princ],ROW()-ROW(tblContractForDeed[#Headers])))</f>
        <v>75258.000000000029</v>
      </c>
      <c r="X324" s="275">
        <f>IF(tblContractForDeed[[#This Row],[Beg]]&lt;=0,0,tblContractForDeed[[#This Row],[Beg]]-tblContractForDeed[[#This Row],[Princ]])</f>
        <v>0</v>
      </c>
      <c r="Y32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54">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4" s="275">
        <f>IF(INDEX(tblContractForDeed[End Bal],ROW()-ROW(tblBuyerOutputs[#Headers]))&lt;=0,0,($O$6+IF(ROW()=ROW(tblBuyerOutputs[#Headers])+1,0,INDEX(tblBuyerOutputs[Cumul Appr],ROW()-ROW(tblBuyerOutputs[#Headers])-1)))*$O$2/12)</f>
        <v>0</v>
      </c>
      <c r="AE324" s="275">
        <f>IF(INDEX(tblContractForDeed[End Bal],ROW()-ROW(tblBuyerOutputs[#Headers]))&lt;=0,0,IF(ROW()=ROW(tblBuyerOutputs[#Headers])+1,0,INDEX(tblBuyerOutputs[Cumul Appr],ROW()-ROW(tblBuyerOutputs[#Headers])-1))+tblBuyerOutputs[[#This Row],[Monthly Appr]])</f>
        <v>0</v>
      </c>
      <c r="AF324" s="22"/>
      <c r="AG324" s="14"/>
      <c r="AL324"/>
      <c r="AM324" s="14"/>
      <c r="AO324" s="275"/>
      <c r="AQ324" s="14"/>
      <c r="AR324"/>
    </row>
    <row r="325" spans="1:44" x14ac:dyDescent="0.25">
      <c r="A325" s="590" t="str">
        <f t="shared" si="62"/>
        <v/>
      </c>
      <c r="B325" s="275">
        <f t="shared" si="63"/>
        <v>0</v>
      </c>
      <c r="C325" s="14">
        <f t="shared" si="60"/>
        <v>0</v>
      </c>
      <c r="D325" s="14">
        <f t="shared" si="64"/>
        <v>0</v>
      </c>
      <c r="E325" s="14">
        <f t="shared" si="61"/>
        <v>0</v>
      </c>
      <c r="F325" s="14">
        <f t="shared" si="72"/>
        <v>134.16999999999999</v>
      </c>
      <c r="G325" s="14">
        <f t="shared" si="72"/>
        <v>188.55</v>
      </c>
      <c r="H325" s="14">
        <f t="shared" si="73"/>
        <v>322.72000000000003</v>
      </c>
      <c r="I325" s="275">
        <f t="shared" si="67"/>
        <v>97531.839999999953</v>
      </c>
      <c r="J325" s="275">
        <f t="shared" si="68"/>
        <v>36068.259999999973</v>
      </c>
      <c r="K325" s="275">
        <f t="shared" si="65"/>
        <v>0</v>
      </c>
      <c r="L325" s="386">
        <f t="shared" si="71"/>
        <v>0</v>
      </c>
      <c r="M325" s="386">
        <f t="shared" si="66"/>
        <v>0</v>
      </c>
      <c r="N325" s="590" t="str">
        <f>INDEX(tblSubjectToLoan[Date],ROW()-ROW(tblContractForDeed[#Headers]))</f>
        <v/>
      </c>
      <c r="O325" s="275">
        <f>IF(ROW()=ROW(tblContractForDeed[#Headers])+1,$O$6,IF(INDEX(tblContractForDeed[End Bal],ROW()-ROW(tblContractForDeed[#Headers])-1)&lt;0,0,INDEX(tblContractForDeed[End Bal],ROW()-ROW(tblContractForDeed[#Headers])-1)))</f>
        <v>0</v>
      </c>
      <c r="P325" s="445" t="str">
        <f>IF(tblContractForDeed[[#This Row],[Date]]="","",IF(tblContractForDeed[[#This Row],[Date]]&lt;cfdRateChangeDate,cfdRate1,cfdRate2))</f>
        <v/>
      </c>
      <c r="Q3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75">
        <f>IF(tblContractForDeed[[#This Row],[Payment]]=0,0,MAX(0,MIN(tblContractForDeed[[#This Row],[Beg]],tblContractForDeed[[#This Row],[Payment]]-tblContractForDeed[[#This Row],[Int]])))</f>
        <v>0</v>
      </c>
      <c r="S325" s="275">
        <f>IF(OR(tblContractForDeed[[#This Row],[Date]]&lt;cfdContractDate,tblContractForDeed[[#This Row],[Date]]&gt;cfdEndDate),0,ROUND(tblContractForDeed[[#This Row],[Beg]]*(tblContractForDeed[[#This Row],[Int Rate]]/12),2))</f>
        <v>0</v>
      </c>
      <c r="T325" s="275">
        <f>IF(tblContractForDeed[[#This Row],[Payment]]=0,0,$W$2)</f>
        <v>0</v>
      </c>
      <c r="U325" s="275">
        <f>IF(tblContractForDeed[[#This Row],[Princ]]=0,0,$W$3)</f>
        <v>0</v>
      </c>
      <c r="V325" s="275">
        <f>SUM(tblContractForDeed[[#This Row],[Princ]],tblContractForDeed[[#This Row],[Int]],tblContractForDeed[[#This Row],[Ins]],tblContractForDeed[[#This Row],[Taxes]])</f>
        <v>0</v>
      </c>
      <c r="W325" s="275">
        <f>SUM(INDEX(tblContractForDeed[Princ],1):INDEX(tblContractForDeed[Princ],ROW()-ROW(tblContractForDeed[#Headers])))</f>
        <v>75258.000000000029</v>
      </c>
      <c r="X325" s="275">
        <f>IF(tblContractForDeed[[#This Row],[Beg]]&lt;=0,0,tblContractForDeed[[#This Row],[Beg]]-tblContractForDeed[[#This Row],[Princ]])</f>
        <v>0</v>
      </c>
      <c r="Y32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54">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5" s="275">
        <f>IF(INDEX(tblContractForDeed[End Bal],ROW()-ROW(tblBuyerOutputs[#Headers]))&lt;=0,0,($O$6+IF(ROW()=ROW(tblBuyerOutputs[#Headers])+1,0,INDEX(tblBuyerOutputs[Cumul Appr],ROW()-ROW(tblBuyerOutputs[#Headers])-1)))*$O$2/12)</f>
        <v>0</v>
      </c>
      <c r="AE325" s="275">
        <f>IF(INDEX(tblContractForDeed[End Bal],ROW()-ROW(tblBuyerOutputs[#Headers]))&lt;=0,0,IF(ROW()=ROW(tblBuyerOutputs[#Headers])+1,0,INDEX(tblBuyerOutputs[Cumul Appr],ROW()-ROW(tblBuyerOutputs[#Headers])-1))+tblBuyerOutputs[[#This Row],[Monthly Appr]])</f>
        <v>0</v>
      </c>
      <c r="AF325" s="22"/>
      <c r="AG325" s="14"/>
      <c r="AL325"/>
      <c r="AM325" s="14"/>
      <c r="AO325" s="275"/>
      <c r="AQ325" s="14"/>
      <c r="AR325"/>
    </row>
    <row r="326" spans="1:44" x14ac:dyDescent="0.25">
      <c r="A326" s="590" t="str">
        <f t="shared" si="62"/>
        <v/>
      </c>
      <c r="B326" s="275">
        <f t="shared" si="63"/>
        <v>0</v>
      </c>
      <c r="C326" s="14">
        <f t="shared" si="60"/>
        <v>0</v>
      </c>
      <c r="D326" s="14">
        <f t="shared" si="64"/>
        <v>0</v>
      </c>
      <c r="E326" s="14">
        <f t="shared" si="61"/>
        <v>0</v>
      </c>
      <c r="F326" s="14">
        <f t="shared" si="72"/>
        <v>134.16999999999999</v>
      </c>
      <c r="G326" s="14">
        <f t="shared" si="72"/>
        <v>188.55</v>
      </c>
      <c r="H326" s="14">
        <f t="shared" si="73"/>
        <v>322.72000000000003</v>
      </c>
      <c r="I326" s="275">
        <f t="shared" si="67"/>
        <v>97531.839999999953</v>
      </c>
      <c r="J326" s="275">
        <f t="shared" si="68"/>
        <v>36068.259999999973</v>
      </c>
      <c r="K326" s="275">
        <f t="shared" si="65"/>
        <v>0</v>
      </c>
      <c r="L326" s="386">
        <f t="shared" si="71"/>
        <v>0</v>
      </c>
      <c r="M326" s="386">
        <f t="shared" si="66"/>
        <v>0</v>
      </c>
      <c r="N326" s="590" t="str">
        <f>INDEX(tblSubjectToLoan[Date],ROW()-ROW(tblContractForDeed[#Headers]))</f>
        <v/>
      </c>
      <c r="O326" s="275">
        <f>IF(ROW()=ROW(tblContractForDeed[#Headers])+1,$O$6,IF(INDEX(tblContractForDeed[End Bal],ROW()-ROW(tblContractForDeed[#Headers])-1)&lt;0,0,INDEX(tblContractForDeed[End Bal],ROW()-ROW(tblContractForDeed[#Headers])-1)))</f>
        <v>0</v>
      </c>
      <c r="P326" s="445" t="str">
        <f>IF(tblContractForDeed[[#This Row],[Date]]="","",IF(tblContractForDeed[[#This Row],[Date]]&lt;cfdRateChangeDate,cfdRate1,cfdRate2))</f>
        <v/>
      </c>
      <c r="Q3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75">
        <f>IF(tblContractForDeed[[#This Row],[Payment]]=0,0,MAX(0,MIN(tblContractForDeed[[#This Row],[Beg]],tblContractForDeed[[#This Row],[Payment]]-tblContractForDeed[[#This Row],[Int]])))</f>
        <v>0</v>
      </c>
      <c r="S326" s="275">
        <f>IF(OR(tblContractForDeed[[#This Row],[Date]]&lt;cfdContractDate,tblContractForDeed[[#This Row],[Date]]&gt;cfdEndDate),0,ROUND(tblContractForDeed[[#This Row],[Beg]]*(tblContractForDeed[[#This Row],[Int Rate]]/12),2))</f>
        <v>0</v>
      </c>
      <c r="T326" s="275">
        <f>IF(tblContractForDeed[[#This Row],[Payment]]=0,0,$W$2)</f>
        <v>0</v>
      </c>
      <c r="U326" s="275">
        <f>IF(tblContractForDeed[[#This Row],[Princ]]=0,0,$W$3)</f>
        <v>0</v>
      </c>
      <c r="V326" s="275">
        <f>SUM(tblContractForDeed[[#This Row],[Princ]],tblContractForDeed[[#This Row],[Int]],tblContractForDeed[[#This Row],[Ins]],tblContractForDeed[[#This Row],[Taxes]])</f>
        <v>0</v>
      </c>
      <c r="W326" s="275">
        <f>SUM(INDEX(tblContractForDeed[Princ],1):INDEX(tblContractForDeed[Princ],ROW()-ROW(tblContractForDeed[#Headers])))</f>
        <v>75258.000000000029</v>
      </c>
      <c r="X326" s="275">
        <f>IF(tblContractForDeed[[#This Row],[Beg]]&lt;=0,0,tblContractForDeed[[#This Row],[Beg]]-tblContractForDeed[[#This Row],[Princ]])</f>
        <v>0</v>
      </c>
      <c r="Y32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54">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6" s="275">
        <f>IF(INDEX(tblContractForDeed[End Bal],ROW()-ROW(tblBuyerOutputs[#Headers]))&lt;=0,0,($O$6+IF(ROW()=ROW(tblBuyerOutputs[#Headers])+1,0,INDEX(tblBuyerOutputs[Cumul Appr],ROW()-ROW(tblBuyerOutputs[#Headers])-1)))*$O$2/12)</f>
        <v>0</v>
      </c>
      <c r="AE326" s="275">
        <f>IF(INDEX(tblContractForDeed[End Bal],ROW()-ROW(tblBuyerOutputs[#Headers]))&lt;=0,0,IF(ROW()=ROW(tblBuyerOutputs[#Headers])+1,0,INDEX(tblBuyerOutputs[Cumul Appr],ROW()-ROW(tblBuyerOutputs[#Headers])-1))+tblBuyerOutputs[[#This Row],[Monthly Appr]])</f>
        <v>0</v>
      </c>
      <c r="AF326" s="22"/>
      <c r="AG326" s="14"/>
      <c r="AL326"/>
      <c r="AM326" s="14"/>
      <c r="AO326" s="275"/>
      <c r="AQ326" s="14"/>
      <c r="AR326"/>
    </row>
    <row r="327" spans="1:44" x14ac:dyDescent="0.25">
      <c r="A327" s="590" t="str">
        <f t="shared" si="62"/>
        <v/>
      </c>
      <c r="B327" s="275">
        <f t="shared" si="63"/>
        <v>0</v>
      </c>
      <c r="C327" s="14">
        <f t="shared" si="60"/>
        <v>0</v>
      </c>
      <c r="D327" s="14">
        <f t="shared" si="64"/>
        <v>0</v>
      </c>
      <c r="E327" s="14">
        <f t="shared" si="61"/>
        <v>0</v>
      </c>
      <c r="F327" s="14">
        <f t="shared" si="72"/>
        <v>134.16999999999999</v>
      </c>
      <c r="G327" s="14">
        <f t="shared" si="72"/>
        <v>188.55</v>
      </c>
      <c r="H327" s="14">
        <f t="shared" si="73"/>
        <v>322.72000000000003</v>
      </c>
      <c r="I327" s="275">
        <f t="shared" si="67"/>
        <v>97531.839999999953</v>
      </c>
      <c r="J327" s="275">
        <f t="shared" si="68"/>
        <v>36068.259999999973</v>
      </c>
      <c r="K327" s="275">
        <f t="shared" si="65"/>
        <v>0</v>
      </c>
      <c r="L327" s="386">
        <f t="shared" si="71"/>
        <v>0</v>
      </c>
      <c r="M327" s="386">
        <f t="shared" si="66"/>
        <v>0</v>
      </c>
      <c r="N327" s="590" t="str">
        <f>INDEX(tblSubjectToLoan[Date],ROW()-ROW(tblContractForDeed[#Headers]))</f>
        <v/>
      </c>
      <c r="O327" s="275">
        <f>IF(ROW()=ROW(tblContractForDeed[#Headers])+1,$O$6,IF(INDEX(tblContractForDeed[End Bal],ROW()-ROW(tblContractForDeed[#Headers])-1)&lt;0,0,INDEX(tblContractForDeed[End Bal],ROW()-ROW(tblContractForDeed[#Headers])-1)))</f>
        <v>0</v>
      </c>
      <c r="P327" s="445" t="str">
        <f>IF(tblContractForDeed[[#This Row],[Date]]="","",IF(tblContractForDeed[[#This Row],[Date]]&lt;cfdRateChangeDate,cfdRate1,cfdRate2))</f>
        <v/>
      </c>
      <c r="Q32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75">
        <f>IF(tblContractForDeed[[#This Row],[Payment]]=0,0,MAX(0,MIN(tblContractForDeed[[#This Row],[Beg]],tblContractForDeed[[#This Row],[Payment]]-tblContractForDeed[[#This Row],[Int]])))</f>
        <v>0</v>
      </c>
      <c r="S327" s="275">
        <f>IF(OR(tblContractForDeed[[#This Row],[Date]]&lt;cfdContractDate,tblContractForDeed[[#This Row],[Date]]&gt;cfdEndDate),0,ROUND(tblContractForDeed[[#This Row],[Beg]]*(tblContractForDeed[[#This Row],[Int Rate]]/12),2))</f>
        <v>0</v>
      </c>
      <c r="T327" s="275">
        <f>IF(tblContractForDeed[[#This Row],[Payment]]=0,0,$W$2)</f>
        <v>0</v>
      </c>
      <c r="U327" s="275">
        <f>IF(tblContractForDeed[[#This Row],[Princ]]=0,0,$W$3)</f>
        <v>0</v>
      </c>
      <c r="V327" s="275">
        <f>SUM(tblContractForDeed[[#This Row],[Princ]],tblContractForDeed[[#This Row],[Int]],tblContractForDeed[[#This Row],[Ins]],tblContractForDeed[[#This Row],[Taxes]])</f>
        <v>0</v>
      </c>
      <c r="W327" s="275">
        <f>SUM(INDEX(tblContractForDeed[Princ],1):INDEX(tblContractForDeed[Princ],ROW()-ROW(tblContractForDeed[#Headers])))</f>
        <v>75258.000000000029</v>
      </c>
      <c r="X327" s="275">
        <f>IF(tblContractForDeed[[#This Row],[Beg]]&lt;=0,0,tblContractForDeed[[#This Row],[Beg]]-tblContractForDeed[[#This Row],[Princ]])</f>
        <v>0</v>
      </c>
      <c r="Y32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54">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7" s="275">
        <f>IF(INDEX(tblContractForDeed[End Bal],ROW()-ROW(tblBuyerOutputs[#Headers]))&lt;=0,0,($O$6+IF(ROW()=ROW(tblBuyerOutputs[#Headers])+1,0,INDEX(tblBuyerOutputs[Cumul Appr],ROW()-ROW(tblBuyerOutputs[#Headers])-1)))*$O$2/12)</f>
        <v>0</v>
      </c>
      <c r="AE327" s="275">
        <f>IF(INDEX(tblContractForDeed[End Bal],ROW()-ROW(tblBuyerOutputs[#Headers]))&lt;=0,0,IF(ROW()=ROW(tblBuyerOutputs[#Headers])+1,0,INDEX(tblBuyerOutputs[Cumul Appr],ROW()-ROW(tblBuyerOutputs[#Headers])-1))+tblBuyerOutputs[[#This Row],[Monthly Appr]])</f>
        <v>0</v>
      </c>
      <c r="AF327" s="22"/>
      <c r="AG327" s="14"/>
      <c r="AL327"/>
      <c r="AM327" s="14"/>
      <c r="AO327" s="275"/>
      <c r="AQ327" s="14"/>
      <c r="AR327"/>
    </row>
    <row r="328" spans="1:44" x14ac:dyDescent="0.25">
      <c r="A328" s="590" t="str">
        <f t="shared" si="62"/>
        <v/>
      </c>
      <c r="B328" s="275">
        <f t="shared" si="63"/>
        <v>0</v>
      </c>
      <c r="C328" s="14">
        <f t="shared" si="60"/>
        <v>0</v>
      </c>
      <c r="D328" s="14">
        <f t="shared" si="64"/>
        <v>0</v>
      </c>
      <c r="E328" s="14">
        <f t="shared" si="61"/>
        <v>0</v>
      </c>
      <c r="F328" s="14">
        <f t="shared" si="72"/>
        <v>134.16999999999999</v>
      </c>
      <c r="G328" s="14">
        <f t="shared" si="72"/>
        <v>188.55</v>
      </c>
      <c r="H328" s="14">
        <f t="shared" si="73"/>
        <v>322.72000000000003</v>
      </c>
      <c r="I328" s="275">
        <f t="shared" si="67"/>
        <v>97531.839999999953</v>
      </c>
      <c r="J328" s="275">
        <f t="shared" si="68"/>
        <v>36068.259999999973</v>
      </c>
      <c r="K328" s="275">
        <f t="shared" si="65"/>
        <v>0</v>
      </c>
      <c r="L328" s="386">
        <f t="shared" si="71"/>
        <v>0</v>
      </c>
      <c r="M328" s="386">
        <f t="shared" si="66"/>
        <v>0</v>
      </c>
      <c r="N328" s="590" t="str">
        <f>INDEX(tblSubjectToLoan[Date],ROW()-ROW(tblContractForDeed[#Headers]))</f>
        <v/>
      </c>
      <c r="O328" s="275">
        <f>IF(ROW()=ROW(tblContractForDeed[#Headers])+1,$O$6,IF(INDEX(tblContractForDeed[End Bal],ROW()-ROW(tblContractForDeed[#Headers])-1)&lt;0,0,INDEX(tblContractForDeed[End Bal],ROW()-ROW(tblContractForDeed[#Headers])-1)))</f>
        <v>0</v>
      </c>
      <c r="P328" s="445" t="str">
        <f>IF(tblContractForDeed[[#This Row],[Date]]="","",IF(tblContractForDeed[[#This Row],[Date]]&lt;cfdRateChangeDate,cfdRate1,cfdRate2))</f>
        <v/>
      </c>
      <c r="Q3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75">
        <f>IF(tblContractForDeed[[#This Row],[Payment]]=0,0,MAX(0,MIN(tblContractForDeed[[#This Row],[Beg]],tblContractForDeed[[#This Row],[Payment]]-tblContractForDeed[[#This Row],[Int]])))</f>
        <v>0</v>
      </c>
      <c r="S328" s="275">
        <f>IF(OR(tblContractForDeed[[#This Row],[Date]]&lt;cfdContractDate,tblContractForDeed[[#This Row],[Date]]&gt;cfdEndDate),0,ROUND(tblContractForDeed[[#This Row],[Beg]]*(tblContractForDeed[[#This Row],[Int Rate]]/12),2))</f>
        <v>0</v>
      </c>
      <c r="T328" s="275">
        <f>IF(tblContractForDeed[[#This Row],[Payment]]=0,0,$W$2)</f>
        <v>0</v>
      </c>
      <c r="U328" s="275">
        <f>IF(tblContractForDeed[[#This Row],[Princ]]=0,0,$W$3)</f>
        <v>0</v>
      </c>
      <c r="V328" s="275">
        <f>SUM(tblContractForDeed[[#This Row],[Princ]],tblContractForDeed[[#This Row],[Int]],tblContractForDeed[[#This Row],[Ins]],tblContractForDeed[[#This Row],[Taxes]])</f>
        <v>0</v>
      </c>
      <c r="W328" s="275">
        <f>SUM(INDEX(tblContractForDeed[Princ],1):INDEX(tblContractForDeed[Princ],ROW()-ROW(tblContractForDeed[#Headers])))</f>
        <v>75258.000000000029</v>
      </c>
      <c r="X328" s="275">
        <f>IF(tblContractForDeed[[#This Row],[Beg]]&lt;=0,0,tblContractForDeed[[#This Row],[Beg]]-tblContractForDeed[[#This Row],[Princ]])</f>
        <v>0</v>
      </c>
      <c r="Y32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54">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8" s="275">
        <f>IF(INDEX(tblContractForDeed[End Bal],ROW()-ROW(tblBuyerOutputs[#Headers]))&lt;=0,0,($O$6+IF(ROW()=ROW(tblBuyerOutputs[#Headers])+1,0,INDEX(tblBuyerOutputs[Cumul Appr],ROW()-ROW(tblBuyerOutputs[#Headers])-1)))*$O$2/12)</f>
        <v>0</v>
      </c>
      <c r="AE328" s="275">
        <f>IF(INDEX(tblContractForDeed[End Bal],ROW()-ROW(tblBuyerOutputs[#Headers]))&lt;=0,0,IF(ROW()=ROW(tblBuyerOutputs[#Headers])+1,0,INDEX(tblBuyerOutputs[Cumul Appr],ROW()-ROW(tblBuyerOutputs[#Headers])-1))+tblBuyerOutputs[[#This Row],[Monthly Appr]])</f>
        <v>0</v>
      </c>
      <c r="AF328" s="22"/>
      <c r="AG328" s="14"/>
      <c r="AL328"/>
      <c r="AM328" s="14"/>
      <c r="AO328" s="275"/>
      <c r="AQ328" s="14"/>
      <c r="AR328"/>
    </row>
    <row r="329" spans="1:44" x14ac:dyDescent="0.25">
      <c r="A329" s="590" t="str">
        <f t="shared" si="62"/>
        <v/>
      </c>
      <c r="B329" s="275">
        <f t="shared" si="63"/>
        <v>0</v>
      </c>
      <c r="C329" s="14">
        <f t="shared" si="60"/>
        <v>0</v>
      </c>
      <c r="D329" s="14">
        <f t="shared" si="64"/>
        <v>0</v>
      </c>
      <c r="E329" s="14">
        <f t="shared" si="61"/>
        <v>0</v>
      </c>
      <c r="F329" s="14">
        <f t="shared" si="72"/>
        <v>134.16999999999999</v>
      </c>
      <c r="G329" s="14">
        <f t="shared" si="72"/>
        <v>188.55</v>
      </c>
      <c r="H329" s="14">
        <f t="shared" si="73"/>
        <v>322.72000000000003</v>
      </c>
      <c r="I329" s="275">
        <f t="shared" si="67"/>
        <v>97531.839999999953</v>
      </c>
      <c r="J329" s="275">
        <f t="shared" si="68"/>
        <v>36068.259999999973</v>
      </c>
      <c r="K329" s="275">
        <f t="shared" si="65"/>
        <v>0</v>
      </c>
      <c r="L329" s="386">
        <f t="shared" si="71"/>
        <v>0</v>
      </c>
      <c r="M329" s="386">
        <f t="shared" si="66"/>
        <v>0</v>
      </c>
      <c r="N329" s="590" t="str">
        <f>INDEX(tblSubjectToLoan[Date],ROW()-ROW(tblContractForDeed[#Headers]))</f>
        <v/>
      </c>
      <c r="O329" s="275">
        <f>IF(ROW()=ROW(tblContractForDeed[#Headers])+1,$O$6,IF(INDEX(tblContractForDeed[End Bal],ROW()-ROW(tblContractForDeed[#Headers])-1)&lt;0,0,INDEX(tblContractForDeed[End Bal],ROW()-ROW(tblContractForDeed[#Headers])-1)))</f>
        <v>0</v>
      </c>
      <c r="P329" s="445" t="str">
        <f>IF(tblContractForDeed[[#This Row],[Date]]="","",IF(tblContractForDeed[[#This Row],[Date]]&lt;cfdRateChangeDate,cfdRate1,cfdRate2))</f>
        <v/>
      </c>
      <c r="Q3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75">
        <f>IF(tblContractForDeed[[#This Row],[Payment]]=0,0,MAX(0,MIN(tblContractForDeed[[#This Row],[Beg]],tblContractForDeed[[#This Row],[Payment]]-tblContractForDeed[[#This Row],[Int]])))</f>
        <v>0</v>
      </c>
      <c r="S329" s="275">
        <f>IF(OR(tblContractForDeed[[#This Row],[Date]]&lt;cfdContractDate,tblContractForDeed[[#This Row],[Date]]&gt;cfdEndDate),0,ROUND(tblContractForDeed[[#This Row],[Beg]]*(tblContractForDeed[[#This Row],[Int Rate]]/12),2))</f>
        <v>0</v>
      </c>
      <c r="T329" s="275">
        <f>IF(tblContractForDeed[[#This Row],[Payment]]=0,0,$W$2)</f>
        <v>0</v>
      </c>
      <c r="U329" s="275">
        <f>IF(tblContractForDeed[[#This Row],[Princ]]=0,0,$W$3)</f>
        <v>0</v>
      </c>
      <c r="V329" s="275">
        <f>SUM(tblContractForDeed[[#This Row],[Princ]],tblContractForDeed[[#This Row],[Int]],tblContractForDeed[[#This Row],[Ins]],tblContractForDeed[[#This Row],[Taxes]])</f>
        <v>0</v>
      </c>
      <c r="W329" s="275">
        <f>SUM(INDEX(tblContractForDeed[Princ],1):INDEX(tblContractForDeed[Princ],ROW()-ROW(tblContractForDeed[#Headers])))</f>
        <v>75258.000000000029</v>
      </c>
      <c r="X329" s="275">
        <f>IF(tblContractForDeed[[#This Row],[Beg]]&lt;=0,0,tblContractForDeed[[#This Row],[Beg]]-tblContractForDeed[[#This Row],[Princ]])</f>
        <v>0</v>
      </c>
      <c r="Y32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54">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9" s="275">
        <f>IF(INDEX(tblContractForDeed[End Bal],ROW()-ROW(tblBuyerOutputs[#Headers]))&lt;=0,0,($O$6+IF(ROW()=ROW(tblBuyerOutputs[#Headers])+1,0,INDEX(tblBuyerOutputs[Cumul Appr],ROW()-ROW(tblBuyerOutputs[#Headers])-1)))*$O$2/12)</f>
        <v>0</v>
      </c>
      <c r="AE329" s="275">
        <f>IF(INDEX(tblContractForDeed[End Bal],ROW()-ROW(tblBuyerOutputs[#Headers]))&lt;=0,0,IF(ROW()=ROW(tblBuyerOutputs[#Headers])+1,0,INDEX(tblBuyerOutputs[Cumul Appr],ROW()-ROW(tblBuyerOutputs[#Headers])-1))+tblBuyerOutputs[[#This Row],[Monthly Appr]])</f>
        <v>0</v>
      </c>
      <c r="AF329" s="22"/>
      <c r="AG329" s="14"/>
      <c r="AL329"/>
      <c r="AM329" s="14"/>
      <c r="AO329" s="275"/>
      <c r="AQ329" s="14"/>
      <c r="AR329"/>
    </row>
    <row r="330" spans="1:44" x14ac:dyDescent="0.25">
      <c r="A330" s="590" t="str">
        <f t="shared" si="62"/>
        <v/>
      </c>
      <c r="B330" s="275">
        <f t="shared" si="63"/>
        <v>0</v>
      </c>
      <c r="C330" s="14">
        <f t="shared" si="60"/>
        <v>0</v>
      </c>
      <c r="D330" s="14">
        <f t="shared" si="64"/>
        <v>0</v>
      </c>
      <c r="E330" s="14">
        <f t="shared" si="61"/>
        <v>0</v>
      </c>
      <c r="F330" s="14">
        <f t="shared" si="72"/>
        <v>134.16999999999999</v>
      </c>
      <c r="G330" s="14">
        <f t="shared" si="72"/>
        <v>188.55</v>
      </c>
      <c r="H330" s="14">
        <f t="shared" si="73"/>
        <v>322.72000000000003</v>
      </c>
      <c r="I330" s="275">
        <f t="shared" si="67"/>
        <v>97531.839999999953</v>
      </c>
      <c r="J330" s="275">
        <f t="shared" si="68"/>
        <v>36068.259999999973</v>
      </c>
      <c r="K330" s="275">
        <f t="shared" si="65"/>
        <v>0</v>
      </c>
      <c r="L330" s="386">
        <f t="shared" si="71"/>
        <v>0</v>
      </c>
      <c r="M330" s="386">
        <f t="shared" si="66"/>
        <v>0</v>
      </c>
      <c r="N330" s="590" t="str">
        <f>INDEX(tblSubjectToLoan[Date],ROW()-ROW(tblContractForDeed[#Headers]))</f>
        <v/>
      </c>
      <c r="O330" s="275">
        <f>IF(ROW()=ROW(tblContractForDeed[#Headers])+1,$O$6,IF(INDEX(tblContractForDeed[End Bal],ROW()-ROW(tblContractForDeed[#Headers])-1)&lt;0,0,INDEX(tblContractForDeed[End Bal],ROW()-ROW(tblContractForDeed[#Headers])-1)))</f>
        <v>0</v>
      </c>
      <c r="P330" s="445" t="str">
        <f>IF(tblContractForDeed[[#This Row],[Date]]="","",IF(tblContractForDeed[[#This Row],[Date]]&lt;cfdRateChangeDate,cfdRate1,cfdRate2))</f>
        <v/>
      </c>
      <c r="Q3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75">
        <f>IF(tblContractForDeed[[#This Row],[Payment]]=0,0,MAX(0,MIN(tblContractForDeed[[#This Row],[Beg]],tblContractForDeed[[#This Row],[Payment]]-tblContractForDeed[[#This Row],[Int]])))</f>
        <v>0</v>
      </c>
      <c r="S330" s="275">
        <f>IF(OR(tblContractForDeed[[#This Row],[Date]]&lt;cfdContractDate,tblContractForDeed[[#This Row],[Date]]&gt;cfdEndDate),0,ROUND(tblContractForDeed[[#This Row],[Beg]]*(tblContractForDeed[[#This Row],[Int Rate]]/12),2))</f>
        <v>0</v>
      </c>
      <c r="T330" s="275">
        <f>IF(tblContractForDeed[[#This Row],[Payment]]=0,0,$W$2)</f>
        <v>0</v>
      </c>
      <c r="U330" s="275">
        <f>IF(tblContractForDeed[[#This Row],[Princ]]=0,0,$W$3)</f>
        <v>0</v>
      </c>
      <c r="V330" s="275">
        <f>SUM(tblContractForDeed[[#This Row],[Princ]],tblContractForDeed[[#This Row],[Int]],tblContractForDeed[[#This Row],[Ins]],tblContractForDeed[[#This Row],[Taxes]])</f>
        <v>0</v>
      </c>
      <c r="W330" s="275">
        <f>SUM(INDEX(tblContractForDeed[Princ],1):INDEX(tblContractForDeed[Princ],ROW()-ROW(tblContractForDeed[#Headers])))</f>
        <v>75258.000000000029</v>
      </c>
      <c r="X330" s="275">
        <f>IF(tblContractForDeed[[#This Row],[Beg]]&lt;=0,0,tblContractForDeed[[#This Row],[Beg]]-tblContractForDeed[[#This Row],[Princ]])</f>
        <v>0</v>
      </c>
      <c r="Y33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54">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0" s="275">
        <f>IF(INDEX(tblContractForDeed[End Bal],ROW()-ROW(tblBuyerOutputs[#Headers]))&lt;=0,0,($O$6+IF(ROW()=ROW(tblBuyerOutputs[#Headers])+1,0,INDEX(tblBuyerOutputs[Cumul Appr],ROW()-ROW(tblBuyerOutputs[#Headers])-1)))*$O$2/12)</f>
        <v>0</v>
      </c>
      <c r="AE330" s="275">
        <f>IF(INDEX(tblContractForDeed[End Bal],ROW()-ROW(tblBuyerOutputs[#Headers]))&lt;=0,0,IF(ROW()=ROW(tblBuyerOutputs[#Headers])+1,0,INDEX(tblBuyerOutputs[Cumul Appr],ROW()-ROW(tblBuyerOutputs[#Headers])-1))+tblBuyerOutputs[[#This Row],[Monthly Appr]])</f>
        <v>0</v>
      </c>
      <c r="AF330" s="22"/>
      <c r="AG330" s="14"/>
      <c r="AL330"/>
      <c r="AM330" s="14"/>
      <c r="AO330" s="275"/>
      <c r="AQ330" s="14"/>
      <c r="AR330"/>
    </row>
    <row r="331" spans="1:44" ht="15.75" thickBot="1" x14ac:dyDescent="0.3">
      <c r="A331" s="591" t="str">
        <f t="shared" si="62"/>
        <v/>
      </c>
      <c r="B331" s="326">
        <f t="shared" si="63"/>
        <v>0</v>
      </c>
      <c r="C331" s="21">
        <f t="shared" si="60"/>
        <v>0</v>
      </c>
      <c r="D331" s="21">
        <f t="shared" si="64"/>
        <v>0</v>
      </c>
      <c r="E331" s="21">
        <f t="shared" si="61"/>
        <v>0</v>
      </c>
      <c r="F331" s="21">
        <f t="shared" si="72"/>
        <v>134.16999999999999</v>
      </c>
      <c r="G331" s="21">
        <f t="shared" si="72"/>
        <v>188.55</v>
      </c>
      <c r="H331" s="21">
        <f t="shared" si="73"/>
        <v>322.72000000000003</v>
      </c>
      <c r="I331" s="326">
        <f t="shared" si="67"/>
        <v>97531.839999999953</v>
      </c>
      <c r="J331" s="326">
        <f t="shared" si="68"/>
        <v>36068.259999999973</v>
      </c>
      <c r="K331" s="326">
        <f t="shared" si="65"/>
        <v>0</v>
      </c>
      <c r="L331" s="387">
        <f t="shared" si="71"/>
        <v>0</v>
      </c>
      <c r="M331" s="387">
        <f t="shared" si="66"/>
        <v>0</v>
      </c>
      <c r="N331" s="591" t="str">
        <f>INDEX(tblSubjectToLoan[Date],ROW()-ROW(tblContractForDeed[#Headers]))</f>
        <v/>
      </c>
      <c r="O331" s="326">
        <f>IF(ROW()=ROW(tblContractForDeed[#Headers])+1,$O$6,IF(INDEX(tblContractForDeed[End Bal],ROW()-ROW(tblContractForDeed[#Headers])-1)&lt;0,0,INDEX(tblContractForDeed[End Bal],ROW()-ROW(tblContractForDeed[#Headers])-1)))</f>
        <v>0</v>
      </c>
      <c r="P331" s="445" t="str">
        <f>IF(tblContractForDeed[[#This Row],[Date]]="","",IF(tblContractForDeed[[#This Row],[Date]]&lt;cfdRateChangeDate,cfdRate1,cfdRate2))</f>
        <v/>
      </c>
      <c r="Q33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26">
        <f>IF(tblContractForDeed[[#This Row],[Payment]]=0,0,MAX(0,MIN(tblContractForDeed[[#This Row],[Beg]],tblContractForDeed[[#This Row],[Payment]]-tblContractForDeed[[#This Row],[Int]])))</f>
        <v>0</v>
      </c>
      <c r="S331" s="326">
        <f>IF(OR(tblContractForDeed[[#This Row],[Date]]&lt;cfdContractDate,tblContractForDeed[[#This Row],[Date]]&gt;cfdEndDate),0,ROUND(tblContractForDeed[[#This Row],[Beg]]*(tblContractForDeed[[#This Row],[Int Rate]]/12),2))</f>
        <v>0</v>
      </c>
      <c r="T331" s="326">
        <f>IF(tblContractForDeed[[#This Row],[Payment]]=0,0,$W$2)</f>
        <v>0</v>
      </c>
      <c r="U331" s="326">
        <f>IF(tblContractForDeed[[#This Row],[Princ]]=0,0,$W$3)</f>
        <v>0</v>
      </c>
      <c r="V331" s="326">
        <f>SUM(tblContractForDeed[[#This Row],[Princ]],tblContractForDeed[[#This Row],[Int]],tblContractForDeed[[#This Row],[Ins]],tblContractForDeed[[#This Row],[Taxes]])</f>
        <v>0</v>
      </c>
      <c r="W331" s="326">
        <f>SUM(INDEX(tblContractForDeed[Princ],1):INDEX(tblContractForDeed[Princ],ROW()-ROW(tblContractForDeed[#Headers])))</f>
        <v>75258.000000000029</v>
      </c>
      <c r="X331" s="326">
        <f>IF(tblContractForDeed[[#This Row],[Beg]]&lt;=0,0,tblContractForDeed[[#This Row],[Beg]]-tblContractForDeed[[#This Row],[Princ]])</f>
        <v>0</v>
      </c>
      <c r="Y33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55">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1" s="326">
        <f>IF(INDEX(tblContractForDeed[End Bal],ROW()-ROW(tblBuyerOutputs[#Headers]))&lt;=0,0,($O$6+IF(ROW()=ROW(tblBuyerOutputs[#Headers])+1,0,INDEX(tblBuyerOutputs[Cumul Appr],ROW()-ROW(tblBuyerOutputs[#Headers])-1)))*$O$2/12)</f>
        <v>0</v>
      </c>
      <c r="AE331" s="326">
        <f>IF(INDEX(tblContractForDeed[End Bal],ROW()-ROW(tblBuyerOutputs[#Headers]))&lt;=0,0,IF(ROW()=ROW(tblBuyerOutputs[#Headers])+1,0,INDEX(tblBuyerOutputs[Cumul Appr],ROW()-ROW(tblBuyerOutputs[#Headers])-1))+tblBuyerOutputs[[#This Row],[Monthly Appr]])</f>
        <v>0</v>
      </c>
      <c r="AF331" s="22"/>
      <c r="AG331" s="14"/>
      <c r="AL331"/>
      <c r="AM331" s="14"/>
      <c r="AO331" s="275"/>
      <c r="AQ331" s="14"/>
      <c r="AR331"/>
    </row>
    <row r="332" spans="1:44" x14ac:dyDescent="0.25">
      <c r="A332" s="590" t="str">
        <f t="shared" si="62"/>
        <v/>
      </c>
      <c r="B332" s="275">
        <f t="shared" si="63"/>
        <v>0</v>
      </c>
      <c r="C332" s="14">
        <f t="shared" si="60"/>
        <v>0</v>
      </c>
      <c r="D332" s="14">
        <f t="shared" si="64"/>
        <v>0</v>
      </c>
      <c r="E332" s="14">
        <f t="shared" si="61"/>
        <v>0</v>
      </c>
      <c r="F332" s="14">
        <f t="shared" si="72"/>
        <v>134.16999999999999</v>
      </c>
      <c r="G332" s="14">
        <f t="shared" si="72"/>
        <v>188.55</v>
      </c>
      <c r="H332" s="14">
        <f t="shared" si="73"/>
        <v>322.72000000000003</v>
      </c>
      <c r="I332" s="275">
        <f t="shared" si="67"/>
        <v>97531.839999999953</v>
      </c>
      <c r="J332" s="275">
        <f t="shared" si="68"/>
        <v>36068.259999999973</v>
      </c>
      <c r="K332" s="275">
        <f t="shared" si="65"/>
        <v>0</v>
      </c>
      <c r="L332" s="386">
        <f t="shared" si="71"/>
        <v>0</v>
      </c>
      <c r="M332" s="386">
        <f t="shared" si="66"/>
        <v>0</v>
      </c>
      <c r="N332" s="590" t="str">
        <f>INDEX(tblSubjectToLoan[Date],ROW()-ROW(tblContractForDeed[#Headers]))</f>
        <v/>
      </c>
      <c r="O332" s="275">
        <f>IF(ROW()=ROW(tblContractForDeed[#Headers])+1,$O$6,IF(INDEX(tblContractForDeed[End Bal],ROW()-ROW(tblContractForDeed[#Headers])-1)&lt;0,0,INDEX(tblContractForDeed[End Bal],ROW()-ROW(tblContractForDeed[#Headers])-1)))</f>
        <v>0</v>
      </c>
      <c r="P332" s="445" t="str">
        <f>IF(tblContractForDeed[[#This Row],[Date]]="","",IF(tblContractForDeed[[#This Row],[Date]]&lt;cfdRateChangeDate,cfdRate1,cfdRate2))</f>
        <v/>
      </c>
      <c r="Q3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75">
        <f>IF(tblContractForDeed[[#This Row],[Payment]]=0,0,MAX(0,MIN(tblContractForDeed[[#This Row],[Beg]],tblContractForDeed[[#This Row],[Payment]]-tblContractForDeed[[#This Row],[Int]])))</f>
        <v>0</v>
      </c>
      <c r="S332" s="275">
        <f>IF(OR(tblContractForDeed[[#This Row],[Date]]&lt;cfdContractDate,tblContractForDeed[[#This Row],[Date]]&gt;cfdEndDate),0,ROUND(tblContractForDeed[[#This Row],[Beg]]*(tblContractForDeed[[#This Row],[Int Rate]]/12),2))</f>
        <v>0</v>
      </c>
      <c r="T332" s="275">
        <f>IF(tblContractForDeed[[#This Row],[Payment]]=0,0,$W$2)</f>
        <v>0</v>
      </c>
      <c r="U332" s="275">
        <f>IF(tblContractForDeed[[#This Row],[Princ]]=0,0,$W$3)</f>
        <v>0</v>
      </c>
      <c r="V332" s="275">
        <f>SUM(tblContractForDeed[[#This Row],[Princ]],tblContractForDeed[[#This Row],[Int]],tblContractForDeed[[#This Row],[Ins]],tblContractForDeed[[#This Row],[Taxes]])</f>
        <v>0</v>
      </c>
      <c r="W332" s="275">
        <f>SUM(INDEX(tblContractForDeed[Princ],1):INDEX(tblContractForDeed[Princ],ROW()-ROW(tblContractForDeed[#Headers])))</f>
        <v>75258.000000000029</v>
      </c>
      <c r="X332" s="275">
        <f>IF(tblContractForDeed[[#This Row],[Beg]]&lt;=0,0,tblContractForDeed[[#This Row],[Beg]]-tblContractForDeed[[#This Row],[Princ]])</f>
        <v>0</v>
      </c>
      <c r="Y33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54">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2" s="275">
        <f>IF(INDEX(tblContractForDeed[End Bal],ROW()-ROW(tblBuyerOutputs[#Headers]))&lt;=0,0,($O$6+IF(ROW()=ROW(tblBuyerOutputs[#Headers])+1,0,INDEX(tblBuyerOutputs[Cumul Appr],ROW()-ROW(tblBuyerOutputs[#Headers])-1)))*$O$2/12)</f>
        <v>0</v>
      </c>
      <c r="AE332" s="275">
        <f>IF(INDEX(tblContractForDeed[End Bal],ROW()-ROW(tblBuyerOutputs[#Headers]))&lt;=0,0,IF(ROW()=ROW(tblBuyerOutputs[#Headers])+1,0,INDEX(tblBuyerOutputs[Cumul Appr],ROW()-ROW(tblBuyerOutputs[#Headers])-1))+tblBuyerOutputs[[#This Row],[Monthly Appr]])</f>
        <v>0</v>
      </c>
      <c r="AF332" s="22"/>
      <c r="AG332" s="14"/>
      <c r="AL332"/>
      <c r="AM332" s="14"/>
      <c r="AO332" s="275"/>
      <c r="AQ332" s="14"/>
      <c r="AR332"/>
    </row>
    <row r="333" spans="1:44" x14ac:dyDescent="0.25">
      <c r="A333" s="590" t="str">
        <f t="shared" si="62"/>
        <v/>
      </c>
      <c r="B333" s="275">
        <f t="shared" si="63"/>
        <v>0</v>
      </c>
      <c r="C333" s="14">
        <f t="shared" si="60"/>
        <v>0</v>
      </c>
      <c r="D333" s="14">
        <f t="shared" si="64"/>
        <v>0</v>
      </c>
      <c r="E333" s="14">
        <f t="shared" si="61"/>
        <v>0</v>
      </c>
      <c r="F333" s="14">
        <f t="shared" si="72"/>
        <v>134.16999999999999</v>
      </c>
      <c r="G333" s="14">
        <f t="shared" si="72"/>
        <v>188.55</v>
      </c>
      <c r="H333" s="14">
        <f t="shared" si="73"/>
        <v>322.72000000000003</v>
      </c>
      <c r="I333" s="275">
        <f t="shared" si="67"/>
        <v>97531.839999999953</v>
      </c>
      <c r="J333" s="275">
        <f t="shared" si="68"/>
        <v>36068.259999999973</v>
      </c>
      <c r="K333" s="275">
        <f t="shared" si="65"/>
        <v>0</v>
      </c>
      <c r="L333" s="386">
        <f t="shared" si="71"/>
        <v>0</v>
      </c>
      <c r="M333" s="386">
        <f t="shared" si="66"/>
        <v>0</v>
      </c>
      <c r="N333" s="590" t="str">
        <f>INDEX(tblSubjectToLoan[Date],ROW()-ROW(tblContractForDeed[#Headers]))</f>
        <v/>
      </c>
      <c r="O333" s="275">
        <f>IF(ROW()=ROW(tblContractForDeed[#Headers])+1,$O$6,IF(INDEX(tblContractForDeed[End Bal],ROW()-ROW(tblContractForDeed[#Headers])-1)&lt;0,0,INDEX(tblContractForDeed[End Bal],ROW()-ROW(tblContractForDeed[#Headers])-1)))</f>
        <v>0</v>
      </c>
      <c r="P333" s="445" t="str">
        <f>IF(tblContractForDeed[[#This Row],[Date]]="","",IF(tblContractForDeed[[#This Row],[Date]]&lt;cfdRateChangeDate,cfdRate1,cfdRate2))</f>
        <v/>
      </c>
      <c r="Q3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75">
        <f>IF(tblContractForDeed[[#This Row],[Payment]]=0,0,MAX(0,MIN(tblContractForDeed[[#This Row],[Beg]],tblContractForDeed[[#This Row],[Payment]]-tblContractForDeed[[#This Row],[Int]])))</f>
        <v>0</v>
      </c>
      <c r="S333" s="275">
        <f>IF(OR(tblContractForDeed[[#This Row],[Date]]&lt;cfdContractDate,tblContractForDeed[[#This Row],[Date]]&gt;cfdEndDate),0,ROUND(tblContractForDeed[[#This Row],[Beg]]*(tblContractForDeed[[#This Row],[Int Rate]]/12),2))</f>
        <v>0</v>
      </c>
      <c r="T333" s="275">
        <f>IF(tblContractForDeed[[#This Row],[Payment]]=0,0,$W$2)</f>
        <v>0</v>
      </c>
      <c r="U333" s="275">
        <f>IF(tblContractForDeed[[#This Row],[Princ]]=0,0,$W$3)</f>
        <v>0</v>
      </c>
      <c r="V333" s="275">
        <f>SUM(tblContractForDeed[[#This Row],[Princ]],tblContractForDeed[[#This Row],[Int]],tblContractForDeed[[#This Row],[Ins]],tblContractForDeed[[#This Row],[Taxes]])</f>
        <v>0</v>
      </c>
      <c r="W333" s="275">
        <f>SUM(INDEX(tblContractForDeed[Princ],1):INDEX(tblContractForDeed[Princ],ROW()-ROW(tblContractForDeed[#Headers])))</f>
        <v>75258.000000000029</v>
      </c>
      <c r="X333" s="275">
        <f>IF(tblContractForDeed[[#This Row],[Beg]]&lt;=0,0,tblContractForDeed[[#This Row],[Beg]]-tblContractForDeed[[#This Row],[Princ]])</f>
        <v>0</v>
      </c>
      <c r="Y33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54">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3" s="275">
        <f>IF(INDEX(tblContractForDeed[End Bal],ROW()-ROW(tblBuyerOutputs[#Headers]))&lt;=0,0,($O$6+IF(ROW()=ROW(tblBuyerOutputs[#Headers])+1,0,INDEX(tblBuyerOutputs[Cumul Appr],ROW()-ROW(tblBuyerOutputs[#Headers])-1)))*$O$2/12)</f>
        <v>0</v>
      </c>
      <c r="AE333" s="275">
        <f>IF(INDEX(tblContractForDeed[End Bal],ROW()-ROW(tblBuyerOutputs[#Headers]))&lt;=0,0,IF(ROW()=ROW(tblBuyerOutputs[#Headers])+1,0,INDEX(tblBuyerOutputs[Cumul Appr],ROW()-ROW(tblBuyerOutputs[#Headers])-1))+tblBuyerOutputs[[#This Row],[Monthly Appr]])</f>
        <v>0</v>
      </c>
      <c r="AF333" s="22"/>
      <c r="AG333" s="14"/>
      <c r="AL333"/>
      <c r="AM333" s="14"/>
      <c r="AO333" s="275"/>
      <c r="AQ333" s="14"/>
      <c r="AR333"/>
    </row>
    <row r="334" spans="1:44" x14ac:dyDescent="0.25">
      <c r="A334" s="590" t="str">
        <f t="shared" si="62"/>
        <v/>
      </c>
      <c r="B334" s="275">
        <f t="shared" si="63"/>
        <v>0</v>
      </c>
      <c r="C334" s="14">
        <f t="shared" si="60"/>
        <v>0</v>
      </c>
      <c r="D334" s="14">
        <f t="shared" si="64"/>
        <v>0</v>
      </c>
      <c r="E334" s="14">
        <f t="shared" si="61"/>
        <v>0</v>
      </c>
      <c r="F334" s="14">
        <f t="shared" si="72"/>
        <v>134.16999999999999</v>
      </c>
      <c r="G334" s="14">
        <f t="shared" si="72"/>
        <v>188.55</v>
      </c>
      <c r="H334" s="14">
        <f t="shared" si="73"/>
        <v>322.72000000000003</v>
      </c>
      <c r="I334" s="275">
        <f t="shared" si="67"/>
        <v>97531.839999999953</v>
      </c>
      <c r="J334" s="275">
        <f t="shared" si="68"/>
        <v>36068.259999999973</v>
      </c>
      <c r="K334" s="275">
        <f t="shared" si="65"/>
        <v>0</v>
      </c>
      <c r="L334" s="386">
        <f t="shared" si="71"/>
        <v>0</v>
      </c>
      <c r="M334" s="386">
        <f t="shared" si="66"/>
        <v>0</v>
      </c>
      <c r="N334" s="590" t="str">
        <f>INDEX(tblSubjectToLoan[Date],ROW()-ROW(tblContractForDeed[#Headers]))</f>
        <v/>
      </c>
      <c r="O334" s="275">
        <f>IF(ROW()=ROW(tblContractForDeed[#Headers])+1,$O$6,IF(INDEX(tblContractForDeed[End Bal],ROW()-ROW(tblContractForDeed[#Headers])-1)&lt;0,0,INDEX(tblContractForDeed[End Bal],ROW()-ROW(tblContractForDeed[#Headers])-1)))</f>
        <v>0</v>
      </c>
      <c r="P334" s="445" t="str">
        <f>IF(tblContractForDeed[[#This Row],[Date]]="","",IF(tblContractForDeed[[#This Row],[Date]]&lt;cfdRateChangeDate,cfdRate1,cfdRate2))</f>
        <v/>
      </c>
      <c r="Q3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75">
        <f>IF(tblContractForDeed[[#This Row],[Payment]]=0,0,MAX(0,MIN(tblContractForDeed[[#This Row],[Beg]],tblContractForDeed[[#This Row],[Payment]]-tblContractForDeed[[#This Row],[Int]])))</f>
        <v>0</v>
      </c>
      <c r="S334" s="275">
        <f>IF(OR(tblContractForDeed[[#This Row],[Date]]&lt;cfdContractDate,tblContractForDeed[[#This Row],[Date]]&gt;cfdEndDate),0,ROUND(tblContractForDeed[[#This Row],[Beg]]*(tblContractForDeed[[#This Row],[Int Rate]]/12),2))</f>
        <v>0</v>
      </c>
      <c r="T334" s="275">
        <f>IF(tblContractForDeed[[#This Row],[Payment]]=0,0,$W$2)</f>
        <v>0</v>
      </c>
      <c r="U334" s="275">
        <f>IF(tblContractForDeed[[#This Row],[Princ]]=0,0,$W$3)</f>
        <v>0</v>
      </c>
      <c r="V334" s="275">
        <f>SUM(tblContractForDeed[[#This Row],[Princ]],tblContractForDeed[[#This Row],[Int]],tblContractForDeed[[#This Row],[Ins]],tblContractForDeed[[#This Row],[Taxes]])</f>
        <v>0</v>
      </c>
      <c r="W334" s="275">
        <f>SUM(INDEX(tblContractForDeed[Princ],1):INDEX(tblContractForDeed[Princ],ROW()-ROW(tblContractForDeed[#Headers])))</f>
        <v>75258.000000000029</v>
      </c>
      <c r="X334" s="275">
        <f>IF(tblContractForDeed[[#This Row],[Beg]]&lt;=0,0,tblContractForDeed[[#This Row],[Beg]]-tblContractForDeed[[#This Row],[Princ]])</f>
        <v>0</v>
      </c>
      <c r="Y33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54">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4" s="275">
        <f>IF(INDEX(tblContractForDeed[End Bal],ROW()-ROW(tblBuyerOutputs[#Headers]))&lt;=0,0,($O$6+IF(ROW()=ROW(tblBuyerOutputs[#Headers])+1,0,INDEX(tblBuyerOutputs[Cumul Appr],ROW()-ROW(tblBuyerOutputs[#Headers])-1)))*$O$2/12)</f>
        <v>0</v>
      </c>
      <c r="AE334" s="275">
        <f>IF(INDEX(tblContractForDeed[End Bal],ROW()-ROW(tblBuyerOutputs[#Headers]))&lt;=0,0,IF(ROW()=ROW(tblBuyerOutputs[#Headers])+1,0,INDEX(tblBuyerOutputs[Cumul Appr],ROW()-ROW(tblBuyerOutputs[#Headers])-1))+tblBuyerOutputs[[#This Row],[Monthly Appr]])</f>
        <v>0</v>
      </c>
      <c r="AF334" s="22"/>
      <c r="AG334" s="14"/>
      <c r="AL334"/>
      <c r="AM334" s="14"/>
      <c r="AO334" s="275"/>
      <c r="AQ334" s="14"/>
      <c r="AR334"/>
    </row>
    <row r="335" spans="1:44" x14ac:dyDescent="0.25">
      <c r="A335" s="590" t="str">
        <f t="shared" si="62"/>
        <v/>
      </c>
      <c r="B335" s="275">
        <f t="shared" si="63"/>
        <v>0</v>
      </c>
      <c r="C335" s="14">
        <f t="shared" si="60"/>
        <v>0</v>
      </c>
      <c r="D335" s="14">
        <f t="shared" si="64"/>
        <v>0</v>
      </c>
      <c r="E335" s="14">
        <f t="shared" si="61"/>
        <v>0</v>
      </c>
      <c r="F335" s="14">
        <f t="shared" ref="F335:G350" si="74">+F334</f>
        <v>134.16999999999999</v>
      </c>
      <c r="G335" s="14">
        <f t="shared" si="74"/>
        <v>188.55</v>
      </c>
      <c r="H335" s="14">
        <f t="shared" si="73"/>
        <v>322.72000000000003</v>
      </c>
      <c r="I335" s="275">
        <f t="shared" si="67"/>
        <v>97531.839999999953</v>
      </c>
      <c r="J335" s="275">
        <f t="shared" si="68"/>
        <v>36068.259999999973</v>
      </c>
      <c r="K335" s="275">
        <f t="shared" si="65"/>
        <v>0</v>
      </c>
      <c r="L335" s="386">
        <f t="shared" si="71"/>
        <v>0</v>
      </c>
      <c r="M335" s="386">
        <f t="shared" si="66"/>
        <v>0</v>
      </c>
      <c r="N335" s="590" t="str">
        <f>INDEX(tblSubjectToLoan[Date],ROW()-ROW(tblContractForDeed[#Headers]))</f>
        <v/>
      </c>
      <c r="O335" s="275">
        <f>IF(ROW()=ROW(tblContractForDeed[#Headers])+1,$O$6,IF(INDEX(tblContractForDeed[End Bal],ROW()-ROW(tblContractForDeed[#Headers])-1)&lt;0,0,INDEX(tblContractForDeed[End Bal],ROW()-ROW(tblContractForDeed[#Headers])-1)))</f>
        <v>0</v>
      </c>
      <c r="P335" s="445" t="str">
        <f>IF(tblContractForDeed[[#This Row],[Date]]="","",IF(tblContractForDeed[[#This Row],[Date]]&lt;cfdRateChangeDate,cfdRate1,cfdRate2))</f>
        <v/>
      </c>
      <c r="Q33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75">
        <f>IF(tblContractForDeed[[#This Row],[Payment]]=0,0,MAX(0,MIN(tblContractForDeed[[#This Row],[Beg]],tblContractForDeed[[#This Row],[Payment]]-tblContractForDeed[[#This Row],[Int]])))</f>
        <v>0</v>
      </c>
      <c r="S335" s="275">
        <f>IF(OR(tblContractForDeed[[#This Row],[Date]]&lt;cfdContractDate,tblContractForDeed[[#This Row],[Date]]&gt;cfdEndDate),0,ROUND(tblContractForDeed[[#This Row],[Beg]]*(tblContractForDeed[[#This Row],[Int Rate]]/12),2))</f>
        <v>0</v>
      </c>
      <c r="T335" s="275">
        <f>IF(tblContractForDeed[[#This Row],[Payment]]=0,0,$W$2)</f>
        <v>0</v>
      </c>
      <c r="U335" s="275">
        <f>IF(tblContractForDeed[[#This Row],[Princ]]=0,0,$W$3)</f>
        <v>0</v>
      </c>
      <c r="V335" s="275">
        <f>SUM(tblContractForDeed[[#This Row],[Princ]],tblContractForDeed[[#This Row],[Int]],tblContractForDeed[[#This Row],[Ins]],tblContractForDeed[[#This Row],[Taxes]])</f>
        <v>0</v>
      </c>
      <c r="W335" s="275">
        <f>SUM(INDEX(tblContractForDeed[Princ],1):INDEX(tblContractForDeed[Princ],ROW()-ROW(tblContractForDeed[#Headers])))</f>
        <v>75258.000000000029</v>
      </c>
      <c r="X335" s="275">
        <f>IF(tblContractForDeed[[#This Row],[Beg]]&lt;=0,0,tblContractForDeed[[#This Row],[Beg]]-tblContractForDeed[[#This Row],[Princ]])</f>
        <v>0</v>
      </c>
      <c r="Y33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54">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5" s="275">
        <f>IF(INDEX(tblContractForDeed[End Bal],ROW()-ROW(tblBuyerOutputs[#Headers]))&lt;=0,0,($O$6+IF(ROW()=ROW(tblBuyerOutputs[#Headers])+1,0,INDEX(tblBuyerOutputs[Cumul Appr],ROW()-ROW(tblBuyerOutputs[#Headers])-1)))*$O$2/12)</f>
        <v>0</v>
      </c>
      <c r="AE335" s="275">
        <f>IF(INDEX(tblContractForDeed[End Bal],ROW()-ROW(tblBuyerOutputs[#Headers]))&lt;=0,0,IF(ROW()=ROW(tblBuyerOutputs[#Headers])+1,0,INDEX(tblBuyerOutputs[Cumul Appr],ROW()-ROW(tblBuyerOutputs[#Headers])-1))+tblBuyerOutputs[[#This Row],[Monthly Appr]])</f>
        <v>0</v>
      </c>
      <c r="AF335" s="22"/>
      <c r="AG335" s="14"/>
      <c r="AL335"/>
      <c r="AM335" s="14"/>
      <c r="AO335" s="275"/>
      <c r="AQ335" s="14"/>
      <c r="AR335"/>
    </row>
    <row r="336" spans="1:44" x14ac:dyDescent="0.25">
      <c r="A336" s="590" t="str">
        <f t="shared" si="62"/>
        <v/>
      </c>
      <c r="B336" s="275">
        <f t="shared" si="63"/>
        <v>0</v>
      </c>
      <c r="C336" s="14">
        <f t="shared" si="60"/>
        <v>0</v>
      </c>
      <c r="D336" s="14">
        <f t="shared" si="64"/>
        <v>0</v>
      </c>
      <c r="E336" s="14">
        <f t="shared" si="61"/>
        <v>0</v>
      </c>
      <c r="F336" s="14">
        <f t="shared" si="74"/>
        <v>134.16999999999999</v>
      </c>
      <c r="G336" s="14">
        <f t="shared" si="74"/>
        <v>188.55</v>
      </c>
      <c r="H336" s="14">
        <f t="shared" si="73"/>
        <v>322.72000000000003</v>
      </c>
      <c r="I336" s="275">
        <f t="shared" si="67"/>
        <v>97531.839999999953</v>
      </c>
      <c r="J336" s="275">
        <f t="shared" si="68"/>
        <v>36068.259999999973</v>
      </c>
      <c r="K336" s="275">
        <f t="shared" si="65"/>
        <v>0</v>
      </c>
      <c r="L336" s="386">
        <f t="shared" si="71"/>
        <v>0</v>
      </c>
      <c r="M336" s="386">
        <f t="shared" si="66"/>
        <v>0</v>
      </c>
      <c r="N336" s="590" t="str">
        <f>INDEX(tblSubjectToLoan[Date],ROW()-ROW(tblContractForDeed[#Headers]))</f>
        <v/>
      </c>
      <c r="O336" s="275">
        <f>IF(ROW()=ROW(tblContractForDeed[#Headers])+1,$O$6,IF(INDEX(tblContractForDeed[End Bal],ROW()-ROW(tblContractForDeed[#Headers])-1)&lt;0,0,INDEX(tblContractForDeed[End Bal],ROW()-ROW(tblContractForDeed[#Headers])-1)))</f>
        <v>0</v>
      </c>
      <c r="P336" s="445" t="str">
        <f>IF(tblContractForDeed[[#This Row],[Date]]="","",IF(tblContractForDeed[[#This Row],[Date]]&lt;cfdRateChangeDate,cfdRate1,cfdRate2))</f>
        <v/>
      </c>
      <c r="Q3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75">
        <f>IF(tblContractForDeed[[#This Row],[Payment]]=0,0,MAX(0,MIN(tblContractForDeed[[#This Row],[Beg]],tblContractForDeed[[#This Row],[Payment]]-tblContractForDeed[[#This Row],[Int]])))</f>
        <v>0</v>
      </c>
      <c r="S336" s="275">
        <f>IF(OR(tblContractForDeed[[#This Row],[Date]]&lt;cfdContractDate,tblContractForDeed[[#This Row],[Date]]&gt;cfdEndDate),0,ROUND(tblContractForDeed[[#This Row],[Beg]]*(tblContractForDeed[[#This Row],[Int Rate]]/12),2))</f>
        <v>0</v>
      </c>
      <c r="T336" s="275">
        <f>IF(tblContractForDeed[[#This Row],[Payment]]=0,0,$W$2)</f>
        <v>0</v>
      </c>
      <c r="U336" s="275">
        <f>IF(tblContractForDeed[[#This Row],[Princ]]=0,0,$W$3)</f>
        <v>0</v>
      </c>
      <c r="V336" s="275">
        <f>SUM(tblContractForDeed[[#This Row],[Princ]],tblContractForDeed[[#This Row],[Int]],tblContractForDeed[[#This Row],[Ins]],tblContractForDeed[[#This Row],[Taxes]])</f>
        <v>0</v>
      </c>
      <c r="W336" s="275">
        <f>SUM(INDEX(tblContractForDeed[Princ],1):INDEX(tblContractForDeed[Princ],ROW()-ROW(tblContractForDeed[#Headers])))</f>
        <v>75258.000000000029</v>
      </c>
      <c r="X336" s="275">
        <f>IF(tblContractForDeed[[#This Row],[Beg]]&lt;=0,0,tblContractForDeed[[#This Row],[Beg]]-tblContractForDeed[[#This Row],[Princ]])</f>
        <v>0</v>
      </c>
      <c r="Y33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54">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6" s="275">
        <f>IF(INDEX(tblContractForDeed[End Bal],ROW()-ROW(tblBuyerOutputs[#Headers]))&lt;=0,0,($O$6+IF(ROW()=ROW(tblBuyerOutputs[#Headers])+1,0,INDEX(tblBuyerOutputs[Cumul Appr],ROW()-ROW(tblBuyerOutputs[#Headers])-1)))*$O$2/12)</f>
        <v>0</v>
      </c>
      <c r="AE336" s="275">
        <f>IF(INDEX(tblContractForDeed[End Bal],ROW()-ROW(tblBuyerOutputs[#Headers]))&lt;=0,0,IF(ROW()=ROW(tblBuyerOutputs[#Headers])+1,0,INDEX(tblBuyerOutputs[Cumul Appr],ROW()-ROW(tblBuyerOutputs[#Headers])-1))+tblBuyerOutputs[[#This Row],[Monthly Appr]])</f>
        <v>0</v>
      </c>
      <c r="AF336" s="22"/>
      <c r="AG336" s="14"/>
      <c r="AL336"/>
      <c r="AM336" s="14"/>
      <c r="AO336" s="275"/>
      <c r="AQ336" s="14"/>
      <c r="AR336"/>
    </row>
    <row r="337" spans="1:44" x14ac:dyDescent="0.25">
      <c r="A337" s="590" t="str">
        <f t="shared" si="62"/>
        <v/>
      </c>
      <c r="B337" s="275">
        <f t="shared" si="63"/>
        <v>0</v>
      </c>
      <c r="C337" s="14">
        <f t="shared" si="60"/>
        <v>0</v>
      </c>
      <c r="D337" s="14">
        <f t="shared" si="64"/>
        <v>0</v>
      </c>
      <c r="E337" s="14">
        <f t="shared" si="61"/>
        <v>0</v>
      </c>
      <c r="F337" s="14">
        <f t="shared" si="74"/>
        <v>134.16999999999999</v>
      </c>
      <c r="G337" s="14">
        <f t="shared" si="74"/>
        <v>188.55</v>
      </c>
      <c r="H337" s="14">
        <f t="shared" si="73"/>
        <v>322.72000000000003</v>
      </c>
      <c r="I337" s="275">
        <f t="shared" si="67"/>
        <v>97531.839999999953</v>
      </c>
      <c r="J337" s="275">
        <f t="shared" si="68"/>
        <v>36068.259999999973</v>
      </c>
      <c r="K337" s="275">
        <f t="shared" si="65"/>
        <v>0</v>
      </c>
      <c r="L337" s="386">
        <f t="shared" si="71"/>
        <v>0</v>
      </c>
      <c r="M337" s="386">
        <f t="shared" si="66"/>
        <v>0</v>
      </c>
      <c r="N337" s="590" t="str">
        <f>INDEX(tblSubjectToLoan[Date],ROW()-ROW(tblContractForDeed[#Headers]))</f>
        <v/>
      </c>
      <c r="O337" s="275">
        <f>IF(ROW()=ROW(tblContractForDeed[#Headers])+1,$O$6,IF(INDEX(tblContractForDeed[End Bal],ROW()-ROW(tblContractForDeed[#Headers])-1)&lt;0,0,INDEX(tblContractForDeed[End Bal],ROW()-ROW(tblContractForDeed[#Headers])-1)))</f>
        <v>0</v>
      </c>
      <c r="P337" s="445" t="str">
        <f>IF(tblContractForDeed[[#This Row],[Date]]="","",IF(tblContractForDeed[[#This Row],[Date]]&lt;cfdRateChangeDate,cfdRate1,cfdRate2))</f>
        <v/>
      </c>
      <c r="Q3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75">
        <f>IF(tblContractForDeed[[#This Row],[Payment]]=0,0,MAX(0,MIN(tblContractForDeed[[#This Row],[Beg]],tblContractForDeed[[#This Row],[Payment]]-tblContractForDeed[[#This Row],[Int]])))</f>
        <v>0</v>
      </c>
      <c r="S337" s="275">
        <f>IF(OR(tblContractForDeed[[#This Row],[Date]]&lt;cfdContractDate,tblContractForDeed[[#This Row],[Date]]&gt;cfdEndDate),0,ROUND(tblContractForDeed[[#This Row],[Beg]]*(tblContractForDeed[[#This Row],[Int Rate]]/12),2))</f>
        <v>0</v>
      </c>
      <c r="T337" s="275">
        <f>IF(tblContractForDeed[[#This Row],[Payment]]=0,0,$W$2)</f>
        <v>0</v>
      </c>
      <c r="U337" s="275">
        <f>IF(tblContractForDeed[[#This Row],[Princ]]=0,0,$W$3)</f>
        <v>0</v>
      </c>
      <c r="V337" s="275">
        <f>SUM(tblContractForDeed[[#This Row],[Princ]],tblContractForDeed[[#This Row],[Int]],tblContractForDeed[[#This Row],[Ins]],tblContractForDeed[[#This Row],[Taxes]])</f>
        <v>0</v>
      </c>
      <c r="W337" s="275">
        <f>SUM(INDEX(tblContractForDeed[Princ],1):INDEX(tblContractForDeed[Princ],ROW()-ROW(tblContractForDeed[#Headers])))</f>
        <v>75258.000000000029</v>
      </c>
      <c r="X337" s="275">
        <f>IF(tblContractForDeed[[#This Row],[Beg]]&lt;=0,0,tblContractForDeed[[#This Row],[Beg]]-tblContractForDeed[[#This Row],[Princ]])</f>
        <v>0</v>
      </c>
      <c r="Y33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54">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7" s="275">
        <f>IF(INDEX(tblContractForDeed[End Bal],ROW()-ROW(tblBuyerOutputs[#Headers]))&lt;=0,0,($O$6+IF(ROW()=ROW(tblBuyerOutputs[#Headers])+1,0,INDEX(tblBuyerOutputs[Cumul Appr],ROW()-ROW(tblBuyerOutputs[#Headers])-1)))*$O$2/12)</f>
        <v>0</v>
      </c>
      <c r="AE337" s="275">
        <f>IF(INDEX(tblContractForDeed[End Bal],ROW()-ROW(tblBuyerOutputs[#Headers]))&lt;=0,0,IF(ROW()=ROW(tblBuyerOutputs[#Headers])+1,0,INDEX(tblBuyerOutputs[Cumul Appr],ROW()-ROW(tblBuyerOutputs[#Headers])-1))+tblBuyerOutputs[[#This Row],[Monthly Appr]])</f>
        <v>0</v>
      </c>
      <c r="AF337" s="22"/>
      <c r="AG337" s="14"/>
      <c r="AL337"/>
      <c r="AM337" s="14"/>
      <c r="AO337" s="275"/>
      <c r="AQ337" s="14"/>
      <c r="AR337"/>
    </row>
    <row r="338" spans="1:44" x14ac:dyDescent="0.25">
      <c r="A338" s="590" t="str">
        <f t="shared" si="62"/>
        <v/>
      </c>
      <c r="B338" s="275">
        <f t="shared" si="63"/>
        <v>0</v>
      </c>
      <c r="C338" s="14">
        <f t="shared" si="60"/>
        <v>0</v>
      </c>
      <c r="D338" s="14">
        <f t="shared" si="64"/>
        <v>0</v>
      </c>
      <c r="E338" s="14">
        <f t="shared" si="61"/>
        <v>0</v>
      </c>
      <c r="F338" s="14">
        <f t="shared" si="74"/>
        <v>134.16999999999999</v>
      </c>
      <c r="G338" s="14">
        <f t="shared" si="74"/>
        <v>188.55</v>
      </c>
      <c r="H338" s="14">
        <f t="shared" si="73"/>
        <v>322.72000000000003</v>
      </c>
      <c r="I338" s="275">
        <f t="shared" si="67"/>
        <v>97531.839999999953</v>
      </c>
      <c r="J338" s="275">
        <f t="shared" si="68"/>
        <v>36068.259999999973</v>
      </c>
      <c r="K338" s="275">
        <f t="shared" si="65"/>
        <v>0</v>
      </c>
      <c r="L338" s="386">
        <f t="shared" si="71"/>
        <v>0</v>
      </c>
      <c r="M338" s="386">
        <f t="shared" si="66"/>
        <v>0</v>
      </c>
      <c r="N338" s="590" t="str">
        <f>INDEX(tblSubjectToLoan[Date],ROW()-ROW(tblContractForDeed[#Headers]))</f>
        <v/>
      </c>
      <c r="O338" s="275">
        <f>IF(ROW()=ROW(tblContractForDeed[#Headers])+1,$O$6,IF(INDEX(tblContractForDeed[End Bal],ROW()-ROW(tblContractForDeed[#Headers])-1)&lt;0,0,INDEX(tblContractForDeed[End Bal],ROW()-ROW(tblContractForDeed[#Headers])-1)))</f>
        <v>0</v>
      </c>
      <c r="P338" s="445" t="str">
        <f>IF(tblContractForDeed[[#This Row],[Date]]="","",IF(tblContractForDeed[[#This Row],[Date]]&lt;cfdRateChangeDate,cfdRate1,cfdRate2))</f>
        <v/>
      </c>
      <c r="Q3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75">
        <f>IF(tblContractForDeed[[#This Row],[Payment]]=0,0,MAX(0,MIN(tblContractForDeed[[#This Row],[Beg]],tblContractForDeed[[#This Row],[Payment]]-tblContractForDeed[[#This Row],[Int]])))</f>
        <v>0</v>
      </c>
      <c r="S338" s="275">
        <f>IF(OR(tblContractForDeed[[#This Row],[Date]]&lt;cfdContractDate,tblContractForDeed[[#This Row],[Date]]&gt;cfdEndDate),0,ROUND(tblContractForDeed[[#This Row],[Beg]]*(tblContractForDeed[[#This Row],[Int Rate]]/12),2))</f>
        <v>0</v>
      </c>
      <c r="T338" s="275">
        <f>IF(tblContractForDeed[[#This Row],[Payment]]=0,0,$W$2)</f>
        <v>0</v>
      </c>
      <c r="U338" s="275">
        <f>IF(tblContractForDeed[[#This Row],[Princ]]=0,0,$W$3)</f>
        <v>0</v>
      </c>
      <c r="V338" s="275">
        <f>SUM(tblContractForDeed[[#This Row],[Princ]],tblContractForDeed[[#This Row],[Int]],tblContractForDeed[[#This Row],[Ins]],tblContractForDeed[[#This Row],[Taxes]])</f>
        <v>0</v>
      </c>
      <c r="W338" s="275">
        <f>SUM(INDEX(tblContractForDeed[Princ],1):INDEX(tblContractForDeed[Princ],ROW()-ROW(tblContractForDeed[#Headers])))</f>
        <v>75258.000000000029</v>
      </c>
      <c r="X338" s="275">
        <f>IF(tblContractForDeed[[#This Row],[Beg]]&lt;=0,0,tblContractForDeed[[#This Row],[Beg]]-tblContractForDeed[[#This Row],[Princ]])</f>
        <v>0</v>
      </c>
      <c r="Y33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54">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8" s="275">
        <f>IF(INDEX(tblContractForDeed[End Bal],ROW()-ROW(tblBuyerOutputs[#Headers]))&lt;=0,0,($O$6+IF(ROW()=ROW(tblBuyerOutputs[#Headers])+1,0,INDEX(tblBuyerOutputs[Cumul Appr],ROW()-ROW(tblBuyerOutputs[#Headers])-1)))*$O$2/12)</f>
        <v>0</v>
      </c>
      <c r="AE338" s="275">
        <f>IF(INDEX(tblContractForDeed[End Bal],ROW()-ROW(tblBuyerOutputs[#Headers]))&lt;=0,0,IF(ROW()=ROW(tblBuyerOutputs[#Headers])+1,0,INDEX(tblBuyerOutputs[Cumul Appr],ROW()-ROW(tblBuyerOutputs[#Headers])-1))+tblBuyerOutputs[[#This Row],[Monthly Appr]])</f>
        <v>0</v>
      </c>
      <c r="AF338" s="22"/>
      <c r="AG338" s="14"/>
      <c r="AL338"/>
      <c r="AM338" s="14"/>
      <c r="AO338" s="275"/>
      <c r="AQ338" s="14"/>
      <c r="AR338"/>
    </row>
    <row r="339" spans="1:44" x14ac:dyDescent="0.25">
      <c r="A339" s="590" t="str">
        <f t="shared" si="62"/>
        <v/>
      </c>
      <c r="B339" s="275">
        <f t="shared" si="63"/>
        <v>0</v>
      </c>
      <c r="C339" s="14">
        <f t="shared" si="60"/>
        <v>0</v>
      </c>
      <c r="D339" s="14">
        <f t="shared" si="64"/>
        <v>0</v>
      </c>
      <c r="E339" s="14">
        <f t="shared" si="61"/>
        <v>0</v>
      </c>
      <c r="F339" s="14">
        <f t="shared" si="74"/>
        <v>134.16999999999999</v>
      </c>
      <c r="G339" s="14">
        <f t="shared" si="74"/>
        <v>188.55</v>
      </c>
      <c r="H339" s="14">
        <f t="shared" si="73"/>
        <v>322.72000000000003</v>
      </c>
      <c r="I339" s="275">
        <f t="shared" si="67"/>
        <v>97531.839999999953</v>
      </c>
      <c r="J339" s="275">
        <f t="shared" si="68"/>
        <v>36068.259999999973</v>
      </c>
      <c r="K339" s="275">
        <f t="shared" si="65"/>
        <v>0</v>
      </c>
      <c r="L339" s="386">
        <f t="shared" si="71"/>
        <v>0</v>
      </c>
      <c r="M339" s="386">
        <f t="shared" si="66"/>
        <v>0</v>
      </c>
      <c r="N339" s="590" t="str">
        <f>INDEX(tblSubjectToLoan[Date],ROW()-ROW(tblContractForDeed[#Headers]))</f>
        <v/>
      </c>
      <c r="O339" s="275">
        <f>IF(ROW()=ROW(tblContractForDeed[#Headers])+1,$O$6,IF(INDEX(tblContractForDeed[End Bal],ROW()-ROW(tblContractForDeed[#Headers])-1)&lt;0,0,INDEX(tblContractForDeed[End Bal],ROW()-ROW(tblContractForDeed[#Headers])-1)))</f>
        <v>0</v>
      </c>
      <c r="P339" s="445" t="str">
        <f>IF(tblContractForDeed[[#This Row],[Date]]="","",IF(tblContractForDeed[[#This Row],[Date]]&lt;cfdRateChangeDate,cfdRate1,cfdRate2))</f>
        <v/>
      </c>
      <c r="Q33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75">
        <f>IF(tblContractForDeed[[#This Row],[Payment]]=0,0,MAX(0,MIN(tblContractForDeed[[#This Row],[Beg]],tblContractForDeed[[#This Row],[Payment]]-tblContractForDeed[[#This Row],[Int]])))</f>
        <v>0</v>
      </c>
      <c r="S339" s="275">
        <f>IF(OR(tblContractForDeed[[#This Row],[Date]]&lt;cfdContractDate,tblContractForDeed[[#This Row],[Date]]&gt;cfdEndDate),0,ROUND(tblContractForDeed[[#This Row],[Beg]]*(tblContractForDeed[[#This Row],[Int Rate]]/12),2))</f>
        <v>0</v>
      </c>
      <c r="T339" s="275">
        <f>IF(tblContractForDeed[[#This Row],[Payment]]=0,0,$W$2)</f>
        <v>0</v>
      </c>
      <c r="U339" s="275">
        <f>IF(tblContractForDeed[[#This Row],[Princ]]=0,0,$W$3)</f>
        <v>0</v>
      </c>
      <c r="V339" s="275">
        <f>SUM(tblContractForDeed[[#This Row],[Princ]],tblContractForDeed[[#This Row],[Int]],tblContractForDeed[[#This Row],[Ins]],tblContractForDeed[[#This Row],[Taxes]])</f>
        <v>0</v>
      </c>
      <c r="W339" s="275">
        <f>SUM(INDEX(tblContractForDeed[Princ],1):INDEX(tblContractForDeed[Princ],ROW()-ROW(tblContractForDeed[#Headers])))</f>
        <v>75258.000000000029</v>
      </c>
      <c r="X339" s="275">
        <f>IF(tblContractForDeed[[#This Row],[Beg]]&lt;=0,0,tblContractForDeed[[#This Row],[Beg]]-tblContractForDeed[[#This Row],[Princ]])</f>
        <v>0</v>
      </c>
      <c r="Y33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54">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9" s="275">
        <f>IF(INDEX(tblContractForDeed[End Bal],ROW()-ROW(tblBuyerOutputs[#Headers]))&lt;=0,0,($O$6+IF(ROW()=ROW(tblBuyerOutputs[#Headers])+1,0,INDEX(tblBuyerOutputs[Cumul Appr],ROW()-ROW(tblBuyerOutputs[#Headers])-1)))*$O$2/12)</f>
        <v>0</v>
      </c>
      <c r="AE339" s="275">
        <f>IF(INDEX(tblContractForDeed[End Bal],ROW()-ROW(tblBuyerOutputs[#Headers]))&lt;=0,0,IF(ROW()=ROW(tblBuyerOutputs[#Headers])+1,0,INDEX(tblBuyerOutputs[Cumul Appr],ROW()-ROW(tblBuyerOutputs[#Headers])-1))+tblBuyerOutputs[[#This Row],[Monthly Appr]])</f>
        <v>0</v>
      </c>
      <c r="AF339" s="22"/>
      <c r="AG339" s="14"/>
      <c r="AL339"/>
      <c r="AM339" s="14"/>
      <c r="AO339" s="275"/>
      <c r="AQ339" s="14"/>
      <c r="AR339"/>
    </row>
    <row r="340" spans="1:44" x14ac:dyDescent="0.25">
      <c r="A340" s="590" t="str">
        <f t="shared" si="62"/>
        <v/>
      </c>
      <c r="B340" s="275">
        <f t="shared" si="63"/>
        <v>0</v>
      </c>
      <c r="C340" s="14">
        <f t="shared" ref="C340:C403" si="75">IF(A340="",0,IF(B340&lt;=0,0,IF(A340=subjectMortgageEndDate,B340+E340,MIN(subjectPayment,B340+E340))))</f>
        <v>0</v>
      </c>
      <c r="D340" s="14">
        <f t="shared" si="64"/>
        <v>0</v>
      </c>
      <c r="E340" s="14">
        <f t="shared" ref="E340:E403" si="76">IF(OR(A340="",B340&lt;=0),0,ROUND(B340*(subjectInterestRate/12),2))</f>
        <v>0</v>
      </c>
      <c r="F340" s="14">
        <f t="shared" si="74"/>
        <v>134.16999999999999</v>
      </c>
      <c r="G340" s="14">
        <f t="shared" si="74"/>
        <v>188.55</v>
      </c>
      <c r="H340" s="14">
        <f t="shared" si="73"/>
        <v>322.72000000000003</v>
      </c>
      <c r="I340" s="275">
        <f t="shared" si="67"/>
        <v>97531.839999999953</v>
      </c>
      <c r="J340" s="275">
        <f t="shared" si="68"/>
        <v>36068.259999999973</v>
      </c>
      <c r="K340" s="275">
        <f t="shared" si="65"/>
        <v>0</v>
      </c>
      <c r="L340" s="386">
        <f t="shared" si="71"/>
        <v>0</v>
      </c>
      <c r="M340" s="386">
        <f t="shared" si="66"/>
        <v>0</v>
      </c>
      <c r="N340" s="590" t="str">
        <f>INDEX(tblSubjectToLoan[Date],ROW()-ROW(tblContractForDeed[#Headers]))</f>
        <v/>
      </c>
      <c r="O340" s="275">
        <f>IF(ROW()=ROW(tblContractForDeed[#Headers])+1,$O$6,IF(INDEX(tblContractForDeed[End Bal],ROW()-ROW(tblContractForDeed[#Headers])-1)&lt;0,0,INDEX(tblContractForDeed[End Bal],ROW()-ROW(tblContractForDeed[#Headers])-1)))</f>
        <v>0</v>
      </c>
      <c r="P340" s="445" t="str">
        <f>IF(tblContractForDeed[[#This Row],[Date]]="","",IF(tblContractForDeed[[#This Row],[Date]]&lt;cfdRateChangeDate,cfdRate1,cfdRate2))</f>
        <v/>
      </c>
      <c r="Q3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75">
        <f>IF(tblContractForDeed[[#This Row],[Payment]]=0,0,MAX(0,MIN(tblContractForDeed[[#This Row],[Beg]],tblContractForDeed[[#This Row],[Payment]]-tblContractForDeed[[#This Row],[Int]])))</f>
        <v>0</v>
      </c>
      <c r="S340" s="275">
        <f>IF(OR(tblContractForDeed[[#This Row],[Date]]&lt;cfdContractDate,tblContractForDeed[[#This Row],[Date]]&gt;cfdEndDate),0,ROUND(tblContractForDeed[[#This Row],[Beg]]*(tblContractForDeed[[#This Row],[Int Rate]]/12),2))</f>
        <v>0</v>
      </c>
      <c r="T340" s="275">
        <f>IF(tblContractForDeed[[#This Row],[Payment]]=0,0,$W$2)</f>
        <v>0</v>
      </c>
      <c r="U340" s="275">
        <f>IF(tblContractForDeed[[#This Row],[Princ]]=0,0,$W$3)</f>
        <v>0</v>
      </c>
      <c r="V340" s="275">
        <f>SUM(tblContractForDeed[[#This Row],[Princ]],tblContractForDeed[[#This Row],[Int]],tblContractForDeed[[#This Row],[Ins]],tblContractForDeed[[#This Row],[Taxes]])</f>
        <v>0</v>
      </c>
      <c r="W340" s="275">
        <f>SUM(INDEX(tblContractForDeed[Princ],1):INDEX(tblContractForDeed[Princ],ROW()-ROW(tblContractForDeed[#Headers])))</f>
        <v>75258.000000000029</v>
      </c>
      <c r="X340" s="275">
        <f>IF(tblContractForDeed[[#This Row],[Beg]]&lt;=0,0,tblContractForDeed[[#This Row],[Beg]]-tblContractForDeed[[#This Row],[Princ]])</f>
        <v>0</v>
      </c>
      <c r="Y34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54">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0" s="275">
        <f>IF(INDEX(tblContractForDeed[End Bal],ROW()-ROW(tblBuyerOutputs[#Headers]))&lt;=0,0,($O$6+IF(ROW()=ROW(tblBuyerOutputs[#Headers])+1,0,INDEX(tblBuyerOutputs[Cumul Appr],ROW()-ROW(tblBuyerOutputs[#Headers])-1)))*$O$2/12)</f>
        <v>0</v>
      </c>
      <c r="AE340" s="275">
        <f>IF(INDEX(tblContractForDeed[End Bal],ROW()-ROW(tblBuyerOutputs[#Headers]))&lt;=0,0,IF(ROW()=ROW(tblBuyerOutputs[#Headers])+1,0,INDEX(tblBuyerOutputs[Cumul Appr],ROW()-ROW(tblBuyerOutputs[#Headers])-1))+tblBuyerOutputs[[#This Row],[Monthly Appr]])</f>
        <v>0</v>
      </c>
      <c r="AF340" s="22"/>
      <c r="AG340" s="14"/>
      <c r="AL340"/>
      <c r="AM340" s="14"/>
      <c r="AO340" s="275"/>
      <c r="AQ340" s="14"/>
      <c r="AR340"/>
    </row>
    <row r="341" spans="1:44" x14ac:dyDescent="0.25">
      <c r="A341" s="590" t="str">
        <f t="shared" ref="A341:A404" si="77">IF(OR(A340="",A340&gt;=subjectMortgageEndDate),"",EDATE(A340,1))</f>
        <v/>
      </c>
      <c r="B341" s="275">
        <f t="shared" ref="B341:B404" si="78">IF(A341="",0,MAX(0,K340))</f>
        <v>0</v>
      </c>
      <c r="C341" s="14">
        <f t="shared" si="75"/>
        <v>0</v>
      </c>
      <c r="D341" s="14">
        <f t="shared" ref="D341:D404" si="79">IF(C341=0,0,MAX(0,MIN(B341,C341-E341)))</f>
        <v>0</v>
      </c>
      <c r="E341" s="14">
        <f t="shared" si="76"/>
        <v>0</v>
      </c>
      <c r="F341" s="14">
        <f t="shared" si="74"/>
        <v>134.16999999999999</v>
      </c>
      <c r="G341" s="14">
        <f t="shared" si="74"/>
        <v>188.55</v>
      </c>
      <c r="H341" s="14">
        <f t="shared" si="73"/>
        <v>322.72000000000003</v>
      </c>
      <c r="I341" s="275">
        <f t="shared" si="67"/>
        <v>97531.839999999953</v>
      </c>
      <c r="J341" s="275">
        <f t="shared" si="68"/>
        <v>36068.259999999973</v>
      </c>
      <c r="K341" s="275">
        <f t="shared" ref="K341:K404" si="80">IF(A341="",0,IF(B341&lt;=0,0,MAX(0,B341-D341)))</f>
        <v>0</v>
      </c>
      <c r="L341" s="386">
        <f t="shared" si="71"/>
        <v>0</v>
      </c>
      <c r="M341" s="386">
        <f t="shared" ref="M341:M404" si="81">IF($A341&lt;&gt;"",M340+1,0)</f>
        <v>0</v>
      </c>
      <c r="N341" s="590" t="str">
        <f>INDEX(tblSubjectToLoan[Date],ROW()-ROW(tblContractForDeed[#Headers]))</f>
        <v/>
      </c>
      <c r="O341" s="275">
        <f>IF(ROW()=ROW(tblContractForDeed[#Headers])+1,$O$6,IF(INDEX(tblContractForDeed[End Bal],ROW()-ROW(tblContractForDeed[#Headers])-1)&lt;0,0,INDEX(tblContractForDeed[End Bal],ROW()-ROW(tblContractForDeed[#Headers])-1)))</f>
        <v>0</v>
      </c>
      <c r="P341" s="445" t="str">
        <f>IF(tblContractForDeed[[#This Row],[Date]]="","",IF(tblContractForDeed[[#This Row],[Date]]&lt;cfdRateChangeDate,cfdRate1,cfdRate2))</f>
        <v/>
      </c>
      <c r="Q3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75">
        <f>IF(tblContractForDeed[[#This Row],[Payment]]=0,0,MAX(0,MIN(tblContractForDeed[[#This Row],[Beg]],tblContractForDeed[[#This Row],[Payment]]-tblContractForDeed[[#This Row],[Int]])))</f>
        <v>0</v>
      </c>
      <c r="S341" s="275">
        <f>IF(OR(tblContractForDeed[[#This Row],[Date]]&lt;cfdContractDate,tblContractForDeed[[#This Row],[Date]]&gt;cfdEndDate),0,ROUND(tblContractForDeed[[#This Row],[Beg]]*(tblContractForDeed[[#This Row],[Int Rate]]/12),2))</f>
        <v>0</v>
      </c>
      <c r="T341" s="275">
        <f>IF(tblContractForDeed[[#This Row],[Payment]]=0,0,$W$2)</f>
        <v>0</v>
      </c>
      <c r="U341" s="275">
        <f>IF(tblContractForDeed[[#This Row],[Princ]]=0,0,$W$3)</f>
        <v>0</v>
      </c>
      <c r="V341" s="275">
        <f>SUM(tblContractForDeed[[#This Row],[Princ]],tblContractForDeed[[#This Row],[Int]],tblContractForDeed[[#This Row],[Ins]],tblContractForDeed[[#This Row],[Taxes]])</f>
        <v>0</v>
      </c>
      <c r="W341" s="275">
        <f>SUM(INDEX(tblContractForDeed[Princ],1):INDEX(tblContractForDeed[Princ],ROW()-ROW(tblContractForDeed[#Headers])))</f>
        <v>75258.000000000029</v>
      </c>
      <c r="X341" s="275">
        <f>IF(tblContractForDeed[[#This Row],[Beg]]&lt;=0,0,tblContractForDeed[[#This Row],[Beg]]-tblContractForDeed[[#This Row],[Princ]])</f>
        <v>0</v>
      </c>
      <c r="Y34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54">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1" s="275">
        <f>IF(INDEX(tblContractForDeed[End Bal],ROW()-ROW(tblBuyerOutputs[#Headers]))&lt;=0,0,($O$6+IF(ROW()=ROW(tblBuyerOutputs[#Headers])+1,0,INDEX(tblBuyerOutputs[Cumul Appr],ROW()-ROW(tblBuyerOutputs[#Headers])-1)))*$O$2/12)</f>
        <v>0</v>
      </c>
      <c r="AE341" s="275">
        <f>IF(INDEX(tblContractForDeed[End Bal],ROW()-ROW(tblBuyerOutputs[#Headers]))&lt;=0,0,IF(ROW()=ROW(tblBuyerOutputs[#Headers])+1,0,INDEX(tblBuyerOutputs[Cumul Appr],ROW()-ROW(tblBuyerOutputs[#Headers])-1))+tblBuyerOutputs[[#This Row],[Monthly Appr]])</f>
        <v>0</v>
      </c>
      <c r="AF341" s="22"/>
      <c r="AG341" s="14"/>
      <c r="AL341"/>
      <c r="AM341" s="14"/>
      <c r="AO341" s="275"/>
      <c r="AQ341" s="14"/>
      <c r="AR341"/>
    </row>
    <row r="342" spans="1:44" x14ac:dyDescent="0.25">
      <c r="A342" s="590" t="str">
        <f t="shared" si="77"/>
        <v/>
      </c>
      <c r="B342" s="275">
        <f t="shared" si="78"/>
        <v>0</v>
      </c>
      <c r="C342" s="14">
        <f t="shared" si="75"/>
        <v>0</v>
      </c>
      <c r="D342" s="14">
        <f t="shared" si="79"/>
        <v>0</v>
      </c>
      <c r="E342" s="14">
        <f t="shared" si="76"/>
        <v>0</v>
      </c>
      <c r="F342" s="14">
        <f t="shared" si="74"/>
        <v>134.16999999999999</v>
      </c>
      <c r="G342" s="14">
        <f t="shared" si="74"/>
        <v>188.55</v>
      </c>
      <c r="H342" s="14">
        <f t="shared" si="73"/>
        <v>322.72000000000003</v>
      </c>
      <c r="I342" s="275">
        <f t="shared" ref="I342:I405" si="82">$D342+$I341</f>
        <v>97531.839999999953</v>
      </c>
      <c r="J342" s="275">
        <f t="shared" ref="J342:J405" si="83">$E342+$J341</f>
        <v>36068.259999999973</v>
      </c>
      <c r="K342" s="275">
        <f t="shared" si="80"/>
        <v>0</v>
      </c>
      <c r="L342" s="386">
        <f t="shared" si="71"/>
        <v>0</v>
      </c>
      <c r="M342" s="386">
        <f t="shared" si="81"/>
        <v>0</v>
      </c>
      <c r="N342" s="590" t="str">
        <f>INDEX(tblSubjectToLoan[Date],ROW()-ROW(tblContractForDeed[#Headers]))</f>
        <v/>
      </c>
      <c r="O342" s="275">
        <f>IF(ROW()=ROW(tblContractForDeed[#Headers])+1,$O$6,IF(INDEX(tblContractForDeed[End Bal],ROW()-ROW(tblContractForDeed[#Headers])-1)&lt;0,0,INDEX(tblContractForDeed[End Bal],ROW()-ROW(tblContractForDeed[#Headers])-1)))</f>
        <v>0</v>
      </c>
      <c r="P342" s="445" t="str">
        <f>IF(tblContractForDeed[[#This Row],[Date]]="","",IF(tblContractForDeed[[#This Row],[Date]]&lt;cfdRateChangeDate,cfdRate1,cfdRate2))</f>
        <v/>
      </c>
      <c r="Q3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75">
        <f>IF(tblContractForDeed[[#This Row],[Payment]]=0,0,MAX(0,MIN(tblContractForDeed[[#This Row],[Beg]],tblContractForDeed[[#This Row],[Payment]]-tblContractForDeed[[#This Row],[Int]])))</f>
        <v>0</v>
      </c>
      <c r="S342" s="275">
        <f>IF(OR(tblContractForDeed[[#This Row],[Date]]&lt;cfdContractDate,tblContractForDeed[[#This Row],[Date]]&gt;cfdEndDate),0,ROUND(tblContractForDeed[[#This Row],[Beg]]*(tblContractForDeed[[#This Row],[Int Rate]]/12),2))</f>
        <v>0</v>
      </c>
      <c r="T342" s="275">
        <f>IF(tblContractForDeed[[#This Row],[Payment]]=0,0,$W$2)</f>
        <v>0</v>
      </c>
      <c r="U342" s="275">
        <f>IF(tblContractForDeed[[#This Row],[Princ]]=0,0,$W$3)</f>
        <v>0</v>
      </c>
      <c r="V342" s="275">
        <f>SUM(tblContractForDeed[[#This Row],[Princ]],tblContractForDeed[[#This Row],[Int]],tblContractForDeed[[#This Row],[Ins]],tblContractForDeed[[#This Row],[Taxes]])</f>
        <v>0</v>
      </c>
      <c r="W342" s="275">
        <f>SUM(INDEX(tblContractForDeed[Princ],1):INDEX(tblContractForDeed[Princ],ROW()-ROW(tblContractForDeed[#Headers])))</f>
        <v>75258.000000000029</v>
      </c>
      <c r="X342" s="275">
        <f>IF(tblContractForDeed[[#This Row],[Beg]]&lt;=0,0,tblContractForDeed[[#This Row],[Beg]]-tblContractForDeed[[#This Row],[Princ]])</f>
        <v>0</v>
      </c>
      <c r="Y34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54">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2" s="275">
        <f>IF(INDEX(tblContractForDeed[End Bal],ROW()-ROW(tblBuyerOutputs[#Headers]))&lt;=0,0,($O$6+IF(ROW()=ROW(tblBuyerOutputs[#Headers])+1,0,INDEX(tblBuyerOutputs[Cumul Appr],ROW()-ROW(tblBuyerOutputs[#Headers])-1)))*$O$2/12)</f>
        <v>0</v>
      </c>
      <c r="AE342" s="275">
        <f>IF(INDEX(tblContractForDeed[End Bal],ROW()-ROW(tblBuyerOutputs[#Headers]))&lt;=0,0,IF(ROW()=ROW(tblBuyerOutputs[#Headers])+1,0,INDEX(tblBuyerOutputs[Cumul Appr],ROW()-ROW(tblBuyerOutputs[#Headers])-1))+tblBuyerOutputs[[#This Row],[Monthly Appr]])</f>
        <v>0</v>
      </c>
      <c r="AF342" s="22"/>
      <c r="AG342" s="14"/>
      <c r="AL342"/>
      <c r="AM342" s="14"/>
      <c r="AO342" s="275"/>
      <c r="AQ342" s="14"/>
      <c r="AR342"/>
    </row>
    <row r="343" spans="1:44" ht="15.75" thickBot="1" x14ac:dyDescent="0.3">
      <c r="A343" s="591" t="str">
        <f t="shared" si="77"/>
        <v/>
      </c>
      <c r="B343" s="326">
        <f t="shared" si="78"/>
        <v>0</v>
      </c>
      <c r="C343" s="21">
        <f t="shared" si="75"/>
        <v>0</v>
      </c>
      <c r="D343" s="21">
        <f t="shared" si="79"/>
        <v>0</v>
      </c>
      <c r="E343" s="21">
        <f t="shared" si="76"/>
        <v>0</v>
      </c>
      <c r="F343" s="21">
        <f t="shared" si="74"/>
        <v>134.16999999999999</v>
      </c>
      <c r="G343" s="21">
        <f t="shared" si="74"/>
        <v>188.55</v>
      </c>
      <c r="H343" s="21">
        <f t="shared" si="73"/>
        <v>322.72000000000003</v>
      </c>
      <c r="I343" s="326">
        <f t="shared" si="82"/>
        <v>97531.839999999953</v>
      </c>
      <c r="J343" s="326">
        <f t="shared" si="83"/>
        <v>36068.259999999973</v>
      </c>
      <c r="K343" s="326">
        <f t="shared" si="80"/>
        <v>0</v>
      </c>
      <c r="L343" s="387">
        <f t="shared" si="71"/>
        <v>0</v>
      </c>
      <c r="M343" s="387">
        <f t="shared" si="81"/>
        <v>0</v>
      </c>
      <c r="N343" s="591" t="str">
        <f>INDEX(tblSubjectToLoan[Date],ROW()-ROW(tblContractForDeed[#Headers]))</f>
        <v/>
      </c>
      <c r="O343" s="326">
        <f>IF(ROW()=ROW(tblContractForDeed[#Headers])+1,$O$6,IF(INDEX(tblContractForDeed[End Bal],ROW()-ROW(tblContractForDeed[#Headers])-1)&lt;0,0,INDEX(tblContractForDeed[End Bal],ROW()-ROW(tblContractForDeed[#Headers])-1)))</f>
        <v>0</v>
      </c>
      <c r="P343" s="445" t="str">
        <f>IF(tblContractForDeed[[#This Row],[Date]]="","",IF(tblContractForDeed[[#This Row],[Date]]&lt;cfdRateChangeDate,cfdRate1,cfdRate2))</f>
        <v/>
      </c>
      <c r="Q34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26">
        <f>IF(tblContractForDeed[[#This Row],[Payment]]=0,0,MAX(0,MIN(tblContractForDeed[[#This Row],[Beg]],tblContractForDeed[[#This Row],[Payment]]-tblContractForDeed[[#This Row],[Int]])))</f>
        <v>0</v>
      </c>
      <c r="S343" s="326">
        <f>IF(OR(tblContractForDeed[[#This Row],[Date]]&lt;cfdContractDate,tblContractForDeed[[#This Row],[Date]]&gt;cfdEndDate),0,ROUND(tblContractForDeed[[#This Row],[Beg]]*(tblContractForDeed[[#This Row],[Int Rate]]/12),2))</f>
        <v>0</v>
      </c>
      <c r="T343" s="326">
        <f>IF(tblContractForDeed[[#This Row],[Payment]]=0,0,$W$2)</f>
        <v>0</v>
      </c>
      <c r="U343" s="326">
        <f>IF(tblContractForDeed[[#This Row],[Princ]]=0,0,$W$3)</f>
        <v>0</v>
      </c>
      <c r="V343" s="326">
        <f>SUM(tblContractForDeed[[#This Row],[Princ]],tblContractForDeed[[#This Row],[Int]],tblContractForDeed[[#This Row],[Ins]],tblContractForDeed[[#This Row],[Taxes]])</f>
        <v>0</v>
      </c>
      <c r="W343" s="326">
        <f>SUM(INDEX(tblContractForDeed[Princ],1):INDEX(tblContractForDeed[Princ],ROW()-ROW(tblContractForDeed[#Headers])))</f>
        <v>75258.000000000029</v>
      </c>
      <c r="X343" s="326">
        <f>IF(tblContractForDeed[[#This Row],[Beg]]&lt;=0,0,tblContractForDeed[[#This Row],[Beg]]-tblContractForDeed[[#This Row],[Princ]])</f>
        <v>0</v>
      </c>
      <c r="Y34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55">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3" s="326">
        <f>IF(INDEX(tblContractForDeed[End Bal],ROW()-ROW(tblBuyerOutputs[#Headers]))&lt;=0,0,($O$6+IF(ROW()=ROW(tblBuyerOutputs[#Headers])+1,0,INDEX(tblBuyerOutputs[Cumul Appr],ROW()-ROW(tblBuyerOutputs[#Headers])-1)))*$O$2/12)</f>
        <v>0</v>
      </c>
      <c r="AE343" s="326">
        <f>IF(INDEX(tblContractForDeed[End Bal],ROW()-ROW(tblBuyerOutputs[#Headers]))&lt;=0,0,IF(ROW()=ROW(tblBuyerOutputs[#Headers])+1,0,INDEX(tblBuyerOutputs[Cumul Appr],ROW()-ROW(tblBuyerOutputs[#Headers])-1))+tblBuyerOutputs[[#This Row],[Monthly Appr]])</f>
        <v>0</v>
      </c>
      <c r="AF343" s="22"/>
      <c r="AG343" s="14"/>
      <c r="AL343"/>
      <c r="AM343" s="14"/>
      <c r="AO343" s="275"/>
      <c r="AQ343" s="14"/>
      <c r="AR343"/>
    </row>
    <row r="344" spans="1:44" x14ac:dyDescent="0.25">
      <c r="A344" s="590" t="str">
        <f t="shared" si="77"/>
        <v/>
      </c>
      <c r="B344" s="275">
        <f t="shared" si="78"/>
        <v>0</v>
      </c>
      <c r="C344" s="14">
        <f t="shared" si="75"/>
        <v>0</v>
      </c>
      <c r="D344" s="14">
        <f t="shared" si="79"/>
        <v>0</v>
      </c>
      <c r="E344" s="14">
        <f t="shared" si="76"/>
        <v>0</v>
      </c>
      <c r="F344" s="14">
        <f t="shared" si="74"/>
        <v>134.16999999999999</v>
      </c>
      <c r="G344" s="14">
        <f t="shared" si="74"/>
        <v>188.55</v>
      </c>
      <c r="H344" s="14">
        <f t="shared" si="73"/>
        <v>322.72000000000003</v>
      </c>
      <c r="I344" s="275">
        <f t="shared" si="82"/>
        <v>97531.839999999953</v>
      </c>
      <c r="J344" s="275">
        <f t="shared" si="83"/>
        <v>36068.259999999973</v>
      </c>
      <c r="K344" s="275">
        <f t="shared" si="80"/>
        <v>0</v>
      </c>
      <c r="L344" s="386">
        <f t="shared" si="71"/>
        <v>0</v>
      </c>
      <c r="M344" s="386">
        <f t="shared" si="81"/>
        <v>0</v>
      </c>
      <c r="N344" s="590" t="str">
        <f>INDEX(tblSubjectToLoan[Date],ROW()-ROW(tblContractForDeed[#Headers]))</f>
        <v/>
      </c>
      <c r="O344" s="275">
        <f>IF(ROW()=ROW(tblContractForDeed[#Headers])+1,$O$6,IF(INDEX(tblContractForDeed[End Bal],ROW()-ROW(tblContractForDeed[#Headers])-1)&lt;0,0,INDEX(tblContractForDeed[End Bal],ROW()-ROW(tblContractForDeed[#Headers])-1)))</f>
        <v>0</v>
      </c>
      <c r="P344" s="445" t="str">
        <f>IF(tblContractForDeed[[#This Row],[Date]]="","",IF(tblContractForDeed[[#This Row],[Date]]&lt;cfdRateChangeDate,cfdRate1,cfdRate2))</f>
        <v/>
      </c>
      <c r="Q3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75">
        <f>IF(tblContractForDeed[[#This Row],[Payment]]=0,0,MAX(0,MIN(tblContractForDeed[[#This Row],[Beg]],tblContractForDeed[[#This Row],[Payment]]-tblContractForDeed[[#This Row],[Int]])))</f>
        <v>0</v>
      </c>
      <c r="S344" s="275">
        <f>IF(OR(tblContractForDeed[[#This Row],[Date]]&lt;cfdContractDate,tblContractForDeed[[#This Row],[Date]]&gt;cfdEndDate),0,ROUND(tblContractForDeed[[#This Row],[Beg]]*(tblContractForDeed[[#This Row],[Int Rate]]/12),2))</f>
        <v>0</v>
      </c>
      <c r="T344" s="275">
        <f>IF(tblContractForDeed[[#This Row],[Payment]]=0,0,$W$2)</f>
        <v>0</v>
      </c>
      <c r="U344" s="275">
        <f>IF(tblContractForDeed[[#This Row],[Princ]]=0,0,$W$3)</f>
        <v>0</v>
      </c>
      <c r="V344" s="275">
        <f>SUM(tblContractForDeed[[#This Row],[Princ]],tblContractForDeed[[#This Row],[Int]],tblContractForDeed[[#This Row],[Ins]],tblContractForDeed[[#This Row],[Taxes]])</f>
        <v>0</v>
      </c>
      <c r="W344" s="275">
        <f>SUM(INDEX(tblContractForDeed[Princ],1):INDEX(tblContractForDeed[Princ],ROW()-ROW(tblContractForDeed[#Headers])))</f>
        <v>75258.000000000029</v>
      </c>
      <c r="X344" s="275">
        <f>IF(tblContractForDeed[[#This Row],[Beg]]&lt;=0,0,tblContractForDeed[[#This Row],[Beg]]-tblContractForDeed[[#This Row],[Princ]])</f>
        <v>0</v>
      </c>
      <c r="Y34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54">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4" s="275">
        <f>IF(INDEX(tblContractForDeed[End Bal],ROW()-ROW(tblBuyerOutputs[#Headers]))&lt;=0,0,($O$6+IF(ROW()=ROW(tblBuyerOutputs[#Headers])+1,0,INDEX(tblBuyerOutputs[Cumul Appr],ROW()-ROW(tblBuyerOutputs[#Headers])-1)))*$O$2/12)</f>
        <v>0</v>
      </c>
      <c r="AE344" s="275">
        <f>IF(INDEX(tblContractForDeed[End Bal],ROW()-ROW(tblBuyerOutputs[#Headers]))&lt;=0,0,IF(ROW()=ROW(tblBuyerOutputs[#Headers])+1,0,INDEX(tblBuyerOutputs[Cumul Appr],ROW()-ROW(tblBuyerOutputs[#Headers])-1))+tblBuyerOutputs[[#This Row],[Monthly Appr]])</f>
        <v>0</v>
      </c>
      <c r="AF344" s="22"/>
      <c r="AG344" s="14"/>
      <c r="AL344"/>
      <c r="AM344" s="14"/>
      <c r="AO344" s="275"/>
      <c r="AQ344" s="14"/>
      <c r="AR344"/>
    </row>
    <row r="345" spans="1:44" x14ac:dyDescent="0.25">
      <c r="A345" s="590" t="str">
        <f t="shared" si="77"/>
        <v/>
      </c>
      <c r="B345" s="275">
        <f t="shared" si="78"/>
        <v>0</v>
      </c>
      <c r="C345" s="14">
        <f t="shared" si="75"/>
        <v>0</v>
      </c>
      <c r="D345" s="14">
        <f t="shared" si="79"/>
        <v>0</v>
      </c>
      <c r="E345" s="14">
        <f t="shared" si="76"/>
        <v>0</v>
      </c>
      <c r="F345" s="14">
        <f t="shared" si="74"/>
        <v>134.16999999999999</v>
      </c>
      <c r="G345" s="14">
        <f t="shared" si="74"/>
        <v>188.55</v>
      </c>
      <c r="H345" s="14">
        <f t="shared" si="73"/>
        <v>322.72000000000003</v>
      </c>
      <c r="I345" s="275">
        <f t="shared" si="82"/>
        <v>97531.839999999953</v>
      </c>
      <c r="J345" s="275">
        <f t="shared" si="83"/>
        <v>36068.259999999973</v>
      </c>
      <c r="K345" s="275">
        <f t="shared" si="80"/>
        <v>0</v>
      </c>
      <c r="L345" s="386">
        <f t="shared" si="71"/>
        <v>0</v>
      </c>
      <c r="M345" s="386">
        <f t="shared" si="81"/>
        <v>0</v>
      </c>
      <c r="N345" s="590" t="str">
        <f>INDEX(tblSubjectToLoan[Date],ROW()-ROW(tblContractForDeed[#Headers]))</f>
        <v/>
      </c>
      <c r="O345" s="275">
        <f>IF(ROW()=ROW(tblContractForDeed[#Headers])+1,$O$6,IF(INDEX(tblContractForDeed[End Bal],ROW()-ROW(tblContractForDeed[#Headers])-1)&lt;0,0,INDEX(tblContractForDeed[End Bal],ROW()-ROW(tblContractForDeed[#Headers])-1)))</f>
        <v>0</v>
      </c>
      <c r="P345" s="445" t="str">
        <f>IF(tblContractForDeed[[#This Row],[Date]]="","",IF(tblContractForDeed[[#This Row],[Date]]&lt;cfdRateChangeDate,cfdRate1,cfdRate2))</f>
        <v/>
      </c>
      <c r="Q3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75">
        <f>IF(tblContractForDeed[[#This Row],[Payment]]=0,0,MAX(0,MIN(tblContractForDeed[[#This Row],[Beg]],tblContractForDeed[[#This Row],[Payment]]-tblContractForDeed[[#This Row],[Int]])))</f>
        <v>0</v>
      </c>
      <c r="S345" s="275">
        <f>IF(OR(tblContractForDeed[[#This Row],[Date]]&lt;cfdContractDate,tblContractForDeed[[#This Row],[Date]]&gt;cfdEndDate),0,ROUND(tblContractForDeed[[#This Row],[Beg]]*(tblContractForDeed[[#This Row],[Int Rate]]/12),2))</f>
        <v>0</v>
      </c>
      <c r="T345" s="275">
        <f>IF(tblContractForDeed[[#This Row],[Payment]]=0,0,$W$2)</f>
        <v>0</v>
      </c>
      <c r="U345" s="275">
        <f>IF(tblContractForDeed[[#This Row],[Princ]]=0,0,$W$3)</f>
        <v>0</v>
      </c>
      <c r="V345" s="275">
        <f>SUM(tblContractForDeed[[#This Row],[Princ]],tblContractForDeed[[#This Row],[Int]],tblContractForDeed[[#This Row],[Ins]],tblContractForDeed[[#This Row],[Taxes]])</f>
        <v>0</v>
      </c>
      <c r="W345" s="275">
        <f>SUM(INDEX(tblContractForDeed[Princ],1):INDEX(tblContractForDeed[Princ],ROW()-ROW(tblContractForDeed[#Headers])))</f>
        <v>75258.000000000029</v>
      </c>
      <c r="X345" s="275">
        <f>IF(tblContractForDeed[[#This Row],[Beg]]&lt;=0,0,tblContractForDeed[[#This Row],[Beg]]-tblContractForDeed[[#This Row],[Princ]])</f>
        <v>0</v>
      </c>
      <c r="Y34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54">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5" s="275">
        <f>IF(INDEX(tblContractForDeed[End Bal],ROW()-ROW(tblBuyerOutputs[#Headers]))&lt;=0,0,($O$6+IF(ROW()=ROW(tblBuyerOutputs[#Headers])+1,0,INDEX(tblBuyerOutputs[Cumul Appr],ROW()-ROW(tblBuyerOutputs[#Headers])-1)))*$O$2/12)</f>
        <v>0</v>
      </c>
      <c r="AE345" s="275">
        <f>IF(INDEX(tblContractForDeed[End Bal],ROW()-ROW(tblBuyerOutputs[#Headers]))&lt;=0,0,IF(ROW()=ROW(tblBuyerOutputs[#Headers])+1,0,INDEX(tblBuyerOutputs[Cumul Appr],ROW()-ROW(tblBuyerOutputs[#Headers])-1))+tblBuyerOutputs[[#This Row],[Monthly Appr]])</f>
        <v>0</v>
      </c>
      <c r="AF345" s="22"/>
      <c r="AG345" s="14"/>
      <c r="AL345"/>
      <c r="AM345" s="14"/>
      <c r="AO345" s="275"/>
      <c r="AQ345" s="14"/>
      <c r="AR345"/>
    </row>
    <row r="346" spans="1:44" x14ac:dyDescent="0.25">
      <c r="A346" s="590" t="str">
        <f t="shared" si="77"/>
        <v/>
      </c>
      <c r="B346" s="275">
        <f t="shared" si="78"/>
        <v>0</v>
      </c>
      <c r="C346" s="14">
        <f t="shared" si="75"/>
        <v>0</v>
      </c>
      <c r="D346" s="14">
        <f t="shared" si="79"/>
        <v>0</v>
      </c>
      <c r="E346" s="14">
        <f t="shared" si="76"/>
        <v>0</v>
      </c>
      <c r="F346" s="14">
        <f t="shared" si="74"/>
        <v>134.16999999999999</v>
      </c>
      <c r="G346" s="14">
        <f t="shared" si="74"/>
        <v>188.55</v>
      </c>
      <c r="H346" s="14">
        <f t="shared" si="73"/>
        <v>322.72000000000003</v>
      </c>
      <c r="I346" s="275">
        <f t="shared" si="82"/>
        <v>97531.839999999953</v>
      </c>
      <c r="J346" s="275">
        <f t="shared" si="83"/>
        <v>36068.259999999973</v>
      </c>
      <c r="K346" s="275">
        <f t="shared" si="80"/>
        <v>0</v>
      </c>
      <c r="L346" s="386">
        <f t="shared" si="71"/>
        <v>0</v>
      </c>
      <c r="M346" s="386">
        <f t="shared" si="81"/>
        <v>0</v>
      </c>
      <c r="N346" s="590" t="str">
        <f>INDEX(tblSubjectToLoan[Date],ROW()-ROW(tblContractForDeed[#Headers]))</f>
        <v/>
      </c>
      <c r="O346" s="275">
        <f>IF(ROW()=ROW(tblContractForDeed[#Headers])+1,$O$6,IF(INDEX(tblContractForDeed[End Bal],ROW()-ROW(tblContractForDeed[#Headers])-1)&lt;0,0,INDEX(tblContractForDeed[End Bal],ROW()-ROW(tblContractForDeed[#Headers])-1)))</f>
        <v>0</v>
      </c>
      <c r="P346" s="445" t="str">
        <f>IF(tblContractForDeed[[#This Row],[Date]]="","",IF(tblContractForDeed[[#This Row],[Date]]&lt;cfdRateChangeDate,cfdRate1,cfdRate2))</f>
        <v/>
      </c>
      <c r="Q3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75">
        <f>IF(tblContractForDeed[[#This Row],[Payment]]=0,0,MAX(0,MIN(tblContractForDeed[[#This Row],[Beg]],tblContractForDeed[[#This Row],[Payment]]-tblContractForDeed[[#This Row],[Int]])))</f>
        <v>0</v>
      </c>
      <c r="S346" s="275">
        <f>IF(OR(tblContractForDeed[[#This Row],[Date]]&lt;cfdContractDate,tblContractForDeed[[#This Row],[Date]]&gt;cfdEndDate),0,ROUND(tblContractForDeed[[#This Row],[Beg]]*(tblContractForDeed[[#This Row],[Int Rate]]/12),2))</f>
        <v>0</v>
      </c>
      <c r="T346" s="275">
        <f>IF(tblContractForDeed[[#This Row],[Payment]]=0,0,$W$2)</f>
        <v>0</v>
      </c>
      <c r="U346" s="275">
        <f>IF(tblContractForDeed[[#This Row],[Princ]]=0,0,$W$3)</f>
        <v>0</v>
      </c>
      <c r="V346" s="275">
        <f>SUM(tblContractForDeed[[#This Row],[Princ]],tblContractForDeed[[#This Row],[Int]],tblContractForDeed[[#This Row],[Ins]],tblContractForDeed[[#This Row],[Taxes]])</f>
        <v>0</v>
      </c>
      <c r="W346" s="275">
        <f>SUM(INDEX(tblContractForDeed[Princ],1):INDEX(tblContractForDeed[Princ],ROW()-ROW(tblContractForDeed[#Headers])))</f>
        <v>75258.000000000029</v>
      </c>
      <c r="X346" s="275">
        <f>IF(tblContractForDeed[[#This Row],[Beg]]&lt;=0,0,tblContractForDeed[[#This Row],[Beg]]-tblContractForDeed[[#This Row],[Princ]])</f>
        <v>0</v>
      </c>
      <c r="Y34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54">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6" s="275">
        <f>IF(INDEX(tblContractForDeed[End Bal],ROW()-ROW(tblBuyerOutputs[#Headers]))&lt;=0,0,($O$6+IF(ROW()=ROW(tblBuyerOutputs[#Headers])+1,0,INDEX(tblBuyerOutputs[Cumul Appr],ROW()-ROW(tblBuyerOutputs[#Headers])-1)))*$O$2/12)</f>
        <v>0</v>
      </c>
      <c r="AE346" s="275">
        <f>IF(INDEX(tblContractForDeed[End Bal],ROW()-ROW(tblBuyerOutputs[#Headers]))&lt;=0,0,IF(ROW()=ROW(tblBuyerOutputs[#Headers])+1,0,INDEX(tblBuyerOutputs[Cumul Appr],ROW()-ROW(tblBuyerOutputs[#Headers])-1))+tblBuyerOutputs[[#This Row],[Monthly Appr]])</f>
        <v>0</v>
      </c>
      <c r="AF346" s="22"/>
      <c r="AG346" s="14"/>
      <c r="AL346"/>
      <c r="AM346" s="14"/>
      <c r="AO346" s="275"/>
      <c r="AQ346" s="14"/>
      <c r="AR346"/>
    </row>
    <row r="347" spans="1:44" x14ac:dyDescent="0.25">
      <c r="A347" s="590" t="str">
        <f t="shared" si="77"/>
        <v/>
      </c>
      <c r="B347" s="275">
        <f t="shared" si="78"/>
        <v>0</v>
      </c>
      <c r="C347" s="14">
        <f t="shared" si="75"/>
        <v>0</v>
      </c>
      <c r="D347" s="14">
        <f t="shared" si="79"/>
        <v>0</v>
      </c>
      <c r="E347" s="14">
        <f t="shared" si="76"/>
        <v>0</v>
      </c>
      <c r="F347" s="14">
        <f t="shared" si="74"/>
        <v>134.16999999999999</v>
      </c>
      <c r="G347" s="14">
        <f t="shared" si="74"/>
        <v>188.55</v>
      </c>
      <c r="H347" s="14">
        <f t="shared" si="73"/>
        <v>322.72000000000003</v>
      </c>
      <c r="I347" s="275">
        <f t="shared" si="82"/>
        <v>97531.839999999953</v>
      </c>
      <c r="J347" s="275">
        <f t="shared" si="83"/>
        <v>36068.259999999973</v>
      </c>
      <c r="K347" s="275">
        <f t="shared" si="80"/>
        <v>0</v>
      </c>
      <c r="L347" s="386">
        <f t="shared" si="71"/>
        <v>0</v>
      </c>
      <c r="M347" s="386">
        <f t="shared" si="81"/>
        <v>0</v>
      </c>
      <c r="N347" s="590" t="str">
        <f>INDEX(tblSubjectToLoan[Date],ROW()-ROW(tblContractForDeed[#Headers]))</f>
        <v/>
      </c>
      <c r="O347" s="275">
        <f>IF(ROW()=ROW(tblContractForDeed[#Headers])+1,$O$6,IF(INDEX(tblContractForDeed[End Bal],ROW()-ROW(tblContractForDeed[#Headers])-1)&lt;0,0,INDEX(tblContractForDeed[End Bal],ROW()-ROW(tblContractForDeed[#Headers])-1)))</f>
        <v>0</v>
      </c>
      <c r="P347" s="445" t="str">
        <f>IF(tblContractForDeed[[#This Row],[Date]]="","",IF(tblContractForDeed[[#This Row],[Date]]&lt;cfdRateChangeDate,cfdRate1,cfdRate2))</f>
        <v/>
      </c>
      <c r="Q34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75">
        <f>IF(tblContractForDeed[[#This Row],[Payment]]=0,0,MAX(0,MIN(tblContractForDeed[[#This Row],[Beg]],tblContractForDeed[[#This Row],[Payment]]-tblContractForDeed[[#This Row],[Int]])))</f>
        <v>0</v>
      </c>
      <c r="S347" s="275">
        <f>IF(OR(tblContractForDeed[[#This Row],[Date]]&lt;cfdContractDate,tblContractForDeed[[#This Row],[Date]]&gt;cfdEndDate),0,ROUND(tblContractForDeed[[#This Row],[Beg]]*(tblContractForDeed[[#This Row],[Int Rate]]/12),2))</f>
        <v>0</v>
      </c>
      <c r="T347" s="275">
        <f>IF(tblContractForDeed[[#This Row],[Payment]]=0,0,$W$2)</f>
        <v>0</v>
      </c>
      <c r="U347" s="275">
        <f>IF(tblContractForDeed[[#This Row],[Princ]]=0,0,$W$3)</f>
        <v>0</v>
      </c>
      <c r="V347" s="275">
        <f>SUM(tblContractForDeed[[#This Row],[Princ]],tblContractForDeed[[#This Row],[Int]],tblContractForDeed[[#This Row],[Ins]],tblContractForDeed[[#This Row],[Taxes]])</f>
        <v>0</v>
      </c>
      <c r="W347" s="275">
        <f>SUM(INDEX(tblContractForDeed[Princ],1):INDEX(tblContractForDeed[Princ],ROW()-ROW(tblContractForDeed[#Headers])))</f>
        <v>75258.000000000029</v>
      </c>
      <c r="X347" s="275">
        <f>IF(tblContractForDeed[[#This Row],[Beg]]&lt;=0,0,tblContractForDeed[[#This Row],[Beg]]-tblContractForDeed[[#This Row],[Princ]])</f>
        <v>0</v>
      </c>
      <c r="Y34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54">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7" s="275">
        <f>IF(INDEX(tblContractForDeed[End Bal],ROW()-ROW(tblBuyerOutputs[#Headers]))&lt;=0,0,($O$6+IF(ROW()=ROW(tblBuyerOutputs[#Headers])+1,0,INDEX(tblBuyerOutputs[Cumul Appr],ROW()-ROW(tblBuyerOutputs[#Headers])-1)))*$O$2/12)</f>
        <v>0</v>
      </c>
      <c r="AE347" s="275">
        <f>IF(INDEX(tblContractForDeed[End Bal],ROW()-ROW(tblBuyerOutputs[#Headers]))&lt;=0,0,IF(ROW()=ROW(tblBuyerOutputs[#Headers])+1,0,INDEX(tblBuyerOutputs[Cumul Appr],ROW()-ROW(tblBuyerOutputs[#Headers])-1))+tblBuyerOutputs[[#This Row],[Monthly Appr]])</f>
        <v>0</v>
      </c>
      <c r="AF347" s="22"/>
      <c r="AG347" s="14"/>
      <c r="AL347"/>
      <c r="AM347" s="14"/>
      <c r="AO347" s="275"/>
      <c r="AQ347" s="14"/>
      <c r="AR347"/>
    </row>
    <row r="348" spans="1:44" x14ac:dyDescent="0.25">
      <c r="A348" s="590" t="str">
        <f t="shared" si="77"/>
        <v/>
      </c>
      <c r="B348" s="275">
        <f t="shared" si="78"/>
        <v>0</v>
      </c>
      <c r="C348" s="14">
        <f t="shared" si="75"/>
        <v>0</v>
      </c>
      <c r="D348" s="14">
        <f t="shared" si="79"/>
        <v>0</v>
      </c>
      <c r="E348" s="14">
        <f t="shared" si="76"/>
        <v>0</v>
      </c>
      <c r="F348" s="14">
        <f t="shared" si="74"/>
        <v>134.16999999999999</v>
      </c>
      <c r="G348" s="14">
        <f t="shared" si="74"/>
        <v>188.55</v>
      </c>
      <c r="H348" s="14">
        <f t="shared" si="73"/>
        <v>322.72000000000003</v>
      </c>
      <c r="I348" s="275">
        <f t="shared" si="82"/>
        <v>97531.839999999953</v>
      </c>
      <c r="J348" s="275">
        <f t="shared" si="83"/>
        <v>36068.259999999973</v>
      </c>
      <c r="K348" s="275">
        <f t="shared" si="80"/>
        <v>0</v>
      </c>
      <c r="L348" s="386">
        <f t="shared" si="71"/>
        <v>0</v>
      </c>
      <c r="M348" s="386">
        <f t="shared" si="81"/>
        <v>0</v>
      </c>
      <c r="N348" s="590" t="str">
        <f>INDEX(tblSubjectToLoan[Date],ROW()-ROW(tblContractForDeed[#Headers]))</f>
        <v/>
      </c>
      <c r="O348" s="275">
        <f>IF(ROW()=ROW(tblContractForDeed[#Headers])+1,$O$6,IF(INDEX(tblContractForDeed[End Bal],ROW()-ROW(tblContractForDeed[#Headers])-1)&lt;0,0,INDEX(tblContractForDeed[End Bal],ROW()-ROW(tblContractForDeed[#Headers])-1)))</f>
        <v>0</v>
      </c>
      <c r="P348" s="445" t="str">
        <f>IF(tblContractForDeed[[#This Row],[Date]]="","",IF(tblContractForDeed[[#This Row],[Date]]&lt;cfdRateChangeDate,cfdRate1,cfdRate2))</f>
        <v/>
      </c>
      <c r="Q3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75">
        <f>IF(tblContractForDeed[[#This Row],[Payment]]=0,0,MAX(0,MIN(tblContractForDeed[[#This Row],[Beg]],tblContractForDeed[[#This Row],[Payment]]-tblContractForDeed[[#This Row],[Int]])))</f>
        <v>0</v>
      </c>
      <c r="S348" s="275">
        <f>IF(OR(tblContractForDeed[[#This Row],[Date]]&lt;cfdContractDate,tblContractForDeed[[#This Row],[Date]]&gt;cfdEndDate),0,ROUND(tblContractForDeed[[#This Row],[Beg]]*(tblContractForDeed[[#This Row],[Int Rate]]/12),2))</f>
        <v>0</v>
      </c>
      <c r="T348" s="275">
        <f>IF(tblContractForDeed[[#This Row],[Payment]]=0,0,$W$2)</f>
        <v>0</v>
      </c>
      <c r="U348" s="275">
        <f>IF(tblContractForDeed[[#This Row],[Princ]]=0,0,$W$3)</f>
        <v>0</v>
      </c>
      <c r="V348" s="275">
        <f>SUM(tblContractForDeed[[#This Row],[Princ]],tblContractForDeed[[#This Row],[Int]],tblContractForDeed[[#This Row],[Ins]],tblContractForDeed[[#This Row],[Taxes]])</f>
        <v>0</v>
      </c>
      <c r="W348" s="275">
        <f>SUM(INDEX(tblContractForDeed[Princ],1):INDEX(tblContractForDeed[Princ],ROW()-ROW(tblContractForDeed[#Headers])))</f>
        <v>75258.000000000029</v>
      </c>
      <c r="X348" s="275">
        <f>IF(tblContractForDeed[[#This Row],[Beg]]&lt;=0,0,tblContractForDeed[[#This Row],[Beg]]-tblContractForDeed[[#This Row],[Princ]])</f>
        <v>0</v>
      </c>
      <c r="Y34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54">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8" s="275">
        <f>IF(INDEX(tblContractForDeed[End Bal],ROW()-ROW(tblBuyerOutputs[#Headers]))&lt;=0,0,($O$6+IF(ROW()=ROW(tblBuyerOutputs[#Headers])+1,0,INDEX(tblBuyerOutputs[Cumul Appr],ROW()-ROW(tblBuyerOutputs[#Headers])-1)))*$O$2/12)</f>
        <v>0</v>
      </c>
      <c r="AE348" s="275">
        <f>IF(INDEX(tblContractForDeed[End Bal],ROW()-ROW(tblBuyerOutputs[#Headers]))&lt;=0,0,IF(ROW()=ROW(tblBuyerOutputs[#Headers])+1,0,INDEX(tblBuyerOutputs[Cumul Appr],ROW()-ROW(tblBuyerOutputs[#Headers])-1))+tblBuyerOutputs[[#This Row],[Monthly Appr]])</f>
        <v>0</v>
      </c>
      <c r="AF348" s="22"/>
      <c r="AG348" s="14"/>
      <c r="AL348"/>
      <c r="AM348" s="14"/>
      <c r="AO348" s="275"/>
      <c r="AQ348" s="14"/>
      <c r="AR348"/>
    </row>
    <row r="349" spans="1:44" x14ac:dyDescent="0.25">
      <c r="A349" s="590" t="str">
        <f t="shared" si="77"/>
        <v/>
      </c>
      <c r="B349" s="275">
        <f t="shared" si="78"/>
        <v>0</v>
      </c>
      <c r="C349" s="14">
        <f t="shared" si="75"/>
        <v>0</v>
      </c>
      <c r="D349" s="14">
        <f t="shared" si="79"/>
        <v>0</v>
      </c>
      <c r="E349" s="14">
        <f t="shared" si="76"/>
        <v>0</v>
      </c>
      <c r="F349" s="14">
        <f t="shared" si="74"/>
        <v>134.16999999999999</v>
      </c>
      <c r="G349" s="14">
        <f t="shared" si="74"/>
        <v>188.55</v>
      </c>
      <c r="H349" s="14">
        <f t="shared" si="73"/>
        <v>322.72000000000003</v>
      </c>
      <c r="I349" s="275">
        <f t="shared" si="82"/>
        <v>97531.839999999953</v>
      </c>
      <c r="J349" s="275">
        <f t="shared" si="83"/>
        <v>36068.259999999973</v>
      </c>
      <c r="K349" s="275">
        <f t="shared" si="80"/>
        <v>0</v>
      </c>
      <c r="L349" s="386">
        <f t="shared" si="71"/>
        <v>0</v>
      </c>
      <c r="M349" s="386">
        <f t="shared" si="81"/>
        <v>0</v>
      </c>
      <c r="N349" s="590" t="str">
        <f>INDEX(tblSubjectToLoan[Date],ROW()-ROW(tblContractForDeed[#Headers]))</f>
        <v/>
      </c>
      <c r="O349" s="275">
        <f>IF(ROW()=ROW(tblContractForDeed[#Headers])+1,$O$6,IF(INDEX(tblContractForDeed[End Bal],ROW()-ROW(tblContractForDeed[#Headers])-1)&lt;0,0,INDEX(tblContractForDeed[End Bal],ROW()-ROW(tblContractForDeed[#Headers])-1)))</f>
        <v>0</v>
      </c>
      <c r="P349" s="445" t="str">
        <f>IF(tblContractForDeed[[#This Row],[Date]]="","",IF(tblContractForDeed[[#This Row],[Date]]&lt;cfdRateChangeDate,cfdRate1,cfdRate2))</f>
        <v/>
      </c>
      <c r="Q3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75">
        <f>IF(tblContractForDeed[[#This Row],[Payment]]=0,0,MAX(0,MIN(tblContractForDeed[[#This Row],[Beg]],tblContractForDeed[[#This Row],[Payment]]-tblContractForDeed[[#This Row],[Int]])))</f>
        <v>0</v>
      </c>
      <c r="S349" s="275">
        <f>IF(OR(tblContractForDeed[[#This Row],[Date]]&lt;cfdContractDate,tblContractForDeed[[#This Row],[Date]]&gt;cfdEndDate),0,ROUND(tblContractForDeed[[#This Row],[Beg]]*(tblContractForDeed[[#This Row],[Int Rate]]/12),2))</f>
        <v>0</v>
      </c>
      <c r="T349" s="275">
        <f>IF(tblContractForDeed[[#This Row],[Payment]]=0,0,$W$2)</f>
        <v>0</v>
      </c>
      <c r="U349" s="275">
        <f>IF(tblContractForDeed[[#This Row],[Princ]]=0,0,$W$3)</f>
        <v>0</v>
      </c>
      <c r="V349" s="275">
        <f>SUM(tblContractForDeed[[#This Row],[Princ]],tblContractForDeed[[#This Row],[Int]],tblContractForDeed[[#This Row],[Ins]],tblContractForDeed[[#This Row],[Taxes]])</f>
        <v>0</v>
      </c>
      <c r="W349" s="275">
        <f>SUM(INDEX(tblContractForDeed[Princ],1):INDEX(tblContractForDeed[Princ],ROW()-ROW(tblContractForDeed[#Headers])))</f>
        <v>75258.000000000029</v>
      </c>
      <c r="X349" s="275">
        <f>IF(tblContractForDeed[[#This Row],[Beg]]&lt;=0,0,tblContractForDeed[[#This Row],[Beg]]-tblContractForDeed[[#This Row],[Princ]])</f>
        <v>0</v>
      </c>
      <c r="Y34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54">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9" s="275">
        <f>IF(INDEX(tblContractForDeed[End Bal],ROW()-ROW(tblBuyerOutputs[#Headers]))&lt;=0,0,($O$6+IF(ROW()=ROW(tblBuyerOutputs[#Headers])+1,0,INDEX(tblBuyerOutputs[Cumul Appr],ROW()-ROW(tblBuyerOutputs[#Headers])-1)))*$O$2/12)</f>
        <v>0</v>
      </c>
      <c r="AE349" s="275">
        <f>IF(INDEX(tblContractForDeed[End Bal],ROW()-ROW(tblBuyerOutputs[#Headers]))&lt;=0,0,IF(ROW()=ROW(tblBuyerOutputs[#Headers])+1,0,INDEX(tblBuyerOutputs[Cumul Appr],ROW()-ROW(tblBuyerOutputs[#Headers])-1))+tblBuyerOutputs[[#This Row],[Monthly Appr]])</f>
        <v>0</v>
      </c>
      <c r="AF349" s="22"/>
      <c r="AG349" s="14"/>
      <c r="AL349"/>
      <c r="AM349" s="14"/>
      <c r="AO349" s="275"/>
      <c r="AQ349" s="14"/>
      <c r="AR349"/>
    </row>
    <row r="350" spans="1:44" x14ac:dyDescent="0.25">
      <c r="A350" s="590" t="str">
        <f t="shared" si="77"/>
        <v/>
      </c>
      <c r="B350" s="275">
        <f t="shared" si="78"/>
        <v>0</v>
      </c>
      <c r="C350" s="14">
        <f t="shared" si="75"/>
        <v>0</v>
      </c>
      <c r="D350" s="14">
        <f t="shared" si="79"/>
        <v>0</v>
      </c>
      <c r="E350" s="14">
        <f t="shared" si="76"/>
        <v>0</v>
      </c>
      <c r="F350" s="14">
        <f t="shared" si="74"/>
        <v>134.16999999999999</v>
      </c>
      <c r="G350" s="14">
        <f t="shared" si="74"/>
        <v>188.55</v>
      </c>
      <c r="H350" s="14">
        <f t="shared" si="73"/>
        <v>322.72000000000003</v>
      </c>
      <c r="I350" s="275">
        <f t="shared" si="82"/>
        <v>97531.839999999953</v>
      </c>
      <c r="J350" s="275">
        <f t="shared" si="83"/>
        <v>36068.259999999973</v>
      </c>
      <c r="K350" s="275">
        <f t="shared" si="80"/>
        <v>0</v>
      </c>
      <c r="L350" s="386">
        <f t="shared" si="71"/>
        <v>0</v>
      </c>
      <c r="M350" s="386">
        <f t="shared" si="81"/>
        <v>0</v>
      </c>
      <c r="N350" s="590" t="str">
        <f>INDEX(tblSubjectToLoan[Date],ROW()-ROW(tblContractForDeed[#Headers]))</f>
        <v/>
      </c>
      <c r="O350" s="275">
        <f>IF(ROW()=ROW(tblContractForDeed[#Headers])+1,$O$6,IF(INDEX(tblContractForDeed[End Bal],ROW()-ROW(tblContractForDeed[#Headers])-1)&lt;0,0,INDEX(tblContractForDeed[End Bal],ROW()-ROW(tblContractForDeed[#Headers])-1)))</f>
        <v>0</v>
      </c>
      <c r="P350" s="445" t="str">
        <f>IF(tblContractForDeed[[#This Row],[Date]]="","",IF(tblContractForDeed[[#This Row],[Date]]&lt;cfdRateChangeDate,cfdRate1,cfdRate2))</f>
        <v/>
      </c>
      <c r="Q3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75">
        <f>IF(tblContractForDeed[[#This Row],[Payment]]=0,0,MAX(0,MIN(tblContractForDeed[[#This Row],[Beg]],tblContractForDeed[[#This Row],[Payment]]-tblContractForDeed[[#This Row],[Int]])))</f>
        <v>0</v>
      </c>
      <c r="S350" s="275">
        <f>IF(OR(tblContractForDeed[[#This Row],[Date]]&lt;cfdContractDate,tblContractForDeed[[#This Row],[Date]]&gt;cfdEndDate),0,ROUND(tblContractForDeed[[#This Row],[Beg]]*(tblContractForDeed[[#This Row],[Int Rate]]/12),2))</f>
        <v>0</v>
      </c>
      <c r="T350" s="275">
        <f>IF(tblContractForDeed[[#This Row],[Payment]]=0,0,$W$2)</f>
        <v>0</v>
      </c>
      <c r="U350" s="275">
        <f>IF(tblContractForDeed[[#This Row],[Princ]]=0,0,$W$3)</f>
        <v>0</v>
      </c>
      <c r="V350" s="275">
        <f>SUM(tblContractForDeed[[#This Row],[Princ]],tblContractForDeed[[#This Row],[Int]],tblContractForDeed[[#This Row],[Ins]],tblContractForDeed[[#This Row],[Taxes]])</f>
        <v>0</v>
      </c>
      <c r="W350" s="275">
        <f>SUM(INDEX(tblContractForDeed[Princ],1):INDEX(tblContractForDeed[Princ],ROW()-ROW(tblContractForDeed[#Headers])))</f>
        <v>75258.000000000029</v>
      </c>
      <c r="X350" s="275">
        <f>IF(tblContractForDeed[[#This Row],[Beg]]&lt;=0,0,tblContractForDeed[[#This Row],[Beg]]-tblContractForDeed[[#This Row],[Princ]])</f>
        <v>0</v>
      </c>
      <c r="Y35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54">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0" s="275">
        <f>IF(INDEX(tblContractForDeed[End Bal],ROW()-ROW(tblBuyerOutputs[#Headers]))&lt;=0,0,($O$6+IF(ROW()=ROW(tblBuyerOutputs[#Headers])+1,0,INDEX(tblBuyerOutputs[Cumul Appr],ROW()-ROW(tblBuyerOutputs[#Headers])-1)))*$O$2/12)</f>
        <v>0</v>
      </c>
      <c r="AE350" s="275">
        <f>IF(INDEX(tblContractForDeed[End Bal],ROW()-ROW(tblBuyerOutputs[#Headers]))&lt;=0,0,IF(ROW()=ROW(tblBuyerOutputs[#Headers])+1,0,INDEX(tblBuyerOutputs[Cumul Appr],ROW()-ROW(tblBuyerOutputs[#Headers])-1))+tblBuyerOutputs[[#This Row],[Monthly Appr]])</f>
        <v>0</v>
      </c>
      <c r="AF350" s="22"/>
      <c r="AG350" s="14"/>
      <c r="AL350"/>
      <c r="AM350" s="14"/>
      <c r="AO350" s="275"/>
      <c r="AQ350" s="14"/>
      <c r="AR350"/>
    </row>
    <row r="351" spans="1:44" x14ac:dyDescent="0.25">
      <c r="A351" s="590" t="str">
        <f t="shared" si="77"/>
        <v/>
      </c>
      <c r="B351" s="275">
        <f t="shared" si="78"/>
        <v>0</v>
      </c>
      <c r="C351" s="14">
        <f t="shared" si="75"/>
        <v>0</v>
      </c>
      <c r="D351" s="14">
        <f t="shared" si="79"/>
        <v>0</v>
      </c>
      <c r="E351" s="14">
        <f t="shared" si="76"/>
        <v>0</v>
      </c>
      <c r="F351" s="14">
        <f t="shared" ref="F351:G366" si="84">+F350</f>
        <v>134.16999999999999</v>
      </c>
      <c r="G351" s="14">
        <f t="shared" si="84"/>
        <v>188.55</v>
      </c>
      <c r="H351" s="14">
        <f t="shared" si="73"/>
        <v>322.72000000000003</v>
      </c>
      <c r="I351" s="275">
        <f t="shared" si="82"/>
        <v>97531.839999999953</v>
      </c>
      <c r="J351" s="275">
        <f t="shared" si="83"/>
        <v>36068.259999999973</v>
      </c>
      <c r="K351" s="275">
        <f t="shared" si="80"/>
        <v>0</v>
      </c>
      <c r="L351" s="386">
        <f t="shared" si="71"/>
        <v>0</v>
      </c>
      <c r="M351" s="386">
        <f t="shared" si="81"/>
        <v>0</v>
      </c>
      <c r="N351" s="590" t="str">
        <f>INDEX(tblSubjectToLoan[Date],ROW()-ROW(tblContractForDeed[#Headers]))</f>
        <v/>
      </c>
      <c r="O351" s="275">
        <f>IF(ROW()=ROW(tblContractForDeed[#Headers])+1,$O$6,IF(INDEX(tblContractForDeed[End Bal],ROW()-ROW(tblContractForDeed[#Headers])-1)&lt;0,0,INDEX(tblContractForDeed[End Bal],ROW()-ROW(tblContractForDeed[#Headers])-1)))</f>
        <v>0</v>
      </c>
      <c r="P351" s="445" t="str">
        <f>IF(tblContractForDeed[[#This Row],[Date]]="","",IF(tblContractForDeed[[#This Row],[Date]]&lt;cfdRateChangeDate,cfdRate1,cfdRate2))</f>
        <v/>
      </c>
      <c r="Q35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75">
        <f>IF(tblContractForDeed[[#This Row],[Payment]]=0,0,MAX(0,MIN(tblContractForDeed[[#This Row],[Beg]],tblContractForDeed[[#This Row],[Payment]]-tblContractForDeed[[#This Row],[Int]])))</f>
        <v>0</v>
      </c>
      <c r="S351" s="275">
        <f>IF(OR(tblContractForDeed[[#This Row],[Date]]&lt;cfdContractDate,tblContractForDeed[[#This Row],[Date]]&gt;cfdEndDate),0,ROUND(tblContractForDeed[[#This Row],[Beg]]*(tblContractForDeed[[#This Row],[Int Rate]]/12),2))</f>
        <v>0</v>
      </c>
      <c r="T351" s="275">
        <f>IF(tblContractForDeed[[#This Row],[Payment]]=0,0,$W$2)</f>
        <v>0</v>
      </c>
      <c r="U351" s="275">
        <f>IF(tblContractForDeed[[#This Row],[Princ]]=0,0,$W$3)</f>
        <v>0</v>
      </c>
      <c r="V351" s="275">
        <f>SUM(tblContractForDeed[[#This Row],[Princ]],tblContractForDeed[[#This Row],[Int]],tblContractForDeed[[#This Row],[Ins]],tblContractForDeed[[#This Row],[Taxes]])</f>
        <v>0</v>
      </c>
      <c r="W351" s="275">
        <f>SUM(INDEX(tblContractForDeed[Princ],1):INDEX(tblContractForDeed[Princ],ROW()-ROW(tblContractForDeed[#Headers])))</f>
        <v>75258.000000000029</v>
      </c>
      <c r="X351" s="275">
        <f>IF(tblContractForDeed[[#This Row],[Beg]]&lt;=0,0,tblContractForDeed[[#This Row],[Beg]]-tblContractForDeed[[#This Row],[Princ]])</f>
        <v>0</v>
      </c>
      <c r="Y35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54">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1" s="275">
        <f>IF(INDEX(tblContractForDeed[End Bal],ROW()-ROW(tblBuyerOutputs[#Headers]))&lt;=0,0,($O$6+IF(ROW()=ROW(tblBuyerOutputs[#Headers])+1,0,INDEX(tblBuyerOutputs[Cumul Appr],ROW()-ROW(tblBuyerOutputs[#Headers])-1)))*$O$2/12)</f>
        <v>0</v>
      </c>
      <c r="AE351" s="275">
        <f>IF(INDEX(tblContractForDeed[End Bal],ROW()-ROW(tblBuyerOutputs[#Headers]))&lt;=0,0,IF(ROW()=ROW(tblBuyerOutputs[#Headers])+1,0,INDEX(tblBuyerOutputs[Cumul Appr],ROW()-ROW(tblBuyerOutputs[#Headers])-1))+tblBuyerOutputs[[#This Row],[Monthly Appr]])</f>
        <v>0</v>
      </c>
      <c r="AF351" s="22"/>
      <c r="AG351" s="14"/>
      <c r="AL351"/>
      <c r="AM351" s="14"/>
      <c r="AO351" s="275"/>
      <c r="AQ351" s="14"/>
      <c r="AR351"/>
    </row>
    <row r="352" spans="1:44" x14ac:dyDescent="0.25">
      <c r="A352" s="590" t="str">
        <f t="shared" si="77"/>
        <v/>
      </c>
      <c r="B352" s="275">
        <f t="shared" si="78"/>
        <v>0</v>
      </c>
      <c r="C352" s="14">
        <f t="shared" si="75"/>
        <v>0</v>
      </c>
      <c r="D352" s="14">
        <f t="shared" si="79"/>
        <v>0</v>
      </c>
      <c r="E352" s="14">
        <f t="shared" si="76"/>
        <v>0</v>
      </c>
      <c r="F352" s="14">
        <f t="shared" si="84"/>
        <v>134.16999999999999</v>
      </c>
      <c r="G352" s="14">
        <f t="shared" si="84"/>
        <v>188.55</v>
      </c>
      <c r="H352" s="14">
        <f t="shared" si="73"/>
        <v>322.72000000000003</v>
      </c>
      <c r="I352" s="275">
        <f t="shared" si="82"/>
        <v>97531.839999999953</v>
      </c>
      <c r="J352" s="275">
        <f t="shared" si="83"/>
        <v>36068.259999999973</v>
      </c>
      <c r="K352" s="275">
        <f t="shared" si="80"/>
        <v>0</v>
      </c>
      <c r="L352" s="386">
        <f t="shared" si="71"/>
        <v>0</v>
      </c>
      <c r="M352" s="386">
        <f t="shared" si="81"/>
        <v>0</v>
      </c>
      <c r="N352" s="590" t="str">
        <f>INDEX(tblSubjectToLoan[Date],ROW()-ROW(tblContractForDeed[#Headers]))</f>
        <v/>
      </c>
      <c r="O352" s="275">
        <f>IF(ROW()=ROW(tblContractForDeed[#Headers])+1,$O$6,IF(INDEX(tblContractForDeed[End Bal],ROW()-ROW(tblContractForDeed[#Headers])-1)&lt;0,0,INDEX(tblContractForDeed[End Bal],ROW()-ROW(tblContractForDeed[#Headers])-1)))</f>
        <v>0</v>
      </c>
      <c r="P352" s="445" t="str">
        <f>IF(tblContractForDeed[[#This Row],[Date]]="","",IF(tblContractForDeed[[#This Row],[Date]]&lt;cfdRateChangeDate,cfdRate1,cfdRate2))</f>
        <v/>
      </c>
      <c r="Q3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75">
        <f>IF(tblContractForDeed[[#This Row],[Payment]]=0,0,MAX(0,MIN(tblContractForDeed[[#This Row],[Beg]],tblContractForDeed[[#This Row],[Payment]]-tblContractForDeed[[#This Row],[Int]])))</f>
        <v>0</v>
      </c>
      <c r="S352" s="275">
        <f>IF(OR(tblContractForDeed[[#This Row],[Date]]&lt;cfdContractDate,tblContractForDeed[[#This Row],[Date]]&gt;cfdEndDate),0,ROUND(tblContractForDeed[[#This Row],[Beg]]*(tblContractForDeed[[#This Row],[Int Rate]]/12),2))</f>
        <v>0</v>
      </c>
      <c r="T352" s="275">
        <f>IF(tblContractForDeed[[#This Row],[Payment]]=0,0,$W$2)</f>
        <v>0</v>
      </c>
      <c r="U352" s="275">
        <f>IF(tblContractForDeed[[#This Row],[Princ]]=0,0,$W$3)</f>
        <v>0</v>
      </c>
      <c r="V352" s="275">
        <f>SUM(tblContractForDeed[[#This Row],[Princ]],tblContractForDeed[[#This Row],[Int]],tblContractForDeed[[#This Row],[Ins]],tblContractForDeed[[#This Row],[Taxes]])</f>
        <v>0</v>
      </c>
      <c r="W352" s="275">
        <f>SUM(INDEX(tblContractForDeed[Princ],1):INDEX(tblContractForDeed[Princ],ROW()-ROW(tblContractForDeed[#Headers])))</f>
        <v>75258.000000000029</v>
      </c>
      <c r="X352" s="275">
        <f>IF(tblContractForDeed[[#This Row],[Beg]]&lt;=0,0,tblContractForDeed[[#This Row],[Beg]]-tblContractForDeed[[#This Row],[Princ]])</f>
        <v>0</v>
      </c>
      <c r="Y35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54">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2" s="275">
        <f>IF(INDEX(tblContractForDeed[End Bal],ROW()-ROW(tblBuyerOutputs[#Headers]))&lt;=0,0,($O$6+IF(ROW()=ROW(tblBuyerOutputs[#Headers])+1,0,INDEX(tblBuyerOutputs[Cumul Appr],ROW()-ROW(tblBuyerOutputs[#Headers])-1)))*$O$2/12)</f>
        <v>0</v>
      </c>
      <c r="AE352" s="275">
        <f>IF(INDEX(tblContractForDeed[End Bal],ROW()-ROW(tblBuyerOutputs[#Headers]))&lt;=0,0,IF(ROW()=ROW(tblBuyerOutputs[#Headers])+1,0,INDEX(tblBuyerOutputs[Cumul Appr],ROW()-ROW(tblBuyerOutputs[#Headers])-1))+tblBuyerOutputs[[#This Row],[Monthly Appr]])</f>
        <v>0</v>
      </c>
      <c r="AF352" s="22"/>
      <c r="AG352" s="14"/>
      <c r="AL352"/>
      <c r="AM352" s="14"/>
      <c r="AO352" s="275"/>
      <c r="AQ352" s="14"/>
      <c r="AR352"/>
    </row>
    <row r="353" spans="1:44" x14ac:dyDescent="0.25">
      <c r="A353" s="590" t="str">
        <f t="shared" si="77"/>
        <v/>
      </c>
      <c r="B353" s="275">
        <f t="shared" si="78"/>
        <v>0</v>
      </c>
      <c r="C353" s="14">
        <f t="shared" si="75"/>
        <v>0</v>
      </c>
      <c r="D353" s="14">
        <f t="shared" si="79"/>
        <v>0</v>
      </c>
      <c r="E353" s="14">
        <f t="shared" si="76"/>
        <v>0</v>
      </c>
      <c r="F353" s="14">
        <f t="shared" si="84"/>
        <v>134.16999999999999</v>
      </c>
      <c r="G353" s="14">
        <f t="shared" si="84"/>
        <v>188.55</v>
      </c>
      <c r="H353" s="14">
        <f t="shared" si="73"/>
        <v>322.72000000000003</v>
      </c>
      <c r="I353" s="275">
        <f t="shared" si="82"/>
        <v>97531.839999999953</v>
      </c>
      <c r="J353" s="275">
        <f t="shared" si="83"/>
        <v>36068.259999999973</v>
      </c>
      <c r="K353" s="275">
        <f t="shared" si="80"/>
        <v>0</v>
      </c>
      <c r="L353" s="386">
        <f t="shared" si="71"/>
        <v>0</v>
      </c>
      <c r="M353" s="386">
        <f t="shared" si="81"/>
        <v>0</v>
      </c>
      <c r="N353" s="590" t="str">
        <f>INDEX(tblSubjectToLoan[Date],ROW()-ROW(tblContractForDeed[#Headers]))</f>
        <v/>
      </c>
      <c r="O353" s="275">
        <f>IF(ROW()=ROW(tblContractForDeed[#Headers])+1,$O$6,IF(INDEX(tblContractForDeed[End Bal],ROW()-ROW(tblContractForDeed[#Headers])-1)&lt;0,0,INDEX(tblContractForDeed[End Bal],ROW()-ROW(tblContractForDeed[#Headers])-1)))</f>
        <v>0</v>
      </c>
      <c r="P353" s="445" t="str">
        <f>IF(tblContractForDeed[[#This Row],[Date]]="","",IF(tblContractForDeed[[#This Row],[Date]]&lt;cfdRateChangeDate,cfdRate1,cfdRate2))</f>
        <v/>
      </c>
      <c r="Q3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75">
        <f>IF(tblContractForDeed[[#This Row],[Payment]]=0,0,MAX(0,MIN(tblContractForDeed[[#This Row],[Beg]],tblContractForDeed[[#This Row],[Payment]]-tblContractForDeed[[#This Row],[Int]])))</f>
        <v>0</v>
      </c>
      <c r="S353" s="275">
        <f>IF(OR(tblContractForDeed[[#This Row],[Date]]&lt;cfdContractDate,tblContractForDeed[[#This Row],[Date]]&gt;cfdEndDate),0,ROUND(tblContractForDeed[[#This Row],[Beg]]*(tblContractForDeed[[#This Row],[Int Rate]]/12),2))</f>
        <v>0</v>
      </c>
      <c r="T353" s="275">
        <f>IF(tblContractForDeed[[#This Row],[Payment]]=0,0,$W$2)</f>
        <v>0</v>
      </c>
      <c r="U353" s="275">
        <f>IF(tblContractForDeed[[#This Row],[Princ]]=0,0,$W$3)</f>
        <v>0</v>
      </c>
      <c r="V353" s="275">
        <f>SUM(tblContractForDeed[[#This Row],[Princ]],tblContractForDeed[[#This Row],[Int]],tblContractForDeed[[#This Row],[Ins]],tblContractForDeed[[#This Row],[Taxes]])</f>
        <v>0</v>
      </c>
      <c r="W353" s="275">
        <f>SUM(INDEX(tblContractForDeed[Princ],1):INDEX(tblContractForDeed[Princ],ROW()-ROW(tblContractForDeed[#Headers])))</f>
        <v>75258.000000000029</v>
      </c>
      <c r="X353" s="275">
        <f>IF(tblContractForDeed[[#This Row],[Beg]]&lt;=0,0,tblContractForDeed[[#This Row],[Beg]]-tblContractForDeed[[#This Row],[Princ]])</f>
        <v>0</v>
      </c>
      <c r="Y35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54">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3" s="275">
        <f>IF(INDEX(tblContractForDeed[End Bal],ROW()-ROW(tblBuyerOutputs[#Headers]))&lt;=0,0,($O$6+IF(ROW()=ROW(tblBuyerOutputs[#Headers])+1,0,INDEX(tblBuyerOutputs[Cumul Appr],ROW()-ROW(tblBuyerOutputs[#Headers])-1)))*$O$2/12)</f>
        <v>0</v>
      </c>
      <c r="AE353" s="275">
        <f>IF(INDEX(tblContractForDeed[End Bal],ROW()-ROW(tblBuyerOutputs[#Headers]))&lt;=0,0,IF(ROW()=ROW(tblBuyerOutputs[#Headers])+1,0,INDEX(tblBuyerOutputs[Cumul Appr],ROW()-ROW(tblBuyerOutputs[#Headers])-1))+tblBuyerOutputs[[#This Row],[Monthly Appr]])</f>
        <v>0</v>
      </c>
      <c r="AF353" s="22"/>
      <c r="AG353" s="14"/>
      <c r="AL353"/>
      <c r="AM353" s="14"/>
      <c r="AO353" s="275"/>
      <c r="AQ353" s="14"/>
      <c r="AR353"/>
    </row>
    <row r="354" spans="1:44" x14ac:dyDescent="0.25">
      <c r="A354" s="590" t="str">
        <f t="shared" si="77"/>
        <v/>
      </c>
      <c r="B354" s="275">
        <f t="shared" si="78"/>
        <v>0</v>
      </c>
      <c r="C354" s="14">
        <f t="shared" si="75"/>
        <v>0</v>
      </c>
      <c r="D354" s="14">
        <f t="shared" si="79"/>
        <v>0</v>
      </c>
      <c r="E354" s="14">
        <f t="shared" si="76"/>
        <v>0</v>
      </c>
      <c r="F354" s="14">
        <f t="shared" si="84"/>
        <v>134.16999999999999</v>
      </c>
      <c r="G354" s="14">
        <f t="shared" si="84"/>
        <v>188.55</v>
      </c>
      <c r="H354" s="14">
        <f t="shared" si="73"/>
        <v>322.72000000000003</v>
      </c>
      <c r="I354" s="275">
        <f t="shared" si="82"/>
        <v>97531.839999999953</v>
      </c>
      <c r="J354" s="275">
        <f t="shared" si="83"/>
        <v>36068.259999999973</v>
      </c>
      <c r="K354" s="275">
        <f t="shared" si="80"/>
        <v>0</v>
      </c>
      <c r="L354" s="386">
        <f t="shared" si="71"/>
        <v>0</v>
      </c>
      <c r="M354" s="386">
        <f t="shared" si="81"/>
        <v>0</v>
      </c>
      <c r="N354" s="590" t="str">
        <f>INDEX(tblSubjectToLoan[Date],ROW()-ROW(tblContractForDeed[#Headers]))</f>
        <v/>
      </c>
      <c r="O354" s="275">
        <f>IF(ROW()=ROW(tblContractForDeed[#Headers])+1,$O$6,IF(INDEX(tblContractForDeed[End Bal],ROW()-ROW(tblContractForDeed[#Headers])-1)&lt;0,0,INDEX(tblContractForDeed[End Bal],ROW()-ROW(tblContractForDeed[#Headers])-1)))</f>
        <v>0</v>
      </c>
      <c r="P354" s="445" t="str">
        <f>IF(tblContractForDeed[[#This Row],[Date]]="","",IF(tblContractForDeed[[#This Row],[Date]]&lt;cfdRateChangeDate,cfdRate1,cfdRate2))</f>
        <v/>
      </c>
      <c r="Q3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75">
        <f>IF(tblContractForDeed[[#This Row],[Payment]]=0,0,MAX(0,MIN(tblContractForDeed[[#This Row],[Beg]],tblContractForDeed[[#This Row],[Payment]]-tblContractForDeed[[#This Row],[Int]])))</f>
        <v>0</v>
      </c>
      <c r="S354" s="275">
        <f>IF(OR(tblContractForDeed[[#This Row],[Date]]&lt;cfdContractDate,tblContractForDeed[[#This Row],[Date]]&gt;cfdEndDate),0,ROUND(tblContractForDeed[[#This Row],[Beg]]*(tblContractForDeed[[#This Row],[Int Rate]]/12),2))</f>
        <v>0</v>
      </c>
      <c r="T354" s="275">
        <f>IF(tblContractForDeed[[#This Row],[Payment]]=0,0,$W$2)</f>
        <v>0</v>
      </c>
      <c r="U354" s="275">
        <f>IF(tblContractForDeed[[#This Row],[Princ]]=0,0,$W$3)</f>
        <v>0</v>
      </c>
      <c r="V354" s="275">
        <f>SUM(tblContractForDeed[[#This Row],[Princ]],tblContractForDeed[[#This Row],[Int]],tblContractForDeed[[#This Row],[Ins]],tblContractForDeed[[#This Row],[Taxes]])</f>
        <v>0</v>
      </c>
      <c r="W354" s="275">
        <f>SUM(INDEX(tblContractForDeed[Princ],1):INDEX(tblContractForDeed[Princ],ROW()-ROW(tblContractForDeed[#Headers])))</f>
        <v>75258.000000000029</v>
      </c>
      <c r="X354" s="275">
        <f>IF(tblContractForDeed[[#This Row],[Beg]]&lt;=0,0,tblContractForDeed[[#This Row],[Beg]]-tblContractForDeed[[#This Row],[Princ]])</f>
        <v>0</v>
      </c>
      <c r="Y35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54">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4" s="275">
        <f>IF(INDEX(tblContractForDeed[End Bal],ROW()-ROW(tblBuyerOutputs[#Headers]))&lt;=0,0,($O$6+IF(ROW()=ROW(tblBuyerOutputs[#Headers])+1,0,INDEX(tblBuyerOutputs[Cumul Appr],ROW()-ROW(tblBuyerOutputs[#Headers])-1)))*$O$2/12)</f>
        <v>0</v>
      </c>
      <c r="AE354" s="275">
        <f>IF(INDEX(tblContractForDeed[End Bal],ROW()-ROW(tblBuyerOutputs[#Headers]))&lt;=0,0,IF(ROW()=ROW(tblBuyerOutputs[#Headers])+1,0,INDEX(tblBuyerOutputs[Cumul Appr],ROW()-ROW(tblBuyerOutputs[#Headers])-1))+tblBuyerOutputs[[#This Row],[Monthly Appr]])</f>
        <v>0</v>
      </c>
      <c r="AF354" s="22"/>
      <c r="AG354" s="14"/>
      <c r="AL354"/>
      <c r="AM354" s="14"/>
      <c r="AO354" s="275"/>
      <c r="AQ354" s="14"/>
      <c r="AR354"/>
    </row>
    <row r="355" spans="1:44" ht="15.75" thickBot="1" x14ac:dyDescent="0.3">
      <c r="A355" s="591" t="str">
        <f t="shared" si="77"/>
        <v/>
      </c>
      <c r="B355" s="326">
        <f t="shared" si="78"/>
        <v>0</v>
      </c>
      <c r="C355" s="21">
        <f t="shared" si="75"/>
        <v>0</v>
      </c>
      <c r="D355" s="21">
        <f t="shared" si="79"/>
        <v>0</v>
      </c>
      <c r="E355" s="21">
        <f t="shared" si="76"/>
        <v>0</v>
      </c>
      <c r="F355" s="21">
        <f t="shared" si="84"/>
        <v>134.16999999999999</v>
      </c>
      <c r="G355" s="21">
        <f t="shared" si="84"/>
        <v>188.55</v>
      </c>
      <c r="H355" s="21">
        <f t="shared" si="73"/>
        <v>322.72000000000003</v>
      </c>
      <c r="I355" s="326">
        <f t="shared" si="82"/>
        <v>97531.839999999953</v>
      </c>
      <c r="J355" s="326">
        <f t="shared" si="83"/>
        <v>36068.259999999973</v>
      </c>
      <c r="K355" s="326">
        <f t="shared" si="80"/>
        <v>0</v>
      </c>
      <c r="L355" s="387">
        <f t="shared" si="71"/>
        <v>0</v>
      </c>
      <c r="M355" s="387">
        <f t="shared" si="81"/>
        <v>0</v>
      </c>
      <c r="N355" s="591" t="str">
        <f>INDEX(tblSubjectToLoan[Date],ROW()-ROW(tblContractForDeed[#Headers]))</f>
        <v/>
      </c>
      <c r="O355" s="326">
        <f>IF(ROW()=ROW(tblContractForDeed[#Headers])+1,$O$6,IF(INDEX(tblContractForDeed[End Bal],ROW()-ROW(tblContractForDeed[#Headers])-1)&lt;0,0,INDEX(tblContractForDeed[End Bal],ROW()-ROW(tblContractForDeed[#Headers])-1)))</f>
        <v>0</v>
      </c>
      <c r="P355" s="445" t="str">
        <f>IF(tblContractForDeed[[#This Row],[Date]]="","",IF(tblContractForDeed[[#This Row],[Date]]&lt;cfdRateChangeDate,cfdRate1,cfdRate2))</f>
        <v/>
      </c>
      <c r="Q35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26">
        <f>IF(tblContractForDeed[[#This Row],[Payment]]=0,0,MAX(0,MIN(tblContractForDeed[[#This Row],[Beg]],tblContractForDeed[[#This Row],[Payment]]-tblContractForDeed[[#This Row],[Int]])))</f>
        <v>0</v>
      </c>
      <c r="S355" s="326">
        <f>IF(OR(tblContractForDeed[[#This Row],[Date]]&lt;cfdContractDate,tblContractForDeed[[#This Row],[Date]]&gt;cfdEndDate),0,ROUND(tblContractForDeed[[#This Row],[Beg]]*(tblContractForDeed[[#This Row],[Int Rate]]/12),2))</f>
        <v>0</v>
      </c>
      <c r="T355" s="326">
        <f>IF(tblContractForDeed[[#This Row],[Payment]]=0,0,$W$2)</f>
        <v>0</v>
      </c>
      <c r="U355" s="326">
        <f>IF(tblContractForDeed[[#This Row],[Princ]]=0,0,$W$3)</f>
        <v>0</v>
      </c>
      <c r="V355" s="326">
        <f>SUM(tblContractForDeed[[#This Row],[Princ]],tblContractForDeed[[#This Row],[Int]],tblContractForDeed[[#This Row],[Ins]],tblContractForDeed[[#This Row],[Taxes]])</f>
        <v>0</v>
      </c>
      <c r="W355" s="326">
        <f>SUM(INDEX(tblContractForDeed[Princ],1):INDEX(tblContractForDeed[Princ],ROW()-ROW(tblContractForDeed[#Headers])))</f>
        <v>75258.000000000029</v>
      </c>
      <c r="X355" s="326">
        <f>IF(tblContractForDeed[[#This Row],[Beg]]&lt;=0,0,tblContractForDeed[[#This Row],[Beg]]-tblContractForDeed[[#This Row],[Princ]])</f>
        <v>0</v>
      </c>
      <c r="Y35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55">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5" s="326">
        <f>IF(INDEX(tblContractForDeed[End Bal],ROW()-ROW(tblBuyerOutputs[#Headers]))&lt;=0,0,($O$6+IF(ROW()=ROW(tblBuyerOutputs[#Headers])+1,0,INDEX(tblBuyerOutputs[Cumul Appr],ROW()-ROW(tblBuyerOutputs[#Headers])-1)))*$O$2/12)</f>
        <v>0</v>
      </c>
      <c r="AE355" s="326">
        <f>IF(INDEX(tblContractForDeed[End Bal],ROW()-ROW(tblBuyerOutputs[#Headers]))&lt;=0,0,IF(ROW()=ROW(tblBuyerOutputs[#Headers])+1,0,INDEX(tblBuyerOutputs[Cumul Appr],ROW()-ROW(tblBuyerOutputs[#Headers])-1))+tblBuyerOutputs[[#This Row],[Monthly Appr]])</f>
        <v>0</v>
      </c>
      <c r="AF355" s="22"/>
      <c r="AG355" s="14"/>
      <c r="AL355"/>
      <c r="AM355" s="14"/>
      <c r="AO355" s="275"/>
      <c r="AQ355" s="14"/>
      <c r="AR355"/>
    </row>
    <row r="356" spans="1:44" x14ac:dyDescent="0.25">
      <c r="A356" s="590" t="str">
        <f t="shared" si="77"/>
        <v/>
      </c>
      <c r="B356" s="275">
        <f t="shared" si="78"/>
        <v>0</v>
      </c>
      <c r="C356" s="14">
        <f t="shared" si="75"/>
        <v>0</v>
      </c>
      <c r="D356" s="14">
        <f t="shared" si="79"/>
        <v>0</v>
      </c>
      <c r="E356" s="14">
        <f t="shared" si="76"/>
        <v>0</v>
      </c>
      <c r="F356" s="14">
        <f t="shared" si="84"/>
        <v>134.16999999999999</v>
      </c>
      <c r="G356" s="14">
        <f t="shared" si="84"/>
        <v>188.55</v>
      </c>
      <c r="H356" s="14">
        <f t="shared" si="73"/>
        <v>322.72000000000003</v>
      </c>
      <c r="I356" s="275">
        <f t="shared" si="82"/>
        <v>97531.839999999953</v>
      </c>
      <c r="J356" s="275">
        <f t="shared" si="83"/>
        <v>36068.259999999973</v>
      </c>
      <c r="K356" s="275">
        <f t="shared" si="80"/>
        <v>0</v>
      </c>
      <c r="L356" s="386">
        <f t="shared" si="71"/>
        <v>0</v>
      </c>
      <c r="M356" s="386">
        <f t="shared" si="81"/>
        <v>0</v>
      </c>
      <c r="N356" s="590" t="str">
        <f>INDEX(tblSubjectToLoan[Date],ROW()-ROW(tblContractForDeed[#Headers]))</f>
        <v/>
      </c>
      <c r="O356" s="275">
        <f>IF(ROW()=ROW(tblContractForDeed[#Headers])+1,$O$6,IF(INDEX(tblContractForDeed[End Bal],ROW()-ROW(tblContractForDeed[#Headers])-1)&lt;0,0,INDEX(tblContractForDeed[End Bal],ROW()-ROW(tblContractForDeed[#Headers])-1)))</f>
        <v>0</v>
      </c>
      <c r="P356" s="445" t="str">
        <f>IF(tblContractForDeed[[#This Row],[Date]]="","",IF(tblContractForDeed[[#This Row],[Date]]&lt;cfdRateChangeDate,cfdRate1,cfdRate2))</f>
        <v/>
      </c>
      <c r="Q3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75">
        <f>IF(tblContractForDeed[[#This Row],[Payment]]=0,0,MAX(0,MIN(tblContractForDeed[[#This Row],[Beg]],tblContractForDeed[[#This Row],[Payment]]-tblContractForDeed[[#This Row],[Int]])))</f>
        <v>0</v>
      </c>
      <c r="S356" s="275">
        <f>IF(OR(tblContractForDeed[[#This Row],[Date]]&lt;cfdContractDate,tblContractForDeed[[#This Row],[Date]]&gt;cfdEndDate),0,ROUND(tblContractForDeed[[#This Row],[Beg]]*(tblContractForDeed[[#This Row],[Int Rate]]/12),2))</f>
        <v>0</v>
      </c>
      <c r="T356" s="275">
        <f>IF(tblContractForDeed[[#This Row],[Payment]]=0,0,$W$2)</f>
        <v>0</v>
      </c>
      <c r="U356" s="275">
        <f>IF(tblContractForDeed[[#This Row],[Princ]]=0,0,$W$3)</f>
        <v>0</v>
      </c>
      <c r="V356" s="275">
        <f>SUM(tblContractForDeed[[#This Row],[Princ]],tblContractForDeed[[#This Row],[Int]],tblContractForDeed[[#This Row],[Ins]],tblContractForDeed[[#This Row],[Taxes]])</f>
        <v>0</v>
      </c>
      <c r="W356" s="275">
        <f>SUM(INDEX(tblContractForDeed[Princ],1):INDEX(tblContractForDeed[Princ],ROW()-ROW(tblContractForDeed[#Headers])))</f>
        <v>75258.000000000029</v>
      </c>
      <c r="X356" s="275">
        <f>IF(tblContractForDeed[[#This Row],[Beg]]&lt;=0,0,tblContractForDeed[[#This Row],[Beg]]-tblContractForDeed[[#This Row],[Princ]])</f>
        <v>0</v>
      </c>
      <c r="Y35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54">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6" s="275">
        <f>IF(INDEX(tblContractForDeed[End Bal],ROW()-ROW(tblBuyerOutputs[#Headers]))&lt;=0,0,($O$6+IF(ROW()=ROW(tblBuyerOutputs[#Headers])+1,0,INDEX(tblBuyerOutputs[Cumul Appr],ROW()-ROW(tblBuyerOutputs[#Headers])-1)))*$O$2/12)</f>
        <v>0</v>
      </c>
      <c r="AE356" s="275">
        <f>IF(INDEX(tblContractForDeed[End Bal],ROW()-ROW(tblBuyerOutputs[#Headers]))&lt;=0,0,IF(ROW()=ROW(tblBuyerOutputs[#Headers])+1,0,INDEX(tblBuyerOutputs[Cumul Appr],ROW()-ROW(tblBuyerOutputs[#Headers])-1))+tblBuyerOutputs[[#This Row],[Monthly Appr]])</f>
        <v>0</v>
      </c>
      <c r="AF356" s="22"/>
      <c r="AG356" s="14"/>
      <c r="AL356"/>
      <c r="AM356" s="14"/>
      <c r="AO356" s="275"/>
      <c r="AQ356" s="14"/>
      <c r="AR356"/>
    </row>
    <row r="357" spans="1:44" x14ac:dyDescent="0.25">
      <c r="A357" s="590" t="str">
        <f t="shared" si="77"/>
        <v/>
      </c>
      <c r="B357" s="275">
        <f t="shared" si="78"/>
        <v>0</v>
      </c>
      <c r="C357" s="14">
        <f t="shared" si="75"/>
        <v>0</v>
      </c>
      <c r="D357" s="14">
        <f t="shared" si="79"/>
        <v>0</v>
      </c>
      <c r="E357" s="14">
        <f t="shared" si="76"/>
        <v>0</v>
      </c>
      <c r="F357" s="14">
        <f t="shared" si="84"/>
        <v>134.16999999999999</v>
      </c>
      <c r="G357" s="14">
        <f t="shared" si="84"/>
        <v>188.55</v>
      </c>
      <c r="H357" s="14">
        <f t="shared" si="73"/>
        <v>322.72000000000003</v>
      </c>
      <c r="I357" s="275">
        <f t="shared" si="82"/>
        <v>97531.839999999953</v>
      </c>
      <c r="J357" s="275">
        <f t="shared" si="83"/>
        <v>36068.259999999973</v>
      </c>
      <c r="K357" s="275">
        <f t="shared" si="80"/>
        <v>0</v>
      </c>
      <c r="L357" s="386">
        <f t="shared" si="71"/>
        <v>0</v>
      </c>
      <c r="M357" s="386">
        <f t="shared" si="81"/>
        <v>0</v>
      </c>
      <c r="N357" s="590" t="str">
        <f>INDEX(tblSubjectToLoan[Date],ROW()-ROW(tblContractForDeed[#Headers]))</f>
        <v/>
      </c>
      <c r="O357" s="275">
        <f>IF(ROW()=ROW(tblContractForDeed[#Headers])+1,$O$6,IF(INDEX(tblContractForDeed[End Bal],ROW()-ROW(tblContractForDeed[#Headers])-1)&lt;0,0,INDEX(tblContractForDeed[End Bal],ROW()-ROW(tblContractForDeed[#Headers])-1)))</f>
        <v>0</v>
      </c>
      <c r="P357" s="445" t="str">
        <f>IF(tblContractForDeed[[#This Row],[Date]]="","",IF(tblContractForDeed[[#This Row],[Date]]&lt;cfdRateChangeDate,cfdRate1,cfdRate2))</f>
        <v/>
      </c>
      <c r="Q3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75">
        <f>IF(tblContractForDeed[[#This Row],[Payment]]=0,0,MAX(0,MIN(tblContractForDeed[[#This Row],[Beg]],tblContractForDeed[[#This Row],[Payment]]-tblContractForDeed[[#This Row],[Int]])))</f>
        <v>0</v>
      </c>
      <c r="S357" s="275">
        <f>IF(OR(tblContractForDeed[[#This Row],[Date]]&lt;cfdContractDate,tblContractForDeed[[#This Row],[Date]]&gt;cfdEndDate),0,ROUND(tblContractForDeed[[#This Row],[Beg]]*(tblContractForDeed[[#This Row],[Int Rate]]/12),2))</f>
        <v>0</v>
      </c>
      <c r="T357" s="275">
        <f>IF(tblContractForDeed[[#This Row],[Payment]]=0,0,$W$2)</f>
        <v>0</v>
      </c>
      <c r="U357" s="275">
        <f>IF(tblContractForDeed[[#This Row],[Princ]]=0,0,$W$3)</f>
        <v>0</v>
      </c>
      <c r="V357" s="275">
        <f>SUM(tblContractForDeed[[#This Row],[Princ]],tblContractForDeed[[#This Row],[Int]],tblContractForDeed[[#This Row],[Ins]],tblContractForDeed[[#This Row],[Taxes]])</f>
        <v>0</v>
      </c>
      <c r="W357" s="275">
        <f>SUM(INDEX(tblContractForDeed[Princ],1):INDEX(tblContractForDeed[Princ],ROW()-ROW(tblContractForDeed[#Headers])))</f>
        <v>75258.000000000029</v>
      </c>
      <c r="X357" s="275">
        <f>IF(tblContractForDeed[[#This Row],[Beg]]&lt;=0,0,tblContractForDeed[[#This Row],[Beg]]-tblContractForDeed[[#This Row],[Princ]])</f>
        <v>0</v>
      </c>
      <c r="Y35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54">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7" s="275">
        <f>IF(INDEX(tblContractForDeed[End Bal],ROW()-ROW(tblBuyerOutputs[#Headers]))&lt;=0,0,($O$6+IF(ROW()=ROW(tblBuyerOutputs[#Headers])+1,0,INDEX(tblBuyerOutputs[Cumul Appr],ROW()-ROW(tblBuyerOutputs[#Headers])-1)))*$O$2/12)</f>
        <v>0</v>
      </c>
      <c r="AE357" s="275">
        <f>IF(INDEX(tblContractForDeed[End Bal],ROW()-ROW(tblBuyerOutputs[#Headers]))&lt;=0,0,IF(ROW()=ROW(tblBuyerOutputs[#Headers])+1,0,INDEX(tblBuyerOutputs[Cumul Appr],ROW()-ROW(tblBuyerOutputs[#Headers])-1))+tblBuyerOutputs[[#This Row],[Monthly Appr]])</f>
        <v>0</v>
      </c>
      <c r="AF357" s="22"/>
      <c r="AG357" s="14"/>
      <c r="AL357"/>
      <c r="AM357" s="14"/>
      <c r="AO357" s="275"/>
      <c r="AQ357" s="14"/>
      <c r="AR357"/>
    </row>
    <row r="358" spans="1:44" x14ac:dyDescent="0.25">
      <c r="A358" s="590" t="str">
        <f t="shared" si="77"/>
        <v/>
      </c>
      <c r="B358" s="275">
        <f t="shared" si="78"/>
        <v>0</v>
      </c>
      <c r="C358" s="14">
        <f t="shared" si="75"/>
        <v>0</v>
      </c>
      <c r="D358" s="14">
        <f t="shared" si="79"/>
        <v>0</v>
      </c>
      <c r="E358" s="14">
        <f t="shared" si="76"/>
        <v>0</v>
      </c>
      <c r="F358" s="14">
        <f t="shared" si="84"/>
        <v>134.16999999999999</v>
      </c>
      <c r="G358" s="14">
        <f t="shared" si="84"/>
        <v>188.55</v>
      </c>
      <c r="H358" s="14">
        <f t="shared" si="73"/>
        <v>322.72000000000003</v>
      </c>
      <c r="I358" s="275">
        <f t="shared" si="82"/>
        <v>97531.839999999953</v>
      </c>
      <c r="J358" s="275">
        <f t="shared" si="83"/>
        <v>36068.259999999973</v>
      </c>
      <c r="K358" s="275">
        <f t="shared" si="80"/>
        <v>0</v>
      </c>
      <c r="L358" s="386">
        <f t="shared" si="71"/>
        <v>0</v>
      </c>
      <c r="M358" s="386">
        <f t="shared" si="81"/>
        <v>0</v>
      </c>
      <c r="N358" s="590" t="str">
        <f>INDEX(tblSubjectToLoan[Date],ROW()-ROW(tblContractForDeed[#Headers]))</f>
        <v/>
      </c>
      <c r="O358" s="275">
        <f>IF(ROW()=ROW(tblContractForDeed[#Headers])+1,$O$6,IF(INDEX(tblContractForDeed[End Bal],ROW()-ROW(tblContractForDeed[#Headers])-1)&lt;0,0,INDEX(tblContractForDeed[End Bal],ROW()-ROW(tblContractForDeed[#Headers])-1)))</f>
        <v>0</v>
      </c>
      <c r="P358" s="445" t="str">
        <f>IF(tblContractForDeed[[#This Row],[Date]]="","",IF(tblContractForDeed[[#This Row],[Date]]&lt;cfdRateChangeDate,cfdRate1,cfdRate2))</f>
        <v/>
      </c>
      <c r="Q3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75">
        <f>IF(tblContractForDeed[[#This Row],[Payment]]=0,0,MAX(0,MIN(tblContractForDeed[[#This Row],[Beg]],tblContractForDeed[[#This Row],[Payment]]-tblContractForDeed[[#This Row],[Int]])))</f>
        <v>0</v>
      </c>
      <c r="S358" s="275">
        <f>IF(OR(tblContractForDeed[[#This Row],[Date]]&lt;cfdContractDate,tblContractForDeed[[#This Row],[Date]]&gt;cfdEndDate),0,ROUND(tblContractForDeed[[#This Row],[Beg]]*(tblContractForDeed[[#This Row],[Int Rate]]/12),2))</f>
        <v>0</v>
      </c>
      <c r="T358" s="275">
        <f>IF(tblContractForDeed[[#This Row],[Payment]]=0,0,$W$2)</f>
        <v>0</v>
      </c>
      <c r="U358" s="275">
        <f>IF(tblContractForDeed[[#This Row],[Princ]]=0,0,$W$3)</f>
        <v>0</v>
      </c>
      <c r="V358" s="275">
        <f>SUM(tblContractForDeed[[#This Row],[Princ]],tblContractForDeed[[#This Row],[Int]],tblContractForDeed[[#This Row],[Ins]],tblContractForDeed[[#This Row],[Taxes]])</f>
        <v>0</v>
      </c>
      <c r="W358" s="275">
        <f>SUM(INDEX(tblContractForDeed[Princ],1):INDEX(tblContractForDeed[Princ],ROW()-ROW(tblContractForDeed[#Headers])))</f>
        <v>75258.000000000029</v>
      </c>
      <c r="X358" s="275">
        <f>IF(tblContractForDeed[[#This Row],[Beg]]&lt;=0,0,tblContractForDeed[[#This Row],[Beg]]-tblContractForDeed[[#This Row],[Princ]])</f>
        <v>0</v>
      </c>
      <c r="Y35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54">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8" s="275">
        <f>IF(INDEX(tblContractForDeed[End Bal],ROW()-ROW(tblBuyerOutputs[#Headers]))&lt;=0,0,($O$6+IF(ROW()=ROW(tblBuyerOutputs[#Headers])+1,0,INDEX(tblBuyerOutputs[Cumul Appr],ROW()-ROW(tblBuyerOutputs[#Headers])-1)))*$O$2/12)</f>
        <v>0</v>
      </c>
      <c r="AE358" s="275">
        <f>IF(INDEX(tblContractForDeed[End Bal],ROW()-ROW(tblBuyerOutputs[#Headers]))&lt;=0,0,IF(ROW()=ROW(tblBuyerOutputs[#Headers])+1,0,INDEX(tblBuyerOutputs[Cumul Appr],ROW()-ROW(tblBuyerOutputs[#Headers])-1))+tblBuyerOutputs[[#This Row],[Monthly Appr]])</f>
        <v>0</v>
      </c>
      <c r="AF358" s="22"/>
      <c r="AG358" s="14"/>
      <c r="AL358"/>
      <c r="AM358" s="14"/>
      <c r="AO358" s="275"/>
      <c r="AQ358" s="14"/>
      <c r="AR358"/>
    </row>
    <row r="359" spans="1:44" x14ac:dyDescent="0.25">
      <c r="A359" s="590" t="str">
        <f t="shared" si="77"/>
        <v/>
      </c>
      <c r="B359" s="275">
        <f t="shared" si="78"/>
        <v>0</v>
      </c>
      <c r="C359" s="14">
        <f t="shared" si="75"/>
        <v>0</v>
      </c>
      <c r="D359" s="14">
        <f t="shared" si="79"/>
        <v>0</v>
      </c>
      <c r="E359" s="14">
        <f t="shared" si="76"/>
        <v>0</v>
      </c>
      <c r="F359" s="14">
        <f t="shared" si="84"/>
        <v>134.16999999999999</v>
      </c>
      <c r="G359" s="14">
        <f t="shared" si="84"/>
        <v>188.55</v>
      </c>
      <c r="H359" s="14">
        <f t="shared" si="73"/>
        <v>322.72000000000003</v>
      </c>
      <c r="I359" s="275">
        <f t="shared" si="82"/>
        <v>97531.839999999953</v>
      </c>
      <c r="J359" s="275">
        <f t="shared" si="83"/>
        <v>36068.259999999973</v>
      </c>
      <c r="K359" s="275">
        <f t="shared" si="80"/>
        <v>0</v>
      </c>
      <c r="L359" s="386">
        <f t="shared" si="71"/>
        <v>0</v>
      </c>
      <c r="M359" s="386">
        <f t="shared" si="81"/>
        <v>0</v>
      </c>
      <c r="N359" s="590" t="str">
        <f>INDEX(tblSubjectToLoan[Date],ROW()-ROW(tblContractForDeed[#Headers]))</f>
        <v/>
      </c>
      <c r="O359" s="275">
        <f>IF(ROW()=ROW(tblContractForDeed[#Headers])+1,$O$6,IF(INDEX(tblContractForDeed[End Bal],ROW()-ROW(tblContractForDeed[#Headers])-1)&lt;0,0,INDEX(tblContractForDeed[End Bal],ROW()-ROW(tblContractForDeed[#Headers])-1)))</f>
        <v>0</v>
      </c>
      <c r="P359" s="445" t="str">
        <f>IF(tblContractForDeed[[#This Row],[Date]]="","",IF(tblContractForDeed[[#This Row],[Date]]&lt;cfdRateChangeDate,cfdRate1,cfdRate2))</f>
        <v/>
      </c>
      <c r="Q35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75">
        <f>IF(tblContractForDeed[[#This Row],[Payment]]=0,0,MAX(0,MIN(tblContractForDeed[[#This Row],[Beg]],tblContractForDeed[[#This Row],[Payment]]-tblContractForDeed[[#This Row],[Int]])))</f>
        <v>0</v>
      </c>
      <c r="S359" s="275">
        <f>IF(OR(tblContractForDeed[[#This Row],[Date]]&lt;cfdContractDate,tblContractForDeed[[#This Row],[Date]]&gt;cfdEndDate),0,ROUND(tblContractForDeed[[#This Row],[Beg]]*(tblContractForDeed[[#This Row],[Int Rate]]/12),2))</f>
        <v>0</v>
      </c>
      <c r="T359" s="275">
        <f>IF(tblContractForDeed[[#This Row],[Payment]]=0,0,$W$2)</f>
        <v>0</v>
      </c>
      <c r="U359" s="275">
        <f>IF(tblContractForDeed[[#This Row],[Princ]]=0,0,$W$3)</f>
        <v>0</v>
      </c>
      <c r="V359" s="275">
        <f>SUM(tblContractForDeed[[#This Row],[Princ]],tblContractForDeed[[#This Row],[Int]],tblContractForDeed[[#This Row],[Ins]],tblContractForDeed[[#This Row],[Taxes]])</f>
        <v>0</v>
      </c>
      <c r="W359" s="275">
        <f>SUM(INDEX(tblContractForDeed[Princ],1):INDEX(tblContractForDeed[Princ],ROW()-ROW(tblContractForDeed[#Headers])))</f>
        <v>75258.000000000029</v>
      </c>
      <c r="X359" s="275">
        <f>IF(tblContractForDeed[[#This Row],[Beg]]&lt;=0,0,tblContractForDeed[[#This Row],[Beg]]-tblContractForDeed[[#This Row],[Princ]])</f>
        <v>0</v>
      </c>
      <c r="Y35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54">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9" s="275">
        <f>IF(INDEX(tblContractForDeed[End Bal],ROW()-ROW(tblBuyerOutputs[#Headers]))&lt;=0,0,($O$6+IF(ROW()=ROW(tblBuyerOutputs[#Headers])+1,0,INDEX(tblBuyerOutputs[Cumul Appr],ROW()-ROW(tblBuyerOutputs[#Headers])-1)))*$O$2/12)</f>
        <v>0</v>
      </c>
      <c r="AE359" s="275">
        <f>IF(INDEX(tblContractForDeed[End Bal],ROW()-ROW(tblBuyerOutputs[#Headers]))&lt;=0,0,IF(ROW()=ROW(tblBuyerOutputs[#Headers])+1,0,INDEX(tblBuyerOutputs[Cumul Appr],ROW()-ROW(tblBuyerOutputs[#Headers])-1))+tblBuyerOutputs[[#This Row],[Monthly Appr]])</f>
        <v>0</v>
      </c>
      <c r="AF359" s="22"/>
      <c r="AG359" s="14"/>
      <c r="AL359"/>
      <c r="AM359" s="14"/>
      <c r="AO359" s="275"/>
      <c r="AQ359" s="14"/>
      <c r="AR359"/>
    </row>
    <row r="360" spans="1:44" x14ac:dyDescent="0.25">
      <c r="A360" s="590" t="str">
        <f t="shared" si="77"/>
        <v/>
      </c>
      <c r="B360" s="275">
        <f t="shared" si="78"/>
        <v>0</v>
      </c>
      <c r="C360" s="14">
        <f t="shared" si="75"/>
        <v>0</v>
      </c>
      <c r="D360" s="14">
        <f t="shared" si="79"/>
        <v>0</v>
      </c>
      <c r="E360" s="14">
        <f t="shared" si="76"/>
        <v>0</v>
      </c>
      <c r="F360" s="14">
        <f t="shared" si="84"/>
        <v>134.16999999999999</v>
      </c>
      <c r="G360" s="14">
        <f t="shared" si="84"/>
        <v>188.55</v>
      </c>
      <c r="H360" s="14">
        <f t="shared" si="73"/>
        <v>322.72000000000003</v>
      </c>
      <c r="I360" s="275">
        <f t="shared" si="82"/>
        <v>97531.839999999953</v>
      </c>
      <c r="J360" s="275">
        <f t="shared" si="83"/>
        <v>36068.259999999973</v>
      </c>
      <c r="K360" s="275">
        <f t="shared" si="80"/>
        <v>0</v>
      </c>
      <c r="L360" s="386">
        <f t="shared" si="71"/>
        <v>0</v>
      </c>
      <c r="M360" s="386">
        <f t="shared" si="81"/>
        <v>0</v>
      </c>
      <c r="N360" s="590" t="str">
        <f>INDEX(tblSubjectToLoan[Date],ROW()-ROW(tblContractForDeed[#Headers]))</f>
        <v/>
      </c>
      <c r="O360" s="275">
        <f>IF(ROW()=ROW(tblContractForDeed[#Headers])+1,$O$6,IF(INDEX(tblContractForDeed[End Bal],ROW()-ROW(tblContractForDeed[#Headers])-1)&lt;0,0,INDEX(tblContractForDeed[End Bal],ROW()-ROW(tblContractForDeed[#Headers])-1)))</f>
        <v>0</v>
      </c>
      <c r="P360" s="445" t="str">
        <f>IF(tblContractForDeed[[#This Row],[Date]]="","",IF(tblContractForDeed[[#This Row],[Date]]&lt;cfdRateChangeDate,cfdRate1,cfdRate2))</f>
        <v/>
      </c>
      <c r="Q3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75">
        <f>IF(tblContractForDeed[[#This Row],[Payment]]=0,0,MAX(0,MIN(tblContractForDeed[[#This Row],[Beg]],tblContractForDeed[[#This Row],[Payment]]-tblContractForDeed[[#This Row],[Int]])))</f>
        <v>0</v>
      </c>
      <c r="S360" s="275">
        <f>IF(OR(tblContractForDeed[[#This Row],[Date]]&lt;cfdContractDate,tblContractForDeed[[#This Row],[Date]]&gt;cfdEndDate),0,ROUND(tblContractForDeed[[#This Row],[Beg]]*(tblContractForDeed[[#This Row],[Int Rate]]/12),2))</f>
        <v>0</v>
      </c>
      <c r="T360" s="275">
        <f>IF(tblContractForDeed[[#This Row],[Payment]]=0,0,$W$2)</f>
        <v>0</v>
      </c>
      <c r="U360" s="275">
        <f>IF(tblContractForDeed[[#This Row],[Princ]]=0,0,$W$3)</f>
        <v>0</v>
      </c>
      <c r="V360" s="275">
        <f>SUM(tblContractForDeed[[#This Row],[Princ]],tblContractForDeed[[#This Row],[Int]],tblContractForDeed[[#This Row],[Ins]],tblContractForDeed[[#This Row],[Taxes]])</f>
        <v>0</v>
      </c>
      <c r="W360" s="275">
        <f>SUM(INDEX(tblContractForDeed[Princ],1):INDEX(tblContractForDeed[Princ],ROW()-ROW(tblContractForDeed[#Headers])))</f>
        <v>75258.000000000029</v>
      </c>
      <c r="X360" s="275">
        <f>IF(tblContractForDeed[[#This Row],[Beg]]&lt;=0,0,tblContractForDeed[[#This Row],[Beg]]-tblContractForDeed[[#This Row],[Princ]])</f>
        <v>0</v>
      </c>
      <c r="Y36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54">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0" s="275">
        <f>IF(INDEX(tblContractForDeed[End Bal],ROW()-ROW(tblBuyerOutputs[#Headers]))&lt;=0,0,($O$6+IF(ROW()=ROW(tblBuyerOutputs[#Headers])+1,0,INDEX(tblBuyerOutputs[Cumul Appr],ROW()-ROW(tblBuyerOutputs[#Headers])-1)))*$O$2/12)</f>
        <v>0</v>
      </c>
      <c r="AE360" s="275">
        <f>IF(INDEX(tblContractForDeed[End Bal],ROW()-ROW(tblBuyerOutputs[#Headers]))&lt;=0,0,IF(ROW()=ROW(tblBuyerOutputs[#Headers])+1,0,INDEX(tblBuyerOutputs[Cumul Appr],ROW()-ROW(tblBuyerOutputs[#Headers])-1))+tblBuyerOutputs[[#This Row],[Monthly Appr]])</f>
        <v>0</v>
      </c>
      <c r="AF360" s="22"/>
      <c r="AG360" s="14"/>
      <c r="AL360"/>
      <c r="AM360" s="14"/>
      <c r="AO360" s="275"/>
      <c r="AQ360" s="14"/>
      <c r="AR360"/>
    </row>
    <row r="361" spans="1:44" x14ac:dyDescent="0.25">
      <c r="A361" s="590" t="str">
        <f t="shared" si="77"/>
        <v/>
      </c>
      <c r="B361" s="275">
        <f t="shared" si="78"/>
        <v>0</v>
      </c>
      <c r="C361" s="14">
        <f t="shared" si="75"/>
        <v>0</v>
      </c>
      <c r="D361" s="14">
        <f t="shared" si="79"/>
        <v>0</v>
      </c>
      <c r="E361" s="14">
        <f t="shared" si="76"/>
        <v>0</v>
      </c>
      <c r="F361" s="14">
        <f t="shared" si="84"/>
        <v>134.16999999999999</v>
      </c>
      <c r="G361" s="14">
        <f t="shared" si="84"/>
        <v>188.55</v>
      </c>
      <c r="H361" s="14">
        <f t="shared" si="73"/>
        <v>322.72000000000003</v>
      </c>
      <c r="I361" s="275">
        <f t="shared" si="82"/>
        <v>97531.839999999953</v>
      </c>
      <c r="J361" s="275">
        <f t="shared" si="83"/>
        <v>36068.259999999973</v>
      </c>
      <c r="K361" s="275">
        <f t="shared" si="80"/>
        <v>0</v>
      </c>
      <c r="L361" s="386">
        <f t="shared" si="71"/>
        <v>0</v>
      </c>
      <c r="M361" s="386">
        <f t="shared" si="81"/>
        <v>0</v>
      </c>
      <c r="N361" s="590" t="str">
        <f>INDEX(tblSubjectToLoan[Date],ROW()-ROW(tblContractForDeed[#Headers]))</f>
        <v/>
      </c>
      <c r="O361" s="275">
        <f>IF(ROW()=ROW(tblContractForDeed[#Headers])+1,$O$6,IF(INDEX(tblContractForDeed[End Bal],ROW()-ROW(tblContractForDeed[#Headers])-1)&lt;0,0,INDEX(tblContractForDeed[End Bal],ROW()-ROW(tblContractForDeed[#Headers])-1)))</f>
        <v>0</v>
      </c>
      <c r="P361" s="445" t="str">
        <f>IF(tblContractForDeed[[#This Row],[Date]]="","",IF(tblContractForDeed[[#This Row],[Date]]&lt;cfdRateChangeDate,cfdRate1,cfdRate2))</f>
        <v/>
      </c>
      <c r="Q3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75">
        <f>IF(tblContractForDeed[[#This Row],[Payment]]=0,0,MAX(0,MIN(tblContractForDeed[[#This Row],[Beg]],tblContractForDeed[[#This Row],[Payment]]-tblContractForDeed[[#This Row],[Int]])))</f>
        <v>0</v>
      </c>
      <c r="S361" s="275">
        <f>IF(OR(tblContractForDeed[[#This Row],[Date]]&lt;cfdContractDate,tblContractForDeed[[#This Row],[Date]]&gt;cfdEndDate),0,ROUND(tblContractForDeed[[#This Row],[Beg]]*(tblContractForDeed[[#This Row],[Int Rate]]/12),2))</f>
        <v>0</v>
      </c>
      <c r="T361" s="275">
        <f>IF(tblContractForDeed[[#This Row],[Payment]]=0,0,$W$2)</f>
        <v>0</v>
      </c>
      <c r="U361" s="275">
        <f>IF(tblContractForDeed[[#This Row],[Princ]]=0,0,$W$3)</f>
        <v>0</v>
      </c>
      <c r="V361" s="275">
        <f>SUM(tblContractForDeed[[#This Row],[Princ]],tblContractForDeed[[#This Row],[Int]],tblContractForDeed[[#This Row],[Ins]],tblContractForDeed[[#This Row],[Taxes]])</f>
        <v>0</v>
      </c>
      <c r="W361" s="275">
        <f>SUM(INDEX(tblContractForDeed[Princ],1):INDEX(tblContractForDeed[Princ],ROW()-ROW(tblContractForDeed[#Headers])))</f>
        <v>75258.000000000029</v>
      </c>
      <c r="X361" s="275">
        <f>IF(tblContractForDeed[[#This Row],[Beg]]&lt;=0,0,tblContractForDeed[[#This Row],[Beg]]-tblContractForDeed[[#This Row],[Princ]])</f>
        <v>0</v>
      </c>
      <c r="Y36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54">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1" s="275">
        <f>IF(INDEX(tblContractForDeed[End Bal],ROW()-ROW(tblBuyerOutputs[#Headers]))&lt;=0,0,($O$6+IF(ROW()=ROW(tblBuyerOutputs[#Headers])+1,0,INDEX(tblBuyerOutputs[Cumul Appr],ROW()-ROW(tblBuyerOutputs[#Headers])-1)))*$O$2/12)</f>
        <v>0</v>
      </c>
      <c r="AE361" s="275">
        <f>IF(INDEX(tblContractForDeed[End Bal],ROW()-ROW(tblBuyerOutputs[#Headers]))&lt;=0,0,IF(ROW()=ROW(tblBuyerOutputs[#Headers])+1,0,INDEX(tblBuyerOutputs[Cumul Appr],ROW()-ROW(tblBuyerOutputs[#Headers])-1))+tblBuyerOutputs[[#This Row],[Monthly Appr]])</f>
        <v>0</v>
      </c>
      <c r="AF361" s="22"/>
      <c r="AG361" s="14"/>
      <c r="AL361"/>
      <c r="AM361" s="14"/>
      <c r="AO361" s="275"/>
      <c r="AQ361" s="14"/>
      <c r="AR361"/>
    </row>
    <row r="362" spans="1:44" x14ac:dyDescent="0.25">
      <c r="A362" s="590" t="str">
        <f t="shared" si="77"/>
        <v/>
      </c>
      <c r="B362" s="275">
        <f t="shared" si="78"/>
        <v>0</v>
      </c>
      <c r="C362" s="14">
        <f t="shared" si="75"/>
        <v>0</v>
      </c>
      <c r="D362" s="14">
        <f t="shared" si="79"/>
        <v>0</v>
      </c>
      <c r="E362" s="14">
        <f t="shared" si="76"/>
        <v>0</v>
      </c>
      <c r="F362" s="14">
        <f t="shared" si="84"/>
        <v>134.16999999999999</v>
      </c>
      <c r="G362" s="14">
        <f t="shared" si="84"/>
        <v>188.55</v>
      </c>
      <c r="H362" s="14">
        <f t="shared" si="73"/>
        <v>322.72000000000003</v>
      </c>
      <c r="I362" s="275">
        <f t="shared" si="82"/>
        <v>97531.839999999953</v>
      </c>
      <c r="J362" s="275">
        <f t="shared" si="83"/>
        <v>36068.259999999973</v>
      </c>
      <c r="K362" s="275">
        <f t="shared" si="80"/>
        <v>0</v>
      </c>
      <c r="L362" s="386">
        <f t="shared" si="71"/>
        <v>0</v>
      </c>
      <c r="M362" s="386">
        <f t="shared" si="81"/>
        <v>0</v>
      </c>
      <c r="N362" s="590" t="str">
        <f>INDEX(tblSubjectToLoan[Date],ROW()-ROW(tblContractForDeed[#Headers]))</f>
        <v/>
      </c>
      <c r="O362" s="275">
        <f>IF(ROW()=ROW(tblContractForDeed[#Headers])+1,$O$6,IF(INDEX(tblContractForDeed[End Bal],ROW()-ROW(tblContractForDeed[#Headers])-1)&lt;0,0,INDEX(tblContractForDeed[End Bal],ROW()-ROW(tblContractForDeed[#Headers])-1)))</f>
        <v>0</v>
      </c>
      <c r="P362" s="445" t="str">
        <f>IF(tblContractForDeed[[#This Row],[Date]]="","",IF(tblContractForDeed[[#This Row],[Date]]&lt;cfdRateChangeDate,cfdRate1,cfdRate2))</f>
        <v/>
      </c>
      <c r="Q3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75">
        <f>IF(tblContractForDeed[[#This Row],[Payment]]=0,0,MAX(0,MIN(tblContractForDeed[[#This Row],[Beg]],tblContractForDeed[[#This Row],[Payment]]-tblContractForDeed[[#This Row],[Int]])))</f>
        <v>0</v>
      </c>
      <c r="S362" s="275">
        <f>IF(OR(tblContractForDeed[[#This Row],[Date]]&lt;cfdContractDate,tblContractForDeed[[#This Row],[Date]]&gt;cfdEndDate),0,ROUND(tblContractForDeed[[#This Row],[Beg]]*(tblContractForDeed[[#This Row],[Int Rate]]/12),2))</f>
        <v>0</v>
      </c>
      <c r="T362" s="275">
        <f>IF(tblContractForDeed[[#This Row],[Payment]]=0,0,$W$2)</f>
        <v>0</v>
      </c>
      <c r="U362" s="275">
        <f>IF(tblContractForDeed[[#This Row],[Princ]]=0,0,$W$3)</f>
        <v>0</v>
      </c>
      <c r="V362" s="275">
        <f>SUM(tblContractForDeed[[#This Row],[Princ]],tblContractForDeed[[#This Row],[Int]],tblContractForDeed[[#This Row],[Ins]],tblContractForDeed[[#This Row],[Taxes]])</f>
        <v>0</v>
      </c>
      <c r="W362" s="275">
        <f>SUM(INDEX(tblContractForDeed[Princ],1):INDEX(tblContractForDeed[Princ],ROW()-ROW(tblContractForDeed[#Headers])))</f>
        <v>75258.000000000029</v>
      </c>
      <c r="X362" s="275">
        <f>IF(tblContractForDeed[[#This Row],[Beg]]&lt;=0,0,tblContractForDeed[[#This Row],[Beg]]-tblContractForDeed[[#This Row],[Princ]])</f>
        <v>0</v>
      </c>
      <c r="Y36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54">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2" s="275">
        <f>IF(INDEX(tblContractForDeed[End Bal],ROW()-ROW(tblBuyerOutputs[#Headers]))&lt;=0,0,($O$6+IF(ROW()=ROW(tblBuyerOutputs[#Headers])+1,0,INDEX(tblBuyerOutputs[Cumul Appr],ROW()-ROW(tblBuyerOutputs[#Headers])-1)))*$O$2/12)</f>
        <v>0</v>
      </c>
      <c r="AE362" s="275">
        <f>IF(INDEX(tblContractForDeed[End Bal],ROW()-ROW(tblBuyerOutputs[#Headers]))&lt;=0,0,IF(ROW()=ROW(tblBuyerOutputs[#Headers])+1,0,INDEX(tblBuyerOutputs[Cumul Appr],ROW()-ROW(tblBuyerOutputs[#Headers])-1))+tblBuyerOutputs[[#This Row],[Monthly Appr]])</f>
        <v>0</v>
      </c>
      <c r="AF362" s="22"/>
      <c r="AG362" s="14"/>
      <c r="AL362"/>
      <c r="AM362" s="14"/>
      <c r="AO362" s="275"/>
      <c r="AQ362" s="14"/>
      <c r="AR362"/>
    </row>
    <row r="363" spans="1:44" x14ac:dyDescent="0.25">
      <c r="A363" s="590" t="str">
        <f t="shared" si="77"/>
        <v/>
      </c>
      <c r="B363" s="275">
        <f t="shared" si="78"/>
        <v>0</v>
      </c>
      <c r="C363" s="14">
        <f t="shared" si="75"/>
        <v>0</v>
      </c>
      <c r="D363" s="14">
        <f t="shared" si="79"/>
        <v>0</v>
      </c>
      <c r="E363" s="14">
        <f t="shared" si="76"/>
        <v>0</v>
      </c>
      <c r="F363" s="14">
        <f t="shared" si="84"/>
        <v>134.16999999999999</v>
      </c>
      <c r="G363" s="14">
        <f t="shared" si="84"/>
        <v>188.55</v>
      </c>
      <c r="H363" s="14">
        <f t="shared" si="73"/>
        <v>322.72000000000003</v>
      </c>
      <c r="I363" s="275">
        <f t="shared" si="82"/>
        <v>97531.839999999953</v>
      </c>
      <c r="J363" s="275">
        <f t="shared" si="83"/>
        <v>36068.259999999973</v>
      </c>
      <c r="K363" s="275">
        <f t="shared" si="80"/>
        <v>0</v>
      </c>
      <c r="L363" s="386">
        <f t="shared" si="71"/>
        <v>0</v>
      </c>
      <c r="M363" s="386">
        <f t="shared" si="81"/>
        <v>0</v>
      </c>
      <c r="N363" s="590" t="str">
        <f>INDEX(tblSubjectToLoan[Date],ROW()-ROW(tblContractForDeed[#Headers]))</f>
        <v/>
      </c>
      <c r="O363" s="275">
        <f>IF(ROW()=ROW(tblContractForDeed[#Headers])+1,$O$6,IF(INDEX(tblContractForDeed[End Bal],ROW()-ROW(tblContractForDeed[#Headers])-1)&lt;0,0,INDEX(tblContractForDeed[End Bal],ROW()-ROW(tblContractForDeed[#Headers])-1)))</f>
        <v>0</v>
      </c>
      <c r="P363" s="445" t="str">
        <f>IF(tblContractForDeed[[#This Row],[Date]]="","",IF(tblContractForDeed[[#This Row],[Date]]&lt;cfdRateChangeDate,cfdRate1,cfdRate2))</f>
        <v/>
      </c>
      <c r="Q36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75">
        <f>IF(tblContractForDeed[[#This Row],[Payment]]=0,0,MAX(0,MIN(tblContractForDeed[[#This Row],[Beg]],tblContractForDeed[[#This Row],[Payment]]-tblContractForDeed[[#This Row],[Int]])))</f>
        <v>0</v>
      </c>
      <c r="S363" s="275">
        <f>IF(OR(tblContractForDeed[[#This Row],[Date]]&lt;cfdContractDate,tblContractForDeed[[#This Row],[Date]]&gt;cfdEndDate),0,ROUND(tblContractForDeed[[#This Row],[Beg]]*(tblContractForDeed[[#This Row],[Int Rate]]/12),2))</f>
        <v>0</v>
      </c>
      <c r="T363" s="275">
        <f>IF(tblContractForDeed[[#This Row],[Payment]]=0,0,$W$2)</f>
        <v>0</v>
      </c>
      <c r="U363" s="275">
        <f>IF(tblContractForDeed[[#This Row],[Princ]]=0,0,$W$3)</f>
        <v>0</v>
      </c>
      <c r="V363" s="275">
        <f>SUM(tblContractForDeed[[#This Row],[Princ]],tblContractForDeed[[#This Row],[Int]],tblContractForDeed[[#This Row],[Ins]],tblContractForDeed[[#This Row],[Taxes]])</f>
        <v>0</v>
      </c>
      <c r="W363" s="275">
        <f>SUM(INDEX(tblContractForDeed[Princ],1):INDEX(tblContractForDeed[Princ],ROW()-ROW(tblContractForDeed[#Headers])))</f>
        <v>75258.000000000029</v>
      </c>
      <c r="X363" s="275">
        <f>IF(tblContractForDeed[[#This Row],[Beg]]&lt;=0,0,tblContractForDeed[[#This Row],[Beg]]-tblContractForDeed[[#This Row],[Princ]])</f>
        <v>0</v>
      </c>
      <c r="Y36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54">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3" s="275">
        <f>IF(INDEX(tblContractForDeed[End Bal],ROW()-ROW(tblBuyerOutputs[#Headers]))&lt;=0,0,($O$6+IF(ROW()=ROW(tblBuyerOutputs[#Headers])+1,0,INDEX(tblBuyerOutputs[Cumul Appr],ROW()-ROW(tblBuyerOutputs[#Headers])-1)))*$O$2/12)</f>
        <v>0</v>
      </c>
      <c r="AE363" s="275">
        <f>IF(INDEX(tblContractForDeed[End Bal],ROW()-ROW(tblBuyerOutputs[#Headers]))&lt;=0,0,IF(ROW()=ROW(tblBuyerOutputs[#Headers])+1,0,INDEX(tblBuyerOutputs[Cumul Appr],ROW()-ROW(tblBuyerOutputs[#Headers])-1))+tblBuyerOutputs[[#This Row],[Monthly Appr]])</f>
        <v>0</v>
      </c>
      <c r="AF363" s="22"/>
      <c r="AG363" s="14"/>
      <c r="AL363"/>
      <c r="AM363" s="14"/>
      <c r="AO363" s="275"/>
      <c r="AQ363" s="14"/>
      <c r="AR363"/>
    </row>
    <row r="364" spans="1:44" x14ac:dyDescent="0.25">
      <c r="A364" s="590" t="str">
        <f t="shared" si="77"/>
        <v/>
      </c>
      <c r="B364" s="275">
        <f t="shared" si="78"/>
        <v>0</v>
      </c>
      <c r="C364" s="14">
        <f t="shared" si="75"/>
        <v>0</v>
      </c>
      <c r="D364" s="14">
        <f t="shared" si="79"/>
        <v>0</v>
      </c>
      <c r="E364" s="14">
        <f t="shared" si="76"/>
        <v>0</v>
      </c>
      <c r="F364" s="14">
        <f t="shared" si="84"/>
        <v>134.16999999999999</v>
      </c>
      <c r="G364" s="14">
        <f t="shared" si="84"/>
        <v>188.55</v>
      </c>
      <c r="H364" s="14">
        <f t="shared" si="73"/>
        <v>322.72000000000003</v>
      </c>
      <c r="I364" s="275">
        <f t="shared" si="82"/>
        <v>97531.839999999953</v>
      </c>
      <c r="J364" s="275">
        <f t="shared" si="83"/>
        <v>36068.259999999973</v>
      </c>
      <c r="K364" s="275">
        <f t="shared" si="80"/>
        <v>0</v>
      </c>
      <c r="L364" s="386">
        <f t="shared" si="71"/>
        <v>0</v>
      </c>
      <c r="M364" s="386">
        <f t="shared" si="81"/>
        <v>0</v>
      </c>
      <c r="N364" s="590" t="str">
        <f>INDEX(tblSubjectToLoan[Date],ROW()-ROW(tblContractForDeed[#Headers]))</f>
        <v/>
      </c>
      <c r="O364" s="275">
        <f>IF(ROW()=ROW(tblContractForDeed[#Headers])+1,$O$6,IF(INDEX(tblContractForDeed[End Bal],ROW()-ROW(tblContractForDeed[#Headers])-1)&lt;0,0,INDEX(tblContractForDeed[End Bal],ROW()-ROW(tblContractForDeed[#Headers])-1)))</f>
        <v>0</v>
      </c>
      <c r="P364" s="445" t="str">
        <f>IF(tblContractForDeed[[#This Row],[Date]]="","",IF(tblContractForDeed[[#This Row],[Date]]&lt;cfdRateChangeDate,cfdRate1,cfdRate2))</f>
        <v/>
      </c>
      <c r="Q3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75">
        <f>IF(tblContractForDeed[[#This Row],[Payment]]=0,0,MAX(0,MIN(tblContractForDeed[[#This Row],[Beg]],tblContractForDeed[[#This Row],[Payment]]-tblContractForDeed[[#This Row],[Int]])))</f>
        <v>0</v>
      </c>
      <c r="S364" s="275">
        <f>IF(OR(tblContractForDeed[[#This Row],[Date]]&lt;cfdContractDate,tblContractForDeed[[#This Row],[Date]]&gt;cfdEndDate),0,ROUND(tblContractForDeed[[#This Row],[Beg]]*(tblContractForDeed[[#This Row],[Int Rate]]/12),2))</f>
        <v>0</v>
      </c>
      <c r="T364" s="275">
        <f>IF(tblContractForDeed[[#This Row],[Payment]]=0,0,$W$2)</f>
        <v>0</v>
      </c>
      <c r="U364" s="275">
        <f>IF(tblContractForDeed[[#This Row],[Princ]]=0,0,$W$3)</f>
        <v>0</v>
      </c>
      <c r="V364" s="275">
        <f>SUM(tblContractForDeed[[#This Row],[Princ]],tblContractForDeed[[#This Row],[Int]],tblContractForDeed[[#This Row],[Ins]],tblContractForDeed[[#This Row],[Taxes]])</f>
        <v>0</v>
      </c>
      <c r="W364" s="275">
        <f>SUM(INDEX(tblContractForDeed[Princ],1):INDEX(tblContractForDeed[Princ],ROW()-ROW(tblContractForDeed[#Headers])))</f>
        <v>75258.000000000029</v>
      </c>
      <c r="X364" s="275">
        <f>IF(tblContractForDeed[[#This Row],[Beg]]&lt;=0,0,tblContractForDeed[[#This Row],[Beg]]-tblContractForDeed[[#This Row],[Princ]])</f>
        <v>0</v>
      </c>
      <c r="Y36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54">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4" s="275">
        <f>IF(INDEX(tblContractForDeed[End Bal],ROW()-ROW(tblBuyerOutputs[#Headers]))&lt;=0,0,($O$6+IF(ROW()=ROW(tblBuyerOutputs[#Headers])+1,0,INDEX(tblBuyerOutputs[Cumul Appr],ROW()-ROW(tblBuyerOutputs[#Headers])-1)))*$O$2/12)</f>
        <v>0</v>
      </c>
      <c r="AE364" s="275">
        <f>IF(INDEX(tblContractForDeed[End Bal],ROW()-ROW(tblBuyerOutputs[#Headers]))&lt;=0,0,IF(ROW()=ROW(tblBuyerOutputs[#Headers])+1,0,INDEX(tblBuyerOutputs[Cumul Appr],ROW()-ROW(tblBuyerOutputs[#Headers])-1))+tblBuyerOutputs[[#This Row],[Monthly Appr]])</f>
        <v>0</v>
      </c>
      <c r="AF364" s="22"/>
      <c r="AG364" s="14"/>
      <c r="AL364"/>
      <c r="AM364" s="14"/>
      <c r="AO364" s="275"/>
      <c r="AQ364" s="14"/>
      <c r="AR364"/>
    </row>
    <row r="365" spans="1:44" x14ac:dyDescent="0.25">
      <c r="A365" s="590" t="str">
        <f t="shared" si="77"/>
        <v/>
      </c>
      <c r="B365" s="275">
        <f t="shared" si="78"/>
        <v>0</v>
      </c>
      <c r="C365" s="14">
        <f t="shared" si="75"/>
        <v>0</v>
      </c>
      <c r="D365" s="14">
        <f t="shared" si="79"/>
        <v>0</v>
      </c>
      <c r="E365" s="14">
        <f t="shared" si="76"/>
        <v>0</v>
      </c>
      <c r="F365" s="14">
        <f t="shared" si="84"/>
        <v>134.16999999999999</v>
      </c>
      <c r="G365" s="14">
        <f t="shared" si="84"/>
        <v>188.55</v>
      </c>
      <c r="H365" s="14">
        <f t="shared" si="73"/>
        <v>322.72000000000003</v>
      </c>
      <c r="I365" s="275">
        <f t="shared" si="82"/>
        <v>97531.839999999953</v>
      </c>
      <c r="J365" s="275">
        <f t="shared" si="83"/>
        <v>36068.259999999973</v>
      </c>
      <c r="K365" s="275">
        <f t="shared" si="80"/>
        <v>0</v>
      </c>
      <c r="L365" s="386">
        <f t="shared" si="71"/>
        <v>0</v>
      </c>
      <c r="M365" s="386">
        <f t="shared" si="81"/>
        <v>0</v>
      </c>
      <c r="N365" s="590" t="str">
        <f>INDEX(tblSubjectToLoan[Date],ROW()-ROW(tblContractForDeed[#Headers]))</f>
        <v/>
      </c>
      <c r="O365" s="275">
        <f>IF(ROW()=ROW(tblContractForDeed[#Headers])+1,$O$6,IF(INDEX(tblContractForDeed[End Bal],ROW()-ROW(tblContractForDeed[#Headers])-1)&lt;0,0,INDEX(tblContractForDeed[End Bal],ROW()-ROW(tblContractForDeed[#Headers])-1)))</f>
        <v>0</v>
      </c>
      <c r="P365" s="445" t="str">
        <f>IF(tblContractForDeed[[#This Row],[Date]]="","",IF(tblContractForDeed[[#This Row],[Date]]&lt;cfdRateChangeDate,cfdRate1,cfdRate2))</f>
        <v/>
      </c>
      <c r="Q3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75">
        <f>IF(tblContractForDeed[[#This Row],[Payment]]=0,0,MAX(0,MIN(tblContractForDeed[[#This Row],[Beg]],tblContractForDeed[[#This Row],[Payment]]-tblContractForDeed[[#This Row],[Int]])))</f>
        <v>0</v>
      </c>
      <c r="S365" s="275">
        <f>IF(OR(tblContractForDeed[[#This Row],[Date]]&lt;cfdContractDate,tblContractForDeed[[#This Row],[Date]]&gt;cfdEndDate),0,ROUND(tblContractForDeed[[#This Row],[Beg]]*(tblContractForDeed[[#This Row],[Int Rate]]/12),2))</f>
        <v>0</v>
      </c>
      <c r="T365" s="275">
        <f>IF(tblContractForDeed[[#This Row],[Payment]]=0,0,$W$2)</f>
        <v>0</v>
      </c>
      <c r="U365" s="275">
        <f>IF(tblContractForDeed[[#This Row],[Princ]]=0,0,$W$3)</f>
        <v>0</v>
      </c>
      <c r="V365" s="275">
        <f>SUM(tblContractForDeed[[#This Row],[Princ]],tblContractForDeed[[#This Row],[Int]],tblContractForDeed[[#This Row],[Ins]],tblContractForDeed[[#This Row],[Taxes]])</f>
        <v>0</v>
      </c>
      <c r="W365" s="275">
        <f>SUM(INDEX(tblContractForDeed[Princ],1):INDEX(tblContractForDeed[Princ],ROW()-ROW(tblContractForDeed[#Headers])))</f>
        <v>75258.000000000029</v>
      </c>
      <c r="X365" s="275">
        <f>IF(tblContractForDeed[[#This Row],[Beg]]&lt;=0,0,tblContractForDeed[[#This Row],[Beg]]-tblContractForDeed[[#This Row],[Princ]])</f>
        <v>0</v>
      </c>
      <c r="Y36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54">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5" s="275">
        <f>IF(INDEX(tblContractForDeed[End Bal],ROW()-ROW(tblBuyerOutputs[#Headers]))&lt;=0,0,($O$6+IF(ROW()=ROW(tblBuyerOutputs[#Headers])+1,0,INDEX(tblBuyerOutputs[Cumul Appr],ROW()-ROW(tblBuyerOutputs[#Headers])-1)))*$O$2/12)</f>
        <v>0</v>
      </c>
      <c r="AE365" s="275">
        <f>IF(INDEX(tblContractForDeed[End Bal],ROW()-ROW(tblBuyerOutputs[#Headers]))&lt;=0,0,IF(ROW()=ROW(tblBuyerOutputs[#Headers])+1,0,INDEX(tblBuyerOutputs[Cumul Appr],ROW()-ROW(tblBuyerOutputs[#Headers])-1))+tblBuyerOutputs[[#This Row],[Monthly Appr]])</f>
        <v>0</v>
      </c>
      <c r="AF365" s="22"/>
      <c r="AG365" s="14"/>
      <c r="AL365"/>
      <c r="AM365" s="14"/>
      <c r="AO365" s="275"/>
      <c r="AQ365" s="14"/>
      <c r="AR365"/>
    </row>
    <row r="366" spans="1:44" x14ac:dyDescent="0.25">
      <c r="A366" s="590" t="str">
        <f t="shared" si="77"/>
        <v/>
      </c>
      <c r="B366" s="275">
        <f t="shared" si="78"/>
        <v>0</v>
      </c>
      <c r="C366" s="14">
        <f t="shared" si="75"/>
        <v>0</v>
      </c>
      <c r="D366" s="14">
        <f t="shared" si="79"/>
        <v>0</v>
      </c>
      <c r="E366" s="14">
        <f t="shared" si="76"/>
        <v>0</v>
      </c>
      <c r="F366" s="14">
        <f t="shared" si="84"/>
        <v>134.16999999999999</v>
      </c>
      <c r="G366" s="14">
        <f t="shared" si="84"/>
        <v>188.55</v>
      </c>
      <c r="H366" s="14">
        <f t="shared" si="73"/>
        <v>322.72000000000003</v>
      </c>
      <c r="I366" s="275">
        <f t="shared" si="82"/>
        <v>97531.839999999953</v>
      </c>
      <c r="J366" s="275">
        <f t="shared" si="83"/>
        <v>36068.259999999973</v>
      </c>
      <c r="K366" s="275">
        <f t="shared" si="80"/>
        <v>0</v>
      </c>
      <c r="L366" s="386">
        <f t="shared" si="71"/>
        <v>0</v>
      </c>
      <c r="M366" s="386">
        <f t="shared" si="81"/>
        <v>0</v>
      </c>
      <c r="N366" s="590" t="str">
        <f>INDEX(tblSubjectToLoan[Date],ROW()-ROW(tblContractForDeed[#Headers]))</f>
        <v/>
      </c>
      <c r="O366" s="275">
        <f>IF(ROW()=ROW(tblContractForDeed[#Headers])+1,$O$6,IF(INDEX(tblContractForDeed[End Bal],ROW()-ROW(tblContractForDeed[#Headers])-1)&lt;0,0,INDEX(tblContractForDeed[End Bal],ROW()-ROW(tblContractForDeed[#Headers])-1)))</f>
        <v>0</v>
      </c>
      <c r="P366" s="445" t="str">
        <f>IF(tblContractForDeed[[#This Row],[Date]]="","",IF(tblContractForDeed[[#This Row],[Date]]&lt;cfdRateChangeDate,cfdRate1,cfdRate2))</f>
        <v/>
      </c>
      <c r="Q3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75">
        <f>IF(tblContractForDeed[[#This Row],[Payment]]=0,0,MAX(0,MIN(tblContractForDeed[[#This Row],[Beg]],tblContractForDeed[[#This Row],[Payment]]-tblContractForDeed[[#This Row],[Int]])))</f>
        <v>0</v>
      </c>
      <c r="S366" s="275">
        <f>IF(OR(tblContractForDeed[[#This Row],[Date]]&lt;cfdContractDate,tblContractForDeed[[#This Row],[Date]]&gt;cfdEndDate),0,ROUND(tblContractForDeed[[#This Row],[Beg]]*(tblContractForDeed[[#This Row],[Int Rate]]/12),2))</f>
        <v>0</v>
      </c>
      <c r="T366" s="275">
        <f>IF(tblContractForDeed[[#This Row],[Payment]]=0,0,$W$2)</f>
        <v>0</v>
      </c>
      <c r="U366" s="275">
        <f>IF(tblContractForDeed[[#This Row],[Princ]]=0,0,$W$3)</f>
        <v>0</v>
      </c>
      <c r="V366" s="275">
        <f>SUM(tblContractForDeed[[#This Row],[Princ]],tblContractForDeed[[#This Row],[Int]],tblContractForDeed[[#This Row],[Ins]],tblContractForDeed[[#This Row],[Taxes]])</f>
        <v>0</v>
      </c>
      <c r="W366" s="275">
        <f>SUM(INDEX(tblContractForDeed[Princ],1):INDEX(tblContractForDeed[Princ],ROW()-ROW(tblContractForDeed[#Headers])))</f>
        <v>75258.000000000029</v>
      </c>
      <c r="X366" s="275">
        <f>IF(tblContractForDeed[[#This Row],[Beg]]&lt;=0,0,tblContractForDeed[[#This Row],[Beg]]-tblContractForDeed[[#This Row],[Princ]])</f>
        <v>0</v>
      </c>
      <c r="Y36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54">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6" s="275">
        <f>IF(INDEX(tblContractForDeed[End Bal],ROW()-ROW(tblBuyerOutputs[#Headers]))&lt;=0,0,($O$6+IF(ROW()=ROW(tblBuyerOutputs[#Headers])+1,0,INDEX(tblBuyerOutputs[Cumul Appr],ROW()-ROW(tblBuyerOutputs[#Headers])-1)))*$O$2/12)</f>
        <v>0</v>
      </c>
      <c r="AE366" s="275">
        <f>IF(INDEX(tblContractForDeed[End Bal],ROW()-ROW(tblBuyerOutputs[#Headers]))&lt;=0,0,IF(ROW()=ROW(tblBuyerOutputs[#Headers])+1,0,INDEX(tblBuyerOutputs[Cumul Appr],ROW()-ROW(tblBuyerOutputs[#Headers])-1))+tblBuyerOutputs[[#This Row],[Monthly Appr]])</f>
        <v>0</v>
      </c>
      <c r="AF366" s="22"/>
      <c r="AG366" s="14"/>
      <c r="AL366"/>
      <c r="AM366" s="14"/>
      <c r="AO366" s="275"/>
      <c r="AQ366" s="14"/>
      <c r="AR366"/>
    </row>
    <row r="367" spans="1:44" ht="15.75" thickBot="1" x14ac:dyDescent="0.3">
      <c r="A367" s="591" t="str">
        <f t="shared" si="77"/>
        <v/>
      </c>
      <c r="B367" s="326">
        <f t="shared" si="78"/>
        <v>0</v>
      </c>
      <c r="C367" s="21">
        <f t="shared" si="75"/>
        <v>0</v>
      </c>
      <c r="D367" s="21">
        <f t="shared" si="79"/>
        <v>0</v>
      </c>
      <c r="E367" s="21">
        <f t="shared" si="76"/>
        <v>0</v>
      </c>
      <c r="F367" s="21">
        <f t="shared" ref="F367:G382" si="85">+F366</f>
        <v>134.16999999999999</v>
      </c>
      <c r="G367" s="21">
        <f t="shared" si="85"/>
        <v>188.55</v>
      </c>
      <c r="H367" s="21">
        <f t="shared" si="73"/>
        <v>322.72000000000003</v>
      </c>
      <c r="I367" s="326">
        <f t="shared" si="82"/>
        <v>97531.839999999953</v>
      </c>
      <c r="J367" s="326">
        <f t="shared" si="83"/>
        <v>36068.259999999973</v>
      </c>
      <c r="K367" s="326">
        <f t="shared" si="80"/>
        <v>0</v>
      </c>
      <c r="L367" s="387">
        <f t="shared" si="71"/>
        <v>0</v>
      </c>
      <c r="M367" s="387">
        <f t="shared" si="81"/>
        <v>0</v>
      </c>
      <c r="N367" s="591" t="str">
        <f>INDEX(tblSubjectToLoan[Date],ROW()-ROW(tblContractForDeed[#Headers]))</f>
        <v/>
      </c>
      <c r="O367" s="326">
        <f>IF(ROW()=ROW(tblContractForDeed[#Headers])+1,$O$6,IF(INDEX(tblContractForDeed[End Bal],ROW()-ROW(tblContractForDeed[#Headers])-1)&lt;0,0,INDEX(tblContractForDeed[End Bal],ROW()-ROW(tblContractForDeed[#Headers])-1)))</f>
        <v>0</v>
      </c>
      <c r="P367" s="445" t="str">
        <f>IF(tblContractForDeed[[#This Row],[Date]]="","",IF(tblContractForDeed[[#This Row],[Date]]&lt;cfdRateChangeDate,cfdRate1,cfdRate2))</f>
        <v/>
      </c>
      <c r="Q36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26">
        <f>IF(tblContractForDeed[[#This Row],[Payment]]=0,0,MAX(0,MIN(tblContractForDeed[[#This Row],[Beg]],tblContractForDeed[[#This Row],[Payment]]-tblContractForDeed[[#This Row],[Int]])))</f>
        <v>0</v>
      </c>
      <c r="S367" s="326">
        <f>IF(OR(tblContractForDeed[[#This Row],[Date]]&lt;cfdContractDate,tblContractForDeed[[#This Row],[Date]]&gt;cfdEndDate),0,ROUND(tblContractForDeed[[#This Row],[Beg]]*(tblContractForDeed[[#This Row],[Int Rate]]/12),2))</f>
        <v>0</v>
      </c>
      <c r="T367" s="326">
        <f>IF(tblContractForDeed[[#This Row],[Payment]]=0,0,$W$2)</f>
        <v>0</v>
      </c>
      <c r="U367" s="326">
        <f>IF(tblContractForDeed[[#This Row],[Princ]]=0,0,$W$3)</f>
        <v>0</v>
      </c>
      <c r="V367" s="326">
        <f>SUM(tblContractForDeed[[#This Row],[Princ]],tblContractForDeed[[#This Row],[Int]],tblContractForDeed[[#This Row],[Ins]],tblContractForDeed[[#This Row],[Taxes]])</f>
        <v>0</v>
      </c>
      <c r="W367" s="326">
        <f>SUM(INDEX(tblContractForDeed[Princ],1):INDEX(tblContractForDeed[Princ],ROW()-ROW(tblContractForDeed[#Headers])))</f>
        <v>75258.000000000029</v>
      </c>
      <c r="X367" s="326">
        <f>IF(tblContractForDeed[[#This Row],[Beg]]&lt;=0,0,tblContractForDeed[[#This Row],[Beg]]-tblContractForDeed[[#This Row],[Princ]])</f>
        <v>0</v>
      </c>
      <c r="Y36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55">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7" s="326">
        <f>IF(INDEX(tblContractForDeed[End Bal],ROW()-ROW(tblBuyerOutputs[#Headers]))&lt;=0,0,($O$6+IF(ROW()=ROW(tblBuyerOutputs[#Headers])+1,0,INDEX(tblBuyerOutputs[Cumul Appr],ROW()-ROW(tblBuyerOutputs[#Headers])-1)))*$O$2/12)</f>
        <v>0</v>
      </c>
      <c r="AE367" s="326">
        <f>IF(INDEX(tblContractForDeed[End Bal],ROW()-ROW(tblBuyerOutputs[#Headers]))&lt;=0,0,IF(ROW()=ROW(tblBuyerOutputs[#Headers])+1,0,INDEX(tblBuyerOutputs[Cumul Appr],ROW()-ROW(tblBuyerOutputs[#Headers])-1))+tblBuyerOutputs[[#This Row],[Monthly Appr]])</f>
        <v>0</v>
      </c>
      <c r="AF367" s="22"/>
      <c r="AG367" s="14"/>
      <c r="AL367"/>
      <c r="AM367" s="14"/>
      <c r="AO367" s="275"/>
      <c r="AQ367" s="14"/>
      <c r="AR367"/>
    </row>
    <row r="368" spans="1:44" x14ac:dyDescent="0.25">
      <c r="A368" s="590" t="str">
        <f t="shared" si="77"/>
        <v/>
      </c>
      <c r="B368" s="275">
        <f t="shared" si="78"/>
        <v>0</v>
      </c>
      <c r="C368" s="14">
        <f t="shared" si="75"/>
        <v>0</v>
      </c>
      <c r="D368" s="14">
        <f t="shared" si="79"/>
        <v>0</v>
      </c>
      <c r="E368" s="14">
        <f t="shared" si="76"/>
        <v>0</v>
      </c>
      <c r="F368" s="14">
        <f t="shared" si="85"/>
        <v>134.16999999999999</v>
      </c>
      <c r="G368" s="14">
        <f t="shared" si="85"/>
        <v>188.55</v>
      </c>
      <c r="H368" s="14">
        <f t="shared" si="73"/>
        <v>322.72000000000003</v>
      </c>
      <c r="I368" s="275">
        <f t="shared" si="82"/>
        <v>97531.839999999953</v>
      </c>
      <c r="J368" s="275">
        <f t="shared" si="83"/>
        <v>36068.259999999973</v>
      </c>
      <c r="K368" s="275">
        <f t="shared" si="80"/>
        <v>0</v>
      </c>
      <c r="L368" s="386">
        <f t="shared" si="71"/>
        <v>0</v>
      </c>
      <c r="M368" s="386">
        <f t="shared" si="81"/>
        <v>0</v>
      </c>
      <c r="N368" s="590" t="str">
        <f>INDEX(tblSubjectToLoan[Date],ROW()-ROW(tblContractForDeed[#Headers]))</f>
        <v/>
      </c>
      <c r="O368" s="275">
        <f>IF(ROW()=ROW(tblContractForDeed[#Headers])+1,$O$6,IF(INDEX(tblContractForDeed[End Bal],ROW()-ROW(tblContractForDeed[#Headers])-1)&lt;0,0,INDEX(tblContractForDeed[End Bal],ROW()-ROW(tblContractForDeed[#Headers])-1)))</f>
        <v>0</v>
      </c>
      <c r="P368" s="445" t="str">
        <f>IF(tblContractForDeed[[#This Row],[Date]]="","",IF(tblContractForDeed[[#This Row],[Date]]&lt;cfdRateChangeDate,cfdRate1,cfdRate2))</f>
        <v/>
      </c>
      <c r="Q3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75">
        <f>IF(tblContractForDeed[[#This Row],[Payment]]=0,0,MAX(0,MIN(tblContractForDeed[[#This Row],[Beg]],tblContractForDeed[[#This Row],[Payment]]-tblContractForDeed[[#This Row],[Int]])))</f>
        <v>0</v>
      </c>
      <c r="S368" s="275">
        <f>IF(OR(tblContractForDeed[[#This Row],[Date]]&lt;cfdContractDate,tblContractForDeed[[#This Row],[Date]]&gt;cfdEndDate),0,ROUND(tblContractForDeed[[#This Row],[Beg]]*(tblContractForDeed[[#This Row],[Int Rate]]/12),2))</f>
        <v>0</v>
      </c>
      <c r="T368" s="275">
        <f>IF(tblContractForDeed[[#This Row],[Payment]]=0,0,$W$2)</f>
        <v>0</v>
      </c>
      <c r="U368" s="275">
        <f>IF(tblContractForDeed[[#This Row],[Princ]]=0,0,$W$3)</f>
        <v>0</v>
      </c>
      <c r="V368" s="275">
        <f>SUM(tblContractForDeed[[#This Row],[Princ]],tblContractForDeed[[#This Row],[Int]],tblContractForDeed[[#This Row],[Ins]],tblContractForDeed[[#This Row],[Taxes]])</f>
        <v>0</v>
      </c>
      <c r="W368" s="275">
        <f>SUM(INDEX(tblContractForDeed[Princ],1):INDEX(tblContractForDeed[Princ],ROW()-ROW(tblContractForDeed[#Headers])))</f>
        <v>75258.000000000029</v>
      </c>
      <c r="X368" s="275">
        <f>IF(tblContractForDeed[[#This Row],[Beg]]&lt;=0,0,tblContractForDeed[[#This Row],[Beg]]-tblContractForDeed[[#This Row],[Princ]])</f>
        <v>0</v>
      </c>
      <c r="Y36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54">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8" s="275">
        <f>IF(INDEX(tblContractForDeed[End Bal],ROW()-ROW(tblBuyerOutputs[#Headers]))&lt;=0,0,($O$6+IF(ROW()=ROW(tblBuyerOutputs[#Headers])+1,0,INDEX(tblBuyerOutputs[Cumul Appr],ROW()-ROW(tblBuyerOutputs[#Headers])-1)))*$O$2/12)</f>
        <v>0</v>
      </c>
      <c r="AE368" s="275">
        <f>IF(INDEX(tblContractForDeed[End Bal],ROW()-ROW(tblBuyerOutputs[#Headers]))&lt;=0,0,IF(ROW()=ROW(tblBuyerOutputs[#Headers])+1,0,INDEX(tblBuyerOutputs[Cumul Appr],ROW()-ROW(tblBuyerOutputs[#Headers])-1))+tblBuyerOutputs[[#This Row],[Monthly Appr]])</f>
        <v>0</v>
      </c>
      <c r="AF368" s="22"/>
      <c r="AG368" s="14"/>
      <c r="AL368"/>
      <c r="AM368" s="14"/>
      <c r="AO368" s="275"/>
      <c r="AQ368" s="14"/>
      <c r="AR368"/>
    </row>
    <row r="369" spans="1:44" x14ac:dyDescent="0.25">
      <c r="A369" s="590" t="str">
        <f t="shared" si="77"/>
        <v/>
      </c>
      <c r="B369" s="275">
        <f t="shared" si="78"/>
        <v>0</v>
      </c>
      <c r="C369" s="14">
        <f t="shared" si="75"/>
        <v>0</v>
      </c>
      <c r="D369" s="14">
        <f t="shared" si="79"/>
        <v>0</v>
      </c>
      <c r="E369" s="14">
        <f t="shared" si="76"/>
        <v>0</v>
      </c>
      <c r="F369" s="14">
        <f t="shared" si="85"/>
        <v>134.16999999999999</v>
      </c>
      <c r="G369" s="14">
        <f t="shared" si="85"/>
        <v>188.55</v>
      </c>
      <c r="H369" s="14">
        <f t="shared" si="73"/>
        <v>322.72000000000003</v>
      </c>
      <c r="I369" s="275">
        <f t="shared" si="82"/>
        <v>97531.839999999953</v>
      </c>
      <c r="J369" s="275">
        <f t="shared" si="83"/>
        <v>36068.259999999973</v>
      </c>
      <c r="K369" s="275">
        <f t="shared" si="80"/>
        <v>0</v>
      </c>
      <c r="L369" s="386">
        <f t="shared" si="71"/>
        <v>0</v>
      </c>
      <c r="M369" s="386">
        <f t="shared" si="81"/>
        <v>0</v>
      </c>
      <c r="N369" s="590" t="str">
        <f>INDEX(tblSubjectToLoan[Date],ROW()-ROW(tblContractForDeed[#Headers]))</f>
        <v/>
      </c>
      <c r="O369" s="275">
        <f>IF(ROW()=ROW(tblContractForDeed[#Headers])+1,$O$6,IF(INDEX(tblContractForDeed[End Bal],ROW()-ROW(tblContractForDeed[#Headers])-1)&lt;0,0,INDEX(tblContractForDeed[End Bal],ROW()-ROW(tblContractForDeed[#Headers])-1)))</f>
        <v>0</v>
      </c>
      <c r="P369" s="445" t="str">
        <f>IF(tblContractForDeed[[#This Row],[Date]]="","",IF(tblContractForDeed[[#This Row],[Date]]&lt;cfdRateChangeDate,cfdRate1,cfdRate2))</f>
        <v/>
      </c>
      <c r="Q3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75">
        <f>IF(tblContractForDeed[[#This Row],[Payment]]=0,0,MAX(0,MIN(tblContractForDeed[[#This Row],[Beg]],tblContractForDeed[[#This Row],[Payment]]-tblContractForDeed[[#This Row],[Int]])))</f>
        <v>0</v>
      </c>
      <c r="S369" s="275">
        <f>IF(OR(tblContractForDeed[[#This Row],[Date]]&lt;cfdContractDate,tblContractForDeed[[#This Row],[Date]]&gt;cfdEndDate),0,ROUND(tblContractForDeed[[#This Row],[Beg]]*(tblContractForDeed[[#This Row],[Int Rate]]/12),2))</f>
        <v>0</v>
      </c>
      <c r="T369" s="275">
        <f>IF(tblContractForDeed[[#This Row],[Payment]]=0,0,$W$2)</f>
        <v>0</v>
      </c>
      <c r="U369" s="275">
        <f>IF(tblContractForDeed[[#This Row],[Princ]]=0,0,$W$3)</f>
        <v>0</v>
      </c>
      <c r="V369" s="275">
        <f>SUM(tblContractForDeed[[#This Row],[Princ]],tblContractForDeed[[#This Row],[Int]],tblContractForDeed[[#This Row],[Ins]],tblContractForDeed[[#This Row],[Taxes]])</f>
        <v>0</v>
      </c>
      <c r="W369" s="275">
        <f>SUM(INDEX(tblContractForDeed[Princ],1):INDEX(tblContractForDeed[Princ],ROW()-ROW(tblContractForDeed[#Headers])))</f>
        <v>75258.000000000029</v>
      </c>
      <c r="X369" s="275">
        <f>IF(tblContractForDeed[[#This Row],[Beg]]&lt;=0,0,tblContractForDeed[[#This Row],[Beg]]-tblContractForDeed[[#This Row],[Princ]])</f>
        <v>0</v>
      </c>
      <c r="Y36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54">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9" s="275">
        <f>IF(INDEX(tblContractForDeed[End Bal],ROW()-ROW(tblBuyerOutputs[#Headers]))&lt;=0,0,($O$6+IF(ROW()=ROW(tblBuyerOutputs[#Headers])+1,0,INDEX(tblBuyerOutputs[Cumul Appr],ROW()-ROW(tblBuyerOutputs[#Headers])-1)))*$O$2/12)</f>
        <v>0</v>
      </c>
      <c r="AE369" s="275">
        <f>IF(INDEX(tblContractForDeed[End Bal],ROW()-ROW(tblBuyerOutputs[#Headers]))&lt;=0,0,IF(ROW()=ROW(tblBuyerOutputs[#Headers])+1,0,INDEX(tblBuyerOutputs[Cumul Appr],ROW()-ROW(tblBuyerOutputs[#Headers])-1))+tblBuyerOutputs[[#This Row],[Monthly Appr]])</f>
        <v>0</v>
      </c>
      <c r="AF369" s="22"/>
      <c r="AG369" s="14"/>
      <c r="AL369"/>
      <c r="AM369" s="14"/>
      <c r="AO369" s="275"/>
      <c r="AQ369" s="14"/>
      <c r="AR369"/>
    </row>
    <row r="370" spans="1:44" x14ac:dyDescent="0.25">
      <c r="A370" s="590" t="str">
        <f t="shared" si="77"/>
        <v/>
      </c>
      <c r="B370" s="275">
        <f t="shared" si="78"/>
        <v>0</v>
      </c>
      <c r="C370" s="14">
        <f t="shared" si="75"/>
        <v>0</v>
      </c>
      <c r="D370" s="14">
        <f t="shared" si="79"/>
        <v>0</v>
      </c>
      <c r="E370" s="14">
        <f t="shared" si="76"/>
        <v>0</v>
      </c>
      <c r="F370" s="14">
        <f t="shared" si="85"/>
        <v>134.16999999999999</v>
      </c>
      <c r="G370" s="14">
        <f t="shared" si="85"/>
        <v>188.55</v>
      </c>
      <c r="H370" s="14">
        <f t="shared" si="73"/>
        <v>322.72000000000003</v>
      </c>
      <c r="I370" s="275">
        <f t="shared" si="82"/>
        <v>97531.839999999953</v>
      </c>
      <c r="J370" s="275">
        <f t="shared" si="83"/>
        <v>36068.259999999973</v>
      </c>
      <c r="K370" s="275">
        <f t="shared" si="80"/>
        <v>0</v>
      </c>
      <c r="L370" s="386">
        <f t="shared" si="71"/>
        <v>0</v>
      </c>
      <c r="M370" s="386">
        <f t="shared" si="81"/>
        <v>0</v>
      </c>
      <c r="N370" s="590" t="str">
        <f>INDEX(tblSubjectToLoan[Date],ROW()-ROW(tblContractForDeed[#Headers]))</f>
        <v/>
      </c>
      <c r="O370" s="275">
        <f>IF(ROW()=ROW(tblContractForDeed[#Headers])+1,$O$6,IF(INDEX(tblContractForDeed[End Bal],ROW()-ROW(tblContractForDeed[#Headers])-1)&lt;0,0,INDEX(tblContractForDeed[End Bal],ROW()-ROW(tblContractForDeed[#Headers])-1)))</f>
        <v>0</v>
      </c>
      <c r="P370" s="445" t="str">
        <f>IF(tblContractForDeed[[#This Row],[Date]]="","",IF(tblContractForDeed[[#This Row],[Date]]&lt;cfdRateChangeDate,cfdRate1,cfdRate2))</f>
        <v/>
      </c>
      <c r="Q3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75">
        <f>IF(tblContractForDeed[[#This Row],[Payment]]=0,0,MAX(0,MIN(tblContractForDeed[[#This Row],[Beg]],tblContractForDeed[[#This Row],[Payment]]-tblContractForDeed[[#This Row],[Int]])))</f>
        <v>0</v>
      </c>
      <c r="S370" s="275">
        <f>IF(OR(tblContractForDeed[[#This Row],[Date]]&lt;cfdContractDate,tblContractForDeed[[#This Row],[Date]]&gt;cfdEndDate),0,ROUND(tblContractForDeed[[#This Row],[Beg]]*(tblContractForDeed[[#This Row],[Int Rate]]/12),2))</f>
        <v>0</v>
      </c>
      <c r="T370" s="275">
        <f>IF(tblContractForDeed[[#This Row],[Payment]]=0,0,$W$2)</f>
        <v>0</v>
      </c>
      <c r="U370" s="275">
        <f>IF(tblContractForDeed[[#This Row],[Princ]]=0,0,$W$3)</f>
        <v>0</v>
      </c>
      <c r="V370" s="275">
        <f>SUM(tblContractForDeed[[#This Row],[Princ]],tblContractForDeed[[#This Row],[Int]],tblContractForDeed[[#This Row],[Ins]],tblContractForDeed[[#This Row],[Taxes]])</f>
        <v>0</v>
      </c>
      <c r="W370" s="275">
        <f>SUM(INDEX(tblContractForDeed[Princ],1):INDEX(tblContractForDeed[Princ],ROW()-ROW(tblContractForDeed[#Headers])))</f>
        <v>75258.000000000029</v>
      </c>
      <c r="X370" s="275">
        <f>IF(tblContractForDeed[[#This Row],[Beg]]&lt;=0,0,tblContractForDeed[[#This Row],[Beg]]-tblContractForDeed[[#This Row],[Princ]])</f>
        <v>0</v>
      </c>
      <c r="Y37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54">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0" s="275">
        <f>IF(INDEX(tblContractForDeed[End Bal],ROW()-ROW(tblBuyerOutputs[#Headers]))&lt;=0,0,($O$6+IF(ROW()=ROW(tblBuyerOutputs[#Headers])+1,0,INDEX(tblBuyerOutputs[Cumul Appr],ROW()-ROW(tblBuyerOutputs[#Headers])-1)))*$O$2/12)</f>
        <v>0</v>
      </c>
      <c r="AE370" s="275">
        <f>IF(INDEX(tblContractForDeed[End Bal],ROW()-ROW(tblBuyerOutputs[#Headers]))&lt;=0,0,IF(ROW()=ROW(tblBuyerOutputs[#Headers])+1,0,INDEX(tblBuyerOutputs[Cumul Appr],ROW()-ROW(tblBuyerOutputs[#Headers])-1))+tblBuyerOutputs[[#This Row],[Monthly Appr]])</f>
        <v>0</v>
      </c>
      <c r="AF370" s="22"/>
      <c r="AG370" s="14"/>
      <c r="AL370"/>
      <c r="AM370" s="14"/>
      <c r="AO370" s="275"/>
      <c r="AQ370" s="14"/>
      <c r="AR370"/>
    </row>
    <row r="371" spans="1:44" x14ac:dyDescent="0.25">
      <c r="A371" s="590" t="str">
        <f t="shared" si="77"/>
        <v/>
      </c>
      <c r="B371" s="275">
        <f t="shared" si="78"/>
        <v>0</v>
      </c>
      <c r="C371" s="14">
        <f t="shared" si="75"/>
        <v>0</v>
      </c>
      <c r="D371" s="14">
        <f t="shared" si="79"/>
        <v>0</v>
      </c>
      <c r="E371" s="14">
        <f t="shared" si="76"/>
        <v>0</v>
      </c>
      <c r="F371" s="14">
        <f t="shared" si="85"/>
        <v>134.16999999999999</v>
      </c>
      <c r="G371" s="14">
        <f t="shared" si="85"/>
        <v>188.55</v>
      </c>
      <c r="H371" s="14">
        <f t="shared" si="73"/>
        <v>322.72000000000003</v>
      </c>
      <c r="I371" s="275">
        <f t="shared" si="82"/>
        <v>97531.839999999953</v>
      </c>
      <c r="J371" s="275">
        <f t="shared" si="83"/>
        <v>36068.259999999973</v>
      </c>
      <c r="K371" s="275">
        <f t="shared" si="80"/>
        <v>0</v>
      </c>
      <c r="L371" s="386">
        <f t="shared" si="71"/>
        <v>0</v>
      </c>
      <c r="M371" s="386">
        <f t="shared" si="81"/>
        <v>0</v>
      </c>
      <c r="N371" s="590" t="str">
        <f>INDEX(tblSubjectToLoan[Date],ROW()-ROW(tblContractForDeed[#Headers]))</f>
        <v/>
      </c>
      <c r="O371" s="275">
        <f>IF(ROW()=ROW(tblContractForDeed[#Headers])+1,$O$6,IF(INDEX(tblContractForDeed[End Bal],ROW()-ROW(tblContractForDeed[#Headers])-1)&lt;0,0,INDEX(tblContractForDeed[End Bal],ROW()-ROW(tblContractForDeed[#Headers])-1)))</f>
        <v>0</v>
      </c>
      <c r="P371" s="445" t="str">
        <f>IF(tblContractForDeed[[#This Row],[Date]]="","",IF(tblContractForDeed[[#This Row],[Date]]&lt;cfdRateChangeDate,cfdRate1,cfdRate2))</f>
        <v/>
      </c>
      <c r="Q37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75">
        <f>IF(tblContractForDeed[[#This Row],[Payment]]=0,0,MAX(0,MIN(tblContractForDeed[[#This Row],[Beg]],tblContractForDeed[[#This Row],[Payment]]-tblContractForDeed[[#This Row],[Int]])))</f>
        <v>0</v>
      </c>
      <c r="S371" s="275">
        <f>IF(OR(tblContractForDeed[[#This Row],[Date]]&lt;cfdContractDate,tblContractForDeed[[#This Row],[Date]]&gt;cfdEndDate),0,ROUND(tblContractForDeed[[#This Row],[Beg]]*(tblContractForDeed[[#This Row],[Int Rate]]/12),2))</f>
        <v>0</v>
      </c>
      <c r="T371" s="275">
        <f>IF(tblContractForDeed[[#This Row],[Payment]]=0,0,$W$2)</f>
        <v>0</v>
      </c>
      <c r="U371" s="275">
        <f>IF(tblContractForDeed[[#This Row],[Princ]]=0,0,$W$3)</f>
        <v>0</v>
      </c>
      <c r="V371" s="275">
        <f>SUM(tblContractForDeed[[#This Row],[Princ]],tblContractForDeed[[#This Row],[Int]],tblContractForDeed[[#This Row],[Ins]],tblContractForDeed[[#This Row],[Taxes]])</f>
        <v>0</v>
      </c>
      <c r="W371" s="275">
        <f>SUM(INDEX(tblContractForDeed[Princ],1):INDEX(tblContractForDeed[Princ],ROW()-ROW(tblContractForDeed[#Headers])))</f>
        <v>75258.000000000029</v>
      </c>
      <c r="X371" s="275">
        <f>IF(tblContractForDeed[[#This Row],[Beg]]&lt;=0,0,tblContractForDeed[[#This Row],[Beg]]-tblContractForDeed[[#This Row],[Princ]])</f>
        <v>0</v>
      </c>
      <c r="Y37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54">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1" s="275">
        <f>IF(INDEX(tblContractForDeed[End Bal],ROW()-ROW(tblBuyerOutputs[#Headers]))&lt;=0,0,($O$6+IF(ROW()=ROW(tblBuyerOutputs[#Headers])+1,0,INDEX(tblBuyerOutputs[Cumul Appr],ROW()-ROW(tblBuyerOutputs[#Headers])-1)))*$O$2/12)</f>
        <v>0</v>
      </c>
      <c r="AE371" s="275">
        <f>IF(INDEX(tblContractForDeed[End Bal],ROW()-ROW(tblBuyerOutputs[#Headers]))&lt;=0,0,IF(ROW()=ROW(tblBuyerOutputs[#Headers])+1,0,INDEX(tblBuyerOutputs[Cumul Appr],ROW()-ROW(tblBuyerOutputs[#Headers])-1))+tblBuyerOutputs[[#This Row],[Monthly Appr]])</f>
        <v>0</v>
      </c>
      <c r="AF371" s="22"/>
      <c r="AG371" s="14"/>
      <c r="AL371"/>
      <c r="AM371" s="14"/>
      <c r="AO371" s="275"/>
      <c r="AQ371" s="14"/>
      <c r="AR371"/>
    </row>
    <row r="372" spans="1:44" x14ac:dyDescent="0.25">
      <c r="A372" s="590" t="str">
        <f t="shared" si="77"/>
        <v/>
      </c>
      <c r="B372" s="275">
        <f t="shared" si="78"/>
        <v>0</v>
      </c>
      <c r="C372" s="14">
        <f t="shared" si="75"/>
        <v>0</v>
      </c>
      <c r="D372" s="14">
        <f t="shared" si="79"/>
        <v>0</v>
      </c>
      <c r="E372" s="14">
        <f t="shared" si="76"/>
        <v>0</v>
      </c>
      <c r="F372" s="14">
        <f t="shared" si="85"/>
        <v>134.16999999999999</v>
      </c>
      <c r="G372" s="14">
        <f t="shared" si="85"/>
        <v>188.55</v>
      </c>
      <c r="H372" s="14">
        <f t="shared" si="73"/>
        <v>322.72000000000003</v>
      </c>
      <c r="I372" s="275">
        <f t="shared" si="82"/>
        <v>97531.839999999953</v>
      </c>
      <c r="J372" s="275">
        <f t="shared" si="83"/>
        <v>36068.259999999973</v>
      </c>
      <c r="K372" s="275">
        <f t="shared" si="80"/>
        <v>0</v>
      </c>
      <c r="L372" s="386">
        <f t="shared" ref="L372:L435" si="86">IF(MOD(M372,12)=0,M372/12,L371)</f>
        <v>0</v>
      </c>
      <c r="M372" s="386">
        <f t="shared" si="81"/>
        <v>0</v>
      </c>
      <c r="N372" s="590" t="str">
        <f>INDEX(tblSubjectToLoan[Date],ROW()-ROW(tblContractForDeed[#Headers]))</f>
        <v/>
      </c>
      <c r="O372" s="275">
        <f>IF(ROW()=ROW(tblContractForDeed[#Headers])+1,$O$6,IF(INDEX(tblContractForDeed[End Bal],ROW()-ROW(tblContractForDeed[#Headers])-1)&lt;0,0,INDEX(tblContractForDeed[End Bal],ROW()-ROW(tblContractForDeed[#Headers])-1)))</f>
        <v>0</v>
      </c>
      <c r="P372" s="445" t="str">
        <f>IF(tblContractForDeed[[#This Row],[Date]]="","",IF(tblContractForDeed[[#This Row],[Date]]&lt;cfdRateChangeDate,cfdRate1,cfdRate2))</f>
        <v/>
      </c>
      <c r="Q3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75">
        <f>IF(tblContractForDeed[[#This Row],[Payment]]=0,0,MAX(0,MIN(tblContractForDeed[[#This Row],[Beg]],tblContractForDeed[[#This Row],[Payment]]-tblContractForDeed[[#This Row],[Int]])))</f>
        <v>0</v>
      </c>
      <c r="S372" s="275">
        <f>IF(OR(tblContractForDeed[[#This Row],[Date]]&lt;cfdContractDate,tblContractForDeed[[#This Row],[Date]]&gt;cfdEndDate),0,ROUND(tblContractForDeed[[#This Row],[Beg]]*(tblContractForDeed[[#This Row],[Int Rate]]/12),2))</f>
        <v>0</v>
      </c>
      <c r="T372" s="275">
        <f>IF(tblContractForDeed[[#This Row],[Payment]]=0,0,$W$2)</f>
        <v>0</v>
      </c>
      <c r="U372" s="275">
        <f>IF(tblContractForDeed[[#This Row],[Princ]]=0,0,$W$3)</f>
        <v>0</v>
      </c>
      <c r="V372" s="275">
        <f>SUM(tblContractForDeed[[#This Row],[Princ]],tblContractForDeed[[#This Row],[Int]],tblContractForDeed[[#This Row],[Ins]],tblContractForDeed[[#This Row],[Taxes]])</f>
        <v>0</v>
      </c>
      <c r="W372" s="275">
        <f>SUM(INDEX(tblContractForDeed[Princ],1):INDEX(tblContractForDeed[Princ],ROW()-ROW(tblContractForDeed[#Headers])))</f>
        <v>75258.000000000029</v>
      </c>
      <c r="X372" s="275">
        <f>IF(tblContractForDeed[[#This Row],[Beg]]&lt;=0,0,tblContractForDeed[[#This Row],[Beg]]-tblContractForDeed[[#This Row],[Princ]])</f>
        <v>0</v>
      </c>
      <c r="Y37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54">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2" s="275">
        <f>IF(INDEX(tblContractForDeed[End Bal],ROW()-ROW(tblBuyerOutputs[#Headers]))&lt;=0,0,($O$6+IF(ROW()=ROW(tblBuyerOutputs[#Headers])+1,0,INDEX(tblBuyerOutputs[Cumul Appr],ROW()-ROW(tblBuyerOutputs[#Headers])-1)))*$O$2/12)</f>
        <v>0</v>
      </c>
      <c r="AE372" s="275">
        <f>IF(INDEX(tblContractForDeed[End Bal],ROW()-ROW(tblBuyerOutputs[#Headers]))&lt;=0,0,IF(ROW()=ROW(tblBuyerOutputs[#Headers])+1,0,INDEX(tblBuyerOutputs[Cumul Appr],ROW()-ROW(tblBuyerOutputs[#Headers])-1))+tblBuyerOutputs[[#This Row],[Monthly Appr]])</f>
        <v>0</v>
      </c>
      <c r="AF372" s="22"/>
      <c r="AG372" s="14"/>
      <c r="AL372"/>
      <c r="AM372" s="14"/>
      <c r="AO372" s="275"/>
      <c r="AQ372" s="14"/>
      <c r="AR372"/>
    </row>
    <row r="373" spans="1:44" x14ac:dyDescent="0.25">
      <c r="A373" s="590" t="str">
        <f t="shared" si="77"/>
        <v/>
      </c>
      <c r="B373" s="275">
        <f t="shared" si="78"/>
        <v>0</v>
      </c>
      <c r="C373" s="14">
        <f t="shared" si="75"/>
        <v>0</v>
      </c>
      <c r="D373" s="14">
        <f t="shared" si="79"/>
        <v>0</v>
      </c>
      <c r="E373" s="14">
        <f t="shared" si="76"/>
        <v>0</v>
      </c>
      <c r="F373" s="14">
        <f t="shared" si="85"/>
        <v>134.16999999999999</v>
      </c>
      <c r="G373" s="14">
        <f t="shared" si="85"/>
        <v>188.55</v>
      </c>
      <c r="H373" s="14">
        <f t="shared" si="73"/>
        <v>322.72000000000003</v>
      </c>
      <c r="I373" s="275">
        <f t="shared" si="82"/>
        <v>97531.839999999953</v>
      </c>
      <c r="J373" s="275">
        <f t="shared" si="83"/>
        <v>36068.259999999973</v>
      </c>
      <c r="K373" s="275">
        <f t="shared" si="80"/>
        <v>0</v>
      </c>
      <c r="L373" s="386">
        <f t="shared" si="86"/>
        <v>0</v>
      </c>
      <c r="M373" s="386">
        <f t="shared" si="81"/>
        <v>0</v>
      </c>
      <c r="N373" s="590" t="str">
        <f>INDEX(tblSubjectToLoan[Date],ROW()-ROW(tblContractForDeed[#Headers]))</f>
        <v/>
      </c>
      <c r="O373" s="275">
        <f>IF(ROW()=ROW(tblContractForDeed[#Headers])+1,$O$6,IF(INDEX(tblContractForDeed[End Bal],ROW()-ROW(tblContractForDeed[#Headers])-1)&lt;0,0,INDEX(tblContractForDeed[End Bal],ROW()-ROW(tblContractForDeed[#Headers])-1)))</f>
        <v>0</v>
      </c>
      <c r="P373" s="445" t="str">
        <f>IF(tblContractForDeed[[#This Row],[Date]]="","",IF(tblContractForDeed[[#This Row],[Date]]&lt;cfdRateChangeDate,cfdRate1,cfdRate2))</f>
        <v/>
      </c>
      <c r="Q3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75">
        <f>IF(tblContractForDeed[[#This Row],[Payment]]=0,0,MAX(0,MIN(tblContractForDeed[[#This Row],[Beg]],tblContractForDeed[[#This Row],[Payment]]-tblContractForDeed[[#This Row],[Int]])))</f>
        <v>0</v>
      </c>
      <c r="S373" s="275">
        <f>IF(OR(tblContractForDeed[[#This Row],[Date]]&lt;cfdContractDate,tblContractForDeed[[#This Row],[Date]]&gt;cfdEndDate),0,ROUND(tblContractForDeed[[#This Row],[Beg]]*(tblContractForDeed[[#This Row],[Int Rate]]/12),2))</f>
        <v>0</v>
      </c>
      <c r="T373" s="275">
        <f>IF(tblContractForDeed[[#This Row],[Payment]]=0,0,$W$2)</f>
        <v>0</v>
      </c>
      <c r="U373" s="275">
        <f>IF(tblContractForDeed[[#This Row],[Princ]]=0,0,$W$3)</f>
        <v>0</v>
      </c>
      <c r="V373" s="275">
        <f>SUM(tblContractForDeed[[#This Row],[Princ]],tblContractForDeed[[#This Row],[Int]],tblContractForDeed[[#This Row],[Ins]],tblContractForDeed[[#This Row],[Taxes]])</f>
        <v>0</v>
      </c>
      <c r="W373" s="275">
        <f>SUM(INDEX(tblContractForDeed[Princ],1):INDEX(tblContractForDeed[Princ],ROW()-ROW(tblContractForDeed[#Headers])))</f>
        <v>75258.000000000029</v>
      </c>
      <c r="X373" s="275">
        <f>IF(tblContractForDeed[[#This Row],[Beg]]&lt;=0,0,tblContractForDeed[[#This Row],[Beg]]-tblContractForDeed[[#This Row],[Princ]])</f>
        <v>0</v>
      </c>
      <c r="Y37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54">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3" s="275">
        <f>IF(INDEX(tblContractForDeed[End Bal],ROW()-ROW(tblBuyerOutputs[#Headers]))&lt;=0,0,($O$6+IF(ROW()=ROW(tblBuyerOutputs[#Headers])+1,0,INDEX(tblBuyerOutputs[Cumul Appr],ROW()-ROW(tblBuyerOutputs[#Headers])-1)))*$O$2/12)</f>
        <v>0</v>
      </c>
      <c r="AE373" s="275">
        <f>IF(INDEX(tblContractForDeed[End Bal],ROW()-ROW(tblBuyerOutputs[#Headers]))&lt;=0,0,IF(ROW()=ROW(tblBuyerOutputs[#Headers])+1,0,INDEX(tblBuyerOutputs[Cumul Appr],ROW()-ROW(tblBuyerOutputs[#Headers])-1))+tblBuyerOutputs[[#This Row],[Monthly Appr]])</f>
        <v>0</v>
      </c>
      <c r="AF373" s="22"/>
      <c r="AG373" s="14"/>
      <c r="AL373"/>
      <c r="AM373" s="14"/>
      <c r="AO373" s="275"/>
      <c r="AQ373" s="14"/>
      <c r="AR373"/>
    </row>
    <row r="374" spans="1:44" x14ac:dyDescent="0.25">
      <c r="A374" s="590" t="str">
        <f t="shared" si="77"/>
        <v/>
      </c>
      <c r="B374" s="275">
        <f t="shared" si="78"/>
        <v>0</v>
      </c>
      <c r="C374" s="14">
        <f t="shared" si="75"/>
        <v>0</v>
      </c>
      <c r="D374" s="14">
        <f t="shared" si="79"/>
        <v>0</v>
      </c>
      <c r="E374" s="14">
        <f t="shared" si="76"/>
        <v>0</v>
      </c>
      <c r="F374" s="14">
        <f t="shared" si="85"/>
        <v>134.16999999999999</v>
      </c>
      <c r="G374" s="14">
        <f t="shared" si="85"/>
        <v>188.55</v>
      </c>
      <c r="H374" s="14">
        <f t="shared" si="73"/>
        <v>322.72000000000003</v>
      </c>
      <c r="I374" s="275">
        <f t="shared" si="82"/>
        <v>97531.839999999953</v>
      </c>
      <c r="J374" s="275">
        <f t="shared" si="83"/>
        <v>36068.259999999973</v>
      </c>
      <c r="K374" s="275">
        <f t="shared" si="80"/>
        <v>0</v>
      </c>
      <c r="L374" s="386">
        <f t="shared" si="86"/>
        <v>0</v>
      </c>
      <c r="M374" s="386">
        <f t="shared" si="81"/>
        <v>0</v>
      </c>
      <c r="N374" s="590" t="str">
        <f>INDEX(tblSubjectToLoan[Date],ROW()-ROW(tblContractForDeed[#Headers]))</f>
        <v/>
      </c>
      <c r="O374" s="275">
        <f>IF(ROW()=ROW(tblContractForDeed[#Headers])+1,$O$6,IF(INDEX(tblContractForDeed[End Bal],ROW()-ROW(tblContractForDeed[#Headers])-1)&lt;0,0,INDEX(tblContractForDeed[End Bal],ROW()-ROW(tblContractForDeed[#Headers])-1)))</f>
        <v>0</v>
      </c>
      <c r="P374" s="445" t="str">
        <f>IF(tblContractForDeed[[#This Row],[Date]]="","",IF(tblContractForDeed[[#This Row],[Date]]&lt;cfdRateChangeDate,cfdRate1,cfdRate2))</f>
        <v/>
      </c>
      <c r="Q3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75">
        <f>IF(tblContractForDeed[[#This Row],[Payment]]=0,0,MAX(0,MIN(tblContractForDeed[[#This Row],[Beg]],tblContractForDeed[[#This Row],[Payment]]-tblContractForDeed[[#This Row],[Int]])))</f>
        <v>0</v>
      </c>
      <c r="S374" s="275">
        <f>IF(OR(tblContractForDeed[[#This Row],[Date]]&lt;cfdContractDate,tblContractForDeed[[#This Row],[Date]]&gt;cfdEndDate),0,ROUND(tblContractForDeed[[#This Row],[Beg]]*(tblContractForDeed[[#This Row],[Int Rate]]/12),2))</f>
        <v>0</v>
      </c>
      <c r="T374" s="275">
        <f>IF(tblContractForDeed[[#This Row],[Payment]]=0,0,$W$2)</f>
        <v>0</v>
      </c>
      <c r="U374" s="275">
        <f>IF(tblContractForDeed[[#This Row],[Princ]]=0,0,$W$3)</f>
        <v>0</v>
      </c>
      <c r="V374" s="275">
        <f>SUM(tblContractForDeed[[#This Row],[Princ]],tblContractForDeed[[#This Row],[Int]],tblContractForDeed[[#This Row],[Ins]],tblContractForDeed[[#This Row],[Taxes]])</f>
        <v>0</v>
      </c>
      <c r="W374" s="275">
        <f>SUM(INDEX(tblContractForDeed[Princ],1):INDEX(tblContractForDeed[Princ],ROW()-ROW(tblContractForDeed[#Headers])))</f>
        <v>75258.000000000029</v>
      </c>
      <c r="X374" s="275">
        <f>IF(tblContractForDeed[[#This Row],[Beg]]&lt;=0,0,tblContractForDeed[[#This Row],[Beg]]-tblContractForDeed[[#This Row],[Princ]])</f>
        <v>0</v>
      </c>
      <c r="Y37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54">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4" s="275">
        <f>IF(INDEX(tblContractForDeed[End Bal],ROW()-ROW(tblBuyerOutputs[#Headers]))&lt;=0,0,($O$6+IF(ROW()=ROW(tblBuyerOutputs[#Headers])+1,0,INDEX(tblBuyerOutputs[Cumul Appr],ROW()-ROW(tblBuyerOutputs[#Headers])-1)))*$O$2/12)</f>
        <v>0</v>
      </c>
      <c r="AE374" s="275">
        <f>IF(INDEX(tblContractForDeed[End Bal],ROW()-ROW(tblBuyerOutputs[#Headers]))&lt;=0,0,IF(ROW()=ROW(tblBuyerOutputs[#Headers])+1,0,INDEX(tblBuyerOutputs[Cumul Appr],ROW()-ROW(tblBuyerOutputs[#Headers])-1))+tblBuyerOutputs[[#This Row],[Monthly Appr]])</f>
        <v>0</v>
      </c>
      <c r="AF374" s="22"/>
      <c r="AG374" s="14"/>
      <c r="AL374"/>
      <c r="AM374" s="14"/>
      <c r="AO374" s="275"/>
      <c r="AQ374" s="14"/>
      <c r="AR374"/>
    </row>
    <row r="375" spans="1:44" x14ac:dyDescent="0.25">
      <c r="A375" s="590" t="str">
        <f t="shared" si="77"/>
        <v/>
      </c>
      <c r="B375" s="275">
        <f t="shared" si="78"/>
        <v>0</v>
      </c>
      <c r="C375" s="14">
        <f t="shared" si="75"/>
        <v>0</v>
      </c>
      <c r="D375" s="14">
        <f t="shared" si="79"/>
        <v>0</v>
      </c>
      <c r="E375" s="14">
        <f t="shared" si="76"/>
        <v>0</v>
      </c>
      <c r="F375" s="14">
        <f t="shared" si="85"/>
        <v>134.16999999999999</v>
      </c>
      <c r="G375" s="14">
        <f t="shared" si="85"/>
        <v>188.55</v>
      </c>
      <c r="H375" s="14">
        <f t="shared" si="73"/>
        <v>322.72000000000003</v>
      </c>
      <c r="I375" s="275">
        <f t="shared" si="82"/>
        <v>97531.839999999953</v>
      </c>
      <c r="J375" s="275">
        <f t="shared" si="83"/>
        <v>36068.259999999973</v>
      </c>
      <c r="K375" s="275">
        <f t="shared" si="80"/>
        <v>0</v>
      </c>
      <c r="L375" s="386">
        <f t="shared" si="86"/>
        <v>0</v>
      </c>
      <c r="M375" s="386">
        <f t="shared" si="81"/>
        <v>0</v>
      </c>
      <c r="N375" s="590" t="str">
        <f>INDEX(tblSubjectToLoan[Date],ROW()-ROW(tblContractForDeed[#Headers]))</f>
        <v/>
      </c>
      <c r="O375" s="275">
        <f>IF(ROW()=ROW(tblContractForDeed[#Headers])+1,$O$6,IF(INDEX(tblContractForDeed[End Bal],ROW()-ROW(tblContractForDeed[#Headers])-1)&lt;0,0,INDEX(tblContractForDeed[End Bal],ROW()-ROW(tblContractForDeed[#Headers])-1)))</f>
        <v>0</v>
      </c>
      <c r="P375" s="445" t="str">
        <f>IF(tblContractForDeed[[#This Row],[Date]]="","",IF(tblContractForDeed[[#This Row],[Date]]&lt;cfdRateChangeDate,cfdRate1,cfdRate2))</f>
        <v/>
      </c>
      <c r="Q37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75">
        <f>IF(tblContractForDeed[[#This Row],[Payment]]=0,0,MAX(0,MIN(tblContractForDeed[[#This Row],[Beg]],tblContractForDeed[[#This Row],[Payment]]-tblContractForDeed[[#This Row],[Int]])))</f>
        <v>0</v>
      </c>
      <c r="S375" s="275">
        <f>IF(OR(tblContractForDeed[[#This Row],[Date]]&lt;cfdContractDate,tblContractForDeed[[#This Row],[Date]]&gt;cfdEndDate),0,ROUND(tblContractForDeed[[#This Row],[Beg]]*(tblContractForDeed[[#This Row],[Int Rate]]/12),2))</f>
        <v>0</v>
      </c>
      <c r="T375" s="275">
        <f>IF(tblContractForDeed[[#This Row],[Payment]]=0,0,$W$2)</f>
        <v>0</v>
      </c>
      <c r="U375" s="275">
        <f>IF(tblContractForDeed[[#This Row],[Princ]]=0,0,$W$3)</f>
        <v>0</v>
      </c>
      <c r="V375" s="275">
        <f>SUM(tblContractForDeed[[#This Row],[Princ]],tblContractForDeed[[#This Row],[Int]],tblContractForDeed[[#This Row],[Ins]],tblContractForDeed[[#This Row],[Taxes]])</f>
        <v>0</v>
      </c>
      <c r="W375" s="275">
        <f>SUM(INDEX(tblContractForDeed[Princ],1):INDEX(tblContractForDeed[Princ],ROW()-ROW(tblContractForDeed[#Headers])))</f>
        <v>75258.000000000029</v>
      </c>
      <c r="X375" s="275">
        <f>IF(tblContractForDeed[[#This Row],[Beg]]&lt;=0,0,tblContractForDeed[[#This Row],[Beg]]-tblContractForDeed[[#This Row],[Princ]])</f>
        <v>0</v>
      </c>
      <c r="Y37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54">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5" s="275">
        <f>IF(INDEX(tblContractForDeed[End Bal],ROW()-ROW(tblBuyerOutputs[#Headers]))&lt;=0,0,($O$6+IF(ROW()=ROW(tblBuyerOutputs[#Headers])+1,0,INDEX(tblBuyerOutputs[Cumul Appr],ROW()-ROW(tblBuyerOutputs[#Headers])-1)))*$O$2/12)</f>
        <v>0</v>
      </c>
      <c r="AE375" s="275">
        <f>IF(INDEX(tblContractForDeed[End Bal],ROW()-ROW(tblBuyerOutputs[#Headers]))&lt;=0,0,IF(ROW()=ROW(tblBuyerOutputs[#Headers])+1,0,INDEX(tblBuyerOutputs[Cumul Appr],ROW()-ROW(tblBuyerOutputs[#Headers])-1))+tblBuyerOutputs[[#This Row],[Monthly Appr]])</f>
        <v>0</v>
      </c>
      <c r="AF375" s="22"/>
      <c r="AG375" s="14"/>
      <c r="AL375"/>
      <c r="AM375" s="14"/>
      <c r="AO375" s="275"/>
      <c r="AQ375" s="14"/>
      <c r="AR375"/>
    </row>
    <row r="376" spans="1:44" x14ac:dyDescent="0.25">
      <c r="A376" s="590" t="str">
        <f t="shared" si="77"/>
        <v/>
      </c>
      <c r="B376" s="275">
        <f t="shared" si="78"/>
        <v>0</v>
      </c>
      <c r="C376" s="14">
        <f t="shared" si="75"/>
        <v>0</v>
      </c>
      <c r="D376" s="14">
        <f t="shared" si="79"/>
        <v>0</v>
      </c>
      <c r="E376" s="14">
        <f t="shared" si="76"/>
        <v>0</v>
      </c>
      <c r="F376" s="14">
        <f t="shared" si="85"/>
        <v>134.16999999999999</v>
      </c>
      <c r="G376" s="14">
        <f t="shared" si="85"/>
        <v>188.55</v>
      </c>
      <c r="H376" s="14">
        <f t="shared" si="73"/>
        <v>322.72000000000003</v>
      </c>
      <c r="I376" s="275">
        <f t="shared" si="82"/>
        <v>97531.839999999953</v>
      </c>
      <c r="J376" s="275">
        <f t="shared" si="83"/>
        <v>36068.259999999973</v>
      </c>
      <c r="K376" s="275">
        <f t="shared" si="80"/>
        <v>0</v>
      </c>
      <c r="L376" s="386">
        <f t="shared" si="86"/>
        <v>0</v>
      </c>
      <c r="M376" s="386">
        <f t="shared" si="81"/>
        <v>0</v>
      </c>
      <c r="N376" s="590" t="str">
        <f>INDEX(tblSubjectToLoan[Date],ROW()-ROW(tblContractForDeed[#Headers]))</f>
        <v/>
      </c>
      <c r="O376" s="275">
        <f>IF(ROW()=ROW(tblContractForDeed[#Headers])+1,$O$6,IF(INDEX(tblContractForDeed[End Bal],ROW()-ROW(tblContractForDeed[#Headers])-1)&lt;0,0,INDEX(tblContractForDeed[End Bal],ROW()-ROW(tblContractForDeed[#Headers])-1)))</f>
        <v>0</v>
      </c>
      <c r="P376" s="445" t="str">
        <f>IF(tblContractForDeed[[#This Row],[Date]]="","",IF(tblContractForDeed[[#This Row],[Date]]&lt;cfdRateChangeDate,cfdRate1,cfdRate2))</f>
        <v/>
      </c>
      <c r="Q3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75">
        <f>IF(tblContractForDeed[[#This Row],[Payment]]=0,0,MAX(0,MIN(tblContractForDeed[[#This Row],[Beg]],tblContractForDeed[[#This Row],[Payment]]-tblContractForDeed[[#This Row],[Int]])))</f>
        <v>0</v>
      </c>
      <c r="S376" s="275">
        <f>IF(OR(tblContractForDeed[[#This Row],[Date]]&lt;cfdContractDate,tblContractForDeed[[#This Row],[Date]]&gt;cfdEndDate),0,ROUND(tblContractForDeed[[#This Row],[Beg]]*(tblContractForDeed[[#This Row],[Int Rate]]/12),2))</f>
        <v>0</v>
      </c>
      <c r="T376" s="275">
        <f>IF(tblContractForDeed[[#This Row],[Payment]]=0,0,$W$2)</f>
        <v>0</v>
      </c>
      <c r="U376" s="275">
        <f>IF(tblContractForDeed[[#This Row],[Princ]]=0,0,$W$3)</f>
        <v>0</v>
      </c>
      <c r="V376" s="275">
        <f>SUM(tblContractForDeed[[#This Row],[Princ]],tblContractForDeed[[#This Row],[Int]],tblContractForDeed[[#This Row],[Ins]],tblContractForDeed[[#This Row],[Taxes]])</f>
        <v>0</v>
      </c>
      <c r="W376" s="275">
        <f>SUM(INDEX(tblContractForDeed[Princ],1):INDEX(tblContractForDeed[Princ],ROW()-ROW(tblContractForDeed[#Headers])))</f>
        <v>75258.000000000029</v>
      </c>
      <c r="X376" s="275">
        <f>IF(tblContractForDeed[[#This Row],[Beg]]&lt;=0,0,tblContractForDeed[[#This Row],[Beg]]-tblContractForDeed[[#This Row],[Princ]])</f>
        <v>0</v>
      </c>
      <c r="Y37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54">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6" s="275">
        <f>IF(INDEX(tblContractForDeed[End Bal],ROW()-ROW(tblBuyerOutputs[#Headers]))&lt;=0,0,($O$6+IF(ROW()=ROW(tblBuyerOutputs[#Headers])+1,0,INDEX(tblBuyerOutputs[Cumul Appr],ROW()-ROW(tblBuyerOutputs[#Headers])-1)))*$O$2/12)</f>
        <v>0</v>
      </c>
      <c r="AE376" s="275">
        <f>IF(INDEX(tblContractForDeed[End Bal],ROW()-ROW(tblBuyerOutputs[#Headers]))&lt;=0,0,IF(ROW()=ROW(tblBuyerOutputs[#Headers])+1,0,INDEX(tblBuyerOutputs[Cumul Appr],ROW()-ROW(tblBuyerOutputs[#Headers])-1))+tblBuyerOutputs[[#This Row],[Monthly Appr]])</f>
        <v>0</v>
      </c>
      <c r="AF376" s="22"/>
      <c r="AG376" s="14"/>
      <c r="AL376"/>
      <c r="AM376" s="14"/>
      <c r="AO376" s="275"/>
      <c r="AQ376" s="14"/>
      <c r="AR376"/>
    </row>
    <row r="377" spans="1:44" x14ac:dyDescent="0.25">
      <c r="A377" s="590" t="str">
        <f t="shared" si="77"/>
        <v/>
      </c>
      <c r="B377" s="275">
        <f t="shared" si="78"/>
        <v>0</v>
      </c>
      <c r="C377" s="14">
        <f t="shared" si="75"/>
        <v>0</v>
      </c>
      <c r="D377" s="14">
        <f t="shared" si="79"/>
        <v>0</v>
      </c>
      <c r="E377" s="14">
        <f t="shared" si="76"/>
        <v>0</v>
      </c>
      <c r="F377" s="14">
        <f t="shared" si="85"/>
        <v>134.16999999999999</v>
      </c>
      <c r="G377" s="14">
        <f t="shared" si="85"/>
        <v>188.55</v>
      </c>
      <c r="H377" s="14">
        <f t="shared" si="73"/>
        <v>322.72000000000003</v>
      </c>
      <c r="I377" s="275">
        <f t="shared" si="82"/>
        <v>97531.839999999953</v>
      </c>
      <c r="J377" s="275">
        <f t="shared" si="83"/>
        <v>36068.259999999973</v>
      </c>
      <c r="K377" s="275">
        <f t="shared" si="80"/>
        <v>0</v>
      </c>
      <c r="L377" s="386">
        <f t="shared" si="86"/>
        <v>0</v>
      </c>
      <c r="M377" s="386">
        <f t="shared" si="81"/>
        <v>0</v>
      </c>
      <c r="N377" s="590" t="str">
        <f>INDEX(tblSubjectToLoan[Date],ROW()-ROW(tblContractForDeed[#Headers]))</f>
        <v/>
      </c>
      <c r="O377" s="275">
        <f>IF(ROW()=ROW(tblContractForDeed[#Headers])+1,$O$6,IF(INDEX(tblContractForDeed[End Bal],ROW()-ROW(tblContractForDeed[#Headers])-1)&lt;0,0,INDEX(tblContractForDeed[End Bal],ROW()-ROW(tblContractForDeed[#Headers])-1)))</f>
        <v>0</v>
      </c>
      <c r="P377" s="445" t="str">
        <f>IF(tblContractForDeed[[#This Row],[Date]]="","",IF(tblContractForDeed[[#This Row],[Date]]&lt;cfdRateChangeDate,cfdRate1,cfdRate2))</f>
        <v/>
      </c>
      <c r="Q3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75">
        <f>IF(tblContractForDeed[[#This Row],[Payment]]=0,0,MAX(0,MIN(tblContractForDeed[[#This Row],[Beg]],tblContractForDeed[[#This Row],[Payment]]-tblContractForDeed[[#This Row],[Int]])))</f>
        <v>0</v>
      </c>
      <c r="S377" s="275">
        <f>IF(OR(tblContractForDeed[[#This Row],[Date]]&lt;cfdContractDate,tblContractForDeed[[#This Row],[Date]]&gt;cfdEndDate),0,ROUND(tblContractForDeed[[#This Row],[Beg]]*(tblContractForDeed[[#This Row],[Int Rate]]/12),2))</f>
        <v>0</v>
      </c>
      <c r="T377" s="275">
        <f>IF(tblContractForDeed[[#This Row],[Payment]]=0,0,$W$2)</f>
        <v>0</v>
      </c>
      <c r="U377" s="275">
        <f>IF(tblContractForDeed[[#This Row],[Princ]]=0,0,$W$3)</f>
        <v>0</v>
      </c>
      <c r="V377" s="275">
        <f>SUM(tblContractForDeed[[#This Row],[Princ]],tblContractForDeed[[#This Row],[Int]],tblContractForDeed[[#This Row],[Ins]],tblContractForDeed[[#This Row],[Taxes]])</f>
        <v>0</v>
      </c>
      <c r="W377" s="275">
        <f>SUM(INDEX(tblContractForDeed[Princ],1):INDEX(tblContractForDeed[Princ],ROW()-ROW(tblContractForDeed[#Headers])))</f>
        <v>75258.000000000029</v>
      </c>
      <c r="X377" s="275">
        <f>IF(tblContractForDeed[[#This Row],[Beg]]&lt;=0,0,tblContractForDeed[[#This Row],[Beg]]-tblContractForDeed[[#This Row],[Princ]])</f>
        <v>0</v>
      </c>
      <c r="Y37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54">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7" s="275">
        <f>IF(INDEX(tblContractForDeed[End Bal],ROW()-ROW(tblBuyerOutputs[#Headers]))&lt;=0,0,($O$6+IF(ROW()=ROW(tblBuyerOutputs[#Headers])+1,0,INDEX(tblBuyerOutputs[Cumul Appr],ROW()-ROW(tblBuyerOutputs[#Headers])-1)))*$O$2/12)</f>
        <v>0</v>
      </c>
      <c r="AE377" s="275">
        <f>IF(INDEX(tblContractForDeed[End Bal],ROW()-ROW(tblBuyerOutputs[#Headers]))&lt;=0,0,IF(ROW()=ROW(tblBuyerOutputs[#Headers])+1,0,INDEX(tblBuyerOutputs[Cumul Appr],ROW()-ROW(tblBuyerOutputs[#Headers])-1))+tblBuyerOutputs[[#This Row],[Monthly Appr]])</f>
        <v>0</v>
      </c>
      <c r="AF377" s="22"/>
      <c r="AG377" s="14"/>
      <c r="AL377"/>
      <c r="AM377" s="14"/>
      <c r="AO377" s="275"/>
      <c r="AQ377" s="14"/>
      <c r="AR377"/>
    </row>
    <row r="378" spans="1:44" x14ac:dyDescent="0.25">
      <c r="A378" s="590" t="str">
        <f t="shared" si="77"/>
        <v/>
      </c>
      <c r="B378" s="275">
        <f t="shared" si="78"/>
        <v>0</v>
      </c>
      <c r="C378" s="14">
        <f t="shared" si="75"/>
        <v>0</v>
      </c>
      <c r="D378" s="14">
        <f t="shared" si="79"/>
        <v>0</v>
      </c>
      <c r="E378" s="14">
        <f t="shared" si="76"/>
        <v>0</v>
      </c>
      <c r="F378" s="14">
        <f t="shared" si="85"/>
        <v>134.16999999999999</v>
      </c>
      <c r="G378" s="14">
        <f t="shared" si="85"/>
        <v>188.55</v>
      </c>
      <c r="H378" s="14">
        <f t="shared" si="73"/>
        <v>322.72000000000003</v>
      </c>
      <c r="I378" s="275">
        <f t="shared" si="82"/>
        <v>97531.839999999953</v>
      </c>
      <c r="J378" s="275">
        <f t="shared" si="83"/>
        <v>36068.259999999973</v>
      </c>
      <c r="K378" s="275">
        <f t="shared" si="80"/>
        <v>0</v>
      </c>
      <c r="L378" s="386">
        <f t="shared" si="86"/>
        <v>0</v>
      </c>
      <c r="M378" s="386">
        <f t="shared" si="81"/>
        <v>0</v>
      </c>
      <c r="N378" s="590" t="str">
        <f>INDEX(tblSubjectToLoan[Date],ROW()-ROW(tblContractForDeed[#Headers]))</f>
        <v/>
      </c>
      <c r="O378" s="275">
        <f>IF(ROW()=ROW(tblContractForDeed[#Headers])+1,$O$6,IF(INDEX(tblContractForDeed[End Bal],ROW()-ROW(tblContractForDeed[#Headers])-1)&lt;0,0,INDEX(tblContractForDeed[End Bal],ROW()-ROW(tblContractForDeed[#Headers])-1)))</f>
        <v>0</v>
      </c>
      <c r="P378" s="445" t="str">
        <f>IF(tblContractForDeed[[#This Row],[Date]]="","",IF(tblContractForDeed[[#This Row],[Date]]&lt;cfdRateChangeDate,cfdRate1,cfdRate2))</f>
        <v/>
      </c>
      <c r="Q3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75">
        <f>IF(tblContractForDeed[[#This Row],[Payment]]=0,0,MAX(0,MIN(tblContractForDeed[[#This Row],[Beg]],tblContractForDeed[[#This Row],[Payment]]-tblContractForDeed[[#This Row],[Int]])))</f>
        <v>0</v>
      </c>
      <c r="S378" s="275">
        <f>IF(OR(tblContractForDeed[[#This Row],[Date]]&lt;cfdContractDate,tblContractForDeed[[#This Row],[Date]]&gt;cfdEndDate),0,ROUND(tblContractForDeed[[#This Row],[Beg]]*(tblContractForDeed[[#This Row],[Int Rate]]/12),2))</f>
        <v>0</v>
      </c>
      <c r="T378" s="275">
        <f>IF(tblContractForDeed[[#This Row],[Payment]]=0,0,$W$2)</f>
        <v>0</v>
      </c>
      <c r="U378" s="275">
        <f>IF(tblContractForDeed[[#This Row],[Princ]]=0,0,$W$3)</f>
        <v>0</v>
      </c>
      <c r="V378" s="275">
        <f>SUM(tblContractForDeed[[#This Row],[Princ]],tblContractForDeed[[#This Row],[Int]],tblContractForDeed[[#This Row],[Ins]],tblContractForDeed[[#This Row],[Taxes]])</f>
        <v>0</v>
      </c>
      <c r="W378" s="275">
        <f>SUM(INDEX(tblContractForDeed[Princ],1):INDEX(tblContractForDeed[Princ],ROW()-ROW(tblContractForDeed[#Headers])))</f>
        <v>75258.000000000029</v>
      </c>
      <c r="X378" s="275">
        <f>IF(tblContractForDeed[[#This Row],[Beg]]&lt;=0,0,tblContractForDeed[[#This Row],[Beg]]-tblContractForDeed[[#This Row],[Princ]])</f>
        <v>0</v>
      </c>
      <c r="Y37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54">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8" s="275">
        <f>IF(INDEX(tblContractForDeed[End Bal],ROW()-ROW(tblBuyerOutputs[#Headers]))&lt;=0,0,($O$6+IF(ROW()=ROW(tblBuyerOutputs[#Headers])+1,0,INDEX(tblBuyerOutputs[Cumul Appr],ROW()-ROW(tblBuyerOutputs[#Headers])-1)))*$O$2/12)</f>
        <v>0</v>
      </c>
      <c r="AE378" s="275">
        <f>IF(INDEX(tblContractForDeed[End Bal],ROW()-ROW(tblBuyerOutputs[#Headers]))&lt;=0,0,IF(ROW()=ROW(tblBuyerOutputs[#Headers])+1,0,INDEX(tblBuyerOutputs[Cumul Appr],ROW()-ROW(tblBuyerOutputs[#Headers])-1))+tblBuyerOutputs[[#This Row],[Monthly Appr]])</f>
        <v>0</v>
      </c>
      <c r="AF378" s="22"/>
      <c r="AG378" s="14"/>
      <c r="AL378"/>
      <c r="AM378" s="14"/>
      <c r="AO378" s="275"/>
      <c r="AQ378" s="14"/>
      <c r="AR378"/>
    </row>
    <row r="379" spans="1:44" ht="15.75" thickBot="1" x14ac:dyDescent="0.3">
      <c r="A379" s="591" t="str">
        <f t="shared" si="77"/>
        <v/>
      </c>
      <c r="B379" s="326">
        <f t="shared" si="78"/>
        <v>0</v>
      </c>
      <c r="C379" s="21">
        <f t="shared" si="75"/>
        <v>0</v>
      </c>
      <c r="D379" s="21">
        <f t="shared" si="79"/>
        <v>0</v>
      </c>
      <c r="E379" s="21">
        <f t="shared" si="76"/>
        <v>0</v>
      </c>
      <c r="F379" s="21">
        <f t="shared" si="85"/>
        <v>134.16999999999999</v>
      </c>
      <c r="G379" s="21">
        <f t="shared" si="85"/>
        <v>188.55</v>
      </c>
      <c r="H379" s="21">
        <f t="shared" si="73"/>
        <v>322.72000000000003</v>
      </c>
      <c r="I379" s="326">
        <f t="shared" si="82"/>
        <v>97531.839999999953</v>
      </c>
      <c r="J379" s="326">
        <f t="shared" si="83"/>
        <v>36068.259999999973</v>
      </c>
      <c r="K379" s="326">
        <f t="shared" si="80"/>
        <v>0</v>
      </c>
      <c r="L379" s="387">
        <f t="shared" si="86"/>
        <v>0</v>
      </c>
      <c r="M379" s="387">
        <f t="shared" si="81"/>
        <v>0</v>
      </c>
      <c r="N379" s="591" t="str">
        <f>INDEX(tblSubjectToLoan[Date],ROW()-ROW(tblContractForDeed[#Headers]))</f>
        <v/>
      </c>
      <c r="O379" s="326">
        <f>IF(ROW()=ROW(tblContractForDeed[#Headers])+1,$O$6,IF(INDEX(tblContractForDeed[End Bal],ROW()-ROW(tblContractForDeed[#Headers])-1)&lt;0,0,INDEX(tblContractForDeed[End Bal],ROW()-ROW(tblContractForDeed[#Headers])-1)))</f>
        <v>0</v>
      </c>
      <c r="P379" s="445" t="str">
        <f>IF(tblContractForDeed[[#This Row],[Date]]="","",IF(tblContractForDeed[[#This Row],[Date]]&lt;cfdRateChangeDate,cfdRate1,cfdRate2))</f>
        <v/>
      </c>
      <c r="Q37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26">
        <f>IF(tblContractForDeed[[#This Row],[Payment]]=0,0,MAX(0,MIN(tblContractForDeed[[#This Row],[Beg]],tblContractForDeed[[#This Row],[Payment]]-tblContractForDeed[[#This Row],[Int]])))</f>
        <v>0</v>
      </c>
      <c r="S379" s="326">
        <f>IF(OR(tblContractForDeed[[#This Row],[Date]]&lt;cfdContractDate,tblContractForDeed[[#This Row],[Date]]&gt;cfdEndDate),0,ROUND(tblContractForDeed[[#This Row],[Beg]]*(tblContractForDeed[[#This Row],[Int Rate]]/12),2))</f>
        <v>0</v>
      </c>
      <c r="T379" s="326">
        <f>IF(tblContractForDeed[[#This Row],[Payment]]=0,0,$W$2)</f>
        <v>0</v>
      </c>
      <c r="U379" s="326">
        <f>IF(tblContractForDeed[[#This Row],[Princ]]=0,0,$W$3)</f>
        <v>0</v>
      </c>
      <c r="V379" s="326">
        <f>SUM(tblContractForDeed[[#This Row],[Princ]],tblContractForDeed[[#This Row],[Int]],tblContractForDeed[[#This Row],[Ins]],tblContractForDeed[[#This Row],[Taxes]])</f>
        <v>0</v>
      </c>
      <c r="W379" s="326">
        <f>SUM(INDEX(tblContractForDeed[Princ],1):INDEX(tblContractForDeed[Princ],ROW()-ROW(tblContractForDeed[#Headers])))</f>
        <v>75258.000000000029</v>
      </c>
      <c r="X379" s="326">
        <f>IF(tblContractForDeed[[#This Row],[Beg]]&lt;=0,0,tblContractForDeed[[#This Row],[Beg]]-tblContractForDeed[[#This Row],[Princ]])</f>
        <v>0</v>
      </c>
      <c r="Y37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55">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9" s="326">
        <f>IF(INDEX(tblContractForDeed[End Bal],ROW()-ROW(tblBuyerOutputs[#Headers]))&lt;=0,0,($O$6+IF(ROW()=ROW(tblBuyerOutputs[#Headers])+1,0,INDEX(tblBuyerOutputs[Cumul Appr],ROW()-ROW(tblBuyerOutputs[#Headers])-1)))*$O$2/12)</f>
        <v>0</v>
      </c>
      <c r="AE379" s="326">
        <f>IF(INDEX(tblContractForDeed[End Bal],ROW()-ROW(tblBuyerOutputs[#Headers]))&lt;=0,0,IF(ROW()=ROW(tblBuyerOutputs[#Headers])+1,0,INDEX(tblBuyerOutputs[Cumul Appr],ROW()-ROW(tblBuyerOutputs[#Headers])-1))+tblBuyerOutputs[[#This Row],[Monthly Appr]])</f>
        <v>0</v>
      </c>
      <c r="AF379" s="22"/>
      <c r="AG379" s="14"/>
      <c r="AL379"/>
      <c r="AM379" s="14"/>
      <c r="AO379" s="275"/>
      <c r="AQ379" s="14"/>
      <c r="AR379"/>
    </row>
    <row r="380" spans="1:44" x14ac:dyDescent="0.25">
      <c r="A380" s="590" t="str">
        <f t="shared" si="77"/>
        <v/>
      </c>
      <c r="B380" s="275">
        <f t="shared" si="78"/>
        <v>0</v>
      </c>
      <c r="C380" s="14">
        <f t="shared" si="75"/>
        <v>0</v>
      </c>
      <c r="D380" s="14">
        <f t="shared" si="79"/>
        <v>0</v>
      </c>
      <c r="E380" s="14">
        <f t="shared" si="76"/>
        <v>0</v>
      </c>
      <c r="F380" s="14">
        <f t="shared" si="85"/>
        <v>134.16999999999999</v>
      </c>
      <c r="G380" s="14">
        <f t="shared" si="85"/>
        <v>188.55</v>
      </c>
      <c r="H380" s="14">
        <f t="shared" si="73"/>
        <v>322.72000000000003</v>
      </c>
      <c r="I380" s="275">
        <f t="shared" si="82"/>
        <v>97531.839999999953</v>
      </c>
      <c r="J380" s="275">
        <f t="shared" si="83"/>
        <v>36068.259999999973</v>
      </c>
      <c r="K380" s="275">
        <f t="shared" si="80"/>
        <v>0</v>
      </c>
      <c r="L380" s="386">
        <f t="shared" si="86"/>
        <v>0</v>
      </c>
      <c r="M380" s="386">
        <f t="shared" si="81"/>
        <v>0</v>
      </c>
      <c r="N380" s="590" t="str">
        <f>INDEX(tblSubjectToLoan[Date],ROW()-ROW(tblContractForDeed[#Headers]))</f>
        <v/>
      </c>
      <c r="O380" s="275">
        <f>IF(ROW()=ROW(tblContractForDeed[#Headers])+1,$O$6,IF(INDEX(tblContractForDeed[End Bal],ROW()-ROW(tblContractForDeed[#Headers])-1)&lt;0,0,INDEX(tblContractForDeed[End Bal],ROW()-ROW(tblContractForDeed[#Headers])-1)))</f>
        <v>0</v>
      </c>
      <c r="P380" s="445" t="str">
        <f>IF(tblContractForDeed[[#This Row],[Date]]="","",IF(tblContractForDeed[[#This Row],[Date]]&lt;cfdRateChangeDate,cfdRate1,cfdRate2))</f>
        <v/>
      </c>
      <c r="Q3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75">
        <f>IF(tblContractForDeed[[#This Row],[Payment]]=0,0,MAX(0,MIN(tblContractForDeed[[#This Row],[Beg]],tblContractForDeed[[#This Row],[Payment]]-tblContractForDeed[[#This Row],[Int]])))</f>
        <v>0</v>
      </c>
      <c r="S380" s="275">
        <f>IF(OR(tblContractForDeed[[#This Row],[Date]]&lt;cfdContractDate,tblContractForDeed[[#This Row],[Date]]&gt;cfdEndDate),0,ROUND(tblContractForDeed[[#This Row],[Beg]]*(tblContractForDeed[[#This Row],[Int Rate]]/12),2))</f>
        <v>0</v>
      </c>
      <c r="T380" s="275">
        <f>IF(tblContractForDeed[[#This Row],[Payment]]=0,0,$W$2)</f>
        <v>0</v>
      </c>
      <c r="U380" s="275">
        <f>IF(tblContractForDeed[[#This Row],[Princ]]=0,0,$W$3)</f>
        <v>0</v>
      </c>
      <c r="V380" s="275">
        <f>SUM(tblContractForDeed[[#This Row],[Princ]],tblContractForDeed[[#This Row],[Int]],tblContractForDeed[[#This Row],[Ins]],tblContractForDeed[[#This Row],[Taxes]])</f>
        <v>0</v>
      </c>
      <c r="W380" s="275">
        <f>SUM(INDEX(tblContractForDeed[Princ],1):INDEX(tblContractForDeed[Princ],ROW()-ROW(tblContractForDeed[#Headers])))</f>
        <v>75258.000000000029</v>
      </c>
      <c r="X380" s="275">
        <f>IF(tblContractForDeed[[#This Row],[Beg]]&lt;=0,0,tblContractForDeed[[#This Row],[Beg]]-tblContractForDeed[[#This Row],[Princ]])</f>
        <v>0</v>
      </c>
      <c r="Y38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54">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0" s="275">
        <f>IF(INDEX(tblContractForDeed[End Bal],ROW()-ROW(tblBuyerOutputs[#Headers]))&lt;=0,0,($O$6+IF(ROW()=ROW(tblBuyerOutputs[#Headers])+1,0,INDEX(tblBuyerOutputs[Cumul Appr],ROW()-ROW(tblBuyerOutputs[#Headers])-1)))*$O$2/12)</f>
        <v>0</v>
      </c>
      <c r="AE380" s="275">
        <f>IF(INDEX(tblContractForDeed[End Bal],ROW()-ROW(tblBuyerOutputs[#Headers]))&lt;=0,0,IF(ROW()=ROW(tblBuyerOutputs[#Headers])+1,0,INDEX(tblBuyerOutputs[Cumul Appr],ROW()-ROW(tblBuyerOutputs[#Headers])-1))+tblBuyerOutputs[[#This Row],[Monthly Appr]])</f>
        <v>0</v>
      </c>
      <c r="AF380" s="22"/>
      <c r="AG380" s="14"/>
      <c r="AL380"/>
      <c r="AM380" s="14"/>
      <c r="AO380" s="275"/>
      <c r="AQ380" s="14"/>
      <c r="AR380"/>
    </row>
    <row r="381" spans="1:44" x14ac:dyDescent="0.25">
      <c r="A381" s="590" t="str">
        <f t="shared" si="77"/>
        <v/>
      </c>
      <c r="B381" s="275">
        <f t="shared" si="78"/>
        <v>0</v>
      </c>
      <c r="C381" s="14">
        <f t="shared" si="75"/>
        <v>0</v>
      </c>
      <c r="D381" s="14">
        <f t="shared" si="79"/>
        <v>0</v>
      </c>
      <c r="E381" s="14">
        <f t="shared" si="76"/>
        <v>0</v>
      </c>
      <c r="F381" s="14">
        <f t="shared" si="85"/>
        <v>134.16999999999999</v>
      </c>
      <c r="G381" s="14">
        <f t="shared" si="85"/>
        <v>188.55</v>
      </c>
      <c r="H381" s="14">
        <f t="shared" si="73"/>
        <v>322.72000000000003</v>
      </c>
      <c r="I381" s="275">
        <f t="shared" si="82"/>
        <v>97531.839999999953</v>
      </c>
      <c r="J381" s="275">
        <f t="shared" si="83"/>
        <v>36068.259999999973</v>
      </c>
      <c r="K381" s="275">
        <f t="shared" si="80"/>
        <v>0</v>
      </c>
      <c r="L381" s="386">
        <f t="shared" si="86"/>
        <v>0</v>
      </c>
      <c r="M381" s="386">
        <f t="shared" si="81"/>
        <v>0</v>
      </c>
      <c r="N381" s="590" t="str">
        <f>INDEX(tblSubjectToLoan[Date],ROW()-ROW(tblContractForDeed[#Headers]))</f>
        <v/>
      </c>
      <c r="O381" s="275">
        <f>IF(ROW()=ROW(tblContractForDeed[#Headers])+1,$O$6,IF(INDEX(tblContractForDeed[End Bal],ROW()-ROW(tblContractForDeed[#Headers])-1)&lt;0,0,INDEX(tblContractForDeed[End Bal],ROW()-ROW(tblContractForDeed[#Headers])-1)))</f>
        <v>0</v>
      </c>
      <c r="P381" s="445" t="str">
        <f>IF(tblContractForDeed[[#This Row],[Date]]="","",IF(tblContractForDeed[[#This Row],[Date]]&lt;cfdRateChangeDate,cfdRate1,cfdRate2))</f>
        <v/>
      </c>
      <c r="Q3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75">
        <f>IF(tblContractForDeed[[#This Row],[Payment]]=0,0,MAX(0,MIN(tblContractForDeed[[#This Row],[Beg]],tblContractForDeed[[#This Row],[Payment]]-tblContractForDeed[[#This Row],[Int]])))</f>
        <v>0</v>
      </c>
      <c r="S381" s="275">
        <f>IF(OR(tblContractForDeed[[#This Row],[Date]]&lt;cfdContractDate,tblContractForDeed[[#This Row],[Date]]&gt;cfdEndDate),0,ROUND(tblContractForDeed[[#This Row],[Beg]]*(tblContractForDeed[[#This Row],[Int Rate]]/12),2))</f>
        <v>0</v>
      </c>
      <c r="T381" s="275">
        <f>IF(tblContractForDeed[[#This Row],[Payment]]=0,0,$W$2)</f>
        <v>0</v>
      </c>
      <c r="U381" s="275">
        <f>IF(tblContractForDeed[[#This Row],[Princ]]=0,0,$W$3)</f>
        <v>0</v>
      </c>
      <c r="V381" s="275">
        <f>SUM(tblContractForDeed[[#This Row],[Princ]],tblContractForDeed[[#This Row],[Int]],tblContractForDeed[[#This Row],[Ins]],tblContractForDeed[[#This Row],[Taxes]])</f>
        <v>0</v>
      </c>
      <c r="W381" s="275">
        <f>SUM(INDEX(tblContractForDeed[Princ],1):INDEX(tblContractForDeed[Princ],ROW()-ROW(tblContractForDeed[#Headers])))</f>
        <v>75258.000000000029</v>
      </c>
      <c r="X381" s="275">
        <f>IF(tblContractForDeed[[#This Row],[Beg]]&lt;=0,0,tblContractForDeed[[#This Row],[Beg]]-tblContractForDeed[[#This Row],[Princ]])</f>
        <v>0</v>
      </c>
      <c r="Y38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54">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1" s="275">
        <f>IF(INDEX(tblContractForDeed[End Bal],ROW()-ROW(tblBuyerOutputs[#Headers]))&lt;=0,0,($O$6+IF(ROW()=ROW(tblBuyerOutputs[#Headers])+1,0,INDEX(tblBuyerOutputs[Cumul Appr],ROW()-ROW(tblBuyerOutputs[#Headers])-1)))*$O$2/12)</f>
        <v>0</v>
      </c>
      <c r="AE381" s="275">
        <f>IF(INDEX(tblContractForDeed[End Bal],ROW()-ROW(tblBuyerOutputs[#Headers]))&lt;=0,0,IF(ROW()=ROW(tblBuyerOutputs[#Headers])+1,0,INDEX(tblBuyerOutputs[Cumul Appr],ROW()-ROW(tblBuyerOutputs[#Headers])-1))+tblBuyerOutputs[[#This Row],[Monthly Appr]])</f>
        <v>0</v>
      </c>
      <c r="AF381" s="22"/>
      <c r="AG381" s="14"/>
      <c r="AL381"/>
      <c r="AM381" s="14"/>
      <c r="AO381" s="275"/>
      <c r="AQ381" s="14"/>
      <c r="AR381"/>
    </row>
    <row r="382" spans="1:44" x14ac:dyDescent="0.25">
      <c r="A382" s="590" t="str">
        <f t="shared" si="77"/>
        <v/>
      </c>
      <c r="B382" s="275">
        <f t="shared" si="78"/>
        <v>0</v>
      </c>
      <c r="C382" s="14">
        <f t="shared" si="75"/>
        <v>0</v>
      </c>
      <c r="D382" s="14">
        <f t="shared" si="79"/>
        <v>0</v>
      </c>
      <c r="E382" s="14">
        <f t="shared" si="76"/>
        <v>0</v>
      </c>
      <c r="F382" s="14">
        <f t="shared" si="85"/>
        <v>134.16999999999999</v>
      </c>
      <c r="G382" s="14">
        <f t="shared" si="85"/>
        <v>188.55</v>
      </c>
      <c r="H382" s="14">
        <f t="shared" si="73"/>
        <v>322.72000000000003</v>
      </c>
      <c r="I382" s="275">
        <f t="shared" si="82"/>
        <v>97531.839999999953</v>
      </c>
      <c r="J382" s="275">
        <f t="shared" si="83"/>
        <v>36068.259999999973</v>
      </c>
      <c r="K382" s="275">
        <f t="shared" si="80"/>
        <v>0</v>
      </c>
      <c r="L382" s="386">
        <f t="shared" si="86"/>
        <v>0</v>
      </c>
      <c r="M382" s="386">
        <f t="shared" si="81"/>
        <v>0</v>
      </c>
      <c r="N382" s="590" t="str">
        <f>INDEX(tblSubjectToLoan[Date],ROW()-ROW(tblContractForDeed[#Headers]))</f>
        <v/>
      </c>
      <c r="O382" s="275">
        <f>IF(ROW()=ROW(tblContractForDeed[#Headers])+1,$O$6,IF(INDEX(tblContractForDeed[End Bal],ROW()-ROW(tblContractForDeed[#Headers])-1)&lt;0,0,INDEX(tblContractForDeed[End Bal],ROW()-ROW(tblContractForDeed[#Headers])-1)))</f>
        <v>0</v>
      </c>
      <c r="P382" s="445" t="str">
        <f>IF(tblContractForDeed[[#This Row],[Date]]="","",IF(tblContractForDeed[[#This Row],[Date]]&lt;cfdRateChangeDate,cfdRate1,cfdRate2))</f>
        <v/>
      </c>
      <c r="Q3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75">
        <f>IF(tblContractForDeed[[#This Row],[Payment]]=0,0,MAX(0,MIN(tblContractForDeed[[#This Row],[Beg]],tblContractForDeed[[#This Row],[Payment]]-tblContractForDeed[[#This Row],[Int]])))</f>
        <v>0</v>
      </c>
      <c r="S382" s="275">
        <f>IF(OR(tblContractForDeed[[#This Row],[Date]]&lt;cfdContractDate,tblContractForDeed[[#This Row],[Date]]&gt;cfdEndDate),0,ROUND(tblContractForDeed[[#This Row],[Beg]]*(tblContractForDeed[[#This Row],[Int Rate]]/12),2))</f>
        <v>0</v>
      </c>
      <c r="T382" s="275">
        <f>IF(tblContractForDeed[[#This Row],[Payment]]=0,0,$W$2)</f>
        <v>0</v>
      </c>
      <c r="U382" s="275">
        <f>IF(tblContractForDeed[[#This Row],[Princ]]=0,0,$W$3)</f>
        <v>0</v>
      </c>
      <c r="V382" s="275">
        <f>SUM(tblContractForDeed[[#This Row],[Princ]],tblContractForDeed[[#This Row],[Int]],tblContractForDeed[[#This Row],[Ins]],tblContractForDeed[[#This Row],[Taxes]])</f>
        <v>0</v>
      </c>
      <c r="W382" s="275">
        <f>SUM(INDEX(tblContractForDeed[Princ],1):INDEX(tblContractForDeed[Princ],ROW()-ROW(tblContractForDeed[#Headers])))</f>
        <v>75258.000000000029</v>
      </c>
      <c r="X382" s="275">
        <f>IF(tblContractForDeed[[#This Row],[Beg]]&lt;=0,0,tblContractForDeed[[#This Row],[Beg]]-tblContractForDeed[[#This Row],[Princ]])</f>
        <v>0</v>
      </c>
      <c r="Y38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54">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2" s="275">
        <f>IF(INDEX(tblContractForDeed[End Bal],ROW()-ROW(tblBuyerOutputs[#Headers]))&lt;=0,0,($O$6+IF(ROW()=ROW(tblBuyerOutputs[#Headers])+1,0,INDEX(tblBuyerOutputs[Cumul Appr],ROW()-ROW(tblBuyerOutputs[#Headers])-1)))*$O$2/12)</f>
        <v>0</v>
      </c>
      <c r="AE382" s="275">
        <f>IF(INDEX(tblContractForDeed[End Bal],ROW()-ROW(tblBuyerOutputs[#Headers]))&lt;=0,0,IF(ROW()=ROW(tblBuyerOutputs[#Headers])+1,0,INDEX(tblBuyerOutputs[Cumul Appr],ROW()-ROW(tblBuyerOutputs[#Headers])-1))+tblBuyerOutputs[[#This Row],[Monthly Appr]])</f>
        <v>0</v>
      </c>
      <c r="AF382" s="22"/>
      <c r="AG382" s="14"/>
      <c r="AL382"/>
      <c r="AM382" s="14"/>
      <c r="AO382" s="275"/>
      <c r="AQ382" s="14"/>
      <c r="AR382"/>
    </row>
    <row r="383" spans="1:44" x14ac:dyDescent="0.25">
      <c r="A383" s="590" t="str">
        <f t="shared" si="77"/>
        <v/>
      </c>
      <c r="B383" s="275">
        <f t="shared" si="78"/>
        <v>0</v>
      </c>
      <c r="C383" s="14">
        <f t="shared" si="75"/>
        <v>0</v>
      </c>
      <c r="D383" s="14">
        <f t="shared" si="79"/>
        <v>0</v>
      </c>
      <c r="E383" s="14">
        <f t="shared" si="76"/>
        <v>0</v>
      </c>
      <c r="F383" s="14">
        <f t="shared" ref="F383:G398" si="87">+F382</f>
        <v>134.16999999999999</v>
      </c>
      <c r="G383" s="14">
        <f t="shared" si="87"/>
        <v>188.55</v>
      </c>
      <c r="H383" s="14">
        <f t="shared" si="73"/>
        <v>322.72000000000003</v>
      </c>
      <c r="I383" s="275">
        <f t="shared" si="82"/>
        <v>97531.839999999953</v>
      </c>
      <c r="J383" s="275">
        <f t="shared" si="83"/>
        <v>36068.259999999973</v>
      </c>
      <c r="K383" s="275">
        <f t="shared" si="80"/>
        <v>0</v>
      </c>
      <c r="L383" s="386">
        <f t="shared" si="86"/>
        <v>0</v>
      </c>
      <c r="M383" s="386">
        <f t="shared" si="81"/>
        <v>0</v>
      </c>
      <c r="N383" s="590" t="str">
        <f>INDEX(tblSubjectToLoan[Date],ROW()-ROW(tblContractForDeed[#Headers]))</f>
        <v/>
      </c>
      <c r="O383" s="275">
        <f>IF(ROW()=ROW(tblContractForDeed[#Headers])+1,$O$6,IF(INDEX(tblContractForDeed[End Bal],ROW()-ROW(tblContractForDeed[#Headers])-1)&lt;0,0,INDEX(tblContractForDeed[End Bal],ROW()-ROW(tblContractForDeed[#Headers])-1)))</f>
        <v>0</v>
      </c>
      <c r="P383" s="445" t="str">
        <f>IF(tblContractForDeed[[#This Row],[Date]]="","",IF(tblContractForDeed[[#This Row],[Date]]&lt;cfdRateChangeDate,cfdRate1,cfdRate2))</f>
        <v/>
      </c>
      <c r="Q38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75">
        <f>IF(tblContractForDeed[[#This Row],[Payment]]=0,0,MAX(0,MIN(tblContractForDeed[[#This Row],[Beg]],tblContractForDeed[[#This Row],[Payment]]-tblContractForDeed[[#This Row],[Int]])))</f>
        <v>0</v>
      </c>
      <c r="S383" s="275">
        <f>IF(OR(tblContractForDeed[[#This Row],[Date]]&lt;cfdContractDate,tblContractForDeed[[#This Row],[Date]]&gt;cfdEndDate),0,ROUND(tblContractForDeed[[#This Row],[Beg]]*(tblContractForDeed[[#This Row],[Int Rate]]/12),2))</f>
        <v>0</v>
      </c>
      <c r="T383" s="275">
        <f>IF(tblContractForDeed[[#This Row],[Payment]]=0,0,$W$2)</f>
        <v>0</v>
      </c>
      <c r="U383" s="275">
        <f>IF(tblContractForDeed[[#This Row],[Princ]]=0,0,$W$3)</f>
        <v>0</v>
      </c>
      <c r="V383" s="275">
        <f>SUM(tblContractForDeed[[#This Row],[Princ]],tblContractForDeed[[#This Row],[Int]],tblContractForDeed[[#This Row],[Ins]],tblContractForDeed[[#This Row],[Taxes]])</f>
        <v>0</v>
      </c>
      <c r="W383" s="275">
        <f>SUM(INDEX(tblContractForDeed[Princ],1):INDEX(tblContractForDeed[Princ],ROW()-ROW(tblContractForDeed[#Headers])))</f>
        <v>75258.000000000029</v>
      </c>
      <c r="X383" s="275">
        <f>IF(tblContractForDeed[[#This Row],[Beg]]&lt;=0,0,tblContractForDeed[[#This Row],[Beg]]-tblContractForDeed[[#This Row],[Princ]])</f>
        <v>0</v>
      </c>
      <c r="Y38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54">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3" s="275">
        <f>IF(INDEX(tblContractForDeed[End Bal],ROW()-ROW(tblBuyerOutputs[#Headers]))&lt;=0,0,($O$6+IF(ROW()=ROW(tblBuyerOutputs[#Headers])+1,0,INDEX(tblBuyerOutputs[Cumul Appr],ROW()-ROW(tblBuyerOutputs[#Headers])-1)))*$O$2/12)</f>
        <v>0</v>
      </c>
      <c r="AE383" s="275">
        <f>IF(INDEX(tblContractForDeed[End Bal],ROW()-ROW(tblBuyerOutputs[#Headers]))&lt;=0,0,IF(ROW()=ROW(tblBuyerOutputs[#Headers])+1,0,INDEX(tblBuyerOutputs[Cumul Appr],ROW()-ROW(tblBuyerOutputs[#Headers])-1))+tblBuyerOutputs[[#This Row],[Monthly Appr]])</f>
        <v>0</v>
      </c>
      <c r="AF383" s="22"/>
      <c r="AG383" s="14"/>
      <c r="AL383"/>
      <c r="AM383" s="14"/>
      <c r="AO383" s="275"/>
      <c r="AQ383" s="14"/>
      <c r="AR383"/>
    </row>
    <row r="384" spans="1:44" x14ac:dyDescent="0.25">
      <c r="A384" s="590" t="str">
        <f t="shared" si="77"/>
        <v/>
      </c>
      <c r="B384" s="275">
        <f t="shared" si="78"/>
        <v>0</v>
      </c>
      <c r="C384" s="14">
        <f t="shared" si="75"/>
        <v>0</v>
      </c>
      <c r="D384" s="14">
        <f t="shared" si="79"/>
        <v>0</v>
      </c>
      <c r="E384" s="14">
        <f t="shared" si="76"/>
        <v>0</v>
      </c>
      <c r="F384" s="14">
        <f t="shared" si="87"/>
        <v>134.16999999999999</v>
      </c>
      <c r="G384" s="14">
        <f t="shared" si="87"/>
        <v>188.55</v>
      </c>
      <c r="H384" s="14">
        <f t="shared" ref="H384:H447" si="88">SUM(D384:G384)</f>
        <v>322.72000000000003</v>
      </c>
      <c r="I384" s="275">
        <f t="shared" si="82"/>
        <v>97531.839999999953</v>
      </c>
      <c r="J384" s="275">
        <f t="shared" si="83"/>
        <v>36068.259999999973</v>
      </c>
      <c r="K384" s="275">
        <f t="shared" si="80"/>
        <v>0</v>
      </c>
      <c r="L384" s="386">
        <f t="shared" si="86"/>
        <v>0</v>
      </c>
      <c r="M384" s="386">
        <f t="shared" si="81"/>
        <v>0</v>
      </c>
      <c r="N384" s="590" t="str">
        <f>INDEX(tblSubjectToLoan[Date],ROW()-ROW(tblContractForDeed[#Headers]))</f>
        <v/>
      </c>
      <c r="O384" s="275">
        <f>IF(ROW()=ROW(tblContractForDeed[#Headers])+1,$O$6,IF(INDEX(tblContractForDeed[End Bal],ROW()-ROW(tblContractForDeed[#Headers])-1)&lt;0,0,INDEX(tblContractForDeed[End Bal],ROW()-ROW(tblContractForDeed[#Headers])-1)))</f>
        <v>0</v>
      </c>
      <c r="P384" s="445" t="str">
        <f>IF(tblContractForDeed[[#This Row],[Date]]="","",IF(tblContractForDeed[[#This Row],[Date]]&lt;cfdRateChangeDate,cfdRate1,cfdRate2))</f>
        <v/>
      </c>
      <c r="Q3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75">
        <f>IF(tblContractForDeed[[#This Row],[Payment]]=0,0,MAX(0,MIN(tblContractForDeed[[#This Row],[Beg]],tblContractForDeed[[#This Row],[Payment]]-tblContractForDeed[[#This Row],[Int]])))</f>
        <v>0</v>
      </c>
      <c r="S384" s="275">
        <f>IF(OR(tblContractForDeed[[#This Row],[Date]]&lt;cfdContractDate,tblContractForDeed[[#This Row],[Date]]&gt;cfdEndDate),0,ROUND(tblContractForDeed[[#This Row],[Beg]]*(tblContractForDeed[[#This Row],[Int Rate]]/12),2))</f>
        <v>0</v>
      </c>
      <c r="T384" s="275">
        <f>IF(tblContractForDeed[[#This Row],[Payment]]=0,0,$W$2)</f>
        <v>0</v>
      </c>
      <c r="U384" s="275">
        <f>IF(tblContractForDeed[[#This Row],[Princ]]=0,0,$W$3)</f>
        <v>0</v>
      </c>
      <c r="V384" s="275">
        <f>SUM(tblContractForDeed[[#This Row],[Princ]],tblContractForDeed[[#This Row],[Int]],tblContractForDeed[[#This Row],[Ins]],tblContractForDeed[[#This Row],[Taxes]])</f>
        <v>0</v>
      </c>
      <c r="W384" s="275">
        <f>SUM(INDEX(tblContractForDeed[Princ],1):INDEX(tblContractForDeed[Princ],ROW()-ROW(tblContractForDeed[#Headers])))</f>
        <v>75258.000000000029</v>
      </c>
      <c r="X384" s="275">
        <f>IF(tblContractForDeed[[#This Row],[Beg]]&lt;=0,0,tblContractForDeed[[#This Row],[Beg]]-tblContractForDeed[[#This Row],[Princ]])</f>
        <v>0</v>
      </c>
      <c r="Y38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54">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4" s="275">
        <f>IF(INDEX(tblContractForDeed[End Bal],ROW()-ROW(tblBuyerOutputs[#Headers]))&lt;=0,0,($O$6+IF(ROW()=ROW(tblBuyerOutputs[#Headers])+1,0,INDEX(tblBuyerOutputs[Cumul Appr],ROW()-ROW(tblBuyerOutputs[#Headers])-1)))*$O$2/12)</f>
        <v>0</v>
      </c>
      <c r="AE384" s="275">
        <f>IF(INDEX(tblContractForDeed[End Bal],ROW()-ROW(tblBuyerOutputs[#Headers]))&lt;=0,0,IF(ROW()=ROW(tblBuyerOutputs[#Headers])+1,0,INDEX(tblBuyerOutputs[Cumul Appr],ROW()-ROW(tblBuyerOutputs[#Headers])-1))+tblBuyerOutputs[[#This Row],[Monthly Appr]])</f>
        <v>0</v>
      </c>
      <c r="AF384" s="22"/>
      <c r="AG384" s="14"/>
      <c r="AL384"/>
      <c r="AM384" s="14"/>
      <c r="AO384" s="275"/>
      <c r="AQ384" s="14"/>
      <c r="AR384"/>
    </row>
    <row r="385" spans="1:44" x14ac:dyDescent="0.25">
      <c r="A385" s="590" t="str">
        <f t="shared" si="77"/>
        <v/>
      </c>
      <c r="B385" s="275">
        <f t="shared" si="78"/>
        <v>0</v>
      </c>
      <c r="C385" s="14">
        <f t="shared" si="75"/>
        <v>0</v>
      </c>
      <c r="D385" s="14">
        <f t="shared" si="79"/>
        <v>0</v>
      </c>
      <c r="E385" s="14">
        <f t="shared" si="76"/>
        <v>0</v>
      </c>
      <c r="F385" s="14">
        <f t="shared" si="87"/>
        <v>134.16999999999999</v>
      </c>
      <c r="G385" s="14">
        <f t="shared" si="87"/>
        <v>188.55</v>
      </c>
      <c r="H385" s="14">
        <f t="shared" si="88"/>
        <v>322.72000000000003</v>
      </c>
      <c r="I385" s="275">
        <f t="shared" si="82"/>
        <v>97531.839999999953</v>
      </c>
      <c r="J385" s="275">
        <f t="shared" si="83"/>
        <v>36068.259999999973</v>
      </c>
      <c r="K385" s="275">
        <f t="shared" si="80"/>
        <v>0</v>
      </c>
      <c r="L385" s="386">
        <f t="shared" si="86"/>
        <v>0</v>
      </c>
      <c r="M385" s="386">
        <f t="shared" si="81"/>
        <v>0</v>
      </c>
      <c r="N385" s="590" t="str">
        <f>INDEX(tblSubjectToLoan[Date],ROW()-ROW(tblContractForDeed[#Headers]))</f>
        <v/>
      </c>
      <c r="O385" s="275">
        <f>IF(ROW()=ROW(tblContractForDeed[#Headers])+1,$O$6,IF(INDEX(tblContractForDeed[End Bal],ROW()-ROW(tblContractForDeed[#Headers])-1)&lt;0,0,INDEX(tblContractForDeed[End Bal],ROW()-ROW(tblContractForDeed[#Headers])-1)))</f>
        <v>0</v>
      </c>
      <c r="P385" s="445" t="str">
        <f>IF(tblContractForDeed[[#This Row],[Date]]="","",IF(tblContractForDeed[[#This Row],[Date]]&lt;cfdRateChangeDate,cfdRate1,cfdRate2))</f>
        <v/>
      </c>
      <c r="Q3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75">
        <f>IF(tblContractForDeed[[#This Row],[Payment]]=0,0,MAX(0,MIN(tblContractForDeed[[#This Row],[Beg]],tblContractForDeed[[#This Row],[Payment]]-tblContractForDeed[[#This Row],[Int]])))</f>
        <v>0</v>
      </c>
      <c r="S385" s="275">
        <f>IF(OR(tblContractForDeed[[#This Row],[Date]]&lt;cfdContractDate,tblContractForDeed[[#This Row],[Date]]&gt;cfdEndDate),0,ROUND(tblContractForDeed[[#This Row],[Beg]]*(tblContractForDeed[[#This Row],[Int Rate]]/12),2))</f>
        <v>0</v>
      </c>
      <c r="T385" s="275">
        <f>IF(tblContractForDeed[[#This Row],[Payment]]=0,0,$W$2)</f>
        <v>0</v>
      </c>
      <c r="U385" s="275">
        <f>IF(tblContractForDeed[[#This Row],[Princ]]=0,0,$W$3)</f>
        <v>0</v>
      </c>
      <c r="V385" s="275">
        <f>SUM(tblContractForDeed[[#This Row],[Princ]],tblContractForDeed[[#This Row],[Int]],tblContractForDeed[[#This Row],[Ins]],tblContractForDeed[[#This Row],[Taxes]])</f>
        <v>0</v>
      </c>
      <c r="W385" s="275">
        <f>SUM(INDEX(tblContractForDeed[Princ],1):INDEX(tblContractForDeed[Princ],ROW()-ROW(tblContractForDeed[#Headers])))</f>
        <v>75258.000000000029</v>
      </c>
      <c r="X385" s="275">
        <f>IF(tblContractForDeed[[#This Row],[Beg]]&lt;=0,0,tblContractForDeed[[#This Row],[Beg]]-tblContractForDeed[[#This Row],[Princ]])</f>
        <v>0</v>
      </c>
      <c r="Y38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54">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5" s="275">
        <f>IF(INDEX(tblContractForDeed[End Bal],ROW()-ROW(tblBuyerOutputs[#Headers]))&lt;=0,0,($O$6+IF(ROW()=ROW(tblBuyerOutputs[#Headers])+1,0,INDEX(tblBuyerOutputs[Cumul Appr],ROW()-ROW(tblBuyerOutputs[#Headers])-1)))*$O$2/12)</f>
        <v>0</v>
      </c>
      <c r="AE385" s="275">
        <f>IF(INDEX(tblContractForDeed[End Bal],ROW()-ROW(tblBuyerOutputs[#Headers]))&lt;=0,0,IF(ROW()=ROW(tblBuyerOutputs[#Headers])+1,0,INDEX(tblBuyerOutputs[Cumul Appr],ROW()-ROW(tblBuyerOutputs[#Headers])-1))+tblBuyerOutputs[[#This Row],[Monthly Appr]])</f>
        <v>0</v>
      </c>
      <c r="AF385" s="22"/>
      <c r="AG385" s="14"/>
      <c r="AL385"/>
      <c r="AM385" s="14"/>
      <c r="AO385" s="275"/>
      <c r="AQ385" s="14"/>
      <c r="AR385"/>
    </row>
    <row r="386" spans="1:44" x14ac:dyDescent="0.25">
      <c r="A386" s="590" t="str">
        <f t="shared" si="77"/>
        <v/>
      </c>
      <c r="B386" s="275">
        <f t="shared" si="78"/>
        <v>0</v>
      </c>
      <c r="C386" s="14">
        <f t="shared" si="75"/>
        <v>0</v>
      </c>
      <c r="D386" s="14">
        <f t="shared" si="79"/>
        <v>0</v>
      </c>
      <c r="E386" s="14">
        <f t="shared" si="76"/>
        <v>0</v>
      </c>
      <c r="F386" s="14">
        <f t="shared" si="87"/>
        <v>134.16999999999999</v>
      </c>
      <c r="G386" s="14">
        <f t="shared" si="87"/>
        <v>188.55</v>
      </c>
      <c r="H386" s="14">
        <f t="shared" si="88"/>
        <v>322.72000000000003</v>
      </c>
      <c r="I386" s="275">
        <f t="shared" si="82"/>
        <v>97531.839999999953</v>
      </c>
      <c r="J386" s="275">
        <f t="shared" si="83"/>
        <v>36068.259999999973</v>
      </c>
      <c r="K386" s="275">
        <f t="shared" si="80"/>
        <v>0</v>
      </c>
      <c r="L386" s="386">
        <f t="shared" si="86"/>
        <v>0</v>
      </c>
      <c r="M386" s="386">
        <f t="shared" si="81"/>
        <v>0</v>
      </c>
      <c r="N386" s="590" t="str">
        <f>INDEX(tblSubjectToLoan[Date],ROW()-ROW(tblContractForDeed[#Headers]))</f>
        <v/>
      </c>
      <c r="O386" s="275">
        <f>IF(ROW()=ROW(tblContractForDeed[#Headers])+1,$O$6,IF(INDEX(tblContractForDeed[End Bal],ROW()-ROW(tblContractForDeed[#Headers])-1)&lt;0,0,INDEX(tblContractForDeed[End Bal],ROW()-ROW(tblContractForDeed[#Headers])-1)))</f>
        <v>0</v>
      </c>
      <c r="P386" s="445" t="str">
        <f>IF(tblContractForDeed[[#This Row],[Date]]="","",IF(tblContractForDeed[[#This Row],[Date]]&lt;cfdRateChangeDate,cfdRate1,cfdRate2))</f>
        <v/>
      </c>
      <c r="Q3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75">
        <f>IF(tblContractForDeed[[#This Row],[Payment]]=0,0,MAX(0,MIN(tblContractForDeed[[#This Row],[Beg]],tblContractForDeed[[#This Row],[Payment]]-tblContractForDeed[[#This Row],[Int]])))</f>
        <v>0</v>
      </c>
      <c r="S386" s="275">
        <f>IF(OR(tblContractForDeed[[#This Row],[Date]]&lt;cfdContractDate,tblContractForDeed[[#This Row],[Date]]&gt;cfdEndDate),0,ROUND(tblContractForDeed[[#This Row],[Beg]]*(tblContractForDeed[[#This Row],[Int Rate]]/12),2))</f>
        <v>0</v>
      </c>
      <c r="T386" s="275">
        <f>IF(tblContractForDeed[[#This Row],[Payment]]=0,0,$W$2)</f>
        <v>0</v>
      </c>
      <c r="U386" s="275">
        <f>IF(tblContractForDeed[[#This Row],[Princ]]=0,0,$W$3)</f>
        <v>0</v>
      </c>
      <c r="V386" s="275">
        <f>SUM(tblContractForDeed[[#This Row],[Princ]],tblContractForDeed[[#This Row],[Int]],tblContractForDeed[[#This Row],[Ins]],tblContractForDeed[[#This Row],[Taxes]])</f>
        <v>0</v>
      </c>
      <c r="W386" s="275">
        <f>SUM(INDEX(tblContractForDeed[Princ],1):INDEX(tblContractForDeed[Princ],ROW()-ROW(tblContractForDeed[#Headers])))</f>
        <v>75258.000000000029</v>
      </c>
      <c r="X386" s="275">
        <f>IF(tblContractForDeed[[#This Row],[Beg]]&lt;=0,0,tblContractForDeed[[#This Row],[Beg]]-tblContractForDeed[[#This Row],[Princ]])</f>
        <v>0</v>
      </c>
      <c r="Y38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54">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6" s="275">
        <f>IF(INDEX(tblContractForDeed[End Bal],ROW()-ROW(tblBuyerOutputs[#Headers]))&lt;=0,0,($O$6+IF(ROW()=ROW(tblBuyerOutputs[#Headers])+1,0,INDEX(tblBuyerOutputs[Cumul Appr],ROW()-ROW(tblBuyerOutputs[#Headers])-1)))*$O$2/12)</f>
        <v>0</v>
      </c>
      <c r="AE386" s="275">
        <f>IF(INDEX(tblContractForDeed[End Bal],ROW()-ROW(tblBuyerOutputs[#Headers]))&lt;=0,0,IF(ROW()=ROW(tblBuyerOutputs[#Headers])+1,0,INDEX(tblBuyerOutputs[Cumul Appr],ROW()-ROW(tblBuyerOutputs[#Headers])-1))+tblBuyerOutputs[[#This Row],[Monthly Appr]])</f>
        <v>0</v>
      </c>
      <c r="AF386" s="22"/>
      <c r="AG386" s="14"/>
      <c r="AL386"/>
      <c r="AM386" s="14"/>
      <c r="AO386" s="275"/>
      <c r="AQ386" s="14"/>
      <c r="AR386"/>
    </row>
    <row r="387" spans="1:44" x14ac:dyDescent="0.25">
      <c r="A387" s="590" t="str">
        <f t="shared" si="77"/>
        <v/>
      </c>
      <c r="B387" s="275">
        <f t="shared" si="78"/>
        <v>0</v>
      </c>
      <c r="C387" s="14">
        <f t="shared" si="75"/>
        <v>0</v>
      </c>
      <c r="D387" s="14">
        <f t="shared" si="79"/>
        <v>0</v>
      </c>
      <c r="E387" s="14">
        <f t="shared" si="76"/>
        <v>0</v>
      </c>
      <c r="F387" s="14">
        <f t="shared" si="87"/>
        <v>134.16999999999999</v>
      </c>
      <c r="G387" s="14">
        <f t="shared" si="87"/>
        <v>188.55</v>
      </c>
      <c r="H387" s="14">
        <f t="shared" si="88"/>
        <v>322.72000000000003</v>
      </c>
      <c r="I387" s="275">
        <f t="shared" si="82"/>
        <v>97531.839999999953</v>
      </c>
      <c r="J387" s="275">
        <f t="shared" si="83"/>
        <v>36068.259999999973</v>
      </c>
      <c r="K387" s="275">
        <f t="shared" si="80"/>
        <v>0</v>
      </c>
      <c r="L387" s="386">
        <f t="shared" si="86"/>
        <v>0</v>
      </c>
      <c r="M387" s="386">
        <f t="shared" si="81"/>
        <v>0</v>
      </c>
      <c r="N387" s="590" t="str">
        <f>INDEX(tblSubjectToLoan[Date],ROW()-ROW(tblContractForDeed[#Headers]))</f>
        <v/>
      </c>
      <c r="O387" s="275">
        <f>IF(ROW()=ROW(tblContractForDeed[#Headers])+1,$O$6,IF(INDEX(tblContractForDeed[End Bal],ROW()-ROW(tblContractForDeed[#Headers])-1)&lt;0,0,INDEX(tblContractForDeed[End Bal],ROW()-ROW(tblContractForDeed[#Headers])-1)))</f>
        <v>0</v>
      </c>
      <c r="P387" s="445" t="str">
        <f>IF(tblContractForDeed[[#This Row],[Date]]="","",IF(tblContractForDeed[[#This Row],[Date]]&lt;cfdRateChangeDate,cfdRate1,cfdRate2))</f>
        <v/>
      </c>
      <c r="Q38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75">
        <f>IF(tblContractForDeed[[#This Row],[Payment]]=0,0,MAX(0,MIN(tblContractForDeed[[#This Row],[Beg]],tblContractForDeed[[#This Row],[Payment]]-tblContractForDeed[[#This Row],[Int]])))</f>
        <v>0</v>
      </c>
      <c r="S387" s="275">
        <f>IF(OR(tblContractForDeed[[#This Row],[Date]]&lt;cfdContractDate,tblContractForDeed[[#This Row],[Date]]&gt;cfdEndDate),0,ROUND(tblContractForDeed[[#This Row],[Beg]]*(tblContractForDeed[[#This Row],[Int Rate]]/12),2))</f>
        <v>0</v>
      </c>
      <c r="T387" s="275">
        <f>IF(tblContractForDeed[[#This Row],[Payment]]=0,0,$W$2)</f>
        <v>0</v>
      </c>
      <c r="U387" s="275">
        <f>IF(tblContractForDeed[[#This Row],[Princ]]=0,0,$W$3)</f>
        <v>0</v>
      </c>
      <c r="V387" s="275">
        <f>SUM(tblContractForDeed[[#This Row],[Princ]],tblContractForDeed[[#This Row],[Int]],tblContractForDeed[[#This Row],[Ins]],tblContractForDeed[[#This Row],[Taxes]])</f>
        <v>0</v>
      </c>
      <c r="W387" s="275">
        <f>SUM(INDEX(tblContractForDeed[Princ],1):INDEX(tblContractForDeed[Princ],ROW()-ROW(tblContractForDeed[#Headers])))</f>
        <v>75258.000000000029</v>
      </c>
      <c r="X387" s="275">
        <f>IF(tblContractForDeed[[#This Row],[Beg]]&lt;=0,0,tblContractForDeed[[#This Row],[Beg]]-tblContractForDeed[[#This Row],[Princ]])</f>
        <v>0</v>
      </c>
      <c r="Y38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54">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7" s="275">
        <f>IF(INDEX(tblContractForDeed[End Bal],ROW()-ROW(tblBuyerOutputs[#Headers]))&lt;=0,0,($O$6+IF(ROW()=ROW(tblBuyerOutputs[#Headers])+1,0,INDEX(tblBuyerOutputs[Cumul Appr],ROW()-ROW(tblBuyerOutputs[#Headers])-1)))*$O$2/12)</f>
        <v>0</v>
      </c>
      <c r="AE387" s="275">
        <f>IF(INDEX(tblContractForDeed[End Bal],ROW()-ROW(tblBuyerOutputs[#Headers]))&lt;=0,0,IF(ROW()=ROW(tblBuyerOutputs[#Headers])+1,0,INDEX(tblBuyerOutputs[Cumul Appr],ROW()-ROW(tblBuyerOutputs[#Headers])-1))+tblBuyerOutputs[[#This Row],[Monthly Appr]])</f>
        <v>0</v>
      </c>
      <c r="AF387" s="22"/>
      <c r="AG387" s="14"/>
      <c r="AL387"/>
      <c r="AM387" s="14"/>
      <c r="AO387" s="275"/>
      <c r="AQ387" s="14"/>
      <c r="AR387"/>
    </row>
    <row r="388" spans="1:44" x14ac:dyDescent="0.25">
      <c r="A388" s="590" t="str">
        <f t="shared" si="77"/>
        <v/>
      </c>
      <c r="B388" s="275">
        <f t="shared" si="78"/>
        <v>0</v>
      </c>
      <c r="C388" s="14">
        <f t="shared" si="75"/>
        <v>0</v>
      </c>
      <c r="D388" s="14">
        <f t="shared" si="79"/>
        <v>0</v>
      </c>
      <c r="E388" s="14">
        <f t="shared" si="76"/>
        <v>0</v>
      </c>
      <c r="F388" s="14">
        <f t="shared" si="87"/>
        <v>134.16999999999999</v>
      </c>
      <c r="G388" s="14">
        <f t="shared" si="87"/>
        <v>188.55</v>
      </c>
      <c r="H388" s="14">
        <f t="shared" si="88"/>
        <v>322.72000000000003</v>
      </c>
      <c r="I388" s="275">
        <f t="shared" si="82"/>
        <v>97531.839999999953</v>
      </c>
      <c r="J388" s="275">
        <f t="shared" si="83"/>
        <v>36068.259999999973</v>
      </c>
      <c r="K388" s="275">
        <f t="shared" si="80"/>
        <v>0</v>
      </c>
      <c r="L388" s="386">
        <f t="shared" si="86"/>
        <v>0</v>
      </c>
      <c r="M388" s="386">
        <f t="shared" si="81"/>
        <v>0</v>
      </c>
      <c r="N388" s="590" t="str">
        <f>INDEX(tblSubjectToLoan[Date],ROW()-ROW(tblContractForDeed[#Headers]))</f>
        <v/>
      </c>
      <c r="O388" s="275">
        <f>IF(ROW()=ROW(tblContractForDeed[#Headers])+1,$O$6,IF(INDEX(tblContractForDeed[End Bal],ROW()-ROW(tblContractForDeed[#Headers])-1)&lt;0,0,INDEX(tblContractForDeed[End Bal],ROW()-ROW(tblContractForDeed[#Headers])-1)))</f>
        <v>0</v>
      </c>
      <c r="P388" s="445" t="str">
        <f>IF(tblContractForDeed[[#This Row],[Date]]="","",IF(tblContractForDeed[[#This Row],[Date]]&lt;cfdRateChangeDate,cfdRate1,cfdRate2))</f>
        <v/>
      </c>
      <c r="Q3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75">
        <f>IF(tblContractForDeed[[#This Row],[Payment]]=0,0,MAX(0,MIN(tblContractForDeed[[#This Row],[Beg]],tblContractForDeed[[#This Row],[Payment]]-tblContractForDeed[[#This Row],[Int]])))</f>
        <v>0</v>
      </c>
      <c r="S388" s="275">
        <f>IF(OR(tblContractForDeed[[#This Row],[Date]]&lt;cfdContractDate,tblContractForDeed[[#This Row],[Date]]&gt;cfdEndDate),0,ROUND(tblContractForDeed[[#This Row],[Beg]]*(tblContractForDeed[[#This Row],[Int Rate]]/12),2))</f>
        <v>0</v>
      </c>
      <c r="T388" s="275">
        <f>IF(tblContractForDeed[[#This Row],[Payment]]=0,0,$W$2)</f>
        <v>0</v>
      </c>
      <c r="U388" s="275">
        <f>IF(tblContractForDeed[[#This Row],[Princ]]=0,0,$W$3)</f>
        <v>0</v>
      </c>
      <c r="V388" s="275">
        <f>SUM(tblContractForDeed[[#This Row],[Princ]],tblContractForDeed[[#This Row],[Int]],tblContractForDeed[[#This Row],[Ins]],tblContractForDeed[[#This Row],[Taxes]])</f>
        <v>0</v>
      </c>
      <c r="W388" s="275">
        <f>SUM(INDEX(tblContractForDeed[Princ],1):INDEX(tblContractForDeed[Princ],ROW()-ROW(tblContractForDeed[#Headers])))</f>
        <v>75258.000000000029</v>
      </c>
      <c r="X388" s="275">
        <f>IF(tblContractForDeed[[#This Row],[Beg]]&lt;=0,0,tblContractForDeed[[#This Row],[Beg]]-tblContractForDeed[[#This Row],[Princ]])</f>
        <v>0</v>
      </c>
      <c r="Y38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54">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8" s="275">
        <f>IF(INDEX(tblContractForDeed[End Bal],ROW()-ROW(tblBuyerOutputs[#Headers]))&lt;=0,0,($O$6+IF(ROW()=ROW(tblBuyerOutputs[#Headers])+1,0,INDEX(tblBuyerOutputs[Cumul Appr],ROW()-ROW(tblBuyerOutputs[#Headers])-1)))*$O$2/12)</f>
        <v>0</v>
      </c>
      <c r="AE388" s="275">
        <f>IF(INDEX(tblContractForDeed[End Bal],ROW()-ROW(tblBuyerOutputs[#Headers]))&lt;=0,0,IF(ROW()=ROW(tblBuyerOutputs[#Headers])+1,0,INDEX(tblBuyerOutputs[Cumul Appr],ROW()-ROW(tblBuyerOutputs[#Headers])-1))+tblBuyerOutputs[[#This Row],[Monthly Appr]])</f>
        <v>0</v>
      </c>
      <c r="AF388" s="22"/>
      <c r="AG388" s="14"/>
      <c r="AL388"/>
      <c r="AM388" s="14"/>
      <c r="AO388" s="275"/>
      <c r="AQ388" s="14"/>
      <c r="AR388"/>
    </row>
    <row r="389" spans="1:44" x14ac:dyDescent="0.25">
      <c r="A389" s="590" t="str">
        <f t="shared" si="77"/>
        <v/>
      </c>
      <c r="B389" s="275">
        <f t="shared" si="78"/>
        <v>0</v>
      </c>
      <c r="C389" s="14">
        <f t="shared" si="75"/>
        <v>0</v>
      </c>
      <c r="D389" s="14">
        <f t="shared" si="79"/>
        <v>0</v>
      </c>
      <c r="E389" s="14">
        <f t="shared" si="76"/>
        <v>0</v>
      </c>
      <c r="F389" s="14">
        <f t="shared" si="87"/>
        <v>134.16999999999999</v>
      </c>
      <c r="G389" s="14">
        <f t="shared" si="87"/>
        <v>188.55</v>
      </c>
      <c r="H389" s="14">
        <f t="shared" si="88"/>
        <v>322.72000000000003</v>
      </c>
      <c r="I389" s="275">
        <f t="shared" si="82"/>
        <v>97531.839999999953</v>
      </c>
      <c r="J389" s="275">
        <f t="shared" si="83"/>
        <v>36068.259999999973</v>
      </c>
      <c r="K389" s="275">
        <f t="shared" si="80"/>
        <v>0</v>
      </c>
      <c r="L389" s="386">
        <f t="shared" si="86"/>
        <v>0</v>
      </c>
      <c r="M389" s="386">
        <f t="shared" si="81"/>
        <v>0</v>
      </c>
      <c r="N389" s="590" t="str">
        <f>INDEX(tblSubjectToLoan[Date],ROW()-ROW(tblContractForDeed[#Headers]))</f>
        <v/>
      </c>
      <c r="O389" s="275">
        <f>IF(ROW()=ROW(tblContractForDeed[#Headers])+1,$O$6,IF(INDEX(tblContractForDeed[End Bal],ROW()-ROW(tblContractForDeed[#Headers])-1)&lt;0,0,INDEX(tblContractForDeed[End Bal],ROW()-ROW(tblContractForDeed[#Headers])-1)))</f>
        <v>0</v>
      </c>
      <c r="P389" s="445" t="str">
        <f>IF(tblContractForDeed[[#This Row],[Date]]="","",IF(tblContractForDeed[[#This Row],[Date]]&lt;cfdRateChangeDate,cfdRate1,cfdRate2))</f>
        <v/>
      </c>
      <c r="Q3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75">
        <f>IF(tblContractForDeed[[#This Row],[Payment]]=0,0,MAX(0,MIN(tblContractForDeed[[#This Row],[Beg]],tblContractForDeed[[#This Row],[Payment]]-tblContractForDeed[[#This Row],[Int]])))</f>
        <v>0</v>
      </c>
      <c r="S389" s="275">
        <f>IF(OR(tblContractForDeed[[#This Row],[Date]]&lt;cfdContractDate,tblContractForDeed[[#This Row],[Date]]&gt;cfdEndDate),0,ROUND(tblContractForDeed[[#This Row],[Beg]]*(tblContractForDeed[[#This Row],[Int Rate]]/12),2))</f>
        <v>0</v>
      </c>
      <c r="T389" s="275">
        <f>IF(tblContractForDeed[[#This Row],[Payment]]=0,0,$W$2)</f>
        <v>0</v>
      </c>
      <c r="U389" s="275">
        <f>IF(tblContractForDeed[[#This Row],[Princ]]=0,0,$W$3)</f>
        <v>0</v>
      </c>
      <c r="V389" s="275">
        <f>SUM(tblContractForDeed[[#This Row],[Princ]],tblContractForDeed[[#This Row],[Int]],tblContractForDeed[[#This Row],[Ins]],tblContractForDeed[[#This Row],[Taxes]])</f>
        <v>0</v>
      </c>
      <c r="W389" s="275">
        <f>SUM(INDEX(tblContractForDeed[Princ],1):INDEX(tblContractForDeed[Princ],ROW()-ROW(tblContractForDeed[#Headers])))</f>
        <v>75258.000000000029</v>
      </c>
      <c r="X389" s="275">
        <f>IF(tblContractForDeed[[#This Row],[Beg]]&lt;=0,0,tblContractForDeed[[#This Row],[Beg]]-tblContractForDeed[[#This Row],[Princ]])</f>
        <v>0</v>
      </c>
      <c r="Y38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54">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9" s="275">
        <f>IF(INDEX(tblContractForDeed[End Bal],ROW()-ROW(tblBuyerOutputs[#Headers]))&lt;=0,0,($O$6+IF(ROW()=ROW(tblBuyerOutputs[#Headers])+1,0,INDEX(tblBuyerOutputs[Cumul Appr],ROW()-ROW(tblBuyerOutputs[#Headers])-1)))*$O$2/12)</f>
        <v>0</v>
      </c>
      <c r="AE389" s="275">
        <f>IF(INDEX(tblContractForDeed[End Bal],ROW()-ROW(tblBuyerOutputs[#Headers]))&lt;=0,0,IF(ROW()=ROW(tblBuyerOutputs[#Headers])+1,0,INDEX(tblBuyerOutputs[Cumul Appr],ROW()-ROW(tblBuyerOutputs[#Headers])-1))+tblBuyerOutputs[[#This Row],[Monthly Appr]])</f>
        <v>0</v>
      </c>
      <c r="AF389" s="22"/>
      <c r="AG389" s="14"/>
      <c r="AL389"/>
      <c r="AM389" s="14"/>
      <c r="AO389" s="275"/>
      <c r="AQ389" s="14"/>
      <c r="AR389"/>
    </row>
    <row r="390" spans="1:44" x14ac:dyDescent="0.25">
      <c r="A390" s="590" t="str">
        <f t="shared" si="77"/>
        <v/>
      </c>
      <c r="B390" s="275">
        <f t="shared" si="78"/>
        <v>0</v>
      </c>
      <c r="C390" s="14">
        <f t="shared" si="75"/>
        <v>0</v>
      </c>
      <c r="D390" s="14">
        <f t="shared" si="79"/>
        <v>0</v>
      </c>
      <c r="E390" s="14">
        <f t="shared" si="76"/>
        <v>0</v>
      </c>
      <c r="F390" s="14">
        <f t="shared" si="87"/>
        <v>134.16999999999999</v>
      </c>
      <c r="G390" s="14">
        <f t="shared" si="87"/>
        <v>188.55</v>
      </c>
      <c r="H390" s="14">
        <f t="shared" si="88"/>
        <v>322.72000000000003</v>
      </c>
      <c r="I390" s="275">
        <f t="shared" si="82"/>
        <v>97531.839999999953</v>
      </c>
      <c r="J390" s="275">
        <f t="shared" si="83"/>
        <v>36068.259999999973</v>
      </c>
      <c r="K390" s="275">
        <f t="shared" si="80"/>
        <v>0</v>
      </c>
      <c r="L390" s="386">
        <f t="shared" si="86"/>
        <v>0</v>
      </c>
      <c r="M390" s="386">
        <f t="shared" si="81"/>
        <v>0</v>
      </c>
      <c r="N390" s="590" t="str">
        <f>INDEX(tblSubjectToLoan[Date],ROW()-ROW(tblContractForDeed[#Headers]))</f>
        <v/>
      </c>
      <c r="O390" s="275">
        <f>IF(ROW()=ROW(tblContractForDeed[#Headers])+1,$O$6,IF(INDEX(tblContractForDeed[End Bal],ROW()-ROW(tblContractForDeed[#Headers])-1)&lt;0,0,INDEX(tblContractForDeed[End Bal],ROW()-ROW(tblContractForDeed[#Headers])-1)))</f>
        <v>0</v>
      </c>
      <c r="P390" s="445" t="str">
        <f>IF(tblContractForDeed[[#This Row],[Date]]="","",IF(tblContractForDeed[[#This Row],[Date]]&lt;cfdRateChangeDate,cfdRate1,cfdRate2))</f>
        <v/>
      </c>
      <c r="Q3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75">
        <f>IF(tblContractForDeed[[#This Row],[Payment]]=0,0,MAX(0,MIN(tblContractForDeed[[#This Row],[Beg]],tblContractForDeed[[#This Row],[Payment]]-tblContractForDeed[[#This Row],[Int]])))</f>
        <v>0</v>
      </c>
      <c r="S390" s="275">
        <f>IF(OR(tblContractForDeed[[#This Row],[Date]]&lt;cfdContractDate,tblContractForDeed[[#This Row],[Date]]&gt;cfdEndDate),0,ROUND(tblContractForDeed[[#This Row],[Beg]]*(tblContractForDeed[[#This Row],[Int Rate]]/12),2))</f>
        <v>0</v>
      </c>
      <c r="T390" s="275">
        <f>IF(tblContractForDeed[[#This Row],[Payment]]=0,0,$W$2)</f>
        <v>0</v>
      </c>
      <c r="U390" s="275">
        <f>IF(tblContractForDeed[[#This Row],[Princ]]=0,0,$W$3)</f>
        <v>0</v>
      </c>
      <c r="V390" s="275">
        <f>SUM(tblContractForDeed[[#This Row],[Princ]],tblContractForDeed[[#This Row],[Int]],tblContractForDeed[[#This Row],[Ins]],tblContractForDeed[[#This Row],[Taxes]])</f>
        <v>0</v>
      </c>
      <c r="W390" s="275">
        <f>SUM(INDEX(tblContractForDeed[Princ],1):INDEX(tblContractForDeed[Princ],ROW()-ROW(tblContractForDeed[#Headers])))</f>
        <v>75258.000000000029</v>
      </c>
      <c r="X390" s="275">
        <f>IF(tblContractForDeed[[#This Row],[Beg]]&lt;=0,0,tblContractForDeed[[#This Row],[Beg]]-tblContractForDeed[[#This Row],[Princ]])</f>
        <v>0</v>
      </c>
      <c r="Y39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54">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0" s="275">
        <f>IF(INDEX(tblContractForDeed[End Bal],ROW()-ROW(tblBuyerOutputs[#Headers]))&lt;=0,0,($O$6+IF(ROW()=ROW(tblBuyerOutputs[#Headers])+1,0,INDEX(tblBuyerOutputs[Cumul Appr],ROW()-ROW(tblBuyerOutputs[#Headers])-1)))*$O$2/12)</f>
        <v>0</v>
      </c>
      <c r="AE390" s="275">
        <f>IF(INDEX(tblContractForDeed[End Bal],ROW()-ROW(tblBuyerOutputs[#Headers]))&lt;=0,0,IF(ROW()=ROW(tblBuyerOutputs[#Headers])+1,0,INDEX(tblBuyerOutputs[Cumul Appr],ROW()-ROW(tblBuyerOutputs[#Headers])-1))+tblBuyerOutputs[[#This Row],[Monthly Appr]])</f>
        <v>0</v>
      </c>
      <c r="AF390" s="22"/>
      <c r="AG390" s="14"/>
      <c r="AL390"/>
      <c r="AM390" s="14"/>
      <c r="AO390" s="275"/>
      <c r="AQ390" s="14"/>
      <c r="AR390"/>
    </row>
    <row r="391" spans="1:44" ht="15.75" thickBot="1" x14ac:dyDescent="0.3">
      <c r="A391" s="591" t="str">
        <f t="shared" si="77"/>
        <v/>
      </c>
      <c r="B391" s="326">
        <f t="shared" si="78"/>
        <v>0</v>
      </c>
      <c r="C391" s="21">
        <f t="shared" si="75"/>
        <v>0</v>
      </c>
      <c r="D391" s="21">
        <f t="shared" si="79"/>
        <v>0</v>
      </c>
      <c r="E391" s="21">
        <f t="shared" si="76"/>
        <v>0</v>
      </c>
      <c r="F391" s="21">
        <f t="shared" si="87"/>
        <v>134.16999999999999</v>
      </c>
      <c r="G391" s="21">
        <f t="shared" si="87"/>
        <v>188.55</v>
      </c>
      <c r="H391" s="21">
        <f t="shared" si="88"/>
        <v>322.72000000000003</v>
      </c>
      <c r="I391" s="326">
        <f t="shared" si="82"/>
        <v>97531.839999999953</v>
      </c>
      <c r="J391" s="326">
        <f t="shared" si="83"/>
        <v>36068.259999999973</v>
      </c>
      <c r="K391" s="326">
        <f t="shared" si="80"/>
        <v>0</v>
      </c>
      <c r="L391" s="387">
        <f t="shared" si="86"/>
        <v>0</v>
      </c>
      <c r="M391" s="387">
        <f t="shared" si="81"/>
        <v>0</v>
      </c>
      <c r="N391" s="591" t="str">
        <f>INDEX(tblSubjectToLoan[Date],ROW()-ROW(tblContractForDeed[#Headers]))</f>
        <v/>
      </c>
      <c r="O391" s="326">
        <f>IF(ROW()=ROW(tblContractForDeed[#Headers])+1,$O$6,IF(INDEX(tblContractForDeed[End Bal],ROW()-ROW(tblContractForDeed[#Headers])-1)&lt;0,0,INDEX(tblContractForDeed[End Bal],ROW()-ROW(tblContractForDeed[#Headers])-1)))</f>
        <v>0</v>
      </c>
      <c r="P391" s="445" t="str">
        <f>IF(tblContractForDeed[[#This Row],[Date]]="","",IF(tblContractForDeed[[#This Row],[Date]]&lt;cfdRateChangeDate,cfdRate1,cfdRate2))</f>
        <v/>
      </c>
      <c r="Q39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26">
        <f>IF(tblContractForDeed[[#This Row],[Payment]]=0,0,MAX(0,MIN(tblContractForDeed[[#This Row],[Beg]],tblContractForDeed[[#This Row],[Payment]]-tblContractForDeed[[#This Row],[Int]])))</f>
        <v>0</v>
      </c>
      <c r="S391" s="326">
        <f>IF(OR(tblContractForDeed[[#This Row],[Date]]&lt;cfdContractDate,tblContractForDeed[[#This Row],[Date]]&gt;cfdEndDate),0,ROUND(tblContractForDeed[[#This Row],[Beg]]*(tblContractForDeed[[#This Row],[Int Rate]]/12),2))</f>
        <v>0</v>
      </c>
      <c r="T391" s="326">
        <f>IF(tblContractForDeed[[#This Row],[Payment]]=0,0,$W$2)</f>
        <v>0</v>
      </c>
      <c r="U391" s="326">
        <f>IF(tblContractForDeed[[#This Row],[Princ]]=0,0,$W$3)</f>
        <v>0</v>
      </c>
      <c r="V391" s="326">
        <f>SUM(tblContractForDeed[[#This Row],[Princ]],tblContractForDeed[[#This Row],[Int]],tblContractForDeed[[#This Row],[Ins]],tblContractForDeed[[#This Row],[Taxes]])</f>
        <v>0</v>
      </c>
      <c r="W391" s="326">
        <f>SUM(INDEX(tblContractForDeed[Princ],1):INDEX(tblContractForDeed[Princ],ROW()-ROW(tblContractForDeed[#Headers])))</f>
        <v>75258.000000000029</v>
      </c>
      <c r="X391" s="326">
        <f>IF(tblContractForDeed[[#This Row],[Beg]]&lt;=0,0,tblContractForDeed[[#This Row],[Beg]]-tblContractForDeed[[#This Row],[Princ]])</f>
        <v>0</v>
      </c>
      <c r="Y39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55">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1" s="326">
        <f>IF(INDEX(tblContractForDeed[End Bal],ROW()-ROW(tblBuyerOutputs[#Headers]))&lt;=0,0,($O$6+IF(ROW()=ROW(tblBuyerOutputs[#Headers])+1,0,INDEX(tblBuyerOutputs[Cumul Appr],ROW()-ROW(tblBuyerOutputs[#Headers])-1)))*$O$2/12)</f>
        <v>0</v>
      </c>
      <c r="AE391" s="326">
        <f>IF(INDEX(tblContractForDeed[End Bal],ROW()-ROW(tblBuyerOutputs[#Headers]))&lt;=0,0,IF(ROW()=ROW(tblBuyerOutputs[#Headers])+1,0,INDEX(tblBuyerOutputs[Cumul Appr],ROW()-ROW(tblBuyerOutputs[#Headers])-1))+tblBuyerOutputs[[#This Row],[Monthly Appr]])</f>
        <v>0</v>
      </c>
      <c r="AF391" s="22"/>
      <c r="AG391" s="14"/>
      <c r="AL391"/>
      <c r="AM391" s="14"/>
      <c r="AO391" s="275"/>
      <c r="AQ391" s="14"/>
      <c r="AR391"/>
    </row>
    <row r="392" spans="1:44" x14ac:dyDescent="0.25">
      <c r="A392" s="590" t="str">
        <f t="shared" si="77"/>
        <v/>
      </c>
      <c r="B392" s="275">
        <f t="shared" si="78"/>
        <v>0</v>
      </c>
      <c r="C392" s="14">
        <f t="shared" si="75"/>
        <v>0</v>
      </c>
      <c r="D392" s="14">
        <f t="shared" si="79"/>
        <v>0</v>
      </c>
      <c r="E392" s="14">
        <f t="shared" si="76"/>
        <v>0</v>
      </c>
      <c r="F392" s="14">
        <f t="shared" si="87"/>
        <v>134.16999999999999</v>
      </c>
      <c r="G392" s="14">
        <f t="shared" si="87"/>
        <v>188.55</v>
      </c>
      <c r="H392" s="14">
        <f t="shared" si="88"/>
        <v>322.72000000000003</v>
      </c>
      <c r="I392" s="275">
        <f t="shared" si="82"/>
        <v>97531.839999999953</v>
      </c>
      <c r="J392" s="275">
        <f t="shared" si="83"/>
        <v>36068.259999999973</v>
      </c>
      <c r="K392" s="275">
        <f t="shared" si="80"/>
        <v>0</v>
      </c>
      <c r="L392" s="386">
        <f t="shared" si="86"/>
        <v>0</v>
      </c>
      <c r="M392" s="386">
        <f t="shared" si="81"/>
        <v>0</v>
      </c>
      <c r="N392" s="590" t="str">
        <f>INDEX(tblSubjectToLoan[Date],ROW()-ROW(tblContractForDeed[#Headers]))</f>
        <v/>
      </c>
      <c r="O392" s="275">
        <f>IF(ROW()=ROW(tblContractForDeed[#Headers])+1,$O$6,IF(INDEX(tblContractForDeed[End Bal],ROW()-ROW(tblContractForDeed[#Headers])-1)&lt;0,0,INDEX(tblContractForDeed[End Bal],ROW()-ROW(tblContractForDeed[#Headers])-1)))</f>
        <v>0</v>
      </c>
      <c r="P392" s="445" t="str">
        <f>IF(tblContractForDeed[[#This Row],[Date]]="","",IF(tblContractForDeed[[#This Row],[Date]]&lt;cfdRateChangeDate,cfdRate1,cfdRate2))</f>
        <v/>
      </c>
      <c r="Q3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75">
        <f>IF(tblContractForDeed[[#This Row],[Payment]]=0,0,MAX(0,MIN(tblContractForDeed[[#This Row],[Beg]],tblContractForDeed[[#This Row],[Payment]]-tblContractForDeed[[#This Row],[Int]])))</f>
        <v>0</v>
      </c>
      <c r="S392" s="275">
        <f>IF(OR(tblContractForDeed[[#This Row],[Date]]&lt;cfdContractDate,tblContractForDeed[[#This Row],[Date]]&gt;cfdEndDate),0,ROUND(tblContractForDeed[[#This Row],[Beg]]*(tblContractForDeed[[#This Row],[Int Rate]]/12),2))</f>
        <v>0</v>
      </c>
      <c r="T392" s="275">
        <f>IF(tblContractForDeed[[#This Row],[Payment]]=0,0,$W$2)</f>
        <v>0</v>
      </c>
      <c r="U392" s="275">
        <f>IF(tblContractForDeed[[#This Row],[Princ]]=0,0,$W$3)</f>
        <v>0</v>
      </c>
      <c r="V392" s="275">
        <f>SUM(tblContractForDeed[[#This Row],[Princ]],tblContractForDeed[[#This Row],[Int]],tblContractForDeed[[#This Row],[Ins]],tblContractForDeed[[#This Row],[Taxes]])</f>
        <v>0</v>
      </c>
      <c r="W392" s="275">
        <f>SUM(INDEX(tblContractForDeed[Princ],1):INDEX(tblContractForDeed[Princ],ROW()-ROW(tblContractForDeed[#Headers])))</f>
        <v>75258.000000000029</v>
      </c>
      <c r="X392" s="275">
        <f>IF(tblContractForDeed[[#This Row],[Beg]]&lt;=0,0,tblContractForDeed[[#This Row],[Beg]]-tblContractForDeed[[#This Row],[Princ]])</f>
        <v>0</v>
      </c>
      <c r="Y39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54">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2" s="275">
        <f>IF(INDEX(tblContractForDeed[End Bal],ROW()-ROW(tblBuyerOutputs[#Headers]))&lt;=0,0,($O$6+IF(ROW()=ROW(tblBuyerOutputs[#Headers])+1,0,INDEX(tblBuyerOutputs[Cumul Appr],ROW()-ROW(tblBuyerOutputs[#Headers])-1)))*$O$2/12)</f>
        <v>0</v>
      </c>
      <c r="AE392" s="275">
        <f>IF(INDEX(tblContractForDeed[End Bal],ROW()-ROW(tblBuyerOutputs[#Headers]))&lt;=0,0,IF(ROW()=ROW(tblBuyerOutputs[#Headers])+1,0,INDEX(tblBuyerOutputs[Cumul Appr],ROW()-ROW(tblBuyerOutputs[#Headers])-1))+tblBuyerOutputs[[#This Row],[Monthly Appr]])</f>
        <v>0</v>
      </c>
      <c r="AF392" s="22"/>
      <c r="AG392" s="14"/>
      <c r="AL392"/>
      <c r="AM392" s="14"/>
      <c r="AO392" s="275"/>
      <c r="AQ392" s="14"/>
      <c r="AR392"/>
    </row>
    <row r="393" spans="1:44" x14ac:dyDescent="0.25">
      <c r="A393" s="590" t="str">
        <f t="shared" si="77"/>
        <v/>
      </c>
      <c r="B393" s="275">
        <f t="shared" si="78"/>
        <v>0</v>
      </c>
      <c r="C393" s="14">
        <f t="shared" si="75"/>
        <v>0</v>
      </c>
      <c r="D393" s="14">
        <f t="shared" si="79"/>
        <v>0</v>
      </c>
      <c r="E393" s="14">
        <f t="shared" si="76"/>
        <v>0</v>
      </c>
      <c r="F393" s="14">
        <f t="shared" si="87"/>
        <v>134.16999999999999</v>
      </c>
      <c r="G393" s="14">
        <f t="shared" si="87"/>
        <v>188.55</v>
      </c>
      <c r="H393" s="14">
        <f t="shared" si="88"/>
        <v>322.72000000000003</v>
      </c>
      <c r="I393" s="275">
        <f t="shared" si="82"/>
        <v>97531.839999999953</v>
      </c>
      <c r="J393" s="275">
        <f t="shared" si="83"/>
        <v>36068.259999999973</v>
      </c>
      <c r="K393" s="275">
        <f t="shared" si="80"/>
        <v>0</v>
      </c>
      <c r="L393" s="386">
        <f t="shared" si="86"/>
        <v>0</v>
      </c>
      <c r="M393" s="386">
        <f t="shared" si="81"/>
        <v>0</v>
      </c>
      <c r="N393" s="590" t="str">
        <f>INDEX(tblSubjectToLoan[Date],ROW()-ROW(tblContractForDeed[#Headers]))</f>
        <v/>
      </c>
      <c r="O393" s="275">
        <f>IF(ROW()=ROW(tblContractForDeed[#Headers])+1,$O$6,IF(INDEX(tblContractForDeed[End Bal],ROW()-ROW(tblContractForDeed[#Headers])-1)&lt;0,0,INDEX(tblContractForDeed[End Bal],ROW()-ROW(tblContractForDeed[#Headers])-1)))</f>
        <v>0</v>
      </c>
      <c r="P393" s="445" t="str">
        <f>IF(tblContractForDeed[[#This Row],[Date]]="","",IF(tblContractForDeed[[#This Row],[Date]]&lt;cfdRateChangeDate,cfdRate1,cfdRate2))</f>
        <v/>
      </c>
      <c r="Q3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75">
        <f>IF(tblContractForDeed[[#This Row],[Payment]]=0,0,MAX(0,MIN(tblContractForDeed[[#This Row],[Beg]],tblContractForDeed[[#This Row],[Payment]]-tblContractForDeed[[#This Row],[Int]])))</f>
        <v>0</v>
      </c>
      <c r="S393" s="275">
        <f>IF(OR(tblContractForDeed[[#This Row],[Date]]&lt;cfdContractDate,tblContractForDeed[[#This Row],[Date]]&gt;cfdEndDate),0,ROUND(tblContractForDeed[[#This Row],[Beg]]*(tblContractForDeed[[#This Row],[Int Rate]]/12),2))</f>
        <v>0</v>
      </c>
      <c r="T393" s="275">
        <f>IF(tblContractForDeed[[#This Row],[Payment]]=0,0,$W$2)</f>
        <v>0</v>
      </c>
      <c r="U393" s="275">
        <f>IF(tblContractForDeed[[#This Row],[Princ]]=0,0,$W$3)</f>
        <v>0</v>
      </c>
      <c r="V393" s="275">
        <f>SUM(tblContractForDeed[[#This Row],[Princ]],tblContractForDeed[[#This Row],[Int]],tblContractForDeed[[#This Row],[Ins]],tblContractForDeed[[#This Row],[Taxes]])</f>
        <v>0</v>
      </c>
      <c r="W393" s="275">
        <f>SUM(INDEX(tblContractForDeed[Princ],1):INDEX(tblContractForDeed[Princ],ROW()-ROW(tblContractForDeed[#Headers])))</f>
        <v>75258.000000000029</v>
      </c>
      <c r="X393" s="275">
        <f>IF(tblContractForDeed[[#This Row],[Beg]]&lt;=0,0,tblContractForDeed[[#This Row],[Beg]]-tblContractForDeed[[#This Row],[Princ]])</f>
        <v>0</v>
      </c>
      <c r="Y39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54">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3" s="275">
        <f>IF(INDEX(tblContractForDeed[End Bal],ROW()-ROW(tblBuyerOutputs[#Headers]))&lt;=0,0,($O$6+IF(ROW()=ROW(tblBuyerOutputs[#Headers])+1,0,INDEX(tblBuyerOutputs[Cumul Appr],ROW()-ROW(tblBuyerOutputs[#Headers])-1)))*$O$2/12)</f>
        <v>0</v>
      </c>
      <c r="AE393" s="275">
        <f>IF(INDEX(tblContractForDeed[End Bal],ROW()-ROW(tblBuyerOutputs[#Headers]))&lt;=0,0,IF(ROW()=ROW(tblBuyerOutputs[#Headers])+1,0,INDEX(tblBuyerOutputs[Cumul Appr],ROW()-ROW(tblBuyerOutputs[#Headers])-1))+tblBuyerOutputs[[#This Row],[Monthly Appr]])</f>
        <v>0</v>
      </c>
      <c r="AF393" s="22"/>
      <c r="AG393" s="14"/>
      <c r="AL393"/>
      <c r="AM393" s="14"/>
      <c r="AO393" s="275"/>
      <c r="AQ393" s="14"/>
      <c r="AR393"/>
    </row>
    <row r="394" spans="1:44" x14ac:dyDescent="0.25">
      <c r="A394" s="590" t="str">
        <f t="shared" si="77"/>
        <v/>
      </c>
      <c r="B394" s="275">
        <f t="shared" si="78"/>
        <v>0</v>
      </c>
      <c r="C394" s="14">
        <f t="shared" si="75"/>
        <v>0</v>
      </c>
      <c r="D394" s="14">
        <f t="shared" si="79"/>
        <v>0</v>
      </c>
      <c r="E394" s="14">
        <f t="shared" si="76"/>
        <v>0</v>
      </c>
      <c r="F394" s="14">
        <f t="shared" si="87"/>
        <v>134.16999999999999</v>
      </c>
      <c r="G394" s="14">
        <f t="shared" si="87"/>
        <v>188.55</v>
      </c>
      <c r="H394" s="14">
        <f t="shared" si="88"/>
        <v>322.72000000000003</v>
      </c>
      <c r="I394" s="275">
        <f t="shared" si="82"/>
        <v>97531.839999999953</v>
      </c>
      <c r="J394" s="275">
        <f t="shared" si="83"/>
        <v>36068.259999999973</v>
      </c>
      <c r="K394" s="275">
        <f t="shared" si="80"/>
        <v>0</v>
      </c>
      <c r="L394" s="386">
        <f t="shared" si="86"/>
        <v>0</v>
      </c>
      <c r="M394" s="386">
        <f t="shared" si="81"/>
        <v>0</v>
      </c>
      <c r="N394" s="590" t="str">
        <f>INDEX(tblSubjectToLoan[Date],ROW()-ROW(tblContractForDeed[#Headers]))</f>
        <v/>
      </c>
      <c r="O394" s="275">
        <f>IF(ROW()=ROW(tblContractForDeed[#Headers])+1,$O$6,IF(INDEX(tblContractForDeed[End Bal],ROW()-ROW(tblContractForDeed[#Headers])-1)&lt;0,0,INDEX(tblContractForDeed[End Bal],ROW()-ROW(tblContractForDeed[#Headers])-1)))</f>
        <v>0</v>
      </c>
      <c r="P394" s="445" t="str">
        <f>IF(tblContractForDeed[[#This Row],[Date]]="","",IF(tblContractForDeed[[#This Row],[Date]]&lt;cfdRateChangeDate,cfdRate1,cfdRate2))</f>
        <v/>
      </c>
      <c r="Q3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75">
        <f>IF(tblContractForDeed[[#This Row],[Payment]]=0,0,MAX(0,MIN(tblContractForDeed[[#This Row],[Beg]],tblContractForDeed[[#This Row],[Payment]]-tblContractForDeed[[#This Row],[Int]])))</f>
        <v>0</v>
      </c>
      <c r="S394" s="275">
        <f>IF(OR(tblContractForDeed[[#This Row],[Date]]&lt;cfdContractDate,tblContractForDeed[[#This Row],[Date]]&gt;cfdEndDate),0,ROUND(tblContractForDeed[[#This Row],[Beg]]*(tblContractForDeed[[#This Row],[Int Rate]]/12),2))</f>
        <v>0</v>
      </c>
      <c r="T394" s="275">
        <f>IF(tblContractForDeed[[#This Row],[Payment]]=0,0,$W$2)</f>
        <v>0</v>
      </c>
      <c r="U394" s="275">
        <f>IF(tblContractForDeed[[#This Row],[Princ]]=0,0,$W$3)</f>
        <v>0</v>
      </c>
      <c r="V394" s="275">
        <f>SUM(tblContractForDeed[[#This Row],[Princ]],tblContractForDeed[[#This Row],[Int]],tblContractForDeed[[#This Row],[Ins]],tblContractForDeed[[#This Row],[Taxes]])</f>
        <v>0</v>
      </c>
      <c r="W394" s="275">
        <f>SUM(INDEX(tblContractForDeed[Princ],1):INDEX(tblContractForDeed[Princ],ROW()-ROW(tblContractForDeed[#Headers])))</f>
        <v>75258.000000000029</v>
      </c>
      <c r="X394" s="275">
        <f>IF(tblContractForDeed[[#This Row],[Beg]]&lt;=0,0,tblContractForDeed[[#This Row],[Beg]]-tblContractForDeed[[#This Row],[Princ]])</f>
        <v>0</v>
      </c>
      <c r="Y39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54">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4" s="275">
        <f>IF(INDEX(tblContractForDeed[End Bal],ROW()-ROW(tblBuyerOutputs[#Headers]))&lt;=0,0,($O$6+IF(ROW()=ROW(tblBuyerOutputs[#Headers])+1,0,INDEX(tblBuyerOutputs[Cumul Appr],ROW()-ROW(tblBuyerOutputs[#Headers])-1)))*$O$2/12)</f>
        <v>0</v>
      </c>
      <c r="AE394" s="275">
        <f>IF(INDEX(tblContractForDeed[End Bal],ROW()-ROW(tblBuyerOutputs[#Headers]))&lt;=0,0,IF(ROW()=ROW(tblBuyerOutputs[#Headers])+1,0,INDEX(tblBuyerOutputs[Cumul Appr],ROW()-ROW(tblBuyerOutputs[#Headers])-1))+tblBuyerOutputs[[#This Row],[Monthly Appr]])</f>
        <v>0</v>
      </c>
      <c r="AF394" s="22"/>
      <c r="AG394" s="14"/>
      <c r="AL394"/>
      <c r="AM394" s="14"/>
      <c r="AO394" s="275"/>
      <c r="AQ394" s="14"/>
      <c r="AR394"/>
    </row>
    <row r="395" spans="1:44" x14ac:dyDescent="0.25">
      <c r="A395" s="590" t="str">
        <f t="shared" si="77"/>
        <v/>
      </c>
      <c r="B395" s="275">
        <f t="shared" si="78"/>
        <v>0</v>
      </c>
      <c r="C395" s="14">
        <f t="shared" si="75"/>
        <v>0</v>
      </c>
      <c r="D395" s="14">
        <f t="shared" si="79"/>
        <v>0</v>
      </c>
      <c r="E395" s="14">
        <f t="shared" si="76"/>
        <v>0</v>
      </c>
      <c r="F395" s="14">
        <f t="shared" si="87"/>
        <v>134.16999999999999</v>
      </c>
      <c r="G395" s="14">
        <f t="shared" si="87"/>
        <v>188.55</v>
      </c>
      <c r="H395" s="14">
        <f t="shared" si="88"/>
        <v>322.72000000000003</v>
      </c>
      <c r="I395" s="275">
        <f t="shared" si="82"/>
        <v>97531.839999999953</v>
      </c>
      <c r="J395" s="275">
        <f t="shared" si="83"/>
        <v>36068.259999999973</v>
      </c>
      <c r="K395" s="275">
        <f t="shared" si="80"/>
        <v>0</v>
      </c>
      <c r="L395" s="386">
        <f t="shared" si="86"/>
        <v>0</v>
      </c>
      <c r="M395" s="386">
        <f t="shared" si="81"/>
        <v>0</v>
      </c>
      <c r="N395" s="590" t="str">
        <f>INDEX(tblSubjectToLoan[Date],ROW()-ROW(tblContractForDeed[#Headers]))</f>
        <v/>
      </c>
      <c r="O395" s="275">
        <f>IF(ROW()=ROW(tblContractForDeed[#Headers])+1,$O$6,IF(INDEX(tblContractForDeed[End Bal],ROW()-ROW(tblContractForDeed[#Headers])-1)&lt;0,0,INDEX(tblContractForDeed[End Bal],ROW()-ROW(tblContractForDeed[#Headers])-1)))</f>
        <v>0</v>
      </c>
      <c r="P395" s="445" t="str">
        <f>IF(tblContractForDeed[[#This Row],[Date]]="","",IF(tblContractForDeed[[#This Row],[Date]]&lt;cfdRateChangeDate,cfdRate1,cfdRate2))</f>
        <v/>
      </c>
      <c r="Q39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75">
        <f>IF(tblContractForDeed[[#This Row],[Payment]]=0,0,MAX(0,MIN(tblContractForDeed[[#This Row],[Beg]],tblContractForDeed[[#This Row],[Payment]]-tblContractForDeed[[#This Row],[Int]])))</f>
        <v>0</v>
      </c>
      <c r="S395" s="275">
        <f>IF(OR(tblContractForDeed[[#This Row],[Date]]&lt;cfdContractDate,tblContractForDeed[[#This Row],[Date]]&gt;cfdEndDate),0,ROUND(tblContractForDeed[[#This Row],[Beg]]*(tblContractForDeed[[#This Row],[Int Rate]]/12),2))</f>
        <v>0</v>
      </c>
      <c r="T395" s="275">
        <f>IF(tblContractForDeed[[#This Row],[Payment]]=0,0,$W$2)</f>
        <v>0</v>
      </c>
      <c r="U395" s="275">
        <f>IF(tblContractForDeed[[#This Row],[Princ]]=0,0,$W$3)</f>
        <v>0</v>
      </c>
      <c r="V395" s="275">
        <f>SUM(tblContractForDeed[[#This Row],[Princ]],tblContractForDeed[[#This Row],[Int]],tblContractForDeed[[#This Row],[Ins]],tblContractForDeed[[#This Row],[Taxes]])</f>
        <v>0</v>
      </c>
      <c r="W395" s="275">
        <f>SUM(INDEX(tblContractForDeed[Princ],1):INDEX(tblContractForDeed[Princ],ROW()-ROW(tblContractForDeed[#Headers])))</f>
        <v>75258.000000000029</v>
      </c>
      <c r="X395" s="275">
        <f>IF(tblContractForDeed[[#This Row],[Beg]]&lt;=0,0,tblContractForDeed[[#This Row],[Beg]]-tblContractForDeed[[#This Row],[Princ]])</f>
        <v>0</v>
      </c>
      <c r="Y39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54">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5" s="275">
        <f>IF(INDEX(tblContractForDeed[End Bal],ROW()-ROW(tblBuyerOutputs[#Headers]))&lt;=0,0,($O$6+IF(ROW()=ROW(tblBuyerOutputs[#Headers])+1,0,INDEX(tblBuyerOutputs[Cumul Appr],ROW()-ROW(tblBuyerOutputs[#Headers])-1)))*$O$2/12)</f>
        <v>0</v>
      </c>
      <c r="AE395" s="275">
        <f>IF(INDEX(tblContractForDeed[End Bal],ROW()-ROW(tblBuyerOutputs[#Headers]))&lt;=0,0,IF(ROW()=ROW(tblBuyerOutputs[#Headers])+1,0,INDEX(tblBuyerOutputs[Cumul Appr],ROW()-ROW(tblBuyerOutputs[#Headers])-1))+tblBuyerOutputs[[#This Row],[Monthly Appr]])</f>
        <v>0</v>
      </c>
      <c r="AF395" s="22"/>
      <c r="AG395" s="14"/>
      <c r="AL395"/>
      <c r="AM395" s="14"/>
      <c r="AO395" s="275"/>
      <c r="AQ395" s="14"/>
      <c r="AR395"/>
    </row>
    <row r="396" spans="1:44" x14ac:dyDescent="0.25">
      <c r="A396" s="590" t="str">
        <f t="shared" si="77"/>
        <v/>
      </c>
      <c r="B396" s="275">
        <f t="shared" si="78"/>
        <v>0</v>
      </c>
      <c r="C396" s="14">
        <f t="shared" si="75"/>
        <v>0</v>
      </c>
      <c r="D396" s="14">
        <f t="shared" si="79"/>
        <v>0</v>
      </c>
      <c r="E396" s="14">
        <f t="shared" si="76"/>
        <v>0</v>
      </c>
      <c r="F396" s="14">
        <f t="shared" si="87"/>
        <v>134.16999999999999</v>
      </c>
      <c r="G396" s="14">
        <f t="shared" si="87"/>
        <v>188.55</v>
      </c>
      <c r="H396" s="14">
        <f t="shared" si="88"/>
        <v>322.72000000000003</v>
      </c>
      <c r="I396" s="275">
        <f t="shared" si="82"/>
        <v>97531.839999999953</v>
      </c>
      <c r="J396" s="275">
        <f t="shared" si="83"/>
        <v>36068.259999999973</v>
      </c>
      <c r="K396" s="275">
        <f t="shared" si="80"/>
        <v>0</v>
      </c>
      <c r="L396" s="386">
        <f t="shared" si="86"/>
        <v>0</v>
      </c>
      <c r="M396" s="386">
        <f t="shared" si="81"/>
        <v>0</v>
      </c>
      <c r="N396" s="590" t="str">
        <f>INDEX(tblSubjectToLoan[Date],ROW()-ROW(tblContractForDeed[#Headers]))</f>
        <v/>
      </c>
      <c r="O396" s="275">
        <f>IF(ROW()=ROW(tblContractForDeed[#Headers])+1,$O$6,IF(INDEX(tblContractForDeed[End Bal],ROW()-ROW(tblContractForDeed[#Headers])-1)&lt;0,0,INDEX(tblContractForDeed[End Bal],ROW()-ROW(tblContractForDeed[#Headers])-1)))</f>
        <v>0</v>
      </c>
      <c r="P396" s="445" t="str">
        <f>IF(tblContractForDeed[[#This Row],[Date]]="","",IF(tblContractForDeed[[#This Row],[Date]]&lt;cfdRateChangeDate,cfdRate1,cfdRate2))</f>
        <v/>
      </c>
      <c r="Q3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75">
        <f>IF(tblContractForDeed[[#This Row],[Payment]]=0,0,MAX(0,MIN(tblContractForDeed[[#This Row],[Beg]],tblContractForDeed[[#This Row],[Payment]]-tblContractForDeed[[#This Row],[Int]])))</f>
        <v>0</v>
      </c>
      <c r="S396" s="275">
        <f>IF(OR(tblContractForDeed[[#This Row],[Date]]&lt;cfdContractDate,tblContractForDeed[[#This Row],[Date]]&gt;cfdEndDate),0,ROUND(tblContractForDeed[[#This Row],[Beg]]*(tblContractForDeed[[#This Row],[Int Rate]]/12),2))</f>
        <v>0</v>
      </c>
      <c r="T396" s="275">
        <f>IF(tblContractForDeed[[#This Row],[Payment]]=0,0,$W$2)</f>
        <v>0</v>
      </c>
      <c r="U396" s="275">
        <f>IF(tblContractForDeed[[#This Row],[Princ]]=0,0,$W$3)</f>
        <v>0</v>
      </c>
      <c r="V396" s="275">
        <f>SUM(tblContractForDeed[[#This Row],[Princ]],tblContractForDeed[[#This Row],[Int]],tblContractForDeed[[#This Row],[Ins]],tblContractForDeed[[#This Row],[Taxes]])</f>
        <v>0</v>
      </c>
      <c r="W396" s="275">
        <f>SUM(INDEX(tblContractForDeed[Princ],1):INDEX(tblContractForDeed[Princ],ROW()-ROW(tblContractForDeed[#Headers])))</f>
        <v>75258.000000000029</v>
      </c>
      <c r="X396" s="275">
        <f>IF(tblContractForDeed[[#This Row],[Beg]]&lt;=0,0,tblContractForDeed[[#This Row],[Beg]]-tblContractForDeed[[#This Row],[Princ]])</f>
        <v>0</v>
      </c>
      <c r="Y39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54">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6" s="275">
        <f>IF(INDEX(tblContractForDeed[End Bal],ROW()-ROW(tblBuyerOutputs[#Headers]))&lt;=0,0,($O$6+IF(ROW()=ROW(tblBuyerOutputs[#Headers])+1,0,INDEX(tblBuyerOutputs[Cumul Appr],ROW()-ROW(tblBuyerOutputs[#Headers])-1)))*$O$2/12)</f>
        <v>0</v>
      </c>
      <c r="AE396" s="275">
        <f>IF(INDEX(tblContractForDeed[End Bal],ROW()-ROW(tblBuyerOutputs[#Headers]))&lt;=0,0,IF(ROW()=ROW(tblBuyerOutputs[#Headers])+1,0,INDEX(tblBuyerOutputs[Cumul Appr],ROW()-ROW(tblBuyerOutputs[#Headers])-1))+tblBuyerOutputs[[#This Row],[Monthly Appr]])</f>
        <v>0</v>
      </c>
      <c r="AF396" s="22"/>
      <c r="AG396" s="14"/>
      <c r="AL396"/>
      <c r="AM396" s="14"/>
      <c r="AO396" s="275"/>
      <c r="AQ396" s="14"/>
      <c r="AR396"/>
    </row>
    <row r="397" spans="1:44" x14ac:dyDescent="0.25">
      <c r="A397" s="590" t="str">
        <f t="shared" si="77"/>
        <v/>
      </c>
      <c r="B397" s="275">
        <f t="shared" si="78"/>
        <v>0</v>
      </c>
      <c r="C397" s="14">
        <f t="shared" si="75"/>
        <v>0</v>
      </c>
      <c r="D397" s="14">
        <f t="shared" si="79"/>
        <v>0</v>
      </c>
      <c r="E397" s="14">
        <f t="shared" si="76"/>
        <v>0</v>
      </c>
      <c r="F397" s="14">
        <f t="shared" si="87"/>
        <v>134.16999999999999</v>
      </c>
      <c r="G397" s="14">
        <f t="shared" si="87"/>
        <v>188.55</v>
      </c>
      <c r="H397" s="14">
        <f t="shared" si="88"/>
        <v>322.72000000000003</v>
      </c>
      <c r="I397" s="275">
        <f t="shared" si="82"/>
        <v>97531.839999999953</v>
      </c>
      <c r="J397" s="275">
        <f t="shared" si="83"/>
        <v>36068.259999999973</v>
      </c>
      <c r="K397" s="275">
        <f t="shared" si="80"/>
        <v>0</v>
      </c>
      <c r="L397" s="386">
        <f t="shared" si="86"/>
        <v>0</v>
      </c>
      <c r="M397" s="386">
        <f t="shared" si="81"/>
        <v>0</v>
      </c>
      <c r="N397" s="590" t="str">
        <f>INDEX(tblSubjectToLoan[Date],ROW()-ROW(tblContractForDeed[#Headers]))</f>
        <v/>
      </c>
      <c r="O397" s="275">
        <f>IF(ROW()=ROW(tblContractForDeed[#Headers])+1,$O$6,IF(INDEX(tblContractForDeed[End Bal],ROW()-ROW(tblContractForDeed[#Headers])-1)&lt;0,0,INDEX(tblContractForDeed[End Bal],ROW()-ROW(tblContractForDeed[#Headers])-1)))</f>
        <v>0</v>
      </c>
      <c r="P397" s="445" t="str">
        <f>IF(tblContractForDeed[[#This Row],[Date]]="","",IF(tblContractForDeed[[#This Row],[Date]]&lt;cfdRateChangeDate,cfdRate1,cfdRate2))</f>
        <v/>
      </c>
      <c r="Q3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75">
        <f>IF(tblContractForDeed[[#This Row],[Payment]]=0,0,MAX(0,MIN(tblContractForDeed[[#This Row],[Beg]],tblContractForDeed[[#This Row],[Payment]]-tblContractForDeed[[#This Row],[Int]])))</f>
        <v>0</v>
      </c>
      <c r="S397" s="275">
        <f>IF(OR(tblContractForDeed[[#This Row],[Date]]&lt;cfdContractDate,tblContractForDeed[[#This Row],[Date]]&gt;cfdEndDate),0,ROUND(tblContractForDeed[[#This Row],[Beg]]*(tblContractForDeed[[#This Row],[Int Rate]]/12),2))</f>
        <v>0</v>
      </c>
      <c r="T397" s="275">
        <f>IF(tblContractForDeed[[#This Row],[Payment]]=0,0,$W$2)</f>
        <v>0</v>
      </c>
      <c r="U397" s="275">
        <f>IF(tblContractForDeed[[#This Row],[Princ]]=0,0,$W$3)</f>
        <v>0</v>
      </c>
      <c r="V397" s="275">
        <f>SUM(tblContractForDeed[[#This Row],[Princ]],tblContractForDeed[[#This Row],[Int]],tblContractForDeed[[#This Row],[Ins]],tblContractForDeed[[#This Row],[Taxes]])</f>
        <v>0</v>
      </c>
      <c r="W397" s="275">
        <f>SUM(INDEX(tblContractForDeed[Princ],1):INDEX(tblContractForDeed[Princ],ROW()-ROW(tblContractForDeed[#Headers])))</f>
        <v>75258.000000000029</v>
      </c>
      <c r="X397" s="275">
        <f>IF(tblContractForDeed[[#This Row],[Beg]]&lt;=0,0,tblContractForDeed[[#This Row],[Beg]]-tblContractForDeed[[#This Row],[Princ]])</f>
        <v>0</v>
      </c>
      <c r="Y39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54">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7" s="275">
        <f>IF(INDEX(tblContractForDeed[End Bal],ROW()-ROW(tblBuyerOutputs[#Headers]))&lt;=0,0,($O$6+IF(ROW()=ROW(tblBuyerOutputs[#Headers])+1,0,INDEX(tblBuyerOutputs[Cumul Appr],ROW()-ROW(tblBuyerOutputs[#Headers])-1)))*$O$2/12)</f>
        <v>0</v>
      </c>
      <c r="AE397" s="275">
        <f>IF(INDEX(tblContractForDeed[End Bal],ROW()-ROW(tblBuyerOutputs[#Headers]))&lt;=0,0,IF(ROW()=ROW(tblBuyerOutputs[#Headers])+1,0,INDEX(tblBuyerOutputs[Cumul Appr],ROW()-ROW(tblBuyerOutputs[#Headers])-1))+tblBuyerOutputs[[#This Row],[Monthly Appr]])</f>
        <v>0</v>
      </c>
      <c r="AF397" s="22"/>
      <c r="AG397" s="14"/>
      <c r="AL397"/>
      <c r="AM397" s="14"/>
      <c r="AO397" s="275"/>
      <c r="AQ397" s="14"/>
      <c r="AR397"/>
    </row>
    <row r="398" spans="1:44" x14ac:dyDescent="0.25">
      <c r="A398" s="590" t="str">
        <f t="shared" si="77"/>
        <v/>
      </c>
      <c r="B398" s="275">
        <f t="shared" si="78"/>
        <v>0</v>
      </c>
      <c r="C398" s="14">
        <f t="shared" si="75"/>
        <v>0</v>
      </c>
      <c r="D398" s="14">
        <f t="shared" si="79"/>
        <v>0</v>
      </c>
      <c r="E398" s="14">
        <f t="shared" si="76"/>
        <v>0</v>
      </c>
      <c r="F398" s="14">
        <f t="shared" si="87"/>
        <v>134.16999999999999</v>
      </c>
      <c r="G398" s="14">
        <f t="shared" si="87"/>
        <v>188.55</v>
      </c>
      <c r="H398" s="14">
        <f t="shared" si="88"/>
        <v>322.72000000000003</v>
      </c>
      <c r="I398" s="275">
        <f t="shared" si="82"/>
        <v>97531.839999999953</v>
      </c>
      <c r="J398" s="275">
        <f t="shared" si="83"/>
        <v>36068.259999999973</v>
      </c>
      <c r="K398" s="275">
        <f t="shared" si="80"/>
        <v>0</v>
      </c>
      <c r="L398" s="386">
        <f t="shared" si="86"/>
        <v>0</v>
      </c>
      <c r="M398" s="386">
        <f t="shared" si="81"/>
        <v>0</v>
      </c>
      <c r="N398" s="590" t="str">
        <f>INDEX(tblSubjectToLoan[Date],ROW()-ROW(tblContractForDeed[#Headers]))</f>
        <v/>
      </c>
      <c r="O398" s="275">
        <f>IF(ROW()=ROW(tblContractForDeed[#Headers])+1,$O$6,IF(INDEX(tblContractForDeed[End Bal],ROW()-ROW(tblContractForDeed[#Headers])-1)&lt;0,0,INDEX(tblContractForDeed[End Bal],ROW()-ROW(tblContractForDeed[#Headers])-1)))</f>
        <v>0</v>
      </c>
      <c r="P398" s="445" t="str">
        <f>IF(tblContractForDeed[[#This Row],[Date]]="","",IF(tblContractForDeed[[#This Row],[Date]]&lt;cfdRateChangeDate,cfdRate1,cfdRate2))</f>
        <v/>
      </c>
      <c r="Q3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75">
        <f>IF(tblContractForDeed[[#This Row],[Payment]]=0,0,MAX(0,MIN(tblContractForDeed[[#This Row],[Beg]],tblContractForDeed[[#This Row],[Payment]]-tblContractForDeed[[#This Row],[Int]])))</f>
        <v>0</v>
      </c>
      <c r="S398" s="275">
        <f>IF(OR(tblContractForDeed[[#This Row],[Date]]&lt;cfdContractDate,tblContractForDeed[[#This Row],[Date]]&gt;cfdEndDate),0,ROUND(tblContractForDeed[[#This Row],[Beg]]*(tblContractForDeed[[#This Row],[Int Rate]]/12),2))</f>
        <v>0</v>
      </c>
      <c r="T398" s="275">
        <f>IF(tblContractForDeed[[#This Row],[Payment]]=0,0,$W$2)</f>
        <v>0</v>
      </c>
      <c r="U398" s="275">
        <f>IF(tblContractForDeed[[#This Row],[Princ]]=0,0,$W$3)</f>
        <v>0</v>
      </c>
      <c r="V398" s="275">
        <f>SUM(tblContractForDeed[[#This Row],[Princ]],tblContractForDeed[[#This Row],[Int]],tblContractForDeed[[#This Row],[Ins]],tblContractForDeed[[#This Row],[Taxes]])</f>
        <v>0</v>
      </c>
      <c r="W398" s="275">
        <f>SUM(INDEX(tblContractForDeed[Princ],1):INDEX(tblContractForDeed[Princ],ROW()-ROW(tblContractForDeed[#Headers])))</f>
        <v>75258.000000000029</v>
      </c>
      <c r="X398" s="275">
        <f>IF(tblContractForDeed[[#This Row],[Beg]]&lt;=0,0,tblContractForDeed[[#This Row],[Beg]]-tblContractForDeed[[#This Row],[Princ]])</f>
        <v>0</v>
      </c>
      <c r="Y39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54">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8" s="275">
        <f>IF(INDEX(tblContractForDeed[End Bal],ROW()-ROW(tblBuyerOutputs[#Headers]))&lt;=0,0,($O$6+IF(ROW()=ROW(tblBuyerOutputs[#Headers])+1,0,INDEX(tblBuyerOutputs[Cumul Appr],ROW()-ROW(tblBuyerOutputs[#Headers])-1)))*$O$2/12)</f>
        <v>0</v>
      </c>
      <c r="AE398" s="275">
        <f>IF(INDEX(tblContractForDeed[End Bal],ROW()-ROW(tblBuyerOutputs[#Headers]))&lt;=0,0,IF(ROW()=ROW(tblBuyerOutputs[#Headers])+1,0,INDEX(tblBuyerOutputs[Cumul Appr],ROW()-ROW(tblBuyerOutputs[#Headers])-1))+tblBuyerOutputs[[#This Row],[Monthly Appr]])</f>
        <v>0</v>
      </c>
      <c r="AF398" s="22"/>
      <c r="AG398" s="14"/>
      <c r="AL398"/>
      <c r="AM398" s="14"/>
      <c r="AO398" s="275"/>
      <c r="AQ398" s="14"/>
      <c r="AR398"/>
    </row>
    <row r="399" spans="1:44" x14ac:dyDescent="0.25">
      <c r="A399" s="590" t="str">
        <f t="shared" si="77"/>
        <v/>
      </c>
      <c r="B399" s="275">
        <f t="shared" si="78"/>
        <v>0</v>
      </c>
      <c r="C399" s="14">
        <f t="shared" si="75"/>
        <v>0</v>
      </c>
      <c r="D399" s="14">
        <f t="shared" si="79"/>
        <v>0</v>
      </c>
      <c r="E399" s="14">
        <f t="shared" si="76"/>
        <v>0</v>
      </c>
      <c r="F399" s="14">
        <f t="shared" ref="F399:G414" si="89">+F398</f>
        <v>134.16999999999999</v>
      </c>
      <c r="G399" s="14">
        <f t="shared" si="89"/>
        <v>188.55</v>
      </c>
      <c r="H399" s="14">
        <f t="shared" si="88"/>
        <v>322.72000000000003</v>
      </c>
      <c r="I399" s="275">
        <f t="shared" si="82"/>
        <v>97531.839999999953</v>
      </c>
      <c r="J399" s="275">
        <f t="shared" si="83"/>
        <v>36068.259999999973</v>
      </c>
      <c r="K399" s="275">
        <f t="shared" si="80"/>
        <v>0</v>
      </c>
      <c r="L399" s="386">
        <f t="shared" si="86"/>
        <v>0</v>
      </c>
      <c r="M399" s="386">
        <f t="shared" si="81"/>
        <v>0</v>
      </c>
      <c r="N399" s="590" t="str">
        <f>INDEX(tblSubjectToLoan[Date],ROW()-ROW(tblContractForDeed[#Headers]))</f>
        <v/>
      </c>
      <c r="O399" s="275">
        <f>IF(ROW()=ROW(tblContractForDeed[#Headers])+1,$O$6,IF(INDEX(tblContractForDeed[End Bal],ROW()-ROW(tblContractForDeed[#Headers])-1)&lt;0,0,INDEX(tblContractForDeed[End Bal],ROW()-ROW(tblContractForDeed[#Headers])-1)))</f>
        <v>0</v>
      </c>
      <c r="P399" s="445" t="str">
        <f>IF(tblContractForDeed[[#This Row],[Date]]="","",IF(tblContractForDeed[[#This Row],[Date]]&lt;cfdRateChangeDate,cfdRate1,cfdRate2))</f>
        <v/>
      </c>
      <c r="Q39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75">
        <f>IF(tblContractForDeed[[#This Row],[Payment]]=0,0,MAX(0,MIN(tblContractForDeed[[#This Row],[Beg]],tblContractForDeed[[#This Row],[Payment]]-tblContractForDeed[[#This Row],[Int]])))</f>
        <v>0</v>
      </c>
      <c r="S399" s="275">
        <f>IF(OR(tblContractForDeed[[#This Row],[Date]]&lt;cfdContractDate,tblContractForDeed[[#This Row],[Date]]&gt;cfdEndDate),0,ROUND(tblContractForDeed[[#This Row],[Beg]]*(tblContractForDeed[[#This Row],[Int Rate]]/12),2))</f>
        <v>0</v>
      </c>
      <c r="T399" s="275">
        <f>IF(tblContractForDeed[[#This Row],[Payment]]=0,0,$W$2)</f>
        <v>0</v>
      </c>
      <c r="U399" s="275">
        <f>IF(tblContractForDeed[[#This Row],[Princ]]=0,0,$W$3)</f>
        <v>0</v>
      </c>
      <c r="V399" s="275">
        <f>SUM(tblContractForDeed[[#This Row],[Princ]],tblContractForDeed[[#This Row],[Int]],tblContractForDeed[[#This Row],[Ins]],tblContractForDeed[[#This Row],[Taxes]])</f>
        <v>0</v>
      </c>
      <c r="W399" s="275">
        <f>SUM(INDEX(tblContractForDeed[Princ],1):INDEX(tblContractForDeed[Princ],ROW()-ROW(tblContractForDeed[#Headers])))</f>
        <v>75258.000000000029</v>
      </c>
      <c r="X399" s="275">
        <f>IF(tblContractForDeed[[#This Row],[Beg]]&lt;=0,0,tblContractForDeed[[#This Row],[Beg]]-tblContractForDeed[[#This Row],[Princ]])</f>
        <v>0</v>
      </c>
      <c r="Y39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54">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9" s="275">
        <f>IF(INDEX(tblContractForDeed[End Bal],ROW()-ROW(tblBuyerOutputs[#Headers]))&lt;=0,0,($O$6+IF(ROW()=ROW(tblBuyerOutputs[#Headers])+1,0,INDEX(tblBuyerOutputs[Cumul Appr],ROW()-ROW(tblBuyerOutputs[#Headers])-1)))*$O$2/12)</f>
        <v>0</v>
      </c>
      <c r="AE399" s="275">
        <f>IF(INDEX(tblContractForDeed[End Bal],ROW()-ROW(tblBuyerOutputs[#Headers]))&lt;=0,0,IF(ROW()=ROW(tblBuyerOutputs[#Headers])+1,0,INDEX(tblBuyerOutputs[Cumul Appr],ROW()-ROW(tblBuyerOutputs[#Headers])-1))+tblBuyerOutputs[[#This Row],[Monthly Appr]])</f>
        <v>0</v>
      </c>
      <c r="AF399" s="22"/>
      <c r="AG399" s="14"/>
      <c r="AL399"/>
      <c r="AM399" s="14"/>
      <c r="AO399" s="275"/>
      <c r="AQ399" s="14"/>
      <c r="AR399"/>
    </row>
    <row r="400" spans="1:44" x14ac:dyDescent="0.25">
      <c r="A400" s="590" t="str">
        <f t="shared" si="77"/>
        <v/>
      </c>
      <c r="B400" s="275">
        <f t="shared" si="78"/>
        <v>0</v>
      </c>
      <c r="C400" s="14">
        <f t="shared" si="75"/>
        <v>0</v>
      </c>
      <c r="D400" s="14">
        <f t="shared" si="79"/>
        <v>0</v>
      </c>
      <c r="E400" s="14">
        <f t="shared" si="76"/>
        <v>0</v>
      </c>
      <c r="F400" s="14">
        <f t="shared" si="89"/>
        <v>134.16999999999999</v>
      </c>
      <c r="G400" s="14">
        <f t="shared" si="89"/>
        <v>188.55</v>
      </c>
      <c r="H400" s="14">
        <f t="shared" si="88"/>
        <v>322.72000000000003</v>
      </c>
      <c r="I400" s="275">
        <f t="shared" si="82"/>
        <v>97531.839999999953</v>
      </c>
      <c r="J400" s="275">
        <f t="shared" si="83"/>
        <v>36068.259999999973</v>
      </c>
      <c r="K400" s="275">
        <f t="shared" si="80"/>
        <v>0</v>
      </c>
      <c r="L400" s="386">
        <f t="shared" si="86"/>
        <v>0</v>
      </c>
      <c r="M400" s="386">
        <f t="shared" si="81"/>
        <v>0</v>
      </c>
      <c r="N400" s="590" t="str">
        <f>INDEX(tblSubjectToLoan[Date],ROW()-ROW(tblContractForDeed[#Headers]))</f>
        <v/>
      </c>
      <c r="O400" s="275">
        <f>IF(ROW()=ROW(tblContractForDeed[#Headers])+1,$O$6,IF(INDEX(tblContractForDeed[End Bal],ROW()-ROW(tblContractForDeed[#Headers])-1)&lt;0,0,INDEX(tblContractForDeed[End Bal],ROW()-ROW(tblContractForDeed[#Headers])-1)))</f>
        <v>0</v>
      </c>
      <c r="P400" s="445" t="str">
        <f>IF(tblContractForDeed[[#This Row],[Date]]="","",IF(tblContractForDeed[[#This Row],[Date]]&lt;cfdRateChangeDate,cfdRate1,cfdRate2))</f>
        <v/>
      </c>
      <c r="Q4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75">
        <f>IF(tblContractForDeed[[#This Row],[Payment]]=0,0,MAX(0,MIN(tblContractForDeed[[#This Row],[Beg]],tblContractForDeed[[#This Row],[Payment]]-tblContractForDeed[[#This Row],[Int]])))</f>
        <v>0</v>
      </c>
      <c r="S400" s="275">
        <f>IF(OR(tblContractForDeed[[#This Row],[Date]]&lt;cfdContractDate,tblContractForDeed[[#This Row],[Date]]&gt;cfdEndDate),0,ROUND(tblContractForDeed[[#This Row],[Beg]]*(tblContractForDeed[[#This Row],[Int Rate]]/12),2))</f>
        <v>0</v>
      </c>
      <c r="T400" s="275">
        <f>IF(tblContractForDeed[[#This Row],[Payment]]=0,0,$W$2)</f>
        <v>0</v>
      </c>
      <c r="U400" s="275">
        <f>IF(tblContractForDeed[[#This Row],[Princ]]=0,0,$W$3)</f>
        <v>0</v>
      </c>
      <c r="V400" s="275">
        <f>SUM(tblContractForDeed[[#This Row],[Princ]],tblContractForDeed[[#This Row],[Int]],tblContractForDeed[[#This Row],[Ins]],tblContractForDeed[[#This Row],[Taxes]])</f>
        <v>0</v>
      </c>
      <c r="W400" s="275">
        <f>SUM(INDEX(tblContractForDeed[Princ],1):INDEX(tblContractForDeed[Princ],ROW()-ROW(tblContractForDeed[#Headers])))</f>
        <v>75258.000000000029</v>
      </c>
      <c r="X400" s="275">
        <f>IF(tblContractForDeed[[#This Row],[Beg]]&lt;=0,0,tblContractForDeed[[#This Row],[Beg]]-tblContractForDeed[[#This Row],[Princ]])</f>
        <v>0</v>
      </c>
      <c r="Y40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54">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0" s="275">
        <f>IF(INDEX(tblContractForDeed[End Bal],ROW()-ROW(tblBuyerOutputs[#Headers]))&lt;=0,0,($O$6+IF(ROW()=ROW(tblBuyerOutputs[#Headers])+1,0,INDEX(tblBuyerOutputs[Cumul Appr],ROW()-ROW(tblBuyerOutputs[#Headers])-1)))*$O$2/12)</f>
        <v>0</v>
      </c>
      <c r="AE400" s="275">
        <f>IF(INDEX(tblContractForDeed[End Bal],ROW()-ROW(tblBuyerOutputs[#Headers]))&lt;=0,0,IF(ROW()=ROW(tblBuyerOutputs[#Headers])+1,0,INDEX(tblBuyerOutputs[Cumul Appr],ROW()-ROW(tblBuyerOutputs[#Headers])-1))+tblBuyerOutputs[[#This Row],[Monthly Appr]])</f>
        <v>0</v>
      </c>
      <c r="AF400" s="22"/>
      <c r="AG400" s="14"/>
      <c r="AL400"/>
      <c r="AM400" s="14"/>
      <c r="AO400" s="275"/>
      <c r="AQ400" s="14"/>
      <c r="AR400"/>
    </row>
    <row r="401" spans="1:44" x14ac:dyDescent="0.25">
      <c r="A401" s="590" t="str">
        <f t="shared" si="77"/>
        <v/>
      </c>
      <c r="B401" s="275">
        <f t="shared" si="78"/>
        <v>0</v>
      </c>
      <c r="C401" s="14">
        <f t="shared" si="75"/>
        <v>0</v>
      </c>
      <c r="D401" s="14">
        <f t="shared" si="79"/>
        <v>0</v>
      </c>
      <c r="E401" s="14">
        <f t="shared" si="76"/>
        <v>0</v>
      </c>
      <c r="F401" s="14">
        <f t="shared" si="89"/>
        <v>134.16999999999999</v>
      </c>
      <c r="G401" s="14">
        <f t="shared" si="89"/>
        <v>188.55</v>
      </c>
      <c r="H401" s="14">
        <f t="shared" si="88"/>
        <v>322.72000000000003</v>
      </c>
      <c r="I401" s="275">
        <f t="shared" si="82"/>
        <v>97531.839999999953</v>
      </c>
      <c r="J401" s="275">
        <f t="shared" si="83"/>
        <v>36068.259999999973</v>
      </c>
      <c r="K401" s="275">
        <f t="shared" si="80"/>
        <v>0</v>
      </c>
      <c r="L401" s="386">
        <f t="shared" si="86"/>
        <v>0</v>
      </c>
      <c r="M401" s="386">
        <f t="shared" si="81"/>
        <v>0</v>
      </c>
      <c r="N401" s="590" t="str">
        <f>INDEX(tblSubjectToLoan[Date],ROW()-ROW(tblContractForDeed[#Headers]))</f>
        <v/>
      </c>
      <c r="O401" s="275">
        <f>IF(ROW()=ROW(tblContractForDeed[#Headers])+1,$O$6,IF(INDEX(tblContractForDeed[End Bal],ROW()-ROW(tblContractForDeed[#Headers])-1)&lt;0,0,INDEX(tblContractForDeed[End Bal],ROW()-ROW(tblContractForDeed[#Headers])-1)))</f>
        <v>0</v>
      </c>
      <c r="P401" s="445" t="str">
        <f>IF(tblContractForDeed[[#This Row],[Date]]="","",IF(tblContractForDeed[[#This Row],[Date]]&lt;cfdRateChangeDate,cfdRate1,cfdRate2))</f>
        <v/>
      </c>
      <c r="Q4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75">
        <f>IF(tblContractForDeed[[#This Row],[Payment]]=0,0,MAX(0,MIN(tblContractForDeed[[#This Row],[Beg]],tblContractForDeed[[#This Row],[Payment]]-tblContractForDeed[[#This Row],[Int]])))</f>
        <v>0</v>
      </c>
      <c r="S401" s="275">
        <f>IF(OR(tblContractForDeed[[#This Row],[Date]]&lt;cfdContractDate,tblContractForDeed[[#This Row],[Date]]&gt;cfdEndDate),0,ROUND(tblContractForDeed[[#This Row],[Beg]]*(tblContractForDeed[[#This Row],[Int Rate]]/12),2))</f>
        <v>0</v>
      </c>
      <c r="T401" s="275">
        <f>IF(tblContractForDeed[[#This Row],[Payment]]=0,0,$W$2)</f>
        <v>0</v>
      </c>
      <c r="U401" s="275">
        <f>IF(tblContractForDeed[[#This Row],[Princ]]=0,0,$W$3)</f>
        <v>0</v>
      </c>
      <c r="V401" s="275">
        <f>SUM(tblContractForDeed[[#This Row],[Princ]],tblContractForDeed[[#This Row],[Int]],tblContractForDeed[[#This Row],[Ins]],tblContractForDeed[[#This Row],[Taxes]])</f>
        <v>0</v>
      </c>
      <c r="W401" s="275">
        <f>SUM(INDEX(tblContractForDeed[Princ],1):INDEX(tblContractForDeed[Princ],ROW()-ROW(tblContractForDeed[#Headers])))</f>
        <v>75258.000000000029</v>
      </c>
      <c r="X401" s="275">
        <f>IF(tblContractForDeed[[#This Row],[Beg]]&lt;=0,0,tblContractForDeed[[#This Row],[Beg]]-tblContractForDeed[[#This Row],[Princ]])</f>
        <v>0</v>
      </c>
      <c r="Y40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54">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1" s="275">
        <f>IF(INDEX(tblContractForDeed[End Bal],ROW()-ROW(tblBuyerOutputs[#Headers]))&lt;=0,0,($O$6+IF(ROW()=ROW(tblBuyerOutputs[#Headers])+1,0,INDEX(tblBuyerOutputs[Cumul Appr],ROW()-ROW(tblBuyerOutputs[#Headers])-1)))*$O$2/12)</f>
        <v>0</v>
      </c>
      <c r="AE401" s="275">
        <f>IF(INDEX(tblContractForDeed[End Bal],ROW()-ROW(tblBuyerOutputs[#Headers]))&lt;=0,0,IF(ROW()=ROW(tblBuyerOutputs[#Headers])+1,0,INDEX(tblBuyerOutputs[Cumul Appr],ROW()-ROW(tblBuyerOutputs[#Headers])-1))+tblBuyerOutputs[[#This Row],[Monthly Appr]])</f>
        <v>0</v>
      </c>
      <c r="AF401" s="22"/>
      <c r="AG401" s="14"/>
      <c r="AL401"/>
      <c r="AM401" s="14"/>
      <c r="AO401" s="275"/>
      <c r="AQ401" s="14"/>
      <c r="AR401"/>
    </row>
    <row r="402" spans="1:44" x14ac:dyDescent="0.25">
      <c r="A402" s="590" t="str">
        <f t="shared" si="77"/>
        <v/>
      </c>
      <c r="B402" s="275">
        <f t="shared" si="78"/>
        <v>0</v>
      </c>
      <c r="C402" s="14">
        <f t="shared" si="75"/>
        <v>0</v>
      </c>
      <c r="D402" s="14">
        <f t="shared" si="79"/>
        <v>0</v>
      </c>
      <c r="E402" s="14">
        <f t="shared" si="76"/>
        <v>0</v>
      </c>
      <c r="F402" s="14">
        <f t="shared" si="89"/>
        <v>134.16999999999999</v>
      </c>
      <c r="G402" s="14">
        <f t="shared" si="89"/>
        <v>188.55</v>
      </c>
      <c r="H402" s="14">
        <f t="shared" si="88"/>
        <v>322.72000000000003</v>
      </c>
      <c r="I402" s="275">
        <f t="shared" si="82"/>
        <v>97531.839999999953</v>
      </c>
      <c r="J402" s="275">
        <f t="shared" si="83"/>
        <v>36068.259999999973</v>
      </c>
      <c r="K402" s="275">
        <f t="shared" si="80"/>
        <v>0</v>
      </c>
      <c r="L402" s="386">
        <f t="shared" si="86"/>
        <v>0</v>
      </c>
      <c r="M402" s="386">
        <f t="shared" si="81"/>
        <v>0</v>
      </c>
      <c r="N402" s="590" t="str">
        <f>INDEX(tblSubjectToLoan[Date],ROW()-ROW(tblContractForDeed[#Headers]))</f>
        <v/>
      </c>
      <c r="O402" s="275">
        <f>IF(ROW()=ROW(tblContractForDeed[#Headers])+1,$O$6,IF(INDEX(tblContractForDeed[End Bal],ROW()-ROW(tblContractForDeed[#Headers])-1)&lt;0,0,INDEX(tblContractForDeed[End Bal],ROW()-ROW(tblContractForDeed[#Headers])-1)))</f>
        <v>0</v>
      </c>
      <c r="P402" s="445" t="str">
        <f>IF(tblContractForDeed[[#This Row],[Date]]="","",IF(tblContractForDeed[[#This Row],[Date]]&lt;cfdRateChangeDate,cfdRate1,cfdRate2))</f>
        <v/>
      </c>
      <c r="Q4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75">
        <f>IF(tblContractForDeed[[#This Row],[Payment]]=0,0,MAX(0,MIN(tblContractForDeed[[#This Row],[Beg]],tblContractForDeed[[#This Row],[Payment]]-tblContractForDeed[[#This Row],[Int]])))</f>
        <v>0</v>
      </c>
      <c r="S402" s="275">
        <f>IF(OR(tblContractForDeed[[#This Row],[Date]]&lt;cfdContractDate,tblContractForDeed[[#This Row],[Date]]&gt;cfdEndDate),0,ROUND(tblContractForDeed[[#This Row],[Beg]]*(tblContractForDeed[[#This Row],[Int Rate]]/12),2))</f>
        <v>0</v>
      </c>
      <c r="T402" s="275">
        <f>IF(tblContractForDeed[[#This Row],[Payment]]=0,0,$W$2)</f>
        <v>0</v>
      </c>
      <c r="U402" s="275">
        <f>IF(tblContractForDeed[[#This Row],[Princ]]=0,0,$W$3)</f>
        <v>0</v>
      </c>
      <c r="V402" s="275">
        <f>SUM(tblContractForDeed[[#This Row],[Princ]],tblContractForDeed[[#This Row],[Int]],tblContractForDeed[[#This Row],[Ins]],tblContractForDeed[[#This Row],[Taxes]])</f>
        <v>0</v>
      </c>
      <c r="W402" s="275">
        <f>SUM(INDEX(tblContractForDeed[Princ],1):INDEX(tblContractForDeed[Princ],ROW()-ROW(tblContractForDeed[#Headers])))</f>
        <v>75258.000000000029</v>
      </c>
      <c r="X402" s="275">
        <f>IF(tblContractForDeed[[#This Row],[Beg]]&lt;=0,0,tblContractForDeed[[#This Row],[Beg]]-tblContractForDeed[[#This Row],[Princ]])</f>
        <v>0</v>
      </c>
      <c r="Y40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54">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2" s="275">
        <f>IF(INDEX(tblContractForDeed[End Bal],ROW()-ROW(tblBuyerOutputs[#Headers]))&lt;=0,0,($O$6+IF(ROW()=ROW(tblBuyerOutputs[#Headers])+1,0,INDEX(tblBuyerOutputs[Cumul Appr],ROW()-ROW(tblBuyerOutputs[#Headers])-1)))*$O$2/12)</f>
        <v>0</v>
      </c>
      <c r="AE402" s="275">
        <f>IF(INDEX(tblContractForDeed[End Bal],ROW()-ROW(tblBuyerOutputs[#Headers]))&lt;=0,0,IF(ROW()=ROW(tblBuyerOutputs[#Headers])+1,0,INDEX(tblBuyerOutputs[Cumul Appr],ROW()-ROW(tblBuyerOutputs[#Headers])-1))+tblBuyerOutputs[[#This Row],[Monthly Appr]])</f>
        <v>0</v>
      </c>
      <c r="AF402" s="22"/>
      <c r="AG402" s="14"/>
      <c r="AL402"/>
      <c r="AM402" s="14"/>
      <c r="AO402" s="275"/>
      <c r="AQ402" s="14"/>
      <c r="AR402"/>
    </row>
    <row r="403" spans="1:44" ht="15.75" thickBot="1" x14ac:dyDescent="0.3">
      <c r="A403" s="591" t="str">
        <f t="shared" si="77"/>
        <v/>
      </c>
      <c r="B403" s="326">
        <f t="shared" si="78"/>
        <v>0</v>
      </c>
      <c r="C403" s="21">
        <f t="shared" si="75"/>
        <v>0</v>
      </c>
      <c r="D403" s="21">
        <f t="shared" si="79"/>
        <v>0</v>
      </c>
      <c r="E403" s="21">
        <f t="shared" si="76"/>
        <v>0</v>
      </c>
      <c r="F403" s="21">
        <f t="shared" si="89"/>
        <v>134.16999999999999</v>
      </c>
      <c r="G403" s="21">
        <f t="shared" si="89"/>
        <v>188.55</v>
      </c>
      <c r="H403" s="21">
        <f t="shared" si="88"/>
        <v>322.72000000000003</v>
      </c>
      <c r="I403" s="326">
        <f t="shared" si="82"/>
        <v>97531.839999999953</v>
      </c>
      <c r="J403" s="326">
        <f t="shared" si="83"/>
        <v>36068.259999999973</v>
      </c>
      <c r="K403" s="326">
        <f t="shared" si="80"/>
        <v>0</v>
      </c>
      <c r="L403" s="387">
        <f t="shared" si="86"/>
        <v>0</v>
      </c>
      <c r="M403" s="387">
        <f t="shared" si="81"/>
        <v>0</v>
      </c>
      <c r="N403" s="591" t="str">
        <f>INDEX(tblSubjectToLoan[Date],ROW()-ROW(tblContractForDeed[#Headers]))</f>
        <v/>
      </c>
      <c r="O403" s="326">
        <f>IF(ROW()=ROW(tblContractForDeed[#Headers])+1,$O$6,IF(INDEX(tblContractForDeed[End Bal],ROW()-ROW(tblContractForDeed[#Headers])-1)&lt;0,0,INDEX(tblContractForDeed[End Bal],ROW()-ROW(tblContractForDeed[#Headers])-1)))</f>
        <v>0</v>
      </c>
      <c r="P403" s="445" t="str">
        <f>IF(tblContractForDeed[[#This Row],[Date]]="","",IF(tblContractForDeed[[#This Row],[Date]]&lt;cfdRateChangeDate,cfdRate1,cfdRate2))</f>
        <v/>
      </c>
      <c r="Q40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26">
        <f>IF(tblContractForDeed[[#This Row],[Payment]]=0,0,MAX(0,MIN(tblContractForDeed[[#This Row],[Beg]],tblContractForDeed[[#This Row],[Payment]]-tblContractForDeed[[#This Row],[Int]])))</f>
        <v>0</v>
      </c>
      <c r="S403" s="326">
        <f>IF(OR(tblContractForDeed[[#This Row],[Date]]&lt;cfdContractDate,tblContractForDeed[[#This Row],[Date]]&gt;cfdEndDate),0,ROUND(tblContractForDeed[[#This Row],[Beg]]*(tblContractForDeed[[#This Row],[Int Rate]]/12),2))</f>
        <v>0</v>
      </c>
      <c r="T403" s="326">
        <f>IF(tblContractForDeed[[#This Row],[Payment]]=0,0,$W$2)</f>
        <v>0</v>
      </c>
      <c r="U403" s="326">
        <f>IF(tblContractForDeed[[#This Row],[Princ]]=0,0,$W$3)</f>
        <v>0</v>
      </c>
      <c r="V403" s="326">
        <f>SUM(tblContractForDeed[[#This Row],[Princ]],tblContractForDeed[[#This Row],[Int]],tblContractForDeed[[#This Row],[Ins]],tblContractForDeed[[#This Row],[Taxes]])</f>
        <v>0</v>
      </c>
      <c r="W403" s="326">
        <f>SUM(INDEX(tblContractForDeed[Princ],1):INDEX(tblContractForDeed[Princ],ROW()-ROW(tblContractForDeed[#Headers])))</f>
        <v>75258.000000000029</v>
      </c>
      <c r="X403" s="326">
        <f>IF(tblContractForDeed[[#This Row],[Beg]]&lt;=0,0,tblContractForDeed[[#This Row],[Beg]]-tblContractForDeed[[#This Row],[Princ]])</f>
        <v>0</v>
      </c>
      <c r="Y40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55">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3" s="326">
        <f>IF(INDEX(tblContractForDeed[End Bal],ROW()-ROW(tblBuyerOutputs[#Headers]))&lt;=0,0,($O$6+IF(ROW()=ROW(tblBuyerOutputs[#Headers])+1,0,INDEX(tblBuyerOutputs[Cumul Appr],ROW()-ROW(tblBuyerOutputs[#Headers])-1)))*$O$2/12)</f>
        <v>0</v>
      </c>
      <c r="AE403" s="326">
        <f>IF(INDEX(tblContractForDeed[End Bal],ROW()-ROW(tblBuyerOutputs[#Headers]))&lt;=0,0,IF(ROW()=ROW(tblBuyerOutputs[#Headers])+1,0,INDEX(tblBuyerOutputs[Cumul Appr],ROW()-ROW(tblBuyerOutputs[#Headers])-1))+tblBuyerOutputs[[#This Row],[Monthly Appr]])</f>
        <v>0</v>
      </c>
      <c r="AF403" s="22"/>
      <c r="AG403" s="14"/>
      <c r="AL403"/>
      <c r="AM403" s="14"/>
      <c r="AO403" s="275"/>
      <c r="AQ403" s="14"/>
      <c r="AR403"/>
    </row>
    <row r="404" spans="1:44" x14ac:dyDescent="0.25">
      <c r="A404" s="590" t="str">
        <f t="shared" si="77"/>
        <v/>
      </c>
      <c r="B404" s="275">
        <f t="shared" si="78"/>
        <v>0</v>
      </c>
      <c r="C404" s="14">
        <f t="shared" ref="C404:C467" si="90">IF(A404="",0,IF(B404&lt;=0,0,IF(A404=subjectMortgageEndDate,B404+E404,MIN(subjectPayment,B404+E404))))</f>
        <v>0</v>
      </c>
      <c r="D404" s="14">
        <f t="shared" si="79"/>
        <v>0</v>
      </c>
      <c r="E404" s="14">
        <f t="shared" ref="E404:E467" si="91">IF(OR(A404="",B404&lt;=0),0,ROUND(B404*(subjectInterestRate/12),2))</f>
        <v>0</v>
      </c>
      <c r="F404" s="14">
        <f t="shared" si="89"/>
        <v>134.16999999999999</v>
      </c>
      <c r="G404" s="14">
        <f t="shared" si="89"/>
        <v>188.55</v>
      </c>
      <c r="H404" s="14">
        <f t="shared" si="88"/>
        <v>322.72000000000003</v>
      </c>
      <c r="I404" s="275">
        <f t="shared" si="82"/>
        <v>97531.839999999953</v>
      </c>
      <c r="J404" s="275">
        <f t="shared" si="83"/>
        <v>36068.259999999973</v>
      </c>
      <c r="K404" s="275">
        <f t="shared" si="80"/>
        <v>0</v>
      </c>
      <c r="L404" s="386">
        <f t="shared" si="86"/>
        <v>0</v>
      </c>
      <c r="M404" s="386">
        <f t="shared" si="81"/>
        <v>0</v>
      </c>
      <c r="N404" s="590" t="str">
        <f>INDEX(tblSubjectToLoan[Date],ROW()-ROW(tblContractForDeed[#Headers]))</f>
        <v/>
      </c>
      <c r="O404" s="275">
        <f>IF(ROW()=ROW(tblContractForDeed[#Headers])+1,$O$6,IF(INDEX(tblContractForDeed[End Bal],ROW()-ROW(tblContractForDeed[#Headers])-1)&lt;0,0,INDEX(tblContractForDeed[End Bal],ROW()-ROW(tblContractForDeed[#Headers])-1)))</f>
        <v>0</v>
      </c>
      <c r="P404" s="445" t="str">
        <f>IF(tblContractForDeed[[#This Row],[Date]]="","",IF(tblContractForDeed[[#This Row],[Date]]&lt;cfdRateChangeDate,cfdRate1,cfdRate2))</f>
        <v/>
      </c>
      <c r="Q4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75">
        <f>IF(tblContractForDeed[[#This Row],[Payment]]=0,0,MAX(0,MIN(tblContractForDeed[[#This Row],[Beg]],tblContractForDeed[[#This Row],[Payment]]-tblContractForDeed[[#This Row],[Int]])))</f>
        <v>0</v>
      </c>
      <c r="S404" s="275">
        <f>IF(OR(tblContractForDeed[[#This Row],[Date]]&lt;cfdContractDate,tblContractForDeed[[#This Row],[Date]]&gt;cfdEndDate),0,ROUND(tblContractForDeed[[#This Row],[Beg]]*(tblContractForDeed[[#This Row],[Int Rate]]/12),2))</f>
        <v>0</v>
      </c>
      <c r="T404" s="275">
        <f>IF(tblContractForDeed[[#This Row],[Payment]]=0,0,$W$2)</f>
        <v>0</v>
      </c>
      <c r="U404" s="275">
        <f>IF(tblContractForDeed[[#This Row],[Princ]]=0,0,$W$3)</f>
        <v>0</v>
      </c>
      <c r="V404" s="275">
        <f>SUM(tblContractForDeed[[#This Row],[Princ]],tblContractForDeed[[#This Row],[Int]],tblContractForDeed[[#This Row],[Ins]],tblContractForDeed[[#This Row],[Taxes]])</f>
        <v>0</v>
      </c>
      <c r="W404" s="275">
        <f>SUM(INDEX(tblContractForDeed[Princ],1):INDEX(tblContractForDeed[Princ],ROW()-ROW(tblContractForDeed[#Headers])))</f>
        <v>75258.000000000029</v>
      </c>
      <c r="X404" s="275">
        <f>IF(tblContractForDeed[[#This Row],[Beg]]&lt;=0,0,tblContractForDeed[[#This Row],[Beg]]-tblContractForDeed[[#This Row],[Princ]])</f>
        <v>0</v>
      </c>
      <c r="Y40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54">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4" s="275">
        <f>IF(INDEX(tblContractForDeed[End Bal],ROW()-ROW(tblBuyerOutputs[#Headers]))&lt;=0,0,($O$6+IF(ROW()=ROW(tblBuyerOutputs[#Headers])+1,0,INDEX(tblBuyerOutputs[Cumul Appr],ROW()-ROW(tblBuyerOutputs[#Headers])-1)))*$O$2/12)</f>
        <v>0</v>
      </c>
      <c r="AE404" s="275">
        <f>IF(INDEX(tblContractForDeed[End Bal],ROW()-ROW(tblBuyerOutputs[#Headers]))&lt;=0,0,IF(ROW()=ROW(tblBuyerOutputs[#Headers])+1,0,INDEX(tblBuyerOutputs[Cumul Appr],ROW()-ROW(tblBuyerOutputs[#Headers])-1))+tblBuyerOutputs[[#This Row],[Monthly Appr]])</f>
        <v>0</v>
      </c>
      <c r="AF404" s="22"/>
      <c r="AG404" s="14"/>
      <c r="AL404"/>
      <c r="AM404" s="14"/>
      <c r="AO404" s="275"/>
      <c r="AQ404" s="14"/>
      <c r="AR404"/>
    </row>
    <row r="405" spans="1:44" x14ac:dyDescent="0.25">
      <c r="A405" s="590" t="str">
        <f t="shared" ref="A405:A468" si="92">IF(OR(A404="",A404&gt;=subjectMortgageEndDate),"",EDATE(A404,1))</f>
        <v/>
      </c>
      <c r="B405" s="275">
        <f t="shared" ref="B405:B468" si="93">IF(A405="",0,MAX(0,K404))</f>
        <v>0</v>
      </c>
      <c r="C405" s="14">
        <f t="shared" si="90"/>
        <v>0</v>
      </c>
      <c r="D405" s="14">
        <f t="shared" ref="D405:D468" si="94">IF(C405=0,0,MAX(0,MIN(B405,C405-E405)))</f>
        <v>0</v>
      </c>
      <c r="E405" s="14">
        <f t="shared" si="91"/>
        <v>0</v>
      </c>
      <c r="F405" s="14">
        <f t="shared" si="89"/>
        <v>134.16999999999999</v>
      </c>
      <c r="G405" s="14">
        <f t="shared" si="89"/>
        <v>188.55</v>
      </c>
      <c r="H405" s="14">
        <f t="shared" si="88"/>
        <v>322.72000000000003</v>
      </c>
      <c r="I405" s="275">
        <f t="shared" si="82"/>
        <v>97531.839999999953</v>
      </c>
      <c r="J405" s="275">
        <f t="shared" si="83"/>
        <v>36068.259999999973</v>
      </c>
      <c r="K405" s="275">
        <f t="shared" ref="K405:K468" si="95">IF(A405="",0,IF(B405&lt;=0,0,MAX(0,B405-D405)))</f>
        <v>0</v>
      </c>
      <c r="L405" s="386">
        <f t="shared" si="86"/>
        <v>0</v>
      </c>
      <c r="M405" s="386">
        <f t="shared" ref="M405:M468" si="96">IF($A405&lt;&gt;"",M404+1,0)</f>
        <v>0</v>
      </c>
      <c r="N405" s="590" t="str">
        <f>INDEX(tblSubjectToLoan[Date],ROW()-ROW(tblContractForDeed[#Headers]))</f>
        <v/>
      </c>
      <c r="O405" s="275">
        <f>IF(ROW()=ROW(tblContractForDeed[#Headers])+1,$O$6,IF(INDEX(tblContractForDeed[End Bal],ROW()-ROW(tblContractForDeed[#Headers])-1)&lt;0,0,INDEX(tblContractForDeed[End Bal],ROW()-ROW(tblContractForDeed[#Headers])-1)))</f>
        <v>0</v>
      </c>
      <c r="P405" s="445" t="str">
        <f>IF(tblContractForDeed[[#This Row],[Date]]="","",IF(tblContractForDeed[[#This Row],[Date]]&lt;cfdRateChangeDate,cfdRate1,cfdRate2))</f>
        <v/>
      </c>
      <c r="Q4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75">
        <f>IF(tblContractForDeed[[#This Row],[Payment]]=0,0,MAX(0,MIN(tblContractForDeed[[#This Row],[Beg]],tblContractForDeed[[#This Row],[Payment]]-tblContractForDeed[[#This Row],[Int]])))</f>
        <v>0</v>
      </c>
      <c r="S405" s="275">
        <f>IF(OR(tblContractForDeed[[#This Row],[Date]]&lt;cfdContractDate,tblContractForDeed[[#This Row],[Date]]&gt;cfdEndDate),0,ROUND(tblContractForDeed[[#This Row],[Beg]]*(tblContractForDeed[[#This Row],[Int Rate]]/12),2))</f>
        <v>0</v>
      </c>
      <c r="T405" s="275">
        <f>IF(tblContractForDeed[[#This Row],[Payment]]=0,0,$W$2)</f>
        <v>0</v>
      </c>
      <c r="U405" s="275">
        <f>IF(tblContractForDeed[[#This Row],[Princ]]=0,0,$W$3)</f>
        <v>0</v>
      </c>
      <c r="V405" s="275">
        <f>SUM(tblContractForDeed[[#This Row],[Princ]],tblContractForDeed[[#This Row],[Int]],tblContractForDeed[[#This Row],[Ins]],tblContractForDeed[[#This Row],[Taxes]])</f>
        <v>0</v>
      </c>
      <c r="W405" s="275">
        <f>SUM(INDEX(tblContractForDeed[Princ],1):INDEX(tblContractForDeed[Princ],ROW()-ROW(tblContractForDeed[#Headers])))</f>
        <v>75258.000000000029</v>
      </c>
      <c r="X405" s="275">
        <f>IF(tblContractForDeed[[#This Row],[Beg]]&lt;=0,0,tblContractForDeed[[#This Row],[Beg]]-tblContractForDeed[[#This Row],[Princ]])</f>
        <v>0</v>
      </c>
      <c r="Y40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54">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5" s="275">
        <f>IF(INDEX(tblContractForDeed[End Bal],ROW()-ROW(tblBuyerOutputs[#Headers]))&lt;=0,0,($O$6+IF(ROW()=ROW(tblBuyerOutputs[#Headers])+1,0,INDEX(tblBuyerOutputs[Cumul Appr],ROW()-ROW(tblBuyerOutputs[#Headers])-1)))*$O$2/12)</f>
        <v>0</v>
      </c>
      <c r="AE405" s="275">
        <f>IF(INDEX(tblContractForDeed[End Bal],ROW()-ROW(tblBuyerOutputs[#Headers]))&lt;=0,0,IF(ROW()=ROW(tblBuyerOutputs[#Headers])+1,0,INDEX(tblBuyerOutputs[Cumul Appr],ROW()-ROW(tblBuyerOutputs[#Headers])-1))+tblBuyerOutputs[[#This Row],[Monthly Appr]])</f>
        <v>0</v>
      </c>
      <c r="AF405" s="22"/>
      <c r="AG405" s="14"/>
      <c r="AL405"/>
      <c r="AM405" s="14"/>
      <c r="AO405" s="275"/>
      <c r="AQ405" s="14"/>
      <c r="AR405"/>
    </row>
    <row r="406" spans="1:44" x14ac:dyDescent="0.25">
      <c r="A406" s="590" t="str">
        <f t="shared" si="92"/>
        <v/>
      </c>
      <c r="B406" s="275">
        <f t="shared" si="93"/>
        <v>0</v>
      </c>
      <c r="C406" s="14">
        <f t="shared" si="90"/>
        <v>0</v>
      </c>
      <c r="D406" s="14">
        <f t="shared" si="94"/>
        <v>0</v>
      </c>
      <c r="E406" s="14">
        <f t="shared" si="91"/>
        <v>0</v>
      </c>
      <c r="F406" s="14">
        <f t="shared" si="89"/>
        <v>134.16999999999999</v>
      </c>
      <c r="G406" s="14">
        <f t="shared" si="89"/>
        <v>188.55</v>
      </c>
      <c r="H406" s="14">
        <f t="shared" si="88"/>
        <v>322.72000000000003</v>
      </c>
      <c r="I406" s="275">
        <f t="shared" ref="I406:I469" si="97">$D406+$I405</f>
        <v>97531.839999999953</v>
      </c>
      <c r="J406" s="275">
        <f t="shared" ref="J406:J469" si="98">$E406+$J405</f>
        <v>36068.259999999973</v>
      </c>
      <c r="K406" s="275">
        <f t="shared" si="95"/>
        <v>0</v>
      </c>
      <c r="L406" s="386">
        <f t="shared" si="86"/>
        <v>0</v>
      </c>
      <c r="M406" s="386">
        <f t="shared" si="96"/>
        <v>0</v>
      </c>
      <c r="N406" s="590" t="str">
        <f>INDEX(tblSubjectToLoan[Date],ROW()-ROW(tblContractForDeed[#Headers]))</f>
        <v/>
      </c>
      <c r="O406" s="275">
        <f>IF(ROW()=ROW(tblContractForDeed[#Headers])+1,$O$6,IF(INDEX(tblContractForDeed[End Bal],ROW()-ROW(tblContractForDeed[#Headers])-1)&lt;0,0,INDEX(tblContractForDeed[End Bal],ROW()-ROW(tblContractForDeed[#Headers])-1)))</f>
        <v>0</v>
      </c>
      <c r="P406" s="445" t="str">
        <f>IF(tblContractForDeed[[#This Row],[Date]]="","",IF(tblContractForDeed[[#This Row],[Date]]&lt;cfdRateChangeDate,cfdRate1,cfdRate2))</f>
        <v/>
      </c>
      <c r="Q4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75">
        <f>IF(tblContractForDeed[[#This Row],[Payment]]=0,0,MAX(0,MIN(tblContractForDeed[[#This Row],[Beg]],tblContractForDeed[[#This Row],[Payment]]-tblContractForDeed[[#This Row],[Int]])))</f>
        <v>0</v>
      </c>
      <c r="S406" s="275">
        <f>IF(OR(tblContractForDeed[[#This Row],[Date]]&lt;cfdContractDate,tblContractForDeed[[#This Row],[Date]]&gt;cfdEndDate),0,ROUND(tblContractForDeed[[#This Row],[Beg]]*(tblContractForDeed[[#This Row],[Int Rate]]/12),2))</f>
        <v>0</v>
      </c>
      <c r="T406" s="275">
        <f>IF(tblContractForDeed[[#This Row],[Payment]]=0,0,$W$2)</f>
        <v>0</v>
      </c>
      <c r="U406" s="275">
        <f>IF(tblContractForDeed[[#This Row],[Princ]]=0,0,$W$3)</f>
        <v>0</v>
      </c>
      <c r="V406" s="275">
        <f>SUM(tblContractForDeed[[#This Row],[Princ]],tblContractForDeed[[#This Row],[Int]],tblContractForDeed[[#This Row],[Ins]],tblContractForDeed[[#This Row],[Taxes]])</f>
        <v>0</v>
      </c>
      <c r="W406" s="275">
        <f>SUM(INDEX(tblContractForDeed[Princ],1):INDEX(tblContractForDeed[Princ],ROW()-ROW(tblContractForDeed[#Headers])))</f>
        <v>75258.000000000029</v>
      </c>
      <c r="X406" s="275">
        <f>IF(tblContractForDeed[[#This Row],[Beg]]&lt;=0,0,tblContractForDeed[[#This Row],[Beg]]-tblContractForDeed[[#This Row],[Princ]])</f>
        <v>0</v>
      </c>
      <c r="Y40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54">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6" s="275">
        <f>IF(INDEX(tblContractForDeed[End Bal],ROW()-ROW(tblBuyerOutputs[#Headers]))&lt;=0,0,($O$6+IF(ROW()=ROW(tblBuyerOutputs[#Headers])+1,0,INDEX(tblBuyerOutputs[Cumul Appr],ROW()-ROW(tblBuyerOutputs[#Headers])-1)))*$O$2/12)</f>
        <v>0</v>
      </c>
      <c r="AE406" s="275">
        <f>IF(INDEX(tblContractForDeed[End Bal],ROW()-ROW(tblBuyerOutputs[#Headers]))&lt;=0,0,IF(ROW()=ROW(tblBuyerOutputs[#Headers])+1,0,INDEX(tblBuyerOutputs[Cumul Appr],ROW()-ROW(tblBuyerOutputs[#Headers])-1))+tblBuyerOutputs[[#This Row],[Monthly Appr]])</f>
        <v>0</v>
      </c>
      <c r="AF406" s="22"/>
      <c r="AG406" s="14"/>
      <c r="AL406"/>
      <c r="AM406" s="14"/>
      <c r="AO406" s="275"/>
      <c r="AQ406" s="14"/>
      <c r="AR406"/>
    </row>
    <row r="407" spans="1:44" x14ac:dyDescent="0.25">
      <c r="A407" s="590" t="str">
        <f t="shared" si="92"/>
        <v/>
      </c>
      <c r="B407" s="275">
        <f t="shared" si="93"/>
        <v>0</v>
      </c>
      <c r="C407" s="14">
        <f t="shared" si="90"/>
        <v>0</v>
      </c>
      <c r="D407" s="14">
        <f t="shared" si="94"/>
        <v>0</v>
      </c>
      <c r="E407" s="14">
        <f t="shared" si="91"/>
        <v>0</v>
      </c>
      <c r="F407" s="14">
        <f t="shared" si="89"/>
        <v>134.16999999999999</v>
      </c>
      <c r="G407" s="14">
        <f t="shared" si="89"/>
        <v>188.55</v>
      </c>
      <c r="H407" s="14">
        <f t="shared" si="88"/>
        <v>322.72000000000003</v>
      </c>
      <c r="I407" s="275">
        <f t="shared" si="97"/>
        <v>97531.839999999953</v>
      </c>
      <c r="J407" s="275">
        <f t="shared" si="98"/>
        <v>36068.259999999973</v>
      </c>
      <c r="K407" s="275">
        <f t="shared" si="95"/>
        <v>0</v>
      </c>
      <c r="L407" s="386">
        <f t="shared" si="86"/>
        <v>0</v>
      </c>
      <c r="M407" s="386">
        <f t="shared" si="96"/>
        <v>0</v>
      </c>
      <c r="N407" s="590" t="str">
        <f>INDEX(tblSubjectToLoan[Date],ROW()-ROW(tblContractForDeed[#Headers]))</f>
        <v/>
      </c>
      <c r="O407" s="275">
        <f>IF(ROW()=ROW(tblContractForDeed[#Headers])+1,$O$6,IF(INDEX(tblContractForDeed[End Bal],ROW()-ROW(tblContractForDeed[#Headers])-1)&lt;0,0,INDEX(tblContractForDeed[End Bal],ROW()-ROW(tblContractForDeed[#Headers])-1)))</f>
        <v>0</v>
      </c>
      <c r="P407" s="445" t="str">
        <f>IF(tblContractForDeed[[#This Row],[Date]]="","",IF(tblContractForDeed[[#This Row],[Date]]&lt;cfdRateChangeDate,cfdRate1,cfdRate2))</f>
        <v/>
      </c>
      <c r="Q40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75">
        <f>IF(tblContractForDeed[[#This Row],[Payment]]=0,0,MAX(0,MIN(tblContractForDeed[[#This Row],[Beg]],tblContractForDeed[[#This Row],[Payment]]-tblContractForDeed[[#This Row],[Int]])))</f>
        <v>0</v>
      </c>
      <c r="S407" s="275">
        <f>IF(OR(tblContractForDeed[[#This Row],[Date]]&lt;cfdContractDate,tblContractForDeed[[#This Row],[Date]]&gt;cfdEndDate),0,ROUND(tblContractForDeed[[#This Row],[Beg]]*(tblContractForDeed[[#This Row],[Int Rate]]/12),2))</f>
        <v>0</v>
      </c>
      <c r="T407" s="275">
        <f>IF(tblContractForDeed[[#This Row],[Payment]]=0,0,$W$2)</f>
        <v>0</v>
      </c>
      <c r="U407" s="275">
        <f>IF(tblContractForDeed[[#This Row],[Princ]]=0,0,$W$3)</f>
        <v>0</v>
      </c>
      <c r="V407" s="275">
        <f>SUM(tblContractForDeed[[#This Row],[Princ]],tblContractForDeed[[#This Row],[Int]],tblContractForDeed[[#This Row],[Ins]],tblContractForDeed[[#This Row],[Taxes]])</f>
        <v>0</v>
      </c>
      <c r="W407" s="275">
        <f>SUM(INDEX(tblContractForDeed[Princ],1):INDEX(tblContractForDeed[Princ],ROW()-ROW(tblContractForDeed[#Headers])))</f>
        <v>75258.000000000029</v>
      </c>
      <c r="X407" s="275">
        <f>IF(tblContractForDeed[[#This Row],[Beg]]&lt;=0,0,tblContractForDeed[[#This Row],[Beg]]-tblContractForDeed[[#This Row],[Princ]])</f>
        <v>0</v>
      </c>
      <c r="Y40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54">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7" s="275">
        <f>IF(INDEX(tblContractForDeed[End Bal],ROW()-ROW(tblBuyerOutputs[#Headers]))&lt;=0,0,($O$6+IF(ROW()=ROW(tblBuyerOutputs[#Headers])+1,0,INDEX(tblBuyerOutputs[Cumul Appr],ROW()-ROW(tblBuyerOutputs[#Headers])-1)))*$O$2/12)</f>
        <v>0</v>
      </c>
      <c r="AE407" s="275">
        <f>IF(INDEX(tblContractForDeed[End Bal],ROW()-ROW(tblBuyerOutputs[#Headers]))&lt;=0,0,IF(ROW()=ROW(tblBuyerOutputs[#Headers])+1,0,INDEX(tblBuyerOutputs[Cumul Appr],ROW()-ROW(tblBuyerOutputs[#Headers])-1))+tblBuyerOutputs[[#This Row],[Monthly Appr]])</f>
        <v>0</v>
      </c>
      <c r="AF407" s="22"/>
      <c r="AG407" s="14"/>
      <c r="AL407"/>
      <c r="AM407" s="14"/>
      <c r="AO407" s="275"/>
      <c r="AQ407" s="14"/>
      <c r="AR407"/>
    </row>
    <row r="408" spans="1:44" x14ac:dyDescent="0.25">
      <c r="A408" s="590" t="str">
        <f t="shared" si="92"/>
        <v/>
      </c>
      <c r="B408" s="275">
        <f t="shared" si="93"/>
        <v>0</v>
      </c>
      <c r="C408" s="14">
        <f t="shared" si="90"/>
        <v>0</v>
      </c>
      <c r="D408" s="14">
        <f t="shared" si="94"/>
        <v>0</v>
      </c>
      <c r="E408" s="14">
        <f t="shared" si="91"/>
        <v>0</v>
      </c>
      <c r="F408" s="14">
        <f t="shared" si="89"/>
        <v>134.16999999999999</v>
      </c>
      <c r="G408" s="14">
        <f t="shared" si="89"/>
        <v>188.55</v>
      </c>
      <c r="H408" s="14">
        <f t="shared" si="88"/>
        <v>322.72000000000003</v>
      </c>
      <c r="I408" s="275">
        <f t="shared" si="97"/>
        <v>97531.839999999953</v>
      </c>
      <c r="J408" s="275">
        <f t="shared" si="98"/>
        <v>36068.259999999973</v>
      </c>
      <c r="K408" s="275">
        <f t="shared" si="95"/>
        <v>0</v>
      </c>
      <c r="L408" s="386">
        <f t="shared" si="86"/>
        <v>0</v>
      </c>
      <c r="M408" s="386">
        <f t="shared" si="96"/>
        <v>0</v>
      </c>
      <c r="N408" s="590" t="str">
        <f>INDEX(tblSubjectToLoan[Date],ROW()-ROW(tblContractForDeed[#Headers]))</f>
        <v/>
      </c>
      <c r="O408" s="275">
        <f>IF(ROW()=ROW(tblContractForDeed[#Headers])+1,$O$6,IF(INDEX(tblContractForDeed[End Bal],ROW()-ROW(tblContractForDeed[#Headers])-1)&lt;0,0,INDEX(tblContractForDeed[End Bal],ROW()-ROW(tblContractForDeed[#Headers])-1)))</f>
        <v>0</v>
      </c>
      <c r="P408" s="445" t="str">
        <f>IF(tblContractForDeed[[#This Row],[Date]]="","",IF(tblContractForDeed[[#This Row],[Date]]&lt;cfdRateChangeDate,cfdRate1,cfdRate2))</f>
        <v/>
      </c>
      <c r="Q4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75">
        <f>IF(tblContractForDeed[[#This Row],[Payment]]=0,0,MAX(0,MIN(tblContractForDeed[[#This Row],[Beg]],tblContractForDeed[[#This Row],[Payment]]-tblContractForDeed[[#This Row],[Int]])))</f>
        <v>0</v>
      </c>
      <c r="S408" s="275">
        <f>IF(OR(tblContractForDeed[[#This Row],[Date]]&lt;cfdContractDate,tblContractForDeed[[#This Row],[Date]]&gt;cfdEndDate),0,ROUND(tblContractForDeed[[#This Row],[Beg]]*(tblContractForDeed[[#This Row],[Int Rate]]/12),2))</f>
        <v>0</v>
      </c>
      <c r="T408" s="275">
        <f>IF(tblContractForDeed[[#This Row],[Payment]]=0,0,$W$2)</f>
        <v>0</v>
      </c>
      <c r="U408" s="275">
        <f>IF(tblContractForDeed[[#This Row],[Princ]]=0,0,$W$3)</f>
        <v>0</v>
      </c>
      <c r="V408" s="275">
        <f>SUM(tblContractForDeed[[#This Row],[Princ]],tblContractForDeed[[#This Row],[Int]],tblContractForDeed[[#This Row],[Ins]],tblContractForDeed[[#This Row],[Taxes]])</f>
        <v>0</v>
      </c>
      <c r="W408" s="275">
        <f>SUM(INDEX(tblContractForDeed[Princ],1):INDEX(tblContractForDeed[Princ],ROW()-ROW(tblContractForDeed[#Headers])))</f>
        <v>75258.000000000029</v>
      </c>
      <c r="X408" s="275">
        <f>IF(tblContractForDeed[[#This Row],[Beg]]&lt;=0,0,tblContractForDeed[[#This Row],[Beg]]-tblContractForDeed[[#This Row],[Princ]])</f>
        <v>0</v>
      </c>
      <c r="Y40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54">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8" s="275">
        <f>IF(INDEX(tblContractForDeed[End Bal],ROW()-ROW(tblBuyerOutputs[#Headers]))&lt;=0,0,($O$6+IF(ROW()=ROW(tblBuyerOutputs[#Headers])+1,0,INDEX(tblBuyerOutputs[Cumul Appr],ROW()-ROW(tblBuyerOutputs[#Headers])-1)))*$O$2/12)</f>
        <v>0</v>
      </c>
      <c r="AE408" s="275">
        <f>IF(INDEX(tblContractForDeed[End Bal],ROW()-ROW(tblBuyerOutputs[#Headers]))&lt;=0,0,IF(ROW()=ROW(tblBuyerOutputs[#Headers])+1,0,INDEX(tblBuyerOutputs[Cumul Appr],ROW()-ROW(tblBuyerOutputs[#Headers])-1))+tblBuyerOutputs[[#This Row],[Monthly Appr]])</f>
        <v>0</v>
      </c>
      <c r="AF408" s="22"/>
      <c r="AG408" s="14"/>
      <c r="AL408"/>
      <c r="AM408" s="14"/>
      <c r="AO408" s="275"/>
      <c r="AQ408" s="14"/>
      <c r="AR408"/>
    </row>
    <row r="409" spans="1:44" x14ac:dyDescent="0.25">
      <c r="A409" s="590" t="str">
        <f t="shared" si="92"/>
        <v/>
      </c>
      <c r="B409" s="275">
        <f t="shared" si="93"/>
        <v>0</v>
      </c>
      <c r="C409" s="14">
        <f t="shared" si="90"/>
        <v>0</v>
      </c>
      <c r="D409" s="14">
        <f t="shared" si="94"/>
        <v>0</v>
      </c>
      <c r="E409" s="14">
        <f t="shared" si="91"/>
        <v>0</v>
      </c>
      <c r="F409" s="14">
        <f t="shared" si="89"/>
        <v>134.16999999999999</v>
      </c>
      <c r="G409" s="14">
        <f t="shared" si="89"/>
        <v>188.55</v>
      </c>
      <c r="H409" s="14">
        <f t="shared" si="88"/>
        <v>322.72000000000003</v>
      </c>
      <c r="I409" s="275">
        <f t="shared" si="97"/>
        <v>97531.839999999953</v>
      </c>
      <c r="J409" s="275">
        <f t="shared" si="98"/>
        <v>36068.259999999973</v>
      </c>
      <c r="K409" s="275">
        <f t="shared" si="95"/>
        <v>0</v>
      </c>
      <c r="L409" s="386">
        <f t="shared" si="86"/>
        <v>0</v>
      </c>
      <c r="M409" s="386">
        <f t="shared" si="96"/>
        <v>0</v>
      </c>
      <c r="N409" s="590" t="str">
        <f>INDEX(tblSubjectToLoan[Date],ROW()-ROW(tblContractForDeed[#Headers]))</f>
        <v/>
      </c>
      <c r="O409" s="275">
        <f>IF(ROW()=ROW(tblContractForDeed[#Headers])+1,$O$6,IF(INDEX(tblContractForDeed[End Bal],ROW()-ROW(tblContractForDeed[#Headers])-1)&lt;0,0,INDEX(tblContractForDeed[End Bal],ROW()-ROW(tblContractForDeed[#Headers])-1)))</f>
        <v>0</v>
      </c>
      <c r="P409" s="445" t="str">
        <f>IF(tblContractForDeed[[#This Row],[Date]]="","",IF(tblContractForDeed[[#This Row],[Date]]&lt;cfdRateChangeDate,cfdRate1,cfdRate2))</f>
        <v/>
      </c>
      <c r="Q4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75">
        <f>IF(tblContractForDeed[[#This Row],[Payment]]=0,0,MAX(0,MIN(tblContractForDeed[[#This Row],[Beg]],tblContractForDeed[[#This Row],[Payment]]-tblContractForDeed[[#This Row],[Int]])))</f>
        <v>0</v>
      </c>
      <c r="S409" s="275">
        <f>IF(OR(tblContractForDeed[[#This Row],[Date]]&lt;cfdContractDate,tblContractForDeed[[#This Row],[Date]]&gt;cfdEndDate),0,ROUND(tblContractForDeed[[#This Row],[Beg]]*(tblContractForDeed[[#This Row],[Int Rate]]/12),2))</f>
        <v>0</v>
      </c>
      <c r="T409" s="275">
        <f>IF(tblContractForDeed[[#This Row],[Payment]]=0,0,$W$2)</f>
        <v>0</v>
      </c>
      <c r="U409" s="275">
        <f>IF(tblContractForDeed[[#This Row],[Princ]]=0,0,$W$3)</f>
        <v>0</v>
      </c>
      <c r="V409" s="275">
        <f>SUM(tblContractForDeed[[#This Row],[Princ]],tblContractForDeed[[#This Row],[Int]],tblContractForDeed[[#This Row],[Ins]],tblContractForDeed[[#This Row],[Taxes]])</f>
        <v>0</v>
      </c>
      <c r="W409" s="275">
        <f>SUM(INDEX(tblContractForDeed[Princ],1):INDEX(tblContractForDeed[Princ],ROW()-ROW(tblContractForDeed[#Headers])))</f>
        <v>75258.000000000029</v>
      </c>
      <c r="X409" s="275">
        <f>IF(tblContractForDeed[[#This Row],[Beg]]&lt;=0,0,tblContractForDeed[[#This Row],[Beg]]-tblContractForDeed[[#This Row],[Princ]])</f>
        <v>0</v>
      </c>
      <c r="Y40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54">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9" s="275">
        <f>IF(INDEX(tblContractForDeed[End Bal],ROW()-ROW(tblBuyerOutputs[#Headers]))&lt;=0,0,($O$6+IF(ROW()=ROW(tblBuyerOutputs[#Headers])+1,0,INDEX(tblBuyerOutputs[Cumul Appr],ROW()-ROW(tblBuyerOutputs[#Headers])-1)))*$O$2/12)</f>
        <v>0</v>
      </c>
      <c r="AE409" s="275">
        <f>IF(INDEX(tblContractForDeed[End Bal],ROW()-ROW(tblBuyerOutputs[#Headers]))&lt;=0,0,IF(ROW()=ROW(tblBuyerOutputs[#Headers])+1,0,INDEX(tblBuyerOutputs[Cumul Appr],ROW()-ROW(tblBuyerOutputs[#Headers])-1))+tblBuyerOutputs[[#This Row],[Monthly Appr]])</f>
        <v>0</v>
      </c>
      <c r="AF409" s="22"/>
      <c r="AG409" s="14"/>
      <c r="AL409"/>
      <c r="AM409" s="14"/>
      <c r="AO409" s="275"/>
      <c r="AQ409" s="14"/>
      <c r="AR409"/>
    </row>
    <row r="410" spans="1:44" x14ac:dyDescent="0.25">
      <c r="A410" s="590" t="str">
        <f t="shared" si="92"/>
        <v/>
      </c>
      <c r="B410" s="275">
        <f t="shared" si="93"/>
        <v>0</v>
      </c>
      <c r="C410" s="14">
        <f t="shared" si="90"/>
        <v>0</v>
      </c>
      <c r="D410" s="14">
        <f t="shared" si="94"/>
        <v>0</v>
      </c>
      <c r="E410" s="14">
        <f t="shared" si="91"/>
        <v>0</v>
      </c>
      <c r="F410" s="14">
        <f t="shared" si="89"/>
        <v>134.16999999999999</v>
      </c>
      <c r="G410" s="14">
        <f t="shared" si="89"/>
        <v>188.55</v>
      </c>
      <c r="H410" s="14">
        <f t="shared" si="88"/>
        <v>322.72000000000003</v>
      </c>
      <c r="I410" s="275">
        <f t="shared" si="97"/>
        <v>97531.839999999953</v>
      </c>
      <c r="J410" s="275">
        <f t="shared" si="98"/>
        <v>36068.259999999973</v>
      </c>
      <c r="K410" s="275">
        <f t="shared" si="95"/>
        <v>0</v>
      </c>
      <c r="L410" s="386">
        <f t="shared" si="86"/>
        <v>0</v>
      </c>
      <c r="M410" s="386">
        <f t="shared" si="96"/>
        <v>0</v>
      </c>
      <c r="N410" s="590" t="str">
        <f>INDEX(tblSubjectToLoan[Date],ROW()-ROW(tblContractForDeed[#Headers]))</f>
        <v/>
      </c>
      <c r="O410" s="275">
        <f>IF(ROW()=ROW(tblContractForDeed[#Headers])+1,$O$6,IF(INDEX(tblContractForDeed[End Bal],ROW()-ROW(tblContractForDeed[#Headers])-1)&lt;0,0,INDEX(tblContractForDeed[End Bal],ROW()-ROW(tblContractForDeed[#Headers])-1)))</f>
        <v>0</v>
      </c>
      <c r="P410" s="445" t="str">
        <f>IF(tblContractForDeed[[#This Row],[Date]]="","",IF(tblContractForDeed[[#This Row],[Date]]&lt;cfdRateChangeDate,cfdRate1,cfdRate2))</f>
        <v/>
      </c>
      <c r="Q4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75">
        <f>IF(tblContractForDeed[[#This Row],[Payment]]=0,0,MAX(0,MIN(tblContractForDeed[[#This Row],[Beg]],tblContractForDeed[[#This Row],[Payment]]-tblContractForDeed[[#This Row],[Int]])))</f>
        <v>0</v>
      </c>
      <c r="S410" s="275">
        <f>IF(OR(tblContractForDeed[[#This Row],[Date]]&lt;cfdContractDate,tblContractForDeed[[#This Row],[Date]]&gt;cfdEndDate),0,ROUND(tblContractForDeed[[#This Row],[Beg]]*(tblContractForDeed[[#This Row],[Int Rate]]/12),2))</f>
        <v>0</v>
      </c>
      <c r="T410" s="275">
        <f>IF(tblContractForDeed[[#This Row],[Payment]]=0,0,$W$2)</f>
        <v>0</v>
      </c>
      <c r="U410" s="275">
        <f>IF(tblContractForDeed[[#This Row],[Princ]]=0,0,$W$3)</f>
        <v>0</v>
      </c>
      <c r="V410" s="275">
        <f>SUM(tblContractForDeed[[#This Row],[Princ]],tblContractForDeed[[#This Row],[Int]],tblContractForDeed[[#This Row],[Ins]],tblContractForDeed[[#This Row],[Taxes]])</f>
        <v>0</v>
      </c>
      <c r="W410" s="275">
        <f>SUM(INDEX(tblContractForDeed[Princ],1):INDEX(tblContractForDeed[Princ],ROW()-ROW(tblContractForDeed[#Headers])))</f>
        <v>75258.000000000029</v>
      </c>
      <c r="X410" s="275">
        <f>IF(tblContractForDeed[[#This Row],[Beg]]&lt;=0,0,tblContractForDeed[[#This Row],[Beg]]-tblContractForDeed[[#This Row],[Princ]])</f>
        <v>0</v>
      </c>
      <c r="Y41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54">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0" s="275">
        <f>IF(INDEX(tblContractForDeed[End Bal],ROW()-ROW(tblBuyerOutputs[#Headers]))&lt;=0,0,($O$6+IF(ROW()=ROW(tblBuyerOutputs[#Headers])+1,0,INDEX(tblBuyerOutputs[Cumul Appr],ROW()-ROW(tblBuyerOutputs[#Headers])-1)))*$O$2/12)</f>
        <v>0</v>
      </c>
      <c r="AE410" s="275">
        <f>IF(INDEX(tblContractForDeed[End Bal],ROW()-ROW(tblBuyerOutputs[#Headers]))&lt;=0,0,IF(ROW()=ROW(tblBuyerOutputs[#Headers])+1,0,INDEX(tblBuyerOutputs[Cumul Appr],ROW()-ROW(tblBuyerOutputs[#Headers])-1))+tblBuyerOutputs[[#This Row],[Monthly Appr]])</f>
        <v>0</v>
      </c>
      <c r="AF410" s="22"/>
      <c r="AG410" s="14"/>
      <c r="AL410"/>
      <c r="AM410" s="14"/>
      <c r="AO410" s="275"/>
      <c r="AQ410" s="14"/>
      <c r="AR410"/>
    </row>
    <row r="411" spans="1:44" x14ac:dyDescent="0.25">
      <c r="A411" s="590" t="str">
        <f t="shared" si="92"/>
        <v/>
      </c>
      <c r="B411" s="275">
        <f t="shared" si="93"/>
        <v>0</v>
      </c>
      <c r="C411" s="14">
        <f t="shared" si="90"/>
        <v>0</v>
      </c>
      <c r="D411" s="14">
        <f t="shared" si="94"/>
        <v>0</v>
      </c>
      <c r="E411" s="14">
        <f t="shared" si="91"/>
        <v>0</v>
      </c>
      <c r="F411" s="14">
        <f t="shared" si="89"/>
        <v>134.16999999999999</v>
      </c>
      <c r="G411" s="14">
        <f t="shared" si="89"/>
        <v>188.55</v>
      </c>
      <c r="H411" s="14">
        <f t="shared" si="88"/>
        <v>322.72000000000003</v>
      </c>
      <c r="I411" s="275">
        <f t="shared" si="97"/>
        <v>97531.839999999953</v>
      </c>
      <c r="J411" s="275">
        <f t="shared" si="98"/>
        <v>36068.259999999973</v>
      </c>
      <c r="K411" s="275">
        <f t="shared" si="95"/>
        <v>0</v>
      </c>
      <c r="L411" s="386">
        <f t="shared" si="86"/>
        <v>0</v>
      </c>
      <c r="M411" s="386">
        <f t="shared" si="96"/>
        <v>0</v>
      </c>
      <c r="N411" s="590" t="str">
        <f>INDEX(tblSubjectToLoan[Date],ROW()-ROW(tblContractForDeed[#Headers]))</f>
        <v/>
      </c>
      <c r="O411" s="275">
        <f>IF(ROW()=ROW(tblContractForDeed[#Headers])+1,$O$6,IF(INDEX(tblContractForDeed[End Bal],ROW()-ROW(tblContractForDeed[#Headers])-1)&lt;0,0,INDEX(tblContractForDeed[End Bal],ROW()-ROW(tblContractForDeed[#Headers])-1)))</f>
        <v>0</v>
      </c>
      <c r="P411" s="445" t="str">
        <f>IF(tblContractForDeed[[#This Row],[Date]]="","",IF(tblContractForDeed[[#This Row],[Date]]&lt;cfdRateChangeDate,cfdRate1,cfdRate2))</f>
        <v/>
      </c>
      <c r="Q41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75">
        <f>IF(tblContractForDeed[[#This Row],[Payment]]=0,0,MAX(0,MIN(tblContractForDeed[[#This Row],[Beg]],tblContractForDeed[[#This Row],[Payment]]-tblContractForDeed[[#This Row],[Int]])))</f>
        <v>0</v>
      </c>
      <c r="S411" s="275">
        <f>IF(OR(tblContractForDeed[[#This Row],[Date]]&lt;cfdContractDate,tblContractForDeed[[#This Row],[Date]]&gt;cfdEndDate),0,ROUND(tblContractForDeed[[#This Row],[Beg]]*(tblContractForDeed[[#This Row],[Int Rate]]/12),2))</f>
        <v>0</v>
      </c>
      <c r="T411" s="275">
        <f>IF(tblContractForDeed[[#This Row],[Payment]]=0,0,$W$2)</f>
        <v>0</v>
      </c>
      <c r="U411" s="275">
        <f>IF(tblContractForDeed[[#This Row],[Princ]]=0,0,$W$3)</f>
        <v>0</v>
      </c>
      <c r="V411" s="275">
        <f>SUM(tblContractForDeed[[#This Row],[Princ]],tblContractForDeed[[#This Row],[Int]],tblContractForDeed[[#This Row],[Ins]],tblContractForDeed[[#This Row],[Taxes]])</f>
        <v>0</v>
      </c>
      <c r="W411" s="275">
        <f>SUM(INDEX(tblContractForDeed[Princ],1):INDEX(tblContractForDeed[Princ],ROW()-ROW(tblContractForDeed[#Headers])))</f>
        <v>75258.000000000029</v>
      </c>
      <c r="X411" s="275">
        <f>IF(tblContractForDeed[[#This Row],[Beg]]&lt;=0,0,tblContractForDeed[[#This Row],[Beg]]-tblContractForDeed[[#This Row],[Princ]])</f>
        <v>0</v>
      </c>
      <c r="Y41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54">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1" s="275">
        <f>IF(INDEX(tblContractForDeed[End Bal],ROW()-ROW(tblBuyerOutputs[#Headers]))&lt;=0,0,($O$6+IF(ROW()=ROW(tblBuyerOutputs[#Headers])+1,0,INDEX(tblBuyerOutputs[Cumul Appr],ROW()-ROW(tblBuyerOutputs[#Headers])-1)))*$O$2/12)</f>
        <v>0</v>
      </c>
      <c r="AE411" s="275">
        <f>IF(INDEX(tblContractForDeed[End Bal],ROW()-ROW(tblBuyerOutputs[#Headers]))&lt;=0,0,IF(ROW()=ROW(tblBuyerOutputs[#Headers])+1,0,INDEX(tblBuyerOutputs[Cumul Appr],ROW()-ROW(tblBuyerOutputs[#Headers])-1))+tblBuyerOutputs[[#This Row],[Monthly Appr]])</f>
        <v>0</v>
      </c>
      <c r="AF411" s="22"/>
      <c r="AG411" s="14"/>
      <c r="AL411"/>
      <c r="AM411" s="14"/>
      <c r="AO411" s="275"/>
      <c r="AQ411" s="14"/>
      <c r="AR411"/>
    </row>
    <row r="412" spans="1:44" x14ac:dyDescent="0.25">
      <c r="A412" s="590" t="str">
        <f t="shared" si="92"/>
        <v/>
      </c>
      <c r="B412" s="275">
        <f t="shared" si="93"/>
        <v>0</v>
      </c>
      <c r="C412" s="14">
        <f t="shared" si="90"/>
        <v>0</v>
      </c>
      <c r="D412" s="14">
        <f t="shared" si="94"/>
        <v>0</v>
      </c>
      <c r="E412" s="14">
        <f t="shared" si="91"/>
        <v>0</v>
      </c>
      <c r="F412" s="14">
        <f t="shared" si="89"/>
        <v>134.16999999999999</v>
      </c>
      <c r="G412" s="14">
        <f t="shared" si="89"/>
        <v>188.55</v>
      </c>
      <c r="H412" s="14">
        <f t="shared" si="88"/>
        <v>322.72000000000003</v>
      </c>
      <c r="I412" s="275">
        <f t="shared" si="97"/>
        <v>97531.839999999953</v>
      </c>
      <c r="J412" s="275">
        <f t="shared" si="98"/>
        <v>36068.259999999973</v>
      </c>
      <c r="K412" s="275">
        <f t="shared" si="95"/>
        <v>0</v>
      </c>
      <c r="L412" s="386">
        <f t="shared" si="86"/>
        <v>0</v>
      </c>
      <c r="M412" s="386">
        <f t="shared" si="96"/>
        <v>0</v>
      </c>
      <c r="N412" s="590" t="str">
        <f>INDEX(tblSubjectToLoan[Date],ROW()-ROW(tblContractForDeed[#Headers]))</f>
        <v/>
      </c>
      <c r="O412" s="275">
        <f>IF(ROW()=ROW(tblContractForDeed[#Headers])+1,$O$6,IF(INDEX(tblContractForDeed[End Bal],ROW()-ROW(tblContractForDeed[#Headers])-1)&lt;0,0,INDEX(tblContractForDeed[End Bal],ROW()-ROW(tblContractForDeed[#Headers])-1)))</f>
        <v>0</v>
      </c>
      <c r="P412" s="445" t="str">
        <f>IF(tblContractForDeed[[#This Row],[Date]]="","",IF(tblContractForDeed[[#This Row],[Date]]&lt;cfdRateChangeDate,cfdRate1,cfdRate2))</f>
        <v/>
      </c>
      <c r="Q4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75">
        <f>IF(tblContractForDeed[[#This Row],[Payment]]=0,0,MAX(0,MIN(tblContractForDeed[[#This Row],[Beg]],tblContractForDeed[[#This Row],[Payment]]-tblContractForDeed[[#This Row],[Int]])))</f>
        <v>0</v>
      </c>
      <c r="S412" s="275">
        <f>IF(OR(tblContractForDeed[[#This Row],[Date]]&lt;cfdContractDate,tblContractForDeed[[#This Row],[Date]]&gt;cfdEndDate),0,ROUND(tblContractForDeed[[#This Row],[Beg]]*(tblContractForDeed[[#This Row],[Int Rate]]/12),2))</f>
        <v>0</v>
      </c>
      <c r="T412" s="275">
        <f>IF(tblContractForDeed[[#This Row],[Payment]]=0,0,$W$2)</f>
        <v>0</v>
      </c>
      <c r="U412" s="275">
        <f>IF(tblContractForDeed[[#This Row],[Princ]]=0,0,$W$3)</f>
        <v>0</v>
      </c>
      <c r="V412" s="275">
        <f>SUM(tblContractForDeed[[#This Row],[Princ]],tblContractForDeed[[#This Row],[Int]],tblContractForDeed[[#This Row],[Ins]],tblContractForDeed[[#This Row],[Taxes]])</f>
        <v>0</v>
      </c>
      <c r="W412" s="275">
        <f>SUM(INDEX(tblContractForDeed[Princ],1):INDEX(tblContractForDeed[Princ],ROW()-ROW(tblContractForDeed[#Headers])))</f>
        <v>75258.000000000029</v>
      </c>
      <c r="X412" s="275">
        <f>IF(tblContractForDeed[[#This Row],[Beg]]&lt;=0,0,tblContractForDeed[[#This Row],[Beg]]-tblContractForDeed[[#This Row],[Princ]])</f>
        <v>0</v>
      </c>
      <c r="Y41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54">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2" s="275">
        <f>IF(INDEX(tblContractForDeed[End Bal],ROW()-ROW(tblBuyerOutputs[#Headers]))&lt;=0,0,($O$6+IF(ROW()=ROW(tblBuyerOutputs[#Headers])+1,0,INDEX(tblBuyerOutputs[Cumul Appr],ROW()-ROW(tblBuyerOutputs[#Headers])-1)))*$O$2/12)</f>
        <v>0</v>
      </c>
      <c r="AE412" s="275">
        <f>IF(INDEX(tblContractForDeed[End Bal],ROW()-ROW(tblBuyerOutputs[#Headers]))&lt;=0,0,IF(ROW()=ROW(tblBuyerOutputs[#Headers])+1,0,INDEX(tblBuyerOutputs[Cumul Appr],ROW()-ROW(tblBuyerOutputs[#Headers])-1))+tblBuyerOutputs[[#This Row],[Monthly Appr]])</f>
        <v>0</v>
      </c>
      <c r="AF412" s="22"/>
      <c r="AG412" s="14"/>
      <c r="AL412"/>
      <c r="AM412" s="14"/>
      <c r="AO412" s="275"/>
      <c r="AQ412" s="14"/>
      <c r="AR412"/>
    </row>
    <row r="413" spans="1:44" x14ac:dyDescent="0.25">
      <c r="A413" s="590" t="str">
        <f t="shared" si="92"/>
        <v/>
      </c>
      <c r="B413" s="275">
        <f t="shared" si="93"/>
        <v>0</v>
      </c>
      <c r="C413" s="14">
        <f t="shared" si="90"/>
        <v>0</v>
      </c>
      <c r="D413" s="14">
        <f t="shared" si="94"/>
        <v>0</v>
      </c>
      <c r="E413" s="14">
        <f t="shared" si="91"/>
        <v>0</v>
      </c>
      <c r="F413" s="14">
        <f t="shared" si="89"/>
        <v>134.16999999999999</v>
      </c>
      <c r="G413" s="14">
        <f t="shared" si="89"/>
        <v>188.55</v>
      </c>
      <c r="H413" s="14">
        <f t="shared" si="88"/>
        <v>322.72000000000003</v>
      </c>
      <c r="I413" s="275">
        <f t="shared" si="97"/>
        <v>97531.839999999953</v>
      </c>
      <c r="J413" s="275">
        <f t="shared" si="98"/>
        <v>36068.259999999973</v>
      </c>
      <c r="K413" s="275">
        <f t="shared" si="95"/>
        <v>0</v>
      </c>
      <c r="L413" s="386">
        <f t="shared" si="86"/>
        <v>0</v>
      </c>
      <c r="M413" s="386">
        <f t="shared" si="96"/>
        <v>0</v>
      </c>
      <c r="N413" s="590" t="str">
        <f>INDEX(tblSubjectToLoan[Date],ROW()-ROW(tblContractForDeed[#Headers]))</f>
        <v/>
      </c>
      <c r="O413" s="275">
        <f>IF(ROW()=ROW(tblContractForDeed[#Headers])+1,$O$6,IF(INDEX(tblContractForDeed[End Bal],ROW()-ROW(tblContractForDeed[#Headers])-1)&lt;0,0,INDEX(tblContractForDeed[End Bal],ROW()-ROW(tblContractForDeed[#Headers])-1)))</f>
        <v>0</v>
      </c>
      <c r="P413" s="445" t="str">
        <f>IF(tblContractForDeed[[#This Row],[Date]]="","",IF(tblContractForDeed[[#This Row],[Date]]&lt;cfdRateChangeDate,cfdRate1,cfdRate2))</f>
        <v/>
      </c>
      <c r="Q4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75">
        <f>IF(tblContractForDeed[[#This Row],[Payment]]=0,0,MAX(0,MIN(tblContractForDeed[[#This Row],[Beg]],tblContractForDeed[[#This Row],[Payment]]-tblContractForDeed[[#This Row],[Int]])))</f>
        <v>0</v>
      </c>
      <c r="S413" s="275">
        <f>IF(OR(tblContractForDeed[[#This Row],[Date]]&lt;cfdContractDate,tblContractForDeed[[#This Row],[Date]]&gt;cfdEndDate),0,ROUND(tblContractForDeed[[#This Row],[Beg]]*(tblContractForDeed[[#This Row],[Int Rate]]/12),2))</f>
        <v>0</v>
      </c>
      <c r="T413" s="275">
        <f>IF(tblContractForDeed[[#This Row],[Payment]]=0,0,$W$2)</f>
        <v>0</v>
      </c>
      <c r="U413" s="275">
        <f>IF(tblContractForDeed[[#This Row],[Princ]]=0,0,$W$3)</f>
        <v>0</v>
      </c>
      <c r="V413" s="275">
        <f>SUM(tblContractForDeed[[#This Row],[Princ]],tblContractForDeed[[#This Row],[Int]],tblContractForDeed[[#This Row],[Ins]],tblContractForDeed[[#This Row],[Taxes]])</f>
        <v>0</v>
      </c>
      <c r="W413" s="275">
        <f>SUM(INDEX(tblContractForDeed[Princ],1):INDEX(tblContractForDeed[Princ],ROW()-ROW(tblContractForDeed[#Headers])))</f>
        <v>75258.000000000029</v>
      </c>
      <c r="X413" s="275">
        <f>IF(tblContractForDeed[[#This Row],[Beg]]&lt;=0,0,tblContractForDeed[[#This Row],[Beg]]-tblContractForDeed[[#This Row],[Princ]])</f>
        <v>0</v>
      </c>
      <c r="Y41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54">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3" s="275">
        <f>IF(INDEX(tblContractForDeed[End Bal],ROW()-ROW(tblBuyerOutputs[#Headers]))&lt;=0,0,($O$6+IF(ROW()=ROW(tblBuyerOutputs[#Headers])+1,0,INDEX(tblBuyerOutputs[Cumul Appr],ROW()-ROW(tblBuyerOutputs[#Headers])-1)))*$O$2/12)</f>
        <v>0</v>
      </c>
      <c r="AE413" s="275">
        <f>IF(INDEX(tblContractForDeed[End Bal],ROW()-ROW(tblBuyerOutputs[#Headers]))&lt;=0,0,IF(ROW()=ROW(tblBuyerOutputs[#Headers])+1,0,INDEX(tblBuyerOutputs[Cumul Appr],ROW()-ROW(tblBuyerOutputs[#Headers])-1))+tblBuyerOutputs[[#This Row],[Monthly Appr]])</f>
        <v>0</v>
      </c>
      <c r="AF413" s="22"/>
      <c r="AG413" s="14"/>
      <c r="AL413"/>
      <c r="AM413" s="14"/>
      <c r="AO413" s="275"/>
      <c r="AQ413" s="14"/>
      <c r="AR413"/>
    </row>
    <row r="414" spans="1:44" x14ac:dyDescent="0.25">
      <c r="A414" s="590" t="str">
        <f t="shared" si="92"/>
        <v/>
      </c>
      <c r="B414" s="275">
        <f t="shared" si="93"/>
        <v>0</v>
      </c>
      <c r="C414" s="14">
        <f t="shared" si="90"/>
        <v>0</v>
      </c>
      <c r="D414" s="14">
        <f t="shared" si="94"/>
        <v>0</v>
      </c>
      <c r="E414" s="14">
        <f t="shared" si="91"/>
        <v>0</v>
      </c>
      <c r="F414" s="14">
        <f t="shared" si="89"/>
        <v>134.16999999999999</v>
      </c>
      <c r="G414" s="14">
        <f t="shared" si="89"/>
        <v>188.55</v>
      </c>
      <c r="H414" s="14">
        <f t="shared" si="88"/>
        <v>322.72000000000003</v>
      </c>
      <c r="I414" s="275">
        <f t="shared" si="97"/>
        <v>97531.839999999953</v>
      </c>
      <c r="J414" s="275">
        <f t="shared" si="98"/>
        <v>36068.259999999973</v>
      </c>
      <c r="K414" s="275">
        <f t="shared" si="95"/>
        <v>0</v>
      </c>
      <c r="L414" s="386">
        <f t="shared" si="86"/>
        <v>0</v>
      </c>
      <c r="M414" s="386">
        <f t="shared" si="96"/>
        <v>0</v>
      </c>
      <c r="N414" s="590" t="str">
        <f>INDEX(tblSubjectToLoan[Date],ROW()-ROW(tblContractForDeed[#Headers]))</f>
        <v/>
      </c>
      <c r="O414" s="275">
        <f>IF(ROW()=ROW(tblContractForDeed[#Headers])+1,$O$6,IF(INDEX(tblContractForDeed[End Bal],ROW()-ROW(tblContractForDeed[#Headers])-1)&lt;0,0,INDEX(tblContractForDeed[End Bal],ROW()-ROW(tblContractForDeed[#Headers])-1)))</f>
        <v>0</v>
      </c>
      <c r="P414" s="445" t="str">
        <f>IF(tblContractForDeed[[#This Row],[Date]]="","",IF(tblContractForDeed[[#This Row],[Date]]&lt;cfdRateChangeDate,cfdRate1,cfdRate2))</f>
        <v/>
      </c>
      <c r="Q4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75">
        <f>IF(tblContractForDeed[[#This Row],[Payment]]=0,0,MAX(0,MIN(tblContractForDeed[[#This Row],[Beg]],tblContractForDeed[[#This Row],[Payment]]-tblContractForDeed[[#This Row],[Int]])))</f>
        <v>0</v>
      </c>
      <c r="S414" s="275">
        <f>IF(OR(tblContractForDeed[[#This Row],[Date]]&lt;cfdContractDate,tblContractForDeed[[#This Row],[Date]]&gt;cfdEndDate),0,ROUND(tblContractForDeed[[#This Row],[Beg]]*(tblContractForDeed[[#This Row],[Int Rate]]/12),2))</f>
        <v>0</v>
      </c>
      <c r="T414" s="275">
        <f>IF(tblContractForDeed[[#This Row],[Payment]]=0,0,$W$2)</f>
        <v>0</v>
      </c>
      <c r="U414" s="275">
        <f>IF(tblContractForDeed[[#This Row],[Princ]]=0,0,$W$3)</f>
        <v>0</v>
      </c>
      <c r="V414" s="275">
        <f>SUM(tblContractForDeed[[#This Row],[Princ]],tblContractForDeed[[#This Row],[Int]],tblContractForDeed[[#This Row],[Ins]],tblContractForDeed[[#This Row],[Taxes]])</f>
        <v>0</v>
      </c>
      <c r="W414" s="275">
        <f>SUM(INDEX(tblContractForDeed[Princ],1):INDEX(tblContractForDeed[Princ],ROW()-ROW(tblContractForDeed[#Headers])))</f>
        <v>75258.000000000029</v>
      </c>
      <c r="X414" s="275">
        <f>IF(tblContractForDeed[[#This Row],[Beg]]&lt;=0,0,tblContractForDeed[[#This Row],[Beg]]-tblContractForDeed[[#This Row],[Princ]])</f>
        <v>0</v>
      </c>
      <c r="Y41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54">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4" s="275">
        <f>IF(INDEX(tblContractForDeed[End Bal],ROW()-ROW(tblBuyerOutputs[#Headers]))&lt;=0,0,($O$6+IF(ROW()=ROW(tblBuyerOutputs[#Headers])+1,0,INDEX(tblBuyerOutputs[Cumul Appr],ROW()-ROW(tblBuyerOutputs[#Headers])-1)))*$O$2/12)</f>
        <v>0</v>
      </c>
      <c r="AE414" s="275">
        <f>IF(INDEX(tblContractForDeed[End Bal],ROW()-ROW(tblBuyerOutputs[#Headers]))&lt;=0,0,IF(ROW()=ROW(tblBuyerOutputs[#Headers])+1,0,INDEX(tblBuyerOutputs[Cumul Appr],ROW()-ROW(tblBuyerOutputs[#Headers])-1))+tblBuyerOutputs[[#This Row],[Monthly Appr]])</f>
        <v>0</v>
      </c>
      <c r="AF414" s="22"/>
      <c r="AG414" s="14"/>
      <c r="AL414"/>
      <c r="AM414" s="14"/>
      <c r="AO414" s="275"/>
      <c r="AQ414" s="14"/>
      <c r="AR414"/>
    </row>
    <row r="415" spans="1:44" ht="15.75" thickBot="1" x14ac:dyDescent="0.3">
      <c r="A415" s="591" t="str">
        <f t="shared" si="92"/>
        <v/>
      </c>
      <c r="B415" s="326">
        <f t="shared" si="93"/>
        <v>0</v>
      </c>
      <c r="C415" s="21">
        <f t="shared" si="90"/>
        <v>0</v>
      </c>
      <c r="D415" s="21">
        <f t="shared" si="94"/>
        <v>0</v>
      </c>
      <c r="E415" s="21">
        <f t="shared" si="91"/>
        <v>0</v>
      </c>
      <c r="F415" s="21">
        <f t="shared" ref="F415:G430" si="99">+F414</f>
        <v>134.16999999999999</v>
      </c>
      <c r="G415" s="21">
        <f t="shared" si="99"/>
        <v>188.55</v>
      </c>
      <c r="H415" s="21">
        <f t="shared" si="88"/>
        <v>322.72000000000003</v>
      </c>
      <c r="I415" s="326">
        <f t="shared" si="97"/>
        <v>97531.839999999953</v>
      </c>
      <c r="J415" s="326">
        <f t="shared" si="98"/>
        <v>36068.259999999973</v>
      </c>
      <c r="K415" s="326">
        <f t="shared" si="95"/>
        <v>0</v>
      </c>
      <c r="L415" s="387">
        <f t="shared" si="86"/>
        <v>0</v>
      </c>
      <c r="M415" s="387">
        <f t="shared" si="96"/>
        <v>0</v>
      </c>
      <c r="N415" s="591" t="str">
        <f>INDEX(tblSubjectToLoan[Date],ROW()-ROW(tblContractForDeed[#Headers]))</f>
        <v/>
      </c>
      <c r="O415" s="326">
        <f>IF(ROW()=ROW(tblContractForDeed[#Headers])+1,$O$6,IF(INDEX(tblContractForDeed[End Bal],ROW()-ROW(tblContractForDeed[#Headers])-1)&lt;0,0,INDEX(tblContractForDeed[End Bal],ROW()-ROW(tblContractForDeed[#Headers])-1)))</f>
        <v>0</v>
      </c>
      <c r="P415" s="445" t="str">
        <f>IF(tblContractForDeed[[#This Row],[Date]]="","",IF(tblContractForDeed[[#This Row],[Date]]&lt;cfdRateChangeDate,cfdRate1,cfdRate2))</f>
        <v/>
      </c>
      <c r="Q41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26">
        <f>IF(tblContractForDeed[[#This Row],[Payment]]=0,0,MAX(0,MIN(tblContractForDeed[[#This Row],[Beg]],tblContractForDeed[[#This Row],[Payment]]-tblContractForDeed[[#This Row],[Int]])))</f>
        <v>0</v>
      </c>
      <c r="S415" s="326">
        <f>IF(OR(tblContractForDeed[[#This Row],[Date]]&lt;cfdContractDate,tblContractForDeed[[#This Row],[Date]]&gt;cfdEndDate),0,ROUND(tblContractForDeed[[#This Row],[Beg]]*(tblContractForDeed[[#This Row],[Int Rate]]/12),2))</f>
        <v>0</v>
      </c>
      <c r="T415" s="326">
        <f>IF(tblContractForDeed[[#This Row],[Payment]]=0,0,$W$2)</f>
        <v>0</v>
      </c>
      <c r="U415" s="326">
        <f>IF(tblContractForDeed[[#This Row],[Princ]]=0,0,$W$3)</f>
        <v>0</v>
      </c>
      <c r="V415" s="326">
        <f>SUM(tblContractForDeed[[#This Row],[Princ]],tblContractForDeed[[#This Row],[Int]],tblContractForDeed[[#This Row],[Ins]],tblContractForDeed[[#This Row],[Taxes]])</f>
        <v>0</v>
      </c>
      <c r="W415" s="326">
        <f>SUM(INDEX(tblContractForDeed[Princ],1):INDEX(tblContractForDeed[Princ],ROW()-ROW(tblContractForDeed[#Headers])))</f>
        <v>75258.000000000029</v>
      </c>
      <c r="X415" s="326">
        <f>IF(tblContractForDeed[[#This Row],[Beg]]&lt;=0,0,tblContractForDeed[[#This Row],[Beg]]-tblContractForDeed[[#This Row],[Princ]])</f>
        <v>0</v>
      </c>
      <c r="Y41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55">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5" s="326">
        <f>IF(INDEX(tblContractForDeed[End Bal],ROW()-ROW(tblBuyerOutputs[#Headers]))&lt;=0,0,($O$6+IF(ROW()=ROW(tblBuyerOutputs[#Headers])+1,0,INDEX(tblBuyerOutputs[Cumul Appr],ROW()-ROW(tblBuyerOutputs[#Headers])-1)))*$O$2/12)</f>
        <v>0</v>
      </c>
      <c r="AE415" s="326">
        <f>IF(INDEX(tblContractForDeed[End Bal],ROW()-ROW(tblBuyerOutputs[#Headers]))&lt;=0,0,IF(ROW()=ROW(tblBuyerOutputs[#Headers])+1,0,INDEX(tblBuyerOutputs[Cumul Appr],ROW()-ROW(tblBuyerOutputs[#Headers])-1))+tblBuyerOutputs[[#This Row],[Monthly Appr]])</f>
        <v>0</v>
      </c>
      <c r="AF415" s="22"/>
      <c r="AG415" s="14"/>
      <c r="AL415"/>
      <c r="AM415" s="14"/>
      <c r="AO415" s="275"/>
      <c r="AQ415" s="14"/>
      <c r="AR415"/>
    </row>
    <row r="416" spans="1:44" x14ac:dyDescent="0.25">
      <c r="A416" s="590" t="str">
        <f t="shared" si="92"/>
        <v/>
      </c>
      <c r="B416" s="275">
        <f t="shared" si="93"/>
        <v>0</v>
      </c>
      <c r="C416" s="14">
        <f t="shared" si="90"/>
        <v>0</v>
      </c>
      <c r="D416" s="14">
        <f t="shared" si="94"/>
        <v>0</v>
      </c>
      <c r="E416" s="14">
        <f t="shared" si="91"/>
        <v>0</v>
      </c>
      <c r="F416" s="14">
        <f t="shared" si="99"/>
        <v>134.16999999999999</v>
      </c>
      <c r="G416" s="14">
        <f t="shared" si="99"/>
        <v>188.55</v>
      </c>
      <c r="H416" s="14">
        <f t="shared" si="88"/>
        <v>322.72000000000003</v>
      </c>
      <c r="I416" s="275">
        <f t="shared" si="97"/>
        <v>97531.839999999953</v>
      </c>
      <c r="J416" s="275">
        <f t="shared" si="98"/>
        <v>36068.259999999973</v>
      </c>
      <c r="K416" s="275">
        <f t="shared" si="95"/>
        <v>0</v>
      </c>
      <c r="L416" s="386">
        <f t="shared" si="86"/>
        <v>0</v>
      </c>
      <c r="M416" s="386">
        <f t="shared" si="96"/>
        <v>0</v>
      </c>
      <c r="N416" s="590" t="str">
        <f>INDEX(tblSubjectToLoan[Date],ROW()-ROW(tblContractForDeed[#Headers]))</f>
        <v/>
      </c>
      <c r="O416" s="275">
        <f>IF(ROW()=ROW(tblContractForDeed[#Headers])+1,$O$6,IF(INDEX(tblContractForDeed[End Bal],ROW()-ROW(tblContractForDeed[#Headers])-1)&lt;0,0,INDEX(tblContractForDeed[End Bal],ROW()-ROW(tblContractForDeed[#Headers])-1)))</f>
        <v>0</v>
      </c>
      <c r="P416" s="445" t="str">
        <f>IF(tblContractForDeed[[#This Row],[Date]]="","",IF(tblContractForDeed[[#This Row],[Date]]&lt;cfdRateChangeDate,cfdRate1,cfdRate2))</f>
        <v/>
      </c>
      <c r="Q4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75">
        <f>IF(tblContractForDeed[[#This Row],[Payment]]=0,0,MAX(0,MIN(tblContractForDeed[[#This Row],[Beg]],tblContractForDeed[[#This Row],[Payment]]-tblContractForDeed[[#This Row],[Int]])))</f>
        <v>0</v>
      </c>
      <c r="S416" s="275">
        <f>IF(OR(tblContractForDeed[[#This Row],[Date]]&lt;cfdContractDate,tblContractForDeed[[#This Row],[Date]]&gt;cfdEndDate),0,ROUND(tblContractForDeed[[#This Row],[Beg]]*(tblContractForDeed[[#This Row],[Int Rate]]/12),2))</f>
        <v>0</v>
      </c>
      <c r="T416" s="275">
        <f>IF(tblContractForDeed[[#This Row],[Payment]]=0,0,$W$2)</f>
        <v>0</v>
      </c>
      <c r="U416" s="275">
        <f>IF(tblContractForDeed[[#This Row],[Princ]]=0,0,$W$3)</f>
        <v>0</v>
      </c>
      <c r="V416" s="275">
        <f>SUM(tblContractForDeed[[#This Row],[Princ]],tblContractForDeed[[#This Row],[Int]],tblContractForDeed[[#This Row],[Ins]],tblContractForDeed[[#This Row],[Taxes]])</f>
        <v>0</v>
      </c>
      <c r="W416" s="275">
        <f>SUM(INDEX(tblContractForDeed[Princ],1):INDEX(tblContractForDeed[Princ],ROW()-ROW(tblContractForDeed[#Headers])))</f>
        <v>75258.000000000029</v>
      </c>
      <c r="X416" s="275">
        <f>IF(tblContractForDeed[[#This Row],[Beg]]&lt;=0,0,tblContractForDeed[[#This Row],[Beg]]-tblContractForDeed[[#This Row],[Princ]])</f>
        <v>0</v>
      </c>
      <c r="Y41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54">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6" s="275">
        <f>IF(INDEX(tblContractForDeed[End Bal],ROW()-ROW(tblBuyerOutputs[#Headers]))&lt;=0,0,($O$6+IF(ROW()=ROW(tblBuyerOutputs[#Headers])+1,0,INDEX(tblBuyerOutputs[Cumul Appr],ROW()-ROW(tblBuyerOutputs[#Headers])-1)))*$O$2/12)</f>
        <v>0</v>
      </c>
      <c r="AE416" s="275">
        <f>IF(INDEX(tblContractForDeed[End Bal],ROW()-ROW(tblBuyerOutputs[#Headers]))&lt;=0,0,IF(ROW()=ROW(tblBuyerOutputs[#Headers])+1,0,INDEX(tblBuyerOutputs[Cumul Appr],ROW()-ROW(tblBuyerOutputs[#Headers])-1))+tblBuyerOutputs[[#This Row],[Monthly Appr]])</f>
        <v>0</v>
      </c>
      <c r="AF416" s="22"/>
      <c r="AG416" s="14"/>
      <c r="AL416"/>
      <c r="AM416" s="14"/>
      <c r="AO416" s="275"/>
      <c r="AQ416" s="14"/>
      <c r="AR416"/>
    </row>
    <row r="417" spans="1:44" x14ac:dyDescent="0.25">
      <c r="A417" s="590" t="str">
        <f t="shared" si="92"/>
        <v/>
      </c>
      <c r="B417" s="275">
        <f t="shared" si="93"/>
        <v>0</v>
      </c>
      <c r="C417" s="14">
        <f t="shared" si="90"/>
        <v>0</v>
      </c>
      <c r="D417" s="14">
        <f t="shared" si="94"/>
        <v>0</v>
      </c>
      <c r="E417" s="14">
        <f t="shared" si="91"/>
        <v>0</v>
      </c>
      <c r="F417" s="14">
        <f t="shared" si="99"/>
        <v>134.16999999999999</v>
      </c>
      <c r="G417" s="14">
        <f t="shared" si="99"/>
        <v>188.55</v>
      </c>
      <c r="H417" s="14">
        <f t="shared" si="88"/>
        <v>322.72000000000003</v>
      </c>
      <c r="I417" s="275">
        <f t="shared" si="97"/>
        <v>97531.839999999953</v>
      </c>
      <c r="J417" s="275">
        <f t="shared" si="98"/>
        <v>36068.259999999973</v>
      </c>
      <c r="K417" s="275">
        <f t="shared" si="95"/>
        <v>0</v>
      </c>
      <c r="L417" s="386">
        <f t="shared" si="86"/>
        <v>0</v>
      </c>
      <c r="M417" s="386">
        <f t="shared" si="96"/>
        <v>0</v>
      </c>
      <c r="N417" s="590" t="str">
        <f>INDEX(tblSubjectToLoan[Date],ROW()-ROW(tblContractForDeed[#Headers]))</f>
        <v/>
      </c>
      <c r="O417" s="275">
        <f>IF(ROW()=ROW(tblContractForDeed[#Headers])+1,$O$6,IF(INDEX(tblContractForDeed[End Bal],ROW()-ROW(tblContractForDeed[#Headers])-1)&lt;0,0,INDEX(tblContractForDeed[End Bal],ROW()-ROW(tblContractForDeed[#Headers])-1)))</f>
        <v>0</v>
      </c>
      <c r="P417" s="445" t="str">
        <f>IF(tblContractForDeed[[#This Row],[Date]]="","",IF(tblContractForDeed[[#This Row],[Date]]&lt;cfdRateChangeDate,cfdRate1,cfdRate2))</f>
        <v/>
      </c>
      <c r="Q4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75">
        <f>IF(tblContractForDeed[[#This Row],[Payment]]=0,0,MAX(0,MIN(tblContractForDeed[[#This Row],[Beg]],tblContractForDeed[[#This Row],[Payment]]-tblContractForDeed[[#This Row],[Int]])))</f>
        <v>0</v>
      </c>
      <c r="S417" s="275">
        <f>IF(OR(tblContractForDeed[[#This Row],[Date]]&lt;cfdContractDate,tblContractForDeed[[#This Row],[Date]]&gt;cfdEndDate),0,ROUND(tblContractForDeed[[#This Row],[Beg]]*(tblContractForDeed[[#This Row],[Int Rate]]/12),2))</f>
        <v>0</v>
      </c>
      <c r="T417" s="275">
        <f>IF(tblContractForDeed[[#This Row],[Payment]]=0,0,$W$2)</f>
        <v>0</v>
      </c>
      <c r="U417" s="275">
        <f>IF(tblContractForDeed[[#This Row],[Princ]]=0,0,$W$3)</f>
        <v>0</v>
      </c>
      <c r="V417" s="275">
        <f>SUM(tblContractForDeed[[#This Row],[Princ]],tblContractForDeed[[#This Row],[Int]],tblContractForDeed[[#This Row],[Ins]],tblContractForDeed[[#This Row],[Taxes]])</f>
        <v>0</v>
      </c>
      <c r="W417" s="275">
        <f>SUM(INDEX(tblContractForDeed[Princ],1):INDEX(tblContractForDeed[Princ],ROW()-ROW(tblContractForDeed[#Headers])))</f>
        <v>75258.000000000029</v>
      </c>
      <c r="X417" s="275">
        <f>IF(tblContractForDeed[[#This Row],[Beg]]&lt;=0,0,tblContractForDeed[[#This Row],[Beg]]-tblContractForDeed[[#This Row],[Princ]])</f>
        <v>0</v>
      </c>
      <c r="Y41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54">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7" s="275">
        <f>IF(INDEX(tblContractForDeed[End Bal],ROW()-ROW(tblBuyerOutputs[#Headers]))&lt;=0,0,($O$6+IF(ROW()=ROW(tblBuyerOutputs[#Headers])+1,0,INDEX(tblBuyerOutputs[Cumul Appr],ROW()-ROW(tblBuyerOutputs[#Headers])-1)))*$O$2/12)</f>
        <v>0</v>
      </c>
      <c r="AE417" s="275">
        <f>IF(INDEX(tblContractForDeed[End Bal],ROW()-ROW(tblBuyerOutputs[#Headers]))&lt;=0,0,IF(ROW()=ROW(tblBuyerOutputs[#Headers])+1,0,INDEX(tblBuyerOutputs[Cumul Appr],ROW()-ROW(tblBuyerOutputs[#Headers])-1))+tblBuyerOutputs[[#This Row],[Monthly Appr]])</f>
        <v>0</v>
      </c>
      <c r="AF417" s="22"/>
      <c r="AG417" s="14"/>
      <c r="AL417"/>
      <c r="AM417" s="14"/>
      <c r="AO417" s="275"/>
      <c r="AQ417" s="14"/>
      <c r="AR417"/>
    </row>
    <row r="418" spans="1:44" x14ac:dyDescent="0.25">
      <c r="A418" s="590" t="str">
        <f t="shared" si="92"/>
        <v/>
      </c>
      <c r="B418" s="275">
        <f t="shared" si="93"/>
        <v>0</v>
      </c>
      <c r="C418" s="14">
        <f t="shared" si="90"/>
        <v>0</v>
      </c>
      <c r="D418" s="14">
        <f t="shared" si="94"/>
        <v>0</v>
      </c>
      <c r="E418" s="14">
        <f t="shared" si="91"/>
        <v>0</v>
      </c>
      <c r="F418" s="14">
        <f t="shared" si="99"/>
        <v>134.16999999999999</v>
      </c>
      <c r="G418" s="14">
        <f t="shared" si="99"/>
        <v>188.55</v>
      </c>
      <c r="H418" s="14">
        <f t="shared" si="88"/>
        <v>322.72000000000003</v>
      </c>
      <c r="I418" s="275">
        <f t="shared" si="97"/>
        <v>97531.839999999953</v>
      </c>
      <c r="J418" s="275">
        <f t="shared" si="98"/>
        <v>36068.259999999973</v>
      </c>
      <c r="K418" s="275">
        <f t="shared" si="95"/>
        <v>0</v>
      </c>
      <c r="L418" s="386">
        <f t="shared" si="86"/>
        <v>0</v>
      </c>
      <c r="M418" s="386">
        <f t="shared" si="96"/>
        <v>0</v>
      </c>
      <c r="N418" s="590" t="str">
        <f>INDEX(tblSubjectToLoan[Date],ROW()-ROW(tblContractForDeed[#Headers]))</f>
        <v/>
      </c>
      <c r="O418" s="275">
        <f>IF(ROW()=ROW(tblContractForDeed[#Headers])+1,$O$6,IF(INDEX(tblContractForDeed[End Bal],ROW()-ROW(tblContractForDeed[#Headers])-1)&lt;0,0,INDEX(tblContractForDeed[End Bal],ROW()-ROW(tblContractForDeed[#Headers])-1)))</f>
        <v>0</v>
      </c>
      <c r="P418" s="445" t="str">
        <f>IF(tblContractForDeed[[#This Row],[Date]]="","",IF(tblContractForDeed[[#This Row],[Date]]&lt;cfdRateChangeDate,cfdRate1,cfdRate2))</f>
        <v/>
      </c>
      <c r="Q4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75">
        <f>IF(tblContractForDeed[[#This Row],[Payment]]=0,0,MAX(0,MIN(tblContractForDeed[[#This Row],[Beg]],tblContractForDeed[[#This Row],[Payment]]-tblContractForDeed[[#This Row],[Int]])))</f>
        <v>0</v>
      </c>
      <c r="S418" s="275">
        <f>IF(OR(tblContractForDeed[[#This Row],[Date]]&lt;cfdContractDate,tblContractForDeed[[#This Row],[Date]]&gt;cfdEndDate),0,ROUND(tblContractForDeed[[#This Row],[Beg]]*(tblContractForDeed[[#This Row],[Int Rate]]/12),2))</f>
        <v>0</v>
      </c>
      <c r="T418" s="275">
        <f>IF(tblContractForDeed[[#This Row],[Payment]]=0,0,$W$2)</f>
        <v>0</v>
      </c>
      <c r="U418" s="275">
        <f>IF(tblContractForDeed[[#This Row],[Princ]]=0,0,$W$3)</f>
        <v>0</v>
      </c>
      <c r="V418" s="275">
        <f>SUM(tblContractForDeed[[#This Row],[Princ]],tblContractForDeed[[#This Row],[Int]],tblContractForDeed[[#This Row],[Ins]],tblContractForDeed[[#This Row],[Taxes]])</f>
        <v>0</v>
      </c>
      <c r="W418" s="275">
        <f>SUM(INDEX(tblContractForDeed[Princ],1):INDEX(tblContractForDeed[Princ],ROW()-ROW(tblContractForDeed[#Headers])))</f>
        <v>75258.000000000029</v>
      </c>
      <c r="X418" s="275">
        <f>IF(tblContractForDeed[[#This Row],[Beg]]&lt;=0,0,tblContractForDeed[[#This Row],[Beg]]-tblContractForDeed[[#This Row],[Princ]])</f>
        <v>0</v>
      </c>
      <c r="Y41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54">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8" s="275">
        <f>IF(INDEX(tblContractForDeed[End Bal],ROW()-ROW(tblBuyerOutputs[#Headers]))&lt;=0,0,($O$6+IF(ROW()=ROW(tblBuyerOutputs[#Headers])+1,0,INDEX(tblBuyerOutputs[Cumul Appr],ROW()-ROW(tblBuyerOutputs[#Headers])-1)))*$O$2/12)</f>
        <v>0</v>
      </c>
      <c r="AE418" s="275">
        <f>IF(INDEX(tblContractForDeed[End Bal],ROW()-ROW(tblBuyerOutputs[#Headers]))&lt;=0,0,IF(ROW()=ROW(tblBuyerOutputs[#Headers])+1,0,INDEX(tblBuyerOutputs[Cumul Appr],ROW()-ROW(tblBuyerOutputs[#Headers])-1))+tblBuyerOutputs[[#This Row],[Monthly Appr]])</f>
        <v>0</v>
      </c>
      <c r="AF418" s="22"/>
      <c r="AG418" s="14"/>
      <c r="AL418"/>
      <c r="AM418" s="14"/>
      <c r="AO418" s="275"/>
      <c r="AQ418" s="14"/>
      <c r="AR418"/>
    </row>
    <row r="419" spans="1:44" x14ac:dyDescent="0.25">
      <c r="A419" s="590" t="str">
        <f t="shared" si="92"/>
        <v/>
      </c>
      <c r="B419" s="275">
        <f t="shared" si="93"/>
        <v>0</v>
      </c>
      <c r="C419" s="14">
        <f t="shared" si="90"/>
        <v>0</v>
      </c>
      <c r="D419" s="14">
        <f t="shared" si="94"/>
        <v>0</v>
      </c>
      <c r="E419" s="14">
        <f t="shared" si="91"/>
        <v>0</v>
      </c>
      <c r="F419" s="14">
        <f t="shared" si="99"/>
        <v>134.16999999999999</v>
      </c>
      <c r="G419" s="14">
        <f t="shared" si="99"/>
        <v>188.55</v>
      </c>
      <c r="H419" s="14">
        <f t="shared" si="88"/>
        <v>322.72000000000003</v>
      </c>
      <c r="I419" s="275">
        <f t="shared" si="97"/>
        <v>97531.839999999953</v>
      </c>
      <c r="J419" s="275">
        <f t="shared" si="98"/>
        <v>36068.259999999973</v>
      </c>
      <c r="K419" s="275">
        <f t="shared" si="95"/>
        <v>0</v>
      </c>
      <c r="L419" s="386">
        <f t="shared" si="86"/>
        <v>0</v>
      </c>
      <c r="M419" s="386">
        <f t="shared" si="96"/>
        <v>0</v>
      </c>
      <c r="N419" s="590" t="str">
        <f>INDEX(tblSubjectToLoan[Date],ROW()-ROW(tblContractForDeed[#Headers]))</f>
        <v/>
      </c>
      <c r="O419" s="275">
        <f>IF(ROW()=ROW(tblContractForDeed[#Headers])+1,$O$6,IF(INDEX(tblContractForDeed[End Bal],ROW()-ROW(tblContractForDeed[#Headers])-1)&lt;0,0,INDEX(tblContractForDeed[End Bal],ROW()-ROW(tblContractForDeed[#Headers])-1)))</f>
        <v>0</v>
      </c>
      <c r="P419" s="445" t="str">
        <f>IF(tblContractForDeed[[#This Row],[Date]]="","",IF(tblContractForDeed[[#This Row],[Date]]&lt;cfdRateChangeDate,cfdRate1,cfdRate2))</f>
        <v/>
      </c>
      <c r="Q41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75">
        <f>IF(tblContractForDeed[[#This Row],[Payment]]=0,0,MAX(0,MIN(tblContractForDeed[[#This Row],[Beg]],tblContractForDeed[[#This Row],[Payment]]-tblContractForDeed[[#This Row],[Int]])))</f>
        <v>0</v>
      </c>
      <c r="S419" s="275">
        <f>IF(OR(tblContractForDeed[[#This Row],[Date]]&lt;cfdContractDate,tblContractForDeed[[#This Row],[Date]]&gt;cfdEndDate),0,ROUND(tblContractForDeed[[#This Row],[Beg]]*(tblContractForDeed[[#This Row],[Int Rate]]/12),2))</f>
        <v>0</v>
      </c>
      <c r="T419" s="275">
        <f>IF(tblContractForDeed[[#This Row],[Payment]]=0,0,$W$2)</f>
        <v>0</v>
      </c>
      <c r="U419" s="275">
        <f>IF(tblContractForDeed[[#This Row],[Princ]]=0,0,$W$3)</f>
        <v>0</v>
      </c>
      <c r="V419" s="275">
        <f>SUM(tblContractForDeed[[#This Row],[Princ]],tblContractForDeed[[#This Row],[Int]],tblContractForDeed[[#This Row],[Ins]],tblContractForDeed[[#This Row],[Taxes]])</f>
        <v>0</v>
      </c>
      <c r="W419" s="275">
        <f>SUM(INDEX(tblContractForDeed[Princ],1):INDEX(tblContractForDeed[Princ],ROW()-ROW(tblContractForDeed[#Headers])))</f>
        <v>75258.000000000029</v>
      </c>
      <c r="X419" s="275">
        <f>IF(tblContractForDeed[[#This Row],[Beg]]&lt;=0,0,tblContractForDeed[[#This Row],[Beg]]-tblContractForDeed[[#This Row],[Princ]])</f>
        <v>0</v>
      </c>
      <c r="Y41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54">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9" s="275">
        <f>IF(INDEX(tblContractForDeed[End Bal],ROW()-ROW(tblBuyerOutputs[#Headers]))&lt;=0,0,($O$6+IF(ROW()=ROW(tblBuyerOutputs[#Headers])+1,0,INDEX(tblBuyerOutputs[Cumul Appr],ROW()-ROW(tblBuyerOutputs[#Headers])-1)))*$O$2/12)</f>
        <v>0</v>
      </c>
      <c r="AE419" s="275">
        <f>IF(INDEX(tblContractForDeed[End Bal],ROW()-ROW(tblBuyerOutputs[#Headers]))&lt;=0,0,IF(ROW()=ROW(tblBuyerOutputs[#Headers])+1,0,INDEX(tblBuyerOutputs[Cumul Appr],ROW()-ROW(tblBuyerOutputs[#Headers])-1))+tblBuyerOutputs[[#This Row],[Monthly Appr]])</f>
        <v>0</v>
      </c>
      <c r="AF419" s="22"/>
      <c r="AG419" s="14"/>
      <c r="AL419"/>
      <c r="AM419" s="14"/>
      <c r="AO419" s="275"/>
      <c r="AQ419" s="14"/>
      <c r="AR419"/>
    </row>
    <row r="420" spans="1:44" x14ac:dyDescent="0.25">
      <c r="A420" s="590" t="str">
        <f t="shared" si="92"/>
        <v/>
      </c>
      <c r="B420" s="275">
        <f t="shared" si="93"/>
        <v>0</v>
      </c>
      <c r="C420" s="14">
        <f t="shared" si="90"/>
        <v>0</v>
      </c>
      <c r="D420" s="14">
        <f t="shared" si="94"/>
        <v>0</v>
      </c>
      <c r="E420" s="14">
        <f t="shared" si="91"/>
        <v>0</v>
      </c>
      <c r="F420" s="14">
        <f t="shared" si="99"/>
        <v>134.16999999999999</v>
      </c>
      <c r="G420" s="14">
        <f t="shared" si="99"/>
        <v>188.55</v>
      </c>
      <c r="H420" s="14">
        <f t="shared" si="88"/>
        <v>322.72000000000003</v>
      </c>
      <c r="I420" s="275">
        <f t="shared" si="97"/>
        <v>97531.839999999953</v>
      </c>
      <c r="J420" s="275">
        <f t="shared" si="98"/>
        <v>36068.259999999973</v>
      </c>
      <c r="K420" s="275">
        <f t="shared" si="95"/>
        <v>0</v>
      </c>
      <c r="L420" s="386">
        <f t="shared" si="86"/>
        <v>0</v>
      </c>
      <c r="M420" s="386">
        <f t="shared" si="96"/>
        <v>0</v>
      </c>
      <c r="N420" s="590" t="str">
        <f>INDEX(tblSubjectToLoan[Date],ROW()-ROW(tblContractForDeed[#Headers]))</f>
        <v/>
      </c>
      <c r="O420" s="275">
        <f>IF(ROW()=ROW(tblContractForDeed[#Headers])+1,$O$6,IF(INDEX(tblContractForDeed[End Bal],ROW()-ROW(tblContractForDeed[#Headers])-1)&lt;0,0,INDEX(tblContractForDeed[End Bal],ROW()-ROW(tblContractForDeed[#Headers])-1)))</f>
        <v>0</v>
      </c>
      <c r="P420" s="445" t="str">
        <f>IF(tblContractForDeed[[#This Row],[Date]]="","",IF(tblContractForDeed[[#This Row],[Date]]&lt;cfdRateChangeDate,cfdRate1,cfdRate2))</f>
        <v/>
      </c>
      <c r="Q4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75">
        <f>IF(tblContractForDeed[[#This Row],[Payment]]=0,0,MAX(0,MIN(tblContractForDeed[[#This Row],[Beg]],tblContractForDeed[[#This Row],[Payment]]-tblContractForDeed[[#This Row],[Int]])))</f>
        <v>0</v>
      </c>
      <c r="S420" s="275">
        <f>IF(OR(tblContractForDeed[[#This Row],[Date]]&lt;cfdContractDate,tblContractForDeed[[#This Row],[Date]]&gt;cfdEndDate),0,ROUND(tblContractForDeed[[#This Row],[Beg]]*(tblContractForDeed[[#This Row],[Int Rate]]/12),2))</f>
        <v>0</v>
      </c>
      <c r="T420" s="275">
        <f>IF(tblContractForDeed[[#This Row],[Payment]]=0,0,$W$2)</f>
        <v>0</v>
      </c>
      <c r="U420" s="275">
        <f>IF(tblContractForDeed[[#This Row],[Princ]]=0,0,$W$3)</f>
        <v>0</v>
      </c>
      <c r="V420" s="275">
        <f>SUM(tblContractForDeed[[#This Row],[Princ]],tblContractForDeed[[#This Row],[Int]],tblContractForDeed[[#This Row],[Ins]],tblContractForDeed[[#This Row],[Taxes]])</f>
        <v>0</v>
      </c>
      <c r="W420" s="275">
        <f>SUM(INDEX(tblContractForDeed[Princ],1):INDEX(tblContractForDeed[Princ],ROW()-ROW(tblContractForDeed[#Headers])))</f>
        <v>75258.000000000029</v>
      </c>
      <c r="X420" s="275">
        <f>IF(tblContractForDeed[[#This Row],[Beg]]&lt;=0,0,tblContractForDeed[[#This Row],[Beg]]-tblContractForDeed[[#This Row],[Princ]])</f>
        <v>0</v>
      </c>
      <c r="Y42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54">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0" s="275">
        <f>IF(INDEX(tblContractForDeed[End Bal],ROW()-ROW(tblBuyerOutputs[#Headers]))&lt;=0,0,($O$6+IF(ROW()=ROW(tblBuyerOutputs[#Headers])+1,0,INDEX(tblBuyerOutputs[Cumul Appr],ROW()-ROW(tblBuyerOutputs[#Headers])-1)))*$O$2/12)</f>
        <v>0</v>
      </c>
      <c r="AE420" s="275">
        <f>IF(INDEX(tblContractForDeed[End Bal],ROW()-ROW(tblBuyerOutputs[#Headers]))&lt;=0,0,IF(ROW()=ROW(tblBuyerOutputs[#Headers])+1,0,INDEX(tblBuyerOutputs[Cumul Appr],ROW()-ROW(tblBuyerOutputs[#Headers])-1))+tblBuyerOutputs[[#This Row],[Monthly Appr]])</f>
        <v>0</v>
      </c>
      <c r="AF420" s="22"/>
      <c r="AG420" s="14"/>
      <c r="AL420"/>
      <c r="AM420" s="14"/>
      <c r="AO420" s="275"/>
      <c r="AQ420" s="14"/>
      <c r="AR420"/>
    </row>
    <row r="421" spans="1:44" x14ac:dyDescent="0.25">
      <c r="A421" s="590" t="str">
        <f t="shared" si="92"/>
        <v/>
      </c>
      <c r="B421" s="275">
        <f t="shared" si="93"/>
        <v>0</v>
      </c>
      <c r="C421" s="14">
        <f t="shared" si="90"/>
        <v>0</v>
      </c>
      <c r="D421" s="14">
        <f t="shared" si="94"/>
        <v>0</v>
      </c>
      <c r="E421" s="14">
        <f t="shared" si="91"/>
        <v>0</v>
      </c>
      <c r="F421" s="14">
        <f t="shared" si="99"/>
        <v>134.16999999999999</v>
      </c>
      <c r="G421" s="14">
        <f t="shared" si="99"/>
        <v>188.55</v>
      </c>
      <c r="H421" s="14">
        <f t="shared" si="88"/>
        <v>322.72000000000003</v>
      </c>
      <c r="I421" s="275">
        <f t="shared" si="97"/>
        <v>97531.839999999953</v>
      </c>
      <c r="J421" s="275">
        <f t="shared" si="98"/>
        <v>36068.259999999973</v>
      </c>
      <c r="K421" s="275">
        <f t="shared" si="95"/>
        <v>0</v>
      </c>
      <c r="L421" s="386">
        <f t="shared" si="86"/>
        <v>0</v>
      </c>
      <c r="M421" s="386">
        <f t="shared" si="96"/>
        <v>0</v>
      </c>
      <c r="N421" s="590" t="str">
        <f>INDEX(tblSubjectToLoan[Date],ROW()-ROW(tblContractForDeed[#Headers]))</f>
        <v/>
      </c>
      <c r="O421" s="275">
        <f>IF(ROW()=ROW(tblContractForDeed[#Headers])+1,$O$6,IF(INDEX(tblContractForDeed[End Bal],ROW()-ROW(tblContractForDeed[#Headers])-1)&lt;0,0,INDEX(tblContractForDeed[End Bal],ROW()-ROW(tblContractForDeed[#Headers])-1)))</f>
        <v>0</v>
      </c>
      <c r="P421" s="445" t="str">
        <f>IF(tblContractForDeed[[#This Row],[Date]]="","",IF(tblContractForDeed[[#This Row],[Date]]&lt;cfdRateChangeDate,cfdRate1,cfdRate2))</f>
        <v/>
      </c>
      <c r="Q4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75">
        <f>IF(tblContractForDeed[[#This Row],[Payment]]=0,0,MAX(0,MIN(tblContractForDeed[[#This Row],[Beg]],tblContractForDeed[[#This Row],[Payment]]-tblContractForDeed[[#This Row],[Int]])))</f>
        <v>0</v>
      </c>
      <c r="S421" s="275">
        <f>IF(OR(tblContractForDeed[[#This Row],[Date]]&lt;cfdContractDate,tblContractForDeed[[#This Row],[Date]]&gt;cfdEndDate),0,ROUND(tblContractForDeed[[#This Row],[Beg]]*(tblContractForDeed[[#This Row],[Int Rate]]/12),2))</f>
        <v>0</v>
      </c>
      <c r="T421" s="275">
        <f>IF(tblContractForDeed[[#This Row],[Payment]]=0,0,$W$2)</f>
        <v>0</v>
      </c>
      <c r="U421" s="275">
        <f>IF(tblContractForDeed[[#This Row],[Princ]]=0,0,$W$3)</f>
        <v>0</v>
      </c>
      <c r="V421" s="275">
        <f>SUM(tblContractForDeed[[#This Row],[Princ]],tblContractForDeed[[#This Row],[Int]],tblContractForDeed[[#This Row],[Ins]],tblContractForDeed[[#This Row],[Taxes]])</f>
        <v>0</v>
      </c>
      <c r="W421" s="275">
        <f>SUM(INDEX(tblContractForDeed[Princ],1):INDEX(tblContractForDeed[Princ],ROW()-ROW(tblContractForDeed[#Headers])))</f>
        <v>75258.000000000029</v>
      </c>
      <c r="X421" s="275">
        <f>IF(tblContractForDeed[[#This Row],[Beg]]&lt;=0,0,tblContractForDeed[[#This Row],[Beg]]-tblContractForDeed[[#This Row],[Princ]])</f>
        <v>0</v>
      </c>
      <c r="Y42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54">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1" s="275">
        <f>IF(INDEX(tblContractForDeed[End Bal],ROW()-ROW(tblBuyerOutputs[#Headers]))&lt;=0,0,($O$6+IF(ROW()=ROW(tblBuyerOutputs[#Headers])+1,0,INDEX(tblBuyerOutputs[Cumul Appr],ROW()-ROW(tblBuyerOutputs[#Headers])-1)))*$O$2/12)</f>
        <v>0</v>
      </c>
      <c r="AE421" s="275">
        <f>IF(INDEX(tblContractForDeed[End Bal],ROW()-ROW(tblBuyerOutputs[#Headers]))&lt;=0,0,IF(ROW()=ROW(tblBuyerOutputs[#Headers])+1,0,INDEX(tblBuyerOutputs[Cumul Appr],ROW()-ROW(tblBuyerOutputs[#Headers])-1))+tblBuyerOutputs[[#This Row],[Monthly Appr]])</f>
        <v>0</v>
      </c>
      <c r="AF421" s="22"/>
      <c r="AG421" s="14"/>
      <c r="AL421"/>
      <c r="AM421" s="14"/>
      <c r="AO421" s="275"/>
      <c r="AQ421" s="14"/>
      <c r="AR421"/>
    </row>
    <row r="422" spans="1:44" x14ac:dyDescent="0.25">
      <c r="A422" s="590" t="str">
        <f t="shared" si="92"/>
        <v/>
      </c>
      <c r="B422" s="275">
        <f t="shared" si="93"/>
        <v>0</v>
      </c>
      <c r="C422" s="14">
        <f t="shared" si="90"/>
        <v>0</v>
      </c>
      <c r="D422" s="14">
        <f t="shared" si="94"/>
        <v>0</v>
      </c>
      <c r="E422" s="14">
        <f t="shared" si="91"/>
        <v>0</v>
      </c>
      <c r="F422" s="14">
        <f t="shared" si="99"/>
        <v>134.16999999999999</v>
      </c>
      <c r="G422" s="14">
        <f t="shared" si="99"/>
        <v>188.55</v>
      </c>
      <c r="H422" s="14">
        <f t="shared" si="88"/>
        <v>322.72000000000003</v>
      </c>
      <c r="I422" s="275">
        <f t="shared" si="97"/>
        <v>97531.839999999953</v>
      </c>
      <c r="J422" s="275">
        <f t="shared" si="98"/>
        <v>36068.259999999973</v>
      </c>
      <c r="K422" s="275">
        <f t="shared" si="95"/>
        <v>0</v>
      </c>
      <c r="L422" s="386">
        <f t="shared" si="86"/>
        <v>0</v>
      </c>
      <c r="M422" s="386">
        <f t="shared" si="96"/>
        <v>0</v>
      </c>
      <c r="N422" s="590" t="str">
        <f>INDEX(tblSubjectToLoan[Date],ROW()-ROW(tblContractForDeed[#Headers]))</f>
        <v/>
      </c>
      <c r="O422" s="275">
        <f>IF(ROW()=ROW(tblContractForDeed[#Headers])+1,$O$6,IF(INDEX(tblContractForDeed[End Bal],ROW()-ROW(tblContractForDeed[#Headers])-1)&lt;0,0,INDEX(tblContractForDeed[End Bal],ROW()-ROW(tblContractForDeed[#Headers])-1)))</f>
        <v>0</v>
      </c>
      <c r="P422" s="445" t="str">
        <f>IF(tblContractForDeed[[#This Row],[Date]]="","",IF(tblContractForDeed[[#This Row],[Date]]&lt;cfdRateChangeDate,cfdRate1,cfdRate2))</f>
        <v/>
      </c>
      <c r="Q4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75">
        <f>IF(tblContractForDeed[[#This Row],[Payment]]=0,0,MAX(0,MIN(tblContractForDeed[[#This Row],[Beg]],tblContractForDeed[[#This Row],[Payment]]-tblContractForDeed[[#This Row],[Int]])))</f>
        <v>0</v>
      </c>
      <c r="S422" s="275">
        <f>IF(OR(tblContractForDeed[[#This Row],[Date]]&lt;cfdContractDate,tblContractForDeed[[#This Row],[Date]]&gt;cfdEndDate),0,ROUND(tblContractForDeed[[#This Row],[Beg]]*(tblContractForDeed[[#This Row],[Int Rate]]/12),2))</f>
        <v>0</v>
      </c>
      <c r="T422" s="275">
        <f>IF(tblContractForDeed[[#This Row],[Payment]]=0,0,$W$2)</f>
        <v>0</v>
      </c>
      <c r="U422" s="275">
        <f>IF(tblContractForDeed[[#This Row],[Princ]]=0,0,$W$3)</f>
        <v>0</v>
      </c>
      <c r="V422" s="275">
        <f>SUM(tblContractForDeed[[#This Row],[Princ]],tblContractForDeed[[#This Row],[Int]],tblContractForDeed[[#This Row],[Ins]],tblContractForDeed[[#This Row],[Taxes]])</f>
        <v>0</v>
      </c>
      <c r="W422" s="275">
        <f>SUM(INDEX(tblContractForDeed[Princ],1):INDEX(tblContractForDeed[Princ],ROW()-ROW(tblContractForDeed[#Headers])))</f>
        <v>75258.000000000029</v>
      </c>
      <c r="X422" s="275">
        <f>IF(tblContractForDeed[[#This Row],[Beg]]&lt;=0,0,tblContractForDeed[[#This Row],[Beg]]-tblContractForDeed[[#This Row],[Princ]])</f>
        <v>0</v>
      </c>
      <c r="Y42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54">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2" s="275">
        <f>IF(INDEX(tblContractForDeed[End Bal],ROW()-ROW(tblBuyerOutputs[#Headers]))&lt;=0,0,($O$6+IF(ROW()=ROW(tblBuyerOutputs[#Headers])+1,0,INDEX(tblBuyerOutputs[Cumul Appr],ROW()-ROW(tblBuyerOutputs[#Headers])-1)))*$O$2/12)</f>
        <v>0</v>
      </c>
      <c r="AE422" s="275">
        <f>IF(INDEX(tblContractForDeed[End Bal],ROW()-ROW(tblBuyerOutputs[#Headers]))&lt;=0,0,IF(ROW()=ROW(tblBuyerOutputs[#Headers])+1,0,INDEX(tblBuyerOutputs[Cumul Appr],ROW()-ROW(tblBuyerOutputs[#Headers])-1))+tblBuyerOutputs[[#This Row],[Monthly Appr]])</f>
        <v>0</v>
      </c>
      <c r="AF422" s="22"/>
      <c r="AG422" s="14"/>
      <c r="AL422"/>
      <c r="AM422" s="14"/>
      <c r="AO422" s="275"/>
      <c r="AQ422" s="14"/>
      <c r="AR422"/>
    </row>
    <row r="423" spans="1:44" x14ac:dyDescent="0.25">
      <c r="A423" s="590" t="str">
        <f t="shared" si="92"/>
        <v/>
      </c>
      <c r="B423" s="275">
        <f t="shared" si="93"/>
        <v>0</v>
      </c>
      <c r="C423" s="14">
        <f t="shared" si="90"/>
        <v>0</v>
      </c>
      <c r="D423" s="14">
        <f t="shared" si="94"/>
        <v>0</v>
      </c>
      <c r="E423" s="14">
        <f t="shared" si="91"/>
        <v>0</v>
      </c>
      <c r="F423" s="14">
        <f t="shared" si="99"/>
        <v>134.16999999999999</v>
      </c>
      <c r="G423" s="14">
        <f t="shared" si="99"/>
        <v>188.55</v>
      </c>
      <c r="H423" s="14">
        <f t="shared" si="88"/>
        <v>322.72000000000003</v>
      </c>
      <c r="I423" s="275">
        <f t="shared" si="97"/>
        <v>97531.839999999953</v>
      </c>
      <c r="J423" s="275">
        <f t="shared" si="98"/>
        <v>36068.259999999973</v>
      </c>
      <c r="K423" s="275">
        <f t="shared" si="95"/>
        <v>0</v>
      </c>
      <c r="L423" s="386">
        <f t="shared" si="86"/>
        <v>0</v>
      </c>
      <c r="M423" s="386">
        <f t="shared" si="96"/>
        <v>0</v>
      </c>
      <c r="N423" s="590" t="str">
        <f>INDEX(tblSubjectToLoan[Date],ROW()-ROW(tblContractForDeed[#Headers]))</f>
        <v/>
      </c>
      <c r="O423" s="275">
        <f>IF(ROW()=ROW(tblContractForDeed[#Headers])+1,$O$6,IF(INDEX(tblContractForDeed[End Bal],ROW()-ROW(tblContractForDeed[#Headers])-1)&lt;0,0,INDEX(tblContractForDeed[End Bal],ROW()-ROW(tblContractForDeed[#Headers])-1)))</f>
        <v>0</v>
      </c>
      <c r="P423" s="445" t="str">
        <f>IF(tblContractForDeed[[#This Row],[Date]]="","",IF(tblContractForDeed[[#This Row],[Date]]&lt;cfdRateChangeDate,cfdRate1,cfdRate2))</f>
        <v/>
      </c>
      <c r="Q42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75">
        <f>IF(tblContractForDeed[[#This Row],[Payment]]=0,0,MAX(0,MIN(tblContractForDeed[[#This Row],[Beg]],tblContractForDeed[[#This Row],[Payment]]-tblContractForDeed[[#This Row],[Int]])))</f>
        <v>0</v>
      </c>
      <c r="S423" s="275">
        <f>IF(OR(tblContractForDeed[[#This Row],[Date]]&lt;cfdContractDate,tblContractForDeed[[#This Row],[Date]]&gt;cfdEndDate),0,ROUND(tblContractForDeed[[#This Row],[Beg]]*(tblContractForDeed[[#This Row],[Int Rate]]/12),2))</f>
        <v>0</v>
      </c>
      <c r="T423" s="275">
        <f>IF(tblContractForDeed[[#This Row],[Payment]]=0,0,$W$2)</f>
        <v>0</v>
      </c>
      <c r="U423" s="275">
        <f>IF(tblContractForDeed[[#This Row],[Princ]]=0,0,$W$3)</f>
        <v>0</v>
      </c>
      <c r="V423" s="275">
        <f>SUM(tblContractForDeed[[#This Row],[Princ]],tblContractForDeed[[#This Row],[Int]],tblContractForDeed[[#This Row],[Ins]],tblContractForDeed[[#This Row],[Taxes]])</f>
        <v>0</v>
      </c>
      <c r="W423" s="275">
        <f>SUM(INDEX(tblContractForDeed[Princ],1):INDEX(tblContractForDeed[Princ],ROW()-ROW(tblContractForDeed[#Headers])))</f>
        <v>75258.000000000029</v>
      </c>
      <c r="X423" s="275">
        <f>IF(tblContractForDeed[[#This Row],[Beg]]&lt;=0,0,tblContractForDeed[[#This Row],[Beg]]-tblContractForDeed[[#This Row],[Princ]])</f>
        <v>0</v>
      </c>
      <c r="Y42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54">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3" s="275">
        <f>IF(INDEX(tblContractForDeed[End Bal],ROW()-ROW(tblBuyerOutputs[#Headers]))&lt;=0,0,($O$6+IF(ROW()=ROW(tblBuyerOutputs[#Headers])+1,0,INDEX(tblBuyerOutputs[Cumul Appr],ROW()-ROW(tblBuyerOutputs[#Headers])-1)))*$O$2/12)</f>
        <v>0</v>
      </c>
      <c r="AE423" s="275">
        <f>IF(INDEX(tblContractForDeed[End Bal],ROW()-ROW(tblBuyerOutputs[#Headers]))&lt;=0,0,IF(ROW()=ROW(tblBuyerOutputs[#Headers])+1,0,INDEX(tblBuyerOutputs[Cumul Appr],ROW()-ROW(tblBuyerOutputs[#Headers])-1))+tblBuyerOutputs[[#This Row],[Monthly Appr]])</f>
        <v>0</v>
      </c>
      <c r="AF423" s="22"/>
      <c r="AG423" s="14"/>
      <c r="AL423"/>
      <c r="AM423" s="14"/>
      <c r="AO423" s="275"/>
      <c r="AQ423" s="14"/>
      <c r="AR423"/>
    </row>
    <row r="424" spans="1:44" x14ac:dyDescent="0.25">
      <c r="A424" s="590" t="str">
        <f t="shared" si="92"/>
        <v/>
      </c>
      <c r="B424" s="275">
        <f t="shared" si="93"/>
        <v>0</v>
      </c>
      <c r="C424" s="14">
        <f t="shared" si="90"/>
        <v>0</v>
      </c>
      <c r="D424" s="14">
        <f t="shared" si="94"/>
        <v>0</v>
      </c>
      <c r="E424" s="14">
        <f t="shared" si="91"/>
        <v>0</v>
      </c>
      <c r="F424" s="14">
        <f t="shared" si="99"/>
        <v>134.16999999999999</v>
      </c>
      <c r="G424" s="14">
        <f t="shared" si="99"/>
        <v>188.55</v>
      </c>
      <c r="H424" s="14">
        <f t="shared" si="88"/>
        <v>322.72000000000003</v>
      </c>
      <c r="I424" s="275">
        <f t="shared" si="97"/>
        <v>97531.839999999953</v>
      </c>
      <c r="J424" s="275">
        <f t="shared" si="98"/>
        <v>36068.259999999973</v>
      </c>
      <c r="K424" s="275">
        <f t="shared" si="95"/>
        <v>0</v>
      </c>
      <c r="L424" s="386">
        <f t="shared" si="86"/>
        <v>0</v>
      </c>
      <c r="M424" s="386">
        <f t="shared" si="96"/>
        <v>0</v>
      </c>
      <c r="N424" s="590" t="str">
        <f>INDEX(tblSubjectToLoan[Date],ROW()-ROW(tblContractForDeed[#Headers]))</f>
        <v/>
      </c>
      <c r="O424" s="275">
        <f>IF(ROW()=ROW(tblContractForDeed[#Headers])+1,$O$6,IF(INDEX(tblContractForDeed[End Bal],ROW()-ROW(tblContractForDeed[#Headers])-1)&lt;0,0,INDEX(tblContractForDeed[End Bal],ROW()-ROW(tblContractForDeed[#Headers])-1)))</f>
        <v>0</v>
      </c>
      <c r="P424" s="445" t="str">
        <f>IF(tblContractForDeed[[#This Row],[Date]]="","",IF(tblContractForDeed[[#This Row],[Date]]&lt;cfdRateChangeDate,cfdRate1,cfdRate2))</f>
        <v/>
      </c>
      <c r="Q4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75">
        <f>IF(tblContractForDeed[[#This Row],[Payment]]=0,0,MAX(0,MIN(tblContractForDeed[[#This Row],[Beg]],tblContractForDeed[[#This Row],[Payment]]-tblContractForDeed[[#This Row],[Int]])))</f>
        <v>0</v>
      </c>
      <c r="S424" s="275">
        <f>IF(OR(tblContractForDeed[[#This Row],[Date]]&lt;cfdContractDate,tblContractForDeed[[#This Row],[Date]]&gt;cfdEndDate),0,ROUND(tblContractForDeed[[#This Row],[Beg]]*(tblContractForDeed[[#This Row],[Int Rate]]/12),2))</f>
        <v>0</v>
      </c>
      <c r="T424" s="275">
        <f>IF(tblContractForDeed[[#This Row],[Payment]]=0,0,$W$2)</f>
        <v>0</v>
      </c>
      <c r="U424" s="275">
        <f>IF(tblContractForDeed[[#This Row],[Princ]]=0,0,$W$3)</f>
        <v>0</v>
      </c>
      <c r="V424" s="275">
        <f>SUM(tblContractForDeed[[#This Row],[Princ]],tblContractForDeed[[#This Row],[Int]],tblContractForDeed[[#This Row],[Ins]],tblContractForDeed[[#This Row],[Taxes]])</f>
        <v>0</v>
      </c>
      <c r="W424" s="275">
        <f>SUM(INDEX(tblContractForDeed[Princ],1):INDEX(tblContractForDeed[Princ],ROW()-ROW(tblContractForDeed[#Headers])))</f>
        <v>75258.000000000029</v>
      </c>
      <c r="X424" s="275">
        <f>IF(tblContractForDeed[[#This Row],[Beg]]&lt;=0,0,tblContractForDeed[[#This Row],[Beg]]-tblContractForDeed[[#This Row],[Princ]])</f>
        <v>0</v>
      </c>
      <c r="Y42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54">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4" s="275">
        <f>IF(INDEX(tblContractForDeed[End Bal],ROW()-ROW(tblBuyerOutputs[#Headers]))&lt;=0,0,($O$6+IF(ROW()=ROW(tblBuyerOutputs[#Headers])+1,0,INDEX(tblBuyerOutputs[Cumul Appr],ROW()-ROW(tblBuyerOutputs[#Headers])-1)))*$O$2/12)</f>
        <v>0</v>
      </c>
      <c r="AE424" s="275">
        <f>IF(INDEX(tblContractForDeed[End Bal],ROW()-ROW(tblBuyerOutputs[#Headers]))&lt;=0,0,IF(ROW()=ROW(tblBuyerOutputs[#Headers])+1,0,INDEX(tblBuyerOutputs[Cumul Appr],ROW()-ROW(tblBuyerOutputs[#Headers])-1))+tblBuyerOutputs[[#This Row],[Monthly Appr]])</f>
        <v>0</v>
      </c>
      <c r="AF424" s="22"/>
      <c r="AG424" s="14"/>
      <c r="AL424"/>
      <c r="AM424" s="14"/>
      <c r="AO424" s="275"/>
      <c r="AQ424" s="14"/>
      <c r="AR424"/>
    </row>
    <row r="425" spans="1:44" x14ac:dyDescent="0.25">
      <c r="A425" s="590" t="str">
        <f t="shared" si="92"/>
        <v/>
      </c>
      <c r="B425" s="275">
        <f t="shared" si="93"/>
        <v>0</v>
      </c>
      <c r="C425" s="14">
        <f t="shared" si="90"/>
        <v>0</v>
      </c>
      <c r="D425" s="14">
        <f t="shared" si="94"/>
        <v>0</v>
      </c>
      <c r="E425" s="14">
        <f t="shared" si="91"/>
        <v>0</v>
      </c>
      <c r="F425" s="14">
        <f t="shared" si="99"/>
        <v>134.16999999999999</v>
      </c>
      <c r="G425" s="14">
        <f t="shared" si="99"/>
        <v>188.55</v>
      </c>
      <c r="H425" s="14">
        <f t="shared" si="88"/>
        <v>322.72000000000003</v>
      </c>
      <c r="I425" s="275">
        <f t="shared" si="97"/>
        <v>97531.839999999953</v>
      </c>
      <c r="J425" s="275">
        <f t="shared" si="98"/>
        <v>36068.259999999973</v>
      </c>
      <c r="K425" s="275">
        <f t="shared" si="95"/>
        <v>0</v>
      </c>
      <c r="L425" s="386">
        <f t="shared" si="86"/>
        <v>0</v>
      </c>
      <c r="M425" s="386">
        <f t="shared" si="96"/>
        <v>0</v>
      </c>
      <c r="N425" s="590" t="str">
        <f>INDEX(tblSubjectToLoan[Date],ROW()-ROW(tblContractForDeed[#Headers]))</f>
        <v/>
      </c>
      <c r="O425" s="275">
        <f>IF(ROW()=ROW(tblContractForDeed[#Headers])+1,$O$6,IF(INDEX(tblContractForDeed[End Bal],ROW()-ROW(tblContractForDeed[#Headers])-1)&lt;0,0,INDEX(tblContractForDeed[End Bal],ROW()-ROW(tblContractForDeed[#Headers])-1)))</f>
        <v>0</v>
      </c>
      <c r="P425" s="445" t="str">
        <f>IF(tblContractForDeed[[#This Row],[Date]]="","",IF(tblContractForDeed[[#This Row],[Date]]&lt;cfdRateChangeDate,cfdRate1,cfdRate2))</f>
        <v/>
      </c>
      <c r="Q4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75">
        <f>IF(tblContractForDeed[[#This Row],[Payment]]=0,0,MAX(0,MIN(tblContractForDeed[[#This Row],[Beg]],tblContractForDeed[[#This Row],[Payment]]-tblContractForDeed[[#This Row],[Int]])))</f>
        <v>0</v>
      </c>
      <c r="S425" s="275">
        <f>IF(OR(tblContractForDeed[[#This Row],[Date]]&lt;cfdContractDate,tblContractForDeed[[#This Row],[Date]]&gt;cfdEndDate),0,ROUND(tblContractForDeed[[#This Row],[Beg]]*(tblContractForDeed[[#This Row],[Int Rate]]/12),2))</f>
        <v>0</v>
      </c>
      <c r="T425" s="275">
        <f>IF(tblContractForDeed[[#This Row],[Payment]]=0,0,$W$2)</f>
        <v>0</v>
      </c>
      <c r="U425" s="275">
        <f>IF(tblContractForDeed[[#This Row],[Princ]]=0,0,$W$3)</f>
        <v>0</v>
      </c>
      <c r="V425" s="275">
        <f>SUM(tblContractForDeed[[#This Row],[Princ]],tblContractForDeed[[#This Row],[Int]],tblContractForDeed[[#This Row],[Ins]],tblContractForDeed[[#This Row],[Taxes]])</f>
        <v>0</v>
      </c>
      <c r="W425" s="275">
        <f>SUM(INDEX(tblContractForDeed[Princ],1):INDEX(tblContractForDeed[Princ],ROW()-ROW(tblContractForDeed[#Headers])))</f>
        <v>75258.000000000029</v>
      </c>
      <c r="X425" s="275">
        <f>IF(tblContractForDeed[[#This Row],[Beg]]&lt;=0,0,tblContractForDeed[[#This Row],[Beg]]-tblContractForDeed[[#This Row],[Princ]])</f>
        <v>0</v>
      </c>
      <c r="Y42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54">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5" s="275">
        <f>IF(INDEX(tblContractForDeed[End Bal],ROW()-ROW(tblBuyerOutputs[#Headers]))&lt;=0,0,($O$6+IF(ROW()=ROW(tblBuyerOutputs[#Headers])+1,0,INDEX(tblBuyerOutputs[Cumul Appr],ROW()-ROW(tblBuyerOutputs[#Headers])-1)))*$O$2/12)</f>
        <v>0</v>
      </c>
      <c r="AE425" s="275">
        <f>IF(INDEX(tblContractForDeed[End Bal],ROW()-ROW(tblBuyerOutputs[#Headers]))&lt;=0,0,IF(ROW()=ROW(tblBuyerOutputs[#Headers])+1,0,INDEX(tblBuyerOutputs[Cumul Appr],ROW()-ROW(tblBuyerOutputs[#Headers])-1))+tblBuyerOutputs[[#This Row],[Monthly Appr]])</f>
        <v>0</v>
      </c>
      <c r="AF425" s="22"/>
      <c r="AG425" s="14"/>
      <c r="AL425"/>
      <c r="AM425" s="14"/>
      <c r="AO425" s="275"/>
      <c r="AQ425" s="14"/>
      <c r="AR425"/>
    </row>
    <row r="426" spans="1:44" x14ac:dyDescent="0.25">
      <c r="A426" s="590" t="str">
        <f t="shared" si="92"/>
        <v/>
      </c>
      <c r="B426" s="275">
        <f t="shared" si="93"/>
        <v>0</v>
      </c>
      <c r="C426" s="14">
        <f t="shared" si="90"/>
        <v>0</v>
      </c>
      <c r="D426" s="14">
        <f t="shared" si="94"/>
        <v>0</v>
      </c>
      <c r="E426" s="14">
        <f t="shared" si="91"/>
        <v>0</v>
      </c>
      <c r="F426" s="14">
        <f t="shared" si="99"/>
        <v>134.16999999999999</v>
      </c>
      <c r="G426" s="14">
        <f t="shared" si="99"/>
        <v>188.55</v>
      </c>
      <c r="H426" s="14">
        <f t="shared" si="88"/>
        <v>322.72000000000003</v>
      </c>
      <c r="I426" s="275">
        <f t="shared" si="97"/>
        <v>97531.839999999953</v>
      </c>
      <c r="J426" s="275">
        <f t="shared" si="98"/>
        <v>36068.259999999973</v>
      </c>
      <c r="K426" s="275">
        <f t="shared" si="95"/>
        <v>0</v>
      </c>
      <c r="L426" s="386">
        <f t="shared" si="86"/>
        <v>0</v>
      </c>
      <c r="M426" s="386">
        <f t="shared" si="96"/>
        <v>0</v>
      </c>
      <c r="N426" s="590" t="str">
        <f>INDEX(tblSubjectToLoan[Date],ROW()-ROW(tblContractForDeed[#Headers]))</f>
        <v/>
      </c>
      <c r="O426" s="275">
        <f>IF(ROW()=ROW(tblContractForDeed[#Headers])+1,$O$6,IF(INDEX(tblContractForDeed[End Bal],ROW()-ROW(tblContractForDeed[#Headers])-1)&lt;0,0,INDEX(tblContractForDeed[End Bal],ROW()-ROW(tblContractForDeed[#Headers])-1)))</f>
        <v>0</v>
      </c>
      <c r="P426" s="445" t="str">
        <f>IF(tblContractForDeed[[#This Row],[Date]]="","",IF(tblContractForDeed[[#This Row],[Date]]&lt;cfdRateChangeDate,cfdRate1,cfdRate2))</f>
        <v/>
      </c>
      <c r="Q4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75">
        <f>IF(tblContractForDeed[[#This Row],[Payment]]=0,0,MAX(0,MIN(tblContractForDeed[[#This Row],[Beg]],tblContractForDeed[[#This Row],[Payment]]-tblContractForDeed[[#This Row],[Int]])))</f>
        <v>0</v>
      </c>
      <c r="S426" s="275">
        <f>IF(OR(tblContractForDeed[[#This Row],[Date]]&lt;cfdContractDate,tblContractForDeed[[#This Row],[Date]]&gt;cfdEndDate),0,ROUND(tblContractForDeed[[#This Row],[Beg]]*(tblContractForDeed[[#This Row],[Int Rate]]/12),2))</f>
        <v>0</v>
      </c>
      <c r="T426" s="275">
        <f>IF(tblContractForDeed[[#This Row],[Payment]]=0,0,$W$2)</f>
        <v>0</v>
      </c>
      <c r="U426" s="275">
        <f>IF(tblContractForDeed[[#This Row],[Princ]]=0,0,$W$3)</f>
        <v>0</v>
      </c>
      <c r="V426" s="275">
        <f>SUM(tblContractForDeed[[#This Row],[Princ]],tblContractForDeed[[#This Row],[Int]],tblContractForDeed[[#This Row],[Ins]],tblContractForDeed[[#This Row],[Taxes]])</f>
        <v>0</v>
      </c>
      <c r="W426" s="275">
        <f>SUM(INDEX(tblContractForDeed[Princ],1):INDEX(tblContractForDeed[Princ],ROW()-ROW(tblContractForDeed[#Headers])))</f>
        <v>75258.000000000029</v>
      </c>
      <c r="X426" s="275">
        <f>IF(tblContractForDeed[[#This Row],[Beg]]&lt;=0,0,tblContractForDeed[[#This Row],[Beg]]-tblContractForDeed[[#This Row],[Princ]])</f>
        <v>0</v>
      </c>
      <c r="Y42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54">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6" s="275">
        <f>IF(INDEX(tblContractForDeed[End Bal],ROW()-ROW(tblBuyerOutputs[#Headers]))&lt;=0,0,($O$6+IF(ROW()=ROW(tblBuyerOutputs[#Headers])+1,0,INDEX(tblBuyerOutputs[Cumul Appr],ROW()-ROW(tblBuyerOutputs[#Headers])-1)))*$O$2/12)</f>
        <v>0</v>
      </c>
      <c r="AE426" s="275">
        <f>IF(INDEX(tblContractForDeed[End Bal],ROW()-ROW(tblBuyerOutputs[#Headers]))&lt;=0,0,IF(ROW()=ROW(tblBuyerOutputs[#Headers])+1,0,INDEX(tblBuyerOutputs[Cumul Appr],ROW()-ROW(tblBuyerOutputs[#Headers])-1))+tblBuyerOutputs[[#This Row],[Monthly Appr]])</f>
        <v>0</v>
      </c>
      <c r="AF426" s="22"/>
      <c r="AG426" s="14"/>
      <c r="AL426"/>
      <c r="AM426" s="14"/>
      <c r="AO426" s="275"/>
      <c r="AQ426" s="14"/>
      <c r="AR426"/>
    </row>
    <row r="427" spans="1:44" ht="15.75" thickBot="1" x14ac:dyDescent="0.3">
      <c r="A427" s="591" t="str">
        <f t="shared" si="92"/>
        <v/>
      </c>
      <c r="B427" s="326">
        <f t="shared" si="93"/>
        <v>0</v>
      </c>
      <c r="C427" s="21">
        <f t="shared" si="90"/>
        <v>0</v>
      </c>
      <c r="D427" s="21">
        <f t="shared" si="94"/>
        <v>0</v>
      </c>
      <c r="E427" s="21">
        <f t="shared" si="91"/>
        <v>0</v>
      </c>
      <c r="F427" s="21">
        <f t="shared" si="99"/>
        <v>134.16999999999999</v>
      </c>
      <c r="G427" s="21">
        <f t="shared" si="99"/>
        <v>188.55</v>
      </c>
      <c r="H427" s="21">
        <f t="shared" si="88"/>
        <v>322.72000000000003</v>
      </c>
      <c r="I427" s="326">
        <f t="shared" si="97"/>
        <v>97531.839999999953</v>
      </c>
      <c r="J427" s="326">
        <f t="shared" si="98"/>
        <v>36068.259999999973</v>
      </c>
      <c r="K427" s="326">
        <f t="shared" si="95"/>
        <v>0</v>
      </c>
      <c r="L427" s="387">
        <f t="shared" si="86"/>
        <v>0</v>
      </c>
      <c r="M427" s="387">
        <f t="shared" si="96"/>
        <v>0</v>
      </c>
      <c r="N427" s="591" t="str">
        <f>INDEX(tblSubjectToLoan[Date],ROW()-ROW(tblContractForDeed[#Headers]))</f>
        <v/>
      </c>
      <c r="O427" s="326">
        <f>IF(ROW()=ROW(tblContractForDeed[#Headers])+1,$O$6,IF(INDEX(tblContractForDeed[End Bal],ROW()-ROW(tblContractForDeed[#Headers])-1)&lt;0,0,INDEX(tblContractForDeed[End Bal],ROW()-ROW(tblContractForDeed[#Headers])-1)))</f>
        <v>0</v>
      </c>
      <c r="P427" s="445" t="str">
        <f>IF(tblContractForDeed[[#This Row],[Date]]="","",IF(tblContractForDeed[[#This Row],[Date]]&lt;cfdRateChangeDate,cfdRate1,cfdRate2))</f>
        <v/>
      </c>
      <c r="Q42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26">
        <f>IF(tblContractForDeed[[#This Row],[Payment]]=0,0,MAX(0,MIN(tblContractForDeed[[#This Row],[Beg]],tblContractForDeed[[#This Row],[Payment]]-tblContractForDeed[[#This Row],[Int]])))</f>
        <v>0</v>
      </c>
      <c r="S427" s="326">
        <f>IF(OR(tblContractForDeed[[#This Row],[Date]]&lt;cfdContractDate,tblContractForDeed[[#This Row],[Date]]&gt;cfdEndDate),0,ROUND(tblContractForDeed[[#This Row],[Beg]]*(tblContractForDeed[[#This Row],[Int Rate]]/12),2))</f>
        <v>0</v>
      </c>
      <c r="T427" s="326">
        <f>IF(tblContractForDeed[[#This Row],[Payment]]=0,0,$W$2)</f>
        <v>0</v>
      </c>
      <c r="U427" s="326">
        <f>IF(tblContractForDeed[[#This Row],[Princ]]=0,0,$W$3)</f>
        <v>0</v>
      </c>
      <c r="V427" s="326">
        <f>SUM(tblContractForDeed[[#This Row],[Princ]],tblContractForDeed[[#This Row],[Int]],tblContractForDeed[[#This Row],[Ins]],tblContractForDeed[[#This Row],[Taxes]])</f>
        <v>0</v>
      </c>
      <c r="W427" s="326">
        <f>SUM(INDEX(tblContractForDeed[Princ],1):INDEX(tblContractForDeed[Princ],ROW()-ROW(tblContractForDeed[#Headers])))</f>
        <v>75258.000000000029</v>
      </c>
      <c r="X427" s="326">
        <f>IF(tblContractForDeed[[#This Row],[Beg]]&lt;=0,0,tblContractForDeed[[#This Row],[Beg]]-tblContractForDeed[[#This Row],[Princ]])</f>
        <v>0</v>
      </c>
      <c r="Y42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55">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7" s="326">
        <f>IF(INDEX(tblContractForDeed[End Bal],ROW()-ROW(tblBuyerOutputs[#Headers]))&lt;=0,0,($O$6+IF(ROW()=ROW(tblBuyerOutputs[#Headers])+1,0,INDEX(tblBuyerOutputs[Cumul Appr],ROW()-ROW(tblBuyerOutputs[#Headers])-1)))*$O$2/12)</f>
        <v>0</v>
      </c>
      <c r="AE427" s="326">
        <f>IF(INDEX(tblContractForDeed[End Bal],ROW()-ROW(tblBuyerOutputs[#Headers]))&lt;=0,0,IF(ROW()=ROW(tblBuyerOutputs[#Headers])+1,0,INDEX(tblBuyerOutputs[Cumul Appr],ROW()-ROW(tblBuyerOutputs[#Headers])-1))+tblBuyerOutputs[[#This Row],[Monthly Appr]])</f>
        <v>0</v>
      </c>
      <c r="AF427" s="22"/>
      <c r="AG427" s="14"/>
      <c r="AL427"/>
      <c r="AM427" s="14"/>
      <c r="AO427" s="275"/>
      <c r="AQ427" s="14"/>
      <c r="AR427"/>
    </row>
    <row r="428" spans="1:44" x14ac:dyDescent="0.25">
      <c r="A428" s="590" t="str">
        <f t="shared" si="92"/>
        <v/>
      </c>
      <c r="B428" s="275">
        <f t="shared" si="93"/>
        <v>0</v>
      </c>
      <c r="C428" s="14">
        <f t="shared" si="90"/>
        <v>0</v>
      </c>
      <c r="D428" s="14">
        <f t="shared" si="94"/>
        <v>0</v>
      </c>
      <c r="E428" s="14">
        <f t="shared" si="91"/>
        <v>0</v>
      </c>
      <c r="F428" s="14">
        <f t="shared" si="99"/>
        <v>134.16999999999999</v>
      </c>
      <c r="G428" s="14">
        <f t="shared" si="99"/>
        <v>188.55</v>
      </c>
      <c r="H428" s="14">
        <f t="shared" si="88"/>
        <v>322.72000000000003</v>
      </c>
      <c r="I428" s="275">
        <f t="shared" si="97"/>
        <v>97531.839999999953</v>
      </c>
      <c r="J428" s="275">
        <f t="shared" si="98"/>
        <v>36068.259999999973</v>
      </c>
      <c r="K428" s="275">
        <f t="shared" si="95"/>
        <v>0</v>
      </c>
      <c r="L428" s="386">
        <f t="shared" si="86"/>
        <v>0</v>
      </c>
      <c r="M428" s="386">
        <f t="shared" si="96"/>
        <v>0</v>
      </c>
      <c r="N428" s="590" t="str">
        <f>INDEX(tblSubjectToLoan[Date],ROW()-ROW(tblContractForDeed[#Headers]))</f>
        <v/>
      </c>
      <c r="O428" s="275">
        <f>IF(ROW()=ROW(tblContractForDeed[#Headers])+1,$O$6,IF(INDEX(tblContractForDeed[End Bal],ROW()-ROW(tblContractForDeed[#Headers])-1)&lt;0,0,INDEX(tblContractForDeed[End Bal],ROW()-ROW(tblContractForDeed[#Headers])-1)))</f>
        <v>0</v>
      </c>
      <c r="P428" s="445" t="str">
        <f>IF(tblContractForDeed[[#This Row],[Date]]="","",IF(tblContractForDeed[[#This Row],[Date]]&lt;cfdRateChangeDate,cfdRate1,cfdRate2))</f>
        <v/>
      </c>
      <c r="Q4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75">
        <f>IF(tblContractForDeed[[#This Row],[Payment]]=0,0,MAX(0,MIN(tblContractForDeed[[#This Row],[Beg]],tblContractForDeed[[#This Row],[Payment]]-tblContractForDeed[[#This Row],[Int]])))</f>
        <v>0</v>
      </c>
      <c r="S428" s="275">
        <f>IF(OR(tblContractForDeed[[#This Row],[Date]]&lt;cfdContractDate,tblContractForDeed[[#This Row],[Date]]&gt;cfdEndDate),0,ROUND(tblContractForDeed[[#This Row],[Beg]]*(tblContractForDeed[[#This Row],[Int Rate]]/12),2))</f>
        <v>0</v>
      </c>
      <c r="T428" s="275">
        <f>IF(tblContractForDeed[[#This Row],[Payment]]=0,0,$W$2)</f>
        <v>0</v>
      </c>
      <c r="U428" s="275">
        <f>IF(tblContractForDeed[[#This Row],[Princ]]=0,0,$W$3)</f>
        <v>0</v>
      </c>
      <c r="V428" s="275">
        <f>SUM(tblContractForDeed[[#This Row],[Princ]],tblContractForDeed[[#This Row],[Int]],tblContractForDeed[[#This Row],[Ins]],tblContractForDeed[[#This Row],[Taxes]])</f>
        <v>0</v>
      </c>
      <c r="W428" s="275">
        <f>SUM(INDEX(tblContractForDeed[Princ],1):INDEX(tblContractForDeed[Princ],ROW()-ROW(tblContractForDeed[#Headers])))</f>
        <v>75258.000000000029</v>
      </c>
      <c r="X428" s="275">
        <f>IF(tblContractForDeed[[#This Row],[Beg]]&lt;=0,0,tblContractForDeed[[#This Row],[Beg]]-tblContractForDeed[[#This Row],[Princ]])</f>
        <v>0</v>
      </c>
      <c r="Y42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54">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8" s="275">
        <f>IF(INDEX(tblContractForDeed[End Bal],ROW()-ROW(tblBuyerOutputs[#Headers]))&lt;=0,0,($O$6+IF(ROW()=ROW(tblBuyerOutputs[#Headers])+1,0,INDEX(tblBuyerOutputs[Cumul Appr],ROW()-ROW(tblBuyerOutputs[#Headers])-1)))*$O$2/12)</f>
        <v>0</v>
      </c>
      <c r="AE428" s="275">
        <f>IF(INDEX(tblContractForDeed[End Bal],ROW()-ROW(tblBuyerOutputs[#Headers]))&lt;=0,0,IF(ROW()=ROW(tblBuyerOutputs[#Headers])+1,0,INDEX(tblBuyerOutputs[Cumul Appr],ROW()-ROW(tblBuyerOutputs[#Headers])-1))+tblBuyerOutputs[[#This Row],[Monthly Appr]])</f>
        <v>0</v>
      </c>
      <c r="AF428" s="22"/>
      <c r="AG428" s="14"/>
      <c r="AL428"/>
      <c r="AM428" s="14"/>
      <c r="AO428" s="275"/>
      <c r="AQ428" s="14"/>
      <c r="AR428"/>
    </row>
    <row r="429" spans="1:44" x14ac:dyDescent="0.25">
      <c r="A429" s="590" t="str">
        <f t="shared" si="92"/>
        <v/>
      </c>
      <c r="B429" s="275">
        <f t="shared" si="93"/>
        <v>0</v>
      </c>
      <c r="C429" s="14">
        <f t="shared" si="90"/>
        <v>0</v>
      </c>
      <c r="D429" s="14">
        <f t="shared" si="94"/>
        <v>0</v>
      </c>
      <c r="E429" s="14">
        <f t="shared" si="91"/>
        <v>0</v>
      </c>
      <c r="F429" s="14">
        <f t="shared" si="99"/>
        <v>134.16999999999999</v>
      </c>
      <c r="G429" s="14">
        <f t="shared" si="99"/>
        <v>188.55</v>
      </c>
      <c r="H429" s="14">
        <f t="shared" si="88"/>
        <v>322.72000000000003</v>
      </c>
      <c r="I429" s="275">
        <f t="shared" si="97"/>
        <v>97531.839999999953</v>
      </c>
      <c r="J429" s="275">
        <f t="shared" si="98"/>
        <v>36068.259999999973</v>
      </c>
      <c r="K429" s="275">
        <f t="shared" si="95"/>
        <v>0</v>
      </c>
      <c r="L429" s="386">
        <f t="shared" si="86"/>
        <v>0</v>
      </c>
      <c r="M429" s="386">
        <f t="shared" si="96"/>
        <v>0</v>
      </c>
      <c r="N429" s="590" t="str">
        <f>INDEX(tblSubjectToLoan[Date],ROW()-ROW(tblContractForDeed[#Headers]))</f>
        <v/>
      </c>
      <c r="O429" s="275">
        <f>IF(ROW()=ROW(tblContractForDeed[#Headers])+1,$O$6,IF(INDEX(tblContractForDeed[End Bal],ROW()-ROW(tblContractForDeed[#Headers])-1)&lt;0,0,INDEX(tblContractForDeed[End Bal],ROW()-ROW(tblContractForDeed[#Headers])-1)))</f>
        <v>0</v>
      </c>
      <c r="P429" s="445" t="str">
        <f>IF(tblContractForDeed[[#This Row],[Date]]="","",IF(tblContractForDeed[[#This Row],[Date]]&lt;cfdRateChangeDate,cfdRate1,cfdRate2))</f>
        <v/>
      </c>
      <c r="Q4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75">
        <f>IF(tblContractForDeed[[#This Row],[Payment]]=0,0,MAX(0,MIN(tblContractForDeed[[#This Row],[Beg]],tblContractForDeed[[#This Row],[Payment]]-tblContractForDeed[[#This Row],[Int]])))</f>
        <v>0</v>
      </c>
      <c r="S429" s="275">
        <f>IF(OR(tblContractForDeed[[#This Row],[Date]]&lt;cfdContractDate,tblContractForDeed[[#This Row],[Date]]&gt;cfdEndDate),0,ROUND(tblContractForDeed[[#This Row],[Beg]]*(tblContractForDeed[[#This Row],[Int Rate]]/12),2))</f>
        <v>0</v>
      </c>
      <c r="T429" s="275">
        <f>IF(tblContractForDeed[[#This Row],[Payment]]=0,0,$W$2)</f>
        <v>0</v>
      </c>
      <c r="U429" s="275">
        <f>IF(tblContractForDeed[[#This Row],[Princ]]=0,0,$W$3)</f>
        <v>0</v>
      </c>
      <c r="V429" s="275">
        <f>SUM(tblContractForDeed[[#This Row],[Princ]],tblContractForDeed[[#This Row],[Int]],tblContractForDeed[[#This Row],[Ins]],tblContractForDeed[[#This Row],[Taxes]])</f>
        <v>0</v>
      </c>
      <c r="W429" s="275">
        <f>SUM(INDEX(tblContractForDeed[Princ],1):INDEX(tblContractForDeed[Princ],ROW()-ROW(tblContractForDeed[#Headers])))</f>
        <v>75258.000000000029</v>
      </c>
      <c r="X429" s="275">
        <f>IF(tblContractForDeed[[#This Row],[Beg]]&lt;=0,0,tblContractForDeed[[#This Row],[Beg]]-tblContractForDeed[[#This Row],[Princ]])</f>
        <v>0</v>
      </c>
      <c r="Y42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54">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9" s="275">
        <f>IF(INDEX(tblContractForDeed[End Bal],ROW()-ROW(tblBuyerOutputs[#Headers]))&lt;=0,0,($O$6+IF(ROW()=ROW(tblBuyerOutputs[#Headers])+1,0,INDEX(tblBuyerOutputs[Cumul Appr],ROW()-ROW(tblBuyerOutputs[#Headers])-1)))*$O$2/12)</f>
        <v>0</v>
      </c>
      <c r="AE429" s="275">
        <f>IF(INDEX(tblContractForDeed[End Bal],ROW()-ROW(tblBuyerOutputs[#Headers]))&lt;=0,0,IF(ROW()=ROW(tblBuyerOutputs[#Headers])+1,0,INDEX(tblBuyerOutputs[Cumul Appr],ROW()-ROW(tblBuyerOutputs[#Headers])-1))+tblBuyerOutputs[[#This Row],[Monthly Appr]])</f>
        <v>0</v>
      </c>
      <c r="AF429" s="22"/>
      <c r="AG429" s="14"/>
      <c r="AL429"/>
      <c r="AM429" s="14"/>
      <c r="AO429" s="275"/>
      <c r="AQ429" s="14"/>
      <c r="AR429"/>
    </row>
    <row r="430" spans="1:44" x14ac:dyDescent="0.25">
      <c r="A430" s="590" t="str">
        <f t="shared" si="92"/>
        <v/>
      </c>
      <c r="B430" s="275">
        <f t="shared" si="93"/>
        <v>0</v>
      </c>
      <c r="C430" s="14">
        <f t="shared" si="90"/>
        <v>0</v>
      </c>
      <c r="D430" s="14">
        <f t="shared" si="94"/>
        <v>0</v>
      </c>
      <c r="E430" s="14">
        <f t="shared" si="91"/>
        <v>0</v>
      </c>
      <c r="F430" s="14">
        <f t="shared" si="99"/>
        <v>134.16999999999999</v>
      </c>
      <c r="G430" s="14">
        <f t="shared" si="99"/>
        <v>188.55</v>
      </c>
      <c r="H430" s="14">
        <f t="shared" si="88"/>
        <v>322.72000000000003</v>
      </c>
      <c r="I430" s="275">
        <f t="shared" si="97"/>
        <v>97531.839999999953</v>
      </c>
      <c r="J430" s="275">
        <f t="shared" si="98"/>
        <v>36068.259999999973</v>
      </c>
      <c r="K430" s="275">
        <f t="shared" si="95"/>
        <v>0</v>
      </c>
      <c r="L430" s="386">
        <f t="shared" si="86"/>
        <v>0</v>
      </c>
      <c r="M430" s="386">
        <f t="shared" si="96"/>
        <v>0</v>
      </c>
      <c r="N430" s="590" t="str">
        <f>INDEX(tblSubjectToLoan[Date],ROW()-ROW(tblContractForDeed[#Headers]))</f>
        <v/>
      </c>
      <c r="O430" s="275">
        <f>IF(ROW()=ROW(tblContractForDeed[#Headers])+1,$O$6,IF(INDEX(tblContractForDeed[End Bal],ROW()-ROW(tblContractForDeed[#Headers])-1)&lt;0,0,INDEX(tblContractForDeed[End Bal],ROW()-ROW(tblContractForDeed[#Headers])-1)))</f>
        <v>0</v>
      </c>
      <c r="P430" s="445" t="str">
        <f>IF(tblContractForDeed[[#This Row],[Date]]="","",IF(tblContractForDeed[[#This Row],[Date]]&lt;cfdRateChangeDate,cfdRate1,cfdRate2))</f>
        <v/>
      </c>
      <c r="Q4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75">
        <f>IF(tblContractForDeed[[#This Row],[Payment]]=0,0,MAX(0,MIN(tblContractForDeed[[#This Row],[Beg]],tblContractForDeed[[#This Row],[Payment]]-tblContractForDeed[[#This Row],[Int]])))</f>
        <v>0</v>
      </c>
      <c r="S430" s="275">
        <f>IF(OR(tblContractForDeed[[#This Row],[Date]]&lt;cfdContractDate,tblContractForDeed[[#This Row],[Date]]&gt;cfdEndDate),0,ROUND(tblContractForDeed[[#This Row],[Beg]]*(tblContractForDeed[[#This Row],[Int Rate]]/12),2))</f>
        <v>0</v>
      </c>
      <c r="T430" s="275">
        <f>IF(tblContractForDeed[[#This Row],[Payment]]=0,0,$W$2)</f>
        <v>0</v>
      </c>
      <c r="U430" s="275">
        <f>IF(tblContractForDeed[[#This Row],[Princ]]=0,0,$W$3)</f>
        <v>0</v>
      </c>
      <c r="V430" s="275">
        <f>SUM(tblContractForDeed[[#This Row],[Princ]],tblContractForDeed[[#This Row],[Int]],tblContractForDeed[[#This Row],[Ins]],tblContractForDeed[[#This Row],[Taxes]])</f>
        <v>0</v>
      </c>
      <c r="W430" s="275">
        <f>SUM(INDEX(tblContractForDeed[Princ],1):INDEX(tblContractForDeed[Princ],ROW()-ROW(tblContractForDeed[#Headers])))</f>
        <v>75258.000000000029</v>
      </c>
      <c r="X430" s="275">
        <f>IF(tblContractForDeed[[#This Row],[Beg]]&lt;=0,0,tblContractForDeed[[#This Row],[Beg]]-tblContractForDeed[[#This Row],[Princ]])</f>
        <v>0</v>
      </c>
      <c r="Y43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54">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0" s="275">
        <f>IF(INDEX(tblContractForDeed[End Bal],ROW()-ROW(tblBuyerOutputs[#Headers]))&lt;=0,0,($O$6+IF(ROW()=ROW(tblBuyerOutputs[#Headers])+1,0,INDEX(tblBuyerOutputs[Cumul Appr],ROW()-ROW(tblBuyerOutputs[#Headers])-1)))*$O$2/12)</f>
        <v>0</v>
      </c>
      <c r="AE430" s="275">
        <f>IF(INDEX(tblContractForDeed[End Bal],ROW()-ROW(tblBuyerOutputs[#Headers]))&lt;=0,0,IF(ROW()=ROW(tblBuyerOutputs[#Headers])+1,0,INDEX(tblBuyerOutputs[Cumul Appr],ROW()-ROW(tblBuyerOutputs[#Headers])-1))+tblBuyerOutputs[[#This Row],[Monthly Appr]])</f>
        <v>0</v>
      </c>
      <c r="AF430" s="22"/>
      <c r="AG430" s="14"/>
      <c r="AL430"/>
      <c r="AM430" s="14"/>
      <c r="AO430" s="275"/>
      <c r="AQ430" s="14"/>
      <c r="AR430"/>
    </row>
    <row r="431" spans="1:44" x14ac:dyDescent="0.25">
      <c r="A431" s="590" t="str">
        <f t="shared" si="92"/>
        <v/>
      </c>
      <c r="B431" s="275">
        <f t="shared" si="93"/>
        <v>0</v>
      </c>
      <c r="C431" s="14">
        <f t="shared" si="90"/>
        <v>0</v>
      </c>
      <c r="D431" s="14">
        <f t="shared" si="94"/>
        <v>0</v>
      </c>
      <c r="E431" s="14">
        <f t="shared" si="91"/>
        <v>0</v>
      </c>
      <c r="F431" s="14">
        <f t="shared" ref="F431:G446" si="100">+F430</f>
        <v>134.16999999999999</v>
      </c>
      <c r="G431" s="14">
        <f t="shared" si="100"/>
        <v>188.55</v>
      </c>
      <c r="H431" s="14">
        <f t="shared" si="88"/>
        <v>322.72000000000003</v>
      </c>
      <c r="I431" s="275">
        <f t="shared" si="97"/>
        <v>97531.839999999953</v>
      </c>
      <c r="J431" s="275">
        <f t="shared" si="98"/>
        <v>36068.259999999973</v>
      </c>
      <c r="K431" s="275">
        <f t="shared" si="95"/>
        <v>0</v>
      </c>
      <c r="L431" s="386">
        <f t="shared" si="86"/>
        <v>0</v>
      </c>
      <c r="M431" s="386">
        <f t="shared" si="96"/>
        <v>0</v>
      </c>
      <c r="N431" s="590" t="str">
        <f>INDEX(tblSubjectToLoan[Date],ROW()-ROW(tblContractForDeed[#Headers]))</f>
        <v/>
      </c>
      <c r="O431" s="275">
        <f>IF(ROW()=ROW(tblContractForDeed[#Headers])+1,$O$6,IF(INDEX(tblContractForDeed[End Bal],ROW()-ROW(tblContractForDeed[#Headers])-1)&lt;0,0,INDEX(tblContractForDeed[End Bal],ROW()-ROW(tblContractForDeed[#Headers])-1)))</f>
        <v>0</v>
      </c>
      <c r="P431" s="445" t="str">
        <f>IF(tblContractForDeed[[#This Row],[Date]]="","",IF(tblContractForDeed[[#This Row],[Date]]&lt;cfdRateChangeDate,cfdRate1,cfdRate2))</f>
        <v/>
      </c>
      <c r="Q43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75">
        <f>IF(tblContractForDeed[[#This Row],[Payment]]=0,0,MAX(0,MIN(tblContractForDeed[[#This Row],[Beg]],tblContractForDeed[[#This Row],[Payment]]-tblContractForDeed[[#This Row],[Int]])))</f>
        <v>0</v>
      </c>
      <c r="S431" s="275">
        <f>IF(OR(tblContractForDeed[[#This Row],[Date]]&lt;cfdContractDate,tblContractForDeed[[#This Row],[Date]]&gt;cfdEndDate),0,ROUND(tblContractForDeed[[#This Row],[Beg]]*(tblContractForDeed[[#This Row],[Int Rate]]/12),2))</f>
        <v>0</v>
      </c>
      <c r="T431" s="275">
        <f>IF(tblContractForDeed[[#This Row],[Payment]]=0,0,$W$2)</f>
        <v>0</v>
      </c>
      <c r="U431" s="275">
        <f>IF(tblContractForDeed[[#This Row],[Princ]]=0,0,$W$3)</f>
        <v>0</v>
      </c>
      <c r="V431" s="275">
        <f>SUM(tblContractForDeed[[#This Row],[Princ]],tblContractForDeed[[#This Row],[Int]],tblContractForDeed[[#This Row],[Ins]],tblContractForDeed[[#This Row],[Taxes]])</f>
        <v>0</v>
      </c>
      <c r="W431" s="275">
        <f>SUM(INDEX(tblContractForDeed[Princ],1):INDEX(tblContractForDeed[Princ],ROW()-ROW(tblContractForDeed[#Headers])))</f>
        <v>75258.000000000029</v>
      </c>
      <c r="X431" s="275">
        <f>IF(tblContractForDeed[[#This Row],[Beg]]&lt;=0,0,tblContractForDeed[[#This Row],[Beg]]-tblContractForDeed[[#This Row],[Princ]])</f>
        <v>0</v>
      </c>
      <c r="Y43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54">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1" s="275">
        <f>IF(INDEX(tblContractForDeed[End Bal],ROW()-ROW(tblBuyerOutputs[#Headers]))&lt;=0,0,($O$6+IF(ROW()=ROW(tblBuyerOutputs[#Headers])+1,0,INDEX(tblBuyerOutputs[Cumul Appr],ROW()-ROW(tblBuyerOutputs[#Headers])-1)))*$O$2/12)</f>
        <v>0</v>
      </c>
      <c r="AE431" s="275">
        <f>IF(INDEX(tblContractForDeed[End Bal],ROW()-ROW(tblBuyerOutputs[#Headers]))&lt;=0,0,IF(ROW()=ROW(tblBuyerOutputs[#Headers])+1,0,INDEX(tblBuyerOutputs[Cumul Appr],ROW()-ROW(tblBuyerOutputs[#Headers])-1))+tblBuyerOutputs[[#This Row],[Monthly Appr]])</f>
        <v>0</v>
      </c>
      <c r="AF431" s="22"/>
      <c r="AG431" s="14"/>
      <c r="AL431"/>
      <c r="AM431" s="14"/>
      <c r="AO431" s="275"/>
      <c r="AQ431" s="14"/>
      <c r="AR431"/>
    </row>
    <row r="432" spans="1:44" x14ac:dyDescent="0.25">
      <c r="A432" s="590" t="str">
        <f t="shared" si="92"/>
        <v/>
      </c>
      <c r="B432" s="275">
        <f t="shared" si="93"/>
        <v>0</v>
      </c>
      <c r="C432" s="14">
        <f t="shared" si="90"/>
        <v>0</v>
      </c>
      <c r="D432" s="14">
        <f t="shared" si="94"/>
        <v>0</v>
      </c>
      <c r="E432" s="14">
        <f t="shared" si="91"/>
        <v>0</v>
      </c>
      <c r="F432" s="14">
        <f t="shared" si="100"/>
        <v>134.16999999999999</v>
      </c>
      <c r="G432" s="14">
        <f t="shared" si="100"/>
        <v>188.55</v>
      </c>
      <c r="H432" s="14">
        <f t="shared" si="88"/>
        <v>322.72000000000003</v>
      </c>
      <c r="I432" s="275">
        <f t="shared" si="97"/>
        <v>97531.839999999953</v>
      </c>
      <c r="J432" s="275">
        <f t="shared" si="98"/>
        <v>36068.259999999973</v>
      </c>
      <c r="K432" s="275">
        <f t="shared" si="95"/>
        <v>0</v>
      </c>
      <c r="L432" s="386">
        <f t="shared" si="86"/>
        <v>0</v>
      </c>
      <c r="M432" s="386">
        <f t="shared" si="96"/>
        <v>0</v>
      </c>
      <c r="N432" s="590" t="str">
        <f>INDEX(tblSubjectToLoan[Date],ROW()-ROW(tblContractForDeed[#Headers]))</f>
        <v/>
      </c>
      <c r="O432" s="275">
        <f>IF(ROW()=ROW(tblContractForDeed[#Headers])+1,$O$6,IF(INDEX(tblContractForDeed[End Bal],ROW()-ROW(tblContractForDeed[#Headers])-1)&lt;0,0,INDEX(tblContractForDeed[End Bal],ROW()-ROW(tblContractForDeed[#Headers])-1)))</f>
        <v>0</v>
      </c>
      <c r="P432" s="445" t="str">
        <f>IF(tblContractForDeed[[#This Row],[Date]]="","",IF(tblContractForDeed[[#This Row],[Date]]&lt;cfdRateChangeDate,cfdRate1,cfdRate2))</f>
        <v/>
      </c>
      <c r="Q4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75">
        <f>IF(tblContractForDeed[[#This Row],[Payment]]=0,0,MAX(0,MIN(tblContractForDeed[[#This Row],[Beg]],tblContractForDeed[[#This Row],[Payment]]-tblContractForDeed[[#This Row],[Int]])))</f>
        <v>0</v>
      </c>
      <c r="S432" s="275">
        <f>IF(OR(tblContractForDeed[[#This Row],[Date]]&lt;cfdContractDate,tblContractForDeed[[#This Row],[Date]]&gt;cfdEndDate),0,ROUND(tblContractForDeed[[#This Row],[Beg]]*(tblContractForDeed[[#This Row],[Int Rate]]/12),2))</f>
        <v>0</v>
      </c>
      <c r="T432" s="275">
        <f>IF(tblContractForDeed[[#This Row],[Payment]]=0,0,$W$2)</f>
        <v>0</v>
      </c>
      <c r="U432" s="275">
        <f>IF(tblContractForDeed[[#This Row],[Princ]]=0,0,$W$3)</f>
        <v>0</v>
      </c>
      <c r="V432" s="275">
        <f>SUM(tblContractForDeed[[#This Row],[Princ]],tblContractForDeed[[#This Row],[Int]],tblContractForDeed[[#This Row],[Ins]],tblContractForDeed[[#This Row],[Taxes]])</f>
        <v>0</v>
      </c>
      <c r="W432" s="275">
        <f>SUM(INDEX(tblContractForDeed[Princ],1):INDEX(tblContractForDeed[Princ],ROW()-ROW(tblContractForDeed[#Headers])))</f>
        <v>75258.000000000029</v>
      </c>
      <c r="X432" s="275">
        <f>IF(tblContractForDeed[[#This Row],[Beg]]&lt;=0,0,tblContractForDeed[[#This Row],[Beg]]-tblContractForDeed[[#This Row],[Princ]])</f>
        <v>0</v>
      </c>
      <c r="Y43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54">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2" s="275">
        <f>IF(INDEX(tblContractForDeed[End Bal],ROW()-ROW(tblBuyerOutputs[#Headers]))&lt;=0,0,($O$6+IF(ROW()=ROW(tblBuyerOutputs[#Headers])+1,0,INDEX(tblBuyerOutputs[Cumul Appr],ROW()-ROW(tblBuyerOutputs[#Headers])-1)))*$O$2/12)</f>
        <v>0</v>
      </c>
      <c r="AE432" s="275">
        <f>IF(INDEX(tblContractForDeed[End Bal],ROW()-ROW(tblBuyerOutputs[#Headers]))&lt;=0,0,IF(ROW()=ROW(tblBuyerOutputs[#Headers])+1,0,INDEX(tblBuyerOutputs[Cumul Appr],ROW()-ROW(tblBuyerOutputs[#Headers])-1))+tblBuyerOutputs[[#This Row],[Monthly Appr]])</f>
        <v>0</v>
      </c>
      <c r="AF432" s="22"/>
      <c r="AG432" s="14"/>
      <c r="AL432"/>
      <c r="AM432" s="14"/>
      <c r="AO432" s="275"/>
      <c r="AQ432" s="14"/>
      <c r="AR432"/>
    </row>
    <row r="433" spans="1:44" x14ac:dyDescent="0.25">
      <c r="A433" s="590" t="str">
        <f t="shared" si="92"/>
        <v/>
      </c>
      <c r="B433" s="275">
        <f t="shared" si="93"/>
        <v>0</v>
      </c>
      <c r="C433" s="14">
        <f t="shared" si="90"/>
        <v>0</v>
      </c>
      <c r="D433" s="14">
        <f t="shared" si="94"/>
        <v>0</v>
      </c>
      <c r="E433" s="14">
        <f t="shared" si="91"/>
        <v>0</v>
      </c>
      <c r="F433" s="14">
        <f t="shared" si="100"/>
        <v>134.16999999999999</v>
      </c>
      <c r="G433" s="14">
        <f t="shared" si="100"/>
        <v>188.55</v>
      </c>
      <c r="H433" s="14">
        <f t="shared" si="88"/>
        <v>322.72000000000003</v>
      </c>
      <c r="I433" s="275">
        <f t="shared" si="97"/>
        <v>97531.839999999953</v>
      </c>
      <c r="J433" s="275">
        <f t="shared" si="98"/>
        <v>36068.259999999973</v>
      </c>
      <c r="K433" s="275">
        <f t="shared" si="95"/>
        <v>0</v>
      </c>
      <c r="L433" s="386">
        <f t="shared" si="86"/>
        <v>0</v>
      </c>
      <c r="M433" s="386">
        <f t="shared" si="96"/>
        <v>0</v>
      </c>
      <c r="N433" s="590" t="str">
        <f>INDEX(tblSubjectToLoan[Date],ROW()-ROW(tblContractForDeed[#Headers]))</f>
        <v/>
      </c>
      <c r="O433" s="275">
        <f>IF(ROW()=ROW(tblContractForDeed[#Headers])+1,$O$6,IF(INDEX(tblContractForDeed[End Bal],ROW()-ROW(tblContractForDeed[#Headers])-1)&lt;0,0,INDEX(tblContractForDeed[End Bal],ROW()-ROW(tblContractForDeed[#Headers])-1)))</f>
        <v>0</v>
      </c>
      <c r="P433" s="445" t="str">
        <f>IF(tblContractForDeed[[#This Row],[Date]]="","",IF(tblContractForDeed[[#This Row],[Date]]&lt;cfdRateChangeDate,cfdRate1,cfdRate2))</f>
        <v/>
      </c>
      <c r="Q4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75">
        <f>IF(tblContractForDeed[[#This Row],[Payment]]=0,0,MAX(0,MIN(tblContractForDeed[[#This Row],[Beg]],tblContractForDeed[[#This Row],[Payment]]-tblContractForDeed[[#This Row],[Int]])))</f>
        <v>0</v>
      </c>
      <c r="S433" s="275">
        <f>IF(OR(tblContractForDeed[[#This Row],[Date]]&lt;cfdContractDate,tblContractForDeed[[#This Row],[Date]]&gt;cfdEndDate),0,ROUND(tblContractForDeed[[#This Row],[Beg]]*(tblContractForDeed[[#This Row],[Int Rate]]/12),2))</f>
        <v>0</v>
      </c>
      <c r="T433" s="275">
        <f>IF(tblContractForDeed[[#This Row],[Payment]]=0,0,$W$2)</f>
        <v>0</v>
      </c>
      <c r="U433" s="275">
        <f>IF(tblContractForDeed[[#This Row],[Princ]]=0,0,$W$3)</f>
        <v>0</v>
      </c>
      <c r="V433" s="275">
        <f>SUM(tblContractForDeed[[#This Row],[Princ]],tblContractForDeed[[#This Row],[Int]],tblContractForDeed[[#This Row],[Ins]],tblContractForDeed[[#This Row],[Taxes]])</f>
        <v>0</v>
      </c>
      <c r="W433" s="275">
        <f>SUM(INDEX(tblContractForDeed[Princ],1):INDEX(tblContractForDeed[Princ],ROW()-ROW(tblContractForDeed[#Headers])))</f>
        <v>75258.000000000029</v>
      </c>
      <c r="X433" s="275">
        <f>IF(tblContractForDeed[[#This Row],[Beg]]&lt;=0,0,tblContractForDeed[[#This Row],[Beg]]-tblContractForDeed[[#This Row],[Princ]])</f>
        <v>0</v>
      </c>
      <c r="Y43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54">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3" s="275">
        <f>IF(INDEX(tblContractForDeed[End Bal],ROW()-ROW(tblBuyerOutputs[#Headers]))&lt;=0,0,($O$6+IF(ROW()=ROW(tblBuyerOutputs[#Headers])+1,0,INDEX(tblBuyerOutputs[Cumul Appr],ROW()-ROW(tblBuyerOutputs[#Headers])-1)))*$O$2/12)</f>
        <v>0</v>
      </c>
      <c r="AE433" s="275">
        <f>IF(INDEX(tblContractForDeed[End Bal],ROW()-ROW(tblBuyerOutputs[#Headers]))&lt;=0,0,IF(ROW()=ROW(tblBuyerOutputs[#Headers])+1,0,INDEX(tblBuyerOutputs[Cumul Appr],ROW()-ROW(tblBuyerOutputs[#Headers])-1))+tblBuyerOutputs[[#This Row],[Monthly Appr]])</f>
        <v>0</v>
      </c>
      <c r="AF433" s="22"/>
      <c r="AG433" s="14"/>
      <c r="AL433"/>
      <c r="AM433" s="14"/>
      <c r="AO433" s="275"/>
      <c r="AQ433" s="14"/>
      <c r="AR433"/>
    </row>
    <row r="434" spans="1:44" x14ac:dyDescent="0.25">
      <c r="A434" s="590" t="str">
        <f t="shared" si="92"/>
        <v/>
      </c>
      <c r="B434" s="275">
        <f t="shared" si="93"/>
        <v>0</v>
      </c>
      <c r="C434" s="14">
        <f t="shared" si="90"/>
        <v>0</v>
      </c>
      <c r="D434" s="14">
        <f t="shared" si="94"/>
        <v>0</v>
      </c>
      <c r="E434" s="14">
        <f t="shared" si="91"/>
        <v>0</v>
      </c>
      <c r="F434" s="14">
        <f t="shared" si="100"/>
        <v>134.16999999999999</v>
      </c>
      <c r="G434" s="14">
        <f t="shared" si="100"/>
        <v>188.55</v>
      </c>
      <c r="H434" s="14">
        <f t="shared" si="88"/>
        <v>322.72000000000003</v>
      </c>
      <c r="I434" s="275">
        <f t="shared" si="97"/>
        <v>97531.839999999953</v>
      </c>
      <c r="J434" s="275">
        <f t="shared" si="98"/>
        <v>36068.259999999973</v>
      </c>
      <c r="K434" s="275">
        <f t="shared" si="95"/>
        <v>0</v>
      </c>
      <c r="L434" s="386">
        <f t="shared" si="86"/>
        <v>0</v>
      </c>
      <c r="M434" s="386">
        <f t="shared" si="96"/>
        <v>0</v>
      </c>
      <c r="N434" s="590" t="str">
        <f>INDEX(tblSubjectToLoan[Date],ROW()-ROW(tblContractForDeed[#Headers]))</f>
        <v/>
      </c>
      <c r="O434" s="275">
        <f>IF(ROW()=ROW(tblContractForDeed[#Headers])+1,$O$6,IF(INDEX(tblContractForDeed[End Bal],ROW()-ROW(tblContractForDeed[#Headers])-1)&lt;0,0,INDEX(tblContractForDeed[End Bal],ROW()-ROW(tblContractForDeed[#Headers])-1)))</f>
        <v>0</v>
      </c>
      <c r="P434" s="445" t="str">
        <f>IF(tblContractForDeed[[#This Row],[Date]]="","",IF(tblContractForDeed[[#This Row],[Date]]&lt;cfdRateChangeDate,cfdRate1,cfdRate2))</f>
        <v/>
      </c>
      <c r="Q4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75">
        <f>IF(tblContractForDeed[[#This Row],[Payment]]=0,0,MAX(0,MIN(tblContractForDeed[[#This Row],[Beg]],tblContractForDeed[[#This Row],[Payment]]-tblContractForDeed[[#This Row],[Int]])))</f>
        <v>0</v>
      </c>
      <c r="S434" s="275">
        <f>IF(OR(tblContractForDeed[[#This Row],[Date]]&lt;cfdContractDate,tblContractForDeed[[#This Row],[Date]]&gt;cfdEndDate),0,ROUND(tblContractForDeed[[#This Row],[Beg]]*(tblContractForDeed[[#This Row],[Int Rate]]/12),2))</f>
        <v>0</v>
      </c>
      <c r="T434" s="275">
        <f>IF(tblContractForDeed[[#This Row],[Payment]]=0,0,$W$2)</f>
        <v>0</v>
      </c>
      <c r="U434" s="275">
        <f>IF(tblContractForDeed[[#This Row],[Princ]]=0,0,$W$3)</f>
        <v>0</v>
      </c>
      <c r="V434" s="275">
        <f>SUM(tblContractForDeed[[#This Row],[Princ]],tblContractForDeed[[#This Row],[Int]],tblContractForDeed[[#This Row],[Ins]],tblContractForDeed[[#This Row],[Taxes]])</f>
        <v>0</v>
      </c>
      <c r="W434" s="275">
        <f>SUM(INDEX(tblContractForDeed[Princ],1):INDEX(tblContractForDeed[Princ],ROW()-ROW(tblContractForDeed[#Headers])))</f>
        <v>75258.000000000029</v>
      </c>
      <c r="X434" s="275">
        <f>IF(tblContractForDeed[[#This Row],[Beg]]&lt;=0,0,tblContractForDeed[[#This Row],[Beg]]-tblContractForDeed[[#This Row],[Princ]])</f>
        <v>0</v>
      </c>
      <c r="Y43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54">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4" s="275">
        <f>IF(INDEX(tblContractForDeed[End Bal],ROW()-ROW(tblBuyerOutputs[#Headers]))&lt;=0,0,($O$6+IF(ROW()=ROW(tblBuyerOutputs[#Headers])+1,0,INDEX(tblBuyerOutputs[Cumul Appr],ROW()-ROW(tblBuyerOutputs[#Headers])-1)))*$O$2/12)</f>
        <v>0</v>
      </c>
      <c r="AE434" s="275">
        <f>IF(INDEX(tblContractForDeed[End Bal],ROW()-ROW(tblBuyerOutputs[#Headers]))&lt;=0,0,IF(ROW()=ROW(tblBuyerOutputs[#Headers])+1,0,INDEX(tblBuyerOutputs[Cumul Appr],ROW()-ROW(tblBuyerOutputs[#Headers])-1))+tblBuyerOutputs[[#This Row],[Monthly Appr]])</f>
        <v>0</v>
      </c>
      <c r="AF434" s="22"/>
      <c r="AG434" s="14"/>
      <c r="AL434"/>
      <c r="AM434" s="14"/>
      <c r="AO434" s="275"/>
      <c r="AQ434" s="14"/>
      <c r="AR434"/>
    </row>
    <row r="435" spans="1:44" x14ac:dyDescent="0.25">
      <c r="A435" s="590" t="str">
        <f t="shared" si="92"/>
        <v/>
      </c>
      <c r="B435" s="275">
        <f t="shared" si="93"/>
        <v>0</v>
      </c>
      <c r="C435" s="14">
        <f t="shared" si="90"/>
        <v>0</v>
      </c>
      <c r="D435" s="14">
        <f t="shared" si="94"/>
        <v>0</v>
      </c>
      <c r="E435" s="14">
        <f t="shared" si="91"/>
        <v>0</v>
      </c>
      <c r="F435" s="14">
        <f t="shared" si="100"/>
        <v>134.16999999999999</v>
      </c>
      <c r="G435" s="14">
        <f t="shared" si="100"/>
        <v>188.55</v>
      </c>
      <c r="H435" s="14">
        <f t="shared" si="88"/>
        <v>322.72000000000003</v>
      </c>
      <c r="I435" s="275">
        <f t="shared" si="97"/>
        <v>97531.839999999953</v>
      </c>
      <c r="J435" s="275">
        <f t="shared" si="98"/>
        <v>36068.259999999973</v>
      </c>
      <c r="K435" s="275">
        <f t="shared" si="95"/>
        <v>0</v>
      </c>
      <c r="L435" s="386">
        <f t="shared" si="86"/>
        <v>0</v>
      </c>
      <c r="M435" s="386">
        <f t="shared" si="96"/>
        <v>0</v>
      </c>
      <c r="N435" s="590" t="str">
        <f>INDEX(tblSubjectToLoan[Date],ROW()-ROW(tblContractForDeed[#Headers]))</f>
        <v/>
      </c>
      <c r="O435" s="275">
        <f>IF(ROW()=ROW(tblContractForDeed[#Headers])+1,$O$6,IF(INDEX(tblContractForDeed[End Bal],ROW()-ROW(tblContractForDeed[#Headers])-1)&lt;0,0,INDEX(tblContractForDeed[End Bal],ROW()-ROW(tblContractForDeed[#Headers])-1)))</f>
        <v>0</v>
      </c>
      <c r="P435" s="445" t="str">
        <f>IF(tblContractForDeed[[#This Row],[Date]]="","",IF(tblContractForDeed[[#This Row],[Date]]&lt;cfdRateChangeDate,cfdRate1,cfdRate2))</f>
        <v/>
      </c>
      <c r="Q43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75">
        <f>IF(tblContractForDeed[[#This Row],[Payment]]=0,0,MAX(0,MIN(tblContractForDeed[[#This Row],[Beg]],tblContractForDeed[[#This Row],[Payment]]-tblContractForDeed[[#This Row],[Int]])))</f>
        <v>0</v>
      </c>
      <c r="S435" s="275">
        <f>IF(OR(tblContractForDeed[[#This Row],[Date]]&lt;cfdContractDate,tblContractForDeed[[#This Row],[Date]]&gt;cfdEndDate),0,ROUND(tblContractForDeed[[#This Row],[Beg]]*(tblContractForDeed[[#This Row],[Int Rate]]/12),2))</f>
        <v>0</v>
      </c>
      <c r="T435" s="275">
        <f>IF(tblContractForDeed[[#This Row],[Payment]]=0,0,$W$2)</f>
        <v>0</v>
      </c>
      <c r="U435" s="275">
        <f>IF(tblContractForDeed[[#This Row],[Princ]]=0,0,$W$3)</f>
        <v>0</v>
      </c>
      <c r="V435" s="275">
        <f>SUM(tblContractForDeed[[#This Row],[Princ]],tblContractForDeed[[#This Row],[Int]],tblContractForDeed[[#This Row],[Ins]],tblContractForDeed[[#This Row],[Taxes]])</f>
        <v>0</v>
      </c>
      <c r="W435" s="275">
        <f>SUM(INDEX(tblContractForDeed[Princ],1):INDEX(tblContractForDeed[Princ],ROW()-ROW(tblContractForDeed[#Headers])))</f>
        <v>75258.000000000029</v>
      </c>
      <c r="X435" s="275">
        <f>IF(tblContractForDeed[[#This Row],[Beg]]&lt;=0,0,tblContractForDeed[[#This Row],[Beg]]-tblContractForDeed[[#This Row],[Princ]])</f>
        <v>0</v>
      </c>
      <c r="Y43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54">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5" s="275">
        <f>IF(INDEX(tblContractForDeed[End Bal],ROW()-ROW(tblBuyerOutputs[#Headers]))&lt;=0,0,($O$6+IF(ROW()=ROW(tblBuyerOutputs[#Headers])+1,0,INDEX(tblBuyerOutputs[Cumul Appr],ROW()-ROW(tblBuyerOutputs[#Headers])-1)))*$O$2/12)</f>
        <v>0</v>
      </c>
      <c r="AE435" s="275">
        <f>IF(INDEX(tblContractForDeed[End Bal],ROW()-ROW(tblBuyerOutputs[#Headers]))&lt;=0,0,IF(ROW()=ROW(tblBuyerOutputs[#Headers])+1,0,INDEX(tblBuyerOutputs[Cumul Appr],ROW()-ROW(tblBuyerOutputs[#Headers])-1))+tblBuyerOutputs[[#This Row],[Monthly Appr]])</f>
        <v>0</v>
      </c>
      <c r="AF435" s="22"/>
      <c r="AG435" s="14"/>
      <c r="AL435"/>
      <c r="AM435" s="14"/>
      <c r="AO435" s="275"/>
      <c r="AQ435" s="14"/>
      <c r="AR435"/>
    </row>
    <row r="436" spans="1:44" x14ac:dyDescent="0.25">
      <c r="A436" s="590" t="str">
        <f t="shared" si="92"/>
        <v/>
      </c>
      <c r="B436" s="275">
        <f t="shared" si="93"/>
        <v>0</v>
      </c>
      <c r="C436" s="14">
        <f t="shared" si="90"/>
        <v>0</v>
      </c>
      <c r="D436" s="14">
        <f t="shared" si="94"/>
        <v>0</v>
      </c>
      <c r="E436" s="14">
        <f t="shared" si="91"/>
        <v>0</v>
      </c>
      <c r="F436" s="14">
        <f t="shared" si="100"/>
        <v>134.16999999999999</v>
      </c>
      <c r="G436" s="14">
        <f t="shared" si="100"/>
        <v>188.55</v>
      </c>
      <c r="H436" s="14">
        <f t="shared" si="88"/>
        <v>322.72000000000003</v>
      </c>
      <c r="I436" s="275">
        <f t="shared" si="97"/>
        <v>97531.839999999953</v>
      </c>
      <c r="J436" s="275">
        <f t="shared" si="98"/>
        <v>36068.259999999973</v>
      </c>
      <c r="K436" s="275">
        <f t="shared" si="95"/>
        <v>0</v>
      </c>
      <c r="L436" s="386">
        <f t="shared" ref="L436:L499" si="101">IF(MOD(M436,12)=0,M436/12,L435)</f>
        <v>0</v>
      </c>
      <c r="M436" s="386">
        <f t="shared" si="96"/>
        <v>0</v>
      </c>
      <c r="N436" s="590" t="str">
        <f>INDEX(tblSubjectToLoan[Date],ROW()-ROW(tblContractForDeed[#Headers]))</f>
        <v/>
      </c>
      <c r="O436" s="275">
        <f>IF(ROW()=ROW(tblContractForDeed[#Headers])+1,$O$6,IF(INDEX(tblContractForDeed[End Bal],ROW()-ROW(tblContractForDeed[#Headers])-1)&lt;0,0,INDEX(tblContractForDeed[End Bal],ROW()-ROW(tblContractForDeed[#Headers])-1)))</f>
        <v>0</v>
      </c>
      <c r="P436" s="445" t="str">
        <f>IF(tblContractForDeed[[#This Row],[Date]]="","",IF(tblContractForDeed[[#This Row],[Date]]&lt;cfdRateChangeDate,cfdRate1,cfdRate2))</f>
        <v/>
      </c>
      <c r="Q4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75">
        <f>IF(tblContractForDeed[[#This Row],[Payment]]=0,0,MAX(0,MIN(tblContractForDeed[[#This Row],[Beg]],tblContractForDeed[[#This Row],[Payment]]-tblContractForDeed[[#This Row],[Int]])))</f>
        <v>0</v>
      </c>
      <c r="S436" s="275">
        <f>IF(OR(tblContractForDeed[[#This Row],[Date]]&lt;cfdContractDate,tblContractForDeed[[#This Row],[Date]]&gt;cfdEndDate),0,ROUND(tblContractForDeed[[#This Row],[Beg]]*(tblContractForDeed[[#This Row],[Int Rate]]/12),2))</f>
        <v>0</v>
      </c>
      <c r="T436" s="275">
        <f>IF(tblContractForDeed[[#This Row],[Payment]]=0,0,$W$2)</f>
        <v>0</v>
      </c>
      <c r="U436" s="275">
        <f>IF(tblContractForDeed[[#This Row],[Princ]]=0,0,$W$3)</f>
        <v>0</v>
      </c>
      <c r="V436" s="275">
        <f>SUM(tblContractForDeed[[#This Row],[Princ]],tblContractForDeed[[#This Row],[Int]],tblContractForDeed[[#This Row],[Ins]],tblContractForDeed[[#This Row],[Taxes]])</f>
        <v>0</v>
      </c>
      <c r="W436" s="275">
        <f>SUM(INDEX(tblContractForDeed[Princ],1):INDEX(tblContractForDeed[Princ],ROW()-ROW(tblContractForDeed[#Headers])))</f>
        <v>75258.000000000029</v>
      </c>
      <c r="X436" s="275">
        <f>IF(tblContractForDeed[[#This Row],[Beg]]&lt;=0,0,tblContractForDeed[[#This Row],[Beg]]-tblContractForDeed[[#This Row],[Princ]])</f>
        <v>0</v>
      </c>
      <c r="Y43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54">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6" s="275">
        <f>IF(INDEX(tblContractForDeed[End Bal],ROW()-ROW(tblBuyerOutputs[#Headers]))&lt;=0,0,($O$6+IF(ROW()=ROW(tblBuyerOutputs[#Headers])+1,0,INDEX(tblBuyerOutputs[Cumul Appr],ROW()-ROW(tblBuyerOutputs[#Headers])-1)))*$O$2/12)</f>
        <v>0</v>
      </c>
      <c r="AE436" s="275">
        <f>IF(INDEX(tblContractForDeed[End Bal],ROW()-ROW(tblBuyerOutputs[#Headers]))&lt;=0,0,IF(ROW()=ROW(tblBuyerOutputs[#Headers])+1,0,INDEX(tblBuyerOutputs[Cumul Appr],ROW()-ROW(tblBuyerOutputs[#Headers])-1))+tblBuyerOutputs[[#This Row],[Monthly Appr]])</f>
        <v>0</v>
      </c>
      <c r="AF436" s="22"/>
      <c r="AG436" s="14"/>
      <c r="AL436"/>
      <c r="AM436" s="14"/>
      <c r="AO436" s="275"/>
      <c r="AQ436" s="14"/>
      <c r="AR436"/>
    </row>
    <row r="437" spans="1:44" x14ac:dyDescent="0.25">
      <c r="A437" s="590" t="str">
        <f t="shared" si="92"/>
        <v/>
      </c>
      <c r="B437" s="275">
        <f t="shared" si="93"/>
        <v>0</v>
      </c>
      <c r="C437" s="14">
        <f t="shared" si="90"/>
        <v>0</v>
      </c>
      <c r="D437" s="14">
        <f t="shared" si="94"/>
        <v>0</v>
      </c>
      <c r="E437" s="14">
        <f t="shared" si="91"/>
        <v>0</v>
      </c>
      <c r="F437" s="14">
        <f t="shared" si="100"/>
        <v>134.16999999999999</v>
      </c>
      <c r="G437" s="14">
        <f t="shared" si="100"/>
        <v>188.55</v>
      </c>
      <c r="H437" s="14">
        <f t="shared" si="88"/>
        <v>322.72000000000003</v>
      </c>
      <c r="I437" s="275">
        <f t="shared" si="97"/>
        <v>97531.839999999953</v>
      </c>
      <c r="J437" s="275">
        <f t="shared" si="98"/>
        <v>36068.259999999973</v>
      </c>
      <c r="K437" s="275">
        <f t="shared" si="95"/>
        <v>0</v>
      </c>
      <c r="L437" s="386">
        <f t="shared" si="101"/>
        <v>0</v>
      </c>
      <c r="M437" s="386">
        <f t="shared" si="96"/>
        <v>0</v>
      </c>
      <c r="N437" s="590" t="str">
        <f>INDEX(tblSubjectToLoan[Date],ROW()-ROW(tblContractForDeed[#Headers]))</f>
        <v/>
      </c>
      <c r="O437" s="275">
        <f>IF(ROW()=ROW(tblContractForDeed[#Headers])+1,$O$6,IF(INDEX(tblContractForDeed[End Bal],ROW()-ROW(tblContractForDeed[#Headers])-1)&lt;0,0,INDEX(tblContractForDeed[End Bal],ROW()-ROW(tblContractForDeed[#Headers])-1)))</f>
        <v>0</v>
      </c>
      <c r="P437" s="445" t="str">
        <f>IF(tblContractForDeed[[#This Row],[Date]]="","",IF(tblContractForDeed[[#This Row],[Date]]&lt;cfdRateChangeDate,cfdRate1,cfdRate2))</f>
        <v/>
      </c>
      <c r="Q4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75">
        <f>IF(tblContractForDeed[[#This Row],[Payment]]=0,0,MAX(0,MIN(tblContractForDeed[[#This Row],[Beg]],tblContractForDeed[[#This Row],[Payment]]-tblContractForDeed[[#This Row],[Int]])))</f>
        <v>0</v>
      </c>
      <c r="S437" s="275">
        <f>IF(OR(tblContractForDeed[[#This Row],[Date]]&lt;cfdContractDate,tblContractForDeed[[#This Row],[Date]]&gt;cfdEndDate),0,ROUND(tblContractForDeed[[#This Row],[Beg]]*(tblContractForDeed[[#This Row],[Int Rate]]/12),2))</f>
        <v>0</v>
      </c>
      <c r="T437" s="275">
        <f>IF(tblContractForDeed[[#This Row],[Payment]]=0,0,$W$2)</f>
        <v>0</v>
      </c>
      <c r="U437" s="275">
        <f>IF(tblContractForDeed[[#This Row],[Princ]]=0,0,$W$3)</f>
        <v>0</v>
      </c>
      <c r="V437" s="275">
        <f>SUM(tblContractForDeed[[#This Row],[Princ]],tblContractForDeed[[#This Row],[Int]],tblContractForDeed[[#This Row],[Ins]],tblContractForDeed[[#This Row],[Taxes]])</f>
        <v>0</v>
      </c>
      <c r="W437" s="275">
        <f>SUM(INDEX(tblContractForDeed[Princ],1):INDEX(tblContractForDeed[Princ],ROW()-ROW(tblContractForDeed[#Headers])))</f>
        <v>75258.000000000029</v>
      </c>
      <c r="X437" s="275">
        <f>IF(tblContractForDeed[[#This Row],[Beg]]&lt;=0,0,tblContractForDeed[[#This Row],[Beg]]-tblContractForDeed[[#This Row],[Princ]])</f>
        <v>0</v>
      </c>
      <c r="Y43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54">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7" s="275">
        <f>IF(INDEX(tblContractForDeed[End Bal],ROW()-ROW(tblBuyerOutputs[#Headers]))&lt;=0,0,($O$6+IF(ROW()=ROW(tblBuyerOutputs[#Headers])+1,0,INDEX(tblBuyerOutputs[Cumul Appr],ROW()-ROW(tblBuyerOutputs[#Headers])-1)))*$O$2/12)</f>
        <v>0</v>
      </c>
      <c r="AE437" s="275">
        <f>IF(INDEX(tblContractForDeed[End Bal],ROW()-ROW(tblBuyerOutputs[#Headers]))&lt;=0,0,IF(ROW()=ROW(tblBuyerOutputs[#Headers])+1,0,INDEX(tblBuyerOutputs[Cumul Appr],ROW()-ROW(tblBuyerOutputs[#Headers])-1))+tblBuyerOutputs[[#This Row],[Monthly Appr]])</f>
        <v>0</v>
      </c>
      <c r="AF437" s="22"/>
      <c r="AG437" s="14"/>
      <c r="AL437"/>
      <c r="AM437" s="14"/>
      <c r="AO437" s="275"/>
      <c r="AQ437" s="14"/>
      <c r="AR437"/>
    </row>
    <row r="438" spans="1:44" x14ac:dyDescent="0.25">
      <c r="A438" s="590" t="str">
        <f t="shared" si="92"/>
        <v/>
      </c>
      <c r="B438" s="275">
        <f t="shared" si="93"/>
        <v>0</v>
      </c>
      <c r="C438" s="14">
        <f t="shared" si="90"/>
        <v>0</v>
      </c>
      <c r="D438" s="14">
        <f t="shared" si="94"/>
        <v>0</v>
      </c>
      <c r="E438" s="14">
        <f t="shared" si="91"/>
        <v>0</v>
      </c>
      <c r="F438" s="14">
        <f t="shared" si="100"/>
        <v>134.16999999999999</v>
      </c>
      <c r="G438" s="14">
        <f t="shared" si="100"/>
        <v>188.55</v>
      </c>
      <c r="H438" s="14">
        <f t="shared" si="88"/>
        <v>322.72000000000003</v>
      </c>
      <c r="I438" s="275">
        <f t="shared" si="97"/>
        <v>97531.839999999953</v>
      </c>
      <c r="J438" s="275">
        <f t="shared" si="98"/>
        <v>36068.259999999973</v>
      </c>
      <c r="K438" s="275">
        <f t="shared" si="95"/>
        <v>0</v>
      </c>
      <c r="L438" s="386">
        <f t="shared" si="101"/>
        <v>0</v>
      </c>
      <c r="M438" s="386">
        <f t="shared" si="96"/>
        <v>0</v>
      </c>
      <c r="N438" s="590" t="str">
        <f>INDEX(tblSubjectToLoan[Date],ROW()-ROW(tblContractForDeed[#Headers]))</f>
        <v/>
      </c>
      <c r="O438" s="275">
        <f>IF(ROW()=ROW(tblContractForDeed[#Headers])+1,$O$6,IF(INDEX(tblContractForDeed[End Bal],ROW()-ROW(tblContractForDeed[#Headers])-1)&lt;0,0,INDEX(tblContractForDeed[End Bal],ROW()-ROW(tblContractForDeed[#Headers])-1)))</f>
        <v>0</v>
      </c>
      <c r="P438" s="445" t="str">
        <f>IF(tblContractForDeed[[#This Row],[Date]]="","",IF(tblContractForDeed[[#This Row],[Date]]&lt;cfdRateChangeDate,cfdRate1,cfdRate2))</f>
        <v/>
      </c>
      <c r="Q4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75">
        <f>IF(tblContractForDeed[[#This Row],[Payment]]=0,0,MAX(0,MIN(tblContractForDeed[[#This Row],[Beg]],tblContractForDeed[[#This Row],[Payment]]-tblContractForDeed[[#This Row],[Int]])))</f>
        <v>0</v>
      </c>
      <c r="S438" s="275">
        <f>IF(OR(tblContractForDeed[[#This Row],[Date]]&lt;cfdContractDate,tblContractForDeed[[#This Row],[Date]]&gt;cfdEndDate),0,ROUND(tblContractForDeed[[#This Row],[Beg]]*(tblContractForDeed[[#This Row],[Int Rate]]/12),2))</f>
        <v>0</v>
      </c>
      <c r="T438" s="275">
        <f>IF(tblContractForDeed[[#This Row],[Payment]]=0,0,$W$2)</f>
        <v>0</v>
      </c>
      <c r="U438" s="275">
        <f>IF(tblContractForDeed[[#This Row],[Princ]]=0,0,$W$3)</f>
        <v>0</v>
      </c>
      <c r="V438" s="275">
        <f>SUM(tblContractForDeed[[#This Row],[Princ]],tblContractForDeed[[#This Row],[Int]],tblContractForDeed[[#This Row],[Ins]],tblContractForDeed[[#This Row],[Taxes]])</f>
        <v>0</v>
      </c>
      <c r="W438" s="275">
        <f>SUM(INDEX(tblContractForDeed[Princ],1):INDEX(tblContractForDeed[Princ],ROW()-ROW(tblContractForDeed[#Headers])))</f>
        <v>75258.000000000029</v>
      </c>
      <c r="X438" s="275">
        <f>IF(tblContractForDeed[[#This Row],[Beg]]&lt;=0,0,tblContractForDeed[[#This Row],[Beg]]-tblContractForDeed[[#This Row],[Princ]])</f>
        <v>0</v>
      </c>
      <c r="Y43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54">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8" s="275">
        <f>IF(INDEX(tblContractForDeed[End Bal],ROW()-ROW(tblBuyerOutputs[#Headers]))&lt;=0,0,($O$6+IF(ROW()=ROW(tblBuyerOutputs[#Headers])+1,0,INDEX(tblBuyerOutputs[Cumul Appr],ROW()-ROW(tblBuyerOutputs[#Headers])-1)))*$O$2/12)</f>
        <v>0</v>
      </c>
      <c r="AE438" s="275">
        <f>IF(INDEX(tblContractForDeed[End Bal],ROW()-ROW(tblBuyerOutputs[#Headers]))&lt;=0,0,IF(ROW()=ROW(tblBuyerOutputs[#Headers])+1,0,INDEX(tblBuyerOutputs[Cumul Appr],ROW()-ROW(tblBuyerOutputs[#Headers])-1))+tblBuyerOutputs[[#This Row],[Monthly Appr]])</f>
        <v>0</v>
      </c>
      <c r="AF438" s="22"/>
      <c r="AG438" s="14"/>
      <c r="AL438"/>
      <c r="AM438" s="14"/>
      <c r="AO438" s="275"/>
      <c r="AQ438" s="14"/>
      <c r="AR438"/>
    </row>
    <row r="439" spans="1:44" ht="15.75" thickBot="1" x14ac:dyDescent="0.3">
      <c r="A439" s="591" t="str">
        <f t="shared" si="92"/>
        <v/>
      </c>
      <c r="B439" s="326">
        <f t="shared" si="93"/>
        <v>0</v>
      </c>
      <c r="C439" s="21">
        <f t="shared" si="90"/>
        <v>0</v>
      </c>
      <c r="D439" s="21">
        <f t="shared" si="94"/>
        <v>0</v>
      </c>
      <c r="E439" s="21">
        <f t="shared" si="91"/>
        <v>0</v>
      </c>
      <c r="F439" s="21">
        <f t="shared" si="100"/>
        <v>134.16999999999999</v>
      </c>
      <c r="G439" s="21">
        <f t="shared" si="100"/>
        <v>188.55</v>
      </c>
      <c r="H439" s="21">
        <f t="shared" si="88"/>
        <v>322.72000000000003</v>
      </c>
      <c r="I439" s="326">
        <f t="shared" si="97"/>
        <v>97531.839999999953</v>
      </c>
      <c r="J439" s="326">
        <f t="shared" si="98"/>
        <v>36068.259999999973</v>
      </c>
      <c r="K439" s="326">
        <f t="shared" si="95"/>
        <v>0</v>
      </c>
      <c r="L439" s="387">
        <f t="shared" si="101"/>
        <v>0</v>
      </c>
      <c r="M439" s="387">
        <f t="shared" si="96"/>
        <v>0</v>
      </c>
      <c r="N439" s="591" t="str">
        <f>INDEX(tblSubjectToLoan[Date],ROW()-ROW(tblContractForDeed[#Headers]))</f>
        <v/>
      </c>
      <c r="O439" s="326">
        <f>IF(ROW()=ROW(tblContractForDeed[#Headers])+1,$O$6,IF(INDEX(tblContractForDeed[End Bal],ROW()-ROW(tblContractForDeed[#Headers])-1)&lt;0,0,INDEX(tblContractForDeed[End Bal],ROW()-ROW(tblContractForDeed[#Headers])-1)))</f>
        <v>0</v>
      </c>
      <c r="P439" s="445" t="str">
        <f>IF(tblContractForDeed[[#This Row],[Date]]="","",IF(tblContractForDeed[[#This Row],[Date]]&lt;cfdRateChangeDate,cfdRate1,cfdRate2))</f>
        <v/>
      </c>
      <c r="Q43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26">
        <f>IF(tblContractForDeed[[#This Row],[Payment]]=0,0,MAX(0,MIN(tblContractForDeed[[#This Row],[Beg]],tblContractForDeed[[#This Row],[Payment]]-tblContractForDeed[[#This Row],[Int]])))</f>
        <v>0</v>
      </c>
      <c r="S439" s="326">
        <f>IF(OR(tblContractForDeed[[#This Row],[Date]]&lt;cfdContractDate,tblContractForDeed[[#This Row],[Date]]&gt;cfdEndDate),0,ROUND(tblContractForDeed[[#This Row],[Beg]]*(tblContractForDeed[[#This Row],[Int Rate]]/12),2))</f>
        <v>0</v>
      </c>
      <c r="T439" s="326">
        <f>IF(tblContractForDeed[[#This Row],[Payment]]=0,0,$W$2)</f>
        <v>0</v>
      </c>
      <c r="U439" s="326">
        <f>IF(tblContractForDeed[[#This Row],[Princ]]=0,0,$W$3)</f>
        <v>0</v>
      </c>
      <c r="V439" s="326">
        <f>SUM(tblContractForDeed[[#This Row],[Princ]],tblContractForDeed[[#This Row],[Int]],tblContractForDeed[[#This Row],[Ins]],tblContractForDeed[[#This Row],[Taxes]])</f>
        <v>0</v>
      </c>
      <c r="W439" s="326">
        <f>SUM(INDEX(tblContractForDeed[Princ],1):INDEX(tblContractForDeed[Princ],ROW()-ROW(tblContractForDeed[#Headers])))</f>
        <v>75258.000000000029</v>
      </c>
      <c r="X439" s="326">
        <f>IF(tblContractForDeed[[#This Row],[Beg]]&lt;=0,0,tblContractForDeed[[#This Row],[Beg]]-tblContractForDeed[[#This Row],[Princ]])</f>
        <v>0</v>
      </c>
      <c r="Y43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55">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9" s="326">
        <f>IF(INDEX(tblContractForDeed[End Bal],ROW()-ROW(tblBuyerOutputs[#Headers]))&lt;=0,0,($O$6+IF(ROW()=ROW(tblBuyerOutputs[#Headers])+1,0,INDEX(tblBuyerOutputs[Cumul Appr],ROW()-ROW(tblBuyerOutputs[#Headers])-1)))*$O$2/12)</f>
        <v>0</v>
      </c>
      <c r="AE439" s="326">
        <f>IF(INDEX(tblContractForDeed[End Bal],ROW()-ROW(tblBuyerOutputs[#Headers]))&lt;=0,0,IF(ROW()=ROW(tblBuyerOutputs[#Headers])+1,0,INDEX(tblBuyerOutputs[Cumul Appr],ROW()-ROW(tblBuyerOutputs[#Headers])-1))+tblBuyerOutputs[[#This Row],[Monthly Appr]])</f>
        <v>0</v>
      </c>
      <c r="AF439" s="22"/>
      <c r="AG439" s="14"/>
      <c r="AL439"/>
      <c r="AM439" s="14"/>
      <c r="AO439" s="275"/>
      <c r="AQ439" s="14"/>
      <c r="AR439"/>
    </row>
    <row r="440" spans="1:44" x14ac:dyDescent="0.25">
      <c r="A440" s="590" t="str">
        <f t="shared" si="92"/>
        <v/>
      </c>
      <c r="B440" s="275">
        <f t="shared" si="93"/>
        <v>0</v>
      </c>
      <c r="C440" s="14">
        <f t="shared" si="90"/>
        <v>0</v>
      </c>
      <c r="D440" s="14">
        <f t="shared" si="94"/>
        <v>0</v>
      </c>
      <c r="E440" s="14">
        <f t="shared" si="91"/>
        <v>0</v>
      </c>
      <c r="F440" s="14">
        <f t="shared" si="100"/>
        <v>134.16999999999999</v>
      </c>
      <c r="G440" s="14">
        <f t="shared" si="100"/>
        <v>188.55</v>
      </c>
      <c r="H440" s="14">
        <f t="shared" si="88"/>
        <v>322.72000000000003</v>
      </c>
      <c r="I440" s="275">
        <f t="shared" si="97"/>
        <v>97531.839999999953</v>
      </c>
      <c r="J440" s="275">
        <f t="shared" si="98"/>
        <v>36068.259999999973</v>
      </c>
      <c r="K440" s="275">
        <f t="shared" si="95"/>
        <v>0</v>
      </c>
      <c r="L440" s="386">
        <f t="shared" si="101"/>
        <v>0</v>
      </c>
      <c r="M440" s="386">
        <f t="shared" si="96"/>
        <v>0</v>
      </c>
      <c r="N440" s="590" t="str">
        <f>INDEX(tblSubjectToLoan[Date],ROW()-ROW(tblContractForDeed[#Headers]))</f>
        <v/>
      </c>
      <c r="O440" s="275">
        <f>IF(ROW()=ROW(tblContractForDeed[#Headers])+1,$O$6,IF(INDEX(tblContractForDeed[End Bal],ROW()-ROW(tblContractForDeed[#Headers])-1)&lt;0,0,INDEX(tblContractForDeed[End Bal],ROW()-ROW(tblContractForDeed[#Headers])-1)))</f>
        <v>0</v>
      </c>
      <c r="P440" s="445" t="str">
        <f>IF(tblContractForDeed[[#This Row],[Date]]="","",IF(tblContractForDeed[[#This Row],[Date]]&lt;cfdRateChangeDate,cfdRate1,cfdRate2))</f>
        <v/>
      </c>
      <c r="Q4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75">
        <f>IF(tblContractForDeed[[#This Row],[Payment]]=0,0,MAX(0,MIN(tblContractForDeed[[#This Row],[Beg]],tblContractForDeed[[#This Row],[Payment]]-tblContractForDeed[[#This Row],[Int]])))</f>
        <v>0</v>
      </c>
      <c r="S440" s="275">
        <f>IF(OR(tblContractForDeed[[#This Row],[Date]]&lt;cfdContractDate,tblContractForDeed[[#This Row],[Date]]&gt;cfdEndDate),0,ROUND(tblContractForDeed[[#This Row],[Beg]]*(tblContractForDeed[[#This Row],[Int Rate]]/12),2))</f>
        <v>0</v>
      </c>
      <c r="T440" s="275">
        <f>IF(tblContractForDeed[[#This Row],[Payment]]=0,0,$W$2)</f>
        <v>0</v>
      </c>
      <c r="U440" s="275">
        <f>IF(tblContractForDeed[[#This Row],[Princ]]=0,0,$W$3)</f>
        <v>0</v>
      </c>
      <c r="V440" s="275">
        <f>SUM(tblContractForDeed[[#This Row],[Princ]],tblContractForDeed[[#This Row],[Int]],tblContractForDeed[[#This Row],[Ins]],tblContractForDeed[[#This Row],[Taxes]])</f>
        <v>0</v>
      </c>
      <c r="W440" s="275">
        <f>SUM(INDEX(tblContractForDeed[Princ],1):INDEX(tblContractForDeed[Princ],ROW()-ROW(tblContractForDeed[#Headers])))</f>
        <v>75258.000000000029</v>
      </c>
      <c r="X440" s="275">
        <f>IF(tblContractForDeed[[#This Row],[Beg]]&lt;=0,0,tblContractForDeed[[#This Row],[Beg]]-tblContractForDeed[[#This Row],[Princ]])</f>
        <v>0</v>
      </c>
      <c r="Y44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54">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0" s="275">
        <f>IF(INDEX(tblContractForDeed[End Bal],ROW()-ROW(tblBuyerOutputs[#Headers]))&lt;=0,0,($O$6+IF(ROW()=ROW(tblBuyerOutputs[#Headers])+1,0,INDEX(tblBuyerOutputs[Cumul Appr],ROW()-ROW(tblBuyerOutputs[#Headers])-1)))*$O$2/12)</f>
        <v>0</v>
      </c>
      <c r="AE440" s="275">
        <f>IF(INDEX(tblContractForDeed[End Bal],ROW()-ROW(tblBuyerOutputs[#Headers]))&lt;=0,0,IF(ROW()=ROW(tblBuyerOutputs[#Headers])+1,0,INDEX(tblBuyerOutputs[Cumul Appr],ROW()-ROW(tblBuyerOutputs[#Headers])-1))+tblBuyerOutputs[[#This Row],[Monthly Appr]])</f>
        <v>0</v>
      </c>
      <c r="AF440" s="22"/>
      <c r="AG440" s="14"/>
      <c r="AL440"/>
      <c r="AM440" s="14"/>
      <c r="AO440" s="275"/>
      <c r="AQ440" s="14"/>
      <c r="AR440"/>
    </row>
    <row r="441" spans="1:44" x14ac:dyDescent="0.25">
      <c r="A441" s="590" t="str">
        <f t="shared" si="92"/>
        <v/>
      </c>
      <c r="B441" s="275">
        <f t="shared" si="93"/>
        <v>0</v>
      </c>
      <c r="C441" s="14">
        <f t="shared" si="90"/>
        <v>0</v>
      </c>
      <c r="D441" s="14">
        <f t="shared" si="94"/>
        <v>0</v>
      </c>
      <c r="E441" s="14">
        <f t="shared" si="91"/>
        <v>0</v>
      </c>
      <c r="F441" s="14">
        <f t="shared" si="100"/>
        <v>134.16999999999999</v>
      </c>
      <c r="G441" s="14">
        <f t="shared" si="100"/>
        <v>188.55</v>
      </c>
      <c r="H441" s="14">
        <f t="shared" si="88"/>
        <v>322.72000000000003</v>
      </c>
      <c r="I441" s="275">
        <f t="shared" si="97"/>
        <v>97531.839999999953</v>
      </c>
      <c r="J441" s="275">
        <f t="shared" si="98"/>
        <v>36068.259999999973</v>
      </c>
      <c r="K441" s="275">
        <f t="shared" si="95"/>
        <v>0</v>
      </c>
      <c r="L441" s="386">
        <f t="shared" si="101"/>
        <v>0</v>
      </c>
      <c r="M441" s="386">
        <f t="shared" si="96"/>
        <v>0</v>
      </c>
      <c r="N441" s="590" t="str">
        <f>INDEX(tblSubjectToLoan[Date],ROW()-ROW(tblContractForDeed[#Headers]))</f>
        <v/>
      </c>
      <c r="O441" s="275">
        <f>IF(ROW()=ROW(tblContractForDeed[#Headers])+1,$O$6,IF(INDEX(tblContractForDeed[End Bal],ROW()-ROW(tblContractForDeed[#Headers])-1)&lt;0,0,INDEX(tblContractForDeed[End Bal],ROW()-ROW(tblContractForDeed[#Headers])-1)))</f>
        <v>0</v>
      </c>
      <c r="P441" s="445" t="str">
        <f>IF(tblContractForDeed[[#This Row],[Date]]="","",IF(tblContractForDeed[[#This Row],[Date]]&lt;cfdRateChangeDate,cfdRate1,cfdRate2))</f>
        <v/>
      </c>
      <c r="Q4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75">
        <f>IF(tblContractForDeed[[#This Row],[Payment]]=0,0,MAX(0,MIN(tblContractForDeed[[#This Row],[Beg]],tblContractForDeed[[#This Row],[Payment]]-tblContractForDeed[[#This Row],[Int]])))</f>
        <v>0</v>
      </c>
      <c r="S441" s="275">
        <f>IF(OR(tblContractForDeed[[#This Row],[Date]]&lt;cfdContractDate,tblContractForDeed[[#This Row],[Date]]&gt;cfdEndDate),0,ROUND(tblContractForDeed[[#This Row],[Beg]]*(tblContractForDeed[[#This Row],[Int Rate]]/12),2))</f>
        <v>0</v>
      </c>
      <c r="T441" s="275">
        <f>IF(tblContractForDeed[[#This Row],[Payment]]=0,0,$W$2)</f>
        <v>0</v>
      </c>
      <c r="U441" s="275">
        <f>IF(tblContractForDeed[[#This Row],[Princ]]=0,0,$W$3)</f>
        <v>0</v>
      </c>
      <c r="V441" s="275">
        <f>SUM(tblContractForDeed[[#This Row],[Princ]],tblContractForDeed[[#This Row],[Int]],tblContractForDeed[[#This Row],[Ins]],tblContractForDeed[[#This Row],[Taxes]])</f>
        <v>0</v>
      </c>
      <c r="W441" s="275">
        <f>SUM(INDEX(tblContractForDeed[Princ],1):INDEX(tblContractForDeed[Princ],ROW()-ROW(tblContractForDeed[#Headers])))</f>
        <v>75258.000000000029</v>
      </c>
      <c r="X441" s="275">
        <f>IF(tblContractForDeed[[#This Row],[Beg]]&lt;=0,0,tblContractForDeed[[#This Row],[Beg]]-tblContractForDeed[[#This Row],[Princ]])</f>
        <v>0</v>
      </c>
      <c r="Y44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54">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1" s="275">
        <f>IF(INDEX(tblContractForDeed[End Bal],ROW()-ROW(tblBuyerOutputs[#Headers]))&lt;=0,0,($O$6+IF(ROW()=ROW(tblBuyerOutputs[#Headers])+1,0,INDEX(tblBuyerOutputs[Cumul Appr],ROW()-ROW(tblBuyerOutputs[#Headers])-1)))*$O$2/12)</f>
        <v>0</v>
      </c>
      <c r="AE441" s="275">
        <f>IF(INDEX(tblContractForDeed[End Bal],ROW()-ROW(tblBuyerOutputs[#Headers]))&lt;=0,0,IF(ROW()=ROW(tblBuyerOutputs[#Headers])+1,0,INDEX(tblBuyerOutputs[Cumul Appr],ROW()-ROW(tblBuyerOutputs[#Headers])-1))+tblBuyerOutputs[[#This Row],[Monthly Appr]])</f>
        <v>0</v>
      </c>
      <c r="AF441" s="22"/>
      <c r="AG441" s="14"/>
      <c r="AL441"/>
      <c r="AM441" s="14"/>
      <c r="AO441" s="275"/>
      <c r="AQ441" s="14"/>
      <c r="AR441"/>
    </row>
    <row r="442" spans="1:44" x14ac:dyDescent="0.25">
      <c r="A442" s="590" t="str">
        <f t="shared" si="92"/>
        <v/>
      </c>
      <c r="B442" s="275">
        <f t="shared" si="93"/>
        <v>0</v>
      </c>
      <c r="C442" s="14">
        <f t="shared" si="90"/>
        <v>0</v>
      </c>
      <c r="D442" s="14">
        <f t="shared" si="94"/>
        <v>0</v>
      </c>
      <c r="E442" s="14">
        <f t="shared" si="91"/>
        <v>0</v>
      </c>
      <c r="F442" s="14">
        <f t="shared" si="100"/>
        <v>134.16999999999999</v>
      </c>
      <c r="G442" s="14">
        <f t="shared" si="100"/>
        <v>188.55</v>
      </c>
      <c r="H442" s="14">
        <f t="shared" si="88"/>
        <v>322.72000000000003</v>
      </c>
      <c r="I442" s="275">
        <f t="shared" si="97"/>
        <v>97531.839999999953</v>
      </c>
      <c r="J442" s="275">
        <f t="shared" si="98"/>
        <v>36068.259999999973</v>
      </c>
      <c r="K442" s="275">
        <f t="shared" si="95"/>
        <v>0</v>
      </c>
      <c r="L442" s="386">
        <f t="shared" si="101"/>
        <v>0</v>
      </c>
      <c r="M442" s="386">
        <f t="shared" si="96"/>
        <v>0</v>
      </c>
      <c r="N442" s="590" t="str">
        <f>INDEX(tblSubjectToLoan[Date],ROW()-ROW(tblContractForDeed[#Headers]))</f>
        <v/>
      </c>
      <c r="O442" s="275">
        <f>IF(ROW()=ROW(tblContractForDeed[#Headers])+1,$O$6,IF(INDEX(tblContractForDeed[End Bal],ROW()-ROW(tblContractForDeed[#Headers])-1)&lt;0,0,INDEX(tblContractForDeed[End Bal],ROW()-ROW(tblContractForDeed[#Headers])-1)))</f>
        <v>0</v>
      </c>
      <c r="P442" s="445" t="str">
        <f>IF(tblContractForDeed[[#This Row],[Date]]="","",IF(tblContractForDeed[[#This Row],[Date]]&lt;cfdRateChangeDate,cfdRate1,cfdRate2))</f>
        <v/>
      </c>
      <c r="Q4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75">
        <f>IF(tblContractForDeed[[#This Row],[Payment]]=0,0,MAX(0,MIN(tblContractForDeed[[#This Row],[Beg]],tblContractForDeed[[#This Row],[Payment]]-tblContractForDeed[[#This Row],[Int]])))</f>
        <v>0</v>
      </c>
      <c r="S442" s="275">
        <f>IF(OR(tblContractForDeed[[#This Row],[Date]]&lt;cfdContractDate,tblContractForDeed[[#This Row],[Date]]&gt;cfdEndDate),0,ROUND(tblContractForDeed[[#This Row],[Beg]]*(tblContractForDeed[[#This Row],[Int Rate]]/12),2))</f>
        <v>0</v>
      </c>
      <c r="T442" s="275">
        <f>IF(tblContractForDeed[[#This Row],[Payment]]=0,0,$W$2)</f>
        <v>0</v>
      </c>
      <c r="U442" s="275">
        <f>IF(tblContractForDeed[[#This Row],[Princ]]=0,0,$W$3)</f>
        <v>0</v>
      </c>
      <c r="V442" s="275">
        <f>SUM(tblContractForDeed[[#This Row],[Princ]],tblContractForDeed[[#This Row],[Int]],tblContractForDeed[[#This Row],[Ins]],tblContractForDeed[[#This Row],[Taxes]])</f>
        <v>0</v>
      </c>
      <c r="W442" s="275">
        <f>SUM(INDEX(tblContractForDeed[Princ],1):INDEX(tblContractForDeed[Princ],ROW()-ROW(tblContractForDeed[#Headers])))</f>
        <v>75258.000000000029</v>
      </c>
      <c r="X442" s="275">
        <f>IF(tblContractForDeed[[#This Row],[Beg]]&lt;=0,0,tblContractForDeed[[#This Row],[Beg]]-tblContractForDeed[[#This Row],[Princ]])</f>
        <v>0</v>
      </c>
      <c r="Y44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54">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2" s="275">
        <f>IF(INDEX(tblContractForDeed[End Bal],ROW()-ROW(tblBuyerOutputs[#Headers]))&lt;=0,0,($O$6+IF(ROW()=ROW(tblBuyerOutputs[#Headers])+1,0,INDEX(tblBuyerOutputs[Cumul Appr],ROW()-ROW(tblBuyerOutputs[#Headers])-1)))*$O$2/12)</f>
        <v>0</v>
      </c>
      <c r="AE442" s="275">
        <f>IF(INDEX(tblContractForDeed[End Bal],ROW()-ROW(tblBuyerOutputs[#Headers]))&lt;=0,0,IF(ROW()=ROW(tblBuyerOutputs[#Headers])+1,0,INDEX(tblBuyerOutputs[Cumul Appr],ROW()-ROW(tblBuyerOutputs[#Headers])-1))+tblBuyerOutputs[[#This Row],[Monthly Appr]])</f>
        <v>0</v>
      </c>
      <c r="AF442" s="22"/>
      <c r="AG442" s="14"/>
      <c r="AL442"/>
      <c r="AM442" s="14"/>
      <c r="AO442" s="275"/>
      <c r="AQ442" s="14"/>
      <c r="AR442"/>
    </row>
    <row r="443" spans="1:44" x14ac:dyDescent="0.25">
      <c r="A443" s="590" t="str">
        <f t="shared" si="92"/>
        <v/>
      </c>
      <c r="B443" s="275">
        <f t="shared" si="93"/>
        <v>0</v>
      </c>
      <c r="C443" s="14">
        <f t="shared" si="90"/>
        <v>0</v>
      </c>
      <c r="D443" s="14">
        <f t="shared" si="94"/>
        <v>0</v>
      </c>
      <c r="E443" s="14">
        <f t="shared" si="91"/>
        <v>0</v>
      </c>
      <c r="F443" s="14">
        <f t="shared" si="100"/>
        <v>134.16999999999999</v>
      </c>
      <c r="G443" s="14">
        <f t="shared" si="100"/>
        <v>188.55</v>
      </c>
      <c r="H443" s="14">
        <f t="shared" si="88"/>
        <v>322.72000000000003</v>
      </c>
      <c r="I443" s="275">
        <f t="shared" si="97"/>
        <v>97531.839999999953</v>
      </c>
      <c r="J443" s="275">
        <f t="shared" si="98"/>
        <v>36068.259999999973</v>
      </c>
      <c r="K443" s="275">
        <f t="shared" si="95"/>
        <v>0</v>
      </c>
      <c r="L443" s="386">
        <f t="shared" si="101"/>
        <v>0</v>
      </c>
      <c r="M443" s="386">
        <f t="shared" si="96"/>
        <v>0</v>
      </c>
      <c r="N443" s="590" t="str">
        <f>INDEX(tblSubjectToLoan[Date],ROW()-ROW(tblContractForDeed[#Headers]))</f>
        <v/>
      </c>
      <c r="O443" s="275">
        <f>IF(ROW()=ROW(tblContractForDeed[#Headers])+1,$O$6,IF(INDEX(tblContractForDeed[End Bal],ROW()-ROW(tblContractForDeed[#Headers])-1)&lt;0,0,INDEX(tblContractForDeed[End Bal],ROW()-ROW(tblContractForDeed[#Headers])-1)))</f>
        <v>0</v>
      </c>
      <c r="P443" s="445" t="str">
        <f>IF(tblContractForDeed[[#This Row],[Date]]="","",IF(tblContractForDeed[[#This Row],[Date]]&lt;cfdRateChangeDate,cfdRate1,cfdRate2))</f>
        <v/>
      </c>
      <c r="Q44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75">
        <f>IF(tblContractForDeed[[#This Row],[Payment]]=0,0,MAX(0,MIN(tblContractForDeed[[#This Row],[Beg]],tblContractForDeed[[#This Row],[Payment]]-tblContractForDeed[[#This Row],[Int]])))</f>
        <v>0</v>
      </c>
      <c r="S443" s="275">
        <f>IF(OR(tblContractForDeed[[#This Row],[Date]]&lt;cfdContractDate,tblContractForDeed[[#This Row],[Date]]&gt;cfdEndDate),0,ROUND(tblContractForDeed[[#This Row],[Beg]]*(tblContractForDeed[[#This Row],[Int Rate]]/12),2))</f>
        <v>0</v>
      </c>
      <c r="T443" s="275">
        <f>IF(tblContractForDeed[[#This Row],[Payment]]=0,0,$W$2)</f>
        <v>0</v>
      </c>
      <c r="U443" s="275">
        <f>IF(tblContractForDeed[[#This Row],[Princ]]=0,0,$W$3)</f>
        <v>0</v>
      </c>
      <c r="V443" s="275">
        <f>SUM(tblContractForDeed[[#This Row],[Princ]],tblContractForDeed[[#This Row],[Int]],tblContractForDeed[[#This Row],[Ins]],tblContractForDeed[[#This Row],[Taxes]])</f>
        <v>0</v>
      </c>
      <c r="W443" s="275">
        <f>SUM(INDEX(tblContractForDeed[Princ],1):INDEX(tblContractForDeed[Princ],ROW()-ROW(tblContractForDeed[#Headers])))</f>
        <v>75258.000000000029</v>
      </c>
      <c r="X443" s="275">
        <f>IF(tblContractForDeed[[#This Row],[Beg]]&lt;=0,0,tblContractForDeed[[#This Row],[Beg]]-tblContractForDeed[[#This Row],[Princ]])</f>
        <v>0</v>
      </c>
      <c r="Y44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54">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3" s="275">
        <f>IF(INDEX(tblContractForDeed[End Bal],ROW()-ROW(tblBuyerOutputs[#Headers]))&lt;=0,0,($O$6+IF(ROW()=ROW(tblBuyerOutputs[#Headers])+1,0,INDEX(tblBuyerOutputs[Cumul Appr],ROW()-ROW(tblBuyerOutputs[#Headers])-1)))*$O$2/12)</f>
        <v>0</v>
      </c>
      <c r="AE443" s="275">
        <f>IF(INDEX(tblContractForDeed[End Bal],ROW()-ROW(tblBuyerOutputs[#Headers]))&lt;=0,0,IF(ROW()=ROW(tblBuyerOutputs[#Headers])+1,0,INDEX(tblBuyerOutputs[Cumul Appr],ROW()-ROW(tblBuyerOutputs[#Headers])-1))+tblBuyerOutputs[[#This Row],[Monthly Appr]])</f>
        <v>0</v>
      </c>
      <c r="AF443" s="22"/>
      <c r="AG443" s="14"/>
      <c r="AL443"/>
      <c r="AM443" s="14"/>
      <c r="AO443" s="275"/>
      <c r="AQ443" s="14"/>
      <c r="AR443"/>
    </row>
    <row r="444" spans="1:44" x14ac:dyDescent="0.25">
      <c r="A444" s="590" t="str">
        <f t="shared" si="92"/>
        <v/>
      </c>
      <c r="B444" s="275">
        <f t="shared" si="93"/>
        <v>0</v>
      </c>
      <c r="C444" s="14">
        <f t="shared" si="90"/>
        <v>0</v>
      </c>
      <c r="D444" s="14">
        <f t="shared" si="94"/>
        <v>0</v>
      </c>
      <c r="E444" s="14">
        <f t="shared" si="91"/>
        <v>0</v>
      </c>
      <c r="F444" s="14">
        <f t="shared" si="100"/>
        <v>134.16999999999999</v>
      </c>
      <c r="G444" s="14">
        <f t="shared" si="100"/>
        <v>188.55</v>
      </c>
      <c r="H444" s="14">
        <f t="shared" si="88"/>
        <v>322.72000000000003</v>
      </c>
      <c r="I444" s="275">
        <f t="shared" si="97"/>
        <v>97531.839999999953</v>
      </c>
      <c r="J444" s="275">
        <f t="shared" si="98"/>
        <v>36068.259999999973</v>
      </c>
      <c r="K444" s="275">
        <f t="shared" si="95"/>
        <v>0</v>
      </c>
      <c r="L444" s="386">
        <f t="shared" si="101"/>
        <v>0</v>
      </c>
      <c r="M444" s="386">
        <f t="shared" si="96"/>
        <v>0</v>
      </c>
      <c r="N444" s="590" t="str">
        <f>INDEX(tblSubjectToLoan[Date],ROW()-ROW(tblContractForDeed[#Headers]))</f>
        <v/>
      </c>
      <c r="O444" s="275">
        <f>IF(ROW()=ROW(tblContractForDeed[#Headers])+1,$O$6,IF(INDEX(tblContractForDeed[End Bal],ROW()-ROW(tblContractForDeed[#Headers])-1)&lt;0,0,INDEX(tblContractForDeed[End Bal],ROW()-ROW(tblContractForDeed[#Headers])-1)))</f>
        <v>0</v>
      </c>
      <c r="P444" s="445" t="str">
        <f>IF(tblContractForDeed[[#This Row],[Date]]="","",IF(tblContractForDeed[[#This Row],[Date]]&lt;cfdRateChangeDate,cfdRate1,cfdRate2))</f>
        <v/>
      </c>
      <c r="Q4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75">
        <f>IF(tblContractForDeed[[#This Row],[Payment]]=0,0,MAX(0,MIN(tblContractForDeed[[#This Row],[Beg]],tblContractForDeed[[#This Row],[Payment]]-tblContractForDeed[[#This Row],[Int]])))</f>
        <v>0</v>
      </c>
      <c r="S444" s="275">
        <f>IF(OR(tblContractForDeed[[#This Row],[Date]]&lt;cfdContractDate,tblContractForDeed[[#This Row],[Date]]&gt;cfdEndDate),0,ROUND(tblContractForDeed[[#This Row],[Beg]]*(tblContractForDeed[[#This Row],[Int Rate]]/12),2))</f>
        <v>0</v>
      </c>
      <c r="T444" s="275">
        <f>IF(tblContractForDeed[[#This Row],[Payment]]=0,0,$W$2)</f>
        <v>0</v>
      </c>
      <c r="U444" s="275">
        <f>IF(tblContractForDeed[[#This Row],[Princ]]=0,0,$W$3)</f>
        <v>0</v>
      </c>
      <c r="V444" s="275">
        <f>SUM(tblContractForDeed[[#This Row],[Princ]],tblContractForDeed[[#This Row],[Int]],tblContractForDeed[[#This Row],[Ins]],tblContractForDeed[[#This Row],[Taxes]])</f>
        <v>0</v>
      </c>
      <c r="W444" s="275">
        <f>SUM(INDEX(tblContractForDeed[Princ],1):INDEX(tblContractForDeed[Princ],ROW()-ROW(tblContractForDeed[#Headers])))</f>
        <v>75258.000000000029</v>
      </c>
      <c r="X444" s="275">
        <f>IF(tblContractForDeed[[#This Row],[Beg]]&lt;=0,0,tblContractForDeed[[#This Row],[Beg]]-tblContractForDeed[[#This Row],[Princ]])</f>
        <v>0</v>
      </c>
      <c r="Y44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54">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4" s="275">
        <f>IF(INDEX(tblContractForDeed[End Bal],ROW()-ROW(tblBuyerOutputs[#Headers]))&lt;=0,0,($O$6+IF(ROW()=ROW(tblBuyerOutputs[#Headers])+1,0,INDEX(tblBuyerOutputs[Cumul Appr],ROW()-ROW(tblBuyerOutputs[#Headers])-1)))*$O$2/12)</f>
        <v>0</v>
      </c>
      <c r="AE444" s="275">
        <f>IF(INDEX(tblContractForDeed[End Bal],ROW()-ROW(tblBuyerOutputs[#Headers]))&lt;=0,0,IF(ROW()=ROW(tblBuyerOutputs[#Headers])+1,0,INDEX(tblBuyerOutputs[Cumul Appr],ROW()-ROW(tblBuyerOutputs[#Headers])-1))+tblBuyerOutputs[[#This Row],[Monthly Appr]])</f>
        <v>0</v>
      </c>
      <c r="AF444" s="22"/>
      <c r="AG444" s="14"/>
      <c r="AL444"/>
      <c r="AM444" s="14"/>
      <c r="AO444" s="275"/>
      <c r="AQ444" s="14"/>
      <c r="AR444"/>
    </row>
    <row r="445" spans="1:44" x14ac:dyDescent="0.25">
      <c r="A445" s="590" t="str">
        <f t="shared" si="92"/>
        <v/>
      </c>
      <c r="B445" s="275">
        <f t="shared" si="93"/>
        <v>0</v>
      </c>
      <c r="C445" s="14">
        <f t="shared" si="90"/>
        <v>0</v>
      </c>
      <c r="D445" s="14">
        <f t="shared" si="94"/>
        <v>0</v>
      </c>
      <c r="E445" s="14">
        <f t="shared" si="91"/>
        <v>0</v>
      </c>
      <c r="F445" s="14">
        <f t="shared" si="100"/>
        <v>134.16999999999999</v>
      </c>
      <c r="G445" s="14">
        <f t="shared" si="100"/>
        <v>188.55</v>
      </c>
      <c r="H445" s="14">
        <f t="shared" si="88"/>
        <v>322.72000000000003</v>
      </c>
      <c r="I445" s="275">
        <f t="shared" si="97"/>
        <v>97531.839999999953</v>
      </c>
      <c r="J445" s="275">
        <f t="shared" si="98"/>
        <v>36068.259999999973</v>
      </c>
      <c r="K445" s="275">
        <f t="shared" si="95"/>
        <v>0</v>
      </c>
      <c r="L445" s="386">
        <f t="shared" si="101"/>
        <v>0</v>
      </c>
      <c r="M445" s="386">
        <f t="shared" si="96"/>
        <v>0</v>
      </c>
      <c r="N445" s="590" t="str">
        <f>INDEX(tblSubjectToLoan[Date],ROW()-ROW(tblContractForDeed[#Headers]))</f>
        <v/>
      </c>
      <c r="O445" s="275">
        <f>IF(ROW()=ROW(tblContractForDeed[#Headers])+1,$O$6,IF(INDEX(tblContractForDeed[End Bal],ROW()-ROW(tblContractForDeed[#Headers])-1)&lt;0,0,INDEX(tblContractForDeed[End Bal],ROW()-ROW(tblContractForDeed[#Headers])-1)))</f>
        <v>0</v>
      </c>
      <c r="P445" s="445" t="str">
        <f>IF(tblContractForDeed[[#This Row],[Date]]="","",IF(tblContractForDeed[[#This Row],[Date]]&lt;cfdRateChangeDate,cfdRate1,cfdRate2))</f>
        <v/>
      </c>
      <c r="Q4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75">
        <f>IF(tblContractForDeed[[#This Row],[Payment]]=0,0,MAX(0,MIN(tblContractForDeed[[#This Row],[Beg]],tblContractForDeed[[#This Row],[Payment]]-tblContractForDeed[[#This Row],[Int]])))</f>
        <v>0</v>
      </c>
      <c r="S445" s="275">
        <f>IF(OR(tblContractForDeed[[#This Row],[Date]]&lt;cfdContractDate,tblContractForDeed[[#This Row],[Date]]&gt;cfdEndDate),0,ROUND(tblContractForDeed[[#This Row],[Beg]]*(tblContractForDeed[[#This Row],[Int Rate]]/12),2))</f>
        <v>0</v>
      </c>
      <c r="T445" s="275">
        <f>IF(tblContractForDeed[[#This Row],[Payment]]=0,0,$W$2)</f>
        <v>0</v>
      </c>
      <c r="U445" s="275">
        <f>IF(tblContractForDeed[[#This Row],[Princ]]=0,0,$W$3)</f>
        <v>0</v>
      </c>
      <c r="V445" s="275">
        <f>SUM(tblContractForDeed[[#This Row],[Princ]],tblContractForDeed[[#This Row],[Int]],tblContractForDeed[[#This Row],[Ins]],tblContractForDeed[[#This Row],[Taxes]])</f>
        <v>0</v>
      </c>
      <c r="W445" s="275">
        <f>SUM(INDEX(tblContractForDeed[Princ],1):INDEX(tblContractForDeed[Princ],ROW()-ROW(tblContractForDeed[#Headers])))</f>
        <v>75258.000000000029</v>
      </c>
      <c r="X445" s="275">
        <f>IF(tblContractForDeed[[#This Row],[Beg]]&lt;=0,0,tblContractForDeed[[#This Row],[Beg]]-tblContractForDeed[[#This Row],[Princ]])</f>
        <v>0</v>
      </c>
      <c r="Y44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54">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5" s="275">
        <f>IF(INDEX(tblContractForDeed[End Bal],ROW()-ROW(tblBuyerOutputs[#Headers]))&lt;=0,0,($O$6+IF(ROW()=ROW(tblBuyerOutputs[#Headers])+1,0,INDEX(tblBuyerOutputs[Cumul Appr],ROW()-ROW(tblBuyerOutputs[#Headers])-1)))*$O$2/12)</f>
        <v>0</v>
      </c>
      <c r="AE445" s="275">
        <f>IF(INDEX(tblContractForDeed[End Bal],ROW()-ROW(tblBuyerOutputs[#Headers]))&lt;=0,0,IF(ROW()=ROW(tblBuyerOutputs[#Headers])+1,0,INDEX(tblBuyerOutputs[Cumul Appr],ROW()-ROW(tblBuyerOutputs[#Headers])-1))+tblBuyerOutputs[[#This Row],[Monthly Appr]])</f>
        <v>0</v>
      </c>
      <c r="AF445" s="22"/>
      <c r="AG445" s="14"/>
      <c r="AL445"/>
      <c r="AM445" s="14"/>
      <c r="AO445" s="275"/>
      <c r="AQ445" s="14"/>
      <c r="AR445"/>
    </row>
    <row r="446" spans="1:44" x14ac:dyDescent="0.25">
      <c r="A446" s="590" t="str">
        <f t="shared" si="92"/>
        <v/>
      </c>
      <c r="B446" s="275">
        <f t="shared" si="93"/>
        <v>0</v>
      </c>
      <c r="C446" s="14">
        <f t="shared" si="90"/>
        <v>0</v>
      </c>
      <c r="D446" s="14">
        <f t="shared" si="94"/>
        <v>0</v>
      </c>
      <c r="E446" s="14">
        <f t="shared" si="91"/>
        <v>0</v>
      </c>
      <c r="F446" s="14">
        <f t="shared" si="100"/>
        <v>134.16999999999999</v>
      </c>
      <c r="G446" s="14">
        <f t="shared" si="100"/>
        <v>188.55</v>
      </c>
      <c r="H446" s="14">
        <f t="shared" si="88"/>
        <v>322.72000000000003</v>
      </c>
      <c r="I446" s="275">
        <f t="shared" si="97"/>
        <v>97531.839999999953</v>
      </c>
      <c r="J446" s="275">
        <f t="shared" si="98"/>
        <v>36068.259999999973</v>
      </c>
      <c r="K446" s="275">
        <f t="shared" si="95"/>
        <v>0</v>
      </c>
      <c r="L446" s="386">
        <f t="shared" si="101"/>
        <v>0</v>
      </c>
      <c r="M446" s="386">
        <f t="shared" si="96"/>
        <v>0</v>
      </c>
      <c r="N446" s="590" t="str">
        <f>INDEX(tblSubjectToLoan[Date],ROW()-ROW(tblContractForDeed[#Headers]))</f>
        <v/>
      </c>
      <c r="O446" s="275">
        <f>IF(ROW()=ROW(tblContractForDeed[#Headers])+1,$O$6,IF(INDEX(tblContractForDeed[End Bal],ROW()-ROW(tblContractForDeed[#Headers])-1)&lt;0,0,INDEX(tblContractForDeed[End Bal],ROW()-ROW(tblContractForDeed[#Headers])-1)))</f>
        <v>0</v>
      </c>
      <c r="P446" s="445" t="str">
        <f>IF(tblContractForDeed[[#This Row],[Date]]="","",IF(tblContractForDeed[[#This Row],[Date]]&lt;cfdRateChangeDate,cfdRate1,cfdRate2))</f>
        <v/>
      </c>
      <c r="Q4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75">
        <f>IF(tblContractForDeed[[#This Row],[Payment]]=0,0,MAX(0,MIN(tblContractForDeed[[#This Row],[Beg]],tblContractForDeed[[#This Row],[Payment]]-tblContractForDeed[[#This Row],[Int]])))</f>
        <v>0</v>
      </c>
      <c r="S446" s="275">
        <f>IF(OR(tblContractForDeed[[#This Row],[Date]]&lt;cfdContractDate,tblContractForDeed[[#This Row],[Date]]&gt;cfdEndDate),0,ROUND(tblContractForDeed[[#This Row],[Beg]]*(tblContractForDeed[[#This Row],[Int Rate]]/12),2))</f>
        <v>0</v>
      </c>
      <c r="T446" s="275">
        <f>IF(tblContractForDeed[[#This Row],[Payment]]=0,0,$W$2)</f>
        <v>0</v>
      </c>
      <c r="U446" s="275">
        <f>IF(tblContractForDeed[[#This Row],[Princ]]=0,0,$W$3)</f>
        <v>0</v>
      </c>
      <c r="V446" s="275">
        <f>SUM(tblContractForDeed[[#This Row],[Princ]],tblContractForDeed[[#This Row],[Int]],tblContractForDeed[[#This Row],[Ins]],tblContractForDeed[[#This Row],[Taxes]])</f>
        <v>0</v>
      </c>
      <c r="W446" s="275">
        <f>SUM(INDEX(tblContractForDeed[Princ],1):INDEX(tblContractForDeed[Princ],ROW()-ROW(tblContractForDeed[#Headers])))</f>
        <v>75258.000000000029</v>
      </c>
      <c r="X446" s="275">
        <f>IF(tblContractForDeed[[#This Row],[Beg]]&lt;=0,0,tblContractForDeed[[#This Row],[Beg]]-tblContractForDeed[[#This Row],[Princ]])</f>
        <v>0</v>
      </c>
      <c r="Y44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54">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6" s="275">
        <f>IF(INDEX(tblContractForDeed[End Bal],ROW()-ROW(tblBuyerOutputs[#Headers]))&lt;=0,0,($O$6+IF(ROW()=ROW(tblBuyerOutputs[#Headers])+1,0,INDEX(tblBuyerOutputs[Cumul Appr],ROW()-ROW(tblBuyerOutputs[#Headers])-1)))*$O$2/12)</f>
        <v>0</v>
      </c>
      <c r="AE446" s="275">
        <f>IF(INDEX(tblContractForDeed[End Bal],ROW()-ROW(tblBuyerOutputs[#Headers]))&lt;=0,0,IF(ROW()=ROW(tblBuyerOutputs[#Headers])+1,0,INDEX(tblBuyerOutputs[Cumul Appr],ROW()-ROW(tblBuyerOutputs[#Headers])-1))+tblBuyerOutputs[[#This Row],[Monthly Appr]])</f>
        <v>0</v>
      </c>
      <c r="AF446" s="22"/>
      <c r="AG446" s="14"/>
      <c r="AL446"/>
      <c r="AM446" s="14"/>
      <c r="AO446" s="275"/>
      <c r="AQ446" s="14"/>
      <c r="AR446"/>
    </row>
    <row r="447" spans="1:44" x14ac:dyDescent="0.25">
      <c r="A447" s="590" t="str">
        <f t="shared" si="92"/>
        <v/>
      </c>
      <c r="B447" s="275">
        <f t="shared" si="93"/>
        <v>0</v>
      </c>
      <c r="C447" s="14">
        <f t="shared" si="90"/>
        <v>0</v>
      </c>
      <c r="D447" s="14">
        <f t="shared" si="94"/>
        <v>0</v>
      </c>
      <c r="E447" s="14">
        <f t="shared" si="91"/>
        <v>0</v>
      </c>
      <c r="F447" s="14">
        <f t="shared" ref="F447:G462" si="102">+F446</f>
        <v>134.16999999999999</v>
      </c>
      <c r="G447" s="14">
        <f t="shared" si="102"/>
        <v>188.55</v>
      </c>
      <c r="H447" s="14">
        <f t="shared" si="88"/>
        <v>322.72000000000003</v>
      </c>
      <c r="I447" s="275">
        <f t="shared" si="97"/>
        <v>97531.839999999953</v>
      </c>
      <c r="J447" s="275">
        <f t="shared" si="98"/>
        <v>36068.259999999973</v>
      </c>
      <c r="K447" s="275">
        <f t="shared" si="95"/>
        <v>0</v>
      </c>
      <c r="L447" s="386">
        <f t="shared" si="101"/>
        <v>0</v>
      </c>
      <c r="M447" s="386">
        <f t="shared" si="96"/>
        <v>0</v>
      </c>
      <c r="N447" s="590" t="str">
        <f>INDEX(tblSubjectToLoan[Date],ROW()-ROW(tblContractForDeed[#Headers]))</f>
        <v/>
      </c>
      <c r="O447" s="275">
        <f>IF(ROW()=ROW(tblContractForDeed[#Headers])+1,$O$6,IF(INDEX(tblContractForDeed[End Bal],ROW()-ROW(tblContractForDeed[#Headers])-1)&lt;0,0,INDEX(tblContractForDeed[End Bal],ROW()-ROW(tblContractForDeed[#Headers])-1)))</f>
        <v>0</v>
      </c>
      <c r="P447" s="445" t="str">
        <f>IF(tblContractForDeed[[#This Row],[Date]]="","",IF(tblContractForDeed[[#This Row],[Date]]&lt;cfdRateChangeDate,cfdRate1,cfdRate2))</f>
        <v/>
      </c>
      <c r="Q44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75">
        <f>IF(tblContractForDeed[[#This Row],[Payment]]=0,0,MAX(0,MIN(tblContractForDeed[[#This Row],[Beg]],tblContractForDeed[[#This Row],[Payment]]-tblContractForDeed[[#This Row],[Int]])))</f>
        <v>0</v>
      </c>
      <c r="S447" s="275">
        <f>IF(OR(tblContractForDeed[[#This Row],[Date]]&lt;cfdContractDate,tblContractForDeed[[#This Row],[Date]]&gt;cfdEndDate),0,ROUND(tblContractForDeed[[#This Row],[Beg]]*(tblContractForDeed[[#This Row],[Int Rate]]/12),2))</f>
        <v>0</v>
      </c>
      <c r="T447" s="275">
        <f>IF(tblContractForDeed[[#This Row],[Payment]]=0,0,$W$2)</f>
        <v>0</v>
      </c>
      <c r="U447" s="275">
        <f>IF(tblContractForDeed[[#This Row],[Princ]]=0,0,$W$3)</f>
        <v>0</v>
      </c>
      <c r="V447" s="275">
        <f>SUM(tblContractForDeed[[#This Row],[Princ]],tblContractForDeed[[#This Row],[Int]],tblContractForDeed[[#This Row],[Ins]],tblContractForDeed[[#This Row],[Taxes]])</f>
        <v>0</v>
      </c>
      <c r="W447" s="275">
        <f>SUM(INDEX(tblContractForDeed[Princ],1):INDEX(tblContractForDeed[Princ],ROW()-ROW(tblContractForDeed[#Headers])))</f>
        <v>75258.000000000029</v>
      </c>
      <c r="X447" s="275">
        <f>IF(tblContractForDeed[[#This Row],[Beg]]&lt;=0,0,tblContractForDeed[[#This Row],[Beg]]-tblContractForDeed[[#This Row],[Princ]])</f>
        <v>0</v>
      </c>
      <c r="Y44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54">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7" s="275">
        <f>IF(INDEX(tblContractForDeed[End Bal],ROW()-ROW(tblBuyerOutputs[#Headers]))&lt;=0,0,($O$6+IF(ROW()=ROW(tblBuyerOutputs[#Headers])+1,0,INDEX(tblBuyerOutputs[Cumul Appr],ROW()-ROW(tblBuyerOutputs[#Headers])-1)))*$O$2/12)</f>
        <v>0</v>
      </c>
      <c r="AE447" s="275">
        <f>IF(INDEX(tblContractForDeed[End Bal],ROW()-ROW(tblBuyerOutputs[#Headers]))&lt;=0,0,IF(ROW()=ROW(tblBuyerOutputs[#Headers])+1,0,INDEX(tblBuyerOutputs[Cumul Appr],ROW()-ROW(tblBuyerOutputs[#Headers])-1))+tblBuyerOutputs[[#This Row],[Monthly Appr]])</f>
        <v>0</v>
      </c>
      <c r="AF447" s="22"/>
      <c r="AG447" s="14"/>
      <c r="AL447"/>
      <c r="AM447" s="14"/>
      <c r="AO447" s="275"/>
      <c r="AQ447" s="14"/>
      <c r="AR447"/>
    </row>
    <row r="448" spans="1:44" x14ac:dyDescent="0.25">
      <c r="A448" s="590" t="str">
        <f t="shared" si="92"/>
        <v/>
      </c>
      <c r="B448" s="275">
        <f t="shared" si="93"/>
        <v>0</v>
      </c>
      <c r="C448" s="14">
        <f t="shared" si="90"/>
        <v>0</v>
      </c>
      <c r="D448" s="14">
        <f t="shared" si="94"/>
        <v>0</v>
      </c>
      <c r="E448" s="14">
        <f t="shared" si="91"/>
        <v>0</v>
      </c>
      <c r="F448" s="14">
        <f t="shared" si="102"/>
        <v>134.16999999999999</v>
      </c>
      <c r="G448" s="14">
        <f t="shared" si="102"/>
        <v>188.55</v>
      </c>
      <c r="H448" s="14">
        <f t="shared" ref="H448:H495" si="103">SUM(D448:G448)</f>
        <v>322.72000000000003</v>
      </c>
      <c r="I448" s="275">
        <f t="shared" si="97"/>
        <v>97531.839999999953</v>
      </c>
      <c r="J448" s="275">
        <f t="shared" si="98"/>
        <v>36068.259999999973</v>
      </c>
      <c r="K448" s="275">
        <f t="shared" si="95"/>
        <v>0</v>
      </c>
      <c r="L448" s="386">
        <f t="shared" si="101"/>
        <v>0</v>
      </c>
      <c r="M448" s="386">
        <f t="shared" si="96"/>
        <v>0</v>
      </c>
      <c r="N448" s="590" t="str">
        <f>INDEX(tblSubjectToLoan[Date],ROW()-ROW(tblContractForDeed[#Headers]))</f>
        <v/>
      </c>
      <c r="O448" s="275">
        <f>IF(ROW()=ROW(tblContractForDeed[#Headers])+1,$O$6,IF(INDEX(tblContractForDeed[End Bal],ROW()-ROW(tblContractForDeed[#Headers])-1)&lt;0,0,INDEX(tblContractForDeed[End Bal],ROW()-ROW(tblContractForDeed[#Headers])-1)))</f>
        <v>0</v>
      </c>
      <c r="P448" s="445" t="str">
        <f>IF(tblContractForDeed[[#This Row],[Date]]="","",IF(tblContractForDeed[[#This Row],[Date]]&lt;cfdRateChangeDate,cfdRate1,cfdRate2))</f>
        <v/>
      </c>
      <c r="Q4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75">
        <f>IF(tblContractForDeed[[#This Row],[Payment]]=0,0,MAX(0,MIN(tblContractForDeed[[#This Row],[Beg]],tblContractForDeed[[#This Row],[Payment]]-tblContractForDeed[[#This Row],[Int]])))</f>
        <v>0</v>
      </c>
      <c r="S448" s="275">
        <f>IF(OR(tblContractForDeed[[#This Row],[Date]]&lt;cfdContractDate,tblContractForDeed[[#This Row],[Date]]&gt;cfdEndDate),0,ROUND(tblContractForDeed[[#This Row],[Beg]]*(tblContractForDeed[[#This Row],[Int Rate]]/12),2))</f>
        <v>0</v>
      </c>
      <c r="T448" s="275">
        <f>IF(tblContractForDeed[[#This Row],[Payment]]=0,0,$W$2)</f>
        <v>0</v>
      </c>
      <c r="U448" s="275">
        <f>IF(tblContractForDeed[[#This Row],[Princ]]=0,0,$W$3)</f>
        <v>0</v>
      </c>
      <c r="V448" s="275">
        <f>SUM(tblContractForDeed[[#This Row],[Princ]],tblContractForDeed[[#This Row],[Int]],tblContractForDeed[[#This Row],[Ins]],tblContractForDeed[[#This Row],[Taxes]])</f>
        <v>0</v>
      </c>
      <c r="W448" s="275">
        <f>SUM(INDEX(tblContractForDeed[Princ],1):INDEX(tblContractForDeed[Princ],ROW()-ROW(tblContractForDeed[#Headers])))</f>
        <v>75258.000000000029</v>
      </c>
      <c r="X448" s="275">
        <f>IF(tblContractForDeed[[#This Row],[Beg]]&lt;=0,0,tblContractForDeed[[#This Row],[Beg]]-tblContractForDeed[[#This Row],[Princ]])</f>
        <v>0</v>
      </c>
      <c r="Y44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54">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8" s="275">
        <f>IF(INDEX(tblContractForDeed[End Bal],ROW()-ROW(tblBuyerOutputs[#Headers]))&lt;=0,0,($O$6+IF(ROW()=ROW(tblBuyerOutputs[#Headers])+1,0,INDEX(tblBuyerOutputs[Cumul Appr],ROW()-ROW(tblBuyerOutputs[#Headers])-1)))*$O$2/12)</f>
        <v>0</v>
      </c>
      <c r="AE448" s="275">
        <f>IF(INDEX(tblContractForDeed[End Bal],ROW()-ROW(tblBuyerOutputs[#Headers]))&lt;=0,0,IF(ROW()=ROW(tblBuyerOutputs[#Headers])+1,0,INDEX(tblBuyerOutputs[Cumul Appr],ROW()-ROW(tblBuyerOutputs[#Headers])-1))+tblBuyerOutputs[[#This Row],[Monthly Appr]])</f>
        <v>0</v>
      </c>
      <c r="AF448" s="22"/>
      <c r="AG448" s="14"/>
      <c r="AL448"/>
      <c r="AM448" s="14"/>
      <c r="AO448" s="275"/>
      <c r="AQ448" s="14"/>
      <c r="AR448"/>
    </row>
    <row r="449" spans="1:44" x14ac:dyDescent="0.25">
      <c r="A449" s="590" t="str">
        <f t="shared" si="92"/>
        <v/>
      </c>
      <c r="B449" s="275">
        <f t="shared" si="93"/>
        <v>0</v>
      </c>
      <c r="C449" s="14">
        <f t="shared" si="90"/>
        <v>0</v>
      </c>
      <c r="D449" s="14">
        <f t="shared" si="94"/>
        <v>0</v>
      </c>
      <c r="E449" s="14">
        <f t="shared" si="91"/>
        <v>0</v>
      </c>
      <c r="F449" s="14">
        <f t="shared" si="102"/>
        <v>134.16999999999999</v>
      </c>
      <c r="G449" s="14">
        <f t="shared" si="102"/>
        <v>188.55</v>
      </c>
      <c r="H449" s="14">
        <f t="shared" si="103"/>
        <v>322.72000000000003</v>
      </c>
      <c r="I449" s="275">
        <f t="shared" si="97"/>
        <v>97531.839999999953</v>
      </c>
      <c r="J449" s="275">
        <f t="shared" si="98"/>
        <v>36068.259999999973</v>
      </c>
      <c r="K449" s="275">
        <f t="shared" si="95"/>
        <v>0</v>
      </c>
      <c r="L449" s="386">
        <f t="shared" si="101"/>
        <v>0</v>
      </c>
      <c r="M449" s="386">
        <f t="shared" si="96"/>
        <v>0</v>
      </c>
      <c r="N449" s="590" t="str">
        <f>INDEX(tblSubjectToLoan[Date],ROW()-ROW(tblContractForDeed[#Headers]))</f>
        <v/>
      </c>
      <c r="O449" s="275">
        <f>IF(ROW()=ROW(tblContractForDeed[#Headers])+1,$O$6,IF(INDEX(tblContractForDeed[End Bal],ROW()-ROW(tblContractForDeed[#Headers])-1)&lt;0,0,INDEX(tblContractForDeed[End Bal],ROW()-ROW(tblContractForDeed[#Headers])-1)))</f>
        <v>0</v>
      </c>
      <c r="P449" s="445" t="str">
        <f>IF(tblContractForDeed[[#This Row],[Date]]="","",IF(tblContractForDeed[[#This Row],[Date]]&lt;cfdRateChangeDate,cfdRate1,cfdRate2))</f>
        <v/>
      </c>
      <c r="Q4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75">
        <f>IF(tblContractForDeed[[#This Row],[Payment]]=0,0,MAX(0,MIN(tblContractForDeed[[#This Row],[Beg]],tblContractForDeed[[#This Row],[Payment]]-tblContractForDeed[[#This Row],[Int]])))</f>
        <v>0</v>
      </c>
      <c r="S449" s="275">
        <f>IF(OR(tblContractForDeed[[#This Row],[Date]]&lt;cfdContractDate,tblContractForDeed[[#This Row],[Date]]&gt;cfdEndDate),0,ROUND(tblContractForDeed[[#This Row],[Beg]]*(tblContractForDeed[[#This Row],[Int Rate]]/12),2))</f>
        <v>0</v>
      </c>
      <c r="T449" s="275">
        <f>IF(tblContractForDeed[[#This Row],[Payment]]=0,0,$W$2)</f>
        <v>0</v>
      </c>
      <c r="U449" s="275">
        <f>IF(tblContractForDeed[[#This Row],[Princ]]=0,0,$W$3)</f>
        <v>0</v>
      </c>
      <c r="V449" s="275">
        <f>SUM(tblContractForDeed[[#This Row],[Princ]],tblContractForDeed[[#This Row],[Int]],tblContractForDeed[[#This Row],[Ins]],tblContractForDeed[[#This Row],[Taxes]])</f>
        <v>0</v>
      </c>
      <c r="W449" s="275">
        <f>SUM(INDEX(tblContractForDeed[Princ],1):INDEX(tblContractForDeed[Princ],ROW()-ROW(tblContractForDeed[#Headers])))</f>
        <v>75258.000000000029</v>
      </c>
      <c r="X449" s="275">
        <f>IF(tblContractForDeed[[#This Row],[Beg]]&lt;=0,0,tblContractForDeed[[#This Row],[Beg]]-tblContractForDeed[[#This Row],[Princ]])</f>
        <v>0</v>
      </c>
      <c r="Y44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54">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9" s="275">
        <f>IF(INDEX(tblContractForDeed[End Bal],ROW()-ROW(tblBuyerOutputs[#Headers]))&lt;=0,0,($O$6+IF(ROW()=ROW(tblBuyerOutputs[#Headers])+1,0,INDEX(tblBuyerOutputs[Cumul Appr],ROW()-ROW(tblBuyerOutputs[#Headers])-1)))*$O$2/12)</f>
        <v>0</v>
      </c>
      <c r="AE449" s="275">
        <f>IF(INDEX(tblContractForDeed[End Bal],ROW()-ROW(tblBuyerOutputs[#Headers]))&lt;=0,0,IF(ROW()=ROW(tblBuyerOutputs[#Headers])+1,0,INDEX(tblBuyerOutputs[Cumul Appr],ROW()-ROW(tblBuyerOutputs[#Headers])-1))+tblBuyerOutputs[[#This Row],[Monthly Appr]])</f>
        <v>0</v>
      </c>
      <c r="AF449" s="22"/>
      <c r="AG449" s="14"/>
      <c r="AL449"/>
      <c r="AM449" s="14"/>
      <c r="AO449" s="275"/>
      <c r="AQ449" s="14"/>
      <c r="AR449"/>
    </row>
    <row r="450" spans="1:44" x14ac:dyDescent="0.25">
      <c r="A450" s="590" t="str">
        <f t="shared" si="92"/>
        <v/>
      </c>
      <c r="B450" s="275">
        <f t="shared" si="93"/>
        <v>0</v>
      </c>
      <c r="C450" s="14">
        <f t="shared" si="90"/>
        <v>0</v>
      </c>
      <c r="D450" s="14">
        <f t="shared" si="94"/>
        <v>0</v>
      </c>
      <c r="E450" s="14">
        <f t="shared" si="91"/>
        <v>0</v>
      </c>
      <c r="F450" s="14">
        <f t="shared" si="102"/>
        <v>134.16999999999999</v>
      </c>
      <c r="G450" s="14">
        <f t="shared" si="102"/>
        <v>188.55</v>
      </c>
      <c r="H450" s="14">
        <f t="shared" si="103"/>
        <v>322.72000000000003</v>
      </c>
      <c r="I450" s="275">
        <f t="shared" si="97"/>
        <v>97531.839999999953</v>
      </c>
      <c r="J450" s="275">
        <f t="shared" si="98"/>
        <v>36068.259999999973</v>
      </c>
      <c r="K450" s="275">
        <f t="shared" si="95"/>
        <v>0</v>
      </c>
      <c r="L450" s="386">
        <f t="shared" si="101"/>
        <v>0</v>
      </c>
      <c r="M450" s="386">
        <f t="shared" si="96"/>
        <v>0</v>
      </c>
      <c r="N450" s="590" t="str">
        <f>INDEX(tblSubjectToLoan[Date],ROW()-ROW(tblContractForDeed[#Headers]))</f>
        <v/>
      </c>
      <c r="O450" s="275">
        <f>IF(ROW()=ROW(tblContractForDeed[#Headers])+1,$O$6,IF(INDEX(tblContractForDeed[End Bal],ROW()-ROW(tblContractForDeed[#Headers])-1)&lt;0,0,INDEX(tblContractForDeed[End Bal],ROW()-ROW(tblContractForDeed[#Headers])-1)))</f>
        <v>0</v>
      </c>
      <c r="P450" s="445" t="str">
        <f>IF(tblContractForDeed[[#This Row],[Date]]="","",IF(tblContractForDeed[[#This Row],[Date]]&lt;cfdRateChangeDate,cfdRate1,cfdRate2))</f>
        <v/>
      </c>
      <c r="Q4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75">
        <f>IF(tblContractForDeed[[#This Row],[Payment]]=0,0,MAX(0,MIN(tblContractForDeed[[#This Row],[Beg]],tblContractForDeed[[#This Row],[Payment]]-tblContractForDeed[[#This Row],[Int]])))</f>
        <v>0</v>
      </c>
      <c r="S450" s="275">
        <f>IF(OR(tblContractForDeed[[#This Row],[Date]]&lt;cfdContractDate,tblContractForDeed[[#This Row],[Date]]&gt;cfdEndDate),0,ROUND(tblContractForDeed[[#This Row],[Beg]]*(tblContractForDeed[[#This Row],[Int Rate]]/12),2))</f>
        <v>0</v>
      </c>
      <c r="T450" s="275">
        <f>IF(tblContractForDeed[[#This Row],[Payment]]=0,0,$W$2)</f>
        <v>0</v>
      </c>
      <c r="U450" s="275">
        <f>IF(tblContractForDeed[[#This Row],[Princ]]=0,0,$W$3)</f>
        <v>0</v>
      </c>
      <c r="V450" s="275">
        <f>SUM(tblContractForDeed[[#This Row],[Princ]],tblContractForDeed[[#This Row],[Int]],tblContractForDeed[[#This Row],[Ins]],tblContractForDeed[[#This Row],[Taxes]])</f>
        <v>0</v>
      </c>
      <c r="W450" s="275">
        <f>SUM(INDEX(tblContractForDeed[Princ],1):INDEX(tblContractForDeed[Princ],ROW()-ROW(tblContractForDeed[#Headers])))</f>
        <v>75258.000000000029</v>
      </c>
      <c r="X450" s="275">
        <f>IF(tblContractForDeed[[#This Row],[Beg]]&lt;=0,0,tblContractForDeed[[#This Row],[Beg]]-tblContractForDeed[[#This Row],[Princ]])</f>
        <v>0</v>
      </c>
      <c r="Y45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54">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0" s="275">
        <f>IF(INDEX(tblContractForDeed[End Bal],ROW()-ROW(tblBuyerOutputs[#Headers]))&lt;=0,0,($O$6+IF(ROW()=ROW(tblBuyerOutputs[#Headers])+1,0,INDEX(tblBuyerOutputs[Cumul Appr],ROW()-ROW(tblBuyerOutputs[#Headers])-1)))*$O$2/12)</f>
        <v>0</v>
      </c>
      <c r="AE450" s="275">
        <f>IF(INDEX(tblContractForDeed[End Bal],ROW()-ROW(tblBuyerOutputs[#Headers]))&lt;=0,0,IF(ROW()=ROW(tblBuyerOutputs[#Headers])+1,0,INDEX(tblBuyerOutputs[Cumul Appr],ROW()-ROW(tblBuyerOutputs[#Headers])-1))+tblBuyerOutputs[[#This Row],[Monthly Appr]])</f>
        <v>0</v>
      </c>
      <c r="AF450" s="22"/>
      <c r="AG450" s="14"/>
      <c r="AL450"/>
      <c r="AM450" s="14"/>
      <c r="AO450" s="275"/>
      <c r="AQ450" s="14"/>
      <c r="AR450"/>
    </row>
    <row r="451" spans="1:44" ht="15.75" thickBot="1" x14ac:dyDescent="0.3">
      <c r="A451" s="591" t="str">
        <f t="shared" si="92"/>
        <v/>
      </c>
      <c r="B451" s="326">
        <f t="shared" si="93"/>
        <v>0</v>
      </c>
      <c r="C451" s="21">
        <f t="shared" si="90"/>
        <v>0</v>
      </c>
      <c r="D451" s="21">
        <f t="shared" si="94"/>
        <v>0</v>
      </c>
      <c r="E451" s="21">
        <f t="shared" si="91"/>
        <v>0</v>
      </c>
      <c r="F451" s="21">
        <f t="shared" si="102"/>
        <v>134.16999999999999</v>
      </c>
      <c r="G451" s="21">
        <f t="shared" si="102"/>
        <v>188.55</v>
      </c>
      <c r="H451" s="21">
        <f t="shared" si="103"/>
        <v>322.72000000000003</v>
      </c>
      <c r="I451" s="326">
        <f t="shared" si="97"/>
        <v>97531.839999999953</v>
      </c>
      <c r="J451" s="326">
        <f t="shared" si="98"/>
        <v>36068.259999999973</v>
      </c>
      <c r="K451" s="326">
        <f t="shared" si="95"/>
        <v>0</v>
      </c>
      <c r="L451" s="387">
        <f t="shared" si="101"/>
        <v>0</v>
      </c>
      <c r="M451" s="387">
        <f t="shared" si="96"/>
        <v>0</v>
      </c>
      <c r="N451" s="591" t="str">
        <f>INDEX(tblSubjectToLoan[Date],ROW()-ROW(tblContractForDeed[#Headers]))</f>
        <v/>
      </c>
      <c r="O451" s="326">
        <f>IF(ROW()=ROW(tblContractForDeed[#Headers])+1,$O$6,IF(INDEX(tblContractForDeed[End Bal],ROW()-ROW(tblContractForDeed[#Headers])-1)&lt;0,0,INDEX(tblContractForDeed[End Bal],ROW()-ROW(tblContractForDeed[#Headers])-1)))</f>
        <v>0</v>
      </c>
      <c r="P451" s="445" t="str">
        <f>IF(tblContractForDeed[[#This Row],[Date]]="","",IF(tblContractForDeed[[#This Row],[Date]]&lt;cfdRateChangeDate,cfdRate1,cfdRate2))</f>
        <v/>
      </c>
      <c r="Q45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26">
        <f>IF(tblContractForDeed[[#This Row],[Payment]]=0,0,MAX(0,MIN(tblContractForDeed[[#This Row],[Beg]],tblContractForDeed[[#This Row],[Payment]]-tblContractForDeed[[#This Row],[Int]])))</f>
        <v>0</v>
      </c>
      <c r="S451" s="326">
        <f>IF(OR(tblContractForDeed[[#This Row],[Date]]&lt;cfdContractDate,tblContractForDeed[[#This Row],[Date]]&gt;cfdEndDate),0,ROUND(tblContractForDeed[[#This Row],[Beg]]*(tblContractForDeed[[#This Row],[Int Rate]]/12),2))</f>
        <v>0</v>
      </c>
      <c r="T451" s="326">
        <f>IF(tblContractForDeed[[#This Row],[Payment]]=0,0,$W$2)</f>
        <v>0</v>
      </c>
      <c r="U451" s="326">
        <f>IF(tblContractForDeed[[#This Row],[Princ]]=0,0,$W$3)</f>
        <v>0</v>
      </c>
      <c r="V451" s="326">
        <f>SUM(tblContractForDeed[[#This Row],[Princ]],tblContractForDeed[[#This Row],[Int]],tblContractForDeed[[#This Row],[Ins]],tblContractForDeed[[#This Row],[Taxes]])</f>
        <v>0</v>
      </c>
      <c r="W451" s="326">
        <f>SUM(INDEX(tblContractForDeed[Princ],1):INDEX(tblContractForDeed[Princ],ROW()-ROW(tblContractForDeed[#Headers])))</f>
        <v>75258.000000000029</v>
      </c>
      <c r="X451" s="326">
        <f>IF(tblContractForDeed[[#This Row],[Beg]]&lt;=0,0,tblContractForDeed[[#This Row],[Beg]]-tblContractForDeed[[#This Row],[Princ]])</f>
        <v>0</v>
      </c>
      <c r="Y45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55">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1" s="326">
        <f>IF(INDEX(tblContractForDeed[End Bal],ROW()-ROW(tblBuyerOutputs[#Headers]))&lt;=0,0,($O$6+IF(ROW()=ROW(tblBuyerOutputs[#Headers])+1,0,INDEX(tblBuyerOutputs[Cumul Appr],ROW()-ROW(tblBuyerOutputs[#Headers])-1)))*$O$2/12)</f>
        <v>0</v>
      </c>
      <c r="AE451" s="326">
        <f>IF(INDEX(tblContractForDeed[End Bal],ROW()-ROW(tblBuyerOutputs[#Headers]))&lt;=0,0,IF(ROW()=ROW(tblBuyerOutputs[#Headers])+1,0,INDEX(tblBuyerOutputs[Cumul Appr],ROW()-ROW(tblBuyerOutputs[#Headers])-1))+tblBuyerOutputs[[#This Row],[Monthly Appr]])</f>
        <v>0</v>
      </c>
      <c r="AF451" s="22"/>
      <c r="AG451" s="14"/>
      <c r="AL451"/>
      <c r="AM451" s="14"/>
      <c r="AO451" s="275"/>
      <c r="AQ451" s="14"/>
      <c r="AR451"/>
    </row>
    <row r="452" spans="1:44" x14ac:dyDescent="0.25">
      <c r="A452" s="590" t="str">
        <f t="shared" si="92"/>
        <v/>
      </c>
      <c r="B452" s="275">
        <f t="shared" si="93"/>
        <v>0</v>
      </c>
      <c r="C452" s="14">
        <f t="shared" si="90"/>
        <v>0</v>
      </c>
      <c r="D452" s="14">
        <f t="shared" si="94"/>
        <v>0</v>
      </c>
      <c r="E452" s="14">
        <f t="shared" si="91"/>
        <v>0</v>
      </c>
      <c r="F452" s="14">
        <f t="shared" si="102"/>
        <v>134.16999999999999</v>
      </c>
      <c r="G452" s="14">
        <f t="shared" si="102"/>
        <v>188.55</v>
      </c>
      <c r="H452" s="14">
        <f t="shared" si="103"/>
        <v>322.72000000000003</v>
      </c>
      <c r="I452" s="275">
        <f t="shared" si="97"/>
        <v>97531.839999999953</v>
      </c>
      <c r="J452" s="275">
        <f t="shared" si="98"/>
        <v>36068.259999999973</v>
      </c>
      <c r="K452" s="275">
        <f t="shared" si="95"/>
        <v>0</v>
      </c>
      <c r="L452" s="386">
        <f t="shared" si="101"/>
        <v>0</v>
      </c>
      <c r="M452" s="386">
        <f t="shared" si="96"/>
        <v>0</v>
      </c>
      <c r="N452" s="590" t="str">
        <f>INDEX(tblSubjectToLoan[Date],ROW()-ROW(tblContractForDeed[#Headers]))</f>
        <v/>
      </c>
      <c r="O452" s="275">
        <f>IF(ROW()=ROW(tblContractForDeed[#Headers])+1,$O$6,IF(INDEX(tblContractForDeed[End Bal],ROW()-ROW(tblContractForDeed[#Headers])-1)&lt;0,0,INDEX(tblContractForDeed[End Bal],ROW()-ROW(tblContractForDeed[#Headers])-1)))</f>
        <v>0</v>
      </c>
      <c r="P452" s="445" t="str">
        <f>IF(tblContractForDeed[[#This Row],[Date]]="","",IF(tblContractForDeed[[#This Row],[Date]]&lt;cfdRateChangeDate,cfdRate1,cfdRate2))</f>
        <v/>
      </c>
      <c r="Q4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75">
        <f>IF(tblContractForDeed[[#This Row],[Payment]]=0,0,MAX(0,MIN(tblContractForDeed[[#This Row],[Beg]],tblContractForDeed[[#This Row],[Payment]]-tblContractForDeed[[#This Row],[Int]])))</f>
        <v>0</v>
      </c>
      <c r="S452" s="275">
        <f>IF(OR(tblContractForDeed[[#This Row],[Date]]&lt;cfdContractDate,tblContractForDeed[[#This Row],[Date]]&gt;cfdEndDate),0,ROUND(tblContractForDeed[[#This Row],[Beg]]*(tblContractForDeed[[#This Row],[Int Rate]]/12),2))</f>
        <v>0</v>
      </c>
      <c r="T452" s="275">
        <f>IF(tblContractForDeed[[#This Row],[Payment]]=0,0,$W$2)</f>
        <v>0</v>
      </c>
      <c r="U452" s="275">
        <f>IF(tblContractForDeed[[#This Row],[Princ]]=0,0,$W$3)</f>
        <v>0</v>
      </c>
      <c r="V452" s="275">
        <f>SUM(tblContractForDeed[[#This Row],[Princ]],tblContractForDeed[[#This Row],[Int]],tblContractForDeed[[#This Row],[Ins]],tblContractForDeed[[#This Row],[Taxes]])</f>
        <v>0</v>
      </c>
      <c r="W452" s="275">
        <f>SUM(INDEX(tblContractForDeed[Princ],1):INDEX(tblContractForDeed[Princ],ROW()-ROW(tblContractForDeed[#Headers])))</f>
        <v>75258.000000000029</v>
      </c>
      <c r="X452" s="275">
        <f>IF(tblContractForDeed[[#This Row],[Beg]]&lt;=0,0,tblContractForDeed[[#This Row],[Beg]]-tblContractForDeed[[#This Row],[Princ]])</f>
        <v>0</v>
      </c>
      <c r="Y45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54">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2" s="275">
        <f>IF(INDEX(tblContractForDeed[End Bal],ROW()-ROW(tblBuyerOutputs[#Headers]))&lt;=0,0,($O$6+IF(ROW()=ROW(tblBuyerOutputs[#Headers])+1,0,INDEX(tblBuyerOutputs[Cumul Appr],ROW()-ROW(tblBuyerOutputs[#Headers])-1)))*$O$2/12)</f>
        <v>0</v>
      </c>
      <c r="AE452" s="275">
        <f>IF(INDEX(tblContractForDeed[End Bal],ROW()-ROW(tblBuyerOutputs[#Headers]))&lt;=0,0,IF(ROW()=ROW(tblBuyerOutputs[#Headers])+1,0,INDEX(tblBuyerOutputs[Cumul Appr],ROW()-ROW(tblBuyerOutputs[#Headers])-1))+tblBuyerOutputs[[#This Row],[Monthly Appr]])</f>
        <v>0</v>
      </c>
      <c r="AF452" s="22"/>
      <c r="AG452" s="14"/>
      <c r="AL452"/>
      <c r="AM452" s="14"/>
      <c r="AO452" s="275"/>
      <c r="AQ452" s="14"/>
      <c r="AR452"/>
    </row>
    <row r="453" spans="1:44" x14ac:dyDescent="0.25">
      <c r="A453" s="590" t="str">
        <f t="shared" si="92"/>
        <v/>
      </c>
      <c r="B453" s="275">
        <f t="shared" si="93"/>
        <v>0</v>
      </c>
      <c r="C453" s="14">
        <f t="shared" si="90"/>
        <v>0</v>
      </c>
      <c r="D453" s="14">
        <f t="shared" si="94"/>
        <v>0</v>
      </c>
      <c r="E453" s="14">
        <f t="shared" si="91"/>
        <v>0</v>
      </c>
      <c r="F453" s="14">
        <f t="shared" si="102"/>
        <v>134.16999999999999</v>
      </c>
      <c r="G453" s="14">
        <f t="shared" si="102"/>
        <v>188.55</v>
      </c>
      <c r="H453" s="14">
        <f t="shared" si="103"/>
        <v>322.72000000000003</v>
      </c>
      <c r="I453" s="275">
        <f t="shared" si="97"/>
        <v>97531.839999999953</v>
      </c>
      <c r="J453" s="275">
        <f t="shared" si="98"/>
        <v>36068.259999999973</v>
      </c>
      <c r="K453" s="275">
        <f t="shared" si="95"/>
        <v>0</v>
      </c>
      <c r="L453" s="386">
        <f t="shared" si="101"/>
        <v>0</v>
      </c>
      <c r="M453" s="386">
        <f t="shared" si="96"/>
        <v>0</v>
      </c>
      <c r="N453" s="590" t="str">
        <f>INDEX(tblSubjectToLoan[Date],ROW()-ROW(tblContractForDeed[#Headers]))</f>
        <v/>
      </c>
      <c r="O453" s="275">
        <f>IF(ROW()=ROW(tblContractForDeed[#Headers])+1,$O$6,IF(INDEX(tblContractForDeed[End Bal],ROW()-ROW(tblContractForDeed[#Headers])-1)&lt;0,0,INDEX(tblContractForDeed[End Bal],ROW()-ROW(tblContractForDeed[#Headers])-1)))</f>
        <v>0</v>
      </c>
      <c r="P453" s="445" t="str">
        <f>IF(tblContractForDeed[[#This Row],[Date]]="","",IF(tblContractForDeed[[#This Row],[Date]]&lt;cfdRateChangeDate,cfdRate1,cfdRate2))</f>
        <v/>
      </c>
      <c r="Q4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75">
        <f>IF(tblContractForDeed[[#This Row],[Payment]]=0,0,MAX(0,MIN(tblContractForDeed[[#This Row],[Beg]],tblContractForDeed[[#This Row],[Payment]]-tblContractForDeed[[#This Row],[Int]])))</f>
        <v>0</v>
      </c>
      <c r="S453" s="275">
        <f>IF(OR(tblContractForDeed[[#This Row],[Date]]&lt;cfdContractDate,tblContractForDeed[[#This Row],[Date]]&gt;cfdEndDate),0,ROUND(tblContractForDeed[[#This Row],[Beg]]*(tblContractForDeed[[#This Row],[Int Rate]]/12),2))</f>
        <v>0</v>
      </c>
      <c r="T453" s="275">
        <f>IF(tblContractForDeed[[#This Row],[Payment]]=0,0,$W$2)</f>
        <v>0</v>
      </c>
      <c r="U453" s="275">
        <f>IF(tblContractForDeed[[#This Row],[Princ]]=0,0,$W$3)</f>
        <v>0</v>
      </c>
      <c r="V453" s="275">
        <f>SUM(tblContractForDeed[[#This Row],[Princ]],tblContractForDeed[[#This Row],[Int]],tblContractForDeed[[#This Row],[Ins]],tblContractForDeed[[#This Row],[Taxes]])</f>
        <v>0</v>
      </c>
      <c r="W453" s="275">
        <f>SUM(INDEX(tblContractForDeed[Princ],1):INDEX(tblContractForDeed[Princ],ROW()-ROW(tblContractForDeed[#Headers])))</f>
        <v>75258.000000000029</v>
      </c>
      <c r="X453" s="275">
        <f>IF(tblContractForDeed[[#This Row],[Beg]]&lt;=0,0,tblContractForDeed[[#This Row],[Beg]]-tblContractForDeed[[#This Row],[Princ]])</f>
        <v>0</v>
      </c>
      <c r="Y45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54">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3" s="275">
        <f>IF(INDEX(tblContractForDeed[End Bal],ROW()-ROW(tblBuyerOutputs[#Headers]))&lt;=0,0,($O$6+IF(ROW()=ROW(tblBuyerOutputs[#Headers])+1,0,INDEX(tblBuyerOutputs[Cumul Appr],ROW()-ROW(tblBuyerOutputs[#Headers])-1)))*$O$2/12)</f>
        <v>0</v>
      </c>
      <c r="AE453" s="275">
        <f>IF(INDEX(tblContractForDeed[End Bal],ROW()-ROW(tblBuyerOutputs[#Headers]))&lt;=0,0,IF(ROW()=ROW(tblBuyerOutputs[#Headers])+1,0,INDEX(tblBuyerOutputs[Cumul Appr],ROW()-ROW(tblBuyerOutputs[#Headers])-1))+tblBuyerOutputs[[#This Row],[Monthly Appr]])</f>
        <v>0</v>
      </c>
      <c r="AF453" s="22"/>
      <c r="AG453" s="14"/>
      <c r="AL453"/>
      <c r="AM453" s="14"/>
      <c r="AO453" s="275"/>
      <c r="AQ453" s="14"/>
      <c r="AR453"/>
    </row>
    <row r="454" spans="1:44" x14ac:dyDescent="0.25">
      <c r="A454" s="590" t="str">
        <f t="shared" si="92"/>
        <v/>
      </c>
      <c r="B454" s="275">
        <f t="shared" si="93"/>
        <v>0</v>
      </c>
      <c r="C454" s="14">
        <f t="shared" si="90"/>
        <v>0</v>
      </c>
      <c r="D454" s="14">
        <f t="shared" si="94"/>
        <v>0</v>
      </c>
      <c r="E454" s="14">
        <f t="shared" si="91"/>
        <v>0</v>
      </c>
      <c r="F454" s="14">
        <f t="shared" si="102"/>
        <v>134.16999999999999</v>
      </c>
      <c r="G454" s="14">
        <f t="shared" si="102"/>
        <v>188.55</v>
      </c>
      <c r="H454" s="14">
        <f t="shared" si="103"/>
        <v>322.72000000000003</v>
      </c>
      <c r="I454" s="275">
        <f t="shared" si="97"/>
        <v>97531.839999999953</v>
      </c>
      <c r="J454" s="275">
        <f t="shared" si="98"/>
        <v>36068.259999999973</v>
      </c>
      <c r="K454" s="275">
        <f t="shared" si="95"/>
        <v>0</v>
      </c>
      <c r="L454" s="386">
        <f t="shared" si="101"/>
        <v>0</v>
      </c>
      <c r="M454" s="386">
        <f t="shared" si="96"/>
        <v>0</v>
      </c>
      <c r="N454" s="590" t="str">
        <f>INDEX(tblSubjectToLoan[Date],ROW()-ROW(tblContractForDeed[#Headers]))</f>
        <v/>
      </c>
      <c r="O454" s="275">
        <f>IF(ROW()=ROW(tblContractForDeed[#Headers])+1,$O$6,IF(INDEX(tblContractForDeed[End Bal],ROW()-ROW(tblContractForDeed[#Headers])-1)&lt;0,0,INDEX(tblContractForDeed[End Bal],ROW()-ROW(tblContractForDeed[#Headers])-1)))</f>
        <v>0</v>
      </c>
      <c r="P454" s="445" t="str">
        <f>IF(tblContractForDeed[[#This Row],[Date]]="","",IF(tblContractForDeed[[#This Row],[Date]]&lt;cfdRateChangeDate,cfdRate1,cfdRate2))</f>
        <v/>
      </c>
      <c r="Q4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75">
        <f>IF(tblContractForDeed[[#This Row],[Payment]]=0,0,MAX(0,MIN(tblContractForDeed[[#This Row],[Beg]],tblContractForDeed[[#This Row],[Payment]]-tblContractForDeed[[#This Row],[Int]])))</f>
        <v>0</v>
      </c>
      <c r="S454" s="275">
        <f>IF(OR(tblContractForDeed[[#This Row],[Date]]&lt;cfdContractDate,tblContractForDeed[[#This Row],[Date]]&gt;cfdEndDate),0,ROUND(tblContractForDeed[[#This Row],[Beg]]*(tblContractForDeed[[#This Row],[Int Rate]]/12),2))</f>
        <v>0</v>
      </c>
      <c r="T454" s="275">
        <f>IF(tblContractForDeed[[#This Row],[Payment]]=0,0,$W$2)</f>
        <v>0</v>
      </c>
      <c r="U454" s="275">
        <f>IF(tblContractForDeed[[#This Row],[Princ]]=0,0,$W$3)</f>
        <v>0</v>
      </c>
      <c r="V454" s="275">
        <f>SUM(tblContractForDeed[[#This Row],[Princ]],tblContractForDeed[[#This Row],[Int]],tblContractForDeed[[#This Row],[Ins]],tblContractForDeed[[#This Row],[Taxes]])</f>
        <v>0</v>
      </c>
      <c r="W454" s="275">
        <f>SUM(INDEX(tblContractForDeed[Princ],1):INDEX(tblContractForDeed[Princ],ROW()-ROW(tblContractForDeed[#Headers])))</f>
        <v>75258.000000000029</v>
      </c>
      <c r="X454" s="275">
        <f>IF(tblContractForDeed[[#This Row],[Beg]]&lt;=0,0,tblContractForDeed[[#This Row],[Beg]]-tblContractForDeed[[#This Row],[Princ]])</f>
        <v>0</v>
      </c>
      <c r="Y45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54">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4" s="275">
        <f>IF(INDEX(tblContractForDeed[End Bal],ROW()-ROW(tblBuyerOutputs[#Headers]))&lt;=0,0,($O$6+IF(ROW()=ROW(tblBuyerOutputs[#Headers])+1,0,INDEX(tblBuyerOutputs[Cumul Appr],ROW()-ROW(tblBuyerOutputs[#Headers])-1)))*$O$2/12)</f>
        <v>0</v>
      </c>
      <c r="AE454" s="275">
        <f>IF(INDEX(tblContractForDeed[End Bal],ROW()-ROW(tblBuyerOutputs[#Headers]))&lt;=0,0,IF(ROW()=ROW(tblBuyerOutputs[#Headers])+1,0,INDEX(tblBuyerOutputs[Cumul Appr],ROW()-ROW(tblBuyerOutputs[#Headers])-1))+tblBuyerOutputs[[#This Row],[Monthly Appr]])</f>
        <v>0</v>
      </c>
      <c r="AF454" s="22"/>
      <c r="AG454" s="14"/>
      <c r="AL454"/>
      <c r="AM454" s="14"/>
      <c r="AO454" s="275"/>
      <c r="AQ454" s="14"/>
      <c r="AR454"/>
    </row>
    <row r="455" spans="1:44" x14ac:dyDescent="0.25">
      <c r="A455" s="590" t="str">
        <f t="shared" si="92"/>
        <v/>
      </c>
      <c r="B455" s="275">
        <f t="shared" si="93"/>
        <v>0</v>
      </c>
      <c r="C455" s="14">
        <f t="shared" si="90"/>
        <v>0</v>
      </c>
      <c r="D455" s="14">
        <f t="shared" si="94"/>
        <v>0</v>
      </c>
      <c r="E455" s="14">
        <f t="shared" si="91"/>
        <v>0</v>
      </c>
      <c r="F455" s="14">
        <f t="shared" si="102"/>
        <v>134.16999999999999</v>
      </c>
      <c r="G455" s="14">
        <f t="shared" si="102"/>
        <v>188.55</v>
      </c>
      <c r="H455" s="14">
        <f t="shared" si="103"/>
        <v>322.72000000000003</v>
      </c>
      <c r="I455" s="275">
        <f t="shared" si="97"/>
        <v>97531.839999999953</v>
      </c>
      <c r="J455" s="275">
        <f t="shared" si="98"/>
        <v>36068.259999999973</v>
      </c>
      <c r="K455" s="275">
        <f t="shared" si="95"/>
        <v>0</v>
      </c>
      <c r="L455" s="386">
        <f t="shared" si="101"/>
        <v>0</v>
      </c>
      <c r="M455" s="386">
        <f t="shared" si="96"/>
        <v>0</v>
      </c>
      <c r="N455" s="590" t="str">
        <f>INDEX(tblSubjectToLoan[Date],ROW()-ROW(tblContractForDeed[#Headers]))</f>
        <v/>
      </c>
      <c r="O455" s="275">
        <f>IF(ROW()=ROW(tblContractForDeed[#Headers])+1,$O$6,IF(INDEX(tblContractForDeed[End Bal],ROW()-ROW(tblContractForDeed[#Headers])-1)&lt;0,0,INDEX(tblContractForDeed[End Bal],ROW()-ROW(tblContractForDeed[#Headers])-1)))</f>
        <v>0</v>
      </c>
      <c r="P455" s="445" t="str">
        <f>IF(tblContractForDeed[[#This Row],[Date]]="","",IF(tblContractForDeed[[#This Row],[Date]]&lt;cfdRateChangeDate,cfdRate1,cfdRate2))</f>
        <v/>
      </c>
      <c r="Q45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75">
        <f>IF(tblContractForDeed[[#This Row],[Payment]]=0,0,MAX(0,MIN(tblContractForDeed[[#This Row],[Beg]],tblContractForDeed[[#This Row],[Payment]]-tblContractForDeed[[#This Row],[Int]])))</f>
        <v>0</v>
      </c>
      <c r="S455" s="275">
        <f>IF(OR(tblContractForDeed[[#This Row],[Date]]&lt;cfdContractDate,tblContractForDeed[[#This Row],[Date]]&gt;cfdEndDate),0,ROUND(tblContractForDeed[[#This Row],[Beg]]*(tblContractForDeed[[#This Row],[Int Rate]]/12),2))</f>
        <v>0</v>
      </c>
      <c r="T455" s="275">
        <f>IF(tblContractForDeed[[#This Row],[Payment]]=0,0,$W$2)</f>
        <v>0</v>
      </c>
      <c r="U455" s="275">
        <f>IF(tblContractForDeed[[#This Row],[Princ]]=0,0,$W$3)</f>
        <v>0</v>
      </c>
      <c r="V455" s="275">
        <f>SUM(tblContractForDeed[[#This Row],[Princ]],tblContractForDeed[[#This Row],[Int]],tblContractForDeed[[#This Row],[Ins]],tblContractForDeed[[#This Row],[Taxes]])</f>
        <v>0</v>
      </c>
      <c r="W455" s="275">
        <f>SUM(INDEX(tblContractForDeed[Princ],1):INDEX(tblContractForDeed[Princ],ROW()-ROW(tblContractForDeed[#Headers])))</f>
        <v>75258.000000000029</v>
      </c>
      <c r="X455" s="275">
        <f>IF(tblContractForDeed[[#This Row],[Beg]]&lt;=0,0,tblContractForDeed[[#This Row],[Beg]]-tblContractForDeed[[#This Row],[Princ]])</f>
        <v>0</v>
      </c>
      <c r="Y45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54">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5" s="275">
        <f>IF(INDEX(tblContractForDeed[End Bal],ROW()-ROW(tblBuyerOutputs[#Headers]))&lt;=0,0,($O$6+IF(ROW()=ROW(tblBuyerOutputs[#Headers])+1,0,INDEX(tblBuyerOutputs[Cumul Appr],ROW()-ROW(tblBuyerOutputs[#Headers])-1)))*$O$2/12)</f>
        <v>0</v>
      </c>
      <c r="AE455" s="275">
        <f>IF(INDEX(tblContractForDeed[End Bal],ROW()-ROW(tblBuyerOutputs[#Headers]))&lt;=0,0,IF(ROW()=ROW(tblBuyerOutputs[#Headers])+1,0,INDEX(tblBuyerOutputs[Cumul Appr],ROW()-ROW(tblBuyerOutputs[#Headers])-1))+tblBuyerOutputs[[#This Row],[Monthly Appr]])</f>
        <v>0</v>
      </c>
      <c r="AF455" s="22"/>
      <c r="AG455" s="14"/>
      <c r="AL455"/>
      <c r="AM455" s="14"/>
      <c r="AO455" s="275"/>
      <c r="AQ455" s="14"/>
      <c r="AR455"/>
    </row>
    <row r="456" spans="1:44" x14ac:dyDescent="0.25">
      <c r="A456" s="590" t="str">
        <f t="shared" si="92"/>
        <v/>
      </c>
      <c r="B456" s="275">
        <f t="shared" si="93"/>
        <v>0</v>
      </c>
      <c r="C456" s="14">
        <f t="shared" si="90"/>
        <v>0</v>
      </c>
      <c r="D456" s="14">
        <f t="shared" si="94"/>
        <v>0</v>
      </c>
      <c r="E456" s="14">
        <f t="shared" si="91"/>
        <v>0</v>
      </c>
      <c r="F456" s="14">
        <f t="shared" si="102"/>
        <v>134.16999999999999</v>
      </c>
      <c r="G456" s="14">
        <f t="shared" si="102"/>
        <v>188.55</v>
      </c>
      <c r="H456" s="14">
        <f t="shared" si="103"/>
        <v>322.72000000000003</v>
      </c>
      <c r="I456" s="275">
        <f t="shared" si="97"/>
        <v>97531.839999999953</v>
      </c>
      <c r="J456" s="275">
        <f t="shared" si="98"/>
        <v>36068.259999999973</v>
      </c>
      <c r="K456" s="275">
        <f t="shared" si="95"/>
        <v>0</v>
      </c>
      <c r="L456" s="386">
        <f t="shared" si="101"/>
        <v>0</v>
      </c>
      <c r="M456" s="386">
        <f t="shared" si="96"/>
        <v>0</v>
      </c>
      <c r="N456" s="590" t="str">
        <f>INDEX(tblSubjectToLoan[Date],ROW()-ROW(tblContractForDeed[#Headers]))</f>
        <v/>
      </c>
      <c r="O456" s="275">
        <f>IF(ROW()=ROW(tblContractForDeed[#Headers])+1,$O$6,IF(INDEX(tblContractForDeed[End Bal],ROW()-ROW(tblContractForDeed[#Headers])-1)&lt;0,0,INDEX(tblContractForDeed[End Bal],ROW()-ROW(tblContractForDeed[#Headers])-1)))</f>
        <v>0</v>
      </c>
      <c r="P456" s="445" t="str">
        <f>IF(tblContractForDeed[[#This Row],[Date]]="","",IF(tblContractForDeed[[#This Row],[Date]]&lt;cfdRateChangeDate,cfdRate1,cfdRate2))</f>
        <v/>
      </c>
      <c r="Q4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75">
        <f>IF(tblContractForDeed[[#This Row],[Payment]]=0,0,MAX(0,MIN(tblContractForDeed[[#This Row],[Beg]],tblContractForDeed[[#This Row],[Payment]]-tblContractForDeed[[#This Row],[Int]])))</f>
        <v>0</v>
      </c>
      <c r="S456" s="275">
        <f>IF(OR(tblContractForDeed[[#This Row],[Date]]&lt;cfdContractDate,tblContractForDeed[[#This Row],[Date]]&gt;cfdEndDate),0,ROUND(tblContractForDeed[[#This Row],[Beg]]*(tblContractForDeed[[#This Row],[Int Rate]]/12),2))</f>
        <v>0</v>
      </c>
      <c r="T456" s="275">
        <f>IF(tblContractForDeed[[#This Row],[Payment]]=0,0,$W$2)</f>
        <v>0</v>
      </c>
      <c r="U456" s="275">
        <f>IF(tblContractForDeed[[#This Row],[Princ]]=0,0,$W$3)</f>
        <v>0</v>
      </c>
      <c r="V456" s="275">
        <f>SUM(tblContractForDeed[[#This Row],[Princ]],tblContractForDeed[[#This Row],[Int]],tblContractForDeed[[#This Row],[Ins]],tblContractForDeed[[#This Row],[Taxes]])</f>
        <v>0</v>
      </c>
      <c r="W456" s="275">
        <f>SUM(INDEX(tblContractForDeed[Princ],1):INDEX(tblContractForDeed[Princ],ROW()-ROW(tblContractForDeed[#Headers])))</f>
        <v>75258.000000000029</v>
      </c>
      <c r="X456" s="275">
        <f>IF(tblContractForDeed[[#This Row],[Beg]]&lt;=0,0,tblContractForDeed[[#This Row],[Beg]]-tblContractForDeed[[#This Row],[Princ]])</f>
        <v>0</v>
      </c>
      <c r="Y45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54">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6" s="275">
        <f>IF(INDEX(tblContractForDeed[End Bal],ROW()-ROW(tblBuyerOutputs[#Headers]))&lt;=0,0,($O$6+IF(ROW()=ROW(tblBuyerOutputs[#Headers])+1,0,INDEX(tblBuyerOutputs[Cumul Appr],ROW()-ROW(tblBuyerOutputs[#Headers])-1)))*$O$2/12)</f>
        <v>0</v>
      </c>
      <c r="AE456" s="275">
        <f>IF(INDEX(tblContractForDeed[End Bal],ROW()-ROW(tblBuyerOutputs[#Headers]))&lt;=0,0,IF(ROW()=ROW(tblBuyerOutputs[#Headers])+1,0,INDEX(tblBuyerOutputs[Cumul Appr],ROW()-ROW(tblBuyerOutputs[#Headers])-1))+tblBuyerOutputs[[#This Row],[Monthly Appr]])</f>
        <v>0</v>
      </c>
      <c r="AF456" s="22"/>
      <c r="AG456" s="14"/>
      <c r="AL456"/>
      <c r="AM456" s="14"/>
      <c r="AO456" s="275"/>
      <c r="AQ456" s="14"/>
      <c r="AR456"/>
    </row>
    <row r="457" spans="1:44" x14ac:dyDescent="0.25">
      <c r="A457" s="590" t="str">
        <f t="shared" si="92"/>
        <v/>
      </c>
      <c r="B457" s="275">
        <f t="shared" si="93"/>
        <v>0</v>
      </c>
      <c r="C457" s="14">
        <f t="shared" si="90"/>
        <v>0</v>
      </c>
      <c r="D457" s="14">
        <f t="shared" si="94"/>
        <v>0</v>
      </c>
      <c r="E457" s="14">
        <f t="shared" si="91"/>
        <v>0</v>
      </c>
      <c r="F457" s="14">
        <f t="shared" si="102"/>
        <v>134.16999999999999</v>
      </c>
      <c r="G457" s="14">
        <f t="shared" si="102"/>
        <v>188.55</v>
      </c>
      <c r="H457" s="14">
        <f t="shared" si="103"/>
        <v>322.72000000000003</v>
      </c>
      <c r="I457" s="275">
        <f t="shared" si="97"/>
        <v>97531.839999999953</v>
      </c>
      <c r="J457" s="275">
        <f t="shared" si="98"/>
        <v>36068.259999999973</v>
      </c>
      <c r="K457" s="275">
        <f t="shared" si="95"/>
        <v>0</v>
      </c>
      <c r="L457" s="386">
        <f t="shared" si="101"/>
        <v>0</v>
      </c>
      <c r="M457" s="386">
        <f t="shared" si="96"/>
        <v>0</v>
      </c>
      <c r="N457" s="590" t="str">
        <f>INDEX(tblSubjectToLoan[Date],ROW()-ROW(tblContractForDeed[#Headers]))</f>
        <v/>
      </c>
      <c r="O457" s="275">
        <f>IF(ROW()=ROW(tblContractForDeed[#Headers])+1,$O$6,IF(INDEX(tblContractForDeed[End Bal],ROW()-ROW(tblContractForDeed[#Headers])-1)&lt;0,0,INDEX(tblContractForDeed[End Bal],ROW()-ROW(tblContractForDeed[#Headers])-1)))</f>
        <v>0</v>
      </c>
      <c r="P457" s="445" t="str">
        <f>IF(tblContractForDeed[[#This Row],[Date]]="","",IF(tblContractForDeed[[#This Row],[Date]]&lt;cfdRateChangeDate,cfdRate1,cfdRate2))</f>
        <v/>
      </c>
      <c r="Q4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75">
        <f>IF(tblContractForDeed[[#This Row],[Payment]]=0,0,MAX(0,MIN(tblContractForDeed[[#This Row],[Beg]],tblContractForDeed[[#This Row],[Payment]]-tblContractForDeed[[#This Row],[Int]])))</f>
        <v>0</v>
      </c>
      <c r="S457" s="275">
        <f>IF(OR(tblContractForDeed[[#This Row],[Date]]&lt;cfdContractDate,tblContractForDeed[[#This Row],[Date]]&gt;cfdEndDate),0,ROUND(tblContractForDeed[[#This Row],[Beg]]*(tblContractForDeed[[#This Row],[Int Rate]]/12),2))</f>
        <v>0</v>
      </c>
      <c r="T457" s="275">
        <f>IF(tblContractForDeed[[#This Row],[Payment]]=0,0,$W$2)</f>
        <v>0</v>
      </c>
      <c r="U457" s="275">
        <f>IF(tblContractForDeed[[#This Row],[Princ]]=0,0,$W$3)</f>
        <v>0</v>
      </c>
      <c r="V457" s="275">
        <f>SUM(tblContractForDeed[[#This Row],[Princ]],tblContractForDeed[[#This Row],[Int]],tblContractForDeed[[#This Row],[Ins]],tblContractForDeed[[#This Row],[Taxes]])</f>
        <v>0</v>
      </c>
      <c r="W457" s="275">
        <f>SUM(INDEX(tblContractForDeed[Princ],1):INDEX(tblContractForDeed[Princ],ROW()-ROW(tblContractForDeed[#Headers])))</f>
        <v>75258.000000000029</v>
      </c>
      <c r="X457" s="275">
        <f>IF(tblContractForDeed[[#This Row],[Beg]]&lt;=0,0,tblContractForDeed[[#This Row],[Beg]]-tblContractForDeed[[#This Row],[Princ]])</f>
        <v>0</v>
      </c>
      <c r="Y45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54">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7" s="275">
        <f>IF(INDEX(tblContractForDeed[End Bal],ROW()-ROW(tblBuyerOutputs[#Headers]))&lt;=0,0,($O$6+IF(ROW()=ROW(tblBuyerOutputs[#Headers])+1,0,INDEX(tblBuyerOutputs[Cumul Appr],ROW()-ROW(tblBuyerOutputs[#Headers])-1)))*$O$2/12)</f>
        <v>0</v>
      </c>
      <c r="AE457" s="275">
        <f>IF(INDEX(tblContractForDeed[End Bal],ROW()-ROW(tblBuyerOutputs[#Headers]))&lt;=0,0,IF(ROW()=ROW(tblBuyerOutputs[#Headers])+1,0,INDEX(tblBuyerOutputs[Cumul Appr],ROW()-ROW(tblBuyerOutputs[#Headers])-1))+tblBuyerOutputs[[#This Row],[Monthly Appr]])</f>
        <v>0</v>
      </c>
      <c r="AF457" s="22"/>
      <c r="AG457" s="14"/>
      <c r="AL457"/>
      <c r="AM457" s="14"/>
      <c r="AO457" s="275"/>
      <c r="AQ457" s="14"/>
      <c r="AR457"/>
    </row>
    <row r="458" spans="1:44" x14ac:dyDescent="0.25">
      <c r="A458" s="590" t="str">
        <f t="shared" si="92"/>
        <v/>
      </c>
      <c r="B458" s="275">
        <f t="shared" si="93"/>
        <v>0</v>
      </c>
      <c r="C458" s="14">
        <f t="shared" si="90"/>
        <v>0</v>
      </c>
      <c r="D458" s="14">
        <f t="shared" si="94"/>
        <v>0</v>
      </c>
      <c r="E458" s="14">
        <f t="shared" si="91"/>
        <v>0</v>
      </c>
      <c r="F458" s="14">
        <f t="shared" si="102"/>
        <v>134.16999999999999</v>
      </c>
      <c r="G458" s="14">
        <f t="shared" si="102"/>
        <v>188.55</v>
      </c>
      <c r="H458" s="14">
        <f t="shared" si="103"/>
        <v>322.72000000000003</v>
      </c>
      <c r="I458" s="275">
        <f t="shared" si="97"/>
        <v>97531.839999999953</v>
      </c>
      <c r="J458" s="275">
        <f t="shared" si="98"/>
        <v>36068.259999999973</v>
      </c>
      <c r="K458" s="275">
        <f t="shared" si="95"/>
        <v>0</v>
      </c>
      <c r="L458" s="386">
        <f t="shared" si="101"/>
        <v>0</v>
      </c>
      <c r="M458" s="386">
        <f t="shared" si="96"/>
        <v>0</v>
      </c>
      <c r="N458" s="590" t="str">
        <f>INDEX(tblSubjectToLoan[Date],ROW()-ROW(tblContractForDeed[#Headers]))</f>
        <v/>
      </c>
      <c r="O458" s="275">
        <f>IF(ROW()=ROW(tblContractForDeed[#Headers])+1,$O$6,IF(INDEX(tblContractForDeed[End Bal],ROW()-ROW(tblContractForDeed[#Headers])-1)&lt;0,0,INDEX(tblContractForDeed[End Bal],ROW()-ROW(tblContractForDeed[#Headers])-1)))</f>
        <v>0</v>
      </c>
      <c r="P458" s="445" t="str">
        <f>IF(tblContractForDeed[[#This Row],[Date]]="","",IF(tblContractForDeed[[#This Row],[Date]]&lt;cfdRateChangeDate,cfdRate1,cfdRate2))</f>
        <v/>
      </c>
      <c r="Q4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75">
        <f>IF(tblContractForDeed[[#This Row],[Payment]]=0,0,MAX(0,MIN(tblContractForDeed[[#This Row],[Beg]],tblContractForDeed[[#This Row],[Payment]]-tblContractForDeed[[#This Row],[Int]])))</f>
        <v>0</v>
      </c>
      <c r="S458" s="275">
        <f>IF(OR(tblContractForDeed[[#This Row],[Date]]&lt;cfdContractDate,tblContractForDeed[[#This Row],[Date]]&gt;cfdEndDate),0,ROUND(tblContractForDeed[[#This Row],[Beg]]*(tblContractForDeed[[#This Row],[Int Rate]]/12),2))</f>
        <v>0</v>
      </c>
      <c r="T458" s="275">
        <f>IF(tblContractForDeed[[#This Row],[Payment]]=0,0,$W$2)</f>
        <v>0</v>
      </c>
      <c r="U458" s="275">
        <f>IF(tblContractForDeed[[#This Row],[Princ]]=0,0,$W$3)</f>
        <v>0</v>
      </c>
      <c r="V458" s="275">
        <f>SUM(tblContractForDeed[[#This Row],[Princ]],tblContractForDeed[[#This Row],[Int]],tblContractForDeed[[#This Row],[Ins]],tblContractForDeed[[#This Row],[Taxes]])</f>
        <v>0</v>
      </c>
      <c r="W458" s="275">
        <f>SUM(INDEX(tblContractForDeed[Princ],1):INDEX(tblContractForDeed[Princ],ROW()-ROW(tblContractForDeed[#Headers])))</f>
        <v>75258.000000000029</v>
      </c>
      <c r="X458" s="275">
        <f>IF(tblContractForDeed[[#This Row],[Beg]]&lt;=0,0,tblContractForDeed[[#This Row],[Beg]]-tblContractForDeed[[#This Row],[Princ]])</f>
        <v>0</v>
      </c>
      <c r="Y45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54">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8" s="275">
        <f>IF(INDEX(tblContractForDeed[End Bal],ROW()-ROW(tblBuyerOutputs[#Headers]))&lt;=0,0,($O$6+IF(ROW()=ROW(tblBuyerOutputs[#Headers])+1,0,INDEX(tblBuyerOutputs[Cumul Appr],ROW()-ROW(tblBuyerOutputs[#Headers])-1)))*$O$2/12)</f>
        <v>0</v>
      </c>
      <c r="AE458" s="275">
        <f>IF(INDEX(tblContractForDeed[End Bal],ROW()-ROW(tblBuyerOutputs[#Headers]))&lt;=0,0,IF(ROW()=ROW(tblBuyerOutputs[#Headers])+1,0,INDEX(tblBuyerOutputs[Cumul Appr],ROW()-ROW(tblBuyerOutputs[#Headers])-1))+tblBuyerOutputs[[#This Row],[Monthly Appr]])</f>
        <v>0</v>
      </c>
      <c r="AF458" s="22"/>
      <c r="AG458" s="14"/>
      <c r="AL458"/>
      <c r="AM458" s="14"/>
      <c r="AO458" s="275"/>
      <c r="AQ458" s="14"/>
      <c r="AR458"/>
    </row>
    <row r="459" spans="1:44" x14ac:dyDescent="0.25">
      <c r="A459" s="590" t="str">
        <f t="shared" si="92"/>
        <v/>
      </c>
      <c r="B459" s="275">
        <f t="shared" si="93"/>
        <v>0</v>
      </c>
      <c r="C459" s="14">
        <f t="shared" si="90"/>
        <v>0</v>
      </c>
      <c r="D459" s="14">
        <f t="shared" si="94"/>
        <v>0</v>
      </c>
      <c r="E459" s="14">
        <f t="shared" si="91"/>
        <v>0</v>
      </c>
      <c r="F459" s="14">
        <f t="shared" si="102"/>
        <v>134.16999999999999</v>
      </c>
      <c r="G459" s="14">
        <f t="shared" si="102"/>
        <v>188.55</v>
      </c>
      <c r="H459" s="14">
        <f t="shared" si="103"/>
        <v>322.72000000000003</v>
      </c>
      <c r="I459" s="275">
        <f t="shared" si="97"/>
        <v>97531.839999999953</v>
      </c>
      <c r="J459" s="275">
        <f t="shared" si="98"/>
        <v>36068.259999999973</v>
      </c>
      <c r="K459" s="275">
        <f t="shared" si="95"/>
        <v>0</v>
      </c>
      <c r="L459" s="386">
        <f t="shared" si="101"/>
        <v>0</v>
      </c>
      <c r="M459" s="386">
        <f t="shared" si="96"/>
        <v>0</v>
      </c>
      <c r="N459" s="590" t="str">
        <f>INDEX(tblSubjectToLoan[Date],ROW()-ROW(tblContractForDeed[#Headers]))</f>
        <v/>
      </c>
      <c r="O459" s="275">
        <f>IF(ROW()=ROW(tblContractForDeed[#Headers])+1,$O$6,IF(INDEX(tblContractForDeed[End Bal],ROW()-ROW(tblContractForDeed[#Headers])-1)&lt;0,0,INDEX(tblContractForDeed[End Bal],ROW()-ROW(tblContractForDeed[#Headers])-1)))</f>
        <v>0</v>
      </c>
      <c r="P459" s="445" t="str">
        <f>IF(tblContractForDeed[[#This Row],[Date]]="","",IF(tblContractForDeed[[#This Row],[Date]]&lt;cfdRateChangeDate,cfdRate1,cfdRate2))</f>
        <v/>
      </c>
      <c r="Q45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75">
        <f>IF(tblContractForDeed[[#This Row],[Payment]]=0,0,MAX(0,MIN(tblContractForDeed[[#This Row],[Beg]],tblContractForDeed[[#This Row],[Payment]]-tblContractForDeed[[#This Row],[Int]])))</f>
        <v>0</v>
      </c>
      <c r="S459" s="275">
        <f>IF(OR(tblContractForDeed[[#This Row],[Date]]&lt;cfdContractDate,tblContractForDeed[[#This Row],[Date]]&gt;cfdEndDate),0,ROUND(tblContractForDeed[[#This Row],[Beg]]*(tblContractForDeed[[#This Row],[Int Rate]]/12),2))</f>
        <v>0</v>
      </c>
      <c r="T459" s="275">
        <f>IF(tblContractForDeed[[#This Row],[Payment]]=0,0,$W$2)</f>
        <v>0</v>
      </c>
      <c r="U459" s="275">
        <f>IF(tblContractForDeed[[#This Row],[Princ]]=0,0,$W$3)</f>
        <v>0</v>
      </c>
      <c r="V459" s="275">
        <f>SUM(tblContractForDeed[[#This Row],[Princ]],tblContractForDeed[[#This Row],[Int]],tblContractForDeed[[#This Row],[Ins]],tblContractForDeed[[#This Row],[Taxes]])</f>
        <v>0</v>
      </c>
      <c r="W459" s="275">
        <f>SUM(INDEX(tblContractForDeed[Princ],1):INDEX(tblContractForDeed[Princ],ROW()-ROW(tblContractForDeed[#Headers])))</f>
        <v>75258.000000000029</v>
      </c>
      <c r="X459" s="275">
        <f>IF(tblContractForDeed[[#This Row],[Beg]]&lt;=0,0,tblContractForDeed[[#This Row],[Beg]]-tblContractForDeed[[#This Row],[Princ]])</f>
        <v>0</v>
      </c>
      <c r="Y45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54">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9" s="275">
        <f>IF(INDEX(tblContractForDeed[End Bal],ROW()-ROW(tblBuyerOutputs[#Headers]))&lt;=0,0,($O$6+IF(ROW()=ROW(tblBuyerOutputs[#Headers])+1,0,INDEX(tblBuyerOutputs[Cumul Appr],ROW()-ROW(tblBuyerOutputs[#Headers])-1)))*$O$2/12)</f>
        <v>0</v>
      </c>
      <c r="AE459" s="275">
        <f>IF(INDEX(tblContractForDeed[End Bal],ROW()-ROW(tblBuyerOutputs[#Headers]))&lt;=0,0,IF(ROW()=ROW(tblBuyerOutputs[#Headers])+1,0,INDEX(tblBuyerOutputs[Cumul Appr],ROW()-ROW(tblBuyerOutputs[#Headers])-1))+tblBuyerOutputs[[#This Row],[Monthly Appr]])</f>
        <v>0</v>
      </c>
      <c r="AF459" s="22"/>
      <c r="AG459" s="14"/>
      <c r="AL459"/>
      <c r="AM459" s="14"/>
      <c r="AO459" s="275"/>
      <c r="AQ459" s="14"/>
      <c r="AR459"/>
    </row>
    <row r="460" spans="1:44" x14ac:dyDescent="0.25">
      <c r="A460" s="590" t="str">
        <f t="shared" si="92"/>
        <v/>
      </c>
      <c r="B460" s="275">
        <f t="shared" si="93"/>
        <v>0</v>
      </c>
      <c r="C460" s="14">
        <f t="shared" si="90"/>
        <v>0</v>
      </c>
      <c r="D460" s="14">
        <f t="shared" si="94"/>
        <v>0</v>
      </c>
      <c r="E460" s="14">
        <f t="shared" si="91"/>
        <v>0</v>
      </c>
      <c r="F460" s="14">
        <f t="shared" si="102"/>
        <v>134.16999999999999</v>
      </c>
      <c r="G460" s="14">
        <f t="shared" si="102"/>
        <v>188.55</v>
      </c>
      <c r="H460" s="14">
        <f t="shared" si="103"/>
        <v>322.72000000000003</v>
      </c>
      <c r="I460" s="275">
        <f t="shared" si="97"/>
        <v>97531.839999999953</v>
      </c>
      <c r="J460" s="275">
        <f t="shared" si="98"/>
        <v>36068.259999999973</v>
      </c>
      <c r="K460" s="275">
        <f t="shared" si="95"/>
        <v>0</v>
      </c>
      <c r="L460" s="386">
        <f t="shared" si="101"/>
        <v>0</v>
      </c>
      <c r="M460" s="386">
        <f t="shared" si="96"/>
        <v>0</v>
      </c>
      <c r="N460" s="590" t="str">
        <f>INDEX(tblSubjectToLoan[Date],ROW()-ROW(tblContractForDeed[#Headers]))</f>
        <v/>
      </c>
      <c r="O460" s="275">
        <f>IF(ROW()=ROW(tblContractForDeed[#Headers])+1,$O$6,IF(INDEX(tblContractForDeed[End Bal],ROW()-ROW(tblContractForDeed[#Headers])-1)&lt;0,0,INDEX(tblContractForDeed[End Bal],ROW()-ROW(tblContractForDeed[#Headers])-1)))</f>
        <v>0</v>
      </c>
      <c r="P460" s="445" t="str">
        <f>IF(tblContractForDeed[[#This Row],[Date]]="","",IF(tblContractForDeed[[#This Row],[Date]]&lt;cfdRateChangeDate,cfdRate1,cfdRate2))</f>
        <v/>
      </c>
      <c r="Q4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75">
        <f>IF(tblContractForDeed[[#This Row],[Payment]]=0,0,MAX(0,MIN(tblContractForDeed[[#This Row],[Beg]],tblContractForDeed[[#This Row],[Payment]]-tblContractForDeed[[#This Row],[Int]])))</f>
        <v>0</v>
      </c>
      <c r="S460" s="275">
        <f>IF(OR(tblContractForDeed[[#This Row],[Date]]&lt;cfdContractDate,tblContractForDeed[[#This Row],[Date]]&gt;cfdEndDate),0,ROUND(tblContractForDeed[[#This Row],[Beg]]*(tblContractForDeed[[#This Row],[Int Rate]]/12),2))</f>
        <v>0</v>
      </c>
      <c r="T460" s="275">
        <f>IF(tblContractForDeed[[#This Row],[Payment]]=0,0,$W$2)</f>
        <v>0</v>
      </c>
      <c r="U460" s="275">
        <f>IF(tblContractForDeed[[#This Row],[Princ]]=0,0,$W$3)</f>
        <v>0</v>
      </c>
      <c r="V460" s="275">
        <f>SUM(tblContractForDeed[[#This Row],[Princ]],tblContractForDeed[[#This Row],[Int]],tblContractForDeed[[#This Row],[Ins]],tblContractForDeed[[#This Row],[Taxes]])</f>
        <v>0</v>
      </c>
      <c r="W460" s="275">
        <f>SUM(INDEX(tblContractForDeed[Princ],1):INDEX(tblContractForDeed[Princ],ROW()-ROW(tblContractForDeed[#Headers])))</f>
        <v>75258.000000000029</v>
      </c>
      <c r="X460" s="275">
        <f>IF(tblContractForDeed[[#This Row],[Beg]]&lt;=0,0,tblContractForDeed[[#This Row],[Beg]]-tblContractForDeed[[#This Row],[Princ]])</f>
        <v>0</v>
      </c>
      <c r="Y46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54">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0" s="275">
        <f>IF(INDEX(tblContractForDeed[End Bal],ROW()-ROW(tblBuyerOutputs[#Headers]))&lt;=0,0,($O$6+IF(ROW()=ROW(tblBuyerOutputs[#Headers])+1,0,INDEX(tblBuyerOutputs[Cumul Appr],ROW()-ROW(tblBuyerOutputs[#Headers])-1)))*$O$2/12)</f>
        <v>0</v>
      </c>
      <c r="AE460" s="275">
        <f>IF(INDEX(tblContractForDeed[End Bal],ROW()-ROW(tblBuyerOutputs[#Headers]))&lt;=0,0,IF(ROW()=ROW(tblBuyerOutputs[#Headers])+1,0,INDEX(tblBuyerOutputs[Cumul Appr],ROW()-ROW(tblBuyerOutputs[#Headers])-1))+tblBuyerOutputs[[#This Row],[Monthly Appr]])</f>
        <v>0</v>
      </c>
      <c r="AF460" s="22"/>
      <c r="AG460" s="14"/>
      <c r="AL460"/>
      <c r="AM460" s="14"/>
      <c r="AO460" s="275"/>
      <c r="AQ460" s="14"/>
      <c r="AR460"/>
    </row>
    <row r="461" spans="1:44" x14ac:dyDescent="0.25">
      <c r="A461" s="590" t="str">
        <f t="shared" si="92"/>
        <v/>
      </c>
      <c r="B461" s="275">
        <f t="shared" si="93"/>
        <v>0</v>
      </c>
      <c r="C461" s="14">
        <f t="shared" si="90"/>
        <v>0</v>
      </c>
      <c r="D461" s="14">
        <f t="shared" si="94"/>
        <v>0</v>
      </c>
      <c r="E461" s="14">
        <f t="shared" si="91"/>
        <v>0</v>
      </c>
      <c r="F461" s="14">
        <f t="shared" si="102"/>
        <v>134.16999999999999</v>
      </c>
      <c r="G461" s="14">
        <f t="shared" si="102"/>
        <v>188.55</v>
      </c>
      <c r="H461" s="14">
        <f t="shared" si="103"/>
        <v>322.72000000000003</v>
      </c>
      <c r="I461" s="275">
        <f t="shared" si="97"/>
        <v>97531.839999999953</v>
      </c>
      <c r="J461" s="275">
        <f t="shared" si="98"/>
        <v>36068.259999999973</v>
      </c>
      <c r="K461" s="275">
        <f t="shared" si="95"/>
        <v>0</v>
      </c>
      <c r="L461" s="386">
        <f t="shared" si="101"/>
        <v>0</v>
      </c>
      <c r="M461" s="386">
        <f t="shared" si="96"/>
        <v>0</v>
      </c>
      <c r="N461" s="590" t="str">
        <f>INDEX(tblSubjectToLoan[Date],ROW()-ROW(tblContractForDeed[#Headers]))</f>
        <v/>
      </c>
      <c r="O461" s="275">
        <f>IF(ROW()=ROW(tblContractForDeed[#Headers])+1,$O$6,IF(INDEX(tblContractForDeed[End Bal],ROW()-ROW(tblContractForDeed[#Headers])-1)&lt;0,0,INDEX(tblContractForDeed[End Bal],ROW()-ROW(tblContractForDeed[#Headers])-1)))</f>
        <v>0</v>
      </c>
      <c r="P461" s="445" t="str">
        <f>IF(tblContractForDeed[[#This Row],[Date]]="","",IF(tblContractForDeed[[#This Row],[Date]]&lt;cfdRateChangeDate,cfdRate1,cfdRate2))</f>
        <v/>
      </c>
      <c r="Q4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75">
        <f>IF(tblContractForDeed[[#This Row],[Payment]]=0,0,MAX(0,MIN(tblContractForDeed[[#This Row],[Beg]],tblContractForDeed[[#This Row],[Payment]]-tblContractForDeed[[#This Row],[Int]])))</f>
        <v>0</v>
      </c>
      <c r="S461" s="275">
        <f>IF(OR(tblContractForDeed[[#This Row],[Date]]&lt;cfdContractDate,tblContractForDeed[[#This Row],[Date]]&gt;cfdEndDate),0,ROUND(tblContractForDeed[[#This Row],[Beg]]*(tblContractForDeed[[#This Row],[Int Rate]]/12),2))</f>
        <v>0</v>
      </c>
      <c r="T461" s="275">
        <f>IF(tblContractForDeed[[#This Row],[Payment]]=0,0,$W$2)</f>
        <v>0</v>
      </c>
      <c r="U461" s="275">
        <f>IF(tblContractForDeed[[#This Row],[Princ]]=0,0,$W$3)</f>
        <v>0</v>
      </c>
      <c r="V461" s="275">
        <f>SUM(tblContractForDeed[[#This Row],[Princ]],tblContractForDeed[[#This Row],[Int]],tblContractForDeed[[#This Row],[Ins]],tblContractForDeed[[#This Row],[Taxes]])</f>
        <v>0</v>
      </c>
      <c r="W461" s="275">
        <f>SUM(INDEX(tblContractForDeed[Princ],1):INDEX(tblContractForDeed[Princ],ROW()-ROW(tblContractForDeed[#Headers])))</f>
        <v>75258.000000000029</v>
      </c>
      <c r="X461" s="275">
        <f>IF(tblContractForDeed[[#This Row],[Beg]]&lt;=0,0,tblContractForDeed[[#This Row],[Beg]]-tblContractForDeed[[#This Row],[Princ]])</f>
        <v>0</v>
      </c>
      <c r="Y46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54">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1" s="275">
        <f>IF(INDEX(tblContractForDeed[End Bal],ROW()-ROW(tblBuyerOutputs[#Headers]))&lt;=0,0,($O$6+IF(ROW()=ROW(tblBuyerOutputs[#Headers])+1,0,INDEX(tblBuyerOutputs[Cumul Appr],ROW()-ROW(tblBuyerOutputs[#Headers])-1)))*$O$2/12)</f>
        <v>0</v>
      </c>
      <c r="AE461" s="275">
        <f>IF(INDEX(tblContractForDeed[End Bal],ROW()-ROW(tblBuyerOutputs[#Headers]))&lt;=0,0,IF(ROW()=ROW(tblBuyerOutputs[#Headers])+1,0,INDEX(tblBuyerOutputs[Cumul Appr],ROW()-ROW(tblBuyerOutputs[#Headers])-1))+tblBuyerOutputs[[#This Row],[Monthly Appr]])</f>
        <v>0</v>
      </c>
      <c r="AF461" s="22"/>
      <c r="AG461" s="14"/>
      <c r="AL461"/>
      <c r="AM461" s="14"/>
      <c r="AO461" s="275"/>
      <c r="AQ461" s="14"/>
      <c r="AR461"/>
    </row>
    <row r="462" spans="1:44" x14ac:dyDescent="0.25">
      <c r="A462" s="590" t="str">
        <f t="shared" si="92"/>
        <v/>
      </c>
      <c r="B462" s="275">
        <f t="shared" si="93"/>
        <v>0</v>
      </c>
      <c r="C462" s="14">
        <f t="shared" si="90"/>
        <v>0</v>
      </c>
      <c r="D462" s="14">
        <f t="shared" si="94"/>
        <v>0</v>
      </c>
      <c r="E462" s="14">
        <f t="shared" si="91"/>
        <v>0</v>
      </c>
      <c r="F462" s="14">
        <f t="shared" si="102"/>
        <v>134.16999999999999</v>
      </c>
      <c r="G462" s="14">
        <f t="shared" si="102"/>
        <v>188.55</v>
      </c>
      <c r="H462" s="14">
        <f t="shared" si="103"/>
        <v>322.72000000000003</v>
      </c>
      <c r="I462" s="275">
        <f t="shared" si="97"/>
        <v>97531.839999999953</v>
      </c>
      <c r="J462" s="275">
        <f t="shared" si="98"/>
        <v>36068.259999999973</v>
      </c>
      <c r="K462" s="275">
        <f t="shared" si="95"/>
        <v>0</v>
      </c>
      <c r="L462" s="386">
        <f t="shared" si="101"/>
        <v>0</v>
      </c>
      <c r="M462" s="386">
        <f t="shared" si="96"/>
        <v>0</v>
      </c>
      <c r="N462" s="590" t="str">
        <f>INDEX(tblSubjectToLoan[Date],ROW()-ROW(tblContractForDeed[#Headers]))</f>
        <v/>
      </c>
      <c r="O462" s="275">
        <f>IF(ROW()=ROW(tblContractForDeed[#Headers])+1,$O$6,IF(INDEX(tblContractForDeed[End Bal],ROW()-ROW(tblContractForDeed[#Headers])-1)&lt;0,0,INDEX(tblContractForDeed[End Bal],ROW()-ROW(tblContractForDeed[#Headers])-1)))</f>
        <v>0</v>
      </c>
      <c r="P462" s="445" t="str">
        <f>IF(tblContractForDeed[[#This Row],[Date]]="","",IF(tblContractForDeed[[#This Row],[Date]]&lt;cfdRateChangeDate,cfdRate1,cfdRate2))</f>
        <v/>
      </c>
      <c r="Q4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75">
        <f>IF(tblContractForDeed[[#This Row],[Payment]]=0,0,MAX(0,MIN(tblContractForDeed[[#This Row],[Beg]],tblContractForDeed[[#This Row],[Payment]]-tblContractForDeed[[#This Row],[Int]])))</f>
        <v>0</v>
      </c>
      <c r="S462" s="275">
        <f>IF(OR(tblContractForDeed[[#This Row],[Date]]&lt;cfdContractDate,tblContractForDeed[[#This Row],[Date]]&gt;cfdEndDate),0,ROUND(tblContractForDeed[[#This Row],[Beg]]*(tblContractForDeed[[#This Row],[Int Rate]]/12),2))</f>
        <v>0</v>
      </c>
      <c r="T462" s="275">
        <f>IF(tblContractForDeed[[#This Row],[Payment]]=0,0,$W$2)</f>
        <v>0</v>
      </c>
      <c r="U462" s="275">
        <f>IF(tblContractForDeed[[#This Row],[Princ]]=0,0,$W$3)</f>
        <v>0</v>
      </c>
      <c r="V462" s="275">
        <f>SUM(tblContractForDeed[[#This Row],[Princ]],tblContractForDeed[[#This Row],[Int]],tblContractForDeed[[#This Row],[Ins]],tblContractForDeed[[#This Row],[Taxes]])</f>
        <v>0</v>
      </c>
      <c r="W462" s="275">
        <f>SUM(INDEX(tblContractForDeed[Princ],1):INDEX(tblContractForDeed[Princ],ROW()-ROW(tblContractForDeed[#Headers])))</f>
        <v>75258.000000000029</v>
      </c>
      <c r="X462" s="275">
        <f>IF(tblContractForDeed[[#This Row],[Beg]]&lt;=0,0,tblContractForDeed[[#This Row],[Beg]]-tblContractForDeed[[#This Row],[Princ]])</f>
        <v>0</v>
      </c>
      <c r="Y46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54">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2" s="275">
        <f>IF(INDEX(tblContractForDeed[End Bal],ROW()-ROW(tblBuyerOutputs[#Headers]))&lt;=0,0,($O$6+IF(ROW()=ROW(tblBuyerOutputs[#Headers])+1,0,INDEX(tblBuyerOutputs[Cumul Appr],ROW()-ROW(tblBuyerOutputs[#Headers])-1)))*$O$2/12)</f>
        <v>0</v>
      </c>
      <c r="AE462" s="275">
        <f>IF(INDEX(tblContractForDeed[End Bal],ROW()-ROW(tblBuyerOutputs[#Headers]))&lt;=0,0,IF(ROW()=ROW(tblBuyerOutputs[#Headers])+1,0,INDEX(tblBuyerOutputs[Cumul Appr],ROW()-ROW(tblBuyerOutputs[#Headers])-1))+tblBuyerOutputs[[#This Row],[Monthly Appr]])</f>
        <v>0</v>
      </c>
      <c r="AF462" s="22"/>
      <c r="AG462" s="14"/>
      <c r="AL462"/>
      <c r="AM462" s="14"/>
      <c r="AO462" s="275"/>
      <c r="AQ462" s="14"/>
      <c r="AR462"/>
    </row>
    <row r="463" spans="1:44" ht="15.75" thickBot="1" x14ac:dyDescent="0.3">
      <c r="A463" s="591" t="str">
        <f t="shared" si="92"/>
        <v/>
      </c>
      <c r="B463" s="326">
        <f t="shared" si="93"/>
        <v>0</v>
      </c>
      <c r="C463" s="21">
        <f t="shared" si="90"/>
        <v>0</v>
      </c>
      <c r="D463" s="21">
        <f t="shared" si="94"/>
        <v>0</v>
      </c>
      <c r="E463" s="21">
        <f t="shared" si="91"/>
        <v>0</v>
      </c>
      <c r="F463" s="21">
        <f t="shared" ref="F463:G478" si="104">+F462</f>
        <v>134.16999999999999</v>
      </c>
      <c r="G463" s="21">
        <f t="shared" si="104"/>
        <v>188.55</v>
      </c>
      <c r="H463" s="21">
        <f t="shared" si="103"/>
        <v>322.72000000000003</v>
      </c>
      <c r="I463" s="326">
        <f t="shared" si="97"/>
        <v>97531.839999999953</v>
      </c>
      <c r="J463" s="326">
        <f t="shared" si="98"/>
        <v>36068.259999999973</v>
      </c>
      <c r="K463" s="326">
        <f t="shared" si="95"/>
        <v>0</v>
      </c>
      <c r="L463" s="387">
        <f t="shared" si="101"/>
        <v>0</v>
      </c>
      <c r="M463" s="387">
        <f t="shared" si="96"/>
        <v>0</v>
      </c>
      <c r="N463" s="591" t="str">
        <f>INDEX(tblSubjectToLoan[Date],ROW()-ROW(tblContractForDeed[#Headers]))</f>
        <v/>
      </c>
      <c r="O463" s="326">
        <f>IF(ROW()=ROW(tblContractForDeed[#Headers])+1,$O$6,IF(INDEX(tblContractForDeed[End Bal],ROW()-ROW(tblContractForDeed[#Headers])-1)&lt;0,0,INDEX(tblContractForDeed[End Bal],ROW()-ROW(tblContractForDeed[#Headers])-1)))</f>
        <v>0</v>
      </c>
      <c r="P463" s="445" t="str">
        <f>IF(tblContractForDeed[[#This Row],[Date]]="","",IF(tblContractForDeed[[#This Row],[Date]]&lt;cfdRateChangeDate,cfdRate1,cfdRate2))</f>
        <v/>
      </c>
      <c r="Q46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26">
        <f>IF(tblContractForDeed[[#This Row],[Payment]]=0,0,MAX(0,MIN(tblContractForDeed[[#This Row],[Beg]],tblContractForDeed[[#This Row],[Payment]]-tblContractForDeed[[#This Row],[Int]])))</f>
        <v>0</v>
      </c>
      <c r="S463" s="326">
        <f>IF(OR(tblContractForDeed[[#This Row],[Date]]&lt;cfdContractDate,tblContractForDeed[[#This Row],[Date]]&gt;cfdEndDate),0,ROUND(tblContractForDeed[[#This Row],[Beg]]*(tblContractForDeed[[#This Row],[Int Rate]]/12),2))</f>
        <v>0</v>
      </c>
      <c r="T463" s="326">
        <f>IF(tblContractForDeed[[#This Row],[Payment]]=0,0,$W$2)</f>
        <v>0</v>
      </c>
      <c r="U463" s="326">
        <f>IF(tblContractForDeed[[#This Row],[Princ]]=0,0,$W$3)</f>
        <v>0</v>
      </c>
      <c r="V463" s="326">
        <f>SUM(tblContractForDeed[[#This Row],[Princ]],tblContractForDeed[[#This Row],[Int]],tblContractForDeed[[#This Row],[Ins]],tblContractForDeed[[#This Row],[Taxes]])</f>
        <v>0</v>
      </c>
      <c r="W463" s="326">
        <f>SUM(INDEX(tblContractForDeed[Princ],1):INDEX(tblContractForDeed[Princ],ROW()-ROW(tblContractForDeed[#Headers])))</f>
        <v>75258.000000000029</v>
      </c>
      <c r="X463" s="326">
        <f>IF(tblContractForDeed[[#This Row],[Beg]]&lt;=0,0,tblContractForDeed[[#This Row],[Beg]]-tblContractForDeed[[#This Row],[Princ]])</f>
        <v>0</v>
      </c>
      <c r="Y46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55">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3" s="326">
        <f>IF(INDEX(tblContractForDeed[End Bal],ROW()-ROW(tblBuyerOutputs[#Headers]))&lt;=0,0,($O$6+IF(ROW()=ROW(tblBuyerOutputs[#Headers])+1,0,INDEX(tblBuyerOutputs[Cumul Appr],ROW()-ROW(tblBuyerOutputs[#Headers])-1)))*$O$2/12)</f>
        <v>0</v>
      </c>
      <c r="AE463" s="326">
        <f>IF(INDEX(tblContractForDeed[End Bal],ROW()-ROW(tblBuyerOutputs[#Headers]))&lt;=0,0,IF(ROW()=ROW(tblBuyerOutputs[#Headers])+1,0,INDEX(tblBuyerOutputs[Cumul Appr],ROW()-ROW(tblBuyerOutputs[#Headers])-1))+tblBuyerOutputs[[#This Row],[Monthly Appr]])</f>
        <v>0</v>
      </c>
      <c r="AF463" s="22"/>
      <c r="AG463" s="14"/>
      <c r="AL463"/>
      <c r="AM463" s="14"/>
      <c r="AO463" s="275"/>
      <c r="AQ463" s="14"/>
      <c r="AR463"/>
    </row>
    <row r="464" spans="1:44" x14ac:dyDescent="0.25">
      <c r="A464" s="590" t="str">
        <f t="shared" si="92"/>
        <v/>
      </c>
      <c r="B464" s="275">
        <f t="shared" si="93"/>
        <v>0</v>
      </c>
      <c r="C464" s="14">
        <f t="shared" si="90"/>
        <v>0</v>
      </c>
      <c r="D464" s="14">
        <f t="shared" si="94"/>
        <v>0</v>
      </c>
      <c r="E464" s="14">
        <f t="shared" si="91"/>
        <v>0</v>
      </c>
      <c r="F464" s="14">
        <f t="shared" si="104"/>
        <v>134.16999999999999</v>
      </c>
      <c r="G464" s="14">
        <f t="shared" si="104"/>
        <v>188.55</v>
      </c>
      <c r="H464" s="14">
        <f t="shared" si="103"/>
        <v>322.72000000000003</v>
      </c>
      <c r="I464" s="275">
        <f t="shared" si="97"/>
        <v>97531.839999999953</v>
      </c>
      <c r="J464" s="275">
        <f t="shared" si="98"/>
        <v>36068.259999999973</v>
      </c>
      <c r="K464" s="275">
        <f t="shared" si="95"/>
        <v>0</v>
      </c>
      <c r="L464" s="386">
        <f t="shared" si="101"/>
        <v>0</v>
      </c>
      <c r="M464" s="386">
        <f t="shared" si="96"/>
        <v>0</v>
      </c>
      <c r="N464" s="590" t="str">
        <f>INDEX(tblSubjectToLoan[Date],ROW()-ROW(tblContractForDeed[#Headers]))</f>
        <v/>
      </c>
      <c r="O464" s="275">
        <f>IF(ROW()=ROW(tblContractForDeed[#Headers])+1,$O$6,IF(INDEX(tblContractForDeed[End Bal],ROW()-ROW(tblContractForDeed[#Headers])-1)&lt;0,0,INDEX(tblContractForDeed[End Bal],ROW()-ROW(tblContractForDeed[#Headers])-1)))</f>
        <v>0</v>
      </c>
      <c r="P464" s="445" t="str">
        <f>IF(tblContractForDeed[[#This Row],[Date]]="","",IF(tblContractForDeed[[#This Row],[Date]]&lt;cfdRateChangeDate,cfdRate1,cfdRate2))</f>
        <v/>
      </c>
      <c r="Q4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75">
        <f>IF(tblContractForDeed[[#This Row],[Payment]]=0,0,MAX(0,MIN(tblContractForDeed[[#This Row],[Beg]],tblContractForDeed[[#This Row],[Payment]]-tblContractForDeed[[#This Row],[Int]])))</f>
        <v>0</v>
      </c>
      <c r="S464" s="275">
        <f>IF(OR(tblContractForDeed[[#This Row],[Date]]&lt;cfdContractDate,tblContractForDeed[[#This Row],[Date]]&gt;cfdEndDate),0,ROUND(tblContractForDeed[[#This Row],[Beg]]*(tblContractForDeed[[#This Row],[Int Rate]]/12),2))</f>
        <v>0</v>
      </c>
      <c r="T464" s="275">
        <f>IF(tblContractForDeed[[#This Row],[Payment]]=0,0,$W$2)</f>
        <v>0</v>
      </c>
      <c r="U464" s="275">
        <f>IF(tblContractForDeed[[#This Row],[Princ]]=0,0,$W$3)</f>
        <v>0</v>
      </c>
      <c r="V464" s="275">
        <f>SUM(tblContractForDeed[[#This Row],[Princ]],tblContractForDeed[[#This Row],[Int]],tblContractForDeed[[#This Row],[Ins]],tblContractForDeed[[#This Row],[Taxes]])</f>
        <v>0</v>
      </c>
      <c r="W464" s="275">
        <f>SUM(INDEX(tblContractForDeed[Princ],1):INDEX(tblContractForDeed[Princ],ROW()-ROW(tblContractForDeed[#Headers])))</f>
        <v>75258.000000000029</v>
      </c>
      <c r="X464" s="275">
        <f>IF(tblContractForDeed[[#This Row],[Beg]]&lt;=0,0,tblContractForDeed[[#This Row],[Beg]]-tblContractForDeed[[#This Row],[Princ]])</f>
        <v>0</v>
      </c>
      <c r="Y46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54">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4" s="275">
        <f>IF(INDEX(tblContractForDeed[End Bal],ROW()-ROW(tblBuyerOutputs[#Headers]))&lt;=0,0,($O$6+IF(ROW()=ROW(tblBuyerOutputs[#Headers])+1,0,INDEX(tblBuyerOutputs[Cumul Appr],ROW()-ROW(tblBuyerOutputs[#Headers])-1)))*$O$2/12)</f>
        <v>0</v>
      </c>
      <c r="AE464" s="275">
        <f>IF(INDEX(tblContractForDeed[End Bal],ROW()-ROW(tblBuyerOutputs[#Headers]))&lt;=0,0,IF(ROW()=ROW(tblBuyerOutputs[#Headers])+1,0,INDEX(tblBuyerOutputs[Cumul Appr],ROW()-ROW(tblBuyerOutputs[#Headers])-1))+tblBuyerOutputs[[#This Row],[Monthly Appr]])</f>
        <v>0</v>
      </c>
      <c r="AF464" s="22"/>
      <c r="AG464" s="14"/>
      <c r="AL464"/>
      <c r="AM464" s="14"/>
      <c r="AO464" s="275"/>
      <c r="AQ464" s="14"/>
      <c r="AR464"/>
    </row>
    <row r="465" spans="1:44" x14ac:dyDescent="0.25">
      <c r="A465" s="590" t="str">
        <f t="shared" si="92"/>
        <v/>
      </c>
      <c r="B465" s="275">
        <f t="shared" si="93"/>
        <v>0</v>
      </c>
      <c r="C465" s="14">
        <f t="shared" si="90"/>
        <v>0</v>
      </c>
      <c r="D465" s="14">
        <f t="shared" si="94"/>
        <v>0</v>
      </c>
      <c r="E465" s="14">
        <f t="shared" si="91"/>
        <v>0</v>
      </c>
      <c r="F465" s="14">
        <f t="shared" si="104"/>
        <v>134.16999999999999</v>
      </c>
      <c r="G465" s="14">
        <f t="shared" si="104"/>
        <v>188.55</v>
      </c>
      <c r="H465" s="14">
        <f t="shared" si="103"/>
        <v>322.72000000000003</v>
      </c>
      <c r="I465" s="275">
        <f t="shared" si="97"/>
        <v>97531.839999999953</v>
      </c>
      <c r="J465" s="275">
        <f t="shared" si="98"/>
        <v>36068.259999999973</v>
      </c>
      <c r="K465" s="275">
        <f t="shared" si="95"/>
        <v>0</v>
      </c>
      <c r="L465" s="386">
        <f t="shared" si="101"/>
        <v>0</v>
      </c>
      <c r="M465" s="386">
        <f t="shared" si="96"/>
        <v>0</v>
      </c>
      <c r="N465" s="590" t="str">
        <f>INDEX(tblSubjectToLoan[Date],ROW()-ROW(tblContractForDeed[#Headers]))</f>
        <v/>
      </c>
      <c r="O465" s="275">
        <f>IF(ROW()=ROW(tblContractForDeed[#Headers])+1,$O$6,IF(INDEX(tblContractForDeed[End Bal],ROW()-ROW(tblContractForDeed[#Headers])-1)&lt;0,0,INDEX(tblContractForDeed[End Bal],ROW()-ROW(tblContractForDeed[#Headers])-1)))</f>
        <v>0</v>
      </c>
      <c r="P465" s="445" t="str">
        <f>IF(tblContractForDeed[[#This Row],[Date]]="","",IF(tblContractForDeed[[#This Row],[Date]]&lt;cfdRateChangeDate,cfdRate1,cfdRate2))</f>
        <v/>
      </c>
      <c r="Q4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75">
        <f>IF(tblContractForDeed[[#This Row],[Payment]]=0,0,MAX(0,MIN(tblContractForDeed[[#This Row],[Beg]],tblContractForDeed[[#This Row],[Payment]]-tblContractForDeed[[#This Row],[Int]])))</f>
        <v>0</v>
      </c>
      <c r="S465" s="275">
        <f>IF(OR(tblContractForDeed[[#This Row],[Date]]&lt;cfdContractDate,tblContractForDeed[[#This Row],[Date]]&gt;cfdEndDate),0,ROUND(tblContractForDeed[[#This Row],[Beg]]*(tblContractForDeed[[#This Row],[Int Rate]]/12),2))</f>
        <v>0</v>
      </c>
      <c r="T465" s="275">
        <f>IF(tblContractForDeed[[#This Row],[Payment]]=0,0,$W$2)</f>
        <v>0</v>
      </c>
      <c r="U465" s="275">
        <f>IF(tblContractForDeed[[#This Row],[Princ]]=0,0,$W$3)</f>
        <v>0</v>
      </c>
      <c r="V465" s="275">
        <f>SUM(tblContractForDeed[[#This Row],[Princ]],tblContractForDeed[[#This Row],[Int]],tblContractForDeed[[#This Row],[Ins]],tblContractForDeed[[#This Row],[Taxes]])</f>
        <v>0</v>
      </c>
      <c r="W465" s="275">
        <f>SUM(INDEX(tblContractForDeed[Princ],1):INDEX(tblContractForDeed[Princ],ROW()-ROW(tblContractForDeed[#Headers])))</f>
        <v>75258.000000000029</v>
      </c>
      <c r="X465" s="275">
        <f>IF(tblContractForDeed[[#This Row],[Beg]]&lt;=0,0,tblContractForDeed[[#This Row],[Beg]]-tblContractForDeed[[#This Row],[Princ]])</f>
        <v>0</v>
      </c>
      <c r="Y46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54">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5" s="275">
        <f>IF(INDEX(tblContractForDeed[End Bal],ROW()-ROW(tblBuyerOutputs[#Headers]))&lt;=0,0,($O$6+IF(ROW()=ROW(tblBuyerOutputs[#Headers])+1,0,INDEX(tblBuyerOutputs[Cumul Appr],ROW()-ROW(tblBuyerOutputs[#Headers])-1)))*$O$2/12)</f>
        <v>0</v>
      </c>
      <c r="AE465" s="275">
        <f>IF(INDEX(tblContractForDeed[End Bal],ROW()-ROW(tblBuyerOutputs[#Headers]))&lt;=0,0,IF(ROW()=ROW(tblBuyerOutputs[#Headers])+1,0,INDEX(tblBuyerOutputs[Cumul Appr],ROW()-ROW(tblBuyerOutputs[#Headers])-1))+tblBuyerOutputs[[#This Row],[Monthly Appr]])</f>
        <v>0</v>
      </c>
      <c r="AF465" s="22"/>
      <c r="AG465" s="14"/>
      <c r="AL465"/>
      <c r="AM465" s="14"/>
      <c r="AO465" s="275"/>
      <c r="AQ465" s="14"/>
      <c r="AR465"/>
    </row>
    <row r="466" spans="1:44" x14ac:dyDescent="0.25">
      <c r="A466" s="590" t="str">
        <f t="shared" si="92"/>
        <v/>
      </c>
      <c r="B466" s="275">
        <f t="shared" si="93"/>
        <v>0</v>
      </c>
      <c r="C466" s="14">
        <f t="shared" si="90"/>
        <v>0</v>
      </c>
      <c r="D466" s="14">
        <f t="shared" si="94"/>
        <v>0</v>
      </c>
      <c r="E466" s="14">
        <f t="shared" si="91"/>
        <v>0</v>
      </c>
      <c r="F466" s="14">
        <f t="shared" si="104"/>
        <v>134.16999999999999</v>
      </c>
      <c r="G466" s="14">
        <f t="shared" si="104"/>
        <v>188.55</v>
      </c>
      <c r="H466" s="14">
        <f t="shared" si="103"/>
        <v>322.72000000000003</v>
      </c>
      <c r="I466" s="275">
        <f t="shared" si="97"/>
        <v>97531.839999999953</v>
      </c>
      <c r="J466" s="275">
        <f t="shared" si="98"/>
        <v>36068.259999999973</v>
      </c>
      <c r="K466" s="275">
        <f t="shared" si="95"/>
        <v>0</v>
      </c>
      <c r="L466" s="386">
        <f t="shared" si="101"/>
        <v>0</v>
      </c>
      <c r="M466" s="386">
        <f t="shared" si="96"/>
        <v>0</v>
      </c>
      <c r="N466" s="590" t="str">
        <f>INDEX(tblSubjectToLoan[Date],ROW()-ROW(tblContractForDeed[#Headers]))</f>
        <v/>
      </c>
      <c r="O466" s="275">
        <f>IF(ROW()=ROW(tblContractForDeed[#Headers])+1,$O$6,IF(INDEX(tblContractForDeed[End Bal],ROW()-ROW(tblContractForDeed[#Headers])-1)&lt;0,0,INDEX(tblContractForDeed[End Bal],ROW()-ROW(tblContractForDeed[#Headers])-1)))</f>
        <v>0</v>
      </c>
      <c r="P466" s="445" t="str">
        <f>IF(tblContractForDeed[[#This Row],[Date]]="","",IF(tblContractForDeed[[#This Row],[Date]]&lt;cfdRateChangeDate,cfdRate1,cfdRate2))</f>
        <v/>
      </c>
      <c r="Q4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75">
        <f>IF(tblContractForDeed[[#This Row],[Payment]]=0,0,MAX(0,MIN(tblContractForDeed[[#This Row],[Beg]],tblContractForDeed[[#This Row],[Payment]]-tblContractForDeed[[#This Row],[Int]])))</f>
        <v>0</v>
      </c>
      <c r="S466" s="275">
        <f>IF(OR(tblContractForDeed[[#This Row],[Date]]&lt;cfdContractDate,tblContractForDeed[[#This Row],[Date]]&gt;cfdEndDate),0,ROUND(tblContractForDeed[[#This Row],[Beg]]*(tblContractForDeed[[#This Row],[Int Rate]]/12),2))</f>
        <v>0</v>
      </c>
      <c r="T466" s="275">
        <f>IF(tblContractForDeed[[#This Row],[Payment]]=0,0,$W$2)</f>
        <v>0</v>
      </c>
      <c r="U466" s="275">
        <f>IF(tblContractForDeed[[#This Row],[Princ]]=0,0,$W$3)</f>
        <v>0</v>
      </c>
      <c r="V466" s="275">
        <f>SUM(tblContractForDeed[[#This Row],[Princ]],tblContractForDeed[[#This Row],[Int]],tblContractForDeed[[#This Row],[Ins]],tblContractForDeed[[#This Row],[Taxes]])</f>
        <v>0</v>
      </c>
      <c r="W466" s="275">
        <f>SUM(INDEX(tblContractForDeed[Princ],1):INDEX(tblContractForDeed[Princ],ROW()-ROW(tblContractForDeed[#Headers])))</f>
        <v>75258.000000000029</v>
      </c>
      <c r="X466" s="275">
        <f>IF(tblContractForDeed[[#This Row],[Beg]]&lt;=0,0,tblContractForDeed[[#This Row],[Beg]]-tblContractForDeed[[#This Row],[Princ]])</f>
        <v>0</v>
      </c>
      <c r="Y46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54">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6" s="275">
        <f>IF(INDEX(tblContractForDeed[End Bal],ROW()-ROW(tblBuyerOutputs[#Headers]))&lt;=0,0,($O$6+IF(ROW()=ROW(tblBuyerOutputs[#Headers])+1,0,INDEX(tblBuyerOutputs[Cumul Appr],ROW()-ROW(tblBuyerOutputs[#Headers])-1)))*$O$2/12)</f>
        <v>0</v>
      </c>
      <c r="AE466" s="275">
        <f>IF(INDEX(tblContractForDeed[End Bal],ROW()-ROW(tblBuyerOutputs[#Headers]))&lt;=0,0,IF(ROW()=ROW(tblBuyerOutputs[#Headers])+1,0,INDEX(tblBuyerOutputs[Cumul Appr],ROW()-ROW(tblBuyerOutputs[#Headers])-1))+tblBuyerOutputs[[#This Row],[Monthly Appr]])</f>
        <v>0</v>
      </c>
      <c r="AF466" s="22"/>
      <c r="AG466" s="14"/>
      <c r="AL466"/>
      <c r="AM466" s="14"/>
      <c r="AO466" s="275"/>
      <c r="AQ466" s="14"/>
      <c r="AR466"/>
    </row>
    <row r="467" spans="1:44" x14ac:dyDescent="0.25">
      <c r="A467" s="590" t="str">
        <f t="shared" si="92"/>
        <v/>
      </c>
      <c r="B467" s="275">
        <f t="shared" si="93"/>
        <v>0</v>
      </c>
      <c r="C467" s="14">
        <f t="shared" si="90"/>
        <v>0</v>
      </c>
      <c r="D467" s="14">
        <f t="shared" si="94"/>
        <v>0</v>
      </c>
      <c r="E467" s="14">
        <f t="shared" si="91"/>
        <v>0</v>
      </c>
      <c r="F467" s="14">
        <f t="shared" si="104"/>
        <v>134.16999999999999</v>
      </c>
      <c r="G467" s="14">
        <f t="shared" si="104"/>
        <v>188.55</v>
      </c>
      <c r="H467" s="14">
        <f t="shared" si="103"/>
        <v>322.72000000000003</v>
      </c>
      <c r="I467" s="275">
        <f t="shared" si="97"/>
        <v>97531.839999999953</v>
      </c>
      <c r="J467" s="275">
        <f t="shared" si="98"/>
        <v>36068.259999999973</v>
      </c>
      <c r="K467" s="275">
        <f t="shared" si="95"/>
        <v>0</v>
      </c>
      <c r="L467" s="386">
        <f t="shared" si="101"/>
        <v>0</v>
      </c>
      <c r="M467" s="386">
        <f t="shared" si="96"/>
        <v>0</v>
      </c>
      <c r="N467" s="590" t="str">
        <f>INDEX(tblSubjectToLoan[Date],ROW()-ROW(tblContractForDeed[#Headers]))</f>
        <v/>
      </c>
      <c r="O467" s="275">
        <f>IF(ROW()=ROW(tblContractForDeed[#Headers])+1,$O$6,IF(INDEX(tblContractForDeed[End Bal],ROW()-ROW(tblContractForDeed[#Headers])-1)&lt;0,0,INDEX(tblContractForDeed[End Bal],ROW()-ROW(tblContractForDeed[#Headers])-1)))</f>
        <v>0</v>
      </c>
      <c r="P467" s="445" t="str">
        <f>IF(tblContractForDeed[[#This Row],[Date]]="","",IF(tblContractForDeed[[#This Row],[Date]]&lt;cfdRateChangeDate,cfdRate1,cfdRate2))</f>
        <v/>
      </c>
      <c r="Q46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75">
        <f>IF(tblContractForDeed[[#This Row],[Payment]]=0,0,MAX(0,MIN(tblContractForDeed[[#This Row],[Beg]],tblContractForDeed[[#This Row],[Payment]]-tblContractForDeed[[#This Row],[Int]])))</f>
        <v>0</v>
      </c>
      <c r="S467" s="275">
        <f>IF(OR(tblContractForDeed[[#This Row],[Date]]&lt;cfdContractDate,tblContractForDeed[[#This Row],[Date]]&gt;cfdEndDate),0,ROUND(tblContractForDeed[[#This Row],[Beg]]*(tblContractForDeed[[#This Row],[Int Rate]]/12),2))</f>
        <v>0</v>
      </c>
      <c r="T467" s="275">
        <f>IF(tblContractForDeed[[#This Row],[Payment]]=0,0,$W$2)</f>
        <v>0</v>
      </c>
      <c r="U467" s="275">
        <f>IF(tblContractForDeed[[#This Row],[Princ]]=0,0,$W$3)</f>
        <v>0</v>
      </c>
      <c r="V467" s="275">
        <f>SUM(tblContractForDeed[[#This Row],[Princ]],tblContractForDeed[[#This Row],[Int]],tblContractForDeed[[#This Row],[Ins]],tblContractForDeed[[#This Row],[Taxes]])</f>
        <v>0</v>
      </c>
      <c r="W467" s="275">
        <f>SUM(INDEX(tblContractForDeed[Princ],1):INDEX(tblContractForDeed[Princ],ROW()-ROW(tblContractForDeed[#Headers])))</f>
        <v>75258.000000000029</v>
      </c>
      <c r="X467" s="275">
        <f>IF(tblContractForDeed[[#This Row],[Beg]]&lt;=0,0,tblContractForDeed[[#This Row],[Beg]]-tblContractForDeed[[#This Row],[Princ]])</f>
        <v>0</v>
      </c>
      <c r="Y46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54">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7" s="275">
        <f>IF(INDEX(tblContractForDeed[End Bal],ROW()-ROW(tblBuyerOutputs[#Headers]))&lt;=0,0,($O$6+IF(ROW()=ROW(tblBuyerOutputs[#Headers])+1,0,INDEX(tblBuyerOutputs[Cumul Appr],ROW()-ROW(tblBuyerOutputs[#Headers])-1)))*$O$2/12)</f>
        <v>0</v>
      </c>
      <c r="AE467" s="275">
        <f>IF(INDEX(tblContractForDeed[End Bal],ROW()-ROW(tblBuyerOutputs[#Headers]))&lt;=0,0,IF(ROW()=ROW(tblBuyerOutputs[#Headers])+1,0,INDEX(tblBuyerOutputs[Cumul Appr],ROW()-ROW(tblBuyerOutputs[#Headers])-1))+tblBuyerOutputs[[#This Row],[Monthly Appr]])</f>
        <v>0</v>
      </c>
      <c r="AF467" s="22"/>
      <c r="AG467" s="14"/>
      <c r="AL467"/>
      <c r="AM467" s="14"/>
      <c r="AO467" s="275"/>
      <c r="AQ467" s="14"/>
      <c r="AR467"/>
    </row>
    <row r="468" spans="1:44" x14ac:dyDescent="0.25">
      <c r="A468" s="590" t="str">
        <f t="shared" si="92"/>
        <v/>
      </c>
      <c r="B468" s="275">
        <f t="shared" si="93"/>
        <v>0</v>
      </c>
      <c r="C468" s="14">
        <f t="shared" ref="C468:C531" si="105">IF(A468="",0,IF(B468&lt;=0,0,IF(A468=subjectMortgageEndDate,B468+E468,MIN(subjectPayment,B468+E468))))</f>
        <v>0</v>
      </c>
      <c r="D468" s="14">
        <f t="shared" si="94"/>
        <v>0</v>
      </c>
      <c r="E468" s="14">
        <f t="shared" ref="E468:E531" si="106">IF(OR(A468="",B468&lt;=0),0,ROUND(B468*(subjectInterestRate/12),2))</f>
        <v>0</v>
      </c>
      <c r="F468" s="14">
        <f t="shared" si="104"/>
        <v>134.16999999999999</v>
      </c>
      <c r="G468" s="14">
        <f t="shared" si="104"/>
        <v>188.55</v>
      </c>
      <c r="H468" s="14">
        <f t="shared" si="103"/>
        <v>322.72000000000003</v>
      </c>
      <c r="I468" s="275">
        <f t="shared" si="97"/>
        <v>97531.839999999953</v>
      </c>
      <c r="J468" s="275">
        <f t="shared" si="98"/>
        <v>36068.259999999973</v>
      </c>
      <c r="K468" s="275">
        <f t="shared" si="95"/>
        <v>0</v>
      </c>
      <c r="L468" s="386">
        <f t="shared" si="101"/>
        <v>0</v>
      </c>
      <c r="M468" s="386">
        <f t="shared" si="96"/>
        <v>0</v>
      </c>
      <c r="N468" s="590" t="str">
        <f>INDEX(tblSubjectToLoan[Date],ROW()-ROW(tblContractForDeed[#Headers]))</f>
        <v/>
      </c>
      <c r="O468" s="275">
        <f>IF(ROW()=ROW(tblContractForDeed[#Headers])+1,$O$6,IF(INDEX(tblContractForDeed[End Bal],ROW()-ROW(tblContractForDeed[#Headers])-1)&lt;0,0,INDEX(tblContractForDeed[End Bal],ROW()-ROW(tblContractForDeed[#Headers])-1)))</f>
        <v>0</v>
      </c>
      <c r="P468" s="445" t="str">
        <f>IF(tblContractForDeed[[#This Row],[Date]]="","",IF(tblContractForDeed[[#This Row],[Date]]&lt;cfdRateChangeDate,cfdRate1,cfdRate2))</f>
        <v/>
      </c>
      <c r="Q4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75">
        <f>IF(tblContractForDeed[[#This Row],[Payment]]=0,0,MAX(0,MIN(tblContractForDeed[[#This Row],[Beg]],tblContractForDeed[[#This Row],[Payment]]-tblContractForDeed[[#This Row],[Int]])))</f>
        <v>0</v>
      </c>
      <c r="S468" s="275">
        <f>IF(OR(tblContractForDeed[[#This Row],[Date]]&lt;cfdContractDate,tblContractForDeed[[#This Row],[Date]]&gt;cfdEndDate),0,ROUND(tblContractForDeed[[#This Row],[Beg]]*(tblContractForDeed[[#This Row],[Int Rate]]/12),2))</f>
        <v>0</v>
      </c>
      <c r="T468" s="275">
        <f>IF(tblContractForDeed[[#This Row],[Payment]]=0,0,$W$2)</f>
        <v>0</v>
      </c>
      <c r="U468" s="275">
        <f>IF(tblContractForDeed[[#This Row],[Princ]]=0,0,$W$3)</f>
        <v>0</v>
      </c>
      <c r="V468" s="275">
        <f>SUM(tblContractForDeed[[#This Row],[Princ]],tblContractForDeed[[#This Row],[Int]],tblContractForDeed[[#This Row],[Ins]],tblContractForDeed[[#This Row],[Taxes]])</f>
        <v>0</v>
      </c>
      <c r="W468" s="275">
        <f>SUM(INDEX(tblContractForDeed[Princ],1):INDEX(tblContractForDeed[Princ],ROW()-ROW(tblContractForDeed[#Headers])))</f>
        <v>75258.000000000029</v>
      </c>
      <c r="X468" s="275">
        <f>IF(tblContractForDeed[[#This Row],[Beg]]&lt;=0,0,tblContractForDeed[[#This Row],[Beg]]-tblContractForDeed[[#This Row],[Princ]])</f>
        <v>0</v>
      </c>
      <c r="Y46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54">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8" s="275">
        <f>IF(INDEX(tblContractForDeed[End Bal],ROW()-ROW(tblBuyerOutputs[#Headers]))&lt;=0,0,($O$6+IF(ROW()=ROW(tblBuyerOutputs[#Headers])+1,0,INDEX(tblBuyerOutputs[Cumul Appr],ROW()-ROW(tblBuyerOutputs[#Headers])-1)))*$O$2/12)</f>
        <v>0</v>
      </c>
      <c r="AE468" s="275">
        <f>IF(INDEX(tblContractForDeed[End Bal],ROW()-ROW(tblBuyerOutputs[#Headers]))&lt;=0,0,IF(ROW()=ROW(tblBuyerOutputs[#Headers])+1,0,INDEX(tblBuyerOutputs[Cumul Appr],ROW()-ROW(tblBuyerOutputs[#Headers])-1))+tblBuyerOutputs[[#This Row],[Monthly Appr]])</f>
        <v>0</v>
      </c>
      <c r="AF468" s="22"/>
      <c r="AG468" s="14"/>
      <c r="AL468"/>
      <c r="AM468" s="14"/>
      <c r="AO468" s="275"/>
      <c r="AQ468" s="14"/>
      <c r="AR468"/>
    </row>
    <row r="469" spans="1:44" x14ac:dyDescent="0.25">
      <c r="A469" s="590" t="str">
        <f t="shared" ref="A469:A532" si="107">IF(OR(A468="",A468&gt;=subjectMortgageEndDate),"",EDATE(A468,1))</f>
        <v/>
      </c>
      <c r="B469" s="275">
        <f t="shared" ref="B469:B532" si="108">IF(A469="",0,MAX(0,K468))</f>
        <v>0</v>
      </c>
      <c r="C469" s="14">
        <f t="shared" si="105"/>
        <v>0</v>
      </c>
      <c r="D469" s="14">
        <f t="shared" ref="D469:D532" si="109">IF(C469=0,0,MAX(0,MIN(B469,C469-E469)))</f>
        <v>0</v>
      </c>
      <c r="E469" s="14">
        <f t="shared" si="106"/>
        <v>0</v>
      </c>
      <c r="F469" s="14">
        <f t="shared" si="104"/>
        <v>134.16999999999999</v>
      </c>
      <c r="G469" s="14">
        <f t="shared" si="104"/>
        <v>188.55</v>
      </c>
      <c r="H469" s="14">
        <f t="shared" si="103"/>
        <v>322.72000000000003</v>
      </c>
      <c r="I469" s="275">
        <f t="shared" si="97"/>
        <v>97531.839999999953</v>
      </c>
      <c r="J469" s="275">
        <f t="shared" si="98"/>
        <v>36068.259999999973</v>
      </c>
      <c r="K469" s="275">
        <f t="shared" ref="K469:K532" si="110">IF(A469="",0,IF(B469&lt;=0,0,MAX(0,B469-D469)))</f>
        <v>0</v>
      </c>
      <c r="L469" s="386">
        <f t="shared" si="101"/>
        <v>0</v>
      </c>
      <c r="M469" s="386">
        <f t="shared" ref="M469:M532" si="111">IF($A469&lt;&gt;"",M468+1,0)</f>
        <v>0</v>
      </c>
      <c r="N469" s="590" t="str">
        <f>INDEX(tblSubjectToLoan[Date],ROW()-ROW(tblContractForDeed[#Headers]))</f>
        <v/>
      </c>
      <c r="O469" s="275">
        <f>IF(ROW()=ROW(tblContractForDeed[#Headers])+1,$O$6,IF(INDEX(tblContractForDeed[End Bal],ROW()-ROW(tblContractForDeed[#Headers])-1)&lt;0,0,INDEX(tblContractForDeed[End Bal],ROW()-ROW(tblContractForDeed[#Headers])-1)))</f>
        <v>0</v>
      </c>
      <c r="P469" s="445" t="str">
        <f>IF(tblContractForDeed[[#This Row],[Date]]="","",IF(tblContractForDeed[[#This Row],[Date]]&lt;cfdRateChangeDate,cfdRate1,cfdRate2))</f>
        <v/>
      </c>
      <c r="Q4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75">
        <f>IF(tblContractForDeed[[#This Row],[Payment]]=0,0,MAX(0,MIN(tblContractForDeed[[#This Row],[Beg]],tblContractForDeed[[#This Row],[Payment]]-tblContractForDeed[[#This Row],[Int]])))</f>
        <v>0</v>
      </c>
      <c r="S469" s="275">
        <f>IF(OR(tblContractForDeed[[#This Row],[Date]]&lt;cfdContractDate,tblContractForDeed[[#This Row],[Date]]&gt;cfdEndDate),0,ROUND(tblContractForDeed[[#This Row],[Beg]]*(tblContractForDeed[[#This Row],[Int Rate]]/12),2))</f>
        <v>0</v>
      </c>
      <c r="T469" s="275">
        <f>IF(tblContractForDeed[[#This Row],[Payment]]=0,0,$W$2)</f>
        <v>0</v>
      </c>
      <c r="U469" s="275">
        <f>IF(tblContractForDeed[[#This Row],[Princ]]=0,0,$W$3)</f>
        <v>0</v>
      </c>
      <c r="V469" s="275">
        <f>SUM(tblContractForDeed[[#This Row],[Princ]],tblContractForDeed[[#This Row],[Int]],tblContractForDeed[[#This Row],[Ins]],tblContractForDeed[[#This Row],[Taxes]])</f>
        <v>0</v>
      </c>
      <c r="W469" s="275">
        <f>SUM(INDEX(tblContractForDeed[Princ],1):INDEX(tblContractForDeed[Princ],ROW()-ROW(tblContractForDeed[#Headers])))</f>
        <v>75258.000000000029</v>
      </c>
      <c r="X469" s="275">
        <f>IF(tblContractForDeed[[#This Row],[Beg]]&lt;=0,0,tblContractForDeed[[#This Row],[Beg]]-tblContractForDeed[[#This Row],[Princ]])</f>
        <v>0</v>
      </c>
      <c r="Y46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54">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9" s="275">
        <f>IF(INDEX(tblContractForDeed[End Bal],ROW()-ROW(tblBuyerOutputs[#Headers]))&lt;=0,0,($O$6+IF(ROW()=ROW(tblBuyerOutputs[#Headers])+1,0,INDEX(tblBuyerOutputs[Cumul Appr],ROW()-ROW(tblBuyerOutputs[#Headers])-1)))*$O$2/12)</f>
        <v>0</v>
      </c>
      <c r="AE469" s="275">
        <f>IF(INDEX(tblContractForDeed[End Bal],ROW()-ROW(tblBuyerOutputs[#Headers]))&lt;=0,0,IF(ROW()=ROW(tblBuyerOutputs[#Headers])+1,0,INDEX(tblBuyerOutputs[Cumul Appr],ROW()-ROW(tblBuyerOutputs[#Headers])-1))+tblBuyerOutputs[[#This Row],[Monthly Appr]])</f>
        <v>0</v>
      </c>
      <c r="AF469" s="22"/>
      <c r="AG469" s="14"/>
      <c r="AL469"/>
      <c r="AM469" s="14"/>
      <c r="AO469" s="275"/>
      <c r="AQ469" s="14"/>
      <c r="AR469"/>
    </row>
    <row r="470" spans="1:44" x14ac:dyDescent="0.25">
      <c r="A470" s="590" t="str">
        <f t="shared" si="107"/>
        <v/>
      </c>
      <c r="B470" s="275">
        <f t="shared" si="108"/>
        <v>0</v>
      </c>
      <c r="C470" s="14">
        <f t="shared" si="105"/>
        <v>0</v>
      </c>
      <c r="D470" s="14">
        <f t="shared" si="109"/>
        <v>0</v>
      </c>
      <c r="E470" s="14">
        <f t="shared" si="106"/>
        <v>0</v>
      </c>
      <c r="F470" s="14">
        <f t="shared" si="104"/>
        <v>134.16999999999999</v>
      </c>
      <c r="G470" s="14">
        <f t="shared" si="104"/>
        <v>188.55</v>
      </c>
      <c r="H470" s="14">
        <f t="shared" si="103"/>
        <v>322.72000000000003</v>
      </c>
      <c r="I470" s="275">
        <f t="shared" ref="I470:I495" si="112">$D470+$I469</f>
        <v>97531.839999999953</v>
      </c>
      <c r="J470" s="275">
        <f t="shared" ref="J470:J495" si="113">$E470+$J469</f>
        <v>36068.259999999973</v>
      </c>
      <c r="K470" s="275">
        <f t="shared" si="110"/>
        <v>0</v>
      </c>
      <c r="L470" s="386">
        <f t="shared" si="101"/>
        <v>0</v>
      </c>
      <c r="M470" s="386">
        <f t="shared" si="111"/>
        <v>0</v>
      </c>
      <c r="N470" s="590" t="str">
        <f>INDEX(tblSubjectToLoan[Date],ROW()-ROW(tblContractForDeed[#Headers]))</f>
        <v/>
      </c>
      <c r="O470" s="275">
        <f>IF(ROW()=ROW(tblContractForDeed[#Headers])+1,$O$6,IF(INDEX(tblContractForDeed[End Bal],ROW()-ROW(tblContractForDeed[#Headers])-1)&lt;0,0,INDEX(tblContractForDeed[End Bal],ROW()-ROW(tblContractForDeed[#Headers])-1)))</f>
        <v>0</v>
      </c>
      <c r="P470" s="445" t="str">
        <f>IF(tblContractForDeed[[#This Row],[Date]]="","",IF(tblContractForDeed[[#This Row],[Date]]&lt;cfdRateChangeDate,cfdRate1,cfdRate2))</f>
        <v/>
      </c>
      <c r="Q4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75">
        <f>IF(tblContractForDeed[[#This Row],[Payment]]=0,0,MAX(0,MIN(tblContractForDeed[[#This Row],[Beg]],tblContractForDeed[[#This Row],[Payment]]-tblContractForDeed[[#This Row],[Int]])))</f>
        <v>0</v>
      </c>
      <c r="S470" s="275">
        <f>IF(OR(tblContractForDeed[[#This Row],[Date]]&lt;cfdContractDate,tblContractForDeed[[#This Row],[Date]]&gt;cfdEndDate),0,ROUND(tblContractForDeed[[#This Row],[Beg]]*(tblContractForDeed[[#This Row],[Int Rate]]/12),2))</f>
        <v>0</v>
      </c>
      <c r="T470" s="275">
        <f>IF(tblContractForDeed[[#This Row],[Payment]]=0,0,$W$2)</f>
        <v>0</v>
      </c>
      <c r="U470" s="275">
        <f>IF(tblContractForDeed[[#This Row],[Princ]]=0,0,$W$3)</f>
        <v>0</v>
      </c>
      <c r="V470" s="275">
        <f>SUM(tblContractForDeed[[#This Row],[Princ]],tblContractForDeed[[#This Row],[Int]],tblContractForDeed[[#This Row],[Ins]],tblContractForDeed[[#This Row],[Taxes]])</f>
        <v>0</v>
      </c>
      <c r="W470" s="275">
        <f>SUM(INDEX(tblContractForDeed[Princ],1):INDEX(tblContractForDeed[Princ],ROW()-ROW(tblContractForDeed[#Headers])))</f>
        <v>75258.000000000029</v>
      </c>
      <c r="X470" s="275">
        <f>IF(tblContractForDeed[[#This Row],[Beg]]&lt;=0,0,tblContractForDeed[[#This Row],[Beg]]-tblContractForDeed[[#This Row],[Princ]])</f>
        <v>0</v>
      </c>
      <c r="Y47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54">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0" s="275">
        <f>IF(INDEX(tblContractForDeed[End Bal],ROW()-ROW(tblBuyerOutputs[#Headers]))&lt;=0,0,($O$6+IF(ROW()=ROW(tblBuyerOutputs[#Headers])+1,0,INDEX(tblBuyerOutputs[Cumul Appr],ROW()-ROW(tblBuyerOutputs[#Headers])-1)))*$O$2/12)</f>
        <v>0</v>
      </c>
      <c r="AE470" s="275">
        <f>IF(INDEX(tblContractForDeed[End Bal],ROW()-ROW(tblBuyerOutputs[#Headers]))&lt;=0,0,IF(ROW()=ROW(tblBuyerOutputs[#Headers])+1,0,INDEX(tblBuyerOutputs[Cumul Appr],ROW()-ROW(tblBuyerOutputs[#Headers])-1))+tblBuyerOutputs[[#This Row],[Monthly Appr]])</f>
        <v>0</v>
      </c>
      <c r="AF470" s="22"/>
      <c r="AG470" s="14"/>
      <c r="AL470"/>
      <c r="AM470" s="14"/>
      <c r="AO470" s="275"/>
      <c r="AQ470" s="14"/>
      <c r="AR470"/>
    </row>
    <row r="471" spans="1:44" x14ac:dyDescent="0.25">
      <c r="A471" s="590" t="str">
        <f t="shared" si="107"/>
        <v/>
      </c>
      <c r="B471" s="275">
        <f t="shared" si="108"/>
        <v>0</v>
      </c>
      <c r="C471" s="14">
        <f t="shared" si="105"/>
        <v>0</v>
      </c>
      <c r="D471" s="14">
        <f t="shared" si="109"/>
        <v>0</v>
      </c>
      <c r="E471" s="14">
        <f t="shared" si="106"/>
        <v>0</v>
      </c>
      <c r="F471" s="14">
        <f t="shared" si="104"/>
        <v>134.16999999999999</v>
      </c>
      <c r="G471" s="14">
        <f t="shared" si="104"/>
        <v>188.55</v>
      </c>
      <c r="H471" s="14">
        <f t="shared" si="103"/>
        <v>322.72000000000003</v>
      </c>
      <c r="I471" s="275">
        <f t="shared" si="112"/>
        <v>97531.839999999953</v>
      </c>
      <c r="J471" s="275">
        <f t="shared" si="113"/>
        <v>36068.259999999973</v>
      </c>
      <c r="K471" s="275">
        <f t="shared" si="110"/>
        <v>0</v>
      </c>
      <c r="L471" s="386">
        <f t="shared" si="101"/>
        <v>0</v>
      </c>
      <c r="M471" s="386">
        <f t="shared" si="111"/>
        <v>0</v>
      </c>
      <c r="N471" s="590" t="str">
        <f>INDEX(tblSubjectToLoan[Date],ROW()-ROW(tblContractForDeed[#Headers]))</f>
        <v/>
      </c>
      <c r="O471" s="275">
        <f>IF(ROW()=ROW(tblContractForDeed[#Headers])+1,$O$6,IF(INDEX(tblContractForDeed[End Bal],ROW()-ROW(tblContractForDeed[#Headers])-1)&lt;0,0,INDEX(tblContractForDeed[End Bal],ROW()-ROW(tblContractForDeed[#Headers])-1)))</f>
        <v>0</v>
      </c>
      <c r="P471" s="445" t="str">
        <f>IF(tblContractForDeed[[#This Row],[Date]]="","",IF(tblContractForDeed[[#This Row],[Date]]&lt;cfdRateChangeDate,cfdRate1,cfdRate2))</f>
        <v/>
      </c>
      <c r="Q47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75">
        <f>IF(tblContractForDeed[[#This Row],[Payment]]=0,0,MAX(0,MIN(tblContractForDeed[[#This Row],[Beg]],tblContractForDeed[[#This Row],[Payment]]-tblContractForDeed[[#This Row],[Int]])))</f>
        <v>0</v>
      </c>
      <c r="S471" s="275">
        <f>IF(OR(tblContractForDeed[[#This Row],[Date]]&lt;cfdContractDate,tblContractForDeed[[#This Row],[Date]]&gt;cfdEndDate),0,ROUND(tblContractForDeed[[#This Row],[Beg]]*(tblContractForDeed[[#This Row],[Int Rate]]/12),2))</f>
        <v>0</v>
      </c>
      <c r="T471" s="275">
        <f>IF(tblContractForDeed[[#This Row],[Payment]]=0,0,$W$2)</f>
        <v>0</v>
      </c>
      <c r="U471" s="275">
        <f>IF(tblContractForDeed[[#This Row],[Princ]]=0,0,$W$3)</f>
        <v>0</v>
      </c>
      <c r="V471" s="275">
        <f>SUM(tblContractForDeed[[#This Row],[Princ]],tblContractForDeed[[#This Row],[Int]],tblContractForDeed[[#This Row],[Ins]],tblContractForDeed[[#This Row],[Taxes]])</f>
        <v>0</v>
      </c>
      <c r="W471" s="275">
        <f>SUM(INDEX(tblContractForDeed[Princ],1):INDEX(tblContractForDeed[Princ],ROW()-ROW(tblContractForDeed[#Headers])))</f>
        <v>75258.000000000029</v>
      </c>
      <c r="X471" s="275">
        <f>IF(tblContractForDeed[[#This Row],[Beg]]&lt;=0,0,tblContractForDeed[[#This Row],[Beg]]-tblContractForDeed[[#This Row],[Princ]])</f>
        <v>0</v>
      </c>
      <c r="Y47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54">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1" s="275">
        <f>IF(INDEX(tblContractForDeed[End Bal],ROW()-ROW(tblBuyerOutputs[#Headers]))&lt;=0,0,($O$6+IF(ROW()=ROW(tblBuyerOutputs[#Headers])+1,0,INDEX(tblBuyerOutputs[Cumul Appr],ROW()-ROW(tblBuyerOutputs[#Headers])-1)))*$O$2/12)</f>
        <v>0</v>
      </c>
      <c r="AE471" s="275">
        <f>IF(INDEX(tblContractForDeed[End Bal],ROW()-ROW(tblBuyerOutputs[#Headers]))&lt;=0,0,IF(ROW()=ROW(tblBuyerOutputs[#Headers])+1,0,INDEX(tblBuyerOutputs[Cumul Appr],ROW()-ROW(tblBuyerOutputs[#Headers])-1))+tblBuyerOutputs[[#This Row],[Monthly Appr]])</f>
        <v>0</v>
      </c>
      <c r="AF471" s="22"/>
      <c r="AG471" s="14"/>
      <c r="AL471"/>
      <c r="AM471" s="14"/>
      <c r="AO471" s="275"/>
      <c r="AQ471" s="14"/>
      <c r="AR471"/>
    </row>
    <row r="472" spans="1:44" x14ac:dyDescent="0.25">
      <c r="A472" s="590" t="str">
        <f t="shared" si="107"/>
        <v/>
      </c>
      <c r="B472" s="275">
        <f t="shared" si="108"/>
        <v>0</v>
      </c>
      <c r="C472" s="14">
        <f t="shared" si="105"/>
        <v>0</v>
      </c>
      <c r="D472" s="14">
        <f t="shared" si="109"/>
        <v>0</v>
      </c>
      <c r="E472" s="14">
        <f t="shared" si="106"/>
        <v>0</v>
      </c>
      <c r="F472" s="14">
        <f t="shared" si="104"/>
        <v>134.16999999999999</v>
      </c>
      <c r="G472" s="14">
        <f t="shared" si="104"/>
        <v>188.55</v>
      </c>
      <c r="H472" s="14">
        <f t="shared" si="103"/>
        <v>322.72000000000003</v>
      </c>
      <c r="I472" s="275">
        <f t="shared" si="112"/>
        <v>97531.839999999953</v>
      </c>
      <c r="J472" s="275">
        <f t="shared" si="113"/>
        <v>36068.259999999973</v>
      </c>
      <c r="K472" s="275">
        <f t="shared" si="110"/>
        <v>0</v>
      </c>
      <c r="L472" s="386">
        <f t="shared" si="101"/>
        <v>0</v>
      </c>
      <c r="M472" s="386">
        <f t="shared" si="111"/>
        <v>0</v>
      </c>
      <c r="N472" s="590" t="str">
        <f>INDEX(tblSubjectToLoan[Date],ROW()-ROW(tblContractForDeed[#Headers]))</f>
        <v/>
      </c>
      <c r="O472" s="275">
        <f>IF(ROW()=ROW(tblContractForDeed[#Headers])+1,$O$6,IF(INDEX(tblContractForDeed[End Bal],ROW()-ROW(tblContractForDeed[#Headers])-1)&lt;0,0,INDEX(tblContractForDeed[End Bal],ROW()-ROW(tblContractForDeed[#Headers])-1)))</f>
        <v>0</v>
      </c>
      <c r="P472" s="445" t="str">
        <f>IF(tblContractForDeed[[#This Row],[Date]]="","",IF(tblContractForDeed[[#This Row],[Date]]&lt;cfdRateChangeDate,cfdRate1,cfdRate2))</f>
        <v/>
      </c>
      <c r="Q4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75">
        <f>IF(tblContractForDeed[[#This Row],[Payment]]=0,0,MAX(0,MIN(tblContractForDeed[[#This Row],[Beg]],tblContractForDeed[[#This Row],[Payment]]-tblContractForDeed[[#This Row],[Int]])))</f>
        <v>0</v>
      </c>
      <c r="S472" s="275">
        <f>IF(OR(tblContractForDeed[[#This Row],[Date]]&lt;cfdContractDate,tblContractForDeed[[#This Row],[Date]]&gt;cfdEndDate),0,ROUND(tblContractForDeed[[#This Row],[Beg]]*(tblContractForDeed[[#This Row],[Int Rate]]/12),2))</f>
        <v>0</v>
      </c>
      <c r="T472" s="275">
        <f>IF(tblContractForDeed[[#This Row],[Payment]]=0,0,$W$2)</f>
        <v>0</v>
      </c>
      <c r="U472" s="275">
        <f>IF(tblContractForDeed[[#This Row],[Princ]]=0,0,$W$3)</f>
        <v>0</v>
      </c>
      <c r="V472" s="275">
        <f>SUM(tblContractForDeed[[#This Row],[Princ]],tblContractForDeed[[#This Row],[Int]],tblContractForDeed[[#This Row],[Ins]],tblContractForDeed[[#This Row],[Taxes]])</f>
        <v>0</v>
      </c>
      <c r="W472" s="275">
        <f>SUM(INDEX(tblContractForDeed[Princ],1):INDEX(tblContractForDeed[Princ],ROW()-ROW(tblContractForDeed[#Headers])))</f>
        <v>75258.000000000029</v>
      </c>
      <c r="X472" s="275">
        <f>IF(tblContractForDeed[[#This Row],[Beg]]&lt;=0,0,tblContractForDeed[[#This Row],[Beg]]-tblContractForDeed[[#This Row],[Princ]])</f>
        <v>0</v>
      </c>
      <c r="Y47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54">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2" s="275">
        <f>IF(INDEX(tblContractForDeed[End Bal],ROW()-ROW(tblBuyerOutputs[#Headers]))&lt;=0,0,($O$6+IF(ROW()=ROW(tblBuyerOutputs[#Headers])+1,0,INDEX(tblBuyerOutputs[Cumul Appr],ROW()-ROW(tblBuyerOutputs[#Headers])-1)))*$O$2/12)</f>
        <v>0</v>
      </c>
      <c r="AE472" s="275">
        <f>IF(INDEX(tblContractForDeed[End Bal],ROW()-ROW(tblBuyerOutputs[#Headers]))&lt;=0,0,IF(ROW()=ROW(tblBuyerOutputs[#Headers])+1,0,INDEX(tblBuyerOutputs[Cumul Appr],ROW()-ROW(tblBuyerOutputs[#Headers])-1))+tblBuyerOutputs[[#This Row],[Monthly Appr]])</f>
        <v>0</v>
      </c>
      <c r="AF472" s="22"/>
      <c r="AG472" s="14"/>
      <c r="AL472"/>
      <c r="AM472" s="14"/>
      <c r="AO472" s="275"/>
      <c r="AQ472" s="14"/>
      <c r="AR472"/>
    </row>
    <row r="473" spans="1:44" x14ac:dyDescent="0.25">
      <c r="A473" s="590" t="str">
        <f t="shared" si="107"/>
        <v/>
      </c>
      <c r="B473" s="275">
        <f t="shared" si="108"/>
        <v>0</v>
      </c>
      <c r="C473" s="14">
        <f t="shared" si="105"/>
        <v>0</v>
      </c>
      <c r="D473" s="14">
        <f t="shared" si="109"/>
        <v>0</v>
      </c>
      <c r="E473" s="14">
        <f t="shared" si="106"/>
        <v>0</v>
      </c>
      <c r="F473" s="14">
        <f t="shared" si="104"/>
        <v>134.16999999999999</v>
      </c>
      <c r="G473" s="14">
        <f t="shared" si="104"/>
        <v>188.55</v>
      </c>
      <c r="H473" s="14">
        <f t="shared" si="103"/>
        <v>322.72000000000003</v>
      </c>
      <c r="I473" s="275">
        <f t="shared" si="112"/>
        <v>97531.839999999953</v>
      </c>
      <c r="J473" s="275">
        <f t="shared" si="113"/>
        <v>36068.259999999973</v>
      </c>
      <c r="K473" s="275">
        <f t="shared" si="110"/>
        <v>0</v>
      </c>
      <c r="L473" s="386">
        <f t="shared" si="101"/>
        <v>0</v>
      </c>
      <c r="M473" s="386">
        <f t="shared" si="111"/>
        <v>0</v>
      </c>
      <c r="N473" s="590" t="str">
        <f>INDEX(tblSubjectToLoan[Date],ROW()-ROW(tblContractForDeed[#Headers]))</f>
        <v/>
      </c>
      <c r="O473" s="275">
        <f>IF(ROW()=ROW(tblContractForDeed[#Headers])+1,$O$6,IF(INDEX(tblContractForDeed[End Bal],ROW()-ROW(tblContractForDeed[#Headers])-1)&lt;0,0,INDEX(tblContractForDeed[End Bal],ROW()-ROW(tblContractForDeed[#Headers])-1)))</f>
        <v>0</v>
      </c>
      <c r="P473" s="445" t="str">
        <f>IF(tblContractForDeed[[#This Row],[Date]]="","",IF(tblContractForDeed[[#This Row],[Date]]&lt;cfdRateChangeDate,cfdRate1,cfdRate2))</f>
        <v/>
      </c>
      <c r="Q4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75">
        <f>IF(tblContractForDeed[[#This Row],[Payment]]=0,0,MAX(0,MIN(tblContractForDeed[[#This Row],[Beg]],tblContractForDeed[[#This Row],[Payment]]-tblContractForDeed[[#This Row],[Int]])))</f>
        <v>0</v>
      </c>
      <c r="S473" s="275">
        <f>IF(OR(tblContractForDeed[[#This Row],[Date]]&lt;cfdContractDate,tblContractForDeed[[#This Row],[Date]]&gt;cfdEndDate),0,ROUND(tblContractForDeed[[#This Row],[Beg]]*(tblContractForDeed[[#This Row],[Int Rate]]/12),2))</f>
        <v>0</v>
      </c>
      <c r="T473" s="275">
        <f>IF(tblContractForDeed[[#This Row],[Payment]]=0,0,$W$2)</f>
        <v>0</v>
      </c>
      <c r="U473" s="275">
        <f>IF(tblContractForDeed[[#This Row],[Princ]]=0,0,$W$3)</f>
        <v>0</v>
      </c>
      <c r="V473" s="275">
        <f>SUM(tblContractForDeed[[#This Row],[Princ]],tblContractForDeed[[#This Row],[Int]],tblContractForDeed[[#This Row],[Ins]],tblContractForDeed[[#This Row],[Taxes]])</f>
        <v>0</v>
      </c>
      <c r="W473" s="275">
        <f>SUM(INDEX(tblContractForDeed[Princ],1):INDEX(tblContractForDeed[Princ],ROW()-ROW(tblContractForDeed[#Headers])))</f>
        <v>75258.000000000029</v>
      </c>
      <c r="X473" s="275">
        <f>IF(tblContractForDeed[[#This Row],[Beg]]&lt;=0,0,tblContractForDeed[[#This Row],[Beg]]-tblContractForDeed[[#This Row],[Princ]])</f>
        <v>0</v>
      </c>
      <c r="Y47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54">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3" s="275">
        <f>IF(INDEX(tblContractForDeed[End Bal],ROW()-ROW(tblBuyerOutputs[#Headers]))&lt;=0,0,($O$6+IF(ROW()=ROW(tblBuyerOutputs[#Headers])+1,0,INDEX(tblBuyerOutputs[Cumul Appr],ROW()-ROW(tblBuyerOutputs[#Headers])-1)))*$O$2/12)</f>
        <v>0</v>
      </c>
      <c r="AE473" s="275">
        <f>IF(INDEX(tblContractForDeed[End Bal],ROW()-ROW(tblBuyerOutputs[#Headers]))&lt;=0,0,IF(ROW()=ROW(tblBuyerOutputs[#Headers])+1,0,INDEX(tblBuyerOutputs[Cumul Appr],ROW()-ROW(tblBuyerOutputs[#Headers])-1))+tblBuyerOutputs[[#This Row],[Monthly Appr]])</f>
        <v>0</v>
      </c>
      <c r="AF473" s="22"/>
      <c r="AG473" s="14"/>
      <c r="AL473"/>
      <c r="AM473" s="14"/>
      <c r="AO473" s="275"/>
      <c r="AQ473" s="14"/>
      <c r="AR473"/>
    </row>
    <row r="474" spans="1:44" x14ac:dyDescent="0.25">
      <c r="A474" s="590" t="str">
        <f t="shared" si="107"/>
        <v/>
      </c>
      <c r="B474" s="275">
        <f t="shared" si="108"/>
        <v>0</v>
      </c>
      <c r="C474" s="14">
        <f t="shared" si="105"/>
        <v>0</v>
      </c>
      <c r="D474" s="14">
        <f t="shared" si="109"/>
        <v>0</v>
      </c>
      <c r="E474" s="14">
        <f t="shared" si="106"/>
        <v>0</v>
      </c>
      <c r="F474" s="14">
        <f t="shared" si="104"/>
        <v>134.16999999999999</v>
      </c>
      <c r="G474" s="14">
        <f t="shared" si="104"/>
        <v>188.55</v>
      </c>
      <c r="H474" s="14">
        <f t="shared" si="103"/>
        <v>322.72000000000003</v>
      </c>
      <c r="I474" s="275">
        <f t="shared" si="112"/>
        <v>97531.839999999953</v>
      </c>
      <c r="J474" s="275">
        <f t="shared" si="113"/>
        <v>36068.259999999973</v>
      </c>
      <c r="K474" s="275">
        <f t="shared" si="110"/>
        <v>0</v>
      </c>
      <c r="L474" s="386">
        <f t="shared" si="101"/>
        <v>0</v>
      </c>
      <c r="M474" s="386">
        <f t="shared" si="111"/>
        <v>0</v>
      </c>
      <c r="N474" s="590" t="str">
        <f>INDEX(tblSubjectToLoan[Date],ROW()-ROW(tblContractForDeed[#Headers]))</f>
        <v/>
      </c>
      <c r="O474" s="275">
        <f>IF(ROW()=ROW(tblContractForDeed[#Headers])+1,$O$6,IF(INDEX(tblContractForDeed[End Bal],ROW()-ROW(tblContractForDeed[#Headers])-1)&lt;0,0,INDEX(tblContractForDeed[End Bal],ROW()-ROW(tblContractForDeed[#Headers])-1)))</f>
        <v>0</v>
      </c>
      <c r="P474" s="445" t="str">
        <f>IF(tblContractForDeed[[#This Row],[Date]]="","",IF(tblContractForDeed[[#This Row],[Date]]&lt;cfdRateChangeDate,cfdRate1,cfdRate2))</f>
        <v/>
      </c>
      <c r="Q4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75">
        <f>IF(tblContractForDeed[[#This Row],[Payment]]=0,0,MAX(0,MIN(tblContractForDeed[[#This Row],[Beg]],tblContractForDeed[[#This Row],[Payment]]-tblContractForDeed[[#This Row],[Int]])))</f>
        <v>0</v>
      </c>
      <c r="S474" s="275">
        <f>IF(OR(tblContractForDeed[[#This Row],[Date]]&lt;cfdContractDate,tblContractForDeed[[#This Row],[Date]]&gt;cfdEndDate),0,ROUND(tblContractForDeed[[#This Row],[Beg]]*(tblContractForDeed[[#This Row],[Int Rate]]/12),2))</f>
        <v>0</v>
      </c>
      <c r="T474" s="275">
        <f>IF(tblContractForDeed[[#This Row],[Payment]]=0,0,$W$2)</f>
        <v>0</v>
      </c>
      <c r="U474" s="275">
        <f>IF(tblContractForDeed[[#This Row],[Princ]]=0,0,$W$3)</f>
        <v>0</v>
      </c>
      <c r="V474" s="275">
        <f>SUM(tblContractForDeed[[#This Row],[Princ]],tblContractForDeed[[#This Row],[Int]],tblContractForDeed[[#This Row],[Ins]],tblContractForDeed[[#This Row],[Taxes]])</f>
        <v>0</v>
      </c>
      <c r="W474" s="275">
        <f>SUM(INDEX(tblContractForDeed[Princ],1):INDEX(tblContractForDeed[Princ],ROW()-ROW(tblContractForDeed[#Headers])))</f>
        <v>75258.000000000029</v>
      </c>
      <c r="X474" s="275">
        <f>IF(tblContractForDeed[[#This Row],[Beg]]&lt;=0,0,tblContractForDeed[[#This Row],[Beg]]-tblContractForDeed[[#This Row],[Princ]])</f>
        <v>0</v>
      </c>
      <c r="Y47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54">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4" s="275">
        <f>IF(INDEX(tblContractForDeed[End Bal],ROW()-ROW(tblBuyerOutputs[#Headers]))&lt;=0,0,($O$6+IF(ROW()=ROW(tblBuyerOutputs[#Headers])+1,0,INDEX(tblBuyerOutputs[Cumul Appr],ROW()-ROW(tblBuyerOutputs[#Headers])-1)))*$O$2/12)</f>
        <v>0</v>
      </c>
      <c r="AE474" s="275">
        <f>IF(INDEX(tblContractForDeed[End Bal],ROW()-ROW(tblBuyerOutputs[#Headers]))&lt;=0,0,IF(ROW()=ROW(tblBuyerOutputs[#Headers])+1,0,INDEX(tblBuyerOutputs[Cumul Appr],ROW()-ROW(tblBuyerOutputs[#Headers])-1))+tblBuyerOutputs[[#This Row],[Monthly Appr]])</f>
        <v>0</v>
      </c>
      <c r="AF474" s="22"/>
      <c r="AG474" s="14"/>
      <c r="AL474"/>
      <c r="AM474" s="14"/>
      <c r="AO474" s="275"/>
      <c r="AQ474" s="14"/>
      <c r="AR474"/>
    </row>
    <row r="475" spans="1:44" ht="15.75" thickBot="1" x14ac:dyDescent="0.3">
      <c r="A475" s="591" t="str">
        <f t="shared" si="107"/>
        <v/>
      </c>
      <c r="B475" s="326">
        <f t="shared" si="108"/>
        <v>0</v>
      </c>
      <c r="C475" s="21">
        <f t="shared" si="105"/>
        <v>0</v>
      </c>
      <c r="D475" s="21">
        <f t="shared" si="109"/>
        <v>0</v>
      </c>
      <c r="E475" s="21">
        <f t="shared" si="106"/>
        <v>0</v>
      </c>
      <c r="F475" s="21">
        <f t="shared" si="104"/>
        <v>134.16999999999999</v>
      </c>
      <c r="G475" s="21">
        <f t="shared" si="104"/>
        <v>188.55</v>
      </c>
      <c r="H475" s="21">
        <f t="shared" si="103"/>
        <v>322.72000000000003</v>
      </c>
      <c r="I475" s="326">
        <f t="shared" si="112"/>
        <v>97531.839999999953</v>
      </c>
      <c r="J475" s="326">
        <f t="shared" si="113"/>
        <v>36068.259999999973</v>
      </c>
      <c r="K475" s="326">
        <f t="shared" si="110"/>
        <v>0</v>
      </c>
      <c r="L475" s="387">
        <f t="shared" si="101"/>
        <v>0</v>
      </c>
      <c r="M475" s="387">
        <f t="shared" si="111"/>
        <v>0</v>
      </c>
      <c r="N475" s="591" t="str">
        <f>INDEX(tblSubjectToLoan[Date],ROW()-ROW(tblContractForDeed[#Headers]))</f>
        <v/>
      </c>
      <c r="O475" s="326">
        <f>IF(ROW()=ROW(tblContractForDeed[#Headers])+1,$O$6,IF(INDEX(tblContractForDeed[End Bal],ROW()-ROW(tblContractForDeed[#Headers])-1)&lt;0,0,INDEX(tblContractForDeed[End Bal],ROW()-ROW(tblContractForDeed[#Headers])-1)))</f>
        <v>0</v>
      </c>
      <c r="P475" s="445" t="str">
        <f>IF(tblContractForDeed[[#This Row],[Date]]="","",IF(tblContractForDeed[[#This Row],[Date]]&lt;cfdRateChangeDate,cfdRate1,cfdRate2))</f>
        <v/>
      </c>
      <c r="Q47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26">
        <f>IF(tblContractForDeed[[#This Row],[Payment]]=0,0,MAX(0,MIN(tblContractForDeed[[#This Row],[Beg]],tblContractForDeed[[#This Row],[Payment]]-tblContractForDeed[[#This Row],[Int]])))</f>
        <v>0</v>
      </c>
      <c r="S475" s="326">
        <f>IF(OR(tblContractForDeed[[#This Row],[Date]]&lt;cfdContractDate,tblContractForDeed[[#This Row],[Date]]&gt;cfdEndDate),0,ROUND(tblContractForDeed[[#This Row],[Beg]]*(tblContractForDeed[[#This Row],[Int Rate]]/12),2))</f>
        <v>0</v>
      </c>
      <c r="T475" s="326">
        <f>IF(tblContractForDeed[[#This Row],[Payment]]=0,0,$W$2)</f>
        <v>0</v>
      </c>
      <c r="U475" s="326">
        <f>IF(tblContractForDeed[[#This Row],[Princ]]=0,0,$W$3)</f>
        <v>0</v>
      </c>
      <c r="V475" s="326">
        <f>SUM(tblContractForDeed[[#This Row],[Princ]],tblContractForDeed[[#This Row],[Int]],tblContractForDeed[[#This Row],[Ins]],tblContractForDeed[[#This Row],[Taxes]])</f>
        <v>0</v>
      </c>
      <c r="W475" s="326">
        <f>SUM(INDEX(tblContractForDeed[Princ],1):INDEX(tblContractForDeed[Princ],ROW()-ROW(tblContractForDeed[#Headers])))</f>
        <v>75258.000000000029</v>
      </c>
      <c r="X475" s="326">
        <f>IF(tblContractForDeed[[#This Row],[Beg]]&lt;=0,0,tblContractForDeed[[#This Row],[Beg]]-tblContractForDeed[[#This Row],[Princ]])</f>
        <v>0</v>
      </c>
      <c r="Y47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55">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5" s="326">
        <f>IF(INDEX(tblContractForDeed[End Bal],ROW()-ROW(tblBuyerOutputs[#Headers]))&lt;=0,0,($O$6+IF(ROW()=ROW(tblBuyerOutputs[#Headers])+1,0,INDEX(tblBuyerOutputs[Cumul Appr],ROW()-ROW(tblBuyerOutputs[#Headers])-1)))*$O$2/12)</f>
        <v>0</v>
      </c>
      <c r="AE475" s="326">
        <f>IF(INDEX(tblContractForDeed[End Bal],ROW()-ROW(tblBuyerOutputs[#Headers]))&lt;=0,0,IF(ROW()=ROW(tblBuyerOutputs[#Headers])+1,0,INDEX(tblBuyerOutputs[Cumul Appr],ROW()-ROW(tblBuyerOutputs[#Headers])-1))+tblBuyerOutputs[[#This Row],[Monthly Appr]])</f>
        <v>0</v>
      </c>
      <c r="AF475" s="22"/>
      <c r="AG475" s="14"/>
      <c r="AL475"/>
      <c r="AM475" s="14"/>
      <c r="AO475" s="275"/>
      <c r="AQ475" s="14"/>
      <c r="AR475"/>
    </row>
    <row r="476" spans="1:44" x14ac:dyDescent="0.25">
      <c r="A476" s="590" t="str">
        <f t="shared" si="107"/>
        <v/>
      </c>
      <c r="B476" s="275">
        <f t="shared" si="108"/>
        <v>0</v>
      </c>
      <c r="C476" s="14">
        <f t="shared" si="105"/>
        <v>0</v>
      </c>
      <c r="D476" s="14">
        <f t="shared" si="109"/>
        <v>0</v>
      </c>
      <c r="E476" s="14">
        <f t="shared" si="106"/>
        <v>0</v>
      </c>
      <c r="F476" s="14">
        <f t="shared" si="104"/>
        <v>134.16999999999999</v>
      </c>
      <c r="G476" s="14">
        <f t="shared" si="104"/>
        <v>188.55</v>
      </c>
      <c r="H476" s="14">
        <f t="shared" si="103"/>
        <v>322.72000000000003</v>
      </c>
      <c r="I476" s="275">
        <f t="shared" si="112"/>
        <v>97531.839999999953</v>
      </c>
      <c r="J476" s="275">
        <f t="shared" si="113"/>
        <v>36068.259999999973</v>
      </c>
      <c r="K476" s="275">
        <f t="shared" si="110"/>
        <v>0</v>
      </c>
      <c r="L476" s="386">
        <f t="shared" si="101"/>
        <v>0</v>
      </c>
      <c r="M476" s="386">
        <f t="shared" si="111"/>
        <v>0</v>
      </c>
      <c r="N476" s="590" t="str">
        <f>INDEX(tblSubjectToLoan[Date],ROW()-ROW(tblContractForDeed[#Headers]))</f>
        <v/>
      </c>
      <c r="O476" s="275">
        <f>IF(ROW()=ROW(tblContractForDeed[#Headers])+1,$O$6,IF(INDEX(tblContractForDeed[End Bal],ROW()-ROW(tblContractForDeed[#Headers])-1)&lt;0,0,INDEX(tblContractForDeed[End Bal],ROW()-ROW(tblContractForDeed[#Headers])-1)))</f>
        <v>0</v>
      </c>
      <c r="P476" s="445" t="str">
        <f>IF(tblContractForDeed[[#This Row],[Date]]="","",IF(tblContractForDeed[[#This Row],[Date]]&lt;cfdRateChangeDate,cfdRate1,cfdRate2))</f>
        <v/>
      </c>
      <c r="Q4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75">
        <f>IF(tblContractForDeed[[#This Row],[Payment]]=0,0,MAX(0,MIN(tblContractForDeed[[#This Row],[Beg]],tblContractForDeed[[#This Row],[Payment]]-tblContractForDeed[[#This Row],[Int]])))</f>
        <v>0</v>
      </c>
      <c r="S476" s="275">
        <f>IF(OR(tblContractForDeed[[#This Row],[Date]]&lt;cfdContractDate,tblContractForDeed[[#This Row],[Date]]&gt;cfdEndDate),0,ROUND(tblContractForDeed[[#This Row],[Beg]]*(tblContractForDeed[[#This Row],[Int Rate]]/12),2))</f>
        <v>0</v>
      </c>
      <c r="T476" s="275">
        <f>IF(tblContractForDeed[[#This Row],[Payment]]=0,0,$W$2)</f>
        <v>0</v>
      </c>
      <c r="U476" s="275">
        <f>IF(tblContractForDeed[[#This Row],[Princ]]=0,0,$W$3)</f>
        <v>0</v>
      </c>
      <c r="V476" s="275">
        <f>SUM(tblContractForDeed[[#This Row],[Princ]],tblContractForDeed[[#This Row],[Int]],tblContractForDeed[[#This Row],[Ins]],tblContractForDeed[[#This Row],[Taxes]])</f>
        <v>0</v>
      </c>
      <c r="W476" s="275">
        <f>SUM(INDEX(tblContractForDeed[Princ],1):INDEX(tblContractForDeed[Princ],ROW()-ROW(tblContractForDeed[#Headers])))</f>
        <v>75258.000000000029</v>
      </c>
      <c r="X476" s="275">
        <f>IF(tblContractForDeed[[#This Row],[Beg]]&lt;=0,0,tblContractForDeed[[#This Row],[Beg]]-tblContractForDeed[[#This Row],[Princ]])</f>
        <v>0</v>
      </c>
      <c r="Y47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54">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6" s="275">
        <f>IF(INDEX(tblContractForDeed[End Bal],ROW()-ROW(tblBuyerOutputs[#Headers]))&lt;=0,0,($O$6+IF(ROW()=ROW(tblBuyerOutputs[#Headers])+1,0,INDEX(tblBuyerOutputs[Cumul Appr],ROW()-ROW(tblBuyerOutputs[#Headers])-1)))*$O$2/12)</f>
        <v>0</v>
      </c>
      <c r="AE476" s="275">
        <f>IF(INDEX(tblContractForDeed[End Bal],ROW()-ROW(tblBuyerOutputs[#Headers]))&lt;=0,0,IF(ROW()=ROW(tblBuyerOutputs[#Headers])+1,0,INDEX(tblBuyerOutputs[Cumul Appr],ROW()-ROW(tblBuyerOutputs[#Headers])-1))+tblBuyerOutputs[[#This Row],[Monthly Appr]])</f>
        <v>0</v>
      </c>
      <c r="AF476" s="22"/>
      <c r="AG476" s="14"/>
      <c r="AL476"/>
      <c r="AM476" s="14"/>
      <c r="AO476" s="275"/>
      <c r="AQ476" s="14"/>
      <c r="AR476"/>
    </row>
    <row r="477" spans="1:44" x14ac:dyDescent="0.25">
      <c r="A477" s="590" t="str">
        <f t="shared" si="107"/>
        <v/>
      </c>
      <c r="B477" s="275">
        <f t="shared" si="108"/>
        <v>0</v>
      </c>
      <c r="C477" s="14">
        <f t="shared" si="105"/>
        <v>0</v>
      </c>
      <c r="D477" s="14">
        <f t="shared" si="109"/>
        <v>0</v>
      </c>
      <c r="E477" s="14">
        <f t="shared" si="106"/>
        <v>0</v>
      </c>
      <c r="F477" s="14">
        <f t="shared" si="104"/>
        <v>134.16999999999999</v>
      </c>
      <c r="G477" s="14">
        <f t="shared" si="104"/>
        <v>188.55</v>
      </c>
      <c r="H477" s="14">
        <f t="shared" si="103"/>
        <v>322.72000000000003</v>
      </c>
      <c r="I477" s="275">
        <f t="shared" si="112"/>
        <v>97531.839999999953</v>
      </c>
      <c r="J477" s="275">
        <f t="shared" si="113"/>
        <v>36068.259999999973</v>
      </c>
      <c r="K477" s="275">
        <f t="shared" si="110"/>
        <v>0</v>
      </c>
      <c r="L477" s="386">
        <f t="shared" si="101"/>
        <v>0</v>
      </c>
      <c r="M477" s="386">
        <f t="shared" si="111"/>
        <v>0</v>
      </c>
      <c r="N477" s="590" t="str">
        <f>INDEX(tblSubjectToLoan[Date],ROW()-ROW(tblContractForDeed[#Headers]))</f>
        <v/>
      </c>
      <c r="O477" s="275">
        <f>IF(ROW()=ROW(tblContractForDeed[#Headers])+1,$O$6,IF(INDEX(tblContractForDeed[End Bal],ROW()-ROW(tblContractForDeed[#Headers])-1)&lt;0,0,INDEX(tblContractForDeed[End Bal],ROW()-ROW(tblContractForDeed[#Headers])-1)))</f>
        <v>0</v>
      </c>
      <c r="P477" s="445" t="str">
        <f>IF(tblContractForDeed[[#This Row],[Date]]="","",IF(tblContractForDeed[[#This Row],[Date]]&lt;cfdRateChangeDate,cfdRate1,cfdRate2))</f>
        <v/>
      </c>
      <c r="Q4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75">
        <f>IF(tblContractForDeed[[#This Row],[Payment]]=0,0,MAX(0,MIN(tblContractForDeed[[#This Row],[Beg]],tblContractForDeed[[#This Row],[Payment]]-tblContractForDeed[[#This Row],[Int]])))</f>
        <v>0</v>
      </c>
      <c r="S477" s="275">
        <f>IF(OR(tblContractForDeed[[#This Row],[Date]]&lt;cfdContractDate,tblContractForDeed[[#This Row],[Date]]&gt;cfdEndDate),0,ROUND(tblContractForDeed[[#This Row],[Beg]]*(tblContractForDeed[[#This Row],[Int Rate]]/12),2))</f>
        <v>0</v>
      </c>
      <c r="T477" s="275">
        <f>IF(tblContractForDeed[[#This Row],[Payment]]=0,0,$W$2)</f>
        <v>0</v>
      </c>
      <c r="U477" s="275">
        <f>IF(tblContractForDeed[[#This Row],[Princ]]=0,0,$W$3)</f>
        <v>0</v>
      </c>
      <c r="V477" s="275">
        <f>SUM(tblContractForDeed[[#This Row],[Princ]],tblContractForDeed[[#This Row],[Int]],tblContractForDeed[[#This Row],[Ins]],tblContractForDeed[[#This Row],[Taxes]])</f>
        <v>0</v>
      </c>
      <c r="W477" s="275">
        <f>SUM(INDEX(tblContractForDeed[Princ],1):INDEX(tblContractForDeed[Princ],ROW()-ROW(tblContractForDeed[#Headers])))</f>
        <v>75258.000000000029</v>
      </c>
      <c r="X477" s="275">
        <f>IF(tblContractForDeed[[#This Row],[Beg]]&lt;=0,0,tblContractForDeed[[#This Row],[Beg]]-tblContractForDeed[[#This Row],[Princ]])</f>
        <v>0</v>
      </c>
      <c r="Y47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54">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7" s="275">
        <f>IF(INDEX(tblContractForDeed[End Bal],ROW()-ROW(tblBuyerOutputs[#Headers]))&lt;=0,0,($O$6+IF(ROW()=ROW(tblBuyerOutputs[#Headers])+1,0,INDEX(tblBuyerOutputs[Cumul Appr],ROW()-ROW(tblBuyerOutputs[#Headers])-1)))*$O$2/12)</f>
        <v>0</v>
      </c>
      <c r="AE477" s="275">
        <f>IF(INDEX(tblContractForDeed[End Bal],ROW()-ROW(tblBuyerOutputs[#Headers]))&lt;=0,0,IF(ROW()=ROW(tblBuyerOutputs[#Headers])+1,0,INDEX(tblBuyerOutputs[Cumul Appr],ROW()-ROW(tblBuyerOutputs[#Headers])-1))+tblBuyerOutputs[[#This Row],[Monthly Appr]])</f>
        <v>0</v>
      </c>
      <c r="AF477" s="22"/>
      <c r="AG477" s="14"/>
      <c r="AL477"/>
      <c r="AM477" s="14"/>
      <c r="AO477" s="275"/>
      <c r="AQ477" s="14"/>
      <c r="AR477"/>
    </row>
    <row r="478" spans="1:44" x14ac:dyDescent="0.25">
      <c r="A478" s="590" t="str">
        <f t="shared" si="107"/>
        <v/>
      </c>
      <c r="B478" s="275">
        <f t="shared" si="108"/>
        <v>0</v>
      </c>
      <c r="C478" s="14">
        <f t="shared" si="105"/>
        <v>0</v>
      </c>
      <c r="D478" s="14">
        <f t="shared" si="109"/>
        <v>0</v>
      </c>
      <c r="E478" s="14">
        <f t="shared" si="106"/>
        <v>0</v>
      </c>
      <c r="F478" s="14">
        <f t="shared" si="104"/>
        <v>134.16999999999999</v>
      </c>
      <c r="G478" s="14">
        <f t="shared" si="104"/>
        <v>188.55</v>
      </c>
      <c r="H478" s="14">
        <f t="shared" si="103"/>
        <v>322.72000000000003</v>
      </c>
      <c r="I478" s="275">
        <f t="shared" si="112"/>
        <v>97531.839999999953</v>
      </c>
      <c r="J478" s="275">
        <f t="shared" si="113"/>
        <v>36068.259999999973</v>
      </c>
      <c r="K478" s="275">
        <f t="shared" si="110"/>
        <v>0</v>
      </c>
      <c r="L478" s="386">
        <f t="shared" si="101"/>
        <v>0</v>
      </c>
      <c r="M478" s="386">
        <f t="shared" si="111"/>
        <v>0</v>
      </c>
      <c r="N478" s="590" t="str">
        <f>INDEX(tblSubjectToLoan[Date],ROW()-ROW(tblContractForDeed[#Headers]))</f>
        <v/>
      </c>
      <c r="O478" s="275">
        <f>IF(ROW()=ROW(tblContractForDeed[#Headers])+1,$O$6,IF(INDEX(tblContractForDeed[End Bal],ROW()-ROW(tblContractForDeed[#Headers])-1)&lt;0,0,INDEX(tblContractForDeed[End Bal],ROW()-ROW(tblContractForDeed[#Headers])-1)))</f>
        <v>0</v>
      </c>
      <c r="P478" s="445" t="str">
        <f>IF(tblContractForDeed[[#This Row],[Date]]="","",IF(tblContractForDeed[[#This Row],[Date]]&lt;cfdRateChangeDate,cfdRate1,cfdRate2))</f>
        <v/>
      </c>
      <c r="Q4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75">
        <f>IF(tblContractForDeed[[#This Row],[Payment]]=0,0,MAX(0,MIN(tblContractForDeed[[#This Row],[Beg]],tblContractForDeed[[#This Row],[Payment]]-tblContractForDeed[[#This Row],[Int]])))</f>
        <v>0</v>
      </c>
      <c r="S478" s="275">
        <f>IF(OR(tblContractForDeed[[#This Row],[Date]]&lt;cfdContractDate,tblContractForDeed[[#This Row],[Date]]&gt;cfdEndDate),0,ROUND(tblContractForDeed[[#This Row],[Beg]]*(tblContractForDeed[[#This Row],[Int Rate]]/12),2))</f>
        <v>0</v>
      </c>
      <c r="T478" s="275">
        <f>IF(tblContractForDeed[[#This Row],[Payment]]=0,0,$W$2)</f>
        <v>0</v>
      </c>
      <c r="U478" s="275">
        <f>IF(tblContractForDeed[[#This Row],[Princ]]=0,0,$W$3)</f>
        <v>0</v>
      </c>
      <c r="V478" s="275">
        <f>SUM(tblContractForDeed[[#This Row],[Princ]],tblContractForDeed[[#This Row],[Int]],tblContractForDeed[[#This Row],[Ins]],tblContractForDeed[[#This Row],[Taxes]])</f>
        <v>0</v>
      </c>
      <c r="W478" s="275">
        <f>SUM(INDEX(tblContractForDeed[Princ],1):INDEX(tblContractForDeed[Princ],ROW()-ROW(tblContractForDeed[#Headers])))</f>
        <v>75258.000000000029</v>
      </c>
      <c r="X478" s="275">
        <f>IF(tblContractForDeed[[#This Row],[Beg]]&lt;=0,0,tblContractForDeed[[#This Row],[Beg]]-tblContractForDeed[[#This Row],[Princ]])</f>
        <v>0</v>
      </c>
      <c r="Y47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54">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8" s="275">
        <f>IF(INDEX(tblContractForDeed[End Bal],ROW()-ROW(tblBuyerOutputs[#Headers]))&lt;=0,0,($O$6+IF(ROW()=ROW(tblBuyerOutputs[#Headers])+1,0,INDEX(tblBuyerOutputs[Cumul Appr],ROW()-ROW(tblBuyerOutputs[#Headers])-1)))*$O$2/12)</f>
        <v>0</v>
      </c>
      <c r="AE478" s="275">
        <f>IF(INDEX(tblContractForDeed[End Bal],ROW()-ROW(tblBuyerOutputs[#Headers]))&lt;=0,0,IF(ROW()=ROW(tblBuyerOutputs[#Headers])+1,0,INDEX(tblBuyerOutputs[Cumul Appr],ROW()-ROW(tblBuyerOutputs[#Headers])-1))+tblBuyerOutputs[[#This Row],[Monthly Appr]])</f>
        <v>0</v>
      </c>
      <c r="AF478" s="22"/>
      <c r="AG478" s="14"/>
      <c r="AL478"/>
      <c r="AM478" s="14"/>
      <c r="AO478" s="275"/>
      <c r="AQ478" s="14"/>
      <c r="AR478"/>
    </row>
    <row r="479" spans="1:44" x14ac:dyDescent="0.25">
      <c r="A479" s="590" t="str">
        <f t="shared" si="107"/>
        <v/>
      </c>
      <c r="B479" s="275">
        <f t="shared" si="108"/>
        <v>0</v>
      </c>
      <c r="C479" s="14">
        <f t="shared" si="105"/>
        <v>0</v>
      </c>
      <c r="D479" s="14">
        <f t="shared" si="109"/>
        <v>0</v>
      </c>
      <c r="E479" s="14">
        <f t="shared" si="106"/>
        <v>0</v>
      </c>
      <c r="F479" s="14">
        <f t="shared" ref="F479:G494" si="114">+F478</f>
        <v>134.16999999999999</v>
      </c>
      <c r="G479" s="14">
        <f t="shared" si="114"/>
        <v>188.55</v>
      </c>
      <c r="H479" s="14">
        <f t="shared" si="103"/>
        <v>322.72000000000003</v>
      </c>
      <c r="I479" s="275">
        <f t="shared" si="112"/>
        <v>97531.839999999953</v>
      </c>
      <c r="J479" s="275">
        <f t="shared" si="113"/>
        <v>36068.259999999973</v>
      </c>
      <c r="K479" s="275">
        <f t="shared" si="110"/>
        <v>0</v>
      </c>
      <c r="L479" s="386">
        <f t="shared" si="101"/>
        <v>0</v>
      </c>
      <c r="M479" s="386">
        <f t="shared" si="111"/>
        <v>0</v>
      </c>
      <c r="N479" s="590" t="str">
        <f>INDEX(tblSubjectToLoan[Date],ROW()-ROW(tblContractForDeed[#Headers]))</f>
        <v/>
      </c>
      <c r="O479" s="275">
        <f>IF(ROW()=ROW(tblContractForDeed[#Headers])+1,$O$6,IF(INDEX(tblContractForDeed[End Bal],ROW()-ROW(tblContractForDeed[#Headers])-1)&lt;0,0,INDEX(tblContractForDeed[End Bal],ROW()-ROW(tblContractForDeed[#Headers])-1)))</f>
        <v>0</v>
      </c>
      <c r="P479" s="445" t="str">
        <f>IF(tblContractForDeed[[#This Row],[Date]]="","",IF(tblContractForDeed[[#This Row],[Date]]&lt;cfdRateChangeDate,cfdRate1,cfdRate2))</f>
        <v/>
      </c>
      <c r="Q47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75">
        <f>IF(tblContractForDeed[[#This Row],[Payment]]=0,0,MAX(0,MIN(tblContractForDeed[[#This Row],[Beg]],tblContractForDeed[[#This Row],[Payment]]-tblContractForDeed[[#This Row],[Int]])))</f>
        <v>0</v>
      </c>
      <c r="S479" s="275">
        <f>IF(OR(tblContractForDeed[[#This Row],[Date]]&lt;cfdContractDate,tblContractForDeed[[#This Row],[Date]]&gt;cfdEndDate),0,ROUND(tblContractForDeed[[#This Row],[Beg]]*(tblContractForDeed[[#This Row],[Int Rate]]/12),2))</f>
        <v>0</v>
      </c>
      <c r="T479" s="275">
        <f>IF(tblContractForDeed[[#This Row],[Payment]]=0,0,$W$2)</f>
        <v>0</v>
      </c>
      <c r="U479" s="275">
        <f>IF(tblContractForDeed[[#This Row],[Princ]]=0,0,$W$3)</f>
        <v>0</v>
      </c>
      <c r="V479" s="275">
        <f>SUM(tblContractForDeed[[#This Row],[Princ]],tblContractForDeed[[#This Row],[Int]],tblContractForDeed[[#This Row],[Ins]],tblContractForDeed[[#This Row],[Taxes]])</f>
        <v>0</v>
      </c>
      <c r="W479" s="275">
        <f>SUM(INDEX(tblContractForDeed[Princ],1):INDEX(tblContractForDeed[Princ],ROW()-ROW(tblContractForDeed[#Headers])))</f>
        <v>75258.000000000029</v>
      </c>
      <c r="X479" s="275">
        <f>IF(tblContractForDeed[[#This Row],[Beg]]&lt;=0,0,tblContractForDeed[[#This Row],[Beg]]-tblContractForDeed[[#This Row],[Princ]])</f>
        <v>0</v>
      </c>
      <c r="Y47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54">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9" s="275">
        <f>IF(INDEX(tblContractForDeed[End Bal],ROW()-ROW(tblBuyerOutputs[#Headers]))&lt;=0,0,($O$6+IF(ROW()=ROW(tblBuyerOutputs[#Headers])+1,0,INDEX(tblBuyerOutputs[Cumul Appr],ROW()-ROW(tblBuyerOutputs[#Headers])-1)))*$O$2/12)</f>
        <v>0</v>
      </c>
      <c r="AE479" s="275">
        <f>IF(INDEX(tblContractForDeed[End Bal],ROW()-ROW(tblBuyerOutputs[#Headers]))&lt;=0,0,IF(ROW()=ROW(tblBuyerOutputs[#Headers])+1,0,INDEX(tblBuyerOutputs[Cumul Appr],ROW()-ROW(tblBuyerOutputs[#Headers])-1))+tblBuyerOutputs[[#This Row],[Monthly Appr]])</f>
        <v>0</v>
      </c>
      <c r="AF479" s="22"/>
      <c r="AG479" s="14"/>
      <c r="AL479"/>
      <c r="AM479" s="14"/>
      <c r="AO479" s="275"/>
      <c r="AQ479" s="14"/>
      <c r="AR479"/>
    </row>
    <row r="480" spans="1:44" x14ac:dyDescent="0.25">
      <c r="A480" s="590" t="str">
        <f t="shared" si="107"/>
        <v/>
      </c>
      <c r="B480" s="275">
        <f t="shared" si="108"/>
        <v>0</v>
      </c>
      <c r="C480" s="14">
        <f t="shared" si="105"/>
        <v>0</v>
      </c>
      <c r="D480" s="14">
        <f t="shared" si="109"/>
        <v>0</v>
      </c>
      <c r="E480" s="14">
        <f t="shared" si="106"/>
        <v>0</v>
      </c>
      <c r="F480" s="14">
        <f t="shared" si="114"/>
        <v>134.16999999999999</v>
      </c>
      <c r="G480" s="14">
        <f t="shared" si="114"/>
        <v>188.55</v>
      </c>
      <c r="H480" s="14">
        <f t="shared" si="103"/>
        <v>322.72000000000003</v>
      </c>
      <c r="I480" s="275">
        <f t="shared" si="112"/>
        <v>97531.839999999953</v>
      </c>
      <c r="J480" s="275">
        <f t="shared" si="113"/>
        <v>36068.259999999973</v>
      </c>
      <c r="K480" s="275">
        <f t="shared" si="110"/>
        <v>0</v>
      </c>
      <c r="L480" s="386">
        <f t="shared" si="101"/>
        <v>0</v>
      </c>
      <c r="M480" s="386">
        <f t="shared" si="111"/>
        <v>0</v>
      </c>
      <c r="N480" s="590" t="str">
        <f>INDEX(tblSubjectToLoan[Date],ROW()-ROW(tblContractForDeed[#Headers]))</f>
        <v/>
      </c>
      <c r="O480" s="275">
        <f>IF(ROW()=ROW(tblContractForDeed[#Headers])+1,$O$6,IF(INDEX(tblContractForDeed[End Bal],ROW()-ROW(tblContractForDeed[#Headers])-1)&lt;0,0,INDEX(tblContractForDeed[End Bal],ROW()-ROW(tblContractForDeed[#Headers])-1)))</f>
        <v>0</v>
      </c>
      <c r="P480" s="445" t="str">
        <f>IF(tblContractForDeed[[#This Row],[Date]]="","",IF(tblContractForDeed[[#This Row],[Date]]&lt;cfdRateChangeDate,cfdRate1,cfdRate2))</f>
        <v/>
      </c>
      <c r="Q4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75">
        <f>IF(tblContractForDeed[[#This Row],[Payment]]=0,0,MAX(0,MIN(tblContractForDeed[[#This Row],[Beg]],tblContractForDeed[[#This Row],[Payment]]-tblContractForDeed[[#This Row],[Int]])))</f>
        <v>0</v>
      </c>
      <c r="S480" s="275">
        <f>IF(OR(tblContractForDeed[[#This Row],[Date]]&lt;cfdContractDate,tblContractForDeed[[#This Row],[Date]]&gt;cfdEndDate),0,ROUND(tblContractForDeed[[#This Row],[Beg]]*(tblContractForDeed[[#This Row],[Int Rate]]/12),2))</f>
        <v>0</v>
      </c>
      <c r="T480" s="275">
        <f>IF(tblContractForDeed[[#This Row],[Payment]]=0,0,$W$2)</f>
        <v>0</v>
      </c>
      <c r="U480" s="275">
        <f>IF(tblContractForDeed[[#This Row],[Princ]]=0,0,$W$3)</f>
        <v>0</v>
      </c>
      <c r="V480" s="275">
        <f>SUM(tblContractForDeed[[#This Row],[Princ]],tblContractForDeed[[#This Row],[Int]],tblContractForDeed[[#This Row],[Ins]],tblContractForDeed[[#This Row],[Taxes]])</f>
        <v>0</v>
      </c>
      <c r="W480" s="275">
        <f>SUM(INDEX(tblContractForDeed[Princ],1):INDEX(tblContractForDeed[Princ],ROW()-ROW(tblContractForDeed[#Headers])))</f>
        <v>75258.000000000029</v>
      </c>
      <c r="X480" s="275">
        <f>IF(tblContractForDeed[[#This Row],[Beg]]&lt;=0,0,tblContractForDeed[[#This Row],[Beg]]-tblContractForDeed[[#This Row],[Princ]])</f>
        <v>0</v>
      </c>
      <c r="Y48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54">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0" s="275">
        <f>IF(INDEX(tblContractForDeed[End Bal],ROW()-ROW(tblBuyerOutputs[#Headers]))&lt;=0,0,($O$6+IF(ROW()=ROW(tblBuyerOutputs[#Headers])+1,0,INDEX(tblBuyerOutputs[Cumul Appr],ROW()-ROW(tblBuyerOutputs[#Headers])-1)))*$O$2/12)</f>
        <v>0</v>
      </c>
      <c r="AE480" s="275">
        <f>IF(INDEX(tblContractForDeed[End Bal],ROW()-ROW(tblBuyerOutputs[#Headers]))&lt;=0,0,IF(ROW()=ROW(tblBuyerOutputs[#Headers])+1,0,INDEX(tblBuyerOutputs[Cumul Appr],ROW()-ROW(tblBuyerOutputs[#Headers])-1))+tblBuyerOutputs[[#This Row],[Monthly Appr]])</f>
        <v>0</v>
      </c>
      <c r="AF480" s="22"/>
      <c r="AG480" s="14"/>
      <c r="AL480"/>
      <c r="AM480" s="14"/>
      <c r="AO480" s="275"/>
      <c r="AQ480" s="14"/>
      <c r="AR480"/>
    </row>
    <row r="481" spans="1:44" x14ac:dyDescent="0.25">
      <c r="A481" s="590" t="str">
        <f t="shared" si="107"/>
        <v/>
      </c>
      <c r="B481" s="275">
        <f t="shared" si="108"/>
        <v>0</v>
      </c>
      <c r="C481" s="14">
        <f t="shared" si="105"/>
        <v>0</v>
      </c>
      <c r="D481" s="14">
        <f t="shared" si="109"/>
        <v>0</v>
      </c>
      <c r="E481" s="14">
        <f t="shared" si="106"/>
        <v>0</v>
      </c>
      <c r="F481" s="14">
        <f t="shared" si="114"/>
        <v>134.16999999999999</v>
      </c>
      <c r="G481" s="14">
        <f t="shared" si="114"/>
        <v>188.55</v>
      </c>
      <c r="H481" s="14">
        <f t="shared" si="103"/>
        <v>322.72000000000003</v>
      </c>
      <c r="I481" s="275">
        <f t="shared" si="112"/>
        <v>97531.839999999953</v>
      </c>
      <c r="J481" s="275">
        <f t="shared" si="113"/>
        <v>36068.259999999973</v>
      </c>
      <c r="K481" s="275">
        <f t="shared" si="110"/>
        <v>0</v>
      </c>
      <c r="L481" s="386">
        <f t="shared" si="101"/>
        <v>0</v>
      </c>
      <c r="M481" s="386">
        <f t="shared" si="111"/>
        <v>0</v>
      </c>
      <c r="N481" s="590" t="str">
        <f>INDEX(tblSubjectToLoan[Date],ROW()-ROW(tblContractForDeed[#Headers]))</f>
        <v/>
      </c>
      <c r="O481" s="275">
        <f>IF(ROW()=ROW(tblContractForDeed[#Headers])+1,$O$6,IF(INDEX(tblContractForDeed[End Bal],ROW()-ROW(tblContractForDeed[#Headers])-1)&lt;0,0,INDEX(tblContractForDeed[End Bal],ROW()-ROW(tblContractForDeed[#Headers])-1)))</f>
        <v>0</v>
      </c>
      <c r="P481" s="445" t="str">
        <f>IF(tblContractForDeed[[#This Row],[Date]]="","",IF(tblContractForDeed[[#This Row],[Date]]&lt;cfdRateChangeDate,cfdRate1,cfdRate2))</f>
        <v/>
      </c>
      <c r="Q4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75">
        <f>IF(tblContractForDeed[[#This Row],[Payment]]=0,0,MAX(0,MIN(tblContractForDeed[[#This Row],[Beg]],tblContractForDeed[[#This Row],[Payment]]-tblContractForDeed[[#This Row],[Int]])))</f>
        <v>0</v>
      </c>
      <c r="S481" s="275">
        <f>IF(OR(tblContractForDeed[[#This Row],[Date]]&lt;cfdContractDate,tblContractForDeed[[#This Row],[Date]]&gt;cfdEndDate),0,ROUND(tblContractForDeed[[#This Row],[Beg]]*(tblContractForDeed[[#This Row],[Int Rate]]/12),2))</f>
        <v>0</v>
      </c>
      <c r="T481" s="275">
        <f>IF(tblContractForDeed[[#This Row],[Payment]]=0,0,$W$2)</f>
        <v>0</v>
      </c>
      <c r="U481" s="275">
        <f>IF(tblContractForDeed[[#This Row],[Princ]]=0,0,$W$3)</f>
        <v>0</v>
      </c>
      <c r="V481" s="275">
        <f>SUM(tblContractForDeed[[#This Row],[Princ]],tblContractForDeed[[#This Row],[Int]],tblContractForDeed[[#This Row],[Ins]],tblContractForDeed[[#This Row],[Taxes]])</f>
        <v>0</v>
      </c>
      <c r="W481" s="275">
        <f>SUM(INDEX(tblContractForDeed[Princ],1):INDEX(tblContractForDeed[Princ],ROW()-ROW(tblContractForDeed[#Headers])))</f>
        <v>75258.000000000029</v>
      </c>
      <c r="X481" s="275">
        <f>IF(tblContractForDeed[[#This Row],[Beg]]&lt;=0,0,tblContractForDeed[[#This Row],[Beg]]-tblContractForDeed[[#This Row],[Princ]])</f>
        <v>0</v>
      </c>
      <c r="Y48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54">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1" s="275">
        <f>IF(INDEX(tblContractForDeed[End Bal],ROW()-ROW(tblBuyerOutputs[#Headers]))&lt;=0,0,($O$6+IF(ROW()=ROW(tblBuyerOutputs[#Headers])+1,0,INDEX(tblBuyerOutputs[Cumul Appr],ROW()-ROW(tblBuyerOutputs[#Headers])-1)))*$O$2/12)</f>
        <v>0</v>
      </c>
      <c r="AE481" s="275">
        <f>IF(INDEX(tblContractForDeed[End Bal],ROW()-ROW(tblBuyerOutputs[#Headers]))&lt;=0,0,IF(ROW()=ROW(tblBuyerOutputs[#Headers])+1,0,INDEX(tblBuyerOutputs[Cumul Appr],ROW()-ROW(tblBuyerOutputs[#Headers])-1))+tblBuyerOutputs[[#This Row],[Monthly Appr]])</f>
        <v>0</v>
      </c>
      <c r="AF481" s="22"/>
      <c r="AG481" s="14"/>
      <c r="AL481"/>
      <c r="AM481" s="14"/>
      <c r="AO481" s="275"/>
      <c r="AQ481" s="14"/>
      <c r="AR481"/>
    </row>
    <row r="482" spans="1:44" x14ac:dyDescent="0.25">
      <c r="A482" s="590" t="str">
        <f t="shared" si="107"/>
        <v/>
      </c>
      <c r="B482" s="275">
        <f t="shared" si="108"/>
        <v>0</v>
      </c>
      <c r="C482" s="14">
        <f t="shared" si="105"/>
        <v>0</v>
      </c>
      <c r="D482" s="14">
        <f t="shared" si="109"/>
        <v>0</v>
      </c>
      <c r="E482" s="14">
        <f t="shared" si="106"/>
        <v>0</v>
      </c>
      <c r="F482" s="14">
        <f t="shared" si="114"/>
        <v>134.16999999999999</v>
      </c>
      <c r="G482" s="14">
        <f t="shared" si="114"/>
        <v>188.55</v>
      </c>
      <c r="H482" s="14">
        <f t="shared" si="103"/>
        <v>322.72000000000003</v>
      </c>
      <c r="I482" s="275">
        <f t="shared" si="112"/>
        <v>97531.839999999953</v>
      </c>
      <c r="J482" s="275">
        <f t="shared" si="113"/>
        <v>36068.259999999973</v>
      </c>
      <c r="K482" s="275">
        <f t="shared" si="110"/>
        <v>0</v>
      </c>
      <c r="L482" s="386">
        <f t="shared" si="101"/>
        <v>0</v>
      </c>
      <c r="M482" s="386">
        <f t="shared" si="111"/>
        <v>0</v>
      </c>
      <c r="N482" s="590" t="str">
        <f>INDEX(tblSubjectToLoan[Date],ROW()-ROW(tblContractForDeed[#Headers]))</f>
        <v/>
      </c>
      <c r="O482" s="275">
        <f>IF(ROW()=ROW(tblContractForDeed[#Headers])+1,$O$6,IF(INDEX(tblContractForDeed[End Bal],ROW()-ROW(tblContractForDeed[#Headers])-1)&lt;0,0,INDEX(tblContractForDeed[End Bal],ROW()-ROW(tblContractForDeed[#Headers])-1)))</f>
        <v>0</v>
      </c>
      <c r="P482" s="445" t="str">
        <f>IF(tblContractForDeed[[#This Row],[Date]]="","",IF(tblContractForDeed[[#This Row],[Date]]&lt;cfdRateChangeDate,cfdRate1,cfdRate2))</f>
        <v/>
      </c>
      <c r="Q4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75">
        <f>IF(tblContractForDeed[[#This Row],[Payment]]=0,0,MAX(0,MIN(tblContractForDeed[[#This Row],[Beg]],tblContractForDeed[[#This Row],[Payment]]-tblContractForDeed[[#This Row],[Int]])))</f>
        <v>0</v>
      </c>
      <c r="S482" s="275">
        <f>IF(OR(tblContractForDeed[[#This Row],[Date]]&lt;cfdContractDate,tblContractForDeed[[#This Row],[Date]]&gt;cfdEndDate),0,ROUND(tblContractForDeed[[#This Row],[Beg]]*(tblContractForDeed[[#This Row],[Int Rate]]/12),2))</f>
        <v>0</v>
      </c>
      <c r="T482" s="275">
        <f>IF(tblContractForDeed[[#This Row],[Payment]]=0,0,$W$2)</f>
        <v>0</v>
      </c>
      <c r="U482" s="275">
        <f>IF(tblContractForDeed[[#This Row],[Princ]]=0,0,$W$3)</f>
        <v>0</v>
      </c>
      <c r="V482" s="275">
        <f>SUM(tblContractForDeed[[#This Row],[Princ]],tblContractForDeed[[#This Row],[Int]],tblContractForDeed[[#This Row],[Ins]],tblContractForDeed[[#This Row],[Taxes]])</f>
        <v>0</v>
      </c>
      <c r="W482" s="275">
        <f>SUM(INDEX(tblContractForDeed[Princ],1):INDEX(tblContractForDeed[Princ],ROW()-ROW(tblContractForDeed[#Headers])))</f>
        <v>75258.000000000029</v>
      </c>
      <c r="X482" s="275">
        <f>IF(tblContractForDeed[[#This Row],[Beg]]&lt;=0,0,tblContractForDeed[[#This Row],[Beg]]-tblContractForDeed[[#This Row],[Princ]])</f>
        <v>0</v>
      </c>
      <c r="Y48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54">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2" s="275">
        <f>IF(INDEX(tblContractForDeed[End Bal],ROW()-ROW(tblBuyerOutputs[#Headers]))&lt;=0,0,($O$6+IF(ROW()=ROW(tblBuyerOutputs[#Headers])+1,0,INDEX(tblBuyerOutputs[Cumul Appr],ROW()-ROW(tblBuyerOutputs[#Headers])-1)))*$O$2/12)</f>
        <v>0</v>
      </c>
      <c r="AE482" s="275">
        <f>IF(INDEX(tblContractForDeed[End Bal],ROW()-ROW(tblBuyerOutputs[#Headers]))&lt;=0,0,IF(ROW()=ROW(tblBuyerOutputs[#Headers])+1,0,INDEX(tblBuyerOutputs[Cumul Appr],ROW()-ROW(tblBuyerOutputs[#Headers])-1))+tblBuyerOutputs[[#This Row],[Monthly Appr]])</f>
        <v>0</v>
      </c>
      <c r="AF482" s="22"/>
      <c r="AG482" s="14"/>
      <c r="AL482"/>
      <c r="AM482" s="14"/>
      <c r="AO482" s="275"/>
      <c r="AQ482" s="14"/>
      <c r="AR482"/>
    </row>
    <row r="483" spans="1:44" x14ac:dyDescent="0.25">
      <c r="A483" s="590" t="str">
        <f t="shared" si="107"/>
        <v/>
      </c>
      <c r="B483" s="275">
        <f t="shared" si="108"/>
        <v>0</v>
      </c>
      <c r="C483" s="14">
        <f t="shared" si="105"/>
        <v>0</v>
      </c>
      <c r="D483" s="14">
        <f t="shared" si="109"/>
        <v>0</v>
      </c>
      <c r="E483" s="14">
        <f t="shared" si="106"/>
        <v>0</v>
      </c>
      <c r="F483" s="14">
        <f t="shared" si="114"/>
        <v>134.16999999999999</v>
      </c>
      <c r="G483" s="14">
        <f t="shared" si="114"/>
        <v>188.55</v>
      </c>
      <c r="H483" s="14">
        <f t="shared" si="103"/>
        <v>322.72000000000003</v>
      </c>
      <c r="I483" s="275">
        <f t="shared" si="112"/>
        <v>97531.839999999953</v>
      </c>
      <c r="J483" s="275">
        <f t="shared" si="113"/>
        <v>36068.259999999973</v>
      </c>
      <c r="K483" s="275">
        <f t="shared" si="110"/>
        <v>0</v>
      </c>
      <c r="L483" s="386">
        <f t="shared" si="101"/>
        <v>0</v>
      </c>
      <c r="M483" s="386">
        <f t="shared" si="111"/>
        <v>0</v>
      </c>
      <c r="N483" s="590" t="str">
        <f>INDEX(tblSubjectToLoan[Date],ROW()-ROW(tblContractForDeed[#Headers]))</f>
        <v/>
      </c>
      <c r="O483" s="275">
        <f>IF(ROW()=ROW(tblContractForDeed[#Headers])+1,$O$6,IF(INDEX(tblContractForDeed[End Bal],ROW()-ROW(tblContractForDeed[#Headers])-1)&lt;0,0,INDEX(tblContractForDeed[End Bal],ROW()-ROW(tblContractForDeed[#Headers])-1)))</f>
        <v>0</v>
      </c>
      <c r="P483" s="445" t="str">
        <f>IF(tblContractForDeed[[#This Row],[Date]]="","",IF(tblContractForDeed[[#This Row],[Date]]&lt;cfdRateChangeDate,cfdRate1,cfdRate2))</f>
        <v/>
      </c>
      <c r="Q48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75">
        <f>IF(tblContractForDeed[[#This Row],[Payment]]=0,0,MAX(0,MIN(tblContractForDeed[[#This Row],[Beg]],tblContractForDeed[[#This Row],[Payment]]-tblContractForDeed[[#This Row],[Int]])))</f>
        <v>0</v>
      </c>
      <c r="S483" s="275">
        <f>IF(OR(tblContractForDeed[[#This Row],[Date]]&lt;cfdContractDate,tblContractForDeed[[#This Row],[Date]]&gt;cfdEndDate),0,ROUND(tblContractForDeed[[#This Row],[Beg]]*(tblContractForDeed[[#This Row],[Int Rate]]/12),2))</f>
        <v>0</v>
      </c>
      <c r="T483" s="275">
        <f>IF(tblContractForDeed[[#This Row],[Payment]]=0,0,$W$2)</f>
        <v>0</v>
      </c>
      <c r="U483" s="275">
        <f>IF(tblContractForDeed[[#This Row],[Princ]]=0,0,$W$3)</f>
        <v>0</v>
      </c>
      <c r="V483" s="275">
        <f>SUM(tblContractForDeed[[#This Row],[Princ]],tblContractForDeed[[#This Row],[Int]],tblContractForDeed[[#This Row],[Ins]],tblContractForDeed[[#This Row],[Taxes]])</f>
        <v>0</v>
      </c>
      <c r="W483" s="275">
        <f>SUM(INDEX(tblContractForDeed[Princ],1):INDEX(tblContractForDeed[Princ],ROW()-ROW(tblContractForDeed[#Headers])))</f>
        <v>75258.000000000029</v>
      </c>
      <c r="X483" s="275">
        <f>IF(tblContractForDeed[[#This Row],[Beg]]&lt;=0,0,tblContractForDeed[[#This Row],[Beg]]-tblContractForDeed[[#This Row],[Princ]])</f>
        <v>0</v>
      </c>
      <c r="Y48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54">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3" s="275">
        <f>IF(INDEX(tblContractForDeed[End Bal],ROW()-ROW(tblBuyerOutputs[#Headers]))&lt;=0,0,($O$6+IF(ROW()=ROW(tblBuyerOutputs[#Headers])+1,0,INDEX(tblBuyerOutputs[Cumul Appr],ROW()-ROW(tblBuyerOutputs[#Headers])-1)))*$O$2/12)</f>
        <v>0</v>
      </c>
      <c r="AE483" s="275">
        <f>IF(INDEX(tblContractForDeed[End Bal],ROW()-ROW(tblBuyerOutputs[#Headers]))&lt;=0,0,IF(ROW()=ROW(tblBuyerOutputs[#Headers])+1,0,INDEX(tblBuyerOutputs[Cumul Appr],ROW()-ROW(tblBuyerOutputs[#Headers])-1))+tblBuyerOutputs[[#This Row],[Monthly Appr]])</f>
        <v>0</v>
      </c>
      <c r="AF483" s="22"/>
      <c r="AG483" s="14"/>
      <c r="AL483"/>
      <c r="AM483" s="14"/>
      <c r="AO483" s="275"/>
      <c r="AQ483" s="14"/>
      <c r="AR483"/>
    </row>
    <row r="484" spans="1:44" x14ac:dyDescent="0.25">
      <c r="A484" s="590" t="str">
        <f t="shared" si="107"/>
        <v/>
      </c>
      <c r="B484" s="275">
        <f t="shared" si="108"/>
        <v>0</v>
      </c>
      <c r="C484" s="14">
        <f t="shared" si="105"/>
        <v>0</v>
      </c>
      <c r="D484" s="14">
        <f t="shared" si="109"/>
        <v>0</v>
      </c>
      <c r="E484" s="14">
        <f t="shared" si="106"/>
        <v>0</v>
      </c>
      <c r="F484" s="14">
        <f t="shared" si="114"/>
        <v>134.16999999999999</v>
      </c>
      <c r="G484" s="14">
        <f t="shared" si="114"/>
        <v>188.55</v>
      </c>
      <c r="H484" s="14">
        <f t="shared" si="103"/>
        <v>322.72000000000003</v>
      </c>
      <c r="I484" s="275">
        <f t="shared" si="112"/>
        <v>97531.839999999953</v>
      </c>
      <c r="J484" s="275">
        <f t="shared" si="113"/>
        <v>36068.259999999973</v>
      </c>
      <c r="K484" s="275">
        <f t="shared" si="110"/>
        <v>0</v>
      </c>
      <c r="L484" s="386">
        <f t="shared" si="101"/>
        <v>0</v>
      </c>
      <c r="M484" s="386">
        <f t="shared" si="111"/>
        <v>0</v>
      </c>
      <c r="N484" s="590" t="str">
        <f>INDEX(tblSubjectToLoan[Date],ROW()-ROW(tblContractForDeed[#Headers]))</f>
        <v/>
      </c>
      <c r="O484" s="275">
        <f>IF(ROW()=ROW(tblContractForDeed[#Headers])+1,$O$6,IF(INDEX(tblContractForDeed[End Bal],ROW()-ROW(tblContractForDeed[#Headers])-1)&lt;0,0,INDEX(tblContractForDeed[End Bal],ROW()-ROW(tblContractForDeed[#Headers])-1)))</f>
        <v>0</v>
      </c>
      <c r="P484" s="445" t="str">
        <f>IF(tblContractForDeed[[#This Row],[Date]]="","",IF(tblContractForDeed[[#This Row],[Date]]&lt;cfdRateChangeDate,cfdRate1,cfdRate2))</f>
        <v/>
      </c>
      <c r="Q4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75">
        <f>IF(tblContractForDeed[[#This Row],[Payment]]=0,0,MAX(0,MIN(tblContractForDeed[[#This Row],[Beg]],tblContractForDeed[[#This Row],[Payment]]-tblContractForDeed[[#This Row],[Int]])))</f>
        <v>0</v>
      </c>
      <c r="S484" s="275">
        <f>IF(OR(tblContractForDeed[[#This Row],[Date]]&lt;cfdContractDate,tblContractForDeed[[#This Row],[Date]]&gt;cfdEndDate),0,ROUND(tblContractForDeed[[#This Row],[Beg]]*(tblContractForDeed[[#This Row],[Int Rate]]/12),2))</f>
        <v>0</v>
      </c>
      <c r="T484" s="275">
        <f>IF(tblContractForDeed[[#This Row],[Payment]]=0,0,$W$2)</f>
        <v>0</v>
      </c>
      <c r="U484" s="275">
        <f>IF(tblContractForDeed[[#This Row],[Princ]]=0,0,$W$3)</f>
        <v>0</v>
      </c>
      <c r="V484" s="275">
        <f>SUM(tblContractForDeed[[#This Row],[Princ]],tblContractForDeed[[#This Row],[Int]],tblContractForDeed[[#This Row],[Ins]],tblContractForDeed[[#This Row],[Taxes]])</f>
        <v>0</v>
      </c>
      <c r="W484" s="275">
        <f>SUM(INDEX(tblContractForDeed[Princ],1):INDEX(tblContractForDeed[Princ],ROW()-ROW(tblContractForDeed[#Headers])))</f>
        <v>75258.000000000029</v>
      </c>
      <c r="X484" s="275">
        <f>IF(tblContractForDeed[[#This Row],[Beg]]&lt;=0,0,tblContractForDeed[[#This Row],[Beg]]-tblContractForDeed[[#This Row],[Princ]])</f>
        <v>0</v>
      </c>
      <c r="Y48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54">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4" s="275">
        <f>IF(INDEX(tblContractForDeed[End Bal],ROW()-ROW(tblBuyerOutputs[#Headers]))&lt;=0,0,($O$6+IF(ROW()=ROW(tblBuyerOutputs[#Headers])+1,0,INDEX(tblBuyerOutputs[Cumul Appr],ROW()-ROW(tblBuyerOutputs[#Headers])-1)))*$O$2/12)</f>
        <v>0</v>
      </c>
      <c r="AE484" s="275">
        <f>IF(INDEX(tblContractForDeed[End Bal],ROW()-ROW(tblBuyerOutputs[#Headers]))&lt;=0,0,IF(ROW()=ROW(tblBuyerOutputs[#Headers])+1,0,INDEX(tblBuyerOutputs[Cumul Appr],ROW()-ROW(tblBuyerOutputs[#Headers])-1))+tblBuyerOutputs[[#This Row],[Monthly Appr]])</f>
        <v>0</v>
      </c>
      <c r="AF484" s="22"/>
      <c r="AG484" s="14"/>
      <c r="AL484"/>
      <c r="AM484" s="14"/>
      <c r="AO484" s="275"/>
      <c r="AQ484" s="14"/>
      <c r="AR484"/>
    </row>
    <row r="485" spans="1:44" x14ac:dyDescent="0.25">
      <c r="A485" s="590" t="str">
        <f t="shared" si="107"/>
        <v/>
      </c>
      <c r="B485" s="275">
        <f t="shared" si="108"/>
        <v>0</v>
      </c>
      <c r="C485" s="14">
        <f t="shared" si="105"/>
        <v>0</v>
      </c>
      <c r="D485" s="14">
        <f t="shared" si="109"/>
        <v>0</v>
      </c>
      <c r="E485" s="14">
        <f t="shared" si="106"/>
        <v>0</v>
      </c>
      <c r="F485" s="14">
        <f t="shared" si="114"/>
        <v>134.16999999999999</v>
      </c>
      <c r="G485" s="14">
        <f t="shared" si="114"/>
        <v>188.55</v>
      </c>
      <c r="H485" s="14">
        <f t="shared" si="103"/>
        <v>322.72000000000003</v>
      </c>
      <c r="I485" s="275">
        <f t="shared" si="112"/>
        <v>97531.839999999953</v>
      </c>
      <c r="J485" s="275">
        <f t="shared" si="113"/>
        <v>36068.259999999973</v>
      </c>
      <c r="K485" s="275">
        <f t="shared" si="110"/>
        <v>0</v>
      </c>
      <c r="L485" s="386">
        <f t="shared" si="101"/>
        <v>0</v>
      </c>
      <c r="M485" s="386">
        <f t="shared" si="111"/>
        <v>0</v>
      </c>
      <c r="N485" s="590" t="str">
        <f>INDEX(tblSubjectToLoan[Date],ROW()-ROW(tblContractForDeed[#Headers]))</f>
        <v/>
      </c>
      <c r="O485" s="275">
        <f>IF(ROW()=ROW(tblContractForDeed[#Headers])+1,$O$6,IF(INDEX(tblContractForDeed[End Bal],ROW()-ROW(tblContractForDeed[#Headers])-1)&lt;0,0,INDEX(tblContractForDeed[End Bal],ROW()-ROW(tblContractForDeed[#Headers])-1)))</f>
        <v>0</v>
      </c>
      <c r="P485" s="445" t="str">
        <f>IF(tblContractForDeed[[#This Row],[Date]]="","",IF(tblContractForDeed[[#This Row],[Date]]&lt;cfdRateChangeDate,cfdRate1,cfdRate2))</f>
        <v/>
      </c>
      <c r="Q4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75">
        <f>IF(tblContractForDeed[[#This Row],[Payment]]=0,0,MAX(0,MIN(tblContractForDeed[[#This Row],[Beg]],tblContractForDeed[[#This Row],[Payment]]-tblContractForDeed[[#This Row],[Int]])))</f>
        <v>0</v>
      </c>
      <c r="S485" s="275">
        <f>IF(OR(tblContractForDeed[[#This Row],[Date]]&lt;cfdContractDate,tblContractForDeed[[#This Row],[Date]]&gt;cfdEndDate),0,ROUND(tblContractForDeed[[#This Row],[Beg]]*(tblContractForDeed[[#This Row],[Int Rate]]/12),2))</f>
        <v>0</v>
      </c>
      <c r="T485" s="275">
        <f>IF(tblContractForDeed[[#This Row],[Payment]]=0,0,$W$2)</f>
        <v>0</v>
      </c>
      <c r="U485" s="275">
        <f>IF(tblContractForDeed[[#This Row],[Princ]]=0,0,$W$3)</f>
        <v>0</v>
      </c>
      <c r="V485" s="275">
        <f>SUM(tblContractForDeed[[#This Row],[Princ]],tblContractForDeed[[#This Row],[Int]],tblContractForDeed[[#This Row],[Ins]],tblContractForDeed[[#This Row],[Taxes]])</f>
        <v>0</v>
      </c>
      <c r="W485" s="275">
        <f>SUM(INDEX(tblContractForDeed[Princ],1):INDEX(tblContractForDeed[Princ],ROW()-ROW(tblContractForDeed[#Headers])))</f>
        <v>75258.000000000029</v>
      </c>
      <c r="X485" s="275">
        <f>IF(tblContractForDeed[[#This Row],[Beg]]&lt;=0,0,tblContractForDeed[[#This Row],[Beg]]-tblContractForDeed[[#This Row],[Princ]])</f>
        <v>0</v>
      </c>
      <c r="Y48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54">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5" s="275">
        <f>IF(INDEX(tblContractForDeed[End Bal],ROW()-ROW(tblBuyerOutputs[#Headers]))&lt;=0,0,($O$6+IF(ROW()=ROW(tblBuyerOutputs[#Headers])+1,0,INDEX(tblBuyerOutputs[Cumul Appr],ROW()-ROW(tblBuyerOutputs[#Headers])-1)))*$O$2/12)</f>
        <v>0</v>
      </c>
      <c r="AE485" s="275">
        <f>IF(INDEX(tblContractForDeed[End Bal],ROW()-ROW(tblBuyerOutputs[#Headers]))&lt;=0,0,IF(ROW()=ROW(tblBuyerOutputs[#Headers])+1,0,INDEX(tblBuyerOutputs[Cumul Appr],ROW()-ROW(tblBuyerOutputs[#Headers])-1))+tblBuyerOutputs[[#This Row],[Monthly Appr]])</f>
        <v>0</v>
      </c>
      <c r="AF485" s="22"/>
      <c r="AG485" s="14"/>
      <c r="AL485"/>
      <c r="AM485" s="14"/>
      <c r="AO485" s="275"/>
      <c r="AQ485" s="14"/>
      <c r="AR485"/>
    </row>
    <row r="486" spans="1:44" x14ac:dyDescent="0.25">
      <c r="A486" s="590" t="str">
        <f t="shared" si="107"/>
        <v/>
      </c>
      <c r="B486" s="275">
        <f t="shared" si="108"/>
        <v>0</v>
      </c>
      <c r="C486" s="14">
        <f t="shared" si="105"/>
        <v>0</v>
      </c>
      <c r="D486" s="14">
        <f t="shared" si="109"/>
        <v>0</v>
      </c>
      <c r="E486" s="14">
        <f t="shared" si="106"/>
        <v>0</v>
      </c>
      <c r="F486" s="14">
        <f t="shared" si="114"/>
        <v>134.16999999999999</v>
      </c>
      <c r="G486" s="14">
        <f t="shared" si="114"/>
        <v>188.55</v>
      </c>
      <c r="H486" s="14">
        <f t="shared" si="103"/>
        <v>322.72000000000003</v>
      </c>
      <c r="I486" s="275">
        <f t="shared" si="112"/>
        <v>97531.839999999953</v>
      </c>
      <c r="J486" s="275">
        <f t="shared" si="113"/>
        <v>36068.259999999973</v>
      </c>
      <c r="K486" s="275">
        <f t="shared" si="110"/>
        <v>0</v>
      </c>
      <c r="L486" s="386">
        <f t="shared" si="101"/>
        <v>0</v>
      </c>
      <c r="M486" s="386">
        <f t="shared" si="111"/>
        <v>0</v>
      </c>
      <c r="N486" s="590" t="str">
        <f>INDEX(tblSubjectToLoan[Date],ROW()-ROW(tblContractForDeed[#Headers]))</f>
        <v/>
      </c>
      <c r="O486" s="275">
        <f>IF(ROW()=ROW(tblContractForDeed[#Headers])+1,$O$6,IF(INDEX(tblContractForDeed[End Bal],ROW()-ROW(tblContractForDeed[#Headers])-1)&lt;0,0,INDEX(tblContractForDeed[End Bal],ROW()-ROW(tblContractForDeed[#Headers])-1)))</f>
        <v>0</v>
      </c>
      <c r="P486" s="445" t="str">
        <f>IF(tblContractForDeed[[#This Row],[Date]]="","",IF(tblContractForDeed[[#This Row],[Date]]&lt;cfdRateChangeDate,cfdRate1,cfdRate2))</f>
        <v/>
      </c>
      <c r="Q4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75">
        <f>IF(tblContractForDeed[[#This Row],[Payment]]=0,0,MAX(0,MIN(tblContractForDeed[[#This Row],[Beg]],tblContractForDeed[[#This Row],[Payment]]-tblContractForDeed[[#This Row],[Int]])))</f>
        <v>0</v>
      </c>
      <c r="S486" s="275">
        <f>IF(OR(tblContractForDeed[[#This Row],[Date]]&lt;cfdContractDate,tblContractForDeed[[#This Row],[Date]]&gt;cfdEndDate),0,ROUND(tblContractForDeed[[#This Row],[Beg]]*(tblContractForDeed[[#This Row],[Int Rate]]/12),2))</f>
        <v>0</v>
      </c>
      <c r="T486" s="275">
        <f>IF(tblContractForDeed[[#This Row],[Payment]]=0,0,$W$2)</f>
        <v>0</v>
      </c>
      <c r="U486" s="275">
        <f>IF(tblContractForDeed[[#This Row],[Princ]]=0,0,$W$3)</f>
        <v>0</v>
      </c>
      <c r="V486" s="275">
        <f>SUM(tblContractForDeed[[#This Row],[Princ]],tblContractForDeed[[#This Row],[Int]],tblContractForDeed[[#This Row],[Ins]],tblContractForDeed[[#This Row],[Taxes]])</f>
        <v>0</v>
      </c>
      <c r="W486" s="275">
        <f>SUM(INDEX(tblContractForDeed[Princ],1):INDEX(tblContractForDeed[Princ],ROW()-ROW(tblContractForDeed[#Headers])))</f>
        <v>75258.000000000029</v>
      </c>
      <c r="X486" s="275">
        <f>IF(tblContractForDeed[[#This Row],[Beg]]&lt;=0,0,tblContractForDeed[[#This Row],[Beg]]-tblContractForDeed[[#This Row],[Princ]])</f>
        <v>0</v>
      </c>
      <c r="Y48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54">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6" s="275">
        <f>IF(INDEX(tblContractForDeed[End Bal],ROW()-ROW(tblBuyerOutputs[#Headers]))&lt;=0,0,($O$6+IF(ROW()=ROW(tblBuyerOutputs[#Headers])+1,0,INDEX(tblBuyerOutputs[Cumul Appr],ROW()-ROW(tblBuyerOutputs[#Headers])-1)))*$O$2/12)</f>
        <v>0</v>
      </c>
      <c r="AE486" s="275">
        <f>IF(INDEX(tblContractForDeed[End Bal],ROW()-ROW(tblBuyerOutputs[#Headers]))&lt;=0,0,IF(ROW()=ROW(tblBuyerOutputs[#Headers])+1,0,INDEX(tblBuyerOutputs[Cumul Appr],ROW()-ROW(tblBuyerOutputs[#Headers])-1))+tblBuyerOutputs[[#This Row],[Monthly Appr]])</f>
        <v>0</v>
      </c>
      <c r="AF486" s="22"/>
      <c r="AG486" s="14"/>
      <c r="AL486"/>
      <c r="AM486" s="14"/>
      <c r="AO486" s="275"/>
      <c r="AQ486" s="14"/>
      <c r="AR486"/>
    </row>
    <row r="487" spans="1:44" ht="15.75" thickBot="1" x14ac:dyDescent="0.3">
      <c r="A487" s="591" t="str">
        <f t="shared" si="107"/>
        <v/>
      </c>
      <c r="B487" s="326">
        <f t="shared" si="108"/>
        <v>0</v>
      </c>
      <c r="C487" s="21">
        <f t="shared" si="105"/>
        <v>0</v>
      </c>
      <c r="D487" s="21">
        <f t="shared" si="109"/>
        <v>0</v>
      </c>
      <c r="E487" s="21">
        <f t="shared" si="106"/>
        <v>0</v>
      </c>
      <c r="F487" s="21">
        <f t="shared" si="114"/>
        <v>134.16999999999999</v>
      </c>
      <c r="G487" s="21">
        <f t="shared" si="114"/>
        <v>188.55</v>
      </c>
      <c r="H487" s="21">
        <f t="shared" si="103"/>
        <v>322.72000000000003</v>
      </c>
      <c r="I487" s="326">
        <f t="shared" si="112"/>
        <v>97531.839999999953</v>
      </c>
      <c r="J487" s="326">
        <f t="shared" si="113"/>
        <v>36068.259999999973</v>
      </c>
      <c r="K487" s="326">
        <f t="shared" si="110"/>
        <v>0</v>
      </c>
      <c r="L487" s="387">
        <f t="shared" si="101"/>
        <v>0</v>
      </c>
      <c r="M487" s="387">
        <f t="shared" si="111"/>
        <v>0</v>
      </c>
      <c r="N487" s="591" t="str">
        <f>INDEX(tblSubjectToLoan[Date],ROW()-ROW(tblContractForDeed[#Headers]))</f>
        <v/>
      </c>
      <c r="O487" s="326">
        <f>IF(ROW()=ROW(tblContractForDeed[#Headers])+1,$O$6,IF(INDEX(tblContractForDeed[End Bal],ROW()-ROW(tblContractForDeed[#Headers])-1)&lt;0,0,INDEX(tblContractForDeed[End Bal],ROW()-ROW(tblContractForDeed[#Headers])-1)))</f>
        <v>0</v>
      </c>
      <c r="P487" s="445" t="str">
        <f>IF(tblContractForDeed[[#This Row],[Date]]="","",IF(tblContractForDeed[[#This Row],[Date]]&lt;cfdRateChangeDate,cfdRate1,cfdRate2))</f>
        <v/>
      </c>
      <c r="Q48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26">
        <f>IF(tblContractForDeed[[#This Row],[Payment]]=0,0,MAX(0,MIN(tblContractForDeed[[#This Row],[Beg]],tblContractForDeed[[#This Row],[Payment]]-tblContractForDeed[[#This Row],[Int]])))</f>
        <v>0</v>
      </c>
      <c r="S487" s="326">
        <f>IF(OR(tblContractForDeed[[#This Row],[Date]]&lt;cfdContractDate,tblContractForDeed[[#This Row],[Date]]&gt;cfdEndDate),0,ROUND(tblContractForDeed[[#This Row],[Beg]]*(tblContractForDeed[[#This Row],[Int Rate]]/12),2))</f>
        <v>0</v>
      </c>
      <c r="T487" s="326">
        <f>IF(tblContractForDeed[[#This Row],[Payment]]=0,0,$W$2)</f>
        <v>0</v>
      </c>
      <c r="U487" s="326">
        <f>IF(tblContractForDeed[[#This Row],[Princ]]=0,0,$W$3)</f>
        <v>0</v>
      </c>
      <c r="V487" s="326">
        <f>SUM(tblContractForDeed[[#This Row],[Princ]],tblContractForDeed[[#This Row],[Int]],tblContractForDeed[[#This Row],[Ins]],tblContractForDeed[[#This Row],[Taxes]])</f>
        <v>0</v>
      </c>
      <c r="W487" s="326">
        <f>SUM(INDEX(tblContractForDeed[Princ],1):INDEX(tblContractForDeed[Princ],ROW()-ROW(tblContractForDeed[#Headers])))</f>
        <v>75258.000000000029</v>
      </c>
      <c r="X487" s="326">
        <f>IF(tblContractForDeed[[#This Row],[Beg]]&lt;=0,0,tblContractForDeed[[#This Row],[Beg]]-tblContractForDeed[[#This Row],[Princ]])</f>
        <v>0</v>
      </c>
      <c r="Y48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55">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7" s="326">
        <f>IF(INDEX(tblContractForDeed[End Bal],ROW()-ROW(tblBuyerOutputs[#Headers]))&lt;=0,0,($O$6+IF(ROW()=ROW(tblBuyerOutputs[#Headers])+1,0,INDEX(tblBuyerOutputs[Cumul Appr],ROW()-ROW(tblBuyerOutputs[#Headers])-1)))*$O$2/12)</f>
        <v>0</v>
      </c>
      <c r="AE487" s="326">
        <f>IF(INDEX(tblContractForDeed[End Bal],ROW()-ROW(tblBuyerOutputs[#Headers]))&lt;=0,0,IF(ROW()=ROW(tblBuyerOutputs[#Headers])+1,0,INDEX(tblBuyerOutputs[Cumul Appr],ROW()-ROW(tblBuyerOutputs[#Headers])-1))+tblBuyerOutputs[[#This Row],[Monthly Appr]])</f>
        <v>0</v>
      </c>
      <c r="AF487" s="22"/>
      <c r="AG487" s="14"/>
      <c r="AL487"/>
      <c r="AM487" s="14"/>
      <c r="AO487" s="275"/>
      <c r="AQ487" s="14"/>
      <c r="AR487"/>
    </row>
    <row r="488" spans="1:44" x14ac:dyDescent="0.25">
      <c r="A488" s="590" t="str">
        <f t="shared" si="107"/>
        <v/>
      </c>
      <c r="B488" s="275">
        <f t="shared" si="108"/>
        <v>0</v>
      </c>
      <c r="C488" s="14">
        <f t="shared" si="105"/>
        <v>0</v>
      </c>
      <c r="D488" s="14">
        <f t="shared" si="109"/>
        <v>0</v>
      </c>
      <c r="E488" s="14">
        <f t="shared" si="106"/>
        <v>0</v>
      </c>
      <c r="F488" s="14">
        <f t="shared" si="114"/>
        <v>134.16999999999999</v>
      </c>
      <c r="G488" s="14">
        <f t="shared" si="114"/>
        <v>188.55</v>
      </c>
      <c r="H488" s="14">
        <f t="shared" si="103"/>
        <v>322.72000000000003</v>
      </c>
      <c r="I488" s="275">
        <f t="shared" si="112"/>
        <v>97531.839999999953</v>
      </c>
      <c r="J488" s="275">
        <f t="shared" si="113"/>
        <v>36068.259999999973</v>
      </c>
      <c r="K488" s="275">
        <f t="shared" si="110"/>
        <v>0</v>
      </c>
      <c r="L488" s="386">
        <f t="shared" si="101"/>
        <v>0</v>
      </c>
      <c r="M488" s="386">
        <f t="shared" si="111"/>
        <v>0</v>
      </c>
      <c r="N488" s="590" t="str">
        <f>INDEX(tblSubjectToLoan[Date],ROW()-ROW(tblContractForDeed[#Headers]))</f>
        <v/>
      </c>
      <c r="O488" s="275">
        <f>IF(ROW()=ROW(tblContractForDeed[#Headers])+1,$O$6,IF(INDEX(tblContractForDeed[End Bal],ROW()-ROW(tblContractForDeed[#Headers])-1)&lt;0,0,INDEX(tblContractForDeed[End Bal],ROW()-ROW(tblContractForDeed[#Headers])-1)))</f>
        <v>0</v>
      </c>
      <c r="P488" s="445" t="str">
        <f>IF(tblContractForDeed[[#This Row],[Date]]="","",IF(tblContractForDeed[[#This Row],[Date]]&lt;cfdRateChangeDate,cfdRate1,cfdRate2))</f>
        <v/>
      </c>
      <c r="Q4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75">
        <f>IF(tblContractForDeed[[#This Row],[Payment]]=0,0,MAX(0,MIN(tblContractForDeed[[#This Row],[Beg]],tblContractForDeed[[#This Row],[Payment]]-tblContractForDeed[[#This Row],[Int]])))</f>
        <v>0</v>
      </c>
      <c r="S488" s="275">
        <f>IF(OR(tblContractForDeed[[#This Row],[Date]]&lt;cfdContractDate,tblContractForDeed[[#This Row],[Date]]&gt;cfdEndDate),0,ROUND(tblContractForDeed[[#This Row],[Beg]]*(tblContractForDeed[[#This Row],[Int Rate]]/12),2))</f>
        <v>0</v>
      </c>
      <c r="T488" s="275">
        <f>IF(tblContractForDeed[[#This Row],[Payment]]=0,0,$W$2)</f>
        <v>0</v>
      </c>
      <c r="U488" s="275">
        <f>IF(tblContractForDeed[[#This Row],[Princ]]=0,0,$W$3)</f>
        <v>0</v>
      </c>
      <c r="V488" s="275">
        <f>SUM(tblContractForDeed[[#This Row],[Princ]],tblContractForDeed[[#This Row],[Int]],tblContractForDeed[[#This Row],[Ins]],tblContractForDeed[[#This Row],[Taxes]])</f>
        <v>0</v>
      </c>
      <c r="W488" s="275">
        <f>SUM(INDEX(tblContractForDeed[Princ],1):INDEX(tblContractForDeed[Princ],ROW()-ROW(tblContractForDeed[#Headers])))</f>
        <v>75258.000000000029</v>
      </c>
      <c r="X488" s="275">
        <f>IF(tblContractForDeed[[#This Row],[Beg]]&lt;=0,0,tblContractForDeed[[#This Row],[Beg]]-tblContractForDeed[[#This Row],[Princ]])</f>
        <v>0</v>
      </c>
      <c r="Y48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54">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8" s="275">
        <f>IF(INDEX(tblContractForDeed[End Bal],ROW()-ROW(tblBuyerOutputs[#Headers]))&lt;=0,0,($O$6+IF(ROW()=ROW(tblBuyerOutputs[#Headers])+1,0,INDEX(tblBuyerOutputs[Cumul Appr],ROW()-ROW(tblBuyerOutputs[#Headers])-1)))*$O$2/12)</f>
        <v>0</v>
      </c>
      <c r="AE488" s="275">
        <f>IF(INDEX(tblContractForDeed[End Bal],ROW()-ROW(tblBuyerOutputs[#Headers]))&lt;=0,0,IF(ROW()=ROW(tblBuyerOutputs[#Headers])+1,0,INDEX(tblBuyerOutputs[Cumul Appr],ROW()-ROW(tblBuyerOutputs[#Headers])-1))+tblBuyerOutputs[[#This Row],[Monthly Appr]])</f>
        <v>0</v>
      </c>
      <c r="AF488" s="22"/>
      <c r="AG488" s="14"/>
      <c r="AL488"/>
      <c r="AM488" s="14"/>
      <c r="AO488" s="275"/>
      <c r="AQ488" s="14"/>
      <c r="AR488"/>
    </row>
    <row r="489" spans="1:44" x14ac:dyDescent="0.25">
      <c r="A489" s="590" t="str">
        <f t="shared" si="107"/>
        <v/>
      </c>
      <c r="B489" s="275">
        <f t="shared" si="108"/>
        <v>0</v>
      </c>
      <c r="C489" s="14">
        <f t="shared" si="105"/>
        <v>0</v>
      </c>
      <c r="D489" s="14">
        <f t="shared" si="109"/>
        <v>0</v>
      </c>
      <c r="E489" s="14">
        <f t="shared" si="106"/>
        <v>0</v>
      </c>
      <c r="F489" s="14">
        <f t="shared" si="114"/>
        <v>134.16999999999999</v>
      </c>
      <c r="G489" s="14">
        <f t="shared" si="114"/>
        <v>188.55</v>
      </c>
      <c r="H489" s="14">
        <f t="shared" si="103"/>
        <v>322.72000000000003</v>
      </c>
      <c r="I489" s="275">
        <f t="shared" si="112"/>
        <v>97531.839999999953</v>
      </c>
      <c r="J489" s="275">
        <f t="shared" si="113"/>
        <v>36068.259999999973</v>
      </c>
      <c r="K489" s="275">
        <f t="shared" si="110"/>
        <v>0</v>
      </c>
      <c r="L489" s="386">
        <f t="shared" si="101"/>
        <v>0</v>
      </c>
      <c r="M489" s="386">
        <f t="shared" si="111"/>
        <v>0</v>
      </c>
      <c r="N489" s="590" t="str">
        <f>INDEX(tblSubjectToLoan[Date],ROW()-ROW(tblContractForDeed[#Headers]))</f>
        <v/>
      </c>
      <c r="O489" s="275">
        <f>IF(ROW()=ROW(tblContractForDeed[#Headers])+1,$O$6,IF(INDEX(tblContractForDeed[End Bal],ROW()-ROW(tblContractForDeed[#Headers])-1)&lt;0,0,INDEX(tblContractForDeed[End Bal],ROW()-ROW(tblContractForDeed[#Headers])-1)))</f>
        <v>0</v>
      </c>
      <c r="P489" s="445" t="str">
        <f>IF(tblContractForDeed[[#This Row],[Date]]="","",IF(tblContractForDeed[[#This Row],[Date]]&lt;cfdRateChangeDate,cfdRate1,cfdRate2))</f>
        <v/>
      </c>
      <c r="Q4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75">
        <f>IF(tblContractForDeed[[#This Row],[Payment]]=0,0,MAX(0,MIN(tblContractForDeed[[#This Row],[Beg]],tblContractForDeed[[#This Row],[Payment]]-tblContractForDeed[[#This Row],[Int]])))</f>
        <v>0</v>
      </c>
      <c r="S489" s="275">
        <f>IF(OR(tblContractForDeed[[#This Row],[Date]]&lt;cfdContractDate,tblContractForDeed[[#This Row],[Date]]&gt;cfdEndDate),0,ROUND(tblContractForDeed[[#This Row],[Beg]]*(tblContractForDeed[[#This Row],[Int Rate]]/12),2))</f>
        <v>0</v>
      </c>
      <c r="T489" s="275">
        <f>IF(tblContractForDeed[[#This Row],[Payment]]=0,0,$W$2)</f>
        <v>0</v>
      </c>
      <c r="U489" s="275">
        <f>IF(tblContractForDeed[[#This Row],[Princ]]=0,0,$W$3)</f>
        <v>0</v>
      </c>
      <c r="V489" s="275">
        <f>SUM(tblContractForDeed[[#This Row],[Princ]],tblContractForDeed[[#This Row],[Int]],tblContractForDeed[[#This Row],[Ins]],tblContractForDeed[[#This Row],[Taxes]])</f>
        <v>0</v>
      </c>
      <c r="W489" s="275">
        <f>SUM(INDEX(tblContractForDeed[Princ],1):INDEX(tblContractForDeed[Princ],ROW()-ROW(tblContractForDeed[#Headers])))</f>
        <v>75258.000000000029</v>
      </c>
      <c r="X489" s="275">
        <f>IF(tblContractForDeed[[#This Row],[Beg]]&lt;=0,0,tblContractForDeed[[#This Row],[Beg]]-tblContractForDeed[[#This Row],[Princ]])</f>
        <v>0</v>
      </c>
      <c r="Y48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54">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9" s="275">
        <f>IF(INDEX(tblContractForDeed[End Bal],ROW()-ROW(tblBuyerOutputs[#Headers]))&lt;=0,0,($O$6+IF(ROW()=ROW(tblBuyerOutputs[#Headers])+1,0,INDEX(tblBuyerOutputs[Cumul Appr],ROW()-ROW(tblBuyerOutputs[#Headers])-1)))*$O$2/12)</f>
        <v>0</v>
      </c>
      <c r="AE489" s="275">
        <f>IF(INDEX(tblContractForDeed[End Bal],ROW()-ROW(tblBuyerOutputs[#Headers]))&lt;=0,0,IF(ROW()=ROW(tblBuyerOutputs[#Headers])+1,0,INDEX(tblBuyerOutputs[Cumul Appr],ROW()-ROW(tblBuyerOutputs[#Headers])-1))+tblBuyerOutputs[[#This Row],[Monthly Appr]])</f>
        <v>0</v>
      </c>
      <c r="AF489" s="22"/>
      <c r="AG489" s="14"/>
      <c r="AL489"/>
      <c r="AM489" s="14"/>
      <c r="AO489" s="275"/>
      <c r="AQ489" s="14"/>
      <c r="AR489"/>
    </row>
    <row r="490" spans="1:44" x14ac:dyDescent="0.25">
      <c r="A490" s="590" t="str">
        <f t="shared" si="107"/>
        <v/>
      </c>
      <c r="B490" s="275">
        <f t="shared" si="108"/>
        <v>0</v>
      </c>
      <c r="C490" s="14">
        <f t="shared" si="105"/>
        <v>0</v>
      </c>
      <c r="D490" s="14">
        <f t="shared" si="109"/>
        <v>0</v>
      </c>
      <c r="E490" s="14">
        <f t="shared" si="106"/>
        <v>0</v>
      </c>
      <c r="F490" s="14">
        <f t="shared" si="114"/>
        <v>134.16999999999999</v>
      </c>
      <c r="G490" s="14">
        <f t="shared" si="114"/>
        <v>188.55</v>
      </c>
      <c r="H490" s="14">
        <f t="shared" si="103"/>
        <v>322.72000000000003</v>
      </c>
      <c r="I490" s="275">
        <f t="shared" si="112"/>
        <v>97531.839999999953</v>
      </c>
      <c r="J490" s="275">
        <f t="shared" si="113"/>
        <v>36068.259999999973</v>
      </c>
      <c r="K490" s="275">
        <f t="shared" si="110"/>
        <v>0</v>
      </c>
      <c r="L490" s="386">
        <f t="shared" si="101"/>
        <v>0</v>
      </c>
      <c r="M490" s="386">
        <f t="shared" si="111"/>
        <v>0</v>
      </c>
      <c r="N490" s="590" t="str">
        <f>INDEX(tblSubjectToLoan[Date],ROW()-ROW(tblContractForDeed[#Headers]))</f>
        <v/>
      </c>
      <c r="O490" s="275">
        <f>IF(ROW()=ROW(tblContractForDeed[#Headers])+1,$O$6,IF(INDEX(tblContractForDeed[End Bal],ROW()-ROW(tblContractForDeed[#Headers])-1)&lt;0,0,INDEX(tblContractForDeed[End Bal],ROW()-ROW(tblContractForDeed[#Headers])-1)))</f>
        <v>0</v>
      </c>
      <c r="P490" s="445" t="str">
        <f>IF(tblContractForDeed[[#This Row],[Date]]="","",IF(tblContractForDeed[[#This Row],[Date]]&lt;cfdRateChangeDate,cfdRate1,cfdRate2))</f>
        <v/>
      </c>
      <c r="Q4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75">
        <f>IF(tblContractForDeed[[#This Row],[Payment]]=0,0,MAX(0,MIN(tblContractForDeed[[#This Row],[Beg]],tblContractForDeed[[#This Row],[Payment]]-tblContractForDeed[[#This Row],[Int]])))</f>
        <v>0</v>
      </c>
      <c r="S490" s="275">
        <f>IF(OR(tblContractForDeed[[#This Row],[Date]]&lt;cfdContractDate,tblContractForDeed[[#This Row],[Date]]&gt;cfdEndDate),0,ROUND(tblContractForDeed[[#This Row],[Beg]]*(tblContractForDeed[[#This Row],[Int Rate]]/12),2))</f>
        <v>0</v>
      </c>
      <c r="T490" s="275">
        <f>IF(tblContractForDeed[[#This Row],[Payment]]=0,0,$W$2)</f>
        <v>0</v>
      </c>
      <c r="U490" s="275">
        <f>IF(tblContractForDeed[[#This Row],[Princ]]=0,0,$W$3)</f>
        <v>0</v>
      </c>
      <c r="V490" s="275">
        <f>SUM(tblContractForDeed[[#This Row],[Princ]],tblContractForDeed[[#This Row],[Int]],tblContractForDeed[[#This Row],[Ins]],tblContractForDeed[[#This Row],[Taxes]])</f>
        <v>0</v>
      </c>
      <c r="W490" s="275">
        <f>SUM(INDEX(tblContractForDeed[Princ],1):INDEX(tblContractForDeed[Princ],ROW()-ROW(tblContractForDeed[#Headers])))</f>
        <v>75258.000000000029</v>
      </c>
      <c r="X490" s="275">
        <f>IF(tblContractForDeed[[#This Row],[Beg]]&lt;=0,0,tblContractForDeed[[#This Row],[Beg]]-tblContractForDeed[[#This Row],[Princ]])</f>
        <v>0</v>
      </c>
      <c r="Y49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54">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0" s="275">
        <f>IF(INDEX(tblContractForDeed[End Bal],ROW()-ROW(tblBuyerOutputs[#Headers]))&lt;=0,0,($O$6+IF(ROW()=ROW(tblBuyerOutputs[#Headers])+1,0,INDEX(tblBuyerOutputs[Cumul Appr],ROW()-ROW(tblBuyerOutputs[#Headers])-1)))*$O$2/12)</f>
        <v>0</v>
      </c>
      <c r="AE490" s="275">
        <f>IF(INDEX(tblContractForDeed[End Bal],ROW()-ROW(tblBuyerOutputs[#Headers]))&lt;=0,0,IF(ROW()=ROW(tblBuyerOutputs[#Headers])+1,0,INDEX(tblBuyerOutputs[Cumul Appr],ROW()-ROW(tblBuyerOutputs[#Headers])-1))+tblBuyerOutputs[[#This Row],[Monthly Appr]])</f>
        <v>0</v>
      </c>
      <c r="AF490" s="22"/>
      <c r="AG490" s="14"/>
      <c r="AL490"/>
      <c r="AM490" s="14"/>
      <c r="AO490" s="275"/>
      <c r="AQ490" s="14"/>
      <c r="AR490"/>
    </row>
    <row r="491" spans="1:44" x14ac:dyDescent="0.25">
      <c r="A491" s="590" t="str">
        <f t="shared" si="107"/>
        <v/>
      </c>
      <c r="B491" s="275">
        <f t="shared" si="108"/>
        <v>0</v>
      </c>
      <c r="C491" s="14">
        <f t="shared" si="105"/>
        <v>0</v>
      </c>
      <c r="D491" s="14">
        <f t="shared" si="109"/>
        <v>0</v>
      </c>
      <c r="E491" s="14">
        <f t="shared" si="106"/>
        <v>0</v>
      </c>
      <c r="F491" s="14">
        <f t="shared" si="114"/>
        <v>134.16999999999999</v>
      </c>
      <c r="G491" s="14">
        <f t="shared" si="114"/>
        <v>188.55</v>
      </c>
      <c r="H491" s="14">
        <f t="shared" si="103"/>
        <v>322.72000000000003</v>
      </c>
      <c r="I491" s="275">
        <f t="shared" si="112"/>
        <v>97531.839999999953</v>
      </c>
      <c r="J491" s="275">
        <f t="shared" si="113"/>
        <v>36068.259999999973</v>
      </c>
      <c r="K491" s="275">
        <f t="shared" si="110"/>
        <v>0</v>
      </c>
      <c r="L491" s="386">
        <f t="shared" si="101"/>
        <v>0</v>
      </c>
      <c r="M491" s="386">
        <f t="shared" si="111"/>
        <v>0</v>
      </c>
      <c r="N491" s="590" t="str">
        <f>INDEX(tblSubjectToLoan[Date],ROW()-ROW(tblContractForDeed[#Headers]))</f>
        <v/>
      </c>
      <c r="O491" s="275">
        <f>IF(ROW()=ROW(tblContractForDeed[#Headers])+1,$O$6,IF(INDEX(tblContractForDeed[End Bal],ROW()-ROW(tblContractForDeed[#Headers])-1)&lt;0,0,INDEX(tblContractForDeed[End Bal],ROW()-ROW(tblContractForDeed[#Headers])-1)))</f>
        <v>0</v>
      </c>
      <c r="P491" s="445" t="str">
        <f>IF(tblContractForDeed[[#This Row],[Date]]="","",IF(tblContractForDeed[[#This Row],[Date]]&lt;cfdRateChangeDate,cfdRate1,cfdRate2))</f>
        <v/>
      </c>
      <c r="Q49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75">
        <f>IF(tblContractForDeed[[#This Row],[Payment]]=0,0,MAX(0,MIN(tblContractForDeed[[#This Row],[Beg]],tblContractForDeed[[#This Row],[Payment]]-tblContractForDeed[[#This Row],[Int]])))</f>
        <v>0</v>
      </c>
      <c r="S491" s="275">
        <f>IF(OR(tblContractForDeed[[#This Row],[Date]]&lt;cfdContractDate,tblContractForDeed[[#This Row],[Date]]&gt;cfdEndDate),0,ROUND(tblContractForDeed[[#This Row],[Beg]]*(tblContractForDeed[[#This Row],[Int Rate]]/12),2))</f>
        <v>0</v>
      </c>
      <c r="T491" s="275">
        <f>IF(tblContractForDeed[[#This Row],[Payment]]=0,0,$W$2)</f>
        <v>0</v>
      </c>
      <c r="U491" s="275">
        <f>IF(tblContractForDeed[[#This Row],[Princ]]=0,0,$W$3)</f>
        <v>0</v>
      </c>
      <c r="V491" s="275">
        <f>SUM(tblContractForDeed[[#This Row],[Princ]],tblContractForDeed[[#This Row],[Int]],tblContractForDeed[[#This Row],[Ins]],tblContractForDeed[[#This Row],[Taxes]])</f>
        <v>0</v>
      </c>
      <c r="W491" s="275">
        <f>SUM(INDEX(tblContractForDeed[Princ],1):INDEX(tblContractForDeed[Princ],ROW()-ROW(tblContractForDeed[#Headers])))</f>
        <v>75258.000000000029</v>
      </c>
      <c r="X491" s="275">
        <f>IF(tblContractForDeed[[#This Row],[Beg]]&lt;=0,0,tblContractForDeed[[#This Row],[Beg]]-tblContractForDeed[[#This Row],[Princ]])</f>
        <v>0</v>
      </c>
      <c r="Y49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54">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1" s="275">
        <f>IF(INDEX(tblContractForDeed[End Bal],ROW()-ROW(tblBuyerOutputs[#Headers]))&lt;=0,0,($O$6+IF(ROW()=ROW(tblBuyerOutputs[#Headers])+1,0,INDEX(tblBuyerOutputs[Cumul Appr],ROW()-ROW(tblBuyerOutputs[#Headers])-1)))*$O$2/12)</f>
        <v>0</v>
      </c>
      <c r="AE491" s="275">
        <f>IF(INDEX(tblContractForDeed[End Bal],ROW()-ROW(tblBuyerOutputs[#Headers]))&lt;=0,0,IF(ROW()=ROW(tblBuyerOutputs[#Headers])+1,0,INDEX(tblBuyerOutputs[Cumul Appr],ROW()-ROW(tblBuyerOutputs[#Headers])-1))+tblBuyerOutputs[[#This Row],[Monthly Appr]])</f>
        <v>0</v>
      </c>
      <c r="AF491" s="22"/>
      <c r="AG491" s="14"/>
      <c r="AL491"/>
      <c r="AM491" s="14"/>
      <c r="AO491" s="275"/>
      <c r="AQ491" s="14"/>
      <c r="AR491"/>
    </row>
    <row r="492" spans="1:44" x14ac:dyDescent="0.25">
      <c r="A492" s="590" t="str">
        <f t="shared" si="107"/>
        <v/>
      </c>
      <c r="B492" s="275">
        <f t="shared" si="108"/>
        <v>0</v>
      </c>
      <c r="C492" s="14">
        <f t="shared" si="105"/>
        <v>0</v>
      </c>
      <c r="D492" s="14">
        <f t="shared" si="109"/>
        <v>0</v>
      </c>
      <c r="E492" s="14">
        <f t="shared" si="106"/>
        <v>0</v>
      </c>
      <c r="F492" s="14">
        <f t="shared" si="114"/>
        <v>134.16999999999999</v>
      </c>
      <c r="G492" s="14">
        <f t="shared" si="114"/>
        <v>188.55</v>
      </c>
      <c r="H492" s="14">
        <f t="shared" si="103"/>
        <v>322.72000000000003</v>
      </c>
      <c r="I492" s="275">
        <f t="shared" si="112"/>
        <v>97531.839999999953</v>
      </c>
      <c r="J492" s="275">
        <f t="shared" si="113"/>
        <v>36068.259999999973</v>
      </c>
      <c r="K492" s="275">
        <f t="shared" si="110"/>
        <v>0</v>
      </c>
      <c r="L492" s="386">
        <f t="shared" si="101"/>
        <v>0</v>
      </c>
      <c r="M492" s="386">
        <f t="shared" si="111"/>
        <v>0</v>
      </c>
      <c r="N492" s="590" t="str">
        <f>INDEX(tblSubjectToLoan[Date],ROW()-ROW(tblContractForDeed[#Headers]))</f>
        <v/>
      </c>
      <c r="O492" s="275">
        <f>IF(ROW()=ROW(tblContractForDeed[#Headers])+1,$O$6,IF(INDEX(tblContractForDeed[End Bal],ROW()-ROW(tblContractForDeed[#Headers])-1)&lt;0,0,INDEX(tblContractForDeed[End Bal],ROW()-ROW(tblContractForDeed[#Headers])-1)))</f>
        <v>0</v>
      </c>
      <c r="P492" s="445" t="str">
        <f>IF(tblContractForDeed[[#This Row],[Date]]="","",IF(tblContractForDeed[[#This Row],[Date]]&lt;cfdRateChangeDate,cfdRate1,cfdRate2))</f>
        <v/>
      </c>
      <c r="Q4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75">
        <f>IF(tblContractForDeed[[#This Row],[Payment]]=0,0,MAX(0,MIN(tblContractForDeed[[#This Row],[Beg]],tblContractForDeed[[#This Row],[Payment]]-tblContractForDeed[[#This Row],[Int]])))</f>
        <v>0</v>
      </c>
      <c r="S492" s="275">
        <f>IF(OR(tblContractForDeed[[#This Row],[Date]]&lt;cfdContractDate,tblContractForDeed[[#This Row],[Date]]&gt;cfdEndDate),0,ROUND(tblContractForDeed[[#This Row],[Beg]]*(tblContractForDeed[[#This Row],[Int Rate]]/12),2))</f>
        <v>0</v>
      </c>
      <c r="T492" s="275">
        <f>IF(tblContractForDeed[[#This Row],[Payment]]=0,0,$W$2)</f>
        <v>0</v>
      </c>
      <c r="U492" s="275">
        <f>IF(tblContractForDeed[[#This Row],[Princ]]=0,0,$W$3)</f>
        <v>0</v>
      </c>
      <c r="V492" s="275">
        <f>SUM(tblContractForDeed[[#This Row],[Princ]],tblContractForDeed[[#This Row],[Int]],tblContractForDeed[[#This Row],[Ins]],tblContractForDeed[[#This Row],[Taxes]])</f>
        <v>0</v>
      </c>
      <c r="W492" s="275">
        <f>SUM(INDEX(tblContractForDeed[Princ],1):INDEX(tblContractForDeed[Princ],ROW()-ROW(tblContractForDeed[#Headers])))</f>
        <v>75258.000000000029</v>
      </c>
      <c r="X492" s="275">
        <f>IF(tblContractForDeed[[#This Row],[Beg]]&lt;=0,0,tblContractForDeed[[#This Row],[Beg]]-tblContractForDeed[[#This Row],[Princ]])</f>
        <v>0</v>
      </c>
      <c r="Y49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54">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2" s="275">
        <f>IF(INDEX(tblContractForDeed[End Bal],ROW()-ROW(tblBuyerOutputs[#Headers]))&lt;=0,0,($O$6+IF(ROW()=ROW(tblBuyerOutputs[#Headers])+1,0,INDEX(tblBuyerOutputs[Cumul Appr],ROW()-ROW(tblBuyerOutputs[#Headers])-1)))*$O$2/12)</f>
        <v>0</v>
      </c>
      <c r="AE492" s="275">
        <f>IF(INDEX(tblContractForDeed[End Bal],ROW()-ROW(tblBuyerOutputs[#Headers]))&lt;=0,0,IF(ROW()=ROW(tblBuyerOutputs[#Headers])+1,0,INDEX(tblBuyerOutputs[Cumul Appr],ROW()-ROW(tblBuyerOutputs[#Headers])-1))+tblBuyerOutputs[[#This Row],[Monthly Appr]])</f>
        <v>0</v>
      </c>
      <c r="AF492" s="22"/>
      <c r="AG492" s="14"/>
      <c r="AL492"/>
      <c r="AM492" s="14"/>
      <c r="AO492" s="275"/>
      <c r="AQ492" s="14"/>
      <c r="AR492"/>
    </row>
    <row r="493" spans="1:44" x14ac:dyDescent="0.25">
      <c r="A493" s="590" t="str">
        <f t="shared" si="107"/>
        <v/>
      </c>
      <c r="B493" s="275">
        <f t="shared" si="108"/>
        <v>0</v>
      </c>
      <c r="C493" s="14">
        <f t="shared" si="105"/>
        <v>0</v>
      </c>
      <c r="D493" s="14">
        <f t="shared" si="109"/>
        <v>0</v>
      </c>
      <c r="E493" s="14">
        <f t="shared" si="106"/>
        <v>0</v>
      </c>
      <c r="F493" s="14">
        <f t="shared" si="114"/>
        <v>134.16999999999999</v>
      </c>
      <c r="G493" s="14">
        <f t="shared" si="114"/>
        <v>188.55</v>
      </c>
      <c r="H493" s="14">
        <f t="shared" si="103"/>
        <v>322.72000000000003</v>
      </c>
      <c r="I493" s="275">
        <f t="shared" si="112"/>
        <v>97531.839999999953</v>
      </c>
      <c r="J493" s="275">
        <f t="shared" si="113"/>
        <v>36068.259999999973</v>
      </c>
      <c r="K493" s="275">
        <f t="shared" si="110"/>
        <v>0</v>
      </c>
      <c r="L493" s="386">
        <f t="shared" si="101"/>
        <v>0</v>
      </c>
      <c r="M493" s="386">
        <f t="shared" si="111"/>
        <v>0</v>
      </c>
      <c r="N493" s="590" t="str">
        <f>INDEX(tblSubjectToLoan[Date],ROW()-ROW(tblContractForDeed[#Headers]))</f>
        <v/>
      </c>
      <c r="O493" s="275">
        <f>IF(ROW()=ROW(tblContractForDeed[#Headers])+1,$O$6,IF(INDEX(tblContractForDeed[End Bal],ROW()-ROW(tblContractForDeed[#Headers])-1)&lt;0,0,INDEX(tblContractForDeed[End Bal],ROW()-ROW(tblContractForDeed[#Headers])-1)))</f>
        <v>0</v>
      </c>
      <c r="P493" s="445" t="str">
        <f>IF(tblContractForDeed[[#This Row],[Date]]="","",IF(tblContractForDeed[[#This Row],[Date]]&lt;cfdRateChangeDate,cfdRate1,cfdRate2))</f>
        <v/>
      </c>
      <c r="Q4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75">
        <f>IF(tblContractForDeed[[#This Row],[Payment]]=0,0,MAX(0,MIN(tblContractForDeed[[#This Row],[Beg]],tblContractForDeed[[#This Row],[Payment]]-tblContractForDeed[[#This Row],[Int]])))</f>
        <v>0</v>
      </c>
      <c r="S493" s="275">
        <f>IF(OR(tblContractForDeed[[#This Row],[Date]]&lt;cfdContractDate,tblContractForDeed[[#This Row],[Date]]&gt;cfdEndDate),0,ROUND(tblContractForDeed[[#This Row],[Beg]]*(tblContractForDeed[[#This Row],[Int Rate]]/12),2))</f>
        <v>0</v>
      </c>
      <c r="T493" s="275">
        <f>IF(tblContractForDeed[[#This Row],[Payment]]=0,0,$W$2)</f>
        <v>0</v>
      </c>
      <c r="U493" s="275">
        <f>IF(tblContractForDeed[[#This Row],[Princ]]=0,0,$W$3)</f>
        <v>0</v>
      </c>
      <c r="V493" s="275">
        <f>SUM(tblContractForDeed[[#This Row],[Princ]],tblContractForDeed[[#This Row],[Int]],tblContractForDeed[[#This Row],[Ins]],tblContractForDeed[[#This Row],[Taxes]])</f>
        <v>0</v>
      </c>
      <c r="W493" s="275">
        <f>SUM(INDEX(tblContractForDeed[Princ],1):INDEX(tblContractForDeed[Princ],ROW()-ROW(tblContractForDeed[#Headers])))</f>
        <v>75258.000000000029</v>
      </c>
      <c r="X493" s="275">
        <f>IF(tblContractForDeed[[#This Row],[Beg]]&lt;=0,0,tblContractForDeed[[#This Row],[Beg]]-tblContractForDeed[[#This Row],[Princ]])</f>
        <v>0</v>
      </c>
      <c r="Y49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54">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3" s="275">
        <f>IF(INDEX(tblContractForDeed[End Bal],ROW()-ROW(tblBuyerOutputs[#Headers]))&lt;=0,0,($O$6+IF(ROW()=ROW(tblBuyerOutputs[#Headers])+1,0,INDEX(tblBuyerOutputs[Cumul Appr],ROW()-ROW(tblBuyerOutputs[#Headers])-1)))*$O$2/12)</f>
        <v>0</v>
      </c>
      <c r="AE493" s="275">
        <f>IF(INDEX(tblContractForDeed[End Bal],ROW()-ROW(tblBuyerOutputs[#Headers]))&lt;=0,0,IF(ROW()=ROW(tblBuyerOutputs[#Headers])+1,0,INDEX(tblBuyerOutputs[Cumul Appr],ROW()-ROW(tblBuyerOutputs[#Headers])-1))+tblBuyerOutputs[[#This Row],[Monthly Appr]])</f>
        <v>0</v>
      </c>
      <c r="AF493" s="22"/>
      <c r="AG493" s="14"/>
      <c r="AL493"/>
      <c r="AM493" s="14"/>
      <c r="AO493" s="275"/>
      <c r="AQ493" s="14"/>
      <c r="AR493"/>
    </row>
    <row r="494" spans="1:44" x14ac:dyDescent="0.25">
      <c r="A494" s="590" t="str">
        <f t="shared" si="107"/>
        <v/>
      </c>
      <c r="B494" s="275">
        <f t="shared" si="108"/>
        <v>0</v>
      </c>
      <c r="C494" s="14">
        <f t="shared" si="105"/>
        <v>0</v>
      </c>
      <c r="D494" s="14">
        <f t="shared" si="109"/>
        <v>0</v>
      </c>
      <c r="E494" s="14">
        <f t="shared" si="106"/>
        <v>0</v>
      </c>
      <c r="F494" s="14">
        <f t="shared" si="114"/>
        <v>134.16999999999999</v>
      </c>
      <c r="G494" s="14">
        <f t="shared" si="114"/>
        <v>188.55</v>
      </c>
      <c r="H494" s="14">
        <f t="shared" si="103"/>
        <v>322.72000000000003</v>
      </c>
      <c r="I494" s="275">
        <f t="shared" si="112"/>
        <v>97531.839999999953</v>
      </c>
      <c r="J494" s="275">
        <f t="shared" si="113"/>
        <v>36068.259999999973</v>
      </c>
      <c r="K494" s="275">
        <f t="shared" si="110"/>
        <v>0</v>
      </c>
      <c r="L494" s="386">
        <f t="shared" si="101"/>
        <v>0</v>
      </c>
      <c r="M494" s="386">
        <f t="shared" si="111"/>
        <v>0</v>
      </c>
      <c r="N494" s="590" t="str">
        <f>INDEX(tblSubjectToLoan[Date],ROW()-ROW(tblContractForDeed[#Headers]))</f>
        <v/>
      </c>
      <c r="O494" s="275">
        <f>IF(ROW()=ROW(tblContractForDeed[#Headers])+1,$O$6,IF(INDEX(tblContractForDeed[End Bal],ROW()-ROW(tblContractForDeed[#Headers])-1)&lt;0,0,INDEX(tblContractForDeed[End Bal],ROW()-ROW(tblContractForDeed[#Headers])-1)))</f>
        <v>0</v>
      </c>
      <c r="P494" s="445" t="str">
        <f>IF(tblContractForDeed[[#This Row],[Date]]="","",IF(tblContractForDeed[[#This Row],[Date]]&lt;cfdRateChangeDate,cfdRate1,cfdRate2))</f>
        <v/>
      </c>
      <c r="Q4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75">
        <f>IF(tblContractForDeed[[#This Row],[Payment]]=0,0,MAX(0,MIN(tblContractForDeed[[#This Row],[Beg]],tblContractForDeed[[#This Row],[Payment]]-tblContractForDeed[[#This Row],[Int]])))</f>
        <v>0</v>
      </c>
      <c r="S494" s="275">
        <f>IF(OR(tblContractForDeed[[#This Row],[Date]]&lt;cfdContractDate,tblContractForDeed[[#This Row],[Date]]&gt;cfdEndDate),0,ROUND(tblContractForDeed[[#This Row],[Beg]]*(tblContractForDeed[[#This Row],[Int Rate]]/12),2))</f>
        <v>0</v>
      </c>
      <c r="T494" s="275">
        <f>IF(tblContractForDeed[[#This Row],[Payment]]=0,0,$W$2)</f>
        <v>0</v>
      </c>
      <c r="U494" s="275">
        <f>IF(tblContractForDeed[[#This Row],[Princ]]=0,0,$W$3)</f>
        <v>0</v>
      </c>
      <c r="V494" s="275">
        <f>SUM(tblContractForDeed[[#This Row],[Princ]],tblContractForDeed[[#This Row],[Int]],tblContractForDeed[[#This Row],[Ins]],tblContractForDeed[[#This Row],[Taxes]])</f>
        <v>0</v>
      </c>
      <c r="W494" s="275">
        <f>SUM(INDEX(tblContractForDeed[Princ],1):INDEX(tblContractForDeed[Princ],ROW()-ROW(tblContractForDeed[#Headers])))</f>
        <v>75258.000000000029</v>
      </c>
      <c r="X494" s="275">
        <f>IF(tblContractForDeed[[#This Row],[Beg]]&lt;=0,0,tblContractForDeed[[#This Row],[Beg]]-tblContractForDeed[[#This Row],[Princ]])</f>
        <v>0</v>
      </c>
      <c r="Y49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54">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4" s="275">
        <f>IF(INDEX(tblContractForDeed[End Bal],ROW()-ROW(tblBuyerOutputs[#Headers]))&lt;=0,0,($O$6+IF(ROW()=ROW(tblBuyerOutputs[#Headers])+1,0,INDEX(tblBuyerOutputs[Cumul Appr],ROW()-ROW(tblBuyerOutputs[#Headers])-1)))*$O$2/12)</f>
        <v>0</v>
      </c>
      <c r="AE494" s="275">
        <f>IF(INDEX(tblContractForDeed[End Bal],ROW()-ROW(tblBuyerOutputs[#Headers]))&lt;=0,0,IF(ROW()=ROW(tblBuyerOutputs[#Headers])+1,0,INDEX(tblBuyerOutputs[Cumul Appr],ROW()-ROW(tblBuyerOutputs[#Headers])-1))+tblBuyerOutputs[[#This Row],[Monthly Appr]])</f>
        <v>0</v>
      </c>
      <c r="AF494" s="22"/>
      <c r="AG494" s="14"/>
      <c r="AL494"/>
      <c r="AM494" s="14"/>
      <c r="AO494" s="275"/>
      <c r="AQ494" s="14"/>
      <c r="AR494"/>
    </row>
    <row r="495" spans="1:44" x14ac:dyDescent="0.25">
      <c r="A495" s="590" t="str">
        <f t="shared" si="107"/>
        <v/>
      </c>
      <c r="B495" s="275">
        <f t="shared" si="108"/>
        <v>0</v>
      </c>
      <c r="C495" s="14">
        <f t="shared" si="105"/>
        <v>0</v>
      </c>
      <c r="D495" s="14">
        <f t="shared" si="109"/>
        <v>0</v>
      </c>
      <c r="E495" s="14">
        <f t="shared" si="106"/>
        <v>0</v>
      </c>
      <c r="F495" s="14">
        <f t="shared" ref="F495:G495" si="115">+F494</f>
        <v>134.16999999999999</v>
      </c>
      <c r="G495" s="14">
        <f t="shared" si="115"/>
        <v>188.55</v>
      </c>
      <c r="H495" s="14">
        <f t="shared" si="103"/>
        <v>322.72000000000003</v>
      </c>
      <c r="I495" s="275">
        <f t="shared" si="112"/>
        <v>97531.839999999953</v>
      </c>
      <c r="J495" s="275">
        <f t="shared" si="113"/>
        <v>36068.259999999973</v>
      </c>
      <c r="K495" s="275">
        <f t="shared" si="110"/>
        <v>0</v>
      </c>
      <c r="L495" s="386">
        <f t="shared" si="101"/>
        <v>0</v>
      </c>
      <c r="M495" s="386">
        <f t="shared" si="111"/>
        <v>0</v>
      </c>
      <c r="N495" s="590" t="str">
        <f>INDEX(tblSubjectToLoan[Date],ROW()-ROW(tblContractForDeed[#Headers]))</f>
        <v/>
      </c>
      <c r="O495" s="275">
        <f>IF(ROW()=ROW(tblContractForDeed[#Headers])+1,$O$6,IF(INDEX(tblContractForDeed[End Bal],ROW()-ROW(tblContractForDeed[#Headers])-1)&lt;0,0,INDEX(tblContractForDeed[End Bal],ROW()-ROW(tblContractForDeed[#Headers])-1)))</f>
        <v>0</v>
      </c>
      <c r="P495" s="445" t="str">
        <f>IF(tblContractForDeed[[#This Row],[Date]]="","",IF(tblContractForDeed[[#This Row],[Date]]&lt;cfdRateChangeDate,cfdRate1,cfdRate2))</f>
        <v/>
      </c>
      <c r="Q49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75">
        <f>IF(tblContractForDeed[[#This Row],[Payment]]=0,0,MAX(0,MIN(tblContractForDeed[[#This Row],[Beg]],tblContractForDeed[[#This Row],[Payment]]-tblContractForDeed[[#This Row],[Int]])))</f>
        <v>0</v>
      </c>
      <c r="S495" s="275">
        <f>IF(OR(tblContractForDeed[[#This Row],[Date]]&lt;cfdContractDate,tblContractForDeed[[#This Row],[Date]]&gt;cfdEndDate),0,ROUND(tblContractForDeed[[#This Row],[Beg]]*(tblContractForDeed[[#This Row],[Int Rate]]/12),2))</f>
        <v>0</v>
      </c>
      <c r="T495" s="275">
        <f>IF(tblContractForDeed[[#This Row],[Payment]]=0,0,$W$2)</f>
        <v>0</v>
      </c>
      <c r="U495" s="275">
        <f>IF(tblContractForDeed[[#This Row],[Princ]]=0,0,$W$3)</f>
        <v>0</v>
      </c>
      <c r="V495" s="275">
        <f>SUM(tblContractForDeed[[#This Row],[Princ]],tblContractForDeed[[#This Row],[Int]],tblContractForDeed[[#This Row],[Ins]],tblContractForDeed[[#This Row],[Taxes]])</f>
        <v>0</v>
      </c>
      <c r="W495" s="275">
        <f>SUM(INDEX(tblContractForDeed[Princ],1):INDEX(tblContractForDeed[Princ],ROW()-ROW(tblContractForDeed[#Headers])))</f>
        <v>75258.000000000029</v>
      </c>
      <c r="X495" s="275">
        <f>IF(tblContractForDeed[[#This Row],[Beg]]&lt;=0,0,tblContractForDeed[[#This Row],[Beg]]-tblContractForDeed[[#This Row],[Princ]])</f>
        <v>0</v>
      </c>
      <c r="Y49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54">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5" s="275">
        <f>IF(INDEX(tblContractForDeed[End Bal],ROW()-ROW(tblBuyerOutputs[#Headers]))&lt;=0,0,($O$6+IF(ROW()=ROW(tblBuyerOutputs[#Headers])+1,0,INDEX(tblBuyerOutputs[Cumul Appr],ROW()-ROW(tblBuyerOutputs[#Headers])-1)))*$O$2/12)</f>
        <v>0</v>
      </c>
      <c r="AE495" s="275">
        <f>IF(INDEX(tblContractForDeed[End Bal],ROW()-ROW(tblBuyerOutputs[#Headers]))&lt;=0,0,IF(ROW()=ROW(tblBuyerOutputs[#Headers])+1,0,INDEX(tblBuyerOutputs[Cumul Appr],ROW()-ROW(tblBuyerOutputs[#Headers])-1))+tblBuyerOutputs[[#This Row],[Monthly Appr]])</f>
        <v>0</v>
      </c>
      <c r="AF495" s="22"/>
      <c r="AG495" s="14"/>
      <c r="AL495"/>
      <c r="AM495" s="14"/>
      <c r="AO495" s="275"/>
      <c r="AQ495" s="14"/>
      <c r="AR495"/>
    </row>
    <row r="496" spans="1:44" x14ac:dyDescent="0.25">
      <c r="A496" s="590" t="str">
        <f t="shared" si="107"/>
        <v/>
      </c>
      <c r="B496" s="275">
        <f t="shared" si="108"/>
        <v>0</v>
      </c>
      <c r="C496" s="14">
        <f t="shared" si="105"/>
        <v>0</v>
      </c>
      <c r="D496" s="14">
        <f t="shared" si="109"/>
        <v>0</v>
      </c>
      <c r="E496" s="14">
        <f t="shared" si="106"/>
        <v>0</v>
      </c>
      <c r="K496" s="275">
        <f t="shared" si="110"/>
        <v>0</v>
      </c>
      <c r="L496" s="386">
        <f t="shared" si="101"/>
        <v>0</v>
      </c>
      <c r="M496" s="386">
        <f t="shared" si="111"/>
        <v>0</v>
      </c>
      <c r="N496" s="590" t="str">
        <f>INDEX(tblSubjectToLoan[Date],ROW()-ROW(tblContractForDeed[#Headers]))</f>
        <v/>
      </c>
      <c r="O496" s="275">
        <f>IF(ROW()=ROW(tblContractForDeed[#Headers])+1,$O$6,IF(INDEX(tblContractForDeed[End Bal],ROW()-ROW(tblContractForDeed[#Headers])-1)&lt;0,0,INDEX(tblContractForDeed[End Bal],ROW()-ROW(tblContractForDeed[#Headers])-1)))</f>
        <v>0</v>
      </c>
      <c r="P496" s="445" t="str">
        <f>IF(tblContractForDeed[[#This Row],[Date]]="","",IF(tblContractForDeed[[#This Row],[Date]]&lt;cfdRateChangeDate,cfdRate1,cfdRate2))</f>
        <v/>
      </c>
      <c r="Q4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75">
        <f>SUM(INDEX(tblContractForDeed[Princ],1):INDEX(tblContractForDeed[Princ],ROW()-ROW(tblContractForDeed[#Headers])))</f>
        <v>75258.000000000029</v>
      </c>
      <c r="X496" s="275">
        <f>IF(tblContractForDeed[[#This Row],[Beg]]&lt;=0,0,tblContractForDeed[[#This Row],[Beg]]-tblContractForDeed[[#This Row],[Princ]])</f>
        <v>0</v>
      </c>
      <c r="Y49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54">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6" s="275">
        <f>IF(INDEX(tblContractForDeed[End Bal],ROW()-ROW(tblBuyerOutputs[#Headers]))&lt;=0,0,($O$6+IF(ROW()=ROW(tblBuyerOutputs[#Headers])+1,0,INDEX(tblBuyerOutputs[Cumul Appr],ROW()-ROW(tblBuyerOutputs[#Headers])-1)))*$O$2/12)</f>
        <v>0</v>
      </c>
      <c r="AE496" s="275">
        <f>IF(INDEX(tblContractForDeed[End Bal],ROW()-ROW(tblBuyerOutputs[#Headers]))&lt;=0,0,IF(ROW()=ROW(tblBuyerOutputs[#Headers])+1,0,INDEX(tblBuyerOutputs[Cumul Appr],ROW()-ROW(tblBuyerOutputs[#Headers])-1))+tblBuyerOutputs[[#This Row],[Monthly Appr]])</f>
        <v>0</v>
      </c>
      <c r="AF496" s="22"/>
      <c r="AG496" s="14"/>
      <c r="AL496"/>
      <c r="AM496" s="14"/>
      <c r="AO496" s="275"/>
      <c r="AQ496" s="14"/>
      <c r="AR496"/>
    </row>
    <row r="497" spans="1:44" x14ac:dyDescent="0.25">
      <c r="A497" s="590" t="str">
        <f t="shared" si="107"/>
        <v/>
      </c>
      <c r="B497" s="275">
        <f t="shared" si="108"/>
        <v>0</v>
      </c>
      <c r="C497" s="14">
        <f t="shared" si="105"/>
        <v>0</v>
      </c>
      <c r="D497" s="14">
        <f t="shared" si="109"/>
        <v>0</v>
      </c>
      <c r="E497" s="14">
        <f t="shared" si="106"/>
        <v>0</v>
      </c>
      <c r="K497" s="275">
        <f t="shared" si="110"/>
        <v>0</v>
      </c>
      <c r="L497" s="386">
        <f t="shared" si="101"/>
        <v>0</v>
      </c>
      <c r="M497" s="386">
        <f t="shared" si="111"/>
        <v>0</v>
      </c>
      <c r="N497" s="590" t="str">
        <f>INDEX(tblSubjectToLoan[Date],ROW()-ROW(tblContractForDeed[#Headers]))</f>
        <v/>
      </c>
      <c r="O497" s="275">
        <f>IF(ROW()=ROW(tblContractForDeed[#Headers])+1,$O$6,IF(INDEX(tblContractForDeed[End Bal],ROW()-ROW(tblContractForDeed[#Headers])-1)&lt;0,0,INDEX(tblContractForDeed[End Bal],ROW()-ROW(tblContractForDeed[#Headers])-1)))</f>
        <v>0</v>
      </c>
      <c r="P497" s="445" t="str">
        <f>IF(tblContractForDeed[[#This Row],[Date]]="","",IF(tblContractForDeed[[#This Row],[Date]]&lt;cfdRateChangeDate,cfdRate1,cfdRate2))</f>
        <v/>
      </c>
      <c r="Q4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75">
        <f>SUM(INDEX(tblContractForDeed[Princ],1):INDEX(tblContractForDeed[Princ],ROW()-ROW(tblContractForDeed[#Headers])))</f>
        <v>75258.000000000029</v>
      </c>
      <c r="X497" s="275">
        <f>IF(tblContractForDeed[[#This Row],[Beg]]&lt;=0,0,tblContractForDeed[[#This Row],[Beg]]-tblContractForDeed[[#This Row],[Princ]])</f>
        <v>0</v>
      </c>
      <c r="Y49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54">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7" s="275">
        <f>IF(INDEX(tblContractForDeed[End Bal],ROW()-ROW(tblBuyerOutputs[#Headers]))&lt;=0,0,($O$6+IF(ROW()=ROW(tblBuyerOutputs[#Headers])+1,0,INDEX(tblBuyerOutputs[Cumul Appr],ROW()-ROW(tblBuyerOutputs[#Headers])-1)))*$O$2/12)</f>
        <v>0</v>
      </c>
      <c r="AE497" s="275">
        <f>IF(INDEX(tblContractForDeed[End Bal],ROW()-ROW(tblBuyerOutputs[#Headers]))&lt;=0,0,IF(ROW()=ROW(tblBuyerOutputs[#Headers])+1,0,INDEX(tblBuyerOutputs[Cumul Appr],ROW()-ROW(tblBuyerOutputs[#Headers])-1))+tblBuyerOutputs[[#This Row],[Monthly Appr]])</f>
        <v>0</v>
      </c>
      <c r="AF497" s="22"/>
      <c r="AG497" s="14"/>
      <c r="AL497"/>
      <c r="AM497" s="14"/>
      <c r="AO497" s="275"/>
      <c r="AQ497" s="14"/>
      <c r="AR497"/>
    </row>
    <row r="498" spans="1:44" x14ac:dyDescent="0.25">
      <c r="A498" s="590" t="str">
        <f t="shared" si="107"/>
        <v/>
      </c>
      <c r="B498" s="275">
        <f t="shared" si="108"/>
        <v>0</v>
      </c>
      <c r="C498" s="14">
        <f t="shared" si="105"/>
        <v>0</v>
      </c>
      <c r="D498" s="14">
        <f t="shared" si="109"/>
        <v>0</v>
      </c>
      <c r="E498" s="14">
        <f t="shared" si="106"/>
        <v>0</v>
      </c>
      <c r="K498" s="275">
        <f t="shared" si="110"/>
        <v>0</v>
      </c>
      <c r="L498" s="386">
        <f t="shared" si="101"/>
        <v>0</v>
      </c>
      <c r="M498" s="386">
        <f t="shared" si="111"/>
        <v>0</v>
      </c>
      <c r="N498" s="590" t="str">
        <f>INDEX(tblSubjectToLoan[Date],ROW()-ROW(tblContractForDeed[#Headers]))</f>
        <v/>
      </c>
      <c r="O498" s="275">
        <f>IF(ROW()=ROW(tblContractForDeed[#Headers])+1,$O$6,IF(INDEX(tblContractForDeed[End Bal],ROW()-ROW(tblContractForDeed[#Headers])-1)&lt;0,0,INDEX(tblContractForDeed[End Bal],ROW()-ROW(tblContractForDeed[#Headers])-1)))</f>
        <v>0</v>
      </c>
      <c r="P498" s="445" t="str">
        <f>IF(tblContractForDeed[[#This Row],[Date]]="","",IF(tblContractForDeed[[#This Row],[Date]]&lt;cfdRateChangeDate,cfdRate1,cfdRate2))</f>
        <v/>
      </c>
      <c r="Q4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75">
        <f>SUM(INDEX(tblContractForDeed[Princ],1):INDEX(tblContractForDeed[Princ],ROW()-ROW(tblContractForDeed[#Headers])))</f>
        <v>75258.000000000029</v>
      </c>
      <c r="X498" s="275">
        <f>IF(tblContractForDeed[[#This Row],[Beg]]&lt;=0,0,tblContractForDeed[[#This Row],[Beg]]-tblContractForDeed[[#This Row],[Princ]])</f>
        <v>0</v>
      </c>
      <c r="Y49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54">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8" s="275">
        <f>IF(INDEX(tblContractForDeed[End Bal],ROW()-ROW(tblBuyerOutputs[#Headers]))&lt;=0,0,($O$6+IF(ROW()=ROW(tblBuyerOutputs[#Headers])+1,0,INDEX(tblBuyerOutputs[Cumul Appr],ROW()-ROW(tblBuyerOutputs[#Headers])-1)))*$O$2/12)</f>
        <v>0</v>
      </c>
      <c r="AE498" s="275">
        <f>IF(INDEX(tblContractForDeed[End Bal],ROW()-ROW(tblBuyerOutputs[#Headers]))&lt;=0,0,IF(ROW()=ROW(tblBuyerOutputs[#Headers])+1,0,INDEX(tblBuyerOutputs[Cumul Appr],ROW()-ROW(tblBuyerOutputs[#Headers])-1))+tblBuyerOutputs[[#This Row],[Monthly Appr]])</f>
        <v>0</v>
      </c>
      <c r="AF498" s="22"/>
      <c r="AG498" s="14"/>
      <c r="AL498"/>
      <c r="AM498" s="14"/>
      <c r="AO498" s="275"/>
      <c r="AQ498" s="14"/>
      <c r="AR498"/>
    </row>
    <row r="499" spans="1:44" ht="15.75" thickBot="1" x14ac:dyDescent="0.3">
      <c r="A499" s="591" t="str">
        <f t="shared" si="107"/>
        <v/>
      </c>
      <c r="B499" s="326">
        <f t="shared" si="108"/>
        <v>0</v>
      </c>
      <c r="C499" s="21">
        <f t="shared" si="105"/>
        <v>0</v>
      </c>
      <c r="D499" s="21">
        <f t="shared" si="109"/>
        <v>0</v>
      </c>
      <c r="E499" s="21">
        <f t="shared" si="106"/>
        <v>0</v>
      </c>
      <c r="F499" s="21"/>
      <c r="G499" s="21"/>
      <c r="H499" s="21"/>
      <c r="I499" s="326"/>
      <c r="J499" s="326"/>
      <c r="K499" s="326">
        <f t="shared" si="110"/>
        <v>0</v>
      </c>
      <c r="L499" s="387">
        <f t="shared" si="101"/>
        <v>0</v>
      </c>
      <c r="M499" s="387">
        <f t="shared" si="111"/>
        <v>0</v>
      </c>
      <c r="N499" s="591" t="str">
        <f>INDEX(tblSubjectToLoan[Date],ROW()-ROW(tblContractForDeed[#Headers]))</f>
        <v/>
      </c>
      <c r="O499" s="275">
        <f>IF(ROW()=ROW(tblContractForDeed[#Headers])+1,$O$6,IF(INDEX(tblContractForDeed[End Bal],ROW()-ROW(tblContractForDeed[#Headers])-1)&lt;0,0,INDEX(tblContractForDeed[End Bal],ROW()-ROW(tblContractForDeed[#Headers])-1)))</f>
        <v>0</v>
      </c>
      <c r="P499" s="445" t="str">
        <f>IF(tblContractForDeed[[#This Row],[Date]]="","",IF(tblContractForDeed[[#This Row],[Date]]&lt;cfdRateChangeDate,cfdRate1,cfdRate2))</f>
        <v/>
      </c>
      <c r="Q49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75">
        <f>SUM(INDEX(tblContractForDeed[Princ],1):INDEX(tblContractForDeed[Princ],ROW()-ROW(tblContractForDeed[#Headers])))</f>
        <v>75258.000000000029</v>
      </c>
      <c r="X499" s="275">
        <f>IF(tblContractForDeed[[#This Row],[Beg]]&lt;=0,0,tblContractForDeed[[#This Row],[Beg]]-tblContractForDeed[[#This Row],[Princ]])</f>
        <v>0</v>
      </c>
      <c r="Y49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54">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9" s="326">
        <f>IF(INDEX(tblContractForDeed[End Bal],ROW()-ROW(tblBuyerOutputs[#Headers]))&lt;=0,0,($O$6+IF(ROW()=ROW(tblBuyerOutputs[#Headers])+1,0,INDEX(tblBuyerOutputs[Cumul Appr],ROW()-ROW(tblBuyerOutputs[#Headers])-1)))*$O$2/12)</f>
        <v>0</v>
      </c>
      <c r="AE499" s="326">
        <f>IF(INDEX(tblContractForDeed[End Bal],ROW()-ROW(tblBuyerOutputs[#Headers]))&lt;=0,0,IF(ROW()=ROW(tblBuyerOutputs[#Headers])+1,0,INDEX(tblBuyerOutputs[Cumul Appr],ROW()-ROW(tblBuyerOutputs[#Headers])-1))+tblBuyerOutputs[[#This Row],[Monthly Appr]])</f>
        <v>0</v>
      </c>
      <c r="AF499" s="22"/>
      <c r="AG499" s="14"/>
      <c r="AL499"/>
      <c r="AM499" s="14"/>
      <c r="AO499" s="275"/>
      <c r="AQ499" s="21"/>
      <c r="AR499"/>
    </row>
    <row r="500" spans="1:44" x14ac:dyDescent="0.25">
      <c r="A500" s="590" t="str">
        <f t="shared" si="107"/>
        <v/>
      </c>
      <c r="B500" s="275">
        <f t="shared" si="108"/>
        <v>0</v>
      </c>
      <c r="C500" s="14">
        <f t="shared" si="105"/>
        <v>0</v>
      </c>
      <c r="D500" s="14">
        <f t="shared" si="109"/>
        <v>0</v>
      </c>
      <c r="E500" s="14">
        <f t="shared" si="106"/>
        <v>0</v>
      </c>
      <c r="K500" s="275">
        <f t="shared" si="110"/>
        <v>0</v>
      </c>
      <c r="L500" s="386">
        <f t="shared" ref="L500:L563" si="116">IF(MOD(M500,12)=0,M500/12,L499)</f>
        <v>0</v>
      </c>
      <c r="M500" s="386">
        <f t="shared" si="111"/>
        <v>0</v>
      </c>
      <c r="N500" s="590" t="str">
        <f>INDEX(tblSubjectToLoan[Date],ROW()-ROW(tblContractForDeed[#Headers]))</f>
        <v/>
      </c>
      <c r="O500" s="275">
        <f>IF(ROW()=ROW(tblContractForDeed[#Headers])+1,$O$6,IF(INDEX(tblContractForDeed[End Bal],ROW()-ROW(tblContractForDeed[#Headers])-1)&lt;0,0,INDEX(tblContractForDeed[End Bal],ROW()-ROW(tblContractForDeed[#Headers])-1)))</f>
        <v>0</v>
      </c>
      <c r="P500" s="445" t="str">
        <f>IF(tblContractForDeed[[#This Row],[Date]]="","",IF(tblContractForDeed[[#This Row],[Date]]&lt;cfdRateChangeDate,cfdRate1,cfdRate2))</f>
        <v/>
      </c>
      <c r="Q5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75">
        <f>SUM(INDEX(tblContractForDeed[Princ],1):INDEX(tblContractForDeed[Princ],ROW()-ROW(tblContractForDeed[#Headers])))</f>
        <v>75258.000000000029</v>
      </c>
      <c r="X500" s="275">
        <f>IF(tblContractForDeed[[#This Row],[Beg]]&lt;=0,0,tblContractForDeed[[#This Row],[Beg]]-tblContractForDeed[[#This Row],[Princ]])</f>
        <v>0</v>
      </c>
      <c r="Y50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54">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0" s="275">
        <f>IF(INDEX(tblContractForDeed[End Bal],ROW()-ROW(tblBuyerOutputs[#Headers]))&lt;=0,0,($O$6+IF(ROW()=ROW(tblBuyerOutputs[#Headers])+1,0,INDEX(tblBuyerOutputs[Cumul Appr],ROW()-ROW(tblBuyerOutputs[#Headers])-1)))*$O$2/12)</f>
        <v>0</v>
      </c>
      <c r="AE500" s="275">
        <f>IF(INDEX(tblContractForDeed[End Bal],ROW()-ROW(tblBuyerOutputs[#Headers]))&lt;=0,0,IF(ROW()=ROW(tblBuyerOutputs[#Headers])+1,0,INDEX(tblBuyerOutputs[Cumul Appr],ROW()-ROW(tblBuyerOutputs[#Headers])-1))+tblBuyerOutputs[[#This Row],[Monthly Appr]])</f>
        <v>0</v>
      </c>
      <c r="AF500" s="22"/>
      <c r="AG500" s="14"/>
      <c r="AL500"/>
      <c r="AM500" s="14"/>
      <c r="AO500" s="275"/>
      <c r="AQ500" s="14"/>
      <c r="AR500"/>
    </row>
    <row r="501" spans="1:44" x14ac:dyDescent="0.25">
      <c r="A501" s="590" t="str">
        <f t="shared" si="107"/>
        <v/>
      </c>
      <c r="B501" s="275">
        <f t="shared" si="108"/>
        <v>0</v>
      </c>
      <c r="C501" s="14">
        <f t="shared" si="105"/>
        <v>0</v>
      </c>
      <c r="D501" s="14">
        <f t="shared" si="109"/>
        <v>0</v>
      </c>
      <c r="E501" s="14">
        <f t="shared" si="106"/>
        <v>0</v>
      </c>
      <c r="K501" s="275">
        <f t="shared" si="110"/>
        <v>0</v>
      </c>
      <c r="L501" s="386">
        <f t="shared" si="116"/>
        <v>0</v>
      </c>
      <c r="M501" s="386">
        <f t="shared" si="111"/>
        <v>0</v>
      </c>
      <c r="N501" s="590" t="str">
        <f>INDEX(tblSubjectToLoan[Date],ROW()-ROW(tblContractForDeed[#Headers]))</f>
        <v/>
      </c>
      <c r="O501" s="275">
        <f>IF(ROW()=ROW(tblContractForDeed[#Headers])+1,$O$6,IF(INDEX(tblContractForDeed[End Bal],ROW()-ROW(tblContractForDeed[#Headers])-1)&lt;0,0,INDEX(tblContractForDeed[End Bal],ROW()-ROW(tblContractForDeed[#Headers])-1)))</f>
        <v>0</v>
      </c>
      <c r="P501" s="445" t="str">
        <f>IF(tblContractForDeed[[#This Row],[Date]]="","",IF(tblContractForDeed[[#This Row],[Date]]&lt;cfdRateChangeDate,cfdRate1,cfdRate2))</f>
        <v/>
      </c>
      <c r="Q5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75">
        <f>SUM(INDEX(tblContractForDeed[Princ],1):INDEX(tblContractForDeed[Princ],ROW()-ROW(tblContractForDeed[#Headers])))</f>
        <v>75258.000000000029</v>
      </c>
      <c r="X501" s="275">
        <f>IF(tblContractForDeed[[#This Row],[Beg]]&lt;=0,0,tblContractForDeed[[#This Row],[Beg]]-tblContractForDeed[[#This Row],[Princ]])</f>
        <v>0</v>
      </c>
      <c r="Y50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54">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1" s="275">
        <f>IF(INDEX(tblContractForDeed[End Bal],ROW()-ROW(tblBuyerOutputs[#Headers]))&lt;=0,0,($O$6+IF(ROW()=ROW(tblBuyerOutputs[#Headers])+1,0,INDEX(tblBuyerOutputs[Cumul Appr],ROW()-ROW(tblBuyerOutputs[#Headers])-1)))*$O$2/12)</f>
        <v>0</v>
      </c>
      <c r="AE501" s="275">
        <f>IF(INDEX(tblContractForDeed[End Bal],ROW()-ROW(tblBuyerOutputs[#Headers]))&lt;=0,0,IF(ROW()=ROW(tblBuyerOutputs[#Headers])+1,0,INDEX(tblBuyerOutputs[Cumul Appr],ROW()-ROW(tblBuyerOutputs[#Headers])-1))+tblBuyerOutputs[[#This Row],[Monthly Appr]])</f>
        <v>0</v>
      </c>
      <c r="AF501" s="22"/>
      <c r="AG501" s="14"/>
      <c r="AL501"/>
      <c r="AM501" s="14"/>
      <c r="AO501" s="275"/>
      <c r="AQ501" s="14"/>
      <c r="AR501"/>
    </row>
    <row r="502" spans="1:44" x14ac:dyDescent="0.25">
      <c r="A502" s="590" t="str">
        <f t="shared" si="107"/>
        <v/>
      </c>
      <c r="B502" s="275">
        <f t="shared" si="108"/>
        <v>0</v>
      </c>
      <c r="C502" s="14">
        <f t="shared" si="105"/>
        <v>0</v>
      </c>
      <c r="D502" s="14">
        <f t="shared" si="109"/>
        <v>0</v>
      </c>
      <c r="E502" s="14">
        <f t="shared" si="106"/>
        <v>0</v>
      </c>
      <c r="K502" s="275">
        <f t="shared" si="110"/>
        <v>0</v>
      </c>
      <c r="L502" s="386">
        <f t="shared" si="116"/>
        <v>0</v>
      </c>
      <c r="M502" s="386">
        <f t="shared" si="111"/>
        <v>0</v>
      </c>
      <c r="N502" s="590" t="str">
        <f>INDEX(tblSubjectToLoan[Date],ROW()-ROW(tblContractForDeed[#Headers]))</f>
        <v/>
      </c>
      <c r="O502" s="275">
        <f>IF(ROW()=ROW(tblContractForDeed[#Headers])+1,$O$6,IF(INDEX(tblContractForDeed[End Bal],ROW()-ROW(tblContractForDeed[#Headers])-1)&lt;0,0,INDEX(tblContractForDeed[End Bal],ROW()-ROW(tblContractForDeed[#Headers])-1)))</f>
        <v>0</v>
      </c>
      <c r="P502" s="445" t="str">
        <f>IF(tblContractForDeed[[#This Row],[Date]]="","",IF(tblContractForDeed[[#This Row],[Date]]&lt;cfdRateChangeDate,cfdRate1,cfdRate2))</f>
        <v/>
      </c>
      <c r="Q5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75">
        <f>SUM(INDEX(tblContractForDeed[Princ],1):INDEX(tblContractForDeed[Princ],ROW()-ROW(tblContractForDeed[#Headers])))</f>
        <v>75258.000000000029</v>
      </c>
      <c r="X502" s="275">
        <f>IF(tblContractForDeed[[#This Row],[Beg]]&lt;=0,0,tblContractForDeed[[#This Row],[Beg]]-tblContractForDeed[[#This Row],[Princ]])</f>
        <v>0</v>
      </c>
      <c r="Y50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54">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2" s="275">
        <f>IF(INDEX(tblContractForDeed[End Bal],ROW()-ROW(tblBuyerOutputs[#Headers]))&lt;=0,0,($O$6+IF(ROW()=ROW(tblBuyerOutputs[#Headers])+1,0,INDEX(tblBuyerOutputs[Cumul Appr],ROW()-ROW(tblBuyerOutputs[#Headers])-1)))*$O$2/12)</f>
        <v>0</v>
      </c>
      <c r="AE502" s="275">
        <f>IF(INDEX(tblContractForDeed[End Bal],ROW()-ROW(tblBuyerOutputs[#Headers]))&lt;=0,0,IF(ROW()=ROW(tblBuyerOutputs[#Headers])+1,0,INDEX(tblBuyerOutputs[Cumul Appr],ROW()-ROW(tblBuyerOutputs[#Headers])-1))+tblBuyerOutputs[[#This Row],[Monthly Appr]])</f>
        <v>0</v>
      </c>
      <c r="AF502" s="22"/>
      <c r="AG502" s="14"/>
      <c r="AL502"/>
      <c r="AM502" s="14"/>
      <c r="AO502" s="275"/>
      <c r="AQ502" s="14"/>
      <c r="AR502"/>
    </row>
    <row r="503" spans="1:44" x14ac:dyDescent="0.25">
      <c r="A503" s="590" t="str">
        <f t="shared" si="107"/>
        <v/>
      </c>
      <c r="B503" s="275">
        <f t="shared" si="108"/>
        <v>0</v>
      </c>
      <c r="C503" s="14">
        <f t="shared" si="105"/>
        <v>0</v>
      </c>
      <c r="D503" s="14">
        <f t="shared" si="109"/>
        <v>0</v>
      </c>
      <c r="E503" s="14">
        <f t="shared" si="106"/>
        <v>0</v>
      </c>
      <c r="K503" s="275">
        <f t="shared" si="110"/>
        <v>0</v>
      </c>
      <c r="L503" s="386">
        <f t="shared" si="116"/>
        <v>0</v>
      </c>
      <c r="M503" s="386">
        <f t="shared" si="111"/>
        <v>0</v>
      </c>
      <c r="N503" s="590" t="str">
        <f>INDEX(tblSubjectToLoan[Date],ROW()-ROW(tblContractForDeed[#Headers]))</f>
        <v/>
      </c>
      <c r="O503" s="275">
        <f>IF(ROW()=ROW(tblContractForDeed[#Headers])+1,$O$6,IF(INDEX(tblContractForDeed[End Bal],ROW()-ROW(tblContractForDeed[#Headers])-1)&lt;0,0,INDEX(tblContractForDeed[End Bal],ROW()-ROW(tblContractForDeed[#Headers])-1)))</f>
        <v>0</v>
      </c>
      <c r="P503" s="445" t="str">
        <f>IF(tblContractForDeed[[#This Row],[Date]]="","",IF(tblContractForDeed[[#This Row],[Date]]&lt;cfdRateChangeDate,cfdRate1,cfdRate2))</f>
        <v/>
      </c>
      <c r="Q50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75">
        <f>SUM(INDEX(tblContractForDeed[Princ],1):INDEX(tblContractForDeed[Princ],ROW()-ROW(tblContractForDeed[#Headers])))</f>
        <v>75258.000000000029</v>
      </c>
      <c r="X503" s="275">
        <f>IF(tblContractForDeed[[#This Row],[Beg]]&lt;=0,0,tblContractForDeed[[#This Row],[Beg]]-tblContractForDeed[[#This Row],[Princ]])</f>
        <v>0</v>
      </c>
      <c r="Y50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54">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3" s="275">
        <f>IF(INDEX(tblContractForDeed[End Bal],ROW()-ROW(tblBuyerOutputs[#Headers]))&lt;=0,0,($O$6+IF(ROW()=ROW(tblBuyerOutputs[#Headers])+1,0,INDEX(tblBuyerOutputs[Cumul Appr],ROW()-ROW(tblBuyerOutputs[#Headers])-1)))*$O$2/12)</f>
        <v>0</v>
      </c>
      <c r="AE503" s="275">
        <f>IF(INDEX(tblContractForDeed[End Bal],ROW()-ROW(tblBuyerOutputs[#Headers]))&lt;=0,0,IF(ROW()=ROW(tblBuyerOutputs[#Headers])+1,0,INDEX(tblBuyerOutputs[Cumul Appr],ROW()-ROW(tblBuyerOutputs[#Headers])-1))+tblBuyerOutputs[[#This Row],[Monthly Appr]])</f>
        <v>0</v>
      </c>
      <c r="AF503" s="22"/>
      <c r="AG503" s="14"/>
      <c r="AL503"/>
      <c r="AM503" s="14"/>
      <c r="AO503" s="275"/>
      <c r="AQ503" s="14"/>
      <c r="AR503"/>
    </row>
    <row r="504" spans="1:44" x14ac:dyDescent="0.25">
      <c r="A504" s="590" t="str">
        <f t="shared" si="107"/>
        <v/>
      </c>
      <c r="B504" s="275">
        <f t="shared" si="108"/>
        <v>0</v>
      </c>
      <c r="C504" s="14">
        <f t="shared" si="105"/>
        <v>0</v>
      </c>
      <c r="D504" s="14">
        <f t="shared" si="109"/>
        <v>0</v>
      </c>
      <c r="E504" s="14">
        <f t="shared" si="106"/>
        <v>0</v>
      </c>
      <c r="K504" s="275">
        <f t="shared" si="110"/>
        <v>0</v>
      </c>
      <c r="L504" s="386">
        <f t="shared" si="116"/>
        <v>0</v>
      </c>
      <c r="M504" s="386">
        <f t="shared" si="111"/>
        <v>0</v>
      </c>
      <c r="N504" s="590" t="str">
        <f>INDEX(tblSubjectToLoan[Date],ROW()-ROW(tblContractForDeed[#Headers]))</f>
        <v/>
      </c>
      <c r="O504" s="275">
        <f>IF(ROW()=ROW(tblContractForDeed[#Headers])+1,$O$6,IF(INDEX(tblContractForDeed[End Bal],ROW()-ROW(tblContractForDeed[#Headers])-1)&lt;0,0,INDEX(tblContractForDeed[End Bal],ROW()-ROW(tblContractForDeed[#Headers])-1)))</f>
        <v>0</v>
      </c>
      <c r="P504" s="445" t="str">
        <f>IF(tblContractForDeed[[#This Row],[Date]]="","",IF(tblContractForDeed[[#This Row],[Date]]&lt;cfdRateChangeDate,cfdRate1,cfdRate2))</f>
        <v/>
      </c>
      <c r="Q5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75">
        <f>SUM(INDEX(tblContractForDeed[Princ],1):INDEX(tblContractForDeed[Princ],ROW()-ROW(tblContractForDeed[#Headers])))</f>
        <v>75258.000000000029</v>
      </c>
      <c r="X504" s="275">
        <f>IF(tblContractForDeed[[#This Row],[Beg]]&lt;=0,0,tblContractForDeed[[#This Row],[Beg]]-tblContractForDeed[[#This Row],[Princ]])</f>
        <v>0</v>
      </c>
      <c r="Y50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54">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4" s="275">
        <f>IF(INDEX(tblContractForDeed[End Bal],ROW()-ROW(tblBuyerOutputs[#Headers]))&lt;=0,0,($O$6+IF(ROW()=ROW(tblBuyerOutputs[#Headers])+1,0,INDEX(tblBuyerOutputs[Cumul Appr],ROW()-ROW(tblBuyerOutputs[#Headers])-1)))*$O$2/12)</f>
        <v>0</v>
      </c>
      <c r="AE504" s="275">
        <f>IF(INDEX(tblContractForDeed[End Bal],ROW()-ROW(tblBuyerOutputs[#Headers]))&lt;=0,0,IF(ROW()=ROW(tblBuyerOutputs[#Headers])+1,0,INDEX(tblBuyerOutputs[Cumul Appr],ROW()-ROW(tblBuyerOutputs[#Headers])-1))+tblBuyerOutputs[[#This Row],[Monthly Appr]])</f>
        <v>0</v>
      </c>
      <c r="AF504" s="22"/>
      <c r="AG504" s="14"/>
      <c r="AL504"/>
      <c r="AM504" s="14"/>
      <c r="AO504" s="275"/>
      <c r="AQ504" s="14"/>
      <c r="AR504"/>
    </row>
    <row r="505" spans="1:44" x14ac:dyDescent="0.25">
      <c r="A505" s="590" t="str">
        <f t="shared" si="107"/>
        <v/>
      </c>
      <c r="B505" s="275">
        <f t="shared" si="108"/>
        <v>0</v>
      </c>
      <c r="C505" s="14">
        <f t="shared" si="105"/>
        <v>0</v>
      </c>
      <c r="D505" s="14">
        <f t="shared" si="109"/>
        <v>0</v>
      </c>
      <c r="E505" s="14">
        <f t="shared" si="106"/>
        <v>0</v>
      </c>
      <c r="K505" s="275">
        <f t="shared" si="110"/>
        <v>0</v>
      </c>
      <c r="L505" s="386">
        <f t="shared" si="116"/>
        <v>0</v>
      </c>
      <c r="M505" s="386">
        <f t="shared" si="111"/>
        <v>0</v>
      </c>
      <c r="N505" s="590" t="str">
        <f>INDEX(tblSubjectToLoan[Date],ROW()-ROW(tblContractForDeed[#Headers]))</f>
        <v/>
      </c>
      <c r="O505" s="275">
        <f>IF(ROW()=ROW(tblContractForDeed[#Headers])+1,$O$6,IF(INDEX(tblContractForDeed[End Bal],ROW()-ROW(tblContractForDeed[#Headers])-1)&lt;0,0,INDEX(tblContractForDeed[End Bal],ROW()-ROW(tblContractForDeed[#Headers])-1)))</f>
        <v>0</v>
      </c>
      <c r="P505" s="445" t="str">
        <f>IF(tblContractForDeed[[#This Row],[Date]]="","",IF(tblContractForDeed[[#This Row],[Date]]&lt;cfdRateChangeDate,cfdRate1,cfdRate2))</f>
        <v/>
      </c>
      <c r="Q5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75">
        <f>SUM(INDEX(tblContractForDeed[Princ],1):INDEX(tblContractForDeed[Princ],ROW()-ROW(tblContractForDeed[#Headers])))</f>
        <v>75258.000000000029</v>
      </c>
      <c r="X505" s="275">
        <f>IF(tblContractForDeed[[#This Row],[Beg]]&lt;=0,0,tblContractForDeed[[#This Row],[Beg]]-tblContractForDeed[[#This Row],[Princ]])</f>
        <v>0</v>
      </c>
      <c r="Y50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54">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5" s="275">
        <f>IF(INDEX(tblContractForDeed[End Bal],ROW()-ROW(tblBuyerOutputs[#Headers]))&lt;=0,0,($O$6+IF(ROW()=ROW(tblBuyerOutputs[#Headers])+1,0,INDEX(tblBuyerOutputs[Cumul Appr],ROW()-ROW(tblBuyerOutputs[#Headers])-1)))*$O$2/12)</f>
        <v>0</v>
      </c>
      <c r="AE505" s="275">
        <f>IF(INDEX(tblContractForDeed[End Bal],ROW()-ROW(tblBuyerOutputs[#Headers]))&lt;=0,0,IF(ROW()=ROW(tblBuyerOutputs[#Headers])+1,0,INDEX(tblBuyerOutputs[Cumul Appr],ROW()-ROW(tblBuyerOutputs[#Headers])-1))+tblBuyerOutputs[[#This Row],[Monthly Appr]])</f>
        <v>0</v>
      </c>
      <c r="AF505" s="22"/>
      <c r="AG505" s="14"/>
      <c r="AL505"/>
      <c r="AM505" s="14"/>
      <c r="AO505" s="275"/>
      <c r="AQ505" s="14"/>
      <c r="AR505"/>
    </row>
    <row r="506" spans="1:44" x14ac:dyDescent="0.25">
      <c r="A506" s="590" t="str">
        <f t="shared" si="107"/>
        <v/>
      </c>
      <c r="B506" s="275">
        <f t="shared" si="108"/>
        <v>0</v>
      </c>
      <c r="C506" s="14">
        <f t="shared" si="105"/>
        <v>0</v>
      </c>
      <c r="D506" s="14">
        <f t="shared" si="109"/>
        <v>0</v>
      </c>
      <c r="E506" s="14">
        <f t="shared" si="106"/>
        <v>0</v>
      </c>
      <c r="K506" s="275">
        <f t="shared" si="110"/>
        <v>0</v>
      </c>
      <c r="L506" s="386">
        <f t="shared" si="116"/>
        <v>0</v>
      </c>
      <c r="M506" s="386">
        <f t="shared" si="111"/>
        <v>0</v>
      </c>
      <c r="N506" s="590" t="str">
        <f>INDEX(tblSubjectToLoan[Date],ROW()-ROW(tblContractForDeed[#Headers]))</f>
        <v/>
      </c>
      <c r="O506" s="275">
        <f>IF(ROW()=ROW(tblContractForDeed[#Headers])+1,$O$6,IF(INDEX(tblContractForDeed[End Bal],ROW()-ROW(tblContractForDeed[#Headers])-1)&lt;0,0,INDEX(tblContractForDeed[End Bal],ROW()-ROW(tblContractForDeed[#Headers])-1)))</f>
        <v>0</v>
      </c>
      <c r="P506" s="445" t="str">
        <f>IF(tblContractForDeed[[#This Row],[Date]]="","",IF(tblContractForDeed[[#This Row],[Date]]&lt;cfdRateChangeDate,cfdRate1,cfdRate2))</f>
        <v/>
      </c>
      <c r="Q5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75">
        <f>SUM(INDEX(tblContractForDeed[Princ],1):INDEX(tblContractForDeed[Princ],ROW()-ROW(tblContractForDeed[#Headers])))</f>
        <v>75258.000000000029</v>
      </c>
      <c r="X506" s="275">
        <f>IF(tblContractForDeed[[#This Row],[Beg]]&lt;=0,0,tblContractForDeed[[#This Row],[Beg]]-tblContractForDeed[[#This Row],[Princ]])</f>
        <v>0</v>
      </c>
      <c r="Y50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54">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6" s="275">
        <f>IF(INDEX(tblContractForDeed[End Bal],ROW()-ROW(tblBuyerOutputs[#Headers]))&lt;=0,0,($O$6+IF(ROW()=ROW(tblBuyerOutputs[#Headers])+1,0,INDEX(tblBuyerOutputs[Cumul Appr],ROW()-ROW(tblBuyerOutputs[#Headers])-1)))*$O$2/12)</f>
        <v>0</v>
      </c>
      <c r="AE506" s="275">
        <f>IF(INDEX(tblContractForDeed[End Bal],ROW()-ROW(tblBuyerOutputs[#Headers]))&lt;=0,0,IF(ROW()=ROW(tblBuyerOutputs[#Headers])+1,0,INDEX(tblBuyerOutputs[Cumul Appr],ROW()-ROW(tblBuyerOutputs[#Headers])-1))+tblBuyerOutputs[[#This Row],[Monthly Appr]])</f>
        <v>0</v>
      </c>
      <c r="AF506" s="22"/>
      <c r="AG506" s="14"/>
      <c r="AL506"/>
      <c r="AM506" s="14"/>
      <c r="AO506" s="275"/>
      <c r="AQ506" s="14"/>
      <c r="AR506"/>
    </row>
    <row r="507" spans="1:44" x14ac:dyDescent="0.25">
      <c r="A507" s="590" t="str">
        <f t="shared" si="107"/>
        <v/>
      </c>
      <c r="B507" s="275">
        <f t="shared" si="108"/>
        <v>0</v>
      </c>
      <c r="C507" s="14">
        <f t="shared" si="105"/>
        <v>0</v>
      </c>
      <c r="D507" s="14">
        <f t="shared" si="109"/>
        <v>0</v>
      </c>
      <c r="E507" s="14">
        <f t="shared" si="106"/>
        <v>0</v>
      </c>
      <c r="K507" s="275">
        <f t="shared" si="110"/>
        <v>0</v>
      </c>
      <c r="L507" s="386">
        <f t="shared" si="116"/>
        <v>0</v>
      </c>
      <c r="M507" s="386">
        <f t="shared" si="111"/>
        <v>0</v>
      </c>
      <c r="N507" s="590" t="str">
        <f>INDEX(tblSubjectToLoan[Date],ROW()-ROW(tblContractForDeed[#Headers]))</f>
        <v/>
      </c>
      <c r="O507" s="275">
        <f>IF(ROW()=ROW(tblContractForDeed[#Headers])+1,$O$6,IF(INDEX(tblContractForDeed[End Bal],ROW()-ROW(tblContractForDeed[#Headers])-1)&lt;0,0,INDEX(tblContractForDeed[End Bal],ROW()-ROW(tblContractForDeed[#Headers])-1)))</f>
        <v>0</v>
      </c>
      <c r="P507" s="445" t="str">
        <f>IF(tblContractForDeed[[#This Row],[Date]]="","",IF(tblContractForDeed[[#This Row],[Date]]&lt;cfdRateChangeDate,cfdRate1,cfdRate2))</f>
        <v/>
      </c>
      <c r="Q50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75">
        <f>SUM(INDEX(tblContractForDeed[Princ],1):INDEX(tblContractForDeed[Princ],ROW()-ROW(tblContractForDeed[#Headers])))</f>
        <v>75258.000000000029</v>
      </c>
      <c r="X507" s="275">
        <f>IF(tblContractForDeed[[#This Row],[Beg]]&lt;=0,0,tblContractForDeed[[#This Row],[Beg]]-tblContractForDeed[[#This Row],[Princ]])</f>
        <v>0</v>
      </c>
      <c r="Y50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54">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7" s="275">
        <f>IF(INDEX(tblContractForDeed[End Bal],ROW()-ROW(tblBuyerOutputs[#Headers]))&lt;=0,0,($O$6+IF(ROW()=ROW(tblBuyerOutputs[#Headers])+1,0,INDEX(tblBuyerOutputs[Cumul Appr],ROW()-ROW(tblBuyerOutputs[#Headers])-1)))*$O$2/12)</f>
        <v>0</v>
      </c>
      <c r="AE507" s="275">
        <f>IF(INDEX(tblContractForDeed[End Bal],ROW()-ROW(tblBuyerOutputs[#Headers]))&lt;=0,0,IF(ROW()=ROW(tblBuyerOutputs[#Headers])+1,0,INDEX(tblBuyerOutputs[Cumul Appr],ROW()-ROW(tblBuyerOutputs[#Headers])-1))+tblBuyerOutputs[[#This Row],[Monthly Appr]])</f>
        <v>0</v>
      </c>
      <c r="AF507" s="22"/>
      <c r="AG507" s="14"/>
      <c r="AL507"/>
      <c r="AM507" s="14"/>
      <c r="AO507" s="275"/>
      <c r="AQ507" s="14"/>
      <c r="AR507"/>
    </row>
    <row r="508" spans="1:44" x14ac:dyDescent="0.25">
      <c r="A508" s="590" t="str">
        <f t="shared" si="107"/>
        <v/>
      </c>
      <c r="B508" s="275">
        <f t="shared" si="108"/>
        <v>0</v>
      </c>
      <c r="C508" s="14">
        <f t="shared" si="105"/>
        <v>0</v>
      </c>
      <c r="D508" s="14">
        <f t="shared" si="109"/>
        <v>0</v>
      </c>
      <c r="E508" s="14">
        <f t="shared" si="106"/>
        <v>0</v>
      </c>
      <c r="K508" s="275">
        <f t="shared" si="110"/>
        <v>0</v>
      </c>
      <c r="L508" s="386">
        <f t="shared" si="116"/>
        <v>0</v>
      </c>
      <c r="M508" s="386">
        <f t="shared" si="111"/>
        <v>0</v>
      </c>
      <c r="N508" s="590" t="str">
        <f>INDEX(tblSubjectToLoan[Date],ROW()-ROW(tblContractForDeed[#Headers]))</f>
        <v/>
      </c>
      <c r="O508" s="275">
        <f>IF(ROW()=ROW(tblContractForDeed[#Headers])+1,$O$6,IF(INDEX(tblContractForDeed[End Bal],ROW()-ROW(tblContractForDeed[#Headers])-1)&lt;0,0,INDEX(tblContractForDeed[End Bal],ROW()-ROW(tblContractForDeed[#Headers])-1)))</f>
        <v>0</v>
      </c>
      <c r="P508" s="445" t="str">
        <f>IF(tblContractForDeed[[#This Row],[Date]]="","",IF(tblContractForDeed[[#This Row],[Date]]&lt;cfdRateChangeDate,cfdRate1,cfdRate2))</f>
        <v/>
      </c>
      <c r="Q5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75">
        <f>SUM(INDEX(tblContractForDeed[Princ],1):INDEX(tblContractForDeed[Princ],ROW()-ROW(tblContractForDeed[#Headers])))</f>
        <v>75258.000000000029</v>
      </c>
      <c r="X508" s="275">
        <f>IF(tblContractForDeed[[#This Row],[Beg]]&lt;=0,0,tblContractForDeed[[#This Row],[Beg]]-tblContractForDeed[[#This Row],[Princ]])</f>
        <v>0</v>
      </c>
      <c r="Y50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54">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8" s="275">
        <f>IF(INDEX(tblContractForDeed[End Bal],ROW()-ROW(tblBuyerOutputs[#Headers]))&lt;=0,0,($O$6+IF(ROW()=ROW(tblBuyerOutputs[#Headers])+1,0,INDEX(tblBuyerOutputs[Cumul Appr],ROW()-ROW(tblBuyerOutputs[#Headers])-1)))*$O$2/12)</f>
        <v>0</v>
      </c>
      <c r="AE508" s="275">
        <f>IF(INDEX(tblContractForDeed[End Bal],ROW()-ROW(tblBuyerOutputs[#Headers]))&lt;=0,0,IF(ROW()=ROW(tblBuyerOutputs[#Headers])+1,0,INDEX(tblBuyerOutputs[Cumul Appr],ROW()-ROW(tblBuyerOutputs[#Headers])-1))+tblBuyerOutputs[[#This Row],[Monthly Appr]])</f>
        <v>0</v>
      </c>
      <c r="AF508" s="22"/>
      <c r="AG508" s="14"/>
      <c r="AL508"/>
      <c r="AM508" s="14"/>
      <c r="AO508" s="275"/>
      <c r="AQ508" s="14"/>
      <c r="AR508"/>
    </row>
    <row r="509" spans="1:44" x14ac:dyDescent="0.25">
      <c r="A509" s="590" t="str">
        <f t="shared" si="107"/>
        <v/>
      </c>
      <c r="B509" s="275">
        <f t="shared" si="108"/>
        <v>0</v>
      </c>
      <c r="C509" s="14">
        <f t="shared" si="105"/>
        <v>0</v>
      </c>
      <c r="D509" s="14">
        <f t="shared" si="109"/>
        <v>0</v>
      </c>
      <c r="E509" s="14">
        <f t="shared" si="106"/>
        <v>0</v>
      </c>
      <c r="K509" s="275">
        <f t="shared" si="110"/>
        <v>0</v>
      </c>
      <c r="L509" s="386">
        <f t="shared" si="116"/>
        <v>0</v>
      </c>
      <c r="M509" s="386">
        <f t="shared" si="111"/>
        <v>0</v>
      </c>
      <c r="N509" s="590" t="str">
        <f>INDEX(tblSubjectToLoan[Date],ROW()-ROW(tblContractForDeed[#Headers]))</f>
        <v/>
      </c>
      <c r="O509" s="275">
        <f>IF(ROW()=ROW(tblContractForDeed[#Headers])+1,$O$6,IF(INDEX(tblContractForDeed[End Bal],ROW()-ROW(tblContractForDeed[#Headers])-1)&lt;0,0,INDEX(tblContractForDeed[End Bal],ROW()-ROW(tblContractForDeed[#Headers])-1)))</f>
        <v>0</v>
      </c>
      <c r="P509" s="445" t="str">
        <f>IF(tblContractForDeed[[#This Row],[Date]]="","",IF(tblContractForDeed[[#This Row],[Date]]&lt;cfdRateChangeDate,cfdRate1,cfdRate2))</f>
        <v/>
      </c>
      <c r="Q5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75">
        <f>SUM(INDEX(tblContractForDeed[Princ],1):INDEX(tblContractForDeed[Princ],ROW()-ROW(tblContractForDeed[#Headers])))</f>
        <v>75258.000000000029</v>
      </c>
      <c r="X509" s="275">
        <f>IF(tblContractForDeed[[#This Row],[Beg]]&lt;=0,0,tblContractForDeed[[#This Row],[Beg]]-tblContractForDeed[[#This Row],[Princ]])</f>
        <v>0</v>
      </c>
      <c r="Y50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54">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9" s="275">
        <f>IF(INDEX(tblContractForDeed[End Bal],ROW()-ROW(tblBuyerOutputs[#Headers]))&lt;=0,0,($O$6+IF(ROW()=ROW(tblBuyerOutputs[#Headers])+1,0,INDEX(tblBuyerOutputs[Cumul Appr],ROW()-ROW(tblBuyerOutputs[#Headers])-1)))*$O$2/12)</f>
        <v>0</v>
      </c>
      <c r="AE509" s="275">
        <f>IF(INDEX(tblContractForDeed[End Bal],ROW()-ROW(tblBuyerOutputs[#Headers]))&lt;=0,0,IF(ROW()=ROW(tblBuyerOutputs[#Headers])+1,0,INDEX(tblBuyerOutputs[Cumul Appr],ROW()-ROW(tblBuyerOutputs[#Headers])-1))+tblBuyerOutputs[[#This Row],[Monthly Appr]])</f>
        <v>0</v>
      </c>
      <c r="AF509" s="22"/>
      <c r="AG509" s="14"/>
      <c r="AL509"/>
      <c r="AM509" s="14"/>
      <c r="AO509" s="275"/>
      <c r="AQ509" s="14"/>
      <c r="AR509"/>
    </row>
    <row r="510" spans="1:44" x14ac:dyDescent="0.25">
      <c r="A510" s="590" t="str">
        <f t="shared" si="107"/>
        <v/>
      </c>
      <c r="B510" s="275">
        <f t="shared" si="108"/>
        <v>0</v>
      </c>
      <c r="C510" s="14">
        <f t="shared" si="105"/>
        <v>0</v>
      </c>
      <c r="D510" s="14">
        <f t="shared" si="109"/>
        <v>0</v>
      </c>
      <c r="E510" s="14">
        <f t="shared" si="106"/>
        <v>0</v>
      </c>
      <c r="K510" s="275">
        <f t="shared" si="110"/>
        <v>0</v>
      </c>
      <c r="L510" s="386">
        <f t="shared" si="116"/>
        <v>0</v>
      </c>
      <c r="M510" s="386">
        <f t="shared" si="111"/>
        <v>0</v>
      </c>
      <c r="N510" s="590" t="str">
        <f>INDEX(tblSubjectToLoan[Date],ROW()-ROW(tblContractForDeed[#Headers]))</f>
        <v/>
      </c>
      <c r="O510" s="275">
        <f>IF(ROW()=ROW(tblContractForDeed[#Headers])+1,$O$6,IF(INDEX(tblContractForDeed[End Bal],ROW()-ROW(tblContractForDeed[#Headers])-1)&lt;0,0,INDEX(tblContractForDeed[End Bal],ROW()-ROW(tblContractForDeed[#Headers])-1)))</f>
        <v>0</v>
      </c>
      <c r="P510" s="445" t="str">
        <f>IF(tblContractForDeed[[#This Row],[Date]]="","",IF(tblContractForDeed[[#This Row],[Date]]&lt;cfdRateChangeDate,cfdRate1,cfdRate2))</f>
        <v/>
      </c>
      <c r="Q5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75">
        <f>SUM(INDEX(tblContractForDeed[Princ],1):INDEX(tblContractForDeed[Princ],ROW()-ROW(tblContractForDeed[#Headers])))</f>
        <v>75258.000000000029</v>
      </c>
      <c r="X510" s="275">
        <f>IF(tblContractForDeed[[#This Row],[Beg]]&lt;=0,0,tblContractForDeed[[#This Row],[Beg]]-tblContractForDeed[[#This Row],[Princ]])</f>
        <v>0</v>
      </c>
      <c r="Y51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54">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0" s="275">
        <f>IF(INDEX(tblContractForDeed[End Bal],ROW()-ROW(tblBuyerOutputs[#Headers]))&lt;=0,0,($O$6+IF(ROW()=ROW(tblBuyerOutputs[#Headers])+1,0,INDEX(tblBuyerOutputs[Cumul Appr],ROW()-ROW(tblBuyerOutputs[#Headers])-1)))*$O$2/12)</f>
        <v>0</v>
      </c>
      <c r="AE510" s="275">
        <f>IF(INDEX(tblContractForDeed[End Bal],ROW()-ROW(tblBuyerOutputs[#Headers]))&lt;=0,0,IF(ROW()=ROW(tblBuyerOutputs[#Headers])+1,0,INDEX(tblBuyerOutputs[Cumul Appr],ROW()-ROW(tblBuyerOutputs[#Headers])-1))+tblBuyerOutputs[[#This Row],[Monthly Appr]])</f>
        <v>0</v>
      </c>
      <c r="AF510" s="22"/>
      <c r="AG510" s="14"/>
      <c r="AL510"/>
      <c r="AM510" s="14"/>
      <c r="AO510" s="275"/>
      <c r="AQ510" s="14"/>
      <c r="AR510"/>
    </row>
    <row r="511" spans="1:44" ht="15.75" thickBot="1" x14ac:dyDescent="0.3">
      <c r="A511" s="591" t="str">
        <f t="shared" si="107"/>
        <v/>
      </c>
      <c r="B511" s="326">
        <f t="shared" si="108"/>
        <v>0</v>
      </c>
      <c r="C511" s="21">
        <f t="shared" si="105"/>
        <v>0</v>
      </c>
      <c r="D511" s="21">
        <f t="shared" si="109"/>
        <v>0</v>
      </c>
      <c r="E511" s="21">
        <f t="shared" si="106"/>
        <v>0</v>
      </c>
      <c r="F511" s="21"/>
      <c r="G511" s="21"/>
      <c r="H511" s="21"/>
      <c r="I511" s="326"/>
      <c r="J511" s="326"/>
      <c r="K511" s="326">
        <f t="shared" si="110"/>
        <v>0</v>
      </c>
      <c r="L511" s="387">
        <f t="shared" si="116"/>
        <v>0</v>
      </c>
      <c r="M511" s="387">
        <f t="shared" si="111"/>
        <v>0</v>
      </c>
      <c r="N511" s="591" t="str">
        <f>INDEX(tblSubjectToLoan[Date],ROW()-ROW(tblContractForDeed[#Headers]))</f>
        <v/>
      </c>
      <c r="O511" s="275">
        <f>IF(ROW()=ROW(tblContractForDeed[#Headers])+1,$O$6,IF(INDEX(tblContractForDeed[End Bal],ROW()-ROW(tblContractForDeed[#Headers])-1)&lt;0,0,INDEX(tblContractForDeed[End Bal],ROW()-ROW(tblContractForDeed[#Headers])-1)))</f>
        <v>0</v>
      </c>
      <c r="P511" s="445" t="str">
        <f>IF(tblContractForDeed[[#This Row],[Date]]="","",IF(tblContractForDeed[[#This Row],[Date]]&lt;cfdRateChangeDate,cfdRate1,cfdRate2))</f>
        <v/>
      </c>
      <c r="Q51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75">
        <f>SUM(INDEX(tblContractForDeed[Princ],1):INDEX(tblContractForDeed[Princ],ROW()-ROW(tblContractForDeed[#Headers])))</f>
        <v>75258.000000000029</v>
      </c>
      <c r="X511" s="275">
        <f>IF(tblContractForDeed[[#This Row],[Beg]]&lt;=0,0,tblContractForDeed[[#This Row],[Beg]]-tblContractForDeed[[#This Row],[Princ]])</f>
        <v>0</v>
      </c>
      <c r="Y51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54">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1" s="326">
        <f>IF(INDEX(tblContractForDeed[End Bal],ROW()-ROW(tblBuyerOutputs[#Headers]))&lt;=0,0,($O$6+IF(ROW()=ROW(tblBuyerOutputs[#Headers])+1,0,INDEX(tblBuyerOutputs[Cumul Appr],ROW()-ROW(tblBuyerOutputs[#Headers])-1)))*$O$2/12)</f>
        <v>0</v>
      </c>
      <c r="AE511" s="326">
        <f>IF(INDEX(tblContractForDeed[End Bal],ROW()-ROW(tblBuyerOutputs[#Headers]))&lt;=0,0,IF(ROW()=ROW(tblBuyerOutputs[#Headers])+1,0,INDEX(tblBuyerOutputs[Cumul Appr],ROW()-ROW(tblBuyerOutputs[#Headers])-1))+tblBuyerOutputs[[#This Row],[Monthly Appr]])</f>
        <v>0</v>
      </c>
      <c r="AF511" s="22"/>
      <c r="AG511" s="14"/>
      <c r="AL511"/>
      <c r="AM511" s="14"/>
      <c r="AO511" s="275"/>
      <c r="AQ511" s="21"/>
      <c r="AR511"/>
    </row>
    <row r="512" spans="1:44" x14ac:dyDescent="0.25">
      <c r="A512" s="590" t="str">
        <f t="shared" si="107"/>
        <v/>
      </c>
      <c r="B512" s="275">
        <f t="shared" si="108"/>
        <v>0</v>
      </c>
      <c r="C512" s="14">
        <f t="shared" si="105"/>
        <v>0</v>
      </c>
      <c r="D512" s="14">
        <f t="shared" si="109"/>
        <v>0</v>
      </c>
      <c r="E512" s="14">
        <f t="shared" si="106"/>
        <v>0</v>
      </c>
      <c r="K512" s="275">
        <f t="shared" si="110"/>
        <v>0</v>
      </c>
      <c r="L512" s="386">
        <f t="shared" si="116"/>
        <v>0</v>
      </c>
      <c r="M512" s="386">
        <f t="shared" si="111"/>
        <v>0</v>
      </c>
      <c r="N512" s="590" t="str">
        <f>INDEX(tblSubjectToLoan[Date],ROW()-ROW(tblContractForDeed[#Headers]))</f>
        <v/>
      </c>
      <c r="O512" s="275">
        <f>IF(ROW()=ROW(tblContractForDeed[#Headers])+1,$O$6,IF(INDEX(tblContractForDeed[End Bal],ROW()-ROW(tblContractForDeed[#Headers])-1)&lt;0,0,INDEX(tblContractForDeed[End Bal],ROW()-ROW(tblContractForDeed[#Headers])-1)))</f>
        <v>0</v>
      </c>
      <c r="P512" s="445" t="str">
        <f>IF(tblContractForDeed[[#This Row],[Date]]="","",IF(tblContractForDeed[[#This Row],[Date]]&lt;cfdRateChangeDate,cfdRate1,cfdRate2))</f>
        <v/>
      </c>
      <c r="Q5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75">
        <f>SUM(INDEX(tblContractForDeed[Princ],1):INDEX(tblContractForDeed[Princ],ROW()-ROW(tblContractForDeed[#Headers])))</f>
        <v>75258.000000000029</v>
      </c>
      <c r="X512" s="275">
        <f>IF(tblContractForDeed[[#This Row],[Beg]]&lt;=0,0,tblContractForDeed[[#This Row],[Beg]]-tblContractForDeed[[#This Row],[Princ]])</f>
        <v>0</v>
      </c>
      <c r="Y51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54">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2" s="275">
        <f>IF(INDEX(tblContractForDeed[End Bal],ROW()-ROW(tblBuyerOutputs[#Headers]))&lt;=0,0,($O$6+IF(ROW()=ROW(tblBuyerOutputs[#Headers])+1,0,INDEX(tblBuyerOutputs[Cumul Appr],ROW()-ROW(tblBuyerOutputs[#Headers])-1)))*$O$2/12)</f>
        <v>0</v>
      </c>
      <c r="AE512" s="275">
        <f>IF(INDEX(tblContractForDeed[End Bal],ROW()-ROW(tblBuyerOutputs[#Headers]))&lt;=0,0,IF(ROW()=ROW(tblBuyerOutputs[#Headers])+1,0,INDEX(tblBuyerOutputs[Cumul Appr],ROW()-ROW(tblBuyerOutputs[#Headers])-1))+tblBuyerOutputs[[#This Row],[Monthly Appr]])</f>
        <v>0</v>
      </c>
      <c r="AF512" s="22"/>
      <c r="AG512" s="14"/>
      <c r="AL512"/>
      <c r="AM512" s="14"/>
      <c r="AO512" s="275"/>
      <c r="AQ512" s="14"/>
      <c r="AR512"/>
    </row>
    <row r="513" spans="1:44" x14ac:dyDescent="0.25">
      <c r="A513" s="590" t="str">
        <f t="shared" si="107"/>
        <v/>
      </c>
      <c r="B513" s="275">
        <f t="shared" si="108"/>
        <v>0</v>
      </c>
      <c r="C513" s="14">
        <f t="shared" si="105"/>
        <v>0</v>
      </c>
      <c r="D513" s="14">
        <f t="shared" si="109"/>
        <v>0</v>
      </c>
      <c r="E513" s="14">
        <f t="shared" si="106"/>
        <v>0</v>
      </c>
      <c r="K513" s="275">
        <f t="shared" si="110"/>
        <v>0</v>
      </c>
      <c r="L513" s="386">
        <f t="shared" si="116"/>
        <v>0</v>
      </c>
      <c r="M513" s="386">
        <f t="shared" si="111"/>
        <v>0</v>
      </c>
      <c r="N513" s="590" t="str">
        <f>INDEX(tblSubjectToLoan[Date],ROW()-ROW(tblContractForDeed[#Headers]))</f>
        <v/>
      </c>
      <c r="O513" s="275">
        <f>IF(ROW()=ROW(tblContractForDeed[#Headers])+1,$O$6,IF(INDEX(tblContractForDeed[End Bal],ROW()-ROW(tblContractForDeed[#Headers])-1)&lt;0,0,INDEX(tblContractForDeed[End Bal],ROW()-ROW(tblContractForDeed[#Headers])-1)))</f>
        <v>0</v>
      </c>
      <c r="P513" s="445" t="str">
        <f>IF(tblContractForDeed[[#This Row],[Date]]="","",IF(tblContractForDeed[[#This Row],[Date]]&lt;cfdRateChangeDate,cfdRate1,cfdRate2))</f>
        <v/>
      </c>
      <c r="Q5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75">
        <f>SUM(INDEX(tblContractForDeed[Princ],1):INDEX(tblContractForDeed[Princ],ROW()-ROW(tblContractForDeed[#Headers])))</f>
        <v>75258.000000000029</v>
      </c>
      <c r="X513" s="275">
        <f>IF(tblContractForDeed[[#This Row],[Beg]]&lt;=0,0,tblContractForDeed[[#This Row],[Beg]]-tblContractForDeed[[#This Row],[Princ]])</f>
        <v>0</v>
      </c>
      <c r="Y51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54">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3" s="275">
        <f>IF(INDEX(tblContractForDeed[End Bal],ROW()-ROW(tblBuyerOutputs[#Headers]))&lt;=0,0,($O$6+IF(ROW()=ROW(tblBuyerOutputs[#Headers])+1,0,INDEX(tblBuyerOutputs[Cumul Appr],ROW()-ROW(tblBuyerOutputs[#Headers])-1)))*$O$2/12)</f>
        <v>0</v>
      </c>
      <c r="AE513" s="275">
        <f>IF(INDEX(tblContractForDeed[End Bal],ROW()-ROW(tblBuyerOutputs[#Headers]))&lt;=0,0,IF(ROW()=ROW(tblBuyerOutputs[#Headers])+1,0,INDEX(tblBuyerOutputs[Cumul Appr],ROW()-ROW(tblBuyerOutputs[#Headers])-1))+tblBuyerOutputs[[#This Row],[Monthly Appr]])</f>
        <v>0</v>
      </c>
      <c r="AF513" s="22"/>
      <c r="AG513" s="14"/>
      <c r="AL513"/>
      <c r="AM513" s="14"/>
      <c r="AO513" s="275"/>
      <c r="AQ513" s="14"/>
      <c r="AR513"/>
    </row>
    <row r="514" spans="1:44" x14ac:dyDescent="0.25">
      <c r="A514" s="590" t="str">
        <f t="shared" si="107"/>
        <v/>
      </c>
      <c r="B514" s="275">
        <f t="shared" si="108"/>
        <v>0</v>
      </c>
      <c r="C514" s="14">
        <f t="shared" si="105"/>
        <v>0</v>
      </c>
      <c r="D514" s="14">
        <f t="shared" si="109"/>
        <v>0</v>
      </c>
      <c r="E514" s="14">
        <f t="shared" si="106"/>
        <v>0</v>
      </c>
      <c r="K514" s="275">
        <f t="shared" si="110"/>
        <v>0</v>
      </c>
      <c r="L514" s="386">
        <f t="shared" si="116"/>
        <v>0</v>
      </c>
      <c r="M514" s="386">
        <f t="shared" si="111"/>
        <v>0</v>
      </c>
      <c r="N514" s="590" t="str">
        <f>INDEX(tblSubjectToLoan[Date],ROW()-ROW(tblContractForDeed[#Headers]))</f>
        <v/>
      </c>
      <c r="O514" s="275">
        <f>IF(ROW()=ROW(tblContractForDeed[#Headers])+1,$O$6,IF(INDEX(tblContractForDeed[End Bal],ROW()-ROW(tblContractForDeed[#Headers])-1)&lt;0,0,INDEX(tblContractForDeed[End Bal],ROW()-ROW(tblContractForDeed[#Headers])-1)))</f>
        <v>0</v>
      </c>
      <c r="P514" s="445" t="str">
        <f>IF(tblContractForDeed[[#This Row],[Date]]="","",IF(tblContractForDeed[[#This Row],[Date]]&lt;cfdRateChangeDate,cfdRate1,cfdRate2))</f>
        <v/>
      </c>
      <c r="Q5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75">
        <f>SUM(INDEX(tblContractForDeed[Princ],1):INDEX(tblContractForDeed[Princ],ROW()-ROW(tblContractForDeed[#Headers])))</f>
        <v>75258.000000000029</v>
      </c>
      <c r="X514" s="275">
        <f>IF(tblContractForDeed[[#This Row],[Beg]]&lt;=0,0,tblContractForDeed[[#This Row],[Beg]]-tblContractForDeed[[#This Row],[Princ]])</f>
        <v>0</v>
      </c>
      <c r="Y51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54">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4" s="275">
        <f>IF(INDEX(tblContractForDeed[End Bal],ROW()-ROW(tblBuyerOutputs[#Headers]))&lt;=0,0,($O$6+IF(ROW()=ROW(tblBuyerOutputs[#Headers])+1,0,INDEX(tblBuyerOutputs[Cumul Appr],ROW()-ROW(tblBuyerOutputs[#Headers])-1)))*$O$2/12)</f>
        <v>0</v>
      </c>
      <c r="AE514" s="275">
        <f>IF(INDEX(tblContractForDeed[End Bal],ROW()-ROW(tblBuyerOutputs[#Headers]))&lt;=0,0,IF(ROW()=ROW(tblBuyerOutputs[#Headers])+1,0,INDEX(tblBuyerOutputs[Cumul Appr],ROW()-ROW(tblBuyerOutputs[#Headers])-1))+tblBuyerOutputs[[#This Row],[Monthly Appr]])</f>
        <v>0</v>
      </c>
      <c r="AF514" s="22"/>
      <c r="AG514" s="14"/>
      <c r="AL514"/>
      <c r="AM514" s="14"/>
      <c r="AO514" s="275"/>
      <c r="AQ514" s="14"/>
      <c r="AR514"/>
    </row>
    <row r="515" spans="1:44" x14ac:dyDescent="0.25">
      <c r="A515" s="590" t="str">
        <f t="shared" si="107"/>
        <v/>
      </c>
      <c r="B515" s="275">
        <f t="shared" si="108"/>
        <v>0</v>
      </c>
      <c r="C515" s="14">
        <f t="shared" si="105"/>
        <v>0</v>
      </c>
      <c r="D515" s="14">
        <f t="shared" si="109"/>
        <v>0</v>
      </c>
      <c r="E515" s="14">
        <f t="shared" si="106"/>
        <v>0</v>
      </c>
      <c r="K515" s="275">
        <f t="shared" si="110"/>
        <v>0</v>
      </c>
      <c r="L515" s="386">
        <f t="shared" si="116"/>
        <v>0</v>
      </c>
      <c r="M515" s="386">
        <f t="shared" si="111"/>
        <v>0</v>
      </c>
      <c r="N515" s="590" t="str">
        <f>INDEX(tblSubjectToLoan[Date],ROW()-ROW(tblContractForDeed[#Headers]))</f>
        <v/>
      </c>
      <c r="O515" s="275">
        <f>IF(ROW()=ROW(tblContractForDeed[#Headers])+1,$O$6,IF(INDEX(tblContractForDeed[End Bal],ROW()-ROW(tblContractForDeed[#Headers])-1)&lt;0,0,INDEX(tblContractForDeed[End Bal],ROW()-ROW(tblContractForDeed[#Headers])-1)))</f>
        <v>0</v>
      </c>
      <c r="P515" s="445" t="str">
        <f>IF(tblContractForDeed[[#This Row],[Date]]="","",IF(tblContractForDeed[[#This Row],[Date]]&lt;cfdRateChangeDate,cfdRate1,cfdRate2))</f>
        <v/>
      </c>
      <c r="Q51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75">
        <f>SUM(INDEX(tblContractForDeed[Princ],1):INDEX(tblContractForDeed[Princ],ROW()-ROW(tblContractForDeed[#Headers])))</f>
        <v>75258.000000000029</v>
      </c>
      <c r="X515" s="275">
        <f>IF(tblContractForDeed[[#This Row],[Beg]]&lt;=0,0,tblContractForDeed[[#This Row],[Beg]]-tblContractForDeed[[#This Row],[Princ]])</f>
        <v>0</v>
      </c>
      <c r="Y51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54">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5" s="275">
        <f>IF(INDEX(tblContractForDeed[End Bal],ROW()-ROW(tblBuyerOutputs[#Headers]))&lt;=0,0,($O$6+IF(ROW()=ROW(tblBuyerOutputs[#Headers])+1,0,INDEX(tblBuyerOutputs[Cumul Appr],ROW()-ROW(tblBuyerOutputs[#Headers])-1)))*$O$2/12)</f>
        <v>0</v>
      </c>
      <c r="AE515" s="275">
        <f>IF(INDEX(tblContractForDeed[End Bal],ROW()-ROW(tblBuyerOutputs[#Headers]))&lt;=0,0,IF(ROW()=ROW(tblBuyerOutputs[#Headers])+1,0,INDEX(tblBuyerOutputs[Cumul Appr],ROW()-ROW(tblBuyerOutputs[#Headers])-1))+tblBuyerOutputs[[#This Row],[Monthly Appr]])</f>
        <v>0</v>
      </c>
      <c r="AF515" s="22"/>
      <c r="AG515" s="14"/>
      <c r="AL515"/>
      <c r="AM515" s="14"/>
      <c r="AO515" s="275"/>
      <c r="AQ515" s="14"/>
      <c r="AR515"/>
    </row>
    <row r="516" spans="1:44" x14ac:dyDescent="0.25">
      <c r="A516" s="590" t="str">
        <f t="shared" si="107"/>
        <v/>
      </c>
      <c r="B516" s="275">
        <f t="shared" si="108"/>
        <v>0</v>
      </c>
      <c r="C516" s="14">
        <f t="shared" si="105"/>
        <v>0</v>
      </c>
      <c r="D516" s="14">
        <f t="shared" si="109"/>
        <v>0</v>
      </c>
      <c r="E516" s="14">
        <f t="shared" si="106"/>
        <v>0</v>
      </c>
      <c r="K516" s="275">
        <f t="shared" si="110"/>
        <v>0</v>
      </c>
      <c r="L516" s="386">
        <f t="shared" si="116"/>
        <v>0</v>
      </c>
      <c r="M516" s="386">
        <f t="shared" si="111"/>
        <v>0</v>
      </c>
      <c r="N516" s="590" t="str">
        <f>INDEX(tblSubjectToLoan[Date],ROW()-ROW(tblContractForDeed[#Headers]))</f>
        <v/>
      </c>
      <c r="O516" s="275">
        <f>IF(ROW()=ROW(tblContractForDeed[#Headers])+1,$O$6,IF(INDEX(tblContractForDeed[End Bal],ROW()-ROW(tblContractForDeed[#Headers])-1)&lt;0,0,INDEX(tblContractForDeed[End Bal],ROW()-ROW(tblContractForDeed[#Headers])-1)))</f>
        <v>0</v>
      </c>
      <c r="P516" s="445" t="str">
        <f>IF(tblContractForDeed[[#This Row],[Date]]="","",IF(tblContractForDeed[[#This Row],[Date]]&lt;cfdRateChangeDate,cfdRate1,cfdRate2))</f>
        <v/>
      </c>
      <c r="Q5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75">
        <f>SUM(INDEX(tblContractForDeed[Princ],1):INDEX(tblContractForDeed[Princ],ROW()-ROW(tblContractForDeed[#Headers])))</f>
        <v>75258.000000000029</v>
      </c>
      <c r="X516" s="275">
        <f>IF(tblContractForDeed[[#This Row],[Beg]]&lt;=0,0,tblContractForDeed[[#This Row],[Beg]]-tblContractForDeed[[#This Row],[Princ]])</f>
        <v>0</v>
      </c>
      <c r="Y51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54">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6" s="275">
        <f>IF(INDEX(tblContractForDeed[End Bal],ROW()-ROW(tblBuyerOutputs[#Headers]))&lt;=0,0,($O$6+IF(ROW()=ROW(tblBuyerOutputs[#Headers])+1,0,INDEX(tblBuyerOutputs[Cumul Appr],ROW()-ROW(tblBuyerOutputs[#Headers])-1)))*$O$2/12)</f>
        <v>0</v>
      </c>
      <c r="AE516" s="275">
        <f>IF(INDEX(tblContractForDeed[End Bal],ROW()-ROW(tblBuyerOutputs[#Headers]))&lt;=0,0,IF(ROW()=ROW(tblBuyerOutputs[#Headers])+1,0,INDEX(tblBuyerOutputs[Cumul Appr],ROW()-ROW(tblBuyerOutputs[#Headers])-1))+tblBuyerOutputs[[#This Row],[Monthly Appr]])</f>
        <v>0</v>
      </c>
      <c r="AF516" s="22"/>
      <c r="AG516" s="14"/>
      <c r="AL516"/>
      <c r="AM516" s="14"/>
      <c r="AO516" s="275"/>
      <c r="AQ516" s="14"/>
      <c r="AR516"/>
    </row>
    <row r="517" spans="1:44" x14ac:dyDescent="0.25">
      <c r="A517" s="590" t="str">
        <f t="shared" si="107"/>
        <v/>
      </c>
      <c r="B517" s="275">
        <f t="shared" si="108"/>
        <v>0</v>
      </c>
      <c r="C517" s="14">
        <f t="shared" si="105"/>
        <v>0</v>
      </c>
      <c r="D517" s="14">
        <f t="shared" si="109"/>
        <v>0</v>
      </c>
      <c r="E517" s="14">
        <f t="shared" si="106"/>
        <v>0</v>
      </c>
      <c r="K517" s="275">
        <f t="shared" si="110"/>
        <v>0</v>
      </c>
      <c r="L517" s="386">
        <f t="shared" si="116"/>
        <v>0</v>
      </c>
      <c r="M517" s="386">
        <f t="shared" si="111"/>
        <v>0</v>
      </c>
      <c r="N517" s="590" t="str">
        <f>INDEX(tblSubjectToLoan[Date],ROW()-ROW(tblContractForDeed[#Headers]))</f>
        <v/>
      </c>
      <c r="O517" s="275">
        <f>IF(ROW()=ROW(tblContractForDeed[#Headers])+1,$O$6,IF(INDEX(tblContractForDeed[End Bal],ROW()-ROW(tblContractForDeed[#Headers])-1)&lt;0,0,INDEX(tblContractForDeed[End Bal],ROW()-ROW(tblContractForDeed[#Headers])-1)))</f>
        <v>0</v>
      </c>
      <c r="P517" s="445" t="str">
        <f>IF(tblContractForDeed[[#This Row],[Date]]="","",IF(tblContractForDeed[[#This Row],[Date]]&lt;cfdRateChangeDate,cfdRate1,cfdRate2))</f>
        <v/>
      </c>
      <c r="Q5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75">
        <f>SUM(INDEX(tblContractForDeed[Princ],1):INDEX(tblContractForDeed[Princ],ROW()-ROW(tblContractForDeed[#Headers])))</f>
        <v>75258.000000000029</v>
      </c>
      <c r="X517" s="275">
        <f>IF(tblContractForDeed[[#This Row],[Beg]]&lt;=0,0,tblContractForDeed[[#This Row],[Beg]]-tblContractForDeed[[#This Row],[Princ]])</f>
        <v>0</v>
      </c>
      <c r="Y51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54">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7" s="275">
        <f>IF(INDEX(tblContractForDeed[End Bal],ROW()-ROW(tblBuyerOutputs[#Headers]))&lt;=0,0,($O$6+IF(ROW()=ROW(tblBuyerOutputs[#Headers])+1,0,INDEX(tblBuyerOutputs[Cumul Appr],ROW()-ROW(tblBuyerOutputs[#Headers])-1)))*$O$2/12)</f>
        <v>0</v>
      </c>
      <c r="AE517" s="275">
        <f>IF(INDEX(tblContractForDeed[End Bal],ROW()-ROW(tblBuyerOutputs[#Headers]))&lt;=0,0,IF(ROW()=ROW(tblBuyerOutputs[#Headers])+1,0,INDEX(tblBuyerOutputs[Cumul Appr],ROW()-ROW(tblBuyerOutputs[#Headers])-1))+tblBuyerOutputs[[#This Row],[Monthly Appr]])</f>
        <v>0</v>
      </c>
      <c r="AF517" s="22"/>
      <c r="AG517" s="14"/>
      <c r="AL517"/>
      <c r="AM517" s="14"/>
      <c r="AO517" s="275"/>
      <c r="AQ517" s="14"/>
      <c r="AR517"/>
    </row>
    <row r="518" spans="1:44" x14ac:dyDescent="0.25">
      <c r="A518" s="590" t="str">
        <f t="shared" si="107"/>
        <v/>
      </c>
      <c r="B518" s="275">
        <f t="shared" si="108"/>
        <v>0</v>
      </c>
      <c r="C518" s="14">
        <f t="shared" si="105"/>
        <v>0</v>
      </c>
      <c r="D518" s="14">
        <f t="shared" si="109"/>
        <v>0</v>
      </c>
      <c r="E518" s="14">
        <f t="shared" si="106"/>
        <v>0</v>
      </c>
      <c r="K518" s="275">
        <f t="shared" si="110"/>
        <v>0</v>
      </c>
      <c r="L518" s="386">
        <f t="shared" si="116"/>
        <v>0</v>
      </c>
      <c r="M518" s="386">
        <f t="shared" si="111"/>
        <v>0</v>
      </c>
      <c r="N518" s="590" t="str">
        <f>INDEX(tblSubjectToLoan[Date],ROW()-ROW(tblContractForDeed[#Headers]))</f>
        <v/>
      </c>
      <c r="O518" s="275">
        <f>IF(ROW()=ROW(tblContractForDeed[#Headers])+1,$O$6,IF(INDEX(tblContractForDeed[End Bal],ROW()-ROW(tblContractForDeed[#Headers])-1)&lt;0,0,INDEX(tblContractForDeed[End Bal],ROW()-ROW(tblContractForDeed[#Headers])-1)))</f>
        <v>0</v>
      </c>
      <c r="P518" s="445" t="str">
        <f>IF(tblContractForDeed[[#This Row],[Date]]="","",IF(tblContractForDeed[[#This Row],[Date]]&lt;cfdRateChangeDate,cfdRate1,cfdRate2))</f>
        <v/>
      </c>
      <c r="Q5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75">
        <f>SUM(INDEX(tblContractForDeed[Princ],1):INDEX(tblContractForDeed[Princ],ROW()-ROW(tblContractForDeed[#Headers])))</f>
        <v>75258.000000000029</v>
      </c>
      <c r="X518" s="275">
        <f>IF(tblContractForDeed[[#This Row],[Beg]]&lt;=0,0,tblContractForDeed[[#This Row],[Beg]]-tblContractForDeed[[#This Row],[Princ]])</f>
        <v>0</v>
      </c>
      <c r="Y51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54">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8" s="275">
        <f>IF(INDEX(tblContractForDeed[End Bal],ROW()-ROW(tblBuyerOutputs[#Headers]))&lt;=0,0,($O$6+IF(ROW()=ROW(tblBuyerOutputs[#Headers])+1,0,INDEX(tblBuyerOutputs[Cumul Appr],ROW()-ROW(tblBuyerOutputs[#Headers])-1)))*$O$2/12)</f>
        <v>0</v>
      </c>
      <c r="AE518" s="275">
        <f>IF(INDEX(tblContractForDeed[End Bal],ROW()-ROW(tblBuyerOutputs[#Headers]))&lt;=0,0,IF(ROW()=ROW(tblBuyerOutputs[#Headers])+1,0,INDEX(tblBuyerOutputs[Cumul Appr],ROW()-ROW(tblBuyerOutputs[#Headers])-1))+tblBuyerOutputs[[#This Row],[Monthly Appr]])</f>
        <v>0</v>
      </c>
      <c r="AF518" s="22"/>
      <c r="AG518" s="14"/>
      <c r="AL518"/>
      <c r="AM518" s="14"/>
      <c r="AO518" s="275"/>
      <c r="AQ518" s="14"/>
      <c r="AR518"/>
    </row>
    <row r="519" spans="1:44" x14ac:dyDescent="0.25">
      <c r="A519" s="590" t="str">
        <f t="shared" si="107"/>
        <v/>
      </c>
      <c r="B519" s="275">
        <f t="shared" si="108"/>
        <v>0</v>
      </c>
      <c r="C519" s="14">
        <f t="shared" si="105"/>
        <v>0</v>
      </c>
      <c r="D519" s="14">
        <f t="shared" si="109"/>
        <v>0</v>
      </c>
      <c r="E519" s="14">
        <f t="shared" si="106"/>
        <v>0</v>
      </c>
      <c r="K519" s="275">
        <f t="shared" si="110"/>
        <v>0</v>
      </c>
      <c r="L519" s="386">
        <f t="shared" si="116"/>
        <v>0</v>
      </c>
      <c r="M519" s="386">
        <f t="shared" si="111"/>
        <v>0</v>
      </c>
      <c r="N519" s="590" t="str">
        <f>INDEX(tblSubjectToLoan[Date],ROW()-ROW(tblContractForDeed[#Headers]))</f>
        <v/>
      </c>
      <c r="O519" s="275">
        <f>IF(ROW()=ROW(tblContractForDeed[#Headers])+1,$O$6,IF(INDEX(tblContractForDeed[End Bal],ROW()-ROW(tblContractForDeed[#Headers])-1)&lt;0,0,INDEX(tblContractForDeed[End Bal],ROW()-ROW(tblContractForDeed[#Headers])-1)))</f>
        <v>0</v>
      </c>
      <c r="P519" s="445" t="str">
        <f>IF(tblContractForDeed[[#This Row],[Date]]="","",IF(tblContractForDeed[[#This Row],[Date]]&lt;cfdRateChangeDate,cfdRate1,cfdRate2))</f>
        <v/>
      </c>
      <c r="Q51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75">
        <f>SUM(INDEX(tblContractForDeed[Princ],1):INDEX(tblContractForDeed[Princ],ROW()-ROW(tblContractForDeed[#Headers])))</f>
        <v>75258.000000000029</v>
      </c>
      <c r="X519" s="275">
        <f>IF(tblContractForDeed[[#This Row],[Beg]]&lt;=0,0,tblContractForDeed[[#This Row],[Beg]]-tblContractForDeed[[#This Row],[Princ]])</f>
        <v>0</v>
      </c>
      <c r="Y51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54">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9" s="275">
        <f>IF(INDEX(tblContractForDeed[End Bal],ROW()-ROW(tblBuyerOutputs[#Headers]))&lt;=0,0,($O$6+IF(ROW()=ROW(tblBuyerOutputs[#Headers])+1,0,INDEX(tblBuyerOutputs[Cumul Appr],ROW()-ROW(tblBuyerOutputs[#Headers])-1)))*$O$2/12)</f>
        <v>0</v>
      </c>
      <c r="AE519" s="275">
        <f>IF(INDEX(tblContractForDeed[End Bal],ROW()-ROW(tblBuyerOutputs[#Headers]))&lt;=0,0,IF(ROW()=ROW(tblBuyerOutputs[#Headers])+1,0,INDEX(tblBuyerOutputs[Cumul Appr],ROW()-ROW(tblBuyerOutputs[#Headers])-1))+tblBuyerOutputs[[#This Row],[Monthly Appr]])</f>
        <v>0</v>
      </c>
      <c r="AF519" s="22"/>
      <c r="AG519" s="14"/>
      <c r="AL519"/>
      <c r="AM519" s="14"/>
      <c r="AO519" s="275"/>
      <c r="AQ519" s="14"/>
      <c r="AR519"/>
    </row>
    <row r="520" spans="1:44" x14ac:dyDescent="0.25">
      <c r="A520" s="590" t="str">
        <f t="shared" si="107"/>
        <v/>
      </c>
      <c r="B520" s="275">
        <f t="shared" si="108"/>
        <v>0</v>
      </c>
      <c r="C520" s="14">
        <f t="shared" si="105"/>
        <v>0</v>
      </c>
      <c r="D520" s="14">
        <f t="shared" si="109"/>
        <v>0</v>
      </c>
      <c r="E520" s="14">
        <f t="shared" si="106"/>
        <v>0</v>
      </c>
      <c r="K520" s="275">
        <f t="shared" si="110"/>
        <v>0</v>
      </c>
      <c r="L520" s="386">
        <f t="shared" si="116"/>
        <v>0</v>
      </c>
      <c r="M520" s="386">
        <f t="shared" si="111"/>
        <v>0</v>
      </c>
      <c r="N520" s="590" t="str">
        <f>INDEX(tblSubjectToLoan[Date],ROW()-ROW(tblContractForDeed[#Headers]))</f>
        <v/>
      </c>
      <c r="O520" s="275">
        <f>IF(ROW()=ROW(tblContractForDeed[#Headers])+1,$O$6,IF(INDEX(tblContractForDeed[End Bal],ROW()-ROW(tblContractForDeed[#Headers])-1)&lt;0,0,INDEX(tblContractForDeed[End Bal],ROW()-ROW(tblContractForDeed[#Headers])-1)))</f>
        <v>0</v>
      </c>
      <c r="P520" s="445" t="str">
        <f>IF(tblContractForDeed[[#This Row],[Date]]="","",IF(tblContractForDeed[[#This Row],[Date]]&lt;cfdRateChangeDate,cfdRate1,cfdRate2))</f>
        <v/>
      </c>
      <c r="Q5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75">
        <f>SUM(INDEX(tblContractForDeed[Princ],1):INDEX(tblContractForDeed[Princ],ROW()-ROW(tblContractForDeed[#Headers])))</f>
        <v>75258.000000000029</v>
      </c>
      <c r="X520" s="275">
        <f>IF(tblContractForDeed[[#This Row],[Beg]]&lt;=0,0,tblContractForDeed[[#This Row],[Beg]]-tblContractForDeed[[#This Row],[Princ]])</f>
        <v>0</v>
      </c>
      <c r="Y52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54">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0" s="275">
        <f>IF(INDEX(tblContractForDeed[End Bal],ROW()-ROW(tblBuyerOutputs[#Headers]))&lt;=0,0,($O$6+IF(ROW()=ROW(tblBuyerOutputs[#Headers])+1,0,INDEX(tblBuyerOutputs[Cumul Appr],ROW()-ROW(tblBuyerOutputs[#Headers])-1)))*$O$2/12)</f>
        <v>0</v>
      </c>
      <c r="AE520" s="275">
        <f>IF(INDEX(tblContractForDeed[End Bal],ROW()-ROW(tblBuyerOutputs[#Headers]))&lt;=0,0,IF(ROW()=ROW(tblBuyerOutputs[#Headers])+1,0,INDEX(tblBuyerOutputs[Cumul Appr],ROW()-ROW(tblBuyerOutputs[#Headers])-1))+tblBuyerOutputs[[#This Row],[Monthly Appr]])</f>
        <v>0</v>
      </c>
      <c r="AF520" s="22"/>
      <c r="AG520" s="14"/>
      <c r="AL520"/>
      <c r="AM520" s="14"/>
      <c r="AO520" s="275"/>
      <c r="AQ520" s="14"/>
      <c r="AR520"/>
    </row>
    <row r="521" spans="1:44" x14ac:dyDescent="0.25">
      <c r="A521" s="590" t="str">
        <f t="shared" si="107"/>
        <v/>
      </c>
      <c r="B521" s="275">
        <f t="shared" si="108"/>
        <v>0</v>
      </c>
      <c r="C521" s="14">
        <f t="shared" si="105"/>
        <v>0</v>
      </c>
      <c r="D521" s="14">
        <f t="shared" si="109"/>
        <v>0</v>
      </c>
      <c r="E521" s="14">
        <f t="shared" si="106"/>
        <v>0</v>
      </c>
      <c r="K521" s="275">
        <f t="shared" si="110"/>
        <v>0</v>
      </c>
      <c r="L521" s="386">
        <f t="shared" si="116"/>
        <v>0</v>
      </c>
      <c r="M521" s="386">
        <f t="shared" si="111"/>
        <v>0</v>
      </c>
      <c r="N521" s="590" t="str">
        <f>INDEX(tblSubjectToLoan[Date],ROW()-ROW(tblContractForDeed[#Headers]))</f>
        <v/>
      </c>
      <c r="O521" s="275">
        <f>IF(ROW()=ROW(tblContractForDeed[#Headers])+1,$O$6,IF(INDEX(tblContractForDeed[End Bal],ROW()-ROW(tblContractForDeed[#Headers])-1)&lt;0,0,INDEX(tblContractForDeed[End Bal],ROW()-ROW(tblContractForDeed[#Headers])-1)))</f>
        <v>0</v>
      </c>
      <c r="P521" s="445" t="str">
        <f>IF(tblContractForDeed[[#This Row],[Date]]="","",IF(tblContractForDeed[[#This Row],[Date]]&lt;cfdRateChangeDate,cfdRate1,cfdRate2))</f>
        <v/>
      </c>
      <c r="Q5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75">
        <f>SUM(INDEX(tblContractForDeed[Princ],1):INDEX(tblContractForDeed[Princ],ROW()-ROW(tblContractForDeed[#Headers])))</f>
        <v>75258.000000000029</v>
      </c>
      <c r="X521" s="275">
        <f>IF(tblContractForDeed[[#This Row],[Beg]]&lt;=0,0,tblContractForDeed[[#This Row],[Beg]]-tblContractForDeed[[#This Row],[Princ]])</f>
        <v>0</v>
      </c>
      <c r="Y52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54">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1" s="275">
        <f>IF(INDEX(tblContractForDeed[End Bal],ROW()-ROW(tblBuyerOutputs[#Headers]))&lt;=0,0,($O$6+IF(ROW()=ROW(tblBuyerOutputs[#Headers])+1,0,INDEX(tblBuyerOutputs[Cumul Appr],ROW()-ROW(tblBuyerOutputs[#Headers])-1)))*$O$2/12)</f>
        <v>0</v>
      </c>
      <c r="AE521" s="275">
        <f>IF(INDEX(tblContractForDeed[End Bal],ROW()-ROW(tblBuyerOutputs[#Headers]))&lt;=0,0,IF(ROW()=ROW(tblBuyerOutputs[#Headers])+1,0,INDEX(tblBuyerOutputs[Cumul Appr],ROW()-ROW(tblBuyerOutputs[#Headers])-1))+tblBuyerOutputs[[#This Row],[Monthly Appr]])</f>
        <v>0</v>
      </c>
      <c r="AF521" s="22"/>
      <c r="AG521" s="14"/>
      <c r="AL521"/>
      <c r="AM521" s="14"/>
      <c r="AO521" s="275"/>
      <c r="AQ521" s="14"/>
      <c r="AR521"/>
    </row>
    <row r="522" spans="1:44" x14ac:dyDescent="0.25">
      <c r="A522" s="590" t="str">
        <f t="shared" si="107"/>
        <v/>
      </c>
      <c r="B522" s="275">
        <f t="shared" si="108"/>
        <v>0</v>
      </c>
      <c r="C522" s="14">
        <f t="shared" si="105"/>
        <v>0</v>
      </c>
      <c r="D522" s="14">
        <f t="shared" si="109"/>
        <v>0</v>
      </c>
      <c r="E522" s="14">
        <f t="shared" si="106"/>
        <v>0</v>
      </c>
      <c r="K522" s="275">
        <f t="shared" si="110"/>
        <v>0</v>
      </c>
      <c r="L522" s="386">
        <f t="shared" si="116"/>
        <v>0</v>
      </c>
      <c r="M522" s="386">
        <f t="shared" si="111"/>
        <v>0</v>
      </c>
      <c r="N522" s="590" t="str">
        <f>INDEX(tblSubjectToLoan[Date],ROW()-ROW(tblContractForDeed[#Headers]))</f>
        <v/>
      </c>
      <c r="O522" s="275">
        <f>IF(ROW()=ROW(tblContractForDeed[#Headers])+1,$O$6,IF(INDEX(tblContractForDeed[End Bal],ROW()-ROW(tblContractForDeed[#Headers])-1)&lt;0,0,INDEX(tblContractForDeed[End Bal],ROW()-ROW(tblContractForDeed[#Headers])-1)))</f>
        <v>0</v>
      </c>
      <c r="P522" s="445" t="str">
        <f>IF(tblContractForDeed[[#This Row],[Date]]="","",IF(tblContractForDeed[[#This Row],[Date]]&lt;cfdRateChangeDate,cfdRate1,cfdRate2))</f>
        <v/>
      </c>
      <c r="Q5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75">
        <f>SUM(INDEX(tblContractForDeed[Princ],1):INDEX(tblContractForDeed[Princ],ROW()-ROW(tblContractForDeed[#Headers])))</f>
        <v>75258.000000000029</v>
      </c>
      <c r="X522" s="275">
        <f>IF(tblContractForDeed[[#This Row],[Beg]]&lt;=0,0,tblContractForDeed[[#This Row],[Beg]]-tblContractForDeed[[#This Row],[Princ]])</f>
        <v>0</v>
      </c>
      <c r="Y52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54">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2" s="275">
        <f>IF(INDEX(tblContractForDeed[End Bal],ROW()-ROW(tblBuyerOutputs[#Headers]))&lt;=0,0,($O$6+IF(ROW()=ROW(tblBuyerOutputs[#Headers])+1,0,INDEX(tblBuyerOutputs[Cumul Appr],ROW()-ROW(tblBuyerOutputs[#Headers])-1)))*$O$2/12)</f>
        <v>0</v>
      </c>
      <c r="AE522" s="275">
        <f>IF(INDEX(tblContractForDeed[End Bal],ROW()-ROW(tblBuyerOutputs[#Headers]))&lt;=0,0,IF(ROW()=ROW(tblBuyerOutputs[#Headers])+1,0,INDEX(tblBuyerOutputs[Cumul Appr],ROW()-ROW(tblBuyerOutputs[#Headers])-1))+tblBuyerOutputs[[#This Row],[Monthly Appr]])</f>
        <v>0</v>
      </c>
      <c r="AF522" s="22"/>
      <c r="AG522" s="14"/>
      <c r="AL522"/>
      <c r="AM522" s="14"/>
      <c r="AO522" s="275"/>
      <c r="AQ522" s="14"/>
      <c r="AR522"/>
    </row>
    <row r="523" spans="1:44" ht="15.75" thickBot="1" x14ac:dyDescent="0.3">
      <c r="A523" s="591" t="str">
        <f t="shared" si="107"/>
        <v/>
      </c>
      <c r="B523" s="326">
        <f t="shared" si="108"/>
        <v>0</v>
      </c>
      <c r="C523" s="21">
        <f t="shared" si="105"/>
        <v>0</v>
      </c>
      <c r="D523" s="21">
        <f t="shared" si="109"/>
        <v>0</v>
      </c>
      <c r="E523" s="21">
        <f t="shared" si="106"/>
        <v>0</v>
      </c>
      <c r="F523" s="21"/>
      <c r="G523" s="21"/>
      <c r="H523" s="21"/>
      <c r="I523" s="326"/>
      <c r="J523" s="326"/>
      <c r="K523" s="326">
        <f t="shared" si="110"/>
        <v>0</v>
      </c>
      <c r="L523" s="387">
        <f t="shared" si="116"/>
        <v>0</v>
      </c>
      <c r="M523" s="387">
        <f t="shared" si="111"/>
        <v>0</v>
      </c>
      <c r="N523" s="591" t="str">
        <f>INDEX(tblSubjectToLoan[Date],ROW()-ROW(tblContractForDeed[#Headers]))</f>
        <v/>
      </c>
      <c r="O523" s="275">
        <f>IF(ROW()=ROW(tblContractForDeed[#Headers])+1,$O$6,IF(INDEX(tblContractForDeed[End Bal],ROW()-ROW(tblContractForDeed[#Headers])-1)&lt;0,0,INDEX(tblContractForDeed[End Bal],ROW()-ROW(tblContractForDeed[#Headers])-1)))</f>
        <v>0</v>
      </c>
      <c r="P523" s="445" t="str">
        <f>IF(tblContractForDeed[[#This Row],[Date]]="","",IF(tblContractForDeed[[#This Row],[Date]]&lt;cfdRateChangeDate,cfdRate1,cfdRate2))</f>
        <v/>
      </c>
      <c r="Q52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75">
        <f>SUM(INDEX(tblContractForDeed[Princ],1):INDEX(tblContractForDeed[Princ],ROW()-ROW(tblContractForDeed[#Headers])))</f>
        <v>75258.000000000029</v>
      </c>
      <c r="X523" s="275">
        <f>IF(tblContractForDeed[[#This Row],[Beg]]&lt;=0,0,tblContractForDeed[[#This Row],[Beg]]-tblContractForDeed[[#This Row],[Princ]])</f>
        <v>0</v>
      </c>
      <c r="Y52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54">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3" s="326">
        <f>IF(INDEX(tblContractForDeed[End Bal],ROW()-ROW(tblBuyerOutputs[#Headers]))&lt;=0,0,($O$6+IF(ROW()=ROW(tblBuyerOutputs[#Headers])+1,0,INDEX(tblBuyerOutputs[Cumul Appr],ROW()-ROW(tblBuyerOutputs[#Headers])-1)))*$O$2/12)</f>
        <v>0</v>
      </c>
      <c r="AE523" s="326">
        <f>IF(INDEX(tblContractForDeed[End Bal],ROW()-ROW(tblBuyerOutputs[#Headers]))&lt;=0,0,IF(ROW()=ROW(tblBuyerOutputs[#Headers])+1,0,INDEX(tblBuyerOutputs[Cumul Appr],ROW()-ROW(tblBuyerOutputs[#Headers])-1))+tblBuyerOutputs[[#This Row],[Monthly Appr]])</f>
        <v>0</v>
      </c>
      <c r="AF523" s="22"/>
      <c r="AG523" s="14"/>
      <c r="AL523"/>
      <c r="AM523" s="14"/>
      <c r="AO523" s="275"/>
      <c r="AQ523" s="21"/>
      <c r="AR523"/>
    </row>
    <row r="524" spans="1:44" x14ac:dyDescent="0.25">
      <c r="A524" s="590" t="str">
        <f t="shared" si="107"/>
        <v/>
      </c>
      <c r="B524" s="275">
        <f t="shared" si="108"/>
        <v>0</v>
      </c>
      <c r="C524" s="14">
        <f t="shared" si="105"/>
        <v>0</v>
      </c>
      <c r="D524" s="14">
        <f t="shared" si="109"/>
        <v>0</v>
      </c>
      <c r="E524" s="14">
        <f t="shared" si="106"/>
        <v>0</v>
      </c>
      <c r="K524" s="275">
        <f t="shared" si="110"/>
        <v>0</v>
      </c>
      <c r="L524" s="386">
        <f t="shared" si="116"/>
        <v>0</v>
      </c>
      <c r="M524" s="386">
        <f t="shared" si="111"/>
        <v>0</v>
      </c>
      <c r="N524" s="590" t="str">
        <f>INDEX(tblSubjectToLoan[Date],ROW()-ROW(tblContractForDeed[#Headers]))</f>
        <v/>
      </c>
      <c r="O524" s="275">
        <f>IF(ROW()=ROW(tblContractForDeed[#Headers])+1,$O$6,IF(INDEX(tblContractForDeed[End Bal],ROW()-ROW(tblContractForDeed[#Headers])-1)&lt;0,0,INDEX(tblContractForDeed[End Bal],ROW()-ROW(tblContractForDeed[#Headers])-1)))</f>
        <v>0</v>
      </c>
      <c r="P524" s="445" t="str">
        <f>IF(tblContractForDeed[[#This Row],[Date]]="","",IF(tblContractForDeed[[#This Row],[Date]]&lt;cfdRateChangeDate,cfdRate1,cfdRate2))</f>
        <v/>
      </c>
      <c r="Q5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75">
        <f>SUM(INDEX(tblContractForDeed[Princ],1):INDEX(tblContractForDeed[Princ],ROW()-ROW(tblContractForDeed[#Headers])))</f>
        <v>75258.000000000029</v>
      </c>
      <c r="X524" s="275">
        <f>IF(tblContractForDeed[[#This Row],[Beg]]&lt;=0,0,tblContractForDeed[[#This Row],[Beg]]-tblContractForDeed[[#This Row],[Princ]])</f>
        <v>0</v>
      </c>
      <c r="Y52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54">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4" s="275">
        <f>IF(INDEX(tblContractForDeed[End Bal],ROW()-ROW(tblBuyerOutputs[#Headers]))&lt;=0,0,($O$6+IF(ROW()=ROW(tblBuyerOutputs[#Headers])+1,0,INDEX(tblBuyerOutputs[Cumul Appr],ROW()-ROW(tblBuyerOutputs[#Headers])-1)))*$O$2/12)</f>
        <v>0</v>
      </c>
      <c r="AE524" s="275">
        <f>IF(INDEX(tblContractForDeed[End Bal],ROW()-ROW(tblBuyerOutputs[#Headers]))&lt;=0,0,IF(ROW()=ROW(tblBuyerOutputs[#Headers])+1,0,INDEX(tblBuyerOutputs[Cumul Appr],ROW()-ROW(tblBuyerOutputs[#Headers])-1))+tblBuyerOutputs[[#This Row],[Monthly Appr]])</f>
        <v>0</v>
      </c>
      <c r="AF524" s="22"/>
      <c r="AG524" s="14"/>
      <c r="AL524"/>
      <c r="AM524" s="14"/>
      <c r="AO524" s="275"/>
      <c r="AQ524" s="14"/>
      <c r="AR524"/>
    </row>
    <row r="525" spans="1:44" x14ac:dyDescent="0.25">
      <c r="A525" s="590" t="str">
        <f t="shared" si="107"/>
        <v/>
      </c>
      <c r="B525" s="275">
        <f t="shared" si="108"/>
        <v>0</v>
      </c>
      <c r="C525" s="14">
        <f t="shared" si="105"/>
        <v>0</v>
      </c>
      <c r="D525" s="14">
        <f t="shared" si="109"/>
        <v>0</v>
      </c>
      <c r="E525" s="14">
        <f t="shared" si="106"/>
        <v>0</v>
      </c>
      <c r="K525" s="275">
        <f t="shared" si="110"/>
        <v>0</v>
      </c>
      <c r="L525" s="386">
        <f t="shared" si="116"/>
        <v>0</v>
      </c>
      <c r="M525" s="386">
        <f t="shared" si="111"/>
        <v>0</v>
      </c>
      <c r="N525" s="590" t="str">
        <f>INDEX(tblSubjectToLoan[Date],ROW()-ROW(tblContractForDeed[#Headers]))</f>
        <v/>
      </c>
      <c r="O525" s="275">
        <f>IF(ROW()=ROW(tblContractForDeed[#Headers])+1,$O$6,IF(INDEX(tblContractForDeed[End Bal],ROW()-ROW(tblContractForDeed[#Headers])-1)&lt;0,0,INDEX(tblContractForDeed[End Bal],ROW()-ROW(tblContractForDeed[#Headers])-1)))</f>
        <v>0</v>
      </c>
      <c r="P525" s="445" t="str">
        <f>IF(tblContractForDeed[[#This Row],[Date]]="","",IF(tblContractForDeed[[#This Row],[Date]]&lt;cfdRateChangeDate,cfdRate1,cfdRate2))</f>
        <v/>
      </c>
      <c r="Q5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75">
        <f>SUM(INDEX(tblContractForDeed[Princ],1):INDEX(tblContractForDeed[Princ],ROW()-ROW(tblContractForDeed[#Headers])))</f>
        <v>75258.000000000029</v>
      </c>
      <c r="X525" s="275">
        <f>IF(tblContractForDeed[[#This Row],[Beg]]&lt;=0,0,tblContractForDeed[[#This Row],[Beg]]-tblContractForDeed[[#This Row],[Princ]])</f>
        <v>0</v>
      </c>
      <c r="Y52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54">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5" s="275">
        <f>IF(INDEX(tblContractForDeed[End Bal],ROW()-ROW(tblBuyerOutputs[#Headers]))&lt;=0,0,($O$6+IF(ROW()=ROW(tblBuyerOutputs[#Headers])+1,0,INDEX(tblBuyerOutputs[Cumul Appr],ROW()-ROW(tblBuyerOutputs[#Headers])-1)))*$O$2/12)</f>
        <v>0</v>
      </c>
      <c r="AE525" s="275">
        <f>IF(INDEX(tblContractForDeed[End Bal],ROW()-ROW(tblBuyerOutputs[#Headers]))&lt;=0,0,IF(ROW()=ROW(tblBuyerOutputs[#Headers])+1,0,INDEX(tblBuyerOutputs[Cumul Appr],ROW()-ROW(tblBuyerOutputs[#Headers])-1))+tblBuyerOutputs[[#This Row],[Monthly Appr]])</f>
        <v>0</v>
      </c>
      <c r="AF525" s="22"/>
      <c r="AG525" s="14"/>
      <c r="AL525"/>
      <c r="AM525" s="14"/>
      <c r="AO525" s="275"/>
      <c r="AQ525" s="14"/>
      <c r="AR525"/>
    </row>
    <row r="526" spans="1:44" x14ac:dyDescent="0.25">
      <c r="A526" s="590" t="str">
        <f t="shared" si="107"/>
        <v/>
      </c>
      <c r="B526" s="275">
        <f t="shared" si="108"/>
        <v>0</v>
      </c>
      <c r="C526" s="14">
        <f t="shared" si="105"/>
        <v>0</v>
      </c>
      <c r="D526" s="14">
        <f t="shared" si="109"/>
        <v>0</v>
      </c>
      <c r="E526" s="14">
        <f t="shared" si="106"/>
        <v>0</v>
      </c>
      <c r="K526" s="275">
        <f t="shared" si="110"/>
        <v>0</v>
      </c>
      <c r="L526" s="386">
        <f t="shared" si="116"/>
        <v>0</v>
      </c>
      <c r="M526" s="386">
        <f t="shared" si="111"/>
        <v>0</v>
      </c>
      <c r="N526" s="590" t="str">
        <f>INDEX(tblSubjectToLoan[Date],ROW()-ROW(tblContractForDeed[#Headers]))</f>
        <v/>
      </c>
      <c r="O526" s="275">
        <f>IF(ROW()=ROW(tblContractForDeed[#Headers])+1,$O$6,IF(INDEX(tblContractForDeed[End Bal],ROW()-ROW(tblContractForDeed[#Headers])-1)&lt;0,0,INDEX(tblContractForDeed[End Bal],ROW()-ROW(tblContractForDeed[#Headers])-1)))</f>
        <v>0</v>
      </c>
      <c r="P526" s="445" t="str">
        <f>IF(tblContractForDeed[[#This Row],[Date]]="","",IF(tblContractForDeed[[#This Row],[Date]]&lt;cfdRateChangeDate,cfdRate1,cfdRate2))</f>
        <v/>
      </c>
      <c r="Q5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75">
        <f>SUM(INDEX(tblContractForDeed[Princ],1):INDEX(tblContractForDeed[Princ],ROW()-ROW(tblContractForDeed[#Headers])))</f>
        <v>75258.000000000029</v>
      </c>
      <c r="X526" s="275">
        <f>IF(tblContractForDeed[[#This Row],[Beg]]&lt;=0,0,tblContractForDeed[[#This Row],[Beg]]-tblContractForDeed[[#This Row],[Princ]])</f>
        <v>0</v>
      </c>
      <c r="Y52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54">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6" s="275">
        <f>IF(INDEX(tblContractForDeed[End Bal],ROW()-ROW(tblBuyerOutputs[#Headers]))&lt;=0,0,($O$6+IF(ROW()=ROW(tblBuyerOutputs[#Headers])+1,0,INDEX(tblBuyerOutputs[Cumul Appr],ROW()-ROW(tblBuyerOutputs[#Headers])-1)))*$O$2/12)</f>
        <v>0</v>
      </c>
      <c r="AE526" s="275">
        <f>IF(INDEX(tblContractForDeed[End Bal],ROW()-ROW(tblBuyerOutputs[#Headers]))&lt;=0,0,IF(ROW()=ROW(tblBuyerOutputs[#Headers])+1,0,INDEX(tblBuyerOutputs[Cumul Appr],ROW()-ROW(tblBuyerOutputs[#Headers])-1))+tblBuyerOutputs[[#This Row],[Monthly Appr]])</f>
        <v>0</v>
      </c>
      <c r="AF526" s="22"/>
      <c r="AG526" s="14"/>
      <c r="AL526"/>
      <c r="AM526" s="14"/>
      <c r="AO526" s="275"/>
      <c r="AQ526" s="14"/>
      <c r="AR526"/>
    </row>
    <row r="527" spans="1:44" x14ac:dyDescent="0.25">
      <c r="A527" s="590" t="str">
        <f t="shared" si="107"/>
        <v/>
      </c>
      <c r="B527" s="275">
        <f t="shared" si="108"/>
        <v>0</v>
      </c>
      <c r="C527" s="14">
        <f t="shared" si="105"/>
        <v>0</v>
      </c>
      <c r="D527" s="14">
        <f t="shared" si="109"/>
        <v>0</v>
      </c>
      <c r="E527" s="14">
        <f t="shared" si="106"/>
        <v>0</v>
      </c>
      <c r="K527" s="275">
        <f t="shared" si="110"/>
        <v>0</v>
      </c>
      <c r="L527" s="386">
        <f t="shared" si="116"/>
        <v>0</v>
      </c>
      <c r="M527" s="386">
        <f t="shared" si="111"/>
        <v>0</v>
      </c>
      <c r="N527" s="590" t="str">
        <f>INDEX(tblSubjectToLoan[Date],ROW()-ROW(tblContractForDeed[#Headers]))</f>
        <v/>
      </c>
      <c r="O527" s="275">
        <f>IF(ROW()=ROW(tblContractForDeed[#Headers])+1,$O$6,IF(INDEX(tblContractForDeed[End Bal],ROW()-ROW(tblContractForDeed[#Headers])-1)&lt;0,0,INDEX(tblContractForDeed[End Bal],ROW()-ROW(tblContractForDeed[#Headers])-1)))</f>
        <v>0</v>
      </c>
      <c r="P527" s="445" t="str">
        <f>IF(tblContractForDeed[[#This Row],[Date]]="","",IF(tblContractForDeed[[#This Row],[Date]]&lt;cfdRateChangeDate,cfdRate1,cfdRate2))</f>
        <v/>
      </c>
      <c r="Q52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75">
        <f>SUM(INDEX(tblContractForDeed[Princ],1):INDEX(tblContractForDeed[Princ],ROW()-ROW(tblContractForDeed[#Headers])))</f>
        <v>75258.000000000029</v>
      </c>
      <c r="X527" s="275">
        <f>IF(tblContractForDeed[[#This Row],[Beg]]&lt;=0,0,tblContractForDeed[[#This Row],[Beg]]-tblContractForDeed[[#This Row],[Princ]])</f>
        <v>0</v>
      </c>
      <c r="Y52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54">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7" s="275">
        <f>IF(INDEX(tblContractForDeed[End Bal],ROW()-ROW(tblBuyerOutputs[#Headers]))&lt;=0,0,($O$6+IF(ROW()=ROW(tblBuyerOutputs[#Headers])+1,0,INDEX(tblBuyerOutputs[Cumul Appr],ROW()-ROW(tblBuyerOutputs[#Headers])-1)))*$O$2/12)</f>
        <v>0</v>
      </c>
      <c r="AE527" s="275">
        <f>IF(INDEX(tblContractForDeed[End Bal],ROW()-ROW(tblBuyerOutputs[#Headers]))&lt;=0,0,IF(ROW()=ROW(tblBuyerOutputs[#Headers])+1,0,INDEX(tblBuyerOutputs[Cumul Appr],ROW()-ROW(tblBuyerOutputs[#Headers])-1))+tblBuyerOutputs[[#This Row],[Monthly Appr]])</f>
        <v>0</v>
      </c>
      <c r="AF527" s="22"/>
      <c r="AG527" s="14"/>
      <c r="AL527"/>
      <c r="AM527" s="14"/>
      <c r="AO527" s="275"/>
      <c r="AQ527" s="14"/>
      <c r="AR527"/>
    </row>
    <row r="528" spans="1:44" x14ac:dyDescent="0.25">
      <c r="A528" s="590" t="str">
        <f t="shared" si="107"/>
        <v/>
      </c>
      <c r="B528" s="275">
        <f t="shared" si="108"/>
        <v>0</v>
      </c>
      <c r="C528" s="14">
        <f t="shared" si="105"/>
        <v>0</v>
      </c>
      <c r="D528" s="14">
        <f t="shared" si="109"/>
        <v>0</v>
      </c>
      <c r="E528" s="14">
        <f t="shared" si="106"/>
        <v>0</v>
      </c>
      <c r="K528" s="275">
        <f t="shared" si="110"/>
        <v>0</v>
      </c>
      <c r="L528" s="386">
        <f t="shared" si="116"/>
        <v>0</v>
      </c>
      <c r="M528" s="386">
        <f t="shared" si="111"/>
        <v>0</v>
      </c>
      <c r="N528" s="590" t="str">
        <f>INDEX(tblSubjectToLoan[Date],ROW()-ROW(tblContractForDeed[#Headers]))</f>
        <v/>
      </c>
      <c r="O528" s="275">
        <f>IF(ROW()=ROW(tblContractForDeed[#Headers])+1,$O$6,IF(INDEX(tblContractForDeed[End Bal],ROW()-ROW(tblContractForDeed[#Headers])-1)&lt;0,0,INDEX(tblContractForDeed[End Bal],ROW()-ROW(tblContractForDeed[#Headers])-1)))</f>
        <v>0</v>
      </c>
      <c r="P528" s="445" t="str">
        <f>IF(tblContractForDeed[[#This Row],[Date]]="","",IF(tblContractForDeed[[#This Row],[Date]]&lt;cfdRateChangeDate,cfdRate1,cfdRate2))</f>
        <v/>
      </c>
      <c r="Q5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75">
        <f>SUM(INDEX(tblContractForDeed[Princ],1):INDEX(tblContractForDeed[Princ],ROW()-ROW(tblContractForDeed[#Headers])))</f>
        <v>75258.000000000029</v>
      </c>
      <c r="X528" s="275">
        <f>IF(tblContractForDeed[[#This Row],[Beg]]&lt;=0,0,tblContractForDeed[[#This Row],[Beg]]-tblContractForDeed[[#This Row],[Princ]])</f>
        <v>0</v>
      </c>
      <c r="Y52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54">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8" s="275">
        <f>IF(INDEX(tblContractForDeed[End Bal],ROW()-ROW(tblBuyerOutputs[#Headers]))&lt;=0,0,($O$6+IF(ROW()=ROW(tblBuyerOutputs[#Headers])+1,0,INDEX(tblBuyerOutputs[Cumul Appr],ROW()-ROW(tblBuyerOutputs[#Headers])-1)))*$O$2/12)</f>
        <v>0</v>
      </c>
      <c r="AE528" s="275">
        <f>IF(INDEX(tblContractForDeed[End Bal],ROW()-ROW(tblBuyerOutputs[#Headers]))&lt;=0,0,IF(ROW()=ROW(tblBuyerOutputs[#Headers])+1,0,INDEX(tblBuyerOutputs[Cumul Appr],ROW()-ROW(tblBuyerOutputs[#Headers])-1))+tblBuyerOutputs[[#This Row],[Monthly Appr]])</f>
        <v>0</v>
      </c>
      <c r="AF528" s="22"/>
      <c r="AG528" s="14"/>
      <c r="AL528"/>
      <c r="AM528" s="14"/>
      <c r="AO528" s="275"/>
      <c r="AQ528" s="14"/>
      <c r="AR528"/>
    </row>
    <row r="529" spans="1:44" x14ac:dyDescent="0.25">
      <c r="A529" s="590" t="str">
        <f t="shared" si="107"/>
        <v/>
      </c>
      <c r="B529" s="275">
        <f t="shared" si="108"/>
        <v>0</v>
      </c>
      <c r="C529" s="14">
        <f t="shared" si="105"/>
        <v>0</v>
      </c>
      <c r="D529" s="14">
        <f t="shared" si="109"/>
        <v>0</v>
      </c>
      <c r="E529" s="14">
        <f t="shared" si="106"/>
        <v>0</v>
      </c>
      <c r="K529" s="275">
        <f t="shared" si="110"/>
        <v>0</v>
      </c>
      <c r="L529" s="386">
        <f t="shared" si="116"/>
        <v>0</v>
      </c>
      <c r="M529" s="386">
        <f t="shared" si="111"/>
        <v>0</v>
      </c>
      <c r="N529" s="590" t="str">
        <f>INDEX(tblSubjectToLoan[Date],ROW()-ROW(tblContractForDeed[#Headers]))</f>
        <v/>
      </c>
      <c r="O529" s="275">
        <f>IF(ROW()=ROW(tblContractForDeed[#Headers])+1,$O$6,IF(INDEX(tblContractForDeed[End Bal],ROW()-ROW(tblContractForDeed[#Headers])-1)&lt;0,0,INDEX(tblContractForDeed[End Bal],ROW()-ROW(tblContractForDeed[#Headers])-1)))</f>
        <v>0</v>
      </c>
      <c r="P529" s="445" t="str">
        <f>IF(tblContractForDeed[[#This Row],[Date]]="","",IF(tblContractForDeed[[#This Row],[Date]]&lt;cfdRateChangeDate,cfdRate1,cfdRate2))</f>
        <v/>
      </c>
      <c r="Q5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75">
        <f>SUM(INDEX(tblContractForDeed[Princ],1):INDEX(tblContractForDeed[Princ],ROW()-ROW(tblContractForDeed[#Headers])))</f>
        <v>75258.000000000029</v>
      </c>
      <c r="X529" s="275">
        <f>IF(tblContractForDeed[[#This Row],[Beg]]&lt;=0,0,tblContractForDeed[[#This Row],[Beg]]-tblContractForDeed[[#This Row],[Princ]])</f>
        <v>0</v>
      </c>
      <c r="Y52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54">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9" s="275">
        <f>IF(INDEX(tblContractForDeed[End Bal],ROW()-ROW(tblBuyerOutputs[#Headers]))&lt;=0,0,($O$6+IF(ROW()=ROW(tblBuyerOutputs[#Headers])+1,0,INDEX(tblBuyerOutputs[Cumul Appr],ROW()-ROW(tblBuyerOutputs[#Headers])-1)))*$O$2/12)</f>
        <v>0</v>
      </c>
      <c r="AE529" s="275">
        <f>IF(INDEX(tblContractForDeed[End Bal],ROW()-ROW(tblBuyerOutputs[#Headers]))&lt;=0,0,IF(ROW()=ROW(tblBuyerOutputs[#Headers])+1,0,INDEX(tblBuyerOutputs[Cumul Appr],ROW()-ROW(tblBuyerOutputs[#Headers])-1))+tblBuyerOutputs[[#This Row],[Monthly Appr]])</f>
        <v>0</v>
      </c>
      <c r="AF529" s="22"/>
      <c r="AG529" s="14"/>
      <c r="AL529"/>
      <c r="AM529" s="14"/>
      <c r="AO529" s="275"/>
      <c r="AQ529" s="14"/>
      <c r="AR529"/>
    </row>
    <row r="530" spans="1:44" x14ac:dyDescent="0.25">
      <c r="A530" s="590" t="str">
        <f t="shared" si="107"/>
        <v/>
      </c>
      <c r="B530" s="275">
        <f t="shared" si="108"/>
        <v>0</v>
      </c>
      <c r="C530" s="14">
        <f t="shared" si="105"/>
        <v>0</v>
      </c>
      <c r="D530" s="14">
        <f t="shared" si="109"/>
        <v>0</v>
      </c>
      <c r="E530" s="14">
        <f t="shared" si="106"/>
        <v>0</v>
      </c>
      <c r="K530" s="275">
        <f t="shared" si="110"/>
        <v>0</v>
      </c>
      <c r="L530" s="386">
        <f t="shared" si="116"/>
        <v>0</v>
      </c>
      <c r="M530" s="386">
        <f t="shared" si="111"/>
        <v>0</v>
      </c>
      <c r="N530" s="590" t="str">
        <f>INDEX(tblSubjectToLoan[Date],ROW()-ROW(tblContractForDeed[#Headers]))</f>
        <v/>
      </c>
      <c r="O530" s="275">
        <f>IF(ROW()=ROW(tblContractForDeed[#Headers])+1,$O$6,IF(INDEX(tblContractForDeed[End Bal],ROW()-ROW(tblContractForDeed[#Headers])-1)&lt;0,0,INDEX(tblContractForDeed[End Bal],ROW()-ROW(tblContractForDeed[#Headers])-1)))</f>
        <v>0</v>
      </c>
      <c r="P530" s="445" t="str">
        <f>IF(tblContractForDeed[[#This Row],[Date]]="","",IF(tblContractForDeed[[#This Row],[Date]]&lt;cfdRateChangeDate,cfdRate1,cfdRate2))</f>
        <v/>
      </c>
      <c r="Q5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75">
        <f>SUM(INDEX(tblContractForDeed[Princ],1):INDEX(tblContractForDeed[Princ],ROW()-ROW(tblContractForDeed[#Headers])))</f>
        <v>75258.000000000029</v>
      </c>
      <c r="X530" s="275">
        <f>IF(tblContractForDeed[[#This Row],[Beg]]&lt;=0,0,tblContractForDeed[[#This Row],[Beg]]-tblContractForDeed[[#This Row],[Princ]])</f>
        <v>0</v>
      </c>
      <c r="Y53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54">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0" s="275">
        <f>IF(INDEX(tblContractForDeed[End Bal],ROW()-ROW(tblBuyerOutputs[#Headers]))&lt;=0,0,($O$6+IF(ROW()=ROW(tblBuyerOutputs[#Headers])+1,0,INDEX(tblBuyerOutputs[Cumul Appr],ROW()-ROW(tblBuyerOutputs[#Headers])-1)))*$O$2/12)</f>
        <v>0</v>
      </c>
      <c r="AE530" s="275">
        <f>IF(INDEX(tblContractForDeed[End Bal],ROW()-ROW(tblBuyerOutputs[#Headers]))&lt;=0,0,IF(ROW()=ROW(tblBuyerOutputs[#Headers])+1,0,INDEX(tblBuyerOutputs[Cumul Appr],ROW()-ROW(tblBuyerOutputs[#Headers])-1))+tblBuyerOutputs[[#This Row],[Monthly Appr]])</f>
        <v>0</v>
      </c>
      <c r="AF530" s="22"/>
      <c r="AG530" s="14"/>
      <c r="AL530"/>
      <c r="AM530" s="14"/>
      <c r="AO530" s="275"/>
      <c r="AQ530" s="14"/>
      <c r="AR530"/>
    </row>
    <row r="531" spans="1:44" x14ac:dyDescent="0.25">
      <c r="A531" s="590" t="str">
        <f t="shared" si="107"/>
        <v/>
      </c>
      <c r="B531" s="275">
        <f t="shared" si="108"/>
        <v>0</v>
      </c>
      <c r="C531" s="14">
        <f t="shared" si="105"/>
        <v>0</v>
      </c>
      <c r="D531" s="14">
        <f t="shared" si="109"/>
        <v>0</v>
      </c>
      <c r="E531" s="14">
        <f t="shared" si="106"/>
        <v>0</v>
      </c>
      <c r="K531" s="275">
        <f t="shared" si="110"/>
        <v>0</v>
      </c>
      <c r="L531" s="386">
        <f t="shared" si="116"/>
        <v>0</v>
      </c>
      <c r="M531" s="386">
        <f t="shared" si="111"/>
        <v>0</v>
      </c>
      <c r="N531" s="590" t="str">
        <f>INDEX(tblSubjectToLoan[Date],ROW()-ROW(tblContractForDeed[#Headers]))</f>
        <v/>
      </c>
      <c r="O531" s="275">
        <f>IF(ROW()=ROW(tblContractForDeed[#Headers])+1,$O$6,IF(INDEX(tblContractForDeed[End Bal],ROW()-ROW(tblContractForDeed[#Headers])-1)&lt;0,0,INDEX(tblContractForDeed[End Bal],ROW()-ROW(tblContractForDeed[#Headers])-1)))</f>
        <v>0</v>
      </c>
      <c r="P531" s="445" t="str">
        <f>IF(tblContractForDeed[[#This Row],[Date]]="","",IF(tblContractForDeed[[#This Row],[Date]]&lt;cfdRateChangeDate,cfdRate1,cfdRate2))</f>
        <v/>
      </c>
      <c r="Q53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75">
        <f>SUM(INDEX(tblContractForDeed[Princ],1):INDEX(tblContractForDeed[Princ],ROW()-ROW(tblContractForDeed[#Headers])))</f>
        <v>75258.000000000029</v>
      </c>
      <c r="X531" s="275">
        <f>IF(tblContractForDeed[[#This Row],[Beg]]&lt;=0,0,tblContractForDeed[[#This Row],[Beg]]-tblContractForDeed[[#This Row],[Princ]])</f>
        <v>0</v>
      </c>
      <c r="Y53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54">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1" s="275">
        <f>IF(INDEX(tblContractForDeed[End Bal],ROW()-ROW(tblBuyerOutputs[#Headers]))&lt;=0,0,($O$6+IF(ROW()=ROW(tblBuyerOutputs[#Headers])+1,0,INDEX(tblBuyerOutputs[Cumul Appr],ROW()-ROW(tblBuyerOutputs[#Headers])-1)))*$O$2/12)</f>
        <v>0</v>
      </c>
      <c r="AE531" s="275">
        <f>IF(INDEX(tblContractForDeed[End Bal],ROW()-ROW(tblBuyerOutputs[#Headers]))&lt;=0,0,IF(ROW()=ROW(tblBuyerOutputs[#Headers])+1,0,INDEX(tblBuyerOutputs[Cumul Appr],ROW()-ROW(tblBuyerOutputs[#Headers])-1))+tblBuyerOutputs[[#This Row],[Monthly Appr]])</f>
        <v>0</v>
      </c>
      <c r="AF531" s="22"/>
      <c r="AG531" s="14"/>
      <c r="AL531"/>
      <c r="AM531" s="14"/>
      <c r="AO531" s="275"/>
      <c r="AQ531" s="14"/>
      <c r="AR531"/>
    </row>
    <row r="532" spans="1:44" x14ac:dyDescent="0.25">
      <c r="A532" s="590" t="str">
        <f t="shared" si="107"/>
        <v/>
      </c>
      <c r="B532" s="275">
        <f t="shared" si="108"/>
        <v>0</v>
      </c>
      <c r="C532" s="14">
        <f t="shared" ref="C532:C595" si="117">IF(A532="",0,IF(B532&lt;=0,0,IF(A532=subjectMortgageEndDate,B532+E532,MIN(subjectPayment,B532+E532))))</f>
        <v>0</v>
      </c>
      <c r="D532" s="14">
        <f t="shared" si="109"/>
        <v>0</v>
      </c>
      <c r="E532" s="14">
        <f t="shared" ref="E532:E595" si="118">IF(OR(A532="",B532&lt;=0),0,ROUND(B532*(subjectInterestRate/12),2))</f>
        <v>0</v>
      </c>
      <c r="K532" s="275">
        <f t="shared" si="110"/>
        <v>0</v>
      </c>
      <c r="L532" s="386">
        <f t="shared" si="116"/>
        <v>0</v>
      </c>
      <c r="M532" s="386">
        <f t="shared" si="111"/>
        <v>0</v>
      </c>
      <c r="N532" s="590" t="str">
        <f>INDEX(tblSubjectToLoan[Date],ROW()-ROW(tblContractForDeed[#Headers]))</f>
        <v/>
      </c>
      <c r="O532" s="275">
        <f>IF(ROW()=ROW(tblContractForDeed[#Headers])+1,$O$6,IF(INDEX(tblContractForDeed[End Bal],ROW()-ROW(tblContractForDeed[#Headers])-1)&lt;0,0,INDEX(tblContractForDeed[End Bal],ROW()-ROW(tblContractForDeed[#Headers])-1)))</f>
        <v>0</v>
      </c>
      <c r="P532" s="445" t="str">
        <f>IF(tblContractForDeed[[#This Row],[Date]]="","",IF(tblContractForDeed[[#This Row],[Date]]&lt;cfdRateChangeDate,cfdRate1,cfdRate2))</f>
        <v/>
      </c>
      <c r="Q5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75">
        <f>SUM(INDEX(tblContractForDeed[Princ],1):INDEX(tblContractForDeed[Princ],ROW()-ROW(tblContractForDeed[#Headers])))</f>
        <v>75258.000000000029</v>
      </c>
      <c r="X532" s="275">
        <f>IF(tblContractForDeed[[#This Row],[Beg]]&lt;=0,0,tblContractForDeed[[#This Row],[Beg]]-tblContractForDeed[[#This Row],[Princ]])</f>
        <v>0</v>
      </c>
      <c r="Y53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54">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2" s="275">
        <f>IF(INDEX(tblContractForDeed[End Bal],ROW()-ROW(tblBuyerOutputs[#Headers]))&lt;=0,0,($O$6+IF(ROW()=ROW(tblBuyerOutputs[#Headers])+1,0,INDEX(tblBuyerOutputs[Cumul Appr],ROW()-ROW(tblBuyerOutputs[#Headers])-1)))*$O$2/12)</f>
        <v>0</v>
      </c>
      <c r="AE532" s="275">
        <f>IF(INDEX(tblContractForDeed[End Bal],ROW()-ROW(tblBuyerOutputs[#Headers]))&lt;=0,0,IF(ROW()=ROW(tblBuyerOutputs[#Headers])+1,0,INDEX(tblBuyerOutputs[Cumul Appr],ROW()-ROW(tblBuyerOutputs[#Headers])-1))+tblBuyerOutputs[[#This Row],[Monthly Appr]])</f>
        <v>0</v>
      </c>
      <c r="AF532" s="22"/>
      <c r="AG532" s="14"/>
      <c r="AL532"/>
      <c r="AM532" s="14"/>
      <c r="AO532" s="275"/>
      <c r="AQ532" s="14"/>
      <c r="AR532"/>
    </row>
    <row r="533" spans="1:44" x14ac:dyDescent="0.25">
      <c r="A533" s="590" t="str">
        <f t="shared" ref="A533:A596" si="119">IF(OR(A532="",A532&gt;=subjectMortgageEndDate),"",EDATE(A532,1))</f>
        <v/>
      </c>
      <c r="B533" s="275">
        <f t="shared" ref="B533:B596" si="120">IF(A533="",0,MAX(0,K532))</f>
        <v>0</v>
      </c>
      <c r="C533" s="14">
        <f t="shared" si="117"/>
        <v>0</v>
      </c>
      <c r="D533" s="14">
        <f t="shared" ref="D533:D596" si="121">IF(C533=0,0,MAX(0,MIN(B533,C533-E533)))</f>
        <v>0</v>
      </c>
      <c r="E533" s="14">
        <f t="shared" si="118"/>
        <v>0</v>
      </c>
      <c r="K533" s="275">
        <f t="shared" ref="K533:K596" si="122">IF(A533="",0,IF(B533&lt;=0,0,MAX(0,B533-D533)))</f>
        <v>0</v>
      </c>
      <c r="L533" s="386">
        <f t="shared" si="116"/>
        <v>0</v>
      </c>
      <c r="M533" s="386">
        <f t="shared" ref="M533:M596" si="123">IF($A533&lt;&gt;"",M532+1,0)</f>
        <v>0</v>
      </c>
      <c r="N533" s="590" t="str">
        <f>INDEX(tblSubjectToLoan[Date],ROW()-ROW(tblContractForDeed[#Headers]))</f>
        <v/>
      </c>
      <c r="O533" s="275">
        <f>IF(ROW()=ROW(tblContractForDeed[#Headers])+1,$O$6,IF(INDEX(tblContractForDeed[End Bal],ROW()-ROW(tblContractForDeed[#Headers])-1)&lt;0,0,INDEX(tblContractForDeed[End Bal],ROW()-ROW(tblContractForDeed[#Headers])-1)))</f>
        <v>0</v>
      </c>
      <c r="P533" s="445" t="str">
        <f>IF(tblContractForDeed[[#This Row],[Date]]="","",IF(tblContractForDeed[[#This Row],[Date]]&lt;cfdRateChangeDate,cfdRate1,cfdRate2))</f>
        <v/>
      </c>
      <c r="Q5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75">
        <f>SUM(INDEX(tblContractForDeed[Princ],1):INDEX(tblContractForDeed[Princ],ROW()-ROW(tblContractForDeed[#Headers])))</f>
        <v>75258.000000000029</v>
      </c>
      <c r="X533" s="275">
        <f>IF(tblContractForDeed[[#This Row],[Beg]]&lt;=0,0,tblContractForDeed[[#This Row],[Beg]]-tblContractForDeed[[#This Row],[Princ]])</f>
        <v>0</v>
      </c>
      <c r="Y53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54">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3" s="275">
        <f>IF(INDEX(tblContractForDeed[End Bal],ROW()-ROW(tblBuyerOutputs[#Headers]))&lt;=0,0,($O$6+IF(ROW()=ROW(tblBuyerOutputs[#Headers])+1,0,INDEX(tblBuyerOutputs[Cumul Appr],ROW()-ROW(tblBuyerOutputs[#Headers])-1)))*$O$2/12)</f>
        <v>0</v>
      </c>
      <c r="AE533" s="275">
        <f>IF(INDEX(tblContractForDeed[End Bal],ROW()-ROW(tblBuyerOutputs[#Headers]))&lt;=0,0,IF(ROW()=ROW(tblBuyerOutputs[#Headers])+1,0,INDEX(tblBuyerOutputs[Cumul Appr],ROW()-ROW(tblBuyerOutputs[#Headers])-1))+tblBuyerOutputs[[#This Row],[Monthly Appr]])</f>
        <v>0</v>
      </c>
      <c r="AF533" s="22"/>
      <c r="AG533" s="14"/>
      <c r="AL533"/>
      <c r="AM533" s="14"/>
      <c r="AO533" s="275"/>
      <c r="AQ533" s="14"/>
      <c r="AR533"/>
    </row>
    <row r="534" spans="1:44" x14ac:dyDescent="0.25">
      <c r="A534" s="590" t="str">
        <f t="shared" si="119"/>
        <v/>
      </c>
      <c r="B534" s="275">
        <f t="shared" si="120"/>
        <v>0</v>
      </c>
      <c r="C534" s="14">
        <f t="shared" si="117"/>
        <v>0</v>
      </c>
      <c r="D534" s="14">
        <f t="shared" si="121"/>
        <v>0</v>
      </c>
      <c r="E534" s="14">
        <f t="shared" si="118"/>
        <v>0</v>
      </c>
      <c r="K534" s="275">
        <f t="shared" si="122"/>
        <v>0</v>
      </c>
      <c r="L534" s="386">
        <f t="shared" si="116"/>
        <v>0</v>
      </c>
      <c r="M534" s="386">
        <f t="shared" si="123"/>
        <v>0</v>
      </c>
      <c r="N534" s="590" t="str">
        <f>INDEX(tblSubjectToLoan[Date],ROW()-ROW(tblContractForDeed[#Headers]))</f>
        <v/>
      </c>
      <c r="O534" s="275">
        <f>IF(ROW()=ROW(tblContractForDeed[#Headers])+1,$O$6,IF(INDEX(tblContractForDeed[End Bal],ROW()-ROW(tblContractForDeed[#Headers])-1)&lt;0,0,INDEX(tblContractForDeed[End Bal],ROW()-ROW(tblContractForDeed[#Headers])-1)))</f>
        <v>0</v>
      </c>
      <c r="P534" s="445" t="str">
        <f>IF(tblContractForDeed[[#This Row],[Date]]="","",IF(tblContractForDeed[[#This Row],[Date]]&lt;cfdRateChangeDate,cfdRate1,cfdRate2))</f>
        <v/>
      </c>
      <c r="Q5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75">
        <f>SUM(INDEX(tblContractForDeed[Princ],1):INDEX(tblContractForDeed[Princ],ROW()-ROW(tblContractForDeed[#Headers])))</f>
        <v>75258.000000000029</v>
      </c>
      <c r="X534" s="275">
        <f>IF(tblContractForDeed[[#This Row],[Beg]]&lt;=0,0,tblContractForDeed[[#This Row],[Beg]]-tblContractForDeed[[#This Row],[Princ]])</f>
        <v>0</v>
      </c>
      <c r="Y53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54">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4" s="275">
        <f>IF(INDEX(tblContractForDeed[End Bal],ROW()-ROW(tblBuyerOutputs[#Headers]))&lt;=0,0,($O$6+IF(ROW()=ROW(tblBuyerOutputs[#Headers])+1,0,INDEX(tblBuyerOutputs[Cumul Appr],ROW()-ROW(tblBuyerOutputs[#Headers])-1)))*$O$2/12)</f>
        <v>0</v>
      </c>
      <c r="AE534" s="275">
        <f>IF(INDEX(tblContractForDeed[End Bal],ROW()-ROW(tblBuyerOutputs[#Headers]))&lt;=0,0,IF(ROW()=ROW(tblBuyerOutputs[#Headers])+1,0,INDEX(tblBuyerOutputs[Cumul Appr],ROW()-ROW(tblBuyerOutputs[#Headers])-1))+tblBuyerOutputs[[#This Row],[Monthly Appr]])</f>
        <v>0</v>
      </c>
      <c r="AF534" s="22"/>
      <c r="AG534" s="14"/>
      <c r="AL534"/>
      <c r="AM534" s="14"/>
      <c r="AO534" s="275"/>
      <c r="AQ534" s="14"/>
      <c r="AR534"/>
    </row>
    <row r="535" spans="1:44" ht="15.75" thickBot="1" x14ac:dyDescent="0.3">
      <c r="A535" s="591" t="str">
        <f t="shared" si="119"/>
        <v/>
      </c>
      <c r="B535" s="326">
        <f t="shared" si="120"/>
        <v>0</v>
      </c>
      <c r="C535" s="21">
        <f t="shared" si="117"/>
        <v>0</v>
      </c>
      <c r="D535" s="21">
        <f t="shared" si="121"/>
        <v>0</v>
      </c>
      <c r="E535" s="21">
        <f t="shared" si="118"/>
        <v>0</v>
      </c>
      <c r="F535" s="21"/>
      <c r="G535" s="21"/>
      <c r="H535" s="21"/>
      <c r="I535" s="326"/>
      <c r="J535" s="326"/>
      <c r="K535" s="326">
        <f t="shared" si="122"/>
        <v>0</v>
      </c>
      <c r="L535" s="387">
        <f t="shared" si="116"/>
        <v>0</v>
      </c>
      <c r="M535" s="387">
        <f t="shared" si="123"/>
        <v>0</v>
      </c>
      <c r="N535" s="591" t="str">
        <f>INDEX(tblSubjectToLoan[Date],ROW()-ROW(tblContractForDeed[#Headers]))</f>
        <v/>
      </c>
      <c r="O535" s="275">
        <f>IF(ROW()=ROW(tblContractForDeed[#Headers])+1,$O$6,IF(INDEX(tblContractForDeed[End Bal],ROW()-ROW(tblContractForDeed[#Headers])-1)&lt;0,0,INDEX(tblContractForDeed[End Bal],ROW()-ROW(tblContractForDeed[#Headers])-1)))</f>
        <v>0</v>
      </c>
      <c r="P535" s="445" t="str">
        <f>IF(tblContractForDeed[[#This Row],[Date]]="","",IF(tblContractForDeed[[#This Row],[Date]]&lt;cfdRateChangeDate,cfdRate1,cfdRate2))</f>
        <v/>
      </c>
      <c r="Q53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75">
        <f>SUM(INDEX(tblContractForDeed[Princ],1):INDEX(tblContractForDeed[Princ],ROW()-ROW(tblContractForDeed[#Headers])))</f>
        <v>75258.000000000029</v>
      </c>
      <c r="X535" s="275">
        <f>IF(tblContractForDeed[[#This Row],[Beg]]&lt;=0,0,tblContractForDeed[[#This Row],[Beg]]-tblContractForDeed[[#This Row],[Princ]])</f>
        <v>0</v>
      </c>
      <c r="Y53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54">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5" s="326">
        <f>IF(INDEX(tblContractForDeed[End Bal],ROW()-ROW(tblBuyerOutputs[#Headers]))&lt;=0,0,($O$6+IF(ROW()=ROW(tblBuyerOutputs[#Headers])+1,0,INDEX(tblBuyerOutputs[Cumul Appr],ROW()-ROW(tblBuyerOutputs[#Headers])-1)))*$O$2/12)</f>
        <v>0</v>
      </c>
      <c r="AE535" s="326">
        <f>IF(INDEX(tblContractForDeed[End Bal],ROW()-ROW(tblBuyerOutputs[#Headers]))&lt;=0,0,IF(ROW()=ROW(tblBuyerOutputs[#Headers])+1,0,INDEX(tblBuyerOutputs[Cumul Appr],ROW()-ROW(tblBuyerOutputs[#Headers])-1))+tblBuyerOutputs[[#This Row],[Monthly Appr]])</f>
        <v>0</v>
      </c>
      <c r="AF535" s="22"/>
      <c r="AG535" s="14"/>
      <c r="AL535"/>
      <c r="AM535" s="14"/>
      <c r="AO535" s="275"/>
      <c r="AQ535" s="21"/>
      <c r="AR535"/>
    </row>
    <row r="536" spans="1:44" x14ac:dyDescent="0.25">
      <c r="A536" s="590" t="str">
        <f t="shared" si="119"/>
        <v/>
      </c>
      <c r="B536" s="275">
        <f t="shared" si="120"/>
        <v>0</v>
      </c>
      <c r="C536" s="14">
        <f t="shared" si="117"/>
        <v>0</v>
      </c>
      <c r="D536" s="14">
        <f t="shared" si="121"/>
        <v>0</v>
      </c>
      <c r="E536" s="14">
        <f t="shared" si="118"/>
        <v>0</v>
      </c>
      <c r="K536" s="275">
        <f t="shared" si="122"/>
        <v>0</v>
      </c>
      <c r="L536" s="386">
        <f t="shared" si="116"/>
        <v>0</v>
      </c>
      <c r="M536" s="386">
        <f t="shared" si="123"/>
        <v>0</v>
      </c>
      <c r="N536" s="590" t="str">
        <f>INDEX(tblSubjectToLoan[Date],ROW()-ROW(tblContractForDeed[#Headers]))</f>
        <v/>
      </c>
      <c r="O536" s="275">
        <f>IF(ROW()=ROW(tblContractForDeed[#Headers])+1,$O$6,IF(INDEX(tblContractForDeed[End Bal],ROW()-ROW(tblContractForDeed[#Headers])-1)&lt;0,0,INDEX(tblContractForDeed[End Bal],ROW()-ROW(tblContractForDeed[#Headers])-1)))</f>
        <v>0</v>
      </c>
      <c r="P536" s="445" t="str">
        <f>IF(tblContractForDeed[[#This Row],[Date]]="","",IF(tblContractForDeed[[#This Row],[Date]]&lt;cfdRateChangeDate,cfdRate1,cfdRate2))</f>
        <v/>
      </c>
      <c r="Q5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75">
        <f>SUM(INDEX(tblContractForDeed[Princ],1):INDEX(tblContractForDeed[Princ],ROW()-ROW(tblContractForDeed[#Headers])))</f>
        <v>75258.000000000029</v>
      </c>
      <c r="X536" s="275">
        <f>IF(tblContractForDeed[[#This Row],[Beg]]&lt;=0,0,tblContractForDeed[[#This Row],[Beg]]-tblContractForDeed[[#This Row],[Princ]])</f>
        <v>0</v>
      </c>
      <c r="Y53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54">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6" s="275">
        <f>IF(INDEX(tblContractForDeed[End Bal],ROW()-ROW(tblBuyerOutputs[#Headers]))&lt;=0,0,($O$6+IF(ROW()=ROW(tblBuyerOutputs[#Headers])+1,0,INDEX(tblBuyerOutputs[Cumul Appr],ROW()-ROW(tblBuyerOutputs[#Headers])-1)))*$O$2/12)</f>
        <v>0</v>
      </c>
      <c r="AE536" s="275">
        <f>IF(INDEX(tblContractForDeed[End Bal],ROW()-ROW(tblBuyerOutputs[#Headers]))&lt;=0,0,IF(ROW()=ROW(tblBuyerOutputs[#Headers])+1,0,INDEX(tblBuyerOutputs[Cumul Appr],ROW()-ROW(tblBuyerOutputs[#Headers])-1))+tblBuyerOutputs[[#This Row],[Monthly Appr]])</f>
        <v>0</v>
      </c>
      <c r="AF536" s="22"/>
      <c r="AG536" s="14"/>
      <c r="AL536"/>
      <c r="AM536" s="14"/>
      <c r="AO536" s="275"/>
      <c r="AQ536" s="14"/>
      <c r="AR536"/>
    </row>
    <row r="537" spans="1:44" x14ac:dyDescent="0.25">
      <c r="A537" s="590" t="str">
        <f t="shared" si="119"/>
        <v/>
      </c>
      <c r="B537" s="275">
        <f t="shared" si="120"/>
        <v>0</v>
      </c>
      <c r="C537" s="14">
        <f t="shared" si="117"/>
        <v>0</v>
      </c>
      <c r="D537" s="14">
        <f t="shared" si="121"/>
        <v>0</v>
      </c>
      <c r="E537" s="14">
        <f t="shared" si="118"/>
        <v>0</v>
      </c>
      <c r="K537" s="275">
        <f t="shared" si="122"/>
        <v>0</v>
      </c>
      <c r="L537" s="386">
        <f t="shared" si="116"/>
        <v>0</v>
      </c>
      <c r="M537" s="386">
        <f t="shared" si="123"/>
        <v>0</v>
      </c>
      <c r="N537" s="590" t="str">
        <f>INDEX(tblSubjectToLoan[Date],ROW()-ROW(tblContractForDeed[#Headers]))</f>
        <v/>
      </c>
      <c r="O537" s="275">
        <f>IF(ROW()=ROW(tblContractForDeed[#Headers])+1,$O$6,IF(INDEX(tblContractForDeed[End Bal],ROW()-ROW(tblContractForDeed[#Headers])-1)&lt;0,0,INDEX(tblContractForDeed[End Bal],ROW()-ROW(tblContractForDeed[#Headers])-1)))</f>
        <v>0</v>
      </c>
      <c r="P537" s="445" t="str">
        <f>IF(tblContractForDeed[[#This Row],[Date]]="","",IF(tblContractForDeed[[#This Row],[Date]]&lt;cfdRateChangeDate,cfdRate1,cfdRate2))</f>
        <v/>
      </c>
      <c r="Q5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75">
        <f>SUM(INDEX(tblContractForDeed[Princ],1):INDEX(tblContractForDeed[Princ],ROW()-ROW(tblContractForDeed[#Headers])))</f>
        <v>75258.000000000029</v>
      </c>
      <c r="X537" s="275">
        <f>IF(tblContractForDeed[[#This Row],[Beg]]&lt;=0,0,tblContractForDeed[[#This Row],[Beg]]-tblContractForDeed[[#This Row],[Princ]])</f>
        <v>0</v>
      </c>
      <c r="Y53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54">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7" s="275">
        <f>IF(INDEX(tblContractForDeed[End Bal],ROW()-ROW(tblBuyerOutputs[#Headers]))&lt;=0,0,($O$6+IF(ROW()=ROW(tblBuyerOutputs[#Headers])+1,0,INDEX(tblBuyerOutputs[Cumul Appr],ROW()-ROW(tblBuyerOutputs[#Headers])-1)))*$O$2/12)</f>
        <v>0</v>
      </c>
      <c r="AE537" s="275">
        <f>IF(INDEX(tblContractForDeed[End Bal],ROW()-ROW(tblBuyerOutputs[#Headers]))&lt;=0,0,IF(ROW()=ROW(tblBuyerOutputs[#Headers])+1,0,INDEX(tblBuyerOutputs[Cumul Appr],ROW()-ROW(tblBuyerOutputs[#Headers])-1))+tblBuyerOutputs[[#This Row],[Monthly Appr]])</f>
        <v>0</v>
      </c>
      <c r="AF537" s="22"/>
      <c r="AG537" s="14"/>
      <c r="AL537"/>
      <c r="AM537" s="14"/>
      <c r="AO537" s="275"/>
      <c r="AQ537" s="14"/>
      <c r="AR537"/>
    </row>
    <row r="538" spans="1:44" x14ac:dyDescent="0.25">
      <c r="A538" s="590" t="str">
        <f t="shared" si="119"/>
        <v/>
      </c>
      <c r="B538" s="275">
        <f t="shared" si="120"/>
        <v>0</v>
      </c>
      <c r="C538" s="14">
        <f t="shared" si="117"/>
        <v>0</v>
      </c>
      <c r="D538" s="14">
        <f t="shared" si="121"/>
        <v>0</v>
      </c>
      <c r="E538" s="14">
        <f t="shared" si="118"/>
        <v>0</v>
      </c>
      <c r="K538" s="275">
        <f t="shared" si="122"/>
        <v>0</v>
      </c>
      <c r="L538" s="386">
        <f t="shared" si="116"/>
        <v>0</v>
      </c>
      <c r="M538" s="386">
        <f t="shared" si="123"/>
        <v>0</v>
      </c>
      <c r="N538" s="590" t="str">
        <f>INDEX(tblSubjectToLoan[Date],ROW()-ROW(tblContractForDeed[#Headers]))</f>
        <v/>
      </c>
      <c r="O538" s="275">
        <f>IF(ROW()=ROW(tblContractForDeed[#Headers])+1,$O$6,IF(INDEX(tblContractForDeed[End Bal],ROW()-ROW(tblContractForDeed[#Headers])-1)&lt;0,0,INDEX(tblContractForDeed[End Bal],ROW()-ROW(tblContractForDeed[#Headers])-1)))</f>
        <v>0</v>
      </c>
      <c r="P538" s="445" t="str">
        <f>IF(tblContractForDeed[[#This Row],[Date]]="","",IF(tblContractForDeed[[#This Row],[Date]]&lt;cfdRateChangeDate,cfdRate1,cfdRate2))</f>
        <v/>
      </c>
      <c r="Q5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75">
        <f>SUM(INDEX(tblContractForDeed[Princ],1):INDEX(tblContractForDeed[Princ],ROW()-ROW(tblContractForDeed[#Headers])))</f>
        <v>75258.000000000029</v>
      </c>
      <c r="X538" s="275">
        <f>IF(tblContractForDeed[[#This Row],[Beg]]&lt;=0,0,tblContractForDeed[[#This Row],[Beg]]-tblContractForDeed[[#This Row],[Princ]])</f>
        <v>0</v>
      </c>
      <c r="Y53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54">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8" s="275">
        <f>IF(INDEX(tblContractForDeed[End Bal],ROW()-ROW(tblBuyerOutputs[#Headers]))&lt;=0,0,($O$6+IF(ROW()=ROW(tblBuyerOutputs[#Headers])+1,0,INDEX(tblBuyerOutputs[Cumul Appr],ROW()-ROW(tblBuyerOutputs[#Headers])-1)))*$O$2/12)</f>
        <v>0</v>
      </c>
      <c r="AE538" s="275">
        <f>IF(INDEX(tblContractForDeed[End Bal],ROW()-ROW(tblBuyerOutputs[#Headers]))&lt;=0,0,IF(ROW()=ROW(tblBuyerOutputs[#Headers])+1,0,INDEX(tblBuyerOutputs[Cumul Appr],ROW()-ROW(tblBuyerOutputs[#Headers])-1))+tblBuyerOutputs[[#This Row],[Monthly Appr]])</f>
        <v>0</v>
      </c>
      <c r="AF538" s="22"/>
      <c r="AG538" s="14"/>
      <c r="AL538"/>
      <c r="AM538" s="14"/>
      <c r="AO538" s="275"/>
      <c r="AQ538" s="14"/>
      <c r="AR538"/>
    </row>
    <row r="539" spans="1:44" x14ac:dyDescent="0.25">
      <c r="A539" s="590" t="str">
        <f t="shared" si="119"/>
        <v/>
      </c>
      <c r="B539" s="275">
        <f t="shared" si="120"/>
        <v>0</v>
      </c>
      <c r="C539" s="14">
        <f t="shared" si="117"/>
        <v>0</v>
      </c>
      <c r="D539" s="14">
        <f t="shared" si="121"/>
        <v>0</v>
      </c>
      <c r="E539" s="14">
        <f t="shared" si="118"/>
        <v>0</v>
      </c>
      <c r="K539" s="275">
        <f t="shared" si="122"/>
        <v>0</v>
      </c>
      <c r="L539" s="386">
        <f t="shared" si="116"/>
        <v>0</v>
      </c>
      <c r="M539" s="386">
        <f t="shared" si="123"/>
        <v>0</v>
      </c>
      <c r="N539" s="590" t="str">
        <f>INDEX(tblSubjectToLoan[Date],ROW()-ROW(tblContractForDeed[#Headers]))</f>
        <v/>
      </c>
      <c r="O539" s="275">
        <f>IF(ROW()=ROW(tblContractForDeed[#Headers])+1,$O$6,IF(INDEX(tblContractForDeed[End Bal],ROW()-ROW(tblContractForDeed[#Headers])-1)&lt;0,0,INDEX(tblContractForDeed[End Bal],ROW()-ROW(tblContractForDeed[#Headers])-1)))</f>
        <v>0</v>
      </c>
      <c r="P539" s="445" t="str">
        <f>IF(tblContractForDeed[[#This Row],[Date]]="","",IF(tblContractForDeed[[#This Row],[Date]]&lt;cfdRateChangeDate,cfdRate1,cfdRate2))</f>
        <v/>
      </c>
      <c r="Q53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75">
        <f>SUM(INDEX(tblContractForDeed[Princ],1):INDEX(tblContractForDeed[Princ],ROW()-ROW(tblContractForDeed[#Headers])))</f>
        <v>75258.000000000029</v>
      </c>
      <c r="X539" s="275">
        <f>IF(tblContractForDeed[[#This Row],[Beg]]&lt;=0,0,tblContractForDeed[[#This Row],[Beg]]-tblContractForDeed[[#This Row],[Princ]])</f>
        <v>0</v>
      </c>
      <c r="Y53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54">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9" s="275">
        <f>IF(INDEX(tblContractForDeed[End Bal],ROW()-ROW(tblBuyerOutputs[#Headers]))&lt;=0,0,($O$6+IF(ROW()=ROW(tblBuyerOutputs[#Headers])+1,0,INDEX(tblBuyerOutputs[Cumul Appr],ROW()-ROW(tblBuyerOutputs[#Headers])-1)))*$O$2/12)</f>
        <v>0</v>
      </c>
      <c r="AE539" s="275">
        <f>IF(INDEX(tblContractForDeed[End Bal],ROW()-ROW(tblBuyerOutputs[#Headers]))&lt;=0,0,IF(ROW()=ROW(tblBuyerOutputs[#Headers])+1,0,INDEX(tblBuyerOutputs[Cumul Appr],ROW()-ROW(tblBuyerOutputs[#Headers])-1))+tblBuyerOutputs[[#This Row],[Monthly Appr]])</f>
        <v>0</v>
      </c>
      <c r="AF539" s="22"/>
      <c r="AG539" s="14"/>
      <c r="AL539"/>
      <c r="AM539" s="14"/>
      <c r="AO539" s="275"/>
      <c r="AQ539" s="14"/>
      <c r="AR539"/>
    </row>
    <row r="540" spans="1:44" x14ac:dyDescent="0.25">
      <c r="A540" s="590" t="str">
        <f t="shared" si="119"/>
        <v/>
      </c>
      <c r="B540" s="275">
        <f t="shared" si="120"/>
        <v>0</v>
      </c>
      <c r="C540" s="14">
        <f t="shared" si="117"/>
        <v>0</v>
      </c>
      <c r="D540" s="14">
        <f t="shared" si="121"/>
        <v>0</v>
      </c>
      <c r="E540" s="14">
        <f t="shared" si="118"/>
        <v>0</v>
      </c>
      <c r="K540" s="275">
        <f t="shared" si="122"/>
        <v>0</v>
      </c>
      <c r="L540" s="386">
        <f t="shared" si="116"/>
        <v>0</v>
      </c>
      <c r="M540" s="386">
        <f t="shared" si="123"/>
        <v>0</v>
      </c>
      <c r="N540" s="590" t="str">
        <f>INDEX(tblSubjectToLoan[Date],ROW()-ROW(tblContractForDeed[#Headers]))</f>
        <v/>
      </c>
      <c r="O540" s="275">
        <f>IF(ROW()=ROW(tblContractForDeed[#Headers])+1,$O$6,IF(INDEX(tblContractForDeed[End Bal],ROW()-ROW(tblContractForDeed[#Headers])-1)&lt;0,0,INDEX(tblContractForDeed[End Bal],ROW()-ROW(tblContractForDeed[#Headers])-1)))</f>
        <v>0</v>
      </c>
      <c r="P540" s="445" t="str">
        <f>IF(tblContractForDeed[[#This Row],[Date]]="","",IF(tblContractForDeed[[#This Row],[Date]]&lt;cfdRateChangeDate,cfdRate1,cfdRate2))</f>
        <v/>
      </c>
      <c r="Q5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75">
        <f>SUM(INDEX(tblContractForDeed[Princ],1):INDEX(tblContractForDeed[Princ],ROW()-ROW(tblContractForDeed[#Headers])))</f>
        <v>75258.000000000029</v>
      </c>
      <c r="X540" s="275">
        <f>IF(tblContractForDeed[[#This Row],[Beg]]&lt;=0,0,tblContractForDeed[[#This Row],[Beg]]-tblContractForDeed[[#This Row],[Princ]])</f>
        <v>0</v>
      </c>
      <c r="Y54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54">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0" s="275">
        <f>IF(INDEX(tblContractForDeed[End Bal],ROW()-ROW(tblBuyerOutputs[#Headers]))&lt;=0,0,($O$6+IF(ROW()=ROW(tblBuyerOutputs[#Headers])+1,0,INDEX(tblBuyerOutputs[Cumul Appr],ROW()-ROW(tblBuyerOutputs[#Headers])-1)))*$O$2/12)</f>
        <v>0</v>
      </c>
      <c r="AE540" s="275">
        <f>IF(INDEX(tblContractForDeed[End Bal],ROW()-ROW(tblBuyerOutputs[#Headers]))&lt;=0,0,IF(ROW()=ROW(tblBuyerOutputs[#Headers])+1,0,INDEX(tblBuyerOutputs[Cumul Appr],ROW()-ROW(tblBuyerOutputs[#Headers])-1))+tblBuyerOutputs[[#This Row],[Monthly Appr]])</f>
        <v>0</v>
      </c>
      <c r="AF540" s="22"/>
      <c r="AG540" s="14"/>
      <c r="AL540"/>
      <c r="AM540" s="14"/>
      <c r="AO540" s="275"/>
      <c r="AQ540" s="14"/>
      <c r="AR540"/>
    </row>
    <row r="541" spans="1:44" x14ac:dyDescent="0.25">
      <c r="A541" s="590" t="str">
        <f t="shared" si="119"/>
        <v/>
      </c>
      <c r="B541" s="275">
        <f t="shared" si="120"/>
        <v>0</v>
      </c>
      <c r="C541" s="14">
        <f t="shared" si="117"/>
        <v>0</v>
      </c>
      <c r="D541" s="14">
        <f t="shared" si="121"/>
        <v>0</v>
      </c>
      <c r="E541" s="14">
        <f t="shared" si="118"/>
        <v>0</v>
      </c>
      <c r="K541" s="275">
        <f t="shared" si="122"/>
        <v>0</v>
      </c>
      <c r="L541" s="386">
        <f t="shared" si="116"/>
        <v>0</v>
      </c>
      <c r="M541" s="386">
        <f t="shared" si="123"/>
        <v>0</v>
      </c>
      <c r="N541" s="590" t="str">
        <f>INDEX(tblSubjectToLoan[Date],ROW()-ROW(tblContractForDeed[#Headers]))</f>
        <v/>
      </c>
      <c r="O541" s="275">
        <f>IF(ROW()=ROW(tblContractForDeed[#Headers])+1,$O$6,IF(INDEX(tblContractForDeed[End Bal],ROW()-ROW(tblContractForDeed[#Headers])-1)&lt;0,0,INDEX(tblContractForDeed[End Bal],ROW()-ROW(tblContractForDeed[#Headers])-1)))</f>
        <v>0</v>
      </c>
      <c r="P541" s="445" t="str">
        <f>IF(tblContractForDeed[[#This Row],[Date]]="","",IF(tblContractForDeed[[#This Row],[Date]]&lt;cfdRateChangeDate,cfdRate1,cfdRate2))</f>
        <v/>
      </c>
      <c r="Q5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75">
        <f>SUM(INDEX(tblContractForDeed[Princ],1):INDEX(tblContractForDeed[Princ],ROW()-ROW(tblContractForDeed[#Headers])))</f>
        <v>75258.000000000029</v>
      </c>
      <c r="X541" s="275">
        <f>IF(tblContractForDeed[[#This Row],[Beg]]&lt;=0,0,tblContractForDeed[[#This Row],[Beg]]-tblContractForDeed[[#This Row],[Princ]])</f>
        <v>0</v>
      </c>
      <c r="Y54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54">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1" s="275">
        <f>IF(INDEX(tblContractForDeed[End Bal],ROW()-ROW(tblBuyerOutputs[#Headers]))&lt;=0,0,($O$6+IF(ROW()=ROW(tblBuyerOutputs[#Headers])+1,0,INDEX(tblBuyerOutputs[Cumul Appr],ROW()-ROW(tblBuyerOutputs[#Headers])-1)))*$O$2/12)</f>
        <v>0</v>
      </c>
      <c r="AE541" s="275">
        <f>IF(INDEX(tblContractForDeed[End Bal],ROW()-ROW(tblBuyerOutputs[#Headers]))&lt;=0,0,IF(ROW()=ROW(tblBuyerOutputs[#Headers])+1,0,INDEX(tblBuyerOutputs[Cumul Appr],ROW()-ROW(tblBuyerOutputs[#Headers])-1))+tblBuyerOutputs[[#This Row],[Monthly Appr]])</f>
        <v>0</v>
      </c>
      <c r="AF541" s="22"/>
      <c r="AG541" s="14"/>
      <c r="AL541"/>
      <c r="AM541" s="14"/>
      <c r="AO541" s="275"/>
      <c r="AQ541" s="14"/>
      <c r="AR541"/>
    </row>
    <row r="542" spans="1:44" x14ac:dyDescent="0.25">
      <c r="A542" s="590" t="str">
        <f t="shared" si="119"/>
        <v/>
      </c>
      <c r="B542" s="275">
        <f t="shared" si="120"/>
        <v>0</v>
      </c>
      <c r="C542" s="14">
        <f t="shared" si="117"/>
        <v>0</v>
      </c>
      <c r="D542" s="14">
        <f t="shared" si="121"/>
        <v>0</v>
      </c>
      <c r="E542" s="14">
        <f t="shared" si="118"/>
        <v>0</v>
      </c>
      <c r="K542" s="275">
        <f t="shared" si="122"/>
        <v>0</v>
      </c>
      <c r="L542" s="386">
        <f t="shared" si="116"/>
        <v>0</v>
      </c>
      <c r="M542" s="386">
        <f t="shared" si="123"/>
        <v>0</v>
      </c>
      <c r="N542" s="590" t="str">
        <f>INDEX(tblSubjectToLoan[Date],ROW()-ROW(tblContractForDeed[#Headers]))</f>
        <v/>
      </c>
      <c r="O542" s="275">
        <f>IF(ROW()=ROW(tblContractForDeed[#Headers])+1,$O$6,IF(INDEX(tblContractForDeed[End Bal],ROW()-ROW(tblContractForDeed[#Headers])-1)&lt;0,0,INDEX(tblContractForDeed[End Bal],ROW()-ROW(tblContractForDeed[#Headers])-1)))</f>
        <v>0</v>
      </c>
      <c r="P542" s="445" t="str">
        <f>IF(tblContractForDeed[[#This Row],[Date]]="","",IF(tblContractForDeed[[#This Row],[Date]]&lt;cfdRateChangeDate,cfdRate1,cfdRate2))</f>
        <v/>
      </c>
      <c r="Q5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75">
        <f>SUM(INDEX(tblContractForDeed[Princ],1):INDEX(tblContractForDeed[Princ],ROW()-ROW(tblContractForDeed[#Headers])))</f>
        <v>75258.000000000029</v>
      </c>
      <c r="X542" s="275">
        <f>IF(tblContractForDeed[[#This Row],[Beg]]&lt;=0,0,tblContractForDeed[[#This Row],[Beg]]-tblContractForDeed[[#This Row],[Princ]])</f>
        <v>0</v>
      </c>
      <c r="Y54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54">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2" s="275">
        <f>IF(INDEX(tblContractForDeed[End Bal],ROW()-ROW(tblBuyerOutputs[#Headers]))&lt;=0,0,($O$6+IF(ROW()=ROW(tblBuyerOutputs[#Headers])+1,0,INDEX(tblBuyerOutputs[Cumul Appr],ROW()-ROW(tblBuyerOutputs[#Headers])-1)))*$O$2/12)</f>
        <v>0</v>
      </c>
      <c r="AE542" s="275">
        <f>IF(INDEX(tblContractForDeed[End Bal],ROW()-ROW(tblBuyerOutputs[#Headers]))&lt;=0,0,IF(ROW()=ROW(tblBuyerOutputs[#Headers])+1,0,INDEX(tblBuyerOutputs[Cumul Appr],ROW()-ROW(tblBuyerOutputs[#Headers])-1))+tblBuyerOutputs[[#This Row],[Monthly Appr]])</f>
        <v>0</v>
      </c>
      <c r="AF542" s="22"/>
      <c r="AG542" s="14"/>
      <c r="AL542"/>
      <c r="AM542" s="14"/>
      <c r="AO542" s="275"/>
      <c r="AQ542" s="14"/>
      <c r="AR542"/>
    </row>
    <row r="543" spans="1:44" x14ac:dyDescent="0.25">
      <c r="A543" s="590" t="str">
        <f t="shared" si="119"/>
        <v/>
      </c>
      <c r="B543" s="275">
        <f t="shared" si="120"/>
        <v>0</v>
      </c>
      <c r="C543" s="14">
        <f t="shared" si="117"/>
        <v>0</v>
      </c>
      <c r="D543" s="14">
        <f t="shared" si="121"/>
        <v>0</v>
      </c>
      <c r="E543" s="14">
        <f t="shared" si="118"/>
        <v>0</v>
      </c>
      <c r="K543" s="275">
        <f t="shared" si="122"/>
        <v>0</v>
      </c>
      <c r="L543" s="386">
        <f t="shared" si="116"/>
        <v>0</v>
      </c>
      <c r="M543" s="386">
        <f t="shared" si="123"/>
        <v>0</v>
      </c>
      <c r="N543" s="590" t="str">
        <f>INDEX(tblSubjectToLoan[Date],ROW()-ROW(tblContractForDeed[#Headers]))</f>
        <v/>
      </c>
      <c r="O543" s="275">
        <f>IF(ROW()=ROW(tblContractForDeed[#Headers])+1,$O$6,IF(INDEX(tblContractForDeed[End Bal],ROW()-ROW(tblContractForDeed[#Headers])-1)&lt;0,0,INDEX(tblContractForDeed[End Bal],ROW()-ROW(tblContractForDeed[#Headers])-1)))</f>
        <v>0</v>
      </c>
      <c r="P543" s="445" t="str">
        <f>IF(tblContractForDeed[[#This Row],[Date]]="","",IF(tblContractForDeed[[#This Row],[Date]]&lt;cfdRateChangeDate,cfdRate1,cfdRate2))</f>
        <v/>
      </c>
      <c r="Q54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75">
        <f>SUM(INDEX(tblContractForDeed[Princ],1):INDEX(tblContractForDeed[Princ],ROW()-ROW(tblContractForDeed[#Headers])))</f>
        <v>75258.000000000029</v>
      </c>
      <c r="X543" s="275">
        <f>IF(tblContractForDeed[[#This Row],[Beg]]&lt;=0,0,tblContractForDeed[[#This Row],[Beg]]-tblContractForDeed[[#This Row],[Princ]])</f>
        <v>0</v>
      </c>
      <c r="Y54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54">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3" s="275">
        <f>IF(INDEX(tblContractForDeed[End Bal],ROW()-ROW(tblBuyerOutputs[#Headers]))&lt;=0,0,($O$6+IF(ROW()=ROW(tblBuyerOutputs[#Headers])+1,0,INDEX(tblBuyerOutputs[Cumul Appr],ROW()-ROW(tblBuyerOutputs[#Headers])-1)))*$O$2/12)</f>
        <v>0</v>
      </c>
      <c r="AE543" s="275">
        <f>IF(INDEX(tblContractForDeed[End Bal],ROW()-ROW(tblBuyerOutputs[#Headers]))&lt;=0,0,IF(ROW()=ROW(tblBuyerOutputs[#Headers])+1,0,INDEX(tblBuyerOutputs[Cumul Appr],ROW()-ROW(tblBuyerOutputs[#Headers])-1))+tblBuyerOutputs[[#This Row],[Monthly Appr]])</f>
        <v>0</v>
      </c>
      <c r="AF543" s="22"/>
      <c r="AG543" s="14"/>
      <c r="AL543"/>
      <c r="AM543" s="14"/>
      <c r="AO543" s="275"/>
      <c r="AQ543" s="14"/>
      <c r="AR543"/>
    </row>
    <row r="544" spans="1:44" x14ac:dyDescent="0.25">
      <c r="A544" s="590" t="str">
        <f t="shared" si="119"/>
        <v/>
      </c>
      <c r="B544" s="275">
        <f t="shared" si="120"/>
        <v>0</v>
      </c>
      <c r="C544" s="14">
        <f t="shared" si="117"/>
        <v>0</v>
      </c>
      <c r="D544" s="14">
        <f t="shared" si="121"/>
        <v>0</v>
      </c>
      <c r="E544" s="14">
        <f t="shared" si="118"/>
        <v>0</v>
      </c>
      <c r="K544" s="275">
        <f t="shared" si="122"/>
        <v>0</v>
      </c>
      <c r="L544" s="386">
        <f t="shared" si="116"/>
        <v>0</v>
      </c>
      <c r="M544" s="386">
        <f t="shared" si="123"/>
        <v>0</v>
      </c>
      <c r="N544" s="590" t="str">
        <f>INDEX(tblSubjectToLoan[Date],ROW()-ROW(tblContractForDeed[#Headers]))</f>
        <v/>
      </c>
      <c r="O544" s="275">
        <f>IF(ROW()=ROW(tblContractForDeed[#Headers])+1,$O$6,IF(INDEX(tblContractForDeed[End Bal],ROW()-ROW(tblContractForDeed[#Headers])-1)&lt;0,0,INDEX(tblContractForDeed[End Bal],ROW()-ROW(tblContractForDeed[#Headers])-1)))</f>
        <v>0</v>
      </c>
      <c r="P544" s="445" t="str">
        <f>IF(tblContractForDeed[[#This Row],[Date]]="","",IF(tblContractForDeed[[#This Row],[Date]]&lt;cfdRateChangeDate,cfdRate1,cfdRate2))</f>
        <v/>
      </c>
      <c r="Q5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75">
        <f>SUM(INDEX(tblContractForDeed[Princ],1):INDEX(tblContractForDeed[Princ],ROW()-ROW(tblContractForDeed[#Headers])))</f>
        <v>75258.000000000029</v>
      </c>
      <c r="X544" s="275">
        <f>IF(tblContractForDeed[[#This Row],[Beg]]&lt;=0,0,tblContractForDeed[[#This Row],[Beg]]-tblContractForDeed[[#This Row],[Princ]])</f>
        <v>0</v>
      </c>
      <c r="Y54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54">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4" s="275">
        <f>IF(INDEX(tblContractForDeed[End Bal],ROW()-ROW(tblBuyerOutputs[#Headers]))&lt;=0,0,($O$6+IF(ROW()=ROW(tblBuyerOutputs[#Headers])+1,0,INDEX(tblBuyerOutputs[Cumul Appr],ROW()-ROW(tblBuyerOutputs[#Headers])-1)))*$O$2/12)</f>
        <v>0</v>
      </c>
      <c r="AE544" s="275">
        <f>IF(INDEX(tblContractForDeed[End Bal],ROW()-ROW(tblBuyerOutputs[#Headers]))&lt;=0,0,IF(ROW()=ROW(tblBuyerOutputs[#Headers])+1,0,INDEX(tblBuyerOutputs[Cumul Appr],ROW()-ROW(tblBuyerOutputs[#Headers])-1))+tblBuyerOutputs[[#This Row],[Monthly Appr]])</f>
        <v>0</v>
      </c>
      <c r="AF544" s="22"/>
      <c r="AG544" s="14"/>
      <c r="AL544"/>
      <c r="AM544" s="14"/>
      <c r="AO544" s="275"/>
      <c r="AQ544" s="14"/>
      <c r="AR544"/>
    </row>
    <row r="545" spans="1:44" x14ac:dyDescent="0.25">
      <c r="A545" s="590" t="str">
        <f t="shared" si="119"/>
        <v/>
      </c>
      <c r="B545" s="275">
        <f t="shared" si="120"/>
        <v>0</v>
      </c>
      <c r="C545" s="14">
        <f t="shared" si="117"/>
        <v>0</v>
      </c>
      <c r="D545" s="14">
        <f t="shared" si="121"/>
        <v>0</v>
      </c>
      <c r="E545" s="14">
        <f t="shared" si="118"/>
        <v>0</v>
      </c>
      <c r="K545" s="275">
        <f t="shared" si="122"/>
        <v>0</v>
      </c>
      <c r="L545" s="386">
        <f t="shared" si="116"/>
        <v>0</v>
      </c>
      <c r="M545" s="386">
        <f t="shared" si="123"/>
        <v>0</v>
      </c>
      <c r="N545" s="590" t="str">
        <f>INDEX(tblSubjectToLoan[Date],ROW()-ROW(tblContractForDeed[#Headers]))</f>
        <v/>
      </c>
      <c r="O545" s="275">
        <f>IF(ROW()=ROW(tblContractForDeed[#Headers])+1,$O$6,IF(INDEX(tblContractForDeed[End Bal],ROW()-ROW(tblContractForDeed[#Headers])-1)&lt;0,0,INDEX(tblContractForDeed[End Bal],ROW()-ROW(tblContractForDeed[#Headers])-1)))</f>
        <v>0</v>
      </c>
      <c r="P545" s="445" t="str">
        <f>IF(tblContractForDeed[[#This Row],[Date]]="","",IF(tblContractForDeed[[#This Row],[Date]]&lt;cfdRateChangeDate,cfdRate1,cfdRate2))</f>
        <v/>
      </c>
      <c r="Q5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75">
        <f>SUM(INDEX(tblContractForDeed[Princ],1):INDEX(tblContractForDeed[Princ],ROW()-ROW(tblContractForDeed[#Headers])))</f>
        <v>75258.000000000029</v>
      </c>
      <c r="X545" s="275">
        <f>IF(tblContractForDeed[[#This Row],[Beg]]&lt;=0,0,tblContractForDeed[[#This Row],[Beg]]-tblContractForDeed[[#This Row],[Princ]])</f>
        <v>0</v>
      </c>
      <c r="Y54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54">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5" s="275">
        <f>IF(INDEX(tblContractForDeed[End Bal],ROW()-ROW(tblBuyerOutputs[#Headers]))&lt;=0,0,($O$6+IF(ROW()=ROW(tblBuyerOutputs[#Headers])+1,0,INDEX(tblBuyerOutputs[Cumul Appr],ROW()-ROW(tblBuyerOutputs[#Headers])-1)))*$O$2/12)</f>
        <v>0</v>
      </c>
      <c r="AE545" s="275">
        <f>IF(INDEX(tblContractForDeed[End Bal],ROW()-ROW(tblBuyerOutputs[#Headers]))&lt;=0,0,IF(ROW()=ROW(tblBuyerOutputs[#Headers])+1,0,INDEX(tblBuyerOutputs[Cumul Appr],ROW()-ROW(tblBuyerOutputs[#Headers])-1))+tblBuyerOutputs[[#This Row],[Monthly Appr]])</f>
        <v>0</v>
      </c>
      <c r="AF545" s="22"/>
      <c r="AG545" s="14"/>
      <c r="AL545"/>
      <c r="AM545" s="14"/>
      <c r="AO545" s="275"/>
      <c r="AQ545" s="14"/>
      <c r="AR545"/>
    </row>
    <row r="546" spans="1:44" x14ac:dyDescent="0.25">
      <c r="A546" s="590" t="str">
        <f t="shared" si="119"/>
        <v/>
      </c>
      <c r="B546" s="275">
        <f t="shared" si="120"/>
        <v>0</v>
      </c>
      <c r="C546" s="14">
        <f t="shared" si="117"/>
        <v>0</v>
      </c>
      <c r="D546" s="14">
        <f t="shared" si="121"/>
        <v>0</v>
      </c>
      <c r="E546" s="14">
        <f t="shared" si="118"/>
        <v>0</v>
      </c>
      <c r="K546" s="275">
        <f t="shared" si="122"/>
        <v>0</v>
      </c>
      <c r="L546" s="386">
        <f t="shared" si="116"/>
        <v>0</v>
      </c>
      <c r="M546" s="386">
        <f t="shared" si="123"/>
        <v>0</v>
      </c>
      <c r="N546" s="590" t="str">
        <f>INDEX(tblSubjectToLoan[Date],ROW()-ROW(tblContractForDeed[#Headers]))</f>
        <v/>
      </c>
      <c r="O546" s="275">
        <f>IF(ROW()=ROW(tblContractForDeed[#Headers])+1,$O$6,IF(INDEX(tblContractForDeed[End Bal],ROW()-ROW(tblContractForDeed[#Headers])-1)&lt;0,0,INDEX(tblContractForDeed[End Bal],ROW()-ROW(tblContractForDeed[#Headers])-1)))</f>
        <v>0</v>
      </c>
      <c r="P546" s="445" t="str">
        <f>IF(tblContractForDeed[[#This Row],[Date]]="","",IF(tblContractForDeed[[#This Row],[Date]]&lt;cfdRateChangeDate,cfdRate1,cfdRate2))</f>
        <v/>
      </c>
      <c r="Q5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75">
        <f>SUM(INDEX(tblContractForDeed[Princ],1):INDEX(tblContractForDeed[Princ],ROW()-ROW(tblContractForDeed[#Headers])))</f>
        <v>75258.000000000029</v>
      </c>
      <c r="X546" s="275">
        <f>IF(tblContractForDeed[[#This Row],[Beg]]&lt;=0,0,tblContractForDeed[[#This Row],[Beg]]-tblContractForDeed[[#This Row],[Princ]])</f>
        <v>0</v>
      </c>
      <c r="Y54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54">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6" s="275">
        <f>IF(INDEX(tblContractForDeed[End Bal],ROW()-ROW(tblBuyerOutputs[#Headers]))&lt;=0,0,($O$6+IF(ROW()=ROW(tblBuyerOutputs[#Headers])+1,0,INDEX(tblBuyerOutputs[Cumul Appr],ROW()-ROW(tblBuyerOutputs[#Headers])-1)))*$O$2/12)</f>
        <v>0</v>
      </c>
      <c r="AE546" s="275">
        <f>IF(INDEX(tblContractForDeed[End Bal],ROW()-ROW(tblBuyerOutputs[#Headers]))&lt;=0,0,IF(ROW()=ROW(tblBuyerOutputs[#Headers])+1,0,INDEX(tblBuyerOutputs[Cumul Appr],ROW()-ROW(tblBuyerOutputs[#Headers])-1))+tblBuyerOutputs[[#This Row],[Monthly Appr]])</f>
        <v>0</v>
      </c>
      <c r="AF546" s="22"/>
      <c r="AG546" s="14"/>
      <c r="AL546"/>
      <c r="AM546" s="14"/>
      <c r="AO546" s="275"/>
      <c r="AQ546" s="14"/>
      <c r="AR546"/>
    </row>
    <row r="547" spans="1:44" ht="15.75" thickBot="1" x14ac:dyDescent="0.3">
      <c r="A547" s="591" t="str">
        <f t="shared" si="119"/>
        <v/>
      </c>
      <c r="B547" s="326">
        <f t="shared" si="120"/>
        <v>0</v>
      </c>
      <c r="C547" s="21">
        <f t="shared" si="117"/>
        <v>0</v>
      </c>
      <c r="D547" s="21">
        <f t="shared" si="121"/>
        <v>0</v>
      </c>
      <c r="E547" s="21">
        <f t="shared" si="118"/>
        <v>0</v>
      </c>
      <c r="F547" s="21"/>
      <c r="G547" s="21"/>
      <c r="H547" s="21"/>
      <c r="I547" s="326"/>
      <c r="J547" s="326"/>
      <c r="K547" s="326">
        <f t="shared" si="122"/>
        <v>0</v>
      </c>
      <c r="L547" s="387">
        <f t="shared" si="116"/>
        <v>0</v>
      </c>
      <c r="M547" s="387">
        <f t="shared" si="123"/>
        <v>0</v>
      </c>
      <c r="N547" s="591" t="str">
        <f>INDEX(tblSubjectToLoan[Date],ROW()-ROW(tblContractForDeed[#Headers]))</f>
        <v/>
      </c>
      <c r="O547" s="275">
        <f>IF(ROW()=ROW(tblContractForDeed[#Headers])+1,$O$6,IF(INDEX(tblContractForDeed[End Bal],ROW()-ROW(tblContractForDeed[#Headers])-1)&lt;0,0,INDEX(tblContractForDeed[End Bal],ROW()-ROW(tblContractForDeed[#Headers])-1)))</f>
        <v>0</v>
      </c>
      <c r="P547" s="445" t="str">
        <f>IF(tblContractForDeed[[#This Row],[Date]]="","",IF(tblContractForDeed[[#This Row],[Date]]&lt;cfdRateChangeDate,cfdRate1,cfdRate2))</f>
        <v/>
      </c>
      <c r="Q54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75">
        <f>SUM(INDEX(tblContractForDeed[Princ],1):INDEX(tblContractForDeed[Princ],ROW()-ROW(tblContractForDeed[#Headers])))</f>
        <v>75258.000000000029</v>
      </c>
      <c r="X547" s="275">
        <f>IF(tblContractForDeed[[#This Row],[Beg]]&lt;=0,0,tblContractForDeed[[#This Row],[Beg]]-tblContractForDeed[[#This Row],[Princ]])</f>
        <v>0</v>
      </c>
      <c r="Y54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54">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7" s="326">
        <f>IF(INDEX(tblContractForDeed[End Bal],ROW()-ROW(tblBuyerOutputs[#Headers]))&lt;=0,0,($O$6+IF(ROW()=ROW(tblBuyerOutputs[#Headers])+1,0,INDEX(tblBuyerOutputs[Cumul Appr],ROW()-ROW(tblBuyerOutputs[#Headers])-1)))*$O$2/12)</f>
        <v>0</v>
      </c>
      <c r="AE547" s="326">
        <f>IF(INDEX(tblContractForDeed[End Bal],ROW()-ROW(tblBuyerOutputs[#Headers]))&lt;=0,0,IF(ROW()=ROW(tblBuyerOutputs[#Headers])+1,0,INDEX(tblBuyerOutputs[Cumul Appr],ROW()-ROW(tblBuyerOutputs[#Headers])-1))+tblBuyerOutputs[[#This Row],[Monthly Appr]])</f>
        <v>0</v>
      </c>
      <c r="AF547" s="22"/>
      <c r="AG547" s="14"/>
      <c r="AL547"/>
      <c r="AM547" s="14"/>
      <c r="AO547" s="275"/>
      <c r="AQ547" s="21"/>
      <c r="AR547"/>
    </row>
    <row r="548" spans="1:44" x14ac:dyDescent="0.25">
      <c r="A548" s="590" t="str">
        <f t="shared" si="119"/>
        <v/>
      </c>
      <c r="B548" s="275">
        <f t="shared" si="120"/>
        <v>0</v>
      </c>
      <c r="C548" s="14">
        <f t="shared" si="117"/>
        <v>0</v>
      </c>
      <c r="D548" s="14">
        <f t="shared" si="121"/>
        <v>0</v>
      </c>
      <c r="E548" s="14">
        <f t="shared" si="118"/>
        <v>0</v>
      </c>
      <c r="K548" s="275">
        <f t="shared" si="122"/>
        <v>0</v>
      </c>
      <c r="L548" s="386">
        <f t="shared" si="116"/>
        <v>0</v>
      </c>
      <c r="M548" s="386">
        <f t="shared" si="123"/>
        <v>0</v>
      </c>
      <c r="N548" s="590" t="str">
        <f>INDEX(tblSubjectToLoan[Date],ROW()-ROW(tblContractForDeed[#Headers]))</f>
        <v/>
      </c>
      <c r="O548" s="275">
        <f>IF(ROW()=ROW(tblContractForDeed[#Headers])+1,$O$6,IF(INDEX(tblContractForDeed[End Bal],ROW()-ROW(tblContractForDeed[#Headers])-1)&lt;0,0,INDEX(tblContractForDeed[End Bal],ROW()-ROW(tblContractForDeed[#Headers])-1)))</f>
        <v>0</v>
      </c>
      <c r="P548" s="445" t="str">
        <f>IF(tblContractForDeed[[#This Row],[Date]]="","",IF(tblContractForDeed[[#This Row],[Date]]&lt;cfdRateChangeDate,cfdRate1,cfdRate2))</f>
        <v/>
      </c>
      <c r="Q5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75">
        <f>SUM(INDEX(tblContractForDeed[Princ],1):INDEX(tblContractForDeed[Princ],ROW()-ROW(tblContractForDeed[#Headers])))</f>
        <v>75258.000000000029</v>
      </c>
      <c r="X548" s="275">
        <f>IF(tblContractForDeed[[#This Row],[Beg]]&lt;=0,0,tblContractForDeed[[#This Row],[Beg]]-tblContractForDeed[[#This Row],[Princ]])</f>
        <v>0</v>
      </c>
      <c r="Y54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54">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8" s="275">
        <f>IF(INDEX(tblContractForDeed[End Bal],ROW()-ROW(tblBuyerOutputs[#Headers]))&lt;=0,0,($O$6+IF(ROW()=ROW(tblBuyerOutputs[#Headers])+1,0,INDEX(tblBuyerOutputs[Cumul Appr],ROW()-ROW(tblBuyerOutputs[#Headers])-1)))*$O$2/12)</f>
        <v>0</v>
      </c>
      <c r="AE548" s="275">
        <f>IF(INDEX(tblContractForDeed[End Bal],ROW()-ROW(tblBuyerOutputs[#Headers]))&lt;=0,0,IF(ROW()=ROW(tblBuyerOutputs[#Headers])+1,0,INDEX(tblBuyerOutputs[Cumul Appr],ROW()-ROW(tblBuyerOutputs[#Headers])-1))+tblBuyerOutputs[[#This Row],[Monthly Appr]])</f>
        <v>0</v>
      </c>
      <c r="AF548" s="22"/>
      <c r="AG548" s="14"/>
      <c r="AL548"/>
      <c r="AM548" s="14"/>
      <c r="AO548" s="275"/>
      <c r="AQ548" s="14"/>
      <c r="AR548"/>
    </row>
    <row r="549" spans="1:44" x14ac:dyDescent="0.25">
      <c r="A549" s="590" t="str">
        <f t="shared" si="119"/>
        <v/>
      </c>
      <c r="B549" s="275">
        <f t="shared" si="120"/>
        <v>0</v>
      </c>
      <c r="C549" s="14">
        <f t="shared" si="117"/>
        <v>0</v>
      </c>
      <c r="D549" s="14">
        <f t="shared" si="121"/>
        <v>0</v>
      </c>
      <c r="E549" s="14">
        <f t="shared" si="118"/>
        <v>0</v>
      </c>
      <c r="K549" s="275">
        <f t="shared" si="122"/>
        <v>0</v>
      </c>
      <c r="L549" s="386">
        <f t="shared" si="116"/>
        <v>0</v>
      </c>
      <c r="M549" s="386">
        <f t="shared" si="123"/>
        <v>0</v>
      </c>
      <c r="N549" s="590" t="str">
        <f>INDEX(tblSubjectToLoan[Date],ROW()-ROW(tblContractForDeed[#Headers]))</f>
        <v/>
      </c>
      <c r="O549" s="275">
        <f>IF(ROW()=ROW(tblContractForDeed[#Headers])+1,$O$6,IF(INDEX(tblContractForDeed[End Bal],ROW()-ROW(tblContractForDeed[#Headers])-1)&lt;0,0,INDEX(tblContractForDeed[End Bal],ROW()-ROW(tblContractForDeed[#Headers])-1)))</f>
        <v>0</v>
      </c>
      <c r="P549" s="445" t="str">
        <f>IF(tblContractForDeed[[#This Row],[Date]]="","",IF(tblContractForDeed[[#This Row],[Date]]&lt;cfdRateChangeDate,cfdRate1,cfdRate2))</f>
        <v/>
      </c>
      <c r="Q5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75">
        <f>SUM(INDEX(tblContractForDeed[Princ],1):INDEX(tblContractForDeed[Princ],ROW()-ROW(tblContractForDeed[#Headers])))</f>
        <v>75258.000000000029</v>
      </c>
      <c r="X549" s="275">
        <f>IF(tblContractForDeed[[#This Row],[Beg]]&lt;=0,0,tblContractForDeed[[#This Row],[Beg]]-tblContractForDeed[[#This Row],[Princ]])</f>
        <v>0</v>
      </c>
      <c r="Y54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75">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9" s="275">
        <f>IF(INDEX(tblContractForDeed[End Bal],ROW()-ROW(tblBuyerOutputs[#Headers]))&lt;=0,0,($O$6+IF(ROW()=ROW(tblBuyerOutputs[#Headers])+1,0,INDEX(tblBuyerOutputs[Cumul Appr],ROW()-ROW(tblBuyerOutputs[#Headers])-1)))*$O$2/12)</f>
        <v>0</v>
      </c>
      <c r="AE549" s="275">
        <f>IF(INDEX(tblContractForDeed[End Bal],ROW()-ROW(tblBuyerOutputs[#Headers]))&lt;=0,0,IF(ROW()=ROW(tblBuyerOutputs[#Headers])+1,0,INDEX(tblBuyerOutputs[Cumul Appr],ROW()-ROW(tblBuyerOutputs[#Headers])-1))+tblBuyerOutputs[[#This Row],[Monthly Appr]])</f>
        <v>0</v>
      </c>
      <c r="AF549" s="22"/>
      <c r="AG549" s="14"/>
      <c r="AL549"/>
      <c r="AM549" s="14"/>
      <c r="AO549" s="275"/>
      <c r="AQ549" s="14"/>
      <c r="AR549"/>
    </row>
    <row r="550" spans="1:44" x14ac:dyDescent="0.25">
      <c r="A550" s="590" t="str">
        <f t="shared" si="119"/>
        <v/>
      </c>
      <c r="B550" s="275">
        <f t="shared" si="120"/>
        <v>0</v>
      </c>
      <c r="C550" s="14">
        <f t="shared" si="117"/>
        <v>0</v>
      </c>
      <c r="D550" s="14">
        <f t="shared" si="121"/>
        <v>0</v>
      </c>
      <c r="E550" s="14">
        <f t="shared" si="118"/>
        <v>0</v>
      </c>
      <c r="K550" s="275">
        <f t="shared" si="122"/>
        <v>0</v>
      </c>
      <c r="L550" s="386">
        <f t="shared" si="116"/>
        <v>0</v>
      </c>
      <c r="M550" s="386">
        <f t="shared" si="123"/>
        <v>0</v>
      </c>
      <c r="N550" s="590" t="str">
        <f>INDEX(tblSubjectToLoan[Date],ROW()-ROW(tblContractForDeed[#Headers]))</f>
        <v/>
      </c>
      <c r="O550" s="275">
        <f>IF(ROW()=ROW(tblContractForDeed[#Headers])+1,$O$6,IF(INDEX(tblContractForDeed[End Bal],ROW()-ROW(tblContractForDeed[#Headers])-1)&lt;0,0,INDEX(tblContractForDeed[End Bal],ROW()-ROW(tblContractForDeed[#Headers])-1)))</f>
        <v>0</v>
      </c>
      <c r="P550" s="445" t="str">
        <f>IF(tblContractForDeed[[#This Row],[Date]]="","",IF(tblContractForDeed[[#This Row],[Date]]&lt;cfdRateChangeDate,cfdRate1,cfdRate2))</f>
        <v/>
      </c>
      <c r="Q5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75">
        <f>SUM(INDEX(tblContractForDeed[Princ],1):INDEX(tblContractForDeed[Princ],ROW()-ROW(tblContractForDeed[#Headers])))</f>
        <v>75258.000000000029</v>
      </c>
      <c r="X550" s="275">
        <f>IF(tblContractForDeed[[#This Row],[Beg]]&lt;=0,0,tblContractForDeed[[#This Row],[Beg]]-tblContractForDeed[[#This Row],[Princ]])</f>
        <v>0</v>
      </c>
      <c r="Y55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75">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0" s="275">
        <f>IF(INDEX(tblContractForDeed[End Bal],ROW()-ROW(tblBuyerOutputs[#Headers]))&lt;=0,0,($O$6+IF(ROW()=ROW(tblBuyerOutputs[#Headers])+1,0,INDEX(tblBuyerOutputs[Cumul Appr],ROW()-ROW(tblBuyerOutputs[#Headers])-1)))*$O$2/12)</f>
        <v>0</v>
      </c>
      <c r="AE550" s="275">
        <f>IF(INDEX(tblContractForDeed[End Bal],ROW()-ROW(tblBuyerOutputs[#Headers]))&lt;=0,0,IF(ROW()=ROW(tblBuyerOutputs[#Headers])+1,0,INDEX(tblBuyerOutputs[Cumul Appr],ROW()-ROW(tblBuyerOutputs[#Headers])-1))+tblBuyerOutputs[[#This Row],[Monthly Appr]])</f>
        <v>0</v>
      </c>
      <c r="AF550" s="22"/>
      <c r="AG550" s="14"/>
      <c r="AL550"/>
      <c r="AM550" s="14"/>
      <c r="AO550" s="275"/>
      <c r="AQ550" s="14"/>
      <c r="AR550"/>
    </row>
    <row r="551" spans="1:44" x14ac:dyDescent="0.25">
      <c r="A551" s="590" t="str">
        <f t="shared" si="119"/>
        <v/>
      </c>
      <c r="B551" s="275">
        <f t="shared" si="120"/>
        <v>0</v>
      </c>
      <c r="C551" s="14">
        <f t="shared" si="117"/>
        <v>0</v>
      </c>
      <c r="D551" s="14">
        <f t="shared" si="121"/>
        <v>0</v>
      </c>
      <c r="E551" s="14">
        <f t="shared" si="118"/>
        <v>0</v>
      </c>
      <c r="K551" s="275">
        <f t="shared" si="122"/>
        <v>0</v>
      </c>
      <c r="L551" s="386">
        <f t="shared" si="116"/>
        <v>0</v>
      </c>
      <c r="M551" s="386">
        <f t="shared" si="123"/>
        <v>0</v>
      </c>
      <c r="N551" s="590" t="str">
        <f>INDEX(tblSubjectToLoan[Date],ROW()-ROW(tblContractForDeed[#Headers]))</f>
        <v/>
      </c>
      <c r="O551" s="275">
        <f>IF(ROW()=ROW(tblContractForDeed[#Headers])+1,$O$6,IF(INDEX(tblContractForDeed[End Bal],ROW()-ROW(tblContractForDeed[#Headers])-1)&lt;0,0,INDEX(tblContractForDeed[End Bal],ROW()-ROW(tblContractForDeed[#Headers])-1)))</f>
        <v>0</v>
      </c>
      <c r="P551" s="445" t="str">
        <f>IF(tblContractForDeed[[#This Row],[Date]]="","",IF(tblContractForDeed[[#This Row],[Date]]&lt;cfdRateChangeDate,cfdRate1,cfdRate2))</f>
        <v/>
      </c>
      <c r="Q55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75">
        <f>SUM(INDEX(tblContractForDeed[Princ],1):INDEX(tblContractForDeed[Princ],ROW()-ROW(tblContractForDeed[#Headers])))</f>
        <v>75258.000000000029</v>
      </c>
      <c r="X551" s="275">
        <f>IF(tblContractForDeed[[#This Row],[Beg]]&lt;=0,0,tblContractForDeed[[#This Row],[Beg]]-tblContractForDeed[[#This Row],[Princ]])</f>
        <v>0</v>
      </c>
      <c r="Y55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75">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1" s="275">
        <f>IF(INDEX(tblContractForDeed[End Bal],ROW()-ROW(tblBuyerOutputs[#Headers]))&lt;=0,0,($O$6+IF(ROW()=ROW(tblBuyerOutputs[#Headers])+1,0,INDEX(tblBuyerOutputs[Cumul Appr],ROW()-ROW(tblBuyerOutputs[#Headers])-1)))*$O$2/12)</f>
        <v>0</v>
      </c>
      <c r="AE551" s="275">
        <f>IF(INDEX(tblContractForDeed[End Bal],ROW()-ROW(tblBuyerOutputs[#Headers]))&lt;=0,0,IF(ROW()=ROW(tblBuyerOutputs[#Headers])+1,0,INDEX(tblBuyerOutputs[Cumul Appr],ROW()-ROW(tblBuyerOutputs[#Headers])-1))+tblBuyerOutputs[[#This Row],[Monthly Appr]])</f>
        <v>0</v>
      </c>
      <c r="AF551" s="22"/>
      <c r="AG551" s="14"/>
      <c r="AL551"/>
      <c r="AM551" s="14"/>
      <c r="AO551" s="275"/>
      <c r="AQ551" s="14"/>
      <c r="AR551"/>
    </row>
    <row r="552" spans="1:44" x14ac:dyDescent="0.25">
      <c r="A552" s="590" t="str">
        <f t="shared" si="119"/>
        <v/>
      </c>
      <c r="B552" s="275">
        <f t="shared" si="120"/>
        <v>0</v>
      </c>
      <c r="C552" s="14">
        <f t="shared" si="117"/>
        <v>0</v>
      </c>
      <c r="D552" s="14">
        <f t="shared" si="121"/>
        <v>0</v>
      </c>
      <c r="E552" s="14">
        <f t="shared" si="118"/>
        <v>0</v>
      </c>
      <c r="K552" s="275">
        <f t="shared" si="122"/>
        <v>0</v>
      </c>
      <c r="L552" s="386">
        <f t="shared" si="116"/>
        <v>0</v>
      </c>
      <c r="M552" s="386">
        <f t="shared" si="123"/>
        <v>0</v>
      </c>
      <c r="N552" s="590" t="str">
        <f>INDEX(tblSubjectToLoan[Date],ROW()-ROW(tblContractForDeed[#Headers]))</f>
        <v/>
      </c>
      <c r="O552" s="275">
        <f>IF(ROW()=ROW(tblContractForDeed[#Headers])+1,$O$6,IF(INDEX(tblContractForDeed[End Bal],ROW()-ROW(tblContractForDeed[#Headers])-1)&lt;0,0,INDEX(tblContractForDeed[End Bal],ROW()-ROW(tblContractForDeed[#Headers])-1)))</f>
        <v>0</v>
      </c>
      <c r="P552" s="445" t="str">
        <f>IF(tblContractForDeed[[#This Row],[Date]]="","",IF(tblContractForDeed[[#This Row],[Date]]&lt;cfdRateChangeDate,cfdRate1,cfdRate2))</f>
        <v/>
      </c>
      <c r="Q5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75">
        <f>SUM(INDEX(tblContractForDeed[Princ],1):INDEX(tblContractForDeed[Princ],ROW()-ROW(tblContractForDeed[#Headers])))</f>
        <v>75258.000000000029</v>
      </c>
      <c r="X552" s="275">
        <f>IF(tblContractForDeed[[#This Row],[Beg]]&lt;=0,0,tblContractForDeed[[#This Row],[Beg]]-tblContractForDeed[[#This Row],[Princ]])</f>
        <v>0</v>
      </c>
      <c r="Y55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75">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2" s="275">
        <f>IF(INDEX(tblContractForDeed[End Bal],ROW()-ROW(tblBuyerOutputs[#Headers]))&lt;=0,0,($O$6+IF(ROW()=ROW(tblBuyerOutputs[#Headers])+1,0,INDEX(tblBuyerOutputs[Cumul Appr],ROW()-ROW(tblBuyerOutputs[#Headers])-1)))*$O$2/12)</f>
        <v>0</v>
      </c>
      <c r="AE552" s="275">
        <f>IF(INDEX(tblContractForDeed[End Bal],ROW()-ROW(tblBuyerOutputs[#Headers]))&lt;=0,0,IF(ROW()=ROW(tblBuyerOutputs[#Headers])+1,0,INDEX(tblBuyerOutputs[Cumul Appr],ROW()-ROW(tblBuyerOutputs[#Headers])-1))+tblBuyerOutputs[[#This Row],[Monthly Appr]])</f>
        <v>0</v>
      </c>
      <c r="AF552" s="22"/>
      <c r="AG552" s="14"/>
      <c r="AL552"/>
      <c r="AM552" s="14"/>
      <c r="AO552" s="275"/>
      <c r="AQ552" s="14"/>
      <c r="AR552"/>
    </row>
    <row r="553" spans="1:44" x14ac:dyDescent="0.25">
      <c r="A553" s="590" t="str">
        <f t="shared" si="119"/>
        <v/>
      </c>
      <c r="B553" s="275">
        <f t="shared" si="120"/>
        <v>0</v>
      </c>
      <c r="C553" s="14">
        <f t="shared" si="117"/>
        <v>0</v>
      </c>
      <c r="D553" s="14">
        <f t="shared" si="121"/>
        <v>0</v>
      </c>
      <c r="E553" s="14">
        <f t="shared" si="118"/>
        <v>0</v>
      </c>
      <c r="K553" s="275">
        <f t="shared" si="122"/>
        <v>0</v>
      </c>
      <c r="L553" s="386">
        <f t="shared" si="116"/>
        <v>0</v>
      </c>
      <c r="M553" s="386">
        <f t="shared" si="123"/>
        <v>0</v>
      </c>
      <c r="N553" s="590" t="str">
        <f>INDEX(tblSubjectToLoan[Date],ROW()-ROW(tblContractForDeed[#Headers]))</f>
        <v/>
      </c>
      <c r="O553" s="275">
        <f>IF(ROW()=ROW(tblContractForDeed[#Headers])+1,$O$6,IF(INDEX(tblContractForDeed[End Bal],ROW()-ROW(tblContractForDeed[#Headers])-1)&lt;0,0,INDEX(tblContractForDeed[End Bal],ROW()-ROW(tblContractForDeed[#Headers])-1)))</f>
        <v>0</v>
      </c>
      <c r="P553" s="445" t="str">
        <f>IF(tblContractForDeed[[#This Row],[Date]]="","",IF(tblContractForDeed[[#This Row],[Date]]&lt;cfdRateChangeDate,cfdRate1,cfdRate2))</f>
        <v/>
      </c>
      <c r="Q5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75">
        <f>SUM(INDEX(tblContractForDeed[Princ],1):INDEX(tblContractForDeed[Princ],ROW()-ROW(tblContractForDeed[#Headers])))</f>
        <v>75258.000000000029</v>
      </c>
      <c r="X553" s="275">
        <f>IF(tblContractForDeed[[#This Row],[Beg]]&lt;=0,0,tblContractForDeed[[#This Row],[Beg]]-tblContractForDeed[[#This Row],[Princ]])</f>
        <v>0</v>
      </c>
      <c r="Y55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75">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3" s="275">
        <f>IF(INDEX(tblContractForDeed[End Bal],ROW()-ROW(tblBuyerOutputs[#Headers]))&lt;=0,0,($O$6+IF(ROW()=ROW(tblBuyerOutputs[#Headers])+1,0,INDEX(tblBuyerOutputs[Cumul Appr],ROW()-ROW(tblBuyerOutputs[#Headers])-1)))*$O$2/12)</f>
        <v>0</v>
      </c>
      <c r="AE553" s="275">
        <f>IF(INDEX(tblContractForDeed[End Bal],ROW()-ROW(tblBuyerOutputs[#Headers]))&lt;=0,0,IF(ROW()=ROW(tblBuyerOutputs[#Headers])+1,0,INDEX(tblBuyerOutputs[Cumul Appr],ROW()-ROW(tblBuyerOutputs[#Headers])-1))+tblBuyerOutputs[[#This Row],[Monthly Appr]])</f>
        <v>0</v>
      </c>
      <c r="AF553" s="22"/>
      <c r="AG553" s="14"/>
      <c r="AL553"/>
      <c r="AM553" s="14"/>
      <c r="AO553" s="275"/>
      <c r="AQ553" s="14"/>
      <c r="AR553"/>
    </row>
    <row r="554" spans="1:44" x14ac:dyDescent="0.25">
      <c r="A554" s="590" t="str">
        <f t="shared" si="119"/>
        <v/>
      </c>
      <c r="B554" s="275">
        <f t="shared" si="120"/>
        <v>0</v>
      </c>
      <c r="C554" s="14">
        <f t="shared" si="117"/>
        <v>0</v>
      </c>
      <c r="D554" s="14">
        <f t="shared" si="121"/>
        <v>0</v>
      </c>
      <c r="E554" s="14">
        <f t="shared" si="118"/>
        <v>0</v>
      </c>
      <c r="K554" s="275">
        <f t="shared" si="122"/>
        <v>0</v>
      </c>
      <c r="L554" s="386">
        <f t="shared" si="116"/>
        <v>0</v>
      </c>
      <c r="M554" s="386">
        <f t="shared" si="123"/>
        <v>0</v>
      </c>
      <c r="N554" s="590" t="str">
        <f>INDEX(tblSubjectToLoan[Date],ROW()-ROW(tblContractForDeed[#Headers]))</f>
        <v/>
      </c>
      <c r="O554" s="275">
        <f>IF(ROW()=ROW(tblContractForDeed[#Headers])+1,$O$6,IF(INDEX(tblContractForDeed[End Bal],ROW()-ROW(tblContractForDeed[#Headers])-1)&lt;0,0,INDEX(tblContractForDeed[End Bal],ROW()-ROW(tblContractForDeed[#Headers])-1)))</f>
        <v>0</v>
      </c>
      <c r="P554" s="445" t="str">
        <f>IF(tblContractForDeed[[#This Row],[Date]]="","",IF(tblContractForDeed[[#This Row],[Date]]&lt;cfdRateChangeDate,cfdRate1,cfdRate2))</f>
        <v/>
      </c>
      <c r="Q5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75">
        <f>SUM(INDEX(tblContractForDeed[Princ],1):INDEX(tblContractForDeed[Princ],ROW()-ROW(tblContractForDeed[#Headers])))</f>
        <v>75258.000000000029</v>
      </c>
      <c r="X554" s="275">
        <f>IF(tblContractForDeed[[#This Row],[Beg]]&lt;=0,0,tblContractForDeed[[#This Row],[Beg]]-tblContractForDeed[[#This Row],[Princ]])</f>
        <v>0</v>
      </c>
      <c r="Y55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75">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4" s="275">
        <f>IF(INDEX(tblContractForDeed[End Bal],ROW()-ROW(tblBuyerOutputs[#Headers]))&lt;=0,0,($O$6+IF(ROW()=ROW(tblBuyerOutputs[#Headers])+1,0,INDEX(tblBuyerOutputs[Cumul Appr],ROW()-ROW(tblBuyerOutputs[#Headers])-1)))*$O$2/12)</f>
        <v>0</v>
      </c>
      <c r="AE554" s="275">
        <f>IF(INDEX(tblContractForDeed[End Bal],ROW()-ROW(tblBuyerOutputs[#Headers]))&lt;=0,0,IF(ROW()=ROW(tblBuyerOutputs[#Headers])+1,0,INDEX(tblBuyerOutputs[Cumul Appr],ROW()-ROW(tblBuyerOutputs[#Headers])-1))+tblBuyerOutputs[[#This Row],[Monthly Appr]])</f>
        <v>0</v>
      </c>
      <c r="AF554" s="22"/>
      <c r="AG554" s="14"/>
      <c r="AL554"/>
      <c r="AM554" s="14"/>
      <c r="AO554" s="275"/>
      <c r="AQ554" s="14"/>
      <c r="AR554"/>
    </row>
    <row r="555" spans="1:44" x14ac:dyDescent="0.25">
      <c r="A555" s="590" t="str">
        <f t="shared" si="119"/>
        <v/>
      </c>
      <c r="B555" s="275">
        <f t="shared" si="120"/>
        <v>0</v>
      </c>
      <c r="C555" s="14">
        <f t="shared" si="117"/>
        <v>0</v>
      </c>
      <c r="D555" s="14">
        <f t="shared" si="121"/>
        <v>0</v>
      </c>
      <c r="E555" s="14">
        <f t="shared" si="118"/>
        <v>0</v>
      </c>
      <c r="K555" s="275">
        <f t="shared" si="122"/>
        <v>0</v>
      </c>
      <c r="L555" s="386">
        <f t="shared" si="116"/>
        <v>0</v>
      </c>
      <c r="M555" s="386">
        <f t="shared" si="123"/>
        <v>0</v>
      </c>
      <c r="N555" s="590" t="str">
        <f>INDEX(tblSubjectToLoan[Date],ROW()-ROW(tblContractForDeed[#Headers]))</f>
        <v/>
      </c>
      <c r="O555" s="275">
        <f>IF(ROW()=ROW(tblContractForDeed[#Headers])+1,$O$6,IF(INDEX(tblContractForDeed[End Bal],ROW()-ROW(tblContractForDeed[#Headers])-1)&lt;0,0,INDEX(tblContractForDeed[End Bal],ROW()-ROW(tblContractForDeed[#Headers])-1)))</f>
        <v>0</v>
      </c>
      <c r="P555" s="445" t="str">
        <f>IF(tblContractForDeed[[#This Row],[Date]]="","",IF(tblContractForDeed[[#This Row],[Date]]&lt;cfdRateChangeDate,cfdRate1,cfdRate2))</f>
        <v/>
      </c>
      <c r="Q55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75">
        <f>SUM(INDEX(tblContractForDeed[Princ],1):INDEX(tblContractForDeed[Princ],ROW()-ROW(tblContractForDeed[#Headers])))</f>
        <v>75258.000000000029</v>
      </c>
      <c r="X555" s="275">
        <f>IF(tblContractForDeed[[#This Row],[Beg]]&lt;=0,0,tblContractForDeed[[#This Row],[Beg]]-tblContractForDeed[[#This Row],[Princ]])</f>
        <v>0</v>
      </c>
      <c r="Y55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75">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5" s="275">
        <f>IF(INDEX(tblContractForDeed[End Bal],ROW()-ROW(tblBuyerOutputs[#Headers]))&lt;=0,0,($O$6+IF(ROW()=ROW(tblBuyerOutputs[#Headers])+1,0,INDEX(tblBuyerOutputs[Cumul Appr],ROW()-ROW(tblBuyerOutputs[#Headers])-1)))*$O$2/12)</f>
        <v>0</v>
      </c>
      <c r="AE555" s="275">
        <f>IF(INDEX(tblContractForDeed[End Bal],ROW()-ROW(tblBuyerOutputs[#Headers]))&lt;=0,0,IF(ROW()=ROW(tblBuyerOutputs[#Headers])+1,0,INDEX(tblBuyerOutputs[Cumul Appr],ROW()-ROW(tblBuyerOutputs[#Headers])-1))+tblBuyerOutputs[[#This Row],[Monthly Appr]])</f>
        <v>0</v>
      </c>
      <c r="AF555" s="22"/>
      <c r="AG555" s="14"/>
      <c r="AL555"/>
      <c r="AM555" s="14"/>
      <c r="AO555" s="275"/>
      <c r="AQ555" s="14"/>
      <c r="AR555"/>
    </row>
    <row r="556" spans="1:44" x14ac:dyDescent="0.25">
      <c r="A556" s="590" t="str">
        <f t="shared" si="119"/>
        <v/>
      </c>
      <c r="B556" s="275">
        <f t="shared" si="120"/>
        <v>0</v>
      </c>
      <c r="C556" s="14">
        <f t="shared" si="117"/>
        <v>0</v>
      </c>
      <c r="D556" s="14">
        <f t="shared" si="121"/>
        <v>0</v>
      </c>
      <c r="E556" s="14">
        <f t="shared" si="118"/>
        <v>0</v>
      </c>
      <c r="K556" s="275">
        <f t="shared" si="122"/>
        <v>0</v>
      </c>
      <c r="L556" s="386">
        <f t="shared" si="116"/>
        <v>0</v>
      </c>
      <c r="M556" s="386">
        <f t="shared" si="123"/>
        <v>0</v>
      </c>
      <c r="N556" s="590" t="str">
        <f>INDEX(tblSubjectToLoan[Date],ROW()-ROW(tblContractForDeed[#Headers]))</f>
        <v/>
      </c>
      <c r="O556" s="275">
        <f>IF(ROW()=ROW(tblContractForDeed[#Headers])+1,$O$6,IF(INDEX(tblContractForDeed[End Bal],ROW()-ROW(tblContractForDeed[#Headers])-1)&lt;0,0,INDEX(tblContractForDeed[End Bal],ROW()-ROW(tblContractForDeed[#Headers])-1)))</f>
        <v>0</v>
      </c>
      <c r="P556" s="445" t="str">
        <f>IF(tblContractForDeed[[#This Row],[Date]]="","",IF(tblContractForDeed[[#This Row],[Date]]&lt;cfdRateChangeDate,cfdRate1,cfdRate2))</f>
        <v/>
      </c>
      <c r="Q5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75">
        <f>SUM(INDEX(tblContractForDeed[Princ],1):INDEX(tblContractForDeed[Princ],ROW()-ROW(tblContractForDeed[#Headers])))</f>
        <v>75258.000000000029</v>
      </c>
      <c r="X556" s="275">
        <f>IF(tblContractForDeed[[#This Row],[Beg]]&lt;=0,0,tblContractForDeed[[#This Row],[Beg]]-tblContractForDeed[[#This Row],[Princ]])</f>
        <v>0</v>
      </c>
      <c r="Y55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75">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6" s="275">
        <f>IF(INDEX(tblContractForDeed[End Bal],ROW()-ROW(tblBuyerOutputs[#Headers]))&lt;=0,0,($O$6+IF(ROW()=ROW(tblBuyerOutputs[#Headers])+1,0,INDEX(tblBuyerOutputs[Cumul Appr],ROW()-ROW(tblBuyerOutputs[#Headers])-1)))*$O$2/12)</f>
        <v>0</v>
      </c>
      <c r="AE556" s="275">
        <f>IF(INDEX(tblContractForDeed[End Bal],ROW()-ROW(tblBuyerOutputs[#Headers]))&lt;=0,0,IF(ROW()=ROW(tblBuyerOutputs[#Headers])+1,0,INDEX(tblBuyerOutputs[Cumul Appr],ROW()-ROW(tblBuyerOutputs[#Headers])-1))+tblBuyerOutputs[[#This Row],[Monthly Appr]])</f>
        <v>0</v>
      </c>
      <c r="AF556" s="22"/>
      <c r="AG556" s="14"/>
      <c r="AL556"/>
      <c r="AM556" s="14"/>
      <c r="AO556" s="275"/>
      <c r="AQ556" s="14"/>
      <c r="AR556"/>
    </row>
    <row r="557" spans="1:44" x14ac:dyDescent="0.25">
      <c r="A557" s="590" t="str">
        <f t="shared" si="119"/>
        <v/>
      </c>
      <c r="B557" s="275">
        <f t="shared" si="120"/>
        <v>0</v>
      </c>
      <c r="C557" s="14">
        <f t="shared" si="117"/>
        <v>0</v>
      </c>
      <c r="D557" s="14">
        <f t="shared" si="121"/>
        <v>0</v>
      </c>
      <c r="E557" s="14">
        <f t="shared" si="118"/>
        <v>0</v>
      </c>
      <c r="K557" s="275">
        <f t="shared" si="122"/>
        <v>0</v>
      </c>
      <c r="L557" s="386">
        <f t="shared" si="116"/>
        <v>0</v>
      </c>
      <c r="M557" s="386">
        <f t="shared" si="123"/>
        <v>0</v>
      </c>
      <c r="N557" s="590" t="str">
        <f>INDEX(tblSubjectToLoan[Date],ROW()-ROW(tblContractForDeed[#Headers]))</f>
        <v/>
      </c>
      <c r="O557" s="275">
        <f>IF(ROW()=ROW(tblContractForDeed[#Headers])+1,$O$6,IF(INDEX(tblContractForDeed[End Bal],ROW()-ROW(tblContractForDeed[#Headers])-1)&lt;0,0,INDEX(tblContractForDeed[End Bal],ROW()-ROW(tblContractForDeed[#Headers])-1)))</f>
        <v>0</v>
      </c>
      <c r="P557" s="445" t="str">
        <f>IF(tblContractForDeed[[#This Row],[Date]]="","",IF(tblContractForDeed[[#This Row],[Date]]&lt;cfdRateChangeDate,cfdRate1,cfdRate2))</f>
        <v/>
      </c>
      <c r="Q5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75">
        <f>SUM(INDEX(tblContractForDeed[Princ],1):INDEX(tblContractForDeed[Princ],ROW()-ROW(tblContractForDeed[#Headers])))</f>
        <v>75258.000000000029</v>
      </c>
      <c r="X557" s="275">
        <f>IF(tblContractForDeed[[#This Row],[Beg]]&lt;=0,0,tblContractForDeed[[#This Row],[Beg]]-tblContractForDeed[[#This Row],[Princ]])</f>
        <v>0</v>
      </c>
      <c r="Y55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75">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7" s="275">
        <f>IF(INDEX(tblContractForDeed[End Bal],ROW()-ROW(tblBuyerOutputs[#Headers]))&lt;=0,0,($O$6+IF(ROW()=ROW(tblBuyerOutputs[#Headers])+1,0,INDEX(tblBuyerOutputs[Cumul Appr],ROW()-ROW(tblBuyerOutputs[#Headers])-1)))*$O$2/12)</f>
        <v>0</v>
      </c>
      <c r="AE557" s="275">
        <f>IF(INDEX(tblContractForDeed[End Bal],ROW()-ROW(tblBuyerOutputs[#Headers]))&lt;=0,0,IF(ROW()=ROW(tblBuyerOutputs[#Headers])+1,0,INDEX(tblBuyerOutputs[Cumul Appr],ROW()-ROW(tblBuyerOutputs[#Headers])-1))+tblBuyerOutputs[[#This Row],[Monthly Appr]])</f>
        <v>0</v>
      </c>
      <c r="AF557" s="22"/>
      <c r="AG557" s="14"/>
      <c r="AL557"/>
      <c r="AM557" s="14"/>
      <c r="AO557" s="275"/>
      <c r="AQ557" s="14"/>
      <c r="AR557"/>
    </row>
    <row r="558" spans="1:44" x14ac:dyDescent="0.25">
      <c r="A558" s="590" t="str">
        <f t="shared" si="119"/>
        <v/>
      </c>
      <c r="B558" s="275">
        <f t="shared" si="120"/>
        <v>0</v>
      </c>
      <c r="C558" s="14">
        <f t="shared" si="117"/>
        <v>0</v>
      </c>
      <c r="D558" s="14">
        <f t="shared" si="121"/>
        <v>0</v>
      </c>
      <c r="E558" s="14">
        <f t="shared" si="118"/>
        <v>0</v>
      </c>
      <c r="K558" s="275">
        <f t="shared" si="122"/>
        <v>0</v>
      </c>
      <c r="L558" s="386">
        <f t="shared" si="116"/>
        <v>0</v>
      </c>
      <c r="M558" s="386">
        <f t="shared" si="123"/>
        <v>0</v>
      </c>
      <c r="N558" s="590" t="str">
        <f>INDEX(tblSubjectToLoan[Date],ROW()-ROW(tblContractForDeed[#Headers]))</f>
        <v/>
      </c>
      <c r="O558" s="275">
        <f>IF(ROW()=ROW(tblContractForDeed[#Headers])+1,$O$6,IF(INDEX(tblContractForDeed[End Bal],ROW()-ROW(tblContractForDeed[#Headers])-1)&lt;0,0,INDEX(tblContractForDeed[End Bal],ROW()-ROW(tblContractForDeed[#Headers])-1)))</f>
        <v>0</v>
      </c>
      <c r="P558" s="445" t="str">
        <f>IF(tblContractForDeed[[#This Row],[Date]]="","",IF(tblContractForDeed[[#This Row],[Date]]&lt;cfdRateChangeDate,cfdRate1,cfdRate2))</f>
        <v/>
      </c>
      <c r="Q5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75">
        <f>SUM(INDEX(tblContractForDeed[Princ],1):INDEX(tblContractForDeed[Princ],ROW()-ROW(tblContractForDeed[#Headers])))</f>
        <v>75258.000000000029</v>
      </c>
      <c r="X558" s="275">
        <f>IF(tblContractForDeed[[#This Row],[Beg]]&lt;=0,0,tblContractForDeed[[#This Row],[Beg]]-tblContractForDeed[[#This Row],[Princ]])</f>
        <v>0</v>
      </c>
      <c r="Y55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75">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8" s="275">
        <f>IF(INDEX(tblContractForDeed[End Bal],ROW()-ROW(tblBuyerOutputs[#Headers]))&lt;=0,0,($O$6+IF(ROW()=ROW(tblBuyerOutputs[#Headers])+1,0,INDEX(tblBuyerOutputs[Cumul Appr],ROW()-ROW(tblBuyerOutputs[#Headers])-1)))*$O$2/12)</f>
        <v>0</v>
      </c>
      <c r="AE558" s="275">
        <f>IF(INDEX(tblContractForDeed[End Bal],ROW()-ROW(tblBuyerOutputs[#Headers]))&lt;=0,0,IF(ROW()=ROW(tblBuyerOutputs[#Headers])+1,0,INDEX(tblBuyerOutputs[Cumul Appr],ROW()-ROW(tblBuyerOutputs[#Headers])-1))+tblBuyerOutputs[[#This Row],[Monthly Appr]])</f>
        <v>0</v>
      </c>
      <c r="AF558" s="22"/>
      <c r="AG558" s="14"/>
      <c r="AL558"/>
      <c r="AM558" s="14"/>
      <c r="AO558" s="275"/>
      <c r="AQ558" s="14"/>
      <c r="AR558"/>
    </row>
    <row r="559" spans="1:44" ht="15.75" thickBot="1" x14ac:dyDescent="0.3">
      <c r="A559" s="591" t="str">
        <f t="shared" si="119"/>
        <v/>
      </c>
      <c r="B559" s="326">
        <f t="shared" si="120"/>
        <v>0</v>
      </c>
      <c r="C559" s="21">
        <f t="shared" si="117"/>
        <v>0</v>
      </c>
      <c r="D559" s="21">
        <f t="shared" si="121"/>
        <v>0</v>
      </c>
      <c r="E559" s="21">
        <f t="shared" si="118"/>
        <v>0</v>
      </c>
      <c r="F559" s="21"/>
      <c r="G559" s="21"/>
      <c r="H559" s="21"/>
      <c r="I559" s="326"/>
      <c r="J559" s="326"/>
      <c r="K559" s="326">
        <f t="shared" si="122"/>
        <v>0</v>
      </c>
      <c r="L559" s="387">
        <f t="shared" si="116"/>
        <v>0</v>
      </c>
      <c r="M559" s="387">
        <f t="shared" si="123"/>
        <v>0</v>
      </c>
      <c r="N559" s="591" t="str">
        <f>INDEX(tblSubjectToLoan[Date],ROW()-ROW(tblContractForDeed[#Headers]))</f>
        <v/>
      </c>
      <c r="O559" s="326">
        <f>IF(ROW()=ROW(tblContractForDeed[#Headers])+1,$O$6,IF(INDEX(tblContractForDeed[End Bal],ROW()-ROW(tblContractForDeed[#Headers])-1)&lt;0,0,INDEX(tblContractForDeed[End Bal],ROW()-ROW(tblContractForDeed[#Headers])-1)))</f>
        <v>0</v>
      </c>
      <c r="P559" s="445" t="str">
        <f>IF(tblContractForDeed[[#This Row],[Date]]="","",IF(tblContractForDeed[[#This Row],[Date]]&lt;cfdRateChangeDate,cfdRate1,cfdRate2))</f>
        <v/>
      </c>
      <c r="Q55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26">
        <f>SUM(INDEX(tblContractForDeed[Princ],1):INDEX(tblContractForDeed[Princ],ROW()-ROW(tblContractForDeed[#Headers])))</f>
        <v>75258.000000000029</v>
      </c>
      <c r="X559" s="326">
        <f>IF(tblContractForDeed[[#This Row],[Beg]]&lt;=0,0,tblContractForDeed[[#This Row],[Beg]]-tblContractForDeed[[#This Row],[Princ]])</f>
        <v>0</v>
      </c>
      <c r="Y55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26">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9" s="326">
        <f>IF(INDEX(tblContractForDeed[End Bal],ROW()-ROW(tblBuyerOutputs[#Headers]))&lt;=0,0,($O$6+IF(ROW()=ROW(tblBuyerOutputs[#Headers])+1,0,INDEX(tblBuyerOutputs[Cumul Appr],ROW()-ROW(tblBuyerOutputs[#Headers])-1)))*$O$2/12)</f>
        <v>0</v>
      </c>
      <c r="AE559" s="326">
        <f>IF(INDEX(tblContractForDeed[End Bal],ROW()-ROW(tblBuyerOutputs[#Headers]))&lt;=0,0,IF(ROW()=ROW(tblBuyerOutputs[#Headers])+1,0,INDEX(tblBuyerOutputs[Cumul Appr],ROW()-ROW(tblBuyerOutputs[#Headers])-1))+tblBuyerOutputs[[#This Row],[Monthly Appr]])</f>
        <v>0</v>
      </c>
      <c r="AF559" s="22"/>
      <c r="AG559" s="14"/>
      <c r="AL559"/>
      <c r="AM559" s="14"/>
      <c r="AO559" s="275"/>
      <c r="AQ559" s="21"/>
      <c r="AR559"/>
    </row>
    <row r="560" spans="1:44" x14ac:dyDescent="0.25">
      <c r="A560" s="590" t="str">
        <f t="shared" si="119"/>
        <v/>
      </c>
      <c r="B560" s="275">
        <f t="shared" si="120"/>
        <v>0</v>
      </c>
      <c r="C560" s="14">
        <f t="shared" si="117"/>
        <v>0</v>
      </c>
      <c r="D560" s="14">
        <f t="shared" si="121"/>
        <v>0</v>
      </c>
      <c r="E560" s="14">
        <f t="shared" si="118"/>
        <v>0</v>
      </c>
      <c r="K560" s="275">
        <f t="shared" si="122"/>
        <v>0</v>
      </c>
      <c r="L560" s="386">
        <f t="shared" si="116"/>
        <v>0</v>
      </c>
      <c r="M560" s="386">
        <f t="shared" si="123"/>
        <v>0</v>
      </c>
      <c r="N560" s="590" t="str">
        <f>INDEX(tblSubjectToLoan[Date],ROW()-ROW(tblContractForDeed[#Headers]))</f>
        <v/>
      </c>
      <c r="O560" s="275">
        <f>IF(ROW()=ROW(tblContractForDeed[#Headers])+1,$O$6,IF(INDEX(tblContractForDeed[End Bal],ROW()-ROW(tblContractForDeed[#Headers])-1)&lt;0,0,INDEX(tblContractForDeed[End Bal],ROW()-ROW(tblContractForDeed[#Headers])-1)))</f>
        <v>0</v>
      </c>
      <c r="P560" s="445" t="str">
        <f>IF(tblContractForDeed[[#This Row],[Date]]="","",IF(tblContractForDeed[[#This Row],[Date]]&lt;cfdRateChangeDate,cfdRate1,cfdRate2))</f>
        <v/>
      </c>
      <c r="Q5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75">
        <f>SUM(INDEX(tblContractForDeed[Princ],1):INDEX(tblContractForDeed[Princ],ROW()-ROW(tblContractForDeed[#Headers])))</f>
        <v>75258.000000000029</v>
      </c>
      <c r="X560" s="275">
        <f>IF(tblContractForDeed[[#This Row],[Beg]]&lt;=0,0,tblContractForDeed[[#This Row],[Beg]]-tblContractForDeed[[#This Row],[Princ]])</f>
        <v>0</v>
      </c>
      <c r="Y56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75">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0" s="275">
        <f>IF(INDEX(tblContractForDeed[End Bal],ROW()-ROW(tblBuyerOutputs[#Headers]))&lt;=0,0,($O$6+IF(ROW()=ROW(tblBuyerOutputs[#Headers])+1,0,INDEX(tblBuyerOutputs[Cumul Appr],ROW()-ROW(tblBuyerOutputs[#Headers])-1)))*$O$2/12)</f>
        <v>0</v>
      </c>
      <c r="AE560" s="275">
        <f>IF(INDEX(tblContractForDeed[End Bal],ROW()-ROW(tblBuyerOutputs[#Headers]))&lt;=0,0,IF(ROW()=ROW(tblBuyerOutputs[#Headers])+1,0,INDEX(tblBuyerOutputs[Cumul Appr],ROW()-ROW(tblBuyerOutputs[#Headers])-1))+tblBuyerOutputs[[#This Row],[Monthly Appr]])</f>
        <v>0</v>
      </c>
      <c r="AF560" s="22"/>
      <c r="AG560" s="14"/>
      <c r="AL560"/>
      <c r="AM560" s="14"/>
      <c r="AO560" s="275"/>
      <c r="AQ560" s="14"/>
      <c r="AR560"/>
    </row>
    <row r="561" spans="1:44" x14ac:dyDescent="0.25">
      <c r="A561" s="590" t="str">
        <f t="shared" si="119"/>
        <v/>
      </c>
      <c r="B561" s="275">
        <f t="shared" si="120"/>
        <v>0</v>
      </c>
      <c r="C561" s="14">
        <f t="shared" si="117"/>
        <v>0</v>
      </c>
      <c r="D561" s="14">
        <f t="shared" si="121"/>
        <v>0</v>
      </c>
      <c r="E561" s="14">
        <f t="shared" si="118"/>
        <v>0</v>
      </c>
      <c r="K561" s="275">
        <f t="shared" si="122"/>
        <v>0</v>
      </c>
      <c r="L561" s="386">
        <f t="shared" si="116"/>
        <v>0</v>
      </c>
      <c r="M561" s="386">
        <f t="shared" si="123"/>
        <v>0</v>
      </c>
      <c r="N561" s="590" t="str">
        <f>INDEX(tblSubjectToLoan[Date],ROW()-ROW(tblContractForDeed[#Headers]))</f>
        <v/>
      </c>
      <c r="O561" s="275">
        <f>IF(ROW()=ROW(tblContractForDeed[#Headers])+1,$O$6,IF(INDEX(tblContractForDeed[End Bal],ROW()-ROW(tblContractForDeed[#Headers])-1)&lt;0,0,INDEX(tblContractForDeed[End Bal],ROW()-ROW(tblContractForDeed[#Headers])-1)))</f>
        <v>0</v>
      </c>
      <c r="P561" s="445" t="str">
        <f>IF(tblContractForDeed[[#This Row],[Date]]="","",IF(tblContractForDeed[[#This Row],[Date]]&lt;cfdRateChangeDate,cfdRate1,cfdRate2))</f>
        <v/>
      </c>
      <c r="Q5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75">
        <f>SUM(INDEX(tblContractForDeed[Princ],1):INDEX(tblContractForDeed[Princ],ROW()-ROW(tblContractForDeed[#Headers])))</f>
        <v>75258.000000000029</v>
      </c>
      <c r="X561" s="275">
        <f>IF(tblContractForDeed[[#This Row],[Beg]]&lt;=0,0,tblContractForDeed[[#This Row],[Beg]]-tblContractForDeed[[#This Row],[Princ]])</f>
        <v>0</v>
      </c>
      <c r="Y56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75">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1" s="275">
        <f>IF(INDEX(tblContractForDeed[End Bal],ROW()-ROW(tblBuyerOutputs[#Headers]))&lt;=0,0,($O$6+IF(ROW()=ROW(tblBuyerOutputs[#Headers])+1,0,INDEX(tblBuyerOutputs[Cumul Appr],ROW()-ROW(tblBuyerOutputs[#Headers])-1)))*$O$2/12)</f>
        <v>0</v>
      </c>
      <c r="AE561" s="275">
        <f>IF(INDEX(tblContractForDeed[End Bal],ROW()-ROW(tblBuyerOutputs[#Headers]))&lt;=0,0,IF(ROW()=ROW(tblBuyerOutputs[#Headers])+1,0,INDEX(tblBuyerOutputs[Cumul Appr],ROW()-ROW(tblBuyerOutputs[#Headers])-1))+tblBuyerOutputs[[#This Row],[Monthly Appr]])</f>
        <v>0</v>
      </c>
      <c r="AF561" s="22"/>
      <c r="AG561" s="14"/>
      <c r="AL561"/>
      <c r="AM561" s="14"/>
      <c r="AO561" s="275"/>
      <c r="AQ561" s="14"/>
      <c r="AR561"/>
    </row>
    <row r="562" spans="1:44" x14ac:dyDescent="0.25">
      <c r="A562" s="590" t="str">
        <f t="shared" si="119"/>
        <v/>
      </c>
      <c r="B562" s="275">
        <f t="shared" si="120"/>
        <v>0</v>
      </c>
      <c r="C562" s="14">
        <f t="shared" si="117"/>
        <v>0</v>
      </c>
      <c r="D562" s="14">
        <f t="shared" si="121"/>
        <v>0</v>
      </c>
      <c r="E562" s="14">
        <f t="shared" si="118"/>
        <v>0</v>
      </c>
      <c r="K562" s="275">
        <f t="shared" si="122"/>
        <v>0</v>
      </c>
      <c r="L562" s="386">
        <f t="shared" si="116"/>
        <v>0</v>
      </c>
      <c r="M562" s="386">
        <f t="shared" si="123"/>
        <v>0</v>
      </c>
      <c r="N562" s="590" t="str">
        <f>INDEX(tblSubjectToLoan[Date],ROW()-ROW(tblContractForDeed[#Headers]))</f>
        <v/>
      </c>
      <c r="O562" s="275">
        <f>IF(ROW()=ROW(tblContractForDeed[#Headers])+1,$O$6,IF(INDEX(tblContractForDeed[End Bal],ROW()-ROW(tblContractForDeed[#Headers])-1)&lt;0,0,INDEX(tblContractForDeed[End Bal],ROW()-ROW(tblContractForDeed[#Headers])-1)))</f>
        <v>0</v>
      </c>
      <c r="P562" s="445" t="str">
        <f>IF(tblContractForDeed[[#This Row],[Date]]="","",IF(tblContractForDeed[[#This Row],[Date]]&lt;cfdRateChangeDate,cfdRate1,cfdRate2))</f>
        <v/>
      </c>
      <c r="Q5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75">
        <f>SUM(INDEX(tblContractForDeed[Princ],1):INDEX(tblContractForDeed[Princ],ROW()-ROW(tblContractForDeed[#Headers])))</f>
        <v>75258.000000000029</v>
      </c>
      <c r="X562" s="275">
        <f>IF(tblContractForDeed[[#This Row],[Beg]]&lt;=0,0,tblContractForDeed[[#This Row],[Beg]]-tblContractForDeed[[#This Row],[Princ]])</f>
        <v>0</v>
      </c>
      <c r="Y56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75">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2" s="275">
        <f>IF(INDEX(tblContractForDeed[End Bal],ROW()-ROW(tblBuyerOutputs[#Headers]))&lt;=0,0,($O$6+IF(ROW()=ROW(tblBuyerOutputs[#Headers])+1,0,INDEX(tblBuyerOutputs[Cumul Appr],ROW()-ROW(tblBuyerOutputs[#Headers])-1)))*$O$2/12)</f>
        <v>0</v>
      </c>
      <c r="AE562" s="275">
        <f>IF(INDEX(tblContractForDeed[End Bal],ROW()-ROW(tblBuyerOutputs[#Headers]))&lt;=0,0,IF(ROW()=ROW(tblBuyerOutputs[#Headers])+1,0,INDEX(tblBuyerOutputs[Cumul Appr],ROW()-ROW(tblBuyerOutputs[#Headers])-1))+tblBuyerOutputs[[#This Row],[Monthly Appr]])</f>
        <v>0</v>
      </c>
      <c r="AF562" s="22"/>
      <c r="AG562" s="14"/>
      <c r="AL562"/>
      <c r="AM562" s="14"/>
      <c r="AO562" s="275"/>
      <c r="AQ562" s="14"/>
      <c r="AR562"/>
    </row>
    <row r="563" spans="1:44" x14ac:dyDescent="0.25">
      <c r="A563" s="590" t="str">
        <f t="shared" si="119"/>
        <v/>
      </c>
      <c r="B563" s="275">
        <f t="shared" si="120"/>
        <v>0</v>
      </c>
      <c r="C563" s="14">
        <f t="shared" si="117"/>
        <v>0</v>
      </c>
      <c r="D563" s="14">
        <f t="shared" si="121"/>
        <v>0</v>
      </c>
      <c r="E563" s="14">
        <f t="shared" si="118"/>
        <v>0</v>
      </c>
      <c r="K563" s="275">
        <f t="shared" si="122"/>
        <v>0</v>
      </c>
      <c r="L563" s="386">
        <f t="shared" si="116"/>
        <v>0</v>
      </c>
      <c r="M563" s="386">
        <f t="shared" si="123"/>
        <v>0</v>
      </c>
      <c r="N563" s="590" t="str">
        <f>INDEX(tblSubjectToLoan[Date],ROW()-ROW(tblContractForDeed[#Headers]))</f>
        <v/>
      </c>
      <c r="O563" s="275">
        <f>IF(ROW()=ROW(tblContractForDeed[#Headers])+1,$O$6,IF(INDEX(tblContractForDeed[End Bal],ROW()-ROW(tblContractForDeed[#Headers])-1)&lt;0,0,INDEX(tblContractForDeed[End Bal],ROW()-ROW(tblContractForDeed[#Headers])-1)))</f>
        <v>0</v>
      </c>
      <c r="P563" s="445" t="str">
        <f>IF(tblContractForDeed[[#This Row],[Date]]="","",IF(tblContractForDeed[[#This Row],[Date]]&lt;cfdRateChangeDate,cfdRate1,cfdRate2))</f>
        <v/>
      </c>
      <c r="Q56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75">
        <f>SUM(INDEX(tblContractForDeed[Princ],1):INDEX(tblContractForDeed[Princ],ROW()-ROW(tblContractForDeed[#Headers])))</f>
        <v>75258.000000000029</v>
      </c>
      <c r="X563" s="275">
        <f>IF(tblContractForDeed[[#This Row],[Beg]]&lt;=0,0,tblContractForDeed[[#This Row],[Beg]]-tblContractForDeed[[#This Row],[Princ]])</f>
        <v>0</v>
      </c>
      <c r="Y56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75">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3" s="275">
        <f>IF(INDEX(tblContractForDeed[End Bal],ROW()-ROW(tblBuyerOutputs[#Headers]))&lt;=0,0,($O$6+IF(ROW()=ROW(tblBuyerOutputs[#Headers])+1,0,INDEX(tblBuyerOutputs[Cumul Appr],ROW()-ROW(tblBuyerOutputs[#Headers])-1)))*$O$2/12)</f>
        <v>0</v>
      </c>
      <c r="AE563" s="275">
        <f>IF(INDEX(tblContractForDeed[End Bal],ROW()-ROW(tblBuyerOutputs[#Headers]))&lt;=0,0,IF(ROW()=ROW(tblBuyerOutputs[#Headers])+1,0,INDEX(tblBuyerOutputs[Cumul Appr],ROW()-ROW(tblBuyerOutputs[#Headers])-1))+tblBuyerOutputs[[#This Row],[Monthly Appr]])</f>
        <v>0</v>
      </c>
      <c r="AF563" s="22"/>
      <c r="AG563" s="14"/>
      <c r="AL563"/>
      <c r="AM563" s="14"/>
      <c r="AO563" s="275"/>
      <c r="AQ563" s="14"/>
      <c r="AR563"/>
    </row>
    <row r="564" spans="1:44" x14ac:dyDescent="0.25">
      <c r="A564" s="590" t="str">
        <f t="shared" si="119"/>
        <v/>
      </c>
      <c r="B564" s="275">
        <f t="shared" si="120"/>
        <v>0</v>
      </c>
      <c r="C564" s="14">
        <f t="shared" si="117"/>
        <v>0</v>
      </c>
      <c r="D564" s="14">
        <f t="shared" si="121"/>
        <v>0</v>
      </c>
      <c r="E564" s="14">
        <f t="shared" si="118"/>
        <v>0</v>
      </c>
      <c r="K564" s="275">
        <f t="shared" si="122"/>
        <v>0</v>
      </c>
      <c r="L564" s="386">
        <f t="shared" ref="L564:L627" si="124">IF(MOD(M564,12)=0,M564/12,L563)</f>
        <v>0</v>
      </c>
      <c r="M564" s="386">
        <f t="shared" si="123"/>
        <v>0</v>
      </c>
      <c r="N564" s="590" t="str">
        <f>INDEX(tblSubjectToLoan[Date],ROW()-ROW(tblContractForDeed[#Headers]))</f>
        <v/>
      </c>
      <c r="O564" s="275">
        <f>IF(ROW()=ROW(tblContractForDeed[#Headers])+1,$O$6,IF(INDEX(tblContractForDeed[End Bal],ROW()-ROW(tblContractForDeed[#Headers])-1)&lt;0,0,INDEX(tblContractForDeed[End Bal],ROW()-ROW(tblContractForDeed[#Headers])-1)))</f>
        <v>0</v>
      </c>
      <c r="P564" s="445" t="str">
        <f>IF(tblContractForDeed[[#This Row],[Date]]="","",IF(tblContractForDeed[[#This Row],[Date]]&lt;cfdRateChangeDate,cfdRate1,cfdRate2))</f>
        <v/>
      </c>
      <c r="Q5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75">
        <f>SUM(INDEX(tblContractForDeed[Princ],1):INDEX(tblContractForDeed[Princ],ROW()-ROW(tblContractForDeed[#Headers])))</f>
        <v>75258.000000000029</v>
      </c>
      <c r="X564" s="275">
        <f>IF(tblContractForDeed[[#This Row],[Beg]]&lt;=0,0,tblContractForDeed[[#This Row],[Beg]]-tblContractForDeed[[#This Row],[Princ]])</f>
        <v>0</v>
      </c>
      <c r="Y56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75">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4" s="275">
        <f>IF(INDEX(tblContractForDeed[End Bal],ROW()-ROW(tblBuyerOutputs[#Headers]))&lt;=0,0,($O$6+IF(ROW()=ROW(tblBuyerOutputs[#Headers])+1,0,INDEX(tblBuyerOutputs[Cumul Appr],ROW()-ROW(tblBuyerOutputs[#Headers])-1)))*$O$2/12)</f>
        <v>0</v>
      </c>
      <c r="AE564" s="275">
        <f>IF(INDEX(tblContractForDeed[End Bal],ROW()-ROW(tblBuyerOutputs[#Headers]))&lt;=0,0,IF(ROW()=ROW(tblBuyerOutputs[#Headers])+1,0,INDEX(tblBuyerOutputs[Cumul Appr],ROW()-ROW(tblBuyerOutputs[#Headers])-1))+tblBuyerOutputs[[#This Row],[Monthly Appr]])</f>
        <v>0</v>
      </c>
      <c r="AF564" s="22"/>
      <c r="AG564" s="14"/>
      <c r="AL564"/>
      <c r="AM564" s="14"/>
      <c r="AO564" s="275"/>
      <c r="AQ564" s="14"/>
      <c r="AR564"/>
    </row>
    <row r="565" spans="1:44" x14ac:dyDescent="0.25">
      <c r="A565" s="590" t="str">
        <f t="shared" si="119"/>
        <v/>
      </c>
      <c r="B565" s="275">
        <f t="shared" si="120"/>
        <v>0</v>
      </c>
      <c r="C565" s="14">
        <f t="shared" si="117"/>
        <v>0</v>
      </c>
      <c r="D565" s="14">
        <f t="shared" si="121"/>
        <v>0</v>
      </c>
      <c r="E565" s="14">
        <f t="shared" si="118"/>
        <v>0</v>
      </c>
      <c r="K565" s="275">
        <f t="shared" si="122"/>
        <v>0</v>
      </c>
      <c r="L565" s="386">
        <f t="shared" si="124"/>
        <v>0</v>
      </c>
      <c r="M565" s="386">
        <f t="shared" si="123"/>
        <v>0</v>
      </c>
      <c r="N565" s="590" t="str">
        <f>INDEX(tblSubjectToLoan[Date],ROW()-ROW(tblContractForDeed[#Headers]))</f>
        <v/>
      </c>
      <c r="O565" s="275">
        <f>IF(ROW()=ROW(tblContractForDeed[#Headers])+1,$O$6,IF(INDEX(tblContractForDeed[End Bal],ROW()-ROW(tblContractForDeed[#Headers])-1)&lt;0,0,INDEX(tblContractForDeed[End Bal],ROW()-ROW(tblContractForDeed[#Headers])-1)))</f>
        <v>0</v>
      </c>
      <c r="P565" s="445" t="str">
        <f>IF(tblContractForDeed[[#This Row],[Date]]="","",IF(tblContractForDeed[[#This Row],[Date]]&lt;cfdRateChangeDate,cfdRate1,cfdRate2))</f>
        <v/>
      </c>
      <c r="Q5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75">
        <f>SUM(INDEX(tblContractForDeed[Princ],1):INDEX(tblContractForDeed[Princ],ROW()-ROW(tblContractForDeed[#Headers])))</f>
        <v>75258.000000000029</v>
      </c>
      <c r="X565" s="275">
        <f>IF(tblContractForDeed[[#This Row],[Beg]]&lt;=0,0,tblContractForDeed[[#This Row],[Beg]]-tblContractForDeed[[#This Row],[Princ]])</f>
        <v>0</v>
      </c>
      <c r="Y56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75">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5" s="275">
        <f>IF(INDEX(tblContractForDeed[End Bal],ROW()-ROW(tblBuyerOutputs[#Headers]))&lt;=0,0,($O$6+IF(ROW()=ROW(tblBuyerOutputs[#Headers])+1,0,INDEX(tblBuyerOutputs[Cumul Appr],ROW()-ROW(tblBuyerOutputs[#Headers])-1)))*$O$2/12)</f>
        <v>0</v>
      </c>
      <c r="AE565" s="275">
        <f>IF(INDEX(tblContractForDeed[End Bal],ROW()-ROW(tblBuyerOutputs[#Headers]))&lt;=0,0,IF(ROW()=ROW(tblBuyerOutputs[#Headers])+1,0,INDEX(tblBuyerOutputs[Cumul Appr],ROW()-ROW(tblBuyerOutputs[#Headers])-1))+tblBuyerOutputs[[#This Row],[Monthly Appr]])</f>
        <v>0</v>
      </c>
      <c r="AF565" s="22"/>
      <c r="AG565" s="14"/>
      <c r="AL565"/>
      <c r="AM565" s="14"/>
      <c r="AO565" s="275"/>
      <c r="AQ565" s="14"/>
      <c r="AR565"/>
    </row>
    <row r="566" spans="1:44" x14ac:dyDescent="0.25">
      <c r="A566" s="590" t="str">
        <f t="shared" si="119"/>
        <v/>
      </c>
      <c r="B566" s="275">
        <f t="shared" si="120"/>
        <v>0</v>
      </c>
      <c r="C566" s="14">
        <f t="shared" si="117"/>
        <v>0</v>
      </c>
      <c r="D566" s="14">
        <f t="shared" si="121"/>
        <v>0</v>
      </c>
      <c r="E566" s="14">
        <f t="shared" si="118"/>
        <v>0</v>
      </c>
      <c r="K566" s="275">
        <f t="shared" si="122"/>
        <v>0</v>
      </c>
      <c r="L566" s="386">
        <f t="shared" si="124"/>
        <v>0</v>
      </c>
      <c r="M566" s="386">
        <f t="shared" si="123"/>
        <v>0</v>
      </c>
      <c r="N566" s="590" t="str">
        <f>INDEX(tblSubjectToLoan[Date],ROW()-ROW(tblContractForDeed[#Headers]))</f>
        <v/>
      </c>
      <c r="O566" s="275">
        <f>IF(ROW()=ROW(tblContractForDeed[#Headers])+1,$O$6,IF(INDEX(tblContractForDeed[End Bal],ROW()-ROW(tblContractForDeed[#Headers])-1)&lt;0,0,INDEX(tblContractForDeed[End Bal],ROW()-ROW(tblContractForDeed[#Headers])-1)))</f>
        <v>0</v>
      </c>
      <c r="P566" s="445" t="str">
        <f>IF(tblContractForDeed[[#This Row],[Date]]="","",IF(tblContractForDeed[[#This Row],[Date]]&lt;cfdRateChangeDate,cfdRate1,cfdRate2))</f>
        <v/>
      </c>
      <c r="Q5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75">
        <f>SUM(INDEX(tblContractForDeed[Princ],1):INDEX(tblContractForDeed[Princ],ROW()-ROW(tblContractForDeed[#Headers])))</f>
        <v>75258.000000000029</v>
      </c>
      <c r="X566" s="275">
        <f>IF(tblContractForDeed[[#This Row],[Beg]]&lt;=0,0,tblContractForDeed[[#This Row],[Beg]]-tblContractForDeed[[#This Row],[Princ]])</f>
        <v>0</v>
      </c>
      <c r="Y56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75">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6" s="275">
        <f>IF(INDEX(tblContractForDeed[End Bal],ROW()-ROW(tblBuyerOutputs[#Headers]))&lt;=0,0,($O$6+IF(ROW()=ROW(tblBuyerOutputs[#Headers])+1,0,INDEX(tblBuyerOutputs[Cumul Appr],ROW()-ROW(tblBuyerOutputs[#Headers])-1)))*$O$2/12)</f>
        <v>0</v>
      </c>
      <c r="AE566" s="275">
        <f>IF(INDEX(tblContractForDeed[End Bal],ROW()-ROW(tblBuyerOutputs[#Headers]))&lt;=0,0,IF(ROW()=ROW(tblBuyerOutputs[#Headers])+1,0,INDEX(tblBuyerOutputs[Cumul Appr],ROW()-ROW(tblBuyerOutputs[#Headers])-1))+tblBuyerOutputs[[#This Row],[Monthly Appr]])</f>
        <v>0</v>
      </c>
      <c r="AF566" s="22"/>
      <c r="AG566" s="14"/>
      <c r="AL566"/>
      <c r="AM566" s="14"/>
      <c r="AO566" s="275"/>
      <c r="AQ566" s="14"/>
      <c r="AR566"/>
    </row>
    <row r="567" spans="1:44" x14ac:dyDescent="0.25">
      <c r="A567" s="590" t="str">
        <f t="shared" si="119"/>
        <v/>
      </c>
      <c r="B567" s="275">
        <f t="shared" si="120"/>
        <v>0</v>
      </c>
      <c r="C567" s="14">
        <f t="shared" si="117"/>
        <v>0</v>
      </c>
      <c r="D567" s="14">
        <f t="shared" si="121"/>
        <v>0</v>
      </c>
      <c r="E567" s="14">
        <f t="shared" si="118"/>
        <v>0</v>
      </c>
      <c r="K567" s="275">
        <f t="shared" si="122"/>
        <v>0</v>
      </c>
      <c r="L567" s="386">
        <f t="shared" si="124"/>
        <v>0</v>
      </c>
      <c r="M567" s="386">
        <f t="shared" si="123"/>
        <v>0</v>
      </c>
      <c r="N567" s="590" t="str">
        <f>INDEX(tblSubjectToLoan[Date],ROW()-ROW(tblContractForDeed[#Headers]))</f>
        <v/>
      </c>
      <c r="O567" s="275">
        <f>IF(ROW()=ROW(tblContractForDeed[#Headers])+1,$O$6,IF(INDEX(tblContractForDeed[End Bal],ROW()-ROW(tblContractForDeed[#Headers])-1)&lt;0,0,INDEX(tblContractForDeed[End Bal],ROW()-ROW(tblContractForDeed[#Headers])-1)))</f>
        <v>0</v>
      </c>
      <c r="P567" s="445" t="str">
        <f>IF(tblContractForDeed[[#This Row],[Date]]="","",IF(tblContractForDeed[[#This Row],[Date]]&lt;cfdRateChangeDate,cfdRate1,cfdRate2))</f>
        <v/>
      </c>
      <c r="Q56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75">
        <f>SUM(INDEX(tblContractForDeed[Princ],1):INDEX(tblContractForDeed[Princ],ROW()-ROW(tblContractForDeed[#Headers])))</f>
        <v>75258.000000000029</v>
      </c>
      <c r="X567" s="275">
        <f>IF(tblContractForDeed[[#This Row],[Beg]]&lt;=0,0,tblContractForDeed[[#This Row],[Beg]]-tblContractForDeed[[#This Row],[Princ]])</f>
        <v>0</v>
      </c>
      <c r="Y56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75">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7" s="275">
        <f>IF(INDEX(tblContractForDeed[End Bal],ROW()-ROW(tblBuyerOutputs[#Headers]))&lt;=0,0,($O$6+IF(ROW()=ROW(tblBuyerOutputs[#Headers])+1,0,INDEX(tblBuyerOutputs[Cumul Appr],ROW()-ROW(tblBuyerOutputs[#Headers])-1)))*$O$2/12)</f>
        <v>0</v>
      </c>
      <c r="AE567" s="275">
        <f>IF(INDEX(tblContractForDeed[End Bal],ROW()-ROW(tblBuyerOutputs[#Headers]))&lt;=0,0,IF(ROW()=ROW(tblBuyerOutputs[#Headers])+1,0,INDEX(tblBuyerOutputs[Cumul Appr],ROW()-ROW(tblBuyerOutputs[#Headers])-1))+tblBuyerOutputs[[#This Row],[Monthly Appr]])</f>
        <v>0</v>
      </c>
      <c r="AF567" s="22"/>
      <c r="AG567" s="14"/>
      <c r="AL567"/>
      <c r="AM567" s="14"/>
      <c r="AO567" s="275"/>
      <c r="AQ567" s="14"/>
      <c r="AR567"/>
    </row>
    <row r="568" spans="1:44" x14ac:dyDescent="0.25">
      <c r="A568" s="590" t="str">
        <f t="shared" si="119"/>
        <v/>
      </c>
      <c r="B568" s="275">
        <f t="shared" si="120"/>
        <v>0</v>
      </c>
      <c r="C568" s="14">
        <f t="shared" si="117"/>
        <v>0</v>
      </c>
      <c r="D568" s="14">
        <f t="shared" si="121"/>
        <v>0</v>
      </c>
      <c r="E568" s="14">
        <f t="shared" si="118"/>
        <v>0</v>
      </c>
      <c r="K568" s="275">
        <f t="shared" si="122"/>
        <v>0</v>
      </c>
      <c r="L568" s="386">
        <f t="shared" si="124"/>
        <v>0</v>
      </c>
      <c r="M568" s="386">
        <f t="shared" si="123"/>
        <v>0</v>
      </c>
      <c r="N568" s="590" t="str">
        <f>INDEX(tblSubjectToLoan[Date],ROW()-ROW(tblContractForDeed[#Headers]))</f>
        <v/>
      </c>
      <c r="O568" s="275">
        <f>IF(ROW()=ROW(tblContractForDeed[#Headers])+1,$O$6,IF(INDEX(tblContractForDeed[End Bal],ROW()-ROW(tblContractForDeed[#Headers])-1)&lt;0,0,INDEX(tblContractForDeed[End Bal],ROW()-ROW(tblContractForDeed[#Headers])-1)))</f>
        <v>0</v>
      </c>
      <c r="P568" s="445" t="str">
        <f>IF(tblContractForDeed[[#This Row],[Date]]="","",IF(tblContractForDeed[[#This Row],[Date]]&lt;cfdRateChangeDate,cfdRate1,cfdRate2))</f>
        <v/>
      </c>
      <c r="Q5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75">
        <f>SUM(INDEX(tblContractForDeed[Princ],1):INDEX(tblContractForDeed[Princ],ROW()-ROW(tblContractForDeed[#Headers])))</f>
        <v>75258.000000000029</v>
      </c>
      <c r="X568" s="275">
        <f>IF(tblContractForDeed[[#This Row],[Beg]]&lt;=0,0,tblContractForDeed[[#This Row],[Beg]]-tblContractForDeed[[#This Row],[Princ]])</f>
        <v>0</v>
      </c>
      <c r="Y56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75">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8" s="275">
        <f>IF(INDEX(tblContractForDeed[End Bal],ROW()-ROW(tblBuyerOutputs[#Headers]))&lt;=0,0,($O$6+IF(ROW()=ROW(tblBuyerOutputs[#Headers])+1,0,INDEX(tblBuyerOutputs[Cumul Appr],ROW()-ROW(tblBuyerOutputs[#Headers])-1)))*$O$2/12)</f>
        <v>0</v>
      </c>
      <c r="AE568" s="275">
        <f>IF(INDEX(tblContractForDeed[End Bal],ROW()-ROW(tblBuyerOutputs[#Headers]))&lt;=0,0,IF(ROW()=ROW(tblBuyerOutputs[#Headers])+1,0,INDEX(tblBuyerOutputs[Cumul Appr],ROW()-ROW(tblBuyerOutputs[#Headers])-1))+tblBuyerOutputs[[#This Row],[Monthly Appr]])</f>
        <v>0</v>
      </c>
      <c r="AF568" s="22"/>
      <c r="AG568" s="14"/>
      <c r="AL568"/>
      <c r="AM568" s="14"/>
      <c r="AO568" s="275"/>
      <c r="AQ568" s="14"/>
      <c r="AR568"/>
    </row>
    <row r="569" spans="1:44" x14ac:dyDescent="0.25">
      <c r="A569" s="590" t="str">
        <f t="shared" si="119"/>
        <v/>
      </c>
      <c r="B569" s="275">
        <f t="shared" si="120"/>
        <v>0</v>
      </c>
      <c r="C569" s="14">
        <f t="shared" si="117"/>
        <v>0</v>
      </c>
      <c r="D569" s="14">
        <f t="shared" si="121"/>
        <v>0</v>
      </c>
      <c r="E569" s="14">
        <f t="shared" si="118"/>
        <v>0</v>
      </c>
      <c r="K569" s="275">
        <f t="shared" si="122"/>
        <v>0</v>
      </c>
      <c r="L569" s="386">
        <f t="shared" si="124"/>
        <v>0</v>
      </c>
      <c r="M569" s="386">
        <f t="shared" si="123"/>
        <v>0</v>
      </c>
      <c r="N569" s="590" t="str">
        <f>INDEX(tblSubjectToLoan[Date],ROW()-ROW(tblContractForDeed[#Headers]))</f>
        <v/>
      </c>
      <c r="O569" s="275">
        <f>IF(ROW()=ROW(tblContractForDeed[#Headers])+1,$O$6,IF(INDEX(tblContractForDeed[End Bal],ROW()-ROW(tblContractForDeed[#Headers])-1)&lt;0,0,INDEX(tblContractForDeed[End Bal],ROW()-ROW(tblContractForDeed[#Headers])-1)))</f>
        <v>0</v>
      </c>
      <c r="P569" s="445" t="str">
        <f>IF(tblContractForDeed[[#This Row],[Date]]="","",IF(tblContractForDeed[[#This Row],[Date]]&lt;cfdRateChangeDate,cfdRate1,cfdRate2))</f>
        <v/>
      </c>
      <c r="Q5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75">
        <f>SUM(INDEX(tblContractForDeed[Princ],1):INDEX(tblContractForDeed[Princ],ROW()-ROW(tblContractForDeed[#Headers])))</f>
        <v>75258.000000000029</v>
      </c>
      <c r="X569" s="275">
        <f>IF(tblContractForDeed[[#This Row],[Beg]]&lt;=0,0,tblContractForDeed[[#This Row],[Beg]]-tblContractForDeed[[#This Row],[Princ]])</f>
        <v>0</v>
      </c>
      <c r="Y56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75">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9" s="275">
        <f>IF(INDEX(tblContractForDeed[End Bal],ROW()-ROW(tblBuyerOutputs[#Headers]))&lt;=0,0,($O$6+IF(ROW()=ROW(tblBuyerOutputs[#Headers])+1,0,INDEX(tblBuyerOutputs[Cumul Appr],ROW()-ROW(tblBuyerOutputs[#Headers])-1)))*$O$2/12)</f>
        <v>0</v>
      </c>
      <c r="AE569" s="275">
        <f>IF(INDEX(tblContractForDeed[End Bal],ROW()-ROW(tblBuyerOutputs[#Headers]))&lt;=0,0,IF(ROW()=ROW(tblBuyerOutputs[#Headers])+1,0,INDEX(tblBuyerOutputs[Cumul Appr],ROW()-ROW(tblBuyerOutputs[#Headers])-1))+tblBuyerOutputs[[#This Row],[Monthly Appr]])</f>
        <v>0</v>
      </c>
      <c r="AF569" s="22"/>
      <c r="AG569" s="14"/>
      <c r="AL569"/>
      <c r="AM569" s="14"/>
      <c r="AO569" s="275"/>
      <c r="AQ569" s="14"/>
      <c r="AR569"/>
    </row>
    <row r="570" spans="1:44" x14ac:dyDescent="0.25">
      <c r="A570" s="590" t="str">
        <f t="shared" si="119"/>
        <v/>
      </c>
      <c r="B570" s="275">
        <f t="shared" si="120"/>
        <v>0</v>
      </c>
      <c r="C570" s="14">
        <f t="shared" si="117"/>
        <v>0</v>
      </c>
      <c r="D570" s="14">
        <f t="shared" si="121"/>
        <v>0</v>
      </c>
      <c r="E570" s="14">
        <f t="shared" si="118"/>
        <v>0</v>
      </c>
      <c r="K570" s="275">
        <f t="shared" si="122"/>
        <v>0</v>
      </c>
      <c r="L570" s="386">
        <f t="shared" si="124"/>
        <v>0</v>
      </c>
      <c r="M570" s="386">
        <f t="shared" si="123"/>
        <v>0</v>
      </c>
      <c r="N570" s="590" t="str">
        <f>INDEX(tblSubjectToLoan[Date],ROW()-ROW(tblContractForDeed[#Headers]))</f>
        <v/>
      </c>
      <c r="O570" s="275">
        <f>IF(ROW()=ROW(tblContractForDeed[#Headers])+1,$O$6,IF(INDEX(tblContractForDeed[End Bal],ROW()-ROW(tblContractForDeed[#Headers])-1)&lt;0,0,INDEX(tblContractForDeed[End Bal],ROW()-ROW(tblContractForDeed[#Headers])-1)))</f>
        <v>0</v>
      </c>
      <c r="P570" s="445" t="str">
        <f>IF(tblContractForDeed[[#This Row],[Date]]="","",IF(tblContractForDeed[[#This Row],[Date]]&lt;cfdRateChangeDate,cfdRate1,cfdRate2))</f>
        <v/>
      </c>
      <c r="Q5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75">
        <f>SUM(INDEX(tblContractForDeed[Princ],1):INDEX(tblContractForDeed[Princ],ROW()-ROW(tblContractForDeed[#Headers])))</f>
        <v>75258.000000000029</v>
      </c>
      <c r="X570" s="275">
        <f>IF(tblContractForDeed[[#This Row],[Beg]]&lt;=0,0,tblContractForDeed[[#This Row],[Beg]]-tblContractForDeed[[#This Row],[Princ]])</f>
        <v>0</v>
      </c>
      <c r="Y57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75">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0" s="275">
        <f>IF(INDEX(tblContractForDeed[End Bal],ROW()-ROW(tblBuyerOutputs[#Headers]))&lt;=0,0,($O$6+IF(ROW()=ROW(tblBuyerOutputs[#Headers])+1,0,INDEX(tblBuyerOutputs[Cumul Appr],ROW()-ROW(tblBuyerOutputs[#Headers])-1)))*$O$2/12)</f>
        <v>0</v>
      </c>
      <c r="AE570" s="275">
        <f>IF(INDEX(tblContractForDeed[End Bal],ROW()-ROW(tblBuyerOutputs[#Headers]))&lt;=0,0,IF(ROW()=ROW(tblBuyerOutputs[#Headers])+1,0,INDEX(tblBuyerOutputs[Cumul Appr],ROW()-ROW(tblBuyerOutputs[#Headers])-1))+tblBuyerOutputs[[#This Row],[Monthly Appr]])</f>
        <v>0</v>
      </c>
      <c r="AF570" s="22"/>
      <c r="AG570" s="14"/>
      <c r="AL570"/>
      <c r="AM570" s="14"/>
      <c r="AO570" s="275"/>
      <c r="AQ570" s="14"/>
      <c r="AR570"/>
    </row>
    <row r="571" spans="1:44" ht="15.75" thickBot="1" x14ac:dyDescent="0.3">
      <c r="A571" s="591" t="str">
        <f t="shared" si="119"/>
        <v/>
      </c>
      <c r="B571" s="326">
        <f t="shared" si="120"/>
        <v>0</v>
      </c>
      <c r="C571" s="21">
        <f t="shared" si="117"/>
        <v>0</v>
      </c>
      <c r="D571" s="21">
        <f t="shared" si="121"/>
        <v>0</v>
      </c>
      <c r="E571" s="21">
        <f t="shared" si="118"/>
        <v>0</v>
      </c>
      <c r="F571" s="21"/>
      <c r="G571" s="21"/>
      <c r="H571" s="21"/>
      <c r="I571" s="326"/>
      <c r="J571" s="326"/>
      <c r="K571" s="326">
        <f t="shared" si="122"/>
        <v>0</v>
      </c>
      <c r="L571" s="387">
        <f t="shared" si="124"/>
        <v>0</v>
      </c>
      <c r="M571" s="387">
        <f t="shared" si="123"/>
        <v>0</v>
      </c>
      <c r="N571" s="591" t="str">
        <f>INDEX(tblSubjectToLoan[Date],ROW()-ROW(tblContractForDeed[#Headers]))</f>
        <v/>
      </c>
      <c r="O571" s="326">
        <f>IF(ROW()=ROW(tblContractForDeed[#Headers])+1,$O$6,IF(INDEX(tblContractForDeed[End Bal],ROW()-ROW(tblContractForDeed[#Headers])-1)&lt;0,0,INDEX(tblContractForDeed[End Bal],ROW()-ROW(tblContractForDeed[#Headers])-1)))</f>
        <v>0</v>
      </c>
      <c r="P571" s="445" t="str">
        <f>IF(tblContractForDeed[[#This Row],[Date]]="","",IF(tblContractForDeed[[#This Row],[Date]]&lt;cfdRateChangeDate,cfdRate1,cfdRate2))</f>
        <v/>
      </c>
      <c r="Q57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26">
        <f>SUM(INDEX(tblContractForDeed[Princ],1):INDEX(tblContractForDeed[Princ],ROW()-ROW(tblContractForDeed[#Headers])))</f>
        <v>75258.000000000029</v>
      </c>
      <c r="X571" s="326">
        <f>IF(tblContractForDeed[[#This Row],[Beg]]&lt;=0,0,tblContractForDeed[[#This Row],[Beg]]-tblContractForDeed[[#This Row],[Princ]])</f>
        <v>0</v>
      </c>
      <c r="Y57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26">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1" s="326">
        <f>IF(INDEX(tblContractForDeed[End Bal],ROW()-ROW(tblBuyerOutputs[#Headers]))&lt;=0,0,($O$6+IF(ROW()=ROW(tblBuyerOutputs[#Headers])+1,0,INDEX(tblBuyerOutputs[Cumul Appr],ROW()-ROW(tblBuyerOutputs[#Headers])-1)))*$O$2/12)</f>
        <v>0</v>
      </c>
      <c r="AE571" s="326">
        <f>IF(INDEX(tblContractForDeed[End Bal],ROW()-ROW(tblBuyerOutputs[#Headers]))&lt;=0,0,IF(ROW()=ROW(tblBuyerOutputs[#Headers])+1,0,INDEX(tblBuyerOutputs[Cumul Appr],ROW()-ROW(tblBuyerOutputs[#Headers])-1))+tblBuyerOutputs[[#This Row],[Monthly Appr]])</f>
        <v>0</v>
      </c>
      <c r="AF571" s="22"/>
      <c r="AG571" s="14"/>
      <c r="AL571"/>
      <c r="AM571" s="14"/>
      <c r="AO571" s="275"/>
      <c r="AQ571" s="21"/>
      <c r="AR571"/>
    </row>
    <row r="572" spans="1:44" x14ac:dyDescent="0.25">
      <c r="A572" s="590" t="str">
        <f t="shared" si="119"/>
        <v/>
      </c>
      <c r="B572" s="275">
        <f t="shared" si="120"/>
        <v>0</v>
      </c>
      <c r="C572" s="14">
        <f t="shared" si="117"/>
        <v>0</v>
      </c>
      <c r="D572" s="14">
        <f t="shared" si="121"/>
        <v>0</v>
      </c>
      <c r="E572" s="14">
        <f t="shared" si="118"/>
        <v>0</v>
      </c>
      <c r="K572" s="275">
        <f t="shared" si="122"/>
        <v>0</v>
      </c>
      <c r="L572" s="386">
        <f t="shared" si="124"/>
        <v>0</v>
      </c>
      <c r="M572" s="386">
        <f t="shared" si="123"/>
        <v>0</v>
      </c>
      <c r="N572" s="590" t="str">
        <f>INDEX(tblSubjectToLoan[Date],ROW()-ROW(tblContractForDeed[#Headers]))</f>
        <v/>
      </c>
      <c r="O572" s="275">
        <f>IF(ROW()=ROW(tblContractForDeed[#Headers])+1,$O$6,IF(INDEX(tblContractForDeed[End Bal],ROW()-ROW(tblContractForDeed[#Headers])-1)&lt;0,0,INDEX(tblContractForDeed[End Bal],ROW()-ROW(tblContractForDeed[#Headers])-1)))</f>
        <v>0</v>
      </c>
      <c r="P572" s="445" t="str">
        <f>IF(tblContractForDeed[[#This Row],[Date]]="","",IF(tblContractForDeed[[#This Row],[Date]]&lt;cfdRateChangeDate,cfdRate1,cfdRate2))</f>
        <v/>
      </c>
      <c r="Q5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75">
        <f>SUM(INDEX(tblContractForDeed[Princ],1):INDEX(tblContractForDeed[Princ],ROW()-ROW(tblContractForDeed[#Headers])))</f>
        <v>75258.000000000029</v>
      </c>
      <c r="X572" s="275">
        <f>IF(tblContractForDeed[[#This Row],[Beg]]&lt;=0,0,tblContractForDeed[[#This Row],[Beg]]-tblContractForDeed[[#This Row],[Princ]])</f>
        <v>0</v>
      </c>
      <c r="Y57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75">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2" s="275">
        <f>IF(INDEX(tblContractForDeed[End Bal],ROW()-ROW(tblBuyerOutputs[#Headers]))&lt;=0,0,($O$6+IF(ROW()=ROW(tblBuyerOutputs[#Headers])+1,0,INDEX(tblBuyerOutputs[Cumul Appr],ROW()-ROW(tblBuyerOutputs[#Headers])-1)))*$O$2/12)</f>
        <v>0</v>
      </c>
      <c r="AE572" s="275">
        <f>IF(INDEX(tblContractForDeed[End Bal],ROW()-ROW(tblBuyerOutputs[#Headers]))&lt;=0,0,IF(ROW()=ROW(tblBuyerOutputs[#Headers])+1,0,INDEX(tblBuyerOutputs[Cumul Appr],ROW()-ROW(tblBuyerOutputs[#Headers])-1))+tblBuyerOutputs[[#This Row],[Monthly Appr]])</f>
        <v>0</v>
      </c>
      <c r="AF572" s="22"/>
      <c r="AG572" s="14"/>
      <c r="AL572"/>
      <c r="AM572" s="14"/>
      <c r="AO572" s="275"/>
      <c r="AQ572" s="14"/>
      <c r="AR572"/>
    </row>
    <row r="573" spans="1:44" x14ac:dyDescent="0.25">
      <c r="A573" s="590" t="str">
        <f t="shared" si="119"/>
        <v/>
      </c>
      <c r="B573" s="275">
        <f t="shared" si="120"/>
        <v>0</v>
      </c>
      <c r="C573" s="14">
        <f t="shared" si="117"/>
        <v>0</v>
      </c>
      <c r="D573" s="14">
        <f t="shared" si="121"/>
        <v>0</v>
      </c>
      <c r="E573" s="14">
        <f t="shared" si="118"/>
        <v>0</v>
      </c>
      <c r="K573" s="275">
        <f t="shared" si="122"/>
        <v>0</v>
      </c>
      <c r="L573" s="386">
        <f t="shared" si="124"/>
        <v>0</v>
      </c>
      <c r="M573" s="386">
        <f t="shared" si="123"/>
        <v>0</v>
      </c>
      <c r="N573" s="590" t="str">
        <f>INDEX(tblSubjectToLoan[Date],ROW()-ROW(tblContractForDeed[#Headers]))</f>
        <v/>
      </c>
      <c r="O573" s="275">
        <f>IF(ROW()=ROW(tblContractForDeed[#Headers])+1,$O$6,IF(INDEX(tblContractForDeed[End Bal],ROW()-ROW(tblContractForDeed[#Headers])-1)&lt;0,0,INDEX(tblContractForDeed[End Bal],ROW()-ROW(tblContractForDeed[#Headers])-1)))</f>
        <v>0</v>
      </c>
      <c r="P573" s="445" t="str">
        <f>IF(tblContractForDeed[[#This Row],[Date]]="","",IF(tblContractForDeed[[#This Row],[Date]]&lt;cfdRateChangeDate,cfdRate1,cfdRate2))</f>
        <v/>
      </c>
      <c r="Q5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75">
        <f>SUM(INDEX(tblContractForDeed[Princ],1):INDEX(tblContractForDeed[Princ],ROW()-ROW(tblContractForDeed[#Headers])))</f>
        <v>75258.000000000029</v>
      </c>
      <c r="X573" s="275">
        <f>IF(tblContractForDeed[[#This Row],[Beg]]&lt;=0,0,tblContractForDeed[[#This Row],[Beg]]-tblContractForDeed[[#This Row],[Princ]])</f>
        <v>0</v>
      </c>
      <c r="Y57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75">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3" s="275">
        <f>IF(INDEX(tblContractForDeed[End Bal],ROW()-ROW(tblBuyerOutputs[#Headers]))&lt;=0,0,($O$6+IF(ROW()=ROW(tblBuyerOutputs[#Headers])+1,0,INDEX(tblBuyerOutputs[Cumul Appr],ROW()-ROW(tblBuyerOutputs[#Headers])-1)))*$O$2/12)</f>
        <v>0</v>
      </c>
      <c r="AE573" s="275">
        <f>IF(INDEX(tblContractForDeed[End Bal],ROW()-ROW(tblBuyerOutputs[#Headers]))&lt;=0,0,IF(ROW()=ROW(tblBuyerOutputs[#Headers])+1,0,INDEX(tblBuyerOutputs[Cumul Appr],ROW()-ROW(tblBuyerOutputs[#Headers])-1))+tblBuyerOutputs[[#This Row],[Monthly Appr]])</f>
        <v>0</v>
      </c>
      <c r="AF573" s="22"/>
      <c r="AG573" s="14"/>
      <c r="AL573"/>
      <c r="AM573" s="14"/>
      <c r="AO573" s="275"/>
      <c r="AQ573" s="14"/>
      <c r="AR573"/>
    </row>
    <row r="574" spans="1:44" x14ac:dyDescent="0.25">
      <c r="A574" s="590" t="str">
        <f t="shared" si="119"/>
        <v/>
      </c>
      <c r="B574" s="275">
        <f t="shared" si="120"/>
        <v>0</v>
      </c>
      <c r="C574" s="14">
        <f t="shared" si="117"/>
        <v>0</v>
      </c>
      <c r="D574" s="14">
        <f t="shared" si="121"/>
        <v>0</v>
      </c>
      <c r="E574" s="14">
        <f t="shared" si="118"/>
        <v>0</v>
      </c>
      <c r="K574" s="275">
        <f t="shared" si="122"/>
        <v>0</v>
      </c>
      <c r="L574" s="386">
        <f t="shared" si="124"/>
        <v>0</v>
      </c>
      <c r="M574" s="386">
        <f t="shared" si="123"/>
        <v>0</v>
      </c>
      <c r="N574" s="590" t="str">
        <f>INDEX(tblSubjectToLoan[Date],ROW()-ROW(tblContractForDeed[#Headers]))</f>
        <v/>
      </c>
      <c r="O574" s="275">
        <f>IF(ROW()=ROW(tblContractForDeed[#Headers])+1,$O$6,IF(INDEX(tblContractForDeed[End Bal],ROW()-ROW(tblContractForDeed[#Headers])-1)&lt;0,0,INDEX(tblContractForDeed[End Bal],ROW()-ROW(tblContractForDeed[#Headers])-1)))</f>
        <v>0</v>
      </c>
      <c r="P574" s="445" t="str">
        <f>IF(tblContractForDeed[[#This Row],[Date]]="","",IF(tblContractForDeed[[#This Row],[Date]]&lt;cfdRateChangeDate,cfdRate1,cfdRate2))</f>
        <v/>
      </c>
      <c r="Q5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75">
        <f>SUM(INDEX(tblContractForDeed[Princ],1):INDEX(tblContractForDeed[Princ],ROW()-ROW(tblContractForDeed[#Headers])))</f>
        <v>75258.000000000029</v>
      </c>
      <c r="X574" s="275">
        <f>IF(tblContractForDeed[[#This Row],[Beg]]&lt;=0,0,tblContractForDeed[[#This Row],[Beg]]-tblContractForDeed[[#This Row],[Princ]])</f>
        <v>0</v>
      </c>
      <c r="Y57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75">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4" s="275">
        <f>IF(INDEX(tblContractForDeed[End Bal],ROW()-ROW(tblBuyerOutputs[#Headers]))&lt;=0,0,($O$6+IF(ROW()=ROW(tblBuyerOutputs[#Headers])+1,0,INDEX(tblBuyerOutputs[Cumul Appr],ROW()-ROW(tblBuyerOutputs[#Headers])-1)))*$O$2/12)</f>
        <v>0</v>
      </c>
      <c r="AE574" s="275">
        <f>IF(INDEX(tblContractForDeed[End Bal],ROW()-ROW(tblBuyerOutputs[#Headers]))&lt;=0,0,IF(ROW()=ROW(tblBuyerOutputs[#Headers])+1,0,INDEX(tblBuyerOutputs[Cumul Appr],ROW()-ROW(tblBuyerOutputs[#Headers])-1))+tblBuyerOutputs[[#This Row],[Monthly Appr]])</f>
        <v>0</v>
      </c>
      <c r="AF574" s="22"/>
      <c r="AG574" s="14"/>
      <c r="AL574"/>
      <c r="AM574" s="14"/>
      <c r="AO574" s="275"/>
      <c r="AQ574" s="14"/>
      <c r="AR574"/>
    </row>
    <row r="575" spans="1:44" x14ac:dyDescent="0.25">
      <c r="A575" s="590" t="str">
        <f t="shared" si="119"/>
        <v/>
      </c>
      <c r="B575" s="275">
        <f t="shared" si="120"/>
        <v>0</v>
      </c>
      <c r="C575" s="14">
        <f t="shared" si="117"/>
        <v>0</v>
      </c>
      <c r="D575" s="14">
        <f t="shared" si="121"/>
        <v>0</v>
      </c>
      <c r="E575" s="14">
        <f t="shared" si="118"/>
        <v>0</v>
      </c>
      <c r="K575" s="275">
        <f t="shared" si="122"/>
        <v>0</v>
      </c>
      <c r="L575" s="386">
        <f t="shared" si="124"/>
        <v>0</v>
      </c>
      <c r="M575" s="386">
        <f t="shared" si="123"/>
        <v>0</v>
      </c>
      <c r="N575" s="590" t="str">
        <f>INDEX(tblSubjectToLoan[Date],ROW()-ROW(tblContractForDeed[#Headers]))</f>
        <v/>
      </c>
      <c r="O575" s="275">
        <f>IF(ROW()=ROW(tblContractForDeed[#Headers])+1,$O$6,IF(INDEX(tblContractForDeed[End Bal],ROW()-ROW(tblContractForDeed[#Headers])-1)&lt;0,0,INDEX(tblContractForDeed[End Bal],ROW()-ROW(tblContractForDeed[#Headers])-1)))</f>
        <v>0</v>
      </c>
      <c r="P575" s="445" t="str">
        <f>IF(tblContractForDeed[[#This Row],[Date]]="","",IF(tblContractForDeed[[#This Row],[Date]]&lt;cfdRateChangeDate,cfdRate1,cfdRate2))</f>
        <v/>
      </c>
      <c r="Q57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75">
        <f>SUM(INDEX(tblContractForDeed[Princ],1):INDEX(tblContractForDeed[Princ],ROW()-ROW(tblContractForDeed[#Headers])))</f>
        <v>75258.000000000029</v>
      </c>
      <c r="X575" s="275">
        <f>IF(tblContractForDeed[[#This Row],[Beg]]&lt;=0,0,tblContractForDeed[[#This Row],[Beg]]-tblContractForDeed[[#This Row],[Princ]])</f>
        <v>0</v>
      </c>
      <c r="Y57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75">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5" s="275">
        <f>IF(INDEX(tblContractForDeed[End Bal],ROW()-ROW(tblBuyerOutputs[#Headers]))&lt;=0,0,($O$6+IF(ROW()=ROW(tblBuyerOutputs[#Headers])+1,0,INDEX(tblBuyerOutputs[Cumul Appr],ROW()-ROW(tblBuyerOutputs[#Headers])-1)))*$O$2/12)</f>
        <v>0</v>
      </c>
      <c r="AE575" s="275">
        <f>IF(INDEX(tblContractForDeed[End Bal],ROW()-ROW(tblBuyerOutputs[#Headers]))&lt;=0,0,IF(ROW()=ROW(tblBuyerOutputs[#Headers])+1,0,INDEX(tblBuyerOutputs[Cumul Appr],ROW()-ROW(tblBuyerOutputs[#Headers])-1))+tblBuyerOutputs[[#This Row],[Monthly Appr]])</f>
        <v>0</v>
      </c>
      <c r="AF575" s="22"/>
      <c r="AG575" s="14"/>
      <c r="AL575"/>
      <c r="AM575" s="14"/>
      <c r="AO575" s="275"/>
      <c r="AQ575" s="14"/>
      <c r="AR575"/>
    </row>
    <row r="576" spans="1:44" x14ac:dyDescent="0.25">
      <c r="A576" s="590" t="str">
        <f t="shared" si="119"/>
        <v/>
      </c>
      <c r="B576" s="275">
        <f t="shared" si="120"/>
        <v>0</v>
      </c>
      <c r="C576" s="14">
        <f t="shared" si="117"/>
        <v>0</v>
      </c>
      <c r="D576" s="14">
        <f t="shared" si="121"/>
        <v>0</v>
      </c>
      <c r="E576" s="14">
        <f t="shared" si="118"/>
        <v>0</v>
      </c>
      <c r="K576" s="275">
        <f t="shared" si="122"/>
        <v>0</v>
      </c>
      <c r="L576" s="386">
        <f t="shared" si="124"/>
        <v>0</v>
      </c>
      <c r="M576" s="386">
        <f t="shared" si="123"/>
        <v>0</v>
      </c>
      <c r="N576" s="590" t="str">
        <f>INDEX(tblSubjectToLoan[Date],ROW()-ROW(tblContractForDeed[#Headers]))</f>
        <v/>
      </c>
      <c r="O576" s="275">
        <f>IF(ROW()=ROW(tblContractForDeed[#Headers])+1,$O$6,IF(INDEX(tblContractForDeed[End Bal],ROW()-ROW(tblContractForDeed[#Headers])-1)&lt;0,0,INDEX(tblContractForDeed[End Bal],ROW()-ROW(tblContractForDeed[#Headers])-1)))</f>
        <v>0</v>
      </c>
      <c r="P576" s="445" t="str">
        <f>IF(tblContractForDeed[[#This Row],[Date]]="","",IF(tblContractForDeed[[#This Row],[Date]]&lt;cfdRateChangeDate,cfdRate1,cfdRate2))</f>
        <v/>
      </c>
      <c r="Q5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75">
        <f>SUM(INDEX(tblContractForDeed[Princ],1):INDEX(tblContractForDeed[Princ],ROW()-ROW(tblContractForDeed[#Headers])))</f>
        <v>75258.000000000029</v>
      </c>
      <c r="X576" s="275">
        <f>IF(tblContractForDeed[[#This Row],[Beg]]&lt;=0,0,tblContractForDeed[[#This Row],[Beg]]-tblContractForDeed[[#This Row],[Princ]])</f>
        <v>0</v>
      </c>
      <c r="Y57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75">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6" s="275">
        <f>IF(INDEX(tblContractForDeed[End Bal],ROW()-ROW(tblBuyerOutputs[#Headers]))&lt;=0,0,($O$6+IF(ROW()=ROW(tblBuyerOutputs[#Headers])+1,0,INDEX(tblBuyerOutputs[Cumul Appr],ROW()-ROW(tblBuyerOutputs[#Headers])-1)))*$O$2/12)</f>
        <v>0</v>
      </c>
      <c r="AE576" s="275">
        <f>IF(INDEX(tblContractForDeed[End Bal],ROW()-ROW(tblBuyerOutputs[#Headers]))&lt;=0,0,IF(ROW()=ROW(tblBuyerOutputs[#Headers])+1,0,INDEX(tblBuyerOutputs[Cumul Appr],ROW()-ROW(tblBuyerOutputs[#Headers])-1))+tblBuyerOutputs[[#This Row],[Monthly Appr]])</f>
        <v>0</v>
      </c>
      <c r="AF576" s="22"/>
      <c r="AG576" s="14"/>
      <c r="AL576"/>
      <c r="AM576" s="14"/>
      <c r="AO576" s="275"/>
      <c r="AQ576" s="14"/>
      <c r="AR576"/>
    </row>
    <row r="577" spans="1:44" x14ac:dyDescent="0.25">
      <c r="A577" s="590" t="str">
        <f t="shared" si="119"/>
        <v/>
      </c>
      <c r="B577" s="275">
        <f t="shared" si="120"/>
        <v>0</v>
      </c>
      <c r="C577" s="14">
        <f t="shared" si="117"/>
        <v>0</v>
      </c>
      <c r="D577" s="14">
        <f t="shared" si="121"/>
        <v>0</v>
      </c>
      <c r="E577" s="14">
        <f t="shared" si="118"/>
        <v>0</v>
      </c>
      <c r="K577" s="275">
        <f t="shared" si="122"/>
        <v>0</v>
      </c>
      <c r="L577" s="386">
        <f t="shared" si="124"/>
        <v>0</v>
      </c>
      <c r="M577" s="386">
        <f t="shared" si="123"/>
        <v>0</v>
      </c>
      <c r="N577" s="590" t="str">
        <f>INDEX(tblSubjectToLoan[Date],ROW()-ROW(tblContractForDeed[#Headers]))</f>
        <v/>
      </c>
      <c r="O577" s="275">
        <f>IF(ROW()=ROW(tblContractForDeed[#Headers])+1,$O$6,IF(INDEX(tblContractForDeed[End Bal],ROW()-ROW(tblContractForDeed[#Headers])-1)&lt;0,0,INDEX(tblContractForDeed[End Bal],ROW()-ROW(tblContractForDeed[#Headers])-1)))</f>
        <v>0</v>
      </c>
      <c r="P577" s="445" t="str">
        <f>IF(tblContractForDeed[[#This Row],[Date]]="","",IF(tblContractForDeed[[#This Row],[Date]]&lt;cfdRateChangeDate,cfdRate1,cfdRate2))</f>
        <v/>
      </c>
      <c r="Q5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75">
        <f>SUM(INDEX(tblContractForDeed[Princ],1):INDEX(tblContractForDeed[Princ],ROW()-ROW(tblContractForDeed[#Headers])))</f>
        <v>75258.000000000029</v>
      </c>
      <c r="X577" s="275">
        <f>IF(tblContractForDeed[[#This Row],[Beg]]&lt;=0,0,tblContractForDeed[[#This Row],[Beg]]-tblContractForDeed[[#This Row],[Princ]])</f>
        <v>0</v>
      </c>
      <c r="Y57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75">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7" s="275">
        <f>IF(INDEX(tblContractForDeed[End Bal],ROW()-ROW(tblBuyerOutputs[#Headers]))&lt;=0,0,($O$6+IF(ROW()=ROW(tblBuyerOutputs[#Headers])+1,0,INDEX(tblBuyerOutputs[Cumul Appr],ROW()-ROW(tblBuyerOutputs[#Headers])-1)))*$O$2/12)</f>
        <v>0</v>
      </c>
      <c r="AE577" s="275">
        <f>IF(INDEX(tblContractForDeed[End Bal],ROW()-ROW(tblBuyerOutputs[#Headers]))&lt;=0,0,IF(ROW()=ROW(tblBuyerOutputs[#Headers])+1,0,INDEX(tblBuyerOutputs[Cumul Appr],ROW()-ROW(tblBuyerOutputs[#Headers])-1))+tblBuyerOutputs[[#This Row],[Monthly Appr]])</f>
        <v>0</v>
      </c>
      <c r="AF577" s="22"/>
      <c r="AG577" s="14"/>
      <c r="AL577"/>
      <c r="AM577" s="14"/>
      <c r="AO577" s="275"/>
      <c r="AQ577" s="14"/>
      <c r="AR577"/>
    </row>
    <row r="578" spans="1:44" x14ac:dyDescent="0.25">
      <c r="A578" s="590" t="str">
        <f t="shared" si="119"/>
        <v/>
      </c>
      <c r="B578" s="275">
        <f t="shared" si="120"/>
        <v>0</v>
      </c>
      <c r="C578" s="14">
        <f t="shared" si="117"/>
        <v>0</v>
      </c>
      <c r="D578" s="14">
        <f t="shared" si="121"/>
        <v>0</v>
      </c>
      <c r="E578" s="14">
        <f t="shared" si="118"/>
        <v>0</v>
      </c>
      <c r="K578" s="275">
        <f t="shared" si="122"/>
        <v>0</v>
      </c>
      <c r="L578" s="386">
        <f t="shared" si="124"/>
        <v>0</v>
      </c>
      <c r="M578" s="386">
        <f t="shared" si="123"/>
        <v>0</v>
      </c>
      <c r="N578" s="590" t="str">
        <f>INDEX(tblSubjectToLoan[Date],ROW()-ROW(tblContractForDeed[#Headers]))</f>
        <v/>
      </c>
      <c r="O578" s="275">
        <f>IF(ROW()=ROW(tblContractForDeed[#Headers])+1,$O$6,IF(INDEX(tblContractForDeed[End Bal],ROW()-ROW(tblContractForDeed[#Headers])-1)&lt;0,0,INDEX(tblContractForDeed[End Bal],ROW()-ROW(tblContractForDeed[#Headers])-1)))</f>
        <v>0</v>
      </c>
      <c r="P578" s="445" t="str">
        <f>IF(tblContractForDeed[[#This Row],[Date]]="","",IF(tblContractForDeed[[#This Row],[Date]]&lt;cfdRateChangeDate,cfdRate1,cfdRate2))</f>
        <v/>
      </c>
      <c r="Q5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75">
        <f>SUM(INDEX(tblContractForDeed[Princ],1):INDEX(tblContractForDeed[Princ],ROW()-ROW(tblContractForDeed[#Headers])))</f>
        <v>75258.000000000029</v>
      </c>
      <c r="X578" s="275">
        <f>IF(tblContractForDeed[[#This Row],[Beg]]&lt;=0,0,tblContractForDeed[[#This Row],[Beg]]-tblContractForDeed[[#This Row],[Princ]])</f>
        <v>0</v>
      </c>
      <c r="Y57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75">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8" s="275">
        <f>IF(INDEX(tblContractForDeed[End Bal],ROW()-ROW(tblBuyerOutputs[#Headers]))&lt;=0,0,($O$6+IF(ROW()=ROW(tblBuyerOutputs[#Headers])+1,0,INDEX(tblBuyerOutputs[Cumul Appr],ROW()-ROW(tblBuyerOutputs[#Headers])-1)))*$O$2/12)</f>
        <v>0</v>
      </c>
      <c r="AE578" s="275">
        <f>IF(INDEX(tblContractForDeed[End Bal],ROW()-ROW(tblBuyerOutputs[#Headers]))&lt;=0,0,IF(ROW()=ROW(tblBuyerOutputs[#Headers])+1,0,INDEX(tblBuyerOutputs[Cumul Appr],ROW()-ROW(tblBuyerOutputs[#Headers])-1))+tblBuyerOutputs[[#This Row],[Monthly Appr]])</f>
        <v>0</v>
      </c>
      <c r="AF578" s="22"/>
      <c r="AG578" s="14"/>
      <c r="AL578"/>
      <c r="AM578" s="14"/>
      <c r="AO578" s="275"/>
      <c r="AQ578" s="14"/>
      <c r="AR578"/>
    </row>
    <row r="579" spans="1:44" x14ac:dyDescent="0.25">
      <c r="A579" s="590" t="str">
        <f t="shared" si="119"/>
        <v/>
      </c>
      <c r="B579" s="275">
        <f t="shared" si="120"/>
        <v>0</v>
      </c>
      <c r="C579" s="14">
        <f t="shared" si="117"/>
        <v>0</v>
      </c>
      <c r="D579" s="14">
        <f t="shared" si="121"/>
        <v>0</v>
      </c>
      <c r="E579" s="14">
        <f t="shared" si="118"/>
        <v>0</v>
      </c>
      <c r="K579" s="275">
        <f t="shared" si="122"/>
        <v>0</v>
      </c>
      <c r="L579" s="386">
        <f t="shared" si="124"/>
        <v>0</v>
      </c>
      <c r="M579" s="386">
        <f t="shared" si="123"/>
        <v>0</v>
      </c>
      <c r="N579" s="590" t="str">
        <f>INDEX(tblSubjectToLoan[Date],ROW()-ROW(tblContractForDeed[#Headers]))</f>
        <v/>
      </c>
      <c r="O579" s="275">
        <f>IF(ROW()=ROW(tblContractForDeed[#Headers])+1,$O$6,IF(INDEX(tblContractForDeed[End Bal],ROW()-ROW(tblContractForDeed[#Headers])-1)&lt;0,0,INDEX(tblContractForDeed[End Bal],ROW()-ROW(tblContractForDeed[#Headers])-1)))</f>
        <v>0</v>
      </c>
      <c r="P579" s="445" t="str">
        <f>IF(tblContractForDeed[[#This Row],[Date]]="","",IF(tblContractForDeed[[#This Row],[Date]]&lt;cfdRateChangeDate,cfdRate1,cfdRate2))</f>
        <v/>
      </c>
      <c r="Q57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75">
        <f>SUM(INDEX(tblContractForDeed[Princ],1):INDEX(tblContractForDeed[Princ],ROW()-ROW(tblContractForDeed[#Headers])))</f>
        <v>75258.000000000029</v>
      </c>
      <c r="X579" s="275">
        <f>IF(tblContractForDeed[[#This Row],[Beg]]&lt;=0,0,tblContractForDeed[[#This Row],[Beg]]-tblContractForDeed[[#This Row],[Princ]])</f>
        <v>0</v>
      </c>
      <c r="Y57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75">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9" s="275">
        <f>IF(INDEX(tblContractForDeed[End Bal],ROW()-ROW(tblBuyerOutputs[#Headers]))&lt;=0,0,($O$6+IF(ROW()=ROW(tblBuyerOutputs[#Headers])+1,0,INDEX(tblBuyerOutputs[Cumul Appr],ROW()-ROW(tblBuyerOutputs[#Headers])-1)))*$O$2/12)</f>
        <v>0</v>
      </c>
      <c r="AE579" s="275">
        <f>IF(INDEX(tblContractForDeed[End Bal],ROW()-ROW(tblBuyerOutputs[#Headers]))&lt;=0,0,IF(ROW()=ROW(tblBuyerOutputs[#Headers])+1,0,INDEX(tblBuyerOutputs[Cumul Appr],ROW()-ROW(tblBuyerOutputs[#Headers])-1))+tblBuyerOutputs[[#This Row],[Monthly Appr]])</f>
        <v>0</v>
      </c>
      <c r="AF579" s="22"/>
      <c r="AG579" s="14"/>
      <c r="AL579"/>
      <c r="AM579" s="14"/>
      <c r="AO579" s="275"/>
      <c r="AQ579" s="14"/>
      <c r="AR579"/>
    </row>
    <row r="580" spans="1:44" x14ac:dyDescent="0.25">
      <c r="A580" s="590" t="str">
        <f t="shared" si="119"/>
        <v/>
      </c>
      <c r="B580" s="275">
        <f t="shared" si="120"/>
        <v>0</v>
      </c>
      <c r="C580" s="14">
        <f t="shared" si="117"/>
        <v>0</v>
      </c>
      <c r="D580" s="14">
        <f t="shared" si="121"/>
        <v>0</v>
      </c>
      <c r="E580" s="14">
        <f t="shared" si="118"/>
        <v>0</v>
      </c>
      <c r="K580" s="275">
        <f t="shared" si="122"/>
        <v>0</v>
      </c>
      <c r="L580" s="386">
        <f t="shared" si="124"/>
        <v>0</v>
      </c>
      <c r="M580" s="386">
        <f t="shared" si="123"/>
        <v>0</v>
      </c>
      <c r="N580" s="590" t="str">
        <f>INDEX(tblSubjectToLoan[Date],ROW()-ROW(tblContractForDeed[#Headers]))</f>
        <v/>
      </c>
      <c r="O580" s="275">
        <f>IF(ROW()=ROW(tblContractForDeed[#Headers])+1,$O$6,IF(INDEX(tblContractForDeed[End Bal],ROW()-ROW(tblContractForDeed[#Headers])-1)&lt;0,0,INDEX(tblContractForDeed[End Bal],ROW()-ROW(tblContractForDeed[#Headers])-1)))</f>
        <v>0</v>
      </c>
      <c r="P580" s="445" t="str">
        <f>IF(tblContractForDeed[[#This Row],[Date]]="","",IF(tblContractForDeed[[#This Row],[Date]]&lt;cfdRateChangeDate,cfdRate1,cfdRate2))</f>
        <v/>
      </c>
      <c r="Q5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75">
        <f>SUM(INDEX(tblContractForDeed[Princ],1):INDEX(tblContractForDeed[Princ],ROW()-ROW(tblContractForDeed[#Headers])))</f>
        <v>75258.000000000029</v>
      </c>
      <c r="X580" s="275">
        <f>IF(tblContractForDeed[[#This Row],[Beg]]&lt;=0,0,tblContractForDeed[[#This Row],[Beg]]-tblContractForDeed[[#This Row],[Princ]])</f>
        <v>0</v>
      </c>
      <c r="Y58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75">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0" s="275">
        <f>IF(INDEX(tblContractForDeed[End Bal],ROW()-ROW(tblBuyerOutputs[#Headers]))&lt;=0,0,($O$6+IF(ROW()=ROW(tblBuyerOutputs[#Headers])+1,0,INDEX(tblBuyerOutputs[Cumul Appr],ROW()-ROW(tblBuyerOutputs[#Headers])-1)))*$O$2/12)</f>
        <v>0</v>
      </c>
      <c r="AE580" s="275">
        <f>IF(INDEX(tblContractForDeed[End Bal],ROW()-ROW(tblBuyerOutputs[#Headers]))&lt;=0,0,IF(ROW()=ROW(tblBuyerOutputs[#Headers])+1,0,INDEX(tblBuyerOutputs[Cumul Appr],ROW()-ROW(tblBuyerOutputs[#Headers])-1))+tblBuyerOutputs[[#This Row],[Monthly Appr]])</f>
        <v>0</v>
      </c>
      <c r="AF580" s="22"/>
      <c r="AG580" s="14"/>
      <c r="AL580"/>
      <c r="AM580" s="14"/>
      <c r="AO580" s="275"/>
      <c r="AQ580" s="14"/>
      <c r="AR580"/>
    </row>
    <row r="581" spans="1:44" x14ac:dyDescent="0.25">
      <c r="A581" s="590" t="str">
        <f t="shared" si="119"/>
        <v/>
      </c>
      <c r="B581" s="275">
        <f t="shared" si="120"/>
        <v>0</v>
      </c>
      <c r="C581" s="14">
        <f t="shared" si="117"/>
        <v>0</v>
      </c>
      <c r="D581" s="14">
        <f t="shared" si="121"/>
        <v>0</v>
      </c>
      <c r="E581" s="14">
        <f t="shared" si="118"/>
        <v>0</v>
      </c>
      <c r="K581" s="275">
        <f t="shared" si="122"/>
        <v>0</v>
      </c>
      <c r="L581" s="386">
        <f t="shared" si="124"/>
        <v>0</v>
      </c>
      <c r="M581" s="386">
        <f t="shared" si="123"/>
        <v>0</v>
      </c>
      <c r="N581" s="590" t="str">
        <f>INDEX(tblSubjectToLoan[Date],ROW()-ROW(tblContractForDeed[#Headers]))</f>
        <v/>
      </c>
      <c r="O581" s="275">
        <f>IF(ROW()=ROW(tblContractForDeed[#Headers])+1,$O$6,IF(INDEX(tblContractForDeed[End Bal],ROW()-ROW(tblContractForDeed[#Headers])-1)&lt;0,0,INDEX(tblContractForDeed[End Bal],ROW()-ROW(tblContractForDeed[#Headers])-1)))</f>
        <v>0</v>
      </c>
      <c r="P581" s="445" t="str">
        <f>IF(tblContractForDeed[[#This Row],[Date]]="","",IF(tblContractForDeed[[#This Row],[Date]]&lt;cfdRateChangeDate,cfdRate1,cfdRate2))</f>
        <v/>
      </c>
      <c r="Q5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75">
        <f>SUM(INDEX(tblContractForDeed[Princ],1):INDEX(tblContractForDeed[Princ],ROW()-ROW(tblContractForDeed[#Headers])))</f>
        <v>75258.000000000029</v>
      </c>
      <c r="X581" s="275">
        <f>IF(tblContractForDeed[[#This Row],[Beg]]&lt;=0,0,tblContractForDeed[[#This Row],[Beg]]-tblContractForDeed[[#This Row],[Princ]])</f>
        <v>0</v>
      </c>
      <c r="Y58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75">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1" s="275">
        <f>IF(INDEX(tblContractForDeed[End Bal],ROW()-ROW(tblBuyerOutputs[#Headers]))&lt;=0,0,($O$6+IF(ROW()=ROW(tblBuyerOutputs[#Headers])+1,0,INDEX(tblBuyerOutputs[Cumul Appr],ROW()-ROW(tblBuyerOutputs[#Headers])-1)))*$O$2/12)</f>
        <v>0</v>
      </c>
      <c r="AE581" s="275">
        <f>IF(INDEX(tblContractForDeed[End Bal],ROW()-ROW(tblBuyerOutputs[#Headers]))&lt;=0,0,IF(ROW()=ROW(tblBuyerOutputs[#Headers])+1,0,INDEX(tblBuyerOutputs[Cumul Appr],ROW()-ROW(tblBuyerOutputs[#Headers])-1))+tblBuyerOutputs[[#This Row],[Monthly Appr]])</f>
        <v>0</v>
      </c>
      <c r="AF581" s="22"/>
      <c r="AG581" s="14"/>
      <c r="AL581"/>
      <c r="AM581" s="14"/>
      <c r="AO581" s="275"/>
      <c r="AQ581" s="14"/>
      <c r="AR581"/>
    </row>
    <row r="582" spans="1:44" x14ac:dyDescent="0.25">
      <c r="A582" s="590" t="str">
        <f t="shared" si="119"/>
        <v/>
      </c>
      <c r="B582" s="275">
        <f t="shared" si="120"/>
        <v>0</v>
      </c>
      <c r="C582" s="14">
        <f t="shared" si="117"/>
        <v>0</v>
      </c>
      <c r="D582" s="14">
        <f t="shared" si="121"/>
        <v>0</v>
      </c>
      <c r="E582" s="14">
        <f t="shared" si="118"/>
        <v>0</v>
      </c>
      <c r="K582" s="275">
        <f t="shared" si="122"/>
        <v>0</v>
      </c>
      <c r="L582" s="386">
        <f t="shared" si="124"/>
        <v>0</v>
      </c>
      <c r="M582" s="386">
        <f t="shared" si="123"/>
        <v>0</v>
      </c>
      <c r="N582" s="590" t="str">
        <f>INDEX(tblSubjectToLoan[Date],ROW()-ROW(tblContractForDeed[#Headers]))</f>
        <v/>
      </c>
      <c r="O582" s="275">
        <f>IF(ROW()=ROW(tblContractForDeed[#Headers])+1,$O$6,IF(INDEX(tblContractForDeed[End Bal],ROW()-ROW(tblContractForDeed[#Headers])-1)&lt;0,0,INDEX(tblContractForDeed[End Bal],ROW()-ROW(tblContractForDeed[#Headers])-1)))</f>
        <v>0</v>
      </c>
      <c r="P582" s="445" t="str">
        <f>IF(tblContractForDeed[[#This Row],[Date]]="","",IF(tblContractForDeed[[#This Row],[Date]]&lt;cfdRateChangeDate,cfdRate1,cfdRate2))</f>
        <v/>
      </c>
      <c r="Q5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75">
        <f>SUM(INDEX(tblContractForDeed[Princ],1):INDEX(tblContractForDeed[Princ],ROW()-ROW(tblContractForDeed[#Headers])))</f>
        <v>75258.000000000029</v>
      </c>
      <c r="X582" s="275">
        <f>IF(tblContractForDeed[[#This Row],[Beg]]&lt;=0,0,tblContractForDeed[[#This Row],[Beg]]-tblContractForDeed[[#This Row],[Princ]])</f>
        <v>0</v>
      </c>
      <c r="Y58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75">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2" s="275">
        <f>IF(INDEX(tblContractForDeed[End Bal],ROW()-ROW(tblBuyerOutputs[#Headers]))&lt;=0,0,($O$6+IF(ROW()=ROW(tblBuyerOutputs[#Headers])+1,0,INDEX(tblBuyerOutputs[Cumul Appr],ROW()-ROW(tblBuyerOutputs[#Headers])-1)))*$O$2/12)</f>
        <v>0</v>
      </c>
      <c r="AE582" s="275">
        <f>IF(INDEX(tblContractForDeed[End Bal],ROW()-ROW(tblBuyerOutputs[#Headers]))&lt;=0,0,IF(ROW()=ROW(tblBuyerOutputs[#Headers])+1,0,INDEX(tblBuyerOutputs[Cumul Appr],ROW()-ROW(tblBuyerOutputs[#Headers])-1))+tblBuyerOutputs[[#This Row],[Monthly Appr]])</f>
        <v>0</v>
      </c>
      <c r="AF582" s="22"/>
      <c r="AG582" s="14"/>
      <c r="AL582"/>
      <c r="AM582" s="14"/>
      <c r="AO582" s="275"/>
      <c r="AQ582" s="14"/>
      <c r="AR582"/>
    </row>
    <row r="583" spans="1:44" ht="15.75" thickBot="1" x14ac:dyDescent="0.3">
      <c r="A583" s="591" t="str">
        <f t="shared" si="119"/>
        <v/>
      </c>
      <c r="B583" s="326">
        <f t="shared" si="120"/>
        <v>0</v>
      </c>
      <c r="C583" s="21">
        <f t="shared" si="117"/>
        <v>0</v>
      </c>
      <c r="D583" s="21">
        <f t="shared" si="121"/>
        <v>0</v>
      </c>
      <c r="E583" s="21">
        <f t="shared" si="118"/>
        <v>0</v>
      </c>
      <c r="F583" s="21"/>
      <c r="G583" s="21"/>
      <c r="H583" s="21"/>
      <c r="I583" s="326"/>
      <c r="J583" s="326"/>
      <c r="K583" s="326">
        <f t="shared" si="122"/>
        <v>0</v>
      </c>
      <c r="L583" s="387">
        <f t="shared" si="124"/>
        <v>0</v>
      </c>
      <c r="M583" s="387">
        <f t="shared" si="123"/>
        <v>0</v>
      </c>
      <c r="N583" s="591" t="str">
        <f>INDEX(tblSubjectToLoan[Date],ROW()-ROW(tblContractForDeed[#Headers]))</f>
        <v/>
      </c>
      <c r="O583" s="326">
        <f>IF(ROW()=ROW(tblContractForDeed[#Headers])+1,$O$6,IF(INDEX(tblContractForDeed[End Bal],ROW()-ROW(tblContractForDeed[#Headers])-1)&lt;0,0,INDEX(tblContractForDeed[End Bal],ROW()-ROW(tblContractForDeed[#Headers])-1)))</f>
        <v>0</v>
      </c>
      <c r="P583" s="445" t="str">
        <f>IF(tblContractForDeed[[#This Row],[Date]]="","",IF(tblContractForDeed[[#This Row],[Date]]&lt;cfdRateChangeDate,cfdRate1,cfdRate2))</f>
        <v/>
      </c>
      <c r="Q58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26">
        <f>SUM(INDEX(tblContractForDeed[Princ],1):INDEX(tblContractForDeed[Princ],ROW()-ROW(tblContractForDeed[#Headers])))</f>
        <v>75258.000000000029</v>
      </c>
      <c r="X583" s="326">
        <f>IF(tblContractForDeed[[#This Row],[Beg]]&lt;=0,0,tblContractForDeed[[#This Row],[Beg]]-tblContractForDeed[[#This Row],[Princ]])</f>
        <v>0</v>
      </c>
      <c r="Y58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26">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3" s="326">
        <f>IF(INDEX(tblContractForDeed[End Bal],ROW()-ROW(tblBuyerOutputs[#Headers]))&lt;=0,0,($O$6+IF(ROW()=ROW(tblBuyerOutputs[#Headers])+1,0,INDEX(tblBuyerOutputs[Cumul Appr],ROW()-ROW(tblBuyerOutputs[#Headers])-1)))*$O$2/12)</f>
        <v>0</v>
      </c>
      <c r="AE583" s="326">
        <f>IF(INDEX(tblContractForDeed[End Bal],ROW()-ROW(tblBuyerOutputs[#Headers]))&lt;=0,0,IF(ROW()=ROW(tblBuyerOutputs[#Headers])+1,0,INDEX(tblBuyerOutputs[Cumul Appr],ROW()-ROW(tblBuyerOutputs[#Headers])-1))+tblBuyerOutputs[[#This Row],[Monthly Appr]])</f>
        <v>0</v>
      </c>
      <c r="AF583" s="22"/>
      <c r="AG583" s="14"/>
      <c r="AL583"/>
      <c r="AM583" s="14"/>
      <c r="AO583" s="275"/>
      <c r="AQ583" s="21"/>
      <c r="AR583"/>
    </row>
    <row r="584" spans="1:44" x14ac:dyDescent="0.25">
      <c r="A584" s="590" t="str">
        <f t="shared" si="119"/>
        <v/>
      </c>
      <c r="B584" s="275">
        <f t="shared" si="120"/>
        <v>0</v>
      </c>
      <c r="C584" s="14">
        <f t="shared" si="117"/>
        <v>0</v>
      </c>
      <c r="D584" s="14">
        <f t="shared" si="121"/>
        <v>0</v>
      </c>
      <c r="E584" s="14">
        <f t="shared" si="118"/>
        <v>0</v>
      </c>
      <c r="K584" s="275">
        <f t="shared" si="122"/>
        <v>0</v>
      </c>
      <c r="L584" s="386">
        <f t="shared" si="124"/>
        <v>0</v>
      </c>
      <c r="M584" s="386">
        <f t="shared" si="123"/>
        <v>0</v>
      </c>
      <c r="N584" s="590" t="str">
        <f>INDEX(tblSubjectToLoan[Date],ROW()-ROW(tblContractForDeed[#Headers]))</f>
        <v/>
      </c>
      <c r="O584" s="275">
        <f>IF(ROW()=ROW(tblContractForDeed[#Headers])+1,$O$6,IF(INDEX(tblContractForDeed[End Bal],ROW()-ROW(tblContractForDeed[#Headers])-1)&lt;0,0,INDEX(tblContractForDeed[End Bal],ROW()-ROW(tblContractForDeed[#Headers])-1)))</f>
        <v>0</v>
      </c>
      <c r="P584" s="445" t="str">
        <f>IF(tblContractForDeed[[#This Row],[Date]]="","",IF(tblContractForDeed[[#This Row],[Date]]&lt;cfdRateChangeDate,cfdRate1,cfdRate2))</f>
        <v/>
      </c>
      <c r="Q5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75">
        <f>SUM(INDEX(tblContractForDeed[Princ],1):INDEX(tblContractForDeed[Princ],ROW()-ROW(tblContractForDeed[#Headers])))</f>
        <v>75258.000000000029</v>
      </c>
      <c r="X584" s="275">
        <f>IF(tblContractForDeed[[#This Row],[Beg]]&lt;=0,0,tblContractForDeed[[#This Row],[Beg]]-tblContractForDeed[[#This Row],[Princ]])</f>
        <v>0</v>
      </c>
      <c r="Y58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75">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4" s="275">
        <f>IF(INDEX(tblContractForDeed[End Bal],ROW()-ROW(tblBuyerOutputs[#Headers]))&lt;=0,0,($O$6+IF(ROW()=ROW(tblBuyerOutputs[#Headers])+1,0,INDEX(tblBuyerOutputs[Cumul Appr],ROW()-ROW(tblBuyerOutputs[#Headers])-1)))*$O$2/12)</f>
        <v>0</v>
      </c>
      <c r="AE584" s="275">
        <f>IF(INDEX(tblContractForDeed[End Bal],ROW()-ROW(tblBuyerOutputs[#Headers]))&lt;=0,0,IF(ROW()=ROW(tblBuyerOutputs[#Headers])+1,0,INDEX(tblBuyerOutputs[Cumul Appr],ROW()-ROW(tblBuyerOutputs[#Headers])-1))+tblBuyerOutputs[[#This Row],[Monthly Appr]])</f>
        <v>0</v>
      </c>
      <c r="AF584" s="22"/>
      <c r="AG584" s="14"/>
      <c r="AL584"/>
      <c r="AM584" s="14"/>
      <c r="AO584" s="275"/>
      <c r="AQ584" s="14"/>
      <c r="AR584"/>
    </row>
    <row r="585" spans="1:44" x14ac:dyDescent="0.25">
      <c r="A585" s="590" t="str">
        <f t="shared" si="119"/>
        <v/>
      </c>
      <c r="B585" s="275">
        <f t="shared" si="120"/>
        <v>0</v>
      </c>
      <c r="C585" s="14">
        <f t="shared" si="117"/>
        <v>0</v>
      </c>
      <c r="D585" s="14">
        <f t="shared" si="121"/>
        <v>0</v>
      </c>
      <c r="E585" s="14">
        <f t="shared" si="118"/>
        <v>0</v>
      </c>
      <c r="K585" s="275">
        <f t="shared" si="122"/>
        <v>0</v>
      </c>
      <c r="L585" s="386">
        <f t="shared" si="124"/>
        <v>0</v>
      </c>
      <c r="M585" s="386">
        <f t="shared" si="123"/>
        <v>0</v>
      </c>
      <c r="N585" s="590" t="str">
        <f>INDEX(tblSubjectToLoan[Date],ROW()-ROW(tblContractForDeed[#Headers]))</f>
        <v/>
      </c>
      <c r="O585" s="275">
        <f>IF(ROW()=ROW(tblContractForDeed[#Headers])+1,$O$6,IF(INDEX(tblContractForDeed[End Bal],ROW()-ROW(tblContractForDeed[#Headers])-1)&lt;0,0,INDEX(tblContractForDeed[End Bal],ROW()-ROW(tblContractForDeed[#Headers])-1)))</f>
        <v>0</v>
      </c>
      <c r="P585" s="445" t="str">
        <f>IF(tblContractForDeed[[#This Row],[Date]]="","",IF(tblContractForDeed[[#This Row],[Date]]&lt;cfdRateChangeDate,cfdRate1,cfdRate2))</f>
        <v/>
      </c>
      <c r="Q5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75">
        <f>SUM(INDEX(tblContractForDeed[Princ],1):INDEX(tblContractForDeed[Princ],ROW()-ROW(tblContractForDeed[#Headers])))</f>
        <v>75258.000000000029</v>
      </c>
      <c r="X585" s="275">
        <f>IF(tblContractForDeed[[#This Row],[Beg]]&lt;=0,0,tblContractForDeed[[#This Row],[Beg]]-tblContractForDeed[[#This Row],[Princ]])</f>
        <v>0</v>
      </c>
      <c r="Y58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75">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5" s="275">
        <f>IF(INDEX(tblContractForDeed[End Bal],ROW()-ROW(tblBuyerOutputs[#Headers]))&lt;=0,0,($O$6+IF(ROW()=ROW(tblBuyerOutputs[#Headers])+1,0,INDEX(tblBuyerOutputs[Cumul Appr],ROW()-ROW(tblBuyerOutputs[#Headers])-1)))*$O$2/12)</f>
        <v>0</v>
      </c>
      <c r="AE585" s="275">
        <f>IF(INDEX(tblContractForDeed[End Bal],ROW()-ROW(tblBuyerOutputs[#Headers]))&lt;=0,0,IF(ROW()=ROW(tblBuyerOutputs[#Headers])+1,0,INDEX(tblBuyerOutputs[Cumul Appr],ROW()-ROW(tblBuyerOutputs[#Headers])-1))+tblBuyerOutputs[[#This Row],[Monthly Appr]])</f>
        <v>0</v>
      </c>
      <c r="AF585" s="22"/>
      <c r="AG585" s="14"/>
      <c r="AL585"/>
      <c r="AM585" s="14"/>
      <c r="AO585" s="275"/>
      <c r="AQ585" s="14"/>
      <c r="AR585"/>
    </row>
    <row r="586" spans="1:44" x14ac:dyDescent="0.25">
      <c r="A586" s="590" t="str">
        <f t="shared" si="119"/>
        <v/>
      </c>
      <c r="B586" s="275">
        <f t="shared" si="120"/>
        <v>0</v>
      </c>
      <c r="C586" s="14">
        <f t="shared" si="117"/>
        <v>0</v>
      </c>
      <c r="D586" s="14">
        <f t="shared" si="121"/>
        <v>0</v>
      </c>
      <c r="E586" s="14">
        <f t="shared" si="118"/>
        <v>0</v>
      </c>
      <c r="K586" s="275">
        <f t="shared" si="122"/>
        <v>0</v>
      </c>
      <c r="L586" s="386">
        <f t="shared" si="124"/>
        <v>0</v>
      </c>
      <c r="M586" s="386">
        <f t="shared" si="123"/>
        <v>0</v>
      </c>
      <c r="N586" s="590" t="str">
        <f>INDEX(tblSubjectToLoan[Date],ROW()-ROW(tblContractForDeed[#Headers]))</f>
        <v/>
      </c>
      <c r="O586" s="275">
        <f>IF(ROW()=ROW(tblContractForDeed[#Headers])+1,$O$6,IF(INDEX(tblContractForDeed[End Bal],ROW()-ROW(tblContractForDeed[#Headers])-1)&lt;0,0,INDEX(tblContractForDeed[End Bal],ROW()-ROW(tblContractForDeed[#Headers])-1)))</f>
        <v>0</v>
      </c>
      <c r="P586" s="445" t="str">
        <f>IF(tblContractForDeed[[#This Row],[Date]]="","",IF(tblContractForDeed[[#This Row],[Date]]&lt;cfdRateChangeDate,cfdRate1,cfdRate2))</f>
        <v/>
      </c>
      <c r="Q5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75">
        <f>SUM(INDEX(tblContractForDeed[Princ],1):INDEX(tblContractForDeed[Princ],ROW()-ROW(tblContractForDeed[#Headers])))</f>
        <v>75258.000000000029</v>
      </c>
      <c r="X586" s="275">
        <f>IF(tblContractForDeed[[#This Row],[Beg]]&lt;=0,0,tblContractForDeed[[#This Row],[Beg]]-tblContractForDeed[[#This Row],[Princ]])</f>
        <v>0</v>
      </c>
      <c r="Y58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75">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6" s="275">
        <f>IF(INDEX(tblContractForDeed[End Bal],ROW()-ROW(tblBuyerOutputs[#Headers]))&lt;=0,0,($O$6+IF(ROW()=ROW(tblBuyerOutputs[#Headers])+1,0,INDEX(tblBuyerOutputs[Cumul Appr],ROW()-ROW(tblBuyerOutputs[#Headers])-1)))*$O$2/12)</f>
        <v>0</v>
      </c>
      <c r="AE586" s="275">
        <f>IF(INDEX(tblContractForDeed[End Bal],ROW()-ROW(tblBuyerOutputs[#Headers]))&lt;=0,0,IF(ROW()=ROW(tblBuyerOutputs[#Headers])+1,0,INDEX(tblBuyerOutputs[Cumul Appr],ROW()-ROW(tblBuyerOutputs[#Headers])-1))+tblBuyerOutputs[[#This Row],[Monthly Appr]])</f>
        <v>0</v>
      </c>
      <c r="AF586" s="22"/>
      <c r="AG586" s="14"/>
      <c r="AL586"/>
      <c r="AM586" s="14"/>
      <c r="AO586" s="275"/>
      <c r="AQ586" s="14"/>
      <c r="AR586"/>
    </row>
    <row r="587" spans="1:44" x14ac:dyDescent="0.25">
      <c r="A587" s="590" t="str">
        <f t="shared" si="119"/>
        <v/>
      </c>
      <c r="B587" s="275">
        <f t="shared" si="120"/>
        <v>0</v>
      </c>
      <c r="C587" s="14">
        <f t="shared" si="117"/>
        <v>0</v>
      </c>
      <c r="D587" s="14">
        <f t="shared" si="121"/>
        <v>0</v>
      </c>
      <c r="E587" s="14">
        <f t="shared" si="118"/>
        <v>0</v>
      </c>
      <c r="K587" s="275">
        <f t="shared" si="122"/>
        <v>0</v>
      </c>
      <c r="L587" s="386">
        <f t="shared" si="124"/>
        <v>0</v>
      </c>
      <c r="M587" s="386">
        <f t="shared" si="123"/>
        <v>0</v>
      </c>
      <c r="N587" s="590" t="str">
        <f>INDEX(tblSubjectToLoan[Date],ROW()-ROW(tblContractForDeed[#Headers]))</f>
        <v/>
      </c>
      <c r="O587" s="275">
        <f>IF(ROW()=ROW(tblContractForDeed[#Headers])+1,$O$6,IF(INDEX(tblContractForDeed[End Bal],ROW()-ROW(tblContractForDeed[#Headers])-1)&lt;0,0,INDEX(tblContractForDeed[End Bal],ROW()-ROW(tblContractForDeed[#Headers])-1)))</f>
        <v>0</v>
      </c>
      <c r="P587" s="445" t="str">
        <f>IF(tblContractForDeed[[#This Row],[Date]]="","",IF(tblContractForDeed[[#This Row],[Date]]&lt;cfdRateChangeDate,cfdRate1,cfdRate2))</f>
        <v/>
      </c>
      <c r="Q58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75">
        <f>SUM(INDEX(tblContractForDeed[Princ],1):INDEX(tblContractForDeed[Princ],ROW()-ROW(tblContractForDeed[#Headers])))</f>
        <v>75258.000000000029</v>
      </c>
      <c r="X587" s="275">
        <f>IF(tblContractForDeed[[#This Row],[Beg]]&lt;=0,0,tblContractForDeed[[#This Row],[Beg]]-tblContractForDeed[[#This Row],[Princ]])</f>
        <v>0</v>
      </c>
      <c r="Y58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75">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7" s="275">
        <f>IF(INDEX(tblContractForDeed[End Bal],ROW()-ROW(tblBuyerOutputs[#Headers]))&lt;=0,0,($O$6+IF(ROW()=ROW(tblBuyerOutputs[#Headers])+1,0,INDEX(tblBuyerOutputs[Cumul Appr],ROW()-ROW(tblBuyerOutputs[#Headers])-1)))*$O$2/12)</f>
        <v>0</v>
      </c>
      <c r="AE587" s="275">
        <f>IF(INDEX(tblContractForDeed[End Bal],ROW()-ROW(tblBuyerOutputs[#Headers]))&lt;=0,0,IF(ROW()=ROW(tblBuyerOutputs[#Headers])+1,0,INDEX(tblBuyerOutputs[Cumul Appr],ROW()-ROW(tblBuyerOutputs[#Headers])-1))+tblBuyerOutputs[[#This Row],[Monthly Appr]])</f>
        <v>0</v>
      </c>
      <c r="AF587" s="22"/>
      <c r="AG587" s="14"/>
      <c r="AL587"/>
      <c r="AM587" s="14"/>
      <c r="AO587" s="275"/>
      <c r="AQ587" s="14"/>
      <c r="AR587"/>
    </row>
    <row r="588" spans="1:44" x14ac:dyDescent="0.25">
      <c r="A588" s="590" t="str">
        <f t="shared" si="119"/>
        <v/>
      </c>
      <c r="B588" s="275">
        <f t="shared" si="120"/>
        <v>0</v>
      </c>
      <c r="C588" s="14">
        <f t="shared" si="117"/>
        <v>0</v>
      </c>
      <c r="D588" s="14">
        <f t="shared" si="121"/>
        <v>0</v>
      </c>
      <c r="E588" s="14">
        <f t="shared" si="118"/>
        <v>0</v>
      </c>
      <c r="K588" s="275">
        <f t="shared" si="122"/>
        <v>0</v>
      </c>
      <c r="L588" s="386">
        <f t="shared" si="124"/>
        <v>0</v>
      </c>
      <c r="M588" s="386">
        <f t="shared" si="123"/>
        <v>0</v>
      </c>
      <c r="N588" s="590" t="str">
        <f>INDEX(tblSubjectToLoan[Date],ROW()-ROW(tblContractForDeed[#Headers]))</f>
        <v/>
      </c>
      <c r="O588" s="275">
        <f>IF(ROW()=ROW(tblContractForDeed[#Headers])+1,$O$6,IF(INDEX(tblContractForDeed[End Bal],ROW()-ROW(tblContractForDeed[#Headers])-1)&lt;0,0,INDEX(tblContractForDeed[End Bal],ROW()-ROW(tblContractForDeed[#Headers])-1)))</f>
        <v>0</v>
      </c>
      <c r="P588" s="445" t="str">
        <f>IF(tblContractForDeed[[#This Row],[Date]]="","",IF(tblContractForDeed[[#This Row],[Date]]&lt;cfdRateChangeDate,cfdRate1,cfdRate2))</f>
        <v/>
      </c>
      <c r="Q5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75">
        <f>SUM(INDEX(tblContractForDeed[Princ],1):INDEX(tblContractForDeed[Princ],ROW()-ROW(tblContractForDeed[#Headers])))</f>
        <v>75258.000000000029</v>
      </c>
      <c r="X588" s="275">
        <f>IF(tblContractForDeed[[#This Row],[Beg]]&lt;=0,0,tblContractForDeed[[#This Row],[Beg]]-tblContractForDeed[[#This Row],[Princ]])</f>
        <v>0</v>
      </c>
      <c r="Y58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75">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8" s="275">
        <f>IF(INDEX(tblContractForDeed[End Bal],ROW()-ROW(tblBuyerOutputs[#Headers]))&lt;=0,0,($O$6+IF(ROW()=ROW(tblBuyerOutputs[#Headers])+1,0,INDEX(tblBuyerOutputs[Cumul Appr],ROW()-ROW(tblBuyerOutputs[#Headers])-1)))*$O$2/12)</f>
        <v>0</v>
      </c>
      <c r="AE588" s="275">
        <f>IF(INDEX(tblContractForDeed[End Bal],ROW()-ROW(tblBuyerOutputs[#Headers]))&lt;=0,0,IF(ROW()=ROW(tblBuyerOutputs[#Headers])+1,0,INDEX(tblBuyerOutputs[Cumul Appr],ROW()-ROW(tblBuyerOutputs[#Headers])-1))+tblBuyerOutputs[[#This Row],[Monthly Appr]])</f>
        <v>0</v>
      </c>
      <c r="AF588" s="22"/>
      <c r="AG588" s="14"/>
      <c r="AL588"/>
      <c r="AM588" s="14"/>
      <c r="AO588" s="275"/>
      <c r="AQ588" s="14"/>
      <c r="AR588"/>
    </row>
    <row r="589" spans="1:44" x14ac:dyDescent="0.25">
      <c r="A589" s="590" t="str">
        <f t="shared" si="119"/>
        <v/>
      </c>
      <c r="B589" s="275">
        <f t="shared" si="120"/>
        <v>0</v>
      </c>
      <c r="C589" s="14">
        <f t="shared" si="117"/>
        <v>0</v>
      </c>
      <c r="D589" s="14">
        <f t="shared" si="121"/>
        <v>0</v>
      </c>
      <c r="E589" s="14">
        <f t="shared" si="118"/>
        <v>0</v>
      </c>
      <c r="K589" s="275">
        <f t="shared" si="122"/>
        <v>0</v>
      </c>
      <c r="L589" s="386">
        <f t="shared" si="124"/>
        <v>0</v>
      </c>
      <c r="M589" s="386">
        <f t="shared" si="123"/>
        <v>0</v>
      </c>
      <c r="N589" s="590" t="str">
        <f>INDEX(tblSubjectToLoan[Date],ROW()-ROW(tblContractForDeed[#Headers]))</f>
        <v/>
      </c>
      <c r="O589" s="275">
        <f>IF(ROW()=ROW(tblContractForDeed[#Headers])+1,$O$6,IF(INDEX(tblContractForDeed[End Bal],ROW()-ROW(tblContractForDeed[#Headers])-1)&lt;0,0,INDEX(tblContractForDeed[End Bal],ROW()-ROW(tblContractForDeed[#Headers])-1)))</f>
        <v>0</v>
      </c>
      <c r="P589" s="445" t="str">
        <f>IF(tblContractForDeed[[#This Row],[Date]]="","",IF(tblContractForDeed[[#This Row],[Date]]&lt;cfdRateChangeDate,cfdRate1,cfdRate2))</f>
        <v/>
      </c>
      <c r="Q5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75">
        <f>SUM(INDEX(tblContractForDeed[Princ],1):INDEX(tblContractForDeed[Princ],ROW()-ROW(tblContractForDeed[#Headers])))</f>
        <v>75258.000000000029</v>
      </c>
      <c r="X589" s="275">
        <f>IF(tblContractForDeed[[#This Row],[Beg]]&lt;=0,0,tblContractForDeed[[#This Row],[Beg]]-tblContractForDeed[[#This Row],[Princ]])</f>
        <v>0</v>
      </c>
      <c r="Y58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75">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9" s="275">
        <f>IF(INDEX(tblContractForDeed[End Bal],ROW()-ROW(tblBuyerOutputs[#Headers]))&lt;=0,0,($O$6+IF(ROW()=ROW(tblBuyerOutputs[#Headers])+1,0,INDEX(tblBuyerOutputs[Cumul Appr],ROW()-ROW(tblBuyerOutputs[#Headers])-1)))*$O$2/12)</f>
        <v>0</v>
      </c>
      <c r="AE589" s="275">
        <f>IF(INDEX(tblContractForDeed[End Bal],ROW()-ROW(tblBuyerOutputs[#Headers]))&lt;=0,0,IF(ROW()=ROW(tblBuyerOutputs[#Headers])+1,0,INDEX(tblBuyerOutputs[Cumul Appr],ROW()-ROW(tblBuyerOutputs[#Headers])-1))+tblBuyerOutputs[[#This Row],[Monthly Appr]])</f>
        <v>0</v>
      </c>
      <c r="AF589" s="22"/>
      <c r="AG589" s="14"/>
      <c r="AL589"/>
      <c r="AM589" s="14"/>
      <c r="AO589" s="275"/>
      <c r="AQ589" s="14"/>
      <c r="AR589"/>
    </row>
    <row r="590" spans="1:44" x14ac:dyDescent="0.25">
      <c r="A590" s="590" t="str">
        <f t="shared" si="119"/>
        <v/>
      </c>
      <c r="B590" s="275">
        <f t="shared" si="120"/>
        <v>0</v>
      </c>
      <c r="C590" s="14">
        <f t="shared" si="117"/>
        <v>0</v>
      </c>
      <c r="D590" s="14">
        <f t="shared" si="121"/>
        <v>0</v>
      </c>
      <c r="E590" s="14">
        <f t="shared" si="118"/>
        <v>0</v>
      </c>
      <c r="K590" s="275">
        <f t="shared" si="122"/>
        <v>0</v>
      </c>
      <c r="L590" s="386">
        <f t="shared" si="124"/>
        <v>0</v>
      </c>
      <c r="M590" s="386">
        <f t="shared" si="123"/>
        <v>0</v>
      </c>
      <c r="N590" s="590" t="str">
        <f>INDEX(tblSubjectToLoan[Date],ROW()-ROW(tblContractForDeed[#Headers]))</f>
        <v/>
      </c>
      <c r="O590" s="275">
        <f>IF(ROW()=ROW(tblContractForDeed[#Headers])+1,$O$6,IF(INDEX(tblContractForDeed[End Bal],ROW()-ROW(tblContractForDeed[#Headers])-1)&lt;0,0,INDEX(tblContractForDeed[End Bal],ROW()-ROW(tblContractForDeed[#Headers])-1)))</f>
        <v>0</v>
      </c>
      <c r="P590" s="445" t="str">
        <f>IF(tblContractForDeed[[#This Row],[Date]]="","",IF(tblContractForDeed[[#This Row],[Date]]&lt;cfdRateChangeDate,cfdRate1,cfdRate2))</f>
        <v/>
      </c>
      <c r="Q5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75">
        <f>SUM(INDEX(tblContractForDeed[Princ],1):INDEX(tblContractForDeed[Princ],ROW()-ROW(tblContractForDeed[#Headers])))</f>
        <v>75258.000000000029</v>
      </c>
      <c r="X590" s="275">
        <f>IF(tblContractForDeed[[#This Row],[Beg]]&lt;=0,0,tblContractForDeed[[#This Row],[Beg]]-tblContractForDeed[[#This Row],[Princ]])</f>
        <v>0</v>
      </c>
      <c r="Y59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75">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0" s="275">
        <f>IF(INDEX(tblContractForDeed[End Bal],ROW()-ROW(tblBuyerOutputs[#Headers]))&lt;=0,0,($O$6+IF(ROW()=ROW(tblBuyerOutputs[#Headers])+1,0,INDEX(tblBuyerOutputs[Cumul Appr],ROW()-ROW(tblBuyerOutputs[#Headers])-1)))*$O$2/12)</f>
        <v>0</v>
      </c>
      <c r="AE590" s="275">
        <f>IF(INDEX(tblContractForDeed[End Bal],ROW()-ROW(tblBuyerOutputs[#Headers]))&lt;=0,0,IF(ROW()=ROW(tblBuyerOutputs[#Headers])+1,0,INDEX(tblBuyerOutputs[Cumul Appr],ROW()-ROW(tblBuyerOutputs[#Headers])-1))+tblBuyerOutputs[[#This Row],[Monthly Appr]])</f>
        <v>0</v>
      </c>
      <c r="AF590" s="22"/>
      <c r="AG590" s="14"/>
      <c r="AL590"/>
      <c r="AM590" s="14"/>
      <c r="AO590" s="275"/>
      <c r="AQ590" s="14"/>
      <c r="AR590"/>
    </row>
    <row r="591" spans="1:44" x14ac:dyDescent="0.25">
      <c r="A591" s="590" t="str">
        <f t="shared" si="119"/>
        <v/>
      </c>
      <c r="B591" s="275">
        <f t="shared" si="120"/>
        <v>0</v>
      </c>
      <c r="C591" s="14">
        <f t="shared" si="117"/>
        <v>0</v>
      </c>
      <c r="D591" s="14">
        <f t="shared" si="121"/>
        <v>0</v>
      </c>
      <c r="E591" s="14">
        <f t="shared" si="118"/>
        <v>0</v>
      </c>
      <c r="K591" s="275">
        <f t="shared" si="122"/>
        <v>0</v>
      </c>
      <c r="L591" s="386">
        <f t="shared" si="124"/>
        <v>0</v>
      </c>
      <c r="M591" s="386">
        <f t="shared" si="123"/>
        <v>0</v>
      </c>
      <c r="N591" s="590" t="str">
        <f>INDEX(tblSubjectToLoan[Date],ROW()-ROW(tblContractForDeed[#Headers]))</f>
        <v/>
      </c>
      <c r="O591" s="275">
        <f>IF(ROW()=ROW(tblContractForDeed[#Headers])+1,$O$6,IF(INDEX(tblContractForDeed[End Bal],ROW()-ROW(tblContractForDeed[#Headers])-1)&lt;0,0,INDEX(tblContractForDeed[End Bal],ROW()-ROW(tblContractForDeed[#Headers])-1)))</f>
        <v>0</v>
      </c>
      <c r="P591" s="445" t="str">
        <f>IF(tblContractForDeed[[#This Row],[Date]]="","",IF(tblContractForDeed[[#This Row],[Date]]&lt;cfdRateChangeDate,cfdRate1,cfdRate2))</f>
        <v/>
      </c>
      <c r="Q59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75">
        <f>SUM(INDEX(tblContractForDeed[Princ],1):INDEX(tblContractForDeed[Princ],ROW()-ROW(tblContractForDeed[#Headers])))</f>
        <v>75258.000000000029</v>
      </c>
      <c r="X591" s="275">
        <f>IF(tblContractForDeed[[#This Row],[Beg]]&lt;=0,0,tblContractForDeed[[#This Row],[Beg]]-tblContractForDeed[[#This Row],[Princ]])</f>
        <v>0</v>
      </c>
      <c r="Y59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75">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1" s="275">
        <f>IF(INDEX(tblContractForDeed[End Bal],ROW()-ROW(tblBuyerOutputs[#Headers]))&lt;=0,0,($O$6+IF(ROW()=ROW(tblBuyerOutputs[#Headers])+1,0,INDEX(tblBuyerOutputs[Cumul Appr],ROW()-ROW(tblBuyerOutputs[#Headers])-1)))*$O$2/12)</f>
        <v>0</v>
      </c>
      <c r="AE591" s="275">
        <f>IF(INDEX(tblContractForDeed[End Bal],ROW()-ROW(tblBuyerOutputs[#Headers]))&lt;=0,0,IF(ROW()=ROW(tblBuyerOutputs[#Headers])+1,0,INDEX(tblBuyerOutputs[Cumul Appr],ROW()-ROW(tblBuyerOutputs[#Headers])-1))+tblBuyerOutputs[[#This Row],[Monthly Appr]])</f>
        <v>0</v>
      </c>
      <c r="AF591" s="22"/>
      <c r="AG591" s="14"/>
      <c r="AL591"/>
      <c r="AM591" s="14"/>
      <c r="AO591" s="275"/>
      <c r="AQ591" s="14"/>
      <c r="AR591"/>
    </row>
    <row r="592" spans="1:44" x14ac:dyDescent="0.25">
      <c r="A592" s="590" t="str">
        <f t="shared" si="119"/>
        <v/>
      </c>
      <c r="B592" s="275">
        <f t="shared" si="120"/>
        <v>0</v>
      </c>
      <c r="C592" s="14">
        <f t="shared" si="117"/>
        <v>0</v>
      </c>
      <c r="D592" s="14">
        <f t="shared" si="121"/>
        <v>0</v>
      </c>
      <c r="E592" s="14">
        <f t="shared" si="118"/>
        <v>0</v>
      </c>
      <c r="K592" s="275">
        <f t="shared" si="122"/>
        <v>0</v>
      </c>
      <c r="L592" s="386">
        <f t="shared" si="124"/>
        <v>0</v>
      </c>
      <c r="M592" s="386">
        <f t="shared" si="123"/>
        <v>0</v>
      </c>
      <c r="N592" s="590" t="str">
        <f>INDEX(tblSubjectToLoan[Date],ROW()-ROW(tblContractForDeed[#Headers]))</f>
        <v/>
      </c>
      <c r="O592" s="275">
        <f>IF(ROW()=ROW(tblContractForDeed[#Headers])+1,$O$6,IF(INDEX(tblContractForDeed[End Bal],ROW()-ROW(tblContractForDeed[#Headers])-1)&lt;0,0,INDEX(tblContractForDeed[End Bal],ROW()-ROW(tblContractForDeed[#Headers])-1)))</f>
        <v>0</v>
      </c>
      <c r="P592" s="445" t="str">
        <f>IF(tblContractForDeed[[#This Row],[Date]]="","",IF(tblContractForDeed[[#This Row],[Date]]&lt;cfdRateChangeDate,cfdRate1,cfdRate2))</f>
        <v/>
      </c>
      <c r="Q5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75">
        <f>SUM(INDEX(tblContractForDeed[Princ],1):INDEX(tblContractForDeed[Princ],ROW()-ROW(tblContractForDeed[#Headers])))</f>
        <v>75258.000000000029</v>
      </c>
      <c r="X592" s="275">
        <f>IF(tblContractForDeed[[#This Row],[Beg]]&lt;=0,0,tblContractForDeed[[#This Row],[Beg]]-tblContractForDeed[[#This Row],[Princ]])</f>
        <v>0</v>
      </c>
      <c r="Y59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75">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2" s="275">
        <f>IF(INDEX(tblContractForDeed[End Bal],ROW()-ROW(tblBuyerOutputs[#Headers]))&lt;=0,0,($O$6+IF(ROW()=ROW(tblBuyerOutputs[#Headers])+1,0,INDEX(tblBuyerOutputs[Cumul Appr],ROW()-ROW(tblBuyerOutputs[#Headers])-1)))*$O$2/12)</f>
        <v>0</v>
      </c>
      <c r="AE592" s="275">
        <f>IF(INDEX(tblContractForDeed[End Bal],ROW()-ROW(tblBuyerOutputs[#Headers]))&lt;=0,0,IF(ROW()=ROW(tblBuyerOutputs[#Headers])+1,0,INDEX(tblBuyerOutputs[Cumul Appr],ROW()-ROW(tblBuyerOutputs[#Headers])-1))+tblBuyerOutputs[[#This Row],[Monthly Appr]])</f>
        <v>0</v>
      </c>
      <c r="AF592" s="22"/>
      <c r="AG592" s="14"/>
      <c r="AL592"/>
      <c r="AM592" s="14"/>
      <c r="AO592" s="275"/>
      <c r="AQ592" s="14"/>
      <c r="AR592"/>
    </row>
    <row r="593" spans="1:44" x14ac:dyDescent="0.25">
      <c r="A593" s="590" t="str">
        <f t="shared" si="119"/>
        <v/>
      </c>
      <c r="B593" s="275">
        <f t="shared" si="120"/>
        <v>0</v>
      </c>
      <c r="C593" s="14">
        <f t="shared" si="117"/>
        <v>0</v>
      </c>
      <c r="D593" s="14">
        <f t="shared" si="121"/>
        <v>0</v>
      </c>
      <c r="E593" s="14">
        <f t="shared" si="118"/>
        <v>0</v>
      </c>
      <c r="K593" s="275">
        <f t="shared" si="122"/>
        <v>0</v>
      </c>
      <c r="L593" s="386">
        <f t="shared" si="124"/>
        <v>0</v>
      </c>
      <c r="M593" s="386">
        <f t="shared" si="123"/>
        <v>0</v>
      </c>
      <c r="N593" s="590" t="str">
        <f>INDEX(tblSubjectToLoan[Date],ROW()-ROW(tblContractForDeed[#Headers]))</f>
        <v/>
      </c>
      <c r="O593" s="275">
        <f>IF(ROW()=ROW(tblContractForDeed[#Headers])+1,$O$6,IF(INDEX(tblContractForDeed[End Bal],ROW()-ROW(tblContractForDeed[#Headers])-1)&lt;0,0,INDEX(tblContractForDeed[End Bal],ROW()-ROW(tblContractForDeed[#Headers])-1)))</f>
        <v>0</v>
      </c>
      <c r="P593" s="445" t="str">
        <f>IF(tblContractForDeed[[#This Row],[Date]]="","",IF(tblContractForDeed[[#This Row],[Date]]&lt;cfdRateChangeDate,cfdRate1,cfdRate2))</f>
        <v/>
      </c>
      <c r="Q5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75">
        <f>SUM(INDEX(tblContractForDeed[Princ],1):INDEX(tblContractForDeed[Princ],ROW()-ROW(tblContractForDeed[#Headers])))</f>
        <v>75258.000000000029</v>
      </c>
      <c r="X593" s="275">
        <f>IF(tblContractForDeed[[#This Row],[Beg]]&lt;=0,0,tblContractForDeed[[#This Row],[Beg]]-tblContractForDeed[[#This Row],[Princ]])</f>
        <v>0</v>
      </c>
      <c r="Y59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75">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3" s="275">
        <f>IF(INDEX(tblContractForDeed[End Bal],ROW()-ROW(tblBuyerOutputs[#Headers]))&lt;=0,0,($O$6+IF(ROW()=ROW(tblBuyerOutputs[#Headers])+1,0,INDEX(tblBuyerOutputs[Cumul Appr],ROW()-ROW(tblBuyerOutputs[#Headers])-1)))*$O$2/12)</f>
        <v>0</v>
      </c>
      <c r="AE593" s="275">
        <f>IF(INDEX(tblContractForDeed[End Bal],ROW()-ROW(tblBuyerOutputs[#Headers]))&lt;=0,0,IF(ROW()=ROW(tblBuyerOutputs[#Headers])+1,0,INDEX(tblBuyerOutputs[Cumul Appr],ROW()-ROW(tblBuyerOutputs[#Headers])-1))+tblBuyerOutputs[[#This Row],[Monthly Appr]])</f>
        <v>0</v>
      </c>
      <c r="AF593" s="22"/>
      <c r="AG593" s="14"/>
      <c r="AL593"/>
      <c r="AM593" s="14"/>
      <c r="AO593" s="275"/>
      <c r="AQ593" s="14"/>
      <c r="AR593"/>
    </row>
    <row r="594" spans="1:44" x14ac:dyDescent="0.25">
      <c r="A594" s="590" t="str">
        <f t="shared" si="119"/>
        <v/>
      </c>
      <c r="B594" s="275">
        <f t="shared" si="120"/>
        <v>0</v>
      </c>
      <c r="C594" s="14">
        <f t="shared" si="117"/>
        <v>0</v>
      </c>
      <c r="D594" s="14">
        <f t="shared" si="121"/>
        <v>0</v>
      </c>
      <c r="E594" s="14">
        <f t="shared" si="118"/>
        <v>0</v>
      </c>
      <c r="K594" s="275">
        <f t="shared" si="122"/>
        <v>0</v>
      </c>
      <c r="L594" s="386">
        <f t="shared" si="124"/>
        <v>0</v>
      </c>
      <c r="M594" s="386">
        <f t="shared" si="123"/>
        <v>0</v>
      </c>
      <c r="N594" s="590" t="str">
        <f>INDEX(tblSubjectToLoan[Date],ROW()-ROW(tblContractForDeed[#Headers]))</f>
        <v/>
      </c>
      <c r="O594" s="275">
        <f>IF(ROW()=ROW(tblContractForDeed[#Headers])+1,$O$6,IF(INDEX(tblContractForDeed[End Bal],ROW()-ROW(tblContractForDeed[#Headers])-1)&lt;0,0,INDEX(tblContractForDeed[End Bal],ROW()-ROW(tblContractForDeed[#Headers])-1)))</f>
        <v>0</v>
      </c>
      <c r="P594" s="445" t="str">
        <f>IF(tblContractForDeed[[#This Row],[Date]]="","",IF(tblContractForDeed[[#This Row],[Date]]&lt;cfdRateChangeDate,cfdRate1,cfdRate2))</f>
        <v/>
      </c>
      <c r="Q5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75">
        <f>SUM(INDEX(tblContractForDeed[Princ],1):INDEX(tblContractForDeed[Princ],ROW()-ROW(tblContractForDeed[#Headers])))</f>
        <v>75258.000000000029</v>
      </c>
      <c r="X594" s="275">
        <f>IF(tblContractForDeed[[#This Row],[Beg]]&lt;=0,0,tblContractForDeed[[#This Row],[Beg]]-tblContractForDeed[[#This Row],[Princ]])</f>
        <v>0</v>
      </c>
      <c r="Y59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75">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4" s="275">
        <f>IF(INDEX(tblContractForDeed[End Bal],ROW()-ROW(tblBuyerOutputs[#Headers]))&lt;=0,0,($O$6+IF(ROW()=ROW(tblBuyerOutputs[#Headers])+1,0,INDEX(tblBuyerOutputs[Cumul Appr],ROW()-ROW(tblBuyerOutputs[#Headers])-1)))*$O$2/12)</f>
        <v>0</v>
      </c>
      <c r="AE594" s="275">
        <f>IF(INDEX(tblContractForDeed[End Bal],ROW()-ROW(tblBuyerOutputs[#Headers]))&lt;=0,0,IF(ROW()=ROW(tblBuyerOutputs[#Headers])+1,0,INDEX(tblBuyerOutputs[Cumul Appr],ROW()-ROW(tblBuyerOutputs[#Headers])-1))+tblBuyerOutputs[[#This Row],[Monthly Appr]])</f>
        <v>0</v>
      </c>
      <c r="AF594" s="22"/>
      <c r="AG594" s="14"/>
      <c r="AL594"/>
      <c r="AM594" s="14"/>
      <c r="AO594" s="275"/>
      <c r="AQ594" s="14"/>
      <c r="AR594"/>
    </row>
    <row r="595" spans="1:44" ht="15.75" thickBot="1" x14ac:dyDescent="0.3">
      <c r="A595" s="591" t="str">
        <f t="shared" si="119"/>
        <v/>
      </c>
      <c r="B595" s="326">
        <f t="shared" si="120"/>
        <v>0</v>
      </c>
      <c r="C595" s="21">
        <f t="shared" si="117"/>
        <v>0</v>
      </c>
      <c r="D595" s="21">
        <f t="shared" si="121"/>
        <v>0</v>
      </c>
      <c r="E595" s="21">
        <f t="shared" si="118"/>
        <v>0</v>
      </c>
      <c r="F595" s="21"/>
      <c r="G595" s="21"/>
      <c r="H595" s="21"/>
      <c r="I595" s="326"/>
      <c r="J595" s="326"/>
      <c r="K595" s="326">
        <f t="shared" si="122"/>
        <v>0</v>
      </c>
      <c r="L595" s="387">
        <f t="shared" si="124"/>
        <v>0</v>
      </c>
      <c r="M595" s="387">
        <f t="shared" si="123"/>
        <v>0</v>
      </c>
      <c r="N595" s="591" t="str">
        <f>INDEX(tblSubjectToLoan[Date],ROW()-ROW(tblContractForDeed[#Headers]))</f>
        <v/>
      </c>
      <c r="O595" s="326">
        <f>IF(ROW()=ROW(tblContractForDeed[#Headers])+1,$O$6,IF(INDEX(tblContractForDeed[End Bal],ROW()-ROW(tblContractForDeed[#Headers])-1)&lt;0,0,INDEX(tblContractForDeed[End Bal],ROW()-ROW(tblContractForDeed[#Headers])-1)))</f>
        <v>0</v>
      </c>
      <c r="P595" s="445" t="str">
        <f>IF(tblContractForDeed[[#This Row],[Date]]="","",IF(tblContractForDeed[[#This Row],[Date]]&lt;cfdRateChangeDate,cfdRate1,cfdRate2))</f>
        <v/>
      </c>
      <c r="Q59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26">
        <f>SUM(INDEX(tblContractForDeed[Princ],1):INDEX(tblContractForDeed[Princ],ROW()-ROW(tblContractForDeed[#Headers])))</f>
        <v>75258.000000000029</v>
      </c>
      <c r="X595" s="326">
        <f>IF(tblContractForDeed[[#This Row],[Beg]]&lt;=0,0,tblContractForDeed[[#This Row],[Beg]]-tblContractForDeed[[#This Row],[Princ]])</f>
        <v>0</v>
      </c>
      <c r="Y59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26">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5" s="326">
        <f>IF(INDEX(tblContractForDeed[End Bal],ROW()-ROW(tblBuyerOutputs[#Headers]))&lt;=0,0,($O$6+IF(ROW()=ROW(tblBuyerOutputs[#Headers])+1,0,INDEX(tblBuyerOutputs[Cumul Appr],ROW()-ROW(tblBuyerOutputs[#Headers])-1)))*$O$2/12)</f>
        <v>0</v>
      </c>
      <c r="AE595" s="326">
        <f>IF(INDEX(tblContractForDeed[End Bal],ROW()-ROW(tblBuyerOutputs[#Headers]))&lt;=0,0,IF(ROW()=ROW(tblBuyerOutputs[#Headers])+1,0,INDEX(tblBuyerOutputs[Cumul Appr],ROW()-ROW(tblBuyerOutputs[#Headers])-1))+tblBuyerOutputs[[#This Row],[Monthly Appr]])</f>
        <v>0</v>
      </c>
      <c r="AF595" s="22"/>
      <c r="AG595" s="14"/>
      <c r="AL595"/>
      <c r="AM595" s="14"/>
      <c r="AO595" s="275"/>
      <c r="AQ595" s="21"/>
      <c r="AR595"/>
    </row>
    <row r="596" spans="1:44" x14ac:dyDescent="0.25">
      <c r="A596" s="590" t="str">
        <f t="shared" si="119"/>
        <v/>
      </c>
      <c r="B596" s="275">
        <f t="shared" si="120"/>
        <v>0</v>
      </c>
      <c r="C596" s="14">
        <f t="shared" ref="C596:C659" si="125">IF(A596="",0,IF(B596&lt;=0,0,IF(A596=subjectMortgageEndDate,B596+E596,MIN(subjectPayment,B596+E596))))</f>
        <v>0</v>
      </c>
      <c r="D596" s="14">
        <f t="shared" si="121"/>
        <v>0</v>
      </c>
      <c r="E596" s="14">
        <f t="shared" ref="E596:E659" si="126">IF(OR(A596="",B596&lt;=0),0,ROUND(B596*(subjectInterestRate/12),2))</f>
        <v>0</v>
      </c>
      <c r="K596" s="275">
        <f t="shared" si="122"/>
        <v>0</v>
      </c>
      <c r="L596" s="386">
        <f t="shared" si="124"/>
        <v>0</v>
      </c>
      <c r="M596" s="386">
        <f t="shared" si="123"/>
        <v>0</v>
      </c>
      <c r="N596" s="590" t="str">
        <f>INDEX(tblSubjectToLoan[Date],ROW()-ROW(tblContractForDeed[#Headers]))</f>
        <v/>
      </c>
      <c r="O596" s="275">
        <f>IF(ROW()=ROW(tblContractForDeed[#Headers])+1,$O$6,IF(INDEX(tblContractForDeed[End Bal],ROW()-ROW(tblContractForDeed[#Headers])-1)&lt;0,0,INDEX(tblContractForDeed[End Bal],ROW()-ROW(tblContractForDeed[#Headers])-1)))</f>
        <v>0</v>
      </c>
      <c r="P596" s="445" t="str">
        <f>IF(tblContractForDeed[[#This Row],[Date]]="","",IF(tblContractForDeed[[#This Row],[Date]]&lt;cfdRateChangeDate,cfdRate1,cfdRate2))</f>
        <v/>
      </c>
      <c r="Q5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75">
        <f>SUM(INDEX(tblContractForDeed[Princ],1):INDEX(tblContractForDeed[Princ],ROW()-ROW(tblContractForDeed[#Headers])))</f>
        <v>75258.000000000029</v>
      </c>
      <c r="X596" s="275">
        <f>IF(tblContractForDeed[[#This Row],[Beg]]&lt;=0,0,tblContractForDeed[[#This Row],[Beg]]-tblContractForDeed[[#This Row],[Princ]])</f>
        <v>0</v>
      </c>
      <c r="Y59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75">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6" s="275">
        <f>IF(INDEX(tblContractForDeed[End Bal],ROW()-ROW(tblBuyerOutputs[#Headers]))&lt;=0,0,($O$6+IF(ROW()=ROW(tblBuyerOutputs[#Headers])+1,0,INDEX(tblBuyerOutputs[Cumul Appr],ROW()-ROW(tblBuyerOutputs[#Headers])-1)))*$O$2/12)</f>
        <v>0</v>
      </c>
      <c r="AE596" s="275">
        <f>IF(INDEX(tblContractForDeed[End Bal],ROW()-ROW(tblBuyerOutputs[#Headers]))&lt;=0,0,IF(ROW()=ROW(tblBuyerOutputs[#Headers])+1,0,INDEX(tblBuyerOutputs[Cumul Appr],ROW()-ROW(tblBuyerOutputs[#Headers])-1))+tblBuyerOutputs[[#This Row],[Monthly Appr]])</f>
        <v>0</v>
      </c>
      <c r="AF596" s="22"/>
      <c r="AG596" s="14"/>
      <c r="AL596"/>
      <c r="AM596" s="14"/>
      <c r="AO596" s="275"/>
      <c r="AQ596" s="14"/>
      <c r="AR596"/>
    </row>
    <row r="597" spans="1:44" x14ac:dyDescent="0.25">
      <c r="A597" s="590" t="str">
        <f t="shared" ref="A597:A660" si="127">IF(OR(A596="",A596&gt;=subjectMortgageEndDate),"",EDATE(A596,1))</f>
        <v/>
      </c>
      <c r="B597" s="275">
        <f t="shared" ref="B597:B660" si="128">IF(A597="",0,MAX(0,K596))</f>
        <v>0</v>
      </c>
      <c r="C597" s="14">
        <f t="shared" si="125"/>
        <v>0</v>
      </c>
      <c r="D597" s="14">
        <f t="shared" ref="D597:D660" si="129">IF(C597=0,0,MAX(0,MIN(B597,C597-E597)))</f>
        <v>0</v>
      </c>
      <c r="E597" s="14">
        <f t="shared" si="126"/>
        <v>0</v>
      </c>
      <c r="K597" s="275">
        <f t="shared" ref="K597:K660" si="130">IF(A597="",0,IF(B597&lt;=0,0,MAX(0,B597-D597)))</f>
        <v>0</v>
      </c>
      <c r="L597" s="386">
        <f t="shared" si="124"/>
        <v>0</v>
      </c>
      <c r="M597" s="386">
        <f t="shared" ref="M597:M660" si="131">IF($A597&lt;&gt;"",M596+1,0)</f>
        <v>0</v>
      </c>
      <c r="N597" s="590" t="str">
        <f>INDEX(tblSubjectToLoan[Date],ROW()-ROW(tblContractForDeed[#Headers]))</f>
        <v/>
      </c>
      <c r="O597" s="275">
        <f>IF(ROW()=ROW(tblContractForDeed[#Headers])+1,$O$6,IF(INDEX(tblContractForDeed[End Bal],ROW()-ROW(tblContractForDeed[#Headers])-1)&lt;0,0,INDEX(tblContractForDeed[End Bal],ROW()-ROW(tblContractForDeed[#Headers])-1)))</f>
        <v>0</v>
      </c>
      <c r="P597" s="445" t="str">
        <f>IF(tblContractForDeed[[#This Row],[Date]]="","",IF(tblContractForDeed[[#This Row],[Date]]&lt;cfdRateChangeDate,cfdRate1,cfdRate2))</f>
        <v/>
      </c>
      <c r="Q5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75">
        <f>SUM(INDEX(tblContractForDeed[Princ],1):INDEX(tblContractForDeed[Princ],ROW()-ROW(tblContractForDeed[#Headers])))</f>
        <v>75258.000000000029</v>
      </c>
      <c r="X597" s="275">
        <f>IF(tblContractForDeed[[#This Row],[Beg]]&lt;=0,0,tblContractForDeed[[#This Row],[Beg]]-tblContractForDeed[[#This Row],[Princ]])</f>
        <v>0</v>
      </c>
      <c r="Y59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75">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7" s="275">
        <f>IF(INDEX(tblContractForDeed[End Bal],ROW()-ROW(tblBuyerOutputs[#Headers]))&lt;=0,0,($O$6+IF(ROW()=ROW(tblBuyerOutputs[#Headers])+1,0,INDEX(tblBuyerOutputs[Cumul Appr],ROW()-ROW(tblBuyerOutputs[#Headers])-1)))*$O$2/12)</f>
        <v>0</v>
      </c>
      <c r="AE597" s="275">
        <f>IF(INDEX(tblContractForDeed[End Bal],ROW()-ROW(tblBuyerOutputs[#Headers]))&lt;=0,0,IF(ROW()=ROW(tblBuyerOutputs[#Headers])+1,0,INDEX(tblBuyerOutputs[Cumul Appr],ROW()-ROW(tblBuyerOutputs[#Headers])-1))+tblBuyerOutputs[[#This Row],[Monthly Appr]])</f>
        <v>0</v>
      </c>
      <c r="AF597" s="22"/>
      <c r="AG597" s="14"/>
      <c r="AL597"/>
      <c r="AM597" s="14"/>
      <c r="AO597" s="275"/>
      <c r="AQ597" s="14"/>
      <c r="AR597"/>
    </row>
    <row r="598" spans="1:44" x14ac:dyDescent="0.25">
      <c r="A598" s="590" t="str">
        <f t="shared" si="127"/>
        <v/>
      </c>
      <c r="B598" s="275">
        <f t="shared" si="128"/>
        <v>0</v>
      </c>
      <c r="C598" s="14">
        <f t="shared" si="125"/>
        <v>0</v>
      </c>
      <c r="D598" s="14">
        <f t="shared" si="129"/>
        <v>0</v>
      </c>
      <c r="E598" s="14">
        <f t="shared" si="126"/>
        <v>0</v>
      </c>
      <c r="K598" s="275">
        <f t="shared" si="130"/>
        <v>0</v>
      </c>
      <c r="L598" s="386">
        <f t="shared" si="124"/>
        <v>0</v>
      </c>
      <c r="M598" s="386">
        <f t="shared" si="131"/>
        <v>0</v>
      </c>
      <c r="N598" s="590" t="str">
        <f>INDEX(tblSubjectToLoan[Date],ROW()-ROW(tblContractForDeed[#Headers]))</f>
        <v/>
      </c>
      <c r="O598" s="275">
        <f>IF(ROW()=ROW(tblContractForDeed[#Headers])+1,$O$6,IF(INDEX(tblContractForDeed[End Bal],ROW()-ROW(tblContractForDeed[#Headers])-1)&lt;0,0,INDEX(tblContractForDeed[End Bal],ROW()-ROW(tblContractForDeed[#Headers])-1)))</f>
        <v>0</v>
      </c>
      <c r="P598" s="445" t="str">
        <f>IF(tblContractForDeed[[#This Row],[Date]]="","",IF(tblContractForDeed[[#This Row],[Date]]&lt;cfdRateChangeDate,cfdRate1,cfdRate2))</f>
        <v/>
      </c>
      <c r="Q5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75">
        <f>SUM(INDEX(tblContractForDeed[Princ],1):INDEX(tblContractForDeed[Princ],ROW()-ROW(tblContractForDeed[#Headers])))</f>
        <v>75258.000000000029</v>
      </c>
      <c r="X598" s="275">
        <f>IF(tblContractForDeed[[#This Row],[Beg]]&lt;=0,0,tblContractForDeed[[#This Row],[Beg]]-tblContractForDeed[[#This Row],[Princ]])</f>
        <v>0</v>
      </c>
      <c r="Y59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75">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8" s="275">
        <f>IF(INDEX(tblContractForDeed[End Bal],ROW()-ROW(tblBuyerOutputs[#Headers]))&lt;=0,0,($O$6+IF(ROW()=ROW(tblBuyerOutputs[#Headers])+1,0,INDEX(tblBuyerOutputs[Cumul Appr],ROW()-ROW(tblBuyerOutputs[#Headers])-1)))*$O$2/12)</f>
        <v>0</v>
      </c>
      <c r="AE598" s="275">
        <f>IF(INDEX(tblContractForDeed[End Bal],ROW()-ROW(tblBuyerOutputs[#Headers]))&lt;=0,0,IF(ROW()=ROW(tblBuyerOutputs[#Headers])+1,0,INDEX(tblBuyerOutputs[Cumul Appr],ROW()-ROW(tblBuyerOutputs[#Headers])-1))+tblBuyerOutputs[[#This Row],[Monthly Appr]])</f>
        <v>0</v>
      </c>
      <c r="AF598" s="22"/>
      <c r="AG598" s="14"/>
      <c r="AL598"/>
      <c r="AM598" s="14"/>
      <c r="AO598" s="275"/>
      <c r="AQ598" s="14"/>
      <c r="AR598"/>
    </row>
    <row r="599" spans="1:44" x14ac:dyDescent="0.25">
      <c r="A599" s="590" t="str">
        <f t="shared" si="127"/>
        <v/>
      </c>
      <c r="B599" s="275">
        <f t="shared" si="128"/>
        <v>0</v>
      </c>
      <c r="C599" s="14">
        <f t="shared" si="125"/>
        <v>0</v>
      </c>
      <c r="D599" s="14">
        <f t="shared" si="129"/>
        <v>0</v>
      </c>
      <c r="E599" s="14">
        <f t="shared" si="126"/>
        <v>0</v>
      </c>
      <c r="K599" s="275">
        <f t="shared" si="130"/>
        <v>0</v>
      </c>
      <c r="L599" s="386">
        <f t="shared" si="124"/>
        <v>0</v>
      </c>
      <c r="M599" s="386">
        <f t="shared" si="131"/>
        <v>0</v>
      </c>
      <c r="N599" s="590" t="str">
        <f>INDEX(tblSubjectToLoan[Date],ROW()-ROW(tblContractForDeed[#Headers]))</f>
        <v/>
      </c>
      <c r="O599" s="275">
        <f>IF(ROW()=ROW(tblContractForDeed[#Headers])+1,$O$6,IF(INDEX(tblContractForDeed[End Bal],ROW()-ROW(tblContractForDeed[#Headers])-1)&lt;0,0,INDEX(tblContractForDeed[End Bal],ROW()-ROW(tblContractForDeed[#Headers])-1)))</f>
        <v>0</v>
      </c>
      <c r="P599" s="445" t="str">
        <f>IF(tblContractForDeed[[#This Row],[Date]]="","",IF(tblContractForDeed[[#This Row],[Date]]&lt;cfdRateChangeDate,cfdRate1,cfdRate2))</f>
        <v/>
      </c>
      <c r="Q59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75">
        <f>SUM(INDEX(tblContractForDeed[Princ],1):INDEX(tblContractForDeed[Princ],ROW()-ROW(tblContractForDeed[#Headers])))</f>
        <v>75258.000000000029</v>
      </c>
      <c r="X599" s="275">
        <f>IF(tblContractForDeed[[#This Row],[Beg]]&lt;=0,0,tblContractForDeed[[#This Row],[Beg]]-tblContractForDeed[[#This Row],[Princ]])</f>
        <v>0</v>
      </c>
      <c r="Y59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75">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9" s="275">
        <f>IF(INDEX(tblContractForDeed[End Bal],ROW()-ROW(tblBuyerOutputs[#Headers]))&lt;=0,0,($O$6+IF(ROW()=ROW(tblBuyerOutputs[#Headers])+1,0,INDEX(tblBuyerOutputs[Cumul Appr],ROW()-ROW(tblBuyerOutputs[#Headers])-1)))*$O$2/12)</f>
        <v>0</v>
      </c>
      <c r="AE599" s="275">
        <f>IF(INDEX(tblContractForDeed[End Bal],ROW()-ROW(tblBuyerOutputs[#Headers]))&lt;=0,0,IF(ROW()=ROW(tblBuyerOutputs[#Headers])+1,0,INDEX(tblBuyerOutputs[Cumul Appr],ROW()-ROW(tblBuyerOutputs[#Headers])-1))+tblBuyerOutputs[[#This Row],[Monthly Appr]])</f>
        <v>0</v>
      </c>
      <c r="AF599" s="22"/>
      <c r="AG599" s="14"/>
      <c r="AL599"/>
      <c r="AM599" s="14"/>
      <c r="AO599" s="275"/>
      <c r="AQ599" s="14"/>
      <c r="AR599"/>
    </row>
    <row r="600" spans="1:44" x14ac:dyDescent="0.25">
      <c r="A600" s="590" t="str">
        <f t="shared" si="127"/>
        <v/>
      </c>
      <c r="B600" s="275">
        <f t="shared" si="128"/>
        <v>0</v>
      </c>
      <c r="C600" s="14">
        <f t="shared" si="125"/>
        <v>0</v>
      </c>
      <c r="D600" s="14">
        <f t="shared" si="129"/>
        <v>0</v>
      </c>
      <c r="E600" s="14">
        <f t="shared" si="126"/>
        <v>0</v>
      </c>
      <c r="K600" s="275">
        <f t="shared" si="130"/>
        <v>0</v>
      </c>
      <c r="L600" s="386">
        <f t="shared" si="124"/>
        <v>0</v>
      </c>
      <c r="M600" s="386">
        <f t="shared" si="131"/>
        <v>0</v>
      </c>
      <c r="N600" s="590" t="str">
        <f>INDEX(tblSubjectToLoan[Date],ROW()-ROW(tblContractForDeed[#Headers]))</f>
        <v/>
      </c>
      <c r="O600" s="275">
        <f>IF(ROW()=ROW(tblContractForDeed[#Headers])+1,$O$6,IF(INDEX(tblContractForDeed[End Bal],ROW()-ROW(tblContractForDeed[#Headers])-1)&lt;0,0,INDEX(tblContractForDeed[End Bal],ROW()-ROW(tblContractForDeed[#Headers])-1)))</f>
        <v>0</v>
      </c>
      <c r="P600" s="445" t="str">
        <f>IF(tblContractForDeed[[#This Row],[Date]]="","",IF(tblContractForDeed[[#This Row],[Date]]&lt;cfdRateChangeDate,cfdRate1,cfdRate2))</f>
        <v/>
      </c>
      <c r="Q6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75">
        <f>SUM(INDEX(tblContractForDeed[Princ],1):INDEX(tblContractForDeed[Princ],ROW()-ROW(tblContractForDeed[#Headers])))</f>
        <v>75258.000000000029</v>
      </c>
      <c r="X600" s="275">
        <f>IF(tblContractForDeed[[#This Row],[Beg]]&lt;=0,0,tblContractForDeed[[#This Row],[Beg]]-tblContractForDeed[[#This Row],[Princ]])</f>
        <v>0</v>
      </c>
      <c r="Y60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75">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0" s="275">
        <f>IF(INDEX(tblContractForDeed[End Bal],ROW()-ROW(tblBuyerOutputs[#Headers]))&lt;=0,0,($O$6+IF(ROW()=ROW(tblBuyerOutputs[#Headers])+1,0,INDEX(tblBuyerOutputs[Cumul Appr],ROW()-ROW(tblBuyerOutputs[#Headers])-1)))*$O$2/12)</f>
        <v>0</v>
      </c>
      <c r="AE600" s="275">
        <f>IF(INDEX(tblContractForDeed[End Bal],ROW()-ROW(tblBuyerOutputs[#Headers]))&lt;=0,0,IF(ROW()=ROW(tblBuyerOutputs[#Headers])+1,0,INDEX(tblBuyerOutputs[Cumul Appr],ROW()-ROW(tblBuyerOutputs[#Headers])-1))+tblBuyerOutputs[[#This Row],[Monthly Appr]])</f>
        <v>0</v>
      </c>
      <c r="AF600" s="22"/>
      <c r="AG600" s="14"/>
      <c r="AL600"/>
      <c r="AM600" s="14"/>
      <c r="AO600" s="275"/>
      <c r="AQ600" s="14"/>
      <c r="AR600"/>
    </row>
    <row r="601" spans="1:44" x14ac:dyDescent="0.25">
      <c r="A601" s="590" t="str">
        <f t="shared" si="127"/>
        <v/>
      </c>
      <c r="B601" s="275">
        <f t="shared" si="128"/>
        <v>0</v>
      </c>
      <c r="C601" s="14">
        <f t="shared" si="125"/>
        <v>0</v>
      </c>
      <c r="D601" s="14">
        <f t="shared" si="129"/>
        <v>0</v>
      </c>
      <c r="E601" s="14">
        <f t="shared" si="126"/>
        <v>0</v>
      </c>
      <c r="K601" s="275">
        <f t="shared" si="130"/>
        <v>0</v>
      </c>
      <c r="L601" s="386">
        <f t="shared" si="124"/>
        <v>0</v>
      </c>
      <c r="M601" s="386">
        <f t="shared" si="131"/>
        <v>0</v>
      </c>
      <c r="N601" s="590" t="str">
        <f>INDEX(tblSubjectToLoan[Date],ROW()-ROW(tblContractForDeed[#Headers]))</f>
        <v/>
      </c>
      <c r="O601" s="275">
        <f>IF(ROW()=ROW(tblContractForDeed[#Headers])+1,$O$6,IF(INDEX(tblContractForDeed[End Bal],ROW()-ROW(tblContractForDeed[#Headers])-1)&lt;0,0,INDEX(tblContractForDeed[End Bal],ROW()-ROW(tblContractForDeed[#Headers])-1)))</f>
        <v>0</v>
      </c>
      <c r="P601" s="445" t="str">
        <f>IF(tblContractForDeed[[#This Row],[Date]]="","",IF(tblContractForDeed[[#This Row],[Date]]&lt;cfdRateChangeDate,cfdRate1,cfdRate2))</f>
        <v/>
      </c>
      <c r="Q6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75">
        <f>SUM(INDEX(tblContractForDeed[Princ],1):INDEX(tblContractForDeed[Princ],ROW()-ROW(tblContractForDeed[#Headers])))</f>
        <v>75258.000000000029</v>
      </c>
      <c r="X601" s="275">
        <f>IF(tblContractForDeed[[#This Row],[Beg]]&lt;=0,0,tblContractForDeed[[#This Row],[Beg]]-tblContractForDeed[[#This Row],[Princ]])</f>
        <v>0</v>
      </c>
      <c r="Y60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75">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1" s="275">
        <f>IF(INDEX(tblContractForDeed[End Bal],ROW()-ROW(tblBuyerOutputs[#Headers]))&lt;=0,0,($O$6+IF(ROW()=ROW(tblBuyerOutputs[#Headers])+1,0,INDEX(tblBuyerOutputs[Cumul Appr],ROW()-ROW(tblBuyerOutputs[#Headers])-1)))*$O$2/12)</f>
        <v>0</v>
      </c>
      <c r="AE601" s="275">
        <f>IF(INDEX(tblContractForDeed[End Bal],ROW()-ROW(tblBuyerOutputs[#Headers]))&lt;=0,0,IF(ROW()=ROW(tblBuyerOutputs[#Headers])+1,0,INDEX(tblBuyerOutputs[Cumul Appr],ROW()-ROW(tblBuyerOutputs[#Headers])-1))+tblBuyerOutputs[[#This Row],[Monthly Appr]])</f>
        <v>0</v>
      </c>
      <c r="AF601" s="22"/>
      <c r="AG601" s="14"/>
      <c r="AL601"/>
      <c r="AM601" s="14"/>
      <c r="AO601" s="275"/>
      <c r="AQ601" s="14"/>
      <c r="AR601"/>
    </row>
    <row r="602" spans="1:44" x14ac:dyDescent="0.25">
      <c r="A602" s="590" t="str">
        <f t="shared" si="127"/>
        <v/>
      </c>
      <c r="B602" s="275">
        <f t="shared" si="128"/>
        <v>0</v>
      </c>
      <c r="C602" s="14">
        <f t="shared" si="125"/>
        <v>0</v>
      </c>
      <c r="D602" s="14">
        <f t="shared" si="129"/>
        <v>0</v>
      </c>
      <c r="E602" s="14">
        <f t="shared" si="126"/>
        <v>0</v>
      </c>
      <c r="K602" s="275">
        <f t="shared" si="130"/>
        <v>0</v>
      </c>
      <c r="L602" s="386">
        <f t="shared" si="124"/>
        <v>0</v>
      </c>
      <c r="M602" s="386">
        <f t="shared" si="131"/>
        <v>0</v>
      </c>
      <c r="N602" s="590" t="str">
        <f>INDEX(tblSubjectToLoan[Date],ROW()-ROW(tblContractForDeed[#Headers]))</f>
        <v/>
      </c>
      <c r="O602" s="275">
        <f>IF(ROW()=ROW(tblContractForDeed[#Headers])+1,$O$6,IF(INDEX(tblContractForDeed[End Bal],ROW()-ROW(tblContractForDeed[#Headers])-1)&lt;0,0,INDEX(tblContractForDeed[End Bal],ROW()-ROW(tblContractForDeed[#Headers])-1)))</f>
        <v>0</v>
      </c>
      <c r="P602" s="445" t="str">
        <f>IF(tblContractForDeed[[#This Row],[Date]]="","",IF(tblContractForDeed[[#This Row],[Date]]&lt;cfdRateChangeDate,cfdRate1,cfdRate2))</f>
        <v/>
      </c>
      <c r="Q6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75">
        <f>SUM(INDEX(tblContractForDeed[Princ],1):INDEX(tblContractForDeed[Princ],ROW()-ROW(tblContractForDeed[#Headers])))</f>
        <v>75258.000000000029</v>
      </c>
      <c r="X602" s="275">
        <f>IF(tblContractForDeed[[#This Row],[Beg]]&lt;=0,0,tblContractForDeed[[#This Row],[Beg]]-tblContractForDeed[[#This Row],[Princ]])</f>
        <v>0</v>
      </c>
      <c r="Y60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75">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2" s="275">
        <f>IF(INDEX(tblContractForDeed[End Bal],ROW()-ROW(tblBuyerOutputs[#Headers]))&lt;=0,0,($O$6+IF(ROW()=ROW(tblBuyerOutputs[#Headers])+1,0,INDEX(tblBuyerOutputs[Cumul Appr],ROW()-ROW(tblBuyerOutputs[#Headers])-1)))*$O$2/12)</f>
        <v>0</v>
      </c>
      <c r="AE602" s="275">
        <f>IF(INDEX(tblContractForDeed[End Bal],ROW()-ROW(tblBuyerOutputs[#Headers]))&lt;=0,0,IF(ROW()=ROW(tblBuyerOutputs[#Headers])+1,0,INDEX(tblBuyerOutputs[Cumul Appr],ROW()-ROW(tblBuyerOutputs[#Headers])-1))+tblBuyerOutputs[[#This Row],[Monthly Appr]])</f>
        <v>0</v>
      </c>
      <c r="AF602" s="22"/>
      <c r="AG602" s="14"/>
      <c r="AL602"/>
      <c r="AM602" s="14"/>
      <c r="AO602" s="275"/>
      <c r="AQ602" s="14"/>
      <c r="AR602"/>
    </row>
    <row r="603" spans="1:44" x14ac:dyDescent="0.25">
      <c r="A603" s="590" t="str">
        <f t="shared" si="127"/>
        <v/>
      </c>
      <c r="B603" s="275">
        <f t="shared" si="128"/>
        <v>0</v>
      </c>
      <c r="C603" s="14">
        <f t="shared" si="125"/>
        <v>0</v>
      </c>
      <c r="D603" s="14">
        <f t="shared" si="129"/>
        <v>0</v>
      </c>
      <c r="E603" s="14">
        <f t="shared" si="126"/>
        <v>0</v>
      </c>
      <c r="K603" s="275">
        <f t="shared" si="130"/>
        <v>0</v>
      </c>
      <c r="L603" s="386">
        <f t="shared" si="124"/>
        <v>0</v>
      </c>
      <c r="M603" s="386">
        <f t="shared" si="131"/>
        <v>0</v>
      </c>
      <c r="N603" s="590" t="str">
        <f>INDEX(tblSubjectToLoan[Date],ROW()-ROW(tblContractForDeed[#Headers]))</f>
        <v/>
      </c>
      <c r="O603" s="275">
        <f>IF(ROW()=ROW(tblContractForDeed[#Headers])+1,$O$6,IF(INDEX(tblContractForDeed[End Bal],ROW()-ROW(tblContractForDeed[#Headers])-1)&lt;0,0,INDEX(tblContractForDeed[End Bal],ROW()-ROW(tblContractForDeed[#Headers])-1)))</f>
        <v>0</v>
      </c>
      <c r="P603" s="445" t="str">
        <f>IF(tblContractForDeed[[#This Row],[Date]]="","",IF(tblContractForDeed[[#This Row],[Date]]&lt;cfdRateChangeDate,cfdRate1,cfdRate2))</f>
        <v/>
      </c>
      <c r="Q60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75">
        <f>SUM(INDEX(tblContractForDeed[Princ],1):INDEX(tblContractForDeed[Princ],ROW()-ROW(tblContractForDeed[#Headers])))</f>
        <v>75258.000000000029</v>
      </c>
      <c r="X603" s="275">
        <f>IF(tblContractForDeed[[#This Row],[Beg]]&lt;=0,0,tblContractForDeed[[#This Row],[Beg]]-tblContractForDeed[[#This Row],[Princ]])</f>
        <v>0</v>
      </c>
      <c r="Y60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75">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3" s="275">
        <f>IF(INDEX(tblContractForDeed[End Bal],ROW()-ROW(tblBuyerOutputs[#Headers]))&lt;=0,0,($O$6+IF(ROW()=ROW(tblBuyerOutputs[#Headers])+1,0,INDEX(tblBuyerOutputs[Cumul Appr],ROW()-ROW(tblBuyerOutputs[#Headers])-1)))*$O$2/12)</f>
        <v>0</v>
      </c>
      <c r="AE603" s="275">
        <f>IF(INDEX(tblContractForDeed[End Bal],ROW()-ROW(tblBuyerOutputs[#Headers]))&lt;=0,0,IF(ROW()=ROW(tblBuyerOutputs[#Headers])+1,0,INDEX(tblBuyerOutputs[Cumul Appr],ROW()-ROW(tblBuyerOutputs[#Headers])-1))+tblBuyerOutputs[[#This Row],[Monthly Appr]])</f>
        <v>0</v>
      </c>
      <c r="AF603" s="22"/>
      <c r="AG603" s="14"/>
      <c r="AL603"/>
      <c r="AM603" s="14"/>
      <c r="AO603" s="275"/>
      <c r="AQ603" s="14"/>
      <c r="AR603"/>
    </row>
    <row r="604" spans="1:44" x14ac:dyDescent="0.25">
      <c r="A604" s="590" t="str">
        <f t="shared" si="127"/>
        <v/>
      </c>
      <c r="B604" s="275">
        <f t="shared" si="128"/>
        <v>0</v>
      </c>
      <c r="C604" s="14">
        <f t="shared" si="125"/>
        <v>0</v>
      </c>
      <c r="D604" s="14">
        <f t="shared" si="129"/>
        <v>0</v>
      </c>
      <c r="E604" s="14">
        <f t="shared" si="126"/>
        <v>0</v>
      </c>
      <c r="K604" s="275">
        <f t="shared" si="130"/>
        <v>0</v>
      </c>
      <c r="L604" s="386">
        <f t="shared" si="124"/>
        <v>0</v>
      </c>
      <c r="M604" s="386">
        <f t="shared" si="131"/>
        <v>0</v>
      </c>
      <c r="N604" s="590" t="str">
        <f>INDEX(tblSubjectToLoan[Date],ROW()-ROW(tblContractForDeed[#Headers]))</f>
        <v/>
      </c>
      <c r="O604" s="275">
        <f>IF(ROW()=ROW(tblContractForDeed[#Headers])+1,$O$6,IF(INDEX(tblContractForDeed[End Bal],ROW()-ROW(tblContractForDeed[#Headers])-1)&lt;0,0,INDEX(tblContractForDeed[End Bal],ROW()-ROW(tblContractForDeed[#Headers])-1)))</f>
        <v>0</v>
      </c>
      <c r="P604" s="445" t="str">
        <f>IF(tblContractForDeed[[#This Row],[Date]]="","",IF(tblContractForDeed[[#This Row],[Date]]&lt;cfdRateChangeDate,cfdRate1,cfdRate2))</f>
        <v/>
      </c>
      <c r="Q6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75">
        <f>SUM(INDEX(tblContractForDeed[Princ],1):INDEX(tblContractForDeed[Princ],ROW()-ROW(tblContractForDeed[#Headers])))</f>
        <v>75258.000000000029</v>
      </c>
      <c r="X604" s="275">
        <f>IF(tblContractForDeed[[#This Row],[Beg]]&lt;=0,0,tblContractForDeed[[#This Row],[Beg]]-tblContractForDeed[[#This Row],[Princ]])</f>
        <v>0</v>
      </c>
      <c r="Y60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75">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4" s="275">
        <f>IF(INDEX(tblContractForDeed[End Bal],ROW()-ROW(tblBuyerOutputs[#Headers]))&lt;=0,0,($O$6+IF(ROW()=ROW(tblBuyerOutputs[#Headers])+1,0,INDEX(tblBuyerOutputs[Cumul Appr],ROW()-ROW(tblBuyerOutputs[#Headers])-1)))*$O$2/12)</f>
        <v>0</v>
      </c>
      <c r="AE604" s="275">
        <f>IF(INDEX(tblContractForDeed[End Bal],ROW()-ROW(tblBuyerOutputs[#Headers]))&lt;=0,0,IF(ROW()=ROW(tblBuyerOutputs[#Headers])+1,0,INDEX(tblBuyerOutputs[Cumul Appr],ROW()-ROW(tblBuyerOutputs[#Headers])-1))+tblBuyerOutputs[[#This Row],[Monthly Appr]])</f>
        <v>0</v>
      </c>
      <c r="AF604" s="22"/>
      <c r="AG604" s="14"/>
      <c r="AL604"/>
      <c r="AM604" s="14"/>
      <c r="AO604" s="275"/>
      <c r="AQ604" s="14"/>
      <c r="AR604"/>
    </row>
    <row r="605" spans="1:44" x14ac:dyDescent="0.25">
      <c r="A605" s="590" t="str">
        <f t="shared" si="127"/>
        <v/>
      </c>
      <c r="B605" s="275">
        <f t="shared" si="128"/>
        <v>0</v>
      </c>
      <c r="C605" s="14">
        <f t="shared" si="125"/>
        <v>0</v>
      </c>
      <c r="D605" s="14">
        <f t="shared" si="129"/>
        <v>0</v>
      </c>
      <c r="E605" s="14">
        <f t="shared" si="126"/>
        <v>0</v>
      </c>
      <c r="K605" s="275">
        <f t="shared" si="130"/>
        <v>0</v>
      </c>
      <c r="L605" s="386">
        <f t="shared" si="124"/>
        <v>0</v>
      </c>
      <c r="M605" s="386">
        <f t="shared" si="131"/>
        <v>0</v>
      </c>
      <c r="N605" s="590" t="str">
        <f>INDEX(tblSubjectToLoan[Date],ROW()-ROW(tblContractForDeed[#Headers]))</f>
        <v/>
      </c>
      <c r="O605" s="275">
        <f>IF(ROW()=ROW(tblContractForDeed[#Headers])+1,$O$6,IF(INDEX(tblContractForDeed[End Bal],ROW()-ROW(tblContractForDeed[#Headers])-1)&lt;0,0,INDEX(tblContractForDeed[End Bal],ROW()-ROW(tblContractForDeed[#Headers])-1)))</f>
        <v>0</v>
      </c>
      <c r="P605" s="445" t="str">
        <f>IF(tblContractForDeed[[#This Row],[Date]]="","",IF(tblContractForDeed[[#This Row],[Date]]&lt;cfdRateChangeDate,cfdRate1,cfdRate2))</f>
        <v/>
      </c>
      <c r="Q6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75">
        <f>SUM(INDEX(tblContractForDeed[Princ],1):INDEX(tblContractForDeed[Princ],ROW()-ROW(tblContractForDeed[#Headers])))</f>
        <v>75258.000000000029</v>
      </c>
      <c r="X605" s="275">
        <f>IF(tblContractForDeed[[#This Row],[Beg]]&lt;=0,0,tblContractForDeed[[#This Row],[Beg]]-tblContractForDeed[[#This Row],[Princ]])</f>
        <v>0</v>
      </c>
      <c r="Y60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75">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5" s="275">
        <f>IF(INDEX(tblContractForDeed[End Bal],ROW()-ROW(tblBuyerOutputs[#Headers]))&lt;=0,0,($O$6+IF(ROW()=ROW(tblBuyerOutputs[#Headers])+1,0,INDEX(tblBuyerOutputs[Cumul Appr],ROW()-ROW(tblBuyerOutputs[#Headers])-1)))*$O$2/12)</f>
        <v>0</v>
      </c>
      <c r="AE605" s="275">
        <f>IF(INDEX(tblContractForDeed[End Bal],ROW()-ROW(tblBuyerOutputs[#Headers]))&lt;=0,0,IF(ROW()=ROW(tblBuyerOutputs[#Headers])+1,0,INDEX(tblBuyerOutputs[Cumul Appr],ROW()-ROW(tblBuyerOutputs[#Headers])-1))+tblBuyerOutputs[[#This Row],[Monthly Appr]])</f>
        <v>0</v>
      </c>
      <c r="AF605" s="22"/>
      <c r="AG605" s="14"/>
      <c r="AL605"/>
      <c r="AM605" s="14"/>
      <c r="AO605" s="275"/>
      <c r="AQ605" s="14"/>
      <c r="AR605"/>
    </row>
    <row r="606" spans="1:44" x14ac:dyDescent="0.25">
      <c r="A606" s="590" t="str">
        <f t="shared" si="127"/>
        <v/>
      </c>
      <c r="B606" s="275">
        <f t="shared" si="128"/>
        <v>0</v>
      </c>
      <c r="C606" s="14">
        <f t="shared" si="125"/>
        <v>0</v>
      </c>
      <c r="D606" s="14">
        <f t="shared" si="129"/>
        <v>0</v>
      </c>
      <c r="E606" s="14">
        <f t="shared" si="126"/>
        <v>0</v>
      </c>
      <c r="K606" s="275">
        <f t="shared" si="130"/>
        <v>0</v>
      </c>
      <c r="L606" s="386">
        <f t="shared" si="124"/>
        <v>0</v>
      </c>
      <c r="M606" s="386">
        <f t="shared" si="131"/>
        <v>0</v>
      </c>
      <c r="N606" s="590" t="str">
        <f>INDEX(tblSubjectToLoan[Date],ROW()-ROW(tblContractForDeed[#Headers]))</f>
        <v/>
      </c>
      <c r="O606" s="275">
        <f>IF(ROW()=ROW(tblContractForDeed[#Headers])+1,$O$6,IF(INDEX(tblContractForDeed[End Bal],ROW()-ROW(tblContractForDeed[#Headers])-1)&lt;0,0,INDEX(tblContractForDeed[End Bal],ROW()-ROW(tblContractForDeed[#Headers])-1)))</f>
        <v>0</v>
      </c>
      <c r="P606" s="445" t="str">
        <f>IF(tblContractForDeed[[#This Row],[Date]]="","",IF(tblContractForDeed[[#This Row],[Date]]&lt;cfdRateChangeDate,cfdRate1,cfdRate2))</f>
        <v/>
      </c>
      <c r="Q6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75">
        <f>SUM(INDEX(tblContractForDeed[Princ],1):INDEX(tblContractForDeed[Princ],ROW()-ROW(tblContractForDeed[#Headers])))</f>
        <v>75258.000000000029</v>
      </c>
      <c r="X606" s="275">
        <f>IF(tblContractForDeed[[#This Row],[Beg]]&lt;=0,0,tblContractForDeed[[#This Row],[Beg]]-tblContractForDeed[[#This Row],[Princ]])</f>
        <v>0</v>
      </c>
      <c r="Y60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75">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6" s="275">
        <f>IF(INDEX(tblContractForDeed[End Bal],ROW()-ROW(tblBuyerOutputs[#Headers]))&lt;=0,0,($O$6+IF(ROW()=ROW(tblBuyerOutputs[#Headers])+1,0,INDEX(tblBuyerOutputs[Cumul Appr],ROW()-ROW(tblBuyerOutputs[#Headers])-1)))*$O$2/12)</f>
        <v>0</v>
      </c>
      <c r="AE606" s="275">
        <f>IF(INDEX(tblContractForDeed[End Bal],ROW()-ROW(tblBuyerOutputs[#Headers]))&lt;=0,0,IF(ROW()=ROW(tblBuyerOutputs[#Headers])+1,0,INDEX(tblBuyerOutputs[Cumul Appr],ROW()-ROW(tblBuyerOutputs[#Headers])-1))+tblBuyerOutputs[[#This Row],[Monthly Appr]])</f>
        <v>0</v>
      </c>
      <c r="AF606" s="22"/>
      <c r="AG606" s="14"/>
      <c r="AL606"/>
      <c r="AM606" s="14"/>
      <c r="AO606" s="275"/>
      <c r="AQ606" s="14"/>
      <c r="AR606"/>
    </row>
    <row r="607" spans="1:44" ht="15.75" thickBot="1" x14ac:dyDescent="0.3">
      <c r="A607" s="591" t="str">
        <f t="shared" si="127"/>
        <v/>
      </c>
      <c r="B607" s="326">
        <f t="shared" si="128"/>
        <v>0</v>
      </c>
      <c r="C607" s="21">
        <f t="shared" si="125"/>
        <v>0</v>
      </c>
      <c r="D607" s="21">
        <f t="shared" si="129"/>
        <v>0</v>
      </c>
      <c r="E607" s="21">
        <f t="shared" si="126"/>
        <v>0</v>
      </c>
      <c r="F607" s="21"/>
      <c r="G607" s="21"/>
      <c r="H607" s="21"/>
      <c r="I607" s="326"/>
      <c r="J607" s="326"/>
      <c r="K607" s="326">
        <f t="shared" si="130"/>
        <v>0</v>
      </c>
      <c r="L607" s="387">
        <f t="shared" si="124"/>
        <v>0</v>
      </c>
      <c r="M607" s="387">
        <f t="shared" si="131"/>
        <v>0</v>
      </c>
      <c r="N607" s="591" t="str">
        <f>INDEX(tblSubjectToLoan[Date],ROW()-ROW(tblContractForDeed[#Headers]))</f>
        <v/>
      </c>
      <c r="O607" s="326">
        <f>IF(ROW()=ROW(tblContractForDeed[#Headers])+1,$O$6,IF(INDEX(tblContractForDeed[End Bal],ROW()-ROW(tblContractForDeed[#Headers])-1)&lt;0,0,INDEX(tblContractForDeed[End Bal],ROW()-ROW(tblContractForDeed[#Headers])-1)))</f>
        <v>0</v>
      </c>
      <c r="P607" s="445" t="str">
        <f>IF(tblContractForDeed[[#This Row],[Date]]="","",IF(tblContractForDeed[[#This Row],[Date]]&lt;cfdRateChangeDate,cfdRate1,cfdRate2))</f>
        <v/>
      </c>
      <c r="Q60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26">
        <f>SUM(INDEX(tblContractForDeed[Princ],1):INDEX(tblContractForDeed[Princ],ROW()-ROW(tblContractForDeed[#Headers])))</f>
        <v>75258.000000000029</v>
      </c>
      <c r="X607" s="326">
        <f>IF(tblContractForDeed[[#This Row],[Beg]]&lt;=0,0,tblContractForDeed[[#This Row],[Beg]]-tblContractForDeed[[#This Row],[Princ]])</f>
        <v>0</v>
      </c>
      <c r="Y60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26">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7" s="326">
        <f>IF(INDEX(tblContractForDeed[End Bal],ROW()-ROW(tblBuyerOutputs[#Headers]))&lt;=0,0,($O$6+IF(ROW()=ROW(tblBuyerOutputs[#Headers])+1,0,INDEX(tblBuyerOutputs[Cumul Appr],ROW()-ROW(tblBuyerOutputs[#Headers])-1)))*$O$2/12)</f>
        <v>0</v>
      </c>
      <c r="AE607" s="326">
        <f>IF(INDEX(tblContractForDeed[End Bal],ROW()-ROW(tblBuyerOutputs[#Headers]))&lt;=0,0,IF(ROW()=ROW(tblBuyerOutputs[#Headers])+1,0,INDEX(tblBuyerOutputs[Cumul Appr],ROW()-ROW(tblBuyerOutputs[#Headers])-1))+tblBuyerOutputs[[#This Row],[Monthly Appr]])</f>
        <v>0</v>
      </c>
      <c r="AF607" s="22"/>
      <c r="AG607" s="14"/>
      <c r="AL607"/>
      <c r="AM607" s="14"/>
      <c r="AO607" s="275"/>
      <c r="AQ607" s="21"/>
      <c r="AR607"/>
    </row>
    <row r="608" spans="1:44" x14ac:dyDescent="0.25">
      <c r="A608" s="590" t="str">
        <f t="shared" si="127"/>
        <v/>
      </c>
      <c r="B608" s="275">
        <f t="shared" si="128"/>
        <v>0</v>
      </c>
      <c r="C608" s="14">
        <f t="shared" si="125"/>
        <v>0</v>
      </c>
      <c r="D608" s="14">
        <f t="shared" si="129"/>
        <v>0</v>
      </c>
      <c r="E608" s="14">
        <f t="shared" si="126"/>
        <v>0</v>
      </c>
      <c r="K608" s="275">
        <f t="shared" si="130"/>
        <v>0</v>
      </c>
      <c r="L608" s="386">
        <f t="shared" si="124"/>
        <v>0</v>
      </c>
      <c r="M608" s="386">
        <f t="shared" si="131"/>
        <v>0</v>
      </c>
      <c r="N608" s="590" t="str">
        <f>INDEX(tblSubjectToLoan[Date],ROW()-ROW(tblContractForDeed[#Headers]))</f>
        <v/>
      </c>
      <c r="O608" s="275">
        <f>IF(ROW()=ROW(tblContractForDeed[#Headers])+1,$O$6,IF(INDEX(tblContractForDeed[End Bal],ROW()-ROW(tblContractForDeed[#Headers])-1)&lt;0,0,INDEX(tblContractForDeed[End Bal],ROW()-ROW(tblContractForDeed[#Headers])-1)))</f>
        <v>0</v>
      </c>
      <c r="P608" s="445" t="str">
        <f>IF(tblContractForDeed[[#This Row],[Date]]="","",IF(tblContractForDeed[[#This Row],[Date]]&lt;cfdRateChangeDate,cfdRate1,cfdRate2))</f>
        <v/>
      </c>
      <c r="Q6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75">
        <f>SUM(INDEX(tblContractForDeed[Princ],1):INDEX(tblContractForDeed[Princ],ROW()-ROW(tblContractForDeed[#Headers])))</f>
        <v>75258.000000000029</v>
      </c>
      <c r="X608" s="275">
        <f>IF(tblContractForDeed[[#This Row],[Beg]]&lt;=0,0,tblContractForDeed[[#This Row],[Beg]]-tblContractForDeed[[#This Row],[Princ]])</f>
        <v>0</v>
      </c>
      <c r="Y60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75">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8" s="275">
        <f>IF(INDEX(tblContractForDeed[End Bal],ROW()-ROW(tblBuyerOutputs[#Headers]))&lt;=0,0,($O$6+IF(ROW()=ROW(tblBuyerOutputs[#Headers])+1,0,INDEX(tblBuyerOutputs[Cumul Appr],ROW()-ROW(tblBuyerOutputs[#Headers])-1)))*$O$2/12)</f>
        <v>0</v>
      </c>
      <c r="AE608" s="275">
        <f>IF(INDEX(tblContractForDeed[End Bal],ROW()-ROW(tblBuyerOutputs[#Headers]))&lt;=0,0,IF(ROW()=ROW(tblBuyerOutputs[#Headers])+1,0,INDEX(tblBuyerOutputs[Cumul Appr],ROW()-ROW(tblBuyerOutputs[#Headers])-1))+tblBuyerOutputs[[#This Row],[Monthly Appr]])</f>
        <v>0</v>
      </c>
      <c r="AF608" s="22"/>
      <c r="AG608" s="14"/>
      <c r="AL608"/>
      <c r="AM608" s="14"/>
      <c r="AO608" s="275"/>
      <c r="AQ608" s="14"/>
      <c r="AR608"/>
    </row>
    <row r="609" spans="1:44" x14ac:dyDescent="0.25">
      <c r="A609" s="590" t="str">
        <f t="shared" si="127"/>
        <v/>
      </c>
      <c r="B609" s="275">
        <f t="shared" si="128"/>
        <v>0</v>
      </c>
      <c r="C609" s="14">
        <f t="shared" si="125"/>
        <v>0</v>
      </c>
      <c r="D609" s="14">
        <f t="shared" si="129"/>
        <v>0</v>
      </c>
      <c r="E609" s="14">
        <f t="shared" si="126"/>
        <v>0</v>
      </c>
      <c r="K609" s="275">
        <f t="shared" si="130"/>
        <v>0</v>
      </c>
      <c r="L609" s="386">
        <f t="shared" si="124"/>
        <v>0</v>
      </c>
      <c r="M609" s="386">
        <f t="shared" si="131"/>
        <v>0</v>
      </c>
      <c r="N609" s="590" t="str">
        <f>INDEX(tblSubjectToLoan[Date],ROW()-ROW(tblContractForDeed[#Headers]))</f>
        <v/>
      </c>
      <c r="O609" s="275">
        <f>IF(ROW()=ROW(tblContractForDeed[#Headers])+1,$O$6,IF(INDEX(tblContractForDeed[End Bal],ROW()-ROW(tblContractForDeed[#Headers])-1)&lt;0,0,INDEX(tblContractForDeed[End Bal],ROW()-ROW(tblContractForDeed[#Headers])-1)))</f>
        <v>0</v>
      </c>
      <c r="P609" s="445" t="str">
        <f>IF(tblContractForDeed[[#This Row],[Date]]="","",IF(tblContractForDeed[[#This Row],[Date]]&lt;cfdRateChangeDate,cfdRate1,cfdRate2))</f>
        <v/>
      </c>
      <c r="Q6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75">
        <f>SUM(INDEX(tblContractForDeed[Princ],1):INDEX(tblContractForDeed[Princ],ROW()-ROW(tblContractForDeed[#Headers])))</f>
        <v>75258.000000000029</v>
      </c>
      <c r="X609" s="275">
        <f>IF(tblContractForDeed[[#This Row],[Beg]]&lt;=0,0,tblContractForDeed[[#This Row],[Beg]]-tblContractForDeed[[#This Row],[Princ]])</f>
        <v>0</v>
      </c>
      <c r="Y60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75">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9" s="275">
        <f>IF(INDEX(tblContractForDeed[End Bal],ROW()-ROW(tblBuyerOutputs[#Headers]))&lt;=0,0,($O$6+IF(ROW()=ROW(tblBuyerOutputs[#Headers])+1,0,INDEX(tblBuyerOutputs[Cumul Appr],ROW()-ROW(tblBuyerOutputs[#Headers])-1)))*$O$2/12)</f>
        <v>0</v>
      </c>
      <c r="AE609" s="275">
        <f>IF(INDEX(tblContractForDeed[End Bal],ROW()-ROW(tblBuyerOutputs[#Headers]))&lt;=0,0,IF(ROW()=ROW(tblBuyerOutputs[#Headers])+1,0,INDEX(tblBuyerOutputs[Cumul Appr],ROW()-ROW(tblBuyerOutputs[#Headers])-1))+tblBuyerOutputs[[#This Row],[Monthly Appr]])</f>
        <v>0</v>
      </c>
      <c r="AF609" s="22"/>
      <c r="AG609" s="14"/>
      <c r="AL609"/>
      <c r="AM609" s="14"/>
      <c r="AO609" s="275"/>
      <c r="AQ609" s="14"/>
      <c r="AR609"/>
    </row>
    <row r="610" spans="1:44" x14ac:dyDescent="0.25">
      <c r="A610" s="590" t="str">
        <f t="shared" si="127"/>
        <v/>
      </c>
      <c r="B610" s="275">
        <f t="shared" si="128"/>
        <v>0</v>
      </c>
      <c r="C610" s="14">
        <f t="shared" si="125"/>
        <v>0</v>
      </c>
      <c r="D610" s="14">
        <f t="shared" si="129"/>
        <v>0</v>
      </c>
      <c r="E610" s="14">
        <f t="shared" si="126"/>
        <v>0</v>
      </c>
      <c r="K610" s="275">
        <f t="shared" si="130"/>
        <v>0</v>
      </c>
      <c r="L610" s="386">
        <f t="shared" si="124"/>
        <v>0</v>
      </c>
      <c r="M610" s="386">
        <f t="shared" si="131"/>
        <v>0</v>
      </c>
      <c r="N610" s="590" t="str">
        <f>INDEX(tblSubjectToLoan[Date],ROW()-ROW(tblContractForDeed[#Headers]))</f>
        <v/>
      </c>
      <c r="O610" s="275">
        <f>IF(ROW()=ROW(tblContractForDeed[#Headers])+1,$O$6,IF(INDEX(tblContractForDeed[End Bal],ROW()-ROW(tblContractForDeed[#Headers])-1)&lt;0,0,INDEX(tblContractForDeed[End Bal],ROW()-ROW(tblContractForDeed[#Headers])-1)))</f>
        <v>0</v>
      </c>
      <c r="P610" s="445" t="str">
        <f>IF(tblContractForDeed[[#This Row],[Date]]="","",IF(tblContractForDeed[[#This Row],[Date]]&lt;cfdRateChangeDate,cfdRate1,cfdRate2))</f>
        <v/>
      </c>
      <c r="Q6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75">
        <f>SUM(INDEX(tblContractForDeed[Princ],1):INDEX(tblContractForDeed[Princ],ROW()-ROW(tblContractForDeed[#Headers])))</f>
        <v>75258.000000000029</v>
      </c>
      <c r="X610" s="275">
        <f>IF(tblContractForDeed[[#This Row],[Beg]]&lt;=0,0,tblContractForDeed[[#This Row],[Beg]]-tblContractForDeed[[#This Row],[Princ]])</f>
        <v>0</v>
      </c>
      <c r="Y61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75">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0" s="275">
        <f>IF(INDEX(tblContractForDeed[End Bal],ROW()-ROW(tblBuyerOutputs[#Headers]))&lt;=0,0,($O$6+IF(ROW()=ROW(tblBuyerOutputs[#Headers])+1,0,INDEX(tblBuyerOutputs[Cumul Appr],ROW()-ROW(tblBuyerOutputs[#Headers])-1)))*$O$2/12)</f>
        <v>0</v>
      </c>
      <c r="AE610" s="275">
        <f>IF(INDEX(tblContractForDeed[End Bal],ROW()-ROW(tblBuyerOutputs[#Headers]))&lt;=0,0,IF(ROW()=ROW(tblBuyerOutputs[#Headers])+1,0,INDEX(tblBuyerOutputs[Cumul Appr],ROW()-ROW(tblBuyerOutputs[#Headers])-1))+tblBuyerOutputs[[#This Row],[Monthly Appr]])</f>
        <v>0</v>
      </c>
      <c r="AF610" s="22"/>
      <c r="AG610" s="14"/>
      <c r="AL610"/>
      <c r="AM610" s="14"/>
      <c r="AO610" s="275"/>
      <c r="AQ610" s="14"/>
      <c r="AR610"/>
    </row>
    <row r="611" spans="1:44" x14ac:dyDescent="0.25">
      <c r="A611" s="590" t="str">
        <f t="shared" si="127"/>
        <v/>
      </c>
      <c r="B611" s="275">
        <f t="shared" si="128"/>
        <v>0</v>
      </c>
      <c r="C611" s="14">
        <f t="shared" si="125"/>
        <v>0</v>
      </c>
      <c r="D611" s="14">
        <f t="shared" si="129"/>
        <v>0</v>
      </c>
      <c r="E611" s="14">
        <f t="shared" si="126"/>
        <v>0</v>
      </c>
      <c r="K611" s="275">
        <f t="shared" si="130"/>
        <v>0</v>
      </c>
      <c r="L611" s="386">
        <f t="shared" si="124"/>
        <v>0</v>
      </c>
      <c r="M611" s="386">
        <f t="shared" si="131"/>
        <v>0</v>
      </c>
      <c r="N611" s="590" t="str">
        <f>INDEX(tblSubjectToLoan[Date],ROW()-ROW(tblContractForDeed[#Headers]))</f>
        <v/>
      </c>
      <c r="O611" s="275">
        <f>IF(ROW()=ROW(tblContractForDeed[#Headers])+1,$O$6,IF(INDEX(tblContractForDeed[End Bal],ROW()-ROW(tblContractForDeed[#Headers])-1)&lt;0,0,INDEX(tblContractForDeed[End Bal],ROW()-ROW(tblContractForDeed[#Headers])-1)))</f>
        <v>0</v>
      </c>
      <c r="P611" s="445" t="str">
        <f>IF(tblContractForDeed[[#This Row],[Date]]="","",IF(tblContractForDeed[[#This Row],[Date]]&lt;cfdRateChangeDate,cfdRate1,cfdRate2))</f>
        <v/>
      </c>
      <c r="Q61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75">
        <f>SUM(INDEX(tblContractForDeed[Princ],1):INDEX(tblContractForDeed[Princ],ROW()-ROW(tblContractForDeed[#Headers])))</f>
        <v>75258.000000000029</v>
      </c>
      <c r="X611" s="275">
        <f>IF(tblContractForDeed[[#This Row],[Beg]]&lt;=0,0,tblContractForDeed[[#This Row],[Beg]]-tblContractForDeed[[#This Row],[Princ]])</f>
        <v>0</v>
      </c>
      <c r="Y61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75">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1" s="275">
        <f>IF(INDEX(tblContractForDeed[End Bal],ROW()-ROW(tblBuyerOutputs[#Headers]))&lt;=0,0,($O$6+IF(ROW()=ROW(tblBuyerOutputs[#Headers])+1,0,INDEX(tblBuyerOutputs[Cumul Appr],ROW()-ROW(tblBuyerOutputs[#Headers])-1)))*$O$2/12)</f>
        <v>0</v>
      </c>
      <c r="AE611" s="275">
        <f>IF(INDEX(tblContractForDeed[End Bal],ROW()-ROW(tblBuyerOutputs[#Headers]))&lt;=0,0,IF(ROW()=ROW(tblBuyerOutputs[#Headers])+1,0,INDEX(tblBuyerOutputs[Cumul Appr],ROW()-ROW(tblBuyerOutputs[#Headers])-1))+tblBuyerOutputs[[#This Row],[Monthly Appr]])</f>
        <v>0</v>
      </c>
      <c r="AF611" s="22"/>
      <c r="AG611" s="14"/>
      <c r="AL611"/>
      <c r="AM611" s="14"/>
      <c r="AO611" s="275"/>
      <c r="AQ611" s="14"/>
      <c r="AR611"/>
    </row>
    <row r="612" spans="1:44" x14ac:dyDescent="0.25">
      <c r="A612" s="590" t="str">
        <f t="shared" si="127"/>
        <v/>
      </c>
      <c r="B612" s="275">
        <f t="shared" si="128"/>
        <v>0</v>
      </c>
      <c r="C612" s="14">
        <f t="shared" si="125"/>
        <v>0</v>
      </c>
      <c r="D612" s="14">
        <f t="shared" si="129"/>
        <v>0</v>
      </c>
      <c r="E612" s="14">
        <f t="shared" si="126"/>
        <v>0</v>
      </c>
      <c r="K612" s="275">
        <f t="shared" si="130"/>
        <v>0</v>
      </c>
      <c r="L612" s="386">
        <f t="shared" si="124"/>
        <v>0</v>
      </c>
      <c r="M612" s="386">
        <f t="shared" si="131"/>
        <v>0</v>
      </c>
      <c r="N612" s="590" t="str">
        <f>INDEX(tblSubjectToLoan[Date],ROW()-ROW(tblContractForDeed[#Headers]))</f>
        <v/>
      </c>
      <c r="O612" s="275">
        <f>IF(ROW()=ROW(tblContractForDeed[#Headers])+1,$O$6,IF(INDEX(tblContractForDeed[End Bal],ROW()-ROW(tblContractForDeed[#Headers])-1)&lt;0,0,INDEX(tblContractForDeed[End Bal],ROW()-ROW(tblContractForDeed[#Headers])-1)))</f>
        <v>0</v>
      </c>
      <c r="P612" s="445" t="str">
        <f>IF(tblContractForDeed[[#This Row],[Date]]="","",IF(tblContractForDeed[[#This Row],[Date]]&lt;cfdRateChangeDate,cfdRate1,cfdRate2))</f>
        <v/>
      </c>
      <c r="Q6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75">
        <f>SUM(INDEX(tblContractForDeed[Princ],1):INDEX(tblContractForDeed[Princ],ROW()-ROW(tblContractForDeed[#Headers])))</f>
        <v>75258.000000000029</v>
      </c>
      <c r="X612" s="275">
        <f>IF(tblContractForDeed[[#This Row],[Beg]]&lt;=0,0,tblContractForDeed[[#This Row],[Beg]]-tblContractForDeed[[#This Row],[Princ]])</f>
        <v>0</v>
      </c>
      <c r="Y61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75">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2" s="275">
        <f>IF(INDEX(tblContractForDeed[End Bal],ROW()-ROW(tblBuyerOutputs[#Headers]))&lt;=0,0,($O$6+IF(ROW()=ROW(tblBuyerOutputs[#Headers])+1,0,INDEX(tblBuyerOutputs[Cumul Appr],ROW()-ROW(tblBuyerOutputs[#Headers])-1)))*$O$2/12)</f>
        <v>0</v>
      </c>
      <c r="AE612" s="275">
        <f>IF(INDEX(tblContractForDeed[End Bal],ROW()-ROW(tblBuyerOutputs[#Headers]))&lt;=0,0,IF(ROW()=ROW(tblBuyerOutputs[#Headers])+1,0,INDEX(tblBuyerOutputs[Cumul Appr],ROW()-ROW(tblBuyerOutputs[#Headers])-1))+tblBuyerOutputs[[#This Row],[Monthly Appr]])</f>
        <v>0</v>
      </c>
      <c r="AF612" s="22"/>
      <c r="AG612" s="14"/>
      <c r="AL612"/>
      <c r="AM612" s="14"/>
      <c r="AO612" s="275"/>
      <c r="AQ612" s="14"/>
      <c r="AR612"/>
    </row>
    <row r="613" spans="1:44" x14ac:dyDescent="0.25">
      <c r="A613" s="590" t="str">
        <f t="shared" si="127"/>
        <v/>
      </c>
      <c r="B613" s="275">
        <f t="shared" si="128"/>
        <v>0</v>
      </c>
      <c r="C613" s="14">
        <f t="shared" si="125"/>
        <v>0</v>
      </c>
      <c r="D613" s="14">
        <f t="shared" si="129"/>
        <v>0</v>
      </c>
      <c r="E613" s="14">
        <f t="shared" si="126"/>
        <v>0</v>
      </c>
      <c r="K613" s="275">
        <f t="shared" si="130"/>
        <v>0</v>
      </c>
      <c r="L613" s="386">
        <f t="shared" si="124"/>
        <v>0</v>
      </c>
      <c r="M613" s="386">
        <f t="shared" si="131"/>
        <v>0</v>
      </c>
      <c r="N613" s="590" t="str">
        <f>INDEX(tblSubjectToLoan[Date],ROW()-ROW(tblContractForDeed[#Headers]))</f>
        <v/>
      </c>
      <c r="O613" s="275">
        <f>IF(ROW()=ROW(tblContractForDeed[#Headers])+1,$O$6,IF(INDEX(tblContractForDeed[End Bal],ROW()-ROW(tblContractForDeed[#Headers])-1)&lt;0,0,INDEX(tblContractForDeed[End Bal],ROW()-ROW(tblContractForDeed[#Headers])-1)))</f>
        <v>0</v>
      </c>
      <c r="P613" s="445" t="str">
        <f>IF(tblContractForDeed[[#This Row],[Date]]="","",IF(tblContractForDeed[[#This Row],[Date]]&lt;cfdRateChangeDate,cfdRate1,cfdRate2))</f>
        <v/>
      </c>
      <c r="Q6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75">
        <f>SUM(INDEX(tblContractForDeed[Princ],1):INDEX(tblContractForDeed[Princ],ROW()-ROW(tblContractForDeed[#Headers])))</f>
        <v>75258.000000000029</v>
      </c>
      <c r="X613" s="275">
        <f>IF(tblContractForDeed[[#This Row],[Beg]]&lt;=0,0,tblContractForDeed[[#This Row],[Beg]]-tblContractForDeed[[#This Row],[Princ]])</f>
        <v>0</v>
      </c>
      <c r="Y61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75">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3" s="275">
        <f>IF(INDEX(tblContractForDeed[End Bal],ROW()-ROW(tblBuyerOutputs[#Headers]))&lt;=0,0,($O$6+IF(ROW()=ROW(tblBuyerOutputs[#Headers])+1,0,INDEX(tblBuyerOutputs[Cumul Appr],ROW()-ROW(tblBuyerOutputs[#Headers])-1)))*$O$2/12)</f>
        <v>0</v>
      </c>
      <c r="AE613" s="275">
        <f>IF(INDEX(tblContractForDeed[End Bal],ROW()-ROW(tblBuyerOutputs[#Headers]))&lt;=0,0,IF(ROW()=ROW(tblBuyerOutputs[#Headers])+1,0,INDEX(tblBuyerOutputs[Cumul Appr],ROW()-ROW(tblBuyerOutputs[#Headers])-1))+tblBuyerOutputs[[#This Row],[Monthly Appr]])</f>
        <v>0</v>
      </c>
      <c r="AF613" s="22"/>
      <c r="AG613" s="14"/>
      <c r="AL613"/>
      <c r="AM613" s="14"/>
      <c r="AO613" s="275"/>
      <c r="AQ613" s="14"/>
      <c r="AR613"/>
    </row>
    <row r="614" spans="1:44" x14ac:dyDescent="0.25">
      <c r="A614" s="590" t="str">
        <f t="shared" si="127"/>
        <v/>
      </c>
      <c r="B614" s="275">
        <f t="shared" si="128"/>
        <v>0</v>
      </c>
      <c r="C614" s="14">
        <f t="shared" si="125"/>
        <v>0</v>
      </c>
      <c r="D614" s="14">
        <f t="shared" si="129"/>
        <v>0</v>
      </c>
      <c r="E614" s="14">
        <f t="shared" si="126"/>
        <v>0</v>
      </c>
      <c r="K614" s="275">
        <f t="shared" si="130"/>
        <v>0</v>
      </c>
      <c r="L614" s="386">
        <f t="shared" si="124"/>
        <v>0</v>
      </c>
      <c r="M614" s="386">
        <f t="shared" si="131"/>
        <v>0</v>
      </c>
      <c r="N614" s="590" t="str">
        <f>INDEX(tblSubjectToLoan[Date],ROW()-ROW(tblContractForDeed[#Headers]))</f>
        <v/>
      </c>
      <c r="O614" s="275">
        <f>IF(ROW()=ROW(tblContractForDeed[#Headers])+1,$O$6,IF(INDEX(tblContractForDeed[End Bal],ROW()-ROW(tblContractForDeed[#Headers])-1)&lt;0,0,INDEX(tblContractForDeed[End Bal],ROW()-ROW(tblContractForDeed[#Headers])-1)))</f>
        <v>0</v>
      </c>
      <c r="P614" s="445" t="str">
        <f>IF(tblContractForDeed[[#This Row],[Date]]="","",IF(tblContractForDeed[[#This Row],[Date]]&lt;cfdRateChangeDate,cfdRate1,cfdRate2))</f>
        <v/>
      </c>
      <c r="Q6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75">
        <f>SUM(INDEX(tblContractForDeed[Princ],1):INDEX(tblContractForDeed[Princ],ROW()-ROW(tblContractForDeed[#Headers])))</f>
        <v>75258.000000000029</v>
      </c>
      <c r="X614" s="275">
        <f>IF(tblContractForDeed[[#This Row],[Beg]]&lt;=0,0,tblContractForDeed[[#This Row],[Beg]]-tblContractForDeed[[#This Row],[Princ]])</f>
        <v>0</v>
      </c>
      <c r="Y61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75">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4" s="275">
        <f>IF(INDEX(tblContractForDeed[End Bal],ROW()-ROW(tblBuyerOutputs[#Headers]))&lt;=0,0,($O$6+IF(ROW()=ROW(tblBuyerOutputs[#Headers])+1,0,INDEX(tblBuyerOutputs[Cumul Appr],ROW()-ROW(tblBuyerOutputs[#Headers])-1)))*$O$2/12)</f>
        <v>0</v>
      </c>
      <c r="AE614" s="275">
        <f>IF(INDEX(tblContractForDeed[End Bal],ROW()-ROW(tblBuyerOutputs[#Headers]))&lt;=0,0,IF(ROW()=ROW(tblBuyerOutputs[#Headers])+1,0,INDEX(tblBuyerOutputs[Cumul Appr],ROW()-ROW(tblBuyerOutputs[#Headers])-1))+tblBuyerOutputs[[#This Row],[Monthly Appr]])</f>
        <v>0</v>
      </c>
      <c r="AF614" s="22"/>
      <c r="AG614" s="14"/>
      <c r="AL614"/>
      <c r="AM614" s="14"/>
      <c r="AO614" s="275"/>
      <c r="AQ614" s="14"/>
      <c r="AR614"/>
    </row>
    <row r="615" spans="1:44" x14ac:dyDescent="0.25">
      <c r="A615" s="590" t="str">
        <f t="shared" si="127"/>
        <v/>
      </c>
      <c r="B615" s="275">
        <f t="shared" si="128"/>
        <v>0</v>
      </c>
      <c r="C615" s="14">
        <f t="shared" si="125"/>
        <v>0</v>
      </c>
      <c r="D615" s="14">
        <f t="shared" si="129"/>
        <v>0</v>
      </c>
      <c r="E615" s="14">
        <f t="shared" si="126"/>
        <v>0</v>
      </c>
      <c r="K615" s="275">
        <f t="shared" si="130"/>
        <v>0</v>
      </c>
      <c r="L615" s="386">
        <f t="shared" si="124"/>
        <v>0</v>
      </c>
      <c r="M615" s="386">
        <f t="shared" si="131"/>
        <v>0</v>
      </c>
      <c r="N615" s="590" t="str">
        <f>INDEX(tblSubjectToLoan[Date],ROW()-ROW(tblContractForDeed[#Headers]))</f>
        <v/>
      </c>
      <c r="O615" s="275">
        <f>IF(ROW()=ROW(tblContractForDeed[#Headers])+1,$O$6,IF(INDEX(tblContractForDeed[End Bal],ROW()-ROW(tblContractForDeed[#Headers])-1)&lt;0,0,INDEX(tblContractForDeed[End Bal],ROW()-ROW(tblContractForDeed[#Headers])-1)))</f>
        <v>0</v>
      </c>
      <c r="P615" s="445" t="str">
        <f>IF(tblContractForDeed[[#This Row],[Date]]="","",IF(tblContractForDeed[[#This Row],[Date]]&lt;cfdRateChangeDate,cfdRate1,cfdRate2))</f>
        <v/>
      </c>
      <c r="Q61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75">
        <f>SUM(INDEX(tblContractForDeed[Princ],1):INDEX(tblContractForDeed[Princ],ROW()-ROW(tblContractForDeed[#Headers])))</f>
        <v>75258.000000000029</v>
      </c>
      <c r="X615" s="275">
        <f>IF(tblContractForDeed[[#This Row],[Beg]]&lt;=0,0,tblContractForDeed[[#This Row],[Beg]]-tblContractForDeed[[#This Row],[Princ]])</f>
        <v>0</v>
      </c>
      <c r="Y61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75">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5" s="275">
        <f>IF(INDEX(tblContractForDeed[End Bal],ROW()-ROW(tblBuyerOutputs[#Headers]))&lt;=0,0,($O$6+IF(ROW()=ROW(tblBuyerOutputs[#Headers])+1,0,INDEX(tblBuyerOutputs[Cumul Appr],ROW()-ROW(tblBuyerOutputs[#Headers])-1)))*$O$2/12)</f>
        <v>0</v>
      </c>
      <c r="AE615" s="275">
        <f>IF(INDEX(tblContractForDeed[End Bal],ROW()-ROW(tblBuyerOutputs[#Headers]))&lt;=0,0,IF(ROW()=ROW(tblBuyerOutputs[#Headers])+1,0,INDEX(tblBuyerOutputs[Cumul Appr],ROW()-ROW(tblBuyerOutputs[#Headers])-1))+tblBuyerOutputs[[#This Row],[Monthly Appr]])</f>
        <v>0</v>
      </c>
      <c r="AF615" s="22"/>
      <c r="AG615" s="14"/>
      <c r="AL615"/>
      <c r="AM615" s="14"/>
      <c r="AO615" s="275"/>
      <c r="AQ615" s="14"/>
      <c r="AR615"/>
    </row>
    <row r="616" spans="1:44" x14ac:dyDescent="0.25">
      <c r="A616" s="590" t="str">
        <f t="shared" si="127"/>
        <v/>
      </c>
      <c r="B616" s="275">
        <f t="shared" si="128"/>
        <v>0</v>
      </c>
      <c r="C616" s="14">
        <f t="shared" si="125"/>
        <v>0</v>
      </c>
      <c r="D616" s="14">
        <f t="shared" si="129"/>
        <v>0</v>
      </c>
      <c r="E616" s="14">
        <f t="shared" si="126"/>
        <v>0</v>
      </c>
      <c r="K616" s="275">
        <f t="shared" si="130"/>
        <v>0</v>
      </c>
      <c r="L616" s="386">
        <f t="shared" si="124"/>
        <v>0</v>
      </c>
      <c r="M616" s="386">
        <f t="shared" si="131"/>
        <v>0</v>
      </c>
      <c r="N616" s="590" t="str">
        <f>INDEX(tblSubjectToLoan[Date],ROW()-ROW(tblContractForDeed[#Headers]))</f>
        <v/>
      </c>
      <c r="O616" s="275">
        <f>IF(ROW()=ROW(tblContractForDeed[#Headers])+1,$O$6,IF(INDEX(tblContractForDeed[End Bal],ROW()-ROW(tblContractForDeed[#Headers])-1)&lt;0,0,INDEX(tblContractForDeed[End Bal],ROW()-ROW(tblContractForDeed[#Headers])-1)))</f>
        <v>0</v>
      </c>
      <c r="P616" s="445" t="str">
        <f>IF(tblContractForDeed[[#This Row],[Date]]="","",IF(tblContractForDeed[[#This Row],[Date]]&lt;cfdRateChangeDate,cfdRate1,cfdRate2))</f>
        <v/>
      </c>
      <c r="Q6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75">
        <f>SUM(INDEX(tblContractForDeed[Princ],1):INDEX(tblContractForDeed[Princ],ROW()-ROW(tblContractForDeed[#Headers])))</f>
        <v>75258.000000000029</v>
      </c>
      <c r="X616" s="275">
        <f>IF(tblContractForDeed[[#This Row],[Beg]]&lt;=0,0,tblContractForDeed[[#This Row],[Beg]]-tblContractForDeed[[#This Row],[Princ]])</f>
        <v>0</v>
      </c>
      <c r="Y61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75">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6" s="275">
        <f>IF(INDEX(tblContractForDeed[End Bal],ROW()-ROW(tblBuyerOutputs[#Headers]))&lt;=0,0,($O$6+IF(ROW()=ROW(tblBuyerOutputs[#Headers])+1,0,INDEX(tblBuyerOutputs[Cumul Appr],ROW()-ROW(tblBuyerOutputs[#Headers])-1)))*$O$2/12)</f>
        <v>0</v>
      </c>
      <c r="AE616" s="275">
        <f>IF(INDEX(tblContractForDeed[End Bal],ROW()-ROW(tblBuyerOutputs[#Headers]))&lt;=0,0,IF(ROW()=ROW(tblBuyerOutputs[#Headers])+1,0,INDEX(tblBuyerOutputs[Cumul Appr],ROW()-ROW(tblBuyerOutputs[#Headers])-1))+tblBuyerOutputs[[#This Row],[Monthly Appr]])</f>
        <v>0</v>
      </c>
      <c r="AF616" s="22"/>
      <c r="AG616" s="14"/>
      <c r="AL616"/>
      <c r="AM616" s="14"/>
      <c r="AO616" s="275"/>
      <c r="AQ616" s="14"/>
      <c r="AR616"/>
    </row>
    <row r="617" spans="1:44" x14ac:dyDescent="0.25">
      <c r="A617" s="590" t="str">
        <f t="shared" si="127"/>
        <v/>
      </c>
      <c r="B617" s="275">
        <f t="shared" si="128"/>
        <v>0</v>
      </c>
      <c r="C617" s="14">
        <f t="shared" si="125"/>
        <v>0</v>
      </c>
      <c r="D617" s="14">
        <f t="shared" si="129"/>
        <v>0</v>
      </c>
      <c r="E617" s="14">
        <f t="shared" si="126"/>
        <v>0</v>
      </c>
      <c r="K617" s="275">
        <f t="shared" si="130"/>
        <v>0</v>
      </c>
      <c r="L617" s="386">
        <f t="shared" si="124"/>
        <v>0</v>
      </c>
      <c r="M617" s="386">
        <f t="shared" si="131"/>
        <v>0</v>
      </c>
      <c r="N617" s="590" t="str">
        <f>INDEX(tblSubjectToLoan[Date],ROW()-ROW(tblContractForDeed[#Headers]))</f>
        <v/>
      </c>
      <c r="O617" s="275">
        <f>IF(ROW()=ROW(tblContractForDeed[#Headers])+1,$O$6,IF(INDEX(tblContractForDeed[End Bal],ROW()-ROW(tblContractForDeed[#Headers])-1)&lt;0,0,INDEX(tblContractForDeed[End Bal],ROW()-ROW(tblContractForDeed[#Headers])-1)))</f>
        <v>0</v>
      </c>
      <c r="P617" s="445" t="str">
        <f>IF(tblContractForDeed[[#This Row],[Date]]="","",IF(tblContractForDeed[[#This Row],[Date]]&lt;cfdRateChangeDate,cfdRate1,cfdRate2))</f>
        <v/>
      </c>
      <c r="Q6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75">
        <f>SUM(INDEX(tblContractForDeed[Princ],1):INDEX(tblContractForDeed[Princ],ROW()-ROW(tblContractForDeed[#Headers])))</f>
        <v>75258.000000000029</v>
      </c>
      <c r="X617" s="275">
        <f>IF(tblContractForDeed[[#This Row],[Beg]]&lt;=0,0,tblContractForDeed[[#This Row],[Beg]]-tblContractForDeed[[#This Row],[Princ]])</f>
        <v>0</v>
      </c>
      <c r="Y61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75">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7" s="275">
        <f>IF(INDEX(tblContractForDeed[End Bal],ROW()-ROW(tblBuyerOutputs[#Headers]))&lt;=0,0,($O$6+IF(ROW()=ROW(tblBuyerOutputs[#Headers])+1,0,INDEX(tblBuyerOutputs[Cumul Appr],ROW()-ROW(tblBuyerOutputs[#Headers])-1)))*$O$2/12)</f>
        <v>0</v>
      </c>
      <c r="AE617" s="275">
        <f>IF(INDEX(tblContractForDeed[End Bal],ROW()-ROW(tblBuyerOutputs[#Headers]))&lt;=0,0,IF(ROW()=ROW(tblBuyerOutputs[#Headers])+1,0,INDEX(tblBuyerOutputs[Cumul Appr],ROW()-ROW(tblBuyerOutputs[#Headers])-1))+tblBuyerOutputs[[#This Row],[Monthly Appr]])</f>
        <v>0</v>
      </c>
      <c r="AF617" s="22"/>
      <c r="AG617" s="14"/>
      <c r="AL617"/>
      <c r="AM617" s="14"/>
      <c r="AO617" s="275"/>
      <c r="AQ617" s="14"/>
      <c r="AR617"/>
    </row>
    <row r="618" spans="1:44" x14ac:dyDescent="0.25">
      <c r="A618" s="590" t="str">
        <f t="shared" si="127"/>
        <v/>
      </c>
      <c r="B618" s="275">
        <f t="shared" si="128"/>
        <v>0</v>
      </c>
      <c r="C618" s="14">
        <f t="shared" si="125"/>
        <v>0</v>
      </c>
      <c r="D618" s="14">
        <f t="shared" si="129"/>
        <v>0</v>
      </c>
      <c r="E618" s="14">
        <f t="shared" si="126"/>
        <v>0</v>
      </c>
      <c r="K618" s="275">
        <f t="shared" si="130"/>
        <v>0</v>
      </c>
      <c r="L618" s="386">
        <f t="shared" si="124"/>
        <v>0</v>
      </c>
      <c r="M618" s="386">
        <f t="shared" si="131"/>
        <v>0</v>
      </c>
      <c r="N618" s="590" t="str">
        <f>INDEX(tblSubjectToLoan[Date],ROW()-ROW(tblContractForDeed[#Headers]))</f>
        <v/>
      </c>
      <c r="O618" s="275">
        <f>IF(ROW()=ROW(tblContractForDeed[#Headers])+1,$O$6,IF(INDEX(tblContractForDeed[End Bal],ROW()-ROW(tblContractForDeed[#Headers])-1)&lt;0,0,INDEX(tblContractForDeed[End Bal],ROW()-ROW(tblContractForDeed[#Headers])-1)))</f>
        <v>0</v>
      </c>
      <c r="P618" s="445" t="str">
        <f>IF(tblContractForDeed[[#This Row],[Date]]="","",IF(tblContractForDeed[[#This Row],[Date]]&lt;cfdRateChangeDate,cfdRate1,cfdRate2))</f>
        <v/>
      </c>
      <c r="Q6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75">
        <f>SUM(INDEX(tblContractForDeed[Princ],1):INDEX(tblContractForDeed[Princ],ROW()-ROW(tblContractForDeed[#Headers])))</f>
        <v>75258.000000000029</v>
      </c>
      <c r="X618" s="275">
        <f>IF(tblContractForDeed[[#This Row],[Beg]]&lt;=0,0,tblContractForDeed[[#This Row],[Beg]]-tblContractForDeed[[#This Row],[Princ]])</f>
        <v>0</v>
      </c>
      <c r="Y61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75">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8" s="275">
        <f>IF(INDEX(tblContractForDeed[End Bal],ROW()-ROW(tblBuyerOutputs[#Headers]))&lt;=0,0,($O$6+IF(ROW()=ROW(tblBuyerOutputs[#Headers])+1,0,INDEX(tblBuyerOutputs[Cumul Appr],ROW()-ROW(tblBuyerOutputs[#Headers])-1)))*$O$2/12)</f>
        <v>0</v>
      </c>
      <c r="AE618" s="275">
        <f>IF(INDEX(tblContractForDeed[End Bal],ROW()-ROW(tblBuyerOutputs[#Headers]))&lt;=0,0,IF(ROW()=ROW(tblBuyerOutputs[#Headers])+1,0,INDEX(tblBuyerOutputs[Cumul Appr],ROW()-ROW(tblBuyerOutputs[#Headers])-1))+tblBuyerOutputs[[#This Row],[Monthly Appr]])</f>
        <v>0</v>
      </c>
      <c r="AF618" s="22"/>
      <c r="AG618" s="14"/>
      <c r="AL618"/>
      <c r="AM618" s="14"/>
      <c r="AO618" s="275"/>
      <c r="AQ618" s="14"/>
      <c r="AR618"/>
    </row>
    <row r="619" spans="1:44" ht="15.75" thickBot="1" x14ac:dyDescent="0.3">
      <c r="A619" s="591" t="str">
        <f t="shared" si="127"/>
        <v/>
      </c>
      <c r="B619" s="326">
        <f t="shared" si="128"/>
        <v>0</v>
      </c>
      <c r="C619" s="21">
        <f t="shared" si="125"/>
        <v>0</v>
      </c>
      <c r="D619" s="21">
        <f t="shared" si="129"/>
        <v>0</v>
      </c>
      <c r="E619" s="21">
        <f t="shared" si="126"/>
        <v>0</v>
      </c>
      <c r="F619" s="21"/>
      <c r="G619" s="21"/>
      <c r="H619" s="21"/>
      <c r="I619" s="326"/>
      <c r="J619" s="326"/>
      <c r="K619" s="326">
        <f t="shared" si="130"/>
        <v>0</v>
      </c>
      <c r="L619" s="387">
        <f t="shared" si="124"/>
        <v>0</v>
      </c>
      <c r="M619" s="387">
        <f t="shared" si="131"/>
        <v>0</v>
      </c>
      <c r="N619" s="591" t="str">
        <f>INDEX(tblSubjectToLoan[Date],ROW()-ROW(tblContractForDeed[#Headers]))</f>
        <v/>
      </c>
      <c r="O619" s="326">
        <f>IF(ROW()=ROW(tblContractForDeed[#Headers])+1,$O$6,IF(INDEX(tblContractForDeed[End Bal],ROW()-ROW(tblContractForDeed[#Headers])-1)&lt;0,0,INDEX(tblContractForDeed[End Bal],ROW()-ROW(tblContractForDeed[#Headers])-1)))</f>
        <v>0</v>
      </c>
      <c r="P619" s="445" t="str">
        <f>IF(tblContractForDeed[[#This Row],[Date]]="","",IF(tblContractForDeed[[#This Row],[Date]]&lt;cfdRateChangeDate,cfdRate1,cfdRate2))</f>
        <v/>
      </c>
      <c r="Q61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26">
        <f>SUM(INDEX(tblContractForDeed[Princ],1):INDEX(tblContractForDeed[Princ],ROW()-ROW(tblContractForDeed[#Headers])))</f>
        <v>75258.000000000029</v>
      </c>
      <c r="X619" s="326">
        <f>IF(tblContractForDeed[[#This Row],[Beg]]&lt;=0,0,tblContractForDeed[[#This Row],[Beg]]-tblContractForDeed[[#This Row],[Princ]])</f>
        <v>0</v>
      </c>
      <c r="Y61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26">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9" s="326">
        <f>IF(INDEX(tblContractForDeed[End Bal],ROW()-ROW(tblBuyerOutputs[#Headers]))&lt;=0,0,($O$6+IF(ROW()=ROW(tblBuyerOutputs[#Headers])+1,0,INDEX(tblBuyerOutputs[Cumul Appr],ROW()-ROW(tblBuyerOutputs[#Headers])-1)))*$O$2/12)</f>
        <v>0</v>
      </c>
      <c r="AE619" s="326">
        <f>IF(INDEX(tblContractForDeed[End Bal],ROW()-ROW(tblBuyerOutputs[#Headers]))&lt;=0,0,IF(ROW()=ROW(tblBuyerOutputs[#Headers])+1,0,INDEX(tblBuyerOutputs[Cumul Appr],ROW()-ROW(tblBuyerOutputs[#Headers])-1))+tblBuyerOutputs[[#This Row],[Monthly Appr]])</f>
        <v>0</v>
      </c>
      <c r="AF619" s="22"/>
      <c r="AG619" s="14"/>
      <c r="AL619"/>
      <c r="AM619" s="14"/>
      <c r="AO619" s="275"/>
      <c r="AQ619" s="21"/>
      <c r="AR619"/>
    </row>
    <row r="620" spans="1:44" x14ac:dyDescent="0.25">
      <c r="A620" s="590" t="str">
        <f t="shared" si="127"/>
        <v/>
      </c>
      <c r="B620" s="275">
        <f t="shared" si="128"/>
        <v>0</v>
      </c>
      <c r="C620" s="14">
        <f t="shared" si="125"/>
        <v>0</v>
      </c>
      <c r="D620" s="14">
        <f t="shared" si="129"/>
        <v>0</v>
      </c>
      <c r="E620" s="14">
        <f t="shared" si="126"/>
        <v>0</v>
      </c>
      <c r="K620" s="275">
        <f t="shared" si="130"/>
        <v>0</v>
      </c>
      <c r="L620" s="386">
        <f t="shared" si="124"/>
        <v>0</v>
      </c>
      <c r="M620" s="386">
        <f t="shared" si="131"/>
        <v>0</v>
      </c>
      <c r="N620" s="590" t="str">
        <f>INDEX(tblSubjectToLoan[Date],ROW()-ROW(tblContractForDeed[#Headers]))</f>
        <v/>
      </c>
      <c r="O620" s="275">
        <f>IF(ROW()=ROW(tblContractForDeed[#Headers])+1,$O$6,IF(INDEX(tblContractForDeed[End Bal],ROW()-ROW(tblContractForDeed[#Headers])-1)&lt;0,0,INDEX(tblContractForDeed[End Bal],ROW()-ROW(tblContractForDeed[#Headers])-1)))</f>
        <v>0</v>
      </c>
      <c r="P620" s="445" t="str">
        <f>IF(tblContractForDeed[[#This Row],[Date]]="","",IF(tblContractForDeed[[#This Row],[Date]]&lt;cfdRateChangeDate,cfdRate1,cfdRate2))</f>
        <v/>
      </c>
      <c r="Q6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75">
        <f>SUM(INDEX(tblContractForDeed[Princ],1):INDEX(tblContractForDeed[Princ],ROW()-ROW(tblContractForDeed[#Headers])))</f>
        <v>75258.000000000029</v>
      </c>
      <c r="X620" s="275">
        <f>IF(tblContractForDeed[[#This Row],[Beg]]&lt;=0,0,tblContractForDeed[[#This Row],[Beg]]-tblContractForDeed[[#This Row],[Princ]])</f>
        <v>0</v>
      </c>
      <c r="Y62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75">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0" s="275">
        <f>IF(INDEX(tblContractForDeed[End Bal],ROW()-ROW(tblBuyerOutputs[#Headers]))&lt;=0,0,($O$6+IF(ROW()=ROW(tblBuyerOutputs[#Headers])+1,0,INDEX(tblBuyerOutputs[Cumul Appr],ROW()-ROW(tblBuyerOutputs[#Headers])-1)))*$O$2/12)</f>
        <v>0</v>
      </c>
      <c r="AE620" s="275">
        <f>IF(INDEX(tblContractForDeed[End Bal],ROW()-ROW(tblBuyerOutputs[#Headers]))&lt;=0,0,IF(ROW()=ROW(tblBuyerOutputs[#Headers])+1,0,INDEX(tblBuyerOutputs[Cumul Appr],ROW()-ROW(tblBuyerOutputs[#Headers])-1))+tblBuyerOutputs[[#This Row],[Monthly Appr]])</f>
        <v>0</v>
      </c>
      <c r="AF620" s="22"/>
      <c r="AG620" s="14"/>
      <c r="AL620"/>
      <c r="AM620" s="14"/>
      <c r="AO620" s="275"/>
      <c r="AQ620" s="14"/>
      <c r="AR620"/>
    </row>
    <row r="621" spans="1:44" x14ac:dyDescent="0.25">
      <c r="A621" s="590" t="str">
        <f t="shared" si="127"/>
        <v/>
      </c>
      <c r="B621" s="275">
        <f t="shared" si="128"/>
        <v>0</v>
      </c>
      <c r="C621" s="14">
        <f t="shared" si="125"/>
        <v>0</v>
      </c>
      <c r="D621" s="14">
        <f t="shared" si="129"/>
        <v>0</v>
      </c>
      <c r="E621" s="14">
        <f t="shared" si="126"/>
        <v>0</v>
      </c>
      <c r="K621" s="275">
        <f t="shared" si="130"/>
        <v>0</v>
      </c>
      <c r="L621" s="386">
        <f t="shared" si="124"/>
        <v>0</v>
      </c>
      <c r="M621" s="386">
        <f t="shared" si="131"/>
        <v>0</v>
      </c>
      <c r="N621" s="590" t="str">
        <f>INDEX(tblSubjectToLoan[Date],ROW()-ROW(tblContractForDeed[#Headers]))</f>
        <v/>
      </c>
      <c r="O621" s="275">
        <f>IF(ROW()=ROW(tblContractForDeed[#Headers])+1,$O$6,IF(INDEX(tblContractForDeed[End Bal],ROW()-ROW(tblContractForDeed[#Headers])-1)&lt;0,0,INDEX(tblContractForDeed[End Bal],ROW()-ROW(tblContractForDeed[#Headers])-1)))</f>
        <v>0</v>
      </c>
      <c r="P621" s="445" t="str">
        <f>IF(tblContractForDeed[[#This Row],[Date]]="","",IF(tblContractForDeed[[#This Row],[Date]]&lt;cfdRateChangeDate,cfdRate1,cfdRate2))</f>
        <v/>
      </c>
      <c r="Q6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75">
        <f>SUM(INDEX(tblContractForDeed[Princ],1):INDEX(tblContractForDeed[Princ],ROW()-ROW(tblContractForDeed[#Headers])))</f>
        <v>75258.000000000029</v>
      </c>
      <c r="X621" s="275">
        <f>IF(tblContractForDeed[[#This Row],[Beg]]&lt;=0,0,tblContractForDeed[[#This Row],[Beg]]-tblContractForDeed[[#This Row],[Princ]])</f>
        <v>0</v>
      </c>
      <c r="Y62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75">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1" s="275">
        <f>IF(INDEX(tblContractForDeed[End Bal],ROW()-ROW(tblBuyerOutputs[#Headers]))&lt;=0,0,($O$6+IF(ROW()=ROW(tblBuyerOutputs[#Headers])+1,0,INDEX(tblBuyerOutputs[Cumul Appr],ROW()-ROW(tblBuyerOutputs[#Headers])-1)))*$O$2/12)</f>
        <v>0</v>
      </c>
      <c r="AE621" s="275">
        <f>IF(INDEX(tblContractForDeed[End Bal],ROW()-ROW(tblBuyerOutputs[#Headers]))&lt;=0,0,IF(ROW()=ROW(tblBuyerOutputs[#Headers])+1,0,INDEX(tblBuyerOutputs[Cumul Appr],ROW()-ROW(tblBuyerOutputs[#Headers])-1))+tblBuyerOutputs[[#This Row],[Monthly Appr]])</f>
        <v>0</v>
      </c>
      <c r="AF621" s="22"/>
      <c r="AG621" s="14"/>
      <c r="AL621"/>
      <c r="AM621" s="14"/>
      <c r="AO621" s="275"/>
      <c r="AQ621" s="14"/>
      <c r="AR621"/>
    </row>
    <row r="622" spans="1:44" x14ac:dyDescent="0.25">
      <c r="A622" s="590" t="str">
        <f t="shared" si="127"/>
        <v/>
      </c>
      <c r="B622" s="275">
        <f t="shared" si="128"/>
        <v>0</v>
      </c>
      <c r="C622" s="14">
        <f t="shared" si="125"/>
        <v>0</v>
      </c>
      <c r="D622" s="14">
        <f t="shared" si="129"/>
        <v>0</v>
      </c>
      <c r="E622" s="14">
        <f t="shared" si="126"/>
        <v>0</v>
      </c>
      <c r="K622" s="275">
        <f t="shared" si="130"/>
        <v>0</v>
      </c>
      <c r="L622" s="386">
        <f t="shared" si="124"/>
        <v>0</v>
      </c>
      <c r="M622" s="386">
        <f t="shared" si="131"/>
        <v>0</v>
      </c>
      <c r="N622" s="590" t="str">
        <f>INDEX(tblSubjectToLoan[Date],ROW()-ROW(tblContractForDeed[#Headers]))</f>
        <v/>
      </c>
      <c r="O622" s="275">
        <f>IF(ROW()=ROW(tblContractForDeed[#Headers])+1,$O$6,IF(INDEX(tblContractForDeed[End Bal],ROW()-ROW(tblContractForDeed[#Headers])-1)&lt;0,0,INDEX(tblContractForDeed[End Bal],ROW()-ROW(tblContractForDeed[#Headers])-1)))</f>
        <v>0</v>
      </c>
      <c r="P622" s="445" t="str">
        <f>IF(tblContractForDeed[[#This Row],[Date]]="","",IF(tblContractForDeed[[#This Row],[Date]]&lt;cfdRateChangeDate,cfdRate1,cfdRate2))</f>
        <v/>
      </c>
      <c r="Q6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75">
        <f>SUM(INDEX(tblContractForDeed[Princ],1):INDEX(tblContractForDeed[Princ],ROW()-ROW(tblContractForDeed[#Headers])))</f>
        <v>75258.000000000029</v>
      </c>
      <c r="X622" s="275">
        <f>IF(tblContractForDeed[[#This Row],[Beg]]&lt;=0,0,tblContractForDeed[[#This Row],[Beg]]-tblContractForDeed[[#This Row],[Princ]])</f>
        <v>0</v>
      </c>
      <c r="Y62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75">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2" s="275">
        <f>IF(INDEX(tblContractForDeed[End Bal],ROW()-ROW(tblBuyerOutputs[#Headers]))&lt;=0,0,($O$6+IF(ROW()=ROW(tblBuyerOutputs[#Headers])+1,0,INDEX(tblBuyerOutputs[Cumul Appr],ROW()-ROW(tblBuyerOutputs[#Headers])-1)))*$O$2/12)</f>
        <v>0</v>
      </c>
      <c r="AE622" s="275">
        <f>IF(INDEX(tblContractForDeed[End Bal],ROW()-ROW(tblBuyerOutputs[#Headers]))&lt;=0,0,IF(ROW()=ROW(tblBuyerOutputs[#Headers])+1,0,INDEX(tblBuyerOutputs[Cumul Appr],ROW()-ROW(tblBuyerOutputs[#Headers])-1))+tblBuyerOutputs[[#This Row],[Monthly Appr]])</f>
        <v>0</v>
      </c>
      <c r="AF622" s="22"/>
      <c r="AG622" s="14"/>
      <c r="AL622"/>
      <c r="AM622" s="14"/>
      <c r="AO622" s="275"/>
      <c r="AQ622" s="14"/>
      <c r="AR622"/>
    </row>
    <row r="623" spans="1:44" x14ac:dyDescent="0.25">
      <c r="A623" s="590" t="str">
        <f t="shared" si="127"/>
        <v/>
      </c>
      <c r="B623" s="275">
        <f t="shared" si="128"/>
        <v>0</v>
      </c>
      <c r="C623" s="14">
        <f t="shared" si="125"/>
        <v>0</v>
      </c>
      <c r="D623" s="14">
        <f t="shared" si="129"/>
        <v>0</v>
      </c>
      <c r="E623" s="14">
        <f t="shared" si="126"/>
        <v>0</v>
      </c>
      <c r="K623" s="275">
        <f t="shared" si="130"/>
        <v>0</v>
      </c>
      <c r="L623" s="386">
        <f t="shared" si="124"/>
        <v>0</v>
      </c>
      <c r="M623" s="386">
        <f t="shared" si="131"/>
        <v>0</v>
      </c>
      <c r="N623" s="590" t="str">
        <f>INDEX(tblSubjectToLoan[Date],ROW()-ROW(tblContractForDeed[#Headers]))</f>
        <v/>
      </c>
      <c r="O623" s="275">
        <f>IF(ROW()=ROW(tblContractForDeed[#Headers])+1,$O$6,IF(INDEX(tblContractForDeed[End Bal],ROW()-ROW(tblContractForDeed[#Headers])-1)&lt;0,0,INDEX(tblContractForDeed[End Bal],ROW()-ROW(tblContractForDeed[#Headers])-1)))</f>
        <v>0</v>
      </c>
      <c r="P623" s="445" t="str">
        <f>IF(tblContractForDeed[[#This Row],[Date]]="","",IF(tblContractForDeed[[#This Row],[Date]]&lt;cfdRateChangeDate,cfdRate1,cfdRate2))</f>
        <v/>
      </c>
      <c r="Q62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75">
        <f>SUM(INDEX(tblContractForDeed[Princ],1):INDEX(tblContractForDeed[Princ],ROW()-ROW(tblContractForDeed[#Headers])))</f>
        <v>75258.000000000029</v>
      </c>
      <c r="X623" s="275">
        <f>IF(tblContractForDeed[[#This Row],[Beg]]&lt;=0,0,tblContractForDeed[[#This Row],[Beg]]-tblContractForDeed[[#This Row],[Princ]])</f>
        <v>0</v>
      </c>
      <c r="Y62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75">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3" s="275">
        <f>IF(INDEX(tblContractForDeed[End Bal],ROW()-ROW(tblBuyerOutputs[#Headers]))&lt;=0,0,($O$6+IF(ROW()=ROW(tblBuyerOutputs[#Headers])+1,0,INDEX(tblBuyerOutputs[Cumul Appr],ROW()-ROW(tblBuyerOutputs[#Headers])-1)))*$O$2/12)</f>
        <v>0</v>
      </c>
      <c r="AE623" s="275">
        <f>IF(INDEX(tblContractForDeed[End Bal],ROW()-ROW(tblBuyerOutputs[#Headers]))&lt;=0,0,IF(ROW()=ROW(tblBuyerOutputs[#Headers])+1,0,INDEX(tblBuyerOutputs[Cumul Appr],ROW()-ROW(tblBuyerOutputs[#Headers])-1))+tblBuyerOutputs[[#This Row],[Monthly Appr]])</f>
        <v>0</v>
      </c>
      <c r="AF623" s="22"/>
      <c r="AG623" s="14"/>
      <c r="AL623"/>
      <c r="AM623" s="14"/>
      <c r="AO623" s="275"/>
      <c r="AQ623" s="14"/>
      <c r="AR623"/>
    </row>
    <row r="624" spans="1:44" x14ac:dyDescent="0.25">
      <c r="A624" s="590" t="str">
        <f t="shared" si="127"/>
        <v/>
      </c>
      <c r="B624" s="275">
        <f t="shared" si="128"/>
        <v>0</v>
      </c>
      <c r="C624" s="14">
        <f t="shared" si="125"/>
        <v>0</v>
      </c>
      <c r="D624" s="14">
        <f t="shared" si="129"/>
        <v>0</v>
      </c>
      <c r="E624" s="14">
        <f t="shared" si="126"/>
        <v>0</v>
      </c>
      <c r="K624" s="275">
        <f t="shared" si="130"/>
        <v>0</v>
      </c>
      <c r="L624" s="386">
        <f t="shared" si="124"/>
        <v>0</v>
      </c>
      <c r="M624" s="386">
        <f t="shared" si="131"/>
        <v>0</v>
      </c>
      <c r="N624" s="590" t="str">
        <f>INDEX(tblSubjectToLoan[Date],ROW()-ROW(tblContractForDeed[#Headers]))</f>
        <v/>
      </c>
      <c r="O624" s="275">
        <f>IF(ROW()=ROW(tblContractForDeed[#Headers])+1,$O$6,IF(INDEX(tblContractForDeed[End Bal],ROW()-ROW(tblContractForDeed[#Headers])-1)&lt;0,0,INDEX(tblContractForDeed[End Bal],ROW()-ROW(tblContractForDeed[#Headers])-1)))</f>
        <v>0</v>
      </c>
      <c r="P624" s="445" t="str">
        <f>IF(tblContractForDeed[[#This Row],[Date]]="","",IF(tblContractForDeed[[#This Row],[Date]]&lt;cfdRateChangeDate,cfdRate1,cfdRate2))</f>
        <v/>
      </c>
      <c r="Q6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75">
        <f>SUM(INDEX(tblContractForDeed[Princ],1):INDEX(tblContractForDeed[Princ],ROW()-ROW(tblContractForDeed[#Headers])))</f>
        <v>75258.000000000029</v>
      </c>
      <c r="X624" s="275">
        <f>IF(tblContractForDeed[[#This Row],[Beg]]&lt;=0,0,tblContractForDeed[[#This Row],[Beg]]-tblContractForDeed[[#This Row],[Princ]])</f>
        <v>0</v>
      </c>
      <c r="Y62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75">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4" s="275">
        <f>IF(INDEX(tblContractForDeed[End Bal],ROW()-ROW(tblBuyerOutputs[#Headers]))&lt;=0,0,($O$6+IF(ROW()=ROW(tblBuyerOutputs[#Headers])+1,0,INDEX(tblBuyerOutputs[Cumul Appr],ROW()-ROW(tblBuyerOutputs[#Headers])-1)))*$O$2/12)</f>
        <v>0</v>
      </c>
      <c r="AE624" s="275">
        <f>IF(INDEX(tblContractForDeed[End Bal],ROW()-ROW(tblBuyerOutputs[#Headers]))&lt;=0,0,IF(ROW()=ROW(tblBuyerOutputs[#Headers])+1,0,INDEX(tblBuyerOutputs[Cumul Appr],ROW()-ROW(tblBuyerOutputs[#Headers])-1))+tblBuyerOutputs[[#This Row],[Monthly Appr]])</f>
        <v>0</v>
      </c>
      <c r="AF624" s="22"/>
      <c r="AG624" s="14"/>
      <c r="AL624"/>
      <c r="AM624" s="14"/>
      <c r="AO624" s="275"/>
      <c r="AQ624" s="14"/>
      <c r="AR624"/>
    </row>
    <row r="625" spans="1:44" x14ac:dyDescent="0.25">
      <c r="A625" s="590" t="str">
        <f t="shared" si="127"/>
        <v/>
      </c>
      <c r="B625" s="275">
        <f t="shared" si="128"/>
        <v>0</v>
      </c>
      <c r="C625" s="14">
        <f t="shared" si="125"/>
        <v>0</v>
      </c>
      <c r="D625" s="14">
        <f t="shared" si="129"/>
        <v>0</v>
      </c>
      <c r="E625" s="14">
        <f t="shared" si="126"/>
        <v>0</v>
      </c>
      <c r="K625" s="275">
        <f t="shared" si="130"/>
        <v>0</v>
      </c>
      <c r="L625" s="386">
        <f t="shared" si="124"/>
        <v>0</v>
      </c>
      <c r="M625" s="386">
        <f t="shared" si="131"/>
        <v>0</v>
      </c>
      <c r="N625" s="590" t="str">
        <f>INDEX(tblSubjectToLoan[Date],ROW()-ROW(tblContractForDeed[#Headers]))</f>
        <v/>
      </c>
      <c r="O625" s="275">
        <f>IF(ROW()=ROW(tblContractForDeed[#Headers])+1,$O$6,IF(INDEX(tblContractForDeed[End Bal],ROW()-ROW(tblContractForDeed[#Headers])-1)&lt;0,0,INDEX(tblContractForDeed[End Bal],ROW()-ROW(tblContractForDeed[#Headers])-1)))</f>
        <v>0</v>
      </c>
      <c r="P625" s="445" t="str">
        <f>IF(tblContractForDeed[[#This Row],[Date]]="","",IF(tblContractForDeed[[#This Row],[Date]]&lt;cfdRateChangeDate,cfdRate1,cfdRate2))</f>
        <v/>
      </c>
      <c r="Q6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75">
        <f>SUM(INDEX(tblContractForDeed[Princ],1):INDEX(tblContractForDeed[Princ],ROW()-ROW(tblContractForDeed[#Headers])))</f>
        <v>75258.000000000029</v>
      </c>
      <c r="X625" s="275">
        <f>IF(tblContractForDeed[[#This Row],[Beg]]&lt;=0,0,tblContractForDeed[[#This Row],[Beg]]-tblContractForDeed[[#This Row],[Princ]])</f>
        <v>0</v>
      </c>
      <c r="Y62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75">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5" s="275">
        <f>IF(INDEX(tblContractForDeed[End Bal],ROW()-ROW(tblBuyerOutputs[#Headers]))&lt;=0,0,($O$6+IF(ROW()=ROW(tblBuyerOutputs[#Headers])+1,0,INDEX(tblBuyerOutputs[Cumul Appr],ROW()-ROW(tblBuyerOutputs[#Headers])-1)))*$O$2/12)</f>
        <v>0</v>
      </c>
      <c r="AE625" s="275">
        <f>IF(INDEX(tblContractForDeed[End Bal],ROW()-ROW(tblBuyerOutputs[#Headers]))&lt;=0,0,IF(ROW()=ROW(tblBuyerOutputs[#Headers])+1,0,INDEX(tblBuyerOutputs[Cumul Appr],ROW()-ROW(tblBuyerOutputs[#Headers])-1))+tblBuyerOutputs[[#This Row],[Monthly Appr]])</f>
        <v>0</v>
      </c>
      <c r="AF625" s="22"/>
      <c r="AG625" s="14"/>
      <c r="AL625"/>
      <c r="AM625" s="14"/>
      <c r="AO625" s="275"/>
      <c r="AQ625" s="14"/>
      <c r="AR625"/>
    </row>
    <row r="626" spans="1:44" x14ac:dyDescent="0.25">
      <c r="A626" s="590" t="str">
        <f t="shared" si="127"/>
        <v/>
      </c>
      <c r="B626" s="275">
        <f t="shared" si="128"/>
        <v>0</v>
      </c>
      <c r="C626" s="14">
        <f t="shared" si="125"/>
        <v>0</v>
      </c>
      <c r="D626" s="14">
        <f t="shared" si="129"/>
        <v>0</v>
      </c>
      <c r="E626" s="14">
        <f t="shared" si="126"/>
        <v>0</v>
      </c>
      <c r="K626" s="275">
        <f t="shared" si="130"/>
        <v>0</v>
      </c>
      <c r="L626" s="386">
        <f t="shared" si="124"/>
        <v>0</v>
      </c>
      <c r="M626" s="386">
        <f t="shared" si="131"/>
        <v>0</v>
      </c>
      <c r="N626" s="590" t="str">
        <f>INDEX(tblSubjectToLoan[Date],ROW()-ROW(tblContractForDeed[#Headers]))</f>
        <v/>
      </c>
      <c r="O626" s="275">
        <f>IF(ROW()=ROW(tblContractForDeed[#Headers])+1,$O$6,IF(INDEX(tblContractForDeed[End Bal],ROW()-ROW(tblContractForDeed[#Headers])-1)&lt;0,0,INDEX(tblContractForDeed[End Bal],ROW()-ROW(tblContractForDeed[#Headers])-1)))</f>
        <v>0</v>
      </c>
      <c r="P626" s="445" t="str">
        <f>IF(tblContractForDeed[[#This Row],[Date]]="","",IF(tblContractForDeed[[#This Row],[Date]]&lt;cfdRateChangeDate,cfdRate1,cfdRate2))</f>
        <v/>
      </c>
      <c r="Q6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75">
        <f>SUM(INDEX(tblContractForDeed[Princ],1):INDEX(tblContractForDeed[Princ],ROW()-ROW(tblContractForDeed[#Headers])))</f>
        <v>75258.000000000029</v>
      </c>
      <c r="X626" s="275">
        <f>IF(tblContractForDeed[[#This Row],[Beg]]&lt;=0,0,tblContractForDeed[[#This Row],[Beg]]-tblContractForDeed[[#This Row],[Princ]])</f>
        <v>0</v>
      </c>
      <c r="Y62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75">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6" s="275">
        <f>IF(INDEX(tblContractForDeed[End Bal],ROW()-ROW(tblBuyerOutputs[#Headers]))&lt;=0,0,($O$6+IF(ROW()=ROW(tblBuyerOutputs[#Headers])+1,0,INDEX(tblBuyerOutputs[Cumul Appr],ROW()-ROW(tblBuyerOutputs[#Headers])-1)))*$O$2/12)</f>
        <v>0</v>
      </c>
      <c r="AE626" s="275">
        <f>IF(INDEX(tblContractForDeed[End Bal],ROW()-ROW(tblBuyerOutputs[#Headers]))&lt;=0,0,IF(ROW()=ROW(tblBuyerOutputs[#Headers])+1,0,INDEX(tblBuyerOutputs[Cumul Appr],ROW()-ROW(tblBuyerOutputs[#Headers])-1))+tblBuyerOutputs[[#This Row],[Monthly Appr]])</f>
        <v>0</v>
      </c>
      <c r="AF626" s="22"/>
      <c r="AG626" s="14"/>
      <c r="AL626"/>
      <c r="AM626" s="14"/>
      <c r="AO626" s="275"/>
      <c r="AQ626" s="14"/>
      <c r="AR626"/>
    </row>
    <row r="627" spans="1:44" x14ac:dyDescent="0.25">
      <c r="A627" s="590" t="str">
        <f t="shared" si="127"/>
        <v/>
      </c>
      <c r="B627" s="275">
        <f t="shared" si="128"/>
        <v>0</v>
      </c>
      <c r="C627" s="14">
        <f t="shared" si="125"/>
        <v>0</v>
      </c>
      <c r="D627" s="14">
        <f t="shared" si="129"/>
        <v>0</v>
      </c>
      <c r="E627" s="14">
        <f t="shared" si="126"/>
        <v>0</v>
      </c>
      <c r="K627" s="275">
        <f t="shared" si="130"/>
        <v>0</v>
      </c>
      <c r="L627" s="386">
        <f t="shared" si="124"/>
        <v>0</v>
      </c>
      <c r="M627" s="386">
        <f t="shared" si="131"/>
        <v>0</v>
      </c>
      <c r="N627" s="590" t="str">
        <f>INDEX(tblSubjectToLoan[Date],ROW()-ROW(tblContractForDeed[#Headers]))</f>
        <v/>
      </c>
      <c r="O627" s="275">
        <f>IF(ROW()=ROW(tblContractForDeed[#Headers])+1,$O$6,IF(INDEX(tblContractForDeed[End Bal],ROW()-ROW(tblContractForDeed[#Headers])-1)&lt;0,0,INDEX(tblContractForDeed[End Bal],ROW()-ROW(tblContractForDeed[#Headers])-1)))</f>
        <v>0</v>
      </c>
      <c r="P627" s="445" t="str">
        <f>IF(tblContractForDeed[[#This Row],[Date]]="","",IF(tblContractForDeed[[#This Row],[Date]]&lt;cfdRateChangeDate,cfdRate1,cfdRate2))</f>
        <v/>
      </c>
      <c r="Q62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75">
        <f>SUM(INDEX(tblContractForDeed[Princ],1):INDEX(tblContractForDeed[Princ],ROW()-ROW(tblContractForDeed[#Headers])))</f>
        <v>75258.000000000029</v>
      </c>
      <c r="X627" s="275">
        <f>IF(tblContractForDeed[[#This Row],[Beg]]&lt;=0,0,tblContractForDeed[[#This Row],[Beg]]-tblContractForDeed[[#This Row],[Princ]])</f>
        <v>0</v>
      </c>
      <c r="Y62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75">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7" s="275">
        <f>IF(INDEX(tblContractForDeed[End Bal],ROW()-ROW(tblBuyerOutputs[#Headers]))&lt;=0,0,($O$6+IF(ROW()=ROW(tblBuyerOutputs[#Headers])+1,0,INDEX(tblBuyerOutputs[Cumul Appr],ROW()-ROW(tblBuyerOutputs[#Headers])-1)))*$O$2/12)</f>
        <v>0</v>
      </c>
      <c r="AE627" s="275">
        <f>IF(INDEX(tblContractForDeed[End Bal],ROW()-ROW(tblBuyerOutputs[#Headers]))&lt;=0,0,IF(ROW()=ROW(tblBuyerOutputs[#Headers])+1,0,INDEX(tblBuyerOutputs[Cumul Appr],ROW()-ROW(tblBuyerOutputs[#Headers])-1))+tblBuyerOutputs[[#This Row],[Monthly Appr]])</f>
        <v>0</v>
      </c>
      <c r="AF627" s="22"/>
      <c r="AG627" s="14"/>
      <c r="AL627"/>
      <c r="AM627" s="14"/>
      <c r="AO627" s="275"/>
      <c r="AQ627" s="14"/>
      <c r="AR627"/>
    </row>
    <row r="628" spans="1:44" x14ac:dyDescent="0.25">
      <c r="A628" s="590" t="str">
        <f t="shared" si="127"/>
        <v/>
      </c>
      <c r="B628" s="275">
        <f t="shared" si="128"/>
        <v>0</v>
      </c>
      <c r="C628" s="14">
        <f t="shared" si="125"/>
        <v>0</v>
      </c>
      <c r="D628" s="14">
        <f t="shared" si="129"/>
        <v>0</v>
      </c>
      <c r="E628" s="14">
        <f t="shared" si="126"/>
        <v>0</v>
      </c>
      <c r="K628" s="275">
        <f t="shared" si="130"/>
        <v>0</v>
      </c>
      <c r="L628" s="386">
        <f t="shared" ref="L628:L691" si="132">IF(MOD(M628,12)=0,M628/12,L627)</f>
        <v>0</v>
      </c>
      <c r="M628" s="386">
        <f t="shared" si="131"/>
        <v>0</v>
      </c>
      <c r="N628" s="590" t="str">
        <f>INDEX(tblSubjectToLoan[Date],ROW()-ROW(tblContractForDeed[#Headers]))</f>
        <v/>
      </c>
      <c r="O628" s="275">
        <f>IF(ROW()=ROW(tblContractForDeed[#Headers])+1,$O$6,IF(INDEX(tblContractForDeed[End Bal],ROW()-ROW(tblContractForDeed[#Headers])-1)&lt;0,0,INDEX(tblContractForDeed[End Bal],ROW()-ROW(tblContractForDeed[#Headers])-1)))</f>
        <v>0</v>
      </c>
      <c r="P628" s="445" t="str">
        <f>IF(tblContractForDeed[[#This Row],[Date]]="","",IF(tblContractForDeed[[#This Row],[Date]]&lt;cfdRateChangeDate,cfdRate1,cfdRate2))</f>
        <v/>
      </c>
      <c r="Q6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75">
        <f>SUM(INDEX(tblContractForDeed[Princ],1):INDEX(tblContractForDeed[Princ],ROW()-ROW(tblContractForDeed[#Headers])))</f>
        <v>75258.000000000029</v>
      </c>
      <c r="X628" s="275">
        <f>IF(tblContractForDeed[[#This Row],[Beg]]&lt;=0,0,tblContractForDeed[[#This Row],[Beg]]-tblContractForDeed[[#This Row],[Princ]])</f>
        <v>0</v>
      </c>
      <c r="Y62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75">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8" s="275">
        <f>IF(INDEX(tblContractForDeed[End Bal],ROW()-ROW(tblBuyerOutputs[#Headers]))&lt;=0,0,($O$6+IF(ROW()=ROW(tblBuyerOutputs[#Headers])+1,0,INDEX(tblBuyerOutputs[Cumul Appr],ROW()-ROW(tblBuyerOutputs[#Headers])-1)))*$O$2/12)</f>
        <v>0</v>
      </c>
      <c r="AE628" s="275">
        <f>IF(INDEX(tblContractForDeed[End Bal],ROW()-ROW(tblBuyerOutputs[#Headers]))&lt;=0,0,IF(ROW()=ROW(tblBuyerOutputs[#Headers])+1,0,INDEX(tblBuyerOutputs[Cumul Appr],ROW()-ROW(tblBuyerOutputs[#Headers])-1))+tblBuyerOutputs[[#This Row],[Monthly Appr]])</f>
        <v>0</v>
      </c>
      <c r="AF628" s="22"/>
      <c r="AG628" s="14"/>
      <c r="AL628"/>
      <c r="AM628" s="14"/>
      <c r="AO628" s="275"/>
      <c r="AQ628" s="14"/>
      <c r="AR628"/>
    </row>
    <row r="629" spans="1:44" x14ac:dyDescent="0.25">
      <c r="A629" s="590" t="str">
        <f t="shared" si="127"/>
        <v/>
      </c>
      <c r="B629" s="275">
        <f t="shared" si="128"/>
        <v>0</v>
      </c>
      <c r="C629" s="14">
        <f t="shared" si="125"/>
        <v>0</v>
      </c>
      <c r="D629" s="14">
        <f t="shared" si="129"/>
        <v>0</v>
      </c>
      <c r="E629" s="14">
        <f t="shared" si="126"/>
        <v>0</v>
      </c>
      <c r="K629" s="275">
        <f t="shared" si="130"/>
        <v>0</v>
      </c>
      <c r="L629" s="386">
        <f t="shared" si="132"/>
        <v>0</v>
      </c>
      <c r="M629" s="386">
        <f t="shared" si="131"/>
        <v>0</v>
      </c>
      <c r="N629" s="590" t="str">
        <f>INDEX(tblSubjectToLoan[Date],ROW()-ROW(tblContractForDeed[#Headers]))</f>
        <v/>
      </c>
      <c r="O629" s="275">
        <f>IF(ROW()=ROW(tblContractForDeed[#Headers])+1,$O$6,IF(INDEX(tblContractForDeed[End Bal],ROW()-ROW(tblContractForDeed[#Headers])-1)&lt;0,0,INDEX(tblContractForDeed[End Bal],ROW()-ROW(tblContractForDeed[#Headers])-1)))</f>
        <v>0</v>
      </c>
      <c r="P629" s="445" t="str">
        <f>IF(tblContractForDeed[[#This Row],[Date]]="","",IF(tblContractForDeed[[#This Row],[Date]]&lt;cfdRateChangeDate,cfdRate1,cfdRate2))</f>
        <v/>
      </c>
      <c r="Q6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75">
        <f>SUM(INDEX(tblContractForDeed[Princ],1):INDEX(tblContractForDeed[Princ],ROW()-ROW(tblContractForDeed[#Headers])))</f>
        <v>75258.000000000029</v>
      </c>
      <c r="X629" s="275">
        <f>IF(tblContractForDeed[[#This Row],[Beg]]&lt;=0,0,tblContractForDeed[[#This Row],[Beg]]-tblContractForDeed[[#This Row],[Princ]])</f>
        <v>0</v>
      </c>
      <c r="Y62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75">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9" s="275">
        <f>IF(INDEX(tblContractForDeed[End Bal],ROW()-ROW(tblBuyerOutputs[#Headers]))&lt;=0,0,($O$6+IF(ROW()=ROW(tblBuyerOutputs[#Headers])+1,0,INDEX(tblBuyerOutputs[Cumul Appr],ROW()-ROW(tblBuyerOutputs[#Headers])-1)))*$O$2/12)</f>
        <v>0</v>
      </c>
      <c r="AE629" s="275">
        <f>IF(INDEX(tblContractForDeed[End Bal],ROW()-ROW(tblBuyerOutputs[#Headers]))&lt;=0,0,IF(ROW()=ROW(tblBuyerOutputs[#Headers])+1,0,INDEX(tblBuyerOutputs[Cumul Appr],ROW()-ROW(tblBuyerOutputs[#Headers])-1))+tblBuyerOutputs[[#This Row],[Monthly Appr]])</f>
        <v>0</v>
      </c>
      <c r="AF629" s="22"/>
      <c r="AG629" s="14"/>
      <c r="AL629"/>
      <c r="AM629" s="14"/>
      <c r="AO629" s="275"/>
      <c r="AQ629" s="14"/>
      <c r="AR629"/>
    </row>
    <row r="630" spans="1:44" x14ac:dyDescent="0.25">
      <c r="A630" s="590" t="str">
        <f t="shared" si="127"/>
        <v/>
      </c>
      <c r="B630" s="275">
        <f t="shared" si="128"/>
        <v>0</v>
      </c>
      <c r="C630" s="14">
        <f t="shared" si="125"/>
        <v>0</v>
      </c>
      <c r="D630" s="14">
        <f t="shared" si="129"/>
        <v>0</v>
      </c>
      <c r="E630" s="14">
        <f t="shared" si="126"/>
        <v>0</v>
      </c>
      <c r="K630" s="275">
        <f t="shared" si="130"/>
        <v>0</v>
      </c>
      <c r="L630" s="386">
        <f t="shared" si="132"/>
        <v>0</v>
      </c>
      <c r="M630" s="386">
        <f t="shared" si="131"/>
        <v>0</v>
      </c>
      <c r="N630" s="590" t="str">
        <f>INDEX(tblSubjectToLoan[Date],ROW()-ROW(tblContractForDeed[#Headers]))</f>
        <v/>
      </c>
      <c r="O630" s="275">
        <f>IF(ROW()=ROW(tblContractForDeed[#Headers])+1,$O$6,IF(INDEX(tblContractForDeed[End Bal],ROW()-ROW(tblContractForDeed[#Headers])-1)&lt;0,0,INDEX(tblContractForDeed[End Bal],ROW()-ROW(tblContractForDeed[#Headers])-1)))</f>
        <v>0</v>
      </c>
      <c r="P630" s="445" t="str">
        <f>IF(tblContractForDeed[[#This Row],[Date]]="","",IF(tblContractForDeed[[#This Row],[Date]]&lt;cfdRateChangeDate,cfdRate1,cfdRate2))</f>
        <v/>
      </c>
      <c r="Q6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75">
        <f>SUM(INDEX(tblContractForDeed[Princ],1):INDEX(tblContractForDeed[Princ],ROW()-ROW(tblContractForDeed[#Headers])))</f>
        <v>75258.000000000029</v>
      </c>
      <c r="X630" s="275">
        <f>IF(tblContractForDeed[[#This Row],[Beg]]&lt;=0,0,tblContractForDeed[[#This Row],[Beg]]-tblContractForDeed[[#This Row],[Princ]])</f>
        <v>0</v>
      </c>
      <c r="Y63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75">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0" s="275">
        <f>IF(INDEX(tblContractForDeed[End Bal],ROW()-ROW(tblBuyerOutputs[#Headers]))&lt;=0,0,($O$6+IF(ROW()=ROW(tblBuyerOutputs[#Headers])+1,0,INDEX(tblBuyerOutputs[Cumul Appr],ROW()-ROW(tblBuyerOutputs[#Headers])-1)))*$O$2/12)</f>
        <v>0</v>
      </c>
      <c r="AE630" s="275">
        <f>IF(INDEX(tblContractForDeed[End Bal],ROW()-ROW(tblBuyerOutputs[#Headers]))&lt;=0,0,IF(ROW()=ROW(tblBuyerOutputs[#Headers])+1,0,INDEX(tblBuyerOutputs[Cumul Appr],ROW()-ROW(tblBuyerOutputs[#Headers])-1))+tblBuyerOutputs[[#This Row],[Monthly Appr]])</f>
        <v>0</v>
      </c>
      <c r="AF630" s="22"/>
      <c r="AG630" s="14"/>
      <c r="AL630"/>
      <c r="AM630" s="14"/>
      <c r="AO630" s="275"/>
      <c r="AQ630" s="14"/>
      <c r="AR630"/>
    </row>
    <row r="631" spans="1:44" ht="15.75" thickBot="1" x14ac:dyDescent="0.3">
      <c r="A631" s="591" t="str">
        <f t="shared" si="127"/>
        <v/>
      </c>
      <c r="B631" s="326">
        <f t="shared" si="128"/>
        <v>0</v>
      </c>
      <c r="C631" s="21">
        <f t="shared" si="125"/>
        <v>0</v>
      </c>
      <c r="D631" s="21">
        <f t="shared" si="129"/>
        <v>0</v>
      </c>
      <c r="E631" s="21">
        <f t="shared" si="126"/>
        <v>0</v>
      </c>
      <c r="F631" s="21"/>
      <c r="G631" s="21"/>
      <c r="H631" s="21"/>
      <c r="I631" s="326"/>
      <c r="J631" s="326"/>
      <c r="K631" s="326">
        <f t="shared" si="130"/>
        <v>0</v>
      </c>
      <c r="L631" s="387">
        <f t="shared" si="132"/>
        <v>0</v>
      </c>
      <c r="M631" s="387">
        <f t="shared" si="131"/>
        <v>0</v>
      </c>
      <c r="N631" s="591" t="str">
        <f>INDEX(tblSubjectToLoan[Date],ROW()-ROW(tblContractForDeed[#Headers]))</f>
        <v/>
      </c>
      <c r="O631" s="326">
        <f>IF(ROW()=ROW(tblContractForDeed[#Headers])+1,$O$6,IF(INDEX(tblContractForDeed[End Bal],ROW()-ROW(tblContractForDeed[#Headers])-1)&lt;0,0,INDEX(tblContractForDeed[End Bal],ROW()-ROW(tblContractForDeed[#Headers])-1)))</f>
        <v>0</v>
      </c>
      <c r="P631" s="445" t="str">
        <f>IF(tblContractForDeed[[#This Row],[Date]]="","",IF(tblContractForDeed[[#This Row],[Date]]&lt;cfdRateChangeDate,cfdRate1,cfdRate2))</f>
        <v/>
      </c>
      <c r="Q63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26">
        <f>SUM(INDEX(tblContractForDeed[Princ],1):INDEX(tblContractForDeed[Princ],ROW()-ROW(tblContractForDeed[#Headers])))</f>
        <v>75258.000000000029</v>
      </c>
      <c r="X631" s="326">
        <f>IF(tblContractForDeed[[#This Row],[Beg]]&lt;=0,0,tblContractForDeed[[#This Row],[Beg]]-tblContractForDeed[[#This Row],[Princ]])</f>
        <v>0</v>
      </c>
      <c r="Y63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26">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1" s="326">
        <f>IF(INDEX(tblContractForDeed[End Bal],ROW()-ROW(tblBuyerOutputs[#Headers]))&lt;=0,0,($O$6+IF(ROW()=ROW(tblBuyerOutputs[#Headers])+1,0,INDEX(tblBuyerOutputs[Cumul Appr],ROW()-ROW(tblBuyerOutputs[#Headers])-1)))*$O$2/12)</f>
        <v>0</v>
      </c>
      <c r="AE631" s="326">
        <f>IF(INDEX(tblContractForDeed[End Bal],ROW()-ROW(tblBuyerOutputs[#Headers]))&lt;=0,0,IF(ROW()=ROW(tblBuyerOutputs[#Headers])+1,0,INDEX(tblBuyerOutputs[Cumul Appr],ROW()-ROW(tblBuyerOutputs[#Headers])-1))+tblBuyerOutputs[[#This Row],[Monthly Appr]])</f>
        <v>0</v>
      </c>
      <c r="AF631" s="22"/>
      <c r="AG631" s="14"/>
      <c r="AL631"/>
      <c r="AM631" s="14"/>
      <c r="AO631" s="275"/>
      <c r="AQ631" s="21"/>
      <c r="AR631"/>
    </row>
    <row r="632" spans="1:44" x14ac:dyDescent="0.25">
      <c r="A632" s="590" t="str">
        <f t="shared" si="127"/>
        <v/>
      </c>
      <c r="B632" s="275">
        <f t="shared" si="128"/>
        <v>0</v>
      </c>
      <c r="C632" s="14">
        <f t="shared" si="125"/>
        <v>0</v>
      </c>
      <c r="D632" s="14">
        <f t="shared" si="129"/>
        <v>0</v>
      </c>
      <c r="E632" s="14">
        <f t="shared" si="126"/>
        <v>0</v>
      </c>
      <c r="K632" s="275">
        <f t="shared" si="130"/>
        <v>0</v>
      </c>
      <c r="L632" s="386">
        <f t="shared" si="132"/>
        <v>0</v>
      </c>
      <c r="M632" s="386">
        <f t="shared" si="131"/>
        <v>0</v>
      </c>
      <c r="N632" s="590" t="str">
        <f>INDEX(tblSubjectToLoan[Date],ROW()-ROW(tblContractForDeed[#Headers]))</f>
        <v/>
      </c>
      <c r="O632" s="275">
        <f>IF(ROW()=ROW(tblContractForDeed[#Headers])+1,$O$6,IF(INDEX(tblContractForDeed[End Bal],ROW()-ROW(tblContractForDeed[#Headers])-1)&lt;0,0,INDEX(tblContractForDeed[End Bal],ROW()-ROW(tblContractForDeed[#Headers])-1)))</f>
        <v>0</v>
      </c>
      <c r="P632" s="445" t="str">
        <f>IF(tblContractForDeed[[#This Row],[Date]]="","",IF(tblContractForDeed[[#This Row],[Date]]&lt;cfdRateChangeDate,cfdRate1,cfdRate2))</f>
        <v/>
      </c>
      <c r="Q6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75">
        <f>SUM(INDEX(tblContractForDeed[Princ],1):INDEX(tblContractForDeed[Princ],ROW()-ROW(tblContractForDeed[#Headers])))</f>
        <v>75258.000000000029</v>
      </c>
      <c r="X632" s="275">
        <f>IF(tblContractForDeed[[#This Row],[Beg]]&lt;=0,0,tblContractForDeed[[#This Row],[Beg]]-tblContractForDeed[[#This Row],[Princ]])</f>
        <v>0</v>
      </c>
      <c r="Y63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75">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2" s="275">
        <f>IF(INDEX(tblContractForDeed[End Bal],ROW()-ROW(tblBuyerOutputs[#Headers]))&lt;=0,0,($O$6+IF(ROW()=ROW(tblBuyerOutputs[#Headers])+1,0,INDEX(tblBuyerOutputs[Cumul Appr],ROW()-ROW(tblBuyerOutputs[#Headers])-1)))*$O$2/12)</f>
        <v>0</v>
      </c>
      <c r="AE632" s="275">
        <f>IF(INDEX(tblContractForDeed[End Bal],ROW()-ROW(tblBuyerOutputs[#Headers]))&lt;=0,0,IF(ROW()=ROW(tblBuyerOutputs[#Headers])+1,0,INDEX(tblBuyerOutputs[Cumul Appr],ROW()-ROW(tblBuyerOutputs[#Headers])-1))+tblBuyerOutputs[[#This Row],[Monthly Appr]])</f>
        <v>0</v>
      </c>
      <c r="AF632" s="22"/>
      <c r="AG632" s="14"/>
      <c r="AL632"/>
      <c r="AM632" s="14"/>
      <c r="AO632" s="275"/>
      <c r="AQ632" s="14"/>
      <c r="AR632"/>
    </row>
    <row r="633" spans="1:44" x14ac:dyDescent="0.25">
      <c r="A633" s="590" t="str">
        <f t="shared" si="127"/>
        <v/>
      </c>
      <c r="B633" s="275">
        <f t="shared" si="128"/>
        <v>0</v>
      </c>
      <c r="C633" s="14">
        <f t="shared" si="125"/>
        <v>0</v>
      </c>
      <c r="D633" s="14">
        <f t="shared" si="129"/>
        <v>0</v>
      </c>
      <c r="E633" s="14">
        <f t="shared" si="126"/>
        <v>0</v>
      </c>
      <c r="K633" s="275">
        <f t="shared" si="130"/>
        <v>0</v>
      </c>
      <c r="L633" s="386">
        <f t="shared" si="132"/>
        <v>0</v>
      </c>
      <c r="M633" s="386">
        <f t="shared" si="131"/>
        <v>0</v>
      </c>
      <c r="N633" s="590" t="str">
        <f>INDEX(tblSubjectToLoan[Date],ROW()-ROW(tblContractForDeed[#Headers]))</f>
        <v/>
      </c>
      <c r="O633" s="275">
        <f>IF(ROW()=ROW(tblContractForDeed[#Headers])+1,$O$6,IF(INDEX(tblContractForDeed[End Bal],ROW()-ROW(tblContractForDeed[#Headers])-1)&lt;0,0,INDEX(tblContractForDeed[End Bal],ROW()-ROW(tblContractForDeed[#Headers])-1)))</f>
        <v>0</v>
      </c>
      <c r="P633" s="445" t="str">
        <f>IF(tblContractForDeed[[#This Row],[Date]]="","",IF(tblContractForDeed[[#This Row],[Date]]&lt;cfdRateChangeDate,cfdRate1,cfdRate2))</f>
        <v/>
      </c>
      <c r="Q6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75">
        <f>SUM(INDEX(tblContractForDeed[Princ],1):INDEX(tblContractForDeed[Princ],ROW()-ROW(tblContractForDeed[#Headers])))</f>
        <v>75258.000000000029</v>
      </c>
      <c r="X633" s="275">
        <f>IF(tblContractForDeed[[#This Row],[Beg]]&lt;=0,0,tblContractForDeed[[#This Row],[Beg]]-tblContractForDeed[[#This Row],[Princ]])</f>
        <v>0</v>
      </c>
      <c r="Y63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75">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3" s="275">
        <f>IF(INDEX(tblContractForDeed[End Bal],ROW()-ROW(tblBuyerOutputs[#Headers]))&lt;=0,0,($O$6+IF(ROW()=ROW(tblBuyerOutputs[#Headers])+1,0,INDEX(tblBuyerOutputs[Cumul Appr],ROW()-ROW(tblBuyerOutputs[#Headers])-1)))*$O$2/12)</f>
        <v>0</v>
      </c>
      <c r="AE633" s="275">
        <f>IF(INDEX(tblContractForDeed[End Bal],ROW()-ROW(tblBuyerOutputs[#Headers]))&lt;=0,0,IF(ROW()=ROW(tblBuyerOutputs[#Headers])+1,0,INDEX(tblBuyerOutputs[Cumul Appr],ROW()-ROW(tblBuyerOutputs[#Headers])-1))+tblBuyerOutputs[[#This Row],[Monthly Appr]])</f>
        <v>0</v>
      </c>
      <c r="AF633" s="22"/>
      <c r="AG633" s="14"/>
      <c r="AL633"/>
      <c r="AM633" s="14"/>
      <c r="AO633" s="275"/>
      <c r="AQ633" s="14"/>
      <c r="AR633"/>
    </row>
    <row r="634" spans="1:44" x14ac:dyDescent="0.25">
      <c r="A634" s="590" t="str">
        <f t="shared" si="127"/>
        <v/>
      </c>
      <c r="B634" s="275">
        <f t="shared" si="128"/>
        <v>0</v>
      </c>
      <c r="C634" s="14">
        <f t="shared" si="125"/>
        <v>0</v>
      </c>
      <c r="D634" s="14">
        <f t="shared" si="129"/>
        <v>0</v>
      </c>
      <c r="E634" s="14">
        <f t="shared" si="126"/>
        <v>0</v>
      </c>
      <c r="K634" s="275">
        <f t="shared" si="130"/>
        <v>0</v>
      </c>
      <c r="L634" s="386">
        <f t="shared" si="132"/>
        <v>0</v>
      </c>
      <c r="M634" s="386">
        <f t="shared" si="131"/>
        <v>0</v>
      </c>
      <c r="N634" s="590" t="str">
        <f>INDEX(tblSubjectToLoan[Date],ROW()-ROW(tblContractForDeed[#Headers]))</f>
        <v/>
      </c>
      <c r="O634" s="275">
        <f>IF(ROW()=ROW(tblContractForDeed[#Headers])+1,$O$6,IF(INDEX(tblContractForDeed[End Bal],ROW()-ROW(tblContractForDeed[#Headers])-1)&lt;0,0,INDEX(tblContractForDeed[End Bal],ROW()-ROW(tblContractForDeed[#Headers])-1)))</f>
        <v>0</v>
      </c>
      <c r="P634" s="445" t="str">
        <f>IF(tblContractForDeed[[#This Row],[Date]]="","",IF(tblContractForDeed[[#This Row],[Date]]&lt;cfdRateChangeDate,cfdRate1,cfdRate2))</f>
        <v/>
      </c>
      <c r="Q6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75">
        <f>SUM(INDEX(tblContractForDeed[Princ],1):INDEX(tblContractForDeed[Princ],ROW()-ROW(tblContractForDeed[#Headers])))</f>
        <v>75258.000000000029</v>
      </c>
      <c r="X634" s="275">
        <f>IF(tblContractForDeed[[#This Row],[Beg]]&lt;=0,0,tblContractForDeed[[#This Row],[Beg]]-tblContractForDeed[[#This Row],[Princ]])</f>
        <v>0</v>
      </c>
      <c r="Y63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75">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4" s="275">
        <f>IF(INDEX(tblContractForDeed[End Bal],ROW()-ROW(tblBuyerOutputs[#Headers]))&lt;=0,0,($O$6+IF(ROW()=ROW(tblBuyerOutputs[#Headers])+1,0,INDEX(tblBuyerOutputs[Cumul Appr],ROW()-ROW(tblBuyerOutputs[#Headers])-1)))*$O$2/12)</f>
        <v>0</v>
      </c>
      <c r="AE634" s="275">
        <f>IF(INDEX(tblContractForDeed[End Bal],ROW()-ROW(tblBuyerOutputs[#Headers]))&lt;=0,0,IF(ROW()=ROW(tblBuyerOutputs[#Headers])+1,0,INDEX(tblBuyerOutputs[Cumul Appr],ROW()-ROW(tblBuyerOutputs[#Headers])-1))+tblBuyerOutputs[[#This Row],[Monthly Appr]])</f>
        <v>0</v>
      </c>
      <c r="AF634" s="22"/>
      <c r="AG634" s="14"/>
      <c r="AL634"/>
      <c r="AM634" s="14"/>
      <c r="AO634" s="275"/>
      <c r="AQ634" s="14"/>
      <c r="AR634"/>
    </row>
    <row r="635" spans="1:44" x14ac:dyDescent="0.25">
      <c r="A635" s="590" t="str">
        <f t="shared" si="127"/>
        <v/>
      </c>
      <c r="B635" s="275">
        <f t="shared" si="128"/>
        <v>0</v>
      </c>
      <c r="C635" s="14">
        <f t="shared" si="125"/>
        <v>0</v>
      </c>
      <c r="D635" s="14">
        <f t="shared" si="129"/>
        <v>0</v>
      </c>
      <c r="E635" s="14">
        <f t="shared" si="126"/>
        <v>0</v>
      </c>
      <c r="K635" s="275">
        <f t="shared" si="130"/>
        <v>0</v>
      </c>
      <c r="L635" s="386">
        <f t="shared" si="132"/>
        <v>0</v>
      </c>
      <c r="M635" s="386">
        <f t="shared" si="131"/>
        <v>0</v>
      </c>
      <c r="N635" s="590" t="str">
        <f>INDEX(tblSubjectToLoan[Date],ROW()-ROW(tblContractForDeed[#Headers]))</f>
        <v/>
      </c>
      <c r="O635" s="275">
        <f>IF(ROW()=ROW(tblContractForDeed[#Headers])+1,$O$6,IF(INDEX(tblContractForDeed[End Bal],ROW()-ROW(tblContractForDeed[#Headers])-1)&lt;0,0,INDEX(tblContractForDeed[End Bal],ROW()-ROW(tblContractForDeed[#Headers])-1)))</f>
        <v>0</v>
      </c>
      <c r="P635" s="445" t="str">
        <f>IF(tblContractForDeed[[#This Row],[Date]]="","",IF(tblContractForDeed[[#This Row],[Date]]&lt;cfdRateChangeDate,cfdRate1,cfdRate2))</f>
        <v/>
      </c>
      <c r="Q63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75">
        <f>SUM(INDEX(tblContractForDeed[Princ],1):INDEX(tblContractForDeed[Princ],ROW()-ROW(tblContractForDeed[#Headers])))</f>
        <v>75258.000000000029</v>
      </c>
      <c r="X635" s="275">
        <f>IF(tblContractForDeed[[#This Row],[Beg]]&lt;=0,0,tblContractForDeed[[#This Row],[Beg]]-tblContractForDeed[[#This Row],[Princ]])</f>
        <v>0</v>
      </c>
      <c r="Y63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75">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5" s="275">
        <f>IF(INDEX(tblContractForDeed[End Bal],ROW()-ROW(tblBuyerOutputs[#Headers]))&lt;=0,0,($O$6+IF(ROW()=ROW(tblBuyerOutputs[#Headers])+1,0,INDEX(tblBuyerOutputs[Cumul Appr],ROW()-ROW(tblBuyerOutputs[#Headers])-1)))*$O$2/12)</f>
        <v>0</v>
      </c>
      <c r="AE635" s="275">
        <f>IF(INDEX(tblContractForDeed[End Bal],ROW()-ROW(tblBuyerOutputs[#Headers]))&lt;=0,0,IF(ROW()=ROW(tblBuyerOutputs[#Headers])+1,0,INDEX(tblBuyerOutputs[Cumul Appr],ROW()-ROW(tblBuyerOutputs[#Headers])-1))+tblBuyerOutputs[[#This Row],[Monthly Appr]])</f>
        <v>0</v>
      </c>
      <c r="AF635" s="22"/>
      <c r="AG635" s="14"/>
      <c r="AL635"/>
      <c r="AM635" s="14"/>
      <c r="AO635" s="275"/>
      <c r="AQ635" s="14"/>
      <c r="AR635"/>
    </row>
    <row r="636" spans="1:44" x14ac:dyDescent="0.25">
      <c r="A636" s="590" t="str">
        <f t="shared" si="127"/>
        <v/>
      </c>
      <c r="B636" s="275">
        <f t="shared" si="128"/>
        <v>0</v>
      </c>
      <c r="C636" s="14">
        <f t="shared" si="125"/>
        <v>0</v>
      </c>
      <c r="D636" s="14">
        <f t="shared" si="129"/>
        <v>0</v>
      </c>
      <c r="E636" s="14">
        <f t="shared" si="126"/>
        <v>0</v>
      </c>
      <c r="K636" s="275">
        <f t="shared" si="130"/>
        <v>0</v>
      </c>
      <c r="L636" s="386">
        <f t="shared" si="132"/>
        <v>0</v>
      </c>
      <c r="M636" s="386">
        <f t="shared" si="131"/>
        <v>0</v>
      </c>
      <c r="N636" s="590" t="str">
        <f>INDEX(tblSubjectToLoan[Date],ROW()-ROW(tblContractForDeed[#Headers]))</f>
        <v/>
      </c>
      <c r="O636" s="275">
        <f>IF(ROW()=ROW(tblContractForDeed[#Headers])+1,$O$6,IF(INDEX(tblContractForDeed[End Bal],ROW()-ROW(tblContractForDeed[#Headers])-1)&lt;0,0,INDEX(tblContractForDeed[End Bal],ROW()-ROW(tblContractForDeed[#Headers])-1)))</f>
        <v>0</v>
      </c>
      <c r="P636" s="445" t="str">
        <f>IF(tblContractForDeed[[#This Row],[Date]]="","",IF(tblContractForDeed[[#This Row],[Date]]&lt;cfdRateChangeDate,cfdRate1,cfdRate2))</f>
        <v/>
      </c>
      <c r="Q6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75">
        <f>SUM(INDEX(tblContractForDeed[Princ],1):INDEX(tblContractForDeed[Princ],ROW()-ROW(tblContractForDeed[#Headers])))</f>
        <v>75258.000000000029</v>
      </c>
      <c r="X636" s="275">
        <f>IF(tblContractForDeed[[#This Row],[Beg]]&lt;=0,0,tblContractForDeed[[#This Row],[Beg]]-tblContractForDeed[[#This Row],[Princ]])</f>
        <v>0</v>
      </c>
      <c r="Y63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75">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6" s="275">
        <f>IF(INDEX(tblContractForDeed[End Bal],ROW()-ROW(tblBuyerOutputs[#Headers]))&lt;=0,0,($O$6+IF(ROW()=ROW(tblBuyerOutputs[#Headers])+1,0,INDEX(tblBuyerOutputs[Cumul Appr],ROW()-ROW(tblBuyerOutputs[#Headers])-1)))*$O$2/12)</f>
        <v>0</v>
      </c>
      <c r="AE636" s="275">
        <f>IF(INDEX(tblContractForDeed[End Bal],ROW()-ROW(tblBuyerOutputs[#Headers]))&lt;=0,0,IF(ROW()=ROW(tblBuyerOutputs[#Headers])+1,0,INDEX(tblBuyerOutputs[Cumul Appr],ROW()-ROW(tblBuyerOutputs[#Headers])-1))+tblBuyerOutputs[[#This Row],[Monthly Appr]])</f>
        <v>0</v>
      </c>
      <c r="AF636" s="22"/>
      <c r="AG636" s="14"/>
      <c r="AL636"/>
      <c r="AM636" s="14"/>
      <c r="AO636" s="275"/>
      <c r="AQ636" s="14"/>
      <c r="AR636"/>
    </row>
    <row r="637" spans="1:44" x14ac:dyDescent="0.25">
      <c r="A637" s="590" t="str">
        <f t="shared" si="127"/>
        <v/>
      </c>
      <c r="B637" s="275">
        <f t="shared" si="128"/>
        <v>0</v>
      </c>
      <c r="C637" s="14">
        <f t="shared" si="125"/>
        <v>0</v>
      </c>
      <c r="D637" s="14">
        <f t="shared" si="129"/>
        <v>0</v>
      </c>
      <c r="E637" s="14">
        <f t="shared" si="126"/>
        <v>0</v>
      </c>
      <c r="K637" s="275">
        <f t="shared" si="130"/>
        <v>0</v>
      </c>
      <c r="L637" s="386">
        <f t="shared" si="132"/>
        <v>0</v>
      </c>
      <c r="M637" s="386">
        <f t="shared" si="131"/>
        <v>0</v>
      </c>
      <c r="N637" s="590" t="str">
        <f>INDEX(tblSubjectToLoan[Date],ROW()-ROW(tblContractForDeed[#Headers]))</f>
        <v/>
      </c>
      <c r="O637" s="275">
        <f>IF(ROW()=ROW(tblContractForDeed[#Headers])+1,$O$6,IF(INDEX(tblContractForDeed[End Bal],ROW()-ROW(tblContractForDeed[#Headers])-1)&lt;0,0,INDEX(tblContractForDeed[End Bal],ROW()-ROW(tblContractForDeed[#Headers])-1)))</f>
        <v>0</v>
      </c>
      <c r="P637" s="445" t="str">
        <f>IF(tblContractForDeed[[#This Row],[Date]]="","",IF(tblContractForDeed[[#This Row],[Date]]&lt;cfdRateChangeDate,cfdRate1,cfdRate2))</f>
        <v/>
      </c>
      <c r="Q6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75">
        <f>SUM(INDEX(tblContractForDeed[Princ],1):INDEX(tblContractForDeed[Princ],ROW()-ROW(tblContractForDeed[#Headers])))</f>
        <v>75258.000000000029</v>
      </c>
      <c r="X637" s="275">
        <f>IF(tblContractForDeed[[#This Row],[Beg]]&lt;=0,0,tblContractForDeed[[#This Row],[Beg]]-tblContractForDeed[[#This Row],[Princ]])</f>
        <v>0</v>
      </c>
      <c r="Y63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75">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7" s="275">
        <f>IF(INDEX(tblContractForDeed[End Bal],ROW()-ROW(tblBuyerOutputs[#Headers]))&lt;=0,0,($O$6+IF(ROW()=ROW(tblBuyerOutputs[#Headers])+1,0,INDEX(tblBuyerOutputs[Cumul Appr],ROW()-ROW(tblBuyerOutputs[#Headers])-1)))*$O$2/12)</f>
        <v>0</v>
      </c>
      <c r="AE637" s="275">
        <f>IF(INDEX(tblContractForDeed[End Bal],ROW()-ROW(tblBuyerOutputs[#Headers]))&lt;=0,0,IF(ROW()=ROW(tblBuyerOutputs[#Headers])+1,0,INDEX(tblBuyerOutputs[Cumul Appr],ROW()-ROW(tblBuyerOutputs[#Headers])-1))+tblBuyerOutputs[[#This Row],[Monthly Appr]])</f>
        <v>0</v>
      </c>
      <c r="AF637" s="22"/>
      <c r="AG637" s="14"/>
      <c r="AL637"/>
      <c r="AM637" s="14"/>
      <c r="AO637" s="275"/>
      <c r="AQ637" s="14"/>
      <c r="AR637"/>
    </row>
    <row r="638" spans="1:44" x14ac:dyDescent="0.25">
      <c r="A638" s="590" t="str">
        <f t="shared" si="127"/>
        <v/>
      </c>
      <c r="B638" s="275">
        <f t="shared" si="128"/>
        <v>0</v>
      </c>
      <c r="C638" s="14">
        <f t="shared" si="125"/>
        <v>0</v>
      </c>
      <c r="D638" s="14">
        <f t="shared" si="129"/>
        <v>0</v>
      </c>
      <c r="E638" s="14">
        <f t="shared" si="126"/>
        <v>0</v>
      </c>
      <c r="K638" s="275">
        <f t="shared" si="130"/>
        <v>0</v>
      </c>
      <c r="L638" s="386">
        <f t="shared" si="132"/>
        <v>0</v>
      </c>
      <c r="M638" s="386">
        <f t="shared" si="131"/>
        <v>0</v>
      </c>
      <c r="N638" s="590" t="str">
        <f>INDEX(tblSubjectToLoan[Date],ROW()-ROW(tblContractForDeed[#Headers]))</f>
        <v/>
      </c>
      <c r="O638" s="275">
        <f>IF(ROW()=ROW(tblContractForDeed[#Headers])+1,$O$6,IF(INDEX(tblContractForDeed[End Bal],ROW()-ROW(tblContractForDeed[#Headers])-1)&lt;0,0,INDEX(tblContractForDeed[End Bal],ROW()-ROW(tblContractForDeed[#Headers])-1)))</f>
        <v>0</v>
      </c>
      <c r="P638" s="445" t="str">
        <f>IF(tblContractForDeed[[#This Row],[Date]]="","",IF(tblContractForDeed[[#This Row],[Date]]&lt;cfdRateChangeDate,cfdRate1,cfdRate2))</f>
        <v/>
      </c>
      <c r="Q6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75">
        <f>SUM(INDEX(tblContractForDeed[Princ],1):INDEX(tblContractForDeed[Princ],ROW()-ROW(tblContractForDeed[#Headers])))</f>
        <v>75258.000000000029</v>
      </c>
      <c r="X638" s="275">
        <f>IF(tblContractForDeed[[#This Row],[Beg]]&lt;=0,0,tblContractForDeed[[#This Row],[Beg]]-tblContractForDeed[[#This Row],[Princ]])</f>
        <v>0</v>
      </c>
      <c r="Y63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75">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8" s="275">
        <f>IF(INDEX(tblContractForDeed[End Bal],ROW()-ROW(tblBuyerOutputs[#Headers]))&lt;=0,0,($O$6+IF(ROW()=ROW(tblBuyerOutputs[#Headers])+1,0,INDEX(tblBuyerOutputs[Cumul Appr],ROW()-ROW(tblBuyerOutputs[#Headers])-1)))*$O$2/12)</f>
        <v>0</v>
      </c>
      <c r="AE638" s="275">
        <f>IF(INDEX(tblContractForDeed[End Bal],ROW()-ROW(tblBuyerOutputs[#Headers]))&lt;=0,0,IF(ROW()=ROW(tblBuyerOutputs[#Headers])+1,0,INDEX(tblBuyerOutputs[Cumul Appr],ROW()-ROW(tblBuyerOutputs[#Headers])-1))+tblBuyerOutputs[[#This Row],[Monthly Appr]])</f>
        <v>0</v>
      </c>
      <c r="AF638" s="22"/>
      <c r="AG638" s="14"/>
      <c r="AL638"/>
      <c r="AM638" s="14"/>
      <c r="AO638" s="275"/>
      <c r="AQ638" s="14"/>
      <c r="AR638"/>
    </row>
    <row r="639" spans="1:44" x14ac:dyDescent="0.25">
      <c r="A639" s="590" t="str">
        <f t="shared" si="127"/>
        <v/>
      </c>
      <c r="B639" s="275">
        <f t="shared" si="128"/>
        <v>0</v>
      </c>
      <c r="C639" s="14">
        <f t="shared" si="125"/>
        <v>0</v>
      </c>
      <c r="D639" s="14">
        <f t="shared" si="129"/>
        <v>0</v>
      </c>
      <c r="E639" s="14">
        <f t="shared" si="126"/>
        <v>0</v>
      </c>
      <c r="K639" s="275">
        <f t="shared" si="130"/>
        <v>0</v>
      </c>
      <c r="L639" s="386">
        <f t="shared" si="132"/>
        <v>0</v>
      </c>
      <c r="M639" s="386">
        <f t="shared" si="131"/>
        <v>0</v>
      </c>
      <c r="N639" s="590" t="str">
        <f>INDEX(tblSubjectToLoan[Date],ROW()-ROW(tblContractForDeed[#Headers]))</f>
        <v/>
      </c>
      <c r="O639" s="275">
        <f>IF(ROW()=ROW(tblContractForDeed[#Headers])+1,$O$6,IF(INDEX(tblContractForDeed[End Bal],ROW()-ROW(tblContractForDeed[#Headers])-1)&lt;0,0,INDEX(tblContractForDeed[End Bal],ROW()-ROW(tblContractForDeed[#Headers])-1)))</f>
        <v>0</v>
      </c>
      <c r="P639" s="445" t="str">
        <f>IF(tblContractForDeed[[#This Row],[Date]]="","",IF(tblContractForDeed[[#This Row],[Date]]&lt;cfdRateChangeDate,cfdRate1,cfdRate2))</f>
        <v/>
      </c>
      <c r="Q63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75">
        <f>SUM(INDEX(tblContractForDeed[Princ],1):INDEX(tblContractForDeed[Princ],ROW()-ROW(tblContractForDeed[#Headers])))</f>
        <v>75258.000000000029</v>
      </c>
      <c r="X639" s="275">
        <f>IF(tblContractForDeed[[#This Row],[Beg]]&lt;=0,0,tblContractForDeed[[#This Row],[Beg]]-tblContractForDeed[[#This Row],[Princ]])</f>
        <v>0</v>
      </c>
      <c r="Y63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75">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9" s="275">
        <f>IF(INDEX(tblContractForDeed[End Bal],ROW()-ROW(tblBuyerOutputs[#Headers]))&lt;=0,0,($O$6+IF(ROW()=ROW(tblBuyerOutputs[#Headers])+1,0,INDEX(tblBuyerOutputs[Cumul Appr],ROW()-ROW(tblBuyerOutputs[#Headers])-1)))*$O$2/12)</f>
        <v>0</v>
      </c>
      <c r="AE639" s="275">
        <f>IF(INDEX(tblContractForDeed[End Bal],ROW()-ROW(tblBuyerOutputs[#Headers]))&lt;=0,0,IF(ROW()=ROW(tblBuyerOutputs[#Headers])+1,0,INDEX(tblBuyerOutputs[Cumul Appr],ROW()-ROW(tblBuyerOutputs[#Headers])-1))+tblBuyerOutputs[[#This Row],[Monthly Appr]])</f>
        <v>0</v>
      </c>
      <c r="AF639" s="22"/>
      <c r="AG639" s="14"/>
      <c r="AL639"/>
      <c r="AM639" s="14"/>
      <c r="AO639" s="275"/>
      <c r="AQ639" s="14"/>
      <c r="AR639"/>
    </row>
    <row r="640" spans="1:44" x14ac:dyDescent="0.25">
      <c r="A640" s="590" t="str">
        <f t="shared" si="127"/>
        <v/>
      </c>
      <c r="B640" s="275">
        <f t="shared" si="128"/>
        <v>0</v>
      </c>
      <c r="C640" s="14">
        <f t="shared" si="125"/>
        <v>0</v>
      </c>
      <c r="D640" s="14">
        <f t="shared" si="129"/>
        <v>0</v>
      </c>
      <c r="E640" s="14">
        <f t="shared" si="126"/>
        <v>0</v>
      </c>
      <c r="K640" s="275">
        <f t="shared" si="130"/>
        <v>0</v>
      </c>
      <c r="L640" s="386">
        <f t="shared" si="132"/>
        <v>0</v>
      </c>
      <c r="M640" s="386">
        <f t="shared" si="131"/>
        <v>0</v>
      </c>
      <c r="N640" s="590" t="str">
        <f>INDEX(tblSubjectToLoan[Date],ROW()-ROW(tblContractForDeed[#Headers]))</f>
        <v/>
      </c>
      <c r="O640" s="275">
        <f>IF(ROW()=ROW(tblContractForDeed[#Headers])+1,$O$6,IF(INDEX(tblContractForDeed[End Bal],ROW()-ROW(tblContractForDeed[#Headers])-1)&lt;0,0,INDEX(tblContractForDeed[End Bal],ROW()-ROW(tblContractForDeed[#Headers])-1)))</f>
        <v>0</v>
      </c>
      <c r="P640" s="445" t="str">
        <f>IF(tblContractForDeed[[#This Row],[Date]]="","",IF(tblContractForDeed[[#This Row],[Date]]&lt;cfdRateChangeDate,cfdRate1,cfdRate2))</f>
        <v/>
      </c>
      <c r="Q6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75">
        <f>SUM(INDEX(tblContractForDeed[Princ],1):INDEX(tblContractForDeed[Princ],ROW()-ROW(tblContractForDeed[#Headers])))</f>
        <v>75258.000000000029</v>
      </c>
      <c r="X640" s="275">
        <f>IF(tblContractForDeed[[#This Row],[Beg]]&lt;=0,0,tblContractForDeed[[#This Row],[Beg]]-tblContractForDeed[[#This Row],[Princ]])</f>
        <v>0</v>
      </c>
      <c r="Y64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75">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0" s="275">
        <f>IF(INDEX(tblContractForDeed[End Bal],ROW()-ROW(tblBuyerOutputs[#Headers]))&lt;=0,0,($O$6+IF(ROW()=ROW(tblBuyerOutputs[#Headers])+1,0,INDEX(tblBuyerOutputs[Cumul Appr],ROW()-ROW(tblBuyerOutputs[#Headers])-1)))*$O$2/12)</f>
        <v>0</v>
      </c>
      <c r="AE640" s="275">
        <f>IF(INDEX(tblContractForDeed[End Bal],ROW()-ROW(tblBuyerOutputs[#Headers]))&lt;=0,0,IF(ROW()=ROW(tblBuyerOutputs[#Headers])+1,0,INDEX(tblBuyerOutputs[Cumul Appr],ROW()-ROW(tblBuyerOutputs[#Headers])-1))+tblBuyerOutputs[[#This Row],[Monthly Appr]])</f>
        <v>0</v>
      </c>
      <c r="AF640" s="22"/>
      <c r="AG640" s="14"/>
      <c r="AL640"/>
      <c r="AM640" s="14"/>
      <c r="AO640" s="275"/>
      <c r="AQ640" s="14"/>
      <c r="AR640"/>
    </row>
    <row r="641" spans="1:44" x14ac:dyDescent="0.25">
      <c r="A641" s="590" t="str">
        <f t="shared" si="127"/>
        <v/>
      </c>
      <c r="B641" s="275">
        <f t="shared" si="128"/>
        <v>0</v>
      </c>
      <c r="C641" s="14">
        <f t="shared" si="125"/>
        <v>0</v>
      </c>
      <c r="D641" s="14">
        <f t="shared" si="129"/>
        <v>0</v>
      </c>
      <c r="E641" s="14">
        <f t="shared" si="126"/>
        <v>0</v>
      </c>
      <c r="K641" s="275">
        <f t="shared" si="130"/>
        <v>0</v>
      </c>
      <c r="L641" s="386">
        <f t="shared" si="132"/>
        <v>0</v>
      </c>
      <c r="M641" s="386">
        <f t="shared" si="131"/>
        <v>0</v>
      </c>
      <c r="N641" s="590" t="str">
        <f>INDEX(tblSubjectToLoan[Date],ROW()-ROW(tblContractForDeed[#Headers]))</f>
        <v/>
      </c>
      <c r="O641" s="275">
        <f>IF(ROW()=ROW(tblContractForDeed[#Headers])+1,$O$6,IF(INDEX(tblContractForDeed[End Bal],ROW()-ROW(tblContractForDeed[#Headers])-1)&lt;0,0,INDEX(tblContractForDeed[End Bal],ROW()-ROW(tblContractForDeed[#Headers])-1)))</f>
        <v>0</v>
      </c>
      <c r="P641" s="445" t="str">
        <f>IF(tblContractForDeed[[#This Row],[Date]]="","",IF(tblContractForDeed[[#This Row],[Date]]&lt;cfdRateChangeDate,cfdRate1,cfdRate2))</f>
        <v/>
      </c>
      <c r="Q6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75">
        <f>SUM(INDEX(tblContractForDeed[Princ],1):INDEX(tblContractForDeed[Princ],ROW()-ROW(tblContractForDeed[#Headers])))</f>
        <v>75258.000000000029</v>
      </c>
      <c r="X641" s="275">
        <f>IF(tblContractForDeed[[#This Row],[Beg]]&lt;=0,0,tblContractForDeed[[#This Row],[Beg]]-tblContractForDeed[[#This Row],[Princ]])</f>
        <v>0</v>
      </c>
      <c r="Y64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75">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1" s="275">
        <f>IF(INDEX(tblContractForDeed[End Bal],ROW()-ROW(tblBuyerOutputs[#Headers]))&lt;=0,0,($O$6+IF(ROW()=ROW(tblBuyerOutputs[#Headers])+1,0,INDEX(tblBuyerOutputs[Cumul Appr],ROW()-ROW(tblBuyerOutputs[#Headers])-1)))*$O$2/12)</f>
        <v>0</v>
      </c>
      <c r="AE641" s="275">
        <f>IF(INDEX(tblContractForDeed[End Bal],ROW()-ROW(tblBuyerOutputs[#Headers]))&lt;=0,0,IF(ROW()=ROW(tblBuyerOutputs[#Headers])+1,0,INDEX(tblBuyerOutputs[Cumul Appr],ROW()-ROW(tblBuyerOutputs[#Headers])-1))+tblBuyerOutputs[[#This Row],[Monthly Appr]])</f>
        <v>0</v>
      </c>
      <c r="AF641" s="22"/>
      <c r="AG641" s="14"/>
      <c r="AL641"/>
      <c r="AM641" s="14"/>
      <c r="AO641" s="275"/>
      <c r="AQ641" s="14"/>
      <c r="AR641"/>
    </row>
    <row r="642" spans="1:44" x14ac:dyDescent="0.25">
      <c r="A642" s="590" t="str">
        <f t="shared" si="127"/>
        <v/>
      </c>
      <c r="B642" s="275">
        <f t="shared" si="128"/>
        <v>0</v>
      </c>
      <c r="C642" s="14">
        <f t="shared" si="125"/>
        <v>0</v>
      </c>
      <c r="D642" s="14">
        <f t="shared" si="129"/>
        <v>0</v>
      </c>
      <c r="E642" s="14">
        <f t="shared" si="126"/>
        <v>0</v>
      </c>
      <c r="K642" s="275">
        <f t="shared" si="130"/>
        <v>0</v>
      </c>
      <c r="L642" s="386">
        <f t="shared" si="132"/>
        <v>0</v>
      </c>
      <c r="M642" s="386">
        <f t="shared" si="131"/>
        <v>0</v>
      </c>
      <c r="N642" s="590" t="str">
        <f>INDEX(tblSubjectToLoan[Date],ROW()-ROW(tblContractForDeed[#Headers]))</f>
        <v/>
      </c>
      <c r="O642" s="275">
        <f>IF(ROW()=ROW(tblContractForDeed[#Headers])+1,$O$6,IF(INDEX(tblContractForDeed[End Bal],ROW()-ROW(tblContractForDeed[#Headers])-1)&lt;0,0,INDEX(tblContractForDeed[End Bal],ROW()-ROW(tblContractForDeed[#Headers])-1)))</f>
        <v>0</v>
      </c>
      <c r="P642" s="445" t="str">
        <f>IF(tblContractForDeed[[#This Row],[Date]]="","",IF(tblContractForDeed[[#This Row],[Date]]&lt;cfdRateChangeDate,cfdRate1,cfdRate2))</f>
        <v/>
      </c>
      <c r="Q6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75">
        <f>SUM(INDEX(tblContractForDeed[Princ],1):INDEX(tblContractForDeed[Princ],ROW()-ROW(tblContractForDeed[#Headers])))</f>
        <v>75258.000000000029</v>
      </c>
      <c r="X642" s="275">
        <f>IF(tblContractForDeed[[#This Row],[Beg]]&lt;=0,0,tblContractForDeed[[#This Row],[Beg]]-tblContractForDeed[[#This Row],[Princ]])</f>
        <v>0</v>
      </c>
      <c r="Y64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75">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2" s="275">
        <f>IF(INDEX(tblContractForDeed[End Bal],ROW()-ROW(tblBuyerOutputs[#Headers]))&lt;=0,0,($O$6+IF(ROW()=ROW(tblBuyerOutputs[#Headers])+1,0,INDEX(tblBuyerOutputs[Cumul Appr],ROW()-ROW(tblBuyerOutputs[#Headers])-1)))*$O$2/12)</f>
        <v>0</v>
      </c>
      <c r="AE642" s="275">
        <f>IF(INDEX(tblContractForDeed[End Bal],ROW()-ROW(tblBuyerOutputs[#Headers]))&lt;=0,0,IF(ROW()=ROW(tblBuyerOutputs[#Headers])+1,0,INDEX(tblBuyerOutputs[Cumul Appr],ROW()-ROW(tblBuyerOutputs[#Headers])-1))+tblBuyerOutputs[[#This Row],[Monthly Appr]])</f>
        <v>0</v>
      </c>
      <c r="AF642" s="22"/>
      <c r="AG642" s="14"/>
      <c r="AL642"/>
      <c r="AM642" s="14"/>
      <c r="AO642" s="275"/>
      <c r="AQ642" s="14"/>
      <c r="AR642"/>
    </row>
    <row r="643" spans="1:44" ht="15.75" thickBot="1" x14ac:dyDescent="0.3">
      <c r="A643" s="591" t="str">
        <f t="shared" si="127"/>
        <v/>
      </c>
      <c r="B643" s="326">
        <f t="shared" si="128"/>
        <v>0</v>
      </c>
      <c r="C643" s="21">
        <f t="shared" si="125"/>
        <v>0</v>
      </c>
      <c r="D643" s="21">
        <f t="shared" si="129"/>
        <v>0</v>
      </c>
      <c r="E643" s="21">
        <f t="shared" si="126"/>
        <v>0</v>
      </c>
      <c r="F643" s="21"/>
      <c r="G643" s="21"/>
      <c r="H643" s="21"/>
      <c r="I643" s="326"/>
      <c r="J643" s="326"/>
      <c r="K643" s="326">
        <f t="shared" si="130"/>
        <v>0</v>
      </c>
      <c r="L643" s="387">
        <f t="shared" si="132"/>
        <v>0</v>
      </c>
      <c r="M643" s="387">
        <f t="shared" si="131"/>
        <v>0</v>
      </c>
      <c r="N643" s="591" t="str">
        <f>INDEX(tblSubjectToLoan[Date],ROW()-ROW(tblContractForDeed[#Headers]))</f>
        <v/>
      </c>
      <c r="O643" s="326">
        <f>IF(ROW()=ROW(tblContractForDeed[#Headers])+1,$O$6,IF(INDEX(tblContractForDeed[End Bal],ROW()-ROW(tblContractForDeed[#Headers])-1)&lt;0,0,INDEX(tblContractForDeed[End Bal],ROW()-ROW(tblContractForDeed[#Headers])-1)))</f>
        <v>0</v>
      </c>
      <c r="P643" s="445" t="str">
        <f>IF(tblContractForDeed[[#This Row],[Date]]="","",IF(tblContractForDeed[[#This Row],[Date]]&lt;cfdRateChangeDate,cfdRate1,cfdRate2))</f>
        <v/>
      </c>
      <c r="Q64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26">
        <f>SUM(INDEX(tblContractForDeed[Princ],1):INDEX(tblContractForDeed[Princ],ROW()-ROW(tblContractForDeed[#Headers])))</f>
        <v>75258.000000000029</v>
      </c>
      <c r="X643" s="326">
        <f>IF(tblContractForDeed[[#This Row],[Beg]]&lt;=0,0,tblContractForDeed[[#This Row],[Beg]]-tblContractForDeed[[#This Row],[Princ]])</f>
        <v>0</v>
      </c>
      <c r="Y64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26">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3" s="326">
        <f>IF(INDEX(tblContractForDeed[End Bal],ROW()-ROW(tblBuyerOutputs[#Headers]))&lt;=0,0,($O$6+IF(ROW()=ROW(tblBuyerOutputs[#Headers])+1,0,INDEX(tblBuyerOutputs[Cumul Appr],ROW()-ROW(tblBuyerOutputs[#Headers])-1)))*$O$2/12)</f>
        <v>0</v>
      </c>
      <c r="AE643" s="326">
        <f>IF(INDEX(tblContractForDeed[End Bal],ROW()-ROW(tblBuyerOutputs[#Headers]))&lt;=0,0,IF(ROW()=ROW(tblBuyerOutputs[#Headers])+1,0,INDEX(tblBuyerOutputs[Cumul Appr],ROW()-ROW(tblBuyerOutputs[#Headers])-1))+tblBuyerOutputs[[#This Row],[Monthly Appr]])</f>
        <v>0</v>
      </c>
      <c r="AF643" s="22"/>
      <c r="AG643" s="14"/>
      <c r="AL643"/>
      <c r="AM643" s="14"/>
      <c r="AO643" s="275"/>
      <c r="AQ643" s="21"/>
      <c r="AR643"/>
    </row>
    <row r="644" spans="1:44" x14ac:dyDescent="0.25">
      <c r="A644" s="590" t="str">
        <f t="shared" si="127"/>
        <v/>
      </c>
      <c r="B644" s="275">
        <f t="shared" si="128"/>
        <v>0</v>
      </c>
      <c r="C644" s="14">
        <f t="shared" si="125"/>
        <v>0</v>
      </c>
      <c r="D644" s="14">
        <f t="shared" si="129"/>
        <v>0</v>
      </c>
      <c r="E644" s="14">
        <f t="shared" si="126"/>
        <v>0</v>
      </c>
      <c r="K644" s="275">
        <f t="shared" si="130"/>
        <v>0</v>
      </c>
      <c r="L644" s="386">
        <f t="shared" si="132"/>
        <v>0</v>
      </c>
      <c r="M644" s="386">
        <f t="shared" si="131"/>
        <v>0</v>
      </c>
      <c r="N644" s="590" t="str">
        <f>INDEX(tblSubjectToLoan[Date],ROW()-ROW(tblContractForDeed[#Headers]))</f>
        <v/>
      </c>
      <c r="O644" s="275">
        <f>IF(ROW()=ROW(tblContractForDeed[#Headers])+1,$O$6,IF(INDEX(tblContractForDeed[End Bal],ROW()-ROW(tblContractForDeed[#Headers])-1)&lt;0,0,INDEX(tblContractForDeed[End Bal],ROW()-ROW(tblContractForDeed[#Headers])-1)))</f>
        <v>0</v>
      </c>
      <c r="P644" s="445" t="str">
        <f>IF(tblContractForDeed[[#This Row],[Date]]="","",IF(tblContractForDeed[[#This Row],[Date]]&lt;cfdRateChangeDate,cfdRate1,cfdRate2))</f>
        <v/>
      </c>
      <c r="Q6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75">
        <f>SUM(INDEX(tblContractForDeed[Princ],1):INDEX(tblContractForDeed[Princ],ROW()-ROW(tblContractForDeed[#Headers])))</f>
        <v>75258.000000000029</v>
      </c>
      <c r="X644" s="275">
        <f>IF(tblContractForDeed[[#This Row],[Beg]]&lt;=0,0,tblContractForDeed[[#This Row],[Beg]]-tblContractForDeed[[#This Row],[Princ]])</f>
        <v>0</v>
      </c>
      <c r="Y64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75">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4" s="275">
        <f>IF(INDEX(tblContractForDeed[End Bal],ROW()-ROW(tblBuyerOutputs[#Headers]))&lt;=0,0,($O$6+IF(ROW()=ROW(tblBuyerOutputs[#Headers])+1,0,INDEX(tblBuyerOutputs[Cumul Appr],ROW()-ROW(tblBuyerOutputs[#Headers])-1)))*$O$2/12)</f>
        <v>0</v>
      </c>
      <c r="AE644" s="275">
        <f>IF(INDEX(tblContractForDeed[End Bal],ROW()-ROW(tblBuyerOutputs[#Headers]))&lt;=0,0,IF(ROW()=ROW(tblBuyerOutputs[#Headers])+1,0,INDEX(tblBuyerOutputs[Cumul Appr],ROW()-ROW(tblBuyerOutputs[#Headers])-1))+tblBuyerOutputs[[#This Row],[Monthly Appr]])</f>
        <v>0</v>
      </c>
      <c r="AF644" s="22"/>
      <c r="AG644" s="14"/>
      <c r="AL644"/>
      <c r="AM644" s="14"/>
      <c r="AO644" s="275"/>
      <c r="AQ644" s="14"/>
      <c r="AR644"/>
    </row>
    <row r="645" spans="1:44" x14ac:dyDescent="0.25">
      <c r="A645" s="590" t="str">
        <f t="shared" si="127"/>
        <v/>
      </c>
      <c r="B645" s="275">
        <f t="shared" si="128"/>
        <v>0</v>
      </c>
      <c r="C645" s="14">
        <f t="shared" si="125"/>
        <v>0</v>
      </c>
      <c r="D645" s="14">
        <f t="shared" si="129"/>
        <v>0</v>
      </c>
      <c r="E645" s="14">
        <f t="shared" si="126"/>
        <v>0</v>
      </c>
      <c r="K645" s="275">
        <f t="shared" si="130"/>
        <v>0</v>
      </c>
      <c r="L645" s="386">
        <f t="shared" si="132"/>
        <v>0</v>
      </c>
      <c r="M645" s="386">
        <f t="shared" si="131"/>
        <v>0</v>
      </c>
      <c r="N645" s="590" t="str">
        <f>INDEX(tblSubjectToLoan[Date],ROW()-ROW(tblContractForDeed[#Headers]))</f>
        <v/>
      </c>
      <c r="O645" s="275">
        <f>IF(ROW()=ROW(tblContractForDeed[#Headers])+1,$O$6,IF(INDEX(tblContractForDeed[End Bal],ROW()-ROW(tblContractForDeed[#Headers])-1)&lt;0,0,INDEX(tblContractForDeed[End Bal],ROW()-ROW(tblContractForDeed[#Headers])-1)))</f>
        <v>0</v>
      </c>
      <c r="P645" s="445" t="str">
        <f>IF(tblContractForDeed[[#This Row],[Date]]="","",IF(tblContractForDeed[[#This Row],[Date]]&lt;cfdRateChangeDate,cfdRate1,cfdRate2))</f>
        <v/>
      </c>
      <c r="Q6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75">
        <f>SUM(INDEX(tblContractForDeed[Princ],1):INDEX(tblContractForDeed[Princ],ROW()-ROW(tblContractForDeed[#Headers])))</f>
        <v>75258.000000000029</v>
      </c>
      <c r="X645" s="275">
        <f>IF(tblContractForDeed[[#This Row],[Beg]]&lt;=0,0,tblContractForDeed[[#This Row],[Beg]]-tblContractForDeed[[#This Row],[Princ]])</f>
        <v>0</v>
      </c>
      <c r="Y64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75">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5" s="275">
        <f>IF(INDEX(tblContractForDeed[End Bal],ROW()-ROW(tblBuyerOutputs[#Headers]))&lt;=0,0,($O$6+IF(ROW()=ROW(tblBuyerOutputs[#Headers])+1,0,INDEX(tblBuyerOutputs[Cumul Appr],ROW()-ROW(tblBuyerOutputs[#Headers])-1)))*$O$2/12)</f>
        <v>0</v>
      </c>
      <c r="AE645" s="275">
        <f>IF(INDEX(tblContractForDeed[End Bal],ROW()-ROW(tblBuyerOutputs[#Headers]))&lt;=0,0,IF(ROW()=ROW(tblBuyerOutputs[#Headers])+1,0,INDEX(tblBuyerOutputs[Cumul Appr],ROW()-ROW(tblBuyerOutputs[#Headers])-1))+tblBuyerOutputs[[#This Row],[Monthly Appr]])</f>
        <v>0</v>
      </c>
      <c r="AF645" s="22"/>
      <c r="AG645" s="14"/>
      <c r="AL645"/>
      <c r="AM645" s="14"/>
      <c r="AO645" s="275"/>
      <c r="AQ645" s="14"/>
      <c r="AR645"/>
    </row>
    <row r="646" spans="1:44" x14ac:dyDescent="0.25">
      <c r="A646" s="590" t="str">
        <f t="shared" si="127"/>
        <v/>
      </c>
      <c r="B646" s="275">
        <f t="shared" si="128"/>
        <v>0</v>
      </c>
      <c r="C646" s="14">
        <f t="shared" si="125"/>
        <v>0</v>
      </c>
      <c r="D646" s="14">
        <f t="shared" si="129"/>
        <v>0</v>
      </c>
      <c r="E646" s="14">
        <f t="shared" si="126"/>
        <v>0</v>
      </c>
      <c r="K646" s="275">
        <f t="shared" si="130"/>
        <v>0</v>
      </c>
      <c r="L646" s="386">
        <f t="shared" si="132"/>
        <v>0</v>
      </c>
      <c r="M646" s="386">
        <f t="shared" si="131"/>
        <v>0</v>
      </c>
      <c r="N646" s="590" t="str">
        <f>INDEX(tblSubjectToLoan[Date],ROW()-ROW(tblContractForDeed[#Headers]))</f>
        <v/>
      </c>
      <c r="O646" s="275">
        <f>IF(ROW()=ROW(tblContractForDeed[#Headers])+1,$O$6,IF(INDEX(tblContractForDeed[End Bal],ROW()-ROW(tblContractForDeed[#Headers])-1)&lt;0,0,INDEX(tblContractForDeed[End Bal],ROW()-ROW(tblContractForDeed[#Headers])-1)))</f>
        <v>0</v>
      </c>
      <c r="P646" s="445" t="str">
        <f>IF(tblContractForDeed[[#This Row],[Date]]="","",IF(tblContractForDeed[[#This Row],[Date]]&lt;cfdRateChangeDate,cfdRate1,cfdRate2))</f>
        <v/>
      </c>
      <c r="Q6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75">
        <f>SUM(INDEX(tblContractForDeed[Princ],1):INDEX(tblContractForDeed[Princ],ROW()-ROW(tblContractForDeed[#Headers])))</f>
        <v>75258.000000000029</v>
      </c>
      <c r="X646" s="275">
        <f>IF(tblContractForDeed[[#This Row],[Beg]]&lt;=0,0,tblContractForDeed[[#This Row],[Beg]]-tblContractForDeed[[#This Row],[Princ]])</f>
        <v>0</v>
      </c>
      <c r="Y64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75">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6" s="275">
        <f>IF(INDEX(tblContractForDeed[End Bal],ROW()-ROW(tblBuyerOutputs[#Headers]))&lt;=0,0,($O$6+IF(ROW()=ROW(tblBuyerOutputs[#Headers])+1,0,INDEX(tblBuyerOutputs[Cumul Appr],ROW()-ROW(tblBuyerOutputs[#Headers])-1)))*$O$2/12)</f>
        <v>0</v>
      </c>
      <c r="AE646" s="275">
        <f>IF(INDEX(tblContractForDeed[End Bal],ROW()-ROW(tblBuyerOutputs[#Headers]))&lt;=0,0,IF(ROW()=ROW(tblBuyerOutputs[#Headers])+1,0,INDEX(tblBuyerOutputs[Cumul Appr],ROW()-ROW(tblBuyerOutputs[#Headers])-1))+tblBuyerOutputs[[#This Row],[Monthly Appr]])</f>
        <v>0</v>
      </c>
      <c r="AF646" s="22"/>
      <c r="AG646" s="14"/>
      <c r="AL646"/>
      <c r="AM646" s="14"/>
      <c r="AO646" s="275"/>
      <c r="AQ646" s="14"/>
      <c r="AR646"/>
    </row>
    <row r="647" spans="1:44" x14ac:dyDescent="0.25">
      <c r="A647" s="590" t="str">
        <f t="shared" si="127"/>
        <v/>
      </c>
      <c r="B647" s="275">
        <f t="shared" si="128"/>
        <v>0</v>
      </c>
      <c r="C647" s="14">
        <f t="shared" si="125"/>
        <v>0</v>
      </c>
      <c r="D647" s="14">
        <f t="shared" si="129"/>
        <v>0</v>
      </c>
      <c r="E647" s="14">
        <f t="shared" si="126"/>
        <v>0</v>
      </c>
      <c r="K647" s="275">
        <f t="shared" si="130"/>
        <v>0</v>
      </c>
      <c r="L647" s="386">
        <f t="shared" si="132"/>
        <v>0</v>
      </c>
      <c r="M647" s="386">
        <f t="shared" si="131"/>
        <v>0</v>
      </c>
      <c r="N647" s="590" t="str">
        <f>INDEX(tblSubjectToLoan[Date],ROW()-ROW(tblContractForDeed[#Headers]))</f>
        <v/>
      </c>
      <c r="O647" s="275">
        <f>IF(ROW()=ROW(tblContractForDeed[#Headers])+1,$O$6,IF(INDEX(tblContractForDeed[End Bal],ROW()-ROW(tblContractForDeed[#Headers])-1)&lt;0,0,INDEX(tblContractForDeed[End Bal],ROW()-ROW(tblContractForDeed[#Headers])-1)))</f>
        <v>0</v>
      </c>
      <c r="P647" s="445" t="str">
        <f>IF(tblContractForDeed[[#This Row],[Date]]="","",IF(tblContractForDeed[[#This Row],[Date]]&lt;cfdRateChangeDate,cfdRate1,cfdRate2))</f>
        <v/>
      </c>
      <c r="Q64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75">
        <f>SUM(INDEX(tblContractForDeed[Princ],1):INDEX(tblContractForDeed[Princ],ROW()-ROW(tblContractForDeed[#Headers])))</f>
        <v>75258.000000000029</v>
      </c>
      <c r="X647" s="275">
        <f>IF(tblContractForDeed[[#This Row],[Beg]]&lt;=0,0,tblContractForDeed[[#This Row],[Beg]]-tblContractForDeed[[#This Row],[Princ]])</f>
        <v>0</v>
      </c>
      <c r="Y64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75">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7" s="275">
        <f>IF(INDEX(tblContractForDeed[End Bal],ROW()-ROW(tblBuyerOutputs[#Headers]))&lt;=0,0,($O$6+IF(ROW()=ROW(tblBuyerOutputs[#Headers])+1,0,INDEX(tblBuyerOutputs[Cumul Appr],ROW()-ROW(tblBuyerOutputs[#Headers])-1)))*$O$2/12)</f>
        <v>0</v>
      </c>
      <c r="AE647" s="275">
        <f>IF(INDEX(tblContractForDeed[End Bal],ROW()-ROW(tblBuyerOutputs[#Headers]))&lt;=0,0,IF(ROW()=ROW(tblBuyerOutputs[#Headers])+1,0,INDEX(tblBuyerOutputs[Cumul Appr],ROW()-ROW(tblBuyerOutputs[#Headers])-1))+tblBuyerOutputs[[#This Row],[Monthly Appr]])</f>
        <v>0</v>
      </c>
      <c r="AF647" s="22"/>
      <c r="AG647" s="14"/>
      <c r="AL647"/>
      <c r="AM647" s="14"/>
      <c r="AO647" s="275"/>
      <c r="AQ647" s="14"/>
      <c r="AR647"/>
    </row>
    <row r="648" spans="1:44" x14ac:dyDescent="0.25">
      <c r="A648" s="590" t="str">
        <f t="shared" si="127"/>
        <v/>
      </c>
      <c r="B648" s="275">
        <f t="shared" si="128"/>
        <v>0</v>
      </c>
      <c r="C648" s="14">
        <f t="shared" si="125"/>
        <v>0</v>
      </c>
      <c r="D648" s="14">
        <f t="shared" si="129"/>
        <v>0</v>
      </c>
      <c r="E648" s="14">
        <f t="shared" si="126"/>
        <v>0</v>
      </c>
      <c r="K648" s="275">
        <f t="shared" si="130"/>
        <v>0</v>
      </c>
      <c r="L648" s="386">
        <f t="shared" si="132"/>
        <v>0</v>
      </c>
      <c r="M648" s="386">
        <f t="shared" si="131"/>
        <v>0</v>
      </c>
      <c r="N648" s="590" t="str">
        <f>INDEX(tblSubjectToLoan[Date],ROW()-ROW(tblContractForDeed[#Headers]))</f>
        <v/>
      </c>
      <c r="O648" s="275">
        <f>IF(ROW()=ROW(tblContractForDeed[#Headers])+1,$O$6,IF(INDEX(tblContractForDeed[End Bal],ROW()-ROW(tblContractForDeed[#Headers])-1)&lt;0,0,INDEX(tblContractForDeed[End Bal],ROW()-ROW(tblContractForDeed[#Headers])-1)))</f>
        <v>0</v>
      </c>
      <c r="P648" s="445" t="str">
        <f>IF(tblContractForDeed[[#This Row],[Date]]="","",IF(tblContractForDeed[[#This Row],[Date]]&lt;cfdRateChangeDate,cfdRate1,cfdRate2))</f>
        <v/>
      </c>
      <c r="Q6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75">
        <f>SUM(INDEX(tblContractForDeed[Princ],1):INDEX(tblContractForDeed[Princ],ROW()-ROW(tblContractForDeed[#Headers])))</f>
        <v>75258.000000000029</v>
      </c>
      <c r="X648" s="275">
        <f>IF(tblContractForDeed[[#This Row],[Beg]]&lt;=0,0,tblContractForDeed[[#This Row],[Beg]]-tblContractForDeed[[#This Row],[Princ]])</f>
        <v>0</v>
      </c>
      <c r="Y64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75">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8" s="275">
        <f>IF(INDEX(tblContractForDeed[End Bal],ROW()-ROW(tblBuyerOutputs[#Headers]))&lt;=0,0,($O$6+IF(ROW()=ROW(tblBuyerOutputs[#Headers])+1,0,INDEX(tblBuyerOutputs[Cumul Appr],ROW()-ROW(tblBuyerOutputs[#Headers])-1)))*$O$2/12)</f>
        <v>0</v>
      </c>
      <c r="AE648" s="275">
        <f>IF(INDEX(tblContractForDeed[End Bal],ROW()-ROW(tblBuyerOutputs[#Headers]))&lt;=0,0,IF(ROW()=ROW(tblBuyerOutputs[#Headers])+1,0,INDEX(tblBuyerOutputs[Cumul Appr],ROW()-ROW(tblBuyerOutputs[#Headers])-1))+tblBuyerOutputs[[#This Row],[Monthly Appr]])</f>
        <v>0</v>
      </c>
      <c r="AF648" s="22"/>
      <c r="AG648" s="14"/>
      <c r="AL648"/>
      <c r="AM648" s="14"/>
      <c r="AO648" s="275"/>
      <c r="AQ648" s="14"/>
      <c r="AR648"/>
    </row>
    <row r="649" spans="1:44" x14ac:dyDescent="0.25">
      <c r="A649" s="590" t="str">
        <f t="shared" si="127"/>
        <v/>
      </c>
      <c r="B649" s="275">
        <f t="shared" si="128"/>
        <v>0</v>
      </c>
      <c r="C649" s="14">
        <f t="shared" si="125"/>
        <v>0</v>
      </c>
      <c r="D649" s="14">
        <f t="shared" si="129"/>
        <v>0</v>
      </c>
      <c r="E649" s="14">
        <f t="shared" si="126"/>
        <v>0</v>
      </c>
      <c r="K649" s="275">
        <f t="shared" si="130"/>
        <v>0</v>
      </c>
      <c r="L649" s="386">
        <f t="shared" si="132"/>
        <v>0</v>
      </c>
      <c r="M649" s="386">
        <f t="shared" si="131"/>
        <v>0</v>
      </c>
      <c r="N649" s="590" t="str">
        <f>INDEX(tblSubjectToLoan[Date],ROW()-ROW(tblContractForDeed[#Headers]))</f>
        <v/>
      </c>
      <c r="O649" s="275">
        <f>IF(ROW()=ROW(tblContractForDeed[#Headers])+1,$O$6,IF(INDEX(tblContractForDeed[End Bal],ROW()-ROW(tblContractForDeed[#Headers])-1)&lt;0,0,INDEX(tblContractForDeed[End Bal],ROW()-ROW(tblContractForDeed[#Headers])-1)))</f>
        <v>0</v>
      </c>
      <c r="P649" s="445" t="str">
        <f>IF(tblContractForDeed[[#This Row],[Date]]="","",IF(tblContractForDeed[[#This Row],[Date]]&lt;cfdRateChangeDate,cfdRate1,cfdRate2))</f>
        <v/>
      </c>
      <c r="Q6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75">
        <f>SUM(INDEX(tblContractForDeed[Princ],1):INDEX(tblContractForDeed[Princ],ROW()-ROW(tblContractForDeed[#Headers])))</f>
        <v>75258.000000000029</v>
      </c>
      <c r="X649" s="275">
        <f>IF(tblContractForDeed[[#This Row],[Beg]]&lt;=0,0,tblContractForDeed[[#This Row],[Beg]]-tblContractForDeed[[#This Row],[Princ]])</f>
        <v>0</v>
      </c>
      <c r="Y64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75">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9" s="275">
        <f>IF(INDEX(tblContractForDeed[End Bal],ROW()-ROW(tblBuyerOutputs[#Headers]))&lt;=0,0,($O$6+IF(ROW()=ROW(tblBuyerOutputs[#Headers])+1,0,INDEX(tblBuyerOutputs[Cumul Appr],ROW()-ROW(tblBuyerOutputs[#Headers])-1)))*$O$2/12)</f>
        <v>0</v>
      </c>
      <c r="AE649" s="275">
        <f>IF(INDEX(tblContractForDeed[End Bal],ROW()-ROW(tblBuyerOutputs[#Headers]))&lt;=0,0,IF(ROW()=ROW(tblBuyerOutputs[#Headers])+1,0,INDEX(tblBuyerOutputs[Cumul Appr],ROW()-ROW(tblBuyerOutputs[#Headers])-1))+tblBuyerOutputs[[#This Row],[Monthly Appr]])</f>
        <v>0</v>
      </c>
      <c r="AF649" s="22"/>
      <c r="AG649" s="14"/>
      <c r="AL649"/>
      <c r="AM649" s="14"/>
      <c r="AO649" s="275"/>
      <c r="AQ649" s="14"/>
      <c r="AR649"/>
    </row>
    <row r="650" spans="1:44" x14ac:dyDescent="0.25">
      <c r="A650" s="590" t="str">
        <f t="shared" si="127"/>
        <v/>
      </c>
      <c r="B650" s="275">
        <f t="shared" si="128"/>
        <v>0</v>
      </c>
      <c r="C650" s="14">
        <f t="shared" si="125"/>
        <v>0</v>
      </c>
      <c r="D650" s="14">
        <f t="shared" si="129"/>
        <v>0</v>
      </c>
      <c r="E650" s="14">
        <f t="shared" si="126"/>
        <v>0</v>
      </c>
      <c r="K650" s="275">
        <f t="shared" si="130"/>
        <v>0</v>
      </c>
      <c r="L650" s="386">
        <f t="shared" si="132"/>
        <v>0</v>
      </c>
      <c r="M650" s="386">
        <f t="shared" si="131"/>
        <v>0</v>
      </c>
      <c r="N650" s="590" t="str">
        <f>INDEX(tblSubjectToLoan[Date],ROW()-ROW(tblContractForDeed[#Headers]))</f>
        <v/>
      </c>
      <c r="O650" s="275">
        <f>IF(ROW()=ROW(tblContractForDeed[#Headers])+1,$O$6,IF(INDEX(tblContractForDeed[End Bal],ROW()-ROW(tblContractForDeed[#Headers])-1)&lt;0,0,INDEX(tblContractForDeed[End Bal],ROW()-ROW(tblContractForDeed[#Headers])-1)))</f>
        <v>0</v>
      </c>
      <c r="P650" s="445" t="str">
        <f>IF(tblContractForDeed[[#This Row],[Date]]="","",IF(tblContractForDeed[[#This Row],[Date]]&lt;cfdRateChangeDate,cfdRate1,cfdRate2))</f>
        <v/>
      </c>
      <c r="Q6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75">
        <f>SUM(INDEX(tblContractForDeed[Princ],1):INDEX(tblContractForDeed[Princ],ROW()-ROW(tblContractForDeed[#Headers])))</f>
        <v>75258.000000000029</v>
      </c>
      <c r="X650" s="275">
        <f>IF(tblContractForDeed[[#This Row],[Beg]]&lt;=0,0,tblContractForDeed[[#This Row],[Beg]]-tblContractForDeed[[#This Row],[Princ]])</f>
        <v>0</v>
      </c>
      <c r="Y65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75">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0" s="275">
        <f>IF(INDEX(tblContractForDeed[End Bal],ROW()-ROW(tblBuyerOutputs[#Headers]))&lt;=0,0,($O$6+IF(ROW()=ROW(tblBuyerOutputs[#Headers])+1,0,INDEX(tblBuyerOutputs[Cumul Appr],ROW()-ROW(tblBuyerOutputs[#Headers])-1)))*$O$2/12)</f>
        <v>0</v>
      </c>
      <c r="AE650" s="275">
        <f>IF(INDEX(tblContractForDeed[End Bal],ROW()-ROW(tblBuyerOutputs[#Headers]))&lt;=0,0,IF(ROW()=ROW(tblBuyerOutputs[#Headers])+1,0,INDEX(tblBuyerOutputs[Cumul Appr],ROW()-ROW(tblBuyerOutputs[#Headers])-1))+tblBuyerOutputs[[#This Row],[Monthly Appr]])</f>
        <v>0</v>
      </c>
      <c r="AF650" s="22"/>
      <c r="AG650" s="14"/>
      <c r="AL650"/>
      <c r="AM650" s="14"/>
      <c r="AO650" s="275"/>
      <c r="AQ650" s="14"/>
      <c r="AR650"/>
    </row>
    <row r="651" spans="1:44" x14ac:dyDescent="0.25">
      <c r="A651" s="590" t="str">
        <f t="shared" si="127"/>
        <v/>
      </c>
      <c r="B651" s="275">
        <f t="shared" si="128"/>
        <v>0</v>
      </c>
      <c r="C651" s="14">
        <f t="shared" si="125"/>
        <v>0</v>
      </c>
      <c r="D651" s="14">
        <f t="shared" si="129"/>
        <v>0</v>
      </c>
      <c r="E651" s="14">
        <f t="shared" si="126"/>
        <v>0</v>
      </c>
      <c r="K651" s="275">
        <f t="shared" si="130"/>
        <v>0</v>
      </c>
      <c r="L651" s="386">
        <f t="shared" si="132"/>
        <v>0</v>
      </c>
      <c r="M651" s="386">
        <f t="shared" si="131"/>
        <v>0</v>
      </c>
      <c r="N651" s="590" t="str">
        <f>INDEX(tblSubjectToLoan[Date],ROW()-ROW(tblContractForDeed[#Headers]))</f>
        <v/>
      </c>
      <c r="O651" s="275">
        <f>IF(ROW()=ROW(tblContractForDeed[#Headers])+1,$O$6,IF(INDEX(tblContractForDeed[End Bal],ROW()-ROW(tblContractForDeed[#Headers])-1)&lt;0,0,INDEX(tblContractForDeed[End Bal],ROW()-ROW(tblContractForDeed[#Headers])-1)))</f>
        <v>0</v>
      </c>
      <c r="P651" s="445" t="str">
        <f>IF(tblContractForDeed[[#This Row],[Date]]="","",IF(tblContractForDeed[[#This Row],[Date]]&lt;cfdRateChangeDate,cfdRate1,cfdRate2))</f>
        <v/>
      </c>
      <c r="Q65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75">
        <f>SUM(INDEX(tblContractForDeed[Princ],1):INDEX(tblContractForDeed[Princ],ROW()-ROW(tblContractForDeed[#Headers])))</f>
        <v>75258.000000000029</v>
      </c>
      <c r="X651" s="275">
        <f>IF(tblContractForDeed[[#This Row],[Beg]]&lt;=0,0,tblContractForDeed[[#This Row],[Beg]]-tblContractForDeed[[#This Row],[Princ]])</f>
        <v>0</v>
      </c>
      <c r="Y65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75">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1" s="275">
        <f>IF(INDEX(tblContractForDeed[End Bal],ROW()-ROW(tblBuyerOutputs[#Headers]))&lt;=0,0,($O$6+IF(ROW()=ROW(tblBuyerOutputs[#Headers])+1,0,INDEX(tblBuyerOutputs[Cumul Appr],ROW()-ROW(tblBuyerOutputs[#Headers])-1)))*$O$2/12)</f>
        <v>0</v>
      </c>
      <c r="AE651" s="275">
        <f>IF(INDEX(tblContractForDeed[End Bal],ROW()-ROW(tblBuyerOutputs[#Headers]))&lt;=0,0,IF(ROW()=ROW(tblBuyerOutputs[#Headers])+1,0,INDEX(tblBuyerOutputs[Cumul Appr],ROW()-ROW(tblBuyerOutputs[#Headers])-1))+tblBuyerOutputs[[#This Row],[Monthly Appr]])</f>
        <v>0</v>
      </c>
      <c r="AF651" s="22"/>
      <c r="AG651" s="14"/>
      <c r="AL651"/>
      <c r="AM651" s="14"/>
      <c r="AO651" s="275"/>
      <c r="AQ651" s="14"/>
      <c r="AR651"/>
    </row>
    <row r="652" spans="1:44" x14ac:dyDescent="0.25">
      <c r="A652" s="590" t="str">
        <f t="shared" si="127"/>
        <v/>
      </c>
      <c r="B652" s="275">
        <f t="shared" si="128"/>
        <v>0</v>
      </c>
      <c r="C652" s="14">
        <f t="shared" si="125"/>
        <v>0</v>
      </c>
      <c r="D652" s="14">
        <f t="shared" si="129"/>
        <v>0</v>
      </c>
      <c r="E652" s="14">
        <f t="shared" si="126"/>
        <v>0</v>
      </c>
      <c r="K652" s="275">
        <f t="shared" si="130"/>
        <v>0</v>
      </c>
      <c r="L652" s="386">
        <f t="shared" si="132"/>
        <v>0</v>
      </c>
      <c r="M652" s="386">
        <f t="shared" si="131"/>
        <v>0</v>
      </c>
      <c r="N652" s="590" t="str">
        <f>INDEX(tblSubjectToLoan[Date],ROW()-ROW(tblContractForDeed[#Headers]))</f>
        <v/>
      </c>
      <c r="O652" s="275">
        <f>IF(ROW()=ROW(tblContractForDeed[#Headers])+1,$O$6,IF(INDEX(tblContractForDeed[End Bal],ROW()-ROW(tblContractForDeed[#Headers])-1)&lt;0,0,INDEX(tblContractForDeed[End Bal],ROW()-ROW(tblContractForDeed[#Headers])-1)))</f>
        <v>0</v>
      </c>
      <c r="P652" s="445" t="str">
        <f>IF(tblContractForDeed[[#This Row],[Date]]="","",IF(tblContractForDeed[[#This Row],[Date]]&lt;cfdRateChangeDate,cfdRate1,cfdRate2))</f>
        <v/>
      </c>
      <c r="Q6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75">
        <f>SUM(INDEX(tblContractForDeed[Princ],1):INDEX(tblContractForDeed[Princ],ROW()-ROW(tblContractForDeed[#Headers])))</f>
        <v>75258.000000000029</v>
      </c>
      <c r="X652" s="275">
        <f>IF(tblContractForDeed[[#This Row],[Beg]]&lt;=0,0,tblContractForDeed[[#This Row],[Beg]]-tblContractForDeed[[#This Row],[Princ]])</f>
        <v>0</v>
      </c>
      <c r="Y65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75">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2" s="275">
        <f>IF(INDEX(tblContractForDeed[End Bal],ROW()-ROW(tblBuyerOutputs[#Headers]))&lt;=0,0,($O$6+IF(ROW()=ROW(tblBuyerOutputs[#Headers])+1,0,INDEX(tblBuyerOutputs[Cumul Appr],ROW()-ROW(tblBuyerOutputs[#Headers])-1)))*$O$2/12)</f>
        <v>0</v>
      </c>
      <c r="AE652" s="275">
        <f>IF(INDEX(tblContractForDeed[End Bal],ROW()-ROW(tblBuyerOutputs[#Headers]))&lt;=0,0,IF(ROW()=ROW(tblBuyerOutputs[#Headers])+1,0,INDEX(tblBuyerOutputs[Cumul Appr],ROW()-ROW(tblBuyerOutputs[#Headers])-1))+tblBuyerOutputs[[#This Row],[Monthly Appr]])</f>
        <v>0</v>
      </c>
      <c r="AF652" s="22"/>
      <c r="AG652" s="14"/>
      <c r="AL652"/>
      <c r="AM652" s="14"/>
      <c r="AO652" s="275"/>
      <c r="AQ652" s="14"/>
      <c r="AR652"/>
    </row>
    <row r="653" spans="1:44" x14ac:dyDescent="0.25">
      <c r="A653" s="590" t="str">
        <f t="shared" si="127"/>
        <v/>
      </c>
      <c r="B653" s="275">
        <f t="shared" si="128"/>
        <v>0</v>
      </c>
      <c r="C653" s="14">
        <f t="shared" si="125"/>
        <v>0</v>
      </c>
      <c r="D653" s="14">
        <f t="shared" si="129"/>
        <v>0</v>
      </c>
      <c r="E653" s="14">
        <f t="shared" si="126"/>
        <v>0</v>
      </c>
      <c r="K653" s="275">
        <f t="shared" si="130"/>
        <v>0</v>
      </c>
      <c r="L653" s="386">
        <f t="shared" si="132"/>
        <v>0</v>
      </c>
      <c r="M653" s="386">
        <f t="shared" si="131"/>
        <v>0</v>
      </c>
      <c r="N653" s="590" t="str">
        <f>INDEX(tblSubjectToLoan[Date],ROW()-ROW(tblContractForDeed[#Headers]))</f>
        <v/>
      </c>
      <c r="O653" s="275">
        <f>IF(ROW()=ROW(tblContractForDeed[#Headers])+1,$O$6,IF(INDEX(tblContractForDeed[End Bal],ROW()-ROW(tblContractForDeed[#Headers])-1)&lt;0,0,INDEX(tblContractForDeed[End Bal],ROW()-ROW(tblContractForDeed[#Headers])-1)))</f>
        <v>0</v>
      </c>
      <c r="P653" s="445" t="str">
        <f>IF(tblContractForDeed[[#This Row],[Date]]="","",IF(tblContractForDeed[[#This Row],[Date]]&lt;cfdRateChangeDate,cfdRate1,cfdRate2))</f>
        <v/>
      </c>
      <c r="Q6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75">
        <f>SUM(INDEX(tblContractForDeed[Princ],1):INDEX(tblContractForDeed[Princ],ROW()-ROW(tblContractForDeed[#Headers])))</f>
        <v>75258.000000000029</v>
      </c>
      <c r="X653" s="275">
        <f>IF(tblContractForDeed[[#This Row],[Beg]]&lt;=0,0,tblContractForDeed[[#This Row],[Beg]]-tblContractForDeed[[#This Row],[Princ]])</f>
        <v>0</v>
      </c>
      <c r="Y65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75">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3" s="275">
        <f>IF(INDEX(tblContractForDeed[End Bal],ROW()-ROW(tblBuyerOutputs[#Headers]))&lt;=0,0,($O$6+IF(ROW()=ROW(tblBuyerOutputs[#Headers])+1,0,INDEX(tblBuyerOutputs[Cumul Appr],ROW()-ROW(tblBuyerOutputs[#Headers])-1)))*$O$2/12)</f>
        <v>0</v>
      </c>
      <c r="AE653" s="275">
        <f>IF(INDEX(tblContractForDeed[End Bal],ROW()-ROW(tblBuyerOutputs[#Headers]))&lt;=0,0,IF(ROW()=ROW(tblBuyerOutputs[#Headers])+1,0,INDEX(tblBuyerOutputs[Cumul Appr],ROW()-ROW(tblBuyerOutputs[#Headers])-1))+tblBuyerOutputs[[#This Row],[Monthly Appr]])</f>
        <v>0</v>
      </c>
      <c r="AF653" s="22"/>
      <c r="AG653" s="14"/>
      <c r="AL653"/>
      <c r="AM653" s="14"/>
      <c r="AO653" s="275"/>
      <c r="AQ653" s="14"/>
      <c r="AR653"/>
    </row>
    <row r="654" spans="1:44" x14ac:dyDescent="0.25">
      <c r="A654" s="590" t="str">
        <f t="shared" si="127"/>
        <v/>
      </c>
      <c r="B654" s="275">
        <f t="shared" si="128"/>
        <v>0</v>
      </c>
      <c r="C654" s="14">
        <f t="shared" si="125"/>
        <v>0</v>
      </c>
      <c r="D654" s="14">
        <f t="shared" si="129"/>
        <v>0</v>
      </c>
      <c r="E654" s="14">
        <f t="shared" si="126"/>
        <v>0</v>
      </c>
      <c r="K654" s="275">
        <f t="shared" si="130"/>
        <v>0</v>
      </c>
      <c r="L654" s="386">
        <f t="shared" si="132"/>
        <v>0</v>
      </c>
      <c r="M654" s="386">
        <f t="shared" si="131"/>
        <v>0</v>
      </c>
      <c r="N654" s="590" t="str">
        <f>INDEX(tblSubjectToLoan[Date],ROW()-ROW(tblContractForDeed[#Headers]))</f>
        <v/>
      </c>
      <c r="O654" s="275">
        <f>IF(ROW()=ROW(tblContractForDeed[#Headers])+1,$O$6,IF(INDEX(tblContractForDeed[End Bal],ROW()-ROW(tblContractForDeed[#Headers])-1)&lt;0,0,INDEX(tblContractForDeed[End Bal],ROW()-ROW(tblContractForDeed[#Headers])-1)))</f>
        <v>0</v>
      </c>
      <c r="P654" s="445" t="str">
        <f>IF(tblContractForDeed[[#This Row],[Date]]="","",IF(tblContractForDeed[[#This Row],[Date]]&lt;cfdRateChangeDate,cfdRate1,cfdRate2))</f>
        <v/>
      </c>
      <c r="Q6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75">
        <f>SUM(INDEX(tblContractForDeed[Princ],1):INDEX(tblContractForDeed[Princ],ROW()-ROW(tblContractForDeed[#Headers])))</f>
        <v>75258.000000000029</v>
      </c>
      <c r="X654" s="275">
        <f>IF(tblContractForDeed[[#This Row],[Beg]]&lt;=0,0,tblContractForDeed[[#This Row],[Beg]]-tblContractForDeed[[#This Row],[Princ]])</f>
        <v>0</v>
      </c>
      <c r="Y65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75">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4" s="275">
        <f>IF(INDEX(tblContractForDeed[End Bal],ROW()-ROW(tblBuyerOutputs[#Headers]))&lt;=0,0,($O$6+IF(ROW()=ROW(tblBuyerOutputs[#Headers])+1,0,INDEX(tblBuyerOutputs[Cumul Appr],ROW()-ROW(tblBuyerOutputs[#Headers])-1)))*$O$2/12)</f>
        <v>0</v>
      </c>
      <c r="AE654" s="275">
        <f>IF(INDEX(tblContractForDeed[End Bal],ROW()-ROW(tblBuyerOutputs[#Headers]))&lt;=0,0,IF(ROW()=ROW(tblBuyerOutputs[#Headers])+1,0,INDEX(tblBuyerOutputs[Cumul Appr],ROW()-ROW(tblBuyerOutputs[#Headers])-1))+tblBuyerOutputs[[#This Row],[Monthly Appr]])</f>
        <v>0</v>
      </c>
      <c r="AF654" s="22"/>
      <c r="AG654" s="14"/>
      <c r="AL654"/>
      <c r="AM654" s="14"/>
      <c r="AO654" s="275"/>
      <c r="AQ654" s="14"/>
      <c r="AR654"/>
    </row>
    <row r="655" spans="1:44" ht="15.75" thickBot="1" x14ac:dyDescent="0.3">
      <c r="A655" s="591" t="str">
        <f t="shared" si="127"/>
        <v/>
      </c>
      <c r="B655" s="326">
        <f t="shared" si="128"/>
        <v>0</v>
      </c>
      <c r="C655" s="21">
        <f t="shared" si="125"/>
        <v>0</v>
      </c>
      <c r="D655" s="21">
        <f t="shared" si="129"/>
        <v>0</v>
      </c>
      <c r="E655" s="21">
        <f t="shared" si="126"/>
        <v>0</v>
      </c>
      <c r="F655" s="21"/>
      <c r="G655" s="21"/>
      <c r="H655" s="21"/>
      <c r="I655" s="326"/>
      <c r="J655" s="326"/>
      <c r="K655" s="326">
        <f t="shared" si="130"/>
        <v>0</v>
      </c>
      <c r="L655" s="387">
        <f t="shared" si="132"/>
        <v>0</v>
      </c>
      <c r="M655" s="387">
        <f t="shared" si="131"/>
        <v>0</v>
      </c>
      <c r="N655" s="591" t="str">
        <f>INDEX(tblSubjectToLoan[Date],ROW()-ROW(tblContractForDeed[#Headers]))</f>
        <v/>
      </c>
      <c r="O655" s="326">
        <f>IF(ROW()=ROW(tblContractForDeed[#Headers])+1,$O$6,IF(INDEX(tblContractForDeed[End Bal],ROW()-ROW(tblContractForDeed[#Headers])-1)&lt;0,0,INDEX(tblContractForDeed[End Bal],ROW()-ROW(tblContractForDeed[#Headers])-1)))</f>
        <v>0</v>
      </c>
      <c r="P655" s="445" t="str">
        <f>IF(tblContractForDeed[[#This Row],[Date]]="","",IF(tblContractForDeed[[#This Row],[Date]]&lt;cfdRateChangeDate,cfdRate1,cfdRate2))</f>
        <v/>
      </c>
      <c r="Q65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26">
        <f>SUM(INDEX(tblContractForDeed[Princ],1):INDEX(tblContractForDeed[Princ],ROW()-ROW(tblContractForDeed[#Headers])))</f>
        <v>75258.000000000029</v>
      </c>
      <c r="X655" s="326">
        <f>IF(tblContractForDeed[[#This Row],[Beg]]&lt;=0,0,tblContractForDeed[[#This Row],[Beg]]-tblContractForDeed[[#This Row],[Princ]])</f>
        <v>0</v>
      </c>
      <c r="Y65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26">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5" s="326">
        <f>IF(INDEX(tblContractForDeed[End Bal],ROW()-ROW(tblBuyerOutputs[#Headers]))&lt;=0,0,($O$6+IF(ROW()=ROW(tblBuyerOutputs[#Headers])+1,0,INDEX(tblBuyerOutputs[Cumul Appr],ROW()-ROW(tblBuyerOutputs[#Headers])-1)))*$O$2/12)</f>
        <v>0</v>
      </c>
      <c r="AE655" s="326">
        <f>IF(INDEX(tblContractForDeed[End Bal],ROW()-ROW(tblBuyerOutputs[#Headers]))&lt;=0,0,IF(ROW()=ROW(tblBuyerOutputs[#Headers])+1,0,INDEX(tblBuyerOutputs[Cumul Appr],ROW()-ROW(tblBuyerOutputs[#Headers])-1))+tblBuyerOutputs[[#This Row],[Monthly Appr]])</f>
        <v>0</v>
      </c>
      <c r="AF655" s="22"/>
      <c r="AG655" s="14"/>
      <c r="AL655"/>
      <c r="AM655" s="14"/>
      <c r="AO655" s="275"/>
      <c r="AQ655" s="21"/>
      <c r="AR655"/>
    </row>
    <row r="656" spans="1:44" x14ac:dyDescent="0.25">
      <c r="A656" s="590" t="str">
        <f t="shared" si="127"/>
        <v/>
      </c>
      <c r="B656" s="275">
        <f t="shared" si="128"/>
        <v>0</v>
      </c>
      <c r="C656" s="14">
        <f t="shared" si="125"/>
        <v>0</v>
      </c>
      <c r="D656" s="14">
        <f t="shared" si="129"/>
        <v>0</v>
      </c>
      <c r="E656" s="14">
        <f t="shared" si="126"/>
        <v>0</v>
      </c>
      <c r="K656" s="275">
        <f t="shared" si="130"/>
        <v>0</v>
      </c>
      <c r="L656" s="386">
        <f t="shared" si="132"/>
        <v>0</v>
      </c>
      <c r="M656" s="386">
        <f t="shared" si="131"/>
        <v>0</v>
      </c>
      <c r="N656" s="590" t="str">
        <f>INDEX(tblSubjectToLoan[Date],ROW()-ROW(tblContractForDeed[#Headers]))</f>
        <v/>
      </c>
      <c r="O656" s="275">
        <f>IF(ROW()=ROW(tblContractForDeed[#Headers])+1,$O$6,IF(INDEX(tblContractForDeed[End Bal],ROW()-ROW(tblContractForDeed[#Headers])-1)&lt;0,0,INDEX(tblContractForDeed[End Bal],ROW()-ROW(tblContractForDeed[#Headers])-1)))</f>
        <v>0</v>
      </c>
      <c r="P656" s="445" t="str">
        <f>IF(tblContractForDeed[[#This Row],[Date]]="","",IF(tblContractForDeed[[#This Row],[Date]]&lt;cfdRateChangeDate,cfdRate1,cfdRate2))</f>
        <v/>
      </c>
      <c r="Q6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75">
        <f>SUM(INDEX(tblContractForDeed[Princ],1):INDEX(tblContractForDeed[Princ],ROW()-ROW(tblContractForDeed[#Headers])))</f>
        <v>75258.000000000029</v>
      </c>
      <c r="X656" s="275">
        <f>IF(tblContractForDeed[[#This Row],[Beg]]&lt;=0,0,tblContractForDeed[[#This Row],[Beg]]-tblContractForDeed[[#This Row],[Princ]])</f>
        <v>0</v>
      </c>
      <c r="Y65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75">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6" s="275">
        <f>IF(INDEX(tblContractForDeed[End Bal],ROW()-ROW(tblBuyerOutputs[#Headers]))&lt;=0,0,($O$6+IF(ROW()=ROW(tblBuyerOutputs[#Headers])+1,0,INDEX(tblBuyerOutputs[Cumul Appr],ROW()-ROW(tblBuyerOutputs[#Headers])-1)))*$O$2/12)</f>
        <v>0</v>
      </c>
      <c r="AE656" s="275">
        <f>IF(INDEX(tblContractForDeed[End Bal],ROW()-ROW(tblBuyerOutputs[#Headers]))&lt;=0,0,IF(ROW()=ROW(tblBuyerOutputs[#Headers])+1,0,INDEX(tblBuyerOutputs[Cumul Appr],ROW()-ROW(tblBuyerOutputs[#Headers])-1))+tblBuyerOutputs[[#This Row],[Monthly Appr]])</f>
        <v>0</v>
      </c>
      <c r="AF656" s="22"/>
      <c r="AG656" s="14"/>
      <c r="AL656"/>
      <c r="AM656" s="14"/>
      <c r="AO656" s="275"/>
      <c r="AQ656" s="14"/>
      <c r="AR656"/>
    </row>
    <row r="657" spans="1:44" x14ac:dyDescent="0.25">
      <c r="A657" s="590" t="str">
        <f t="shared" si="127"/>
        <v/>
      </c>
      <c r="B657" s="275">
        <f t="shared" si="128"/>
        <v>0</v>
      </c>
      <c r="C657" s="14">
        <f t="shared" si="125"/>
        <v>0</v>
      </c>
      <c r="D657" s="14">
        <f t="shared" si="129"/>
        <v>0</v>
      </c>
      <c r="E657" s="14">
        <f t="shared" si="126"/>
        <v>0</v>
      </c>
      <c r="K657" s="275">
        <f t="shared" si="130"/>
        <v>0</v>
      </c>
      <c r="L657" s="386">
        <f t="shared" si="132"/>
        <v>0</v>
      </c>
      <c r="M657" s="386">
        <f t="shared" si="131"/>
        <v>0</v>
      </c>
      <c r="N657" s="590" t="str">
        <f>INDEX(tblSubjectToLoan[Date],ROW()-ROW(tblContractForDeed[#Headers]))</f>
        <v/>
      </c>
      <c r="O657" s="275">
        <f>IF(ROW()=ROW(tblContractForDeed[#Headers])+1,$O$6,IF(INDEX(tblContractForDeed[End Bal],ROW()-ROW(tblContractForDeed[#Headers])-1)&lt;0,0,INDEX(tblContractForDeed[End Bal],ROW()-ROW(tblContractForDeed[#Headers])-1)))</f>
        <v>0</v>
      </c>
      <c r="P657" s="445" t="str">
        <f>IF(tblContractForDeed[[#This Row],[Date]]="","",IF(tblContractForDeed[[#This Row],[Date]]&lt;cfdRateChangeDate,cfdRate1,cfdRate2))</f>
        <v/>
      </c>
      <c r="Q6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75">
        <f>SUM(INDEX(tblContractForDeed[Princ],1):INDEX(tblContractForDeed[Princ],ROW()-ROW(tblContractForDeed[#Headers])))</f>
        <v>75258.000000000029</v>
      </c>
      <c r="X657" s="275">
        <f>IF(tblContractForDeed[[#This Row],[Beg]]&lt;=0,0,tblContractForDeed[[#This Row],[Beg]]-tblContractForDeed[[#This Row],[Princ]])</f>
        <v>0</v>
      </c>
      <c r="Y65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75">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7" s="275">
        <f>IF(INDEX(tblContractForDeed[End Bal],ROW()-ROW(tblBuyerOutputs[#Headers]))&lt;=0,0,($O$6+IF(ROW()=ROW(tblBuyerOutputs[#Headers])+1,0,INDEX(tblBuyerOutputs[Cumul Appr],ROW()-ROW(tblBuyerOutputs[#Headers])-1)))*$O$2/12)</f>
        <v>0</v>
      </c>
      <c r="AE657" s="275">
        <f>IF(INDEX(tblContractForDeed[End Bal],ROW()-ROW(tblBuyerOutputs[#Headers]))&lt;=0,0,IF(ROW()=ROW(tblBuyerOutputs[#Headers])+1,0,INDEX(tblBuyerOutputs[Cumul Appr],ROW()-ROW(tblBuyerOutputs[#Headers])-1))+tblBuyerOutputs[[#This Row],[Monthly Appr]])</f>
        <v>0</v>
      </c>
      <c r="AF657" s="22"/>
      <c r="AG657" s="14"/>
      <c r="AL657"/>
      <c r="AM657" s="14"/>
      <c r="AO657" s="275"/>
      <c r="AQ657" s="14"/>
      <c r="AR657"/>
    </row>
    <row r="658" spans="1:44" x14ac:dyDescent="0.25">
      <c r="A658" s="590" t="str">
        <f t="shared" si="127"/>
        <v/>
      </c>
      <c r="B658" s="275">
        <f t="shared" si="128"/>
        <v>0</v>
      </c>
      <c r="C658" s="14">
        <f t="shared" si="125"/>
        <v>0</v>
      </c>
      <c r="D658" s="14">
        <f t="shared" si="129"/>
        <v>0</v>
      </c>
      <c r="E658" s="14">
        <f t="shared" si="126"/>
        <v>0</v>
      </c>
      <c r="K658" s="275">
        <f t="shared" si="130"/>
        <v>0</v>
      </c>
      <c r="L658" s="386">
        <f t="shared" si="132"/>
        <v>0</v>
      </c>
      <c r="M658" s="386">
        <f t="shared" si="131"/>
        <v>0</v>
      </c>
      <c r="N658" s="590" t="str">
        <f>INDEX(tblSubjectToLoan[Date],ROW()-ROW(tblContractForDeed[#Headers]))</f>
        <v/>
      </c>
      <c r="O658" s="275">
        <f>IF(ROW()=ROW(tblContractForDeed[#Headers])+1,$O$6,IF(INDEX(tblContractForDeed[End Bal],ROW()-ROW(tblContractForDeed[#Headers])-1)&lt;0,0,INDEX(tblContractForDeed[End Bal],ROW()-ROW(tblContractForDeed[#Headers])-1)))</f>
        <v>0</v>
      </c>
      <c r="P658" s="445" t="str">
        <f>IF(tblContractForDeed[[#This Row],[Date]]="","",IF(tblContractForDeed[[#This Row],[Date]]&lt;cfdRateChangeDate,cfdRate1,cfdRate2))</f>
        <v/>
      </c>
      <c r="Q6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75">
        <f>SUM(INDEX(tblContractForDeed[Princ],1):INDEX(tblContractForDeed[Princ],ROW()-ROW(tblContractForDeed[#Headers])))</f>
        <v>75258.000000000029</v>
      </c>
      <c r="X658" s="275">
        <f>IF(tblContractForDeed[[#This Row],[Beg]]&lt;=0,0,tblContractForDeed[[#This Row],[Beg]]-tblContractForDeed[[#This Row],[Princ]])</f>
        <v>0</v>
      </c>
      <c r="Y65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75">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8" s="275">
        <f>IF(INDEX(tblContractForDeed[End Bal],ROW()-ROW(tblBuyerOutputs[#Headers]))&lt;=0,0,($O$6+IF(ROW()=ROW(tblBuyerOutputs[#Headers])+1,0,INDEX(tblBuyerOutputs[Cumul Appr],ROW()-ROW(tblBuyerOutputs[#Headers])-1)))*$O$2/12)</f>
        <v>0</v>
      </c>
      <c r="AE658" s="275">
        <f>IF(INDEX(tblContractForDeed[End Bal],ROW()-ROW(tblBuyerOutputs[#Headers]))&lt;=0,0,IF(ROW()=ROW(tblBuyerOutputs[#Headers])+1,0,INDEX(tblBuyerOutputs[Cumul Appr],ROW()-ROW(tblBuyerOutputs[#Headers])-1))+tblBuyerOutputs[[#This Row],[Monthly Appr]])</f>
        <v>0</v>
      </c>
      <c r="AF658" s="22"/>
      <c r="AG658" s="14"/>
      <c r="AL658"/>
      <c r="AM658" s="14"/>
      <c r="AO658" s="275"/>
      <c r="AQ658" s="14"/>
      <c r="AR658"/>
    </row>
    <row r="659" spans="1:44" x14ac:dyDescent="0.25">
      <c r="A659" s="590" t="str">
        <f t="shared" si="127"/>
        <v/>
      </c>
      <c r="B659" s="275">
        <f t="shared" si="128"/>
        <v>0</v>
      </c>
      <c r="C659" s="14">
        <f t="shared" si="125"/>
        <v>0</v>
      </c>
      <c r="D659" s="14">
        <f t="shared" si="129"/>
        <v>0</v>
      </c>
      <c r="E659" s="14">
        <f t="shared" si="126"/>
        <v>0</v>
      </c>
      <c r="K659" s="275">
        <f t="shared" si="130"/>
        <v>0</v>
      </c>
      <c r="L659" s="386">
        <f t="shared" si="132"/>
        <v>0</v>
      </c>
      <c r="M659" s="386">
        <f t="shared" si="131"/>
        <v>0</v>
      </c>
      <c r="N659" s="590" t="str">
        <f>INDEX(tblSubjectToLoan[Date],ROW()-ROW(tblContractForDeed[#Headers]))</f>
        <v/>
      </c>
      <c r="O659" s="275">
        <f>IF(ROW()=ROW(tblContractForDeed[#Headers])+1,$O$6,IF(INDEX(tblContractForDeed[End Bal],ROW()-ROW(tblContractForDeed[#Headers])-1)&lt;0,0,INDEX(tblContractForDeed[End Bal],ROW()-ROW(tblContractForDeed[#Headers])-1)))</f>
        <v>0</v>
      </c>
      <c r="P659" s="445" t="str">
        <f>IF(tblContractForDeed[[#This Row],[Date]]="","",IF(tblContractForDeed[[#This Row],[Date]]&lt;cfdRateChangeDate,cfdRate1,cfdRate2))</f>
        <v/>
      </c>
      <c r="Q65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75">
        <f>SUM(INDEX(tblContractForDeed[Princ],1):INDEX(tblContractForDeed[Princ],ROW()-ROW(tblContractForDeed[#Headers])))</f>
        <v>75258.000000000029</v>
      </c>
      <c r="X659" s="275">
        <f>IF(tblContractForDeed[[#This Row],[Beg]]&lt;=0,0,tblContractForDeed[[#This Row],[Beg]]-tblContractForDeed[[#This Row],[Princ]])</f>
        <v>0</v>
      </c>
      <c r="Y65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75">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9" s="275">
        <f>IF(INDEX(tblContractForDeed[End Bal],ROW()-ROW(tblBuyerOutputs[#Headers]))&lt;=0,0,($O$6+IF(ROW()=ROW(tblBuyerOutputs[#Headers])+1,0,INDEX(tblBuyerOutputs[Cumul Appr],ROW()-ROW(tblBuyerOutputs[#Headers])-1)))*$O$2/12)</f>
        <v>0</v>
      </c>
      <c r="AE659" s="275">
        <f>IF(INDEX(tblContractForDeed[End Bal],ROW()-ROW(tblBuyerOutputs[#Headers]))&lt;=0,0,IF(ROW()=ROW(tblBuyerOutputs[#Headers])+1,0,INDEX(tblBuyerOutputs[Cumul Appr],ROW()-ROW(tblBuyerOutputs[#Headers])-1))+tblBuyerOutputs[[#This Row],[Monthly Appr]])</f>
        <v>0</v>
      </c>
      <c r="AF659" s="22"/>
      <c r="AG659" s="14"/>
      <c r="AL659"/>
      <c r="AM659" s="14"/>
      <c r="AO659" s="275"/>
      <c r="AQ659" s="14"/>
      <c r="AR659"/>
    </row>
    <row r="660" spans="1:44" x14ac:dyDescent="0.25">
      <c r="A660" s="590" t="str">
        <f t="shared" si="127"/>
        <v/>
      </c>
      <c r="B660" s="275">
        <f t="shared" si="128"/>
        <v>0</v>
      </c>
      <c r="C660" s="14">
        <f t="shared" ref="C660:C723" si="133">IF(A660="",0,IF(B660&lt;=0,0,IF(A660=subjectMortgageEndDate,B660+E660,MIN(subjectPayment,B660+E660))))</f>
        <v>0</v>
      </c>
      <c r="D660" s="14">
        <f t="shared" si="129"/>
        <v>0</v>
      </c>
      <c r="E660" s="14">
        <f t="shared" ref="E660:E723" si="134">IF(OR(A660="",B660&lt;=0),0,ROUND(B660*(subjectInterestRate/12),2))</f>
        <v>0</v>
      </c>
      <c r="K660" s="275">
        <f t="shared" si="130"/>
        <v>0</v>
      </c>
      <c r="L660" s="386">
        <f t="shared" si="132"/>
        <v>0</v>
      </c>
      <c r="M660" s="386">
        <f t="shared" si="131"/>
        <v>0</v>
      </c>
      <c r="N660" s="590" t="str">
        <f>INDEX(tblSubjectToLoan[Date],ROW()-ROW(tblContractForDeed[#Headers]))</f>
        <v/>
      </c>
      <c r="O660" s="275">
        <f>IF(ROW()=ROW(tblContractForDeed[#Headers])+1,$O$6,IF(INDEX(tblContractForDeed[End Bal],ROW()-ROW(tblContractForDeed[#Headers])-1)&lt;0,0,INDEX(tblContractForDeed[End Bal],ROW()-ROW(tblContractForDeed[#Headers])-1)))</f>
        <v>0</v>
      </c>
      <c r="P660" s="445" t="str">
        <f>IF(tblContractForDeed[[#This Row],[Date]]="","",IF(tblContractForDeed[[#This Row],[Date]]&lt;cfdRateChangeDate,cfdRate1,cfdRate2))</f>
        <v/>
      </c>
      <c r="Q6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75">
        <f>SUM(INDEX(tblContractForDeed[Princ],1):INDEX(tblContractForDeed[Princ],ROW()-ROW(tblContractForDeed[#Headers])))</f>
        <v>75258.000000000029</v>
      </c>
      <c r="X660" s="275">
        <f>IF(tblContractForDeed[[#This Row],[Beg]]&lt;=0,0,tblContractForDeed[[#This Row],[Beg]]-tblContractForDeed[[#This Row],[Princ]])</f>
        <v>0</v>
      </c>
      <c r="Y66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75">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0" s="275">
        <f>IF(INDEX(tblContractForDeed[End Bal],ROW()-ROW(tblBuyerOutputs[#Headers]))&lt;=0,0,($O$6+IF(ROW()=ROW(tblBuyerOutputs[#Headers])+1,0,INDEX(tblBuyerOutputs[Cumul Appr],ROW()-ROW(tblBuyerOutputs[#Headers])-1)))*$O$2/12)</f>
        <v>0</v>
      </c>
      <c r="AE660" s="275">
        <f>IF(INDEX(tblContractForDeed[End Bal],ROW()-ROW(tblBuyerOutputs[#Headers]))&lt;=0,0,IF(ROW()=ROW(tblBuyerOutputs[#Headers])+1,0,INDEX(tblBuyerOutputs[Cumul Appr],ROW()-ROW(tblBuyerOutputs[#Headers])-1))+tblBuyerOutputs[[#This Row],[Monthly Appr]])</f>
        <v>0</v>
      </c>
      <c r="AF660" s="22"/>
      <c r="AG660" s="14"/>
      <c r="AL660"/>
      <c r="AM660" s="14"/>
      <c r="AO660" s="275"/>
      <c r="AQ660" s="14"/>
      <c r="AR660"/>
    </row>
    <row r="661" spans="1:44" x14ac:dyDescent="0.25">
      <c r="A661" s="590" t="str">
        <f t="shared" ref="A661:A724" si="135">IF(OR(A660="",A660&gt;=subjectMortgageEndDate),"",EDATE(A660,1))</f>
        <v/>
      </c>
      <c r="B661" s="275">
        <f t="shared" ref="B661:B724" si="136">IF(A661="",0,MAX(0,K660))</f>
        <v>0</v>
      </c>
      <c r="C661" s="14">
        <f t="shared" si="133"/>
        <v>0</v>
      </c>
      <c r="D661" s="14">
        <f t="shared" ref="D661:D724" si="137">IF(C661=0,0,MAX(0,MIN(B661,C661-E661)))</f>
        <v>0</v>
      </c>
      <c r="E661" s="14">
        <f t="shared" si="134"/>
        <v>0</v>
      </c>
      <c r="K661" s="275">
        <f t="shared" ref="K661:K724" si="138">IF(A661="",0,IF(B661&lt;=0,0,MAX(0,B661-D661)))</f>
        <v>0</v>
      </c>
      <c r="L661" s="386">
        <f t="shared" si="132"/>
        <v>0</v>
      </c>
      <c r="M661" s="386">
        <f t="shared" ref="M661:M724" si="139">IF($A661&lt;&gt;"",M660+1,0)</f>
        <v>0</v>
      </c>
      <c r="N661" s="590" t="str">
        <f>INDEX(tblSubjectToLoan[Date],ROW()-ROW(tblContractForDeed[#Headers]))</f>
        <v/>
      </c>
      <c r="O661" s="275">
        <f>IF(ROW()=ROW(tblContractForDeed[#Headers])+1,$O$6,IF(INDEX(tblContractForDeed[End Bal],ROW()-ROW(tblContractForDeed[#Headers])-1)&lt;0,0,INDEX(tblContractForDeed[End Bal],ROW()-ROW(tblContractForDeed[#Headers])-1)))</f>
        <v>0</v>
      </c>
      <c r="P661" s="445" t="str">
        <f>IF(tblContractForDeed[[#This Row],[Date]]="","",IF(tblContractForDeed[[#This Row],[Date]]&lt;cfdRateChangeDate,cfdRate1,cfdRate2))</f>
        <v/>
      </c>
      <c r="Q6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75">
        <f>SUM(INDEX(tblContractForDeed[Princ],1):INDEX(tblContractForDeed[Princ],ROW()-ROW(tblContractForDeed[#Headers])))</f>
        <v>75258.000000000029</v>
      </c>
      <c r="X661" s="275">
        <f>IF(tblContractForDeed[[#This Row],[Beg]]&lt;=0,0,tblContractForDeed[[#This Row],[Beg]]-tblContractForDeed[[#This Row],[Princ]])</f>
        <v>0</v>
      </c>
      <c r="Y66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75">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1" s="275">
        <f>IF(INDEX(tblContractForDeed[End Bal],ROW()-ROW(tblBuyerOutputs[#Headers]))&lt;=0,0,($O$6+IF(ROW()=ROW(tblBuyerOutputs[#Headers])+1,0,INDEX(tblBuyerOutputs[Cumul Appr],ROW()-ROW(tblBuyerOutputs[#Headers])-1)))*$O$2/12)</f>
        <v>0</v>
      </c>
      <c r="AE661" s="275">
        <f>IF(INDEX(tblContractForDeed[End Bal],ROW()-ROW(tblBuyerOutputs[#Headers]))&lt;=0,0,IF(ROW()=ROW(tblBuyerOutputs[#Headers])+1,0,INDEX(tblBuyerOutputs[Cumul Appr],ROW()-ROW(tblBuyerOutputs[#Headers])-1))+tblBuyerOutputs[[#This Row],[Monthly Appr]])</f>
        <v>0</v>
      </c>
      <c r="AF661" s="22"/>
      <c r="AG661" s="14"/>
      <c r="AL661"/>
      <c r="AM661" s="14"/>
      <c r="AO661" s="275"/>
      <c r="AQ661" s="14"/>
      <c r="AR661"/>
    </row>
    <row r="662" spans="1:44" x14ac:dyDescent="0.25">
      <c r="A662" s="590" t="str">
        <f t="shared" si="135"/>
        <v/>
      </c>
      <c r="B662" s="275">
        <f t="shared" si="136"/>
        <v>0</v>
      </c>
      <c r="C662" s="14">
        <f t="shared" si="133"/>
        <v>0</v>
      </c>
      <c r="D662" s="14">
        <f t="shared" si="137"/>
        <v>0</v>
      </c>
      <c r="E662" s="14">
        <f t="shared" si="134"/>
        <v>0</v>
      </c>
      <c r="K662" s="275">
        <f t="shared" si="138"/>
        <v>0</v>
      </c>
      <c r="L662" s="386">
        <f t="shared" si="132"/>
        <v>0</v>
      </c>
      <c r="M662" s="386">
        <f t="shared" si="139"/>
        <v>0</v>
      </c>
      <c r="N662" s="590" t="str">
        <f>INDEX(tblSubjectToLoan[Date],ROW()-ROW(tblContractForDeed[#Headers]))</f>
        <v/>
      </c>
      <c r="O662" s="275">
        <f>IF(ROW()=ROW(tblContractForDeed[#Headers])+1,$O$6,IF(INDEX(tblContractForDeed[End Bal],ROW()-ROW(tblContractForDeed[#Headers])-1)&lt;0,0,INDEX(tblContractForDeed[End Bal],ROW()-ROW(tblContractForDeed[#Headers])-1)))</f>
        <v>0</v>
      </c>
      <c r="P662" s="445" t="str">
        <f>IF(tblContractForDeed[[#This Row],[Date]]="","",IF(tblContractForDeed[[#This Row],[Date]]&lt;cfdRateChangeDate,cfdRate1,cfdRate2))</f>
        <v/>
      </c>
      <c r="Q6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75">
        <f>SUM(INDEX(tblContractForDeed[Princ],1):INDEX(tblContractForDeed[Princ],ROW()-ROW(tblContractForDeed[#Headers])))</f>
        <v>75258.000000000029</v>
      </c>
      <c r="X662" s="275">
        <f>IF(tblContractForDeed[[#This Row],[Beg]]&lt;=0,0,tblContractForDeed[[#This Row],[Beg]]-tblContractForDeed[[#This Row],[Princ]])</f>
        <v>0</v>
      </c>
      <c r="Y66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75">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2" s="275">
        <f>IF(INDEX(tblContractForDeed[End Bal],ROW()-ROW(tblBuyerOutputs[#Headers]))&lt;=0,0,($O$6+IF(ROW()=ROW(tblBuyerOutputs[#Headers])+1,0,INDEX(tblBuyerOutputs[Cumul Appr],ROW()-ROW(tblBuyerOutputs[#Headers])-1)))*$O$2/12)</f>
        <v>0</v>
      </c>
      <c r="AE662" s="275">
        <f>IF(INDEX(tblContractForDeed[End Bal],ROW()-ROW(tblBuyerOutputs[#Headers]))&lt;=0,0,IF(ROW()=ROW(tblBuyerOutputs[#Headers])+1,0,INDEX(tblBuyerOutputs[Cumul Appr],ROW()-ROW(tblBuyerOutputs[#Headers])-1))+tblBuyerOutputs[[#This Row],[Monthly Appr]])</f>
        <v>0</v>
      </c>
      <c r="AF662" s="22"/>
      <c r="AG662" s="14"/>
      <c r="AL662"/>
      <c r="AM662" s="14"/>
      <c r="AO662" s="275"/>
      <c r="AQ662" s="14"/>
      <c r="AR662"/>
    </row>
    <row r="663" spans="1:44" x14ac:dyDescent="0.25">
      <c r="A663" s="590" t="str">
        <f t="shared" si="135"/>
        <v/>
      </c>
      <c r="B663" s="275">
        <f t="shared" si="136"/>
        <v>0</v>
      </c>
      <c r="C663" s="14">
        <f t="shared" si="133"/>
        <v>0</v>
      </c>
      <c r="D663" s="14">
        <f t="shared" si="137"/>
        <v>0</v>
      </c>
      <c r="E663" s="14">
        <f t="shared" si="134"/>
        <v>0</v>
      </c>
      <c r="K663" s="275">
        <f t="shared" si="138"/>
        <v>0</v>
      </c>
      <c r="L663" s="386">
        <f t="shared" si="132"/>
        <v>0</v>
      </c>
      <c r="M663" s="386">
        <f t="shared" si="139"/>
        <v>0</v>
      </c>
      <c r="N663" s="590" t="str">
        <f>INDEX(tblSubjectToLoan[Date],ROW()-ROW(tblContractForDeed[#Headers]))</f>
        <v/>
      </c>
      <c r="O663" s="275">
        <f>IF(ROW()=ROW(tblContractForDeed[#Headers])+1,$O$6,IF(INDEX(tblContractForDeed[End Bal],ROW()-ROW(tblContractForDeed[#Headers])-1)&lt;0,0,INDEX(tblContractForDeed[End Bal],ROW()-ROW(tblContractForDeed[#Headers])-1)))</f>
        <v>0</v>
      </c>
      <c r="P663" s="445" t="str">
        <f>IF(tblContractForDeed[[#This Row],[Date]]="","",IF(tblContractForDeed[[#This Row],[Date]]&lt;cfdRateChangeDate,cfdRate1,cfdRate2))</f>
        <v/>
      </c>
      <c r="Q66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75">
        <f>SUM(INDEX(tblContractForDeed[Princ],1):INDEX(tblContractForDeed[Princ],ROW()-ROW(tblContractForDeed[#Headers])))</f>
        <v>75258.000000000029</v>
      </c>
      <c r="X663" s="275">
        <f>IF(tblContractForDeed[[#This Row],[Beg]]&lt;=0,0,tblContractForDeed[[#This Row],[Beg]]-tblContractForDeed[[#This Row],[Princ]])</f>
        <v>0</v>
      </c>
      <c r="Y66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75">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3" s="275">
        <f>IF(INDEX(tblContractForDeed[End Bal],ROW()-ROW(tblBuyerOutputs[#Headers]))&lt;=0,0,($O$6+IF(ROW()=ROW(tblBuyerOutputs[#Headers])+1,0,INDEX(tblBuyerOutputs[Cumul Appr],ROW()-ROW(tblBuyerOutputs[#Headers])-1)))*$O$2/12)</f>
        <v>0</v>
      </c>
      <c r="AE663" s="275">
        <f>IF(INDEX(tblContractForDeed[End Bal],ROW()-ROW(tblBuyerOutputs[#Headers]))&lt;=0,0,IF(ROW()=ROW(tblBuyerOutputs[#Headers])+1,0,INDEX(tblBuyerOutputs[Cumul Appr],ROW()-ROW(tblBuyerOutputs[#Headers])-1))+tblBuyerOutputs[[#This Row],[Monthly Appr]])</f>
        <v>0</v>
      </c>
      <c r="AF663" s="22"/>
      <c r="AG663" s="14"/>
      <c r="AL663"/>
      <c r="AM663" s="14"/>
      <c r="AO663" s="275"/>
      <c r="AQ663" s="14"/>
      <c r="AR663"/>
    </row>
    <row r="664" spans="1:44" x14ac:dyDescent="0.25">
      <c r="A664" s="590" t="str">
        <f t="shared" si="135"/>
        <v/>
      </c>
      <c r="B664" s="275">
        <f t="shared" si="136"/>
        <v>0</v>
      </c>
      <c r="C664" s="14">
        <f t="shared" si="133"/>
        <v>0</v>
      </c>
      <c r="D664" s="14">
        <f t="shared" si="137"/>
        <v>0</v>
      </c>
      <c r="E664" s="14">
        <f t="shared" si="134"/>
        <v>0</v>
      </c>
      <c r="K664" s="275">
        <f t="shared" si="138"/>
        <v>0</v>
      </c>
      <c r="L664" s="386">
        <f t="shared" si="132"/>
        <v>0</v>
      </c>
      <c r="M664" s="386">
        <f t="shared" si="139"/>
        <v>0</v>
      </c>
      <c r="N664" s="590" t="str">
        <f>INDEX(tblSubjectToLoan[Date],ROW()-ROW(tblContractForDeed[#Headers]))</f>
        <v/>
      </c>
      <c r="O664" s="275">
        <f>IF(ROW()=ROW(tblContractForDeed[#Headers])+1,$O$6,IF(INDEX(tblContractForDeed[End Bal],ROW()-ROW(tblContractForDeed[#Headers])-1)&lt;0,0,INDEX(tblContractForDeed[End Bal],ROW()-ROW(tblContractForDeed[#Headers])-1)))</f>
        <v>0</v>
      </c>
      <c r="P664" s="445" t="str">
        <f>IF(tblContractForDeed[[#This Row],[Date]]="","",IF(tblContractForDeed[[#This Row],[Date]]&lt;cfdRateChangeDate,cfdRate1,cfdRate2))</f>
        <v/>
      </c>
      <c r="Q6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75">
        <f>SUM(INDEX(tblContractForDeed[Princ],1):INDEX(tblContractForDeed[Princ],ROW()-ROW(tblContractForDeed[#Headers])))</f>
        <v>75258.000000000029</v>
      </c>
      <c r="X664" s="275">
        <f>IF(tblContractForDeed[[#This Row],[Beg]]&lt;=0,0,tblContractForDeed[[#This Row],[Beg]]-tblContractForDeed[[#This Row],[Princ]])</f>
        <v>0</v>
      </c>
      <c r="Y66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75">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4" s="275">
        <f>IF(INDEX(tblContractForDeed[End Bal],ROW()-ROW(tblBuyerOutputs[#Headers]))&lt;=0,0,($O$6+IF(ROW()=ROW(tblBuyerOutputs[#Headers])+1,0,INDEX(tblBuyerOutputs[Cumul Appr],ROW()-ROW(tblBuyerOutputs[#Headers])-1)))*$O$2/12)</f>
        <v>0</v>
      </c>
      <c r="AE664" s="275">
        <f>IF(INDEX(tblContractForDeed[End Bal],ROW()-ROW(tblBuyerOutputs[#Headers]))&lt;=0,0,IF(ROW()=ROW(tblBuyerOutputs[#Headers])+1,0,INDEX(tblBuyerOutputs[Cumul Appr],ROW()-ROW(tblBuyerOutputs[#Headers])-1))+tblBuyerOutputs[[#This Row],[Monthly Appr]])</f>
        <v>0</v>
      </c>
      <c r="AF664" s="22"/>
      <c r="AG664" s="14"/>
      <c r="AL664"/>
      <c r="AM664" s="14"/>
      <c r="AO664" s="275"/>
      <c r="AQ664" s="14"/>
      <c r="AR664"/>
    </row>
    <row r="665" spans="1:44" x14ac:dyDescent="0.25">
      <c r="A665" s="590" t="str">
        <f t="shared" si="135"/>
        <v/>
      </c>
      <c r="B665" s="275">
        <f t="shared" si="136"/>
        <v>0</v>
      </c>
      <c r="C665" s="14">
        <f t="shared" si="133"/>
        <v>0</v>
      </c>
      <c r="D665" s="14">
        <f t="shared" si="137"/>
        <v>0</v>
      </c>
      <c r="E665" s="14">
        <f t="shared" si="134"/>
        <v>0</v>
      </c>
      <c r="K665" s="275">
        <f t="shared" si="138"/>
        <v>0</v>
      </c>
      <c r="L665" s="386">
        <f t="shared" si="132"/>
        <v>0</v>
      </c>
      <c r="M665" s="386">
        <f t="shared" si="139"/>
        <v>0</v>
      </c>
      <c r="N665" s="590" t="str">
        <f>INDEX(tblSubjectToLoan[Date],ROW()-ROW(tblContractForDeed[#Headers]))</f>
        <v/>
      </c>
      <c r="O665" s="275">
        <f>IF(ROW()=ROW(tblContractForDeed[#Headers])+1,$O$6,IF(INDEX(tblContractForDeed[End Bal],ROW()-ROW(tblContractForDeed[#Headers])-1)&lt;0,0,INDEX(tblContractForDeed[End Bal],ROW()-ROW(tblContractForDeed[#Headers])-1)))</f>
        <v>0</v>
      </c>
      <c r="P665" s="445" t="str">
        <f>IF(tblContractForDeed[[#This Row],[Date]]="","",IF(tblContractForDeed[[#This Row],[Date]]&lt;cfdRateChangeDate,cfdRate1,cfdRate2))</f>
        <v/>
      </c>
      <c r="Q6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75">
        <f>SUM(INDEX(tblContractForDeed[Princ],1):INDEX(tblContractForDeed[Princ],ROW()-ROW(tblContractForDeed[#Headers])))</f>
        <v>75258.000000000029</v>
      </c>
      <c r="X665" s="275">
        <f>IF(tblContractForDeed[[#This Row],[Beg]]&lt;=0,0,tblContractForDeed[[#This Row],[Beg]]-tblContractForDeed[[#This Row],[Princ]])</f>
        <v>0</v>
      </c>
      <c r="Y66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75">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5" s="275">
        <f>IF(INDEX(tblContractForDeed[End Bal],ROW()-ROW(tblBuyerOutputs[#Headers]))&lt;=0,0,($O$6+IF(ROW()=ROW(tblBuyerOutputs[#Headers])+1,0,INDEX(tblBuyerOutputs[Cumul Appr],ROW()-ROW(tblBuyerOutputs[#Headers])-1)))*$O$2/12)</f>
        <v>0</v>
      </c>
      <c r="AE665" s="275">
        <f>IF(INDEX(tblContractForDeed[End Bal],ROW()-ROW(tblBuyerOutputs[#Headers]))&lt;=0,0,IF(ROW()=ROW(tblBuyerOutputs[#Headers])+1,0,INDEX(tblBuyerOutputs[Cumul Appr],ROW()-ROW(tblBuyerOutputs[#Headers])-1))+tblBuyerOutputs[[#This Row],[Monthly Appr]])</f>
        <v>0</v>
      </c>
      <c r="AF665" s="22"/>
      <c r="AG665" s="14"/>
      <c r="AL665"/>
      <c r="AM665" s="14"/>
      <c r="AO665" s="275"/>
      <c r="AQ665" s="14"/>
      <c r="AR665"/>
    </row>
    <row r="666" spans="1:44" x14ac:dyDescent="0.25">
      <c r="A666" s="590" t="str">
        <f t="shared" si="135"/>
        <v/>
      </c>
      <c r="B666" s="275">
        <f t="shared" si="136"/>
        <v>0</v>
      </c>
      <c r="C666" s="14">
        <f t="shared" si="133"/>
        <v>0</v>
      </c>
      <c r="D666" s="14">
        <f t="shared" si="137"/>
        <v>0</v>
      </c>
      <c r="E666" s="14">
        <f t="shared" si="134"/>
        <v>0</v>
      </c>
      <c r="K666" s="275">
        <f t="shared" si="138"/>
        <v>0</v>
      </c>
      <c r="L666" s="386">
        <f t="shared" si="132"/>
        <v>0</v>
      </c>
      <c r="M666" s="386">
        <f t="shared" si="139"/>
        <v>0</v>
      </c>
      <c r="N666" s="590" t="str">
        <f>INDEX(tblSubjectToLoan[Date],ROW()-ROW(tblContractForDeed[#Headers]))</f>
        <v/>
      </c>
      <c r="O666" s="275">
        <f>IF(ROW()=ROW(tblContractForDeed[#Headers])+1,$O$6,IF(INDEX(tblContractForDeed[End Bal],ROW()-ROW(tblContractForDeed[#Headers])-1)&lt;0,0,INDEX(tblContractForDeed[End Bal],ROW()-ROW(tblContractForDeed[#Headers])-1)))</f>
        <v>0</v>
      </c>
      <c r="P666" s="445" t="str">
        <f>IF(tblContractForDeed[[#This Row],[Date]]="","",IF(tblContractForDeed[[#This Row],[Date]]&lt;cfdRateChangeDate,cfdRate1,cfdRate2))</f>
        <v/>
      </c>
      <c r="Q6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75">
        <f>SUM(INDEX(tblContractForDeed[Princ],1):INDEX(tblContractForDeed[Princ],ROW()-ROW(tblContractForDeed[#Headers])))</f>
        <v>75258.000000000029</v>
      </c>
      <c r="X666" s="275">
        <f>IF(tblContractForDeed[[#This Row],[Beg]]&lt;=0,0,tblContractForDeed[[#This Row],[Beg]]-tblContractForDeed[[#This Row],[Princ]])</f>
        <v>0</v>
      </c>
      <c r="Y66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75">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6" s="275">
        <f>IF(INDEX(tblContractForDeed[End Bal],ROW()-ROW(tblBuyerOutputs[#Headers]))&lt;=0,0,($O$6+IF(ROW()=ROW(tblBuyerOutputs[#Headers])+1,0,INDEX(tblBuyerOutputs[Cumul Appr],ROW()-ROW(tblBuyerOutputs[#Headers])-1)))*$O$2/12)</f>
        <v>0</v>
      </c>
      <c r="AE666" s="275">
        <f>IF(INDEX(tblContractForDeed[End Bal],ROW()-ROW(tblBuyerOutputs[#Headers]))&lt;=0,0,IF(ROW()=ROW(tblBuyerOutputs[#Headers])+1,0,INDEX(tblBuyerOutputs[Cumul Appr],ROW()-ROW(tblBuyerOutputs[#Headers])-1))+tblBuyerOutputs[[#This Row],[Monthly Appr]])</f>
        <v>0</v>
      </c>
      <c r="AF666" s="22"/>
      <c r="AG666" s="14"/>
      <c r="AL666"/>
      <c r="AM666" s="14"/>
      <c r="AO666" s="275"/>
      <c r="AQ666" s="14"/>
      <c r="AR666"/>
    </row>
    <row r="667" spans="1:44" ht="15.75" thickBot="1" x14ac:dyDescent="0.3">
      <c r="A667" s="591" t="str">
        <f t="shared" si="135"/>
        <v/>
      </c>
      <c r="B667" s="326">
        <f t="shared" si="136"/>
        <v>0</v>
      </c>
      <c r="C667" s="21">
        <f t="shared" si="133"/>
        <v>0</v>
      </c>
      <c r="D667" s="21">
        <f t="shared" si="137"/>
        <v>0</v>
      </c>
      <c r="E667" s="21">
        <f t="shared" si="134"/>
        <v>0</v>
      </c>
      <c r="F667" s="21"/>
      <c r="G667" s="21"/>
      <c r="H667" s="21"/>
      <c r="I667" s="326"/>
      <c r="J667" s="326"/>
      <c r="K667" s="326">
        <f t="shared" si="138"/>
        <v>0</v>
      </c>
      <c r="L667" s="387">
        <f t="shared" si="132"/>
        <v>0</v>
      </c>
      <c r="M667" s="387">
        <f t="shared" si="139"/>
        <v>0</v>
      </c>
      <c r="N667" s="591" t="str">
        <f>INDEX(tblSubjectToLoan[Date],ROW()-ROW(tblContractForDeed[#Headers]))</f>
        <v/>
      </c>
      <c r="O667" s="326">
        <f>IF(ROW()=ROW(tblContractForDeed[#Headers])+1,$O$6,IF(INDEX(tblContractForDeed[End Bal],ROW()-ROW(tblContractForDeed[#Headers])-1)&lt;0,0,INDEX(tblContractForDeed[End Bal],ROW()-ROW(tblContractForDeed[#Headers])-1)))</f>
        <v>0</v>
      </c>
      <c r="P667" s="445" t="str">
        <f>IF(tblContractForDeed[[#This Row],[Date]]="","",IF(tblContractForDeed[[#This Row],[Date]]&lt;cfdRateChangeDate,cfdRate1,cfdRate2))</f>
        <v/>
      </c>
      <c r="Q66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26">
        <f>SUM(INDEX(tblContractForDeed[Princ],1):INDEX(tblContractForDeed[Princ],ROW()-ROW(tblContractForDeed[#Headers])))</f>
        <v>75258.000000000029</v>
      </c>
      <c r="X667" s="326">
        <f>IF(tblContractForDeed[[#This Row],[Beg]]&lt;=0,0,tblContractForDeed[[#This Row],[Beg]]-tblContractForDeed[[#This Row],[Princ]])</f>
        <v>0</v>
      </c>
      <c r="Y66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26">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7" s="326">
        <f>IF(INDEX(tblContractForDeed[End Bal],ROW()-ROW(tblBuyerOutputs[#Headers]))&lt;=0,0,($O$6+IF(ROW()=ROW(tblBuyerOutputs[#Headers])+1,0,INDEX(tblBuyerOutputs[Cumul Appr],ROW()-ROW(tblBuyerOutputs[#Headers])-1)))*$O$2/12)</f>
        <v>0</v>
      </c>
      <c r="AE667" s="326">
        <f>IF(INDEX(tblContractForDeed[End Bal],ROW()-ROW(tblBuyerOutputs[#Headers]))&lt;=0,0,IF(ROW()=ROW(tblBuyerOutputs[#Headers])+1,0,INDEX(tblBuyerOutputs[Cumul Appr],ROW()-ROW(tblBuyerOutputs[#Headers])-1))+tblBuyerOutputs[[#This Row],[Monthly Appr]])</f>
        <v>0</v>
      </c>
      <c r="AF667" s="22"/>
      <c r="AG667" s="14"/>
      <c r="AL667"/>
      <c r="AM667" s="14"/>
      <c r="AO667" s="275"/>
      <c r="AQ667" s="21"/>
      <c r="AR667"/>
    </row>
    <row r="668" spans="1:44" x14ac:dyDescent="0.25">
      <c r="A668" s="590" t="str">
        <f t="shared" si="135"/>
        <v/>
      </c>
      <c r="B668" s="275">
        <f t="shared" si="136"/>
        <v>0</v>
      </c>
      <c r="C668" s="14">
        <f t="shared" si="133"/>
        <v>0</v>
      </c>
      <c r="D668" s="14">
        <f t="shared" si="137"/>
        <v>0</v>
      </c>
      <c r="E668" s="14">
        <f t="shared" si="134"/>
        <v>0</v>
      </c>
      <c r="K668" s="275">
        <f t="shared" si="138"/>
        <v>0</v>
      </c>
      <c r="L668" s="386">
        <f t="shared" si="132"/>
        <v>0</v>
      </c>
      <c r="M668" s="386">
        <f t="shared" si="139"/>
        <v>0</v>
      </c>
      <c r="N668" s="590" t="str">
        <f>INDEX(tblSubjectToLoan[Date],ROW()-ROW(tblContractForDeed[#Headers]))</f>
        <v/>
      </c>
      <c r="O668" s="275">
        <f>IF(ROW()=ROW(tblContractForDeed[#Headers])+1,$O$6,IF(INDEX(tblContractForDeed[End Bal],ROW()-ROW(tblContractForDeed[#Headers])-1)&lt;0,0,INDEX(tblContractForDeed[End Bal],ROW()-ROW(tblContractForDeed[#Headers])-1)))</f>
        <v>0</v>
      </c>
      <c r="P668" s="445" t="str">
        <f>IF(tblContractForDeed[[#This Row],[Date]]="","",IF(tblContractForDeed[[#This Row],[Date]]&lt;cfdRateChangeDate,cfdRate1,cfdRate2))</f>
        <v/>
      </c>
      <c r="Q6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75">
        <f>SUM(INDEX(tblContractForDeed[Princ],1):INDEX(tblContractForDeed[Princ],ROW()-ROW(tblContractForDeed[#Headers])))</f>
        <v>75258.000000000029</v>
      </c>
      <c r="X668" s="275">
        <f>IF(tblContractForDeed[[#This Row],[Beg]]&lt;=0,0,tblContractForDeed[[#This Row],[Beg]]-tblContractForDeed[[#This Row],[Princ]])</f>
        <v>0</v>
      </c>
      <c r="Y66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75">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8" s="275">
        <f>IF(INDEX(tblContractForDeed[End Bal],ROW()-ROW(tblBuyerOutputs[#Headers]))&lt;=0,0,($O$6+IF(ROW()=ROW(tblBuyerOutputs[#Headers])+1,0,INDEX(tblBuyerOutputs[Cumul Appr],ROW()-ROW(tblBuyerOutputs[#Headers])-1)))*$O$2/12)</f>
        <v>0</v>
      </c>
      <c r="AE668" s="275">
        <f>IF(INDEX(tblContractForDeed[End Bal],ROW()-ROW(tblBuyerOutputs[#Headers]))&lt;=0,0,IF(ROW()=ROW(tblBuyerOutputs[#Headers])+1,0,INDEX(tblBuyerOutputs[Cumul Appr],ROW()-ROW(tblBuyerOutputs[#Headers])-1))+tblBuyerOutputs[[#This Row],[Monthly Appr]])</f>
        <v>0</v>
      </c>
      <c r="AF668" s="22"/>
      <c r="AG668" s="14"/>
      <c r="AL668"/>
      <c r="AM668" s="14"/>
      <c r="AO668" s="275"/>
      <c r="AQ668" s="14"/>
      <c r="AR668"/>
    </row>
    <row r="669" spans="1:44" x14ac:dyDescent="0.25">
      <c r="A669" s="590" t="str">
        <f t="shared" si="135"/>
        <v/>
      </c>
      <c r="B669" s="275">
        <f t="shared" si="136"/>
        <v>0</v>
      </c>
      <c r="C669" s="14">
        <f t="shared" si="133"/>
        <v>0</v>
      </c>
      <c r="D669" s="14">
        <f t="shared" si="137"/>
        <v>0</v>
      </c>
      <c r="E669" s="14">
        <f t="shared" si="134"/>
        <v>0</v>
      </c>
      <c r="K669" s="275">
        <f t="shared" si="138"/>
        <v>0</v>
      </c>
      <c r="L669" s="386">
        <f t="shared" si="132"/>
        <v>0</v>
      </c>
      <c r="M669" s="386">
        <f t="shared" si="139"/>
        <v>0</v>
      </c>
      <c r="N669" s="590" t="str">
        <f>INDEX(tblSubjectToLoan[Date],ROW()-ROW(tblContractForDeed[#Headers]))</f>
        <v/>
      </c>
      <c r="O669" s="275">
        <f>IF(ROW()=ROW(tblContractForDeed[#Headers])+1,$O$6,IF(INDEX(tblContractForDeed[End Bal],ROW()-ROW(tblContractForDeed[#Headers])-1)&lt;0,0,INDEX(tblContractForDeed[End Bal],ROW()-ROW(tblContractForDeed[#Headers])-1)))</f>
        <v>0</v>
      </c>
      <c r="P669" s="445" t="str">
        <f>IF(tblContractForDeed[[#This Row],[Date]]="","",IF(tblContractForDeed[[#This Row],[Date]]&lt;cfdRateChangeDate,cfdRate1,cfdRate2))</f>
        <v/>
      </c>
      <c r="Q6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75">
        <f>SUM(INDEX(tblContractForDeed[Princ],1):INDEX(tblContractForDeed[Princ],ROW()-ROW(tblContractForDeed[#Headers])))</f>
        <v>75258.000000000029</v>
      </c>
      <c r="X669" s="275">
        <f>IF(tblContractForDeed[[#This Row],[Beg]]&lt;=0,0,tblContractForDeed[[#This Row],[Beg]]-tblContractForDeed[[#This Row],[Princ]])</f>
        <v>0</v>
      </c>
      <c r="Y66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75">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9" s="275">
        <f>IF(INDEX(tblContractForDeed[End Bal],ROW()-ROW(tblBuyerOutputs[#Headers]))&lt;=0,0,($O$6+IF(ROW()=ROW(tblBuyerOutputs[#Headers])+1,0,INDEX(tblBuyerOutputs[Cumul Appr],ROW()-ROW(tblBuyerOutputs[#Headers])-1)))*$O$2/12)</f>
        <v>0</v>
      </c>
      <c r="AE669" s="275">
        <f>IF(INDEX(tblContractForDeed[End Bal],ROW()-ROW(tblBuyerOutputs[#Headers]))&lt;=0,0,IF(ROW()=ROW(tblBuyerOutputs[#Headers])+1,0,INDEX(tblBuyerOutputs[Cumul Appr],ROW()-ROW(tblBuyerOutputs[#Headers])-1))+tblBuyerOutputs[[#This Row],[Monthly Appr]])</f>
        <v>0</v>
      </c>
      <c r="AF669" s="22"/>
      <c r="AG669" s="14"/>
      <c r="AL669"/>
      <c r="AM669" s="14"/>
      <c r="AO669" s="275"/>
      <c r="AQ669" s="14"/>
      <c r="AR669"/>
    </row>
    <row r="670" spans="1:44" x14ac:dyDescent="0.25">
      <c r="A670" s="590" t="str">
        <f t="shared" si="135"/>
        <v/>
      </c>
      <c r="B670" s="275">
        <f t="shared" si="136"/>
        <v>0</v>
      </c>
      <c r="C670" s="14">
        <f t="shared" si="133"/>
        <v>0</v>
      </c>
      <c r="D670" s="14">
        <f t="shared" si="137"/>
        <v>0</v>
      </c>
      <c r="E670" s="14">
        <f t="shared" si="134"/>
        <v>0</v>
      </c>
      <c r="K670" s="275">
        <f t="shared" si="138"/>
        <v>0</v>
      </c>
      <c r="L670" s="386">
        <f t="shared" si="132"/>
        <v>0</v>
      </c>
      <c r="M670" s="386">
        <f t="shared" si="139"/>
        <v>0</v>
      </c>
      <c r="N670" s="590" t="str">
        <f>INDEX(tblSubjectToLoan[Date],ROW()-ROW(tblContractForDeed[#Headers]))</f>
        <v/>
      </c>
      <c r="O670" s="275">
        <f>IF(ROW()=ROW(tblContractForDeed[#Headers])+1,$O$6,IF(INDEX(tblContractForDeed[End Bal],ROW()-ROW(tblContractForDeed[#Headers])-1)&lt;0,0,INDEX(tblContractForDeed[End Bal],ROW()-ROW(tblContractForDeed[#Headers])-1)))</f>
        <v>0</v>
      </c>
      <c r="P670" s="445" t="str">
        <f>IF(tblContractForDeed[[#This Row],[Date]]="","",IF(tblContractForDeed[[#This Row],[Date]]&lt;cfdRateChangeDate,cfdRate1,cfdRate2))</f>
        <v/>
      </c>
      <c r="Q6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75">
        <f>SUM(INDEX(tblContractForDeed[Princ],1):INDEX(tblContractForDeed[Princ],ROW()-ROW(tblContractForDeed[#Headers])))</f>
        <v>75258.000000000029</v>
      </c>
      <c r="X670" s="275">
        <f>IF(tblContractForDeed[[#This Row],[Beg]]&lt;=0,0,tblContractForDeed[[#This Row],[Beg]]-tblContractForDeed[[#This Row],[Princ]])</f>
        <v>0</v>
      </c>
      <c r="Y67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75">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0" s="275">
        <f>IF(INDEX(tblContractForDeed[End Bal],ROW()-ROW(tblBuyerOutputs[#Headers]))&lt;=0,0,($O$6+IF(ROW()=ROW(tblBuyerOutputs[#Headers])+1,0,INDEX(tblBuyerOutputs[Cumul Appr],ROW()-ROW(tblBuyerOutputs[#Headers])-1)))*$O$2/12)</f>
        <v>0</v>
      </c>
      <c r="AE670" s="275">
        <f>IF(INDEX(tblContractForDeed[End Bal],ROW()-ROW(tblBuyerOutputs[#Headers]))&lt;=0,0,IF(ROW()=ROW(tblBuyerOutputs[#Headers])+1,0,INDEX(tblBuyerOutputs[Cumul Appr],ROW()-ROW(tblBuyerOutputs[#Headers])-1))+tblBuyerOutputs[[#This Row],[Monthly Appr]])</f>
        <v>0</v>
      </c>
      <c r="AF670" s="22"/>
      <c r="AG670" s="14"/>
      <c r="AL670"/>
      <c r="AM670" s="14"/>
      <c r="AO670" s="275"/>
      <c r="AQ670" s="14"/>
      <c r="AR670"/>
    </row>
    <row r="671" spans="1:44" x14ac:dyDescent="0.25">
      <c r="A671" s="590" t="str">
        <f t="shared" si="135"/>
        <v/>
      </c>
      <c r="B671" s="275">
        <f t="shared" si="136"/>
        <v>0</v>
      </c>
      <c r="C671" s="14">
        <f t="shared" si="133"/>
        <v>0</v>
      </c>
      <c r="D671" s="14">
        <f t="shared" si="137"/>
        <v>0</v>
      </c>
      <c r="E671" s="14">
        <f t="shared" si="134"/>
        <v>0</v>
      </c>
      <c r="K671" s="275">
        <f t="shared" si="138"/>
        <v>0</v>
      </c>
      <c r="L671" s="386">
        <f t="shared" si="132"/>
        <v>0</v>
      </c>
      <c r="M671" s="386">
        <f t="shared" si="139"/>
        <v>0</v>
      </c>
      <c r="N671" s="590" t="str">
        <f>INDEX(tblSubjectToLoan[Date],ROW()-ROW(tblContractForDeed[#Headers]))</f>
        <v/>
      </c>
      <c r="O671" s="275">
        <f>IF(ROW()=ROW(tblContractForDeed[#Headers])+1,$O$6,IF(INDEX(tblContractForDeed[End Bal],ROW()-ROW(tblContractForDeed[#Headers])-1)&lt;0,0,INDEX(tblContractForDeed[End Bal],ROW()-ROW(tblContractForDeed[#Headers])-1)))</f>
        <v>0</v>
      </c>
      <c r="P671" s="445" t="str">
        <f>IF(tblContractForDeed[[#This Row],[Date]]="","",IF(tblContractForDeed[[#This Row],[Date]]&lt;cfdRateChangeDate,cfdRate1,cfdRate2))</f>
        <v/>
      </c>
      <c r="Q67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75">
        <f>SUM(INDEX(tblContractForDeed[Princ],1):INDEX(tblContractForDeed[Princ],ROW()-ROW(tblContractForDeed[#Headers])))</f>
        <v>75258.000000000029</v>
      </c>
      <c r="X671" s="275">
        <f>IF(tblContractForDeed[[#This Row],[Beg]]&lt;=0,0,tblContractForDeed[[#This Row],[Beg]]-tblContractForDeed[[#This Row],[Princ]])</f>
        <v>0</v>
      </c>
      <c r="Y67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75">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1" s="275">
        <f>IF(INDEX(tblContractForDeed[End Bal],ROW()-ROW(tblBuyerOutputs[#Headers]))&lt;=0,0,($O$6+IF(ROW()=ROW(tblBuyerOutputs[#Headers])+1,0,INDEX(tblBuyerOutputs[Cumul Appr],ROW()-ROW(tblBuyerOutputs[#Headers])-1)))*$O$2/12)</f>
        <v>0</v>
      </c>
      <c r="AE671" s="275">
        <f>IF(INDEX(tblContractForDeed[End Bal],ROW()-ROW(tblBuyerOutputs[#Headers]))&lt;=0,0,IF(ROW()=ROW(tblBuyerOutputs[#Headers])+1,0,INDEX(tblBuyerOutputs[Cumul Appr],ROW()-ROW(tblBuyerOutputs[#Headers])-1))+tblBuyerOutputs[[#This Row],[Monthly Appr]])</f>
        <v>0</v>
      </c>
      <c r="AF671" s="22"/>
      <c r="AG671" s="14"/>
      <c r="AL671"/>
      <c r="AM671" s="14"/>
      <c r="AO671" s="275"/>
      <c r="AQ671" s="14"/>
      <c r="AR671"/>
    </row>
    <row r="672" spans="1:44" x14ac:dyDescent="0.25">
      <c r="A672" s="590" t="str">
        <f t="shared" si="135"/>
        <v/>
      </c>
      <c r="B672" s="275">
        <f t="shared" si="136"/>
        <v>0</v>
      </c>
      <c r="C672" s="14">
        <f t="shared" si="133"/>
        <v>0</v>
      </c>
      <c r="D672" s="14">
        <f t="shared" si="137"/>
        <v>0</v>
      </c>
      <c r="E672" s="14">
        <f t="shared" si="134"/>
        <v>0</v>
      </c>
      <c r="K672" s="275">
        <f t="shared" si="138"/>
        <v>0</v>
      </c>
      <c r="L672" s="386">
        <f t="shared" si="132"/>
        <v>0</v>
      </c>
      <c r="M672" s="386">
        <f t="shared" si="139"/>
        <v>0</v>
      </c>
      <c r="N672" s="590" t="str">
        <f>INDEX(tblSubjectToLoan[Date],ROW()-ROW(tblContractForDeed[#Headers]))</f>
        <v/>
      </c>
      <c r="O672" s="275">
        <f>IF(ROW()=ROW(tblContractForDeed[#Headers])+1,$O$6,IF(INDEX(tblContractForDeed[End Bal],ROW()-ROW(tblContractForDeed[#Headers])-1)&lt;0,0,INDEX(tblContractForDeed[End Bal],ROW()-ROW(tblContractForDeed[#Headers])-1)))</f>
        <v>0</v>
      </c>
      <c r="P672" s="445" t="str">
        <f>IF(tblContractForDeed[[#This Row],[Date]]="","",IF(tblContractForDeed[[#This Row],[Date]]&lt;cfdRateChangeDate,cfdRate1,cfdRate2))</f>
        <v/>
      </c>
      <c r="Q6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75">
        <f>SUM(INDEX(tblContractForDeed[Princ],1):INDEX(tblContractForDeed[Princ],ROW()-ROW(tblContractForDeed[#Headers])))</f>
        <v>75258.000000000029</v>
      </c>
      <c r="X672" s="275">
        <f>IF(tblContractForDeed[[#This Row],[Beg]]&lt;=0,0,tblContractForDeed[[#This Row],[Beg]]-tblContractForDeed[[#This Row],[Princ]])</f>
        <v>0</v>
      </c>
      <c r="Y67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75">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2" s="275">
        <f>IF(INDEX(tblContractForDeed[End Bal],ROW()-ROW(tblBuyerOutputs[#Headers]))&lt;=0,0,($O$6+IF(ROW()=ROW(tblBuyerOutputs[#Headers])+1,0,INDEX(tblBuyerOutputs[Cumul Appr],ROW()-ROW(tblBuyerOutputs[#Headers])-1)))*$O$2/12)</f>
        <v>0</v>
      </c>
      <c r="AE672" s="275">
        <f>IF(INDEX(tblContractForDeed[End Bal],ROW()-ROW(tblBuyerOutputs[#Headers]))&lt;=0,0,IF(ROW()=ROW(tblBuyerOutputs[#Headers])+1,0,INDEX(tblBuyerOutputs[Cumul Appr],ROW()-ROW(tblBuyerOutputs[#Headers])-1))+tblBuyerOutputs[[#This Row],[Monthly Appr]])</f>
        <v>0</v>
      </c>
      <c r="AF672" s="22"/>
      <c r="AG672" s="14"/>
      <c r="AL672"/>
      <c r="AM672" s="14"/>
      <c r="AO672" s="275"/>
      <c r="AQ672" s="14"/>
      <c r="AR672"/>
    </row>
    <row r="673" spans="1:44" x14ac:dyDescent="0.25">
      <c r="A673" s="590" t="str">
        <f t="shared" si="135"/>
        <v/>
      </c>
      <c r="B673" s="275">
        <f t="shared" si="136"/>
        <v>0</v>
      </c>
      <c r="C673" s="14">
        <f t="shared" si="133"/>
        <v>0</v>
      </c>
      <c r="D673" s="14">
        <f t="shared" si="137"/>
        <v>0</v>
      </c>
      <c r="E673" s="14">
        <f t="shared" si="134"/>
        <v>0</v>
      </c>
      <c r="K673" s="275">
        <f t="shared" si="138"/>
        <v>0</v>
      </c>
      <c r="L673" s="386">
        <f t="shared" si="132"/>
        <v>0</v>
      </c>
      <c r="M673" s="386">
        <f t="shared" si="139"/>
        <v>0</v>
      </c>
      <c r="N673" s="590" t="str">
        <f>INDEX(tblSubjectToLoan[Date],ROW()-ROW(tblContractForDeed[#Headers]))</f>
        <v/>
      </c>
      <c r="O673" s="275">
        <f>IF(ROW()=ROW(tblContractForDeed[#Headers])+1,$O$6,IF(INDEX(tblContractForDeed[End Bal],ROW()-ROW(tblContractForDeed[#Headers])-1)&lt;0,0,INDEX(tblContractForDeed[End Bal],ROW()-ROW(tblContractForDeed[#Headers])-1)))</f>
        <v>0</v>
      </c>
      <c r="P673" s="445" t="str">
        <f>IF(tblContractForDeed[[#This Row],[Date]]="","",IF(tblContractForDeed[[#This Row],[Date]]&lt;cfdRateChangeDate,cfdRate1,cfdRate2))</f>
        <v/>
      </c>
      <c r="Q6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75">
        <f>SUM(INDEX(tblContractForDeed[Princ],1):INDEX(tblContractForDeed[Princ],ROW()-ROW(tblContractForDeed[#Headers])))</f>
        <v>75258.000000000029</v>
      </c>
      <c r="X673" s="275">
        <f>IF(tblContractForDeed[[#This Row],[Beg]]&lt;=0,0,tblContractForDeed[[#This Row],[Beg]]-tblContractForDeed[[#This Row],[Princ]])</f>
        <v>0</v>
      </c>
      <c r="Y67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75">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3" s="275">
        <f>IF(INDEX(tblContractForDeed[End Bal],ROW()-ROW(tblBuyerOutputs[#Headers]))&lt;=0,0,($O$6+IF(ROW()=ROW(tblBuyerOutputs[#Headers])+1,0,INDEX(tblBuyerOutputs[Cumul Appr],ROW()-ROW(tblBuyerOutputs[#Headers])-1)))*$O$2/12)</f>
        <v>0</v>
      </c>
      <c r="AE673" s="275">
        <f>IF(INDEX(tblContractForDeed[End Bal],ROW()-ROW(tblBuyerOutputs[#Headers]))&lt;=0,0,IF(ROW()=ROW(tblBuyerOutputs[#Headers])+1,0,INDEX(tblBuyerOutputs[Cumul Appr],ROW()-ROW(tblBuyerOutputs[#Headers])-1))+tblBuyerOutputs[[#This Row],[Monthly Appr]])</f>
        <v>0</v>
      </c>
      <c r="AF673" s="22"/>
      <c r="AG673" s="14"/>
      <c r="AL673"/>
      <c r="AM673" s="14"/>
      <c r="AO673" s="275"/>
      <c r="AQ673" s="14"/>
      <c r="AR673"/>
    </row>
    <row r="674" spans="1:44" x14ac:dyDescent="0.25">
      <c r="A674" s="590" t="str">
        <f t="shared" si="135"/>
        <v/>
      </c>
      <c r="B674" s="275">
        <f t="shared" si="136"/>
        <v>0</v>
      </c>
      <c r="C674" s="14">
        <f t="shared" si="133"/>
        <v>0</v>
      </c>
      <c r="D674" s="14">
        <f t="shared" si="137"/>
        <v>0</v>
      </c>
      <c r="E674" s="14">
        <f t="shared" si="134"/>
        <v>0</v>
      </c>
      <c r="K674" s="275">
        <f t="shared" si="138"/>
        <v>0</v>
      </c>
      <c r="L674" s="386">
        <f t="shared" si="132"/>
        <v>0</v>
      </c>
      <c r="M674" s="386">
        <f t="shared" si="139"/>
        <v>0</v>
      </c>
      <c r="N674" s="590" t="str">
        <f>INDEX(tblSubjectToLoan[Date],ROW()-ROW(tblContractForDeed[#Headers]))</f>
        <v/>
      </c>
      <c r="O674" s="275">
        <f>IF(ROW()=ROW(tblContractForDeed[#Headers])+1,$O$6,IF(INDEX(tblContractForDeed[End Bal],ROW()-ROW(tblContractForDeed[#Headers])-1)&lt;0,0,INDEX(tblContractForDeed[End Bal],ROW()-ROW(tblContractForDeed[#Headers])-1)))</f>
        <v>0</v>
      </c>
      <c r="P674" s="445" t="str">
        <f>IF(tblContractForDeed[[#This Row],[Date]]="","",IF(tblContractForDeed[[#This Row],[Date]]&lt;cfdRateChangeDate,cfdRate1,cfdRate2))</f>
        <v/>
      </c>
      <c r="Q6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75">
        <f>SUM(INDEX(tblContractForDeed[Princ],1):INDEX(tblContractForDeed[Princ],ROW()-ROW(tblContractForDeed[#Headers])))</f>
        <v>75258.000000000029</v>
      </c>
      <c r="X674" s="275">
        <f>IF(tblContractForDeed[[#This Row],[Beg]]&lt;=0,0,tblContractForDeed[[#This Row],[Beg]]-tblContractForDeed[[#This Row],[Princ]])</f>
        <v>0</v>
      </c>
      <c r="Y67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75">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4" s="275">
        <f>IF(INDEX(tblContractForDeed[End Bal],ROW()-ROW(tblBuyerOutputs[#Headers]))&lt;=0,0,($O$6+IF(ROW()=ROW(tblBuyerOutputs[#Headers])+1,0,INDEX(tblBuyerOutputs[Cumul Appr],ROW()-ROW(tblBuyerOutputs[#Headers])-1)))*$O$2/12)</f>
        <v>0</v>
      </c>
      <c r="AE674" s="275">
        <f>IF(INDEX(tblContractForDeed[End Bal],ROW()-ROW(tblBuyerOutputs[#Headers]))&lt;=0,0,IF(ROW()=ROW(tblBuyerOutputs[#Headers])+1,0,INDEX(tblBuyerOutputs[Cumul Appr],ROW()-ROW(tblBuyerOutputs[#Headers])-1))+tblBuyerOutputs[[#This Row],[Monthly Appr]])</f>
        <v>0</v>
      </c>
      <c r="AF674" s="22"/>
      <c r="AG674" s="14"/>
      <c r="AL674"/>
      <c r="AM674" s="14"/>
      <c r="AO674" s="275"/>
      <c r="AQ674" s="14"/>
      <c r="AR674"/>
    </row>
    <row r="675" spans="1:44" x14ac:dyDescent="0.25">
      <c r="A675" s="590" t="str">
        <f t="shared" si="135"/>
        <v/>
      </c>
      <c r="B675" s="275">
        <f t="shared" si="136"/>
        <v>0</v>
      </c>
      <c r="C675" s="14">
        <f t="shared" si="133"/>
        <v>0</v>
      </c>
      <c r="D675" s="14">
        <f t="shared" si="137"/>
        <v>0</v>
      </c>
      <c r="E675" s="14">
        <f t="shared" si="134"/>
        <v>0</v>
      </c>
      <c r="K675" s="275">
        <f t="shared" si="138"/>
        <v>0</v>
      </c>
      <c r="L675" s="386">
        <f t="shared" si="132"/>
        <v>0</v>
      </c>
      <c r="M675" s="386">
        <f t="shared" si="139"/>
        <v>0</v>
      </c>
      <c r="N675" s="590" t="str">
        <f>INDEX(tblSubjectToLoan[Date],ROW()-ROW(tblContractForDeed[#Headers]))</f>
        <v/>
      </c>
      <c r="O675" s="275">
        <f>IF(ROW()=ROW(tblContractForDeed[#Headers])+1,$O$6,IF(INDEX(tblContractForDeed[End Bal],ROW()-ROW(tblContractForDeed[#Headers])-1)&lt;0,0,INDEX(tblContractForDeed[End Bal],ROW()-ROW(tblContractForDeed[#Headers])-1)))</f>
        <v>0</v>
      </c>
      <c r="P675" s="445" t="str">
        <f>IF(tblContractForDeed[[#This Row],[Date]]="","",IF(tblContractForDeed[[#This Row],[Date]]&lt;cfdRateChangeDate,cfdRate1,cfdRate2))</f>
        <v/>
      </c>
      <c r="Q67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75">
        <f>SUM(INDEX(tblContractForDeed[Princ],1):INDEX(tblContractForDeed[Princ],ROW()-ROW(tblContractForDeed[#Headers])))</f>
        <v>75258.000000000029</v>
      </c>
      <c r="X675" s="275">
        <f>IF(tblContractForDeed[[#This Row],[Beg]]&lt;=0,0,tblContractForDeed[[#This Row],[Beg]]-tblContractForDeed[[#This Row],[Princ]])</f>
        <v>0</v>
      </c>
      <c r="Y67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75">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5" s="275">
        <f>IF(INDEX(tblContractForDeed[End Bal],ROW()-ROW(tblBuyerOutputs[#Headers]))&lt;=0,0,($O$6+IF(ROW()=ROW(tblBuyerOutputs[#Headers])+1,0,INDEX(tblBuyerOutputs[Cumul Appr],ROW()-ROW(tblBuyerOutputs[#Headers])-1)))*$O$2/12)</f>
        <v>0</v>
      </c>
      <c r="AE675" s="275">
        <f>IF(INDEX(tblContractForDeed[End Bal],ROW()-ROW(tblBuyerOutputs[#Headers]))&lt;=0,0,IF(ROW()=ROW(tblBuyerOutputs[#Headers])+1,0,INDEX(tblBuyerOutputs[Cumul Appr],ROW()-ROW(tblBuyerOutputs[#Headers])-1))+tblBuyerOutputs[[#This Row],[Monthly Appr]])</f>
        <v>0</v>
      </c>
      <c r="AF675" s="22"/>
      <c r="AG675" s="14"/>
      <c r="AL675"/>
      <c r="AM675" s="14"/>
      <c r="AO675" s="275"/>
      <c r="AQ675" s="14"/>
      <c r="AR675"/>
    </row>
    <row r="676" spans="1:44" x14ac:dyDescent="0.25">
      <c r="A676" s="590" t="str">
        <f t="shared" si="135"/>
        <v/>
      </c>
      <c r="B676" s="275">
        <f t="shared" si="136"/>
        <v>0</v>
      </c>
      <c r="C676" s="14">
        <f t="shared" si="133"/>
        <v>0</v>
      </c>
      <c r="D676" s="14">
        <f t="shared" si="137"/>
        <v>0</v>
      </c>
      <c r="E676" s="14">
        <f t="shared" si="134"/>
        <v>0</v>
      </c>
      <c r="K676" s="275">
        <f t="shared" si="138"/>
        <v>0</v>
      </c>
      <c r="L676" s="386">
        <f t="shared" si="132"/>
        <v>0</v>
      </c>
      <c r="M676" s="386">
        <f t="shared" si="139"/>
        <v>0</v>
      </c>
      <c r="N676" s="590" t="str">
        <f>INDEX(tblSubjectToLoan[Date],ROW()-ROW(tblContractForDeed[#Headers]))</f>
        <v/>
      </c>
      <c r="O676" s="275">
        <f>IF(ROW()=ROW(tblContractForDeed[#Headers])+1,$O$6,IF(INDEX(tblContractForDeed[End Bal],ROW()-ROW(tblContractForDeed[#Headers])-1)&lt;0,0,INDEX(tblContractForDeed[End Bal],ROW()-ROW(tblContractForDeed[#Headers])-1)))</f>
        <v>0</v>
      </c>
      <c r="P676" s="445" t="str">
        <f>IF(tblContractForDeed[[#This Row],[Date]]="","",IF(tblContractForDeed[[#This Row],[Date]]&lt;cfdRateChangeDate,cfdRate1,cfdRate2))</f>
        <v/>
      </c>
      <c r="Q6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75">
        <f>SUM(INDEX(tblContractForDeed[Princ],1):INDEX(tblContractForDeed[Princ],ROW()-ROW(tblContractForDeed[#Headers])))</f>
        <v>75258.000000000029</v>
      </c>
      <c r="X676" s="275">
        <f>IF(tblContractForDeed[[#This Row],[Beg]]&lt;=0,0,tblContractForDeed[[#This Row],[Beg]]-tblContractForDeed[[#This Row],[Princ]])</f>
        <v>0</v>
      </c>
      <c r="Y67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75">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6" s="275">
        <f>IF(INDEX(tblContractForDeed[End Bal],ROW()-ROW(tblBuyerOutputs[#Headers]))&lt;=0,0,($O$6+IF(ROW()=ROW(tblBuyerOutputs[#Headers])+1,0,INDEX(tblBuyerOutputs[Cumul Appr],ROW()-ROW(tblBuyerOutputs[#Headers])-1)))*$O$2/12)</f>
        <v>0</v>
      </c>
      <c r="AE676" s="275">
        <f>IF(INDEX(tblContractForDeed[End Bal],ROW()-ROW(tblBuyerOutputs[#Headers]))&lt;=0,0,IF(ROW()=ROW(tblBuyerOutputs[#Headers])+1,0,INDEX(tblBuyerOutputs[Cumul Appr],ROW()-ROW(tblBuyerOutputs[#Headers])-1))+tblBuyerOutputs[[#This Row],[Monthly Appr]])</f>
        <v>0</v>
      </c>
      <c r="AF676" s="22"/>
      <c r="AG676" s="14"/>
      <c r="AL676"/>
      <c r="AM676" s="14"/>
      <c r="AO676" s="275"/>
      <c r="AQ676" s="14"/>
      <c r="AR676"/>
    </row>
    <row r="677" spans="1:44" x14ac:dyDescent="0.25">
      <c r="A677" s="590" t="str">
        <f t="shared" si="135"/>
        <v/>
      </c>
      <c r="B677" s="275">
        <f t="shared" si="136"/>
        <v>0</v>
      </c>
      <c r="C677" s="14">
        <f t="shared" si="133"/>
        <v>0</v>
      </c>
      <c r="D677" s="14">
        <f t="shared" si="137"/>
        <v>0</v>
      </c>
      <c r="E677" s="14">
        <f t="shared" si="134"/>
        <v>0</v>
      </c>
      <c r="K677" s="275">
        <f t="shared" si="138"/>
        <v>0</v>
      </c>
      <c r="L677" s="386">
        <f t="shared" si="132"/>
        <v>0</v>
      </c>
      <c r="M677" s="386">
        <f t="shared" si="139"/>
        <v>0</v>
      </c>
      <c r="N677" s="590" t="str">
        <f>INDEX(tblSubjectToLoan[Date],ROW()-ROW(tblContractForDeed[#Headers]))</f>
        <v/>
      </c>
      <c r="O677" s="275">
        <f>IF(ROW()=ROW(tblContractForDeed[#Headers])+1,$O$6,IF(INDEX(tblContractForDeed[End Bal],ROW()-ROW(tblContractForDeed[#Headers])-1)&lt;0,0,INDEX(tblContractForDeed[End Bal],ROW()-ROW(tblContractForDeed[#Headers])-1)))</f>
        <v>0</v>
      </c>
      <c r="P677" s="445" t="str">
        <f>IF(tblContractForDeed[[#This Row],[Date]]="","",IF(tblContractForDeed[[#This Row],[Date]]&lt;cfdRateChangeDate,cfdRate1,cfdRate2))</f>
        <v/>
      </c>
      <c r="Q6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75">
        <f>SUM(INDEX(tblContractForDeed[Princ],1):INDEX(tblContractForDeed[Princ],ROW()-ROW(tblContractForDeed[#Headers])))</f>
        <v>75258.000000000029</v>
      </c>
      <c r="X677" s="275">
        <f>IF(tblContractForDeed[[#This Row],[Beg]]&lt;=0,0,tblContractForDeed[[#This Row],[Beg]]-tblContractForDeed[[#This Row],[Princ]])</f>
        <v>0</v>
      </c>
      <c r="Y67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75">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7" s="275">
        <f>IF(INDEX(tblContractForDeed[End Bal],ROW()-ROW(tblBuyerOutputs[#Headers]))&lt;=0,0,($O$6+IF(ROW()=ROW(tblBuyerOutputs[#Headers])+1,0,INDEX(tblBuyerOutputs[Cumul Appr],ROW()-ROW(tblBuyerOutputs[#Headers])-1)))*$O$2/12)</f>
        <v>0</v>
      </c>
      <c r="AE677" s="275">
        <f>IF(INDEX(tblContractForDeed[End Bal],ROW()-ROW(tblBuyerOutputs[#Headers]))&lt;=0,0,IF(ROW()=ROW(tblBuyerOutputs[#Headers])+1,0,INDEX(tblBuyerOutputs[Cumul Appr],ROW()-ROW(tblBuyerOutputs[#Headers])-1))+tblBuyerOutputs[[#This Row],[Monthly Appr]])</f>
        <v>0</v>
      </c>
      <c r="AF677" s="22"/>
      <c r="AG677" s="14"/>
      <c r="AL677"/>
      <c r="AM677" s="14"/>
      <c r="AO677" s="275"/>
      <c r="AQ677" s="14"/>
      <c r="AR677"/>
    </row>
    <row r="678" spans="1:44" x14ac:dyDescent="0.25">
      <c r="A678" s="590" t="str">
        <f t="shared" si="135"/>
        <v/>
      </c>
      <c r="B678" s="275">
        <f t="shared" si="136"/>
        <v>0</v>
      </c>
      <c r="C678" s="14">
        <f t="shared" si="133"/>
        <v>0</v>
      </c>
      <c r="D678" s="14">
        <f t="shared" si="137"/>
        <v>0</v>
      </c>
      <c r="E678" s="14">
        <f t="shared" si="134"/>
        <v>0</v>
      </c>
      <c r="K678" s="275">
        <f t="shared" si="138"/>
        <v>0</v>
      </c>
      <c r="L678" s="386">
        <f t="shared" si="132"/>
        <v>0</v>
      </c>
      <c r="M678" s="386">
        <f t="shared" si="139"/>
        <v>0</v>
      </c>
      <c r="N678" s="590" t="str">
        <f>INDEX(tblSubjectToLoan[Date],ROW()-ROW(tblContractForDeed[#Headers]))</f>
        <v/>
      </c>
      <c r="O678" s="275">
        <f>IF(ROW()=ROW(tblContractForDeed[#Headers])+1,$O$6,IF(INDEX(tblContractForDeed[End Bal],ROW()-ROW(tblContractForDeed[#Headers])-1)&lt;0,0,INDEX(tblContractForDeed[End Bal],ROW()-ROW(tblContractForDeed[#Headers])-1)))</f>
        <v>0</v>
      </c>
      <c r="P678" s="445" t="str">
        <f>IF(tblContractForDeed[[#This Row],[Date]]="","",IF(tblContractForDeed[[#This Row],[Date]]&lt;cfdRateChangeDate,cfdRate1,cfdRate2))</f>
        <v/>
      </c>
      <c r="Q6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75">
        <f>SUM(INDEX(tblContractForDeed[Princ],1):INDEX(tblContractForDeed[Princ],ROW()-ROW(tblContractForDeed[#Headers])))</f>
        <v>75258.000000000029</v>
      </c>
      <c r="X678" s="275">
        <f>IF(tblContractForDeed[[#This Row],[Beg]]&lt;=0,0,tblContractForDeed[[#This Row],[Beg]]-tblContractForDeed[[#This Row],[Princ]])</f>
        <v>0</v>
      </c>
      <c r="Y67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75">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8" s="275">
        <f>IF(INDEX(tblContractForDeed[End Bal],ROW()-ROW(tblBuyerOutputs[#Headers]))&lt;=0,0,($O$6+IF(ROW()=ROW(tblBuyerOutputs[#Headers])+1,0,INDEX(tblBuyerOutputs[Cumul Appr],ROW()-ROW(tblBuyerOutputs[#Headers])-1)))*$O$2/12)</f>
        <v>0</v>
      </c>
      <c r="AE678" s="275">
        <f>IF(INDEX(tblContractForDeed[End Bal],ROW()-ROW(tblBuyerOutputs[#Headers]))&lt;=0,0,IF(ROW()=ROW(tblBuyerOutputs[#Headers])+1,0,INDEX(tblBuyerOutputs[Cumul Appr],ROW()-ROW(tblBuyerOutputs[#Headers])-1))+tblBuyerOutputs[[#This Row],[Monthly Appr]])</f>
        <v>0</v>
      </c>
      <c r="AF678" s="22"/>
      <c r="AG678" s="14"/>
      <c r="AL678"/>
      <c r="AM678" s="14"/>
      <c r="AO678" s="275"/>
      <c r="AQ678" s="14"/>
      <c r="AR678"/>
    </row>
    <row r="679" spans="1:44" ht="15.75" thickBot="1" x14ac:dyDescent="0.3">
      <c r="A679" s="591" t="str">
        <f t="shared" si="135"/>
        <v/>
      </c>
      <c r="B679" s="326">
        <f t="shared" si="136"/>
        <v>0</v>
      </c>
      <c r="C679" s="21">
        <f t="shared" si="133"/>
        <v>0</v>
      </c>
      <c r="D679" s="21">
        <f t="shared" si="137"/>
        <v>0</v>
      </c>
      <c r="E679" s="21">
        <f t="shared" si="134"/>
        <v>0</v>
      </c>
      <c r="F679" s="21"/>
      <c r="G679" s="21"/>
      <c r="H679" s="21"/>
      <c r="I679" s="326"/>
      <c r="J679" s="326"/>
      <c r="K679" s="326">
        <f t="shared" si="138"/>
        <v>0</v>
      </c>
      <c r="L679" s="387">
        <f t="shared" si="132"/>
        <v>0</v>
      </c>
      <c r="M679" s="387">
        <f t="shared" si="139"/>
        <v>0</v>
      </c>
      <c r="N679" s="591" t="str">
        <f>INDEX(tblSubjectToLoan[Date],ROW()-ROW(tblContractForDeed[#Headers]))</f>
        <v/>
      </c>
      <c r="O679" s="326">
        <f>IF(ROW()=ROW(tblContractForDeed[#Headers])+1,$O$6,IF(INDEX(tblContractForDeed[End Bal],ROW()-ROW(tblContractForDeed[#Headers])-1)&lt;0,0,INDEX(tblContractForDeed[End Bal],ROW()-ROW(tblContractForDeed[#Headers])-1)))</f>
        <v>0</v>
      </c>
      <c r="P679" s="445" t="str">
        <f>IF(tblContractForDeed[[#This Row],[Date]]="","",IF(tblContractForDeed[[#This Row],[Date]]&lt;cfdRateChangeDate,cfdRate1,cfdRate2))</f>
        <v/>
      </c>
      <c r="Q67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26">
        <f>SUM(INDEX(tblContractForDeed[Princ],1):INDEX(tblContractForDeed[Princ],ROW()-ROW(tblContractForDeed[#Headers])))</f>
        <v>75258.000000000029</v>
      </c>
      <c r="X679" s="326">
        <f>IF(tblContractForDeed[[#This Row],[Beg]]&lt;=0,0,tblContractForDeed[[#This Row],[Beg]]-tblContractForDeed[[#This Row],[Princ]])</f>
        <v>0</v>
      </c>
      <c r="Y67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26">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9" s="326">
        <f>IF(INDEX(tblContractForDeed[End Bal],ROW()-ROW(tblBuyerOutputs[#Headers]))&lt;=0,0,($O$6+IF(ROW()=ROW(tblBuyerOutputs[#Headers])+1,0,INDEX(tblBuyerOutputs[Cumul Appr],ROW()-ROW(tblBuyerOutputs[#Headers])-1)))*$O$2/12)</f>
        <v>0</v>
      </c>
      <c r="AE679" s="326">
        <f>IF(INDEX(tblContractForDeed[End Bal],ROW()-ROW(tblBuyerOutputs[#Headers]))&lt;=0,0,IF(ROW()=ROW(tblBuyerOutputs[#Headers])+1,0,INDEX(tblBuyerOutputs[Cumul Appr],ROW()-ROW(tblBuyerOutputs[#Headers])-1))+tblBuyerOutputs[[#This Row],[Monthly Appr]])</f>
        <v>0</v>
      </c>
      <c r="AF679" s="22"/>
      <c r="AG679" s="14"/>
      <c r="AL679"/>
      <c r="AM679" s="14"/>
      <c r="AO679" s="275"/>
      <c r="AQ679" s="21"/>
      <c r="AR679"/>
    </row>
    <row r="680" spans="1:44" x14ac:dyDescent="0.25">
      <c r="A680" s="590" t="str">
        <f t="shared" si="135"/>
        <v/>
      </c>
      <c r="B680" s="275">
        <f t="shared" si="136"/>
        <v>0</v>
      </c>
      <c r="C680" s="14">
        <f t="shared" si="133"/>
        <v>0</v>
      </c>
      <c r="D680" s="14">
        <f t="shared" si="137"/>
        <v>0</v>
      </c>
      <c r="E680" s="14">
        <f t="shared" si="134"/>
        <v>0</v>
      </c>
      <c r="K680" s="275">
        <f t="shared" si="138"/>
        <v>0</v>
      </c>
      <c r="L680" s="386">
        <f t="shared" si="132"/>
        <v>0</v>
      </c>
      <c r="M680" s="386">
        <f t="shared" si="139"/>
        <v>0</v>
      </c>
      <c r="N680" s="590" t="str">
        <f>INDEX(tblSubjectToLoan[Date],ROW()-ROW(tblContractForDeed[#Headers]))</f>
        <v/>
      </c>
      <c r="O680" s="275">
        <f>IF(ROW()=ROW(tblContractForDeed[#Headers])+1,$O$6,IF(INDEX(tblContractForDeed[End Bal],ROW()-ROW(tblContractForDeed[#Headers])-1)&lt;0,0,INDEX(tblContractForDeed[End Bal],ROW()-ROW(tblContractForDeed[#Headers])-1)))</f>
        <v>0</v>
      </c>
      <c r="P680" s="445" t="str">
        <f>IF(tblContractForDeed[[#This Row],[Date]]="","",IF(tblContractForDeed[[#This Row],[Date]]&lt;cfdRateChangeDate,cfdRate1,cfdRate2))</f>
        <v/>
      </c>
      <c r="Q6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75">
        <f>SUM(INDEX(tblContractForDeed[Princ],1):INDEX(tblContractForDeed[Princ],ROW()-ROW(tblContractForDeed[#Headers])))</f>
        <v>75258.000000000029</v>
      </c>
      <c r="X680" s="275">
        <f>IF(tblContractForDeed[[#This Row],[Beg]]&lt;=0,0,tblContractForDeed[[#This Row],[Beg]]-tblContractForDeed[[#This Row],[Princ]])</f>
        <v>0</v>
      </c>
      <c r="Y68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75">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0" s="275">
        <f>IF(INDEX(tblContractForDeed[End Bal],ROW()-ROW(tblBuyerOutputs[#Headers]))&lt;=0,0,($O$6+IF(ROW()=ROW(tblBuyerOutputs[#Headers])+1,0,INDEX(tblBuyerOutputs[Cumul Appr],ROW()-ROW(tblBuyerOutputs[#Headers])-1)))*$O$2/12)</f>
        <v>0</v>
      </c>
      <c r="AE680" s="275">
        <f>IF(INDEX(tblContractForDeed[End Bal],ROW()-ROW(tblBuyerOutputs[#Headers]))&lt;=0,0,IF(ROW()=ROW(tblBuyerOutputs[#Headers])+1,0,INDEX(tblBuyerOutputs[Cumul Appr],ROW()-ROW(tblBuyerOutputs[#Headers])-1))+tblBuyerOutputs[[#This Row],[Monthly Appr]])</f>
        <v>0</v>
      </c>
      <c r="AF680" s="22"/>
      <c r="AG680" s="14"/>
      <c r="AL680"/>
      <c r="AM680" s="14"/>
      <c r="AO680" s="275"/>
      <c r="AQ680" s="14"/>
      <c r="AR680"/>
    </row>
    <row r="681" spans="1:44" x14ac:dyDescent="0.25">
      <c r="A681" s="590" t="str">
        <f t="shared" si="135"/>
        <v/>
      </c>
      <c r="B681" s="275">
        <f t="shared" si="136"/>
        <v>0</v>
      </c>
      <c r="C681" s="14">
        <f t="shared" si="133"/>
        <v>0</v>
      </c>
      <c r="D681" s="14">
        <f t="shared" si="137"/>
        <v>0</v>
      </c>
      <c r="E681" s="14">
        <f t="shared" si="134"/>
        <v>0</v>
      </c>
      <c r="K681" s="275">
        <f t="shared" si="138"/>
        <v>0</v>
      </c>
      <c r="L681" s="386">
        <f t="shared" si="132"/>
        <v>0</v>
      </c>
      <c r="M681" s="386">
        <f t="shared" si="139"/>
        <v>0</v>
      </c>
      <c r="N681" s="590" t="str">
        <f>INDEX(tblSubjectToLoan[Date],ROW()-ROW(tblContractForDeed[#Headers]))</f>
        <v/>
      </c>
      <c r="O681" s="275">
        <f>IF(ROW()=ROW(tblContractForDeed[#Headers])+1,$O$6,IF(INDEX(tblContractForDeed[End Bal],ROW()-ROW(tblContractForDeed[#Headers])-1)&lt;0,0,INDEX(tblContractForDeed[End Bal],ROW()-ROW(tblContractForDeed[#Headers])-1)))</f>
        <v>0</v>
      </c>
      <c r="P681" s="445" t="str">
        <f>IF(tblContractForDeed[[#This Row],[Date]]="","",IF(tblContractForDeed[[#This Row],[Date]]&lt;cfdRateChangeDate,cfdRate1,cfdRate2))</f>
        <v/>
      </c>
      <c r="Q6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75">
        <f>SUM(INDEX(tblContractForDeed[Princ],1):INDEX(tblContractForDeed[Princ],ROW()-ROW(tblContractForDeed[#Headers])))</f>
        <v>75258.000000000029</v>
      </c>
      <c r="X681" s="275">
        <f>IF(tblContractForDeed[[#This Row],[Beg]]&lt;=0,0,tblContractForDeed[[#This Row],[Beg]]-tblContractForDeed[[#This Row],[Princ]])</f>
        <v>0</v>
      </c>
      <c r="Y68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75">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1" s="275">
        <f>IF(INDEX(tblContractForDeed[End Bal],ROW()-ROW(tblBuyerOutputs[#Headers]))&lt;=0,0,($O$6+IF(ROW()=ROW(tblBuyerOutputs[#Headers])+1,0,INDEX(tblBuyerOutputs[Cumul Appr],ROW()-ROW(tblBuyerOutputs[#Headers])-1)))*$O$2/12)</f>
        <v>0</v>
      </c>
      <c r="AE681" s="275">
        <f>IF(INDEX(tblContractForDeed[End Bal],ROW()-ROW(tblBuyerOutputs[#Headers]))&lt;=0,0,IF(ROW()=ROW(tblBuyerOutputs[#Headers])+1,0,INDEX(tblBuyerOutputs[Cumul Appr],ROW()-ROW(tblBuyerOutputs[#Headers])-1))+tblBuyerOutputs[[#This Row],[Monthly Appr]])</f>
        <v>0</v>
      </c>
      <c r="AF681" s="22"/>
      <c r="AG681" s="14"/>
      <c r="AL681"/>
      <c r="AM681" s="14"/>
      <c r="AO681" s="275"/>
      <c r="AQ681" s="14"/>
      <c r="AR681"/>
    </row>
    <row r="682" spans="1:44" x14ac:dyDescent="0.25">
      <c r="A682" s="590" t="str">
        <f t="shared" si="135"/>
        <v/>
      </c>
      <c r="B682" s="275">
        <f t="shared" si="136"/>
        <v>0</v>
      </c>
      <c r="C682" s="14">
        <f t="shared" si="133"/>
        <v>0</v>
      </c>
      <c r="D682" s="14">
        <f t="shared" si="137"/>
        <v>0</v>
      </c>
      <c r="E682" s="14">
        <f t="shared" si="134"/>
        <v>0</v>
      </c>
      <c r="K682" s="275">
        <f t="shared" si="138"/>
        <v>0</v>
      </c>
      <c r="L682" s="386">
        <f t="shared" si="132"/>
        <v>0</v>
      </c>
      <c r="M682" s="386">
        <f t="shared" si="139"/>
        <v>0</v>
      </c>
      <c r="N682" s="590" t="str">
        <f>INDEX(tblSubjectToLoan[Date],ROW()-ROW(tblContractForDeed[#Headers]))</f>
        <v/>
      </c>
      <c r="O682" s="275">
        <f>IF(ROW()=ROW(tblContractForDeed[#Headers])+1,$O$6,IF(INDEX(tblContractForDeed[End Bal],ROW()-ROW(tblContractForDeed[#Headers])-1)&lt;0,0,INDEX(tblContractForDeed[End Bal],ROW()-ROW(tblContractForDeed[#Headers])-1)))</f>
        <v>0</v>
      </c>
      <c r="P682" s="445" t="str">
        <f>IF(tblContractForDeed[[#This Row],[Date]]="","",IF(tblContractForDeed[[#This Row],[Date]]&lt;cfdRateChangeDate,cfdRate1,cfdRate2))</f>
        <v/>
      </c>
      <c r="Q6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75">
        <f>SUM(INDEX(tblContractForDeed[Princ],1):INDEX(tblContractForDeed[Princ],ROW()-ROW(tblContractForDeed[#Headers])))</f>
        <v>75258.000000000029</v>
      </c>
      <c r="X682" s="275">
        <f>IF(tblContractForDeed[[#This Row],[Beg]]&lt;=0,0,tblContractForDeed[[#This Row],[Beg]]-tblContractForDeed[[#This Row],[Princ]])</f>
        <v>0</v>
      </c>
      <c r="Y68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75">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2" s="275">
        <f>IF(INDEX(tblContractForDeed[End Bal],ROW()-ROW(tblBuyerOutputs[#Headers]))&lt;=0,0,($O$6+IF(ROW()=ROW(tblBuyerOutputs[#Headers])+1,0,INDEX(tblBuyerOutputs[Cumul Appr],ROW()-ROW(tblBuyerOutputs[#Headers])-1)))*$O$2/12)</f>
        <v>0</v>
      </c>
      <c r="AE682" s="275">
        <f>IF(INDEX(tblContractForDeed[End Bal],ROW()-ROW(tblBuyerOutputs[#Headers]))&lt;=0,0,IF(ROW()=ROW(tblBuyerOutputs[#Headers])+1,0,INDEX(tblBuyerOutputs[Cumul Appr],ROW()-ROW(tblBuyerOutputs[#Headers])-1))+tblBuyerOutputs[[#This Row],[Monthly Appr]])</f>
        <v>0</v>
      </c>
      <c r="AF682" s="22"/>
      <c r="AG682" s="14"/>
      <c r="AL682"/>
      <c r="AM682" s="14"/>
      <c r="AO682" s="275"/>
      <c r="AQ682" s="14"/>
      <c r="AR682"/>
    </row>
    <row r="683" spans="1:44" x14ac:dyDescent="0.25">
      <c r="A683" s="590" t="str">
        <f t="shared" si="135"/>
        <v/>
      </c>
      <c r="B683" s="275">
        <f t="shared" si="136"/>
        <v>0</v>
      </c>
      <c r="C683" s="14">
        <f t="shared" si="133"/>
        <v>0</v>
      </c>
      <c r="D683" s="14">
        <f t="shared" si="137"/>
        <v>0</v>
      </c>
      <c r="E683" s="14">
        <f t="shared" si="134"/>
        <v>0</v>
      </c>
      <c r="K683" s="275">
        <f t="shared" si="138"/>
        <v>0</v>
      </c>
      <c r="L683" s="386">
        <f t="shared" si="132"/>
        <v>0</v>
      </c>
      <c r="M683" s="386">
        <f t="shared" si="139"/>
        <v>0</v>
      </c>
      <c r="N683" s="590" t="str">
        <f>INDEX(tblSubjectToLoan[Date],ROW()-ROW(tblContractForDeed[#Headers]))</f>
        <v/>
      </c>
      <c r="O683" s="275">
        <f>IF(ROW()=ROW(tblContractForDeed[#Headers])+1,$O$6,IF(INDEX(tblContractForDeed[End Bal],ROW()-ROW(tblContractForDeed[#Headers])-1)&lt;0,0,INDEX(tblContractForDeed[End Bal],ROW()-ROW(tblContractForDeed[#Headers])-1)))</f>
        <v>0</v>
      </c>
      <c r="P683" s="445" t="str">
        <f>IF(tblContractForDeed[[#This Row],[Date]]="","",IF(tblContractForDeed[[#This Row],[Date]]&lt;cfdRateChangeDate,cfdRate1,cfdRate2))</f>
        <v/>
      </c>
      <c r="Q68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75">
        <f>SUM(INDEX(tblContractForDeed[Princ],1):INDEX(tblContractForDeed[Princ],ROW()-ROW(tblContractForDeed[#Headers])))</f>
        <v>75258.000000000029</v>
      </c>
      <c r="X683" s="275">
        <f>IF(tblContractForDeed[[#This Row],[Beg]]&lt;=0,0,tblContractForDeed[[#This Row],[Beg]]-tblContractForDeed[[#This Row],[Princ]])</f>
        <v>0</v>
      </c>
      <c r="Y68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75">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3" s="275">
        <f>IF(INDEX(tblContractForDeed[End Bal],ROW()-ROW(tblBuyerOutputs[#Headers]))&lt;=0,0,($O$6+IF(ROW()=ROW(tblBuyerOutputs[#Headers])+1,0,INDEX(tblBuyerOutputs[Cumul Appr],ROW()-ROW(tblBuyerOutputs[#Headers])-1)))*$O$2/12)</f>
        <v>0</v>
      </c>
      <c r="AE683" s="275">
        <f>IF(INDEX(tblContractForDeed[End Bal],ROW()-ROW(tblBuyerOutputs[#Headers]))&lt;=0,0,IF(ROW()=ROW(tblBuyerOutputs[#Headers])+1,0,INDEX(tblBuyerOutputs[Cumul Appr],ROW()-ROW(tblBuyerOutputs[#Headers])-1))+tblBuyerOutputs[[#This Row],[Monthly Appr]])</f>
        <v>0</v>
      </c>
      <c r="AF683" s="22"/>
      <c r="AG683" s="14"/>
      <c r="AL683"/>
      <c r="AM683" s="14"/>
      <c r="AO683" s="275"/>
      <c r="AQ683" s="14"/>
      <c r="AR683"/>
    </row>
    <row r="684" spans="1:44" x14ac:dyDescent="0.25">
      <c r="A684" s="590" t="str">
        <f t="shared" si="135"/>
        <v/>
      </c>
      <c r="B684" s="275">
        <f t="shared" si="136"/>
        <v>0</v>
      </c>
      <c r="C684" s="14">
        <f t="shared" si="133"/>
        <v>0</v>
      </c>
      <c r="D684" s="14">
        <f t="shared" si="137"/>
        <v>0</v>
      </c>
      <c r="E684" s="14">
        <f t="shared" si="134"/>
        <v>0</v>
      </c>
      <c r="K684" s="275">
        <f t="shared" si="138"/>
        <v>0</v>
      </c>
      <c r="L684" s="386">
        <f t="shared" si="132"/>
        <v>0</v>
      </c>
      <c r="M684" s="386">
        <f t="shared" si="139"/>
        <v>0</v>
      </c>
      <c r="N684" s="590" t="str">
        <f>INDEX(tblSubjectToLoan[Date],ROW()-ROW(tblContractForDeed[#Headers]))</f>
        <v/>
      </c>
      <c r="O684" s="275">
        <f>IF(ROW()=ROW(tblContractForDeed[#Headers])+1,$O$6,IF(INDEX(tblContractForDeed[End Bal],ROW()-ROW(tblContractForDeed[#Headers])-1)&lt;0,0,INDEX(tblContractForDeed[End Bal],ROW()-ROW(tblContractForDeed[#Headers])-1)))</f>
        <v>0</v>
      </c>
      <c r="P684" s="445" t="str">
        <f>IF(tblContractForDeed[[#This Row],[Date]]="","",IF(tblContractForDeed[[#This Row],[Date]]&lt;cfdRateChangeDate,cfdRate1,cfdRate2))</f>
        <v/>
      </c>
      <c r="Q6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75">
        <f>SUM(INDEX(tblContractForDeed[Princ],1):INDEX(tblContractForDeed[Princ],ROW()-ROW(tblContractForDeed[#Headers])))</f>
        <v>75258.000000000029</v>
      </c>
      <c r="X684" s="275">
        <f>IF(tblContractForDeed[[#This Row],[Beg]]&lt;=0,0,tblContractForDeed[[#This Row],[Beg]]-tblContractForDeed[[#This Row],[Princ]])</f>
        <v>0</v>
      </c>
      <c r="Y68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75">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4" s="275">
        <f>IF(INDEX(tblContractForDeed[End Bal],ROW()-ROW(tblBuyerOutputs[#Headers]))&lt;=0,0,($O$6+IF(ROW()=ROW(tblBuyerOutputs[#Headers])+1,0,INDEX(tblBuyerOutputs[Cumul Appr],ROW()-ROW(tblBuyerOutputs[#Headers])-1)))*$O$2/12)</f>
        <v>0</v>
      </c>
      <c r="AE684" s="275">
        <f>IF(INDEX(tblContractForDeed[End Bal],ROW()-ROW(tblBuyerOutputs[#Headers]))&lt;=0,0,IF(ROW()=ROW(tblBuyerOutputs[#Headers])+1,0,INDEX(tblBuyerOutputs[Cumul Appr],ROW()-ROW(tblBuyerOutputs[#Headers])-1))+tblBuyerOutputs[[#This Row],[Monthly Appr]])</f>
        <v>0</v>
      </c>
      <c r="AF684" s="22"/>
      <c r="AG684" s="14"/>
      <c r="AL684"/>
      <c r="AM684" s="14"/>
      <c r="AO684" s="275"/>
      <c r="AQ684" s="14"/>
      <c r="AR684"/>
    </row>
    <row r="685" spans="1:44" x14ac:dyDescent="0.25">
      <c r="A685" s="590" t="str">
        <f t="shared" si="135"/>
        <v/>
      </c>
      <c r="B685" s="275">
        <f t="shared" si="136"/>
        <v>0</v>
      </c>
      <c r="C685" s="14">
        <f t="shared" si="133"/>
        <v>0</v>
      </c>
      <c r="D685" s="14">
        <f t="shared" si="137"/>
        <v>0</v>
      </c>
      <c r="E685" s="14">
        <f t="shared" si="134"/>
        <v>0</v>
      </c>
      <c r="K685" s="275">
        <f t="shared" si="138"/>
        <v>0</v>
      </c>
      <c r="L685" s="386">
        <f t="shared" si="132"/>
        <v>0</v>
      </c>
      <c r="M685" s="386">
        <f t="shared" si="139"/>
        <v>0</v>
      </c>
      <c r="N685" s="590" t="str">
        <f>INDEX(tblSubjectToLoan[Date],ROW()-ROW(tblContractForDeed[#Headers]))</f>
        <v/>
      </c>
      <c r="O685" s="275">
        <f>IF(ROW()=ROW(tblContractForDeed[#Headers])+1,$O$6,IF(INDEX(tblContractForDeed[End Bal],ROW()-ROW(tblContractForDeed[#Headers])-1)&lt;0,0,INDEX(tblContractForDeed[End Bal],ROW()-ROW(tblContractForDeed[#Headers])-1)))</f>
        <v>0</v>
      </c>
      <c r="P685" s="445" t="str">
        <f>IF(tblContractForDeed[[#This Row],[Date]]="","",IF(tblContractForDeed[[#This Row],[Date]]&lt;cfdRateChangeDate,cfdRate1,cfdRate2))</f>
        <v/>
      </c>
      <c r="Q6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75">
        <f>SUM(INDEX(tblContractForDeed[Princ],1):INDEX(tblContractForDeed[Princ],ROW()-ROW(tblContractForDeed[#Headers])))</f>
        <v>75258.000000000029</v>
      </c>
      <c r="X685" s="275">
        <f>IF(tblContractForDeed[[#This Row],[Beg]]&lt;=0,0,tblContractForDeed[[#This Row],[Beg]]-tblContractForDeed[[#This Row],[Princ]])</f>
        <v>0</v>
      </c>
      <c r="Y68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75">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5" s="275">
        <f>IF(INDEX(tblContractForDeed[End Bal],ROW()-ROW(tblBuyerOutputs[#Headers]))&lt;=0,0,($O$6+IF(ROW()=ROW(tblBuyerOutputs[#Headers])+1,0,INDEX(tblBuyerOutputs[Cumul Appr],ROW()-ROW(tblBuyerOutputs[#Headers])-1)))*$O$2/12)</f>
        <v>0</v>
      </c>
      <c r="AE685" s="275">
        <f>IF(INDEX(tblContractForDeed[End Bal],ROW()-ROW(tblBuyerOutputs[#Headers]))&lt;=0,0,IF(ROW()=ROW(tblBuyerOutputs[#Headers])+1,0,INDEX(tblBuyerOutputs[Cumul Appr],ROW()-ROW(tblBuyerOutputs[#Headers])-1))+tblBuyerOutputs[[#This Row],[Monthly Appr]])</f>
        <v>0</v>
      </c>
      <c r="AF685" s="22"/>
      <c r="AG685" s="14"/>
      <c r="AL685"/>
      <c r="AM685" s="14"/>
      <c r="AO685" s="275"/>
      <c r="AQ685" s="14"/>
      <c r="AR685"/>
    </row>
    <row r="686" spans="1:44" x14ac:dyDescent="0.25">
      <c r="A686" s="590" t="str">
        <f t="shared" si="135"/>
        <v/>
      </c>
      <c r="B686" s="275">
        <f t="shared" si="136"/>
        <v>0</v>
      </c>
      <c r="C686" s="14">
        <f t="shared" si="133"/>
        <v>0</v>
      </c>
      <c r="D686" s="14">
        <f t="shared" si="137"/>
        <v>0</v>
      </c>
      <c r="E686" s="14">
        <f t="shared" si="134"/>
        <v>0</v>
      </c>
      <c r="K686" s="275">
        <f t="shared" si="138"/>
        <v>0</v>
      </c>
      <c r="L686" s="386">
        <f t="shared" si="132"/>
        <v>0</v>
      </c>
      <c r="M686" s="386">
        <f t="shared" si="139"/>
        <v>0</v>
      </c>
      <c r="N686" s="590" t="str">
        <f>INDEX(tblSubjectToLoan[Date],ROW()-ROW(tblContractForDeed[#Headers]))</f>
        <v/>
      </c>
      <c r="O686" s="275">
        <f>IF(ROW()=ROW(tblContractForDeed[#Headers])+1,$O$6,IF(INDEX(tblContractForDeed[End Bal],ROW()-ROW(tblContractForDeed[#Headers])-1)&lt;0,0,INDEX(tblContractForDeed[End Bal],ROW()-ROW(tblContractForDeed[#Headers])-1)))</f>
        <v>0</v>
      </c>
      <c r="P686" s="445" t="str">
        <f>IF(tblContractForDeed[[#This Row],[Date]]="","",IF(tblContractForDeed[[#This Row],[Date]]&lt;cfdRateChangeDate,cfdRate1,cfdRate2))</f>
        <v/>
      </c>
      <c r="Q6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75">
        <f>SUM(INDEX(tblContractForDeed[Princ],1):INDEX(tblContractForDeed[Princ],ROW()-ROW(tblContractForDeed[#Headers])))</f>
        <v>75258.000000000029</v>
      </c>
      <c r="X686" s="275">
        <f>IF(tblContractForDeed[[#This Row],[Beg]]&lt;=0,0,tblContractForDeed[[#This Row],[Beg]]-tblContractForDeed[[#This Row],[Princ]])</f>
        <v>0</v>
      </c>
      <c r="Y68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75">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6" s="275">
        <f>IF(INDEX(tblContractForDeed[End Bal],ROW()-ROW(tblBuyerOutputs[#Headers]))&lt;=0,0,($O$6+IF(ROW()=ROW(tblBuyerOutputs[#Headers])+1,0,INDEX(tblBuyerOutputs[Cumul Appr],ROW()-ROW(tblBuyerOutputs[#Headers])-1)))*$O$2/12)</f>
        <v>0</v>
      </c>
      <c r="AE686" s="275">
        <f>IF(INDEX(tblContractForDeed[End Bal],ROW()-ROW(tblBuyerOutputs[#Headers]))&lt;=0,0,IF(ROW()=ROW(tblBuyerOutputs[#Headers])+1,0,INDEX(tblBuyerOutputs[Cumul Appr],ROW()-ROW(tblBuyerOutputs[#Headers])-1))+tblBuyerOutputs[[#This Row],[Monthly Appr]])</f>
        <v>0</v>
      </c>
      <c r="AF686" s="22"/>
      <c r="AG686" s="14"/>
      <c r="AL686"/>
      <c r="AM686" s="14"/>
      <c r="AO686" s="275"/>
      <c r="AQ686" s="14"/>
      <c r="AR686"/>
    </row>
    <row r="687" spans="1:44" x14ac:dyDescent="0.25">
      <c r="A687" s="590" t="str">
        <f t="shared" si="135"/>
        <v/>
      </c>
      <c r="B687" s="275">
        <f t="shared" si="136"/>
        <v>0</v>
      </c>
      <c r="C687" s="14">
        <f t="shared" si="133"/>
        <v>0</v>
      </c>
      <c r="D687" s="14">
        <f t="shared" si="137"/>
        <v>0</v>
      </c>
      <c r="E687" s="14">
        <f t="shared" si="134"/>
        <v>0</v>
      </c>
      <c r="K687" s="275">
        <f t="shared" si="138"/>
        <v>0</v>
      </c>
      <c r="L687" s="386">
        <f t="shared" si="132"/>
        <v>0</v>
      </c>
      <c r="M687" s="386">
        <f t="shared" si="139"/>
        <v>0</v>
      </c>
      <c r="N687" s="590" t="str">
        <f>INDEX(tblSubjectToLoan[Date],ROW()-ROW(tblContractForDeed[#Headers]))</f>
        <v/>
      </c>
      <c r="O687" s="275">
        <f>IF(ROW()=ROW(tblContractForDeed[#Headers])+1,$O$6,IF(INDEX(tblContractForDeed[End Bal],ROW()-ROW(tblContractForDeed[#Headers])-1)&lt;0,0,INDEX(tblContractForDeed[End Bal],ROW()-ROW(tblContractForDeed[#Headers])-1)))</f>
        <v>0</v>
      </c>
      <c r="P687" s="445" t="str">
        <f>IF(tblContractForDeed[[#This Row],[Date]]="","",IF(tblContractForDeed[[#This Row],[Date]]&lt;cfdRateChangeDate,cfdRate1,cfdRate2))</f>
        <v/>
      </c>
      <c r="Q68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75">
        <f>SUM(INDEX(tblContractForDeed[Princ],1):INDEX(tblContractForDeed[Princ],ROW()-ROW(tblContractForDeed[#Headers])))</f>
        <v>75258.000000000029</v>
      </c>
      <c r="X687" s="275">
        <f>IF(tblContractForDeed[[#This Row],[Beg]]&lt;=0,0,tblContractForDeed[[#This Row],[Beg]]-tblContractForDeed[[#This Row],[Princ]])</f>
        <v>0</v>
      </c>
      <c r="Y68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75">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7" s="275">
        <f>IF(INDEX(tblContractForDeed[End Bal],ROW()-ROW(tblBuyerOutputs[#Headers]))&lt;=0,0,($O$6+IF(ROW()=ROW(tblBuyerOutputs[#Headers])+1,0,INDEX(tblBuyerOutputs[Cumul Appr],ROW()-ROW(tblBuyerOutputs[#Headers])-1)))*$O$2/12)</f>
        <v>0</v>
      </c>
      <c r="AE687" s="275">
        <f>IF(INDEX(tblContractForDeed[End Bal],ROW()-ROW(tblBuyerOutputs[#Headers]))&lt;=0,0,IF(ROW()=ROW(tblBuyerOutputs[#Headers])+1,0,INDEX(tblBuyerOutputs[Cumul Appr],ROW()-ROW(tblBuyerOutputs[#Headers])-1))+tblBuyerOutputs[[#This Row],[Monthly Appr]])</f>
        <v>0</v>
      </c>
      <c r="AF687" s="22"/>
      <c r="AG687" s="14"/>
      <c r="AL687"/>
      <c r="AM687" s="14"/>
      <c r="AO687" s="275"/>
      <c r="AQ687" s="14"/>
      <c r="AR687"/>
    </row>
    <row r="688" spans="1:44" x14ac:dyDescent="0.25">
      <c r="A688" s="590" t="str">
        <f t="shared" si="135"/>
        <v/>
      </c>
      <c r="B688" s="275">
        <f t="shared" si="136"/>
        <v>0</v>
      </c>
      <c r="C688" s="14">
        <f t="shared" si="133"/>
        <v>0</v>
      </c>
      <c r="D688" s="14">
        <f t="shared" si="137"/>
        <v>0</v>
      </c>
      <c r="E688" s="14">
        <f t="shared" si="134"/>
        <v>0</v>
      </c>
      <c r="K688" s="275">
        <f t="shared" si="138"/>
        <v>0</v>
      </c>
      <c r="L688" s="386">
        <f t="shared" si="132"/>
        <v>0</v>
      </c>
      <c r="M688" s="386">
        <f t="shared" si="139"/>
        <v>0</v>
      </c>
      <c r="N688" s="590" t="str">
        <f>INDEX(tblSubjectToLoan[Date],ROW()-ROW(tblContractForDeed[#Headers]))</f>
        <v/>
      </c>
      <c r="O688" s="275">
        <f>IF(ROW()=ROW(tblContractForDeed[#Headers])+1,$O$6,IF(INDEX(tblContractForDeed[End Bal],ROW()-ROW(tblContractForDeed[#Headers])-1)&lt;0,0,INDEX(tblContractForDeed[End Bal],ROW()-ROW(tblContractForDeed[#Headers])-1)))</f>
        <v>0</v>
      </c>
      <c r="P688" s="445" t="str">
        <f>IF(tblContractForDeed[[#This Row],[Date]]="","",IF(tblContractForDeed[[#This Row],[Date]]&lt;cfdRateChangeDate,cfdRate1,cfdRate2))</f>
        <v/>
      </c>
      <c r="Q6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75">
        <f>SUM(INDEX(tblContractForDeed[Princ],1):INDEX(tblContractForDeed[Princ],ROW()-ROW(tblContractForDeed[#Headers])))</f>
        <v>75258.000000000029</v>
      </c>
      <c r="X688" s="275">
        <f>IF(tblContractForDeed[[#This Row],[Beg]]&lt;=0,0,tblContractForDeed[[#This Row],[Beg]]-tblContractForDeed[[#This Row],[Princ]])</f>
        <v>0</v>
      </c>
      <c r="Y68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75">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8" s="275">
        <f>IF(INDEX(tblContractForDeed[End Bal],ROW()-ROW(tblBuyerOutputs[#Headers]))&lt;=0,0,($O$6+IF(ROW()=ROW(tblBuyerOutputs[#Headers])+1,0,INDEX(tblBuyerOutputs[Cumul Appr],ROW()-ROW(tblBuyerOutputs[#Headers])-1)))*$O$2/12)</f>
        <v>0</v>
      </c>
      <c r="AE688" s="275">
        <f>IF(INDEX(tblContractForDeed[End Bal],ROW()-ROW(tblBuyerOutputs[#Headers]))&lt;=0,0,IF(ROW()=ROW(tblBuyerOutputs[#Headers])+1,0,INDEX(tblBuyerOutputs[Cumul Appr],ROW()-ROW(tblBuyerOutputs[#Headers])-1))+tblBuyerOutputs[[#This Row],[Monthly Appr]])</f>
        <v>0</v>
      </c>
      <c r="AF688" s="22"/>
      <c r="AG688" s="14"/>
      <c r="AL688"/>
      <c r="AM688" s="14"/>
      <c r="AO688" s="275"/>
      <c r="AQ688" s="14"/>
      <c r="AR688"/>
    </row>
    <row r="689" spans="1:44" x14ac:dyDescent="0.25">
      <c r="A689" s="590" t="str">
        <f t="shared" si="135"/>
        <v/>
      </c>
      <c r="B689" s="275">
        <f t="shared" si="136"/>
        <v>0</v>
      </c>
      <c r="C689" s="14">
        <f t="shared" si="133"/>
        <v>0</v>
      </c>
      <c r="D689" s="14">
        <f t="shared" si="137"/>
        <v>0</v>
      </c>
      <c r="E689" s="14">
        <f t="shared" si="134"/>
        <v>0</v>
      </c>
      <c r="K689" s="275">
        <f t="shared" si="138"/>
        <v>0</v>
      </c>
      <c r="L689" s="386">
        <f t="shared" si="132"/>
        <v>0</v>
      </c>
      <c r="M689" s="386">
        <f t="shared" si="139"/>
        <v>0</v>
      </c>
      <c r="N689" s="590" t="str">
        <f>INDEX(tblSubjectToLoan[Date],ROW()-ROW(tblContractForDeed[#Headers]))</f>
        <v/>
      </c>
      <c r="O689" s="275">
        <f>IF(ROW()=ROW(tblContractForDeed[#Headers])+1,$O$6,IF(INDEX(tblContractForDeed[End Bal],ROW()-ROW(tblContractForDeed[#Headers])-1)&lt;0,0,INDEX(tblContractForDeed[End Bal],ROW()-ROW(tblContractForDeed[#Headers])-1)))</f>
        <v>0</v>
      </c>
      <c r="P689" s="445" t="str">
        <f>IF(tblContractForDeed[[#This Row],[Date]]="","",IF(tblContractForDeed[[#This Row],[Date]]&lt;cfdRateChangeDate,cfdRate1,cfdRate2))</f>
        <v/>
      </c>
      <c r="Q6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75">
        <f>SUM(INDEX(tblContractForDeed[Princ],1):INDEX(tblContractForDeed[Princ],ROW()-ROW(tblContractForDeed[#Headers])))</f>
        <v>75258.000000000029</v>
      </c>
      <c r="X689" s="275">
        <f>IF(tblContractForDeed[[#This Row],[Beg]]&lt;=0,0,tblContractForDeed[[#This Row],[Beg]]-tblContractForDeed[[#This Row],[Princ]])</f>
        <v>0</v>
      </c>
      <c r="Y68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75">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9" s="275">
        <f>IF(INDEX(tblContractForDeed[End Bal],ROW()-ROW(tblBuyerOutputs[#Headers]))&lt;=0,0,($O$6+IF(ROW()=ROW(tblBuyerOutputs[#Headers])+1,0,INDEX(tblBuyerOutputs[Cumul Appr],ROW()-ROW(tblBuyerOutputs[#Headers])-1)))*$O$2/12)</f>
        <v>0</v>
      </c>
      <c r="AE689" s="275">
        <f>IF(INDEX(tblContractForDeed[End Bal],ROW()-ROW(tblBuyerOutputs[#Headers]))&lt;=0,0,IF(ROW()=ROW(tblBuyerOutputs[#Headers])+1,0,INDEX(tblBuyerOutputs[Cumul Appr],ROW()-ROW(tblBuyerOutputs[#Headers])-1))+tblBuyerOutputs[[#This Row],[Monthly Appr]])</f>
        <v>0</v>
      </c>
      <c r="AF689" s="22"/>
      <c r="AG689" s="14"/>
      <c r="AL689"/>
      <c r="AM689" s="14"/>
      <c r="AO689" s="275"/>
      <c r="AQ689" s="14"/>
      <c r="AR689"/>
    </row>
    <row r="690" spans="1:44" x14ac:dyDescent="0.25">
      <c r="A690" s="590" t="str">
        <f t="shared" si="135"/>
        <v/>
      </c>
      <c r="B690" s="275">
        <f t="shared" si="136"/>
        <v>0</v>
      </c>
      <c r="C690" s="14">
        <f t="shared" si="133"/>
        <v>0</v>
      </c>
      <c r="D690" s="14">
        <f t="shared" si="137"/>
        <v>0</v>
      </c>
      <c r="E690" s="14">
        <f t="shared" si="134"/>
        <v>0</v>
      </c>
      <c r="K690" s="275">
        <f t="shared" si="138"/>
        <v>0</v>
      </c>
      <c r="L690" s="386">
        <f t="shared" si="132"/>
        <v>0</v>
      </c>
      <c r="M690" s="386">
        <f t="shared" si="139"/>
        <v>0</v>
      </c>
      <c r="N690" s="590" t="str">
        <f>INDEX(tblSubjectToLoan[Date],ROW()-ROW(tblContractForDeed[#Headers]))</f>
        <v/>
      </c>
      <c r="O690" s="275">
        <f>IF(ROW()=ROW(tblContractForDeed[#Headers])+1,$O$6,IF(INDEX(tblContractForDeed[End Bal],ROW()-ROW(tblContractForDeed[#Headers])-1)&lt;0,0,INDEX(tblContractForDeed[End Bal],ROW()-ROW(tblContractForDeed[#Headers])-1)))</f>
        <v>0</v>
      </c>
      <c r="P690" s="445" t="str">
        <f>IF(tblContractForDeed[[#This Row],[Date]]="","",IF(tblContractForDeed[[#This Row],[Date]]&lt;cfdRateChangeDate,cfdRate1,cfdRate2))</f>
        <v/>
      </c>
      <c r="Q6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75">
        <f>SUM(INDEX(tblContractForDeed[Princ],1):INDEX(tblContractForDeed[Princ],ROW()-ROW(tblContractForDeed[#Headers])))</f>
        <v>75258.000000000029</v>
      </c>
      <c r="X690" s="275">
        <f>IF(tblContractForDeed[[#This Row],[Beg]]&lt;=0,0,tblContractForDeed[[#This Row],[Beg]]-tblContractForDeed[[#This Row],[Princ]])</f>
        <v>0</v>
      </c>
      <c r="Y69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75">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0" s="275">
        <f>IF(INDEX(tblContractForDeed[End Bal],ROW()-ROW(tblBuyerOutputs[#Headers]))&lt;=0,0,($O$6+IF(ROW()=ROW(tblBuyerOutputs[#Headers])+1,0,INDEX(tblBuyerOutputs[Cumul Appr],ROW()-ROW(tblBuyerOutputs[#Headers])-1)))*$O$2/12)</f>
        <v>0</v>
      </c>
      <c r="AE690" s="275">
        <f>IF(INDEX(tblContractForDeed[End Bal],ROW()-ROW(tblBuyerOutputs[#Headers]))&lt;=0,0,IF(ROW()=ROW(tblBuyerOutputs[#Headers])+1,0,INDEX(tblBuyerOutputs[Cumul Appr],ROW()-ROW(tblBuyerOutputs[#Headers])-1))+tblBuyerOutputs[[#This Row],[Monthly Appr]])</f>
        <v>0</v>
      </c>
      <c r="AF690" s="22"/>
      <c r="AG690" s="14"/>
      <c r="AL690"/>
      <c r="AM690" s="14"/>
      <c r="AO690" s="275"/>
      <c r="AQ690" s="14"/>
      <c r="AR690"/>
    </row>
    <row r="691" spans="1:44" ht="15.75" thickBot="1" x14ac:dyDescent="0.3">
      <c r="A691" s="591" t="str">
        <f t="shared" si="135"/>
        <v/>
      </c>
      <c r="B691" s="326">
        <f t="shared" si="136"/>
        <v>0</v>
      </c>
      <c r="C691" s="21">
        <f t="shared" si="133"/>
        <v>0</v>
      </c>
      <c r="D691" s="21">
        <f t="shared" si="137"/>
        <v>0</v>
      </c>
      <c r="E691" s="21">
        <f t="shared" si="134"/>
        <v>0</v>
      </c>
      <c r="F691" s="21"/>
      <c r="G691" s="21"/>
      <c r="H691" s="21"/>
      <c r="I691" s="326"/>
      <c r="J691" s="326"/>
      <c r="K691" s="326">
        <f t="shared" si="138"/>
        <v>0</v>
      </c>
      <c r="L691" s="387">
        <f t="shared" si="132"/>
        <v>0</v>
      </c>
      <c r="M691" s="387">
        <f t="shared" si="139"/>
        <v>0</v>
      </c>
      <c r="N691" s="591" t="str">
        <f>INDEX(tblSubjectToLoan[Date],ROW()-ROW(tblContractForDeed[#Headers]))</f>
        <v/>
      </c>
      <c r="O691" s="326">
        <f>IF(ROW()=ROW(tblContractForDeed[#Headers])+1,$O$6,IF(INDEX(tblContractForDeed[End Bal],ROW()-ROW(tblContractForDeed[#Headers])-1)&lt;0,0,INDEX(tblContractForDeed[End Bal],ROW()-ROW(tblContractForDeed[#Headers])-1)))</f>
        <v>0</v>
      </c>
      <c r="P691" s="445" t="str">
        <f>IF(tblContractForDeed[[#This Row],[Date]]="","",IF(tblContractForDeed[[#This Row],[Date]]&lt;cfdRateChangeDate,cfdRate1,cfdRate2))</f>
        <v/>
      </c>
      <c r="Q69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26">
        <f>SUM(INDEX(tblContractForDeed[Princ],1):INDEX(tblContractForDeed[Princ],ROW()-ROW(tblContractForDeed[#Headers])))</f>
        <v>75258.000000000029</v>
      </c>
      <c r="X691" s="326">
        <f>IF(tblContractForDeed[[#This Row],[Beg]]&lt;=0,0,tblContractForDeed[[#This Row],[Beg]]-tblContractForDeed[[#This Row],[Princ]])</f>
        <v>0</v>
      </c>
      <c r="Y69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26">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1" s="326">
        <f>IF(INDEX(tblContractForDeed[End Bal],ROW()-ROW(tblBuyerOutputs[#Headers]))&lt;=0,0,($O$6+IF(ROW()=ROW(tblBuyerOutputs[#Headers])+1,0,INDEX(tblBuyerOutputs[Cumul Appr],ROW()-ROW(tblBuyerOutputs[#Headers])-1)))*$O$2/12)</f>
        <v>0</v>
      </c>
      <c r="AE691" s="326">
        <f>IF(INDEX(tblContractForDeed[End Bal],ROW()-ROW(tblBuyerOutputs[#Headers]))&lt;=0,0,IF(ROW()=ROW(tblBuyerOutputs[#Headers])+1,0,INDEX(tblBuyerOutputs[Cumul Appr],ROW()-ROW(tblBuyerOutputs[#Headers])-1))+tblBuyerOutputs[[#This Row],[Monthly Appr]])</f>
        <v>0</v>
      </c>
      <c r="AF691" s="22"/>
      <c r="AG691" s="14"/>
      <c r="AL691"/>
      <c r="AM691" s="14"/>
      <c r="AO691" s="275"/>
      <c r="AQ691" s="21"/>
      <c r="AR691"/>
    </row>
    <row r="692" spans="1:44" x14ac:dyDescent="0.25">
      <c r="A692" s="590" t="str">
        <f t="shared" si="135"/>
        <v/>
      </c>
      <c r="B692" s="275">
        <f t="shared" si="136"/>
        <v>0</v>
      </c>
      <c r="C692" s="14">
        <f t="shared" si="133"/>
        <v>0</v>
      </c>
      <c r="D692" s="14">
        <f t="shared" si="137"/>
        <v>0</v>
      </c>
      <c r="E692" s="14">
        <f t="shared" si="134"/>
        <v>0</v>
      </c>
      <c r="K692" s="275">
        <f t="shared" si="138"/>
        <v>0</v>
      </c>
      <c r="L692" s="386">
        <f t="shared" ref="L692:L755" si="140">IF(MOD(M692,12)=0,M692/12,L691)</f>
        <v>0</v>
      </c>
      <c r="M692" s="386">
        <f t="shared" si="139"/>
        <v>0</v>
      </c>
      <c r="N692" s="590" t="str">
        <f>INDEX(tblSubjectToLoan[Date],ROW()-ROW(tblContractForDeed[#Headers]))</f>
        <v/>
      </c>
      <c r="O692" s="275">
        <f>IF(ROW()=ROW(tblContractForDeed[#Headers])+1,$O$6,IF(INDEX(tblContractForDeed[End Bal],ROW()-ROW(tblContractForDeed[#Headers])-1)&lt;0,0,INDEX(tblContractForDeed[End Bal],ROW()-ROW(tblContractForDeed[#Headers])-1)))</f>
        <v>0</v>
      </c>
      <c r="P692" s="445" t="str">
        <f>IF(tblContractForDeed[[#This Row],[Date]]="","",IF(tblContractForDeed[[#This Row],[Date]]&lt;cfdRateChangeDate,cfdRate1,cfdRate2))</f>
        <v/>
      </c>
      <c r="Q6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75">
        <f>SUM(INDEX(tblContractForDeed[Princ],1):INDEX(tblContractForDeed[Princ],ROW()-ROW(tblContractForDeed[#Headers])))</f>
        <v>75258.000000000029</v>
      </c>
      <c r="X692" s="275">
        <f>IF(tblContractForDeed[[#This Row],[Beg]]&lt;=0,0,tblContractForDeed[[#This Row],[Beg]]-tblContractForDeed[[#This Row],[Princ]])</f>
        <v>0</v>
      </c>
      <c r="Y69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75">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2" s="275">
        <f>IF(INDEX(tblContractForDeed[End Bal],ROW()-ROW(tblBuyerOutputs[#Headers]))&lt;=0,0,($O$6+IF(ROW()=ROW(tblBuyerOutputs[#Headers])+1,0,INDEX(tblBuyerOutputs[Cumul Appr],ROW()-ROW(tblBuyerOutputs[#Headers])-1)))*$O$2/12)</f>
        <v>0</v>
      </c>
      <c r="AE692" s="275">
        <f>IF(INDEX(tblContractForDeed[End Bal],ROW()-ROW(tblBuyerOutputs[#Headers]))&lt;=0,0,IF(ROW()=ROW(tblBuyerOutputs[#Headers])+1,0,INDEX(tblBuyerOutputs[Cumul Appr],ROW()-ROW(tblBuyerOutputs[#Headers])-1))+tblBuyerOutputs[[#This Row],[Monthly Appr]])</f>
        <v>0</v>
      </c>
      <c r="AF692" s="22"/>
      <c r="AG692" s="14"/>
      <c r="AL692"/>
      <c r="AM692" s="14"/>
      <c r="AO692" s="275"/>
      <c r="AQ692" s="14"/>
      <c r="AR692"/>
    </row>
    <row r="693" spans="1:44" x14ac:dyDescent="0.25">
      <c r="A693" s="590" t="str">
        <f t="shared" si="135"/>
        <v/>
      </c>
      <c r="B693" s="275">
        <f t="shared" si="136"/>
        <v>0</v>
      </c>
      <c r="C693" s="14">
        <f t="shared" si="133"/>
        <v>0</v>
      </c>
      <c r="D693" s="14">
        <f t="shared" si="137"/>
        <v>0</v>
      </c>
      <c r="E693" s="14">
        <f t="shared" si="134"/>
        <v>0</v>
      </c>
      <c r="K693" s="275">
        <f t="shared" si="138"/>
        <v>0</v>
      </c>
      <c r="L693" s="386">
        <f t="shared" si="140"/>
        <v>0</v>
      </c>
      <c r="M693" s="386">
        <f t="shared" si="139"/>
        <v>0</v>
      </c>
      <c r="N693" s="590" t="str">
        <f>INDEX(tblSubjectToLoan[Date],ROW()-ROW(tblContractForDeed[#Headers]))</f>
        <v/>
      </c>
      <c r="O693" s="275">
        <f>IF(ROW()=ROW(tblContractForDeed[#Headers])+1,$O$6,IF(INDEX(tblContractForDeed[End Bal],ROW()-ROW(tblContractForDeed[#Headers])-1)&lt;0,0,INDEX(tblContractForDeed[End Bal],ROW()-ROW(tblContractForDeed[#Headers])-1)))</f>
        <v>0</v>
      </c>
      <c r="P693" s="445" t="str">
        <f>IF(tblContractForDeed[[#This Row],[Date]]="","",IF(tblContractForDeed[[#This Row],[Date]]&lt;cfdRateChangeDate,cfdRate1,cfdRate2))</f>
        <v/>
      </c>
      <c r="Q6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75">
        <f>SUM(INDEX(tblContractForDeed[Princ],1):INDEX(tblContractForDeed[Princ],ROW()-ROW(tblContractForDeed[#Headers])))</f>
        <v>75258.000000000029</v>
      </c>
      <c r="X693" s="275">
        <f>IF(tblContractForDeed[[#This Row],[Beg]]&lt;=0,0,tblContractForDeed[[#This Row],[Beg]]-tblContractForDeed[[#This Row],[Princ]])</f>
        <v>0</v>
      </c>
      <c r="Y69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75">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3" s="275">
        <f>IF(INDEX(tblContractForDeed[End Bal],ROW()-ROW(tblBuyerOutputs[#Headers]))&lt;=0,0,($O$6+IF(ROW()=ROW(tblBuyerOutputs[#Headers])+1,0,INDEX(tblBuyerOutputs[Cumul Appr],ROW()-ROW(tblBuyerOutputs[#Headers])-1)))*$O$2/12)</f>
        <v>0</v>
      </c>
      <c r="AE693" s="275">
        <f>IF(INDEX(tblContractForDeed[End Bal],ROW()-ROW(tblBuyerOutputs[#Headers]))&lt;=0,0,IF(ROW()=ROW(tblBuyerOutputs[#Headers])+1,0,INDEX(tblBuyerOutputs[Cumul Appr],ROW()-ROW(tblBuyerOutputs[#Headers])-1))+tblBuyerOutputs[[#This Row],[Monthly Appr]])</f>
        <v>0</v>
      </c>
      <c r="AF693" s="22"/>
      <c r="AG693" s="14"/>
      <c r="AL693"/>
      <c r="AM693" s="14"/>
      <c r="AO693" s="275"/>
      <c r="AQ693" s="14"/>
      <c r="AR693"/>
    </row>
    <row r="694" spans="1:44" x14ac:dyDescent="0.25">
      <c r="A694" s="590" t="str">
        <f t="shared" si="135"/>
        <v/>
      </c>
      <c r="B694" s="275">
        <f t="shared" si="136"/>
        <v>0</v>
      </c>
      <c r="C694" s="14">
        <f t="shared" si="133"/>
        <v>0</v>
      </c>
      <c r="D694" s="14">
        <f t="shared" si="137"/>
        <v>0</v>
      </c>
      <c r="E694" s="14">
        <f t="shared" si="134"/>
        <v>0</v>
      </c>
      <c r="K694" s="275">
        <f t="shared" si="138"/>
        <v>0</v>
      </c>
      <c r="L694" s="386">
        <f t="shared" si="140"/>
        <v>0</v>
      </c>
      <c r="M694" s="386">
        <f t="shared" si="139"/>
        <v>0</v>
      </c>
      <c r="N694" s="590" t="str">
        <f>INDEX(tblSubjectToLoan[Date],ROW()-ROW(tblContractForDeed[#Headers]))</f>
        <v/>
      </c>
      <c r="O694" s="275">
        <f>IF(ROW()=ROW(tblContractForDeed[#Headers])+1,$O$6,IF(INDEX(tblContractForDeed[End Bal],ROW()-ROW(tblContractForDeed[#Headers])-1)&lt;0,0,INDEX(tblContractForDeed[End Bal],ROW()-ROW(tblContractForDeed[#Headers])-1)))</f>
        <v>0</v>
      </c>
      <c r="P694" s="445" t="str">
        <f>IF(tblContractForDeed[[#This Row],[Date]]="","",IF(tblContractForDeed[[#This Row],[Date]]&lt;cfdRateChangeDate,cfdRate1,cfdRate2))</f>
        <v/>
      </c>
      <c r="Q6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75">
        <f>SUM(INDEX(tblContractForDeed[Princ],1):INDEX(tblContractForDeed[Princ],ROW()-ROW(tblContractForDeed[#Headers])))</f>
        <v>75258.000000000029</v>
      </c>
      <c r="X694" s="275">
        <f>IF(tblContractForDeed[[#This Row],[Beg]]&lt;=0,0,tblContractForDeed[[#This Row],[Beg]]-tblContractForDeed[[#This Row],[Princ]])</f>
        <v>0</v>
      </c>
      <c r="Y69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75">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4" s="275">
        <f>IF(INDEX(tblContractForDeed[End Bal],ROW()-ROW(tblBuyerOutputs[#Headers]))&lt;=0,0,($O$6+IF(ROW()=ROW(tblBuyerOutputs[#Headers])+1,0,INDEX(tblBuyerOutputs[Cumul Appr],ROW()-ROW(tblBuyerOutputs[#Headers])-1)))*$O$2/12)</f>
        <v>0</v>
      </c>
      <c r="AE694" s="275">
        <f>IF(INDEX(tblContractForDeed[End Bal],ROW()-ROW(tblBuyerOutputs[#Headers]))&lt;=0,0,IF(ROW()=ROW(tblBuyerOutputs[#Headers])+1,0,INDEX(tblBuyerOutputs[Cumul Appr],ROW()-ROW(tblBuyerOutputs[#Headers])-1))+tblBuyerOutputs[[#This Row],[Monthly Appr]])</f>
        <v>0</v>
      </c>
      <c r="AF694" s="22"/>
      <c r="AG694" s="14"/>
      <c r="AL694"/>
      <c r="AM694" s="14"/>
      <c r="AO694" s="275"/>
      <c r="AQ694" s="14"/>
      <c r="AR694"/>
    </row>
    <row r="695" spans="1:44" x14ac:dyDescent="0.25">
      <c r="A695" s="590" t="str">
        <f t="shared" si="135"/>
        <v/>
      </c>
      <c r="B695" s="275">
        <f t="shared" si="136"/>
        <v>0</v>
      </c>
      <c r="C695" s="14">
        <f t="shared" si="133"/>
        <v>0</v>
      </c>
      <c r="D695" s="14">
        <f t="shared" si="137"/>
        <v>0</v>
      </c>
      <c r="E695" s="14">
        <f t="shared" si="134"/>
        <v>0</v>
      </c>
      <c r="K695" s="275">
        <f t="shared" si="138"/>
        <v>0</v>
      </c>
      <c r="L695" s="386">
        <f t="shared" si="140"/>
        <v>0</v>
      </c>
      <c r="M695" s="386">
        <f t="shared" si="139"/>
        <v>0</v>
      </c>
      <c r="N695" s="590" t="str">
        <f>INDEX(tblSubjectToLoan[Date],ROW()-ROW(tblContractForDeed[#Headers]))</f>
        <v/>
      </c>
      <c r="O695" s="275">
        <f>IF(ROW()=ROW(tblContractForDeed[#Headers])+1,$O$6,IF(INDEX(tblContractForDeed[End Bal],ROW()-ROW(tblContractForDeed[#Headers])-1)&lt;0,0,INDEX(tblContractForDeed[End Bal],ROW()-ROW(tblContractForDeed[#Headers])-1)))</f>
        <v>0</v>
      </c>
      <c r="P695" s="445" t="str">
        <f>IF(tblContractForDeed[[#This Row],[Date]]="","",IF(tblContractForDeed[[#This Row],[Date]]&lt;cfdRateChangeDate,cfdRate1,cfdRate2))</f>
        <v/>
      </c>
      <c r="Q69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75">
        <f>SUM(INDEX(tblContractForDeed[Princ],1):INDEX(tblContractForDeed[Princ],ROW()-ROW(tblContractForDeed[#Headers])))</f>
        <v>75258.000000000029</v>
      </c>
      <c r="X695" s="275">
        <f>IF(tblContractForDeed[[#This Row],[Beg]]&lt;=0,0,tblContractForDeed[[#This Row],[Beg]]-tblContractForDeed[[#This Row],[Princ]])</f>
        <v>0</v>
      </c>
      <c r="Y69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75">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5" s="275">
        <f>IF(INDEX(tblContractForDeed[End Bal],ROW()-ROW(tblBuyerOutputs[#Headers]))&lt;=0,0,($O$6+IF(ROW()=ROW(tblBuyerOutputs[#Headers])+1,0,INDEX(tblBuyerOutputs[Cumul Appr],ROW()-ROW(tblBuyerOutputs[#Headers])-1)))*$O$2/12)</f>
        <v>0</v>
      </c>
      <c r="AE695" s="275">
        <f>IF(INDEX(tblContractForDeed[End Bal],ROW()-ROW(tblBuyerOutputs[#Headers]))&lt;=0,0,IF(ROW()=ROW(tblBuyerOutputs[#Headers])+1,0,INDEX(tblBuyerOutputs[Cumul Appr],ROW()-ROW(tblBuyerOutputs[#Headers])-1))+tblBuyerOutputs[[#This Row],[Monthly Appr]])</f>
        <v>0</v>
      </c>
      <c r="AF695" s="22"/>
      <c r="AG695" s="14"/>
      <c r="AL695"/>
      <c r="AM695" s="14"/>
      <c r="AO695" s="275"/>
      <c r="AQ695" s="14"/>
      <c r="AR695"/>
    </row>
    <row r="696" spans="1:44" x14ac:dyDescent="0.25">
      <c r="A696" s="590" t="str">
        <f t="shared" si="135"/>
        <v/>
      </c>
      <c r="B696" s="275">
        <f t="shared" si="136"/>
        <v>0</v>
      </c>
      <c r="C696" s="14">
        <f t="shared" si="133"/>
        <v>0</v>
      </c>
      <c r="D696" s="14">
        <f t="shared" si="137"/>
        <v>0</v>
      </c>
      <c r="E696" s="14">
        <f t="shared" si="134"/>
        <v>0</v>
      </c>
      <c r="K696" s="275">
        <f t="shared" si="138"/>
        <v>0</v>
      </c>
      <c r="L696" s="386">
        <f t="shared" si="140"/>
        <v>0</v>
      </c>
      <c r="M696" s="386">
        <f t="shared" si="139"/>
        <v>0</v>
      </c>
      <c r="N696" s="590" t="str">
        <f>INDEX(tblSubjectToLoan[Date],ROW()-ROW(tblContractForDeed[#Headers]))</f>
        <v/>
      </c>
      <c r="O696" s="275">
        <f>IF(ROW()=ROW(tblContractForDeed[#Headers])+1,$O$6,IF(INDEX(tblContractForDeed[End Bal],ROW()-ROW(tblContractForDeed[#Headers])-1)&lt;0,0,INDEX(tblContractForDeed[End Bal],ROW()-ROW(tblContractForDeed[#Headers])-1)))</f>
        <v>0</v>
      </c>
      <c r="P696" s="445" t="str">
        <f>IF(tblContractForDeed[[#This Row],[Date]]="","",IF(tblContractForDeed[[#This Row],[Date]]&lt;cfdRateChangeDate,cfdRate1,cfdRate2))</f>
        <v/>
      </c>
      <c r="Q6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75">
        <f>SUM(INDEX(tblContractForDeed[Princ],1):INDEX(tblContractForDeed[Princ],ROW()-ROW(tblContractForDeed[#Headers])))</f>
        <v>75258.000000000029</v>
      </c>
      <c r="X696" s="275">
        <f>IF(tblContractForDeed[[#This Row],[Beg]]&lt;=0,0,tblContractForDeed[[#This Row],[Beg]]-tblContractForDeed[[#This Row],[Princ]])</f>
        <v>0</v>
      </c>
      <c r="Y69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75">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6" s="275">
        <f>IF(INDEX(tblContractForDeed[End Bal],ROW()-ROW(tblBuyerOutputs[#Headers]))&lt;=0,0,($O$6+IF(ROW()=ROW(tblBuyerOutputs[#Headers])+1,0,INDEX(tblBuyerOutputs[Cumul Appr],ROW()-ROW(tblBuyerOutputs[#Headers])-1)))*$O$2/12)</f>
        <v>0</v>
      </c>
      <c r="AE696" s="275">
        <f>IF(INDEX(tblContractForDeed[End Bal],ROW()-ROW(tblBuyerOutputs[#Headers]))&lt;=0,0,IF(ROW()=ROW(tblBuyerOutputs[#Headers])+1,0,INDEX(tblBuyerOutputs[Cumul Appr],ROW()-ROW(tblBuyerOutputs[#Headers])-1))+tblBuyerOutputs[[#This Row],[Monthly Appr]])</f>
        <v>0</v>
      </c>
      <c r="AF696" s="22"/>
      <c r="AG696" s="14"/>
      <c r="AL696"/>
      <c r="AM696" s="14"/>
      <c r="AO696" s="275"/>
      <c r="AQ696" s="14"/>
      <c r="AR696"/>
    </row>
    <row r="697" spans="1:44" x14ac:dyDescent="0.25">
      <c r="A697" s="590" t="str">
        <f t="shared" si="135"/>
        <v/>
      </c>
      <c r="B697" s="275">
        <f t="shared" si="136"/>
        <v>0</v>
      </c>
      <c r="C697" s="14">
        <f t="shared" si="133"/>
        <v>0</v>
      </c>
      <c r="D697" s="14">
        <f t="shared" si="137"/>
        <v>0</v>
      </c>
      <c r="E697" s="14">
        <f t="shared" si="134"/>
        <v>0</v>
      </c>
      <c r="K697" s="275">
        <f t="shared" si="138"/>
        <v>0</v>
      </c>
      <c r="L697" s="386">
        <f t="shared" si="140"/>
        <v>0</v>
      </c>
      <c r="M697" s="386">
        <f t="shared" si="139"/>
        <v>0</v>
      </c>
      <c r="N697" s="590" t="str">
        <f>INDEX(tblSubjectToLoan[Date],ROW()-ROW(tblContractForDeed[#Headers]))</f>
        <v/>
      </c>
      <c r="O697" s="275">
        <f>IF(ROW()=ROW(tblContractForDeed[#Headers])+1,$O$6,IF(INDEX(tblContractForDeed[End Bal],ROW()-ROW(tblContractForDeed[#Headers])-1)&lt;0,0,INDEX(tblContractForDeed[End Bal],ROW()-ROW(tblContractForDeed[#Headers])-1)))</f>
        <v>0</v>
      </c>
      <c r="P697" s="445" t="str">
        <f>IF(tblContractForDeed[[#This Row],[Date]]="","",IF(tblContractForDeed[[#This Row],[Date]]&lt;cfdRateChangeDate,cfdRate1,cfdRate2))</f>
        <v/>
      </c>
      <c r="Q6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75">
        <f>SUM(INDEX(tblContractForDeed[Princ],1):INDEX(tblContractForDeed[Princ],ROW()-ROW(tblContractForDeed[#Headers])))</f>
        <v>75258.000000000029</v>
      </c>
      <c r="X697" s="275">
        <f>IF(tblContractForDeed[[#This Row],[Beg]]&lt;=0,0,tblContractForDeed[[#This Row],[Beg]]-tblContractForDeed[[#This Row],[Princ]])</f>
        <v>0</v>
      </c>
      <c r="Y69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75">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7" s="275">
        <f>IF(INDEX(tblContractForDeed[End Bal],ROW()-ROW(tblBuyerOutputs[#Headers]))&lt;=0,0,($O$6+IF(ROW()=ROW(tblBuyerOutputs[#Headers])+1,0,INDEX(tblBuyerOutputs[Cumul Appr],ROW()-ROW(tblBuyerOutputs[#Headers])-1)))*$O$2/12)</f>
        <v>0</v>
      </c>
      <c r="AE697" s="275">
        <f>IF(INDEX(tblContractForDeed[End Bal],ROW()-ROW(tblBuyerOutputs[#Headers]))&lt;=0,0,IF(ROW()=ROW(tblBuyerOutputs[#Headers])+1,0,INDEX(tblBuyerOutputs[Cumul Appr],ROW()-ROW(tblBuyerOutputs[#Headers])-1))+tblBuyerOutputs[[#This Row],[Monthly Appr]])</f>
        <v>0</v>
      </c>
      <c r="AF697" s="22"/>
      <c r="AG697" s="14"/>
      <c r="AL697"/>
      <c r="AM697" s="14"/>
      <c r="AO697" s="275"/>
      <c r="AQ697" s="14"/>
      <c r="AR697"/>
    </row>
    <row r="698" spans="1:44" x14ac:dyDescent="0.25">
      <c r="A698" s="590" t="str">
        <f t="shared" si="135"/>
        <v/>
      </c>
      <c r="B698" s="275">
        <f t="shared" si="136"/>
        <v>0</v>
      </c>
      <c r="C698" s="14">
        <f t="shared" si="133"/>
        <v>0</v>
      </c>
      <c r="D698" s="14">
        <f t="shared" si="137"/>
        <v>0</v>
      </c>
      <c r="E698" s="14">
        <f t="shared" si="134"/>
        <v>0</v>
      </c>
      <c r="K698" s="275">
        <f t="shared" si="138"/>
        <v>0</v>
      </c>
      <c r="L698" s="386">
        <f t="shared" si="140"/>
        <v>0</v>
      </c>
      <c r="M698" s="386">
        <f t="shared" si="139"/>
        <v>0</v>
      </c>
      <c r="N698" s="590" t="str">
        <f>INDEX(tblSubjectToLoan[Date],ROW()-ROW(tblContractForDeed[#Headers]))</f>
        <v/>
      </c>
      <c r="O698" s="275">
        <f>IF(ROW()=ROW(tblContractForDeed[#Headers])+1,$O$6,IF(INDEX(tblContractForDeed[End Bal],ROW()-ROW(tblContractForDeed[#Headers])-1)&lt;0,0,INDEX(tblContractForDeed[End Bal],ROW()-ROW(tblContractForDeed[#Headers])-1)))</f>
        <v>0</v>
      </c>
      <c r="P698" s="445" t="str">
        <f>IF(tblContractForDeed[[#This Row],[Date]]="","",IF(tblContractForDeed[[#This Row],[Date]]&lt;cfdRateChangeDate,cfdRate1,cfdRate2))</f>
        <v/>
      </c>
      <c r="Q6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75">
        <f>SUM(INDEX(tblContractForDeed[Princ],1):INDEX(tblContractForDeed[Princ],ROW()-ROW(tblContractForDeed[#Headers])))</f>
        <v>75258.000000000029</v>
      </c>
      <c r="X698" s="275">
        <f>IF(tblContractForDeed[[#This Row],[Beg]]&lt;=0,0,tblContractForDeed[[#This Row],[Beg]]-tblContractForDeed[[#This Row],[Princ]])</f>
        <v>0</v>
      </c>
      <c r="Y69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75">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8" s="275">
        <f>IF(INDEX(tblContractForDeed[End Bal],ROW()-ROW(tblBuyerOutputs[#Headers]))&lt;=0,0,($O$6+IF(ROW()=ROW(tblBuyerOutputs[#Headers])+1,0,INDEX(tblBuyerOutputs[Cumul Appr],ROW()-ROW(tblBuyerOutputs[#Headers])-1)))*$O$2/12)</f>
        <v>0</v>
      </c>
      <c r="AE698" s="275">
        <f>IF(INDEX(tblContractForDeed[End Bal],ROW()-ROW(tblBuyerOutputs[#Headers]))&lt;=0,0,IF(ROW()=ROW(tblBuyerOutputs[#Headers])+1,0,INDEX(tblBuyerOutputs[Cumul Appr],ROW()-ROW(tblBuyerOutputs[#Headers])-1))+tblBuyerOutputs[[#This Row],[Monthly Appr]])</f>
        <v>0</v>
      </c>
      <c r="AF698" s="22"/>
      <c r="AG698" s="14"/>
      <c r="AL698"/>
      <c r="AM698" s="14"/>
      <c r="AO698" s="275"/>
      <c r="AQ698" s="14"/>
      <c r="AR698"/>
    </row>
    <row r="699" spans="1:44" x14ac:dyDescent="0.25">
      <c r="A699" s="590" t="str">
        <f t="shared" si="135"/>
        <v/>
      </c>
      <c r="B699" s="275">
        <f t="shared" si="136"/>
        <v>0</v>
      </c>
      <c r="C699" s="14">
        <f t="shared" si="133"/>
        <v>0</v>
      </c>
      <c r="D699" s="14">
        <f t="shared" si="137"/>
        <v>0</v>
      </c>
      <c r="E699" s="14">
        <f t="shared" si="134"/>
        <v>0</v>
      </c>
      <c r="K699" s="275">
        <f t="shared" si="138"/>
        <v>0</v>
      </c>
      <c r="L699" s="386">
        <f t="shared" si="140"/>
        <v>0</v>
      </c>
      <c r="M699" s="386">
        <f t="shared" si="139"/>
        <v>0</v>
      </c>
      <c r="N699" s="590" t="str">
        <f>INDEX(tblSubjectToLoan[Date],ROW()-ROW(tblContractForDeed[#Headers]))</f>
        <v/>
      </c>
      <c r="O699" s="275">
        <f>IF(ROW()=ROW(tblContractForDeed[#Headers])+1,$O$6,IF(INDEX(tblContractForDeed[End Bal],ROW()-ROW(tblContractForDeed[#Headers])-1)&lt;0,0,INDEX(tblContractForDeed[End Bal],ROW()-ROW(tblContractForDeed[#Headers])-1)))</f>
        <v>0</v>
      </c>
      <c r="P699" s="445" t="str">
        <f>IF(tblContractForDeed[[#This Row],[Date]]="","",IF(tblContractForDeed[[#This Row],[Date]]&lt;cfdRateChangeDate,cfdRate1,cfdRate2))</f>
        <v/>
      </c>
      <c r="Q69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75">
        <f>SUM(INDEX(tblContractForDeed[Princ],1):INDEX(tblContractForDeed[Princ],ROW()-ROW(tblContractForDeed[#Headers])))</f>
        <v>75258.000000000029</v>
      </c>
      <c r="X699" s="275">
        <f>IF(tblContractForDeed[[#This Row],[Beg]]&lt;=0,0,tblContractForDeed[[#This Row],[Beg]]-tblContractForDeed[[#This Row],[Princ]])</f>
        <v>0</v>
      </c>
      <c r="Y69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75">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9" s="275">
        <f>IF(INDEX(tblContractForDeed[End Bal],ROW()-ROW(tblBuyerOutputs[#Headers]))&lt;=0,0,($O$6+IF(ROW()=ROW(tblBuyerOutputs[#Headers])+1,0,INDEX(tblBuyerOutputs[Cumul Appr],ROW()-ROW(tblBuyerOutputs[#Headers])-1)))*$O$2/12)</f>
        <v>0</v>
      </c>
      <c r="AE699" s="275">
        <f>IF(INDEX(tblContractForDeed[End Bal],ROW()-ROW(tblBuyerOutputs[#Headers]))&lt;=0,0,IF(ROW()=ROW(tblBuyerOutputs[#Headers])+1,0,INDEX(tblBuyerOutputs[Cumul Appr],ROW()-ROW(tblBuyerOutputs[#Headers])-1))+tblBuyerOutputs[[#This Row],[Monthly Appr]])</f>
        <v>0</v>
      </c>
      <c r="AF699" s="22"/>
      <c r="AG699" s="14"/>
      <c r="AL699"/>
      <c r="AM699" s="14"/>
      <c r="AO699" s="275"/>
      <c r="AQ699" s="14"/>
      <c r="AR699"/>
    </row>
    <row r="700" spans="1:44" x14ac:dyDescent="0.25">
      <c r="A700" s="590" t="str">
        <f t="shared" si="135"/>
        <v/>
      </c>
      <c r="B700" s="275">
        <f t="shared" si="136"/>
        <v>0</v>
      </c>
      <c r="C700" s="14">
        <f t="shared" si="133"/>
        <v>0</v>
      </c>
      <c r="D700" s="14">
        <f t="shared" si="137"/>
        <v>0</v>
      </c>
      <c r="E700" s="14">
        <f t="shared" si="134"/>
        <v>0</v>
      </c>
      <c r="K700" s="275">
        <f t="shared" si="138"/>
        <v>0</v>
      </c>
      <c r="L700" s="386">
        <f t="shared" si="140"/>
        <v>0</v>
      </c>
      <c r="M700" s="386">
        <f t="shared" si="139"/>
        <v>0</v>
      </c>
      <c r="N700" s="590" t="str">
        <f>INDEX(tblSubjectToLoan[Date],ROW()-ROW(tblContractForDeed[#Headers]))</f>
        <v/>
      </c>
      <c r="O700" s="275">
        <f>IF(ROW()=ROW(tblContractForDeed[#Headers])+1,$O$6,IF(INDEX(tblContractForDeed[End Bal],ROW()-ROW(tblContractForDeed[#Headers])-1)&lt;0,0,INDEX(tblContractForDeed[End Bal],ROW()-ROW(tblContractForDeed[#Headers])-1)))</f>
        <v>0</v>
      </c>
      <c r="P700" s="445" t="str">
        <f>IF(tblContractForDeed[[#This Row],[Date]]="","",IF(tblContractForDeed[[#This Row],[Date]]&lt;cfdRateChangeDate,cfdRate1,cfdRate2))</f>
        <v/>
      </c>
      <c r="Q7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75">
        <f>SUM(INDEX(tblContractForDeed[Princ],1):INDEX(tblContractForDeed[Princ],ROW()-ROW(tblContractForDeed[#Headers])))</f>
        <v>75258.000000000029</v>
      </c>
      <c r="X700" s="275">
        <f>IF(tblContractForDeed[[#This Row],[Beg]]&lt;=0,0,tblContractForDeed[[#This Row],[Beg]]-tblContractForDeed[[#This Row],[Princ]])</f>
        <v>0</v>
      </c>
      <c r="Y70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75">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0" s="275">
        <f>IF(INDEX(tblContractForDeed[End Bal],ROW()-ROW(tblBuyerOutputs[#Headers]))&lt;=0,0,($O$6+IF(ROW()=ROW(tblBuyerOutputs[#Headers])+1,0,INDEX(tblBuyerOutputs[Cumul Appr],ROW()-ROW(tblBuyerOutputs[#Headers])-1)))*$O$2/12)</f>
        <v>0</v>
      </c>
      <c r="AE700" s="275">
        <f>IF(INDEX(tblContractForDeed[End Bal],ROW()-ROW(tblBuyerOutputs[#Headers]))&lt;=0,0,IF(ROW()=ROW(tblBuyerOutputs[#Headers])+1,0,INDEX(tblBuyerOutputs[Cumul Appr],ROW()-ROW(tblBuyerOutputs[#Headers])-1))+tblBuyerOutputs[[#This Row],[Monthly Appr]])</f>
        <v>0</v>
      </c>
      <c r="AF700" s="22"/>
      <c r="AG700" s="14"/>
      <c r="AL700"/>
      <c r="AM700" s="14"/>
      <c r="AO700" s="275"/>
      <c r="AQ700" s="14"/>
      <c r="AR700"/>
    </row>
    <row r="701" spans="1:44" x14ac:dyDescent="0.25">
      <c r="A701" s="590" t="str">
        <f t="shared" si="135"/>
        <v/>
      </c>
      <c r="B701" s="275">
        <f t="shared" si="136"/>
        <v>0</v>
      </c>
      <c r="C701" s="14">
        <f t="shared" si="133"/>
        <v>0</v>
      </c>
      <c r="D701" s="14">
        <f t="shared" si="137"/>
        <v>0</v>
      </c>
      <c r="E701" s="14">
        <f t="shared" si="134"/>
        <v>0</v>
      </c>
      <c r="K701" s="275">
        <f t="shared" si="138"/>
        <v>0</v>
      </c>
      <c r="L701" s="386">
        <f t="shared" si="140"/>
        <v>0</v>
      </c>
      <c r="M701" s="386">
        <f t="shared" si="139"/>
        <v>0</v>
      </c>
      <c r="N701" s="590" t="str">
        <f>INDEX(tblSubjectToLoan[Date],ROW()-ROW(tblContractForDeed[#Headers]))</f>
        <v/>
      </c>
      <c r="O701" s="275">
        <f>IF(ROW()=ROW(tblContractForDeed[#Headers])+1,$O$6,IF(INDEX(tblContractForDeed[End Bal],ROW()-ROW(tblContractForDeed[#Headers])-1)&lt;0,0,INDEX(tblContractForDeed[End Bal],ROW()-ROW(tblContractForDeed[#Headers])-1)))</f>
        <v>0</v>
      </c>
      <c r="P701" s="445" t="str">
        <f>IF(tblContractForDeed[[#This Row],[Date]]="","",IF(tblContractForDeed[[#This Row],[Date]]&lt;cfdRateChangeDate,cfdRate1,cfdRate2))</f>
        <v/>
      </c>
      <c r="Q7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75">
        <f>SUM(INDEX(tblContractForDeed[Princ],1):INDEX(tblContractForDeed[Princ],ROW()-ROW(tblContractForDeed[#Headers])))</f>
        <v>75258.000000000029</v>
      </c>
      <c r="X701" s="275">
        <f>IF(tblContractForDeed[[#This Row],[Beg]]&lt;=0,0,tblContractForDeed[[#This Row],[Beg]]-tblContractForDeed[[#This Row],[Princ]])</f>
        <v>0</v>
      </c>
      <c r="Y70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75">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1" s="275">
        <f>IF(INDEX(tblContractForDeed[End Bal],ROW()-ROW(tblBuyerOutputs[#Headers]))&lt;=0,0,($O$6+IF(ROW()=ROW(tblBuyerOutputs[#Headers])+1,0,INDEX(tblBuyerOutputs[Cumul Appr],ROW()-ROW(tblBuyerOutputs[#Headers])-1)))*$O$2/12)</f>
        <v>0</v>
      </c>
      <c r="AE701" s="275">
        <f>IF(INDEX(tblContractForDeed[End Bal],ROW()-ROW(tblBuyerOutputs[#Headers]))&lt;=0,0,IF(ROW()=ROW(tblBuyerOutputs[#Headers])+1,0,INDEX(tblBuyerOutputs[Cumul Appr],ROW()-ROW(tblBuyerOutputs[#Headers])-1))+tblBuyerOutputs[[#This Row],[Monthly Appr]])</f>
        <v>0</v>
      </c>
      <c r="AF701" s="22"/>
      <c r="AG701" s="14"/>
      <c r="AL701"/>
      <c r="AM701" s="14"/>
      <c r="AO701" s="275"/>
      <c r="AQ701" s="14"/>
      <c r="AR701"/>
    </row>
    <row r="702" spans="1:44" x14ac:dyDescent="0.25">
      <c r="A702" s="590" t="str">
        <f t="shared" si="135"/>
        <v/>
      </c>
      <c r="B702" s="275">
        <f t="shared" si="136"/>
        <v>0</v>
      </c>
      <c r="C702" s="14">
        <f t="shared" si="133"/>
        <v>0</v>
      </c>
      <c r="D702" s="14">
        <f t="shared" si="137"/>
        <v>0</v>
      </c>
      <c r="E702" s="14">
        <f t="shared" si="134"/>
        <v>0</v>
      </c>
      <c r="K702" s="275">
        <f t="shared" si="138"/>
        <v>0</v>
      </c>
      <c r="L702" s="386">
        <f t="shared" si="140"/>
        <v>0</v>
      </c>
      <c r="M702" s="386">
        <f t="shared" si="139"/>
        <v>0</v>
      </c>
      <c r="N702" s="590" t="str">
        <f>INDEX(tblSubjectToLoan[Date],ROW()-ROW(tblContractForDeed[#Headers]))</f>
        <v/>
      </c>
      <c r="O702" s="275">
        <f>IF(ROW()=ROW(tblContractForDeed[#Headers])+1,$O$6,IF(INDEX(tblContractForDeed[End Bal],ROW()-ROW(tblContractForDeed[#Headers])-1)&lt;0,0,INDEX(tblContractForDeed[End Bal],ROW()-ROW(tblContractForDeed[#Headers])-1)))</f>
        <v>0</v>
      </c>
      <c r="P702" s="445" t="str">
        <f>IF(tblContractForDeed[[#This Row],[Date]]="","",IF(tblContractForDeed[[#This Row],[Date]]&lt;cfdRateChangeDate,cfdRate1,cfdRate2))</f>
        <v/>
      </c>
      <c r="Q7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75">
        <f>SUM(INDEX(tblContractForDeed[Princ],1):INDEX(tblContractForDeed[Princ],ROW()-ROW(tblContractForDeed[#Headers])))</f>
        <v>75258.000000000029</v>
      </c>
      <c r="X702" s="275">
        <f>IF(tblContractForDeed[[#This Row],[Beg]]&lt;=0,0,tblContractForDeed[[#This Row],[Beg]]-tblContractForDeed[[#This Row],[Princ]])</f>
        <v>0</v>
      </c>
      <c r="Y70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75">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2" s="275">
        <f>IF(INDEX(tblContractForDeed[End Bal],ROW()-ROW(tblBuyerOutputs[#Headers]))&lt;=0,0,($O$6+IF(ROW()=ROW(tblBuyerOutputs[#Headers])+1,0,INDEX(tblBuyerOutputs[Cumul Appr],ROW()-ROW(tblBuyerOutputs[#Headers])-1)))*$O$2/12)</f>
        <v>0</v>
      </c>
      <c r="AE702" s="275">
        <f>IF(INDEX(tblContractForDeed[End Bal],ROW()-ROW(tblBuyerOutputs[#Headers]))&lt;=0,0,IF(ROW()=ROW(tblBuyerOutputs[#Headers])+1,0,INDEX(tblBuyerOutputs[Cumul Appr],ROW()-ROW(tblBuyerOutputs[#Headers])-1))+tblBuyerOutputs[[#This Row],[Monthly Appr]])</f>
        <v>0</v>
      </c>
      <c r="AF702" s="22"/>
      <c r="AG702" s="14"/>
      <c r="AL702"/>
      <c r="AM702" s="14"/>
      <c r="AO702" s="275"/>
      <c r="AQ702" s="14"/>
      <c r="AR702"/>
    </row>
    <row r="703" spans="1:44" ht="15.75" thickBot="1" x14ac:dyDescent="0.3">
      <c r="A703" s="591" t="str">
        <f t="shared" si="135"/>
        <v/>
      </c>
      <c r="B703" s="326">
        <f t="shared" si="136"/>
        <v>0</v>
      </c>
      <c r="C703" s="21">
        <f t="shared" si="133"/>
        <v>0</v>
      </c>
      <c r="D703" s="21">
        <f t="shared" si="137"/>
        <v>0</v>
      </c>
      <c r="E703" s="21">
        <f t="shared" si="134"/>
        <v>0</v>
      </c>
      <c r="F703" s="21"/>
      <c r="G703" s="21"/>
      <c r="H703" s="21"/>
      <c r="I703" s="326"/>
      <c r="J703" s="326"/>
      <c r="K703" s="326">
        <f t="shared" si="138"/>
        <v>0</v>
      </c>
      <c r="L703" s="387">
        <f t="shared" si="140"/>
        <v>0</v>
      </c>
      <c r="M703" s="387">
        <f t="shared" si="139"/>
        <v>0</v>
      </c>
      <c r="N703" s="591" t="str">
        <f>INDEX(tblSubjectToLoan[Date],ROW()-ROW(tblContractForDeed[#Headers]))</f>
        <v/>
      </c>
      <c r="O703" s="326">
        <f>IF(ROW()=ROW(tblContractForDeed[#Headers])+1,$O$6,IF(INDEX(tblContractForDeed[End Bal],ROW()-ROW(tblContractForDeed[#Headers])-1)&lt;0,0,INDEX(tblContractForDeed[End Bal],ROW()-ROW(tblContractForDeed[#Headers])-1)))</f>
        <v>0</v>
      </c>
      <c r="P703" s="445" t="str">
        <f>IF(tblContractForDeed[[#This Row],[Date]]="","",IF(tblContractForDeed[[#This Row],[Date]]&lt;cfdRateChangeDate,cfdRate1,cfdRate2))</f>
        <v/>
      </c>
      <c r="Q70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26">
        <f>SUM(INDEX(tblContractForDeed[Princ],1):INDEX(tblContractForDeed[Princ],ROW()-ROW(tblContractForDeed[#Headers])))</f>
        <v>75258.000000000029</v>
      </c>
      <c r="X703" s="326">
        <f>IF(tblContractForDeed[[#This Row],[Beg]]&lt;=0,0,tblContractForDeed[[#This Row],[Beg]]-tblContractForDeed[[#This Row],[Princ]])</f>
        <v>0</v>
      </c>
      <c r="Y70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26">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3" s="326">
        <f>IF(INDEX(tblContractForDeed[End Bal],ROW()-ROW(tblBuyerOutputs[#Headers]))&lt;=0,0,($O$6+IF(ROW()=ROW(tblBuyerOutputs[#Headers])+1,0,INDEX(tblBuyerOutputs[Cumul Appr],ROW()-ROW(tblBuyerOutputs[#Headers])-1)))*$O$2/12)</f>
        <v>0</v>
      </c>
      <c r="AE703" s="326">
        <f>IF(INDEX(tblContractForDeed[End Bal],ROW()-ROW(tblBuyerOutputs[#Headers]))&lt;=0,0,IF(ROW()=ROW(tblBuyerOutputs[#Headers])+1,0,INDEX(tblBuyerOutputs[Cumul Appr],ROW()-ROW(tblBuyerOutputs[#Headers])-1))+tblBuyerOutputs[[#This Row],[Monthly Appr]])</f>
        <v>0</v>
      </c>
      <c r="AF703" s="22"/>
      <c r="AG703" s="14"/>
      <c r="AL703"/>
      <c r="AM703" s="14"/>
      <c r="AO703" s="275"/>
      <c r="AQ703" s="21"/>
      <c r="AR703"/>
    </row>
    <row r="704" spans="1:44" x14ac:dyDescent="0.25">
      <c r="A704" s="590" t="str">
        <f t="shared" si="135"/>
        <v/>
      </c>
      <c r="B704" s="275">
        <f t="shared" si="136"/>
        <v>0</v>
      </c>
      <c r="C704" s="14">
        <f t="shared" si="133"/>
        <v>0</v>
      </c>
      <c r="D704" s="14">
        <f t="shared" si="137"/>
        <v>0</v>
      </c>
      <c r="E704" s="14">
        <f t="shared" si="134"/>
        <v>0</v>
      </c>
      <c r="K704" s="275">
        <f t="shared" si="138"/>
        <v>0</v>
      </c>
      <c r="L704" s="386">
        <f t="shared" si="140"/>
        <v>0</v>
      </c>
      <c r="M704" s="386">
        <f t="shared" si="139"/>
        <v>0</v>
      </c>
      <c r="N704" s="590" t="str">
        <f>INDEX(tblSubjectToLoan[Date],ROW()-ROW(tblContractForDeed[#Headers]))</f>
        <v/>
      </c>
      <c r="O704" s="275">
        <f>IF(ROW()=ROW(tblContractForDeed[#Headers])+1,$O$6,IF(INDEX(tblContractForDeed[End Bal],ROW()-ROW(tblContractForDeed[#Headers])-1)&lt;0,0,INDEX(tblContractForDeed[End Bal],ROW()-ROW(tblContractForDeed[#Headers])-1)))</f>
        <v>0</v>
      </c>
      <c r="P704" s="445" t="str">
        <f>IF(tblContractForDeed[[#This Row],[Date]]="","",IF(tblContractForDeed[[#This Row],[Date]]&lt;cfdRateChangeDate,cfdRate1,cfdRate2))</f>
        <v/>
      </c>
      <c r="Q7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75">
        <f>SUM(INDEX(tblContractForDeed[Princ],1):INDEX(tblContractForDeed[Princ],ROW()-ROW(tblContractForDeed[#Headers])))</f>
        <v>75258.000000000029</v>
      </c>
      <c r="X704" s="275">
        <f>IF(tblContractForDeed[[#This Row],[Beg]]&lt;=0,0,tblContractForDeed[[#This Row],[Beg]]-tblContractForDeed[[#This Row],[Princ]])</f>
        <v>0</v>
      </c>
      <c r="Y70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75">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4" s="275">
        <f>IF(INDEX(tblContractForDeed[End Bal],ROW()-ROW(tblBuyerOutputs[#Headers]))&lt;=0,0,($O$6+IF(ROW()=ROW(tblBuyerOutputs[#Headers])+1,0,INDEX(tblBuyerOutputs[Cumul Appr],ROW()-ROW(tblBuyerOutputs[#Headers])-1)))*$O$2/12)</f>
        <v>0</v>
      </c>
      <c r="AE704" s="275">
        <f>IF(INDEX(tblContractForDeed[End Bal],ROW()-ROW(tblBuyerOutputs[#Headers]))&lt;=0,0,IF(ROW()=ROW(tblBuyerOutputs[#Headers])+1,0,INDEX(tblBuyerOutputs[Cumul Appr],ROW()-ROW(tblBuyerOutputs[#Headers])-1))+tblBuyerOutputs[[#This Row],[Monthly Appr]])</f>
        <v>0</v>
      </c>
      <c r="AF704" s="22"/>
      <c r="AG704" s="14"/>
      <c r="AL704"/>
      <c r="AM704" s="14"/>
      <c r="AO704" s="275"/>
      <c r="AQ704" s="14"/>
      <c r="AR704"/>
    </row>
    <row r="705" spans="1:44" x14ac:dyDescent="0.25">
      <c r="A705" s="590" t="str">
        <f t="shared" si="135"/>
        <v/>
      </c>
      <c r="B705" s="275">
        <f t="shared" si="136"/>
        <v>0</v>
      </c>
      <c r="C705" s="14">
        <f t="shared" si="133"/>
        <v>0</v>
      </c>
      <c r="D705" s="14">
        <f t="shared" si="137"/>
        <v>0</v>
      </c>
      <c r="E705" s="14">
        <f t="shared" si="134"/>
        <v>0</v>
      </c>
      <c r="K705" s="275">
        <f t="shared" si="138"/>
        <v>0</v>
      </c>
      <c r="L705" s="386">
        <f t="shared" si="140"/>
        <v>0</v>
      </c>
      <c r="M705" s="386">
        <f t="shared" si="139"/>
        <v>0</v>
      </c>
      <c r="N705" s="590" t="str">
        <f>INDEX(tblSubjectToLoan[Date],ROW()-ROW(tblContractForDeed[#Headers]))</f>
        <v/>
      </c>
      <c r="O705" s="275">
        <f>IF(ROW()=ROW(tblContractForDeed[#Headers])+1,$O$6,IF(INDEX(tblContractForDeed[End Bal],ROW()-ROW(tblContractForDeed[#Headers])-1)&lt;0,0,INDEX(tblContractForDeed[End Bal],ROW()-ROW(tblContractForDeed[#Headers])-1)))</f>
        <v>0</v>
      </c>
      <c r="P705" s="445" t="str">
        <f>IF(tblContractForDeed[[#This Row],[Date]]="","",IF(tblContractForDeed[[#This Row],[Date]]&lt;cfdRateChangeDate,cfdRate1,cfdRate2))</f>
        <v/>
      </c>
      <c r="Q7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75">
        <f>SUM(INDEX(tblContractForDeed[Princ],1):INDEX(tblContractForDeed[Princ],ROW()-ROW(tblContractForDeed[#Headers])))</f>
        <v>75258.000000000029</v>
      </c>
      <c r="X705" s="275">
        <f>IF(tblContractForDeed[[#This Row],[Beg]]&lt;=0,0,tblContractForDeed[[#This Row],[Beg]]-tblContractForDeed[[#This Row],[Princ]])</f>
        <v>0</v>
      </c>
      <c r="Y70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75">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5" s="275">
        <f>IF(INDEX(tblContractForDeed[End Bal],ROW()-ROW(tblBuyerOutputs[#Headers]))&lt;=0,0,($O$6+IF(ROW()=ROW(tblBuyerOutputs[#Headers])+1,0,INDEX(tblBuyerOutputs[Cumul Appr],ROW()-ROW(tblBuyerOutputs[#Headers])-1)))*$O$2/12)</f>
        <v>0</v>
      </c>
      <c r="AE705" s="275">
        <f>IF(INDEX(tblContractForDeed[End Bal],ROW()-ROW(tblBuyerOutputs[#Headers]))&lt;=0,0,IF(ROW()=ROW(tblBuyerOutputs[#Headers])+1,0,INDEX(tblBuyerOutputs[Cumul Appr],ROW()-ROW(tblBuyerOutputs[#Headers])-1))+tblBuyerOutputs[[#This Row],[Monthly Appr]])</f>
        <v>0</v>
      </c>
      <c r="AF705" s="22"/>
      <c r="AG705" s="14"/>
      <c r="AL705"/>
      <c r="AM705" s="14"/>
      <c r="AO705" s="275"/>
      <c r="AQ705" s="14"/>
      <c r="AR705"/>
    </row>
    <row r="706" spans="1:44" x14ac:dyDescent="0.25">
      <c r="A706" s="590" t="str">
        <f t="shared" si="135"/>
        <v/>
      </c>
      <c r="B706" s="275">
        <f t="shared" si="136"/>
        <v>0</v>
      </c>
      <c r="C706" s="14">
        <f t="shared" si="133"/>
        <v>0</v>
      </c>
      <c r="D706" s="14">
        <f t="shared" si="137"/>
        <v>0</v>
      </c>
      <c r="E706" s="14">
        <f t="shared" si="134"/>
        <v>0</v>
      </c>
      <c r="K706" s="275">
        <f t="shared" si="138"/>
        <v>0</v>
      </c>
      <c r="L706" s="386">
        <f t="shared" si="140"/>
        <v>0</v>
      </c>
      <c r="M706" s="386">
        <f t="shared" si="139"/>
        <v>0</v>
      </c>
      <c r="N706" s="590" t="str">
        <f>INDEX(tblSubjectToLoan[Date],ROW()-ROW(tblContractForDeed[#Headers]))</f>
        <v/>
      </c>
      <c r="O706" s="275">
        <f>IF(ROW()=ROW(tblContractForDeed[#Headers])+1,$O$6,IF(INDEX(tblContractForDeed[End Bal],ROW()-ROW(tblContractForDeed[#Headers])-1)&lt;0,0,INDEX(tblContractForDeed[End Bal],ROW()-ROW(tblContractForDeed[#Headers])-1)))</f>
        <v>0</v>
      </c>
      <c r="P706" s="445" t="str">
        <f>IF(tblContractForDeed[[#This Row],[Date]]="","",IF(tblContractForDeed[[#This Row],[Date]]&lt;cfdRateChangeDate,cfdRate1,cfdRate2))</f>
        <v/>
      </c>
      <c r="Q7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75">
        <f>SUM(INDEX(tblContractForDeed[Princ],1):INDEX(tblContractForDeed[Princ],ROW()-ROW(tblContractForDeed[#Headers])))</f>
        <v>75258.000000000029</v>
      </c>
      <c r="X706" s="275">
        <f>IF(tblContractForDeed[[#This Row],[Beg]]&lt;=0,0,tblContractForDeed[[#This Row],[Beg]]-tblContractForDeed[[#This Row],[Princ]])</f>
        <v>0</v>
      </c>
      <c r="Y70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75">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6" s="275">
        <f>IF(INDEX(tblContractForDeed[End Bal],ROW()-ROW(tblBuyerOutputs[#Headers]))&lt;=0,0,($O$6+IF(ROW()=ROW(tblBuyerOutputs[#Headers])+1,0,INDEX(tblBuyerOutputs[Cumul Appr],ROW()-ROW(tblBuyerOutputs[#Headers])-1)))*$O$2/12)</f>
        <v>0</v>
      </c>
      <c r="AE706" s="275">
        <f>IF(INDEX(tblContractForDeed[End Bal],ROW()-ROW(tblBuyerOutputs[#Headers]))&lt;=0,0,IF(ROW()=ROW(tblBuyerOutputs[#Headers])+1,0,INDEX(tblBuyerOutputs[Cumul Appr],ROW()-ROW(tblBuyerOutputs[#Headers])-1))+tblBuyerOutputs[[#This Row],[Monthly Appr]])</f>
        <v>0</v>
      </c>
      <c r="AF706" s="22"/>
      <c r="AG706" s="14"/>
      <c r="AL706"/>
      <c r="AM706" s="14"/>
      <c r="AO706" s="275"/>
      <c r="AQ706" s="14"/>
      <c r="AR706"/>
    </row>
    <row r="707" spans="1:44" x14ac:dyDescent="0.25">
      <c r="A707" s="590" t="str">
        <f t="shared" si="135"/>
        <v/>
      </c>
      <c r="B707" s="275">
        <f t="shared" si="136"/>
        <v>0</v>
      </c>
      <c r="C707" s="14">
        <f t="shared" si="133"/>
        <v>0</v>
      </c>
      <c r="D707" s="14">
        <f t="shared" si="137"/>
        <v>0</v>
      </c>
      <c r="E707" s="14">
        <f t="shared" si="134"/>
        <v>0</v>
      </c>
      <c r="K707" s="275">
        <f t="shared" si="138"/>
        <v>0</v>
      </c>
      <c r="L707" s="386">
        <f t="shared" si="140"/>
        <v>0</v>
      </c>
      <c r="M707" s="386">
        <f t="shared" si="139"/>
        <v>0</v>
      </c>
      <c r="N707" s="590" t="str">
        <f>INDEX(tblSubjectToLoan[Date],ROW()-ROW(tblContractForDeed[#Headers]))</f>
        <v/>
      </c>
      <c r="O707" s="275">
        <f>IF(ROW()=ROW(tblContractForDeed[#Headers])+1,$O$6,IF(INDEX(tblContractForDeed[End Bal],ROW()-ROW(tblContractForDeed[#Headers])-1)&lt;0,0,INDEX(tblContractForDeed[End Bal],ROW()-ROW(tblContractForDeed[#Headers])-1)))</f>
        <v>0</v>
      </c>
      <c r="P707" s="445" t="str">
        <f>IF(tblContractForDeed[[#This Row],[Date]]="","",IF(tblContractForDeed[[#This Row],[Date]]&lt;cfdRateChangeDate,cfdRate1,cfdRate2))</f>
        <v/>
      </c>
      <c r="Q70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75">
        <f>SUM(INDEX(tblContractForDeed[Princ],1):INDEX(tblContractForDeed[Princ],ROW()-ROW(tblContractForDeed[#Headers])))</f>
        <v>75258.000000000029</v>
      </c>
      <c r="X707" s="275">
        <f>IF(tblContractForDeed[[#This Row],[Beg]]&lt;=0,0,tblContractForDeed[[#This Row],[Beg]]-tblContractForDeed[[#This Row],[Princ]])</f>
        <v>0</v>
      </c>
      <c r="Y70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75">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7" s="275">
        <f>IF(INDEX(tblContractForDeed[End Bal],ROW()-ROW(tblBuyerOutputs[#Headers]))&lt;=0,0,($O$6+IF(ROW()=ROW(tblBuyerOutputs[#Headers])+1,0,INDEX(tblBuyerOutputs[Cumul Appr],ROW()-ROW(tblBuyerOutputs[#Headers])-1)))*$O$2/12)</f>
        <v>0</v>
      </c>
      <c r="AE707" s="275">
        <f>IF(INDEX(tblContractForDeed[End Bal],ROW()-ROW(tblBuyerOutputs[#Headers]))&lt;=0,0,IF(ROW()=ROW(tblBuyerOutputs[#Headers])+1,0,INDEX(tblBuyerOutputs[Cumul Appr],ROW()-ROW(tblBuyerOutputs[#Headers])-1))+tblBuyerOutputs[[#This Row],[Monthly Appr]])</f>
        <v>0</v>
      </c>
      <c r="AF707" s="22"/>
      <c r="AG707" s="14"/>
      <c r="AL707"/>
      <c r="AM707" s="14"/>
      <c r="AO707" s="275"/>
      <c r="AQ707" s="14"/>
      <c r="AR707"/>
    </row>
    <row r="708" spans="1:44" x14ac:dyDescent="0.25">
      <c r="A708" s="590" t="str">
        <f t="shared" si="135"/>
        <v/>
      </c>
      <c r="B708" s="275">
        <f t="shared" si="136"/>
        <v>0</v>
      </c>
      <c r="C708" s="14">
        <f t="shared" si="133"/>
        <v>0</v>
      </c>
      <c r="D708" s="14">
        <f t="shared" si="137"/>
        <v>0</v>
      </c>
      <c r="E708" s="14">
        <f t="shared" si="134"/>
        <v>0</v>
      </c>
      <c r="K708" s="275">
        <f t="shared" si="138"/>
        <v>0</v>
      </c>
      <c r="L708" s="386">
        <f t="shared" si="140"/>
        <v>0</v>
      </c>
      <c r="M708" s="386">
        <f t="shared" si="139"/>
        <v>0</v>
      </c>
      <c r="N708" s="590" t="str">
        <f>INDEX(tblSubjectToLoan[Date],ROW()-ROW(tblContractForDeed[#Headers]))</f>
        <v/>
      </c>
      <c r="O708" s="275">
        <f>IF(ROW()=ROW(tblContractForDeed[#Headers])+1,$O$6,IF(INDEX(tblContractForDeed[End Bal],ROW()-ROW(tblContractForDeed[#Headers])-1)&lt;0,0,INDEX(tblContractForDeed[End Bal],ROW()-ROW(tblContractForDeed[#Headers])-1)))</f>
        <v>0</v>
      </c>
      <c r="P708" s="445" t="str">
        <f>IF(tblContractForDeed[[#This Row],[Date]]="","",IF(tblContractForDeed[[#This Row],[Date]]&lt;cfdRateChangeDate,cfdRate1,cfdRate2))</f>
        <v/>
      </c>
      <c r="Q7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75">
        <f>SUM(INDEX(tblContractForDeed[Princ],1):INDEX(tblContractForDeed[Princ],ROW()-ROW(tblContractForDeed[#Headers])))</f>
        <v>75258.000000000029</v>
      </c>
      <c r="X708" s="275">
        <f>IF(tblContractForDeed[[#This Row],[Beg]]&lt;=0,0,tblContractForDeed[[#This Row],[Beg]]-tblContractForDeed[[#This Row],[Princ]])</f>
        <v>0</v>
      </c>
      <c r="Y70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75">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8" s="275">
        <f>IF(INDEX(tblContractForDeed[End Bal],ROW()-ROW(tblBuyerOutputs[#Headers]))&lt;=0,0,($O$6+IF(ROW()=ROW(tblBuyerOutputs[#Headers])+1,0,INDEX(tblBuyerOutputs[Cumul Appr],ROW()-ROW(tblBuyerOutputs[#Headers])-1)))*$O$2/12)</f>
        <v>0</v>
      </c>
      <c r="AE708" s="275">
        <f>IF(INDEX(tblContractForDeed[End Bal],ROW()-ROW(tblBuyerOutputs[#Headers]))&lt;=0,0,IF(ROW()=ROW(tblBuyerOutputs[#Headers])+1,0,INDEX(tblBuyerOutputs[Cumul Appr],ROW()-ROW(tblBuyerOutputs[#Headers])-1))+tblBuyerOutputs[[#This Row],[Monthly Appr]])</f>
        <v>0</v>
      </c>
      <c r="AF708" s="22"/>
      <c r="AG708" s="14"/>
      <c r="AL708"/>
      <c r="AM708" s="14"/>
      <c r="AO708" s="275"/>
      <c r="AQ708" s="14"/>
      <c r="AR708"/>
    </row>
    <row r="709" spans="1:44" x14ac:dyDescent="0.25">
      <c r="A709" s="590" t="str">
        <f t="shared" si="135"/>
        <v/>
      </c>
      <c r="B709" s="275">
        <f t="shared" si="136"/>
        <v>0</v>
      </c>
      <c r="C709" s="14">
        <f t="shared" si="133"/>
        <v>0</v>
      </c>
      <c r="D709" s="14">
        <f t="shared" si="137"/>
        <v>0</v>
      </c>
      <c r="E709" s="14">
        <f t="shared" si="134"/>
        <v>0</v>
      </c>
      <c r="K709" s="275">
        <f t="shared" si="138"/>
        <v>0</v>
      </c>
      <c r="L709" s="386">
        <f t="shared" si="140"/>
        <v>0</v>
      </c>
      <c r="M709" s="386">
        <f t="shared" si="139"/>
        <v>0</v>
      </c>
      <c r="N709" s="590" t="str">
        <f>INDEX(tblSubjectToLoan[Date],ROW()-ROW(tblContractForDeed[#Headers]))</f>
        <v/>
      </c>
      <c r="O709" s="275">
        <f>IF(ROW()=ROW(tblContractForDeed[#Headers])+1,$O$6,IF(INDEX(tblContractForDeed[End Bal],ROW()-ROW(tblContractForDeed[#Headers])-1)&lt;0,0,INDEX(tblContractForDeed[End Bal],ROW()-ROW(tblContractForDeed[#Headers])-1)))</f>
        <v>0</v>
      </c>
      <c r="P709" s="445" t="str">
        <f>IF(tblContractForDeed[[#This Row],[Date]]="","",IF(tblContractForDeed[[#This Row],[Date]]&lt;cfdRateChangeDate,cfdRate1,cfdRate2))</f>
        <v/>
      </c>
      <c r="Q7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75">
        <f>SUM(INDEX(tblContractForDeed[Princ],1):INDEX(tblContractForDeed[Princ],ROW()-ROW(tblContractForDeed[#Headers])))</f>
        <v>75258.000000000029</v>
      </c>
      <c r="X709" s="275">
        <f>IF(tblContractForDeed[[#This Row],[Beg]]&lt;=0,0,tblContractForDeed[[#This Row],[Beg]]-tblContractForDeed[[#This Row],[Princ]])</f>
        <v>0</v>
      </c>
      <c r="Y70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75">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9" s="275">
        <f>IF(INDEX(tblContractForDeed[End Bal],ROW()-ROW(tblBuyerOutputs[#Headers]))&lt;=0,0,($O$6+IF(ROW()=ROW(tblBuyerOutputs[#Headers])+1,0,INDEX(tblBuyerOutputs[Cumul Appr],ROW()-ROW(tblBuyerOutputs[#Headers])-1)))*$O$2/12)</f>
        <v>0</v>
      </c>
      <c r="AE709" s="275">
        <f>IF(INDEX(tblContractForDeed[End Bal],ROW()-ROW(tblBuyerOutputs[#Headers]))&lt;=0,0,IF(ROW()=ROW(tblBuyerOutputs[#Headers])+1,0,INDEX(tblBuyerOutputs[Cumul Appr],ROW()-ROW(tblBuyerOutputs[#Headers])-1))+tblBuyerOutputs[[#This Row],[Monthly Appr]])</f>
        <v>0</v>
      </c>
      <c r="AF709" s="22"/>
      <c r="AG709" s="14"/>
      <c r="AL709"/>
      <c r="AM709" s="14"/>
      <c r="AO709" s="275"/>
      <c r="AQ709" s="14"/>
      <c r="AR709"/>
    </row>
    <row r="710" spans="1:44" x14ac:dyDescent="0.25">
      <c r="A710" s="590" t="str">
        <f t="shared" si="135"/>
        <v/>
      </c>
      <c r="B710" s="275">
        <f t="shared" si="136"/>
        <v>0</v>
      </c>
      <c r="C710" s="14">
        <f t="shared" si="133"/>
        <v>0</v>
      </c>
      <c r="D710" s="14">
        <f t="shared" si="137"/>
        <v>0</v>
      </c>
      <c r="E710" s="14">
        <f t="shared" si="134"/>
        <v>0</v>
      </c>
      <c r="K710" s="275">
        <f t="shared" si="138"/>
        <v>0</v>
      </c>
      <c r="L710" s="386">
        <f t="shared" si="140"/>
        <v>0</v>
      </c>
      <c r="M710" s="386">
        <f t="shared" si="139"/>
        <v>0</v>
      </c>
      <c r="N710" s="590" t="str">
        <f>INDEX(tblSubjectToLoan[Date],ROW()-ROW(tblContractForDeed[#Headers]))</f>
        <v/>
      </c>
      <c r="O710" s="275">
        <f>IF(ROW()=ROW(tblContractForDeed[#Headers])+1,$O$6,IF(INDEX(tblContractForDeed[End Bal],ROW()-ROW(tblContractForDeed[#Headers])-1)&lt;0,0,INDEX(tblContractForDeed[End Bal],ROW()-ROW(tblContractForDeed[#Headers])-1)))</f>
        <v>0</v>
      </c>
      <c r="P710" s="445" t="str">
        <f>IF(tblContractForDeed[[#This Row],[Date]]="","",IF(tblContractForDeed[[#This Row],[Date]]&lt;cfdRateChangeDate,cfdRate1,cfdRate2))</f>
        <v/>
      </c>
      <c r="Q7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75">
        <f>SUM(INDEX(tblContractForDeed[Princ],1):INDEX(tblContractForDeed[Princ],ROW()-ROW(tblContractForDeed[#Headers])))</f>
        <v>75258.000000000029</v>
      </c>
      <c r="X710" s="275">
        <f>IF(tblContractForDeed[[#This Row],[Beg]]&lt;=0,0,tblContractForDeed[[#This Row],[Beg]]-tblContractForDeed[[#This Row],[Princ]])</f>
        <v>0</v>
      </c>
      <c r="Y71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75">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0" s="275">
        <f>IF(INDEX(tblContractForDeed[End Bal],ROW()-ROW(tblBuyerOutputs[#Headers]))&lt;=0,0,($O$6+IF(ROW()=ROW(tblBuyerOutputs[#Headers])+1,0,INDEX(tblBuyerOutputs[Cumul Appr],ROW()-ROW(tblBuyerOutputs[#Headers])-1)))*$O$2/12)</f>
        <v>0</v>
      </c>
      <c r="AE710" s="275">
        <f>IF(INDEX(tblContractForDeed[End Bal],ROW()-ROW(tblBuyerOutputs[#Headers]))&lt;=0,0,IF(ROW()=ROW(tblBuyerOutputs[#Headers])+1,0,INDEX(tblBuyerOutputs[Cumul Appr],ROW()-ROW(tblBuyerOutputs[#Headers])-1))+tblBuyerOutputs[[#This Row],[Monthly Appr]])</f>
        <v>0</v>
      </c>
      <c r="AF710" s="22"/>
      <c r="AG710" s="14"/>
      <c r="AL710"/>
      <c r="AM710" s="14"/>
      <c r="AO710" s="275"/>
      <c r="AQ710" s="14"/>
      <c r="AR710"/>
    </row>
    <row r="711" spans="1:44" x14ac:dyDescent="0.25">
      <c r="A711" s="590" t="str">
        <f t="shared" si="135"/>
        <v/>
      </c>
      <c r="B711" s="275">
        <f t="shared" si="136"/>
        <v>0</v>
      </c>
      <c r="C711" s="14">
        <f t="shared" si="133"/>
        <v>0</v>
      </c>
      <c r="D711" s="14">
        <f t="shared" si="137"/>
        <v>0</v>
      </c>
      <c r="E711" s="14">
        <f t="shared" si="134"/>
        <v>0</v>
      </c>
      <c r="K711" s="275">
        <f t="shared" si="138"/>
        <v>0</v>
      </c>
      <c r="L711" s="386">
        <f t="shared" si="140"/>
        <v>0</v>
      </c>
      <c r="M711" s="386">
        <f t="shared" si="139"/>
        <v>0</v>
      </c>
      <c r="N711" s="590" t="str">
        <f>INDEX(tblSubjectToLoan[Date],ROW()-ROW(tblContractForDeed[#Headers]))</f>
        <v/>
      </c>
      <c r="O711" s="275">
        <f>IF(ROW()=ROW(tblContractForDeed[#Headers])+1,$O$6,IF(INDEX(tblContractForDeed[End Bal],ROW()-ROW(tblContractForDeed[#Headers])-1)&lt;0,0,INDEX(tblContractForDeed[End Bal],ROW()-ROW(tblContractForDeed[#Headers])-1)))</f>
        <v>0</v>
      </c>
      <c r="P711" s="445" t="str">
        <f>IF(tblContractForDeed[[#This Row],[Date]]="","",IF(tblContractForDeed[[#This Row],[Date]]&lt;cfdRateChangeDate,cfdRate1,cfdRate2))</f>
        <v/>
      </c>
      <c r="Q71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75">
        <f>SUM(INDEX(tblContractForDeed[Princ],1):INDEX(tblContractForDeed[Princ],ROW()-ROW(tblContractForDeed[#Headers])))</f>
        <v>75258.000000000029</v>
      </c>
      <c r="X711" s="275">
        <f>IF(tblContractForDeed[[#This Row],[Beg]]&lt;=0,0,tblContractForDeed[[#This Row],[Beg]]-tblContractForDeed[[#This Row],[Princ]])</f>
        <v>0</v>
      </c>
      <c r="Y71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75">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1" s="275">
        <f>IF(INDEX(tblContractForDeed[End Bal],ROW()-ROW(tblBuyerOutputs[#Headers]))&lt;=0,0,($O$6+IF(ROW()=ROW(tblBuyerOutputs[#Headers])+1,0,INDEX(tblBuyerOutputs[Cumul Appr],ROW()-ROW(tblBuyerOutputs[#Headers])-1)))*$O$2/12)</f>
        <v>0</v>
      </c>
      <c r="AE711" s="275">
        <f>IF(INDEX(tblContractForDeed[End Bal],ROW()-ROW(tblBuyerOutputs[#Headers]))&lt;=0,0,IF(ROW()=ROW(tblBuyerOutputs[#Headers])+1,0,INDEX(tblBuyerOutputs[Cumul Appr],ROW()-ROW(tblBuyerOutputs[#Headers])-1))+tblBuyerOutputs[[#This Row],[Monthly Appr]])</f>
        <v>0</v>
      </c>
      <c r="AF711" s="22"/>
      <c r="AG711" s="14"/>
      <c r="AL711"/>
      <c r="AM711" s="14"/>
      <c r="AO711" s="275"/>
      <c r="AQ711" s="14"/>
      <c r="AR711"/>
    </row>
    <row r="712" spans="1:44" x14ac:dyDescent="0.25">
      <c r="A712" s="590" t="str">
        <f t="shared" si="135"/>
        <v/>
      </c>
      <c r="B712" s="275">
        <f t="shared" si="136"/>
        <v>0</v>
      </c>
      <c r="C712" s="14">
        <f t="shared" si="133"/>
        <v>0</v>
      </c>
      <c r="D712" s="14">
        <f t="shared" si="137"/>
        <v>0</v>
      </c>
      <c r="E712" s="14">
        <f t="shared" si="134"/>
        <v>0</v>
      </c>
      <c r="K712" s="275">
        <f t="shared" si="138"/>
        <v>0</v>
      </c>
      <c r="L712" s="386">
        <f t="shared" si="140"/>
        <v>0</v>
      </c>
      <c r="M712" s="386">
        <f t="shared" si="139"/>
        <v>0</v>
      </c>
      <c r="N712" s="590" t="str">
        <f>INDEX(tblSubjectToLoan[Date],ROW()-ROW(tblContractForDeed[#Headers]))</f>
        <v/>
      </c>
      <c r="O712" s="275">
        <f>IF(ROW()=ROW(tblContractForDeed[#Headers])+1,$O$6,IF(INDEX(tblContractForDeed[End Bal],ROW()-ROW(tblContractForDeed[#Headers])-1)&lt;0,0,INDEX(tblContractForDeed[End Bal],ROW()-ROW(tblContractForDeed[#Headers])-1)))</f>
        <v>0</v>
      </c>
      <c r="P712" s="445" t="str">
        <f>IF(tblContractForDeed[[#This Row],[Date]]="","",IF(tblContractForDeed[[#This Row],[Date]]&lt;cfdRateChangeDate,cfdRate1,cfdRate2))</f>
        <v/>
      </c>
      <c r="Q7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75">
        <f>SUM(INDEX(tblContractForDeed[Princ],1):INDEX(tblContractForDeed[Princ],ROW()-ROW(tblContractForDeed[#Headers])))</f>
        <v>75258.000000000029</v>
      </c>
      <c r="X712" s="275">
        <f>IF(tblContractForDeed[[#This Row],[Beg]]&lt;=0,0,tblContractForDeed[[#This Row],[Beg]]-tblContractForDeed[[#This Row],[Princ]])</f>
        <v>0</v>
      </c>
      <c r="Y71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75">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2" s="275">
        <f>IF(INDEX(tblContractForDeed[End Bal],ROW()-ROW(tblBuyerOutputs[#Headers]))&lt;=0,0,($O$6+IF(ROW()=ROW(tblBuyerOutputs[#Headers])+1,0,INDEX(tblBuyerOutputs[Cumul Appr],ROW()-ROW(tblBuyerOutputs[#Headers])-1)))*$O$2/12)</f>
        <v>0</v>
      </c>
      <c r="AE712" s="275">
        <f>IF(INDEX(tblContractForDeed[End Bal],ROW()-ROW(tblBuyerOutputs[#Headers]))&lt;=0,0,IF(ROW()=ROW(tblBuyerOutputs[#Headers])+1,0,INDEX(tblBuyerOutputs[Cumul Appr],ROW()-ROW(tblBuyerOutputs[#Headers])-1))+tblBuyerOutputs[[#This Row],[Monthly Appr]])</f>
        <v>0</v>
      </c>
      <c r="AF712" s="22"/>
      <c r="AG712" s="14"/>
      <c r="AL712"/>
      <c r="AM712" s="14"/>
      <c r="AO712" s="275"/>
      <c r="AQ712" s="14"/>
      <c r="AR712"/>
    </row>
    <row r="713" spans="1:44" x14ac:dyDescent="0.25">
      <c r="A713" s="590" t="str">
        <f t="shared" si="135"/>
        <v/>
      </c>
      <c r="B713" s="275">
        <f t="shared" si="136"/>
        <v>0</v>
      </c>
      <c r="C713" s="14">
        <f t="shared" si="133"/>
        <v>0</v>
      </c>
      <c r="D713" s="14">
        <f t="shared" si="137"/>
        <v>0</v>
      </c>
      <c r="E713" s="14">
        <f t="shared" si="134"/>
        <v>0</v>
      </c>
      <c r="K713" s="275">
        <f t="shared" si="138"/>
        <v>0</v>
      </c>
      <c r="L713" s="386">
        <f t="shared" si="140"/>
        <v>0</v>
      </c>
      <c r="M713" s="386">
        <f t="shared" si="139"/>
        <v>0</v>
      </c>
      <c r="N713" s="590" t="str">
        <f>INDEX(tblSubjectToLoan[Date],ROW()-ROW(tblContractForDeed[#Headers]))</f>
        <v/>
      </c>
      <c r="O713" s="275">
        <f>IF(ROW()=ROW(tblContractForDeed[#Headers])+1,$O$6,IF(INDEX(tblContractForDeed[End Bal],ROW()-ROW(tblContractForDeed[#Headers])-1)&lt;0,0,INDEX(tblContractForDeed[End Bal],ROW()-ROW(tblContractForDeed[#Headers])-1)))</f>
        <v>0</v>
      </c>
      <c r="P713" s="445" t="str">
        <f>IF(tblContractForDeed[[#This Row],[Date]]="","",IF(tblContractForDeed[[#This Row],[Date]]&lt;cfdRateChangeDate,cfdRate1,cfdRate2))</f>
        <v/>
      </c>
      <c r="Q7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75">
        <f>SUM(INDEX(tblContractForDeed[Princ],1):INDEX(tblContractForDeed[Princ],ROW()-ROW(tblContractForDeed[#Headers])))</f>
        <v>75258.000000000029</v>
      </c>
      <c r="X713" s="275">
        <f>IF(tblContractForDeed[[#This Row],[Beg]]&lt;=0,0,tblContractForDeed[[#This Row],[Beg]]-tblContractForDeed[[#This Row],[Princ]])</f>
        <v>0</v>
      </c>
      <c r="Y71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75">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3" s="275">
        <f>IF(INDEX(tblContractForDeed[End Bal],ROW()-ROW(tblBuyerOutputs[#Headers]))&lt;=0,0,($O$6+IF(ROW()=ROW(tblBuyerOutputs[#Headers])+1,0,INDEX(tblBuyerOutputs[Cumul Appr],ROW()-ROW(tblBuyerOutputs[#Headers])-1)))*$O$2/12)</f>
        <v>0</v>
      </c>
      <c r="AE713" s="275">
        <f>IF(INDEX(tblContractForDeed[End Bal],ROW()-ROW(tblBuyerOutputs[#Headers]))&lt;=0,0,IF(ROW()=ROW(tblBuyerOutputs[#Headers])+1,0,INDEX(tblBuyerOutputs[Cumul Appr],ROW()-ROW(tblBuyerOutputs[#Headers])-1))+tblBuyerOutputs[[#This Row],[Monthly Appr]])</f>
        <v>0</v>
      </c>
      <c r="AF713" s="22"/>
      <c r="AG713" s="14"/>
      <c r="AL713"/>
      <c r="AM713" s="14"/>
      <c r="AO713" s="275"/>
      <c r="AQ713" s="14"/>
      <c r="AR713"/>
    </row>
    <row r="714" spans="1:44" x14ac:dyDescent="0.25">
      <c r="A714" s="590" t="str">
        <f t="shared" si="135"/>
        <v/>
      </c>
      <c r="B714" s="275">
        <f t="shared" si="136"/>
        <v>0</v>
      </c>
      <c r="C714" s="14">
        <f t="shared" si="133"/>
        <v>0</v>
      </c>
      <c r="D714" s="14">
        <f t="shared" si="137"/>
        <v>0</v>
      </c>
      <c r="E714" s="14">
        <f t="shared" si="134"/>
        <v>0</v>
      </c>
      <c r="K714" s="275">
        <f t="shared" si="138"/>
        <v>0</v>
      </c>
      <c r="L714" s="386">
        <f t="shared" si="140"/>
        <v>0</v>
      </c>
      <c r="M714" s="386">
        <f t="shared" si="139"/>
        <v>0</v>
      </c>
      <c r="N714" s="590" t="str">
        <f>INDEX(tblSubjectToLoan[Date],ROW()-ROW(tblContractForDeed[#Headers]))</f>
        <v/>
      </c>
      <c r="O714" s="275">
        <f>IF(ROW()=ROW(tblContractForDeed[#Headers])+1,$O$6,IF(INDEX(tblContractForDeed[End Bal],ROW()-ROW(tblContractForDeed[#Headers])-1)&lt;0,0,INDEX(tblContractForDeed[End Bal],ROW()-ROW(tblContractForDeed[#Headers])-1)))</f>
        <v>0</v>
      </c>
      <c r="P714" s="445" t="str">
        <f>IF(tblContractForDeed[[#This Row],[Date]]="","",IF(tblContractForDeed[[#This Row],[Date]]&lt;cfdRateChangeDate,cfdRate1,cfdRate2))</f>
        <v/>
      </c>
      <c r="Q7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75">
        <f>SUM(INDEX(tblContractForDeed[Princ],1):INDEX(tblContractForDeed[Princ],ROW()-ROW(tblContractForDeed[#Headers])))</f>
        <v>75258.000000000029</v>
      </c>
      <c r="X714" s="275">
        <f>IF(tblContractForDeed[[#This Row],[Beg]]&lt;=0,0,tblContractForDeed[[#This Row],[Beg]]-tblContractForDeed[[#This Row],[Princ]])</f>
        <v>0</v>
      </c>
      <c r="Y71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75">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4" s="275">
        <f>IF(INDEX(tblContractForDeed[End Bal],ROW()-ROW(tblBuyerOutputs[#Headers]))&lt;=0,0,($O$6+IF(ROW()=ROW(tblBuyerOutputs[#Headers])+1,0,INDEX(tblBuyerOutputs[Cumul Appr],ROW()-ROW(tblBuyerOutputs[#Headers])-1)))*$O$2/12)</f>
        <v>0</v>
      </c>
      <c r="AE714" s="275">
        <f>IF(INDEX(tblContractForDeed[End Bal],ROW()-ROW(tblBuyerOutputs[#Headers]))&lt;=0,0,IF(ROW()=ROW(tblBuyerOutputs[#Headers])+1,0,INDEX(tblBuyerOutputs[Cumul Appr],ROW()-ROW(tblBuyerOutputs[#Headers])-1))+tblBuyerOutputs[[#This Row],[Monthly Appr]])</f>
        <v>0</v>
      </c>
      <c r="AF714" s="22"/>
      <c r="AG714" s="14"/>
      <c r="AL714"/>
      <c r="AM714" s="14"/>
      <c r="AO714" s="275"/>
      <c r="AQ714" s="14"/>
      <c r="AR714"/>
    </row>
    <row r="715" spans="1:44" ht="15.75" thickBot="1" x14ac:dyDescent="0.3">
      <c r="A715" s="591" t="str">
        <f t="shared" si="135"/>
        <v/>
      </c>
      <c r="B715" s="326">
        <f t="shared" si="136"/>
        <v>0</v>
      </c>
      <c r="C715" s="21">
        <f t="shared" si="133"/>
        <v>0</v>
      </c>
      <c r="D715" s="21">
        <f t="shared" si="137"/>
        <v>0</v>
      </c>
      <c r="E715" s="21">
        <f t="shared" si="134"/>
        <v>0</v>
      </c>
      <c r="F715" s="21"/>
      <c r="G715" s="21"/>
      <c r="H715" s="21"/>
      <c r="I715" s="326"/>
      <c r="J715" s="326"/>
      <c r="K715" s="326">
        <f t="shared" si="138"/>
        <v>0</v>
      </c>
      <c r="L715" s="387">
        <f t="shared" si="140"/>
        <v>0</v>
      </c>
      <c r="M715" s="387">
        <f t="shared" si="139"/>
        <v>0</v>
      </c>
      <c r="N715" s="591" t="str">
        <f>INDEX(tblSubjectToLoan[Date],ROW()-ROW(tblContractForDeed[#Headers]))</f>
        <v/>
      </c>
      <c r="O715" s="326">
        <f>IF(ROW()=ROW(tblContractForDeed[#Headers])+1,$O$6,IF(INDEX(tblContractForDeed[End Bal],ROW()-ROW(tblContractForDeed[#Headers])-1)&lt;0,0,INDEX(tblContractForDeed[End Bal],ROW()-ROW(tblContractForDeed[#Headers])-1)))</f>
        <v>0</v>
      </c>
      <c r="P715" s="445" t="str">
        <f>IF(tblContractForDeed[[#This Row],[Date]]="","",IF(tblContractForDeed[[#This Row],[Date]]&lt;cfdRateChangeDate,cfdRate1,cfdRate2))</f>
        <v/>
      </c>
      <c r="Q71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26">
        <f>SUM(INDEX(tblContractForDeed[Princ],1):INDEX(tblContractForDeed[Princ],ROW()-ROW(tblContractForDeed[#Headers])))</f>
        <v>75258.000000000029</v>
      </c>
      <c r="X715" s="326">
        <f>IF(tblContractForDeed[[#This Row],[Beg]]&lt;=0,0,tblContractForDeed[[#This Row],[Beg]]-tblContractForDeed[[#This Row],[Princ]])</f>
        <v>0</v>
      </c>
      <c r="Y71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26">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5" s="326">
        <f>IF(INDEX(tblContractForDeed[End Bal],ROW()-ROW(tblBuyerOutputs[#Headers]))&lt;=0,0,($O$6+IF(ROW()=ROW(tblBuyerOutputs[#Headers])+1,0,INDEX(tblBuyerOutputs[Cumul Appr],ROW()-ROW(tblBuyerOutputs[#Headers])-1)))*$O$2/12)</f>
        <v>0</v>
      </c>
      <c r="AE715" s="326">
        <f>IF(INDEX(tblContractForDeed[End Bal],ROW()-ROW(tblBuyerOutputs[#Headers]))&lt;=0,0,IF(ROW()=ROW(tblBuyerOutputs[#Headers])+1,0,INDEX(tblBuyerOutputs[Cumul Appr],ROW()-ROW(tblBuyerOutputs[#Headers])-1))+tblBuyerOutputs[[#This Row],[Monthly Appr]])</f>
        <v>0</v>
      </c>
      <c r="AF715" s="22"/>
      <c r="AG715" s="14"/>
      <c r="AL715"/>
      <c r="AM715" s="14"/>
      <c r="AO715" s="275"/>
      <c r="AQ715" s="21"/>
      <c r="AR715"/>
    </row>
    <row r="716" spans="1:44" x14ac:dyDescent="0.25">
      <c r="A716" s="590" t="str">
        <f t="shared" si="135"/>
        <v/>
      </c>
      <c r="B716" s="275">
        <f t="shared" si="136"/>
        <v>0</v>
      </c>
      <c r="C716" s="14">
        <f t="shared" si="133"/>
        <v>0</v>
      </c>
      <c r="D716" s="14">
        <f t="shared" si="137"/>
        <v>0</v>
      </c>
      <c r="E716" s="14">
        <f t="shared" si="134"/>
        <v>0</v>
      </c>
      <c r="K716" s="275">
        <f t="shared" si="138"/>
        <v>0</v>
      </c>
      <c r="L716" s="386">
        <f t="shared" si="140"/>
        <v>0</v>
      </c>
      <c r="M716" s="386">
        <f t="shared" si="139"/>
        <v>0</v>
      </c>
      <c r="N716" s="590" t="str">
        <f>INDEX(tblSubjectToLoan[Date],ROW()-ROW(tblContractForDeed[#Headers]))</f>
        <v/>
      </c>
      <c r="O716" s="275">
        <f>IF(ROW()=ROW(tblContractForDeed[#Headers])+1,$O$6,IF(INDEX(tblContractForDeed[End Bal],ROW()-ROW(tblContractForDeed[#Headers])-1)&lt;0,0,INDEX(tblContractForDeed[End Bal],ROW()-ROW(tblContractForDeed[#Headers])-1)))</f>
        <v>0</v>
      </c>
      <c r="P716" s="445" t="str">
        <f>IF(tblContractForDeed[[#This Row],[Date]]="","",IF(tblContractForDeed[[#This Row],[Date]]&lt;cfdRateChangeDate,cfdRate1,cfdRate2))</f>
        <v/>
      </c>
      <c r="Q7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75">
        <f>SUM(INDEX(tblContractForDeed[Princ],1):INDEX(tblContractForDeed[Princ],ROW()-ROW(tblContractForDeed[#Headers])))</f>
        <v>75258.000000000029</v>
      </c>
      <c r="X716" s="275">
        <f>IF(tblContractForDeed[[#This Row],[Beg]]&lt;=0,0,tblContractForDeed[[#This Row],[Beg]]-tblContractForDeed[[#This Row],[Princ]])</f>
        <v>0</v>
      </c>
      <c r="Y71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75">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6" s="275">
        <f>IF(INDEX(tblContractForDeed[End Bal],ROW()-ROW(tblBuyerOutputs[#Headers]))&lt;=0,0,($O$6+IF(ROW()=ROW(tblBuyerOutputs[#Headers])+1,0,INDEX(tblBuyerOutputs[Cumul Appr],ROW()-ROW(tblBuyerOutputs[#Headers])-1)))*$O$2/12)</f>
        <v>0</v>
      </c>
      <c r="AE716" s="275">
        <f>IF(INDEX(tblContractForDeed[End Bal],ROW()-ROW(tblBuyerOutputs[#Headers]))&lt;=0,0,IF(ROW()=ROW(tblBuyerOutputs[#Headers])+1,0,INDEX(tblBuyerOutputs[Cumul Appr],ROW()-ROW(tblBuyerOutputs[#Headers])-1))+tblBuyerOutputs[[#This Row],[Monthly Appr]])</f>
        <v>0</v>
      </c>
      <c r="AF716" s="22"/>
      <c r="AG716" s="14"/>
      <c r="AL716"/>
      <c r="AM716" s="14"/>
      <c r="AO716" s="275"/>
      <c r="AQ716" s="14"/>
      <c r="AR716"/>
    </row>
    <row r="717" spans="1:44" x14ac:dyDescent="0.25">
      <c r="A717" s="590" t="str">
        <f t="shared" si="135"/>
        <v/>
      </c>
      <c r="B717" s="275">
        <f t="shared" si="136"/>
        <v>0</v>
      </c>
      <c r="C717" s="14">
        <f t="shared" si="133"/>
        <v>0</v>
      </c>
      <c r="D717" s="14">
        <f t="shared" si="137"/>
        <v>0</v>
      </c>
      <c r="E717" s="14">
        <f t="shared" si="134"/>
        <v>0</v>
      </c>
      <c r="K717" s="275">
        <f t="shared" si="138"/>
        <v>0</v>
      </c>
      <c r="L717" s="386">
        <f t="shared" si="140"/>
        <v>0</v>
      </c>
      <c r="M717" s="386">
        <f t="shared" si="139"/>
        <v>0</v>
      </c>
      <c r="N717" s="590" t="str">
        <f>INDEX(tblSubjectToLoan[Date],ROW()-ROW(tblContractForDeed[#Headers]))</f>
        <v/>
      </c>
      <c r="O717" s="275">
        <f>IF(ROW()=ROW(tblContractForDeed[#Headers])+1,$O$6,IF(INDEX(tblContractForDeed[End Bal],ROW()-ROW(tblContractForDeed[#Headers])-1)&lt;0,0,INDEX(tblContractForDeed[End Bal],ROW()-ROW(tblContractForDeed[#Headers])-1)))</f>
        <v>0</v>
      </c>
      <c r="P717" s="445" t="str">
        <f>IF(tblContractForDeed[[#This Row],[Date]]="","",IF(tblContractForDeed[[#This Row],[Date]]&lt;cfdRateChangeDate,cfdRate1,cfdRate2))</f>
        <v/>
      </c>
      <c r="Q7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75">
        <f>SUM(INDEX(tblContractForDeed[Princ],1):INDEX(tblContractForDeed[Princ],ROW()-ROW(tblContractForDeed[#Headers])))</f>
        <v>75258.000000000029</v>
      </c>
      <c r="X717" s="275">
        <f>IF(tblContractForDeed[[#This Row],[Beg]]&lt;=0,0,tblContractForDeed[[#This Row],[Beg]]-tblContractForDeed[[#This Row],[Princ]])</f>
        <v>0</v>
      </c>
      <c r="Y71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75">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7" s="275">
        <f>IF(INDEX(tblContractForDeed[End Bal],ROW()-ROW(tblBuyerOutputs[#Headers]))&lt;=0,0,($O$6+IF(ROW()=ROW(tblBuyerOutputs[#Headers])+1,0,INDEX(tblBuyerOutputs[Cumul Appr],ROW()-ROW(tblBuyerOutputs[#Headers])-1)))*$O$2/12)</f>
        <v>0</v>
      </c>
      <c r="AE717" s="275">
        <f>IF(INDEX(tblContractForDeed[End Bal],ROW()-ROW(tblBuyerOutputs[#Headers]))&lt;=0,0,IF(ROW()=ROW(tblBuyerOutputs[#Headers])+1,0,INDEX(tblBuyerOutputs[Cumul Appr],ROW()-ROW(tblBuyerOutputs[#Headers])-1))+tblBuyerOutputs[[#This Row],[Monthly Appr]])</f>
        <v>0</v>
      </c>
      <c r="AF717" s="22"/>
      <c r="AG717" s="14"/>
      <c r="AL717"/>
      <c r="AM717" s="14"/>
      <c r="AO717" s="275"/>
      <c r="AQ717" s="14"/>
      <c r="AR717"/>
    </row>
    <row r="718" spans="1:44" x14ac:dyDescent="0.25">
      <c r="A718" s="590" t="str">
        <f t="shared" si="135"/>
        <v/>
      </c>
      <c r="B718" s="275">
        <f t="shared" si="136"/>
        <v>0</v>
      </c>
      <c r="C718" s="14">
        <f t="shared" si="133"/>
        <v>0</v>
      </c>
      <c r="D718" s="14">
        <f t="shared" si="137"/>
        <v>0</v>
      </c>
      <c r="E718" s="14">
        <f t="shared" si="134"/>
        <v>0</v>
      </c>
      <c r="K718" s="275">
        <f t="shared" si="138"/>
        <v>0</v>
      </c>
      <c r="L718" s="386">
        <f t="shared" si="140"/>
        <v>0</v>
      </c>
      <c r="M718" s="386">
        <f t="shared" si="139"/>
        <v>0</v>
      </c>
      <c r="N718" s="590" t="str">
        <f>INDEX(tblSubjectToLoan[Date],ROW()-ROW(tblContractForDeed[#Headers]))</f>
        <v/>
      </c>
      <c r="O718" s="275">
        <f>IF(ROW()=ROW(tblContractForDeed[#Headers])+1,$O$6,IF(INDEX(tblContractForDeed[End Bal],ROW()-ROW(tblContractForDeed[#Headers])-1)&lt;0,0,INDEX(tblContractForDeed[End Bal],ROW()-ROW(tblContractForDeed[#Headers])-1)))</f>
        <v>0</v>
      </c>
      <c r="P718" s="445" t="str">
        <f>IF(tblContractForDeed[[#This Row],[Date]]="","",IF(tblContractForDeed[[#This Row],[Date]]&lt;cfdRateChangeDate,cfdRate1,cfdRate2))</f>
        <v/>
      </c>
      <c r="Q7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75">
        <f>SUM(INDEX(tblContractForDeed[Princ],1):INDEX(tblContractForDeed[Princ],ROW()-ROW(tblContractForDeed[#Headers])))</f>
        <v>75258.000000000029</v>
      </c>
      <c r="X718" s="275">
        <f>IF(tblContractForDeed[[#This Row],[Beg]]&lt;=0,0,tblContractForDeed[[#This Row],[Beg]]-tblContractForDeed[[#This Row],[Princ]])</f>
        <v>0</v>
      </c>
      <c r="Y71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75">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8" s="275">
        <f>IF(INDEX(tblContractForDeed[End Bal],ROW()-ROW(tblBuyerOutputs[#Headers]))&lt;=0,0,($O$6+IF(ROW()=ROW(tblBuyerOutputs[#Headers])+1,0,INDEX(tblBuyerOutputs[Cumul Appr],ROW()-ROW(tblBuyerOutputs[#Headers])-1)))*$O$2/12)</f>
        <v>0</v>
      </c>
      <c r="AE718" s="275">
        <f>IF(INDEX(tblContractForDeed[End Bal],ROW()-ROW(tblBuyerOutputs[#Headers]))&lt;=0,0,IF(ROW()=ROW(tblBuyerOutputs[#Headers])+1,0,INDEX(tblBuyerOutputs[Cumul Appr],ROW()-ROW(tblBuyerOutputs[#Headers])-1))+tblBuyerOutputs[[#This Row],[Monthly Appr]])</f>
        <v>0</v>
      </c>
      <c r="AF718" s="22"/>
      <c r="AG718" s="14"/>
      <c r="AL718"/>
      <c r="AM718" s="14"/>
      <c r="AO718" s="275"/>
      <c r="AQ718" s="14"/>
      <c r="AR718"/>
    </row>
    <row r="719" spans="1:44" x14ac:dyDescent="0.25">
      <c r="A719" s="590" t="str">
        <f t="shared" si="135"/>
        <v/>
      </c>
      <c r="B719" s="275">
        <f t="shared" si="136"/>
        <v>0</v>
      </c>
      <c r="C719" s="14">
        <f t="shared" si="133"/>
        <v>0</v>
      </c>
      <c r="D719" s="14">
        <f t="shared" si="137"/>
        <v>0</v>
      </c>
      <c r="E719" s="14">
        <f t="shared" si="134"/>
        <v>0</v>
      </c>
      <c r="K719" s="275">
        <f t="shared" si="138"/>
        <v>0</v>
      </c>
      <c r="L719" s="386">
        <f t="shared" si="140"/>
        <v>0</v>
      </c>
      <c r="M719" s="386">
        <f t="shared" si="139"/>
        <v>0</v>
      </c>
      <c r="N719" s="590" t="str">
        <f>INDEX(tblSubjectToLoan[Date],ROW()-ROW(tblContractForDeed[#Headers]))</f>
        <v/>
      </c>
      <c r="O719" s="275">
        <f>IF(ROW()=ROW(tblContractForDeed[#Headers])+1,$O$6,IF(INDEX(tblContractForDeed[End Bal],ROW()-ROW(tblContractForDeed[#Headers])-1)&lt;0,0,INDEX(tblContractForDeed[End Bal],ROW()-ROW(tblContractForDeed[#Headers])-1)))</f>
        <v>0</v>
      </c>
      <c r="P719" s="445" t="str">
        <f>IF(tblContractForDeed[[#This Row],[Date]]="","",IF(tblContractForDeed[[#This Row],[Date]]&lt;cfdRateChangeDate,cfdRate1,cfdRate2))</f>
        <v/>
      </c>
      <c r="Q71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75">
        <f>SUM(INDEX(tblContractForDeed[Princ],1):INDEX(tblContractForDeed[Princ],ROW()-ROW(tblContractForDeed[#Headers])))</f>
        <v>75258.000000000029</v>
      </c>
      <c r="X719" s="275">
        <f>IF(tblContractForDeed[[#This Row],[Beg]]&lt;=0,0,tblContractForDeed[[#This Row],[Beg]]-tblContractForDeed[[#This Row],[Princ]])</f>
        <v>0</v>
      </c>
      <c r="Y71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75">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9" s="275">
        <f>IF(INDEX(tblContractForDeed[End Bal],ROW()-ROW(tblBuyerOutputs[#Headers]))&lt;=0,0,($O$6+IF(ROW()=ROW(tblBuyerOutputs[#Headers])+1,0,INDEX(tblBuyerOutputs[Cumul Appr],ROW()-ROW(tblBuyerOutputs[#Headers])-1)))*$O$2/12)</f>
        <v>0</v>
      </c>
      <c r="AE719" s="275">
        <f>IF(INDEX(tblContractForDeed[End Bal],ROW()-ROW(tblBuyerOutputs[#Headers]))&lt;=0,0,IF(ROW()=ROW(tblBuyerOutputs[#Headers])+1,0,INDEX(tblBuyerOutputs[Cumul Appr],ROW()-ROW(tblBuyerOutputs[#Headers])-1))+tblBuyerOutputs[[#This Row],[Monthly Appr]])</f>
        <v>0</v>
      </c>
      <c r="AF719" s="22"/>
      <c r="AG719" s="14"/>
      <c r="AL719"/>
      <c r="AM719" s="14"/>
      <c r="AO719" s="275"/>
      <c r="AQ719" s="14"/>
      <c r="AR719"/>
    </row>
    <row r="720" spans="1:44" x14ac:dyDescent="0.25">
      <c r="A720" s="590" t="str">
        <f t="shared" si="135"/>
        <v/>
      </c>
      <c r="B720" s="275">
        <f t="shared" si="136"/>
        <v>0</v>
      </c>
      <c r="C720" s="14">
        <f t="shared" si="133"/>
        <v>0</v>
      </c>
      <c r="D720" s="14">
        <f t="shared" si="137"/>
        <v>0</v>
      </c>
      <c r="E720" s="14">
        <f t="shared" si="134"/>
        <v>0</v>
      </c>
      <c r="K720" s="275">
        <f t="shared" si="138"/>
        <v>0</v>
      </c>
      <c r="L720" s="386">
        <f t="shared" si="140"/>
        <v>0</v>
      </c>
      <c r="M720" s="386">
        <f t="shared" si="139"/>
        <v>0</v>
      </c>
      <c r="N720" s="590" t="str">
        <f>INDEX(tblSubjectToLoan[Date],ROW()-ROW(tblContractForDeed[#Headers]))</f>
        <v/>
      </c>
      <c r="O720" s="275">
        <f>IF(ROW()=ROW(tblContractForDeed[#Headers])+1,$O$6,IF(INDEX(tblContractForDeed[End Bal],ROW()-ROW(tblContractForDeed[#Headers])-1)&lt;0,0,INDEX(tblContractForDeed[End Bal],ROW()-ROW(tblContractForDeed[#Headers])-1)))</f>
        <v>0</v>
      </c>
      <c r="P720" s="445" t="str">
        <f>IF(tblContractForDeed[[#This Row],[Date]]="","",IF(tblContractForDeed[[#This Row],[Date]]&lt;cfdRateChangeDate,cfdRate1,cfdRate2))</f>
        <v/>
      </c>
      <c r="Q7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75">
        <f>SUM(INDEX(tblContractForDeed[Princ],1):INDEX(tblContractForDeed[Princ],ROW()-ROW(tblContractForDeed[#Headers])))</f>
        <v>75258.000000000029</v>
      </c>
      <c r="X720" s="275">
        <f>IF(tblContractForDeed[[#This Row],[Beg]]&lt;=0,0,tblContractForDeed[[#This Row],[Beg]]-tblContractForDeed[[#This Row],[Princ]])</f>
        <v>0</v>
      </c>
      <c r="Y72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75">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0" s="275">
        <f>IF(INDEX(tblContractForDeed[End Bal],ROW()-ROW(tblBuyerOutputs[#Headers]))&lt;=0,0,($O$6+IF(ROW()=ROW(tblBuyerOutputs[#Headers])+1,0,INDEX(tblBuyerOutputs[Cumul Appr],ROW()-ROW(tblBuyerOutputs[#Headers])-1)))*$O$2/12)</f>
        <v>0</v>
      </c>
      <c r="AE720" s="275">
        <f>IF(INDEX(tblContractForDeed[End Bal],ROW()-ROW(tblBuyerOutputs[#Headers]))&lt;=0,0,IF(ROW()=ROW(tblBuyerOutputs[#Headers])+1,0,INDEX(tblBuyerOutputs[Cumul Appr],ROW()-ROW(tblBuyerOutputs[#Headers])-1))+tblBuyerOutputs[[#This Row],[Monthly Appr]])</f>
        <v>0</v>
      </c>
      <c r="AF720" s="22"/>
      <c r="AG720" s="14"/>
      <c r="AL720"/>
      <c r="AM720" s="14"/>
      <c r="AO720" s="275"/>
      <c r="AQ720" s="14"/>
      <c r="AR720"/>
    </row>
    <row r="721" spans="1:44" x14ac:dyDescent="0.25">
      <c r="A721" s="590" t="str">
        <f t="shared" si="135"/>
        <v/>
      </c>
      <c r="B721" s="275">
        <f t="shared" si="136"/>
        <v>0</v>
      </c>
      <c r="C721" s="14">
        <f t="shared" si="133"/>
        <v>0</v>
      </c>
      <c r="D721" s="14">
        <f t="shared" si="137"/>
        <v>0</v>
      </c>
      <c r="E721" s="14">
        <f t="shared" si="134"/>
        <v>0</v>
      </c>
      <c r="K721" s="275">
        <f t="shared" si="138"/>
        <v>0</v>
      </c>
      <c r="L721" s="386">
        <f t="shared" si="140"/>
        <v>0</v>
      </c>
      <c r="M721" s="386">
        <f t="shared" si="139"/>
        <v>0</v>
      </c>
      <c r="N721" s="590" t="str">
        <f>INDEX(tblSubjectToLoan[Date],ROW()-ROW(tblContractForDeed[#Headers]))</f>
        <v/>
      </c>
      <c r="O721" s="275">
        <f>IF(ROW()=ROW(tblContractForDeed[#Headers])+1,$O$6,IF(INDEX(tblContractForDeed[End Bal],ROW()-ROW(tblContractForDeed[#Headers])-1)&lt;0,0,INDEX(tblContractForDeed[End Bal],ROW()-ROW(tblContractForDeed[#Headers])-1)))</f>
        <v>0</v>
      </c>
      <c r="P721" s="445" t="str">
        <f>IF(tblContractForDeed[[#This Row],[Date]]="","",IF(tblContractForDeed[[#This Row],[Date]]&lt;cfdRateChangeDate,cfdRate1,cfdRate2))</f>
        <v/>
      </c>
      <c r="Q7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75">
        <f>SUM(INDEX(tblContractForDeed[Princ],1):INDEX(tblContractForDeed[Princ],ROW()-ROW(tblContractForDeed[#Headers])))</f>
        <v>75258.000000000029</v>
      </c>
      <c r="X721" s="275">
        <f>IF(tblContractForDeed[[#This Row],[Beg]]&lt;=0,0,tblContractForDeed[[#This Row],[Beg]]-tblContractForDeed[[#This Row],[Princ]])</f>
        <v>0</v>
      </c>
      <c r="Y72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75">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1" s="275">
        <f>IF(INDEX(tblContractForDeed[End Bal],ROW()-ROW(tblBuyerOutputs[#Headers]))&lt;=0,0,($O$6+IF(ROW()=ROW(tblBuyerOutputs[#Headers])+1,0,INDEX(tblBuyerOutputs[Cumul Appr],ROW()-ROW(tblBuyerOutputs[#Headers])-1)))*$O$2/12)</f>
        <v>0</v>
      </c>
      <c r="AE721" s="275">
        <f>IF(INDEX(tblContractForDeed[End Bal],ROW()-ROW(tblBuyerOutputs[#Headers]))&lt;=0,0,IF(ROW()=ROW(tblBuyerOutputs[#Headers])+1,0,INDEX(tblBuyerOutputs[Cumul Appr],ROW()-ROW(tblBuyerOutputs[#Headers])-1))+tblBuyerOutputs[[#This Row],[Monthly Appr]])</f>
        <v>0</v>
      </c>
      <c r="AF721" s="22"/>
      <c r="AG721" s="14"/>
      <c r="AL721"/>
      <c r="AM721" s="14"/>
      <c r="AO721" s="275"/>
      <c r="AQ721" s="14"/>
      <c r="AR721"/>
    </row>
    <row r="722" spans="1:44" x14ac:dyDescent="0.25">
      <c r="A722" s="590" t="str">
        <f t="shared" si="135"/>
        <v/>
      </c>
      <c r="B722" s="275">
        <f t="shared" si="136"/>
        <v>0</v>
      </c>
      <c r="C722" s="14">
        <f t="shared" si="133"/>
        <v>0</v>
      </c>
      <c r="D722" s="14">
        <f t="shared" si="137"/>
        <v>0</v>
      </c>
      <c r="E722" s="14">
        <f t="shared" si="134"/>
        <v>0</v>
      </c>
      <c r="K722" s="275">
        <f t="shared" si="138"/>
        <v>0</v>
      </c>
      <c r="L722" s="386">
        <f t="shared" si="140"/>
        <v>0</v>
      </c>
      <c r="M722" s="386">
        <f t="shared" si="139"/>
        <v>0</v>
      </c>
      <c r="N722" s="590" t="str">
        <f>INDEX(tblSubjectToLoan[Date],ROW()-ROW(tblContractForDeed[#Headers]))</f>
        <v/>
      </c>
      <c r="O722" s="275">
        <f>IF(ROW()=ROW(tblContractForDeed[#Headers])+1,$O$6,IF(INDEX(tblContractForDeed[End Bal],ROW()-ROW(tblContractForDeed[#Headers])-1)&lt;0,0,INDEX(tblContractForDeed[End Bal],ROW()-ROW(tblContractForDeed[#Headers])-1)))</f>
        <v>0</v>
      </c>
      <c r="P722" s="445" t="str">
        <f>IF(tblContractForDeed[[#This Row],[Date]]="","",IF(tblContractForDeed[[#This Row],[Date]]&lt;cfdRateChangeDate,cfdRate1,cfdRate2))</f>
        <v/>
      </c>
      <c r="Q7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75">
        <f>SUM(INDEX(tblContractForDeed[Princ],1):INDEX(tblContractForDeed[Princ],ROW()-ROW(tblContractForDeed[#Headers])))</f>
        <v>75258.000000000029</v>
      </c>
      <c r="X722" s="275">
        <f>IF(tblContractForDeed[[#This Row],[Beg]]&lt;=0,0,tblContractForDeed[[#This Row],[Beg]]-tblContractForDeed[[#This Row],[Princ]])</f>
        <v>0</v>
      </c>
      <c r="Y72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75">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2" s="275">
        <f>IF(INDEX(tblContractForDeed[End Bal],ROW()-ROW(tblBuyerOutputs[#Headers]))&lt;=0,0,($O$6+IF(ROW()=ROW(tblBuyerOutputs[#Headers])+1,0,INDEX(tblBuyerOutputs[Cumul Appr],ROW()-ROW(tblBuyerOutputs[#Headers])-1)))*$O$2/12)</f>
        <v>0</v>
      </c>
      <c r="AE722" s="275">
        <f>IF(INDEX(tblContractForDeed[End Bal],ROW()-ROW(tblBuyerOutputs[#Headers]))&lt;=0,0,IF(ROW()=ROW(tblBuyerOutputs[#Headers])+1,0,INDEX(tblBuyerOutputs[Cumul Appr],ROW()-ROW(tblBuyerOutputs[#Headers])-1))+tblBuyerOutputs[[#This Row],[Monthly Appr]])</f>
        <v>0</v>
      </c>
      <c r="AF722" s="22"/>
      <c r="AG722" s="14"/>
      <c r="AL722"/>
      <c r="AM722" s="14"/>
      <c r="AO722" s="275"/>
      <c r="AQ722" s="14"/>
      <c r="AR722"/>
    </row>
    <row r="723" spans="1:44" x14ac:dyDescent="0.25">
      <c r="A723" s="590" t="str">
        <f t="shared" si="135"/>
        <v/>
      </c>
      <c r="B723" s="275">
        <f t="shared" si="136"/>
        <v>0</v>
      </c>
      <c r="C723" s="14">
        <f t="shared" si="133"/>
        <v>0</v>
      </c>
      <c r="D723" s="14">
        <f t="shared" si="137"/>
        <v>0</v>
      </c>
      <c r="E723" s="14">
        <f t="shared" si="134"/>
        <v>0</v>
      </c>
      <c r="K723" s="275">
        <f t="shared" si="138"/>
        <v>0</v>
      </c>
      <c r="L723" s="386">
        <f t="shared" si="140"/>
        <v>0</v>
      </c>
      <c r="M723" s="386">
        <f t="shared" si="139"/>
        <v>0</v>
      </c>
      <c r="N723" s="590" t="str">
        <f>INDEX(tblSubjectToLoan[Date],ROW()-ROW(tblContractForDeed[#Headers]))</f>
        <v/>
      </c>
      <c r="O723" s="275">
        <f>IF(ROW()=ROW(tblContractForDeed[#Headers])+1,$O$6,IF(INDEX(tblContractForDeed[End Bal],ROW()-ROW(tblContractForDeed[#Headers])-1)&lt;0,0,INDEX(tblContractForDeed[End Bal],ROW()-ROW(tblContractForDeed[#Headers])-1)))</f>
        <v>0</v>
      </c>
      <c r="P723" s="445" t="str">
        <f>IF(tblContractForDeed[[#This Row],[Date]]="","",IF(tblContractForDeed[[#This Row],[Date]]&lt;cfdRateChangeDate,cfdRate1,cfdRate2))</f>
        <v/>
      </c>
      <c r="Q72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75">
        <f>SUM(INDEX(tblContractForDeed[Princ],1):INDEX(tblContractForDeed[Princ],ROW()-ROW(tblContractForDeed[#Headers])))</f>
        <v>75258.000000000029</v>
      </c>
      <c r="X723" s="275">
        <f>IF(tblContractForDeed[[#This Row],[Beg]]&lt;=0,0,tblContractForDeed[[#This Row],[Beg]]-tblContractForDeed[[#This Row],[Princ]])</f>
        <v>0</v>
      </c>
      <c r="Y72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75">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3" s="275">
        <f>IF(INDEX(tblContractForDeed[End Bal],ROW()-ROW(tblBuyerOutputs[#Headers]))&lt;=0,0,($O$6+IF(ROW()=ROW(tblBuyerOutputs[#Headers])+1,0,INDEX(tblBuyerOutputs[Cumul Appr],ROW()-ROW(tblBuyerOutputs[#Headers])-1)))*$O$2/12)</f>
        <v>0</v>
      </c>
      <c r="AE723" s="275">
        <f>IF(INDEX(tblContractForDeed[End Bal],ROW()-ROW(tblBuyerOutputs[#Headers]))&lt;=0,0,IF(ROW()=ROW(tblBuyerOutputs[#Headers])+1,0,INDEX(tblBuyerOutputs[Cumul Appr],ROW()-ROW(tblBuyerOutputs[#Headers])-1))+tblBuyerOutputs[[#This Row],[Monthly Appr]])</f>
        <v>0</v>
      </c>
      <c r="AF723" s="22"/>
      <c r="AG723" s="14"/>
      <c r="AL723"/>
      <c r="AM723" s="14"/>
      <c r="AO723" s="275"/>
      <c r="AQ723" s="14"/>
      <c r="AR723"/>
    </row>
    <row r="724" spans="1:44" x14ac:dyDescent="0.25">
      <c r="A724" s="590" t="str">
        <f t="shared" si="135"/>
        <v/>
      </c>
      <c r="B724" s="275">
        <f t="shared" si="136"/>
        <v>0</v>
      </c>
      <c r="C724" s="14">
        <f t="shared" ref="C724:C787" si="141">IF(A724="",0,IF(B724&lt;=0,0,IF(A724=subjectMortgageEndDate,B724+E724,MIN(subjectPayment,B724+E724))))</f>
        <v>0</v>
      </c>
      <c r="D724" s="14">
        <f t="shared" si="137"/>
        <v>0</v>
      </c>
      <c r="E724" s="14">
        <f t="shared" ref="E724:E787" si="142">IF(OR(A724="",B724&lt;=0),0,ROUND(B724*(subjectInterestRate/12),2))</f>
        <v>0</v>
      </c>
      <c r="K724" s="275">
        <f t="shared" si="138"/>
        <v>0</v>
      </c>
      <c r="L724" s="386">
        <f t="shared" si="140"/>
        <v>0</v>
      </c>
      <c r="M724" s="386">
        <f t="shared" si="139"/>
        <v>0</v>
      </c>
      <c r="N724" s="590" t="str">
        <f>INDEX(tblSubjectToLoan[Date],ROW()-ROW(tblContractForDeed[#Headers]))</f>
        <v/>
      </c>
      <c r="O724" s="275">
        <f>IF(ROW()=ROW(tblContractForDeed[#Headers])+1,$O$6,IF(INDEX(tblContractForDeed[End Bal],ROW()-ROW(tblContractForDeed[#Headers])-1)&lt;0,0,INDEX(tblContractForDeed[End Bal],ROW()-ROW(tblContractForDeed[#Headers])-1)))</f>
        <v>0</v>
      </c>
      <c r="P724" s="445" t="str">
        <f>IF(tblContractForDeed[[#This Row],[Date]]="","",IF(tblContractForDeed[[#This Row],[Date]]&lt;cfdRateChangeDate,cfdRate1,cfdRate2))</f>
        <v/>
      </c>
      <c r="Q7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75">
        <f>SUM(INDEX(tblContractForDeed[Princ],1):INDEX(tblContractForDeed[Princ],ROW()-ROW(tblContractForDeed[#Headers])))</f>
        <v>75258.000000000029</v>
      </c>
      <c r="X724" s="275">
        <f>IF(tblContractForDeed[[#This Row],[Beg]]&lt;=0,0,tblContractForDeed[[#This Row],[Beg]]-tblContractForDeed[[#This Row],[Princ]])</f>
        <v>0</v>
      </c>
      <c r="Y72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75">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4" s="275">
        <f>IF(INDEX(tblContractForDeed[End Bal],ROW()-ROW(tblBuyerOutputs[#Headers]))&lt;=0,0,($O$6+IF(ROW()=ROW(tblBuyerOutputs[#Headers])+1,0,INDEX(tblBuyerOutputs[Cumul Appr],ROW()-ROW(tblBuyerOutputs[#Headers])-1)))*$O$2/12)</f>
        <v>0</v>
      </c>
      <c r="AE724" s="275">
        <f>IF(INDEX(tblContractForDeed[End Bal],ROW()-ROW(tblBuyerOutputs[#Headers]))&lt;=0,0,IF(ROW()=ROW(tblBuyerOutputs[#Headers])+1,0,INDEX(tblBuyerOutputs[Cumul Appr],ROW()-ROW(tblBuyerOutputs[#Headers])-1))+tblBuyerOutputs[[#This Row],[Monthly Appr]])</f>
        <v>0</v>
      </c>
      <c r="AF724" s="22"/>
      <c r="AG724" s="14"/>
      <c r="AL724"/>
      <c r="AM724" s="14"/>
      <c r="AO724" s="275"/>
      <c r="AQ724" s="14"/>
      <c r="AR724"/>
    </row>
    <row r="725" spans="1:44" x14ac:dyDescent="0.25">
      <c r="A725" s="590" t="str">
        <f t="shared" ref="A725:A788" si="143">IF(OR(A724="",A724&gt;=subjectMortgageEndDate),"",EDATE(A724,1))</f>
        <v/>
      </c>
      <c r="B725" s="275">
        <f t="shared" ref="B725:B788" si="144">IF(A725="",0,MAX(0,K724))</f>
        <v>0</v>
      </c>
      <c r="C725" s="14">
        <f t="shared" si="141"/>
        <v>0</v>
      </c>
      <c r="D725" s="14">
        <f t="shared" ref="D725:D788" si="145">IF(C725=0,0,MAX(0,MIN(B725,C725-E725)))</f>
        <v>0</v>
      </c>
      <c r="E725" s="14">
        <f t="shared" si="142"/>
        <v>0</v>
      </c>
      <c r="K725" s="275">
        <f t="shared" ref="K725:K788" si="146">IF(A725="",0,IF(B725&lt;=0,0,MAX(0,B725-D725)))</f>
        <v>0</v>
      </c>
      <c r="L725" s="386">
        <f t="shared" si="140"/>
        <v>0</v>
      </c>
      <c r="M725" s="386">
        <f t="shared" ref="M725:M788" si="147">IF($A725&lt;&gt;"",M724+1,0)</f>
        <v>0</v>
      </c>
      <c r="N725" s="590" t="str">
        <f>INDEX(tblSubjectToLoan[Date],ROW()-ROW(tblContractForDeed[#Headers]))</f>
        <v/>
      </c>
      <c r="O725" s="275">
        <f>IF(ROW()=ROW(tblContractForDeed[#Headers])+1,$O$6,IF(INDEX(tblContractForDeed[End Bal],ROW()-ROW(tblContractForDeed[#Headers])-1)&lt;0,0,INDEX(tblContractForDeed[End Bal],ROW()-ROW(tblContractForDeed[#Headers])-1)))</f>
        <v>0</v>
      </c>
      <c r="P725" s="445" t="str">
        <f>IF(tblContractForDeed[[#This Row],[Date]]="","",IF(tblContractForDeed[[#This Row],[Date]]&lt;cfdRateChangeDate,cfdRate1,cfdRate2))</f>
        <v/>
      </c>
      <c r="Q7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75">
        <f>SUM(INDEX(tblContractForDeed[Princ],1):INDEX(tblContractForDeed[Princ],ROW()-ROW(tblContractForDeed[#Headers])))</f>
        <v>75258.000000000029</v>
      </c>
      <c r="X725" s="275">
        <f>IF(tblContractForDeed[[#This Row],[Beg]]&lt;=0,0,tblContractForDeed[[#This Row],[Beg]]-tblContractForDeed[[#This Row],[Princ]])</f>
        <v>0</v>
      </c>
      <c r="Y72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75">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5" s="275">
        <f>IF(INDEX(tblContractForDeed[End Bal],ROW()-ROW(tblBuyerOutputs[#Headers]))&lt;=0,0,($O$6+IF(ROW()=ROW(tblBuyerOutputs[#Headers])+1,0,INDEX(tblBuyerOutputs[Cumul Appr],ROW()-ROW(tblBuyerOutputs[#Headers])-1)))*$O$2/12)</f>
        <v>0</v>
      </c>
      <c r="AE725" s="275">
        <f>IF(INDEX(tblContractForDeed[End Bal],ROW()-ROW(tblBuyerOutputs[#Headers]))&lt;=0,0,IF(ROW()=ROW(tblBuyerOutputs[#Headers])+1,0,INDEX(tblBuyerOutputs[Cumul Appr],ROW()-ROW(tblBuyerOutputs[#Headers])-1))+tblBuyerOutputs[[#This Row],[Monthly Appr]])</f>
        <v>0</v>
      </c>
      <c r="AF725" s="22"/>
      <c r="AG725" s="14"/>
      <c r="AL725"/>
      <c r="AM725" s="14"/>
      <c r="AO725" s="275"/>
      <c r="AQ725" s="14"/>
      <c r="AR725"/>
    </row>
    <row r="726" spans="1:44" x14ac:dyDescent="0.25">
      <c r="A726" s="590" t="str">
        <f t="shared" si="143"/>
        <v/>
      </c>
      <c r="B726" s="275">
        <f t="shared" si="144"/>
        <v>0</v>
      </c>
      <c r="C726" s="14">
        <f t="shared" si="141"/>
        <v>0</v>
      </c>
      <c r="D726" s="14">
        <f t="shared" si="145"/>
        <v>0</v>
      </c>
      <c r="E726" s="14">
        <f t="shared" si="142"/>
        <v>0</v>
      </c>
      <c r="K726" s="275">
        <f t="shared" si="146"/>
        <v>0</v>
      </c>
      <c r="L726" s="386">
        <f t="shared" si="140"/>
        <v>0</v>
      </c>
      <c r="M726" s="386">
        <f t="shared" si="147"/>
        <v>0</v>
      </c>
      <c r="N726" s="590" t="str">
        <f>INDEX(tblSubjectToLoan[Date],ROW()-ROW(tblContractForDeed[#Headers]))</f>
        <v/>
      </c>
      <c r="O726" s="275">
        <f>IF(ROW()=ROW(tblContractForDeed[#Headers])+1,$O$6,IF(INDEX(tblContractForDeed[End Bal],ROW()-ROW(tblContractForDeed[#Headers])-1)&lt;0,0,INDEX(tblContractForDeed[End Bal],ROW()-ROW(tblContractForDeed[#Headers])-1)))</f>
        <v>0</v>
      </c>
      <c r="P726" s="445" t="str">
        <f>IF(tblContractForDeed[[#This Row],[Date]]="","",IF(tblContractForDeed[[#This Row],[Date]]&lt;cfdRateChangeDate,cfdRate1,cfdRate2))</f>
        <v/>
      </c>
      <c r="Q7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75">
        <f>SUM(INDEX(tblContractForDeed[Princ],1):INDEX(tblContractForDeed[Princ],ROW()-ROW(tblContractForDeed[#Headers])))</f>
        <v>75258.000000000029</v>
      </c>
      <c r="X726" s="275">
        <f>IF(tblContractForDeed[[#This Row],[Beg]]&lt;=0,0,tblContractForDeed[[#This Row],[Beg]]-tblContractForDeed[[#This Row],[Princ]])</f>
        <v>0</v>
      </c>
      <c r="Y72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75">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6" s="275">
        <f>IF(INDEX(tblContractForDeed[End Bal],ROW()-ROW(tblBuyerOutputs[#Headers]))&lt;=0,0,($O$6+IF(ROW()=ROW(tblBuyerOutputs[#Headers])+1,0,INDEX(tblBuyerOutputs[Cumul Appr],ROW()-ROW(tblBuyerOutputs[#Headers])-1)))*$O$2/12)</f>
        <v>0</v>
      </c>
      <c r="AE726" s="275">
        <f>IF(INDEX(tblContractForDeed[End Bal],ROW()-ROW(tblBuyerOutputs[#Headers]))&lt;=0,0,IF(ROW()=ROW(tblBuyerOutputs[#Headers])+1,0,INDEX(tblBuyerOutputs[Cumul Appr],ROW()-ROW(tblBuyerOutputs[#Headers])-1))+tblBuyerOutputs[[#This Row],[Monthly Appr]])</f>
        <v>0</v>
      </c>
      <c r="AF726" s="22"/>
      <c r="AG726" s="14"/>
      <c r="AL726"/>
      <c r="AM726" s="14"/>
      <c r="AO726" s="275"/>
      <c r="AQ726" s="14"/>
      <c r="AR726"/>
    </row>
    <row r="727" spans="1:44" ht="15.75" thickBot="1" x14ac:dyDescent="0.3">
      <c r="A727" s="591" t="str">
        <f t="shared" si="143"/>
        <v/>
      </c>
      <c r="B727" s="326">
        <f t="shared" si="144"/>
        <v>0</v>
      </c>
      <c r="C727" s="21">
        <f t="shared" si="141"/>
        <v>0</v>
      </c>
      <c r="D727" s="21">
        <f t="shared" si="145"/>
        <v>0</v>
      </c>
      <c r="E727" s="21">
        <f t="shared" si="142"/>
        <v>0</v>
      </c>
      <c r="F727" s="21"/>
      <c r="G727" s="21"/>
      <c r="H727" s="21"/>
      <c r="I727" s="326"/>
      <c r="J727" s="326"/>
      <c r="K727" s="326">
        <f t="shared" si="146"/>
        <v>0</v>
      </c>
      <c r="L727" s="387">
        <f t="shared" si="140"/>
        <v>0</v>
      </c>
      <c r="M727" s="387">
        <f t="shared" si="147"/>
        <v>0</v>
      </c>
      <c r="N727" s="591" t="str">
        <f>INDEX(tblSubjectToLoan[Date],ROW()-ROW(tblContractForDeed[#Headers]))</f>
        <v/>
      </c>
      <c r="O727" s="326">
        <f>IF(ROW()=ROW(tblContractForDeed[#Headers])+1,$O$6,IF(INDEX(tblContractForDeed[End Bal],ROW()-ROW(tblContractForDeed[#Headers])-1)&lt;0,0,INDEX(tblContractForDeed[End Bal],ROW()-ROW(tblContractForDeed[#Headers])-1)))</f>
        <v>0</v>
      </c>
      <c r="P727" s="445" t="str">
        <f>IF(tblContractForDeed[[#This Row],[Date]]="","",IF(tblContractForDeed[[#This Row],[Date]]&lt;cfdRateChangeDate,cfdRate1,cfdRate2))</f>
        <v/>
      </c>
      <c r="Q72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26">
        <f>SUM(INDEX(tblContractForDeed[Princ],1):INDEX(tblContractForDeed[Princ],ROW()-ROW(tblContractForDeed[#Headers])))</f>
        <v>75258.000000000029</v>
      </c>
      <c r="X727" s="326">
        <f>IF(tblContractForDeed[[#This Row],[Beg]]&lt;=0,0,tblContractForDeed[[#This Row],[Beg]]-tblContractForDeed[[#This Row],[Princ]])</f>
        <v>0</v>
      </c>
      <c r="Y72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26">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7" s="326">
        <f>IF(INDEX(tblContractForDeed[End Bal],ROW()-ROW(tblBuyerOutputs[#Headers]))&lt;=0,0,($O$6+IF(ROW()=ROW(tblBuyerOutputs[#Headers])+1,0,INDEX(tblBuyerOutputs[Cumul Appr],ROW()-ROW(tblBuyerOutputs[#Headers])-1)))*$O$2/12)</f>
        <v>0</v>
      </c>
      <c r="AE727" s="326">
        <f>IF(INDEX(tblContractForDeed[End Bal],ROW()-ROW(tblBuyerOutputs[#Headers]))&lt;=0,0,IF(ROW()=ROW(tblBuyerOutputs[#Headers])+1,0,INDEX(tblBuyerOutputs[Cumul Appr],ROW()-ROW(tblBuyerOutputs[#Headers])-1))+tblBuyerOutputs[[#This Row],[Monthly Appr]])</f>
        <v>0</v>
      </c>
      <c r="AF727" s="22"/>
      <c r="AG727" s="14"/>
      <c r="AL727"/>
      <c r="AM727" s="14"/>
      <c r="AO727" s="275"/>
      <c r="AQ727" s="21"/>
      <c r="AR727"/>
    </row>
    <row r="728" spans="1:44" x14ac:dyDescent="0.25">
      <c r="A728" s="590" t="str">
        <f t="shared" si="143"/>
        <v/>
      </c>
      <c r="B728" s="275">
        <f t="shared" si="144"/>
        <v>0</v>
      </c>
      <c r="C728" s="14">
        <f t="shared" si="141"/>
        <v>0</v>
      </c>
      <c r="D728" s="14">
        <f t="shared" si="145"/>
        <v>0</v>
      </c>
      <c r="E728" s="14">
        <f t="shared" si="142"/>
        <v>0</v>
      </c>
      <c r="K728" s="275">
        <f t="shared" si="146"/>
        <v>0</v>
      </c>
      <c r="L728" s="386">
        <f t="shared" si="140"/>
        <v>0</v>
      </c>
      <c r="M728" s="386">
        <f t="shared" si="147"/>
        <v>0</v>
      </c>
      <c r="N728" s="590" t="str">
        <f>INDEX(tblSubjectToLoan[Date],ROW()-ROW(tblContractForDeed[#Headers]))</f>
        <v/>
      </c>
      <c r="O728" s="275">
        <f>IF(ROW()=ROW(tblContractForDeed[#Headers])+1,$O$6,IF(INDEX(tblContractForDeed[End Bal],ROW()-ROW(tblContractForDeed[#Headers])-1)&lt;0,0,INDEX(tblContractForDeed[End Bal],ROW()-ROW(tblContractForDeed[#Headers])-1)))</f>
        <v>0</v>
      </c>
      <c r="P728" s="445" t="str">
        <f>IF(tblContractForDeed[[#This Row],[Date]]="","",IF(tblContractForDeed[[#This Row],[Date]]&lt;cfdRateChangeDate,cfdRate1,cfdRate2))</f>
        <v/>
      </c>
      <c r="Q7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75">
        <f>SUM(INDEX(tblContractForDeed[Princ],1):INDEX(tblContractForDeed[Princ],ROW()-ROW(tblContractForDeed[#Headers])))</f>
        <v>75258.000000000029</v>
      </c>
      <c r="X728" s="275">
        <f>IF(tblContractForDeed[[#This Row],[Beg]]&lt;=0,0,tblContractForDeed[[#This Row],[Beg]]-tblContractForDeed[[#This Row],[Princ]])</f>
        <v>0</v>
      </c>
      <c r="Y72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75">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8" s="275">
        <f>IF(INDEX(tblContractForDeed[End Bal],ROW()-ROW(tblBuyerOutputs[#Headers]))&lt;=0,0,($O$6+IF(ROW()=ROW(tblBuyerOutputs[#Headers])+1,0,INDEX(tblBuyerOutputs[Cumul Appr],ROW()-ROW(tblBuyerOutputs[#Headers])-1)))*$O$2/12)</f>
        <v>0</v>
      </c>
      <c r="AE728" s="275">
        <f>IF(INDEX(tblContractForDeed[End Bal],ROW()-ROW(tblBuyerOutputs[#Headers]))&lt;=0,0,IF(ROW()=ROW(tblBuyerOutputs[#Headers])+1,0,INDEX(tblBuyerOutputs[Cumul Appr],ROW()-ROW(tblBuyerOutputs[#Headers])-1))+tblBuyerOutputs[[#This Row],[Monthly Appr]])</f>
        <v>0</v>
      </c>
      <c r="AF728" s="22"/>
      <c r="AG728" s="14"/>
      <c r="AL728"/>
      <c r="AM728" s="14"/>
      <c r="AO728" s="275"/>
      <c r="AQ728" s="14"/>
      <c r="AR728"/>
    </row>
    <row r="729" spans="1:44" x14ac:dyDescent="0.25">
      <c r="A729" s="590" t="str">
        <f t="shared" si="143"/>
        <v/>
      </c>
      <c r="B729" s="275">
        <f t="shared" si="144"/>
        <v>0</v>
      </c>
      <c r="C729" s="14">
        <f t="shared" si="141"/>
        <v>0</v>
      </c>
      <c r="D729" s="14">
        <f t="shared" si="145"/>
        <v>0</v>
      </c>
      <c r="E729" s="14">
        <f t="shared" si="142"/>
        <v>0</v>
      </c>
      <c r="K729" s="275">
        <f t="shared" si="146"/>
        <v>0</v>
      </c>
      <c r="L729" s="386">
        <f t="shared" si="140"/>
        <v>0</v>
      </c>
      <c r="M729" s="386">
        <f t="shared" si="147"/>
        <v>0</v>
      </c>
      <c r="N729" s="590" t="str">
        <f>INDEX(tblSubjectToLoan[Date],ROW()-ROW(tblContractForDeed[#Headers]))</f>
        <v/>
      </c>
      <c r="O729" s="275">
        <f>IF(ROW()=ROW(tblContractForDeed[#Headers])+1,$O$6,IF(INDEX(tblContractForDeed[End Bal],ROW()-ROW(tblContractForDeed[#Headers])-1)&lt;0,0,INDEX(tblContractForDeed[End Bal],ROW()-ROW(tblContractForDeed[#Headers])-1)))</f>
        <v>0</v>
      </c>
      <c r="P729" s="445" t="str">
        <f>IF(tblContractForDeed[[#This Row],[Date]]="","",IF(tblContractForDeed[[#This Row],[Date]]&lt;cfdRateChangeDate,cfdRate1,cfdRate2))</f>
        <v/>
      </c>
      <c r="Q7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75">
        <f>SUM(INDEX(tblContractForDeed[Princ],1):INDEX(tblContractForDeed[Princ],ROW()-ROW(tblContractForDeed[#Headers])))</f>
        <v>75258.000000000029</v>
      </c>
      <c r="X729" s="275">
        <f>IF(tblContractForDeed[[#This Row],[Beg]]&lt;=0,0,tblContractForDeed[[#This Row],[Beg]]-tblContractForDeed[[#This Row],[Princ]])</f>
        <v>0</v>
      </c>
      <c r="Y72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75">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9" s="275">
        <f>IF(INDEX(tblContractForDeed[End Bal],ROW()-ROW(tblBuyerOutputs[#Headers]))&lt;=0,0,($O$6+IF(ROW()=ROW(tblBuyerOutputs[#Headers])+1,0,INDEX(tblBuyerOutputs[Cumul Appr],ROW()-ROW(tblBuyerOutputs[#Headers])-1)))*$O$2/12)</f>
        <v>0</v>
      </c>
      <c r="AE729" s="275">
        <f>IF(INDEX(tblContractForDeed[End Bal],ROW()-ROW(tblBuyerOutputs[#Headers]))&lt;=0,0,IF(ROW()=ROW(tblBuyerOutputs[#Headers])+1,0,INDEX(tblBuyerOutputs[Cumul Appr],ROW()-ROW(tblBuyerOutputs[#Headers])-1))+tblBuyerOutputs[[#This Row],[Monthly Appr]])</f>
        <v>0</v>
      </c>
      <c r="AF729" s="22"/>
      <c r="AG729" s="14"/>
      <c r="AL729"/>
      <c r="AM729" s="14"/>
      <c r="AO729" s="275"/>
      <c r="AQ729" s="14"/>
      <c r="AR729"/>
    </row>
    <row r="730" spans="1:44" x14ac:dyDescent="0.25">
      <c r="A730" s="590" t="str">
        <f t="shared" si="143"/>
        <v/>
      </c>
      <c r="B730" s="275">
        <f t="shared" si="144"/>
        <v>0</v>
      </c>
      <c r="C730" s="14">
        <f t="shared" si="141"/>
        <v>0</v>
      </c>
      <c r="D730" s="14">
        <f t="shared" si="145"/>
        <v>0</v>
      </c>
      <c r="E730" s="14">
        <f t="shared" si="142"/>
        <v>0</v>
      </c>
      <c r="K730" s="275">
        <f t="shared" si="146"/>
        <v>0</v>
      </c>
      <c r="L730" s="386">
        <f t="shared" si="140"/>
        <v>0</v>
      </c>
      <c r="M730" s="386">
        <f t="shared" si="147"/>
        <v>0</v>
      </c>
      <c r="N730" s="590" t="str">
        <f>INDEX(tblSubjectToLoan[Date],ROW()-ROW(tblContractForDeed[#Headers]))</f>
        <v/>
      </c>
      <c r="O730" s="275">
        <f>IF(ROW()=ROW(tblContractForDeed[#Headers])+1,$O$6,IF(INDEX(tblContractForDeed[End Bal],ROW()-ROW(tblContractForDeed[#Headers])-1)&lt;0,0,INDEX(tblContractForDeed[End Bal],ROW()-ROW(tblContractForDeed[#Headers])-1)))</f>
        <v>0</v>
      </c>
      <c r="P730" s="445" t="str">
        <f>IF(tblContractForDeed[[#This Row],[Date]]="","",IF(tblContractForDeed[[#This Row],[Date]]&lt;cfdRateChangeDate,cfdRate1,cfdRate2))</f>
        <v/>
      </c>
      <c r="Q7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75">
        <f>SUM(INDEX(tblContractForDeed[Princ],1):INDEX(tblContractForDeed[Princ],ROW()-ROW(tblContractForDeed[#Headers])))</f>
        <v>75258.000000000029</v>
      </c>
      <c r="X730" s="275">
        <f>IF(tblContractForDeed[[#This Row],[Beg]]&lt;=0,0,tblContractForDeed[[#This Row],[Beg]]-tblContractForDeed[[#This Row],[Princ]])</f>
        <v>0</v>
      </c>
      <c r="Y73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75">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0" s="275">
        <f>IF(INDEX(tblContractForDeed[End Bal],ROW()-ROW(tblBuyerOutputs[#Headers]))&lt;=0,0,($O$6+IF(ROW()=ROW(tblBuyerOutputs[#Headers])+1,0,INDEX(tblBuyerOutputs[Cumul Appr],ROW()-ROW(tblBuyerOutputs[#Headers])-1)))*$O$2/12)</f>
        <v>0</v>
      </c>
      <c r="AE730" s="275">
        <f>IF(INDEX(tblContractForDeed[End Bal],ROW()-ROW(tblBuyerOutputs[#Headers]))&lt;=0,0,IF(ROW()=ROW(tblBuyerOutputs[#Headers])+1,0,INDEX(tblBuyerOutputs[Cumul Appr],ROW()-ROW(tblBuyerOutputs[#Headers])-1))+tblBuyerOutputs[[#This Row],[Monthly Appr]])</f>
        <v>0</v>
      </c>
      <c r="AF730" s="22"/>
      <c r="AG730" s="14"/>
      <c r="AL730"/>
      <c r="AM730" s="14"/>
      <c r="AO730" s="275"/>
      <c r="AQ730" s="14"/>
      <c r="AR730"/>
    </row>
    <row r="731" spans="1:44" x14ac:dyDescent="0.25">
      <c r="A731" s="590" t="str">
        <f t="shared" si="143"/>
        <v/>
      </c>
      <c r="B731" s="275">
        <f t="shared" si="144"/>
        <v>0</v>
      </c>
      <c r="C731" s="14">
        <f t="shared" si="141"/>
        <v>0</v>
      </c>
      <c r="D731" s="14">
        <f t="shared" si="145"/>
        <v>0</v>
      </c>
      <c r="E731" s="14">
        <f t="shared" si="142"/>
        <v>0</v>
      </c>
      <c r="K731" s="275">
        <f t="shared" si="146"/>
        <v>0</v>
      </c>
      <c r="L731" s="386">
        <f t="shared" si="140"/>
        <v>0</v>
      </c>
      <c r="M731" s="386">
        <f t="shared" si="147"/>
        <v>0</v>
      </c>
      <c r="N731" s="590" t="str">
        <f>INDEX(tblSubjectToLoan[Date],ROW()-ROW(tblContractForDeed[#Headers]))</f>
        <v/>
      </c>
      <c r="O731" s="275">
        <f>IF(ROW()=ROW(tblContractForDeed[#Headers])+1,$O$6,IF(INDEX(tblContractForDeed[End Bal],ROW()-ROW(tblContractForDeed[#Headers])-1)&lt;0,0,INDEX(tblContractForDeed[End Bal],ROW()-ROW(tblContractForDeed[#Headers])-1)))</f>
        <v>0</v>
      </c>
      <c r="P731" s="445" t="str">
        <f>IF(tblContractForDeed[[#This Row],[Date]]="","",IF(tblContractForDeed[[#This Row],[Date]]&lt;cfdRateChangeDate,cfdRate1,cfdRate2))</f>
        <v/>
      </c>
      <c r="Q73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75">
        <f>SUM(INDEX(tblContractForDeed[Princ],1):INDEX(tblContractForDeed[Princ],ROW()-ROW(tblContractForDeed[#Headers])))</f>
        <v>75258.000000000029</v>
      </c>
      <c r="X731" s="275">
        <f>IF(tblContractForDeed[[#This Row],[Beg]]&lt;=0,0,tblContractForDeed[[#This Row],[Beg]]-tblContractForDeed[[#This Row],[Princ]])</f>
        <v>0</v>
      </c>
      <c r="Y73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75">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1" s="275">
        <f>IF(INDEX(tblContractForDeed[End Bal],ROW()-ROW(tblBuyerOutputs[#Headers]))&lt;=0,0,($O$6+IF(ROW()=ROW(tblBuyerOutputs[#Headers])+1,0,INDEX(tblBuyerOutputs[Cumul Appr],ROW()-ROW(tblBuyerOutputs[#Headers])-1)))*$O$2/12)</f>
        <v>0</v>
      </c>
      <c r="AE731" s="275">
        <f>IF(INDEX(tblContractForDeed[End Bal],ROW()-ROW(tblBuyerOutputs[#Headers]))&lt;=0,0,IF(ROW()=ROW(tblBuyerOutputs[#Headers])+1,0,INDEX(tblBuyerOutputs[Cumul Appr],ROW()-ROW(tblBuyerOutputs[#Headers])-1))+tblBuyerOutputs[[#This Row],[Monthly Appr]])</f>
        <v>0</v>
      </c>
      <c r="AF731" s="22"/>
      <c r="AG731" s="14"/>
      <c r="AL731"/>
      <c r="AM731" s="14"/>
      <c r="AO731" s="275"/>
      <c r="AQ731" s="14"/>
      <c r="AR731"/>
    </row>
    <row r="732" spans="1:44" x14ac:dyDescent="0.25">
      <c r="A732" s="590" t="str">
        <f t="shared" si="143"/>
        <v/>
      </c>
      <c r="B732" s="275">
        <f t="shared" si="144"/>
        <v>0</v>
      </c>
      <c r="C732" s="14">
        <f t="shared" si="141"/>
        <v>0</v>
      </c>
      <c r="D732" s="14">
        <f t="shared" si="145"/>
        <v>0</v>
      </c>
      <c r="E732" s="14">
        <f t="shared" si="142"/>
        <v>0</v>
      </c>
      <c r="K732" s="275">
        <f t="shared" si="146"/>
        <v>0</v>
      </c>
      <c r="L732" s="386">
        <f t="shared" si="140"/>
        <v>0</v>
      </c>
      <c r="M732" s="386">
        <f t="shared" si="147"/>
        <v>0</v>
      </c>
      <c r="N732" s="590" t="str">
        <f>INDEX(tblSubjectToLoan[Date],ROW()-ROW(tblContractForDeed[#Headers]))</f>
        <v/>
      </c>
      <c r="O732" s="275">
        <f>IF(ROW()=ROW(tblContractForDeed[#Headers])+1,$O$6,IF(INDEX(tblContractForDeed[End Bal],ROW()-ROW(tblContractForDeed[#Headers])-1)&lt;0,0,INDEX(tblContractForDeed[End Bal],ROW()-ROW(tblContractForDeed[#Headers])-1)))</f>
        <v>0</v>
      </c>
      <c r="P732" s="445" t="str">
        <f>IF(tblContractForDeed[[#This Row],[Date]]="","",IF(tblContractForDeed[[#This Row],[Date]]&lt;cfdRateChangeDate,cfdRate1,cfdRate2))</f>
        <v/>
      </c>
      <c r="Q7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75">
        <f>SUM(INDEX(tblContractForDeed[Princ],1):INDEX(tblContractForDeed[Princ],ROW()-ROW(tblContractForDeed[#Headers])))</f>
        <v>75258.000000000029</v>
      </c>
      <c r="X732" s="275">
        <f>IF(tblContractForDeed[[#This Row],[Beg]]&lt;=0,0,tblContractForDeed[[#This Row],[Beg]]-tblContractForDeed[[#This Row],[Princ]])</f>
        <v>0</v>
      </c>
      <c r="Y73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75">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2" s="275">
        <f>IF(INDEX(tblContractForDeed[End Bal],ROW()-ROW(tblBuyerOutputs[#Headers]))&lt;=0,0,($O$6+IF(ROW()=ROW(tblBuyerOutputs[#Headers])+1,0,INDEX(tblBuyerOutputs[Cumul Appr],ROW()-ROW(tblBuyerOutputs[#Headers])-1)))*$O$2/12)</f>
        <v>0</v>
      </c>
      <c r="AE732" s="275">
        <f>IF(INDEX(tblContractForDeed[End Bal],ROW()-ROW(tblBuyerOutputs[#Headers]))&lt;=0,0,IF(ROW()=ROW(tblBuyerOutputs[#Headers])+1,0,INDEX(tblBuyerOutputs[Cumul Appr],ROW()-ROW(tblBuyerOutputs[#Headers])-1))+tblBuyerOutputs[[#This Row],[Monthly Appr]])</f>
        <v>0</v>
      </c>
      <c r="AF732" s="22"/>
      <c r="AG732" s="14"/>
      <c r="AL732"/>
      <c r="AM732" s="14"/>
      <c r="AO732" s="275"/>
      <c r="AQ732" s="14"/>
      <c r="AR732"/>
    </row>
    <row r="733" spans="1:44" x14ac:dyDescent="0.25">
      <c r="A733" s="590" t="str">
        <f t="shared" si="143"/>
        <v/>
      </c>
      <c r="B733" s="275">
        <f t="shared" si="144"/>
        <v>0</v>
      </c>
      <c r="C733" s="14">
        <f t="shared" si="141"/>
        <v>0</v>
      </c>
      <c r="D733" s="14">
        <f t="shared" si="145"/>
        <v>0</v>
      </c>
      <c r="E733" s="14">
        <f t="shared" si="142"/>
        <v>0</v>
      </c>
      <c r="K733" s="275">
        <f t="shared" si="146"/>
        <v>0</v>
      </c>
      <c r="L733" s="386">
        <f t="shared" si="140"/>
        <v>0</v>
      </c>
      <c r="M733" s="386">
        <f t="shared" si="147"/>
        <v>0</v>
      </c>
      <c r="N733" s="590" t="str">
        <f>INDEX(tblSubjectToLoan[Date],ROW()-ROW(tblContractForDeed[#Headers]))</f>
        <v/>
      </c>
      <c r="O733" s="275">
        <f>IF(ROW()=ROW(tblContractForDeed[#Headers])+1,$O$6,IF(INDEX(tblContractForDeed[End Bal],ROW()-ROW(tblContractForDeed[#Headers])-1)&lt;0,0,INDEX(tblContractForDeed[End Bal],ROW()-ROW(tblContractForDeed[#Headers])-1)))</f>
        <v>0</v>
      </c>
      <c r="P733" s="445" t="str">
        <f>IF(tblContractForDeed[[#This Row],[Date]]="","",IF(tblContractForDeed[[#This Row],[Date]]&lt;cfdRateChangeDate,cfdRate1,cfdRate2))</f>
        <v/>
      </c>
      <c r="Q7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75">
        <f>SUM(INDEX(tblContractForDeed[Princ],1):INDEX(tblContractForDeed[Princ],ROW()-ROW(tblContractForDeed[#Headers])))</f>
        <v>75258.000000000029</v>
      </c>
      <c r="X733" s="275">
        <f>IF(tblContractForDeed[[#This Row],[Beg]]&lt;=0,0,tblContractForDeed[[#This Row],[Beg]]-tblContractForDeed[[#This Row],[Princ]])</f>
        <v>0</v>
      </c>
      <c r="Y73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75">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3" s="275">
        <f>IF(INDEX(tblContractForDeed[End Bal],ROW()-ROW(tblBuyerOutputs[#Headers]))&lt;=0,0,($O$6+IF(ROW()=ROW(tblBuyerOutputs[#Headers])+1,0,INDEX(tblBuyerOutputs[Cumul Appr],ROW()-ROW(tblBuyerOutputs[#Headers])-1)))*$O$2/12)</f>
        <v>0</v>
      </c>
      <c r="AE733" s="275">
        <f>IF(INDEX(tblContractForDeed[End Bal],ROW()-ROW(tblBuyerOutputs[#Headers]))&lt;=0,0,IF(ROW()=ROW(tblBuyerOutputs[#Headers])+1,0,INDEX(tblBuyerOutputs[Cumul Appr],ROW()-ROW(tblBuyerOutputs[#Headers])-1))+tblBuyerOutputs[[#This Row],[Monthly Appr]])</f>
        <v>0</v>
      </c>
      <c r="AF733" s="22"/>
      <c r="AG733" s="14"/>
      <c r="AL733"/>
      <c r="AM733" s="14"/>
      <c r="AO733" s="275"/>
      <c r="AQ733" s="14"/>
      <c r="AR733"/>
    </row>
    <row r="734" spans="1:44" x14ac:dyDescent="0.25">
      <c r="A734" s="590" t="str">
        <f t="shared" si="143"/>
        <v/>
      </c>
      <c r="B734" s="275">
        <f t="shared" si="144"/>
        <v>0</v>
      </c>
      <c r="C734" s="14">
        <f t="shared" si="141"/>
        <v>0</v>
      </c>
      <c r="D734" s="14">
        <f t="shared" si="145"/>
        <v>0</v>
      </c>
      <c r="E734" s="14">
        <f t="shared" si="142"/>
        <v>0</v>
      </c>
      <c r="K734" s="275">
        <f t="shared" si="146"/>
        <v>0</v>
      </c>
      <c r="L734" s="386">
        <f t="shared" si="140"/>
        <v>0</v>
      </c>
      <c r="M734" s="386">
        <f t="shared" si="147"/>
        <v>0</v>
      </c>
      <c r="N734" s="590" t="str">
        <f>INDEX(tblSubjectToLoan[Date],ROW()-ROW(tblContractForDeed[#Headers]))</f>
        <v/>
      </c>
      <c r="O734" s="275">
        <f>IF(ROW()=ROW(tblContractForDeed[#Headers])+1,$O$6,IF(INDEX(tblContractForDeed[End Bal],ROW()-ROW(tblContractForDeed[#Headers])-1)&lt;0,0,INDEX(tblContractForDeed[End Bal],ROW()-ROW(tblContractForDeed[#Headers])-1)))</f>
        <v>0</v>
      </c>
      <c r="P734" s="445" t="str">
        <f>IF(tblContractForDeed[[#This Row],[Date]]="","",IF(tblContractForDeed[[#This Row],[Date]]&lt;cfdRateChangeDate,cfdRate1,cfdRate2))</f>
        <v/>
      </c>
      <c r="Q7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75">
        <f>SUM(INDEX(tblContractForDeed[Princ],1):INDEX(tblContractForDeed[Princ],ROW()-ROW(tblContractForDeed[#Headers])))</f>
        <v>75258.000000000029</v>
      </c>
      <c r="X734" s="275">
        <f>IF(tblContractForDeed[[#This Row],[Beg]]&lt;=0,0,tblContractForDeed[[#This Row],[Beg]]-tblContractForDeed[[#This Row],[Princ]])</f>
        <v>0</v>
      </c>
      <c r="Y73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75">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4" s="275">
        <f>IF(INDEX(tblContractForDeed[End Bal],ROW()-ROW(tblBuyerOutputs[#Headers]))&lt;=0,0,($O$6+IF(ROW()=ROW(tblBuyerOutputs[#Headers])+1,0,INDEX(tblBuyerOutputs[Cumul Appr],ROW()-ROW(tblBuyerOutputs[#Headers])-1)))*$O$2/12)</f>
        <v>0</v>
      </c>
      <c r="AE734" s="275">
        <f>IF(INDEX(tblContractForDeed[End Bal],ROW()-ROW(tblBuyerOutputs[#Headers]))&lt;=0,0,IF(ROW()=ROW(tblBuyerOutputs[#Headers])+1,0,INDEX(tblBuyerOutputs[Cumul Appr],ROW()-ROW(tblBuyerOutputs[#Headers])-1))+tblBuyerOutputs[[#This Row],[Monthly Appr]])</f>
        <v>0</v>
      </c>
      <c r="AF734" s="22"/>
      <c r="AG734" s="14"/>
      <c r="AL734"/>
      <c r="AM734" s="14"/>
      <c r="AO734" s="275"/>
      <c r="AQ734" s="14"/>
      <c r="AR734"/>
    </row>
    <row r="735" spans="1:44" x14ac:dyDescent="0.25">
      <c r="A735" s="590" t="str">
        <f t="shared" si="143"/>
        <v/>
      </c>
      <c r="B735" s="275">
        <f t="shared" si="144"/>
        <v>0</v>
      </c>
      <c r="C735" s="14">
        <f t="shared" si="141"/>
        <v>0</v>
      </c>
      <c r="D735" s="14">
        <f t="shared" si="145"/>
        <v>0</v>
      </c>
      <c r="E735" s="14">
        <f t="shared" si="142"/>
        <v>0</v>
      </c>
      <c r="K735" s="275">
        <f t="shared" si="146"/>
        <v>0</v>
      </c>
      <c r="L735" s="386">
        <f t="shared" si="140"/>
        <v>0</v>
      </c>
      <c r="M735" s="386">
        <f t="shared" si="147"/>
        <v>0</v>
      </c>
      <c r="N735" s="590" t="str">
        <f>INDEX(tblSubjectToLoan[Date],ROW()-ROW(tblContractForDeed[#Headers]))</f>
        <v/>
      </c>
      <c r="O735" s="275">
        <f>IF(ROW()=ROW(tblContractForDeed[#Headers])+1,$O$6,IF(INDEX(tblContractForDeed[End Bal],ROW()-ROW(tblContractForDeed[#Headers])-1)&lt;0,0,INDEX(tblContractForDeed[End Bal],ROW()-ROW(tblContractForDeed[#Headers])-1)))</f>
        <v>0</v>
      </c>
      <c r="P735" s="445" t="str">
        <f>IF(tblContractForDeed[[#This Row],[Date]]="","",IF(tblContractForDeed[[#This Row],[Date]]&lt;cfdRateChangeDate,cfdRate1,cfdRate2))</f>
        <v/>
      </c>
      <c r="Q73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75">
        <f>SUM(INDEX(tblContractForDeed[Princ],1):INDEX(tblContractForDeed[Princ],ROW()-ROW(tblContractForDeed[#Headers])))</f>
        <v>75258.000000000029</v>
      </c>
      <c r="X735" s="275">
        <f>IF(tblContractForDeed[[#This Row],[Beg]]&lt;=0,0,tblContractForDeed[[#This Row],[Beg]]-tblContractForDeed[[#This Row],[Princ]])</f>
        <v>0</v>
      </c>
      <c r="Y73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75">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5" s="275">
        <f>IF(INDEX(tblContractForDeed[End Bal],ROW()-ROW(tblBuyerOutputs[#Headers]))&lt;=0,0,($O$6+IF(ROW()=ROW(tblBuyerOutputs[#Headers])+1,0,INDEX(tblBuyerOutputs[Cumul Appr],ROW()-ROW(tblBuyerOutputs[#Headers])-1)))*$O$2/12)</f>
        <v>0</v>
      </c>
      <c r="AE735" s="275">
        <f>IF(INDEX(tblContractForDeed[End Bal],ROW()-ROW(tblBuyerOutputs[#Headers]))&lt;=0,0,IF(ROW()=ROW(tblBuyerOutputs[#Headers])+1,0,INDEX(tblBuyerOutputs[Cumul Appr],ROW()-ROW(tblBuyerOutputs[#Headers])-1))+tblBuyerOutputs[[#This Row],[Monthly Appr]])</f>
        <v>0</v>
      </c>
      <c r="AF735" s="22"/>
      <c r="AG735" s="14"/>
      <c r="AL735"/>
      <c r="AM735" s="14"/>
      <c r="AO735" s="275"/>
      <c r="AQ735" s="14"/>
      <c r="AR735"/>
    </row>
    <row r="736" spans="1:44" x14ac:dyDescent="0.25">
      <c r="A736" s="590" t="str">
        <f t="shared" si="143"/>
        <v/>
      </c>
      <c r="B736" s="275">
        <f t="shared" si="144"/>
        <v>0</v>
      </c>
      <c r="C736" s="14">
        <f t="shared" si="141"/>
        <v>0</v>
      </c>
      <c r="D736" s="14">
        <f t="shared" si="145"/>
        <v>0</v>
      </c>
      <c r="E736" s="14">
        <f t="shared" si="142"/>
        <v>0</v>
      </c>
      <c r="K736" s="275">
        <f t="shared" si="146"/>
        <v>0</v>
      </c>
      <c r="L736" s="386">
        <f t="shared" si="140"/>
        <v>0</v>
      </c>
      <c r="M736" s="386">
        <f t="shared" si="147"/>
        <v>0</v>
      </c>
      <c r="N736" s="590" t="str">
        <f>INDEX(tblSubjectToLoan[Date],ROW()-ROW(tblContractForDeed[#Headers]))</f>
        <v/>
      </c>
      <c r="O736" s="275">
        <f>IF(ROW()=ROW(tblContractForDeed[#Headers])+1,$O$6,IF(INDEX(tblContractForDeed[End Bal],ROW()-ROW(tblContractForDeed[#Headers])-1)&lt;0,0,INDEX(tblContractForDeed[End Bal],ROW()-ROW(tblContractForDeed[#Headers])-1)))</f>
        <v>0</v>
      </c>
      <c r="P736" s="445" t="str">
        <f>IF(tblContractForDeed[[#This Row],[Date]]="","",IF(tblContractForDeed[[#This Row],[Date]]&lt;cfdRateChangeDate,cfdRate1,cfdRate2))</f>
        <v/>
      </c>
      <c r="Q7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75">
        <f>SUM(INDEX(tblContractForDeed[Princ],1):INDEX(tblContractForDeed[Princ],ROW()-ROW(tblContractForDeed[#Headers])))</f>
        <v>75258.000000000029</v>
      </c>
      <c r="X736" s="275">
        <f>IF(tblContractForDeed[[#This Row],[Beg]]&lt;=0,0,tblContractForDeed[[#This Row],[Beg]]-tblContractForDeed[[#This Row],[Princ]])</f>
        <v>0</v>
      </c>
      <c r="Y73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75">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6" s="275">
        <f>IF(INDEX(tblContractForDeed[End Bal],ROW()-ROW(tblBuyerOutputs[#Headers]))&lt;=0,0,($O$6+IF(ROW()=ROW(tblBuyerOutputs[#Headers])+1,0,INDEX(tblBuyerOutputs[Cumul Appr],ROW()-ROW(tblBuyerOutputs[#Headers])-1)))*$O$2/12)</f>
        <v>0</v>
      </c>
      <c r="AE736" s="275">
        <f>IF(INDEX(tblContractForDeed[End Bal],ROW()-ROW(tblBuyerOutputs[#Headers]))&lt;=0,0,IF(ROW()=ROW(tblBuyerOutputs[#Headers])+1,0,INDEX(tblBuyerOutputs[Cumul Appr],ROW()-ROW(tblBuyerOutputs[#Headers])-1))+tblBuyerOutputs[[#This Row],[Monthly Appr]])</f>
        <v>0</v>
      </c>
      <c r="AF736" s="22"/>
      <c r="AG736" s="14"/>
      <c r="AL736"/>
      <c r="AM736" s="14"/>
      <c r="AO736" s="275"/>
      <c r="AQ736" s="14"/>
      <c r="AR736"/>
    </row>
    <row r="737" spans="1:44" x14ac:dyDescent="0.25">
      <c r="A737" s="590" t="str">
        <f t="shared" si="143"/>
        <v/>
      </c>
      <c r="B737" s="275">
        <f t="shared" si="144"/>
        <v>0</v>
      </c>
      <c r="C737" s="14">
        <f t="shared" si="141"/>
        <v>0</v>
      </c>
      <c r="D737" s="14">
        <f t="shared" si="145"/>
        <v>0</v>
      </c>
      <c r="E737" s="14">
        <f t="shared" si="142"/>
        <v>0</v>
      </c>
      <c r="K737" s="275">
        <f t="shared" si="146"/>
        <v>0</v>
      </c>
      <c r="L737" s="386">
        <f t="shared" si="140"/>
        <v>0</v>
      </c>
      <c r="M737" s="386">
        <f t="shared" si="147"/>
        <v>0</v>
      </c>
      <c r="N737" s="590" t="str">
        <f>INDEX(tblSubjectToLoan[Date],ROW()-ROW(tblContractForDeed[#Headers]))</f>
        <v/>
      </c>
      <c r="O737" s="275">
        <f>IF(ROW()=ROW(tblContractForDeed[#Headers])+1,$O$6,IF(INDEX(tblContractForDeed[End Bal],ROW()-ROW(tblContractForDeed[#Headers])-1)&lt;0,0,INDEX(tblContractForDeed[End Bal],ROW()-ROW(tblContractForDeed[#Headers])-1)))</f>
        <v>0</v>
      </c>
      <c r="P737" s="445" t="str">
        <f>IF(tblContractForDeed[[#This Row],[Date]]="","",IF(tblContractForDeed[[#This Row],[Date]]&lt;cfdRateChangeDate,cfdRate1,cfdRate2))</f>
        <v/>
      </c>
      <c r="Q7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75">
        <f>SUM(INDEX(tblContractForDeed[Princ],1):INDEX(tblContractForDeed[Princ],ROW()-ROW(tblContractForDeed[#Headers])))</f>
        <v>75258.000000000029</v>
      </c>
      <c r="X737" s="275">
        <f>IF(tblContractForDeed[[#This Row],[Beg]]&lt;=0,0,tblContractForDeed[[#This Row],[Beg]]-tblContractForDeed[[#This Row],[Princ]])</f>
        <v>0</v>
      </c>
      <c r="Y73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75">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7" s="275">
        <f>IF(INDEX(tblContractForDeed[End Bal],ROW()-ROW(tblBuyerOutputs[#Headers]))&lt;=0,0,($O$6+IF(ROW()=ROW(tblBuyerOutputs[#Headers])+1,0,INDEX(tblBuyerOutputs[Cumul Appr],ROW()-ROW(tblBuyerOutputs[#Headers])-1)))*$O$2/12)</f>
        <v>0</v>
      </c>
      <c r="AE737" s="275">
        <f>IF(INDEX(tblContractForDeed[End Bal],ROW()-ROW(tblBuyerOutputs[#Headers]))&lt;=0,0,IF(ROW()=ROW(tblBuyerOutputs[#Headers])+1,0,INDEX(tblBuyerOutputs[Cumul Appr],ROW()-ROW(tblBuyerOutputs[#Headers])-1))+tblBuyerOutputs[[#This Row],[Monthly Appr]])</f>
        <v>0</v>
      </c>
      <c r="AF737" s="22"/>
      <c r="AG737" s="14"/>
      <c r="AL737"/>
      <c r="AM737" s="14"/>
      <c r="AO737" s="275"/>
      <c r="AQ737" s="14"/>
      <c r="AR737"/>
    </row>
    <row r="738" spans="1:44" x14ac:dyDescent="0.25">
      <c r="A738" s="590" t="str">
        <f t="shared" si="143"/>
        <v/>
      </c>
      <c r="B738" s="275">
        <f t="shared" si="144"/>
        <v>0</v>
      </c>
      <c r="C738" s="14">
        <f t="shared" si="141"/>
        <v>0</v>
      </c>
      <c r="D738" s="14">
        <f t="shared" si="145"/>
        <v>0</v>
      </c>
      <c r="E738" s="14">
        <f t="shared" si="142"/>
        <v>0</v>
      </c>
      <c r="K738" s="275">
        <f t="shared" si="146"/>
        <v>0</v>
      </c>
      <c r="L738" s="386">
        <f t="shared" si="140"/>
        <v>0</v>
      </c>
      <c r="M738" s="386">
        <f t="shared" si="147"/>
        <v>0</v>
      </c>
      <c r="N738" s="590" t="str">
        <f>INDEX(tblSubjectToLoan[Date],ROW()-ROW(tblContractForDeed[#Headers]))</f>
        <v/>
      </c>
      <c r="O738" s="275">
        <f>IF(ROW()=ROW(tblContractForDeed[#Headers])+1,$O$6,IF(INDEX(tblContractForDeed[End Bal],ROW()-ROW(tblContractForDeed[#Headers])-1)&lt;0,0,INDEX(tblContractForDeed[End Bal],ROW()-ROW(tblContractForDeed[#Headers])-1)))</f>
        <v>0</v>
      </c>
      <c r="P738" s="445" t="str">
        <f>IF(tblContractForDeed[[#This Row],[Date]]="","",IF(tblContractForDeed[[#This Row],[Date]]&lt;cfdRateChangeDate,cfdRate1,cfdRate2))</f>
        <v/>
      </c>
      <c r="Q7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75">
        <f>SUM(INDEX(tblContractForDeed[Princ],1):INDEX(tblContractForDeed[Princ],ROW()-ROW(tblContractForDeed[#Headers])))</f>
        <v>75258.000000000029</v>
      </c>
      <c r="X738" s="275">
        <f>IF(tblContractForDeed[[#This Row],[Beg]]&lt;=0,0,tblContractForDeed[[#This Row],[Beg]]-tblContractForDeed[[#This Row],[Princ]])</f>
        <v>0</v>
      </c>
      <c r="Y73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75">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8" s="275">
        <f>IF(INDEX(tblContractForDeed[End Bal],ROW()-ROW(tblBuyerOutputs[#Headers]))&lt;=0,0,($O$6+IF(ROW()=ROW(tblBuyerOutputs[#Headers])+1,0,INDEX(tblBuyerOutputs[Cumul Appr],ROW()-ROW(tblBuyerOutputs[#Headers])-1)))*$O$2/12)</f>
        <v>0</v>
      </c>
      <c r="AE738" s="275">
        <f>IF(INDEX(tblContractForDeed[End Bal],ROW()-ROW(tblBuyerOutputs[#Headers]))&lt;=0,0,IF(ROW()=ROW(tblBuyerOutputs[#Headers])+1,0,INDEX(tblBuyerOutputs[Cumul Appr],ROW()-ROW(tblBuyerOutputs[#Headers])-1))+tblBuyerOutputs[[#This Row],[Monthly Appr]])</f>
        <v>0</v>
      </c>
      <c r="AF738" s="22"/>
      <c r="AG738" s="14"/>
      <c r="AL738"/>
      <c r="AM738" s="14"/>
      <c r="AO738" s="275"/>
      <c r="AQ738" s="14"/>
      <c r="AR738"/>
    </row>
    <row r="739" spans="1:44" ht="15.75" thickBot="1" x14ac:dyDescent="0.3">
      <c r="A739" s="591" t="str">
        <f t="shared" si="143"/>
        <v/>
      </c>
      <c r="B739" s="326">
        <f t="shared" si="144"/>
        <v>0</v>
      </c>
      <c r="C739" s="21">
        <f t="shared" si="141"/>
        <v>0</v>
      </c>
      <c r="D739" s="21">
        <f t="shared" si="145"/>
        <v>0</v>
      </c>
      <c r="E739" s="21">
        <f t="shared" si="142"/>
        <v>0</v>
      </c>
      <c r="F739" s="21"/>
      <c r="G739" s="21"/>
      <c r="H739" s="21"/>
      <c r="I739" s="326"/>
      <c r="J739" s="326"/>
      <c r="K739" s="326">
        <f t="shared" si="146"/>
        <v>0</v>
      </c>
      <c r="L739" s="387">
        <f t="shared" si="140"/>
        <v>0</v>
      </c>
      <c r="M739" s="387">
        <f t="shared" si="147"/>
        <v>0</v>
      </c>
      <c r="N739" s="591" t="str">
        <f>INDEX(tblSubjectToLoan[Date],ROW()-ROW(tblContractForDeed[#Headers]))</f>
        <v/>
      </c>
      <c r="O739" s="326">
        <f>IF(ROW()=ROW(tblContractForDeed[#Headers])+1,$O$6,IF(INDEX(tblContractForDeed[End Bal],ROW()-ROW(tblContractForDeed[#Headers])-1)&lt;0,0,INDEX(tblContractForDeed[End Bal],ROW()-ROW(tblContractForDeed[#Headers])-1)))</f>
        <v>0</v>
      </c>
      <c r="P739" s="445" t="str">
        <f>IF(tblContractForDeed[[#This Row],[Date]]="","",IF(tblContractForDeed[[#This Row],[Date]]&lt;cfdRateChangeDate,cfdRate1,cfdRate2))</f>
        <v/>
      </c>
      <c r="Q73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26">
        <f>SUM(INDEX(tblContractForDeed[Princ],1):INDEX(tblContractForDeed[Princ],ROW()-ROW(tblContractForDeed[#Headers])))</f>
        <v>75258.000000000029</v>
      </c>
      <c r="X739" s="326">
        <f>IF(tblContractForDeed[[#This Row],[Beg]]&lt;=0,0,tblContractForDeed[[#This Row],[Beg]]-tblContractForDeed[[#This Row],[Princ]])</f>
        <v>0</v>
      </c>
      <c r="Y73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26">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9" s="326">
        <f>IF(INDEX(tblContractForDeed[End Bal],ROW()-ROW(tblBuyerOutputs[#Headers]))&lt;=0,0,($O$6+IF(ROW()=ROW(tblBuyerOutputs[#Headers])+1,0,INDEX(tblBuyerOutputs[Cumul Appr],ROW()-ROW(tblBuyerOutputs[#Headers])-1)))*$O$2/12)</f>
        <v>0</v>
      </c>
      <c r="AE739" s="326">
        <f>IF(INDEX(tblContractForDeed[End Bal],ROW()-ROW(tblBuyerOutputs[#Headers]))&lt;=0,0,IF(ROW()=ROW(tblBuyerOutputs[#Headers])+1,0,INDEX(tblBuyerOutputs[Cumul Appr],ROW()-ROW(tblBuyerOutputs[#Headers])-1))+tblBuyerOutputs[[#This Row],[Monthly Appr]])</f>
        <v>0</v>
      </c>
      <c r="AF739" s="22"/>
      <c r="AG739" s="14"/>
      <c r="AL739"/>
      <c r="AM739" s="14"/>
      <c r="AO739" s="275"/>
      <c r="AQ739" s="21"/>
      <c r="AR739"/>
    </row>
    <row r="740" spans="1:44" x14ac:dyDescent="0.25">
      <c r="A740" s="590" t="str">
        <f t="shared" si="143"/>
        <v/>
      </c>
      <c r="B740" s="275">
        <f t="shared" si="144"/>
        <v>0</v>
      </c>
      <c r="C740" s="14">
        <f t="shared" si="141"/>
        <v>0</v>
      </c>
      <c r="D740" s="14">
        <f t="shared" si="145"/>
        <v>0</v>
      </c>
      <c r="E740" s="14">
        <f t="shared" si="142"/>
        <v>0</v>
      </c>
      <c r="K740" s="275">
        <f t="shared" si="146"/>
        <v>0</v>
      </c>
      <c r="L740" s="386">
        <f t="shared" si="140"/>
        <v>0</v>
      </c>
      <c r="M740" s="386">
        <f t="shared" si="147"/>
        <v>0</v>
      </c>
      <c r="N740" s="590" t="str">
        <f>INDEX(tblSubjectToLoan[Date],ROW()-ROW(tblContractForDeed[#Headers]))</f>
        <v/>
      </c>
      <c r="O740" s="275">
        <f>IF(ROW()=ROW(tblContractForDeed[#Headers])+1,$O$6,IF(INDEX(tblContractForDeed[End Bal],ROW()-ROW(tblContractForDeed[#Headers])-1)&lt;0,0,INDEX(tblContractForDeed[End Bal],ROW()-ROW(tblContractForDeed[#Headers])-1)))</f>
        <v>0</v>
      </c>
      <c r="P740" s="445" t="str">
        <f>IF(tblContractForDeed[[#This Row],[Date]]="","",IF(tblContractForDeed[[#This Row],[Date]]&lt;cfdRateChangeDate,cfdRate1,cfdRate2))</f>
        <v/>
      </c>
      <c r="Q7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75">
        <f>SUM(INDEX(tblContractForDeed[Princ],1):INDEX(tblContractForDeed[Princ],ROW()-ROW(tblContractForDeed[#Headers])))</f>
        <v>75258.000000000029</v>
      </c>
      <c r="X740" s="275">
        <f>IF(tblContractForDeed[[#This Row],[Beg]]&lt;=0,0,tblContractForDeed[[#This Row],[Beg]]-tblContractForDeed[[#This Row],[Princ]])</f>
        <v>0</v>
      </c>
      <c r="Y74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75">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0" s="275">
        <f>IF(INDEX(tblContractForDeed[End Bal],ROW()-ROW(tblBuyerOutputs[#Headers]))&lt;=0,0,($O$6+IF(ROW()=ROW(tblBuyerOutputs[#Headers])+1,0,INDEX(tblBuyerOutputs[Cumul Appr],ROW()-ROW(tblBuyerOutputs[#Headers])-1)))*$O$2/12)</f>
        <v>0</v>
      </c>
      <c r="AE740" s="275">
        <f>IF(INDEX(tblContractForDeed[End Bal],ROW()-ROW(tblBuyerOutputs[#Headers]))&lt;=0,0,IF(ROW()=ROW(tblBuyerOutputs[#Headers])+1,0,INDEX(tblBuyerOutputs[Cumul Appr],ROW()-ROW(tblBuyerOutputs[#Headers])-1))+tblBuyerOutputs[[#This Row],[Monthly Appr]])</f>
        <v>0</v>
      </c>
      <c r="AF740" s="22"/>
      <c r="AG740" s="14"/>
      <c r="AL740"/>
      <c r="AM740" s="14"/>
      <c r="AO740" s="275"/>
      <c r="AQ740" s="14"/>
      <c r="AR740"/>
    </row>
    <row r="741" spans="1:44" x14ac:dyDescent="0.25">
      <c r="A741" s="590" t="str">
        <f t="shared" si="143"/>
        <v/>
      </c>
      <c r="B741" s="275">
        <f t="shared" si="144"/>
        <v>0</v>
      </c>
      <c r="C741" s="14">
        <f t="shared" si="141"/>
        <v>0</v>
      </c>
      <c r="D741" s="14">
        <f t="shared" si="145"/>
        <v>0</v>
      </c>
      <c r="E741" s="14">
        <f t="shared" si="142"/>
        <v>0</v>
      </c>
      <c r="K741" s="275">
        <f t="shared" si="146"/>
        <v>0</v>
      </c>
      <c r="L741" s="386">
        <f t="shared" si="140"/>
        <v>0</v>
      </c>
      <c r="M741" s="386">
        <f t="shared" si="147"/>
        <v>0</v>
      </c>
      <c r="N741" s="590" t="str">
        <f>INDEX(tblSubjectToLoan[Date],ROW()-ROW(tblContractForDeed[#Headers]))</f>
        <v/>
      </c>
      <c r="O741" s="275">
        <f>IF(ROW()=ROW(tblContractForDeed[#Headers])+1,$O$6,IF(INDEX(tblContractForDeed[End Bal],ROW()-ROW(tblContractForDeed[#Headers])-1)&lt;0,0,INDEX(tblContractForDeed[End Bal],ROW()-ROW(tblContractForDeed[#Headers])-1)))</f>
        <v>0</v>
      </c>
      <c r="P741" s="445" t="str">
        <f>IF(tblContractForDeed[[#This Row],[Date]]="","",IF(tblContractForDeed[[#This Row],[Date]]&lt;cfdRateChangeDate,cfdRate1,cfdRate2))</f>
        <v/>
      </c>
      <c r="Q7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75">
        <f>SUM(INDEX(tblContractForDeed[Princ],1):INDEX(tblContractForDeed[Princ],ROW()-ROW(tblContractForDeed[#Headers])))</f>
        <v>75258.000000000029</v>
      </c>
      <c r="X741" s="275">
        <f>IF(tblContractForDeed[[#This Row],[Beg]]&lt;=0,0,tblContractForDeed[[#This Row],[Beg]]-tblContractForDeed[[#This Row],[Princ]])</f>
        <v>0</v>
      </c>
      <c r="Y74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75">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1" s="275">
        <f>IF(INDEX(tblContractForDeed[End Bal],ROW()-ROW(tblBuyerOutputs[#Headers]))&lt;=0,0,($O$6+IF(ROW()=ROW(tblBuyerOutputs[#Headers])+1,0,INDEX(tblBuyerOutputs[Cumul Appr],ROW()-ROW(tblBuyerOutputs[#Headers])-1)))*$O$2/12)</f>
        <v>0</v>
      </c>
      <c r="AE741" s="275">
        <f>IF(INDEX(tblContractForDeed[End Bal],ROW()-ROW(tblBuyerOutputs[#Headers]))&lt;=0,0,IF(ROW()=ROW(tblBuyerOutputs[#Headers])+1,0,INDEX(tblBuyerOutputs[Cumul Appr],ROW()-ROW(tblBuyerOutputs[#Headers])-1))+tblBuyerOutputs[[#This Row],[Monthly Appr]])</f>
        <v>0</v>
      </c>
      <c r="AF741" s="22"/>
      <c r="AG741" s="14"/>
      <c r="AL741"/>
      <c r="AM741" s="14"/>
      <c r="AO741" s="275"/>
      <c r="AQ741" s="14"/>
      <c r="AR741"/>
    </row>
    <row r="742" spans="1:44" x14ac:dyDescent="0.25">
      <c r="A742" s="590" t="str">
        <f t="shared" si="143"/>
        <v/>
      </c>
      <c r="B742" s="275">
        <f t="shared" si="144"/>
        <v>0</v>
      </c>
      <c r="C742" s="14">
        <f t="shared" si="141"/>
        <v>0</v>
      </c>
      <c r="D742" s="14">
        <f t="shared" si="145"/>
        <v>0</v>
      </c>
      <c r="E742" s="14">
        <f t="shared" si="142"/>
        <v>0</v>
      </c>
      <c r="K742" s="275">
        <f t="shared" si="146"/>
        <v>0</v>
      </c>
      <c r="L742" s="386">
        <f t="shared" si="140"/>
        <v>0</v>
      </c>
      <c r="M742" s="386">
        <f t="shared" si="147"/>
        <v>0</v>
      </c>
      <c r="N742" s="590" t="str">
        <f>INDEX(tblSubjectToLoan[Date],ROW()-ROW(tblContractForDeed[#Headers]))</f>
        <v/>
      </c>
      <c r="O742" s="275">
        <f>IF(ROW()=ROW(tblContractForDeed[#Headers])+1,$O$6,IF(INDEX(tblContractForDeed[End Bal],ROW()-ROW(tblContractForDeed[#Headers])-1)&lt;0,0,INDEX(tblContractForDeed[End Bal],ROW()-ROW(tblContractForDeed[#Headers])-1)))</f>
        <v>0</v>
      </c>
      <c r="P742" s="445" t="str">
        <f>IF(tblContractForDeed[[#This Row],[Date]]="","",IF(tblContractForDeed[[#This Row],[Date]]&lt;cfdRateChangeDate,cfdRate1,cfdRate2))</f>
        <v/>
      </c>
      <c r="Q7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75">
        <f>SUM(INDEX(tblContractForDeed[Princ],1):INDEX(tblContractForDeed[Princ],ROW()-ROW(tblContractForDeed[#Headers])))</f>
        <v>75258.000000000029</v>
      </c>
      <c r="X742" s="275">
        <f>IF(tblContractForDeed[[#This Row],[Beg]]&lt;=0,0,tblContractForDeed[[#This Row],[Beg]]-tblContractForDeed[[#This Row],[Princ]])</f>
        <v>0</v>
      </c>
      <c r="Y74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75">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2" s="275">
        <f>IF(INDEX(tblContractForDeed[End Bal],ROW()-ROW(tblBuyerOutputs[#Headers]))&lt;=0,0,($O$6+IF(ROW()=ROW(tblBuyerOutputs[#Headers])+1,0,INDEX(tblBuyerOutputs[Cumul Appr],ROW()-ROW(tblBuyerOutputs[#Headers])-1)))*$O$2/12)</f>
        <v>0</v>
      </c>
      <c r="AE742" s="275">
        <f>IF(INDEX(tblContractForDeed[End Bal],ROW()-ROW(tblBuyerOutputs[#Headers]))&lt;=0,0,IF(ROW()=ROW(tblBuyerOutputs[#Headers])+1,0,INDEX(tblBuyerOutputs[Cumul Appr],ROW()-ROW(tblBuyerOutputs[#Headers])-1))+tblBuyerOutputs[[#This Row],[Monthly Appr]])</f>
        <v>0</v>
      </c>
      <c r="AF742" s="22"/>
      <c r="AG742" s="14"/>
      <c r="AL742"/>
      <c r="AM742" s="14"/>
      <c r="AO742" s="275"/>
      <c r="AQ742" s="14"/>
      <c r="AR742"/>
    </row>
    <row r="743" spans="1:44" x14ac:dyDescent="0.25">
      <c r="A743" s="590" t="str">
        <f t="shared" si="143"/>
        <v/>
      </c>
      <c r="B743" s="275">
        <f t="shared" si="144"/>
        <v>0</v>
      </c>
      <c r="C743" s="14">
        <f t="shared" si="141"/>
        <v>0</v>
      </c>
      <c r="D743" s="14">
        <f t="shared" si="145"/>
        <v>0</v>
      </c>
      <c r="E743" s="14">
        <f t="shared" si="142"/>
        <v>0</v>
      </c>
      <c r="K743" s="275">
        <f t="shared" si="146"/>
        <v>0</v>
      </c>
      <c r="L743" s="386">
        <f t="shared" si="140"/>
        <v>0</v>
      </c>
      <c r="M743" s="386">
        <f t="shared" si="147"/>
        <v>0</v>
      </c>
      <c r="N743" s="590" t="str">
        <f>INDEX(tblSubjectToLoan[Date],ROW()-ROW(tblContractForDeed[#Headers]))</f>
        <v/>
      </c>
      <c r="O743" s="275">
        <f>IF(ROW()=ROW(tblContractForDeed[#Headers])+1,$O$6,IF(INDEX(tblContractForDeed[End Bal],ROW()-ROW(tblContractForDeed[#Headers])-1)&lt;0,0,INDEX(tblContractForDeed[End Bal],ROW()-ROW(tblContractForDeed[#Headers])-1)))</f>
        <v>0</v>
      </c>
      <c r="P743" s="445" t="str">
        <f>IF(tblContractForDeed[[#This Row],[Date]]="","",IF(tblContractForDeed[[#This Row],[Date]]&lt;cfdRateChangeDate,cfdRate1,cfdRate2))</f>
        <v/>
      </c>
      <c r="Q74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75">
        <f>SUM(INDEX(tblContractForDeed[Princ],1):INDEX(tblContractForDeed[Princ],ROW()-ROW(tblContractForDeed[#Headers])))</f>
        <v>75258.000000000029</v>
      </c>
      <c r="X743" s="275">
        <f>IF(tblContractForDeed[[#This Row],[Beg]]&lt;=0,0,tblContractForDeed[[#This Row],[Beg]]-tblContractForDeed[[#This Row],[Princ]])</f>
        <v>0</v>
      </c>
      <c r="Y74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75">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3" s="275">
        <f>IF(INDEX(tblContractForDeed[End Bal],ROW()-ROW(tblBuyerOutputs[#Headers]))&lt;=0,0,($O$6+IF(ROW()=ROW(tblBuyerOutputs[#Headers])+1,0,INDEX(tblBuyerOutputs[Cumul Appr],ROW()-ROW(tblBuyerOutputs[#Headers])-1)))*$O$2/12)</f>
        <v>0</v>
      </c>
      <c r="AE743" s="275">
        <f>IF(INDEX(tblContractForDeed[End Bal],ROW()-ROW(tblBuyerOutputs[#Headers]))&lt;=0,0,IF(ROW()=ROW(tblBuyerOutputs[#Headers])+1,0,INDEX(tblBuyerOutputs[Cumul Appr],ROW()-ROW(tblBuyerOutputs[#Headers])-1))+tblBuyerOutputs[[#This Row],[Monthly Appr]])</f>
        <v>0</v>
      </c>
      <c r="AF743" s="22"/>
      <c r="AG743" s="14"/>
      <c r="AL743"/>
      <c r="AM743" s="14"/>
      <c r="AO743" s="275"/>
      <c r="AQ743" s="14"/>
      <c r="AR743"/>
    </row>
    <row r="744" spans="1:44" x14ac:dyDescent="0.25">
      <c r="A744" s="590" t="str">
        <f t="shared" si="143"/>
        <v/>
      </c>
      <c r="B744" s="275">
        <f t="shared" si="144"/>
        <v>0</v>
      </c>
      <c r="C744" s="14">
        <f t="shared" si="141"/>
        <v>0</v>
      </c>
      <c r="D744" s="14">
        <f t="shared" si="145"/>
        <v>0</v>
      </c>
      <c r="E744" s="14">
        <f t="shared" si="142"/>
        <v>0</v>
      </c>
      <c r="K744" s="275">
        <f t="shared" si="146"/>
        <v>0</v>
      </c>
      <c r="L744" s="386">
        <f t="shared" si="140"/>
        <v>0</v>
      </c>
      <c r="M744" s="386">
        <f t="shared" si="147"/>
        <v>0</v>
      </c>
      <c r="N744" s="590" t="str">
        <f>INDEX(tblSubjectToLoan[Date],ROW()-ROW(tblContractForDeed[#Headers]))</f>
        <v/>
      </c>
      <c r="O744" s="275">
        <f>IF(ROW()=ROW(tblContractForDeed[#Headers])+1,$O$6,IF(INDEX(tblContractForDeed[End Bal],ROW()-ROW(tblContractForDeed[#Headers])-1)&lt;0,0,INDEX(tblContractForDeed[End Bal],ROW()-ROW(tblContractForDeed[#Headers])-1)))</f>
        <v>0</v>
      </c>
      <c r="P744" s="445" t="str">
        <f>IF(tblContractForDeed[[#This Row],[Date]]="","",IF(tblContractForDeed[[#This Row],[Date]]&lt;cfdRateChangeDate,cfdRate1,cfdRate2))</f>
        <v/>
      </c>
      <c r="Q7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75">
        <f>SUM(INDEX(tblContractForDeed[Princ],1):INDEX(tblContractForDeed[Princ],ROW()-ROW(tblContractForDeed[#Headers])))</f>
        <v>75258.000000000029</v>
      </c>
      <c r="X744" s="275">
        <f>IF(tblContractForDeed[[#This Row],[Beg]]&lt;=0,0,tblContractForDeed[[#This Row],[Beg]]-tblContractForDeed[[#This Row],[Princ]])</f>
        <v>0</v>
      </c>
      <c r="Y74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75">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4" s="275">
        <f>IF(INDEX(tblContractForDeed[End Bal],ROW()-ROW(tblBuyerOutputs[#Headers]))&lt;=0,0,($O$6+IF(ROW()=ROW(tblBuyerOutputs[#Headers])+1,0,INDEX(tblBuyerOutputs[Cumul Appr],ROW()-ROW(tblBuyerOutputs[#Headers])-1)))*$O$2/12)</f>
        <v>0</v>
      </c>
      <c r="AE744" s="275">
        <f>IF(INDEX(tblContractForDeed[End Bal],ROW()-ROW(tblBuyerOutputs[#Headers]))&lt;=0,0,IF(ROW()=ROW(tblBuyerOutputs[#Headers])+1,0,INDEX(tblBuyerOutputs[Cumul Appr],ROW()-ROW(tblBuyerOutputs[#Headers])-1))+tblBuyerOutputs[[#This Row],[Monthly Appr]])</f>
        <v>0</v>
      </c>
      <c r="AF744" s="22"/>
      <c r="AG744" s="14"/>
      <c r="AL744"/>
      <c r="AM744" s="14"/>
      <c r="AO744" s="275"/>
      <c r="AQ744" s="14"/>
      <c r="AR744"/>
    </row>
    <row r="745" spans="1:44" x14ac:dyDescent="0.25">
      <c r="A745" s="590" t="str">
        <f t="shared" si="143"/>
        <v/>
      </c>
      <c r="B745" s="275">
        <f t="shared" si="144"/>
        <v>0</v>
      </c>
      <c r="C745" s="14">
        <f t="shared" si="141"/>
        <v>0</v>
      </c>
      <c r="D745" s="14">
        <f t="shared" si="145"/>
        <v>0</v>
      </c>
      <c r="E745" s="14">
        <f t="shared" si="142"/>
        <v>0</v>
      </c>
      <c r="K745" s="275">
        <f t="shared" si="146"/>
        <v>0</v>
      </c>
      <c r="L745" s="386">
        <f t="shared" si="140"/>
        <v>0</v>
      </c>
      <c r="M745" s="386">
        <f t="shared" si="147"/>
        <v>0</v>
      </c>
      <c r="N745" s="590" t="str">
        <f>INDEX(tblSubjectToLoan[Date],ROW()-ROW(tblContractForDeed[#Headers]))</f>
        <v/>
      </c>
      <c r="O745" s="275">
        <f>IF(ROW()=ROW(tblContractForDeed[#Headers])+1,$O$6,IF(INDEX(tblContractForDeed[End Bal],ROW()-ROW(tblContractForDeed[#Headers])-1)&lt;0,0,INDEX(tblContractForDeed[End Bal],ROW()-ROW(tblContractForDeed[#Headers])-1)))</f>
        <v>0</v>
      </c>
      <c r="P745" s="445" t="str">
        <f>IF(tblContractForDeed[[#This Row],[Date]]="","",IF(tblContractForDeed[[#This Row],[Date]]&lt;cfdRateChangeDate,cfdRate1,cfdRate2))</f>
        <v/>
      </c>
      <c r="Q7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75">
        <f>SUM(INDEX(tblContractForDeed[Princ],1):INDEX(tblContractForDeed[Princ],ROW()-ROW(tblContractForDeed[#Headers])))</f>
        <v>75258.000000000029</v>
      </c>
      <c r="X745" s="275">
        <f>IF(tblContractForDeed[[#This Row],[Beg]]&lt;=0,0,tblContractForDeed[[#This Row],[Beg]]-tblContractForDeed[[#This Row],[Princ]])</f>
        <v>0</v>
      </c>
      <c r="Y74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75">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5" s="275">
        <f>IF(INDEX(tblContractForDeed[End Bal],ROW()-ROW(tblBuyerOutputs[#Headers]))&lt;=0,0,($O$6+IF(ROW()=ROW(tblBuyerOutputs[#Headers])+1,0,INDEX(tblBuyerOutputs[Cumul Appr],ROW()-ROW(tblBuyerOutputs[#Headers])-1)))*$O$2/12)</f>
        <v>0</v>
      </c>
      <c r="AE745" s="275">
        <f>IF(INDEX(tblContractForDeed[End Bal],ROW()-ROW(tblBuyerOutputs[#Headers]))&lt;=0,0,IF(ROW()=ROW(tblBuyerOutputs[#Headers])+1,0,INDEX(tblBuyerOutputs[Cumul Appr],ROW()-ROW(tblBuyerOutputs[#Headers])-1))+tblBuyerOutputs[[#This Row],[Monthly Appr]])</f>
        <v>0</v>
      </c>
      <c r="AF745" s="22"/>
      <c r="AG745" s="14"/>
      <c r="AL745"/>
      <c r="AM745" s="14"/>
      <c r="AO745" s="275"/>
      <c r="AQ745" s="14"/>
      <c r="AR745"/>
    </row>
    <row r="746" spans="1:44" x14ac:dyDescent="0.25">
      <c r="A746" s="590" t="str">
        <f t="shared" si="143"/>
        <v/>
      </c>
      <c r="B746" s="275">
        <f t="shared" si="144"/>
        <v>0</v>
      </c>
      <c r="C746" s="14">
        <f t="shared" si="141"/>
        <v>0</v>
      </c>
      <c r="D746" s="14">
        <f t="shared" si="145"/>
        <v>0</v>
      </c>
      <c r="E746" s="14">
        <f t="shared" si="142"/>
        <v>0</v>
      </c>
      <c r="K746" s="275">
        <f t="shared" si="146"/>
        <v>0</v>
      </c>
      <c r="L746" s="386">
        <f t="shared" si="140"/>
        <v>0</v>
      </c>
      <c r="M746" s="386">
        <f t="shared" si="147"/>
        <v>0</v>
      </c>
      <c r="N746" s="590" t="str">
        <f>INDEX(tblSubjectToLoan[Date],ROW()-ROW(tblContractForDeed[#Headers]))</f>
        <v/>
      </c>
      <c r="O746" s="275">
        <f>IF(ROW()=ROW(tblContractForDeed[#Headers])+1,$O$6,IF(INDEX(tblContractForDeed[End Bal],ROW()-ROW(tblContractForDeed[#Headers])-1)&lt;0,0,INDEX(tblContractForDeed[End Bal],ROW()-ROW(tblContractForDeed[#Headers])-1)))</f>
        <v>0</v>
      </c>
      <c r="P746" s="445" t="str">
        <f>IF(tblContractForDeed[[#This Row],[Date]]="","",IF(tblContractForDeed[[#This Row],[Date]]&lt;cfdRateChangeDate,cfdRate1,cfdRate2))</f>
        <v/>
      </c>
      <c r="Q7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75">
        <f>SUM(INDEX(tblContractForDeed[Princ],1):INDEX(tblContractForDeed[Princ],ROW()-ROW(tblContractForDeed[#Headers])))</f>
        <v>75258.000000000029</v>
      </c>
      <c r="X746" s="275">
        <f>IF(tblContractForDeed[[#This Row],[Beg]]&lt;=0,0,tblContractForDeed[[#This Row],[Beg]]-tblContractForDeed[[#This Row],[Princ]])</f>
        <v>0</v>
      </c>
      <c r="Y74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75">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6" s="275">
        <f>IF(INDEX(tblContractForDeed[End Bal],ROW()-ROW(tblBuyerOutputs[#Headers]))&lt;=0,0,($O$6+IF(ROW()=ROW(tblBuyerOutputs[#Headers])+1,0,INDEX(tblBuyerOutputs[Cumul Appr],ROW()-ROW(tblBuyerOutputs[#Headers])-1)))*$O$2/12)</f>
        <v>0</v>
      </c>
      <c r="AE746" s="275">
        <f>IF(INDEX(tblContractForDeed[End Bal],ROW()-ROW(tblBuyerOutputs[#Headers]))&lt;=0,0,IF(ROW()=ROW(tblBuyerOutputs[#Headers])+1,0,INDEX(tblBuyerOutputs[Cumul Appr],ROW()-ROW(tblBuyerOutputs[#Headers])-1))+tblBuyerOutputs[[#This Row],[Monthly Appr]])</f>
        <v>0</v>
      </c>
      <c r="AF746" s="22"/>
      <c r="AG746" s="14"/>
      <c r="AL746"/>
      <c r="AM746" s="14"/>
      <c r="AO746" s="275"/>
      <c r="AQ746" s="14"/>
      <c r="AR746"/>
    </row>
    <row r="747" spans="1:44" x14ac:dyDescent="0.25">
      <c r="A747" s="590" t="str">
        <f t="shared" si="143"/>
        <v/>
      </c>
      <c r="B747" s="275">
        <f t="shared" si="144"/>
        <v>0</v>
      </c>
      <c r="C747" s="14">
        <f t="shared" si="141"/>
        <v>0</v>
      </c>
      <c r="D747" s="14">
        <f t="shared" si="145"/>
        <v>0</v>
      </c>
      <c r="E747" s="14">
        <f t="shared" si="142"/>
        <v>0</v>
      </c>
      <c r="K747" s="275">
        <f t="shared" si="146"/>
        <v>0</v>
      </c>
      <c r="L747" s="386">
        <f t="shared" si="140"/>
        <v>0</v>
      </c>
      <c r="M747" s="386">
        <f t="shared" si="147"/>
        <v>0</v>
      </c>
      <c r="N747" s="590" t="str">
        <f>INDEX(tblSubjectToLoan[Date],ROW()-ROW(tblContractForDeed[#Headers]))</f>
        <v/>
      </c>
      <c r="O747" s="275">
        <f>IF(ROW()=ROW(tblContractForDeed[#Headers])+1,$O$6,IF(INDEX(tblContractForDeed[End Bal],ROW()-ROW(tblContractForDeed[#Headers])-1)&lt;0,0,INDEX(tblContractForDeed[End Bal],ROW()-ROW(tblContractForDeed[#Headers])-1)))</f>
        <v>0</v>
      </c>
      <c r="P747" s="445" t="str">
        <f>IF(tblContractForDeed[[#This Row],[Date]]="","",IF(tblContractForDeed[[#This Row],[Date]]&lt;cfdRateChangeDate,cfdRate1,cfdRate2))</f>
        <v/>
      </c>
      <c r="Q74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75">
        <f>SUM(INDEX(tblContractForDeed[Princ],1):INDEX(tblContractForDeed[Princ],ROW()-ROW(tblContractForDeed[#Headers])))</f>
        <v>75258.000000000029</v>
      </c>
      <c r="X747" s="275">
        <f>IF(tblContractForDeed[[#This Row],[Beg]]&lt;=0,0,tblContractForDeed[[#This Row],[Beg]]-tblContractForDeed[[#This Row],[Princ]])</f>
        <v>0</v>
      </c>
      <c r="Y74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75">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7" s="275">
        <f>IF(INDEX(tblContractForDeed[End Bal],ROW()-ROW(tblBuyerOutputs[#Headers]))&lt;=0,0,($O$6+IF(ROW()=ROW(tblBuyerOutputs[#Headers])+1,0,INDEX(tblBuyerOutputs[Cumul Appr],ROW()-ROW(tblBuyerOutputs[#Headers])-1)))*$O$2/12)</f>
        <v>0</v>
      </c>
      <c r="AE747" s="275">
        <f>IF(INDEX(tblContractForDeed[End Bal],ROW()-ROW(tblBuyerOutputs[#Headers]))&lt;=0,0,IF(ROW()=ROW(tblBuyerOutputs[#Headers])+1,0,INDEX(tblBuyerOutputs[Cumul Appr],ROW()-ROW(tblBuyerOutputs[#Headers])-1))+tblBuyerOutputs[[#This Row],[Monthly Appr]])</f>
        <v>0</v>
      </c>
      <c r="AF747" s="22"/>
      <c r="AG747" s="14"/>
      <c r="AL747"/>
      <c r="AM747" s="14"/>
      <c r="AO747" s="275"/>
      <c r="AQ747" s="14"/>
      <c r="AR747"/>
    </row>
    <row r="748" spans="1:44" x14ac:dyDescent="0.25">
      <c r="A748" s="590" t="str">
        <f t="shared" si="143"/>
        <v/>
      </c>
      <c r="B748" s="275">
        <f t="shared" si="144"/>
        <v>0</v>
      </c>
      <c r="C748" s="14">
        <f t="shared" si="141"/>
        <v>0</v>
      </c>
      <c r="D748" s="14">
        <f t="shared" si="145"/>
        <v>0</v>
      </c>
      <c r="E748" s="14">
        <f t="shared" si="142"/>
        <v>0</v>
      </c>
      <c r="K748" s="275">
        <f t="shared" si="146"/>
        <v>0</v>
      </c>
      <c r="L748" s="386">
        <f t="shared" si="140"/>
        <v>0</v>
      </c>
      <c r="M748" s="386">
        <f t="shared" si="147"/>
        <v>0</v>
      </c>
      <c r="N748" s="590" t="str">
        <f>INDEX(tblSubjectToLoan[Date],ROW()-ROW(tblContractForDeed[#Headers]))</f>
        <v/>
      </c>
      <c r="O748" s="275">
        <f>IF(ROW()=ROW(tblContractForDeed[#Headers])+1,$O$6,IF(INDEX(tblContractForDeed[End Bal],ROW()-ROW(tblContractForDeed[#Headers])-1)&lt;0,0,INDEX(tblContractForDeed[End Bal],ROW()-ROW(tblContractForDeed[#Headers])-1)))</f>
        <v>0</v>
      </c>
      <c r="P748" s="445" t="str">
        <f>IF(tblContractForDeed[[#This Row],[Date]]="","",IF(tblContractForDeed[[#This Row],[Date]]&lt;cfdRateChangeDate,cfdRate1,cfdRate2))</f>
        <v/>
      </c>
      <c r="Q7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75">
        <f>SUM(INDEX(tblContractForDeed[Princ],1):INDEX(tblContractForDeed[Princ],ROW()-ROW(tblContractForDeed[#Headers])))</f>
        <v>75258.000000000029</v>
      </c>
      <c r="X748" s="275">
        <f>IF(tblContractForDeed[[#This Row],[Beg]]&lt;=0,0,tblContractForDeed[[#This Row],[Beg]]-tblContractForDeed[[#This Row],[Princ]])</f>
        <v>0</v>
      </c>
      <c r="Y74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75">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8" s="275">
        <f>IF(INDEX(tblContractForDeed[End Bal],ROW()-ROW(tblBuyerOutputs[#Headers]))&lt;=0,0,($O$6+IF(ROW()=ROW(tblBuyerOutputs[#Headers])+1,0,INDEX(tblBuyerOutputs[Cumul Appr],ROW()-ROW(tblBuyerOutputs[#Headers])-1)))*$O$2/12)</f>
        <v>0</v>
      </c>
      <c r="AE748" s="275">
        <f>IF(INDEX(tblContractForDeed[End Bal],ROW()-ROW(tblBuyerOutputs[#Headers]))&lt;=0,0,IF(ROW()=ROW(tblBuyerOutputs[#Headers])+1,0,INDEX(tblBuyerOutputs[Cumul Appr],ROW()-ROW(tblBuyerOutputs[#Headers])-1))+tblBuyerOutputs[[#This Row],[Monthly Appr]])</f>
        <v>0</v>
      </c>
      <c r="AF748" s="22"/>
      <c r="AG748" s="14"/>
      <c r="AL748"/>
      <c r="AM748" s="14"/>
      <c r="AO748" s="275"/>
      <c r="AQ748" s="14"/>
      <c r="AR748"/>
    </row>
    <row r="749" spans="1:44" x14ac:dyDescent="0.25">
      <c r="A749" s="590" t="str">
        <f t="shared" si="143"/>
        <v/>
      </c>
      <c r="B749" s="275">
        <f t="shared" si="144"/>
        <v>0</v>
      </c>
      <c r="C749" s="14">
        <f t="shared" si="141"/>
        <v>0</v>
      </c>
      <c r="D749" s="14">
        <f t="shared" si="145"/>
        <v>0</v>
      </c>
      <c r="E749" s="14">
        <f t="shared" si="142"/>
        <v>0</v>
      </c>
      <c r="K749" s="275">
        <f t="shared" si="146"/>
        <v>0</v>
      </c>
      <c r="L749" s="386">
        <f t="shared" si="140"/>
        <v>0</v>
      </c>
      <c r="M749" s="386">
        <f t="shared" si="147"/>
        <v>0</v>
      </c>
      <c r="N749" s="590" t="str">
        <f>INDEX(tblSubjectToLoan[Date],ROW()-ROW(tblContractForDeed[#Headers]))</f>
        <v/>
      </c>
      <c r="O749" s="275">
        <f>IF(ROW()=ROW(tblContractForDeed[#Headers])+1,$O$6,IF(INDEX(tblContractForDeed[End Bal],ROW()-ROW(tblContractForDeed[#Headers])-1)&lt;0,0,INDEX(tblContractForDeed[End Bal],ROW()-ROW(tblContractForDeed[#Headers])-1)))</f>
        <v>0</v>
      </c>
      <c r="P749" s="445" t="str">
        <f>IF(tblContractForDeed[[#This Row],[Date]]="","",IF(tblContractForDeed[[#This Row],[Date]]&lt;cfdRateChangeDate,cfdRate1,cfdRate2))</f>
        <v/>
      </c>
      <c r="Q7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75">
        <f>SUM(INDEX(tblContractForDeed[Princ],1):INDEX(tblContractForDeed[Princ],ROW()-ROW(tblContractForDeed[#Headers])))</f>
        <v>75258.000000000029</v>
      </c>
      <c r="X749" s="275">
        <f>IF(tblContractForDeed[[#This Row],[Beg]]&lt;=0,0,tblContractForDeed[[#This Row],[Beg]]-tblContractForDeed[[#This Row],[Princ]])</f>
        <v>0</v>
      </c>
      <c r="Y74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75">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9" s="275">
        <f>IF(INDEX(tblContractForDeed[End Bal],ROW()-ROW(tblBuyerOutputs[#Headers]))&lt;=0,0,($O$6+IF(ROW()=ROW(tblBuyerOutputs[#Headers])+1,0,INDEX(tblBuyerOutputs[Cumul Appr],ROW()-ROW(tblBuyerOutputs[#Headers])-1)))*$O$2/12)</f>
        <v>0</v>
      </c>
      <c r="AE749" s="275">
        <f>IF(INDEX(tblContractForDeed[End Bal],ROW()-ROW(tblBuyerOutputs[#Headers]))&lt;=0,0,IF(ROW()=ROW(tblBuyerOutputs[#Headers])+1,0,INDEX(tblBuyerOutputs[Cumul Appr],ROW()-ROW(tblBuyerOutputs[#Headers])-1))+tblBuyerOutputs[[#This Row],[Monthly Appr]])</f>
        <v>0</v>
      </c>
      <c r="AF749" s="22"/>
      <c r="AG749" s="14"/>
      <c r="AL749"/>
      <c r="AM749" s="14"/>
      <c r="AO749" s="275"/>
      <c r="AQ749" s="14"/>
      <c r="AR749"/>
    </row>
    <row r="750" spans="1:44" x14ac:dyDescent="0.25">
      <c r="A750" s="590" t="str">
        <f t="shared" si="143"/>
        <v/>
      </c>
      <c r="B750" s="275">
        <f t="shared" si="144"/>
        <v>0</v>
      </c>
      <c r="C750" s="14">
        <f t="shared" si="141"/>
        <v>0</v>
      </c>
      <c r="D750" s="14">
        <f t="shared" si="145"/>
        <v>0</v>
      </c>
      <c r="E750" s="14">
        <f t="shared" si="142"/>
        <v>0</v>
      </c>
      <c r="K750" s="275">
        <f t="shared" si="146"/>
        <v>0</v>
      </c>
      <c r="L750" s="386">
        <f t="shared" si="140"/>
        <v>0</v>
      </c>
      <c r="M750" s="386">
        <f t="shared" si="147"/>
        <v>0</v>
      </c>
      <c r="N750" s="590" t="str">
        <f>INDEX(tblSubjectToLoan[Date],ROW()-ROW(tblContractForDeed[#Headers]))</f>
        <v/>
      </c>
      <c r="O750" s="275">
        <f>IF(ROW()=ROW(tblContractForDeed[#Headers])+1,$O$6,IF(INDEX(tblContractForDeed[End Bal],ROW()-ROW(tblContractForDeed[#Headers])-1)&lt;0,0,INDEX(tblContractForDeed[End Bal],ROW()-ROW(tblContractForDeed[#Headers])-1)))</f>
        <v>0</v>
      </c>
      <c r="P750" s="445" t="str">
        <f>IF(tblContractForDeed[[#This Row],[Date]]="","",IF(tblContractForDeed[[#This Row],[Date]]&lt;cfdRateChangeDate,cfdRate1,cfdRate2))</f>
        <v/>
      </c>
      <c r="Q7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75">
        <f>SUM(INDEX(tblContractForDeed[Princ],1):INDEX(tblContractForDeed[Princ],ROW()-ROW(tblContractForDeed[#Headers])))</f>
        <v>75258.000000000029</v>
      </c>
      <c r="X750" s="275">
        <f>IF(tblContractForDeed[[#This Row],[Beg]]&lt;=0,0,tblContractForDeed[[#This Row],[Beg]]-tblContractForDeed[[#This Row],[Princ]])</f>
        <v>0</v>
      </c>
      <c r="Y75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75">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0" s="275">
        <f>IF(INDEX(tblContractForDeed[End Bal],ROW()-ROW(tblBuyerOutputs[#Headers]))&lt;=0,0,($O$6+IF(ROW()=ROW(tblBuyerOutputs[#Headers])+1,0,INDEX(tblBuyerOutputs[Cumul Appr],ROW()-ROW(tblBuyerOutputs[#Headers])-1)))*$O$2/12)</f>
        <v>0</v>
      </c>
      <c r="AE750" s="275">
        <f>IF(INDEX(tblContractForDeed[End Bal],ROW()-ROW(tblBuyerOutputs[#Headers]))&lt;=0,0,IF(ROW()=ROW(tblBuyerOutputs[#Headers])+1,0,INDEX(tblBuyerOutputs[Cumul Appr],ROW()-ROW(tblBuyerOutputs[#Headers])-1))+tblBuyerOutputs[[#This Row],[Monthly Appr]])</f>
        <v>0</v>
      </c>
      <c r="AF750" s="22"/>
      <c r="AG750" s="14"/>
      <c r="AL750"/>
      <c r="AM750" s="14"/>
      <c r="AO750" s="275"/>
      <c r="AQ750" s="14"/>
      <c r="AR750"/>
    </row>
    <row r="751" spans="1:44" ht="15.75" thickBot="1" x14ac:dyDescent="0.3">
      <c r="A751" s="591" t="str">
        <f t="shared" si="143"/>
        <v/>
      </c>
      <c r="B751" s="326">
        <f t="shared" si="144"/>
        <v>0</v>
      </c>
      <c r="C751" s="21">
        <f t="shared" si="141"/>
        <v>0</v>
      </c>
      <c r="D751" s="21">
        <f t="shared" si="145"/>
        <v>0</v>
      </c>
      <c r="E751" s="21">
        <f t="shared" si="142"/>
        <v>0</v>
      </c>
      <c r="F751" s="21"/>
      <c r="G751" s="21"/>
      <c r="H751" s="21"/>
      <c r="I751" s="326"/>
      <c r="J751" s="326"/>
      <c r="K751" s="326">
        <f t="shared" si="146"/>
        <v>0</v>
      </c>
      <c r="L751" s="387">
        <f t="shared" si="140"/>
        <v>0</v>
      </c>
      <c r="M751" s="387">
        <f t="shared" si="147"/>
        <v>0</v>
      </c>
      <c r="N751" s="591" t="str">
        <f>INDEX(tblSubjectToLoan[Date],ROW()-ROW(tblContractForDeed[#Headers]))</f>
        <v/>
      </c>
      <c r="O751" s="326">
        <f>IF(ROW()=ROW(tblContractForDeed[#Headers])+1,$O$6,IF(INDEX(tblContractForDeed[End Bal],ROW()-ROW(tblContractForDeed[#Headers])-1)&lt;0,0,INDEX(tblContractForDeed[End Bal],ROW()-ROW(tblContractForDeed[#Headers])-1)))</f>
        <v>0</v>
      </c>
      <c r="P751" s="445" t="str">
        <f>IF(tblContractForDeed[[#This Row],[Date]]="","",IF(tblContractForDeed[[#This Row],[Date]]&lt;cfdRateChangeDate,cfdRate1,cfdRate2))</f>
        <v/>
      </c>
      <c r="Q75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26">
        <f>SUM(INDEX(tblContractForDeed[Princ],1):INDEX(tblContractForDeed[Princ],ROW()-ROW(tblContractForDeed[#Headers])))</f>
        <v>75258.000000000029</v>
      </c>
      <c r="X751" s="326">
        <f>IF(tblContractForDeed[[#This Row],[Beg]]&lt;=0,0,tblContractForDeed[[#This Row],[Beg]]-tblContractForDeed[[#This Row],[Princ]])</f>
        <v>0</v>
      </c>
      <c r="Y75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26">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1" s="326">
        <f>IF(INDEX(tblContractForDeed[End Bal],ROW()-ROW(tblBuyerOutputs[#Headers]))&lt;=0,0,($O$6+IF(ROW()=ROW(tblBuyerOutputs[#Headers])+1,0,INDEX(tblBuyerOutputs[Cumul Appr],ROW()-ROW(tblBuyerOutputs[#Headers])-1)))*$O$2/12)</f>
        <v>0</v>
      </c>
      <c r="AE751" s="326">
        <f>IF(INDEX(tblContractForDeed[End Bal],ROW()-ROW(tblBuyerOutputs[#Headers]))&lt;=0,0,IF(ROW()=ROW(tblBuyerOutputs[#Headers])+1,0,INDEX(tblBuyerOutputs[Cumul Appr],ROW()-ROW(tblBuyerOutputs[#Headers])-1))+tblBuyerOutputs[[#This Row],[Monthly Appr]])</f>
        <v>0</v>
      </c>
      <c r="AF751" s="22"/>
      <c r="AG751" s="14"/>
      <c r="AL751"/>
      <c r="AM751" s="14"/>
      <c r="AO751" s="275"/>
      <c r="AQ751" s="21"/>
      <c r="AR751"/>
    </row>
    <row r="752" spans="1:44" x14ac:dyDescent="0.25">
      <c r="A752" s="590" t="str">
        <f t="shared" si="143"/>
        <v/>
      </c>
      <c r="B752" s="275">
        <f t="shared" si="144"/>
        <v>0</v>
      </c>
      <c r="C752" s="14">
        <f t="shared" si="141"/>
        <v>0</v>
      </c>
      <c r="D752" s="14">
        <f t="shared" si="145"/>
        <v>0</v>
      </c>
      <c r="E752" s="14">
        <f t="shared" si="142"/>
        <v>0</v>
      </c>
      <c r="K752" s="275">
        <f t="shared" si="146"/>
        <v>0</v>
      </c>
      <c r="L752" s="386">
        <f t="shared" si="140"/>
        <v>0</v>
      </c>
      <c r="M752" s="386">
        <f t="shared" si="147"/>
        <v>0</v>
      </c>
      <c r="N752" s="590" t="str">
        <f>INDEX(tblSubjectToLoan[Date],ROW()-ROW(tblContractForDeed[#Headers]))</f>
        <v/>
      </c>
      <c r="O752" s="275">
        <f>IF(ROW()=ROW(tblContractForDeed[#Headers])+1,$O$6,IF(INDEX(tblContractForDeed[End Bal],ROW()-ROW(tblContractForDeed[#Headers])-1)&lt;0,0,INDEX(tblContractForDeed[End Bal],ROW()-ROW(tblContractForDeed[#Headers])-1)))</f>
        <v>0</v>
      </c>
      <c r="P752" s="445" t="str">
        <f>IF(tblContractForDeed[[#This Row],[Date]]="","",IF(tblContractForDeed[[#This Row],[Date]]&lt;cfdRateChangeDate,cfdRate1,cfdRate2))</f>
        <v/>
      </c>
      <c r="Q7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75">
        <f>SUM(INDEX(tblContractForDeed[Princ],1):INDEX(tblContractForDeed[Princ],ROW()-ROW(tblContractForDeed[#Headers])))</f>
        <v>75258.000000000029</v>
      </c>
      <c r="X752" s="275">
        <f>IF(tblContractForDeed[[#This Row],[Beg]]&lt;=0,0,tblContractForDeed[[#This Row],[Beg]]-tblContractForDeed[[#This Row],[Princ]])</f>
        <v>0</v>
      </c>
      <c r="Y75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75">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2" s="275">
        <f>IF(INDEX(tblContractForDeed[End Bal],ROW()-ROW(tblBuyerOutputs[#Headers]))&lt;=0,0,($O$6+IF(ROW()=ROW(tblBuyerOutputs[#Headers])+1,0,INDEX(tblBuyerOutputs[Cumul Appr],ROW()-ROW(tblBuyerOutputs[#Headers])-1)))*$O$2/12)</f>
        <v>0</v>
      </c>
      <c r="AE752" s="275">
        <f>IF(INDEX(tblContractForDeed[End Bal],ROW()-ROW(tblBuyerOutputs[#Headers]))&lt;=0,0,IF(ROW()=ROW(tblBuyerOutputs[#Headers])+1,0,INDEX(tblBuyerOutputs[Cumul Appr],ROW()-ROW(tblBuyerOutputs[#Headers])-1))+tblBuyerOutputs[[#This Row],[Monthly Appr]])</f>
        <v>0</v>
      </c>
      <c r="AF752" s="22"/>
      <c r="AG752" s="14"/>
      <c r="AL752"/>
      <c r="AM752" s="14"/>
      <c r="AO752" s="275"/>
      <c r="AQ752" s="14"/>
      <c r="AR752"/>
    </row>
    <row r="753" spans="1:44" x14ac:dyDescent="0.25">
      <c r="A753" s="590" t="str">
        <f t="shared" si="143"/>
        <v/>
      </c>
      <c r="B753" s="275">
        <f t="shared" si="144"/>
        <v>0</v>
      </c>
      <c r="C753" s="14">
        <f t="shared" si="141"/>
        <v>0</v>
      </c>
      <c r="D753" s="14">
        <f t="shared" si="145"/>
        <v>0</v>
      </c>
      <c r="E753" s="14">
        <f t="shared" si="142"/>
        <v>0</v>
      </c>
      <c r="K753" s="275">
        <f t="shared" si="146"/>
        <v>0</v>
      </c>
      <c r="L753" s="386">
        <f t="shared" si="140"/>
        <v>0</v>
      </c>
      <c r="M753" s="386">
        <f t="shared" si="147"/>
        <v>0</v>
      </c>
      <c r="N753" s="590" t="str">
        <f>INDEX(tblSubjectToLoan[Date],ROW()-ROW(tblContractForDeed[#Headers]))</f>
        <v/>
      </c>
      <c r="O753" s="275">
        <f>IF(ROW()=ROW(tblContractForDeed[#Headers])+1,$O$6,IF(INDEX(tblContractForDeed[End Bal],ROW()-ROW(tblContractForDeed[#Headers])-1)&lt;0,0,INDEX(tblContractForDeed[End Bal],ROW()-ROW(tblContractForDeed[#Headers])-1)))</f>
        <v>0</v>
      </c>
      <c r="P753" s="445" t="str">
        <f>IF(tblContractForDeed[[#This Row],[Date]]="","",IF(tblContractForDeed[[#This Row],[Date]]&lt;cfdRateChangeDate,cfdRate1,cfdRate2))</f>
        <v/>
      </c>
      <c r="Q7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75">
        <f>SUM(INDEX(tblContractForDeed[Princ],1):INDEX(tblContractForDeed[Princ],ROW()-ROW(tblContractForDeed[#Headers])))</f>
        <v>75258.000000000029</v>
      </c>
      <c r="X753" s="275">
        <f>IF(tblContractForDeed[[#This Row],[Beg]]&lt;=0,0,tblContractForDeed[[#This Row],[Beg]]-tblContractForDeed[[#This Row],[Princ]])</f>
        <v>0</v>
      </c>
      <c r="Y75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75">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3" s="275">
        <f>IF(INDEX(tblContractForDeed[End Bal],ROW()-ROW(tblBuyerOutputs[#Headers]))&lt;=0,0,($O$6+IF(ROW()=ROW(tblBuyerOutputs[#Headers])+1,0,INDEX(tblBuyerOutputs[Cumul Appr],ROW()-ROW(tblBuyerOutputs[#Headers])-1)))*$O$2/12)</f>
        <v>0</v>
      </c>
      <c r="AE753" s="275">
        <f>IF(INDEX(tblContractForDeed[End Bal],ROW()-ROW(tblBuyerOutputs[#Headers]))&lt;=0,0,IF(ROW()=ROW(tblBuyerOutputs[#Headers])+1,0,INDEX(tblBuyerOutputs[Cumul Appr],ROW()-ROW(tblBuyerOutputs[#Headers])-1))+tblBuyerOutputs[[#This Row],[Monthly Appr]])</f>
        <v>0</v>
      </c>
      <c r="AF753" s="22"/>
      <c r="AG753" s="14"/>
      <c r="AL753"/>
      <c r="AM753" s="14"/>
      <c r="AO753" s="275"/>
      <c r="AQ753" s="14"/>
      <c r="AR753"/>
    </row>
    <row r="754" spans="1:44" x14ac:dyDescent="0.25">
      <c r="A754" s="590" t="str">
        <f t="shared" si="143"/>
        <v/>
      </c>
      <c r="B754" s="275">
        <f t="shared" si="144"/>
        <v>0</v>
      </c>
      <c r="C754" s="14">
        <f t="shared" si="141"/>
        <v>0</v>
      </c>
      <c r="D754" s="14">
        <f t="shared" si="145"/>
        <v>0</v>
      </c>
      <c r="E754" s="14">
        <f t="shared" si="142"/>
        <v>0</v>
      </c>
      <c r="K754" s="275">
        <f t="shared" si="146"/>
        <v>0</v>
      </c>
      <c r="L754" s="386">
        <f t="shared" si="140"/>
        <v>0</v>
      </c>
      <c r="M754" s="386">
        <f t="shared" si="147"/>
        <v>0</v>
      </c>
      <c r="N754" s="590" t="str">
        <f>INDEX(tblSubjectToLoan[Date],ROW()-ROW(tblContractForDeed[#Headers]))</f>
        <v/>
      </c>
      <c r="O754" s="275">
        <f>IF(ROW()=ROW(tblContractForDeed[#Headers])+1,$O$6,IF(INDEX(tblContractForDeed[End Bal],ROW()-ROW(tblContractForDeed[#Headers])-1)&lt;0,0,INDEX(tblContractForDeed[End Bal],ROW()-ROW(tblContractForDeed[#Headers])-1)))</f>
        <v>0</v>
      </c>
      <c r="P754" s="445" t="str">
        <f>IF(tblContractForDeed[[#This Row],[Date]]="","",IF(tblContractForDeed[[#This Row],[Date]]&lt;cfdRateChangeDate,cfdRate1,cfdRate2))</f>
        <v/>
      </c>
      <c r="Q7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75">
        <f>SUM(INDEX(tblContractForDeed[Princ],1):INDEX(tblContractForDeed[Princ],ROW()-ROW(tblContractForDeed[#Headers])))</f>
        <v>75258.000000000029</v>
      </c>
      <c r="X754" s="275">
        <f>IF(tblContractForDeed[[#This Row],[Beg]]&lt;=0,0,tblContractForDeed[[#This Row],[Beg]]-tblContractForDeed[[#This Row],[Princ]])</f>
        <v>0</v>
      </c>
      <c r="Y75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75">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4" s="275">
        <f>IF(INDEX(tblContractForDeed[End Bal],ROW()-ROW(tblBuyerOutputs[#Headers]))&lt;=0,0,($O$6+IF(ROW()=ROW(tblBuyerOutputs[#Headers])+1,0,INDEX(tblBuyerOutputs[Cumul Appr],ROW()-ROW(tblBuyerOutputs[#Headers])-1)))*$O$2/12)</f>
        <v>0</v>
      </c>
      <c r="AE754" s="275">
        <f>IF(INDEX(tblContractForDeed[End Bal],ROW()-ROW(tblBuyerOutputs[#Headers]))&lt;=0,0,IF(ROW()=ROW(tblBuyerOutputs[#Headers])+1,0,INDEX(tblBuyerOutputs[Cumul Appr],ROW()-ROW(tblBuyerOutputs[#Headers])-1))+tblBuyerOutputs[[#This Row],[Monthly Appr]])</f>
        <v>0</v>
      </c>
      <c r="AF754" s="22"/>
      <c r="AG754" s="14"/>
      <c r="AL754"/>
      <c r="AM754" s="14"/>
      <c r="AO754" s="275"/>
      <c r="AQ754" s="14"/>
      <c r="AR754"/>
    </row>
    <row r="755" spans="1:44" x14ac:dyDescent="0.25">
      <c r="A755" s="590" t="str">
        <f t="shared" si="143"/>
        <v/>
      </c>
      <c r="B755" s="275">
        <f t="shared" si="144"/>
        <v>0</v>
      </c>
      <c r="C755" s="14">
        <f t="shared" si="141"/>
        <v>0</v>
      </c>
      <c r="D755" s="14">
        <f t="shared" si="145"/>
        <v>0</v>
      </c>
      <c r="E755" s="14">
        <f t="shared" si="142"/>
        <v>0</v>
      </c>
      <c r="K755" s="275">
        <f t="shared" si="146"/>
        <v>0</v>
      </c>
      <c r="L755" s="386">
        <f t="shared" si="140"/>
        <v>0</v>
      </c>
      <c r="M755" s="386">
        <f t="shared" si="147"/>
        <v>0</v>
      </c>
      <c r="N755" s="590" t="str">
        <f>INDEX(tblSubjectToLoan[Date],ROW()-ROW(tblContractForDeed[#Headers]))</f>
        <v/>
      </c>
      <c r="O755" s="275">
        <f>IF(ROW()=ROW(tblContractForDeed[#Headers])+1,$O$6,IF(INDEX(tblContractForDeed[End Bal],ROW()-ROW(tblContractForDeed[#Headers])-1)&lt;0,0,INDEX(tblContractForDeed[End Bal],ROW()-ROW(tblContractForDeed[#Headers])-1)))</f>
        <v>0</v>
      </c>
      <c r="P755" s="445" t="str">
        <f>IF(tblContractForDeed[[#This Row],[Date]]="","",IF(tblContractForDeed[[#This Row],[Date]]&lt;cfdRateChangeDate,cfdRate1,cfdRate2))</f>
        <v/>
      </c>
      <c r="Q75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75">
        <f>SUM(INDEX(tblContractForDeed[Princ],1):INDEX(tblContractForDeed[Princ],ROW()-ROW(tblContractForDeed[#Headers])))</f>
        <v>75258.000000000029</v>
      </c>
      <c r="X755" s="275">
        <f>IF(tblContractForDeed[[#This Row],[Beg]]&lt;=0,0,tblContractForDeed[[#This Row],[Beg]]-tblContractForDeed[[#This Row],[Princ]])</f>
        <v>0</v>
      </c>
      <c r="Y75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75">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5" s="275">
        <f>IF(INDEX(tblContractForDeed[End Bal],ROW()-ROW(tblBuyerOutputs[#Headers]))&lt;=0,0,($O$6+IF(ROW()=ROW(tblBuyerOutputs[#Headers])+1,0,INDEX(tblBuyerOutputs[Cumul Appr],ROW()-ROW(tblBuyerOutputs[#Headers])-1)))*$O$2/12)</f>
        <v>0</v>
      </c>
      <c r="AE755" s="275">
        <f>IF(INDEX(tblContractForDeed[End Bal],ROW()-ROW(tblBuyerOutputs[#Headers]))&lt;=0,0,IF(ROW()=ROW(tblBuyerOutputs[#Headers])+1,0,INDEX(tblBuyerOutputs[Cumul Appr],ROW()-ROW(tblBuyerOutputs[#Headers])-1))+tblBuyerOutputs[[#This Row],[Monthly Appr]])</f>
        <v>0</v>
      </c>
      <c r="AF755" s="22"/>
      <c r="AG755" s="14"/>
      <c r="AL755"/>
      <c r="AM755" s="14"/>
      <c r="AO755" s="275"/>
      <c r="AQ755" s="14"/>
      <c r="AR755"/>
    </row>
    <row r="756" spans="1:44" x14ac:dyDescent="0.25">
      <c r="A756" s="590" t="str">
        <f t="shared" si="143"/>
        <v/>
      </c>
      <c r="B756" s="275">
        <f t="shared" si="144"/>
        <v>0</v>
      </c>
      <c r="C756" s="14">
        <f t="shared" si="141"/>
        <v>0</v>
      </c>
      <c r="D756" s="14">
        <f t="shared" si="145"/>
        <v>0</v>
      </c>
      <c r="E756" s="14">
        <f t="shared" si="142"/>
        <v>0</v>
      </c>
      <c r="K756" s="275">
        <f t="shared" si="146"/>
        <v>0</v>
      </c>
      <c r="L756" s="386">
        <f t="shared" ref="L756:L787" si="148">IF(MOD(M756,12)=0,M756/12,L755)</f>
        <v>0</v>
      </c>
      <c r="M756" s="386">
        <f t="shared" si="147"/>
        <v>0</v>
      </c>
      <c r="N756" s="590" t="str">
        <f>INDEX(tblSubjectToLoan[Date],ROW()-ROW(tblContractForDeed[#Headers]))</f>
        <v/>
      </c>
      <c r="O756" s="275">
        <f>IF(ROW()=ROW(tblContractForDeed[#Headers])+1,$O$6,IF(INDEX(tblContractForDeed[End Bal],ROW()-ROW(tblContractForDeed[#Headers])-1)&lt;0,0,INDEX(tblContractForDeed[End Bal],ROW()-ROW(tblContractForDeed[#Headers])-1)))</f>
        <v>0</v>
      </c>
      <c r="P756" s="445" t="str">
        <f>IF(tblContractForDeed[[#This Row],[Date]]="","",IF(tblContractForDeed[[#This Row],[Date]]&lt;cfdRateChangeDate,cfdRate1,cfdRate2))</f>
        <v/>
      </c>
      <c r="Q7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75">
        <f>SUM(INDEX(tblContractForDeed[Princ],1):INDEX(tblContractForDeed[Princ],ROW()-ROW(tblContractForDeed[#Headers])))</f>
        <v>75258.000000000029</v>
      </c>
      <c r="X756" s="275">
        <f>IF(tblContractForDeed[[#This Row],[Beg]]&lt;=0,0,tblContractForDeed[[#This Row],[Beg]]-tblContractForDeed[[#This Row],[Princ]])</f>
        <v>0</v>
      </c>
      <c r="Y75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75">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6" s="275">
        <f>IF(INDEX(tblContractForDeed[End Bal],ROW()-ROW(tblBuyerOutputs[#Headers]))&lt;=0,0,($O$6+IF(ROW()=ROW(tblBuyerOutputs[#Headers])+1,0,INDEX(tblBuyerOutputs[Cumul Appr],ROW()-ROW(tblBuyerOutputs[#Headers])-1)))*$O$2/12)</f>
        <v>0</v>
      </c>
      <c r="AE756" s="275">
        <f>IF(INDEX(tblContractForDeed[End Bal],ROW()-ROW(tblBuyerOutputs[#Headers]))&lt;=0,0,IF(ROW()=ROW(tblBuyerOutputs[#Headers])+1,0,INDEX(tblBuyerOutputs[Cumul Appr],ROW()-ROW(tblBuyerOutputs[#Headers])-1))+tblBuyerOutputs[[#This Row],[Monthly Appr]])</f>
        <v>0</v>
      </c>
      <c r="AF756" s="22"/>
      <c r="AG756" s="14"/>
      <c r="AL756"/>
      <c r="AM756" s="14"/>
      <c r="AO756" s="275"/>
      <c r="AQ756" s="14"/>
      <c r="AR756"/>
    </row>
    <row r="757" spans="1:44" x14ac:dyDescent="0.25">
      <c r="A757" s="590" t="str">
        <f t="shared" si="143"/>
        <v/>
      </c>
      <c r="B757" s="275">
        <f t="shared" si="144"/>
        <v>0</v>
      </c>
      <c r="C757" s="14">
        <f t="shared" si="141"/>
        <v>0</v>
      </c>
      <c r="D757" s="14">
        <f t="shared" si="145"/>
        <v>0</v>
      </c>
      <c r="E757" s="14">
        <f t="shared" si="142"/>
        <v>0</v>
      </c>
      <c r="K757" s="275">
        <f t="shared" si="146"/>
        <v>0</v>
      </c>
      <c r="L757" s="386">
        <f t="shared" si="148"/>
        <v>0</v>
      </c>
      <c r="M757" s="386">
        <f t="shared" si="147"/>
        <v>0</v>
      </c>
      <c r="N757" s="590" t="str">
        <f>INDEX(tblSubjectToLoan[Date],ROW()-ROW(tblContractForDeed[#Headers]))</f>
        <v/>
      </c>
      <c r="O757" s="275">
        <f>IF(ROW()=ROW(tblContractForDeed[#Headers])+1,$O$6,IF(INDEX(tblContractForDeed[End Bal],ROW()-ROW(tblContractForDeed[#Headers])-1)&lt;0,0,INDEX(tblContractForDeed[End Bal],ROW()-ROW(tblContractForDeed[#Headers])-1)))</f>
        <v>0</v>
      </c>
      <c r="P757" s="445" t="str">
        <f>IF(tblContractForDeed[[#This Row],[Date]]="","",IF(tblContractForDeed[[#This Row],[Date]]&lt;cfdRateChangeDate,cfdRate1,cfdRate2))</f>
        <v/>
      </c>
      <c r="Q7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75">
        <f>SUM(INDEX(tblContractForDeed[Princ],1):INDEX(tblContractForDeed[Princ],ROW()-ROW(tblContractForDeed[#Headers])))</f>
        <v>75258.000000000029</v>
      </c>
      <c r="X757" s="275">
        <f>IF(tblContractForDeed[[#This Row],[Beg]]&lt;=0,0,tblContractForDeed[[#This Row],[Beg]]-tblContractForDeed[[#This Row],[Princ]])</f>
        <v>0</v>
      </c>
      <c r="Y75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75">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7" s="275">
        <f>IF(INDEX(tblContractForDeed[End Bal],ROW()-ROW(tblBuyerOutputs[#Headers]))&lt;=0,0,($O$6+IF(ROW()=ROW(tblBuyerOutputs[#Headers])+1,0,INDEX(tblBuyerOutputs[Cumul Appr],ROW()-ROW(tblBuyerOutputs[#Headers])-1)))*$O$2/12)</f>
        <v>0</v>
      </c>
      <c r="AE757" s="275">
        <f>IF(INDEX(tblContractForDeed[End Bal],ROW()-ROW(tblBuyerOutputs[#Headers]))&lt;=0,0,IF(ROW()=ROW(tblBuyerOutputs[#Headers])+1,0,INDEX(tblBuyerOutputs[Cumul Appr],ROW()-ROW(tblBuyerOutputs[#Headers])-1))+tblBuyerOutputs[[#This Row],[Monthly Appr]])</f>
        <v>0</v>
      </c>
      <c r="AF757" s="22"/>
      <c r="AG757" s="14"/>
      <c r="AL757"/>
      <c r="AM757" s="14"/>
      <c r="AO757" s="275"/>
      <c r="AQ757" s="14"/>
      <c r="AR757"/>
    </row>
    <row r="758" spans="1:44" x14ac:dyDescent="0.25">
      <c r="A758" s="590" t="str">
        <f t="shared" si="143"/>
        <v/>
      </c>
      <c r="B758" s="275">
        <f t="shared" si="144"/>
        <v>0</v>
      </c>
      <c r="C758" s="14">
        <f t="shared" si="141"/>
        <v>0</v>
      </c>
      <c r="D758" s="14">
        <f t="shared" si="145"/>
        <v>0</v>
      </c>
      <c r="E758" s="14">
        <f t="shared" si="142"/>
        <v>0</v>
      </c>
      <c r="K758" s="275">
        <f t="shared" si="146"/>
        <v>0</v>
      </c>
      <c r="L758" s="386">
        <f t="shared" si="148"/>
        <v>0</v>
      </c>
      <c r="M758" s="386">
        <f t="shared" si="147"/>
        <v>0</v>
      </c>
      <c r="N758" s="590" t="str">
        <f>INDEX(tblSubjectToLoan[Date],ROW()-ROW(tblContractForDeed[#Headers]))</f>
        <v/>
      </c>
      <c r="O758" s="275">
        <f>IF(ROW()=ROW(tblContractForDeed[#Headers])+1,$O$6,IF(INDEX(tblContractForDeed[End Bal],ROW()-ROW(tblContractForDeed[#Headers])-1)&lt;0,0,INDEX(tblContractForDeed[End Bal],ROW()-ROW(tblContractForDeed[#Headers])-1)))</f>
        <v>0</v>
      </c>
      <c r="P758" s="445" t="str">
        <f>IF(tblContractForDeed[[#This Row],[Date]]="","",IF(tblContractForDeed[[#This Row],[Date]]&lt;cfdRateChangeDate,cfdRate1,cfdRate2))</f>
        <v/>
      </c>
      <c r="Q7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75">
        <f>SUM(INDEX(tblContractForDeed[Princ],1):INDEX(tblContractForDeed[Princ],ROW()-ROW(tblContractForDeed[#Headers])))</f>
        <v>75258.000000000029</v>
      </c>
      <c r="X758" s="275">
        <f>IF(tblContractForDeed[[#This Row],[Beg]]&lt;=0,0,tblContractForDeed[[#This Row],[Beg]]-tblContractForDeed[[#This Row],[Princ]])</f>
        <v>0</v>
      </c>
      <c r="Y75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75">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8" s="275">
        <f>IF(INDEX(tblContractForDeed[End Bal],ROW()-ROW(tblBuyerOutputs[#Headers]))&lt;=0,0,($O$6+IF(ROW()=ROW(tblBuyerOutputs[#Headers])+1,0,INDEX(tblBuyerOutputs[Cumul Appr],ROW()-ROW(tblBuyerOutputs[#Headers])-1)))*$O$2/12)</f>
        <v>0</v>
      </c>
      <c r="AE758" s="275">
        <f>IF(INDEX(tblContractForDeed[End Bal],ROW()-ROW(tblBuyerOutputs[#Headers]))&lt;=0,0,IF(ROW()=ROW(tblBuyerOutputs[#Headers])+1,0,INDEX(tblBuyerOutputs[Cumul Appr],ROW()-ROW(tblBuyerOutputs[#Headers])-1))+tblBuyerOutputs[[#This Row],[Monthly Appr]])</f>
        <v>0</v>
      </c>
      <c r="AF758" s="22"/>
      <c r="AG758" s="14"/>
      <c r="AL758"/>
      <c r="AM758" s="14"/>
      <c r="AO758" s="275"/>
      <c r="AQ758" s="14"/>
      <c r="AR758"/>
    </row>
    <row r="759" spans="1:44" x14ac:dyDescent="0.25">
      <c r="A759" s="590" t="str">
        <f t="shared" si="143"/>
        <v/>
      </c>
      <c r="B759" s="275">
        <f t="shared" si="144"/>
        <v>0</v>
      </c>
      <c r="C759" s="14">
        <f t="shared" si="141"/>
        <v>0</v>
      </c>
      <c r="D759" s="14">
        <f t="shared" si="145"/>
        <v>0</v>
      </c>
      <c r="E759" s="14">
        <f t="shared" si="142"/>
        <v>0</v>
      </c>
      <c r="K759" s="275">
        <f t="shared" si="146"/>
        <v>0</v>
      </c>
      <c r="L759" s="386">
        <f t="shared" si="148"/>
        <v>0</v>
      </c>
      <c r="M759" s="386">
        <f t="shared" si="147"/>
        <v>0</v>
      </c>
      <c r="N759" s="590" t="str">
        <f>INDEX(tblSubjectToLoan[Date],ROW()-ROW(tblContractForDeed[#Headers]))</f>
        <v/>
      </c>
      <c r="O759" s="275">
        <f>IF(ROW()=ROW(tblContractForDeed[#Headers])+1,$O$6,IF(INDEX(tblContractForDeed[End Bal],ROW()-ROW(tblContractForDeed[#Headers])-1)&lt;0,0,INDEX(tblContractForDeed[End Bal],ROW()-ROW(tblContractForDeed[#Headers])-1)))</f>
        <v>0</v>
      </c>
      <c r="P759" s="445" t="str">
        <f>IF(tblContractForDeed[[#This Row],[Date]]="","",IF(tblContractForDeed[[#This Row],[Date]]&lt;cfdRateChangeDate,cfdRate1,cfdRate2))</f>
        <v/>
      </c>
      <c r="Q75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75">
        <f>SUM(INDEX(tblContractForDeed[Princ],1):INDEX(tblContractForDeed[Princ],ROW()-ROW(tblContractForDeed[#Headers])))</f>
        <v>75258.000000000029</v>
      </c>
      <c r="X759" s="275">
        <f>IF(tblContractForDeed[[#This Row],[Beg]]&lt;=0,0,tblContractForDeed[[#This Row],[Beg]]-tblContractForDeed[[#This Row],[Princ]])</f>
        <v>0</v>
      </c>
      <c r="Y75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75">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9" s="275">
        <f>IF(INDEX(tblContractForDeed[End Bal],ROW()-ROW(tblBuyerOutputs[#Headers]))&lt;=0,0,($O$6+IF(ROW()=ROW(tblBuyerOutputs[#Headers])+1,0,INDEX(tblBuyerOutputs[Cumul Appr],ROW()-ROW(tblBuyerOutputs[#Headers])-1)))*$O$2/12)</f>
        <v>0</v>
      </c>
      <c r="AE759" s="275">
        <f>IF(INDEX(tblContractForDeed[End Bal],ROW()-ROW(tblBuyerOutputs[#Headers]))&lt;=0,0,IF(ROW()=ROW(tblBuyerOutputs[#Headers])+1,0,INDEX(tblBuyerOutputs[Cumul Appr],ROW()-ROW(tblBuyerOutputs[#Headers])-1))+tblBuyerOutputs[[#This Row],[Monthly Appr]])</f>
        <v>0</v>
      </c>
      <c r="AF759" s="22"/>
      <c r="AG759" s="14"/>
      <c r="AL759"/>
      <c r="AM759" s="14"/>
      <c r="AO759" s="275"/>
      <c r="AQ759" s="14"/>
      <c r="AR759"/>
    </row>
    <row r="760" spans="1:44" x14ac:dyDescent="0.25">
      <c r="A760" s="590" t="str">
        <f t="shared" si="143"/>
        <v/>
      </c>
      <c r="B760" s="275">
        <f t="shared" si="144"/>
        <v>0</v>
      </c>
      <c r="C760" s="14">
        <f t="shared" si="141"/>
        <v>0</v>
      </c>
      <c r="D760" s="14">
        <f t="shared" si="145"/>
        <v>0</v>
      </c>
      <c r="E760" s="14">
        <f t="shared" si="142"/>
        <v>0</v>
      </c>
      <c r="K760" s="275">
        <f t="shared" si="146"/>
        <v>0</v>
      </c>
      <c r="L760" s="386">
        <f t="shared" si="148"/>
        <v>0</v>
      </c>
      <c r="M760" s="386">
        <f t="shared" si="147"/>
        <v>0</v>
      </c>
      <c r="N760" s="590" t="str">
        <f>INDEX(tblSubjectToLoan[Date],ROW()-ROW(tblContractForDeed[#Headers]))</f>
        <v/>
      </c>
      <c r="O760" s="275">
        <f>IF(ROW()=ROW(tblContractForDeed[#Headers])+1,$O$6,IF(INDEX(tblContractForDeed[End Bal],ROW()-ROW(tblContractForDeed[#Headers])-1)&lt;0,0,INDEX(tblContractForDeed[End Bal],ROW()-ROW(tblContractForDeed[#Headers])-1)))</f>
        <v>0</v>
      </c>
      <c r="P760" s="445" t="str">
        <f>IF(tblContractForDeed[[#This Row],[Date]]="","",IF(tblContractForDeed[[#This Row],[Date]]&lt;cfdRateChangeDate,cfdRate1,cfdRate2))</f>
        <v/>
      </c>
      <c r="Q7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75">
        <f>SUM(INDEX(tblContractForDeed[Princ],1):INDEX(tblContractForDeed[Princ],ROW()-ROW(tblContractForDeed[#Headers])))</f>
        <v>75258.000000000029</v>
      </c>
      <c r="X760" s="275">
        <f>IF(tblContractForDeed[[#This Row],[Beg]]&lt;=0,0,tblContractForDeed[[#This Row],[Beg]]-tblContractForDeed[[#This Row],[Princ]])</f>
        <v>0</v>
      </c>
      <c r="Y76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75">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0" s="275">
        <f>IF(INDEX(tblContractForDeed[End Bal],ROW()-ROW(tblBuyerOutputs[#Headers]))&lt;=0,0,($O$6+IF(ROW()=ROW(tblBuyerOutputs[#Headers])+1,0,INDEX(tblBuyerOutputs[Cumul Appr],ROW()-ROW(tblBuyerOutputs[#Headers])-1)))*$O$2/12)</f>
        <v>0</v>
      </c>
      <c r="AE760" s="275">
        <f>IF(INDEX(tblContractForDeed[End Bal],ROW()-ROW(tblBuyerOutputs[#Headers]))&lt;=0,0,IF(ROW()=ROW(tblBuyerOutputs[#Headers])+1,0,INDEX(tblBuyerOutputs[Cumul Appr],ROW()-ROW(tblBuyerOutputs[#Headers])-1))+tblBuyerOutputs[[#This Row],[Monthly Appr]])</f>
        <v>0</v>
      </c>
      <c r="AF760" s="22"/>
      <c r="AG760" s="14"/>
      <c r="AL760"/>
      <c r="AM760" s="14"/>
      <c r="AO760" s="275"/>
      <c r="AQ760" s="14"/>
      <c r="AR760"/>
    </row>
    <row r="761" spans="1:44" x14ac:dyDescent="0.25">
      <c r="A761" s="590" t="str">
        <f t="shared" si="143"/>
        <v/>
      </c>
      <c r="B761" s="275">
        <f t="shared" si="144"/>
        <v>0</v>
      </c>
      <c r="C761" s="14">
        <f t="shared" si="141"/>
        <v>0</v>
      </c>
      <c r="D761" s="14">
        <f t="shared" si="145"/>
        <v>0</v>
      </c>
      <c r="E761" s="14">
        <f t="shared" si="142"/>
        <v>0</v>
      </c>
      <c r="K761" s="275">
        <f t="shared" si="146"/>
        <v>0</v>
      </c>
      <c r="L761" s="386">
        <f t="shared" si="148"/>
        <v>0</v>
      </c>
      <c r="M761" s="386">
        <f t="shared" si="147"/>
        <v>0</v>
      </c>
      <c r="N761" s="590" t="str">
        <f>INDEX(tblSubjectToLoan[Date],ROW()-ROW(tblContractForDeed[#Headers]))</f>
        <v/>
      </c>
      <c r="O761" s="275">
        <f>IF(ROW()=ROW(tblContractForDeed[#Headers])+1,$O$6,IF(INDEX(tblContractForDeed[End Bal],ROW()-ROW(tblContractForDeed[#Headers])-1)&lt;0,0,INDEX(tblContractForDeed[End Bal],ROW()-ROW(tblContractForDeed[#Headers])-1)))</f>
        <v>0</v>
      </c>
      <c r="P761" s="445" t="str">
        <f>IF(tblContractForDeed[[#This Row],[Date]]="","",IF(tblContractForDeed[[#This Row],[Date]]&lt;cfdRateChangeDate,cfdRate1,cfdRate2))</f>
        <v/>
      </c>
      <c r="Q7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75">
        <f>SUM(INDEX(tblContractForDeed[Princ],1):INDEX(tblContractForDeed[Princ],ROW()-ROW(tblContractForDeed[#Headers])))</f>
        <v>75258.000000000029</v>
      </c>
      <c r="X761" s="275">
        <f>IF(tblContractForDeed[[#This Row],[Beg]]&lt;=0,0,tblContractForDeed[[#This Row],[Beg]]-tblContractForDeed[[#This Row],[Princ]])</f>
        <v>0</v>
      </c>
      <c r="Y76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75">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1" s="275">
        <f>IF(INDEX(tblContractForDeed[End Bal],ROW()-ROW(tblBuyerOutputs[#Headers]))&lt;=0,0,($O$6+IF(ROW()=ROW(tblBuyerOutputs[#Headers])+1,0,INDEX(tblBuyerOutputs[Cumul Appr],ROW()-ROW(tblBuyerOutputs[#Headers])-1)))*$O$2/12)</f>
        <v>0</v>
      </c>
      <c r="AE761" s="275">
        <f>IF(INDEX(tblContractForDeed[End Bal],ROW()-ROW(tblBuyerOutputs[#Headers]))&lt;=0,0,IF(ROW()=ROW(tblBuyerOutputs[#Headers])+1,0,INDEX(tblBuyerOutputs[Cumul Appr],ROW()-ROW(tblBuyerOutputs[#Headers])-1))+tblBuyerOutputs[[#This Row],[Monthly Appr]])</f>
        <v>0</v>
      </c>
      <c r="AF761" s="22"/>
      <c r="AG761" s="14"/>
      <c r="AL761"/>
      <c r="AM761" s="14"/>
      <c r="AO761" s="275"/>
      <c r="AQ761" s="14"/>
      <c r="AR761"/>
    </row>
    <row r="762" spans="1:44" x14ac:dyDescent="0.25">
      <c r="A762" s="590" t="str">
        <f t="shared" si="143"/>
        <v/>
      </c>
      <c r="B762" s="275">
        <f t="shared" si="144"/>
        <v>0</v>
      </c>
      <c r="C762" s="14">
        <f t="shared" si="141"/>
        <v>0</v>
      </c>
      <c r="D762" s="14">
        <f t="shared" si="145"/>
        <v>0</v>
      </c>
      <c r="E762" s="14">
        <f t="shared" si="142"/>
        <v>0</v>
      </c>
      <c r="K762" s="275">
        <f t="shared" si="146"/>
        <v>0</v>
      </c>
      <c r="L762" s="386">
        <f t="shared" si="148"/>
        <v>0</v>
      </c>
      <c r="M762" s="386">
        <f t="shared" si="147"/>
        <v>0</v>
      </c>
      <c r="N762" s="590" t="str">
        <f>INDEX(tblSubjectToLoan[Date],ROW()-ROW(tblContractForDeed[#Headers]))</f>
        <v/>
      </c>
      <c r="O762" s="275">
        <f>IF(ROW()=ROW(tblContractForDeed[#Headers])+1,$O$6,IF(INDEX(tblContractForDeed[End Bal],ROW()-ROW(tblContractForDeed[#Headers])-1)&lt;0,0,INDEX(tblContractForDeed[End Bal],ROW()-ROW(tblContractForDeed[#Headers])-1)))</f>
        <v>0</v>
      </c>
      <c r="P762" s="445" t="str">
        <f>IF(tblContractForDeed[[#This Row],[Date]]="","",IF(tblContractForDeed[[#This Row],[Date]]&lt;cfdRateChangeDate,cfdRate1,cfdRate2))</f>
        <v/>
      </c>
      <c r="Q7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75">
        <f>SUM(INDEX(tblContractForDeed[Princ],1):INDEX(tblContractForDeed[Princ],ROW()-ROW(tblContractForDeed[#Headers])))</f>
        <v>75258.000000000029</v>
      </c>
      <c r="X762" s="275">
        <f>IF(tblContractForDeed[[#This Row],[Beg]]&lt;=0,0,tblContractForDeed[[#This Row],[Beg]]-tblContractForDeed[[#This Row],[Princ]])</f>
        <v>0</v>
      </c>
      <c r="Y76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75">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2" s="275">
        <f>IF(INDEX(tblContractForDeed[End Bal],ROW()-ROW(tblBuyerOutputs[#Headers]))&lt;=0,0,($O$6+IF(ROW()=ROW(tblBuyerOutputs[#Headers])+1,0,INDEX(tblBuyerOutputs[Cumul Appr],ROW()-ROW(tblBuyerOutputs[#Headers])-1)))*$O$2/12)</f>
        <v>0</v>
      </c>
      <c r="AE762" s="275">
        <f>IF(INDEX(tblContractForDeed[End Bal],ROW()-ROW(tblBuyerOutputs[#Headers]))&lt;=0,0,IF(ROW()=ROW(tblBuyerOutputs[#Headers])+1,0,INDEX(tblBuyerOutputs[Cumul Appr],ROW()-ROW(tblBuyerOutputs[#Headers])-1))+tblBuyerOutputs[[#This Row],[Monthly Appr]])</f>
        <v>0</v>
      </c>
      <c r="AF762" s="22"/>
      <c r="AG762" s="14"/>
      <c r="AL762"/>
      <c r="AM762" s="14"/>
      <c r="AO762" s="275"/>
      <c r="AQ762" s="14"/>
      <c r="AR762"/>
    </row>
    <row r="763" spans="1:44" ht="15.75" thickBot="1" x14ac:dyDescent="0.3">
      <c r="A763" s="591" t="str">
        <f t="shared" si="143"/>
        <v/>
      </c>
      <c r="B763" s="326">
        <f t="shared" si="144"/>
        <v>0</v>
      </c>
      <c r="C763" s="21">
        <f t="shared" si="141"/>
        <v>0</v>
      </c>
      <c r="D763" s="21">
        <f t="shared" si="145"/>
        <v>0</v>
      </c>
      <c r="E763" s="21">
        <f t="shared" si="142"/>
        <v>0</v>
      </c>
      <c r="F763" s="21"/>
      <c r="G763" s="21"/>
      <c r="H763" s="21"/>
      <c r="I763" s="326"/>
      <c r="J763" s="326"/>
      <c r="K763" s="326">
        <f t="shared" si="146"/>
        <v>0</v>
      </c>
      <c r="L763" s="387">
        <f t="shared" si="148"/>
        <v>0</v>
      </c>
      <c r="M763" s="387">
        <f t="shared" si="147"/>
        <v>0</v>
      </c>
      <c r="N763" s="591" t="str">
        <f>INDEX(tblSubjectToLoan[Date],ROW()-ROW(tblContractForDeed[#Headers]))</f>
        <v/>
      </c>
      <c r="O763" s="326">
        <f>IF(ROW()=ROW(tblContractForDeed[#Headers])+1,$O$6,IF(INDEX(tblContractForDeed[End Bal],ROW()-ROW(tblContractForDeed[#Headers])-1)&lt;0,0,INDEX(tblContractForDeed[End Bal],ROW()-ROW(tblContractForDeed[#Headers])-1)))</f>
        <v>0</v>
      </c>
      <c r="P763" s="445" t="str">
        <f>IF(tblContractForDeed[[#This Row],[Date]]="","",IF(tblContractForDeed[[#This Row],[Date]]&lt;cfdRateChangeDate,cfdRate1,cfdRate2))</f>
        <v/>
      </c>
      <c r="Q76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26">
        <f>SUM(INDEX(tblContractForDeed[Princ],1):INDEX(tblContractForDeed[Princ],ROW()-ROW(tblContractForDeed[#Headers])))</f>
        <v>75258.000000000029</v>
      </c>
      <c r="X763" s="326">
        <f>IF(tblContractForDeed[[#This Row],[Beg]]&lt;=0,0,tblContractForDeed[[#This Row],[Beg]]-tblContractForDeed[[#This Row],[Princ]])</f>
        <v>0</v>
      </c>
      <c r="Y76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26">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3" s="326">
        <f>IF(INDEX(tblContractForDeed[End Bal],ROW()-ROW(tblBuyerOutputs[#Headers]))&lt;=0,0,($O$6+IF(ROW()=ROW(tblBuyerOutputs[#Headers])+1,0,INDEX(tblBuyerOutputs[Cumul Appr],ROW()-ROW(tblBuyerOutputs[#Headers])-1)))*$O$2/12)</f>
        <v>0</v>
      </c>
      <c r="AE763" s="326">
        <f>IF(INDEX(tblContractForDeed[End Bal],ROW()-ROW(tblBuyerOutputs[#Headers]))&lt;=0,0,IF(ROW()=ROW(tblBuyerOutputs[#Headers])+1,0,INDEX(tblBuyerOutputs[Cumul Appr],ROW()-ROW(tblBuyerOutputs[#Headers])-1))+tblBuyerOutputs[[#This Row],[Monthly Appr]])</f>
        <v>0</v>
      </c>
      <c r="AF763" s="22"/>
      <c r="AG763" s="14"/>
      <c r="AL763"/>
      <c r="AM763" s="14"/>
      <c r="AO763" s="275"/>
      <c r="AQ763" s="21"/>
      <c r="AR763"/>
    </row>
    <row r="764" spans="1:44" x14ac:dyDescent="0.25">
      <c r="A764" s="590" t="str">
        <f t="shared" si="143"/>
        <v/>
      </c>
      <c r="B764" s="275">
        <f t="shared" si="144"/>
        <v>0</v>
      </c>
      <c r="C764" s="14">
        <f t="shared" si="141"/>
        <v>0</v>
      </c>
      <c r="D764" s="14">
        <f t="shared" si="145"/>
        <v>0</v>
      </c>
      <c r="E764" s="14">
        <f t="shared" si="142"/>
        <v>0</v>
      </c>
      <c r="K764" s="275">
        <f t="shared" si="146"/>
        <v>0</v>
      </c>
      <c r="L764" s="386">
        <f t="shared" si="148"/>
        <v>0</v>
      </c>
      <c r="M764" s="386">
        <f t="shared" si="147"/>
        <v>0</v>
      </c>
      <c r="N764" s="590" t="str">
        <f>INDEX(tblSubjectToLoan[Date],ROW()-ROW(tblContractForDeed[#Headers]))</f>
        <v/>
      </c>
      <c r="O764" s="275">
        <f>IF(ROW()=ROW(tblContractForDeed[#Headers])+1,$O$6,IF(INDEX(tblContractForDeed[End Bal],ROW()-ROW(tblContractForDeed[#Headers])-1)&lt;0,0,INDEX(tblContractForDeed[End Bal],ROW()-ROW(tblContractForDeed[#Headers])-1)))</f>
        <v>0</v>
      </c>
      <c r="P764" s="445" t="str">
        <f>IF(tblContractForDeed[[#This Row],[Date]]="","",IF(tblContractForDeed[[#This Row],[Date]]&lt;cfdRateChangeDate,cfdRate1,cfdRate2))</f>
        <v/>
      </c>
      <c r="Q7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75">
        <f>SUM(INDEX(tblContractForDeed[Princ],1):INDEX(tblContractForDeed[Princ],ROW()-ROW(tblContractForDeed[#Headers])))</f>
        <v>75258.000000000029</v>
      </c>
      <c r="X764" s="275">
        <f>IF(tblContractForDeed[[#This Row],[Beg]]&lt;=0,0,tblContractForDeed[[#This Row],[Beg]]-tblContractForDeed[[#This Row],[Princ]])</f>
        <v>0</v>
      </c>
      <c r="Y76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75">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4" s="275">
        <f>IF(INDEX(tblContractForDeed[End Bal],ROW()-ROW(tblBuyerOutputs[#Headers]))&lt;=0,0,($O$6+IF(ROW()=ROW(tblBuyerOutputs[#Headers])+1,0,INDEX(tblBuyerOutputs[Cumul Appr],ROW()-ROW(tblBuyerOutputs[#Headers])-1)))*$O$2/12)</f>
        <v>0</v>
      </c>
      <c r="AE764" s="275">
        <f>IF(INDEX(tblContractForDeed[End Bal],ROW()-ROW(tblBuyerOutputs[#Headers]))&lt;=0,0,IF(ROW()=ROW(tblBuyerOutputs[#Headers])+1,0,INDEX(tblBuyerOutputs[Cumul Appr],ROW()-ROW(tblBuyerOutputs[#Headers])-1))+tblBuyerOutputs[[#This Row],[Monthly Appr]])</f>
        <v>0</v>
      </c>
      <c r="AF764" s="22"/>
      <c r="AG764" s="14"/>
      <c r="AL764"/>
      <c r="AM764" s="14"/>
      <c r="AO764" s="275"/>
      <c r="AQ764" s="14"/>
      <c r="AR764"/>
    </row>
    <row r="765" spans="1:44" x14ac:dyDescent="0.25">
      <c r="A765" s="590" t="str">
        <f t="shared" si="143"/>
        <v/>
      </c>
      <c r="B765" s="275">
        <f t="shared" si="144"/>
        <v>0</v>
      </c>
      <c r="C765" s="14">
        <f t="shared" si="141"/>
        <v>0</v>
      </c>
      <c r="D765" s="14">
        <f t="shared" si="145"/>
        <v>0</v>
      </c>
      <c r="E765" s="14">
        <f t="shared" si="142"/>
        <v>0</v>
      </c>
      <c r="K765" s="275">
        <f t="shared" si="146"/>
        <v>0</v>
      </c>
      <c r="L765" s="386">
        <f t="shared" si="148"/>
        <v>0</v>
      </c>
      <c r="M765" s="386">
        <f t="shared" si="147"/>
        <v>0</v>
      </c>
      <c r="N765" s="590" t="str">
        <f>INDEX(tblSubjectToLoan[Date],ROW()-ROW(tblContractForDeed[#Headers]))</f>
        <v/>
      </c>
      <c r="O765" s="275">
        <f>IF(ROW()=ROW(tblContractForDeed[#Headers])+1,$O$6,IF(INDEX(tblContractForDeed[End Bal],ROW()-ROW(tblContractForDeed[#Headers])-1)&lt;0,0,INDEX(tblContractForDeed[End Bal],ROW()-ROW(tblContractForDeed[#Headers])-1)))</f>
        <v>0</v>
      </c>
      <c r="P765" s="445" t="str">
        <f>IF(tblContractForDeed[[#This Row],[Date]]="","",IF(tblContractForDeed[[#This Row],[Date]]&lt;cfdRateChangeDate,cfdRate1,cfdRate2))</f>
        <v/>
      </c>
      <c r="Q7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75">
        <f>SUM(INDEX(tblContractForDeed[Princ],1):INDEX(tblContractForDeed[Princ],ROW()-ROW(tblContractForDeed[#Headers])))</f>
        <v>75258.000000000029</v>
      </c>
      <c r="X765" s="275">
        <f>IF(tblContractForDeed[[#This Row],[Beg]]&lt;=0,0,tblContractForDeed[[#This Row],[Beg]]-tblContractForDeed[[#This Row],[Princ]])</f>
        <v>0</v>
      </c>
      <c r="Y76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75">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5" s="275">
        <f>IF(INDEX(tblContractForDeed[End Bal],ROW()-ROW(tblBuyerOutputs[#Headers]))&lt;=0,0,($O$6+IF(ROW()=ROW(tblBuyerOutputs[#Headers])+1,0,INDEX(tblBuyerOutputs[Cumul Appr],ROW()-ROW(tblBuyerOutputs[#Headers])-1)))*$O$2/12)</f>
        <v>0</v>
      </c>
      <c r="AE765" s="275">
        <f>IF(INDEX(tblContractForDeed[End Bal],ROW()-ROW(tblBuyerOutputs[#Headers]))&lt;=0,0,IF(ROW()=ROW(tblBuyerOutputs[#Headers])+1,0,INDEX(tblBuyerOutputs[Cumul Appr],ROW()-ROW(tblBuyerOutputs[#Headers])-1))+tblBuyerOutputs[[#This Row],[Monthly Appr]])</f>
        <v>0</v>
      </c>
      <c r="AF765" s="22"/>
      <c r="AG765" s="14"/>
      <c r="AL765"/>
      <c r="AM765" s="14"/>
      <c r="AO765" s="275"/>
      <c r="AQ765" s="14"/>
      <c r="AR765"/>
    </row>
    <row r="766" spans="1:44" x14ac:dyDescent="0.25">
      <c r="A766" s="590" t="str">
        <f t="shared" si="143"/>
        <v/>
      </c>
      <c r="B766" s="275">
        <f t="shared" si="144"/>
        <v>0</v>
      </c>
      <c r="C766" s="14">
        <f t="shared" si="141"/>
        <v>0</v>
      </c>
      <c r="D766" s="14">
        <f t="shared" si="145"/>
        <v>0</v>
      </c>
      <c r="E766" s="14">
        <f t="shared" si="142"/>
        <v>0</v>
      </c>
      <c r="K766" s="275">
        <f t="shared" si="146"/>
        <v>0</v>
      </c>
      <c r="L766" s="386">
        <f t="shared" si="148"/>
        <v>0</v>
      </c>
      <c r="M766" s="386">
        <f t="shared" si="147"/>
        <v>0</v>
      </c>
      <c r="N766" s="590" t="str">
        <f>INDEX(tblSubjectToLoan[Date],ROW()-ROW(tblContractForDeed[#Headers]))</f>
        <v/>
      </c>
      <c r="O766" s="275">
        <f>IF(ROW()=ROW(tblContractForDeed[#Headers])+1,$O$6,IF(INDEX(tblContractForDeed[End Bal],ROW()-ROW(tblContractForDeed[#Headers])-1)&lt;0,0,INDEX(tblContractForDeed[End Bal],ROW()-ROW(tblContractForDeed[#Headers])-1)))</f>
        <v>0</v>
      </c>
      <c r="P766" s="445" t="str">
        <f>IF(tblContractForDeed[[#This Row],[Date]]="","",IF(tblContractForDeed[[#This Row],[Date]]&lt;cfdRateChangeDate,cfdRate1,cfdRate2))</f>
        <v/>
      </c>
      <c r="Q7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75">
        <f>SUM(INDEX(tblContractForDeed[Princ],1):INDEX(tblContractForDeed[Princ],ROW()-ROW(tblContractForDeed[#Headers])))</f>
        <v>75258.000000000029</v>
      </c>
      <c r="X766" s="275">
        <f>IF(tblContractForDeed[[#This Row],[Beg]]&lt;=0,0,tblContractForDeed[[#This Row],[Beg]]-tblContractForDeed[[#This Row],[Princ]])</f>
        <v>0</v>
      </c>
      <c r="Y76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75">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6" s="275">
        <f>IF(INDEX(tblContractForDeed[End Bal],ROW()-ROW(tblBuyerOutputs[#Headers]))&lt;=0,0,($O$6+IF(ROW()=ROW(tblBuyerOutputs[#Headers])+1,0,INDEX(tblBuyerOutputs[Cumul Appr],ROW()-ROW(tblBuyerOutputs[#Headers])-1)))*$O$2/12)</f>
        <v>0</v>
      </c>
      <c r="AE766" s="275">
        <f>IF(INDEX(tblContractForDeed[End Bal],ROW()-ROW(tblBuyerOutputs[#Headers]))&lt;=0,0,IF(ROW()=ROW(tblBuyerOutputs[#Headers])+1,0,INDEX(tblBuyerOutputs[Cumul Appr],ROW()-ROW(tblBuyerOutputs[#Headers])-1))+tblBuyerOutputs[[#This Row],[Monthly Appr]])</f>
        <v>0</v>
      </c>
      <c r="AF766" s="22"/>
      <c r="AG766" s="14"/>
      <c r="AL766"/>
      <c r="AM766" s="14"/>
      <c r="AO766" s="275"/>
      <c r="AQ766" s="14"/>
      <c r="AR766"/>
    </row>
    <row r="767" spans="1:44" x14ac:dyDescent="0.25">
      <c r="A767" s="590" t="str">
        <f t="shared" si="143"/>
        <v/>
      </c>
      <c r="B767" s="275">
        <f t="shared" si="144"/>
        <v>0</v>
      </c>
      <c r="C767" s="14">
        <f t="shared" si="141"/>
        <v>0</v>
      </c>
      <c r="D767" s="14">
        <f t="shared" si="145"/>
        <v>0</v>
      </c>
      <c r="E767" s="14">
        <f t="shared" si="142"/>
        <v>0</v>
      </c>
      <c r="K767" s="275">
        <f t="shared" si="146"/>
        <v>0</v>
      </c>
      <c r="L767" s="386">
        <f t="shared" si="148"/>
        <v>0</v>
      </c>
      <c r="M767" s="386">
        <f t="shared" si="147"/>
        <v>0</v>
      </c>
      <c r="N767" s="590" t="str">
        <f>INDEX(tblSubjectToLoan[Date],ROW()-ROW(tblContractForDeed[#Headers]))</f>
        <v/>
      </c>
      <c r="O767" s="275">
        <f>IF(ROW()=ROW(tblContractForDeed[#Headers])+1,$O$6,IF(INDEX(tblContractForDeed[End Bal],ROW()-ROW(tblContractForDeed[#Headers])-1)&lt;0,0,INDEX(tblContractForDeed[End Bal],ROW()-ROW(tblContractForDeed[#Headers])-1)))</f>
        <v>0</v>
      </c>
      <c r="P767" s="445" t="str">
        <f>IF(tblContractForDeed[[#This Row],[Date]]="","",IF(tblContractForDeed[[#This Row],[Date]]&lt;cfdRateChangeDate,cfdRate1,cfdRate2))</f>
        <v/>
      </c>
      <c r="Q76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75">
        <f>SUM(INDEX(tblContractForDeed[Princ],1):INDEX(tblContractForDeed[Princ],ROW()-ROW(tblContractForDeed[#Headers])))</f>
        <v>75258.000000000029</v>
      </c>
      <c r="X767" s="275">
        <f>IF(tblContractForDeed[[#This Row],[Beg]]&lt;=0,0,tblContractForDeed[[#This Row],[Beg]]-tblContractForDeed[[#This Row],[Princ]])</f>
        <v>0</v>
      </c>
      <c r="Y76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75">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7" s="275">
        <f>IF(INDEX(tblContractForDeed[End Bal],ROW()-ROW(tblBuyerOutputs[#Headers]))&lt;=0,0,($O$6+IF(ROW()=ROW(tblBuyerOutputs[#Headers])+1,0,INDEX(tblBuyerOutputs[Cumul Appr],ROW()-ROW(tblBuyerOutputs[#Headers])-1)))*$O$2/12)</f>
        <v>0</v>
      </c>
      <c r="AE767" s="275">
        <f>IF(INDEX(tblContractForDeed[End Bal],ROW()-ROW(tblBuyerOutputs[#Headers]))&lt;=0,0,IF(ROW()=ROW(tblBuyerOutputs[#Headers])+1,0,INDEX(tblBuyerOutputs[Cumul Appr],ROW()-ROW(tblBuyerOutputs[#Headers])-1))+tblBuyerOutputs[[#This Row],[Monthly Appr]])</f>
        <v>0</v>
      </c>
      <c r="AF767" s="22"/>
      <c r="AG767" s="14"/>
      <c r="AL767"/>
      <c r="AM767" s="14"/>
      <c r="AO767" s="275"/>
      <c r="AQ767" s="14"/>
      <c r="AR767"/>
    </row>
    <row r="768" spans="1:44" x14ac:dyDescent="0.25">
      <c r="A768" s="590" t="str">
        <f t="shared" si="143"/>
        <v/>
      </c>
      <c r="B768" s="275">
        <f t="shared" si="144"/>
        <v>0</v>
      </c>
      <c r="C768" s="14">
        <f t="shared" si="141"/>
        <v>0</v>
      </c>
      <c r="D768" s="14">
        <f t="shared" si="145"/>
        <v>0</v>
      </c>
      <c r="E768" s="14">
        <f t="shared" si="142"/>
        <v>0</v>
      </c>
      <c r="K768" s="275">
        <f t="shared" si="146"/>
        <v>0</v>
      </c>
      <c r="L768" s="386">
        <f t="shared" si="148"/>
        <v>0</v>
      </c>
      <c r="M768" s="386">
        <f t="shared" si="147"/>
        <v>0</v>
      </c>
      <c r="N768" s="590" t="str">
        <f>INDEX(tblSubjectToLoan[Date],ROW()-ROW(tblContractForDeed[#Headers]))</f>
        <v/>
      </c>
      <c r="O768" s="275">
        <f>IF(ROW()=ROW(tblContractForDeed[#Headers])+1,$O$6,IF(INDEX(tblContractForDeed[End Bal],ROW()-ROW(tblContractForDeed[#Headers])-1)&lt;0,0,INDEX(tblContractForDeed[End Bal],ROW()-ROW(tblContractForDeed[#Headers])-1)))</f>
        <v>0</v>
      </c>
      <c r="P768" s="445" t="str">
        <f>IF(tblContractForDeed[[#This Row],[Date]]="","",IF(tblContractForDeed[[#This Row],[Date]]&lt;cfdRateChangeDate,cfdRate1,cfdRate2))</f>
        <v/>
      </c>
      <c r="Q7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75">
        <f>SUM(INDEX(tblContractForDeed[Princ],1):INDEX(tblContractForDeed[Princ],ROW()-ROW(tblContractForDeed[#Headers])))</f>
        <v>75258.000000000029</v>
      </c>
      <c r="X768" s="275">
        <f>IF(tblContractForDeed[[#This Row],[Beg]]&lt;=0,0,tblContractForDeed[[#This Row],[Beg]]-tblContractForDeed[[#This Row],[Princ]])</f>
        <v>0</v>
      </c>
      <c r="Y76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75">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8" s="275">
        <f>IF(INDEX(tblContractForDeed[End Bal],ROW()-ROW(tblBuyerOutputs[#Headers]))&lt;=0,0,($O$6+IF(ROW()=ROW(tblBuyerOutputs[#Headers])+1,0,INDEX(tblBuyerOutputs[Cumul Appr],ROW()-ROW(tblBuyerOutputs[#Headers])-1)))*$O$2/12)</f>
        <v>0</v>
      </c>
      <c r="AE768" s="275">
        <f>IF(INDEX(tblContractForDeed[End Bal],ROW()-ROW(tblBuyerOutputs[#Headers]))&lt;=0,0,IF(ROW()=ROW(tblBuyerOutputs[#Headers])+1,0,INDEX(tblBuyerOutputs[Cumul Appr],ROW()-ROW(tblBuyerOutputs[#Headers])-1))+tblBuyerOutputs[[#This Row],[Monthly Appr]])</f>
        <v>0</v>
      </c>
      <c r="AF768" s="22"/>
      <c r="AG768" s="14"/>
      <c r="AL768"/>
      <c r="AM768" s="14"/>
      <c r="AO768" s="275"/>
      <c r="AQ768" s="14"/>
      <c r="AR768"/>
    </row>
    <row r="769" spans="1:44" x14ac:dyDescent="0.25">
      <c r="A769" s="590" t="str">
        <f t="shared" si="143"/>
        <v/>
      </c>
      <c r="B769" s="275">
        <f t="shared" si="144"/>
        <v>0</v>
      </c>
      <c r="C769" s="14">
        <f t="shared" si="141"/>
        <v>0</v>
      </c>
      <c r="D769" s="14">
        <f t="shared" si="145"/>
        <v>0</v>
      </c>
      <c r="E769" s="14">
        <f t="shared" si="142"/>
        <v>0</v>
      </c>
      <c r="K769" s="275">
        <f t="shared" si="146"/>
        <v>0</v>
      </c>
      <c r="L769" s="386">
        <f t="shared" si="148"/>
        <v>0</v>
      </c>
      <c r="M769" s="386">
        <f t="shared" si="147"/>
        <v>0</v>
      </c>
      <c r="N769" s="590" t="str">
        <f>INDEX(tblSubjectToLoan[Date],ROW()-ROW(tblContractForDeed[#Headers]))</f>
        <v/>
      </c>
      <c r="O769" s="275">
        <f>IF(ROW()=ROW(tblContractForDeed[#Headers])+1,$O$6,IF(INDEX(tblContractForDeed[End Bal],ROW()-ROW(tblContractForDeed[#Headers])-1)&lt;0,0,INDEX(tblContractForDeed[End Bal],ROW()-ROW(tblContractForDeed[#Headers])-1)))</f>
        <v>0</v>
      </c>
      <c r="P769" s="445" t="str">
        <f>IF(tblContractForDeed[[#This Row],[Date]]="","",IF(tblContractForDeed[[#This Row],[Date]]&lt;cfdRateChangeDate,cfdRate1,cfdRate2))</f>
        <v/>
      </c>
      <c r="Q7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75">
        <f>SUM(INDEX(tblContractForDeed[Princ],1):INDEX(tblContractForDeed[Princ],ROW()-ROW(tblContractForDeed[#Headers])))</f>
        <v>75258.000000000029</v>
      </c>
      <c r="X769" s="275">
        <f>IF(tblContractForDeed[[#This Row],[Beg]]&lt;=0,0,tblContractForDeed[[#This Row],[Beg]]-tblContractForDeed[[#This Row],[Princ]])</f>
        <v>0</v>
      </c>
      <c r="Y76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75">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9" s="275">
        <f>IF(INDEX(tblContractForDeed[End Bal],ROW()-ROW(tblBuyerOutputs[#Headers]))&lt;=0,0,($O$6+IF(ROW()=ROW(tblBuyerOutputs[#Headers])+1,0,INDEX(tblBuyerOutputs[Cumul Appr],ROW()-ROW(tblBuyerOutputs[#Headers])-1)))*$O$2/12)</f>
        <v>0</v>
      </c>
      <c r="AE769" s="275">
        <f>IF(INDEX(tblContractForDeed[End Bal],ROW()-ROW(tblBuyerOutputs[#Headers]))&lt;=0,0,IF(ROW()=ROW(tblBuyerOutputs[#Headers])+1,0,INDEX(tblBuyerOutputs[Cumul Appr],ROW()-ROW(tblBuyerOutputs[#Headers])-1))+tblBuyerOutputs[[#This Row],[Monthly Appr]])</f>
        <v>0</v>
      </c>
      <c r="AF769" s="22"/>
      <c r="AG769" s="14"/>
      <c r="AL769"/>
      <c r="AM769" s="14"/>
      <c r="AO769" s="275"/>
      <c r="AQ769" s="14"/>
      <c r="AR769"/>
    </row>
    <row r="770" spans="1:44" x14ac:dyDescent="0.25">
      <c r="A770" s="590" t="str">
        <f t="shared" si="143"/>
        <v/>
      </c>
      <c r="B770" s="275">
        <f t="shared" si="144"/>
        <v>0</v>
      </c>
      <c r="C770" s="14">
        <f t="shared" si="141"/>
        <v>0</v>
      </c>
      <c r="D770" s="14">
        <f t="shared" si="145"/>
        <v>0</v>
      </c>
      <c r="E770" s="14">
        <f t="shared" si="142"/>
        <v>0</v>
      </c>
      <c r="K770" s="275">
        <f t="shared" si="146"/>
        <v>0</v>
      </c>
      <c r="L770" s="386">
        <f t="shared" si="148"/>
        <v>0</v>
      </c>
      <c r="M770" s="386">
        <f t="shared" si="147"/>
        <v>0</v>
      </c>
      <c r="N770" s="590" t="str">
        <f>INDEX(tblSubjectToLoan[Date],ROW()-ROW(tblContractForDeed[#Headers]))</f>
        <v/>
      </c>
      <c r="O770" s="275">
        <f>IF(ROW()=ROW(tblContractForDeed[#Headers])+1,$O$6,IF(INDEX(tblContractForDeed[End Bal],ROW()-ROW(tblContractForDeed[#Headers])-1)&lt;0,0,INDEX(tblContractForDeed[End Bal],ROW()-ROW(tblContractForDeed[#Headers])-1)))</f>
        <v>0</v>
      </c>
      <c r="P770" s="445" t="str">
        <f>IF(tblContractForDeed[[#This Row],[Date]]="","",IF(tblContractForDeed[[#This Row],[Date]]&lt;cfdRateChangeDate,cfdRate1,cfdRate2))</f>
        <v/>
      </c>
      <c r="Q7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75">
        <f>SUM(INDEX(tblContractForDeed[Princ],1):INDEX(tblContractForDeed[Princ],ROW()-ROW(tblContractForDeed[#Headers])))</f>
        <v>75258.000000000029</v>
      </c>
      <c r="X770" s="275">
        <f>IF(tblContractForDeed[[#This Row],[Beg]]&lt;=0,0,tblContractForDeed[[#This Row],[Beg]]-tblContractForDeed[[#This Row],[Princ]])</f>
        <v>0</v>
      </c>
      <c r="Y77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75">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0" s="275">
        <f>IF(INDEX(tblContractForDeed[End Bal],ROW()-ROW(tblBuyerOutputs[#Headers]))&lt;=0,0,($O$6+IF(ROW()=ROW(tblBuyerOutputs[#Headers])+1,0,INDEX(tblBuyerOutputs[Cumul Appr],ROW()-ROW(tblBuyerOutputs[#Headers])-1)))*$O$2/12)</f>
        <v>0</v>
      </c>
      <c r="AE770" s="275">
        <f>IF(INDEX(tblContractForDeed[End Bal],ROW()-ROW(tblBuyerOutputs[#Headers]))&lt;=0,0,IF(ROW()=ROW(tblBuyerOutputs[#Headers])+1,0,INDEX(tblBuyerOutputs[Cumul Appr],ROW()-ROW(tblBuyerOutputs[#Headers])-1))+tblBuyerOutputs[[#This Row],[Monthly Appr]])</f>
        <v>0</v>
      </c>
      <c r="AF770" s="22"/>
      <c r="AG770" s="14"/>
      <c r="AL770"/>
      <c r="AM770" s="14"/>
      <c r="AO770" s="275"/>
      <c r="AQ770" s="14"/>
      <c r="AR770"/>
    </row>
    <row r="771" spans="1:44" x14ac:dyDescent="0.25">
      <c r="A771" s="590" t="str">
        <f t="shared" si="143"/>
        <v/>
      </c>
      <c r="B771" s="275">
        <f t="shared" si="144"/>
        <v>0</v>
      </c>
      <c r="C771" s="14">
        <f t="shared" si="141"/>
        <v>0</v>
      </c>
      <c r="D771" s="14">
        <f t="shared" si="145"/>
        <v>0</v>
      </c>
      <c r="E771" s="14">
        <f t="shared" si="142"/>
        <v>0</v>
      </c>
      <c r="K771" s="275">
        <f t="shared" si="146"/>
        <v>0</v>
      </c>
      <c r="L771" s="386">
        <f t="shared" si="148"/>
        <v>0</v>
      </c>
      <c r="M771" s="386">
        <f t="shared" si="147"/>
        <v>0</v>
      </c>
      <c r="N771" s="590" t="str">
        <f>INDEX(tblSubjectToLoan[Date],ROW()-ROW(tblContractForDeed[#Headers]))</f>
        <v/>
      </c>
      <c r="O771" s="275">
        <f>IF(ROW()=ROW(tblContractForDeed[#Headers])+1,$O$6,IF(INDEX(tblContractForDeed[End Bal],ROW()-ROW(tblContractForDeed[#Headers])-1)&lt;0,0,INDEX(tblContractForDeed[End Bal],ROW()-ROW(tblContractForDeed[#Headers])-1)))</f>
        <v>0</v>
      </c>
      <c r="P771" s="445" t="str">
        <f>IF(tblContractForDeed[[#This Row],[Date]]="","",IF(tblContractForDeed[[#This Row],[Date]]&lt;cfdRateChangeDate,cfdRate1,cfdRate2))</f>
        <v/>
      </c>
      <c r="Q77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75">
        <f>SUM(INDEX(tblContractForDeed[Princ],1):INDEX(tblContractForDeed[Princ],ROW()-ROW(tblContractForDeed[#Headers])))</f>
        <v>75258.000000000029</v>
      </c>
      <c r="X771" s="275">
        <f>IF(tblContractForDeed[[#This Row],[Beg]]&lt;=0,0,tblContractForDeed[[#This Row],[Beg]]-tblContractForDeed[[#This Row],[Princ]])</f>
        <v>0</v>
      </c>
      <c r="Y77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75">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1" s="275">
        <f>IF(INDEX(tblContractForDeed[End Bal],ROW()-ROW(tblBuyerOutputs[#Headers]))&lt;=0,0,($O$6+IF(ROW()=ROW(tblBuyerOutputs[#Headers])+1,0,INDEX(tblBuyerOutputs[Cumul Appr],ROW()-ROW(tblBuyerOutputs[#Headers])-1)))*$O$2/12)</f>
        <v>0</v>
      </c>
      <c r="AE771" s="275">
        <f>IF(INDEX(tblContractForDeed[End Bal],ROW()-ROW(tblBuyerOutputs[#Headers]))&lt;=0,0,IF(ROW()=ROW(tblBuyerOutputs[#Headers])+1,0,INDEX(tblBuyerOutputs[Cumul Appr],ROW()-ROW(tblBuyerOutputs[#Headers])-1))+tblBuyerOutputs[[#This Row],[Monthly Appr]])</f>
        <v>0</v>
      </c>
      <c r="AF771" s="22"/>
      <c r="AG771" s="14"/>
      <c r="AL771"/>
      <c r="AM771" s="14"/>
      <c r="AO771" s="275"/>
      <c r="AQ771" s="14"/>
      <c r="AR771"/>
    </row>
    <row r="772" spans="1:44" x14ac:dyDescent="0.25">
      <c r="A772" s="590" t="str">
        <f t="shared" si="143"/>
        <v/>
      </c>
      <c r="B772" s="275">
        <f t="shared" si="144"/>
        <v>0</v>
      </c>
      <c r="C772" s="14">
        <f t="shared" si="141"/>
        <v>0</v>
      </c>
      <c r="D772" s="14">
        <f t="shared" si="145"/>
        <v>0</v>
      </c>
      <c r="E772" s="14">
        <f t="shared" si="142"/>
        <v>0</v>
      </c>
      <c r="K772" s="275">
        <f t="shared" si="146"/>
        <v>0</v>
      </c>
      <c r="L772" s="386">
        <f t="shared" si="148"/>
        <v>0</v>
      </c>
      <c r="M772" s="386">
        <f t="shared" si="147"/>
        <v>0</v>
      </c>
      <c r="N772" s="590" t="str">
        <f>INDEX(tblSubjectToLoan[Date],ROW()-ROW(tblContractForDeed[#Headers]))</f>
        <v/>
      </c>
      <c r="O772" s="275">
        <f>IF(ROW()=ROW(tblContractForDeed[#Headers])+1,$O$6,IF(INDEX(tblContractForDeed[End Bal],ROW()-ROW(tblContractForDeed[#Headers])-1)&lt;0,0,INDEX(tblContractForDeed[End Bal],ROW()-ROW(tblContractForDeed[#Headers])-1)))</f>
        <v>0</v>
      </c>
      <c r="P772" s="445" t="str">
        <f>IF(tblContractForDeed[[#This Row],[Date]]="","",IF(tblContractForDeed[[#This Row],[Date]]&lt;cfdRateChangeDate,cfdRate1,cfdRate2))</f>
        <v/>
      </c>
      <c r="Q7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75">
        <f>SUM(INDEX(tblContractForDeed[Princ],1):INDEX(tblContractForDeed[Princ],ROW()-ROW(tblContractForDeed[#Headers])))</f>
        <v>75258.000000000029</v>
      </c>
      <c r="X772" s="275">
        <f>IF(tblContractForDeed[[#This Row],[Beg]]&lt;=0,0,tblContractForDeed[[#This Row],[Beg]]-tblContractForDeed[[#This Row],[Princ]])</f>
        <v>0</v>
      </c>
      <c r="Y77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75">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2" s="275">
        <f>IF(INDEX(tblContractForDeed[End Bal],ROW()-ROW(tblBuyerOutputs[#Headers]))&lt;=0,0,($O$6+IF(ROW()=ROW(tblBuyerOutputs[#Headers])+1,0,INDEX(tblBuyerOutputs[Cumul Appr],ROW()-ROW(tblBuyerOutputs[#Headers])-1)))*$O$2/12)</f>
        <v>0</v>
      </c>
      <c r="AE772" s="275">
        <f>IF(INDEX(tblContractForDeed[End Bal],ROW()-ROW(tblBuyerOutputs[#Headers]))&lt;=0,0,IF(ROW()=ROW(tblBuyerOutputs[#Headers])+1,0,INDEX(tblBuyerOutputs[Cumul Appr],ROW()-ROW(tblBuyerOutputs[#Headers])-1))+tblBuyerOutputs[[#This Row],[Monthly Appr]])</f>
        <v>0</v>
      </c>
      <c r="AF772" s="22"/>
      <c r="AG772" s="14"/>
      <c r="AL772"/>
      <c r="AM772" s="14"/>
      <c r="AO772" s="275"/>
      <c r="AQ772" s="14"/>
      <c r="AR772"/>
    </row>
    <row r="773" spans="1:44" x14ac:dyDescent="0.25">
      <c r="A773" s="590" t="str">
        <f t="shared" si="143"/>
        <v/>
      </c>
      <c r="B773" s="275">
        <f t="shared" si="144"/>
        <v>0</v>
      </c>
      <c r="C773" s="14">
        <f t="shared" si="141"/>
        <v>0</v>
      </c>
      <c r="D773" s="14">
        <f t="shared" si="145"/>
        <v>0</v>
      </c>
      <c r="E773" s="14">
        <f t="shared" si="142"/>
        <v>0</v>
      </c>
      <c r="K773" s="275">
        <f t="shared" si="146"/>
        <v>0</v>
      </c>
      <c r="L773" s="386">
        <f t="shared" si="148"/>
        <v>0</v>
      </c>
      <c r="M773" s="386">
        <f t="shared" si="147"/>
        <v>0</v>
      </c>
      <c r="N773" s="590" t="str">
        <f>INDEX(tblSubjectToLoan[Date],ROW()-ROW(tblContractForDeed[#Headers]))</f>
        <v/>
      </c>
      <c r="O773" s="275">
        <f>IF(ROW()=ROW(tblContractForDeed[#Headers])+1,$O$6,IF(INDEX(tblContractForDeed[End Bal],ROW()-ROW(tblContractForDeed[#Headers])-1)&lt;0,0,INDEX(tblContractForDeed[End Bal],ROW()-ROW(tblContractForDeed[#Headers])-1)))</f>
        <v>0</v>
      </c>
      <c r="P773" s="445" t="str">
        <f>IF(tblContractForDeed[[#This Row],[Date]]="","",IF(tblContractForDeed[[#This Row],[Date]]&lt;cfdRateChangeDate,cfdRate1,cfdRate2))</f>
        <v/>
      </c>
      <c r="Q7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75">
        <f>SUM(INDEX(tblContractForDeed[Princ],1):INDEX(tblContractForDeed[Princ],ROW()-ROW(tblContractForDeed[#Headers])))</f>
        <v>75258.000000000029</v>
      </c>
      <c r="X773" s="275">
        <f>IF(tblContractForDeed[[#This Row],[Beg]]&lt;=0,0,tblContractForDeed[[#This Row],[Beg]]-tblContractForDeed[[#This Row],[Princ]])</f>
        <v>0</v>
      </c>
      <c r="Y77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75">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3" s="275">
        <f>IF(INDEX(tblContractForDeed[End Bal],ROW()-ROW(tblBuyerOutputs[#Headers]))&lt;=0,0,($O$6+IF(ROW()=ROW(tblBuyerOutputs[#Headers])+1,0,INDEX(tblBuyerOutputs[Cumul Appr],ROW()-ROW(tblBuyerOutputs[#Headers])-1)))*$O$2/12)</f>
        <v>0</v>
      </c>
      <c r="AE773" s="275">
        <f>IF(INDEX(tblContractForDeed[End Bal],ROW()-ROW(tblBuyerOutputs[#Headers]))&lt;=0,0,IF(ROW()=ROW(tblBuyerOutputs[#Headers])+1,0,INDEX(tblBuyerOutputs[Cumul Appr],ROW()-ROW(tblBuyerOutputs[#Headers])-1))+tblBuyerOutputs[[#This Row],[Monthly Appr]])</f>
        <v>0</v>
      </c>
      <c r="AF773" s="22"/>
      <c r="AG773" s="14"/>
      <c r="AL773"/>
      <c r="AM773" s="14"/>
      <c r="AO773" s="275"/>
      <c r="AQ773" s="14"/>
      <c r="AR773"/>
    </row>
    <row r="774" spans="1:44" x14ac:dyDescent="0.25">
      <c r="A774" s="590" t="str">
        <f t="shared" si="143"/>
        <v/>
      </c>
      <c r="B774" s="275">
        <f t="shared" si="144"/>
        <v>0</v>
      </c>
      <c r="C774" s="14">
        <f t="shared" si="141"/>
        <v>0</v>
      </c>
      <c r="D774" s="14">
        <f t="shared" si="145"/>
        <v>0</v>
      </c>
      <c r="E774" s="14">
        <f t="shared" si="142"/>
        <v>0</v>
      </c>
      <c r="K774" s="275">
        <f t="shared" si="146"/>
        <v>0</v>
      </c>
      <c r="L774" s="386">
        <f t="shared" si="148"/>
        <v>0</v>
      </c>
      <c r="M774" s="386">
        <f t="shared" si="147"/>
        <v>0</v>
      </c>
      <c r="N774" s="590" t="str">
        <f>INDEX(tblSubjectToLoan[Date],ROW()-ROW(tblContractForDeed[#Headers]))</f>
        <v/>
      </c>
      <c r="O774" s="275">
        <f>IF(ROW()=ROW(tblContractForDeed[#Headers])+1,$O$6,IF(INDEX(tblContractForDeed[End Bal],ROW()-ROW(tblContractForDeed[#Headers])-1)&lt;0,0,INDEX(tblContractForDeed[End Bal],ROW()-ROW(tblContractForDeed[#Headers])-1)))</f>
        <v>0</v>
      </c>
      <c r="P774" s="445" t="str">
        <f>IF(tblContractForDeed[[#This Row],[Date]]="","",IF(tblContractForDeed[[#This Row],[Date]]&lt;cfdRateChangeDate,cfdRate1,cfdRate2))</f>
        <v/>
      </c>
      <c r="Q7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75">
        <f>SUM(INDEX(tblContractForDeed[Princ],1):INDEX(tblContractForDeed[Princ],ROW()-ROW(tblContractForDeed[#Headers])))</f>
        <v>75258.000000000029</v>
      </c>
      <c r="X774" s="275">
        <f>IF(tblContractForDeed[[#This Row],[Beg]]&lt;=0,0,tblContractForDeed[[#This Row],[Beg]]-tblContractForDeed[[#This Row],[Princ]])</f>
        <v>0</v>
      </c>
      <c r="Y77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75">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4" s="275">
        <f>IF(INDEX(tblContractForDeed[End Bal],ROW()-ROW(tblBuyerOutputs[#Headers]))&lt;=0,0,($O$6+IF(ROW()=ROW(tblBuyerOutputs[#Headers])+1,0,INDEX(tblBuyerOutputs[Cumul Appr],ROW()-ROW(tblBuyerOutputs[#Headers])-1)))*$O$2/12)</f>
        <v>0</v>
      </c>
      <c r="AE774" s="275">
        <f>IF(INDEX(tblContractForDeed[End Bal],ROW()-ROW(tblBuyerOutputs[#Headers]))&lt;=0,0,IF(ROW()=ROW(tblBuyerOutputs[#Headers])+1,0,INDEX(tblBuyerOutputs[Cumul Appr],ROW()-ROW(tblBuyerOutputs[#Headers])-1))+tblBuyerOutputs[[#This Row],[Monthly Appr]])</f>
        <v>0</v>
      </c>
      <c r="AF774" s="22"/>
      <c r="AG774" s="14"/>
      <c r="AL774"/>
      <c r="AM774" s="14"/>
      <c r="AO774" s="275"/>
      <c r="AQ774" s="14"/>
      <c r="AR774"/>
    </row>
    <row r="775" spans="1:44" ht="15.75" thickBot="1" x14ac:dyDescent="0.3">
      <c r="A775" s="591" t="str">
        <f t="shared" si="143"/>
        <v/>
      </c>
      <c r="B775" s="326">
        <f t="shared" si="144"/>
        <v>0</v>
      </c>
      <c r="C775" s="21">
        <f t="shared" si="141"/>
        <v>0</v>
      </c>
      <c r="D775" s="21">
        <f t="shared" si="145"/>
        <v>0</v>
      </c>
      <c r="E775" s="21">
        <f t="shared" si="142"/>
        <v>0</v>
      </c>
      <c r="F775" s="21"/>
      <c r="G775" s="21"/>
      <c r="H775" s="21"/>
      <c r="I775" s="326"/>
      <c r="J775" s="326"/>
      <c r="K775" s="326">
        <f t="shared" si="146"/>
        <v>0</v>
      </c>
      <c r="L775" s="387">
        <f t="shared" si="148"/>
        <v>0</v>
      </c>
      <c r="M775" s="387">
        <f t="shared" si="147"/>
        <v>0</v>
      </c>
      <c r="N775" s="591" t="str">
        <f>INDEX(tblSubjectToLoan[Date],ROW()-ROW(tblContractForDeed[#Headers]))</f>
        <v/>
      </c>
      <c r="O775" s="326">
        <f>IF(ROW()=ROW(tblContractForDeed[#Headers])+1,$O$6,IF(INDEX(tblContractForDeed[End Bal],ROW()-ROW(tblContractForDeed[#Headers])-1)&lt;0,0,INDEX(tblContractForDeed[End Bal],ROW()-ROW(tblContractForDeed[#Headers])-1)))</f>
        <v>0</v>
      </c>
      <c r="P775" s="445" t="str">
        <f>IF(tblContractForDeed[[#This Row],[Date]]="","",IF(tblContractForDeed[[#This Row],[Date]]&lt;cfdRateChangeDate,cfdRate1,cfdRate2))</f>
        <v/>
      </c>
      <c r="Q77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26">
        <f>SUM(INDEX(tblContractForDeed[Princ],1):INDEX(tblContractForDeed[Princ],ROW()-ROW(tblContractForDeed[#Headers])))</f>
        <v>75258.000000000029</v>
      </c>
      <c r="X775" s="326">
        <f>IF(tblContractForDeed[[#This Row],[Beg]]&lt;=0,0,tblContractForDeed[[#This Row],[Beg]]-tblContractForDeed[[#This Row],[Princ]])</f>
        <v>0</v>
      </c>
      <c r="Y77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26">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5" s="326">
        <f>IF(INDEX(tblContractForDeed[End Bal],ROW()-ROW(tblBuyerOutputs[#Headers]))&lt;=0,0,($O$6+IF(ROW()=ROW(tblBuyerOutputs[#Headers])+1,0,INDEX(tblBuyerOutputs[Cumul Appr],ROW()-ROW(tblBuyerOutputs[#Headers])-1)))*$O$2/12)</f>
        <v>0</v>
      </c>
      <c r="AE775" s="326">
        <f>IF(INDEX(tblContractForDeed[End Bal],ROW()-ROW(tblBuyerOutputs[#Headers]))&lt;=0,0,IF(ROW()=ROW(tblBuyerOutputs[#Headers])+1,0,INDEX(tblBuyerOutputs[Cumul Appr],ROW()-ROW(tblBuyerOutputs[#Headers])-1))+tblBuyerOutputs[[#This Row],[Monthly Appr]])</f>
        <v>0</v>
      </c>
      <c r="AF775" s="22"/>
      <c r="AG775" s="14"/>
      <c r="AL775"/>
      <c r="AM775" s="14"/>
      <c r="AO775" s="275"/>
      <c r="AQ775" s="21"/>
      <c r="AR775"/>
    </row>
    <row r="776" spans="1:44" x14ac:dyDescent="0.25">
      <c r="A776" s="590" t="str">
        <f t="shared" si="143"/>
        <v/>
      </c>
      <c r="B776" s="275">
        <f t="shared" si="144"/>
        <v>0</v>
      </c>
      <c r="C776" s="14">
        <f t="shared" si="141"/>
        <v>0</v>
      </c>
      <c r="D776" s="14">
        <f t="shared" si="145"/>
        <v>0</v>
      </c>
      <c r="E776" s="14">
        <f t="shared" si="142"/>
        <v>0</v>
      </c>
      <c r="K776" s="275">
        <f t="shared" si="146"/>
        <v>0</v>
      </c>
      <c r="L776" s="386">
        <f t="shared" si="148"/>
        <v>0</v>
      </c>
      <c r="M776" s="386">
        <f t="shared" si="147"/>
        <v>0</v>
      </c>
      <c r="N776" s="590" t="str">
        <f>INDEX(tblSubjectToLoan[Date],ROW()-ROW(tblContractForDeed[#Headers]))</f>
        <v/>
      </c>
      <c r="O776" s="275">
        <f>IF(ROW()=ROW(tblContractForDeed[#Headers])+1,$O$6,IF(INDEX(tblContractForDeed[End Bal],ROW()-ROW(tblContractForDeed[#Headers])-1)&lt;0,0,INDEX(tblContractForDeed[End Bal],ROW()-ROW(tblContractForDeed[#Headers])-1)))</f>
        <v>0</v>
      </c>
      <c r="P776" s="445" t="str">
        <f>IF(tblContractForDeed[[#This Row],[Date]]="","",IF(tblContractForDeed[[#This Row],[Date]]&lt;cfdRateChangeDate,cfdRate1,cfdRate2))</f>
        <v/>
      </c>
      <c r="Q7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75">
        <f>SUM(INDEX(tblContractForDeed[Princ],1):INDEX(tblContractForDeed[Princ],ROW()-ROW(tblContractForDeed[#Headers])))</f>
        <v>75258.000000000029</v>
      </c>
      <c r="X776" s="275">
        <f>IF(tblContractForDeed[[#This Row],[Beg]]&lt;=0,0,tblContractForDeed[[#This Row],[Beg]]-tblContractForDeed[[#This Row],[Princ]])</f>
        <v>0</v>
      </c>
      <c r="Y77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75">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6" s="275">
        <f>IF(INDEX(tblContractForDeed[End Bal],ROW()-ROW(tblBuyerOutputs[#Headers]))&lt;=0,0,($O$6+IF(ROW()=ROW(tblBuyerOutputs[#Headers])+1,0,INDEX(tblBuyerOutputs[Cumul Appr],ROW()-ROW(tblBuyerOutputs[#Headers])-1)))*$O$2/12)</f>
        <v>0</v>
      </c>
      <c r="AE776" s="275">
        <f>IF(INDEX(tblContractForDeed[End Bal],ROW()-ROW(tblBuyerOutputs[#Headers]))&lt;=0,0,IF(ROW()=ROW(tblBuyerOutputs[#Headers])+1,0,INDEX(tblBuyerOutputs[Cumul Appr],ROW()-ROW(tblBuyerOutputs[#Headers])-1))+tblBuyerOutputs[[#This Row],[Monthly Appr]])</f>
        <v>0</v>
      </c>
      <c r="AF776" s="22"/>
      <c r="AG776" s="14"/>
      <c r="AL776"/>
      <c r="AM776" s="14"/>
      <c r="AO776" s="275"/>
      <c r="AQ776" s="14"/>
      <c r="AR776"/>
    </row>
    <row r="777" spans="1:44" x14ac:dyDescent="0.25">
      <c r="A777" s="590" t="str">
        <f t="shared" si="143"/>
        <v/>
      </c>
      <c r="B777" s="275">
        <f t="shared" si="144"/>
        <v>0</v>
      </c>
      <c r="C777" s="14">
        <f t="shared" si="141"/>
        <v>0</v>
      </c>
      <c r="D777" s="14">
        <f t="shared" si="145"/>
        <v>0</v>
      </c>
      <c r="E777" s="14">
        <f t="shared" si="142"/>
        <v>0</v>
      </c>
      <c r="K777" s="275">
        <f t="shared" si="146"/>
        <v>0</v>
      </c>
      <c r="L777" s="386">
        <f t="shared" si="148"/>
        <v>0</v>
      </c>
      <c r="M777" s="386">
        <f t="shared" si="147"/>
        <v>0</v>
      </c>
      <c r="N777" s="590" t="str">
        <f>INDEX(tblSubjectToLoan[Date],ROW()-ROW(tblContractForDeed[#Headers]))</f>
        <v/>
      </c>
      <c r="O777" s="275">
        <f>IF(ROW()=ROW(tblContractForDeed[#Headers])+1,$O$6,IF(INDEX(tblContractForDeed[End Bal],ROW()-ROW(tblContractForDeed[#Headers])-1)&lt;0,0,INDEX(tblContractForDeed[End Bal],ROW()-ROW(tblContractForDeed[#Headers])-1)))</f>
        <v>0</v>
      </c>
      <c r="P777" s="445" t="str">
        <f>IF(tblContractForDeed[[#This Row],[Date]]="","",IF(tblContractForDeed[[#This Row],[Date]]&lt;cfdRateChangeDate,cfdRate1,cfdRate2))</f>
        <v/>
      </c>
      <c r="Q7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75">
        <f>SUM(INDEX(tblContractForDeed[Princ],1):INDEX(tblContractForDeed[Princ],ROW()-ROW(tblContractForDeed[#Headers])))</f>
        <v>75258.000000000029</v>
      </c>
      <c r="X777" s="275">
        <f>IF(tblContractForDeed[[#This Row],[Beg]]&lt;=0,0,tblContractForDeed[[#This Row],[Beg]]-tblContractForDeed[[#This Row],[Princ]])</f>
        <v>0</v>
      </c>
      <c r="Y77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75">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7" s="275">
        <f>IF(INDEX(tblContractForDeed[End Bal],ROW()-ROW(tblBuyerOutputs[#Headers]))&lt;=0,0,($O$6+IF(ROW()=ROW(tblBuyerOutputs[#Headers])+1,0,INDEX(tblBuyerOutputs[Cumul Appr],ROW()-ROW(tblBuyerOutputs[#Headers])-1)))*$O$2/12)</f>
        <v>0</v>
      </c>
      <c r="AE777" s="275">
        <f>IF(INDEX(tblContractForDeed[End Bal],ROW()-ROW(tblBuyerOutputs[#Headers]))&lt;=0,0,IF(ROW()=ROW(tblBuyerOutputs[#Headers])+1,0,INDEX(tblBuyerOutputs[Cumul Appr],ROW()-ROW(tblBuyerOutputs[#Headers])-1))+tblBuyerOutputs[[#This Row],[Monthly Appr]])</f>
        <v>0</v>
      </c>
      <c r="AF777" s="22"/>
      <c r="AG777" s="14"/>
      <c r="AL777"/>
      <c r="AM777" s="14"/>
      <c r="AO777" s="275"/>
      <c r="AQ777" s="14"/>
      <c r="AR777"/>
    </row>
    <row r="778" spans="1:44" x14ac:dyDescent="0.25">
      <c r="A778" s="590" t="str">
        <f t="shared" si="143"/>
        <v/>
      </c>
      <c r="B778" s="275">
        <f t="shared" si="144"/>
        <v>0</v>
      </c>
      <c r="C778" s="14">
        <f t="shared" si="141"/>
        <v>0</v>
      </c>
      <c r="D778" s="14">
        <f t="shared" si="145"/>
        <v>0</v>
      </c>
      <c r="E778" s="14">
        <f t="shared" si="142"/>
        <v>0</v>
      </c>
      <c r="K778" s="275">
        <f t="shared" si="146"/>
        <v>0</v>
      </c>
      <c r="L778" s="386">
        <f t="shared" si="148"/>
        <v>0</v>
      </c>
      <c r="M778" s="386">
        <f t="shared" si="147"/>
        <v>0</v>
      </c>
      <c r="N778" s="590" t="str">
        <f>INDEX(tblSubjectToLoan[Date],ROW()-ROW(tblContractForDeed[#Headers]))</f>
        <v/>
      </c>
      <c r="O778" s="275">
        <f>IF(ROW()=ROW(tblContractForDeed[#Headers])+1,$O$6,IF(INDEX(tblContractForDeed[End Bal],ROW()-ROW(tblContractForDeed[#Headers])-1)&lt;0,0,INDEX(tblContractForDeed[End Bal],ROW()-ROW(tblContractForDeed[#Headers])-1)))</f>
        <v>0</v>
      </c>
      <c r="P778" s="445" t="str">
        <f>IF(tblContractForDeed[[#This Row],[Date]]="","",IF(tblContractForDeed[[#This Row],[Date]]&lt;cfdRateChangeDate,cfdRate1,cfdRate2))</f>
        <v/>
      </c>
      <c r="Q7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75">
        <f>SUM(INDEX(tblContractForDeed[Princ],1):INDEX(tblContractForDeed[Princ],ROW()-ROW(tblContractForDeed[#Headers])))</f>
        <v>75258.000000000029</v>
      </c>
      <c r="X778" s="275">
        <f>IF(tblContractForDeed[[#This Row],[Beg]]&lt;=0,0,tblContractForDeed[[#This Row],[Beg]]-tblContractForDeed[[#This Row],[Princ]])</f>
        <v>0</v>
      </c>
      <c r="Y77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75">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8" s="275">
        <f>IF(INDEX(tblContractForDeed[End Bal],ROW()-ROW(tblBuyerOutputs[#Headers]))&lt;=0,0,($O$6+IF(ROW()=ROW(tblBuyerOutputs[#Headers])+1,0,INDEX(tblBuyerOutputs[Cumul Appr],ROW()-ROW(tblBuyerOutputs[#Headers])-1)))*$O$2/12)</f>
        <v>0</v>
      </c>
      <c r="AE778" s="275">
        <f>IF(INDEX(tblContractForDeed[End Bal],ROW()-ROW(tblBuyerOutputs[#Headers]))&lt;=0,0,IF(ROW()=ROW(tblBuyerOutputs[#Headers])+1,0,INDEX(tblBuyerOutputs[Cumul Appr],ROW()-ROW(tblBuyerOutputs[#Headers])-1))+tblBuyerOutputs[[#This Row],[Monthly Appr]])</f>
        <v>0</v>
      </c>
      <c r="AF778" s="22"/>
      <c r="AG778" s="14"/>
      <c r="AL778"/>
      <c r="AM778" s="14"/>
      <c r="AO778" s="275"/>
      <c r="AQ778" s="14"/>
      <c r="AR778"/>
    </row>
    <row r="779" spans="1:44" x14ac:dyDescent="0.25">
      <c r="A779" s="590" t="str">
        <f t="shared" si="143"/>
        <v/>
      </c>
      <c r="B779" s="275">
        <f t="shared" si="144"/>
        <v>0</v>
      </c>
      <c r="C779" s="14">
        <f t="shared" si="141"/>
        <v>0</v>
      </c>
      <c r="D779" s="14">
        <f t="shared" si="145"/>
        <v>0</v>
      </c>
      <c r="E779" s="14">
        <f t="shared" si="142"/>
        <v>0</v>
      </c>
      <c r="K779" s="275">
        <f t="shared" si="146"/>
        <v>0</v>
      </c>
      <c r="L779" s="386">
        <f t="shared" si="148"/>
        <v>0</v>
      </c>
      <c r="M779" s="386">
        <f t="shared" si="147"/>
        <v>0</v>
      </c>
      <c r="N779" s="590" t="str">
        <f>INDEX(tblSubjectToLoan[Date],ROW()-ROW(tblContractForDeed[#Headers]))</f>
        <v/>
      </c>
      <c r="O779" s="275">
        <f>IF(ROW()=ROW(tblContractForDeed[#Headers])+1,$O$6,IF(INDEX(tblContractForDeed[End Bal],ROW()-ROW(tblContractForDeed[#Headers])-1)&lt;0,0,INDEX(tblContractForDeed[End Bal],ROW()-ROW(tblContractForDeed[#Headers])-1)))</f>
        <v>0</v>
      </c>
      <c r="P779" s="445" t="str">
        <f>IF(tblContractForDeed[[#This Row],[Date]]="","",IF(tblContractForDeed[[#This Row],[Date]]&lt;cfdRateChangeDate,cfdRate1,cfdRate2))</f>
        <v/>
      </c>
      <c r="Q77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75">
        <f>SUM(INDEX(tblContractForDeed[Princ],1):INDEX(tblContractForDeed[Princ],ROW()-ROW(tblContractForDeed[#Headers])))</f>
        <v>75258.000000000029</v>
      </c>
      <c r="X779" s="275">
        <f>IF(tblContractForDeed[[#This Row],[Beg]]&lt;=0,0,tblContractForDeed[[#This Row],[Beg]]-tblContractForDeed[[#This Row],[Princ]])</f>
        <v>0</v>
      </c>
      <c r="Y77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75">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9" s="275">
        <f>IF(INDEX(tblContractForDeed[End Bal],ROW()-ROW(tblBuyerOutputs[#Headers]))&lt;=0,0,($O$6+IF(ROW()=ROW(tblBuyerOutputs[#Headers])+1,0,INDEX(tblBuyerOutputs[Cumul Appr],ROW()-ROW(tblBuyerOutputs[#Headers])-1)))*$O$2/12)</f>
        <v>0</v>
      </c>
      <c r="AE779" s="275">
        <f>IF(INDEX(tblContractForDeed[End Bal],ROW()-ROW(tblBuyerOutputs[#Headers]))&lt;=0,0,IF(ROW()=ROW(tblBuyerOutputs[#Headers])+1,0,INDEX(tblBuyerOutputs[Cumul Appr],ROW()-ROW(tblBuyerOutputs[#Headers])-1))+tblBuyerOutputs[[#This Row],[Monthly Appr]])</f>
        <v>0</v>
      </c>
      <c r="AF779" s="22"/>
      <c r="AG779" s="14"/>
      <c r="AL779"/>
      <c r="AM779" s="14"/>
      <c r="AO779" s="275"/>
      <c r="AQ779" s="14"/>
      <c r="AR779"/>
    </row>
    <row r="780" spans="1:44" x14ac:dyDescent="0.25">
      <c r="A780" s="590" t="str">
        <f t="shared" si="143"/>
        <v/>
      </c>
      <c r="B780" s="275">
        <f t="shared" si="144"/>
        <v>0</v>
      </c>
      <c r="C780" s="14">
        <f t="shared" si="141"/>
        <v>0</v>
      </c>
      <c r="D780" s="14">
        <f t="shared" si="145"/>
        <v>0</v>
      </c>
      <c r="E780" s="14">
        <f t="shared" si="142"/>
        <v>0</v>
      </c>
      <c r="K780" s="275">
        <f t="shared" si="146"/>
        <v>0</v>
      </c>
      <c r="L780" s="386">
        <f t="shared" si="148"/>
        <v>0</v>
      </c>
      <c r="M780" s="386">
        <f t="shared" si="147"/>
        <v>0</v>
      </c>
      <c r="N780" s="590" t="str">
        <f>INDEX(tblSubjectToLoan[Date],ROW()-ROW(tblContractForDeed[#Headers]))</f>
        <v/>
      </c>
      <c r="O780" s="275">
        <f>IF(ROW()=ROW(tblContractForDeed[#Headers])+1,$O$6,IF(INDEX(tblContractForDeed[End Bal],ROW()-ROW(tblContractForDeed[#Headers])-1)&lt;0,0,INDEX(tblContractForDeed[End Bal],ROW()-ROW(tblContractForDeed[#Headers])-1)))</f>
        <v>0</v>
      </c>
      <c r="P780" s="445" t="str">
        <f>IF(tblContractForDeed[[#This Row],[Date]]="","",IF(tblContractForDeed[[#This Row],[Date]]&lt;cfdRateChangeDate,cfdRate1,cfdRate2))</f>
        <v/>
      </c>
      <c r="Q7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75">
        <f>SUM(INDEX(tblContractForDeed[Princ],1):INDEX(tblContractForDeed[Princ],ROW()-ROW(tblContractForDeed[#Headers])))</f>
        <v>75258.000000000029</v>
      </c>
      <c r="X780" s="275">
        <f>IF(tblContractForDeed[[#This Row],[Beg]]&lt;=0,0,tblContractForDeed[[#This Row],[Beg]]-tblContractForDeed[[#This Row],[Princ]])</f>
        <v>0</v>
      </c>
      <c r="Y78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75">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0" s="275">
        <f>IF(INDEX(tblContractForDeed[End Bal],ROW()-ROW(tblBuyerOutputs[#Headers]))&lt;=0,0,($O$6+IF(ROW()=ROW(tblBuyerOutputs[#Headers])+1,0,INDEX(tblBuyerOutputs[Cumul Appr],ROW()-ROW(tblBuyerOutputs[#Headers])-1)))*$O$2/12)</f>
        <v>0</v>
      </c>
      <c r="AE780" s="275">
        <f>IF(INDEX(tblContractForDeed[End Bal],ROW()-ROW(tblBuyerOutputs[#Headers]))&lt;=0,0,IF(ROW()=ROW(tblBuyerOutputs[#Headers])+1,0,INDEX(tblBuyerOutputs[Cumul Appr],ROW()-ROW(tblBuyerOutputs[#Headers])-1))+tblBuyerOutputs[[#This Row],[Monthly Appr]])</f>
        <v>0</v>
      </c>
      <c r="AF780" s="22"/>
      <c r="AG780" s="14"/>
      <c r="AL780"/>
      <c r="AM780" s="14"/>
      <c r="AO780" s="275"/>
      <c r="AQ780" s="14"/>
      <c r="AR780"/>
    </row>
    <row r="781" spans="1:44" x14ac:dyDescent="0.25">
      <c r="A781" s="590" t="str">
        <f t="shared" si="143"/>
        <v/>
      </c>
      <c r="B781" s="275">
        <f t="shared" si="144"/>
        <v>0</v>
      </c>
      <c r="C781" s="14">
        <f t="shared" si="141"/>
        <v>0</v>
      </c>
      <c r="D781" s="14">
        <f t="shared" si="145"/>
        <v>0</v>
      </c>
      <c r="E781" s="14">
        <f t="shared" si="142"/>
        <v>0</v>
      </c>
      <c r="K781" s="275">
        <f t="shared" si="146"/>
        <v>0</v>
      </c>
      <c r="L781" s="386">
        <f t="shared" si="148"/>
        <v>0</v>
      </c>
      <c r="M781" s="386">
        <f t="shared" si="147"/>
        <v>0</v>
      </c>
      <c r="N781" s="590" t="str">
        <f>INDEX(tblSubjectToLoan[Date],ROW()-ROW(tblContractForDeed[#Headers]))</f>
        <v/>
      </c>
      <c r="O781" s="275">
        <f>IF(ROW()=ROW(tblContractForDeed[#Headers])+1,$O$6,IF(INDEX(tblContractForDeed[End Bal],ROW()-ROW(tblContractForDeed[#Headers])-1)&lt;0,0,INDEX(tblContractForDeed[End Bal],ROW()-ROW(tblContractForDeed[#Headers])-1)))</f>
        <v>0</v>
      </c>
      <c r="P781" s="445" t="str">
        <f>IF(tblContractForDeed[[#This Row],[Date]]="","",IF(tblContractForDeed[[#This Row],[Date]]&lt;cfdRateChangeDate,cfdRate1,cfdRate2))</f>
        <v/>
      </c>
      <c r="Q7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75">
        <f>SUM(INDEX(tblContractForDeed[Princ],1):INDEX(tblContractForDeed[Princ],ROW()-ROW(tblContractForDeed[#Headers])))</f>
        <v>75258.000000000029</v>
      </c>
      <c r="X781" s="275">
        <f>IF(tblContractForDeed[[#This Row],[Beg]]&lt;=0,0,tblContractForDeed[[#This Row],[Beg]]-tblContractForDeed[[#This Row],[Princ]])</f>
        <v>0</v>
      </c>
      <c r="Y78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75">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1" s="275">
        <f>IF(INDEX(tblContractForDeed[End Bal],ROW()-ROW(tblBuyerOutputs[#Headers]))&lt;=0,0,($O$6+IF(ROW()=ROW(tblBuyerOutputs[#Headers])+1,0,INDEX(tblBuyerOutputs[Cumul Appr],ROW()-ROW(tblBuyerOutputs[#Headers])-1)))*$O$2/12)</f>
        <v>0</v>
      </c>
      <c r="AE781" s="275">
        <f>IF(INDEX(tblContractForDeed[End Bal],ROW()-ROW(tblBuyerOutputs[#Headers]))&lt;=0,0,IF(ROW()=ROW(tblBuyerOutputs[#Headers])+1,0,INDEX(tblBuyerOutputs[Cumul Appr],ROW()-ROW(tblBuyerOutputs[#Headers])-1))+tblBuyerOutputs[[#This Row],[Monthly Appr]])</f>
        <v>0</v>
      </c>
      <c r="AF781" s="22"/>
      <c r="AG781" s="14"/>
      <c r="AL781"/>
      <c r="AM781" s="14"/>
      <c r="AO781" s="275"/>
      <c r="AQ781" s="14"/>
      <c r="AR781"/>
    </row>
    <row r="782" spans="1:44" x14ac:dyDescent="0.25">
      <c r="A782" s="590" t="str">
        <f t="shared" si="143"/>
        <v/>
      </c>
      <c r="B782" s="275">
        <f t="shared" si="144"/>
        <v>0</v>
      </c>
      <c r="C782" s="14">
        <f t="shared" si="141"/>
        <v>0</v>
      </c>
      <c r="D782" s="14">
        <f t="shared" si="145"/>
        <v>0</v>
      </c>
      <c r="E782" s="14">
        <f t="shared" si="142"/>
        <v>0</v>
      </c>
      <c r="K782" s="275">
        <f t="shared" si="146"/>
        <v>0</v>
      </c>
      <c r="L782" s="386">
        <f t="shared" si="148"/>
        <v>0</v>
      </c>
      <c r="M782" s="386">
        <f t="shared" si="147"/>
        <v>0</v>
      </c>
      <c r="N782" s="590" t="str">
        <f>INDEX(tblSubjectToLoan[Date],ROW()-ROW(tblContractForDeed[#Headers]))</f>
        <v/>
      </c>
      <c r="O782" s="275">
        <f>IF(ROW()=ROW(tblContractForDeed[#Headers])+1,$O$6,IF(INDEX(tblContractForDeed[End Bal],ROW()-ROW(tblContractForDeed[#Headers])-1)&lt;0,0,INDEX(tblContractForDeed[End Bal],ROW()-ROW(tblContractForDeed[#Headers])-1)))</f>
        <v>0</v>
      </c>
      <c r="P782" s="445" t="str">
        <f>IF(tblContractForDeed[[#This Row],[Date]]="","",IF(tblContractForDeed[[#This Row],[Date]]&lt;cfdRateChangeDate,cfdRate1,cfdRate2))</f>
        <v/>
      </c>
      <c r="Q7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75">
        <f>SUM(INDEX(tblContractForDeed[Princ],1):INDEX(tblContractForDeed[Princ],ROW()-ROW(tblContractForDeed[#Headers])))</f>
        <v>75258.000000000029</v>
      </c>
      <c r="X782" s="275">
        <f>IF(tblContractForDeed[[#This Row],[Beg]]&lt;=0,0,tblContractForDeed[[#This Row],[Beg]]-tblContractForDeed[[#This Row],[Princ]])</f>
        <v>0</v>
      </c>
      <c r="Y78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75">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2" s="275">
        <f>IF(INDEX(tblContractForDeed[End Bal],ROW()-ROW(tblBuyerOutputs[#Headers]))&lt;=0,0,($O$6+IF(ROW()=ROW(tblBuyerOutputs[#Headers])+1,0,INDEX(tblBuyerOutputs[Cumul Appr],ROW()-ROW(tblBuyerOutputs[#Headers])-1)))*$O$2/12)</f>
        <v>0</v>
      </c>
      <c r="AE782" s="275">
        <f>IF(INDEX(tblContractForDeed[End Bal],ROW()-ROW(tblBuyerOutputs[#Headers]))&lt;=0,0,IF(ROW()=ROW(tblBuyerOutputs[#Headers])+1,0,INDEX(tblBuyerOutputs[Cumul Appr],ROW()-ROW(tblBuyerOutputs[#Headers])-1))+tblBuyerOutputs[[#This Row],[Monthly Appr]])</f>
        <v>0</v>
      </c>
      <c r="AF782" s="22"/>
      <c r="AG782" s="14"/>
      <c r="AL782"/>
      <c r="AM782" s="14"/>
      <c r="AO782" s="275"/>
      <c r="AQ782" s="14"/>
      <c r="AR782"/>
    </row>
    <row r="783" spans="1:44" x14ac:dyDescent="0.25">
      <c r="A783" s="590" t="str">
        <f t="shared" si="143"/>
        <v/>
      </c>
      <c r="B783" s="275">
        <f t="shared" si="144"/>
        <v>0</v>
      </c>
      <c r="C783" s="14">
        <f t="shared" si="141"/>
        <v>0</v>
      </c>
      <c r="D783" s="14">
        <f t="shared" si="145"/>
        <v>0</v>
      </c>
      <c r="E783" s="14">
        <f t="shared" si="142"/>
        <v>0</v>
      </c>
      <c r="K783" s="275">
        <f t="shared" si="146"/>
        <v>0</v>
      </c>
      <c r="L783" s="386">
        <f t="shared" si="148"/>
        <v>0</v>
      </c>
      <c r="M783" s="386">
        <f t="shared" si="147"/>
        <v>0</v>
      </c>
      <c r="N783" s="590" t="str">
        <f>INDEX(tblSubjectToLoan[Date],ROW()-ROW(tblContractForDeed[#Headers]))</f>
        <v/>
      </c>
      <c r="O783" s="275">
        <f>IF(ROW()=ROW(tblContractForDeed[#Headers])+1,$O$6,IF(INDEX(tblContractForDeed[End Bal],ROW()-ROW(tblContractForDeed[#Headers])-1)&lt;0,0,INDEX(tblContractForDeed[End Bal],ROW()-ROW(tblContractForDeed[#Headers])-1)))</f>
        <v>0</v>
      </c>
      <c r="P783" s="445" t="str">
        <f>IF(tblContractForDeed[[#This Row],[Date]]="","",IF(tblContractForDeed[[#This Row],[Date]]&lt;cfdRateChangeDate,cfdRate1,cfdRate2))</f>
        <v/>
      </c>
      <c r="Q78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75">
        <f>SUM(INDEX(tblContractForDeed[Princ],1):INDEX(tblContractForDeed[Princ],ROW()-ROW(tblContractForDeed[#Headers])))</f>
        <v>75258.000000000029</v>
      </c>
      <c r="X783" s="275">
        <f>IF(tblContractForDeed[[#This Row],[Beg]]&lt;=0,0,tblContractForDeed[[#This Row],[Beg]]-tblContractForDeed[[#This Row],[Princ]])</f>
        <v>0</v>
      </c>
      <c r="Y78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75">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3" s="275">
        <f>IF(INDEX(tblContractForDeed[End Bal],ROW()-ROW(tblBuyerOutputs[#Headers]))&lt;=0,0,($O$6+IF(ROW()=ROW(tblBuyerOutputs[#Headers])+1,0,INDEX(tblBuyerOutputs[Cumul Appr],ROW()-ROW(tblBuyerOutputs[#Headers])-1)))*$O$2/12)</f>
        <v>0</v>
      </c>
      <c r="AE783" s="275">
        <f>IF(INDEX(tblContractForDeed[End Bal],ROW()-ROW(tblBuyerOutputs[#Headers]))&lt;=0,0,IF(ROW()=ROW(tblBuyerOutputs[#Headers])+1,0,INDEX(tblBuyerOutputs[Cumul Appr],ROW()-ROW(tblBuyerOutputs[#Headers])-1))+tblBuyerOutputs[[#This Row],[Monthly Appr]])</f>
        <v>0</v>
      </c>
      <c r="AF783" s="22"/>
      <c r="AG783" s="14"/>
      <c r="AL783"/>
      <c r="AM783" s="14"/>
      <c r="AO783" s="275"/>
      <c r="AQ783" s="14"/>
      <c r="AR783"/>
    </row>
    <row r="784" spans="1:44" x14ac:dyDescent="0.25">
      <c r="A784" s="590" t="str">
        <f t="shared" si="143"/>
        <v/>
      </c>
      <c r="B784" s="275">
        <f t="shared" si="144"/>
        <v>0</v>
      </c>
      <c r="C784" s="14">
        <f t="shared" si="141"/>
        <v>0</v>
      </c>
      <c r="D784" s="14">
        <f t="shared" si="145"/>
        <v>0</v>
      </c>
      <c r="E784" s="14">
        <f t="shared" si="142"/>
        <v>0</v>
      </c>
      <c r="K784" s="275">
        <f t="shared" si="146"/>
        <v>0</v>
      </c>
      <c r="L784" s="386">
        <f t="shared" si="148"/>
        <v>0</v>
      </c>
      <c r="M784" s="386">
        <f t="shared" si="147"/>
        <v>0</v>
      </c>
      <c r="N784" s="590" t="str">
        <f>INDEX(tblSubjectToLoan[Date],ROW()-ROW(tblContractForDeed[#Headers]))</f>
        <v/>
      </c>
      <c r="O784" s="275">
        <f>IF(ROW()=ROW(tblContractForDeed[#Headers])+1,$O$6,IF(INDEX(tblContractForDeed[End Bal],ROW()-ROW(tblContractForDeed[#Headers])-1)&lt;0,0,INDEX(tblContractForDeed[End Bal],ROW()-ROW(tblContractForDeed[#Headers])-1)))</f>
        <v>0</v>
      </c>
      <c r="P784" s="445" t="str">
        <f>IF(tblContractForDeed[[#This Row],[Date]]="","",IF(tblContractForDeed[[#This Row],[Date]]&lt;cfdRateChangeDate,cfdRate1,cfdRate2))</f>
        <v/>
      </c>
      <c r="Q7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75">
        <f>SUM(INDEX(tblContractForDeed[Princ],1):INDEX(tblContractForDeed[Princ],ROW()-ROW(tblContractForDeed[#Headers])))</f>
        <v>75258.000000000029</v>
      </c>
      <c r="X784" s="275">
        <f>IF(tblContractForDeed[[#This Row],[Beg]]&lt;=0,0,tblContractForDeed[[#This Row],[Beg]]-tblContractForDeed[[#This Row],[Princ]])</f>
        <v>0</v>
      </c>
      <c r="Y78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75">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4" s="275">
        <f>IF(INDEX(tblContractForDeed[End Bal],ROW()-ROW(tblBuyerOutputs[#Headers]))&lt;=0,0,($O$6+IF(ROW()=ROW(tblBuyerOutputs[#Headers])+1,0,INDEX(tblBuyerOutputs[Cumul Appr],ROW()-ROW(tblBuyerOutputs[#Headers])-1)))*$O$2/12)</f>
        <v>0</v>
      </c>
      <c r="AE784" s="275">
        <f>IF(INDEX(tblContractForDeed[End Bal],ROW()-ROW(tblBuyerOutputs[#Headers]))&lt;=0,0,IF(ROW()=ROW(tblBuyerOutputs[#Headers])+1,0,INDEX(tblBuyerOutputs[Cumul Appr],ROW()-ROW(tblBuyerOutputs[#Headers])-1))+tblBuyerOutputs[[#This Row],[Monthly Appr]])</f>
        <v>0</v>
      </c>
      <c r="AF784" s="22"/>
      <c r="AG784" s="14"/>
      <c r="AL784"/>
      <c r="AM784" s="14"/>
      <c r="AO784" s="275"/>
      <c r="AQ784" s="14"/>
      <c r="AR784"/>
    </row>
    <row r="785" spans="1:44" x14ac:dyDescent="0.25">
      <c r="A785" s="590" t="str">
        <f t="shared" si="143"/>
        <v/>
      </c>
      <c r="B785" s="275">
        <f t="shared" si="144"/>
        <v>0</v>
      </c>
      <c r="C785" s="14">
        <f t="shared" si="141"/>
        <v>0</v>
      </c>
      <c r="D785" s="14">
        <f t="shared" si="145"/>
        <v>0</v>
      </c>
      <c r="E785" s="14">
        <f t="shared" si="142"/>
        <v>0</v>
      </c>
      <c r="K785" s="275">
        <f t="shared" si="146"/>
        <v>0</v>
      </c>
      <c r="L785" s="386">
        <f t="shared" si="148"/>
        <v>0</v>
      </c>
      <c r="M785" s="386">
        <f t="shared" si="147"/>
        <v>0</v>
      </c>
      <c r="N785" s="590" t="str">
        <f>INDEX(tblSubjectToLoan[Date],ROW()-ROW(tblContractForDeed[#Headers]))</f>
        <v/>
      </c>
      <c r="O785" s="275">
        <f>IF(ROW()=ROW(tblContractForDeed[#Headers])+1,$O$6,IF(INDEX(tblContractForDeed[End Bal],ROW()-ROW(tblContractForDeed[#Headers])-1)&lt;0,0,INDEX(tblContractForDeed[End Bal],ROW()-ROW(tblContractForDeed[#Headers])-1)))</f>
        <v>0</v>
      </c>
      <c r="P785" s="445" t="str">
        <f>IF(tblContractForDeed[[#This Row],[Date]]="","",IF(tblContractForDeed[[#This Row],[Date]]&lt;cfdRateChangeDate,cfdRate1,cfdRate2))</f>
        <v/>
      </c>
      <c r="Q7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75">
        <f>SUM(INDEX(tblContractForDeed[Princ],1):INDEX(tblContractForDeed[Princ],ROW()-ROW(tblContractForDeed[#Headers])))</f>
        <v>75258.000000000029</v>
      </c>
      <c r="X785" s="275">
        <f>IF(tblContractForDeed[[#This Row],[Beg]]&lt;=0,0,tblContractForDeed[[#This Row],[Beg]]-tblContractForDeed[[#This Row],[Princ]])</f>
        <v>0</v>
      </c>
      <c r="Y78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75">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5" s="275">
        <f>IF(INDEX(tblContractForDeed[End Bal],ROW()-ROW(tblBuyerOutputs[#Headers]))&lt;=0,0,($O$6+IF(ROW()=ROW(tblBuyerOutputs[#Headers])+1,0,INDEX(tblBuyerOutputs[Cumul Appr],ROW()-ROW(tblBuyerOutputs[#Headers])-1)))*$O$2/12)</f>
        <v>0</v>
      </c>
      <c r="AE785" s="275">
        <f>IF(INDEX(tblContractForDeed[End Bal],ROW()-ROW(tblBuyerOutputs[#Headers]))&lt;=0,0,IF(ROW()=ROW(tblBuyerOutputs[#Headers])+1,0,INDEX(tblBuyerOutputs[Cumul Appr],ROW()-ROW(tblBuyerOutputs[#Headers])-1))+tblBuyerOutputs[[#This Row],[Monthly Appr]])</f>
        <v>0</v>
      </c>
      <c r="AF785" s="22"/>
      <c r="AG785" s="14"/>
      <c r="AL785"/>
      <c r="AM785" s="14"/>
      <c r="AO785" s="275"/>
      <c r="AQ785" s="14"/>
      <c r="AR785"/>
    </row>
    <row r="786" spans="1:44" x14ac:dyDescent="0.25">
      <c r="A786" s="590" t="str">
        <f t="shared" si="143"/>
        <v/>
      </c>
      <c r="B786" s="275">
        <f t="shared" si="144"/>
        <v>0</v>
      </c>
      <c r="C786" s="14">
        <f t="shared" si="141"/>
        <v>0</v>
      </c>
      <c r="D786" s="14">
        <f t="shared" si="145"/>
        <v>0</v>
      </c>
      <c r="E786" s="14">
        <f t="shared" si="142"/>
        <v>0</v>
      </c>
      <c r="K786" s="275">
        <f t="shared" si="146"/>
        <v>0</v>
      </c>
      <c r="L786" s="386">
        <f t="shared" si="148"/>
        <v>0</v>
      </c>
      <c r="M786" s="386">
        <f t="shared" si="147"/>
        <v>0</v>
      </c>
      <c r="N786" s="590" t="str">
        <f>INDEX(tblSubjectToLoan[Date],ROW()-ROW(tblContractForDeed[#Headers]))</f>
        <v/>
      </c>
      <c r="O786" s="275">
        <f>IF(ROW()=ROW(tblContractForDeed[#Headers])+1,$O$6,IF(INDEX(tblContractForDeed[End Bal],ROW()-ROW(tblContractForDeed[#Headers])-1)&lt;0,0,INDEX(tblContractForDeed[End Bal],ROW()-ROW(tblContractForDeed[#Headers])-1)))</f>
        <v>0</v>
      </c>
      <c r="P786" s="445" t="str">
        <f>IF(tblContractForDeed[[#This Row],[Date]]="","",IF(tblContractForDeed[[#This Row],[Date]]&lt;cfdRateChangeDate,cfdRate1,cfdRate2))</f>
        <v/>
      </c>
      <c r="Q7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75">
        <f>SUM(INDEX(tblContractForDeed[Princ],1):INDEX(tblContractForDeed[Princ],ROW()-ROW(tblContractForDeed[#Headers])))</f>
        <v>75258.000000000029</v>
      </c>
      <c r="X786" s="275">
        <f>IF(tblContractForDeed[[#This Row],[Beg]]&lt;=0,0,tblContractForDeed[[#This Row],[Beg]]-tblContractForDeed[[#This Row],[Princ]])</f>
        <v>0</v>
      </c>
      <c r="Y78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75">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6" s="275">
        <f>IF(INDEX(tblContractForDeed[End Bal],ROW()-ROW(tblBuyerOutputs[#Headers]))&lt;=0,0,($O$6+IF(ROW()=ROW(tblBuyerOutputs[#Headers])+1,0,INDEX(tblBuyerOutputs[Cumul Appr],ROW()-ROW(tblBuyerOutputs[#Headers])-1)))*$O$2/12)</f>
        <v>0</v>
      </c>
      <c r="AE786" s="275">
        <f>IF(INDEX(tblContractForDeed[End Bal],ROW()-ROW(tblBuyerOutputs[#Headers]))&lt;=0,0,IF(ROW()=ROW(tblBuyerOutputs[#Headers])+1,0,INDEX(tblBuyerOutputs[Cumul Appr],ROW()-ROW(tblBuyerOutputs[#Headers])-1))+tblBuyerOutputs[[#This Row],[Monthly Appr]])</f>
        <v>0</v>
      </c>
      <c r="AF786" s="22"/>
      <c r="AG786" s="14"/>
      <c r="AL786"/>
      <c r="AM786" s="14"/>
      <c r="AO786" s="275"/>
      <c r="AQ786" s="14"/>
      <c r="AR786"/>
    </row>
    <row r="787" spans="1:44" ht="15.75" thickBot="1" x14ac:dyDescent="0.3">
      <c r="A787" s="591" t="str">
        <f t="shared" si="143"/>
        <v/>
      </c>
      <c r="B787" s="326">
        <f t="shared" si="144"/>
        <v>0</v>
      </c>
      <c r="C787" s="21">
        <f t="shared" si="141"/>
        <v>0</v>
      </c>
      <c r="D787" s="21">
        <f t="shared" si="145"/>
        <v>0</v>
      </c>
      <c r="E787" s="21">
        <f t="shared" si="142"/>
        <v>0</v>
      </c>
      <c r="F787" s="21"/>
      <c r="G787" s="21"/>
      <c r="H787" s="21"/>
      <c r="I787" s="326"/>
      <c r="J787" s="326"/>
      <c r="K787" s="326">
        <f t="shared" si="146"/>
        <v>0</v>
      </c>
      <c r="L787" s="387">
        <f t="shared" si="148"/>
        <v>0</v>
      </c>
      <c r="M787" s="387">
        <f t="shared" si="147"/>
        <v>0</v>
      </c>
      <c r="N787" s="591" t="str">
        <f>INDEX(tblSubjectToLoan[Date],ROW()-ROW(tblContractForDeed[#Headers]))</f>
        <v/>
      </c>
      <c r="O787" s="326">
        <f>IF(ROW()=ROW(tblContractForDeed[#Headers])+1,$O$6,IF(INDEX(tblContractForDeed[End Bal],ROW()-ROW(tblContractForDeed[#Headers])-1)&lt;0,0,INDEX(tblContractForDeed[End Bal],ROW()-ROW(tblContractForDeed[#Headers])-1)))</f>
        <v>0</v>
      </c>
      <c r="P787" s="445" t="str">
        <f>IF(tblContractForDeed[[#This Row],[Date]]="","",IF(tblContractForDeed[[#This Row],[Date]]&lt;cfdRateChangeDate,cfdRate1,cfdRate2))</f>
        <v/>
      </c>
      <c r="Q78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26">
        <f>SUM(INDEX(tblContractForDeed[Princ],1):INDEX(tblContractForDeed[Princ],ROW()-ROW(tblContractForDeed[#Headers])))</f>
        <v>75258.000000000029</v>
      </c>
      <c r="X787" s="326">
        <f>IF(tblContractForDeed[[#This Row],[Beg]]&lt;=0,0,tblContractForDeed[[#This Row],[Beg]]-tblContractForDeed[[#This Row],[Princ]])</f>
        <v>0</v>
      </c>
      <c r="Y78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26">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7" s="326">
        <f>IF(INDEX(tblContractForDeed[End Bal],ROW()-ROW(tblBuyerOutputs[#Headers]))&lt;=0,0,($O$6+IF(ROW()=ROW(tblBuyerOutputs[#Headers])+1,0,INDEX(tblBuyerOutputs[Cumul Appr],ROW()-ROW(tblBuyerOutputs[#Headers])-1)))*$O$2/12)</f>
        <v>0</v>
      </c>
      <c r="AE787" s="326">
        <f>IF(INDEX(tblContractForDeed[End Bal],ROW()-ROW(tblBuyerOutputs[#Headers]))&lt;=0,0,IF(ROW()=ROW(tblBuyerOutputs[#Headers])+1,0,INDEX(tblBuyerOutputs[Cumul Appr],ROW()-ROW(tblBuyerOutputs[#Headers])-1))+tblBuyerOutputs[[#This Row],[Monthly Appr]])</f>
        <v>0</v>
      </c>
      <c r="AF787" s="22"/>
      <c r="AG787" s="14"/>
      <c r="AL787"/>
      <c r="AM787" s="14"/>
      <c r="AO787" s="275"/>
      <c r="AQ787" s="21"/>
      <c r="AR787"/>
    </row>
    <row r="788" spans="1:44" x14ac:dyDescent="0.25">
      <c r="A788" s="592" t="str">
        <f t="shared" si="143"/>
        <v/>
      </c>
      <c r="B788" s="275">
        <f t="shared" si="144"/>
        <v>0</v>
      </c>
      <c r="C788" s="14">
        <f t="shared" ref="C788:C833" si="149">IF(A788="",0,IF(B788&lt;=0,0,IF(A788=subjectMortgageEndDate,B788+E788,MIN(subjectPayment,B788+E788))))</f>
        <v>0</v>
      </c>
      <c r="D788" s="14">
        <f t="shared" si="145"/>
        <v>0</v>
      </c>
      <c r="E788" s="14">
        <f t="shared" ref="E788:E833" si="150">IF(OR(A788="",B788&lt;=0),0,ROUND(B788*(subjectInterestRate/12),2))</f>
        <v>0</v>
      </c>
      <c r="K788" s="275">
        <f t="shared" si="146"/>
        <v>0</v>
      </c>
      <c r="M788" s="22">
        <f t="shared" si="147"/>
        <v>0</v>
      </c>
      <c r="N788" s="592" t="str">
        <f>INDEX(tblSubjectToLoan[Date],ROW()-ROW(tblContractForDeed[#Headers]))</f>
        <v/>
      </c>
      <c r="O788" s="275">
        <f>IF(ROW()=ROW(tblContractForDeed[#Headers])+1,$O$6,IF(INDEX(tblContractForDeed[End Bal],ROW()-ROW(tblContractForDeed[#Headers])-1)&lt;0,0,INDEX(tblContractForDeed[End Bal],ROW()-ROW(tblContractForDeed[#Headers])-1)))</f>
        <v>0</v>
      </c>
      <c r="P788" s="445" t="str">
        <f>IF(tblContractForDeed[[#This Row],[Date]]="","",IF(tblContractForDeed[[#This Row],[Date]]&lt;cfdRateChangeDate,cfdRate1,cfdRate2))</f>
        <v/>
      </c>
      <c r="Q7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75">
        <f>SUM(INDEX(tblContractForDeed[Princ],1):INDEX(tblContractForDeed[Princ],ROW()-ROW(tblContractForDeed[#Headers])))</f>
        <v>75258.000000000029</v>
      </c>
      <c r="X788" s="275">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75">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8" s="275">
        <f>IF(INDEX(tblContractForDeed[End Bal],ROW()-ROW(tblBuyerOutputs[#Headers]))&lt;=0,0,($O$6+IF(ROW()=ROW(tblBuyerOutputs[#Headers])+1,0,INDEX(tblBuyerOutputs[Cumul Appr],ROW()-ROW(tblBuyerOutputs[#Headers])-1)))*$O$2/12)</f>
        <v>0</v>
      </c>
      <c r="AE788" s="275">
        <f>IF(INDEX(tblContractForDeed[End Bal],ROW()-ROW(tblBuyerOutputs[#Headers]))&lt;=0,0,IF(ROW()=ROW(tblBuyerOutputs[#Headers])+1,0,INDEX(tblBuyerOutputs[Cumul Appr],ROW()-ROW(tblBuyerOutputs[#Headers])-1))+tblBuyerOutputs[[#This Row],[Monthly Appr]])</f>
        <v>0</v>
      </c>
      <c r="AF788" s="22"/>
      <c r="AG788" s="14"/>
      <c r="AL788"/>
      <c r="AM788" s="14"/>
      <c r="AO788" s="275"/>
      <c r="AQ788" s="14"/>
      <c r="AR788"/>
    </row>
    <row r="789" spans="1:44" x14ac:dyDescent="0.25">
      <c r="A789" s="592" t="str">
        <f t="shared" ref="A789:A833" si="151">IF(OR(A788="",A788&gt;=subjectMortgageEndDate),"",EDATE(A788,1))</f>
        <v/>
      </c>
      <c r="B789" s="275">
        <f t="shared" ref="B789:B833" si="152">IF(A789="",0,MAX(0,K788))</f>
        <v>0</v>
      </c>
      <c r="C789" s="14">
        <f t="shared" si="149"/>
        <v>0</v>
      </c>
      <c r="D789" s="14">
        <f t="shared" ref="D789:D833" si="153">IF(C789=0,0,MAX(0,MIN(B789,C789-E789)))</f>
        <v>0</v>
      </c>
      <c r="E789" s="14">
        <f t="shared" si="150"/>
        <v>0</v>
      </c>
      <c r="K789" s="275">
        <f t="shared" ref="K789:K833" si="154">IF(A789="",0,IF(B789&lt;=0,0,MAX(0,B789-D789)))</f>
        <v>0</v>
      </c>
      <c r="M789" s="22">
        <f t="shared" ref="M789:M833" si="155">IF($A789&lt;&gt;"",M788+1,0)</f>
        <v>0</v>
      </c>
      <c r="N789" s="592" t="str">
        <f>INDEX(tblSubjectToLoan[Date],ROW()-ROW(tblContractForDeed[#Headers]))</f>
        <v/>
      </c>
      <c r="O789" s="275">
        <f>IF(ROW()=ROW(tblContractForDeed[#Headers])+1,$O$6,IF(INDEX(tblContractForDeed[End Bal],ROW()-ROW(tblContractForDeed[#Headers])-1)&lt;0,0,INDEX(tblContractForDeed[End Bal],ROW()-ROW(tblContractForDeed[#Headers])-1)))</f>
        <v>0</v>
      </c>
      <c r="P789" s="445" t="str">
        <f>IF(tblContractForDeed[[#This Row],[Date]]="","",IF(tblContractForDeed[[#This Row],[Date]]&lt;cfdRateChangeDate,cfdRate1,cfdRate2))</f>
        <v/>
      </c>
      <c r="Q7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75">
        <f>SUM(INDEX(tblContractForDeed[Princ],1):INDEX(tblContractForDeed[Princ],ROW()-ROW(tblContractForDeed[#Headers])))</f>
        <v>75258.000000000029</v>
      </c>
      <c r="X789" s="275">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75">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9" s="275">
        <f>IF(INDEX(tblContractForDeed[End Bal],ROW()-ROW(tblBuyerOutputs[#Headers]))&lt;=0,0,($O$6+IF(ROW()=ROW(tblBuyerOutputs[#Headers])+1,0,INDEX(tblBuyerOutputs[Cumul Appr],ROW()-ROW(tblBuyerOutputs[#Headers])-1)))*$O$2/12)</f>
        <v>0</v>
      </c>
      <c r="AE789" s="275">
        <f>IF(INDEX(tblContractForDeed[End Bal],ROW()-ROW(tblBuyerOutputs[#Headers]))&lt;=0,0,IF(ROW()=ROW(tblBuyerOutputs[#Headers])+1,0,INDEX(tblBuyerOutputs[Cumul Appr],ROW()-ROW(tblBuyerOutputs[#Headers])-1))+tblBuyerOutputs[[#This Row],[Monthly Appr]])</f>
        <v>0</v>
      </c>
      <c r="AF789" s="22"/>
      <c r="AG789" s="14"/>
      <c r="AL789"/>
      <c r="AM789" s="14"/>
      <c r="AO789" s="275"/>
      <c r="AQ789" s="14"/>
      <c r="AR789"/>
    </row>
    <row r="790" spans="1:44" x14ac:dyDescent="0.25">
      <c r="A790" s="592" t="str">
        <f t="shared" si="151"/>
        <v/>
      </c>
      <c r="B790" s="275">
        <f t="shared" si="152"/>
        <v>0</v>
      </c>
      <c r="C790" s="14">
        <f t="shared" si="149"/>
        <v>0</v>
      </c>
      <c r="D790" s="14">
        <f t="shared" si="153"/>
        <v>0</v>
      </c>
      <c r="E790" s="14">
        <f t="shared" si="150"/>
        <v>0</v>
      </c>
      <c r="K790" s="275">
        <f t="shared" si="154"/>
        <v>0</v>
      </c>
      <c r="M790" s="22">
        <f t="shared" si="155"/>
        <v>0</v>
      </c>
      <c r="N790" s="592" t="str">
        <f>INDEX(tblSubjectToLoan[Date],ROW()-ROW(tblContractForDeed[#Headers]))</f>
        <v/>
      </c>
      <c r="O790" s="275">
        <f>IF(ROW()=ROW(tblContractForDeed[#Headers])+1,$O$6,IF(INDEX(tblContractForDeed[End Bal],ROW()-ROW(tblContractForDeed[#Headers])-1)&lt;0,0,INDEX(tblContractForDeed[End Bal],ROW()-ROW(tblContractForDeed[#Headers])-1)))</f>
        <v>0</v>
      </c>
      <c r="P790" s="445" t="str">
        <f>IF(tblContractForDeed[[#This Row],[Date]]="","",IF(tblContractForDeed[[#This Row],[Date]]&lt;cfdRateChangeDate,cfdRate1,cfdRate2))</f>
        <v/>
      </c>
      <c r="Q7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75">
        <f>SUM(INDEX(tblContractForDeed[Princ],1):INDEX(tblContractForDeed[Princ],ROW()-ROW(tblContractForDeed[#Headers])))</f>
        <v>75258.000000000029</v>
      </c>
      <c r="X790" s="275">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75">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0" s="275">
        <f>IF(INDEX(tblContractForDeed[End Bal],ROW()-ROW(tblBuyerOutputs[#Headers]))&lt;=0,0,($O$6+IF(ROW()=ROW(tblBuyerOutputs[#Headers])+1,0,INDEX(tblBuyerOutputs[Cumul Appr],ROW()-ROW(tblBuyerOutputs[#Headers])-1)))*$O$2/12)</f>
        <v>0</v>
      </c>
      <c r="AE790" s="275">
        <f>IF(INDEX(tblContractForDeed[End Bal],ROW()-ROW(tblBuyerOutputs[#Headers]))&lt;=0,0,IF(ROW()=ROW(tblBuyerOutputs[#Headers])+1,0,INDEX(tblBuyerOutputs[Cumul Appr],ROW()-ROW(tblBuyerOutputs[#Headers])-1))+tblBuyerOutputs[[#This Row],[Monthly Appr]])</f>
        <v>0</v>
      </c>
      <c r="AF790" s="22"/>
      <c r="AG790" s="14"/>
      <c r="AL790"/>
      <c r="AM790" s="14"/>
      <c r="AO790" s="275"/>
      <c r="AQ790" s="14"/>
      <c r="AR790"/>
    </row>
    <row r="791" spans="1:44" x14ac:dyDescent="0.25">
      <c r="A791" s="592" t="str">
        <f t="shared" si="151"/>
        <v/>
      </c>
      <c r="B791" s="275">
        <f t="shared" si="152"/>
        <v>0</v>
      </c>
      <c r="C791" s="14">
        <f t="shared" si="149"/>
        <v>0</v>
      </c>
      <c r="D791" s="14">
        <f t="shared" si="153"/>
        <v>0</v>
      </c>
      <c r="E791" s="14">
        <f t="shared" si="150"/>
        <v>0</v>
      </c>
      <c r="K791" s="275">
        <f t="shared" si="154"/>
        <v>0</v>
      </c>
      <c r="M791" s="22">
        <f t="shared" si="155"/>
        <v>0</v>
      </c>
      <c r="N791" s="592" t="str">
        <f>INDEX(tblSubjectToLoan[Date],ROW()-ROW(tblContractForDeed[#Headers]))</f>
        <v/>
      </c>
      <c r="O791" s="275">
        <f>IF(ROW()=ROW(tblContractForDeed[#Headers])+1,$O$6,IF(INDEX(tblContractForDeed[End Bal],ROW()-ROW(tblContractForDeed[#Headers])-1)&lt;0,0,INDEX(tblContractForDeed[End Bal],ROW()-ROW(tblContractForDeed[#Headers])-1)))</f>
        <v>0</v>
      </c>
      <c r="P791" s="445" t="str">
        <f>IF(tblContractForDeed[[#This Row],[Date]]="","",IF(tblContractForDeed[[#This Row],[Date]]&lt;cfdRateChangeDate,cfdRate1,cfdRate2))</f>
        <v/>
      </c>
      <c r="Q79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75">
        <f>SUM(INDEX(tblContractForDeed[Princ],1):INDEX(tblContractForDeed[Princ],ROW()-ROW(tblContractForDeed[#Headers])))</f>
        <v>75258.000000000029</v>
      </c>
      <c r="X791" s="275">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75">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1" s="275">
        <f>IF(INDEX(tblContractForDeed[End Bal],ROW()-ROW(tblBuyerOutputs[#Headers]))&lt;=0,0,($O$6+IF(ROW()=ROW(tblBuyerOutputs[#Headers])+1,0,INDEX(tblBuyerOutputs[Cumul Appr],ROW()-ROW(tblBuyerOutputs[#Headers])-1)))*$O$2/12)</f>
        <v>0</v>
      </c>
      <c r="AE791" s="275">
        <f>IF(INDEX(tblContractForDeed[End Bal],ROW()-ROW(tblBuyerOutputs[#Headers]))&lt;=0,0,IF(ROW()=ROW(tblBuyerOutputs[#Headers])+1,0,INDEX(tblBuyerOutputs[Cumul Appr],ROW()-ROW(tblBuyerOutputs[#Headers])-1))+tblBuyerOutputs[[#This Row],[Monthly Appr]])</f>
        <v>0</v>
      </c>
      <c r="AF791" s="22"/>
      <c r="AG791" s="14"/>
      <c r="AL791"/>
      <c r="AM791" s="14"/>
      <c r="AO791" s="275"/>
      <c r="AQ791" s="14"/>
      <c r="AR791"/>
    </row>
    <row r="792" spans="1:44" x14ac:dyDescent="0.25">
      <c r="A792" s="592" t="str">
        <f t="shared" si="151"/>
        <v/>
      </c>
      <c r="B792" s="275">
        <f t="shared" si="152"/>
        <v>0</v>
      </c>
      <c r="C792" s="14">
        <f t="shared" si="149"/>
        <v>0</v>
      </c>
      <c r="D792" s="14">
        <f t="shared" si="153"/>
        <v>0</v>
      </c>
      <c r="E792" s="14">
        <f t="shared" si="150"/>
        <v>0</v>
      </c>
      <c r="K792" s="275">
        <f t="shared" si="154"/>
        <v>0</v>
      </c>
      <c r="M792" s="22">
        <f t="shared" si="155"/>
        <v>0</v>
      </c>
      <c r="N792" s="592" t="str">
        <f>INDEX(tblSubjectToLoan[Date],ROW()-ROW(tblContractForDeed[#Headers]))</f>
        <v/>
      </c>
      <c r="O792" s="275">
        <f>IF(ROW()=ROW(tblContractForDeed[#Headers])+1,$O$6,IF(INDEX(tblContractForDeed[End Bal],ROW()-ROW(tblContractForDeed[#Headers])-1)&lt;0,0,INDEX(tblContractForDeed[End Bal],ROW()-ROW(tblContractForDeed[#Headers])-1)))</f>
        <v>0</v>
      </c>
      <c r="P792" s="445" t="str">
        <f>IF(tblContractForDeed[[#This Row],[Date]]="","",IF(tblContractForDeed[[#This Row],[Date]]&lt;cfdRateChangeDate,cfdRate1,cfdRate2))</f>
        <v/>
      </c>
      <c r="Q7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75">
        <f>SUM(INDEX(tblContractForDeed[Princ],1):INDEX(tblContractForDeed[Princ],ROW()-ROW(tblContractForDeed[#Headers])))</f>
        <v>75258.000000000029</v>
      </c>
      <c r="X792" s="275">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75">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2" s="275">
        <f>IF(INDEX(tblContractForDeed[End Bal],ROW()-ROW(tblBuyerOutputs[#Headers]))&lt;=0,0,($O$6+IF(ROW()=ROW(tblBuyerOutputs[#Headers])+1,0,INDEX(tblBuyerOutputs[Cumul Appr],ROW()-ROW(tblBuyerOutputs[#Headers])-1)))*$O$2/12)</f>
        <v>0</v>
      </c>
      <c r="AE792" s="275">
        <f>IF(INDEX(tblContractForDeed[End Bal],ROW()-ROW(tblBuyerOutputs[#Headers]))&lt;=0,0,IF(ROW()=ROW(tblBuyerOutputs[#Headers])+1,0,INDEX(tblBuyerOutputs[Cumul Appr],ROW()-ROW(tblBuyerOutputs[#Headers])-1))+tblBuyerOutputs[[#This Row],[Monthly Appr]])</f>
        <v>0</v>
      </c>
      <c r="AF792" s="22"/>
      <c r="AG792" s="14"/>
      <c r="AL792"/>
      <c r="AM792" s="14"/>
      <c r="AO792" s="275"/>
      <c r="AQ792" s="14"/>
      <c r="AR792"/>
    </row>
    <row r="793" spans="1:44" x14ac:dyDescent="0.25">
      <c r="A793" s="592" t="str">
        <f t="shared" si="151"/>
        <v/>
      </c>
      <c r="B793" s="275">
        <f t="shared" si="152"/>
        <v>0</v>
      </c>
      <c r="C793" s="14">
        <f t="shared" si="149"/>
        <v>0</v>
      </c>
      <c r="D793" s="14">
        <f t="shared" si="153"/>
        <v>0</v>
      </c>
      <c r="E793" s="14">
        <f t="shared" si="150"/>
        <v>0</v>
      </c>
      <c r="K793" s="275">
        <f t="shared" si="154"/>
        <v>0</v>
      </c>
      <c r="M793" s="22">
        <f t="shared" si="155"/>
        <v>0</v>
      </c>
      <c r="N793" s="592" t="str">
        <f>INDEX(tblSubjectToLoan[Date],ROW()-ROW(tblContractForDeed[#Headers]))</f>
        <v/>
      </c>
      <c r="O793" s="275">
        <f>IF(ROW()=ROW(tblContractForDeed[#Headers])+1,$O$6,IF(INDEX(tblContractForDeed[End Bal],ROW()-ROW(tblContractForDeed[#Headers])-1)&lt;0,0,INDEX(tblContractForDeed[End Bal],ROW()-ROW(tblContractForDeed[#Headers])-1)))</f>
        <v>0</v>
      </c>
      <c r="P793" s="445" t="str">
        <f>IF(tblContractForDeed[[#This Row],[Date]]="","",IF(tblContractForDeed[[#This Row],[Date]]&lt;cfdRateChangeDate,cfdRate1,cfdRate2))</f>
        <v/>
      </c>
      <c r="Q7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75">
        <f>SUM(INDEX(tblContractForDeed[Princ],1):INDEX(tblContractForDeed[Princ],ROW()-ROW(tblContractForDeed[#Headers])))</f>
        <v>75258.000000000029</v>
      </c>
      <c r="X793" s="275">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75">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3" s="275">
        <f>IF(INDEX(tblContractForDeed[End Bal],ROW()-ROW(tblBuyerOutputs[#Headers]))&lt;=0,0,($O$6+IF(ROW()=ROW(tblBuyerOutputs[#Headers])+1,0,INDEX(tblBuyerOutputs[Cumul Appr],ROW()-ROW(tblBuyerOutputs[#Headers])-1)))*$O$2/12)</f>
        <v>0</v>
      </c>
      <c r="AE793" s="275">
        <f>IF(INDEX(tblContractForDeed[End Bal],ROW()-ROW(tblBuyerOutputs[#Headers]))&lt;=0,0,IF(ROW()=ROW(tblBuyerOutputs[#Headers])+1,0,INDEX(tblBuyerOutputs[Cumul Appr],ROW()-ROW(tblBuyerOutputs[#Headers])-1))+tblBuyerOutputs[[#This Row],[Monthly Appr]])</f>
        <v>0</v>
      </c>
      <c r="AF793" s="22"/>
      <c r="AG793" s="14"/>
      <c r="AL793"/>
      <c r="AM793" s="14"/>
      <c r="AO793" s="275"/>
      <c r="AQ793" s="14"/>
      <c r="AR793"/>
    </row>
    <row r="794" spans="1:44" x14ac:dyDescent="0.25">
      <c r="A794" s="592" t="str">
        <f t="shared" si="151"/>
        <v/>
      </c>
      <c r="B794" s="275">
        <f t="shared" si="152"/>
        <v>0</v>
      </c>
      <c r="C794" s="14">
        <f t="shared" si="149"/>
        <v>0</v>
      </c>
      <c r="D794" s="14">
        <f t="shared" si="153"/>
        <v>0</v>
      </c>
      <c r="E794" s="14">
        <f t="shared" si="150"/>
        <v>0</v>
      </c>
      <c r="K794" s="275">
        <f t="shared" si="154"/>
        <v>0</v>
      </c>
      <c r="M794" s="22">
        <f t="shared" si="155"/>
        <v>0</v>
      </c>
      <c r="N794" s="592" t="str">
        <f>INDEX(tblSubjectToLoan[Date],ROW()-ROW(tblContractForDeed[#Headers]))</f>
        <v/>
      </c>
      <c r="O794" s="275">
        <f>IF(ROW()=ROW(tblContractForDeed[#Headers])+1,$O$6,IF(INDEX(tblContractForDeed[End Bal],ROW()-ROW(tblContractForDeed[#Headers])-1)&lt;0,0,INDEX(tblContractForDeed[End Bal],ROW()-ROW(tblContractForDeed[#Headers])-1)))</f>
        <v>0</v>
      </c>
      <c r="P794" s="445" t="str">
        <f>IF(tblContractForDeed[[#This Row],[Date]]="","",IF(tblContractForDeed[[#This Row],[Date]]&lt;cfdRateChangeDate,cfdRate1,cfdRate2))</f>
        <v/>
      </c>
      <c r="Q7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75">
        <f>SUM(INDEX(tblContractForDeed[Princ],1):INDEX(tblContractForDeed[Princ],ROW()-ROW(tblContractForDeed[#Headers])))</f>
        <v>75258.000000000029</v>
      </c>
      <c r="X794" s="275">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75">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4" s="275">
        <f>IF(INDEX(tblContractForDeed[End Bal],ROW()-ROW(tblBuyerOutputs[#Headers]))&lt;=0,0,($O$6+IF(ROW()=ROW(tblBuyerOutputs[#Headers])+1,0,INDEX(tblBuyerOutputs[Cumul Appr],ROW()-ROW(tblBuyerOutputs[#Headers])-1)))*$O$2/12)</f>
        <v>0</v>
      </c>
      <c r="AE794" s="275">
        <f>IF(INDEX(tblContractForDeed[End Bal],ROW()-ROW(tblBuyerOutputs[#Headers]))&lt;=0,0,IF(ROW()=ROW(tblBuyerOutputs[#Headers])+1,0,INDEX(tblBuyerOutputs[Cumul Appr],ROW()-ROW(tblBuyerOutputs[#Headers])-1))+tblBuyerOutputs[[#This Row],[Monthly Appr]])</f>
        <v>0</v>
      </c>
      <c r="AF794" s="22"/>
      <c r="AG794" s="14"/>
      <c r="AL794"/>
      <c r="AM794" s="14"/>
      <c r="AO794" s="275"/>
      <c r="AQ794" s="14"/>
      <c r="AR794"/>
    </row>
    <row r="795" spans="1:44" x14ac:dyDescent="0.25">
      <c r="A795" s="592" t="str">
        <f t="shared" si="151"/>
        <v/>
      </c>
      <c r="B795" s="275">
        <f t="shared" si="152"/>
        <v>0</v>
      </c>
      <c r="C795" s="14">
        <f t="shared" si="149"/>
        <v>0</v>
      </c>
      <c r="D795" s="14">
        <f t="shared" si="153"/>
        <v>0</v>
      </c>
      <c r="E795" s="14">
        <f t="shared" si="150"/>
        <v>0</v>
      </c>
      <c r="K795" s="275">
        <f t="shared" si="154"/>
        <v>0</v>
      </c>
      <c r="M795" s="22">
        <f t="shared" si="155"/>
        <v>0</v>
      </c>
      <c r="N795" s="592" t="str">
        <f>INDEX(tblSubjectToLoan[Date],ROW()-ROW(tblContractForDeed[#Headers]))</f>
        <v/>
      </c>
      <c r="O795" s="275">
        <f>IF(ROW()=ROW(tblContractForDeed[#Headers])+1,$O$6,IF(INDEX(tblContractForDeed[End Bal],ROW()-ROW(tblContractForDeed[#Headers])-1)&lt;0,0,INDEX(tblContractForDeed[End Bal],ROW()-ROW(tblContractForDeed[#Headers])-1)))</f>
        <v>0</v>
      </c>
      <c r="P795" s="445" t="str">
        <f>IF(tblContractForDeed[[#This Row],[Date]]="","",IF(tblContractForDeed[[#This Row],[Date]]&lt;cfdRateChangeDate,cfdRate1,cfdRate2))</f>
        <v/>
      </c>
      <c r="Q79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75">
        <f>SUM(INDEX(tblContractForDeed[Princ],1):INDEX(tblContractForDeed[Princ],ROW()-ROW(tblContractForDeed[#Headers])))</f>
        <v>75258.000000000029</v>
      </c>
      <c r="X795" s="275">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75">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5" s="275">
        <f>IF(INDEX(tblContractForDeed[End Bal],ROW()-ROW(tblBuyerOutputs[#Headers]))&lt;=0,0,($O$6+IF(ROW()=ROW(tblBuyerOutputs[#Headers])+1,0,INDEX(tblBuyerOutputs[Cumul Appr],ROW()-ROW(tblBuyerOutputs[#Headers])-1)))*$O$2/12)</f>
        <v>0</v>
      </c>
      <c r="AE795" s="275">
        <f>IF(INDEX(tblContractForDeed[End Bal],ROW()-ROW(tblBuyerOutputs[#Headers]))&lt;=0,0,IF(ROW()=ROW(tblBuyerOutputs[#Headers])+1,0,INDEX(tblBuyerOutputs[Cumul Appr],ROW()-ROW(tblBuyerOutputs[#Headers])-1))+tblBuyerOutputs[[#This Row],[Monthly Appr]])</f>
        <v>0</v>
      </c>
      <c r="AF795" s="22"/>
      <c r="AG795" s="14"/>
      <c r="AL795"/>
      <c r="AM795" s="14"/>
      <c r="AO795" s="275"/>
      <c r="AQ795" s="14"/>
      <c r="AR795"/>
    </row>
    <row r="796" spans="1:44" x14ac:dyDescent="0.25">
      <c r="A796" s="592" t="str">
        <f t="shared" si="151"/>
        <v/>
      </c>
      <c r="B796" s="275">
        <f t="shared" si="152"/>
        <v>0</v>
      </c>
      <c r="C796" s="14">
        <f t="shared" si="149"/>
        <v>0</v>
      </c>
      <c r="D796" s="14">
        <f t="shared" si="153"/>
        <v>0</v>
      </c>
      <c r="E796" s="14">
        <f t="shared" si="150"/>
        <v>0</v>
      </c>
      <c r="K796" s="275">
        <f t="shared" si="154"/>
        <v>0</v>
      </c>
      <c r="M796" s="22">
        <f t="shared" si="155"/>
        <v>0</v>
      </c>
      <c r="N796" s="592" t="str">
        <f>INDEX(tblSubjectToLoan[Date],ROW()-ROW(tblContractForDeed[#Headers]))</f>
        <v/>
      </c>
      <c r="O796" s="275">
        <f>IF(ROW()=ROW(tblContractForDeed[#Headers])+1,$O$6,IF(INDEX(tblContractForDeed[End Bal],ROW()-ROW(tblContractForDeed[#Headers])-1)&lt;0,0,INDEX(tblContractForDeed[End Bal],ROW()-ROW(tblContractForDeed[#Headers])-1)))</f>
        <v>0</v>
      </c>
      <c r="P796" s="445" t="str">
        <f>IF(tblContractForDeed[[#This Row],[Date]]="","",IF(tblContractForDeed[[#This Row],[Date]]&lt;cfdRateChangeDate,cfdRate1,cfdRate2))</f>
        <v/>
      </c>
      <c r="Q7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75">
        <f>SUM(INDEX(tblContractForDeed[Princ],1):INDEX(tblContractForDeed[Princ],ROW()-ROW(tblContractForDeed[#Headers])))</f>
        <v>75258.000000000029</v>
      </c>
      <c r="X796" s="275">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75">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6" s="275">
        <f>IF(INDEX(tblContractForDeed[End Bal],ROW()-ROW(tblBuyerOutputs[#Headers]))&lt;=0,0,($O$6+IF(ROW()=ROW(tblBuyerOutputs[#Headers])+1,0,INDEX(tblBuyerOutputs[Cumul Appr],ROW()-ROW(tblBuyerOutputs[#Headers])-1)))*$O$2/12)</f>
        <v>0</v>
      </c>
      <c r="AE796" s="275">
        <f>IF(INDEX(tblContractForDeed[End Bal],ROW()-ROW(tblBuyerOutputs[#Headers]))&lt;=0,0,IF(ROW()=ROW(tblBuyerOutputs[#Headers])+1,0,INDEX(tblBuyerOutputs[Cumul Appr],ROW()-ROW(tblBuyerOutputs[#Headers])-1))+tblBuyerOutputs[[#This Row],[Monthly Appr]])</f>
        <v>0</v>
      </c>
      <c r="AF796" s="22"/>
      <c r="AG796" s="14"/>
      <c r="AL796"/>
      <c r="AM796" s="14"/>
      <c r="AO796" s="275"/>
      <c r="AQ796" s="14"/>
      <c r="AR796"/>
    </row>
    <row r="797" spans="1:44" x14ac:dyDescent="0.25">
      <c r="A797" s="592" t="str">
        <f t="shared" si="151"/>
        <v/>
      </c>
      <c r="B797" s="275">
        <f t="shared" si="152"/>
        <v>0</v>
      </c>
      <c r="C797" s="14">
        <f t="shared" si="149"/>
        <v>0</v>
      </c>
      <c r="D797" s="14">
        <f t="shared" si="153"/>
        <v>0</v>
      </c>
      <c r="E797" s="14">
        <f t="shared" si="150"/>
        <v>0</v>
      </c>
      <c r="K797" s="275">
        <f t="shared" si="154"/>
        <v>0</v>
      </c>
      <c r="M797" s="22">
        <f t="shared" si="155"/>
        <v>0</v>
      </c>
      <c r="N797" s="592" t="str">
        <f>INDEX(tblSubjectToLoan[Date],ROW()-ROW(tblContractForDeed[#Headers]))</f>
        <v/>
      </c>
      <c r="O797" s="275">
        <f>IF(ROW()=ROW(tblContractForDeed[#Headers])+1,$O$6,IF(INDEX(tblContractForDeed[End Bal],ROW()-ROW(tblContractForDeed[#Headers])-1)&lt;0,0,INDEX(tblContractForDeed[End Bal],ROW()-ROW(tblContractForDeed[#Headers])-1)))</f>
        <v>0</v>
      </c>
      <c r="P797" s="445" t="str">
        <f>IF(tblContractForDeed[[#This Row],[Date]]="","",IF(tblContractForDeed[[#This Row],[Date]]&lt;cfdRateChangeDate,cfdRate1,cfdRate2))</f>
        <v/>
      </c>
      <c r="Q7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75">
        <f>SUM(INDEX(tblContractForDeed[Princ],1):INDEX(tblContractForDeed[Princ],ROW()-ROW(tblContractForDeed[#Headers])))</f>
        <v>75258.000000000029</v>
      </c>
      <c r="X797" s="275">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75">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7" s="275">
        <f>IF(INDEX(tblContractForDeed[End Bal],ROW()-ROW(tblBuyerOutputs[#Headers]))&lt;=0,0,($O$6+IF(ROW()=ROW(tblBuyerOutputs[#Headers])+1,0,INDEX(tblBuyerOutputs[Cumul Appr],ROW()-ROW(tblBuyerOutputs[#Headers])-1)))*$O$2/12)</f>
        <v>0</v>
      </c>
      <c r="AE797" s="275">
        <f>IF(INDEX(tblContractForDeed[End Bal],ROW()-ROW(tblBuyerOutputs[#Headers]))&lt;=0,0,IF(ROW()=ROW(tblBuyerOutputs[#Headers])+1,0,INDEX(tblBuyerOutputs[Cumul Appr],ROW()-ROW(tblBuyerOutputs[#Headers])-1))+tblBuyerOutputs[[#This Row],[Monthly Appr]])</f>
        <v>0</v>
      </c>
      <c r="AF797" s="22"/>
      <c r="AG797" s="14"/>
      <c r="AL797"/>
      <c r="AM797" s="14"/>
      <c r="AO797" s="275"/>
      <c r="AQ797" s="14"/>
      <c r="AR797"/>
    </row>
    <row r="798" spans="1:44" x14ac:dyDescent="0.25">
      <c r="A798" s="592" t="str">
        <f t="shared" si="151"/>
        <v/>
      </c>
      <c r="B798" s="275">
        <f t="shared" si="152"/>
        <v>0</v>
      </c>
      <c r="C798" s="14">
        <f t="shared" si="149"/>
        <v>0</v>
      </c>
      <c r="D798" s="14">
        <f t="shared" si="153"/>
        <v>0</v>
      </c>
      <c r="E798" s="14">
        <f t="shared" si="150"/>
        <v>0</v>
      </c>
      <c r="K798" s="275">
        <f t="shared" si="154"/>
        <v>0</v>
      </c>
      <c r="M798" s="22">
        <f t="shared" si="155"/>
        <v>0</v>
      </c>
      <c r="N798" s="592" t="str">
        <f>INDEX(tblSubjectToLoan[Date],ROW()-ROW(tblContractForDeed[#Headers]))</f>
        <v/>
      </c>
      <c r="O798" s="275">
        <f>IF(ROW()=ROW(tblContractForDeed[#Headers])+1,$O$6,IF(INDEX(tblContractForDeed[End Bal],ROW()-ROW(tblContractForDeed[#Headers])-1)&lt;0,0,INDEX(tblContractForDeed[End Bal],ROW()-ROW(tblContractForDeed[#Headers])-1)))</f>
        <v>0</v>
      </c>
      <c r="P798" s="445" t="str">
        <f>IF(tblContractForDeed[[#This Row],[Date]]="","",IF(tblContractForDeed[[#This Row],[Date]]&lt;cfdRateChangeDate,cfdRate1,cfdRate2))</f>
        <v/>
      </c>
      <c r="Q7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75">
        <f>SUM(INDEX(tblContractForDeed[Princ],1):INDEX(tblContractForDeed[Princ],ROW()-ROW(tblContractForDeed[#Headers])))</f>
        <v>75258.000000000029</v>
      </c>
      <c r="X798" s="275">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75">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8" s="275">
        <f>IF(INDEX(tblContractForDeed[End Bal],ROW()-ROW(tblBuyerOutputs[#Headers]))&lt;=0,0,($O$6+IF(ROW()=ROW(tblBuyerOutputs[#Headers])+1,0,INDEX(tblBuyerOutputs[Cumul Appr],ROW()-ROW(tblBuyerOutputs[#Headers])-1)))*$O$2/12)</f>
        <v>0</v>
      </c>
      <c r="AE798" s="275">
        <f>IF(INDEX(tblContractForDeed[End Bal],ROW()-ROW(tblBuyerOutputs[#Headers]))&lt;=0,0,IF(ROW()=ROW(tblBuyerOutputs[#Headers])+1,0,INDEX(tblBuyerOutputs[Cumul Appr],ROW()-ROW(tblBuyerOutputs[#Headers])-1))+tblBuyerOutputs[[#This Row],[Monthly Appr]])</f>
        <v>0</v>
      </c>
      <c r="AF798" s="22"/>
      <c r="AG798" s="14"/>
      <c r="AL798"/>
      <c r="AM798" s="14"/>
      <c r="AO798" s="275"/>
      <c r="AQ798" s="14"/>
      <c r="AR798"/>
    </row>
    <row r="799" spans="1:44" x14ac:dyDescent="0.25">
      <c r="A799" s="592" t="str">
        <f t="shared" si="151"/>
        <v/>
      </c>
      <c r="B799" s="275">
        <f t="shared" si="152"/>
        <v>0</v>
      </c>
      <c r="C799" s="14">
        <f t="shared" si="149"/>
        <v>0</v>
      </c>
      <c r="D799" s="14">
        <f t="shared" si="153"/>
        <v>0</v>
      </c>
      <c r="E799" s="14">
        <f t="shared" si="150"/>
        <v>0</v>
      </c>
      <c r="K799" s="275">
        <f t="shared" si="154"/>
        <v>0</v>
      </c>
      <c r="M799" s="22">
        <f t="shared" si="155"/>
        <v>0</v>
      </c>
      <c r="N799" s="592" t="str">
        <f>INDEX(tblSubjectToLoan[Date],ROW()-ROW(tblContractForDeed[#Headers]))</f>
        <v/>
      </c>
      <c r="O799" s="275">
        <f>IF(ROW()=ROW(tblContractForDeed[#Headers])+1,$O$6,IF(INDEX(tblContractForDeed[End Bal],ROW()-ROW(tblContractForDeed[#Headers])-1)&lt;0,0,INDEX(tblContractForDeed[End Bal],ROW()-ROW(tblContractForDeed[#Headers])-1)))</f>
        <v>0</v>
      </c>
      <c r="P799" s="445" t="str">
        <f>IF(tblContractForDeed[[#This Row],[Date]]="","",IF(tblContractForDeed[[#This Row],[Date]]&lt;cfdRateChangeDate,cfdRate1,cfdRate2))</f>
        <v/>
      </c>
      <c r="Q79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75">
        <f>SUM(INDEX(tblContractForDeed[Princ],1):INDEX(tblContractForDeed[Princ],ROW()-ROW(tblContractForDeed[#Headers])))</f>
        <v>75258.000000000029</v>
      </c>
      <c r="X799" s="275">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75">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9" s="275">
        <f>IF(INDEX(tblContractForDeed[End Bal],ROW()-ROW(tblBuyerOutputs[#Headers]))&lt;=0,0,($O$6+IF(ROW()=ROW(tblBuyerOutputs[#Headers])+1,0,INDEX(tblBuyerOutputs[Cumul Appr],ROW()-ROW(tblBuyerOutputs[#Headers])-1)))*$O$2/12)</f>
        <v>0</v>
      </c>
      <c r="AE799" s="275">
        <f>IF(INDEX(tblContractForDeed[End Bal],ROW()-ROW(tblBuyerOutputs[#Headers]))&lt;=0,0,IF(ROW()=ROW(tblBuyerOutputs[#Headers])+1,0,INDEX(tblBuyerOutputs[Cumul Appr],ROW()-ROW(tblBuyerOutputs[#Headers])-1))+tblBuyerOutputs[[#This Row],[Monthly Appr]])</f>
        <v>0</v>
      </c>
      <c r="AF799" s="22"/>
      <c r="AG799" s="14"/>
      <c r="AL799"/>
      <c r="AM799" s="14"/>
      <c r="AO799" s="275"/>
      <c r="AQ799" s="14"/>
      <c r="AR799"/>
    </row>
    <row r="800" spans="1:44" x14ac:dyDescent="0.25">
      <c r="A800" s="592" t="str">
        <f t="shared" si="151"/>
        <v/>
      </c>
      <c r="B800" s="275">
        <f t="shared" si="152"/>
        <v>0</v>
      </c>
      <c r="C800" s="14">
        <f t="shared" si="149"/>
        <v>0</v>
      </c>
      <c r="D800" s="14">
        <f t="shared" si="153"/>
        <v>0</v>
      </c>
      <c r="E800" s="14">
        <f t="shared" si="150"/>
        <v>0</v>
      </c>
      <c r="K800" s="275">
        <f t="shared" si="154"/>
        <v>0</v>
      </c>
      <c r="M800" s="22">
        <f t="shared" si="155"/>
        <v>0</v>
      </c>
      <c r="N800" s="592" t="str">
        <f>INDEX(tblSubjectToLoan[Date],ROW()-ROW(tblContractForDeed[#Headers]))</f>
        <v/>
      </c>
      <c r="O800" s="275">
        <f>IF(ROW()=ROW(tblContractForDeed[#Headers])+1,$O$6,IF(INDEX(tblContractForDeed[End Bal],ROW()-ROW(tblContractForDeed[#Headers])-1)&lt;0,0,INDEX(tblContractForDeed[End Bal],ROW()-ROW(tblContractForDeed[#Headers])-1)))</f>
        <v>0</v>
      </c>
      <c r="P800" s="445" t="str">
        <f>IF(tblContractForDeed[[#This Row],[Date]]="","",IF(tblContractForDeed[[#This Row],[Date]]&lt;cfdRateChangeDate,cfdRate1,cfdRate2))</f>
        <v/>
      </c>
      <c r="Q8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75">
        <f>SUM(INDEX(tblContractForDeed[Princ],1):INDEX(tblContractForDeed[Princ],ROW()-ROW(tblContractForDeed[#Headers])))</f>
        <v>75258.000000000029</v>
      </c>
      <c r="X800" s="275">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75">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0" s="275">
        <f>IF(INDEX(tblContractForDeed[End Bal],ROW()-ROW(tblBuyerOutputs[#Headers]))&lt;=0,0,($O$6+IF(ROW()=ROW(tblBuyerOutputs[#Headers])+1,0,INDEX(tblBuyerOutputs[Cumul Appr],ROW()-ROW(tblBuyerOutputs[#Headers])-1)))*$O$2/12)</f>
        <v>0</v>
      </c>
      <c r="AE800" s="275">
        <f>IF(INDEX(tblContractForDeed[End Bal],ROW()-ROW(tblBuyerOutputs[#Headers]))&lt;=0,0,IF(ROW()=ROW(tblBuyerOutputs[#Headers])+1,0,INDEX(tblBuyerOutputs[Cumul Appr],ROW()-ROW(tblBuyerOutputs[#Headers])-1))+tblBuyerOutputs[[#This Row],[Monthly Appr]])</f>
        <v>0</v>
      </c>
      <c r="AF800" s="22"/>
      <c r="AG800" s="14"/>
      <c r="AL800"/>
      <c r="AM800" s="14"/>
      <c r="AO800" s="275"/>
      <c r="AQ800" s="14"/>
      <c r="AR800"/>
    </row>
    <row r="801" spans="1:44" x14ac:dyDescent="0.25">
      <c r="A801" s="592" t="str">
        <f t="shared" si="151"/>
        <v/>
      </c>
      <c r="B801" s="275">
        <f t="shared" si="152"/>
        <v>0</v>
      </c>
      <c r="C801" s="14">
        <f t="shared" si="149"/>
        <v>0</v>
      </c>
      <c r="D801" s="14">
        <f t="shared" si="153"/>
        <v>0</v>
      </c>
      <c r="E801" s="14">
        <f t="shared" si="150"/>
        <v>0</v>
      </c>
      <c r="K801" s="275">
        <f t="shared" si="154"/>
        <v>0</v>
      </c>
      <c r="M801" s="22">
        <f t="shared" si="155"/>
        <v>0</v>
      </c>
      <c r="N801" s="592" t="str">
        <f>INDEX(tblSubjectToLoan[Date],ROW()-ROW(tblContractForDeed[#Headers]))</f>
        <v/>
      </c>
      <c r="O801" s="275">
        <f>IF(ROW()=ROW(tblContractForDeed[#Headers])+1,$O$6,IF(INDEX(tblContractForDeed[End Bal],ROW()-ROW(tblContractForDeed[#Headers])-1)&lt;0,0,INDEX(tblContractForDeed[End Bal],ROW()-ROW(tblContractForDeed[#Headers])-1)))</f>
        <v>0</v>
      </c>
      <c r="P801" s="445" t="str">
        <f>IF(tblContractForDeed[[#This Row],[Date]]="","",IF(tblContractForDeed[[#This Row],[Date]]&lt;cfdRateChangeDate,cfdRate1,cfdRate2))</f>
        <v/>
      </c>
      <c r="Q8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75">
        <f>SUM(INDEX(tblContractForDeed[Princ],1):INDEX(tblContractForDeed[Princ],ROW()-ROW(tblContractForDeed[#Headers])))</f>
        <v>75258.000000000029</v>
      </c>
      <c r="X801" s="275">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75">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1" s="275">
        <f>IF(INDEX(tblContractForDeed[End Bal],ROW()-ROW(tblBuyerOutputs[#Headers]))&lt;=0,0,($O$6+IF(ROW()=ROW(tblBuyerOutputs[#Headers])+1,0,INDEX(tblBuyerOutputs[Cumul Appr],ROW()-ROW(tblBuyerOutputs[#Headers])-1)))*$O$2/12)</f>
        <v>0</v>
      </c>
      <c r="AE801" s="275">
        <f>IF(INDEX(tblContractForDeed[End Bal],ROW()-ROW(tblBuyerOutputs[#Headers]))&lt;=0,0,IF(ROW()=ROW(tblBuyerOutputs[#Headers])+1,0,INDEX(tblBuyerOutputs[Cumul Appr],ROW()-ROW(tblBuyerOutputs[#Headers])-1))+tblBuyerOutputs[[#This Row],[Monthly Appr]])</f>
        <v>0</v>
      </c>
      <c r="AF801" s="22"/>
      <c r="AG801" s="14"/>
      <c r="AL801"/>
      <c r="AM801" s="14"/>
      <c r="AO801" s="275"/>
      <c r="AQ801" s="14"/>
      <c r="AR801"/>
    </row>
    <row r="802" spans="1:44" x14ac:dyDescent="0.25">
      <c r="A802" s="592" t="str">
        <f t="shared" si="151"/>
        <v/>
      </c>
      <c r="B802" s="275">
        <f t="shared" si="152"/>
        <v>0</v>
      </c>
      <c r="C802" s="14">
        <f t="shared" si="149"/>
        <v>0</v>
      </c>
      <c r="D802" s="14">
        <f t="shared" si="153"/>
        <v>0</v>
      </c>
      <c r="E802" s="14">
        <f t="shared" si="150"/>
        <v>0</v>
      </c>
      <c r="K802" s="275">
        <f t="shared" si="154"/>
        <v>0</v>
      </c>
      <c r="M802" s="22">
        <f t="shared" si="155"/>
        <v>0</v>
      </c>
      <c r="N802" s="592" t="str">
        <f>INDEX(tblSubjectToLoan[Date],ROW()-ROW(tblContractForDeed[#Headers]))</f>
        <v/>
      </c>
      <c r="O802" s="275">
        <f>IF(ROW()=ROW(tblContractForDeed[#Headers])+1,$O$6,IF(INDEX(tblContractForDeed[End Bal],ROW()-ROW(tblContractForDeed[#Headers])-1)&lt;0,0,INDEX(tblContractForDeed[End Bal],ROW()-ROW(tblContractForDeed[#Headers])-1)))</f>
        <v>0</v>
      </c>
      <c r="P802" s="445" t="str">
        <f>IF(tblContractForDeed[[#This Row],[Date]]="","",IF(tblContractForDeed[[#This Row],[Date]]&lt;cfdRateChangeDate,cfdRate1,cfdRate2))</f>
        <v/>
      </c>
      <c r="Q8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75">
        <f>SUM(INDEX(tblContractForDeed[Princ],1):INDEX(tblContractForDeed[Princ],ROW()-ROW(tblContractForDeed[#Headers])))</f>
        <v>75258.000000000029</v>
      </c>
      <c r="X802" s="275">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75">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2" s="275">
        <f>IF(INDEX(tblContractForDeed[End Bal],ROW()-ROW(tblBuyerOutputs[#Headers]))&lt;=0,0,($O$6+IF(ROW()=ROW(tblBuyerOutputs[#Headers])+1,0,INDEX(tblBuyerOutputs[Cumul Appr],ROW()-ROW(tblBuyerOutputs[#Headers])-1)))*$O$2/12)</f>
        <v>0</v>
      </c>
      <c r="AE802" s="275">
        <f>IF(INDEX(tblContractForDeed[End Bal],ROW()-ROW(tblBuyerOutputs[#Headers]))&lt;=0,0,IF(ROW()=ROW(tblBuyerOutputs[#Headers])+1,0,INDEX(tblBuyerOutputs[Cumul Appr],ROW()-ROW(tblBuyerOutputs[#Headers])-1))+tblBuyerOutputs[[#This Row],[Monthly Appr]])</f>
        <v>0</v>
      </c>
      <c r="AF802" s="22"/>
      <c r="AG802" s="14"/>
      <c r="AL802"/>
      <c r="AM802" s="14"/>
      <c r="AO802" s="275"/>
      <c r="AQ802" s="14"/>
      <c r="AR802"/>
    </row>
    <row r="803" spans="1:44" x14ac:dyDescent="0.25">
      <c r="A803" s="592" t="str">
        <f t="shared" si="151"/>
        <v/>
      </c>
      <c r="B803" s="275">
        <f t="shared" si="152"/>
        <v>0</v>
      </c>
      <c r="C803" s="14">
        <f t="shared" si="149"/>
        <v>0</v>
      </c>
      <c r="D803" s="14">
        <f t="shared" si="153"/>
        <v>0</v>
      </c>
      <c r="E803" s="14">
        <f t="shared" si="150"/>
        <v>0</v>
      </c>
      <c r="K803" s="275">
        <f t="shared" si="154"/>
        <v>0</v>
      </c>
      <c r="M803" s="22">
        <f t="shared" si="155"/>
        <v>0</v>
      </c>
      <c r="N803" s="592" t="str">
        <f>INDEX(tblSubjectToLoan[Date],ROW()-ROW(tblContractForDeed[#Headers]))</f>
        <v/>
      </c>
      <c r="O803" s="275">
        <f>IF(ROW()=ROW(tblContractForDeed[#Headers])+1,$O$6,IF(INDEX(tblContractForDeed[End Bal],ROW()-ROW(tblContractForDeed[#Headers])-1)&lt;0,0,INDEX(tblContractForDeed[End Bal],ROW()-ROW(tblContractForDeed[#Headers])-1)))</f>
        <v>0</v>
      </c>
      <c r="P803" s="445" t="str">
        <f>IF(tblContractForDeed[[#This Row],[Date]]="","",IF(tblContractForDeed[[#This Row],[Date]]&lt;cfdRateChangeDate,cfdRate1,cfdRate2))</f>
        <v/>
      </c>
      <c r="Q80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75">
        <f>SUM(INDEX(tblContractForDeed[Princ],1):INDEX(tblContractForDeed[Princ],ROW()-ROW(tblContractForDeed[#Headers])))</f>
        <v>75258.000000000029</v>
      </c>
      <c r="X803" s="275">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75">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3" s="275">
        <f>IF(INDEX(tblContractForDeed[End Bal],ROW()-ROW(tblBuyerOutputs[#Headers]))&lt;=0,0,($O$6+IF(ROW()=ROW(tblBuyerOutputs[#Headers])+1,0,INDEX(tblBuyerOutputs[Cumul Appr],ROW()-ROW(tblBuyerOutputs[#Headers])-1)))*$O$2/12)</f>
        <v>0</v>
      </c>
      <c r="AE803" s="275">
        <f>IF(INDEX(tblContractForDeed[End Bal],ROW()-ROW(tblBuyerOutputs[#Headers]))&lt;=0,0,IF(ROW()=ROW(tblBuyerOutputs[#Headers])+1,0,INDEX(tblBuyerOutputs[Cumul Appr],ROW()-ROW(tblBuyerOutputs[#Headers])-1))+tblBuyerOutputs[[#This Row],[Monthly Appr]])</f>
        <v>0</v>
      </c>
      <c r="AF803" s="22"/>
      <c r="AG803" s="14"/>
      <c r="AL803"/>
      <c r="AM803" s="14"/>
      <c r="AO803" s="275"/>
      <c r="AQ803" s="14"/>
      <c r="AR803"/>
    </row>
    <row r="804" spans="1:44" x14ac:dyDescent="0.25">
      <c r="A804" s="592" t="str">
        <f t="shared" si="151"/>
        <v/>
      </c>
      <c r="B804" s="275">
        <f t="shared" si="152"/>
        <v>0</v>
      </c>
      <c r="C804" s="14">
        <f t="shared" si="149"/>
        <v>0</v>
      </c>
      <c r="D804" s="14">
        <f t="shared" si="153"/>
        <v>0</v>
      </c>
      <c r="E804" s="14">
        <f t="shared" si="150"/>
        <v>0</v>
      </c>
      <c r="K804" s="275">
        <f t="shared" si="154"/>
        <v>0</v>
      </c>
      <c r="M804" s="22">
        <f t="shared" si="155"/>
        <v>0</v>
      </c>
      <c r="N804" s="592" t="str">
        <f>INDEX(tblSubjectToLoan[Date],ROW()-ROW(tblContractForDeed[#Headers]))</f>
        <v/>
      </c>
      <c r="O804" s="275">
        <f>IF(ROW()=ROW(tblContractForDeed[#Headers])+1,$O$6,IF(INDEX(tblContractForDeed[End Bal],ROW()-ROW(tblContractForDeed[#Headers])-1)&lt;0,0,INDEX(tblContractForDeed[End Bal],ROW()-ROW(tblContractForDeed[#Headers])-1)))</f>
        <v>0</v>
      </c>
      <c r="P804" s="445" t="str">
        <f>IF(tblContractForDeed[[#This Row],[Date]]="","",IF(tblContractForDeed[[#This Row],[Date]]&lt;cfdRateChangeDate,cfdRate1,cfdRate2))</f>
        <v/>
      </c>
      <c r="Q8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75">
        <f>SUM(INDEX(tblContractForDeed[Princ],1):INDEX(tblContractForDeed[Princ],ROW()-ROW(tblContractForDeed[#Headers])))</f>
        <v>75258.000000000029</v>
      </c>
      <c r="X804" s="275">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75">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4" s="275">
        <f>IF(INDEX(tblContractForDeed[End Bal],ROW()-ROW(tblBuyerOutputs[#Headers]))&lt;=0,0,($O$6+IF(ROW()=ROW(tblBuyerOutputs[#Headers])+1,0,INDEX(tblBuyerOutputs[Cumul Appr],ROW()-ROW(tblBuyerOutputs[#Headers])-1)))*$O$2/12)</f>
        <v>0</v>
      </c>
      <c r="AE804" s="275">
        <f>IF(INDEX(tblContractForDeed[End Bal],ROW()-ROW(tblBuyerOutputs[#Headers]))&lt;=0,0,IF(ROW()=ROW(tblBuyerOutputs[#Headers])+1,0,INDEX(tblBuyerOutputs[Cumul Appr],ROW()-ROW(tblBuyerOutputs[#Headers])-1))+tblBuyerOutputs[[#This Row],[Monthly Appr]])</f>
        <v>0</v>
      </c>
      <c r="AF804" s="22"/>
      <c r="AG804" s="14"/>
      <c r="AL804"/>
      <c r="AM804" s="14"/>
      <c r="AO804" s="275"/>
      <c r="AQ804" s="14"/>
      <c r="AR804"/>
    </row>
    <row r="805" spans="1:44" x14ac:dyDescent="0.25">
      <c r="A805" s="592" t="str">
        <f t="shared" si="151"/>
        <v/>
      </c>
      <c r="B805" s="275">
        <f t="shared" si="152"/>
        <v>0</v>
      </c>
      <c r="C805" s="14">
        <f t="shared" si="149"/>
        <v>0</v>
      </c>
      <c r="D805" s="14">
        <f t="shared" si="153"/>
        <v>0</v>
      </c>
      <c r="E805" s="14">
        <f t="shared" si="150"/>
        <v>0</v>
      </c>
      <c r="K805" s="275">
        <f t="shared" si="154"/>
        <v>0</v>
      </c>
      <c r="M805" s="22">
        <f t="shared" si="155"/>
        <v>0</v>
      </c>
      <c r="N805" s="592" t="str">
        <f>INDEX(tblSubjectToLoan[Date],ROW()-ROW(tblContractForDeed[#Headers]))</f>
        <v/>
      </c>
      <c r="O805" s="275">
        <f>IF(ROW()=ROW(tblContractForDeed[#Headers])+1,$O$6,IF(INDEX(tblContractForDeed[End Bal],ROW()-ROW(tblContractForDeed[#Headers])-1)&lt;0,0,INDEX(tblContractForDeed[End Bal],ROW()-ROW(tblContractForDeed[#Headers])-1)))</f>
        <v>0</v>
      </c>
      <c r="P805" s="445" t="str">
        <f>IF(tblContractForDeed[[#This Row],[Date]]="","",IF(tblContractForDeed[[#This Row],[Date]]&lt;cfdRateChangeDate,cfdRate1,cfdRate2))</f>
        <v/>
      </c>
      <c r="Q8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75">
        <f>SUM(INDEX(tblContractForDeed[Princ],1):INDEX(tblContractForDeed[Princ],ROW()-ROW(tblContractForDeed[#Headers])))</f>
        <v>75258.000000000029</v>
      </c>
      <c r="X805" s="275">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75">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5" s="275">
        <f>IF(INDEX(tblContractForDeed[End Bal],ROW()-ROW(tblBuyerOutputs[#Headers]))&lt;=0,0,($O$6+IF(ROW()=ROW(tblBuyerOutputs[#Headers])+1,0,INDEX(tblBuyerOutputs[Cumul Appr],ROW()-ROW(tblBuyerOutputs[#Headers])-1)))*$O$2/12)</f>
        <v>0</v>
      </c>
      <c r="AE805" s="275">
        <f>IF(INDEX(tblContractForDeed[End Bal],ROW()-ROW(tblBuyerOutputs[#Headers]))&lt;=0,0,IF(ROW()=ROW(tblBuyerOutputs[#Headers])+1,0,INDEX(tblBuyerOutputs[Cumul Appr],ROW()-ROW(tblBuyerOutputs[#Headers])-1))+tblBuyerOutputs[[#This Row],[Monthly Appr]])</f>
        <v>0</v>
      </c>
      <c r="AF805" s="22"/>
      <c r="AG805" s="14"/>
      <c r="AL805"/>
      <c r="AM805" s="14"/>
      <c r="AO805" s="275"/>
      <c r="AQ805" s="14"/>
      <c r="AR805"/>
    </row>
    <row r="806" spans="1:44" x14ac:dyDescent="0.25">
      <c r="A806" s="592" t="str">
        <f t="shared" si="151"/>
        <v/>
      </c>
      <c r="B806" s="275">
        <f t="shared" si="152"/>
        <v>0</v>
      </c>
      <c r="C806" s="14">
        <f t="shared" si="149"/>
        <v>0</v>
      </c>
      <c r="D806" s="14">
        <f t="shared" si="153"/>
        <v>0</v>
      </c>
      <c r="E806" s="14">
        <f t="shared" si="150"/>
        <v>0</v>
      </c>
      <c r="K806" s="275">
        <f t="shared" si="154"/>
        <v>0</v>
      </c>
      <c r="M806" s="22">
        <f t="shared" si="155"/>
        <v>0</v>
      </c>
      <c r="N806" s="592" t="str">
        <f>INDEX(tblSubjectToLoan[Date],ROW()-ROW(tblContractForDeed[#Headers]))</f>
        <v/>
      </c>
      <c r="O806" s="275">
        <f>IF(ROW()=ROW(tblContractForDeed[#Headers])+1,$O$6,IF(INDEX(tblContractForDeed[End Bal],ROW()-ROW(tblContractForDeed[#Headers])-1)&lt;0,0,INDEX(tblContractForDeed[End Bal],ROW()-ROW(tblContractForDeed[#Headers])-1)))</f>
        <v>0</v>
      </c>
      <c r="P806" s="445" t="str">
        <f>IF(tblContractForDeed[[#This Row],[Date]]="","",IF(tblContractForDeed[[#This Row],[Date]]&lt;cfdRateChangeDate,cfdRate1,cfdRate2))</f>
        <v/>
      </c>
      <c r="Q8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75">
        <f>SUM(INDEX(tblContractForDeed[Princ],1):INDEX(tblContractForDeed[Princ],ROW()-ROW(tblContractForDeed[#Headers])))</f>
        <v>75258.000000000029</v>
      </c>
      <c r="X806" s="275">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75">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6" s="275">
        <f>IF(INDEX(tblContractForDeed[End Bal],ROW()-ROW(tblBuyerOutputs[#Headers]))&lt;=0,0,($O$6+IF(ROW()=ROW(tblBuyerOutputs[#Headers])+1,0,INDEX(tblBuyerOutputs[Cumul Appr],ROW()-ROW(tblBuyerOutputs[#Headers])-1)))*$O$2/12)</f>
        <v>0</v>
      </c>
      <c r="AE806" s="275">
        <f>IF(INDEX(tblContractForDeed[End Bal],ROW()-ROW(tblBuyerOutputs[#Headers]))&lt;=0,0,IF(ROW()=ROW(tblBuyerOutputs[#Headers])+1,0,INDEX(tblBuyerOutputs[Cumul Appr],ROW()-ROW(tblBuyerOutputs[#Headers])-1))+tblBuyerOutputs[[#This Row],[Monthly Appr]])</f>
        <v>0</v>
      </c>
      <c r="AF806" s="22"/>
      <c r="AG806" s="14"/>
      <c r="AL806"/>
      <c r="AM806" s="14"/>
      <c r="AO806" s="275"/>
      <c r="AQ806" s="14"/>
      <c r="AR806"/>
    </row>
    <row r="807" spans="1:44" x14ac:dyDescent="0.25">
      <c r="A807" s="592" t="str">
        <f t="shared" si="151"/>
        <v/>
      </c>
      <c r="B807" s="275">
        <f t="shared" si="152"/>
        <v>0</v>
      </c>
      <c r="C807" s="14">
        <f t="shared" si="149"/>
        <v>0</v>
      </c>
      <c r="D807" s="14">
        <f t="shared" si="153"/>
        <v>0</v>
      </c>
      <c r="E807" s="14">
        <f t="shared" si="150"/>
        <v>0</v>
      </c>
      <c r="K807" s="275">
        <f t="shared" si="154"/>
        <v>0</v>
      </c>
      <c r="M807" s="22">
        <f t="shared" si="155"/>
        <v>0</v>
      </c>
      <c r="N807" s="592" t="str">
        <f>INDEX(tblSubjectToLoan[Date],ROW()-ROW(tblContractForDeed[#Headers]))</f>
        <v/>
      </c>
      <c r="O807" s="275">
        <f>IF(ROW()=ROW(tblContractForDeed[#Headers])+1,$O$6,IF(INDEX(tblContractForDeed[End Bal],ROW()-ROW(tblContractForDeed[#Headers])-1)&lt;0,0,INDEX(tblContractForDeed[End Bal],ROW()-ROW(tblContractForDeed[#Headers])-1)))</f>
        <v>0</v>
      </c>
      <c r="P807" s="445" t="str">
        <f>IF(tblContractForDeed[[#This Row],[Date]]="","",IF(tblContractForDeed[[#This Row],[Date]]&lt;cfdRateChangeDate,cfdRate1,cfdRate2))</f>
        <v/>
      </c>
      <c r="Q80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75">
        <f>SUM(INDEX(tblContractForDeed[Princ],1):INDEX(tblContractForDeed[Princ],ROW()-ROW(tblContractForDeed[#Headers])))</f>
        <v>75258.000000000029</v>
      </c>
      <c r="X807" s="275">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75">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7" s="275">
        <f>IF(INDEX(tblContractForDeed[End Bal],ROW()-ROW(tblBuyerOutputs[#Headers]))&lt;=0,0,($O$6+IF(ROW()=ROW(tblBuyerOutputs[#Headers])+1,0,INDEX(tblBuyerOutputs[Cumul Appr],ROW()-ROW(tblBuyerOutputs[#Headers])-1)))*$O$2/12)</f>
        <v>0</v>
      </c>
      <c r="AE807" s="275">
        <f>IF(INDEX(tblContractForDeed[End Bal],ROW()-ROW(tblBuyerOutputs[#Headers]))&lt;=0,0,IF(ROW()=ROW(tblBuyerOutputs[#Headers])+1,0,INDEX(tblBuyerOutputs[Cumul Appr],ROW()-ROW(tblBuyerOutputs[#Headers])-1))+tblBuyerOutputs[[#This Row],[Monthly Appr]])</f>
        <v>0</v>
      </c>
      <c r="AF807" s="22"/>
      <c r="AG807" s="14"/>
      <c r="AL807"/>
      <c r="AM807" s="14"/>
      <c r="AO807" s="275"/>
      <c r="AQ807" s="14"/>
      <c r="AR807"/>
    </row>
    <row r="808" spans="1:44" x14ac:dyDescent="0.25">
      <c r="A808" s="592" t="str">
        <f t="shared" si="151"/>
        <v/>
      </c>
      <c r="B808" s="275">
        <f t="shared" si="152"/>
        <v>0</v>
      </c>
      <c r="C808" s="14">
        <f t="shared" si="149"/>
        <v>0</v>
      </c>
      <c r="D808" s="14">
        <f t="shared" si="153"/>
        <v>0</v>
      </c>
      <c r="E808" s="14">
        <f t="shared" si="150"/>
        <v>0</v>
      </c>
      <c r="K808" s="275">
        <f t="shared" si="154"/>
        <v>0</v>
      </c>
      <c r="M808" s="22">
        <f t="shared" si="155"/>
        <v>0</v>
      </c>
      <c r="N808" s="592" t="str">
        <f>INDEX(tblSubjectToLoan[Date],ROW()-ROW(tblContractForDeed[#Headers]))</f>
        <v/>
      </c>
      <c r="O808" s="275">
        <f>IF(ROW()=ROW(tblContractForDeed[#Headers])+1,$O$6,IF(INDEX(tblContractForDeed[End Bal],ROW()-ROW(tblContractForDeed[#Headers])-1)&lt;0,0,INDEX(tblContractForDeed[End Bal],ROW()-ROW(tblContractForDeed[#Headers])-1)))</f>
        <v>0</v>
      </c>
      <c r="P808" s="445" t="str">
        <f>IF(tblContractForDeed[[#This Row],[Date]]="","",IF(tblContractForDeed[[#This Row],[Date]]&lt;cfdRateChangeDate,cfdRate1,cfdRate2))</f>
        <v/>
      </c>
      <c r="Q8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75">
        <f>SUM(INDEX(tblContractForDeed[Princ],1):INDEX(tblContractForDeed[Princ],ROW()-ROW(tblContractForDeed[#Headers])))</f>
        <v>75258.000000000029</v>
      </c>
      <c r="X808" s="275">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75">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8" s="275">
        <f>IF(INDEX(tblContractForDeed[End Bal],ROW()-ROW(tblBuyerOutputs[#Headers]))&lt;=0,0,($O$6+IF(ROW()=ROW(tblBuyerOutputs[#Headers])+1,0,INDEX(tblBuyerOutputs[Cumul Appr],ROW()-ROW(tblBuyerOutputs[#Headers])-1)))*$O$2/12)</f>
        <v>0</v>
      </c>
      <c r="AE808" s="275">
        <f>IF(INDEX(tblContractForDeed[End Bal],ROW()-ROW(tblBuyerOutputs[#Headers]))&lt;=0,0,IF(ROW()=ROW(tblBuyerOutputs[#Headers])+1,0,INDEX(tblBuyerOutputs[Cumul Appr],ROW()-ROW(tblBuyerOutputs[#Headers])-1))+tblBuyerOutputs[[#This Row],[Monthly Appr]])</f>
        <v>0</v>
      </c>
      <c r="AF808" s="22"/>
      <c r="AG808" s="14"/>
      <c r="AL808"/>
      <c r="AM808" s="14"/>
      <c r="AO808" s="275"/>
      <c r="AQ808" s="14"/>
      <c r="AR808"/>
    </row>
    <row r="809" spans="1:44" x14ac:dyDescent="0.25">
      <c r="A809" s="592" t="str">
        <f t="shared" si="151"/>
        <v/>
      </c>
      <c r="B809" s="275">
        <f t="shared" si="152"/>
        <v>0</v>
      </c>
      <c r="C809" s="14">
        <f t="shared" si="149"/>
        <v>0</v>
      </c>
      <c r="D809" s="14">
        <f t="shared" si="153"/>
        <v>0</v>
      </c>
      <c r="E809" s="14">
        <f t="shared" si="150"/>
        <v>0</v>
      </c>
      <c r="K809" s="275">
        <f t="shared" si="154"/>
        <v>0</v>
      </c>
      <c r="M809" s="22">
        <f t="shared" si="155"/>
        <v>0</v>
      </c>
      <c r="N809" s="592" t="str">
        <f>INDEX(tblSubjectToLoan[Date],ROW()-ROW(tblContractForDeed[#Headers]))</f>
        <v/>
      </c>
      <c r="O809" s="275">
        <f>IF(ROW()=ROW(tblContractForDeed[#Headers])+1,$O$6,IF(INDEX(tblContractForDeed[End Bal],ROW()-ROW(tblContractForDeed[#Headers])-1)&lt;0,0,INDEX(tblContractForDeed[End Bal],ROW()-ROW(tblContractForDeed[#Headers])-1)))</f>
        <v>0</v>
      </c>
      <c r="P809" s="445" t="str">
        <f>IF(tblContractForDeed[[#This Row],[Date]]="","",IF(tblContractForDeed[[#This Row],[Date]]&lt;cfdRateChangeDate,cfdRate1,cfdRate2))</f>
        <v/>
      </c>
      <c r="Q8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75">
        <f>SUM(INDEX(tblContractForDeed[Princ],1):INDEX(tblContractForDeed[Princ],ROW()-ROW(tblContractForDeed[#Headers])))</f>
        <v>75258.000000000029</v>
      </c>
      <c r="X809" s="275">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75">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9" s="275">
        <f>IF(INDEX(tblContractForDeed[End Bal],ROW()-ROW(tblBuyerOutputs[#Headers]))&lt;=0,0,($O$6+IF(ROW()=ROW(tblBuyerOutputs[#Headers])+1,0,INDEX(tblBuyerOutputs[Cumul Appr],ROW()-ROW(tblBuyerOutputs[#Headers])-1)))*$O$2/12)</f>
        <v>0</v>
      </c>
      <c r="AE809" s="275">
        <f>IF(INDEX(tblContractForDeed[End Bal],ROW()-ROW(tblBuyerOutputs[#Headers]))&lt;=0,0,IF(ROW()=ROW(tblBuyerOutputs[#Headers])+1,0,INDEX(tblBuyerOutputs[Cumul Appr],ROW()-ROW(tblBuyerOutputs[#Headers])-1))+tblBuyerOutputs[[#This Row],[Monthly Appr]])</f>
        <v>0</v>
      </c>
      <c r="AF809" s="22"/>
      <c r="AG809" s="14"/>
      <c r="AL809"/>
      <c r="AM809" s="14"/>
      <c r="AO809" s="275"/>
      <c r="AQ809" s="14"/>
      <c r="AR809"/>
    </row>
    <row r="810" spans="1:44" x14ac:dyDescent="0.25">
      <c r="A810" s="592" t="str">
        <f t="shared" si="151"/>
        <v/>
      </c>
      <c r="B810" s="275">
        <f t="shared" si="152"/>
        <v>0</v>
      </c>
      <c r="C810" s="14">
        <f t="shared" si="149"/>
        <v>0</v>
      </c>
      <c r="D810" s="14">
        <f t="shared" si="153"/>
        <v>0</v>
      </c>
      <c r="E810" s="14">
        <f t="shared" si="150"/>
        <v>0</v>
      </c>
      <c r="K810" s="275">
        <f t="shared" si="154"/>
        <v>0</v>
      </c>
      <c r="M810" s="22">
        <f t="shared" si="155"/>
        <v>0</v>
      </c>
      <c r="N810" s="592" t="str">
        <f>INDEX(tblSubjectToLoan[Date],ROW()-ROW(tblContractForDeed[#Headers]))</f>
        <v/>
      </c>
      <c r="O810" s="275">
        <f>IF(ROW()=ROW(tblContractForDeed[#Headers])+1,$O$6,IF(INDEX(tblContractForDeed[End Bal],ROW()-ROW(tblContractForDeed[#Headers])-1)&lt;0,0,INDEX(tblContractForDeed[End Bal],ROW()-ROW(tblContractForDeed[#Headers])-1)))</f>
        <v>0</v>
      </c>
      <c r="P810" s="445" t="str">
        <f>IF(tblContractForDeed[[#This Row],[Date]]="","",IF(tblContractForDeed[[#This Row],[Date]]&lt;cfdRateChangeDate,cfdRate1,cfdRate2))</f>
        <v/>
      </c>
      <c r="Q8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75">
        <f>SUM(INDEX(tblContractForDeed[Princ],1):INDEX(tblContractForDeed[Princ],ROW()-ROW(tblContractForDeed[#Headers])))</f>
        <v>75258.000000000029</v>
      </c>
      <c r="X810" s="275">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75">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0" s="275">
        <f>IF(INDEX(tblContractForDeed[End Bal],ROW()-ROW(tblBuyerOutputs[#Headers]))&lt;=0,0,($O$6+IF(ROW()=ROW(tblBuyerOutputs[#Headers])+1,0,INDEX(tblBuyerOutputs[Cumul Appr],ROW()-ROW(tblBuyerOutputs[#Headers])-1)))*$O$2/12)</f>
        <v>0</v>
      </c>
      <c r="AE810" s="275">
        <f>IF(INDEX(tblContractForDeed[End Bal],ROW()-ROW(tblBuyerOutputs[#Headers]))&lt;=0,0,IF(ROW()=ROW(tblBuyerOutputs[#Headers])+1,0,INDEX(tblBuyerOutputs[Cumul Appr],ROW()-ROW(tblBuyerOutputs[#Headers])-1))+tblBuyerOutputs[[#This Row],[Monthly Appr]])</f>
        <v>0</v>
      </c>
      <c r="AF810" s="22"/>
      <c r="AG810" s="14"/>
      <c r="AL810"/>
      <c r="AM810" s="14"/>
      <c r="AO810" s="275"/>
      <c r="AQ810" s="14"/>
      <c r="AR810"/>
    </row>
    <row r="811" spans="1:44" x14ac:dyDescent="0.25">
      <c r="A811" s="592" t="str">
        <f t="shared" si="151"/>
        <v/>
      </c>
      <c r="B811" s="275">
        <f t="shared" si="152"/>
        <v>0</v>
      </c>
      <c r="C811" s="14">
        <f t="shared" si="149"/>
        <v>0</v>
      </c>
      <c r="D811" s="14">
        <f t="shared" si="153"/>
        <v>0</v>
      </c>
      <c r="E811" s="14">
        <f t="shared" si="150"/>
        <v>0</v>
      </c>
      <c r="K811" s="275">
        <f t="shared" si="154"/>
        <v>0</v>
      </c>
      <c r="M811" s="22">
        <f t="shared" si="155"/>
        <v>0</v>
      </c>
      <c r="N811" s="592" t="str">
        <f>INDEX(tblSubjectToLoan[Date],ROW()-ROW(tblContractForDeed[#Headers]))</f>
        <v/>
      </c>
      <c r="O811" s="275">
        <f>IF(ROW()=ROW(tblContractForDeed[#Headers])+1,$O$6,IF(INDEX(tblContractForDeed[End Bal],ROW()-ROW(tblContractForDeed[#Headers])-1)&lt;0,0,INDEX(tblContractForDeed[End Bal],ROW()-ROW(tblContractForDeed[#Headers])-1)))</f>
        <v>0</v>
      </c>
      <c r="P811" s="445" t="str">
        <f>IF(tblContractForDeed[[#This Row],[Date]]="","",IF(tblContractForDeed[[#This Row],[Date]]&lt;cfdRateChangeDate,cfdRate1,cfdRate2))</f>
        <v/>
      </c>
      <c r="Q81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75">
        <f>SUM(INDEX(tblContractForDeed[Princ],1):INDEX(tblContractForDeed[Princ],ROW()-ROW(tblContractForDeed[#Headers])))</f>
        <v>75258.000000000029</v>
      </c>
      <c r="X811" s="275">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75">
        <f>IF(INDEX(tblContractForDeed[Payment],ROW()-ROW(tblBuyerOutputs[#Headers]))=0,0,INDEX(tblContractForDeed[Payment],ROW()-ROW(tblBuyerOutputs[#Headers]))-INDEX(tblSubjectToLoan[Payment],ROW()-ROW(tblBuyerOutputs[#Headers])))</f>
        <v>0</v>
      </c>
      <c r="AA811" s="275"/>
      <c r="AB811" s="275">
        <f>IF(INDEX(tblContractForDeed[Payment],ROW()-ROW(tblBuyerOutputs[#Headers]))=0,0,INDEX(tblContractForDeed[Payment],ROW()-ROW(tblBuyerOutputs[#Headers]))-INDEX(tblSubjectToLoan[Payment],ROW()-ROW(tblBuyerOutputs[#Headers])))-IFERROR(tblBuyerOutputs[[#This Row],[PMI]],0)</f>
        <v>0</v>
      </c>
      <c r="AC8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1" s="275">
        <f>IF(INDEX(tblContractForDeed[End Bal],ROW()-ROW(tblBuyerOutputs[#Headers]))&lt;=0,0,($O$6+IF(ROW()=ROW(tblBuyerOutputs[#Headers])+1,0,INDEX(tblBuyerOutputs[Cumul Appr],ROW()-ROW(tblBuyerOutputs[#Headers])-1)))*$O$2/12)</f>
        <v>0</v>
      </c>
      <c r="AE811" s="275">
        <f>IF(INDEX(tblContractForDeed[End Bal],ROW()-ROW(tblBuyerOutputs[#Headers]))&lt;=0,0,IF(ROW()=ROW(tblBuyerOutputs[#Headers])+1,0,INDEX(tblBuyerOutputs[Cumul Appr],ROW()-ROW(tblBuyerOutputs[#Headers])-1))+tblBuyerOutputs[[#This Row],[Monthly Appr]])</f>
        <v>0</v>
      </c>
      <c r="AF811" s="22"/>
      <c r="AG811" s="14"/>
      <c r="AL811"/>
      <c r="AM811" s="14"/>
      <c r="AO811" s="275"/>
      <c r="AQ811" s="14"/>
      <c r="AR811"/>
    </row>
    <row r="812" spans="1:44" x14ac:dyDescent="0.25">
      <c r="A812" s="592" t="str">
        <f t="shared" si="151"/>
        <v/>
      </c>
      <c r="B812" s="275">
        <f t="shared" si="152"/>
        <v>0</v>
      </c>
      <c r="C812" s="14">
        <f t="shared" si="149"/>
        <v>0</v>
      </c>
      <c r="D812" s="14">
        <f t="shared" si="153"/>
        <v>0</v>
      </c>
      <c r="E812" s="14">
        <f t="shared" si="150"/>
        <v>0</v>
      </c>
      <c r="K812" s="275">
        <f t="shared" si="154"/>
        <v>0</v>
      </c>
      <c r="M812" s="22">
        <f t="shared" si="155"/>
        <v>0</v>
      </c>
      <c r="N812" s="592" t="str">
        <f>INDEX(tblSubjectToLoan[Date],ROW()-ROW(tblContractForDeed[#Headers]))</f>
        <v/>
      </c>
      <c r="O812" s="275">
        <f>IF(ROW()=ROW(tblContractForDeed[#Headers])+1,$O$6,IF(INDEX(tblContractForDeed[End Bal],ROW()-ROW(tblContractForDeed[#Headers])-1)&lt;0,0,INDEX(tblContractForDeed[End Bal],ROW()-ROW(tblContractForDeed[#Headers])-1)))</f>
        <v>0</v>
      </c>
      <c r="P812" s="445" t="str">
        <f>IF(tblContractForDeed[[#This Row],[Date]]="","",IF(tblContractForDeed[[#This Row],[Date]]&lt;cfdRateChangeDate,cfdRate1,cfdRate2))</f>
        <v/>
      </c>
      <c r="Q8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75">
        <f>SUM(INDEX(tblContractForDeed[Princ],1):INDEX(tblContractForDeed[Princ],ROW()-ROW(tblContractForDeed[#Headers])))</f>
        <v>75258.000000000029</v>
      </c>
      <c r="X812" s="275">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75">
        <f>IF(INDEX(tblContractForDeed[Payment],ROW()-ROW(tblBuyerOutputs[#Headers]))=0,0,INDEX(tblContractForDeed[Payment],ROW()-ROW(tblBuyerOutputs[#Headers]))-INDEX(tblSubjectToLoan[Payment],ROW()-ROW(tblBuyerOutputs[#Headers])))</f>
        <v>0</v>
      </c>
      <c r="AA812" s="275"/>
      <c r="AB812" s="275">
        <f>IF(INDEX(tblContractForDeed[Payment],ROW()-ROW(tblBuyerOutputs[#Headers]))=0,0,INDEX(tblContractForDeed[Payment],ROW()-ROW(tblBuyerOutputs[#Headers]))-INDEX(tblSubjectToLoan[Payment],ROW()-ROW(tblBuyerOutputs[#Headers])))-IFERROR(tblBuyerOutputs[[#This Row],[PMI]],0)</f>
        <v>0</v>
      </c>
      <c r="AC8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2" s="275">
        <f>IF(INDEX(tblContractForDeed[End Bal],ROW()-ROW(tblBuyerOutputs[#Headers]))&lt;=0,0,($O$6+IF(ROW()=ROW(tblBuyerOutputs[#Headers])+1,0,INDEX(tblBuyerOutputs[Cumul Appr],ROW()-ROW(tblBuyerOutputs[#Headers])-1)))*$O$2/12)</f>
        <v>0</v>
      </c>
      <c r="AE812" s="275">
        <f>IF(INDEX(tblContractForDeed[End Bal],ROW()-ROW(tblBuyerOutputs[#Headers]))&lt;=0,0,IF(ROW()=ROW(tblBuyerOutputs[#Headers])+1,0,INDEX(tblBuyerOutputs[Cumul Appr],ROW()-ROW(tblBuyerOutputs[#Headers])-1))+tblBuyerOutputs[[#This Row],[Monthly Appr]])</f>
        <v>0</v>
      </c>
      <c r="AF812" s="22"/>
      <c r="AG812" s="14"/>
      <c r="AL812"/>
      <c r="AM812" s="14"/>
      <c r="AO812" s="275"/>
      <c r="AQ812" s="14"/>
      <c r="AR812"/>
    </row>
    <row r="813" spans="1:44" x14ac:dyDescent="0.25">
      <c r="A813" s="592" t="str">
        <f t="shared" si="151"/>
        <v/>
      </c>
      <c r="B813" s="275">
        <f t="shared" si="152"/>
        <v>0</v>
      </c>
      <c r="C813" s="14">
        <f t="shared" si="149"/>
        <v>0</v>
      </c>
      <c r="D813" s="14">
        <f t="shared" si="153"/>
        <v>0</v>
      </c>
      <c r="E813" s="14">
        <f t="shared" si="150"/>
        <v>0</v>
      </c>
      <c r="K813" s="275">
        <f t="shared" si="154"/>
        <v>0</v>
      </c>
      <c r="M813" s="22">
        <f t="shared" si="155"/>
        <v>0</v>
      </c>
      <c r="N813" s="592" t="str">
        <f>INDEX(tblSubjectToLoan[Date],ROW()-ROW(tblContractForDeed[#Headers]))</f>
        <v/>
      </c>
      <c r="O813" s="275">
        <f>IF(ROW()=ROW(tblContractForDeed[#Headers])+1,$O$6,IF(INDEX(tblContractForDeed[End Bal],ROW()-ROW(tblContractForDeed[#Headers])-1)&lt;0,0,INDEX(tblContractForDeed[End Bal],ROW()-ROW(tblContractForDeed[#Headers])-1)))</f>
        <v>0</v>
      </c>
      <c r="P813" s="445" t="str">
        <f>IF(tblContractForDeed[[#This Row],[Date]]="","",IF(tblContractForDeed[[#This Row],[Date]]&lt;cfdRateChangeDate,cfdRate1,cfdRate2))</f>
        <v/>
      </c>
      <c r="Q8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75">
        <f>SUM(INDEX(tblContractForDeed[Princ],1):INDEX(tblContractForDeed[Princ],ROW()-ROW(tblContractForDeed[#Headers])))</f>
        <v>75258.000000000029</v>
      </c>
      <c r="X813" s="275">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75">
        <f>IF(INDEX(tblContractForDeed[Payment],ROW()-ROW(tblBuyerOutputs[#Headers]))=0,0,INDEX(tblContractForDeed[Payment],ROW()-ROW(tblBuyerOutputs[#Headers]))-INDEX(tblSubjectToLoan[Payment],ROW()-ROW(tblBuyerOutputs[#Headers])))</f>
        <v>0</v>
      </c>
      <c r="AA813" s="275"/>
      <c r="AB813" s="275">
        <f>IF(INDEX(tblContractForDeed[Payment],ROW()-ROW(tblBuyerOutputs[#Headers]))=0,0,INDEX(tblContractForDeed[Payment],ROW()-ROW(tblBuyerOutputs[#Headers]))-INDEX(tblSubjectToLoan[Payment],ROW()-ROW(tblBuyerOutputs[#Headers])))-IFERROR(tblBuyerOutputs[[#This Row],[PMI]],0)</f>
        <v>0</v>
      </c>
      <c r="AC8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3" s="275">
        <f>IF(INDEX(tblContractForDeed[End Bal],ROW()-ROW(tblBuyerOutputs[#Headers]))&lt;=0,0,($O$6+IF(ROW()=ROW(tblBuyerOutputs[#Headers])+1,0,INDEX(tblBuyerOutputs[Cumul Appr],ROW()-ROW(tblBuyerOutputs[#Headers])-1)))*$O$2/12)</f>
        <v>0</v>
      </c>
      <c r="AE813" s="275">
        <f>IF(INDEX(tblContractForDeed[End Bal],ROW()-ROW(tblBuyerOutputs[#Headers]))&lt;=0,0,IF(ROW()=ROW(tblBuyerOutputs[#Headers])+1,0,INDEX(tblBuyerOutputs[Cumul Appr],ROW()-ROW(tblBuyerOutputs[#Headers])-1))+tblBuyerOutputs[[#This Row],[Monthly Appr]])</f>
        <v>0</v>
      </c>
      <c r="AF813" s="22"/>
      <c r="AG813" s="14"/>
      <c r="AL813"/>
      <c r="AM813" s="14"/>
      <c r="AO813" s="275"/>
      <c r="AQ813" s="14"/>
      <c r="AR813"/>
    </row>
    <row r="814" spans="1:44" x14ac:dyDescent="0.25">
      <c r="A814" s="592" t="str">
        <f t="shared" si="151"/>
        <v/>
      </c>
      <c r="B814" s="275">
        <f t="shared" si="152"/>
        <v>0</v>
      </c>
      <c r="C814" s="14">
        <f t="shared" si="149"/>
        <v>0</v>
      </c>
      <c r="D814" s="14">
        <f t="shared" si="153"/>
        <v>0</v>
      </c>
      <c r="E814" s="14">
        <f t="shared" si="150"/>
        <v>0</v>
      </c>
      <c r="K814" s="275">
        <f t="shared" si="154"/>
        <v>0</v>
      </c>
      <c r="M814" s="22">
        <f t="shared" si="155"/>
        <v>0</v>
      </c>
      <c r="N814" s="592" t="str">
        <f>INDEX(tblSubjectToLoan[Date],ROW()-ROW(tblContractForDeed[#Headers]))</f>
        <v/>
      </c>
      <c r="O814" s="275">
        <f>IF(ROW()=ROW(tblContractForDeed[#Headers])+1,$O$6,IF(INDEX(tblContractForDeed[End Bal],ROW()-ROW(tblContractForDeed[#Headers])-1)&lt;0,0,INDEX(tblContractForDeed[End Bal],ROW()-ROW(tblContractForDeed[#Headers])-1)))</f>
        <v>0</v>
      </c>
      <c r="P814" s="445" t="str">
        <f>IF(tblContractForDeed[[#This Row],[Date]]="","",IF(tblContractForDeed[[#This Row],[Date]]&lt;cfdRateChangeDate,cfdRate1,cfdRate2))</f>
        <v/>
      </c>
      <c r="Q8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75">
        <f>SUM(INDEX(tblContractForDeed[Princ],1):INDEX(tblContractForDeed[Princ],ROW()-ROW(tblContractForDeed[#Headers])))</f>
        <v>75258.000000000029</v>
      </c>
      <c r="X814" s="275">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75">
        <f>IF(INDEX(tblContractForDeed[Payment],ROW()-ROW(tblBuyerOutputs[#Headers]))=0,0,INDEX(tblContractForDeed[Payment],ROW()-ROW(tblBuyerOutputs[#Headers]))-INDEX(tblSubjectToLoan[Payment],ROW()-ROW(tblBuyerOutputs[#Headers])))</f>
        <v>0</v>
      </c>
      <c r="AA814" s="275"/>
      <c r="AB814" s="275">
        <f>IF(INDEX(tblContractForDeed[Payment],ROW()-ROW(tblBuyerOutputs[#Headers]))=0,0,INDEX(tblContractForDeed[Payment],ROW()-ROW(tblBuyerOutputs[#Headers]))-INDEX(tblSubjectToLoan[Payment],ROW()-ROW(tblBuyerOutputs[#Headers])))-IFERROR(tblBuyerOutputs[[#This Row],[PMI]],0)</f>
        <v>0</v>
      </c>
      <c r="AC8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4" s="275">
        <f>IF(INDEX(tblContractForDeed[End Bal],ROW()-ROW(tblBuyerOutputs[#Headers]))&lt;=0,0,($O$6+IF(ROW()=ROW(tblBuyerOutputs[#Headers])+1,0,INDEX(tblBuyerOutputs[Cumul Appr],ROW()-ROW(tblBuyerOutputs[#Headers])-1)))*$O$2/12)</f>
        <v>0</v>
      </c>
      <c r="AE814" s="275">
        <f>IF(INDEX(tblContractForDeed[End Bal],ROW()-ROW(tblBuyerOutputs[#Headers]))&lt;=0,0,IF(ROW()=ROW(tblBuyerOutputs[#Headers])+1,0,INDEX(tblBuyerOutputs[Cumul Appr],ROW()-ROW(tblBuyerOutputs[#Headers])-1))+tblBuyerOutputs[[#This Row],[Monthly Appr]])</f>
        <v>0</v>
      </c>
      <c r="AF814" s="22"/>
      <c r="AG814" s="14"/>
      <c r="AL814"/>
      <c r="AM814" s="14"/>
      <c r="AO814" s="275"/>
      <c r="AQ814" s="14"/>
      <c r="AR814"/>
    </row>
    <row r="815" spans="1:44" x14ac:dyDescent="0.25">
      <c r="A815" s="592" t="str">
        <f t="shared" si="151"/>
        <v/>
      </c>
      <c r="B815" s="275">
        <f t="shared" si="152"/>
        <v>0</v>
      </c>
      <c r="C815" s="14">
        <f t="shared" si="149"/>
        <v>0</v>
      </c>
      <c r="D815" s="14">
        <f t="shared" si="153"/>
        <v>0</v>
      </c>
      <c r="E815" s="14">
        <f t="shared" si="150"/>
        <v>0</v>
      </c>
      <c r="K815" s="275">
        <f t="shared" si="154"/>
        <v>0</v>
      </c>
      <c r="M815" s="22">
        <f t="shared" si="155"/>
        <v>0</v>
      </c>
      <c r="N815" s="592" t="str">
        <f>INDEX(tblSubjectToLoan[Date],ROW()-ROW(tblContractForDeed[#Headers]))</f>
        <v/>
      </c>
      <c r="O815" s="275">
        <f>IF(ROW()=ROW(tblContractForDeed[#Headers])+1,$O$6,IF(INDEX(tblContractForDeed[End Bal],ROW()-ROW(tblContractForDeed[#Headers])-1)&lt;0,0,INDEX(tblContractForDeed[End Bal],ROW()-ROW(tblContractForDeed[#Headers])-1)))</f>
        <v>0</v>
      </c>
      <c r="P815" s="445" t="str">
        <f>IF(tblContractForDeed[[#This Row],[Date]]="","",IF(tblContractForDeed[[#This Row],[Date]]&lt;cfdRateChangeDate,cfdRate1,cfdRate2))</f>
        <v/>
      </c>
      <c r="Q81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75">
        <f>SUM(INDEX(tblContractForDeed[Princ],1):INDEX(tblContractForDeed[Princ],ROW()-ROW(tblContractForDeed[#Headers])))</f>
        <v>75258.000000000029</v>
      </c>
      <c r="X815" s="275">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75">
        <f>IF(INDEX(tblContractForDeed[Payment],ROW()-ROW(tblBuyerOutputs[#Headers]))=0,0,INDEX(tblContractForDeed[Payment],ROW()-ROW(tblBuyerOutputs[#Headers]))-INDEX(tblSubjectToLoan[Payment],ROW()-ROW(tblBuyerOutputs[#Headers])))</f>
        <v>0</v>
      </c>
      <c r="AA815" s="275"/>
      <c r="AB815" s="275">
        <f>IF(INDEX(tblContractForDeed[Payment],ROW()-ROW(tblBuyerOutputs[#Headers]))=0,0,INDEX(tblContractForDeed[Payment],ROW()-ROW(tblBuyerOutputs[#Headers]))-INDEX(tblSubjectToLoan[Payment],ROW()-ROW(tblBuyerOutputs[#Headers])))-IFERROR(tblBuyerOutputs[[#This Row],[PMI]],0)</f>
        <v>0</v>
      </c>
      <c r="AC8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5" s="275">
        <f>IF(INDEX(tblContractForDeed[End Bal],ROW()-ROW(tblBuyerOutputs[#Headers]))&lt;=0,0,($O$6+IF(ROW()=ROW(tblBuyerOutputs[#Headers])+1,0,INDEX(tblBuyerOutputs[Cumul Appr],ROW()-ROW(tblBuyerOutputs[#Headers])-1)))*$O$2/12)</f>
        <v>0</v>
      </c>
      <c r="AE815" s="275">
        <f>IF(INDEX(tblContractForDeed[End Bal],ROW()-ROW(tblBuyerOutputs[#Headers]))&lt;=0,0,IF(ROW()=ROW(tblBuyerOutputs[#Headers])+1,0,INDEX(tblBuyerOutputs[Cumul Appr],ROW()-ROW(tblBuyerOutputs[#Headers])-1))+tblBuyerOutputs[[#This Row],[Monthly Appr]])</f>
        <v>0</v>
      </c>
      <c r="AF815" s="22"/>
      <c r="AG815" s="14"/>
      <c r="AL815"/>
      <c r="AM815" s="14"/>
      <c r="AO815" s="275"/>
      <c r="AQ815" s="14"/>
      <c r="AR815"/>
    </row>
    <row r="816" spans="1:44" x14ac:dyDescent="0.25">
      <c r="A816" s="592" t="str">
        <f t="shared" si="151"/>
        <v/>
      </c>
      <c r="B816" s="275">
        <f t="shared" si="152"/>
        <v>0</v>
      </c>
      <c r="C816" s="14">
        <f t="shared" si="149"/>
        <v>0</v>
      </c>
      <c r="D816" s="14">
        <f t="shared" si="153"/>
        <v>0</v>
      </c>
      <c r="E816" s="14">
        <f t="shared" si="150"/>
        <v>0</v>
      </c>
      <c r="K816" s="275">
        <f t="shared" si="154"/>
        <v>0</v>
      </c>
      <c r="M816" s="22">
        <f t="shared" si="155"/>
        <v>0</v>
      </c>
      <c r="N816" s="592" t="str">
        <f>INDEX(tblSubjectToLoan[Date],ROW()-ROW(tblContractForDeed[#Headers]))</f>
        <v/>
      </c>
      <c r="O816" s="275">
        <f>IF(ROW()=ROW(tblContractForDeed[#Headers])+1,$O$6,IF(INDEX(tblContractForDeed[End Bal],ROW()-ROW(tblContractForDeed[#Headers])-1)&lt;0,0,INDEX(tblContractForDeed[End Bal],ROW()-ROW(tblContractForDeed[#Headers])-1)))</f>
        <v>0</v>
      </c>
      <c r="P816" s="445" t="str">
        <f>IF(tblContractForDeed[[#This Row],[Date]]="","",IF(tblContractForDeed[[#This Row],[Date]]&lt;cfdRateChangeDate,cfdRate1,cfdRate2))</f>
        <v/>
      </c>
      <c r="Q8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75">
        <f>SUM(INDEX(tblContractForDeed[Princ],1):INDEX(tblContractForDeed[Princ],ROW()-ROW(tblContractForDeed[#Headers])))</f>
        <v>75258.000000000029</v>
      </c>
      <c r="X816" s="275">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75">
        <f>IF(INDEX(tblContractForDeed[Payment],ROW()-ROW(tblBuyerOutputs[#Headers]))=0,0,INDEX(tblContractForDeed[Payment],ROW()-ROW(tblBuyerOutputs[#Headers]))-INDEX(tblSubjectToLoan[Payment],ROW()-ROW(tblBuyerOutputs[#Headers])))</f>
        <v>0</v>
      </c>
      <c r="AA816" s="275"/>
      <c r="AB816" s="275">
        <f>IF(INDEX(tblContractForDeed[Payment],ROW()-ROW(tblBuyerOutputs[#Headers]))=0,0,INDEX(tblContractForDeed[Payment],ROW()-ROW(tblBuyerOutputs[#Headers]))-INDEX(tblSubjectToLoan[Payment],ROW()-ROW(tblBuyerOutputs[#Headers])))-IFERROR(tblBuyerOutputs[[#This Row],[PMI]],0)</f>
        <v>0</v>
      </c>
      <c r="AC8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6" s="275">
        <f>IF(INDEX(tblContractForDeed[End Bal],ROW()-ROW(tblBuyerOutputs[#Headers]))&lt;=0,0,($O$6+IF(ROW()=ROW(tblBuyerOutputs[#Headers])+1,0,INDEX(tblBuyerOutputs[Cumul Appr],ROW()-ROW(tblBuyerOutputs[#Headers])-1)))*$O$2/12)</f>
        <v>0</v>
      </c>
      <c r="AE816" s="275">
        <f>IF(INDEX(tblContractForDeed[End Bal],ROW()-ROW(tblBuyerOutputs[#Headers]))&lt;=0,0,IF(ROW()=ROW(tblBuyerOutputs[#Headers])+1,0,INDEX(tblBuyerOutputs[Cumul Appr],ROW()-ROW(tblBuyerOutputs[#Headers])-1))+tblBuyerOutputs[[#This Row],[Monthly Appr]])</f>
        <v>0</v>
      </c>
      <c r="AF816" s="22"/>
      <c r="AG816" s="14"/>
      <c r="AL816"/>
      <c r="AM816" s="14"/>
      <c r="AO816" s="275"/>
      <c r="AQ816" s="14"/>
      <c r="AR816"/>
    </row>
    <row r="817" spans="1:44" x14ac:dyDescent="0.25">
      <c r="A817" s="592" t="str">
        <f t="shared" si="151"/>
        <v/>
      </c>
      <c r="B817" s="275">
        <f t="shared" si="152"/>
        <v>0</v>
      </c>
      <c r="C817" s="14">
        <f t="shared" si="149"/>
        <v>0</v>
      </c>
      <c r="D817" s="14">
        <f t="shared" si="153"/>
        <v>0</v>
      </c>
      <c r="E817" s="14">
        <f t="shared" si="150"/>
        <v>0</v>
      </c>
      <c r="K817" s="275">
        <f t="shared" si="154"/>
        <v>0</v>
      </c>
      <c r="M817" s="22">
        <f t="shared" si="155"/>
        <v>0</v>
      </c>
      <c r="N817" s="592" t="str">
        <f>INDEX(tblSubjectToLoan[Date],ROW()-ROW(tblContractForDeed[#Headers]))</f>
        <v/>
      </c>
      <c r="O817" s="275">
        <f>IF(ROW()=ROW(tblContractForDeed[#Headers])+1,$O$6,IF(INDEX(tblContractForDeed[End Bal],ROW()-ROW(tblContractForDeed[#Headers])-1)&lt;0,0,INDEX(tblContractForDeed[End Bal],ROW()-ROW(tblContractForDeed[#Headers])-1)))</f>
        <v>0</v>
      </c>
      <c r="P817" s="445" t="str">
        <f>IF(tblContractForDeed[[#This Row],[Date]]="","",IF(tblContractForDeed[[#This Row],[Date]]&lt;cfdRateChangeDate,cfdRate1,cfdRate2))</f>
        <v/>
      </c>
      <c r="Q8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75">
        <f>SUM(INDEX(tblContractForDeed[Princ],1):INDEX(tblContractForDeed[Princ],ROW()-ROW(tblContractForDeed[#Headers])))</f>
        <v>75258.000000000029</v>
      </c>
      <c r="X817" s="275">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75">
        <f>IF(INDEX(tblContractForDeed[Payment],ROW()-ROW(tblBuyerOutputs[#Headers]))=0,0,INDEX(tblContractForDeed[Payment],ROW()-ROW(tblBuyerOutputs[#Headers]))-INDEX(tblSubjectToLoan[Payment],ROW()-ROW(tblBuyerOutputs[#Headers])))</f>
        <v>0</v>
      </c>
      <c r="AA817" s="275"/>
      <c r="AB817" s="275">
        <f>IF(INDEX(tblContractForDeed[Payment],ROW()-ROW(tblBuyerOutputs[#Headers]))=0,0,INDEX(tblContractForDeed[Payment],ROW()-ROW(tblBuyerOutputs[#Headers]))-INDEX(tblSubjectToLoan[Payment],ROW()-ROW(tblBuyerOutputs[#Headers])))-IFERROR(tblBuyerOutputs[[#This Row],[PMI]],0)</f>
        <v>0</v>
      </c>
      <c r="AC8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7" s="275">
        <f>IF(INDEX(tblContractForDeed[End Bal],ROW()-ROW(tblBuyerOutputs[#Headers]))&lt;=0,0,($O$6+IF(ROW()=ROW(tblBuyerOutputs[#Headers])+1,0,INDEX(tblBuyerOutputs[Cumul Appr],ROW()-ROW(tblBuyerOutputs[#Headers])-1)))*$O$2/12)</f>
        <v>0</v>
      </c>
      <c r="AE817" s="275">
        <f>IF(INDEX(tblContractForDeed[End Bal],ROW()-ROW(tblBuyerOutputs[#Headers]))&lt;=0,0,IF(ROW()=ROW(tblBuyerOutputs[#Headers])+1,0,INDEX(tblBuyerOutputs[Cumul Appr],ROW()-ROW(tblBuyerOutputs[#Headers])-1))+tblBuyerOutputs[[#This Row],[Monthly Appr]])</f>
        <v>0</v>
      </c>
      <c r="AF817" s="22"/>
      <c r="AG817" s="14"/>
      <c r="AL817"/>
      <c r="AM817" s="14"/>
      <c r="AO817" s="275"/>
      <c r="AQ817" s="14"/>
      <c r="AR817"/>
    </row>
    <row r="818" spans="1:44" x14ac:dyDescent="0.25">
      <c r="A818" s="592" t="str">
        <f t="shared" si="151"/>
        <v/>
      </c>
      <c r="B818" s="275">
        <f t="shared" si="152"/>
        <v>0</v>
      </c>
      <c r="C818" s="14">
        <f t="shared" si="149"/>
        <v>0</v>
      </c>
      <c r="D818" s="14">
        <f t="shared" si="153"/>
        <v>0</v>
      </c>
      <c r="E818" s="14">
        <f t="shared" si="150"/>
        <v>0</v>
      </c>
      <c r="K818" s="275">
        <f t="shared" si="154"/>
        <v>0</v>
      </c>
      <c r="M818" s="22">
        <f t="shared" si="155"/>
        <v>0</v>
      </c>
      <c r="N818" s="592" t="str">
        <f>INDEX(tblSubjectToLoan[Date],ROW()-ROW(tblContractForDeed[#Headers]))</f>
        <v/>
      </c>
      <c r="O818" s="275">
        <f>IF(ROW()=ROW(tblContractForDeed[#Headers])+1,$O$6,IF(INDEX(tblContractForDeed[End Bal],ROW()-ROW(tblContractForDeed[#Headers])-1)&lt;0,0,INDEX(tblContractForDeed[End Bal],ROW()-ROW(tblContractForDeed[#Headers])-1)))</f>
        <v>0</v>
      </c>
      <c r="P818" s="445" t="str">
        <f>IF(tblContractForDeed[[#This Row],[Date]]="","",IF(tblContractForDeed[[#This Row],[Date]]&lt;cfdRateChangeDate,cfdRate1,cfdRate2))</f>
        <v/>
      </c>
      <c r="Q8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75">
        <f>SUM(INDEX(tblContractForDeed[Princ],1):INDEX(tblContractForDeed[Princ],ROW()-ROW(tblContractForDeed[#Headers])))</f>
        <v>75258.000000000029</v>
      </c>
      <c r="X818" s="275">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75">
        <f>IF(INDEX(tblContractForDeed[Payment],ROW()-ROW(tblBuyerOutputs[#Headers]))=0,0,INDEX(tblContractForDeed[Payment],ROW()-ROW(tblBuyerOutputs[#Headers]))-INDEX(tblSubjectToLoan[Payment],ROW()-ROW(tblBuyerOutputs[#Headers])))</f>
        <v>0</v>
      </c>
      <c r="AA818" s="275"/>
      <c r="AB818" s="275">
        <f>IF(INDEX(tblContractForDeed[Payment],ROW()-ROW(tblBuyerOutputs[#Headers]))=0,0,INDEX(tblContractForDeed[Payment],ROW()-ROW(tblBuyerOutputs[#Headers]))-INDEX(tblSubjectToLoan[Payment],ROW()-ROW(tblBuyerOutputs[#Headers])))-IFERROR(tblBuyerOutputs[[#This Row],[PMI]],0)</f>
        <v>0</v>
      </c>
      <c r="AC8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8" s="275">
        <f>IF(INDEX(tblContractForDeed[End Bal],ROW()-ROW(tblBuyerOutputs[#Headers]))&lt;=0,0,($O$6+IF(ROW()=ROW(tblBuyerOutputs[#Headers])+1,0,INDEX(tblBuyerOutputs[Cumul Appr],ROW()-ROW(tblBuyerOutputs[#Headers])-1)))*$O$2/12)</f>
        <v>0</v>
      </c>
      <c r="AE818" s="275">
        <f>IF(INDEX(tblContractForDeed[End Bal],ROW()-ROW(tblBuyerOutputs[#Headers]))&lt;=0,0,IF(ROW()=ROW(tblBuyerOutputs[#Headers])+1,0,INDEX(tblBuyerOutputs[Cumul Appr],ROW()-ROW(tblBuyerOutputs[#Headers])-1))+tblBuyerOutputs[[#This Row],[Monthly Appr]])</f>
        <v>0</v>
      </c>
      <c r="AF818" s="22"/>
      <c r="AG818" s="14"/>
      <c r="AL818"/>
      <c r="AM818" s="14"/>
      <c r="AO818" s="275"/>
      <c r="AQ818" s="14"/>
      <c r="AR818"/>
    </row>
    <row r="819" spans="1:44" x14ac:dyDescent="0.25">
      <c r="A819" s="592" t="str">
        <f t="shared" si="151"/>
        <v/>
      </c>
      <c r="B819" s="275">
        <f t="shared" si="152"/>
        <v>0</v>
      </c>
      <c r="C819" s="14">
        <f t="shared" si="149"/>
        <v>0</v>
      </c>
      <c r="D819" s="14">
        <f t="shared" si="153"/>
        <v>0</v>
      </c>
      <c r="E819" s="14">
        <f t="shared" si="150"/>
        <v>0</v>
      </c>
      <c r="K819" s="275">
        <f t="shared" si="154"/>
        <v>0</v>
      </c>
      <c r="M819" s="22">
        <f t="shared" si="155"/>
        <v>0</v>
      </c>
      <c r="N819" s="592" t="str">
        <f>INDEX(tblSubjectToLoan[Date],ROW()-ROW(tblContractForDeed[#Headers]))</f>
        <v/>
      </c>
      <c r="O819" s="275">
        <f>IF(ROW()=ROW(tblContractForDeed[#Headers])+1,$O$6,IF(INDEX(tblContractForDeed[End Bal],ROW()-ROW(tblContractForDeed[#Headers])-1)&lt;0,0,INDEX(tblContractForDeed[End Bal],ROW()-ROW(tblContractForDeed[#Headers])-1)))</f>
        <v>0</v>
      </c>
      <c r="P819" s="445" t="str">
        <f>IF(tblContractForDeed[[#This Row],[Date]]="","",IF(tblContractForDeed[[#This Row],[Date]]&lt;cfdRateChangeDate,cfdRate1,cfdRate2))</f>
        <v/>
      </c>
      <c r="Q81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75">
        <f>SUM(INDEX(tblContractForDeed[Princ],1):INDEX(tblContractForDeed[Princ],ROW()-ROW(tblContractForDeed[#Headers])))</f>
        <v>75258.000000000029</v>
      </c>
      <c r="X819" s="275">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75">
        <f>IF(INDEX(tblContractForDeed[Payment],ROW()-ROW(tblBuyerOutputs[#Headers]))=0,0,INDEX(tblContractForDeed[Payment],ROW()-ROW(tblBuyerOutputs[#Headers]))-INDEX(tblSubjectToLoan[Payment],ROW()-ROW(tblBuyerOutputs[#Headers])))</f>
        <v>0</v>
      </c>
      <c r="AA819" s="275"/>
      <c r="AB819" s="275">
        <f>IF(INDEX(tblContractForDeed[Payment],ROW()-ROW(tblBuyerOutputs[#Headers]))=0,0,INDEX(tblContractForDeed[Payment],ROW()-ROW(tblBuyerOutputs[#Headers]))-INDEX(tblSubjectToLoan[Payment],ROW()-ROW(tblBuyerOutputs[#Headers])))-IFERROR(tblBuyerOutputs[[#This Row],[PMI]],0)</f>
        <v>0</v>
      </c>
      <c r="AC8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9" s="275">
        <f>IF(INDEX(tblContractForDeed[End Bal],ROW()-ROW(tblBuyerOutputs[#Headers]))&lt;=0,0,($O$6+IF(ROW()=ROW(tblBuyerOutputs[#Headers])+1,0,INDEX(tblBuyerOutputs[Cumul Appr],ROW()-ROW(tblBuyerOutputs[#Headers])-1)))*$O$2/12)</f>
        <v>0</v>
      </c>
      <c r="AE819" s="275">
        <f>IF(INDEX(tblContractForDeed[End Bal],ROW()-ROW(tblBuyerOutputs[#Headers]))&lt;=0,0,IF(ROW()=ROW(tblBuyerOutputs[#Headers])+1,0,INDEX(tblBuyerOutputs[Cumul Appr],ROW()-ROW(tblBuyerOutputs[#Headers])-1))+tblBuyerOutputs[[#This Row],[Monthly Appr]])</f>
        <v>0</v>
      </c>
      <c r="AF819" s="22"/>
      <c r="AG819" s="14"/>
      <c r="AL819"/>
      <c r="AM819" s="14"/>
      <c r="AO819" s="275"/>
      <c r="AQ819" s="14"/>
      <c r="AR819"/>
    </row>
    <row r="820" spans="1:44" x14ac:dyDescent="0.25">
      <c r="A820" s="592" t="str">
        <f t="shared" si="151"/>
        <v/>
      </c>
      <c r="B820" s="275">
        <f t="shared" si="152"/>
        <v>0</v>
      </c>
      <c r="C820" s="14">
        <f t="shared" si="149"/>
        <v>0</v>
      </c>
      <c r="D820" s="14">
        <f t="shared" si="153"/>
        <v>0</v>
      </c>
      <c r="E820" s="14">
        <f t="shared" si="150"/>
        <v>0</v>
      </c>
      <c r="K820" s="275">
        <f t="shared" si="154"/>
        <v>0</v>
      </c>
      <c r="M820" s="22">
        <f t="shared" si="155"/>
        <v>0</v>
      </c>
      <c r="N820" s="592" t="str">
        <f>INDEX(tblSubjectToLoan[Date],ROW()-ROW(tblContractForDeed[#Headers]))</f>
        <v/>
      </c>
      <c r="O820" s="275">
        <f>IF(ROW()=ROW(tblContractForDeed[#Headers])+1,$O$6,IF(INDEX(tblContractForDeed[End Bal],ROW()-ROW(tblContractForDeed[#Headers])-1)&lt;0,0,INDEX(tblContractForDeed[End Bal],ROW()-ROW(tblContractForDeed[#Headers])-1)))</f>
        <v>0</v>
      </c>
      <c r="P820" s="445" t="str">
        <f>IF(tblContractForDeed[[#This Row],[Date]]="","",IF(tblContractForDeed[[#This Row],[Date]]&lt;cfdRateChangeDate,cfdRate1,cfdRate2))</f>
        <v/>
      </c>
      <c r="Q8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75">
        <f>SUM(INDEX(tblContractForDeed[Princ],1):INDEX(tblContractForDeed[Princ],ROW()-ROW(tblContractForDeed[#Headers])))</f>
        <v>75258.000000000029</v>
      </c>
      <c r="X820" s="275">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75">
        <f>IF(INDEX(tblContractForDeed[Payment],ROW()-ROW(tblBuyerOutputs[#Headers]))=0,0,INDEX(tblContractForDeed[Payment],ROW()-ROW(tblBuyerOutputs[#Headers]))-INDEX(tblSubjectToLoan[Payment],ROW()-ROW(tblBuyerOutputs[#Headers])))</f>
        <v>0</v>
      </c>
      <c r="AA820" s="275"/>
      <c r="AB820" s="275">
        <f>IF(INDEX(tblContractForDeed[Payment],ROW()-ROW(tblBuyerOutputs[#Headers]))=0,0,INDEX(tblContractForDeed[Payment],ROW()-ROW(tblBuyerOutputs[#Headers]))-INDEX(tblSubjectToLoan[Payment],ROW()-ROW(tblBuyerOutputs[#Headers])))-IFERROR(tblBuyerOutputs[[#This Row],[PMI]],0)</f>
        <v>0</v>
      </c>
      <c r="AC8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0" s="275">
        <f>IF(INDEX(tblContractForDeed[End Bal],ROW()-ROW(tblBuyerOutputs[#Headers]))&lt;=0,0,($O$6+IF(ROW()=ROW(tblBuyerOutputs[#Headers])+1,0,INDEX(tblBuyerOutputs[Cumul Appr],ROW()-ROW(tblBuyerOutputs[#Headers])-1)))*$O$2/12)</f>
        <v>0</v>
      </c>
      <c r="AE820" s="275">
        <f>IF(INDEX(tblContractForDeed[End Bal],ROW()-ROW(tblBuyerOutputs[#Headers]))&lt;=0,0,IF(ROW()=ROW(tblBuyerOutputs[#Headers])+1,0,INDEX(tblBuyerOutputs[Cumul Appr],ROW()-ROW(tblBuyerOutputs[#Headers])-1))+tblBuyerOutputs[[#This Row],[Monthly Appr]])</f>
        <v>0</v>
      </c>
      <c r="AF820" s="22"/>
      <c r="AG820" s="14"/>
      <c r="AL820"/>
      <c r="AM820" s="14"/>
      <c r="AO820" s="275"/>
      <c r="AQ820" s="14"/>
      <c r="AR820"/>
    </row>
    <row r="821" spans="1:44" x14ac:dyDescent="0.25">
      <c r="A821" s="592" t="str">
        <f t="shared" si="151"/>
        <v/>
      </c>
      <c r="B821" s="275">
        <f t="shared" si="152"/>
        <v>0</v>
      </c>
      <c r="C821" s="14">
        <f t="shared" si="149"/>
        <v>0</v>
      </c>
      <c r="D821" s="14">
        <f t="shared" si="153"/>
        <v>0</v>
      </c>
      <c r="E821" s="14">
        <f t="shared" si="150"/>
        <v>0</v>
      </c>
      <c r="K821" s="275">
        <f t="shared" si="154"/>
        <v>0</v>
      </c>
      <c r="M821" s="22">
        <f t="shared" si="155"/>
        <v>0</v>
      </c>
      <c r="N821" s="592" t="str">
        <f>INDEX(tblSubjectToLoan[Date],ROW()-ROW(tblContractForDeed[#Headers]))</f>
        <v/>
      </c>
      <c r="O821" s="275">
        <f>IF(ROW()=ROW(tblContractForDeed[#Headers])+1,$O$6,IF(INDEX(tblContractForDeed[End Bal],ROW()-ROW(tblContractForDeed[#Headers])-1)&lt;0,0,INDEX(tblContractForDeed[End Bal],ROW()-ROW(tblContractForDeed[#Headers])-1)))</f>
        <v>0</v>
      </c>
      <c r="P821" s="445" t="str">
        <f>IF(tblContractForDeed[[#This Row],[Date]]="","",IF(tblContractForDeed[[#This Row],[Date]]&lt;cfdRateChangeDate,cfdRate1,cfdRate2))</f>
        <v/>
      </c>
      <c r="Q8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75">
        <f>SUM(INDEX(tblContractForDeed[Princ],1):INDEX(tblContractForDeed[Princ],ROW()-ROW(tblContractForDeed[#Headers])))</f>
        <v>75258.000000000029</v>
      </c>
      <c r="X821" s="275">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75">
        <f>IF(INDEX(tblContractForDeed[Payment],ROW()-ROW(tblBuyerOutputs[#Headers]))=0,0,INDEX(tblContractForDeed[Payment],ROW()-ROW(tblBuyerOutputs[#Headers]))-INDEX(tblSubjectToLoan[Payment],ROW()-ROW(tblBuyerOutputs[#Headers])))</f>
        <v>0</v>
      </c>
      <c r="AA821" s="275"/>
      <c r="AB821" s="275">
        <f>IF(INDEX(tblContractForDeed[Payment],ROW()-ROW(tblBuyerOutputs[#Headers]))=0,0,INDEX(tblContractForDeed[Payment],ROW()-ROW(tblBuyerOutputs[#Headers]))-INDEX(tblSubjectToLoan[Payment],ROW()-ROW(tblBuyerOutputs[#Headers])))-IFERROR(tblBuyerOutputs[[#This Row],[PMI]],0)</f>
        <v>0</v>
      </c>
      <c r="AC8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1" s="275">
        <f>IF(INDEX(tblContractForDeed[End Bal],ROW()-ROW(tblBuyerOutputs[#Headers]))&lt;=0,0,($O$6+IF(ROW()=ROW(tblBuyerOutputs[#Headers])+1,0,INDEX(tblBuyerOutputs[Cumul Appr],ROW()-ROW(tblBuyerOutputs[#Headers])-1)))*$O$2/12)</f>
        <v>0</v>
      </c>
      <c r="AE821" s="275">
        <f>IF(INDEX(tblContractForDeed[End Bal],ROW()-ROW(tblBuyerOutputs[#Headers]))&lt;=0,0,IF(ROW()=ROW(tblBuyerOutputs[#Headers])+1,0,INDEX(tblBuyerOutputs[Cumul Appr],ROW()-ROW(tblBuyerOutputs[#Headers])-1))+tblBuyerOutputs[[#This Row],[Monthly Appr]])</f>
        <v>0</v>
      </c>
      <c r="AF821" s="22"/>
      <c r="AG821" s="14"/>
      <c r="AL821"/>
      <c r="AM821" s="14"/>
      <c r="AO821" s="275"/>
      <c r="AQ821" s="14"/>
      <c r="AR821"/>
    </row>
    <row r="822" spans="1:44" x14ac:dyDescent="0.25">
      <c r="A822" s="592" t="str">
        <f t="shared" si="151"/>
        <v/>
      </c>
      <c r="B822" s="275">
        <f t="shared" si="152"/>
        <v>0</v>
      </c>
      <c r="C822" s="14">
        <f t="shared" si="149"/>
        <v>0</v>
      </c>
      <c r="D822" s="14">
        <f t="shared" si="153"/>
        <v>0</v>
      </c>
      <c r="E822" s="14">
        <f t="shared" si="150"/>
        <v>0</v>
      </c>
      <c r="K822" s="275">
        <f t="shared" si="154"/>
        <v>0</v>
      </c>
      <c r="M822" s="22">
        <f t="shared" si="155"/>
        <v>0</v>
      </c>
      <c r="N822" s="592" t="str">
        <f>INDEX(tblSubjectToLoan[Date],ROW()-ROW(tblContractForDeed[#Headers]))</f>
        <v/>
      </c>
      <c r="O822" s="275">
        <f>IF(ROW()=ROW(tblContractForDeed[#Headers])+1,$O$6,IF(INDEX(tblContractForDeed[End Bal],ROW()-ROW(tblContractForDeed[#Headers])-1)&lt;0,0,INDEX(tblContractForDeed[End Bal],ROW()-ROW(tblContractForDeed[#Headers])-1)))</f>
        <v>0</v>
      </c>
      <c r="P822" s="445" t="str">
        <f>IF(tblContractForDeed[[#This Row],[Date]]="","",IF(tblContractForDeed[[#This Row],[Date]]&lt;cfdRateChangeDate,cfdRate1,cfdRate2))</f>
        <v/>
      </c>
      <c r="Q8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75">
        <f>SUM(INDEX(tblContractForDeed[Princ],1):INDEX(tblContractForDeed[Princ],ROW()-ROW(tblContractForDeed[#Headers])))</f>
        <v>75258.000000000029</v>
      </c>
      <c r="X822" s="275">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75">
        <f>IF(INDEX(tblContractForDeed[Payment],ROW()-ROW(tblBuyerOutputs[#Headers]))=0,0,INDEX(tblContractForDeed[Payment],ROW()-ROW(tblBuyerOutputs[#Headers]))-INDEX(tblSubjectToLoan[Payment],ROW()-ROW(tblBuyerOutputs[#Headers])))</f>
        <v>0</v>
      </c>
      <c r="AA822" s="275"/>
      <c r="AB822" s="275">
        <f>IF(INDEX(tblContractForDeed[Payment],ROW()-ROW(tblBuyerOutputs[#Headers]))=0,0,INDEX(tblContractForDeed[Payment],ROW()-ROW(tblBuyerOutputs[#Headers]))-INDEX(tblSubjectToLoan[Payment],ROW()-ROW(tblBuyerOutputs[#Headers])))-IFERROR(tblBuyerOutputs[[#This Row],[PMI]],0)</f>
        <v>0</v>
      </c>
      <c r="AC8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2" s="275">
        <f>IF(INDEX(tblContractForDeed[End Bal],ROW()-ROW(tblBuyerOutputs[#Headers]))&lt;=0,0,($O$6+IF(ROW()=ROW(tblBuyerOutputs[#Headers])+1,0,INDEX(tblBuyerOutputs[Cumul Appr],ROW()-ROW(tblBuyerOutputs[#Headers])-1)))*$O$2/12)</f>
        <v>0</v>
      </c>
      <c r="AE822" s="275">
        <f>IF(INDEX(tblContractForDeed[End Bal],ROW()-ROW(tblBuyerOutputs[#Headers]))&lt;=0,0,IF(ROW()=ROW(tblBuyerOutputs[#Headers])+1,0,INDEX(tblBuyerOutputs[Cumul Appr],ROW()-ROW(tblBuyerOutputs[#Headers])-1))+tblBuyerOutputs[[#This Row],[Monthly Appr]])</f>
        <v>0</v>
      </c>
      <c r="AF822" s="22"/>
      <c r="AG822" s="14"/>
      <c r="AL822"/>
      <c r="AM822" s="14"/>
      <c r="AO822" s="275"/>
      <c r="AQ822" s="14"/>
      <c r="AR822"/>
    </row>
    <row r="823" spans="1:44" x14ac:dyDescent="0.25">
      <c r="A823" s="592" t="str">
        <f t="shared" si="151"/>
        <v/>
      </c>
      <c r="B823" s="275">
        <f t="shared" si="152"/>
        <v>0</v>
      </c>
      <c r="C823" s="14">
        <f t="shared" si="149"/>
        <v>0</v>
      </c>
      <c r="D823" s="14">
        <f t="shared" si="153"/>
        <v>0</v>
      </c>
      <c r="E823" s="14">
        <f t="shared" si="150"/>
        <v>0</v>
      </c>
      <c r="K823" s="275">
        <f t="shared" si="154"/>
        <v>0</v>
      </c>
      <c r="M823" s="22">
        <f t="shared" si="155"/>
        <v>0</v>
      </c>
      <c r="N823" s="592" t="str">
        <f>INDEX(tblSubjectToLoan[Date],ROW()-ROW(tblContractForDeed[#Headers]))</f>
        <v/>
      </c>
      <c r="O823" s="275">
        <f>IF(ROW()=ROW(tblContractForDeed[#Headers])+1,$O$6,IF(INDEX(tblContractForDeed[End Bal],ROW()-ROW(tblContractForDeed[#Headers])-1)&lt;0,0,INDEX(tblContractForDeed[End Bal],ROW()-ROW(tblContractForDeed[#Headers])-1)))</f>
        <v>0</v>
      </c>
      <c r="P823" s="445" t="str">
        <f>IF(tblContractForDeed[[#This Row],[Date]]="","",IF(tblContractForDeed[[#This Row],[Date]]&lt;cfdRateChangeDate,cfdRate1,cfdRate2))</f>
        <v/>
      </c>
      <c r="Q82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75">
        <f>SUM(INDEX(tblContractForDeed[Princ],1):INDEX(tblContractForDeed[Princ],ROW()-ROW(tblContractForDeed[#Headers])))</f>
        <v>75258.000000000029</v>
      </c>
      <c r="X823" s="275">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75">
        <f>IF(INDEX(tblContractForDeed[Payment],ROW()-ROW(tblBuyerOutputs[#Headers]))=0,0,INDEX(tblContractForDeed[Payment],ROW()-ROW(tblBuyerOutputs[#Headers]))-INDEX(tblSubjectToLoan[Payment],ROW()-ROW(tblBuyerOutputs[#Headers])))</f>
        <v>0</v>
      </c>
      <c r="AA823" s="275"/>
      <c r="AB823" s="275">
        <f>IF(INDEX(tblContractForDeed[Payment],ROW()-ROW(tblBuyerOutputs[#Headers]))=0,0,INDEX(tblContractForDeed[Payment],ROW()-ROW(tblBuyerOutputs[#Headers]))-INDEX(tblSubjectToLoan[Payment],ROW()-ROW(tblBuyerOutputs[#Headers])))-IFERROR(tblBuyerOutputs[[#This Row],[PMI]],0)</f>
        <v>0</v>
      </c>
      <c r="AC8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3" s="275">
        <f>IF(INDEX(tblContractForDeed[End Bal],ROW()-ROW(tblBuyerOutputs[#Headers]))&lt;=0,0,($O$6+IF(ROW()=ROW(tblBuyerOutputs[#Headers])+1,0,INDEX(tblBuyerOutputs[Cumul Appr],ROW()-ROW(tblBuyerOutputs[#Headers])-1)))*$O$2/12)</f>
        <v>0</v>
      </c>
      <c r="AE823" s="275">
        <f>IF(INDEX(tblContractForDeed[End Bal],ROW()-ROW(tblBuyerOutputs[#Headers]))&lt;=0,0,IF(ROW()=ROW(tblBuyerOutputs[#Headers])+1,0,INDEX(tblBuyerOutputs[Cumul Appr],ROW()-ROW(tblBuyerOutputs[#Headers])-1))+tblBuyerOutputs[[#This Row],[Monthly Appr]])</f>
        <v>0</v>
      </c>
      <c r="AF823" s="22"/>
      <c r="AG823" s="14"/>
      <c r="AL823"/>
      <c r="AM823" s="14"/>
      <c r="AO823" s="275"/>
      <c r="AQ823" s="14"/>
      <c r="AR823"/>
    </row>
    <row r="824" spans="1:44" x14ac:dyDescent="0.25">
      <c r="A824" s="592" t="str">
        <f t="shared" si="151"/>
        <v/>
      </c>
      <c r="B824" s="275">
        <f t="shared" si="152"/>
        <v>0</v>
      </c>
      <c r="C824" s="14">
        <f t="shared" si="149"/>
        <v>0</v>
      </c>
      <c r="D824" s="14">
        <f t="shared" si="153"/>
        <v>0</v>
      </c>
      <c r="E824" s="14">
        <f t="shared" si="150"/>
        <v>0</v>
      </c>
      <c r="K824" s="275">
        <f t="shared" si="154"/>
        <v>0</v>
      </c>
      <c r="M824" s="22">
        <f t="shared" si="155"/>
        <v>0</v>
      </c>
      <c r="N824" s="592" t="str">
        <f>INDEX(tblSubjectToLoan[Date],ROW()-ROW(tblContractForDeed[#Headers]))</f>
        <v/>
      </c>
      <c r="O824" s="275">
        <f>IF(ROW()=ROW(tblContractForDeed[#Headers])+1,$O$6,IF(INDEX(tblContractForDeed[End Bal],ROW()-ROW(tblContractForDeed[#Headers])-1)&lt;0,0,INDEX(tblContractForDeed[End Bal],ROW()-ROW(tblContractForDeed[#Headers])-1)))</f>
        <v>0</v>
      </c>
      <c r="P824" s="445" t="str">
        <f>IF(tblContractForDeed[[#This Row],[Date]]="","",IF(tblContractForDeed[[#This Row],[Date]]&lt;cfdRateChangeDate,cfdRate1,cfdRate2))</f>
        <v/>
      </c>
      <c r="Q8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75">
        <f>SUM(INDEX(tblContractForDeed[Princ],1):INDEX(tblContractForDeed[Princ],ROW()-ROW(tblContractForDeed[#Headers])))</f>
        <v>75258.000000000029</v>
      </c>
      <c r="X824" s="275">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75">
        <f>IF(INDEX(tblContractForDeed[Payment],ROW()-ROW(tblBuyerOutputs[#Headers]))=0,0,INDEX(tblContractForDeed[Payment],ROW()-ROW(tblBuyerOutputs[#Headers]))-INDEX(tblSubjectToLoan[Payment],ROW()-ROW(tblBuyerOutputs[#Headers])))</f>
        <v>0</v>
      </c>
      <c r="AA824" s="275"/>
      <c r="AB824" s="275">
        <f>IF(INDEX(tblContractForDeed[Payment],ROW()-ROW(tblBuyerOutputs[#Headers]))=0,0,INDEX(tblContractForDeed[Payment],ROW()-ROW(tblBuyerOutputs[#Headers]))-INDEX(tblSubjectToLoan[Payment],ROW()-ROW(tblBuyerOutputs[#Headers])))-IFERROR(tblBuyerOutputs[[#This Row],[PMI]],0)</f>
        <v>0</v>
      </c>
      <c r="AC8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4" s="275">
        <f>IF(INDEX(tblContractForDeed[End Bal],ROW()-ROW(tblBuyerOutputs[#Headers]))&lt;=0,0,($O$6+IF(ROW()=ROW(tblBuyerOutputs[#Headers])+1,0,INDEX(tblBuyerOutputs[Cumul Appr],ROW()-ROW(tblBuyerOutputs[#Headers])-1)))*$O$2/12)</f>
        <v>0</v>
      </c>
      <c r="AE824" s="275">
        <f>IF(INDEX(tblContractForDeed[End Bal],ROW()-ROW(tblBuyerOutputs[#Headers]))&lt;=0,0,IF(ROW()=ROW(tblBuyerOutputs[#Headers])+1,0,INDEX(tblBuyerOutputs[Cumul Appr],ROW()-ROW(tblBuyerOutputs[#Headers])-1))+tblBuyerOutputs[[#This Row],[Monthly Appr]])</f>
        <v>0</v>
      </c>
      <c r="AF824" s="22"/>
      <c r="AG824" s="14"/>
      <c r="AL824"/>
      <c r="AM824" s="14"/>
      <c r="AO824" s="275"/>
      <c r="AQ824" s="14"/>
      <c r="AR824"/>
    </row>
    <row r="825" spans="1:44" x14ac:dyDescent="0.25">
      <c r="A825" s="592" t="str">
        <f t="shared" si="151"/>
        <v/>
      </c>
      <c r="B825" s="275">
        <f t="shared" si="152"/>
        <v>0</v>
      </c>
      <c r="C825" s="14">
        <f t="shared" si="149"/>
        <v>0</v>
      </c>
      <c r="D825" s="14">
        <f t="shared" si="153"/>
        <v>0</v>
      </c>
      <c r="E825" s="14">
        <f t="shared" si="150"/>
        <v>0</v>
      </c>
      <c r="K825" s="275">
        <f t="shared" si="154"/>
        <v>0</v>
      </c>
      <c r="M825" s="22">
        <f t="shared" si="155"/>
        <v>0</v>
      </c>
      <c r="N825" s="592" t="str">
        <f>INDEX(tblSubjectToLoan[Date],ROW()-ROW(tblContractForDeed[#Headers]))</f>
        <v/>
      </c>
      <c r="O825" s="275">
        <f>IF(ROW()=ROW(tblContractForDeed[#Headers])+1,$O$6,IF(INDEX(tblContractForDeed[End Bal],ROW()-ROW(tblContractForDeed[#Headers])-1)&lt;0,0,INDEX(tblContractForDeed[End Bal],ROW()-ROW(tblContractForDeed[#Headers])-1)))</f>
        <v>0</v>
      </c>
      <c r="P825" s="445" t="str">
        <f>IF(tblContractForDeed[[#This Row],[Date]]="","",IF(tblContractForDeed[[#This Row],[Date]]&lt;cfdRateChangeDate,cfdRate1,cfdRate2))</f>
        <v/>
      </c>
      <c r="Q8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75">
        <f>SUM(INDEX(tblContractForDeed[Princ],1):INDEX(tblContractForDeed[Princ],ROW()-ROW(tblContractForDeed[#Headers])))</f>
        <v>75258.000000000029</v>
      </c>
      <c r="X825" s="275">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75">
        <f>IF(INDEX(tblContractForDeed[Payment],ROW()-ROW(tblBuyerOutputs[#Headers]))=0,0,INDEX(tblContractForDeed[Payment],ROW()-ROW(tblBuyerOutputs[#Headers]))-INDEX(tblSubjectToLoan[Payment],ROW()-ROW(tblBuyerOutputs[#Headers])))</f>
        <v>0</v>
      </c>
      <c r="AA825" s="275"/>
      <c r="AB825" s="275">
        <f>IF(INDEX(tblContractForDeed[Payment],ROW()-ROW(tblBuyerOutputs[#Headers]))=0,0,INDEX(tblContractForDeed[Payment],ROW()-ROW(tblBuyerOutputs[#Headers]))-INDEX(tblSubjectToLoan[Payment],ROW()-ROW(tblBuyerOutputs[#Headers])))-IFERROR(tblBuyerOutputs[[#This Row],[PMI]],0)</f>
        <v>0</v>
      </c>
      <c r="AC8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5" s="275">
        <f>IF(INDEX(tblContractForDeed[End Bal],ROW()-ROW(tblBuyerOutputs[#Headers]))&lt;=0,0,($O$6+IF(ROW()=ROW(tblBuyerOutputs[#Headers])+1,0,INDEX(tblBuyerOutputs[Cumul Appr],ROW()-ROW(tblBuyerOutputs[#Headers])-1)))*$O$2/12)</f>
        <v>0</v>
      </c>
      <c r="AE825" s="275">
        <f>IF(INDEX(tblContractForDeed[End Bal],ROW()-ROW(tblBuyerOutputs[#Headers]))&lt;=0,0,IF(ROW()=ROW(tblBuyerOutputs[#Headers])+1,0,INDEX(tblBuyerOutputs[Cumul Appr],ROW()-ROW(tblBuyerOutputs[#Headers])-1))+tblBuyerOutputs[[#This Row],[Monthly Appr]])</f>
        <v>0</v>
      </c>
      <c r="AF825" s="22"/>
      <c r="AG825" s="14"/>
      <c r="AL825"/>
      <c r="AM825" s="14"/>
      <c r="AO825" s="275"/>
      <c r="AQ825" s="14"/>
      <c r="AR825"/>
    </row>
    <row r="826" spans="1:44" x14ac:dyDescent="0.25">
      <c r="A826" s="592" t="str">
        <f t="shared" si="151"/>
        <v/>
      </c>
      <c r="B826" s="275">
        <f t="shared" si="152"/>
        <v>0</v>
      </c>
      <c r="C826" s="14">
        <f t="shared" si="149"/>
        <v>0</v>
      </c>
      <c r="D826" s="14">
        <f t="shared" si="153"/>
        <v>0</v>
      </c>
      <c r="E826" s="14">
        <f t="shared" si="150"/>
        <v>0</v>
      </c>
      <c r="K826" s="275">
        <f t="shared" si="154"/>
        <v>0</v>
      </c>
      <c r="M826" s="22">
        <f t="shared" si="155"/>
        <v>0</v>
      </c>
      <c r="N826" s="592" t="str">
        <f>INDEX(tblSubjectToLoan[Date],ROW()-ROW(tblContractForDeed[#Headers]))</f>
        <v/>
      </c>
      <c r="O826" s="275">
        <f>IF(ROW()=ROW(tblContractForDeed[#Headers])+1,$O$6,IF(INDEX(tblContractForDeed[End Bal],ROW()-ROW(tblContractForDeed[#Headers])-1)&lt;0,0,INDEX(tblContractForDeed[End Bal],ROW()-ROW(tblContractForDeed[#Headers])-1)))</f>
        <v>0</v>
      </c>
      <c r="P826" s="445" t="str">
        <f>IF(tblContractForDeed[[#This Row],[Date]]="","",IF(tblContractForDeed[[#This Row],[Date]]&lt;cfdRateChangeDate,cfdRate1,cfdRate2))</f>
        <v/>
      </c>
      <c r="Q8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75">
        <f>SUM(INDEX(tblContractForDeed[Princ],1):INDEX(tblContractForDeed[Princ],ROW()-ROW(tblContractForDeed[#Headers])))</f>
        <v>75258.000000000029</v>
      </c>
      <c r="X826" s="275">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75">
        <f>IF(INDEX(tblContractForDeed[Payment],ROW()-ROW(tblBuyerOutputs[#Headers]))=0,0,INDEX(tblContractForDeed[Payment],ROW()-ROW(tblBuyerOutputs[#Headers]))-INDEX(tblSubjectToLoan[Payment],ROW()-ROW(tblBuyerOutputs[#Headers])))</f>
        <v>0</v>
      </c>
      <c r="AA826" s="275"/>
      <c r="AB826" s="275">
        <f>IF(INDEX(tblContractForDeed[Payment],ROW()-ROW(tblBuyerOutputs[#Headers]))=0,0,INDEX(tblContractForDeed[Payment],ROW()-ROW(tblBuyerOutputs[#Headers]))-INDEX(tblSubjectToLoan[Payment],ROW()-ROW(tblBuyerOutputs[#Headers])))-IFERROR(tblBuyerOutputs[[#This Row],[PMI]],0)</f>
        <v>0</v>
      </c>
      <c r="AC8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6" s="275">
        <f>IF(INDEX(tblContractForDeed[End Bal],ROW()-ROW(tblBuyerOutputs[#Headers]))&lt;=0,0,($O$6+IF(ROW()=ROW(tblBuyerOutputs[#Headers])+1,0,INDEX(tblBuyerOutputs[Cumul Appr],ROW()-ROW(tblBuyerOutputs[#Headers])-1)))*$O$2/12)</f>
        <v>0</v>
      </c>
      <c r="AE826" s="275">
        <f>IF(INDEX(tblContractForDeed[End Bal],ROW()-ROW(tblBuyerOutputs[#Headers]))&lt;=0,0,IF(ROW()=ROW(tblBuyerOutputs[#Headers])+1,0,INDEX(tblBuyerOutputs[Cumul Appr],ROW()-ROW(tblBuyerOutputs[#Headers])-1))+tblBuyerOutputs[[#This Row],[Monthly Appr]])</f>
        <v>0</v>
      </c>
      <c r="AF826" s="22"/>
      <c r="AG826" s="14"/>
      <c r="AL826"/>
      <c r="AM826" s="14"/>
      <c r="AO826" s="275"/>
      <c r="AQ826" s="14"/>
      <c r="AR826"/>
    </row>
    <row r="827" spans="1:44" x14ac:dyDescent="0.25">
      <c r="A827" s="592" t="str">
        <f t="shared" si="151"/>
        <v/>
      </c>
      <c r="B827" s="275">
        <f t="shared" si="152"/>
        <v>0</v>
      </c>
      <c r="C827" s="14">
        <f t="shared" si="149"/>
        <v>0</v>
      </c>
      <c r="D827" s="14">
        <f t="shared" si="153"/>
        <v>0</v>
      </c>
      <c r="E827" s="14">
        <f t="shared" si="150"/>
        <v>0</v>
      </c>
      <c r="K827" s="275">
        <f t="shared" si="154"/>
        <v>0</v>
      </c>
      <c r="M827" s="22">
        <f t="shared" si="155"/>
        <v>0</v>
      </c>
      <c r="N827" s="592" t="str">
        <f>INDEX(tblSubjectToLoan[Date],ROW()-ROW(tblContractForDeed[#Headers]))</f>
        <v/>
      </c>
      <c r="O827" s="275">
        <f>IF(ROW()=ROW(tblContractForDeed[#Headers])+1,$O$6,IF(INDEX(tblContractForDeed[End Bal],ROW()-ROW(tblContractForDeed[#Headers])-1)&lt;0,0,INDEX(tblContractForDeed[End Bal],ROW()-ROW(tblContractForDeed[#Headers])-1)))</f>
        <v>0</v>
      </c>
      <c r="P827" s="445" t="str">
        <f>IF(tblContractForDeed[[#This Row],[Date]]="","",IF(tblContractForDeed[[#This Row],[Date]]&lt;cfdRateChangeDate,cfdRate1,cfdRate2))</f>
        <v/>
      </c>
      <c r="Q82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75">
        <f>SUM(INDEX(tblContractForDeed[Princ],1):INDEX(tblContractForDeed[Princ],ROW()-ROW(tblContractForDeed[#Headers])))</f>
        <v>75258.000000000029</v>
      </c>
      <c r="X827" s="275">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75">
        <f>IF(INDEX(tblContractForDeed[Payment],ROW()-ROW(tblBuyerOutputs[#Headers]))=0,0,INDEX(tblContractForDeed[Payment],ROW()-ROW(tblBuyerOutputs[#Headers]))-INDEX(tblSubjectToLoan[Payment],ROW()-ROW(tblBuyerOutputs[#Headers])))</f>
        <v>0</v>
      </c>
      <c r="AA827" s="275"/>
      <c r="AB827" s="275">
        <f>IF(INDEX(tblContractForDeed[Payment],ROW()-ROW(tblBuyerOutputs[#Headers]))=0,0,INDEX(tblContractForDeed[Payment],ROW()-ROW(tblBuyerOutputs[#Headers]))-INDEX(tblSubjectToLoan[Payment],ROW()-ROW(tblBuyerOutputs[#Headers])))-IFERROR(tblBuyerOutputs[[#This Row],[PMI]],0)</f>
        <v>0</v>
      </c>
      <c r="AC8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7" s="275">
        <f>IF(INDEX(tblContractForDeed[End Bal],ROW()-ROW(tblBuyerOutputs[#Headers]))&lt;=0,0,($O$6+IF(ROW()=ROW(tblBuyerOutputs[#Headers])+1,0,INDEX(tblBuyerOutputs[Cumul Appr],ROW()-ROW(tblBuyerOutputs[#Headers])-1)))*$O$2/12)</f>
        <v>0</v>
      </c>
      <c r="AE827" s="275">
        <f>IF(INDEX(tblContractForDeed[End Bal],ROW()-ROW(tblBuyerOutputs[#Headers]))&lt;=0,0,IF(ROW()=ROW(tblBuyerOutputs[#Headers])+1,0,INDEX(tblBuyerOutputs[Cumul Appr],ROW()-ROW(tblBuyerOutputs[#Headers])-1))+tblBuyerOutputs[[#This Row],[Monthly Appr]])</f>
        <v>0</v>
      </c>
      <c r="AF827" s="22"/>
      <c r="AG827" s="14"/>
      <c r="AL827"/>
      <c r="AM827" s="14"/>
      <c r="AO827" s="275"/>
      <c r="AQ827" s="14"/>
      <c r="AR827"/>
    </row>
    <row r="828" spans="1:44" x14ac:dyDescent="0.25">
      <c r="A828" s="235" t="str">
        <f t="shared" si="151"/>
        <v/>
      </c>
      <c r="B828" s="275">
        <f t="shared" si="152"/>
        <v>0</v>
      </c>
      <c r="C828" s="14">
        <f t="shared" si="149"/>
        <v>0</v>
      </c>
      <c r="D828" s="14">
        <f t="shared" si="153"/>
        <v>0</v>
      </c>
      <c r="E828" s="14">
        <f t="shared" si="150"/>
        <v>0</v>
      </c>
      <c r="K828" s="275">
        <f t="shared" si="154"/>
        <v>0</v>
      </c>
      <c r="M828" s="22">
        <f t="shared" si="155"/>
        <v>0</v>
      </c>
      <c r="N828" s="235" t="str">
        <f>INDEX(tblSubjectToLoan[Date],ROW()-ROW(tblContractForDeed[#Headers]))</f>
        <v/>
      </c>
      <c r="O828" s="14">
        <f>IF(ROW()=ROW(tblContractForDeed[#Headers])+1,$O$6,IF(INDEX(tblContractForDeed[End Bal],ROW()-ROW(tblContractForDeed[#Headers])-1)&lt;0,0,INDEX(tblContractForDeed[End Bal],ROW()-ROW(tblContractForDeed[#Headers])-1)))</f>
        <v>0</v>
      </c>
      <c r="P828" s="445" t="str">
        <f>IF(tblContractForDeed[[#This Row],[Date]]="","",IF(tblContractForDeed[[#This Row],[Date]]&lt;cfdRateChangeDate,cfdRate1,cfdRate2))</f>
        <v/>
      </c>
      <c r="Q8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75">
        <f>IF(tblContractForDeed[[#This Row],[Princ]]=0,0,$W$3)</f>
        <v>0</v>
      </c>
      <c r="V828" s="275">
        <f>SUM(tblContractForDeed[[#This Row],[Princ]],tblContractForDeed[[#This Row],[Int]],tblContractForDeed[[#This Row],[Ins]],tblContractForDeed[[#This Row],[Taxes]])</f>
        <v>0</v>
      </c>
      <c r="W828" s="275">
        <f>SUM(INDEX(tblContractForDeed[Princ],1):INDEX(tblContractForDeed[Princ],ROW()-ROW(tblContractForDeed[#Headers])))</f>
        <v>75258.000000000029</v>
      </c>
      <c r="X828" s="449">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75">
        <f>IF(INDEX(tblContractForDeed[Payment],ROW()-ROW(tblBuyerOutputs[#Headers]))=0,0,INDEX(tblContractForDeed[Payment],ROW()-ROW(tblBuyerOutputs[#Headers]))-INDEX(tblSubjectToLoan[Payment],ROW()-ROW(tblBuyerOutputs[#Headers])))</f>
        <v>0</v>
      </c>
      <c r="AA828" s="275"/>
      <c r="AB828" s="275">
        <f>IF(INDEX(tblContractForDeed[Payment],ROW()-ROW(tblBuyerOutputs[#Headers]))=0,0,INDEX(tblContractForDeed[Payment],ROW()-ROW(tblBuyerOutputs[#Headers]))-INDEX(tblSubjectToLoan[Payment],ROW()-ROW(tblBuyerOutputs[#Headers])))-IFERROR(tblBuyerOutputs[[#This Row],[PMI]],0)</f>
        <v>0</v>
      </c>
      <c r="AC8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8" s="275">
        <f>IF(INDEX(tblContractForDeed[End Bal],ROW()-ROW(tblBuyerOutputs[#Headers]))&lt;=0,0,($O$6+IF(ROW()=ROW(tblBuyerOutputs[#Headers])+1,0,INDEX(tblBuyerOutputs[Cumul Appr],ROW()-ROW(tblBuyerOutputs[#Headers])-1)))*$O$2/12)</f>
        <v>0</v>
      </c>
      <c r="AE828" s="275">
        <f>IF(INDEX(tblContractForDeed[End Bal],ROW()-ROW(tblBuyerOutputs[#Headers]))&lt;=0,0,IF(ROW()=ROW(tblBuyerOutputs[#Headers])+1,0,INDEX(tblBuyerOutputs[Cumul Appr],ROW()-ROW(tblBuyerOutputs[#Headers])-1))+tblBuyerOutputs[[#This Row],[Monthly Appr]])</f>
        <v>0</v>
      </c>
      <c r="AF828" s="22"/>
      <c r="AG828" s="14"/>
      <c r="AL828"/>
      <c r="AM828" s="14"/>
      <c r="AO828" s="275"/>
      <c r="AQ828" s="14"/>
      <c r="AR828"/>
    </row>
    <row r="829" spans="1:44" x14ac:dyDescent="0.25">
      <c r="A829" s="235" t="str">
        <f t="shared" si="151"/>
        <v/>
      </c>
      <c r="B829" s="275">
        <f t="shared" si="152"/>
        <v>0</v>
      </c>
      <c r="C829" s="14">
        <f t="shared" si="149"/>
        <v>0</v>
      </c>
      <c r="D829" s="14">
        <f t="shared" si="153"/>
        <v>0</v>
      </c>
      <c r="E829" s="14">
        <f t="shared" si="150"/>
        <v>0</v>
      </c>
      <c r="K829" s="275">
        <f t="shared" si="154"/>
        <v>0</v>
      </c>
      <c r="M829" s="22">
        <f t="shared" si="155"/>
        <v>0</v>
      </c>
      <c r="N829" s="235" t="str">
        <f>INDEX(tblSubjectToLoan[Date],ROW()-ROW(tblContractForDeed[#Headers]))</f>
        <v/>
      </c>
      <c r="O829" s="14">
        <f>IF(ROW()=ROW(tblContractForDeed[#Headers])+1,$O$6,IF(INDEX(tblContractForDeed[End Bal],ROW()-ROW(tblContractForDeed[#Headers])-1)&lt;0,0,INDEX(tblContractForDeed[End Bal],ROW()-ROW(tblContractForDeed[#Headers])-1)))</f>
        <v>0</v>
      </c>
      <c r="P829" s="445" t="str">
        <f>IF(tblContractForDeed[[#This Row],[Date]]="","",IF(tblContractForDeed[[#This Row],[Date]]&lt;cfdRateChangeDate,cfdRate1,cfdRate2))</f>
        <v/>
      </c>
      <c r="Q8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75">
        <f>IF(tblContractForDeed[[#This Row],[Princ]]=0,0,$W$3)</f>
        <v>0</v>
      </c>
      <c r="V829" s="275">
        <f>SUM(tblContractForDeed[[#This Row],[Princ]],tblContractForDeed[[#This Row],[Int]],tblContractForDeed[[#This Row],[Ins]],tblContractForDeed[[#This Row],[Taxes]])</f>
        <v>0</v>
      </c>
      <c r="W829" s="275">
        <f>SUM(INDEX(tblContractForDeed[Princ],1):INDEX(tblContractForDeed[Princ],ROW()-ROW(tblContractForDeed[#Headers])))</f>
        <v>75258.000000000029</v>
      </c>
      <c r="X829" s="449">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75">
        <f>IF(INDEX(tblContractForDeed[Payment],ROW()-ROW(tblBuyerOutputs[#Headers]))=0,0,INDEX(tblContractForDeed[Payment],ROW()-ROW(tblBuyerOutputs[#Headers]))-INDEX(tblSubjectToLoan[Payment],ROW()-ROW(tblBuyerOutputs[#Headers])))</f>
        <v>0</v>
      </c>
      <c r="AA829" s="275"/>
      <c r="AB829" s="275">
        <f>IF(INDEX(tblContractForDeed[Payment],ROW()-ROW(tblBuyerOutputs[#Headers]))=0,0,INDEX(tblContractForDeed[Payment],ROW()-ROW(tblBuyerOutputs[#Headers]))-INDEX(tblSubjectToLoan[Payment],ROW()-ROW(tblBuyerOutputs[#Headers])))-IFERROR(tblBuyerOutputs[[#This Row],[PMI]],0)</f>
        <v>0</v>
      </c>
      <c r="AC8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9" s="275">
        <f>IF(INDEX(tblContractForDeed[End Bal],ROW()-ROW(tblBuyerOutputs[#Headers]))&lt;=0,0,($O$6+IF(ROW()=ROW(tblBuyerOutputs[#Headers])+1,0,INDEX(tblBuyerOutputs[Cumul Appr],ROW()-ROW(tblBuyerOutputs[#Headers])-1)))*$O$2/12)</f>
        <v>0</v>
      </c>
      <c r="AE829" s="275">
        <f>IF(INDEX(tblContractForDeed[End Bal],ROW()-ROW(tblBuyerOutputs[#Headers]))&lt;=0,0,IF(ROW()=ROW(tblBuyerOutputs[#Headers])+1,0,INDEX(tblBuyerOutputs[Cumul Appr],ROW()-ROW(tblBuyerOutputs[#Headers])-1))+tblBuyerOutputs[[#This Row],[Monthly Appr]])</f>
        <v>0</v>
      </c>
      <c r="AF829" s="22"/>
      <c r="AG829" s="14"/>
      <c r="AL829"/>
      <c r="AM829" s="14"/>
      <c r="AO829" s="275"/>
      <c r="AQ829" s="14"/>
      <c r="AR829"/>
    </row>
    <row r="830" spans="1:44" x14ac:dyDescent="0.25">
      <c r="A830" s="235" t="str">
        <f t="shared" si="151"/>
        <v/>
      </c>
      <c r="B830" s="275">
        <f t="shared" si="152"/>
        <v>0</v>
      </c>
      <c r="C830" s="14">
        <f t="shared" si="149"/>
        <v>0</v>
      </c>
      <c r="D830" s="14">
        <f t="shared" si="153"/>
        <v>0</v>
      </c>
      <c r="E830" s="14">
        <f t="shared" si="150"/>
        <v>0</v>
      </c>
      <c r="K830" s="275">
        <f t="shared" si="154"/>
        <v>0</v>
      </c>
      <c r="M830" s="22">
        <f t="shared" si="155"/>
        <v>0</v>
      </c>
      <c r="N830" s="235" t="str">
        <f>INDEX(tblSubjectToLoan[Date],ROW()-ROW(tblContractForDeed[#Headers]))</f>
        <v/>
      </c>
      <c r="O830" s="14">
        <f>IF(ROW()=ROW(tblContractForDeed[#Headers])+1,$O$6,IF(INDEX(tblContractForDeed[End Bal],ROW()-ROW(tblContractForDeed[#Headers])-1)&lt;0,0,INDEX(tblContractForDeed[End Bal],ROW()-ROW(tblContractForDeed[#Headers])-1)))</f>
        <v>0</v>
      </c>
      <c r="P830" s="445" t="str">
        <f>IF(tblContractForDeed[[#This Row],[Date]]="","",IF(tblContractForDeed[[#This Row],[Date]]&lt;cfdRateChangeDate,cfdRate1,cfdRate2))</f>
        <v/>
      </c>
      <c r="Q8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75">
        <f>IF(tblContractForDeed[[#This Row],[Princ]]=0,0,$W$3)</f>
        <v>0</v>
      </c>
      <c r="V830" s="275">
        <f>SUM(tblContractForDeed[[#This Row],[Princ]],tblContractForDeed[[#This Row],[Int]],tblContractForDeed[[#This Row],[Ins]],tblContractForDeed[[#This Row],[Taxes]])</f>
        <v>0</v>
      </c>
      <c r="W830" s="275">
        <f>SUM(INDEX(tblContractForDeed[Princ],1):INDEX(tblContractForDeed[Princ],ROW()-ROW(tblContractForDeed[#Headers])))</f>
        <v>75258.000000000029</v>
      </c>
      <c r="X830" s="449">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75">
        <f>IF(INDEX(tblContractForDeed[Payment],ROW()-ROW(tblBuyerOutputs[#Headers]))=0,0,INDEX(tblContractForDeed[Payment],ROW()-ROW(tblBuyerOutputs[#Headers]))-INDEX(tblSubjectToLoan[Payment],ROW()-ROW(tblBuyerOutputs[#Headers])))</f>
        <v>0</v>
      </c>
      <c r="AA830" s="275"/>
      <c r="AB830" s="275">
        <f>IF(INDEX(tblContractForDeed[Payment],ROW()-ROW(tblBuyerOutputs[#Headers]))=0,0,INDEX(tblContractForDeed[Payment],ROW()-ROW(tblBuyerOutputs[#Headers]))-INDEX(tblSubjectToLoan[Payment],ROW()-ROW(tblBuyerOutputs[#Headers])))-IFERROR(tblBuyerOutputs[[#This Row],[PMI]],0)</f>
        <v>0</v>
      </c>
      <c r="AC8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0" s="275">
        <f>IF(INDEX(tblContractForDeed[End Bal],ROW()-ROW(tblBuyerOutputs[#Headers]))&lt;=0,0,($O$6+IF(ROW()=ROW(tblBuyerOutputs[#Headers])+1,0,INDEX(tblBuyerOutputs[Cumul Appr],ROW()-ROW(tblBuyerOutputs[#Headers])-1)))*$O$2/12)</f>
        <v>0</v>
      </c>
      <c r="AE830" s="275">
        <f>IF(INDEX(tblContractForDeed[End Bal],ROW()-ROW(tblBuyerOutputs[#Headers]))&lt;=0,0,IF(ROW()=ROW(tblBuyerOutputs[#Headers])+1,0,INDEX(tblBuyerOutputs[Cumul Appr],ROW()-ROW(tblBuyerOutputs[#Headers])-1))+tblBuyerOutputs[[#This Row],[Monthly Appr]])</f>
        <v>0</v>
      </c>
      <c r="AF830" s="22"/>
      <c r="AG830" s="14"/>
      <c r="AL830"/>
      <c r="AM830" s="14"/>
      <c r="AO830" s="275"/>
      <c r="AQ830" s="14"/>
      <c r="AR830"/>
    </row>
    <row r="831" spans="1:44" x14ac:dyDescent="0.25">
      <c r="A831" s="235" t="str">
        <f t="shared" si="151"/>
        <v/>
      </c>
      <c r="B831" s="275">
        <f t="shared" si="152"/>
        <v>0</v>
      </c>
      <c r="C831" s="14">
        <f t="shared" si="149"/>
        <v>0</v>
      </c>
      <c r="D831" s="14">
        <f t="shared" si="153"/>
        <v>0</v>
      </c>
      <c r="E831" s="14">
        <f t="shared" si="150"/>
        <v>0</v>
      </c>
      <c r="K831" s="275">
        <f t="shared" si="154"/>
        <v>0</v>
      </c>
      <c r="M831" s="22">
        <f t="shared" si="155"/>
        <v>0</v>
      </c>
      <c r="N831" s="235" t="str">
        <f>INDEX(tblSubjectToLoan[Date],ROW()-ROW(tblContractForDeed[#Headers]))</f>
        <v/>
      </c>
      <c r="O831" s="14">
        <f>IF(ROW()=ROW(tblContractForDeed[#Headers])+1,$O$6,IF(INDEX(tblContractForDeed[End Bal],ROW()-ROW(tblContractForDeed[#Headers])-1)&lt;0,0,INDEX(tblContractForDeed[End Bal],ROW()-ROW(tblContractForDeed[#Headers])-1)))</f>
        <v>0</v>
      </c>
      <c r="P831" s="445" t="str">
        <f>IF(tblContractForDeed[[#This Row],[Date]]="","",IF(tblContractForDeed[[#This Row],[Date]]&lt;cfdRateChangeDate,cfdRate1,cfdRate2))</f>
        <v/>
      </c>
      <c r="Q83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75">
        <f>IF(tblContractForDeed[[#This Row],[Princ]]=0,0,$W$3)</f>
        <v>0</v>
      </c>
      <c r="V831" s="275">
        <f>SUM(tblContractForDeed[[#This Row],[Princ]],tblContractForDeed[[#This Row],[Int]],tblContractForDeed[[#This Row],[Ins]],tblContractForDeed[[#This Row],[Taxes]])</f>
        <v>0</v>
      </c>
      <c r="W831" s="275">
        <f>SUM(INDEX(tblContractForDeed[Princ],1):INDEX(tblContractForDeed[Princ],ROW()-ROW(tblContractForDeed[#Headers])))</f>
        <v>75258.000000000029</v>
      </c>
      <c r="X831" s="449">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75">
        <f>IF(INDEX(tblContractForDeed[Payment],ROW()-ROW(tblBuyerOutputs[#Headers]))=0,0,INDEX(tblContractForDeed[Payment],ROW()-ROW(tblBuyerOutputs[#Headers]))-INDEX(tblSubjectToLoan[Payment],ROW()-ROW(tblBuyerOutputs[#Headers])))</f>
        <v>0</v>
      </c>
      <c r="AA831" s="275"/>
      <c r="AB831" s="275">
        <f>IF(INDEX(tblContractForDeed[Payment],ROW()-ROW(tblBuyerOutputs[#Headers]))=0,0,INDEX(tblContractForDeed[Payment],ROW()-ROW(tblBuyerOutputs[#Headers]))-INDEX(tblSubjectToLoan[Payment],ROW()-ROW(tblBuyerOutputs[#Headers])))-IFERROR(tblBuyerOutputs[[#This Row],[PMI]],0)</f>
        <v>0</v>
      </c>
      <c r="AC8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1" s="275">
        <f>IF(INDEX(tblContractForDeed[End Bal],ROW()-ROW(tblBuyerOutputs[#Headers]))&lt;=0,0,($O$6+IF(ROW()=ROW(tblBuyerOutputs[#Headers])+1,0,INDEX(tblBuyerOutputs[Cumul Appr],ROW()-ROW(tblBuyerOutputs[#Headers])-1)))*$O$2/12)</f>
        <v>0</v>
      </c>
      <c r="AE831" s="275">
        <f>IF(INDEX(tblContractForDeed[End Bal],ROW()-ROW(tblBuyerOutputs[#Headers]))&lt;=0,0,IF(ROW()=ROW(tblBuyerOutputs[#Headers])+1,0,INDEX(tblBuyerOutputs[Cumul Appr],ROW()-ROW(tblBuyerOutputs[#Headers])-1))+tblBuyerOutputs[[#This Row],[Monthly Appr]])</f>
        <v>0</v>
      </c>
      <c r="AF831" s="22"/>
      <c r="AG831" s="14"/>
      <c r="AL831"/>
      <c r="AM831" s="14"/>
      <c r="AO831" s="275"/>
      <c r="AQ831" s="14"/>
      <c r="AR831"/>
    </row>
    <row r="832" spans="1:44" x14ac:dyDescent="0.25">
      <c r="A832" s="235" t="str">
        <f t="shared" si="151"/>
        <v/>
      </c>
      <c r="B832" s="275">
        <f t="shared" si="152"/>
        <v>0</v>
      </c>
      <c r="C832" s="14">
        <f t="shared" si="149"/>
        <v>0</v>
      </c>
      <c r="D832" s="14">
        <f t="shared" si="153"/>
        <v>0</v>
      </c>
      <c r="E832" s="14">
        <f t="shared" si="150"/>
        <v>0</v>
      </c>
      <c r="K832" s="275">
        <f t="shared" si="154"/>
        <v>0</v>
      </c>
      <c r="M832" s="22">
        <f t="shared" si="155"/>
        <v>0</v>
      </c>
      <c r="N832" s="235" t="str">
        <f>INDEX(tblSubjectToLoan[Date],ROW()-ROW(tblContractForDeed[#Headers]))</f>
        <v/>
      </c>
      <c r="O832" s="14">
        <f>IF(ROW()=ROW(tblContractForDeed[#Headers])+1,$O$6,IF(INDEX(tblContractForDeed[End Bal],ROW()-ROW(tblContractForDeed[#Headers])-1)&lt;0,0,INDEX(tblContractForDeed[End Bal],ROW()-ROW(tblContractForDeed[#Headers])-1)))</f>
        <v>0</v>
      </c>
      <c r="P832" s="445" t="str">
        <f>IF(tblContractForDeed[[#This Row],[Date]]="","",IF(tblContractForDeed[[#This Row],[Date]]&lt;cfdRateChangeDate,cfdRate1,cfdRate2))</f>
        <v/>
      </c>
      <c r="Q8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75">
        <f>IF(tblContractForDeed[[#This Row],[Princ]]=0,0,$W$3)</f>
        <v>0</v>
      </c>
      <c r="V832" s="275">
        <f>SUM(tblContractForDeed[[#This Row],[Princ]],tblContractForDeed[[#This Row],[Int]],tblContractForDeed[[#This Row],[Ins]],tblContractForDeed[[#This Row],[Taxes]])</f>
        <v>0</v>
      </c>
      <c r="W832" s="275">
        <f>SUM(INDEX(tblContractForDeed[Princ],1):INDEX(tblContractForDeed[Princ],ROW()-ROW(tblContractForDeed[#Headers])))</f>
        <v>75258.000000000029</v>
      </c>
      <c r="X832" s="449">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75">
        <f>IF(INDEX(tblContractForDeed[Payment],ROW()-ROW(tblBuyerOutputs[#Headers]))=0,0,INDEX(tblContractForDeed[Payment],ROW()-ROW(tblBuyerOutputs[#Headers]))-INDEX(tblSubjectToLoan[Payment],ROW()-ROW(tblBuyerOutputs[#Headers])))</f>
        <v>0</v>
      </c>
      <c r="AA832" s="275"/>
      <c r="AB832" s="275">
        <f>IF(INDEX(tblContractForDeed[Payment],ROW()-ROW(tblBuyerOutputs[#Headers]))=0,0,INDEX(tblContractForDeed[Payment],ROW()-ROW(tblBuyerOutputs[#Headers]))-INDEX(tblSubjectToLoan[Payment],ROW()-ROW(tblBuyerOutputs[#Headers])))-IFERROR(tblBuyerOutputs[[#This Row],[PMI]],0)</f>
        <v>0</v>
      </c>
      <c r="AC8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2" s="275">
        <f>IF(INDEX(tblContractForDeed[End Bal],ROW()-ROW(tblBuyerOutputs[#Headers]))&lt;=0,0,($O$6+IF(ROW()=ROW(tblBuyerOutputs[#Headers])+1,0,INDEX(tblBuyerOutputs[Cumul Appr],ROW()-ROW(tblBuyerOutputs[#Headers])-1)))*$O$2/12)</f>
        <v>0</v>
      </c>
      <c r="AE832" s="275">
        <f>IF(INDEX(tblContractForDeed[End Bal],ROW()-ROW(tblBuyerOutputs[#Headers]))&lt;=0,0,IF(ROW()=ROW(tblBuyerOutputs[#Headers])+1,0,INDEX(tblBuyerOutputs[Cumul Appr],ROW()-ROW(tblBuyerOutputs[#Headers])-1))+tblBuyerOutputs[[#This Row],[Monthly Appr]])</f>
        <v>0</v>
      </c>
      <c r="AF832" s="22"/>
      <c r="AG832" s="14"/>
      <c r="AL832"/>
      <c r="AM832" s="14"/>
      <c r="AO832" s="275"/>
      <c r="AQ832" s="14"/>
      <c r="AR832"/>
    </row>
    <row r="833" spans="1:44" x14ac:dyDescent="0.25">
      <c r="A833" s="235" t="str">
        <f t="shared" si="151"/>
        <v/>
      </c>
      <c r="B833" s="275">
        <f t="shared" si="152"/>
        <v>0</v>
      </c>
      <c r="C833" s="14">
        <f t="shared" si="149"/>
        <v>0</v>
      </c>
      <c r="D833" s="14">
        <f t="shared" si="153"/>
        <v>0</v>
      </c>
      <c r="E833" s="14">
        <f t="shared" si="150"/>
        <v>0</v>
      </c>
      <c r="K833" s="275">
        <f t="shared" si="154"/>
        <v>0</v>
      </c>
      <c r="M833" s="22">
        <f t="shared" si="155"/>
        <v>0</v>
      </c>
      <c r="N833" s="235" t="str">
        <f>INDEX(tblSubjectToLoan[Date],ROW()-ROW(tblContractForDeed[#Headers]))</f>
        <v/>
      </c>
      <c r="O833" s="14">
        <f>IF(ROW()=ROW(tblContractForDeed[#Headers])+1,$O$6,IF(INDEX(tblContractForDeed[End Bal],ROW()-ROW(tblContractForDeed[#Headers])-1)&lt;0,0,INDEX(tblContractForDeed[End Bal],ROW()-ROW(tblContractForDeed[#Headers])-1)))</f>
        <v>0</v>
      </c>
      <c r="P833" s="445" t="str">
        <f>IF(tblContractForDeed[[#This Row],[Date]]="","",IF(tblContractForDeed[[#This Row],[Date]]&lt;cfdRateChangeDate,cfdRate1,cfdRate2))</f>
        <v/>
      </c>
      <c r="Q8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75">
        <f>IF(tblContractForDeed[[#This Row],[Princ]]=0,0,$W$3)</f>
        <v>0</v>
      </c>
      <c r="V833" s="275">
        <f>SUM(tblContractForDeed[[#This Row],[Princ]],tblContractForDeed[[#This Row],[Int]],tblContractForDeed[[#This Row],[Ins]],tblContractForDeed[[#This Row],[Taxes]])</f>
        <v>0</v>
      </c>
      <c r="W833" s="275">
        <f>SUM(INDEX(tblContractForDeed[Princ],1):INDEX(tblContractForDeed[Princ],ROW()-ROW(tblContractForDeed[#Headers])))</f>
        <v>75258.000000000029</v>
      </c>
      <c r="X833" s="449">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75">
        <f>IF(INDEX(tblContractForDeed[Payment],ROW()-ROW(tblBuyerOutputs[#Headers]))=0,0,INDEX(tblContractForDeed[Payment],ROW()-ROW(tblBuyerOutputs[#Headers]))-INDEX(tblSubjectToLoan[Payment],ROW()-ROW(tblBuyerOutputs[#Headers])))</f>
        <v>0</v>
      </c>
      <c r="AA833" s="275"/>
      <c r="AB833" s="275">
        <f>IF(INDEX(tblContractForDeed[Payment],ROW()-ROW(tblBuyerOutputs[#Headers]))=0,0,INDEX(tblContractForDeed[Payment],ROW()-ROW(tblBuyerOutputs[#Headers]))-INDEX(tblSubjectToLoan[Payment],ROW()-ROW(tblBuyerOutputs[#Headers])))-IFERROR(tblBuyerOutputs[[#This Row],[PMI]],0)</f>
        <v>0</v>
      </c>
      <c r="AC8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3" s="275">
        <f>IF(INDEX(tblContractForDeed[End Bal],ROW()-ROW(tblBuyerOutputs[#Headers]))&lt;=0,0,($O$6+IF(ROW()=ROW(tblBuyerOutputs[#Headers])+1,0,INDEX(tblBuyerOutputs[Cumul Appr],ROW()-ROW(tblBuyerOutputs[#Headers])-1)))*$O$2/12)</f>
        <v>0</v>
      </c>
      <c r="AE833" s="275">
        <f>IF(INDEX(tblContractForDeed[End Bal],ROW()-ROW(tblBuyerOutputs[#Headers]))&lt;=0,0,IF(ROW()=ROW(tblBuyerOutputs[#Headers])+1,0,INDEX(tblBuyerOutputs[Cumul Appr],ROW()-ROW(tblBuyerOutputs[#Headers])-1))+tblBuyerOutputs[[#This Row],[Monthly Appr]])</f>
        <v>0</v>
      </c>
      <c r="AF833" s="22"/>
      <c r="AG833" s="14"/>
      <c r="AL833"/>
      <c r="AM833" s="14"/>
      <c r="AO833" s="275"/>
      <c r="AQ833" s="14"/>
      <c r="AR833"/>
    </row>
  </sheetData>
  <mergeCells count="37">
    <mergeCell ref="Z8:AB8"/>
    <mergeCell ref="Z9:AB9"/>
    <mergeCell ref="Z10:AB10"/>
    <mergeCell ref="S13:T13"/>
    <mergeCell ref="O17:Y17"/>
    <mergeCell ref="Z2:AC2"/>
    <mergeCell ref="Z3:AB3"/>
    <mergeCell ref="Z4:AB4"/>
    <mergeCell ref="Z5:AB5"/>
    <mergeCell ref="Z6:AB6"/>
    <mergeCell ref="B2:E2"/>
    <mergeCell ref="B3:C3"/>
    <mergeCell ref="B4:C4"/>
    <mergeCell ref="H13:I13"/>
    <mergeCell ref="Q14:R14"/>
    <mergeCell ref="K13:N13"/>
    <mergeCell ref="K14:N14"/>
    <mergeCell ref="K2:L2"/>
    <mergeCell ref="K3:L3"/>
    <mergeCell ref="K4:L4"/>
    <mergeCell ref="Q13:R13"/>
    <mergeCell ref="AB18:AE18"/>
    <mergeCell ref="A18:B18"/>
    <mergeCell ref="Z17:AE17"/>
    <mergeCell ref="A17:K17"/>
    <mergeCell ref="B5:C5"/>
    <mergeCell ref="B6:C6"/>
    <mergeCell ref="B7:C7"/>
    <mergeCell ref="B8:C8"/>
    <mergeCell ref="S14:T14"/>
    <mergeCell ref="C18:H18"/>
    <mergeCell ref="I18:J18"/>
    <mergeCell ref="Q18:V18"/>
    <mergeCell ref="W18:X18"/>
    <mergeCell ref="Z18:AA18"/>
    <mergeCell ref="L18:N18"/>
    <mergeCell ref="Z7:AB7"/>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58" t="s">
        <v>688</v>
      </c>
      <c r="B1" s="501"/>
      <c r="C1" s="501"/>
      <c r="D1" s="458" t="s">
        <v>726</v>
      </c>
      <c r="E1" s="502"/>
      <c r="F1" s="501"/>
      <c r="G1" s="25"/>
      <c r="H1" s="458" t="s">
        <v>729</v>
      </c>
      <c r="I1" s="501"/>
      <c r="J1" s="501"/>
      <c r="K1" s="128"/>
    </row>
    <row r="2" spans="1:11" ht="15.75" customHeight="1" x14ac:dyDescent="0.25">
      <c r="A2" s="30" t="s">
        <v>1039</v>
      </c>
      <c r="B2" s="501"/>
      <c r="C2" s="501"/>
      <c r="D2" s="443" t="s">
        <v>1040</v>
      </c>
      <c r="E2" s="503"/>
      <c r="F2" s="501"/>
      <c r="G2" s="25"/>
      <c r="H2" s="30" t="s">
        <v>730</v>
      </c>
      <c r="I2" s="501">
        <v>8047.08</v>
      </c>
      <c r="J2" s="501"/>
      <c r="K2" s="128"/>
    </row>
    <row r="3" spans="1:11" ht="15.75" customHeight="1" x14ac:dyDescent="0.25">
      <c r="A3" s="30" t="s">
        <v>1041</v>
      </c>
      <c r="B3" s="501"/>
      <c r="C3" s="504"/>
      <c r="D3" s="443" t="s">
        <v>1042</v>
      </c>
      <c r="E3" s="505" t="str">
        <f>IF(E2="",+Docs!B33,E2)</f>
        <v>Laurence A. Tunnard and April D. Tunnard</v>
      </c>
      <c r="F3" s="501"/>
      <c r="G3" s="25"/>
      <c r="H3" s="30" t="s">
        <v>1043</v>
      </c>
      <c r="I3" s="505">
        <f>+I2/2/6</f>
        <v>670.59</v>
      </c>
      <c r="J3" s="501"/>
      <c r="K3" s="128"/>
    </row>
    <row r="4" spans="1:11" ht="15.75" customHeight="1" x14ac:dyDescent="0.25">
      <c r="A4" s="30" t="s">
        <v>1044</v>
      </c>
      <c r="B4" s="501"/>
      <c r="C4" s="501"/>
      <c r="D4" s="443" t="s">
        <v>696</v>
      </c>
      <c r="E4" s="506">
        <f ca="1">YEAR(NOW()+365*3)</f>
        <v>2029</v>
      </c>
      <c r="F4" s="501"/>
      <c r="G4" s="25"/>
      <c r="H4" s="30" t="s">
        <v>1045</v>
      </c>
      <c r="I4" s="505">
        <f>+I2/2</f>
        <v>4023.54</v>
      </c>
      <c r="J4" s="501"/>
      <c r="K4" s="128"/>
    </row>
    <row r="5" spans="1:11" ht="15.75" customHeight="1" x14ac:dyDescent="0.25">
      <c r="A5" s="30" t="s">
        <v>1044</v>
      </c>
      <c r="B5" s="501"/>
      <c r="C5" s="501"/>
      <c r="D5" s="30" t="s">
        <v>698</v>
      </c>
      <c r="E5" s="505" t="s">
        <v>728</v>
      </c>
      <c r="F5" s="501"/>
      <c r="G5" s="25"/>
      <c r="H5" s="30" t="s">
        <v>1046</v>
      </c>
      <c r="I5" s="501" t="str">
        <f>"A balloon payment of " &amp; TEXT(I4,"$#,##0.00") &amp; " will be due when the property is resold by the purchaser"</f>
        <v>A balloon payment of $4,023.54 will be due when the property is resold by the purchaser</v>
      </c>
      <c r="J5" s="501"/>
      <c r="K5" s="128"/>
    </row>
    <row r="6" spans="1:11" ht="15.75" customHeight="1" x14ac:dyDescent="0.25">
      <c r="A6" s="30" t="s">
        <v>687</v>
      </c>
      <c r="B6" s="501" t="s">
        <v>693</v>
      </c>
      <c r="C6" s="501"/>
      <c r="D6" s="30" t="s">
        <v>1047</v>
      </c>
      <c r="E6" s="503"/>
      <c r="F6" s="501"/>
      <c r="G6" s="25"/>
      <c r="H6" s="30" t="s">
        <v>1048</v>
      </c>
      <c r="I6" s="30" t="str">
        <f>IF(J6="Yes","Limited Allowance Compensating for Rent", "DON'T USE")</f>
        <v>DON'T USE</v>
      </c>
      <c r="J6" s="507" t="s">
        <v>1049</v>
      </c>
      <c r="K6" s="128"/>
    </row>
    <row r="7" spans="1:11" ht="15.75" customHeight="1" x14ac:dyDescent="0.25">
      <c r="A7" s="30" t="s">
        <v>679</v>
      </c>
      <c r="B7" s="508">
        <f>+Amortization!O3</f>
        <v>346500</v>
      </c>
      <c r="C7" s="509"/>
      <c r="D7" s="30" t="s">
        <v>1050</v>
      </c>
      <c r="E7" s="505" t="str">
        <f>IF(E6="X","[X] If checked, The rent shall adjust, annually, to exactly the amount of the mortgage payment, property insurance, real estate taxes, plus $10.00."," ")</f>
        <v xml:space="preserve"> </v>
      </c>
      <c r="F7" s="509"/>
      <c r="G7" s="437"/>
      <c r="H7" s="30" t="s">
        <v>1051</v>
      </c>
      <c r="I7" s="30" t="str">
        <f>IF(J7="Yes","Part of Purchase and Sale Agreement", "DON'T USE")</f>
        <v>Part of Purchase and Sale Agreement</v>
      </c>
      <c r="J7" s="507" t="s">
        <v>29</v>
      </c>
      <c r="K7" s="128"/>
    </row>
    <row r="8" spans="1:11" ht="15.75" customHeight="1" x14ac:dyDescent="0.25">
      <c r="A8" s="30" t="s">
        <v>1052</v>
      </c>
      <c r="B8" s="508">
        <f>+Amortization!K2</f>
        <v>0</v>
      </c>
      <c r="C8" s="509"/>
      <c r="D8" s="30" t="s">
        <v>1053</v>
      </c>
      <c r="E8" s="510">
        <v>0</v>
      </c>
      <c r="F8" s="509"/>
      <c r="G8" s="437"/>
      <c r="H8" s="30" t="s">
        <v>734</v>
      </c>
      <c r="I8" s="460">
        <v>10</v>
      </c>
      <c r="J8" s="460"/>
      <c r="K8" s="128"/>
    </row>
    <row r="9" spans="1:11" ht="16.5" customHeight="1" thickBot="1" x14ac:dyDescent="0.3">
      <c r="A9" s="443" t="s">
        <v>677</v>
      </c>
      <c r="B9" s="508">
        <f>+Amortization!$O$4</f>
        <v>34650</v>
      </c>
      <c r="C9" s="509"/>
      <c r="D9" s="30" t="s">
        <v>695</v>
      </c>
      <c r="E9" s="511">
        <f>Carrying!E5</f>
        <v>660.59</v>
      </c>
      <c r="F9" s="509"/>
      <c r="G9" s="437"/>
      <c r="H9" s="30" t="s">
        <v>731</v>
      </c>
      <c r="I9" s="501">
        <v>12</v>
      </c>
      <c r="J9" s="501"/>
      <c r="K9" s="128"/>
    </row>
    <row r="10" spans="1:11" ht="16.5" customHeight="1" thickBot="1" x14ac:dyDescent="0.3">
      <c r="A10" s="443" t="s">
        <v>592</v>
      </c>
      <c r="B10" s="512">
        <f>+Amortization!O6</f>
        <v>75258</v>
      </c>
      <c r="C10" s="505"/>
      <c r="D10" s="458" t="s">
        <v>689</v>
      </c>
      <c r="E10" s="501"/>
      <c r="F10" s="505"/>
      <c r="G10" s="438"/>
      <c r="H10" s="30" t="s">
        <v>117</v>
      </c>
      <c r="I10" s="501">
        <v>0</v>
      </c>
      <c r="J10" s="501"/>
      <c r="K10" s="128"/>
    </row>
    <row r="11" spans="1:11" ht="13.5" customHeight="1" x14ac:dyDescent="0.25">
      <c r="A11" s="443" t="s">
        <v>665</v>
      </c>
      <c r="B11" s="513">
        <f>SUM(B12:B12)</f>
        <v>645.28</v>
      </c>
      <c r="C11" s="514"/>
      <c r="D11" s="30" t="s">
        <v>641</v>
      </c>
      <c r="E11" s="515" t="str">
        <f>+Profit!$B$2</f>
        <v>4121 Tensity Dr</v>
      </c>
      <c r="F11" s="514"/>
      <c r="G11" s="441"/>
      <c r="H11" s="30" t="s">
        <v>732</v>
      </c>
      <c r="I11" s="501" t="str">
        <f>IF(I2&gt;0,"X","")</f>
        <v>X</v>
      </c>
      <c r="J11" s="501"/>
      <c r="K11" s="128"/>
    </row>
    <row r="12" spans="1:11" ht="13.5" customHeight="1" x14ac:dyDescent="0.25">
      <c r="A12" s="443" t="s">
        <v>649</v>
      </c>
      <c r="B12" s="516">
        <f>+cfdRate1Payment</f>
        <v>645.28</v>
      </c>
      <c r="C12" s="517"/>
      <c r="D12" s="30" t="s">
        <v>642</v>
      </c>
      <c r="E12" s="515" t="str">
        <f>+Profit!$E$2</f>
        <v>Raleigh, NC 27604</v>
      </c>
      <c r="F12" s="517"/>
      <c r="G12" s="440"/>
      <c r="H12" s="30" t="s">
        <v>1054</v>
      </c>
      <c r="I12" s="501" t="s">
        <v>1055</v>
      </c>
      <c r="J12" s="501"/>
      <c r="K12" s="128"/>
    </row>
    <row r="13" spans="1:11" ht="13.5" customHeight="1" thickBot="1" x14ac:dyDescent="0.3">
      <c r="A13" s="443" t="s">
        <v>663</v>
      </c>
      <c r="B13" s="516">
        <f>+cfdRate2Payment</f>
        <v>659.9</v>
      </c>
      <c r="C13" s="517"/>
      <c r="D13" s="30" t="s">
        <v>635</v>
      </c>
      <c r="E13" s="501" t="s">
        <v>733</v>
      </c>
      <c r="F13" s="517"/>
      <c r="G13" s="440"/>
      <c r="H13" s="30"/>
      <c r="I13" s="501"/>
      <c r="J13" s="501"/>
      <c r="K13" s="128"/>
    </row>
    <row r="14" spans="1:11" ht="13.5" customHeight="1" thickBot="1" x14ac:dyDescent="0.3">
      <c r="A14" s="443" t="s">
        <v>664</v>
      </c>
      <c r="B14" s="513">
        <f>SUM(B13:B13)</f>
        <v>659.9</v>
      </c>
      <c r="C14" s="514"/>
      <c r="D14" s="443" t="s">
        <v>637</v>
      </c>
      <c r="E14" s="501">
        <f>+E15*12</f>
        <v>2262.6000000000004</v>
      </c>
      <c r="F14" s="514"/>
      <c r="G14" s="441"/>
      <c r="H14" s="458" t="s">
        <v>1056</v>
      </c>
      <c r="I14" s="501"/>
      <c r="J14" s="501"/>
      <c r="K14" s="128"/>
    </row>
    <row r="15" spans="1:11" ht="13.5" customHeight="1" x14ac:dyDescent="0.25">
      <c r="A15" s="443" t="s">
        <v>650</v>
      </c>
      <c r="B15" s="512">
        <f>+cfdFirstRateYears</f>
        <v>5</v>
      </c>
      <c r="C15" s="514"/>
      <c r="D15" s="443" t="s">
        <v>638</v>
      </c>
      <c r="E15" s="518">
        <f>+Amortization!W3</f>
        <v>188.55</v>
      </c>
      <c r="F15" s="514"/>
      <c r="G15" s="441"/>
      <c r="H15" s="30" t="s">
        <v>1057</v>
      </c>
      <c r="I15" s="519"/>
      <c r="J15" s="501"/>
      <c r="K15" s="128"/>
    </row>
    <row r="16" spans="1:11" ht="13.5" customHeight="1" x14ac:dyDescent="0.25">
      <c r="A16" s="30" t="s">
        <v>667</v>
      </c>
      <c r="B16" s="515">
        <f>+cfdFirstRateMonths</f>
        <v>60</v>
      </c>
      <c r="C16" s="514"/>
      <c r="D16" s="443" t="s">
        <v>639</v>
      </c>
      <c r="E16" s="518">
        <f>+Amortization!W2</f>
        <v>134.16999999999999</v>
      </c>
      <c r="F16" s="514"/>
      <c r="G16" s="441"/>
      <c r="H16" s="30" t="s">
        <v>1058</v>
      </c>
      <c r="I16" s="519"/>
      <c r="J16" s="501"/>
      <c r="K16" s="128"/>
    </row>
    <row r="17" spans="1:11" ht="13.5" customHeight="1" thickBot="1" x14ac:dyDescent="0.3">
      <c r="A17" s="30" t="s">
        <v>666</v>
      </c>
      <c r="B17" s="515">
        <f>+cfdContractMonths-cfdFirstRateMonths</f>
        <v>120</v>
      </c>
      <c r="C17" s="514"/>
      <c r="D17" s="444" t="s">
        <v>640</v>
      </c>
      <c r="E17" s="501">
        <v>0</v>
      </c>
      <c r="F17" s="514"/>
      <c r="G17" s="441"/>
      <c r="H17" s="30" t="s">
        <v>1059</v>
      </c>
      <c r="I17" s="519"/>
      <c r="J17" s="501"/>
      <c r="K17" s="128"/>
    </row>
    <row r="18" spans="1:11" ht="13.5" customHeight="1" thickBot="1" x14ac:dyDescent="0.3">
      <c r="A18" s="30" t="s">
        <v>670</v>
      </c>
      <c r="B18" s="520">
        <f>+cfdContractDate</f>
        <v>46204</v>
      </c>
      <c r="C18" s="514"/>
      <c r="D18" s="458" t="s">
        <v>690</v>
      </c>
      <c r="E18" s="501"/>
      <c r="F18" s="514"/>
      <c r="G18" s="441"/>
      <c r="H18" s="30" t="s">
        <v>1060</v>
      </c>
      <c r="I18" s="521"/>
      <c r="J18" s="501"/>
      <c r="K18" s="128"/>
    </row>
    <row r="19" spans="1:11" ht="15.75" customHeight="1" x14ac:dyDescent="0.25">
      <c r="A19" s="30" t="s">
        <v>671</v>
      </c>
      <c r="B19" s="520">
        <f>EDATE(cfdContractDate,cfdFirstRateMonths-1)</f>
        <v>48000</v>
      </c>
      <c r="C19" s="514"/>
      <c r="D19" s="30" t="s">
        <v>723</v>
      </c>
      <c r="E19" s="522" t="s">
        <v>724</v>
      </c>
      <c r="F19" s="514"/>
      <c r="G19" s="441"/>
      <c r="H19" s="30" t="s">
        <v>1061</v>
      </c>
      <c r="I19" s="519"/>
      <c r="J19" s="501"/>
      <c r="K19" s="128"/>
    </row>
    <row r="20" spans="1:11" ht="15.75" customHeight="1" x14ac:dyDescent="0.25">
      <c r="A20" s="30" t="s">
        <v>668</v>
      </c>
      <c r="B20" s="520">
        <f>+cfdRateChangeDate</f>
        <v>48030</v>
      </c>
      <c r="C20" s="514"/>
      <c r="D20" s="30" t="s">
        <v>651</v>
      </c>
      <c r="E20" t="s">
        <v>720</v>
      </c>
      <c r="F20" s="514"/>
      <c r="G20" s="441"/>
      <c r="H20" s="30" t="s">
        <v>1062</v>
      </c>
      <c r="I20" s="519"/>
      <c r="J20" s="501"/>
      <c r="K20" s="128"/>
    </row>
    <row r="21" spans="1:11" ht="15.75" customHeight="1" x14ac:dyDescent="0.25">
      <c r="A21" s="30" t="s">
        <v>669</v>
      </c>
      <c r="B21" s="520">
        <f>+cfdEndDate</f>
        <v>51653</v>
      </c>
      <c r="C21" s="514"/>
      <c r="D21" s="30" t="s">
        <v>673</v>
      </c>
      <c r="E21" s="523"/>
      <c r="F21" s="514"/>
      <c r="G21" s="441"/>
      <c r="H21" s="441"/>
      <c r="J21" s="128"/>
      <c r="K21" s="128"/>
    </row>
    <row r="22" spans="1:11" ht="33.950000000000003" customHeight="1" x14ac:dyDescent="0.25">
      <c r="A22" s="30" t="s">
        <v>1063</v>
      </c>
      <c r="B22" s="504"/>
      <c r="C22" s="507"/>
      <c r="E22" s="507"/>
      <c r="F22" s="514"/>
      <c r="G22" s="441"/>
      <c r="H22" s="803" t="s">
        <v>1109</v>
      </c>
      <c r="I22" s="803"/>
      <c r="J22" s="128"/>
      <c r="K22" s="128"/>
    </row>
    <row r="23" spans="1:11" ht="33.950000000000003" customHeight="1" x14ac:dyDescent="0.25">
      <c r="A23" s="30" t="s">
        <v>1064</v>
      </c>
      <c r="B23" s="524"/>
      <c r="C23" s="507"/>
      <c r="E23" s="507"/>
      <c r="F23" s="514"/>
      <c r="G23" s="441"/>
      <c r="H23" s="540" t="s">
        <v>1110</v>
      </c>
      <c r="I23" s="541">
        <f>tradeNetCreditIncluded</f>
        <v>236592</v>
      </c>
      <c r="J23" s="128"/>
      <c r="K23" s="128"/>
    </row>
    <row r="24" spans="1:11" ht="33.950000000000003" customHeight="1" x14ac:dyDescent="0.25">
      <c r="A24" s="30" t="s">
        <v>1065</v>
      </c>
      <c r="B24" s="525"/>
      <c r="C24" s="507"/>
      <c r="E24" s="507"/>
      <c r="F24" s="514"/>
      <c r="G24" s="441"/>
      <c r="H24" s="540" t="s">
        <v>1111</v>
      </c>
      <c r="I24" s="541">
        <f>$B$9</f>
        <v>34650</v>
      </c>
      <c r="J24" s="128"/>
      <c r="K24" s="128"/>
    </row>
    <row r="25" spans="1:11" ht="33.950000000000003" customHeight="1" x14ac:dyDescent="0.25">
      <c r="A25" s="30"/>
      <c r="B25" s="514"/>
      <c r="C25" s="514"/>
      <c r="D25" s="30" t="s">
        <v>1066</v>
      </c>
      <c r="E25" s="510"/>
      <c r="F25" s="514"/>
      <c r="G25" s="441"/>
      <c r="H25" s="540" t="s">
        <v>1112</v>
      </c>
      <c r="I25" s="541">
        <f>$B$8+$B$9+$I$23</f>
        <v>271242</v>
      </c>
      <c r="J25" s="128"/>
      <c r="K25" s="128"/>
    </row>
    <row r="26" spans="1:11" ht="33.950000000000003" customHeight="1" thickBot="1" x14ac:dyDescent="0.3">
      <c r="A26" s="30"/>
      <c r="B26" s="501"/>
      <c r="C26" s="514"/>
      <c r="D26" s="30" t="s">
        <v>709</v>
      </c>
      <c r="E26" s="519" t="s">
        <v>719</v>
      </c>
      <c r="F26" s="514"/>
      <c r="G26" s="441"/>
      <c r="H26" s="540" t="s">
        <v>1113</v>
      </c>
      <c r="I26" s="541">
        <f>$B$7-$I$25</f>
        <v>75258</v>
      </c>
      <c r="J26" s="128"/>
      <c r="K26" s="128"/>
    </row>
    <row r="27" spans="1:11" ht="33.950000000000003" customHeight="1" thickBot="1" x14ac:dyDescent="0.3">
      <c r="A27" s="458" t="s">
        <v>694</v>
      </c>
      <c r="B27" s="501"/>
      <c r="C27" s="514"/>
      <c r="D27" s="30" t="s">
        <v>710</v>
      </c>
      <c r="E27" s="526" t="s">
        <v>721</v>
      </c>
      <c r="F27" s="514"/>
      <c r="G27" s="441"/>
      <c r="H27" s="540" t="s">
        <v>1114</v>
      </c>
      <c r="I27" s="542" t="str">
        <f>tradePropertyListForDocs</f>
        <v>5009 Sunnyfield Dr - Single wide; 5021 Sunnyfield Dr - Double wide; 5512 Desert Willow Ln - Single wide</v>
      </c>
      <c r="J27" s="128"/>
      <c r="K27" s="128"/>
    </row>
    <row r="28" spans="1:11" ht="33.950000000000003" customHeight="1" x14ac:dyDescent="0.25">
      <c r="A28" s="30" t="s">
        <v>686</v>
      </c>
      <c r="B28" s="519" t="s">
        <v>693</v>
      </c>
      <c r="C28" s="514"/>
      <c r="D28" s="30" t="s">
        <v>711</v>
      </c>
      <c r="E28" s="526" t="s">
        <v>722</v>
      </c>
      <c r="F28" s="514"/>
      <c r="G28" s="441"/>
      <c r="H28" s="540" t="s">
        <v>1115</v>
      </c>
      <c r="I28" s="804" t="str">
        <f>tradePropertyConditionsForDocs</f>
        <v>Trade credit is not final until titles/bills of sale, lien releases or payoff documentation, possession/keys, tenant and rent information, and park/lot approvals are delivered and accepted.</v>
      </c>
      <c r="J28" s="622"/>
      <c r="K28" s="128"/>
    </row>
    <row r="29" spans="1:11" ht="33.950000000000003" customHeight="1" thickBot="1" x14ac:dyDescent="0.3">
      <c r="A29" s="30" t="s">
        <v>699</v>
      </c>
      <c r="B29" s="515" t="str">
        <f>+MOG!B3&amp;" "&amp;MOG!C3</f>
        <v>Laurence A. Tunnard</v>
      </c>
      <c r="C29" s="514"/>
      <c r="D29" s="30" t="s">
        <v>712</v>
      </c>
      <c r="E29" s="519"/>
      <c r="F29" s="514"/>
      <c r="G29" s="441"/>
      <c r="H29" s="540" t="s">
        <v>1116</v>
      </c>
      <c r="I29" s="804" t="s">
        <v>1117</v>
      </c>
      <c r="J29" s="622"/>
      <c r="K29" s="128"/>
    </row>
    <row r="30" spans="1:11" ht="33.950000000000003" customHeight="1" thickBot="1" x14ac:dyDescent="0.3">
      <c r="A30" s="30" t="s">
        <v>701</v>
      </c>
      <c r="B30" s="515" t="str">
        <f>+MOG!B4&amp;" "&amp;MOG!C4</f>
        <v>April D. Tunnard</v>
      </c>
      <c r="C30" s="514"/>
      <c r="D30" s="458" t="s">
        <v>727</v>
      </c>
      <c r="E30" s="501"/>
      <c r="F30" s="514"/>
      <c r="G30" s="441"/>
      <c r="H30" s="540" t="s">
        <v>1118</v>
      </c>
      <c r="I30" s="804" t="s">
        <v>1119</v>
      </c>
      <c r="J30" s="622"/>
      <c r="K30" s="128"/>
    </row>
    <row r="31" spans="1:11" ht="15.75" customHeight="1" x14ac:dyDescent="0.25">
      <c r="A31" s="30" t="s">
        <v>1067</v>
      </c>
      <c r="B31" s="519"/>
      <c r="C31" s="501"/>
      <c r="D31" s="30" t="s">
        <v>697</v>
      </c>
      <c r="E31" s="519" t="s">
        <v>718</v>
      </c>
      <c r="F31" s="501"/>
      <c r="G31" s="25"/>
      <c r="H31" s="25"/>
      <c r="J31" s="128"/>
      <c r="K31" s="128"/>
    </row>
    <row r="32" spans="1:11" ht="15.75" customHeight="1" x14ac:dyDescent="0.25">
      <c r="A32" s="30" t="s">
        <v>1068</v>
      </c>
      <c r="B32" s="519"/>
      <c r="C32" s="501"/>
      <c r="D32" s="30" t="s">
        <v>713</v>
      </c>
      <c r="E32" s="510" t="s">
        <v>716</v>
      </c>
      <c r="F32" s="501"/>
      <c r="G32" s="25"/>
      <c r="H32" s="25"/>
      <c r="J32" s="128"/>
      <c r="K32" s="128"/>
    </row>
    <row r="33" spans="1:11" ht="15.75" customHeight="1" x14ac:dyDescent="0.25">
      <c r="A33" s="30" t="s">
        <v>700</v>
      </c>
      <c r="B33" s="501" t="str">
        <f>MOG!$B$3 &amp; " " &amp; MOG!$C$3 &amp; IF(+MOG!$C$4="",""," and " &amp; +MOG!$B$4 &amp; " " &amp;MOG!$C$4)</f>
        <v>Laurence A. Tunnard and April D. Tunnard</v>
      </c>
      <c r="C33" s="501"/>
      <c r="D33" s="30" t="s">
        <v>714</v>
      </c>
      <c r="E33" s="510" t="s">
        <v>715</v>
      </c>
      <c r="F33" s="501"/>
      <c r="G33" s="25"/>
      <c r="H33" s="25"/>
      <c r="J33" s="128"/>
      <c r="K33" s="128"/>
    </row>
    <row r="34" spans="1:11" ht="15.75" customHeight="1" x14ac:dyDescent="0.25">
      <c r="A34" s="30" t="s">
        <v>1069</v>
      </c>
      <c r="B34" s="501"/>
      <c r="C34" s="527"/>
      <c r="D34" s="30" t="s">
        <v>643</v>
      </c>
      <c r="E34" s="515" t="str">
        <f>+ E11 &amp; " Real Estate Trust dated " &amp; E35 &amp; E36</f>
        <v>4121 Tensity Dr Real Estate Trust dated March, 52025</v>
      </c>
      <c r="F34" s="527"/>
      <c r="G34" s="25"/>
      <c r="H34" s="25"/>
      <c r="J34" s="128"/>
      <c r="K34" s="128"/>
    </row>
    <row r="35" spans="1:11" ht="15.75" customHeight="1" x14ac:dyDescent="0.25">
      <c r="A35" s="30" t="s">
        <v>1070</v>
      </c>
      <c r="B35" s="501"/>
      <c r="C35" s="527"/>
      <c r="D35" s="30" t="s">
        <v>644</v>
      </c>
      <c r="E35" s="526" t="s">
        <v>717</v>
      </c>
      <c r="F35" s="527"/>
      <c r="G35" s="25"/>
      <c r="H35" s="25"/>
      <c r="J35" s="128"/>
      <c r="K35" s="128"/>
    </row>
    <row r="36" spans="1:11" ht="15.75" customHeight="1" x14ac:dyDescent="0.25">
      <c r="A36" s="30" t="s">
        <v>652</v>
      </c>
      <c r="B36" s="527"/>
      <c r="C36" s="527"/>
      <c r="D36" s="30" t="s">
        <v>607</v>
      </c>
      <c r="E36" s="519">
        <v>2025</v>
      </c>
      <c r="F36" s="527"/>
      <c r="G36" s="25"/>
      <c r="H36" s="25"/>
      <c r="J36" s="128"/>
      <c r="K36" s="128"/>
    </row>
    <row r="37" spans="1:11" ht="15.75" customHeight="1" x14ac:dyDescent="0.25">
      <c r="A37" s="30" t="s">
        <v>653</v>
      </c>
      <c r="B37" s="527"/>
      <c r="C37" s="527"/>
      <c r="D37" s="30" t="s">
        <v>645</v>
      </c>
      <c r="E37" s="519" t="s">
        <v>647</v>
      </c>
      <c r="F37" s="527"/>
      <c r="G37" s="25"/>
      <c r="H37" s="25"/>
      <c r="J37" s="128"/>
      <c r="K37" s="128"/>
    </row>
    <row r="38" spans="1:11" ht="15.75" customHeight="1" x14ac:dyDescent="0.25">
      <c r="A38" s="30" t="s">
        <v>1071</v>
      </c>
      <c r="B38" s="527"/>
      <c r="C38" s="501"/>
      <c r="D38" s="30" t="s">
        <v>648</v>
      </c>
      <c r="E38" s="528">
        <f ca="1">YEAR(NOW())</f>
        <v>2026</v>
      </c>
      <c r="F38" s="501"/>
      <c r="G38" s="25"/>
      <c r="H38" s="25"/>
      <c r="J38" s="128"/>
      <c r="K38" s="128"/>
    </row>
    <row r="39" spans="1:11" ht="15.75" customHeight="1" x14ac:dyDescent="0.25">
      <c r="A39" s="30" t="s">
        <v>1072</v>
      </c>
      <c r="B39" s="527"/>
      <c r="C39" s="438"/>
      <c r="D39" s="30" t="s">
        <v>725</v>
      </c>
      <c r="E39" s="528">
        <f ca="1">MONTH(NOW())</f>
        <v>6</v>
      </c>
      <c r="F39" s="519"/>
      <c r="G39" s="25"/>
      <c r="H39" s="25"/>
      <c r="J39" s="128"/>
      <c r="K39" s="128"/>
    </row>
    <row r="40" spans="1:11" ht="15.75" customHeight="1" x14ac:dyDescent="0.25">
      <c r="A40" s="30" t="s">
        <v>705</v>
      </c>
      <c r="B40" s="501"/>
      <c r="C40" s="438"/>
      <c r="D40" s="30"/>
      <c r="E40" s="501"/>
      <c r="F40" s="519"/>
      <c r="G40" s="25"/>
      <c r="H40" s="25"/>
      <c r="J40" s="128"/>
      <c r="K40" s="128"/>
    </row>
    <row r="41" spans="1:11" ht="15.75" customHeight="1" x14ac:dyDescent="0.25">
      <c r="A41" s="30" t="s">
        <v>702</v>
      </c>
      <c r="B41" s="519" t="s">
        <v>708</v>
      </c>
      <c r="C41" s="438"/>
      <c r="D41" s="30" t="s">
        <v>672</v>
      </c>
      <c r="E41" s="501"/>
      <c r="F41" s="519"/>
      <c r="G41" s="25"/>
      <c r="H41" s="25"/>
      <c r="J41" s="128"/>
      <c r="K41" s="128"/>
    </row>
    <row r="42" spans="1:11" ht="15.75" customHeight="1" x14ac:dyDescent="0.25">
      <c r="A42" s="30" t="s">
        <v>703</v>
      </c>
      <c r="B42" s="519" t="s">
        <v>708</v>
      </c>
      <c r="C42" s="501"/>
      <c r="D42" s="30"/>
      <c r="E42" s="501"/>
      <c r="F42" s="501"/>
      <c r="G42" s="25"/>
      <c r="H42" s="25"/>
      <c r="J42" s="128"/>
      <c r="K42" s="128"/>
    </row>
    <row r="43" spans="1:11" ht="15.75" customHeight="1" x14ac:dyDescent="0.25">
      <c r="A43" s="30" t="s">
        <v>706</v>
      </c>
      <c r="B43" s="519" t="s">
        <v>707</v>
      </c>
      <c r="C43" s="505"/>
      <c r="D43" s="505"/>
      <c r="E43" s="505"/>
      <c r="F43" s="505"/>
      <c r="G43" s="438"/>
      <c r="H43" s="438"/>
      <c r="J43" s="128"/>
      <c r="K43" s="128"/>
    </row>
    <row r="44" spans="1:11" ht="15.75" customHeight="1" x14ac:dyDescent="0.25">
      <c r="A44" s="30" t="s">
        <v>704</v>
      </c>
      <c r="B44" s="501">
        <v>1233445566</v>
      </c>
      <c r="C44" s="505"/>
      <c r="D44" s="505"/>
      <c r="E44" s="505"/>
      <c r="F44" s="505"/>
      <c r="G44" s="438"/>
      <c r="H44" s="438"/>
      <c r="J44" s="128"/>
      <c r="K44" s="128"/>
    </row>
    <row r="45" spans="1:11" ht="15.75" customHeight="1" x14ac:dyDescent="0.25">
      <c r="A45" s="443" t="s">
        <v>681</v>
      </c>
      <c r="B45" s="505">
        <f>Profit!C14</f>
        <v>28063.26</v>
      </c>
      <c r="C45" s="505"/>
      <c r="D45" s="505"/>
      <c r="E45" s="505"/>
      <c r="F45" s="505"/>
      <c r="G45" s="438"/>
      <c r="H45" s="438"/>
      <c r="J45" s="128"/>
      <c r="K45" s="128"/>
    </row>
    <row r="46" spans="1:11" ht="15.75" customHeight="1" x14ac:dyDescent="0.25">
      <c r="A46" s="443" t="s">
        <v>594</v>
      </c>
      <c r="B46" s="505">
        <f>Profit!C15</f>
        <v>97228</v>
      </c>
      <c r="C46" s="438"/>
      <c r="D46" s="438"/>
      <c r="E46" s="438"/>
      <c r="F46" s="438"/>
      <c r="G46" s="438"/>
      <c r="H46" s="438"/>
      <c r="J46" s="128"/>
      <c r="K46" s="128"/>
    </row>
    <row r="47" spans="1:11" ht="15.75" customHeight="1" x14ac:dyDescent="0.25">
      <c r="A47" s="443" t="s">
        <v>680</v>
      </c>
      <c r="B47" s="505">
        <f>Profit!B21</f>
        <v>130291.26</v>
      </c>
      <c r="C47" s="505"/>
      <c r="D47" s="505"/>
      <c r="E47" s="505"/>
      <c r="F47" s="505"/>
      <c r="G47" s="438"/>
      <c r="H47" s="438"/>
      <c r="J47" s="128"/>
      <c r="K47" s="128"/>
    </row>
    <row r="48" spans="1:11" ht="15.75" customHeight="1" x14ac:dyDescent="0.25">
      <c r="A48" s="443" t="s">
        <v>636</v>
      </c>
      <c r="B48" s="519">
        <v>100</v>
      </c>
      <c r="C48" s="517"/>
      <c r="D48" s="517"/>
      <c r="E48" s="517"/>
      <c r="F48" s="517"/>
      <c r="G48" s="440"/>
      <c r="H48" s="440"/>
      <c r="J48" s="128"/>
      <c r="K48" s="128"/>
    </row>
    <row r="49" spans="1:11" ht="15.75" customHeight="1" x14ac:dyDescent="0.25">
      <c r="A49" s="443" t="s">
        <v>678</v>
      </c>
      <c r="B49" s="505">
        <f>+Profit!C20-B48</f>
        <v>4900</v>
      </c>
      <c r="C49" s="517"/>
      <c r="D49" s="517"/>
      <c r="E49" s="517"/>
      <c r="F49" s="517"/>
      <c r="G49" s="440"/>
      <c r="H49" s="440"/>
      <c r="J49" s="128"/>
      <c r="K49" s="128"/>
    </row>
    <row r="50" spans="1:11" ht="15.75" customHeight="1" x14ac:dyDescent="0.25">
      <c r="A50" s="443" t="s">
        <v>646</v>
      </c>
      <c r="B50" s="517" t="str">
        <f>TEXT(subjectInterestRate,"0.000%")</f>
        <v>3.750%</v>
      </c>
      <c r="C50" s="517"/>
      <c r="D50" s="517"/>
      <c r="E50" s="517"/>
      <c r="F50" s="517"/>
      <c r="G50" s="440"/>
      <c r="H50" s="440"/>
      <c r="J50" s="128"/>
      <c r="K50" s="128"/>
    </row>
    <row r="51" spans="1:11" ht="15.75" customHeight="1" x14ac:dyDescent="0.25">
      <c r="A51" s="443" t="s">
        <v>675</v>
      </c>
      <c r="B51" s="517" t="str">
        <f>TEXT(cfdRate1,"0.000%")</f>
        <v>6.250%</v>
      </c>
      <c r="C51" s="505"/>
      <c r="D51" s="505"/>
      <c r="E51" s="505"/>
      <c r="F51" s="505"/>
      <c r="G51" s="438"/>
      <c r="H51" s="438"/>
      <c r="J51" s="128"/>
      <c r="K51" s="128"/>
    </row>
    <row r="52" spans="1:11" ht="15.75" customHeight="1" x14ac:dyDescent="0.25">
      <c r="A52" s="443" t="s">
        <v>674</v>
      </c>
      <c r="B52" s="517" t="str">
        <f>TEXT(cfdRate2,"0.000%")</f>
        <v>6.750%</v>
      </c>
      <c r="C52" s="507"/>
      <c r="D52" s="507"/>
      <c r="E52" s="507"/>
      <c r="F52" s="507"/>
      <c r="G52" s="439"/>
      <c r="H52" s="439"/>
      <c r="J52" s="128"/>
      <c r="K52" s="128"/>
    </row>
    <row r="53" spans="1:11" ht="15.75" customHeight="1" x14ac:dyDescent="0.25">
      <c r="A53" s="443" t="s">
        <v>682</v>
      </c>
      <c r="B53" s="505" t="s">
        <v>683</v>
      </c>
      <c r="C53" s="505"/>
      <c r="D53" s="505"/>
      <c r="E53" s="505"/>
      <c r="F53" s="505"/>
      <c r="G53" s="438"/>
      <c r="H53" s="438"/>
      <c r="J53" s="128"/>
      <c r="K53" s="128"/>
    </row>
    <row r="54" spans="1:11" ht="15.75" customHeight="1" x14ac:dyDescent="0.25">
      <c r="B54" s="507"/>
      <c r="C54" s="502"/>
      <c r="D54" s="502"/>
      <c r="E54" s="502"/>
      <c r="F54" s="502"/>
      <c r="G54" s="459"/>
      <c r="H54" s="459"/>
      <c r="J54" s="128"/>
      <c r="K54" s="128"/>
    </row>
    <row r="55" spans="1:11" ht="15.75" customHeight="1" x14ac:dyDescent="0.25">
      <c r="A55" s="443" t="s">
        <v>691</v>
      </c>
      <c r="B55" s="505" t="s">
        <v>692</v>
      </c>
      <c r="C55" s="502"/>
      <c r="D55" s="502"/>
      <c r="E55" s="502"/>
      <c r="F55" s="502"/>
      <c r="G55" s="459"/>
      <c r="H55" s="459"/>
      <c r="J55" s="128"/>
      <c r="K55" s="128"/>
    </row>
    <row r="56" spans="1:11" ht="15.75" customHeight="1" x14ac:dyDescent="0.25">
      <c r="B56" s="507"/>
      <c r="C56" s="505"/>
      <c r="D56" s="505"/>
      <c r="E56" s="505"/>
      <c r="F56" s="505"/>
      <c r="G56" s="459"/>
      <c r="H56" s="459"/>
      <c r="J56" s="128"/>
      <c r="K56" s="128"/>
    </row>
    <row r="57" spans="1:11" ht="15.75" customHeight="1" x14ac:dyDescent="0.25">
      <c r="B57" s="507"/>
      <c r="C57" s="506"/>
      <c r="D57" s="506"/>
      <c r="E57" s="506"/>
      <c r="F57" s="506"/>
      <c r="G57" s="32"/>
      <c r="H57" s="32"/>
      <c r="J57" s="128"/>
      <c r="K57" s="128"/>
    </row>
    <row r="58" spans="1:11" ht="15.75" customHeight="1" x14ac:dyDescent="0.25">
      <c r="B58" s="507"/>
      <c r="C58" s="505"/>
      <c r="D58" s="505"/>
      <c r="E58" s="505"/>
      <c r="F58" s="505"/>
      <c r="G58" s="438"/>
      <c r="H58" s="438"/>
      <c r="J58" s="128"/>
      <c r="K58" s="128"/>
    </row>
    <row r="59" spans="1:11" ht="15.75" customHeight="1" x14ac:dyDescent="0.25">
      <c r="B59" s="507"/>
      <c r="C59" s="502"/>
      <c r="D59" s="502"/>
      <c r="E59" s="502"/>
      <c r="F59" s="502"/>
      <c r="G59" s="438"/>
      <c r="H59" s="438"/>
      <c r="J59" s="128"/>
      <c r="K59" s="128"/>
    </row>
    <row r="60" spans="1:11" ht="15.75" customHeight="1" x14ac:dyDescent="0.25">
      <c r="B60" s="507"/>
      <c r="C60" s="502"/>
      <c r="D60" s="502"/>
      <c r="E60" s="502"/>
      <c r="F60" s="502"/>
      <c r="G60" s="438"/>
      <c r="H60" s="438"/>
      <c r="J60" s="128"/>
      <c r="K60" s="128"/>
    </row>
    <row r="61" spans="1:11" ht="15.75" customHeight="1" x14ac:dyDescent="0.25">
      <c r="B61" s="507"/>
      <c r="C61" s="502"/>
      <c r="D61" s="502"/>
      <c r="E61" s="502"/>
      <c r="F61" s="502"/>
      <c r="G61" s="438"/>
      <c r="H61" s="438"/>
      <c r="J61" s="128"/>
      <c r="K61" s="128"/>
    </row>
    <row r="62" spans="1:11" ht="15.75" customHeight="1" x14ac:dyDescent="0.25">
      <c r="B62" s="507"/>
      <c r="C62" s="511"/>
      <c r="D62" s="511"/>
      <c r="E62" s="511"/>
      <c r="F62" s="511"/>
      <c r="G62" s="438"/>
      <c r="H62" s="438"/>
      <c r="J62" s="128"/>
      <c r="K62" s="128"/>
    </row>
    <row r="63" spans="1:11" ht="15.75" customHeight="1" x14ac:dyDescent="0.25">
      <c r="B63" s="507"/>
      <c r="C63" s="501"/>
      <c r="D63" s="501"/>
      <c r="E63" s="501"/>
      <c r="F63" s="501"/>
      <c r="G63" s="25"/>
      <c r="H63" s="25"/>
      <c r="J63" s="128"/>
      <c r="K63" s="128"/>
    </row>
    <row r="64" spans="1:11" ht="15.75" customHeight="1" x14ac:dyDescent="0.25">
      <c r="B64" s="507"/>
      <c r="C64" s="501"/>
      <c r="D64" s="501"/>
      <c r="E64" s="501"/>
      <c r="F64" s="501"/>
      <c r="G64" s="25"/>
      <c r="H64" s="25"/>
      <c r="J64" s="128"/>
      <c r="K64" s="128"/>
    </row>
    <row r="65" spans="2:11" ht="15.75" customHeight="1" x14ac:dyDescent="0.25">
      <c r="B65" s="507"/>
      <c r="C65" s="501"/>
      <c r="D65" s="501"/>
      <c r="E65" s="501"/>
      <c r="F65" s="501"/>
      <c r="G65" s="25"/>
      <c r="H65" s="25"/>
      <c r="J65" s="128"/>
      <c r="K65" s="128"/>
    </row>
    <row r="66" spans="2:11" ht="15.75" customHeight="1" x14ac:dyDescent="0.25">
      <c r="B66" s="507"/>
      <c r="C66" s="501"/>
      <c r="D66" s="501"/>
      <c r="E66" s="501"/>
      <c r="F66" s="501"/>
      <c r="G66" s="25"/>
      <c r="H66" s="25"/>
      <c r="J66" s="128"/>
      <c r="K66" s="128"/>
    </row>
    <row r="67" spans="2:11" ht="15.75" customHeight="1" x14ac:dyDescent="0.25">
      <c r="B67" s="507"/>
      <c r="C67" s="501"/>
      <c r="D67" s="501"/>
      <c r="E67" s="501"/>
      <c r="F67" s="501"/>
      <c r="G67" s="25"/>
      <c r="H67" s="25"/>
      <c r="J67" s="128"/>
      <c r="K67" s="128"/>
    </row>
    <row r="68" spans="2:11" ht="15.75" customHeight="1" x14ac:dyDescent="0.25">
      <c r="B68" s="507"/>
      <c r="C68" s="511"/>
      <c r="D68" s="511"/>
      <c r="E68" s="511"/>
      <c r="F68" s="511"/>
      <c r="G68" s="439"/>
      <c r="H68" s="439"/>
      <c r="J68" s="128"/>
      <c r="K68" s="128"/>
    </row>
    <row r="69" spans="2:11" ht="15.75" customHeight="1" x14ac:dyDescent="0.25">
      <c r="B69" s="507"/>
      <c r="C69" s="511"/>
      <c r="D69" s="511"/>
      <c r="E69" s="511"/>
      <c r="F69" s="511"/>
      <c r="G69" s="439"/>
      <c r="H69" s="439"/>
      <c r="J69" s="128"/>
      <c r="K69" s="128"/>
    </row>
    <row r="70" spans="2:11" ht="15.75" customHeight="1" x14ac:dyDescent="0.25">
      <c r="B70" s="507"/>
      <c r="C70" s="501"/>
      <c r="D70" s="501"/>
      <c r="E70" s="501"/>
      <c r="F70" s="501"/>
      <c r="G70" s="25"/>
      <c r="H70" s="25"/>
      <c r="J70" s="128"/>
      <c r="K70" s="128"/>
    </row>
    <row r="71" spans="2:11" ht="15.75" customHeight="1" x14ac:dyDescent="0.25">
      <c r="B71" s="507"/>
      <c r="C71" s="501"/>
      <c r="D71" s="501"/>
      <c r="E71" s="501"/>
      <c r="F71" s="501"/>
      <c r="G71" s="25"/>
      <c r="H71" s="25"/>
      <c r="J71" s="128"/>
      <c r="K71" s="128"/>
    </row>
    <row r="72" spans="2:11" ht="15.75" customHeight="1" x14ac:dyDescent="0.25">
      <c r="B72" s="507"/>
      <c r="C72" s="505"/>
      <c r="D72" s="505"/>
      <c r="E72" s="505"/>
      <c r="F72" s="505"/>
      <c r="G72" s="438"/>
      <c r="H72" s="438"/>
      <c r="J72" s="128"/>
      <c r="K72" s="128"/>
    </row>
    <row r="73" spans="2:11" ht="15.75" customHeight="1" x14ac:dyDescent="0.25">
      <c r="B73" s="507"/>
      <c r="C73" s="505"/>
      <c r="D73" s="505"/>
      <c r="E73" s="505"/>
      <c r="F73" s="505"/>
      <c r="G73" s="438"/>
      <c r="H73" s="438"/>
      <c r="J73" s="128"/>
      <c r="K73" s="128"/>
    </row>
    <row r="74" spans="2:11" ht="15.75" customHeight="1" x14ac:dyDescent="0.25">
      <c r="B74" s="507"/>
      <c r="C74" s="502"/>
      <c r="D74" s="502"/>
      <c r="E74" s="502"/>
      <c r="F74" s="502"/>
      <c r="G74" s="502"/>
      <c r="H74" s="502"/>
      <c r="I74" s="502"/>
      <c r="J74" s="502"/>
      <c r="K74" s="128"/>
    </row>
    <row r="75" spans="2:11" ht="15.75" customHeight="1" x14ac:dyDescent="0.25">
      <c r="B75" s="507"/>
      <c r="C75" s="502"/>
      <c r="D75" s="502"/>
      <c r="E75" s="502"/>
      <c r="F75" s="502"/>
      <c r="G75" s="502"/>
      <c r="H75" s="502"/>
      <c r="I75" s="502"/>
      <c r="J75" s="502"/>
      <c r="K75" s="128"/>
    </row>
    <row r="76" spans="2:11" ht="15.75" customHeight="1" x14ac:dyDescent="0.25">
      <c r="B76" s="507"/>
      <c r="C76" s="502"/>
      <c r="D76" s="502"/>
      <c r="E76" s="502"/>
      <c r="F76" s="502"/>
      <c r="G76" s="502"/>
      <c r="H76" s="502"/>
      <c r="I76" s="502"/>
      <c r="J76" s="502"/>
      <c r="K76" s="128"/>
    </row>
    <row r="77" spans="2:11" ht="15.75" customHeight="1" x14ac:dyDescent="0.25">
      <c r="B77" s="507"/>
      <c r="C77" s="502"/>
      <c r="D77" s="502"/>
      <c r="E77" s="502"/>
      <c r="F77" s="502"/>
      <c r="G77" s="502"/>
      <c r="H77" s="502"/>
      <c r="I77" s="502"/>
      <c r="J77" s="502"/>
      <c r="K77" s="128"/>
    </row>
    <row r="78" spans="2:11" ht="15.75" customHeight="1" x14ac:dyDescent="0.25">
      <c r="B78" s="507"/>
      <c r="C78" s="502"/>
      <c r="D78" s="502"/>
      <c r="E78" s="502"/>
      <c r="F78" s="502"/>
      <c r="G78" s="502"/>
      <c r="H78" s="502"/>
      <c r="I78" s="502"/>
      <c r="J78" s="502"/>
      <c r="K78" s="128"/>
    </row>
    <row r="79" spans="2:11" ht="15.75" customHeight="1" x14ac:dyDescent="0.25">
      <c r="B79" s="507"/>
      <c r="C79" s="502"/>
      <c r="D79" s="502"/>
      <c r="E79" s="502"/>
      <c r="F79" s="502"/>
      <c r="G79" s="502"/>
      <c r="H79" s="502"/>
      <c r="I79" s="502"/>
      <c r="J79" s="502"/>
      <c r="K79" s="128"/>
    </row>
    <row r="80" spans="2:11" ht="15.75" customHeight="1" x14ac:dyDescent="0.25">
      <c r="B80" s="507"/>
      <c r="C80" s="502"/>
      <c r="D80" s="502"/>
      <c r="E80" s="502"/>
      <c r="F80" s="502"/>
      <c r="G80" s="502"/>
      <c r="H80" s="502"/>
      <c r="I80" s="502"/>
      <c r="J80" s="502"/>
      <c r="K80" s="128"/>
    </row>
    <row r="81" spans="2:71" ht="15.75" customHeight="1" x14ac:dyDescent="0.25">
      <c r="B81" s="507"/>
      <c r="C81" s="502"/>
      <c r="D81" s="502"/>
      <c r="E81" s="502"/>
      <c r="F81" s="502"/>
      <c r="G81" s="25"/>
      <c r="H81" s="25"/>
      <c r="J81" s="128"/>
      <c r="K81" s="128"/>
    </row>
    <row r="82" spans="2:71" ht="15.75" customHeight="1" x14ac:dyDescent="0.25">
      <c r="B82" s="507"/>
      <c r="C82" s="501"/>
      <c r="D82" s="501"/>
      <c r="E82" s="501"/>
      <c r="F82" s="501"/>
      <c r="G82" s="25"/>
      <c r="H82" s="25"/>
      <c r="J82" s="128"/>
      <c r="K82" s="128"/>
    </row>
    <row r="83" spans="2:71" ht="15.75" customHeight="1" x14ac:dyDescent="0.25">
      <c r="B83" s="507"/>
      <c r="C83" s="507"/>
      <c r="D83" s="507"/>
      <c r="E83" s="507"/>
      <c r="F83" s="507"/>
      <c r="J83" s="128"/>
      <c r="K83" s="128"/>
    </row>
    <row r="84" spans="2:71" ht="15.75" customHeight="1" x14ac:dyDescent="0.25">
      <c r="B84" s="507"/>
      <c r="C84" s="507"/>
      <c r="D84" s="507"/>
      <c r="E84" s="507"/>
      <c r="F84" s="507"/>
      <c r="J84" s="128"/>
      <c r="K84" s="128"/>
    </row>
    <row r="85" spans="2:71" ht="15.75" customHeight="1" x14ac:dyDescent="0.25">
      <c r="B85" s="507"/>
      <c r="C85" s="501"/>
      <c r="D85" s="501"/>
      <c r="E85" s="501"/>
      <c r="F85" s="501"/>
      <c r="G85" s="25"/>
      <c r="H85" s="25"/>
      <c r="J85" s="128"/>
      <c r="K85" s="128"/>
      <c r="BR85" s="30"/>
      <c r="BS85" s="30"/>
    </row>
    <row r="86" spans="2:71" ht="15.75" customHeight="1" x14ac:dyDescent="0.25">
      <c r="B86" s="507"/>
      <c r="C86" s="529"/>
      <c r="D86" s="529"/>
      <c r="E86" s="529"/>
      <c r="F86" s="529"/>
      <c r="G86" s="442"/>
      <c r="H86" s="442"/>
      <c r="J86" s="128"/>
      <c r="K86" s="128"/>
    </row>
    <row r="87" spans="2:71" ht="15.75" customHeight="1" x14ac:dyDescent="0.25">
      <c r="B87" s="507"/>
      <c r="C87" s="501"/>
      <c r="D87" s="501"/>
      <c r="E87" s="501"/>
      <c r="F87" s="501"/>
      <c r="G87" s="25"/>
      <c r="H87" s="25"/>
      <c r="J87" s="128"/>
      <c r="K87" s="128"/>
    </row>
    <row r="88" spans="2:71" ht="15.75" customHeight="1" x14ac:dyDescent="0.25">
      <c r="B88" s="507"/>
      <c r="C88" s="519"/>
      <c r="D88" s="519"/>
      <c r="E88" s="519"/>
      <c r="F88" s="519"/>
      <c r="G88" s="28"/>
      <c r="H88" s="28"/>
      <c r="J88" s="128"/>
      <c r="K88" s="128"/>
    </row>
    <row r="89" spans="2:71" ht="15.75" customHeight="1" x14ac:dyDescent="0.25">
      <c r="B89" s="507"/>
      <c r="C89" s="506"/>
      <c r="D89" s="506"/>
      <c r="E89" s="506"/>
      <c r="F89" s="506"/>
      <c r="G89" s="32"/>
      <c r="H89" s="32"/>
      <c r="J89" s="128"/>
      <c r="K89" s="128"/>
    </row>
    <row r="90" spans="2:71" ht="15.75" customHeight="1" x14ac:dyDescent="0.25">
      <c r="B90" s="507"/>
      <c r="C90" s="506"/>
      <c r="D90" s="506"/>
      <c r="E90" s="506"/>
      <c r="F90" s="506"/>
      <c r="G90" s="32"/>
      <c r="H90" s="32"/>
      <c r="J90" s="128"/>
      <c r="K90" s="128"/>
    </row>
    <row r="91" spans="2:71" ht="15.75" customHeight="1" x14ac:dyDescent="0.25">
      <c r="B91" s="507"/>
      <c r="C91" s="501"/>
      <c r="D91" s="501"/>
      <c r="E91" s="501"/>
      <c r="F91" s="501"/>
      <c r="G91" s="25"/>
      <c r="H91" s="25"/>
      <c r="J91" s="128"/>
      <c r="K91" s="128"/>
    </row>
    <row r="92" spans="2:71" ht="15.75" customHeight="1" x14ac:dyDescent="0.25">
      <c r="B92" s="507"/>
      <c r="C92" s="501"/>
      <c r="D92" s="501"/>
      <c r="E92" s="501"/>
      <c r="F92" s="501"/>
      <c r="G92" s="25"/>
      <c r="H92" s="25"/>
      <c r="J92" s="128"/>
      <c r="K92" s="128"/>
    </row>
    <row r="93" spans="2:71" ht="15.75" customHeight="1" x14ac:dyDescent="0.25">
      <c r="B93" s="507"/>
      <c r="C93" s="501"/>
      <c r="D93" s="501"/>
      <c r="E93" s="501"/>
      <c r="F93" s="501"/>
      <c r="G93" s="25"/>
      <c r="H93" s="25"/>
      <c r="J93" s="128"/>
      <c r="K93" s="128"/>
    </row>
    <row r="94" spans="2:71" ht="15.75" customHeight="1" x14ac:dyDescent="0.25">
      <c r="B94" s="507"/>
      <c r="C94" s="507"/>
      <c r="D94" s="501"/>
      <c r="E94" s="501"/>
      <c r="F94" s="501"/>
      <c r="G94" s="25"/>
      <c r="H94" s="25"/>
      <c r="J94" s="128"/>
      <c r="K94" s="128"/>
    </row>
    <row r="95" spans="2:71" ht="15.75" customHeight="1" x14ac:dyDescent="0.25">
      <c r="B95" s="507"/>
      <c r="C95" s="507"/>
      <c r="D95" s="501"/>
      <c r="E95" s="501"/>
      <c r="F95" s="501"/>
      <c r="G95" s="25"/>
      <c r="H95" s="25"/>
      <c r="J95" s="128"/>
      <c r="K95" s="128"/>
    </row>
    <row r="96" spans="2:71" ht="15.75" customHeight="1" x14ac:dyDescent="0.25">
      <c r="B96" s="507"/>
      <c r="C96" s="507"/>
      <c r="D96" s="501"/>
      <c r="E96" s="501"/>
      <c r="F96" s="501"/>
      <c r="G96" s="25"/>
      <c r="H96" s="25"/>
      <c r="J96" s="128"/>
      <c r="K96" s="128"/>
    </row>
    <row r="97" spans="2:11" ht="15.75" customHeight="1" x14ac:dyDescent="0.25">
      <c r="B97" s="507"/>
      <c r="C97" s="507"/>
      <c r="D97" s="501"/>
      <c r="E97" s="501"/>
      <c r="F97" s="501"/>
      <c r="G97" s="25"/>
      <c r="H97" s="25"/>
      <c r="J97" s="128"/>
      <c r="K97" s="128"/>
    </row>
    <row r="98" spans="2:11" ht="15.75" customHeight="1" x14ac:dyDescent="0.25">
      <c r="B98" s="507"/>
      <c r="C98" s="507"/>
      <c r="D98" s="501"/>
      <c r="E98" s="501"/>
      <c r="F98" s="501"/>
      <c r="G98" s="25"/>
      <c r="H98" s="25"/>
      <c r="J98" s="128"/>
      <c r="K98" s="128"/>
    </row>
    <row r="99" spans="2:11" ht="15.75" customHeight="1" x14ac:dyDescent="0.25">
      <c r="B99" s="507"/>
      <c r="C99" s="507"/>
      <c r="D99" s="507"/>
      <c r="E99" s="507"/>
      <c r="F99" s="507"/>
      <c r="G99" s="439"/>
      <c r="H99" s="439"/>
      <c r="J99" s="128"/>
      <c r="K99" s="128"/>
    </row>
    <row r="100" spans="2:11" ht="15.75" customHeight="1" x14ac:dyDescent="0.25">
      <c r="B100" s="507"/>
      <c r="C100" s="507"/>
      <c r="D100" s="507"/>
      <c r="E100" s="507"/>
      <c r="F100" s="507"/>
      <c r="G100" s="439"/>
      <c r="H100" s="439"/>
      <c r="J100" s="128"/>
      <c r="K100" s="128"/>
    </row>
    <row r="101" spans="2:11" ht="15.75" customHeight="1" x14ac:dyDescent="0.25">
      <c r="B101" s="507"/>
      <c r="C101" s="507"/>
      <c r="D101" s="460"/>
      <c r="E101" s="460"/>
      <c r="F101" s="460"/>
      <c r="G101" s="439"/>
      <c r="H101" s="439"/>
      <c r="J101" s="128"/>
      <c r="K101" s="128"/>
    </row>
    <row r="102" spans="2:11" ht="15.75" customHeight="1" x14ac:dyDescent="0.25">
      <c r="B102" s="507"/>
      <c r="C102" s="507"/>
      <c r="D102" s="501"/>
      <c r="E102" s="501"/>
      <c r="F102" s="501"/>
      <c r="G102" s="25"/>
      <c r="H102" s="25"/>
      <c r="J102" s="128"/>
      <c r="K102" s="128"/>
    </row>
    <row r="103" spans="2:11" ht="15.75" customHeight="1" x14ac:dyDescent="0.25">
      <c r="B103" s="507"/>
      <c r="C103" s="507"/>
      <c r="D103" s="501"/>
      <c r="E103" s="501"/>
      <c r="F103" s="501"/>
      <c r="G103" s="25"/>
      <c r="H103" s="25"/>
      <c r="J103" s="128"/>
      <c r="K103" s="128"/>
    </row>
    <row r="104" spans="2:11" ht="15.75" customHeight="1" x14ac:dyDescent="0.25">
      <c r="B104" s="507"/>
      <c r="C104" s="507"/>
      <c r="D104" s="501"/>
      <c r="E104" s="501"/>
      <c r="F104" s="501"/>
      <c r="G104" s="25"/>
      <c r="H104" s="25"/>
      <c r="J104" s="128"/>
      <c r="K104" s="128"/>
    </row>
    <row r="105" spans="2:11" ht="15.75" customHeight="1" x14ac:dyDescent="0.25">
      <c r="B105" s="507"/>
      <c r="C105" s="507"/>
      <c r="D105" s="501"/>
      <c r="E105" s="501"/>
      <c r="F105" s="501"/>
      <c r="G105" s="25"/>
      <c r="H105" s="25"/>
      <c r="J105" s="128"/>
      <c r="K105" s="128"/>
    </row>
    <row r="106" spans="2:11" ht="15.75" customHeight="1" x14ac:dyDescent="0.25">
      <c r="B106" s="507"/>
      <c r="C106" s="507"/>
      <c r="D106" s="501"/>
      <c r="E106" s="501"/>
      <c r="F106" s="501"/>
      <c r="G106" s="25"/>
      <c r="H106" s="25"/>
      <c r="J106" s="128"/>
      <c r="K106" s="128"/>
    </row>
    <row r="107" spans="2:11" ht="15.75" customHeight="1" x14ac:dyDescent="0.25">
      <c r="B107" s="507"/>
      <c r="C107" s="507"/>
      <c r="D107" s="501"/>
      <c r="E107" s="501"/>
      <c r="F107" s="501"/>
      <c r="G107" s="25"/>
      <c r="H107" s="25"/>
      <c r="J107" s="128"/>
      <c r="K107" s="128"/>
    </row>
    <row r="108" spans="2:11" ht="15.75" customHeight="1" x14ac:dyDescent="0.25">
      <c r="B108" s="507"/>
      <c r="C108" s="507"/>
      <c r="D108" s="501"/>
      <c r="E108" s="501"/>
      <c r="F108" s="501"/>
      <c r="G108" s="25"/>
      <c r="H108" s="25"/>
      <c r="J108" s="128"/>
      <c r="K108" s="128"/>
    </row>
    <row r="109" spans="2:11" ht="15.75" customHeight="1" x14ac:dyDescent="0.25">
      <c r="B109" s="507"/>
      <c r="C109" s="507"/>
      <c r="D109" s="501"/>
      <c r="E109" s="501"/>
      <c r="F109" s="501"/>
      <c r="G109" s="25"/>
      <c r="H109" s="25"/>
      <c r="J109" s="128"/>
      <c r="K109" s="128"/>
    </row>
    <row r="110" spans="2:11" ht="15.75" customHeight="1" x14ac:dyDescent="0.25">
      <c r="B110" s="507"/>
      <c r="C110" s="507"/>
      <c r="D110" s="501"/>
      <c r="E110" s="501"/>
      <c r="F110" s="501"/>
      <c r="G110" s="25"/>
      <c r="H110" s="25"/>
      <c r="J110" s="128"/>
      <c r="K110" s="128"/>
    </row>
    <row r="111" spans="2:11" ht="15.75" customHeight="1" x14ac:dyDescent="0.25">
      <c r="B111" s="507"/>
      <c r="C111" s="507"/>
      <c r="D111" s="501"/>
      <c r="E111" s="501"/>
      <c r="F111" s="501"/>
      <c r="G111" s="25"/>
      <c r="H111" s="25"/>
      <c r="J111" s="128"/>
      <c r="K111" s="128"/>
    </row>
    <row r="112" spans="2:11" ht="15.75" customHeight="1" x14ac:dyDescent="0.25">
      <c r="B112" s="507"/>
      <c r="C112" s="507"/>
      <c r="D112" s="501"/>
      <c r="E112" s="501"/>
      <c r="F112" s="501"/>
      <c r="G112" s="25"/>
      <c r="H112" s="25"/>
      <c r="J112" s="128"/>
      <c r="K112" s="128"/>
    </row>
    <row r="113" spans="2:11" ht="15.75" customHeight="1" x14ac:dyDescent="0.25">
      <c r="B113" s="507"/>
      <c r="C113" s="507"/>
      <c r="D113" s="501"/>
      <c r="E113" s="501"/>
      <c r="F113" s="501"/>
      <c r="G113" s="25"/>
      <c r="H113" s="25"/>
      <c r="J113" s="128"/>
      <c r="K113" s="128"/>
    </row>
    <row r="114" spans="2:11" ht="15.75" customHeight="1" x14ac:dyDescent="0.25">
      <c r="B114" s="507"/>
      <c r="C114" s="501"/>
      <c r="D114" s="501"/>
      <c r="E114" s="501"/>
      <c r="F114" s="501"/>
      <c r="G114" s="25"/>
      <c r="H114" s="25"/>
      <c r="J114" s="128"/>
      <c r="K114" s="128"/>
    </row>
  </sheetData>
  <mergeCells count="4">
    <mergeCell ref="H22:I22"/>
    <mergeCell ref="I28:J28"/>
    <mergeCell ref="I29:J29"/>
    <mergeCell ref="I30:J3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R23"/>
  <sheetViews>
    <sheetView showGridLines="0" workbookViewId="0">
      <pane ySplit="6" topLeftCell="A7" activePane="bottomLeft" state="frozenSplit"/>
      <selection pane="bottomLeft" activeCell="N13" sqref="N13"/>
    </sheetView>
  </sheetViews>
  <sheetFormatPr defaultRowHeight="15" x14ac:dyDescent="0.25"/>
  <cols>
    <col min="1" max="1" width="21.85546875" customWidth="1"/>
    <col min="2" max="3" width="12.7109375" customWidth="1"/>
    <col min="4" max="4" width="11.140625" customWidth="1"/>
    <col min="5" max="5" width="10.42578125" customWidth="1"/>
    <col min="6" max="8" width="11.140625" customWidth="1"/>
    <col min="9" max="9" width="12.140625" customWidth="1"/>
    <col min="10" max="10" width="9.85546875" customWidth="1"/>
    <col min="11" max="11" width="11.140625" customWidth="1"/>
    <col min="12" max="12" width="12" customWidth="1"/>
    <col min="13" max="13" width="13.42578125" customWidth="1"/>
    <col min="14" max="14" width="22.7109375" customWidth="1"/>
    <col min="15" max="15" width="16.85546875" customWidth="1"/>
    <col min="17" max="17" width="30.7109375" customWidth="1"/>
    <col min="18" max="18" width="55.7109375" customWidth="1"/>
  </cols>
  <sheetData>
    <row r="1" spans="1:18" ht="24" customHeight="1" x14ac:dyDescent="0.3">
      <c r="A1" s="614" t="s">
        <v>1073</v>
      </c>
      <c r="B1" s="614"/>
      <c r="C1" s="614"/>
      <c r="D1" s="614"/>
      <c r="E1" s="614"/>
      <c r="F1" s="614"/>
      <c r="G1" s="614"/>
      <c r="H1" s="614"/>
      <c r="I1" s="614"/>
      <c r="J1" s="614"/>
      <c r="K1" s="614"/>
      <c r="L1" s="614"/>
      <c r="M1" s="614"/>
      <c r="N1" s="614"/>
      <c r="O1" s="614"/>
    </row>
    <row r="2" spans="1:18" ht="33.950000000000003" customHeight="1" x14ac:dyDescent="0.25">
      <c r="A2" s="615" t="s">
        <v>1074</v>
      </c>
      <c r="B2" s="615"/>
      <c r="C2" s="615"/>
      <c r="D2" s="615"/>
      <c r="E2" s="615"/>
      <c r="F2" s="615"/>
      <c r="G2" s="615"/>
      <c r="H2" s="615"/>
      <c r="I2" s="615"/>
      <c r="J2" s="615"/>
      <c r="K2" s="615"/>
      <c r="L2" s="615"/>
      <c r="M2" s="615"/>
      <c r="N2" s="615"/>
      <c r="O2" s="615"/>
    </row>
    <row r="3" spans="1:18" ht="33.950000000000003" customHeight="1" x14ac:dyDescent="0.25">
      <c r="A3" s="615"/>
      <c r="B3" s="615"/>
      <c r="C3" s="615"/>
      <c r="D3" s="615"/>
      <c r="E3" s="615"/>
      <c r="F3" s="615"/>
      <c r="G3" s="615"/>
      <c r="H3" s="615"/>
      <c r="I3" s="616"/>
      <c r="J3" s="615"/>
      <c r="K3" s="615"/>
      <c r="L3" s="615"/>
      <c r="M3" s="615"/>
      <c r="N3" s="615"/>
      <c r="O3" s="615"/>
    </row>
    <row r="4" spans="1:18" ht="15.75" thickBot="1" x14ac:dyDescent="0.3">
      <c r="G4" s="610"/>
      <c r="H4" s="610"/>
      <c r="I4" s="611">
        <v>0.1</v>
      </c>
      <c r="J4" s="553">
        <v>1</v>
      </c>
    </row>
    <row r="5" spans="1:18" ht="15.75" thickBot="1" x14ac:dyDescent="0.3">
      <c r="C5" s="618" t="s">
        <v>1197</v>
      </c>
      <c r="D5" s="619"/>
      <c r="E5" s="619"/>
      <c r="F5" s="619"/>
      <c r="G5" s="619"/>
      <c r="H5" s="619"/>
      <c r="I5" s="619"/>
      <c r="J5" s="619"/>
      <c r="K5" s="620"/>
    </row>
    <row r="6" spans="1:18" s="22" customFormat="1" ht="39" x14ac:dyDescent="0.25">
      <c r="A6" s="543" t="s">
        <v>1075</v>
      </c>
      <c r="B6" s="543" t="s">
        <v>1076</v>
      </c>
      <c r="C6" s="613" t="s">
        <v>1077</v>
      </c>
      <c r="D6" s="612" t="s">
        <v>1078</v>
      </c>
      <c r="E6" s="612" t="s">
        <v>1193</v>
      </c>
      <c r="F6" s="612" t="s">
        <v>1194</v>
      </c>
      <c r="G6" s="612" t="s">
        <v>1134</v>
      </c>
      <c r="H6" s="612" t="s">
        <v>1133</v>
      </c>
      <c r="I6" s="612" t="s">
        <v>1081</v>
      </c>
      <c r="J6" s="612" t="s">
        <v>1082</v>
      </c>
      <c r="K6" s="612" t="s">
        <v>1083</v>
      </c>
      <c r="L6" s="543" t="s">
        <v>1087</v>
      </c>
      <c r="M6" s="543" t="s">
        <v>1084</v>
      </c>
      <c r="N6" s="543" t="s">
        <v>1085</v>
      </c>
      <c r="O6" s="543" t="s">
        <v>1086</v>
      </c>
      <c r="Q6" s="617" t="s">
        <v>1095</v>
      </c>
      <c r="R6" s="617"/>
    </row>
    <row r="7" spans="1:18" ht="36" customHeight="1" x14ac:dyDescent="0.25">
      <c r="A7" s="535" t="s">
        <v>1088</v>
      </c>
      <c r="B7" s="535" t="s">
        <v>1089</v>
      </c>
      <c r="C7" s="532">
        <v>782</v>
      </c>
      <c r="D7" s="532">
        <v>1800</v>
      </c>
      <c r="E7" s="533">
        <f>D7-C7</f>
        <v>1018</v>
      </c>
      <c r="F7" s="533">
        <f>E7*12</f>
        <v>12216</v>
      </c>
      <c r="G7" s="533">
        <f>+M17</f>
        <v>81440</v>
      </c>
      <c r="H7" s="533">
        <f>C17</f>
        <v>70000</v>
      </c>
      <c r="I7" s="533">
        <f>IF($J$4=2,H7,G7)*(1-$I$4)</f>
        <v>73296</v>
      </c>
      <c r="J7" s="532">
        <v>0</v>
      </c>
      <c r="K7" s="533">
        <f>IF($L7,MAX(0,I7-J7),0)</f>
        <v>73296</v>
      </c>
      <c r="L7" s="554" t="b">
        <v>1</v>
      </c>
      <c r="M7" s="530" t="s">
        <v>1090</v>
      </c>
      <c r="N7" s="530" t="s">
        <v>1090</v>
      </c>
      <c r="O7" s="530" t="s">
        <v>1090</v>
      </c>
      <c r="Q7" s="567" t="s">
        <v>1096</v>
      </c>
      <c r="R7" s="536">
        <f>SUM(I7:I9)</f>
        <v>236592</v>
      </c>
    </row>
    <row r="8" spans="1:18" ht="36" customHeight="1" x14ac:dyDescent="0.25">
      <c r="A8" s="535" t="s">
        <v>1091</v>
      </c>
      <c r="B8" s="535" t="s">
        <v>1092</v>
      </c>
      <c r="C8" s="532">
        <v>782</v>
      </c>
      <c r="D8" s="532">
        <v>1950</v>
      </c>
      <c r="E8" s="533">
        <f>D8-C8</f>
        <v>1168</v>
      </c>
      <c r="F8" s="533">
        <f>E8*12</f>
        <v>14016</v>
      </c>
      <c r="G8" s="533">
        <f t="shared" ref="G8:G9" si="0">+M18</f>
        <v>93440</v>
      </c>
      <c r="H8" s="533">
        <f>C18</f>
        <v>104000</v>
      </c>
      <c r="I8" s="533">
        <f>IF($J$4=2,H8,G8)*(1-$I$4)</f>
        <v>84096</v>
      </c>
      <c r="J8" s="532">
        <v>0</v>
      </c>
      <c r="K8" s="533">
        <f>IF($L8,MAX(0,I8-J8),0)</f>
        <v>84096</v>
      </c>
      <c r="L8" s="554" t="b">
        <v>1</v>
      </c>
      <c r="M8" s="530" t="s">
        <v>1090</v>
      </c>
      <c r="N8" s="530" t="s">
        <v>1090</v>
      </c>
      <c r="O8" s="530" t="s">
        <v>1090</v>
      </c>
      <c r="Q8" s="567" t="s">
        <v>1097</v>
      </c>
      <c r="R8" s="536">
        <f>SUM(J7:J9)</f>
        <v>0</v>
      </c>
    </row>
    <row r="9" spans="1:18" ht="36" customHeight="1" x14ac:dyDescent="0.25">
      <c r="A9" s="535" t="s">
        <v>1093</v>
      </c>
      <c r="B9" s="535" t="s">
        <v>1089</v>
      </c>
      <c r="C9" s="532">
        <v>500</v>
      </c>
      <c r="D9" s="532">
        <v>1600</v>
      </c>
      <c r="E9" s="533">
        <f>D9-C9</f>
        <v>1100</v>
      </c>
      <c r="F9" s="533">
        <f>E9*12</f>
        <v>13200</v>
      </c>
      <c r="G9" s="533">
        <f t="shared" si="0"/>
        <v>88000</v>
      </c>
      <c r="H9" s="533">
        <f>C19</f>
        <v>76500</v>
      </c>
      <c r="I9" s="533">
        <f>IF($J$4=2,H9,G9)*(1-$I$4)</f>
        <v>79200</v>
      </c>
      <c r="J9" s="532">
        <v>0</v>
      </c>
      <c r="K9" s="533">
        <f>IF($L9,MAX(0,I9-J9),0)</f>
        <v>79200</v>
      </c>
      <c r="L9" s="554" t="b">
        <v>1</v>
      </c>
      <c r="M9" s="530" t="s">
        <v>1090</v>
      </c>
      <c r="N9" s="530" t="s">
        <v>1090</v>
      </c>
      <c r="O9" s="530" t="s">
        <v>1090</v>
      </c>
      <c r="Q9" s="567" t="s">
        <v>1098</v>
      </c>
      <c r="R9" s="536">
        <f>SUM(K7:K9)</f>
        <v>236592</v>
      </c>
    </row>
    <row r="10" spans="1:18" x14ac:dyDescent="0.25">
      <c r="A10" s="531" t="s">
        <v>1094</v>
      </c>
      <c r="B10" s="531"/>
      <c r="C10" s="534">
        <f t="shared" ref="C10:J10" si="1">SUM(C7:C9)</f>
        <v>2064</v>
      </c>
      <c r="D10" s="534">
        <f t="shared" si="1"/>
        <v>5350</v>
      </c>
      <c r="E10" s="534">
        <f t="shared" si="1"/>
        <v>3286</v>
      </c>
      <c r="F10" s="534">
        <f t="shared" si="1"/>
        <v>39432</v>
      </c>
      <c r="G10" s="534">
        <f>SUM(G7:G9)</f>
        <v>262880</v>
      </c>
      <c r="H10" s="534">
        <f>SUM(H7:H9)</f>
        <v>250500</v>
      </c>
      <c r="I10" s="534">
        <f>SUM(I7:I9)</f>
        <v>236592</v>
      </c>
      <c r="J10" s="534">
        <f t="shared" si="1"/>
        <v>0</v>
      </c>
      <c r="K10" s="534">
        <f>SUM(K7:K9)</f>
        <v>236592</v>
      </c>
      <c r="L10" s="531"/>
      <c r="M10" s="531"/>
      <c r="N10" s="531"/>
      <c r="O10" s="531"/>
      <c r="Q10" s="567" t="s">
        <v>1099</v>
      </c>
      <c r="R10" s="536">
        <f>SUM(D7:D9)</f>
        <v>5350</v>
      </c>
    </row>
    <row r="11" spans="1:18" x14ac:dyDescent="0.25">
      <c r="Q11" s="567" t="s">
        <v>1100</v>
      </c>
      <c r="R11" s="536">
        <f>SUM(C7:C9)</f>
        <v>2064</v>
      </c>
    </row>
    <row r="12" spans="1:18" x14ac:dyDescent="0.25">
      <c r="Q12" s="567" t="s">
        <v>1196</v>
      </c>
      <c r="R12" s="536">
        <f>SUM(E7:E9)</f>
        <v>3286</v>
      </c>
    </row>
    <row r="13" spans="1:18" x14ac:dyDescent="0.25">
      <c r="Q13" s="567" t="s">
        <v>1195</v>
      </c>
      <c r="R13" s="536">
        <f>SUM(F7:F9)</f>
        <v>39432</v>
      </c>
    </row>
    <row r="14" spans="1:18" x14ac:dyDescent="0.25">
      <c r="Q14" s="567"/>
      <c r="R14" s="536"/>
    </row>
    <row r="15" spans="1:18" x14ac:dyDescent="0.25">
      <c r="Q15" s="567" t="s">
        <v>1101</v>
      </c>
      <c r="R15" s="536">
        <f>R13/10%</f>
        <v>394320</v>
      </c>
    </row>
    <row r="16" spans="1:18" ht="38.25" x14ac:dyDescent="0.25">
      <c r="A16" s="544" t="s">
        <v>1120</v>
      </c>
      <c r="B16" s="544" t="s">
        <v>1076</v>
      </c>
      <c r="C16" s="544" t="s">
        <v>1121</v>
      </c>
      <c r="D16" s="544" t="s">
        <v>1122</v>
      </c>
      <c r="E16" s="544" t="s">
        <v>1123</v>
      </c>
      <c r="F16" s="544" t="s">
        <v>1079</v>
      </c>
      <c r="G16" s="544" t="s">
        <v>1080</v>
      </c>
      <c r="H16" s="544" t="s">
        <v>1124</v>
      </c>
      <c r="I16" s="544" t="s">
        <v>1125</v>
      </c>
      <c r="J16" s="544" t="s">
        <v>1126</v>
      </c>
      <c r="K16" s="544" t="s">
        <v>1127</v>
      </c>
      <c r="L16" s="544" t="s">
        <v>1128</v>
      </c>
      <c r="M16" s="544" t="s">
        <v>1129</v>
      </c>
      <c r="N16" s="544" t="s">
        <v>134</v>
      </c>
      <c r="Q16" s="567" t="s">
        <v>1102</v>
      </c>
      <c r="R16" s="536">
        <f>R13/12%</f>
        <v>328600</v>
      </c>
    </row>
    <row r="17" spans="1:18" ht="25.5" x14ac:dyDescent="0.25">
      <c r="A17" s="545" t="s">
        <v>1088</v>
      </c>
      <c r="B17" s="545" t="s">
        <v>1089</v>
      </c>
      <c r="C17" s="546">
        <v>70000</v>
      </c>
      <c r="D17" s="546">
        <v>782</v>
      </c>
      <c r="E17" s="546">
        <v>1800</v>
      </c>
      <c r="F17" s="546">
        <f>IF(OR(D17="",E17=""),"",E17-D17)</f>
        <v>1018</v>
      </c>
      <c r="G17" s="546">
        <f>IF(F17="","",F17*12)</f>
        <v>12216</v>
      </c>
      <c r="H17" s="547">
        <f>IFERROR(D17/E17,"")</f>
        <v>0.43444444444444447</v>
      </c>
      <c r="I17" s="547">
        <f>IFERROR(F17/E17,"")</f>
        <v>0.56555555555555559</v>
      </c>
      <c r="J17" s="547">
        <f>IFERROR(G17/C17,"")</f>
        <v>0.17451428571428571</v>
      </c>
      <c r="K17" s="546">
        <f>IF(G17="","",G17/10%)</f>
        <v>122160</v>
      </c>
      <c r="L17" s="546">
        <f>IF(G17="","",G17/12%)</f>
        <v>101800</v>
      </c>
      <c r="M17" s="546">
        <f>IF(G17="","",G17/15%)</f>
        <v>81440</v>
      </c>
      <c r="N17" s="548" t="s">
        <v>1130</v>
      </c>
      <c r="Q17" s="567" t="s">
        <v>1103</v>
      </c>
      <c r="R17" s="536">
        <f>R13/15%</f>
        <v>262880</v>
      </c>
    </row>
    <row r="18" spans="1:18" ht="25.5" x14ac:dyDescent="0.25">
      <c r="A18" s="545" t="s">
        <v>1091</v>
      </c>
      <c r="B18" s="545" t="s">
        <v>1092</v>
      </c>
      <c r="C18" s="546">
        <v>104000</v>
      </c>
      <c r="D18" s="546">
        <v>782</v>
      </c>
      <c r="E18" s="546">
        <v>1950</v>
      </c>
      <c r="F18" s="546">
        <f>IF(OR(D18="",E18=""),"",E18-D18)</f>
        <v>1168</v>
      </c>
      <c r="G18" s="546">
        <f>IF(F18="","",F18*12)</f>
        <v>14016</v>
      </c>
      <c r="H18" s="547">
        <f>IFERROR(D18/E18,"")</f>
        <v>0.40102564102564103</v>
      </c>
      <c r="I18" s="547">
        <f>IFERROR(F18/E18,"")</f>
        <v>0.59897435897435902</v>
      </c>
      <c r="J18" s="547">
        <f>IFERROR(G18/C18,"")</f>
        <v>0.13476923076923078</v>
      </c>
      <c r="K18" s="546">
        <f>IF(G18="","",G18/10%)</f>
        <v>140160</v>
      </c>
      <c r="L18" s="546">
        <f>IF(G18="","",G18/12%)</f>
        <v>116800</v>
      </c>
      <c r="M18" s="546">
        <f>IF(G18="","",G18/15%)</f>
        <v>93440</v>
      </c>
      <c r="N18" s="548" t="s">
        <v>1131</v>
      </c>
      <c r="Q18" s="567"/>
      <c r="R18" s="537"/>
    </row>
    <row r="19" spans="1:18" ht="30" x14ac:dyDescent="0.25">
      <c r="A19" s="545" t="s">
        <v>1093</v>
      </c>
      <c r="B19" s="545" t="s">
        <v>1089</v>
      </c>
      <c r="C19" s="546">
        <v>76500</v>
      </c>
      <c r="D19" s="546">
        <v>500</v>
      </c>
      <c r="E19" s="546">
        <v>1600</v>
      </c>
      <c r="F19" s="546">
        <f>IF(OR(D19="",E19=""),"",E19-D19)</f>
        <v>1100</v>
      </c>
      <c r="G19" s="546">
        <f>IF(F19="","",F19*12)</f>
        <v>13200</v>
      </c>
      <c r="H19" s="547">
        <f>IFERROR(D19/E19,"")</f>
        <v>0.3125</v>
      </c>
      <c r="I19" s="547">
        <f>IFERROR(F19/E19,"")</f>
        <v>0.6875</v>
      </c>
      <c r="J19" s="547">
        <f>IFERROR(G19/C19,"")</f>
        <v>0.17254901960784313</v>
      </c>
      <c r="K19" s="546">
        <f>IF(G19="","",G19/10%)</f>
        <v>132000</v>
      </c>
      <c r="L19" s="546">
        <f>IF(G19="","",G19/12%)</f>
        <v>110000</v>
      </c>
      <c r="M19" s="546">
        <f>IF(G19="","",G19/15%)</f>
        <v>88000</v>
      </c>
      <c r="N19" s="548" t="s">
        <v>1132</v>
      </c>
      <c r="Q19" s="568" t="s">
        <v>1104</v>
      </c>
      <c r="R19" s="538" t="str">
        <f>_xlfn.TEXTJOIN("; ",TRUE,IF($L$7,$A$7&amp;" - "&amp;$B$7,""),IF($L$8,$A$8&amp;" - "&amp;$B$8,""),IF($L$9,$A$9&amp;" - "&amp;$B$9,""))</f>
        <v>5009 Sunnyfield Dr - Single wide; 5021 Sunnyfield Dr - Double wide; 5512 Desert Willow Ln - Single wide</v>
      </c>
    </row>
    <row r="20" spans="1:18" ht="60" x14ac:dyDescent="0.25">
      <c r="A20" s="549" t="s">
        <v>268</v>
      </c>
      <c r="B20" s="549"/>
      <c r="C20" s="550">
        <f>SUM(C17:C19)</f>
        <v>250500</v>
      </c>
      <c r="D20" s="550">
        <f>SUM(D17:D19)</f>
        <v>2064</v>
      </c>
      <c r="E20" s="550">
        <f>SUM(E17:E19)</f>
        <v>5350</v>
      </c>
      <c r="F20" s="550">
        <f>SUM(F17:F19)</f>
        <v>3286</v>
      </c>
      <c r="G20" s="550">
        <f>SUM(G17:G19)</f>
        <v>39432</v>
      </c>
      <c r="H20" s="551">
        <f>IFERROR(D20/E20,"")</f>
        <v>0.3857943925233645</v>
      </c>
      <c r="I20" s="551">
        <f>IFERROR(F20/E20,"")</f>
        <v>0.61420560747663555</v>
      </c>
      <c r="J20" s="551">
        <f>IFERROR(G20/C20,"")</f>
        <v>0.15741317365269461</v>
      </c>
      <c r="K20" s="550">
        <f>IF(G20="","",G20/10%)</f>
        <v>394320</v>
      </c>
      <c r="L20" s="550">
        <f>IF(G20="","",G20/12%)</f>
        <v>328600</v>
      </c>
      <c r="M20" s="550">
        <f>IF(G20="","",G20/15%)</f>
        <v>262880</v>
      </c>
      <c r="N20" s="552"/>
      <c r="Q20" s="568" t="s">
        <v>1105</v>
      </c>
      <c r="R20" s="538" t="s">
        <v>1106</v>
      </c>
    </row>
    <row r="21" spans="1:18" ht="48" customHeight="1" x14ac:dyDescent="0.25">
      <c r="Q21" s="568"/>
      <c r="R21" s="538"/>
    </row>
    <row r="22" spans="1:18" ht="48" customHeight="1" x14ac:dyDescent="0.25">
      <c r="Q22" s="568" t="s">
        <v>1107</v>
      </c>
      <c r="R22" s="539" t="s">
        <v>1108</v>
      </c>
    </row>
    <row r="23" spans="1:18" ht="48" customHeight="1" x14ac:dyDescent="0.25">
      <c r="Q23" s="568"/>
      <c r="R23" s="538"/>
    </row>
  </sheetData>
  <mergeCells count="4">
    <mergeCell ref="A1:O1"/>
    <mergeCell ref="A2:O3"/>
    <mergeCell ref="Q6:R6"/>
    <mergeCell ref="C5:K5"/>
  </mergeCells>
  <dataValidations disablePrompts="1" count="3">
    <dataValidation type="list" allowBlank="1" showInputMessage="1" showErrorMessage="1" sqref="B7:B9" xr:uid="{1EE3D265-E665-473A-9693-1BDC8ADB1F28}">
      <formula1>"Single wide,Double wide"</formula1>
    </dataValidation>
    <dataValidation type="list" allowBlank="1" showInputMessage="1" showErrorMessage="1" sqref="M7:O9"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38100</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38100</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8</xdr:row>
                    <xdr:rowOff>28575</xdr:rowOff>
                  </from>
                  <to>
                    <xdr:col>12</xdr:col>
                    <xdr:colOff>533400</xdr:colOff>
                    <xdr:row>8</xdr:row>
                    <xdr:rowOff>409575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11" t="s">
        <v>79</v>
      </c>
      <c r="D1" s="812"/>
      <c r="E1" s="622"/>
      <c r="I1" s="805"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13" t="s">
        <v>80</v>
      </c>
      <c r="K1" s="805"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22"/>
      <c r="J2" s="813"/>
      <c r="K2" s="805"/>
    </row>
    <row r="3" spans="1:11" ht="16.5" customHeight="1" x14ac:dyDescent="0.25">
      <c r="A3" t="s">
        <v>81</v>
      </c>
      <c r="B3" s="228" t="s">
        <v>684</v>
      </c>
      <c r="C3" s="227" t="s">
        <v>676</v>
      </c>
      <c r="D3" s="22"/>
      <c r="I3" s="622"/>
      <c r="J3" s="221"/>
      <c r="K3" s="805"/>
    </row>
    <row r="4" spans="1:11" x14ac:dyDescent="0.25">
      <c r="A4" t="s">
        <v>82</v>
      </c>
      <c r="B4" s="226" t="s">
        <v>685</v>
      </c>
      <c r="C4" s="229" t="s">
        <v>676</v>
      </c>
      <c r="D4" s="22"/>
      <c r="I4" s="622"/>
      <c r="K4" s="805"/>
    </row>
    <row r="5" spans="1:11" ht="16.5" x14ac:dyDescent="0.3">
      <c r="A5" t="s">
        <v>83</v>
      </c>
      <c r="B5" s="216"/>
      <c r="C5" s="217"/>
      <c r="D5" s="22"/>
      <c r="I5" s="622"/>
      <c r="K5" s="805"/>
    </row>
    <row r="6" spans="1:11" ht="15" customHeight="1" thickBot="1" x14ac:dyDescent="0.3">
      <c r="A6" t="s">
        <v>84</v>
      </c>
      <c r="B6" s="218"/>
      <c r="C6" s="219"/>
      <c r="D6" s="22"/>
      <c r="I6" s="622"/>
      <c r="K6" s="805"/>
    </row>
    <row r="7" spans="1:11" x14ac:dyDescent="0.25">
      <c r="I7" s="622"/>
      <c r="K7" s="805"/>
    </row>
    <row r="8" spans="1:11" x14ac:dyDescent="0.25">
      <c r="I8" s="622"/>
      <c r="K8" s="805"/>
    </row>
    <row r="9" spans="1:11" x14ac:dyDescent="0.25">
      <c r="A9" s="15" t="s">
        <v>85</v>
      </c>
      <c r="B9" s="15" t="s">
        <v>86</v>
      </c>
      <c r="C9" s="15"/>
      <c r="I9" s="622"/>
      <c r="K9" s="805"/>
    </row>
    <row r="10" spans="1:11" x14ac:dyDescent="0.25">
      <c r="B10" s="814" t="s">
        <v>87</v>
      </c>
      <c r="C10" s="815"/>
      <c r="D10" s="815"/>
      <c r="E10" s="815"/>
      <c r="F10" s="815"/>
      <c r="G10" s="815"/>
      <c r="I10" s="622"/>
      <c r="K10" s="805"/>
    </row>
    <row r="11" spans="1:11" x14ac:dyDescent="0.25">
      <c r="B11" s="622"/>
      <c r="C11" s="622"/>
      <c r="D11" s="622"/>
      <c r="E11" s="622"/>
      <c r="F11" s="622"/>
      <c r="G11" s="622"/>
      <c r="I11" s="622"/>
      <c r="K11" s="805"/>
    </row>
    <row r="12" spans="1:11" x14ac:dyDescent="0.25">
      <c r="F12" s="806" t="s">
        <v>88</v>
      </c>
      <c r="I12" s="622"/>
      <c r="K12" s="805"/>
    </row>
    <row r="13" spans="1:11" ht="15.75" thickBot="1" x14ac:dyDescent="0.3">
      <c r="B13" s="31" t="s">
        <v>89</v>
      </c>
      <c r="C13" s="214" t="s">
        <v>90</v>
      </c>
      <c r="D13" s="31" t="s">
        <v>91</v>
      </c>
      <c r="E13" s="31"/>
      <c r="F13" s="656"/>
      <c r="G13" s="31" t="s">
        <v>92</v>
      </c>
      <c r="I13" s="622"/>
      <c r="K13" s="805"/>
    </row>
    <row r="14" spans="1:11" ht="16.5" thickTop="1" thickBot="1" x14ac:dyDescent="0.3">
      <c r="B14" s="225">
        <f>+D14+F14</f>
        <v>129791.26</v>
      </c>
      <c r="C14" s="1">
        <f>+Profit!B4</f>
        <v>330000</v>
      </c>
      <c r="D14" s="1">
        <f>+Profit!M47-Profit!C20</f>
        <v>125291.26</v>
      </c>
      <c r="F14" s="224">
        <f>+B24-(B24*F16)</f>
        <v>4500</v>
      </c>
      <c r="G14" s="191">
        <f>+C14-D14-F14+Profit!D54+Profit!C20</f>
        <v>37427.525088999973</v>
      </c>
      <c r="I14" s="622"/>
      <c r="K14" s="805"/>
    </row>
    <row r="15" spans="1:11" ht="16.5" thickTop="1" thickBot="1" x14ac:dyDescent="0.3">
      <c r="C15" s="186"/>
      <c r="D15" s="187" t="s">
        <v>93</v>
      </c>
      <c r="E15" s="188">
        <f>+Profit!$M$49</f>
        <v>-4446.7850890000082</v>
      </c>
      <c r="H15" s="215"/>
      <c r="K15" s="805"/>
    </row>
    <row r="16" spans="1:11" ht="16.5" thickTop="1" thickBot="1" x14ac:dyDescent="0.3">
      <c r="C16" s="186"/>
      <c r="D16" s="189" t="s">
        <v>94</v>
      </c>
      <c r="E16" s="190">
        <f>+G14/E15</f>
        <v>-8.4167604999810468</v>
      </c>
      <c r="F16" s="223">
        <v>0.1</v>
      </c>
      <c r="H16" s="215" t="s">
        <v>95</v>
      </c>
      <c r="I16" s="805"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05"/>
    </row>
    <row r="17" spans="1:13" ht="15.75" thickTop="1" x14ac:dyDescent="0.25">
      <c r="C17" s="186"/>
      <c r="D17" s="189" t="s">
        <v>96</v>
      </c>
      <c r="E17" s="190">
        <f>+G14/(F14+G14)</f>
        <v>0.89267193829237945</v>
      </c>
      <c r="F17" t="s">
        <v>97</v>
      </c>
      <c r="I17" s="805"/>
      <c r="K17" s="805"/>
    </row>
    <row r="18" spans="1:13" x14ac:dyDescent="0.25">
      <c r="I18" s="805"/>
      <c r="K18" s="805"/>
    </row>
    <row r="19" spans="1:13" ht="15.75" thickBot="1" x14ac:dyDescent="0.3">
      <c r="A19" s="15" t="s">
        <v>98</v>
      </c>
      <c r="B19" s="15" t="s">
        <v>99</v>
      </c>
      <c r="D19" s="15" t="s">
        <v>100</v>
      </c>
      <c r="H19">
        <f>IF(H20="X",1,0)</f>
        <v>0</v>
      </c>
      <c r="K19" s="805"/>
    </row>
    <row r="20" spans="1:13" ht="15" customHeight="1" thickTop="1" thickBot="1" x14ac:dyDescent="0.3">
      <c r="B20" t="s">
        <v>101</v>
      </c>
      <c r="H20" s="215"/>
      <c r="I20" s="805"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805"/>
    </row>
    <row r="21" spans="1:13" ht="15.75" thickTop="1" x14ac:dyDescent="0.25">
      <c r="B21" t="s">
        <v>102</v>
      </c>
      <c r="I21" s="805"/>
      <c r="J21" s="212"/>
      <c r="K21" s="805"/>
      <c r="L21" s="211"/>
      <c r="M21" s="211"/>
    </row>
    <row r="22" spans="1:13" ht="30" x14ac:dyDescent="0.25">
      <c r="F22" s="61" t="s">
        <v>103</v>
      </c>
      <c r="I22" s="805"/>
      <c r="J22" s="211"/>
      <c r="K22" s="805"/>
      <c r="L22" s="211"/>
      <c r="M22" s="211"/>
    </row>
    <row r="23" spans="1:13" ht="15.75" thickBot="1" x14ac:dyDescent="0.3">
      <c r="B23" s="31" t="s">
        <v>104</v>
      </c>
      <c r="C23" s="807"/>
      <c r="D23" s="808"/>
      <c r="E23" s="808"/>
      <c r="F23" s="808"/>
      <c r="G23" s="31" t="s">
        <v>92</v>
      </c>
      <c r="I23" s="825"/>
      <c r="J23" s="211"/>
      <c r="K23" s="805"/>
      <c r="L23" s="211"/>
      <c r="M23" s="211"/>
    </row>
    <row r="24" spans="1:13" ht="16.5" thickTop="1" thickBot="1" x14ac:dyDescent="0.3">
      <c r="B24" s="222">
        <f>+SUM(Profit!C19:'Profit'!C20)</f>
        <v>5000</v>
      </c>
      <c r="C24" s="809" t="s">
        <v>105</v>
      </c>
      <c r="D24" s="810"/>
      <c r="E24" s="810"/>
      <c r="F24" s="10">
        <f>+B24</f>
        <v>5000</v>
      </c>
      <c r="G24" s="191">
        <f>+Profit!M63</f>
        <v>-124327.09867434995</v>
      </c>
      <c r="I24" s="622"/>
      <c r="K24" s="805"/>
    </row>
    <row r="25" spans="1:13" ht="15.4" customHeight="1" thickTop="1" thickBot="1" x14ac:dyDescent="0.3">
      <c r="C25" s="186"/>
      <c r="D25" s="187" t="s">
        <v>93</v>
      </c>
      <c r="E25" s="188">
        <f>+Profit!$M$49</f>
        <v>-4446.7850890000082</v>
      </c>
      <c r="H25">
        <f>IF(H26="X",1+H19,H19)</f>
        <v>1</v>
      </c>
      <c r="K25" s="805"/>
    </row>
    <row r="26" spans="1:13" ht="15" customHeight="1" thickTop="1" thickBot="1" x14ac:dyDescent="0.3">
      <c r="C26" s="186"/>
      <c r="D26" s="189" t="s">
        <v>94</v>
      </c>
      <c r="E26" s="190">
        <f>+G24/E25</f>
        <v>27.958872800463716</v>
      </c>
      <c r="H26" s="215" t="s">
        <v>106</v>
      </c>
      <c r="I26" s="805"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05"/>
    </row>
    <row r="27" spans="1:13" ht="15" customHeight="1" thickTop="1" x14ac:dyDescent="0.25">
      <c r="C27" s="186"/>
      <c r="D27" s="189" t="s">
        <v>96</v>
      </c>
      <c r="E27" s="190">
        <f>+G24/(F24+G24)</f>
        <v>1.0419016305227136</v>
      </c>
      <c r="I27" s="805"/>
      <c r="K27" s="805"/>
    </row>
    <row r="28" spans="1:13" ht="15" customHeight="1" x14ac:dyDescent="0.25">
      <c r="I28" s="805"/>
      <c r="K28" s="805"/>
    </row>
    <row r="29" spans="1:13" x14ac:dyDescent="0.25">
      <c r="A29" s="15"/>
      <c r="B29" s="15"/>
      <c r="I29" s="825"/>
      <c r="K29" s="805"/>
    </row>
    <row r="30" spans="1:13" x14ac:dyDescent="0.25">
      <c r="A30" s="15" t="s">
        <v>107</v>
      </c>
      <c r="B30" s="15" t="s">
        <v>108</v>
      </c>
      <c r="D30" t="s">
        <v>109</v>
      </c>
      <c r="I30" s="622"/>
      <c r="K30" s="805"/>
    </row>
    <row r="31" spans="1:13" ht="25.5" x14ac:dyDescent="0.25">
      <c r="B31" t="s">
        <v>101</v>
      </c>
      <c r="I31" s="212"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05"/>
    </row>
    <row r="32" spans="1:13" ht="15.75" thickBot="1" x14ac:dyDescent="0.3">
      <c r="B32" t="s">
        <v>102</v>
      </c>
      <c r="H32">
        <f>IF(H33="X",H25+1,H25)</f>
        <v>2</v>
      </c>
      <c r="K32" s="805"/>
    </row>
    <row r="33" spans="1:13" ht="15" customHeight="1" thickTop="1" thickBot="1" x14ac:dyDescent="0.3">
      <c r="H33" s="215" t="s">
        <v>106</v>
      </c>
      <c r="I33" s="805"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05"/>
    </row>
    <row r="34" spans="1:13" ht="16.5" thickTop="1" thickBot="1" x14ac:dyDescent="0.3">
      <c r="C34" s="2" t="s">
        <v>110</v>
      </c>
      <c r="D34" s="3" t="s">
        <v>111</v>
      </c>
      <c r="F34" s="3" t="s">
        <v>112</v>
      </c>
      <c r="I34" s="805"/>
      <c r="K34" s="805"/>
    </row>
    <row r="35" spans="1:13" ht="16.5" thickTop="1" thickBot="1" x14ac:dyDescent="0.3">
      <c r="B35" s="220" t="s">
        <v>113</v>
      </c>
      <c r="C35" s="193">
        <v>10400</v>
      </c>
      <c r="D35" s="185">
        <v>60</v>
      </c>
      <c r="F35" s="806" t="s">
        <v>103</v>
      </c>
      <c r="I35" s="805"/>
      <c r="K35" s="805"/>
    </row>
    <row r="36" spans="1:13" ht="16.5" thickTop="1" thickBot="1" x14ac:dyDescent="0.3">
      <c r="B36" s="31" t="s">
        <v>114</v>
      </c>
      <c r="C36" s="31" t="s">
        <v>115</v>
      </c>
      <c r="D36" s="31" t="s">
        <v>116</v>
      </c>
      <c r="E36" s="31" t="s">
        <v>117</v>
      </c>
      <c r="F36" s="656"/>
      <c r="G36" s="31" t="s">
        <v>92</v>
      </c>
      <c r="I36" s="805"/>
      <c r="K36" s="805"/>
    </row>
    <row r="37" spans="1:13" ht="16.5" thickTop="1" thickBot="1" x14ac:dyDescent="0.3">
      <c r="B37" s="10">
        <f>+SUM(Profit!C19:'Profit'!C20)*B38</f>
        <v>1700.0000000000002</v>
      </c>
      <c r="C37" s="10">
        <f>+SUM(Profit!C19:'Profit'!C20)-B37+C35</f>
        <v>13700</v>
      </c>
      <c r="D37" s="10">
        <f>+C37*D35/12*E37</f>
        <v>2740</v>
      </c>
      <c r="E37" s="195">
        <v>0.04</v>
      </c>
      <c r="F37" s="10">
        <f>+SUM(B37:D37)</f>
        <v>18140</v>
      </c>
      <c r="G37" s="191">
        <f>+Profit!$M$63-D37-C35</f>
        <v>-137467.09867434995</v>
      </c>
      <c r="I37" s="805"/>
      <c r="K37" s="805"/>
    </row>
    <row r="38" spans="1:13" ht="16.5" thickTop="1" thickBot="1" x14ac:dyDescent="0.3">
      <c r="B38" s="195">
        <v>0.34</v>
      </c>
      <c r="C38" s="210">
        <f>1-B38</f>
        <v>0.65999999999999992</v>
      </c>
      <c r="D38" s="10"/>
      <c r="E38" s="36"/>
      <c r="F38" s="10"/>
      <c r="G38" s="10"/>
      <c r="I38" s="805"/>
      <c r="K38" s="805"/>
    </row>
    <row r="39" spans="1:13" ht="15.4" customHeight="1" thickTop="1" x14ac:dyDescent="0.25">
      <c r="B39" s="10"/>
      <c r="C39" s="191"/>
      <c r="D39" s="187" t="s">
        <v>93</v>
      </c>
      <c r="E39" s="188">
        <f>+Profit!$M$49-C37+C35</f>
        <v>-7746.7850890000082</v>
      </c>
      <c r="F39" s="10"/>
      <c r="G39" s="10"/>
      <c r="I39" s="805"/>
      <c r="K39" s="805"/>
    </row>
    <row r="40" spans="1:13" x14ac:dyDescent="0.25">
      <c r="C40" s="186"/>
      <c r="D40" s="189" t="s">
        <v>94</v>
      </c>
      <c r="E40" s="190">
        <f>+G37/E39</f>
        <v>17.745051281924081</v>
      </c>
      <c r="I40" s="805"/>
      <c r="K40" s="805"/>
    </row>
    <row r="41" spans="1:13" ht="15" customHeight="1" thickBot="1" x14ac:dyDescent="0.3">
      <c r="C41" s="186"/>
      <c r="D41" s="189" t="s">
        <v>96</v>
      </c>
      <c r="E41" s="190">
        <f>+G37/(F37+G37)</f>
        <v>1.152019115536405</v>
      </c>
      <c r="H41">
        <f>IF(H42="X",H32+1,H32)</f>
        <v>2</v>
      </c>
      <c r="K41" s="805"/>
    </row>
    <row r="42" spans="1:13" ht="16.5" thickTop="1" thickBot="1" x14ac:dyDescent="0.3">
      <c r="A42" s="15" t="s">
        <v>118</v>
      </c>
      <c r="B42" s="15" t="s">
        <v>119</v>
      </c>
      <c r="H42" s="215"/>
      <c r="I42" s="805"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-$69,738.97   *    Expected 3% appreciation per year
                          Expected Value:                    -$59,738.97    ** After 60 months.</v>
      </c>
      <c r="K42" s="805"/>
    </row>
    <row r="43" spans="1:13" ht="15.75" thickTop="1" x14ac:dyDescent="0.25">
      <c r="B43" t="s">
        <v>101</v>
      </c>
      <c r="I43" s="805"/>
      <c r="K43" s="622"/>
      <c r="M43" s="197"/>
    </row>
    <row r="44" spans="1:13" x14ac:dyDescent="0.25">
      <c r="B44" t="s">
        <v>102</v>
      </c>
      <c r="I44" s="805"/>
      <c r="K44" s="622"/>
    </row>
    <row r="45" spans="1:13" ht="15" customHeight="1" x14ac:dyDescent="0.25">
      <c r="B45" t="s">
        <v>120</v>
      </c>
      <c r="I45" s="805"/>
      <c r="K45" s="622"/>
    </row>
    <row r="46" spans="1:13" x14ac:dyDescent="0.25">
      <c r="B46" t="s">
        <v>121</v>
      </c>
      <c r="I46" s="805"/>
      <c r="K46" s="622"/>
    </row>
    <row r="47" spans="1:13" x14ac:dyDescent="0.25">
      <c r="F47" s="3" t="s">
        <v>122</v>
      </c>
      <c r="I47" s="805"/>
      <c r="K47" s="622"/>
    </row>
    <row r="48" spans="1:13" x14ac:dyDescent="0.25">
      <c r="C48" s="806" t="s">
        <v>123</v>
      </c>
      <c r="D48" s="806" t="s">
        <v>124</v>
      </c>
      <c r="E48" s="806" t="s">
        <v>125</v>
      </c>
      <c r="F48" s="806" t="s">
        <v>103</v>
      </c>
      <c r="I48" s="805"/>
      <c r="K48" s="622"/>
    </row>
    <row r="49" spans="1:11" ht="15.75" thickBot="1" x14ac:dyDescent="0.3">
      <c r="B49" s="3" t="s">
        <v>114</v>
      </c>
      <c r="C49" s="656" t="s">
        <v>123</v>
      </c>
      <c r="D49" s="656" t="s">
        <v>124</v>
      </c>
      <c r="E49" s="656" t="s">
        <v>126</v>
      </c>
      <c r="F49" s="656"/>
      <c r="G49" s="31" t="s">
        <v>92</v>
      </c>
      <c r="I49" s="805"/>
      <c r="K49" s="622"/>
    </row>
    <row r="50" spans="1:11" ht="16.5" thickTop="1" thickBot="1" x14ac:dyDescent="0.3">
      <c r="B50" s="193">
        <v>10000</v>
      </c>
      <c r="C50" s="8">
        <f>+Profit!$M$63+Profit!C20-B50+(Profit!M7*Profit!C50/12*Profit!B4)</f>
        <v>-99627.098674349952</v>
      </c>
      <c r="D50" s="184">
        <v>0.7</v>
      </c>
      <c r="E50" s="10">
        <f>+D50*C50</f>
        <v>-69738.969072044958</v>
      </c>
      <c r="F50" s="10">
        <f>+B50+E50</f>
        <v>-59738.969072044958</v>
      </c>
      <c r="G50" s="191">
        <f>(1-D50)*C50</f>
        <v>-29888.129602304991</v>
      </c>
      <c r="I50" s="805"/>
      <c r="K50" s="622"/>
    </row>
    <row r="51" spans="1:11" ht="15.75" thickTop="1" x14ac:dyDescent="0.25">
      <c r="D51" s="15" t="s">
        <v>127</v>
      </c>
      <c r="I51" s="213"/>
      <c r="K51" s="622"/>
    </row>
    <row r="52" spans="1:11" x14ac:dyDescent="0.25">
      <c r="C52" s="186"/>
      <c r="D52" s="187" t="s">
        <v>93</v>
      </c>
      <c r="E52" s="188">
        <f>+Profit!$M$49-B24+B50</f>
        <v>553.21491099999184</v>
      </c>
      <c r="H52" t="s">
        <v>95</v>
      </c>
      <c r="I52" s="805"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22"/>
    </row>
    <row r="53" spans="1:11" ht="15" customHeight="1" x14ac:dyDescent="0.25">
      <c r="C53" s="186"/>
      <c r="D53" s="189" t="s">
        <v>94</v>
      </c>
      <c r="E53" s="190">
        <f>+G50/E52</f>
        <v>-54.02625454957311</v>
      </c>
      <c r="I53" s="622"/>
      <c r="K53" s="622"/>
    </row>
    <row r="54" spans="1:11" x14ac:dyDescent="0.25">
      <c r="C54" s="186"/>
      <c r="D54" s="189" t="s">
        <v>96</v>
      </c>
      <c r="E54" s="190">
        <f>+G50/(F50+G50)</f>
        <v>0.33347201956073763</v>
      </c>
      <c r="I54" s="622"/>
      <c r="K54" s="622"/>
    </row>
    <row r="55" spans="1:11" ht="15" customHeight="1" x14ac:dyDescent="0.25">
      <c r="I55" s="622"/>
      <c r="K55" s="622"/>
    </row>
    <row r="56" spans="1:11" ht="15.75" thickBot="1" x14ac:dyDescent="0.3">
      <c r="B56" s="15" t="s">
        <v>128</v>
      </c>
      <c r="D56" t="s">
        <v>129</v>
      </c>
      <c r="I56" s="622"/>
      <c r="K56" s="622"/>
    </row>
    <row r="57" spans="1:11" x14ac:dyDescent="0.25">
      <c r="A57" s="816"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17"/>
      <c r="C57" s="817"/>
      <c r="D57" s="817"/>
      <c r="E57" s="817"/>
      <c r="F57" s="817"/>
      <c r="G57" s="818"/>
      <c r="I57" s="622"/>
      <c r="K57" s="622"/>
    </row>
    <row r="58" spans="1:11" x14ac:dyDescent="0.25">
      <c r="A58" s="819"/>
      <c r="B58" s="820"/>
      <c r="C58" s="820"/>
      <c r="D58" s="820"/>
      <c r="E58" s="820"/>
      <c r="F58" s="820"/>
      <c r="G58" s="821"/>
      <c r="I58" s="622"/>
      <c r="K58" s="622"/>
    </row>
    <row r="59" spans="1:11" x14ac:dyDescent="0.25">
      <c r="A59" s="819"/>
      <c r="B59" s="820"/>
      <c r="C59" s="820"/>
      <c r="D59" s="820"/>
      <c r="E59" s="820"/>
      <c r="F59" s="820"/>
      <c r="G59" s="821"/>
      <c r="K59" s="622"/>
    </row>
    <row r="60" spans="1:11" x14ac:dyDescent="0.25">
      <c r="A60" s="819"/>
      <c r="B60" s="820"/>
      <c r="C60" s="820"/>
      <c r="D60" s="820"/>
      <c r="E60" s="820"/>
      <c r="F60" s="820"/>
      <c r="G60" s="821"/>
      <c r="K60" s="622"/>
    </row>
    <row r="61" spans="1:11" x14ac:dyDescent="0.25">
      <c r="A61" s="819"/>
      <c r="B61" s="820"/>
      <c r="C61" s="820"/>
      <c r="D61" s="820"/>
      <c r="E61" s="820"/>
      <c r="F61" s="820"/>
      <c r="G61" s="821"/>
      <c r="H61" t="s">
        <v>95</v>
      </c>
      <c r="I61" s="805"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22"/>
    </row>
    <row r="62" spans="1:11" x14ac:dyDescent="0.25">
      <c r="A62" s="819"/>
      <c r="B62" s="820"/>
      <c r="C62" s="820"/>
      <c r="D62" s="820"/>
      <c r="E62" s="820"/>
      <c r="F62" s="820"/>
      <c r="G62" s="821"/>
      <c r="I62" s="622"/>
      <c r="K62" s="622"/>
    </row>
    <row r="63" spans="1:11" x14ac:dyDescent="0.25">
      <c r="A63" s="819"/>
      <c r="B63" s="820"/>
      <c r="C63" s="820"/>
      <c r="D63" s="820"/>
      <c r="E63" s="820"/>
      <c r="F63" s="820"/>
      <c r="G63" s="821"/>
      <c r="I63" s="622"/>
      <c r="K63" s="622"/>
    </row>
    <row r="64" spans="1:11" x14ac:dyDescent="0.25">
      <c r="A64" s="819"/>
      <c r="B64" s="820"/>
      <c r="C64" s="820"/>
      <c r="D64" s="820"/>
      <c r="E64" s="820"/>
      <c r="F64" s="820"/>
      <c r="G64" s="821"/>
      <c r="I64" s="622"/>
      <c r="K64" s="622"/>
    </row>
    <row r="65" spans="1:11" x14ac:dyDescent="0.25">
      <c r="A65" s="819"/>
      <c r="B65" s="820"/>
      <c r="C65" s="820"/>
      <c r="D65" s="820"/>
      <c r="E65" s="820"/>
      <c r="F65" s="820"/>
      <c r="G65" s="821"/>
      <c r="I65" s="622"/>
      <c r="K65" s="622"/>
    </row>
    <row r="66" spans="1:11" x14ac:dyDescent="0.25">
      <c r="A66" s="819"/>
      <c r="B66" s="820"/>
      <c r="C66" s="820"/>
      <c r="D66" s="820"/>
      <c r="E66" s="820"/>
      <c r="F66" s="820"/>
      <c r="G66" s="821"/>
      <c r="I66" s="622"/>
      <c r="K66" s="622"/>
    </row>
    <row r="67" spans="1:11" x14ac:dyDescent="0.25">
      <c r="A67" s="819"/>
      <c r="B67" s="820"/>
      <c r="C67" s="820"/>
      <c r="D67" s="820"/>
      <c r="E67" s="820"/>
      <c r="F67" s="820"/>
      <c r="G67" s="821"/>
      <c r="I67" s="622"/>
      <c r="K67" s="622"/>
    </row>
    <row r="68" spans="1:11" x14ac:dyDescent="0.25">
      <c r="A68" s="819"/>
      <c r="B68" s="820"/>
      <c r="C68" s="820"/>
      <c r="D68" s="820"/>
      <c r="E68" s="820"/>
      <c r="F68" s="820"/>
      <c r="G68" s="821"/>
      <c r="I68" s="622"/>
    </row>
    <row r="69" spans="1:11" x14ac:dyDescent="0.25">
      <c r="A69" s="819"/>
      <c r="B69" s="820"/>
      <c r="C69" s="820"/>
      <c r="D69" s="820"/>
      <c r="E69" s="820"/>
      <c r="F69" s="820"/>
      <c r="G69" s="821"/>
      <c r="I69" s="622"/>
    </row>
    <row r="70" spans="1:11" x14ac:dyDescent="0.25">
      <c r="A70" s="819"/>
      <c r="B70" s="820"/>
      <c r="C70" s="820"/>
      <c r="D70" s="820"/>
      <c r="E70" s="820"/>
      <c r="F70" s="820"/>
      <c r="G70" s="821"/>
      <c r="I70" s="622"/>
    </row>
    <row r="71" spans="1:11" x14ac:dyDescent="0.25">
      <c r="A71" s="819"/>
      <c r="B71" s="820"/>
      <c r="C71" s="820"/>
      <c r="D71" s="820"/>
      <c r="E71" s="820"/>
      <c r="F71" s="820"/>
      <c r="G71" s="821"/>
      <c r="I71" s="622"/>
    </row>
    <row r="72" spans="1:11" x14ac:dyDescent="0.25">
      <c r="A72" s="819"/>
      <c r="B72" s="820"/>
      <c r="C72" s="820"/>
      <c r="D72" s="820"/>
      <c r="E72" s="820"/>
      <c r="F72" s="820"/>
      <c r="G72" s="821"/>
      <c r="I72" s="622"/>
    </row>
    <row r="73" spans="1:11" x14ac:dyDescent="0.25">
      <c r="A73" s="819"/>
      <c r="B73" s="820"/>
      <c r="C73" s="820"/>
      <c r="D73" s="820"/>
      <c r="E73" s="820"/>
      <c r="F73" s="820"/>
      <c r="G73" s="821"/>
    </row>
    <row r="74" spans="1:11" x14ac:dyDescent="0.25">
      <c r="A74" s="819"/>
      <c r="B74" s="820"/>
      <c r="C74" s="820"/>
      <c r="D74" s="820"/>
      <c r="E74" s="820"/>
      <c r="F74" s="820"/>
      <c r="G74" s="821"/>
      <c r="H74" t="s">
        <v>95</v>
      </c>
      <c r="I74" s="196" t="str">
        <f>"Sincerely,
Wes Browning"</f>
        <v>Sincerely,
Wes Browning</v>
      </c>
    </row>
    <row r="75" spans="1:11" ht="15" customHeight="1" x14ac:dyDescent="0.25">
      <c r="A75" s="819"/>
      <c r="B75" s="820"/>
      <c r="C75" s="820"/>
      <c r="D75" s="820"/>
      <c r="E75" s="820"/>
      <c r="F75" s="820"/>
      <c r="G75" s="821"/>
      <c r="I75" s="196"/>
    </row>
    <row r="76" spans="1:11" x14ac:dyDescent="0.25">
      <c r="A76" s="819"/>
      <c r="B76" s="820"/>
      <c r="C76" s="820"/>
      <c r="D76" s="820"/>
      <c r="E76" s="820"/>
      <c r="F76" s="820"/>
      <c r="G76" s="821"/>
      <c r="I76" s="196"/>
    </row>
    <row r="77" spans="1:11" x14ac:dyDescent="0.25">
      <c r="A77" s="819"/>
      <c r="B77" s="820"/>
      <c r="C77" s="820"/>
      <c r="D77" s="820"/>
      <c r="E77" s="820"/>
      <c r="F77" s="820"/>
      <c r="G77" s="821"/>
    </row>
    <row r="78" spans="1:11" x14ac:dyDescent="0.25">
      <c r="A78" s="819"/>
      <c r="B78" s="820"/>
      <c r="C78" s="820"/>
      <c r="D78" s="820"/>
      <c r="E78" s="820"/>
      <c r="F78" s="820"/>
      <c r="G78" s="821"/>
    </row>
    <row r="79" spans="1:11" ht="15.75" thickBot="1" x14ac:dyDescent="0.3">
      <c r="A79" s="822"/>
      <c r="B79" s="823"/>
      <c r="C79" s="823"/>
      <c r="D79" s="823"/>
      <c r="E79" s="823"/>
      <c r="F79" s="823"/>
      <c r="G79" s="824"/>
    </row>
    <row r="80" spans="1:11" x14ac:dyDescent="0.25">
      <c r="A80" s="196"/>
      <c r="B80" s="196"/>
      <c r="C80" s="196"/>
      <c r="D80" s="196"/>
      <c r="E80" s="196"/>
      <c r="F80" s="196"/>
      <c r="G80" s="196"/>
    </row>
    <row r="81" spans="1:9" x14ac:dyDescent="0.25">
      <c r="A81" s="196"/>
      <c r="B81" s="196"/>
      <c r="C81" s="196"/>
      <c r="D81" s="196"/>
      <c r="E81" s="196"/>
      <c r="F81" s="196"/>
      <c r="G81" s="2" t="s">
        <v>130</v>
      </c>
      <c r="I81" s="196" t="s">
        <v>131</v>
      </c>
    </row>
    <row r="82" spans="1:9" x14ac:dyDescent="0.25">
      <c r="G82" s="2" t="s">
        <v>132</v>
      </c>
      <c r="H82" t="s">
        <v>95</v>
      </c>
      <c r="I82" s="196" t="s">
        <v>133</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160</v>
      </c>
      <c r="B1" s="3" t="s">
        <v>161</v>
      </c>
      <c r="C1" s="32" t="s">
        <v>162</v>
      </c>
      <c r="D1" s="30" t="s">
        <v>163</v>
      </c>
      <c r="E1" s="32" t="s">
        <v>164</v>
      </c>
      <c r="F1" s="3" t="s">
        <v>165</v>
      </c>
    </row>
    <row r="2" spans="1:9" x14ac:dyDescent="0.25">
      <c r="A2" s="25" t="s">
        <v>148</v>
      </c>
      <c r="E2" s="27"/>
    </row>
    <row r="3" spans="1:9" x14ac:dyDescent="0.25">
      <c r="C3" s="28"/>
    </row>
    <row r="4" spans="1:9" ht="16.5" x14ac:dyDescent="0.3">
      <c r="A4" s="2" t="s">
        <v>750</v>
      </c>
      <c r="B4" s="322"/>
      <c r="C4" s="28"/>
      <c r="D4" s="25" t="s">
        <v>751</v>
      </c>
      <c r="E4" s="12"/>
    </row>
    <row r="5" spans="1:9" x14ac:dyDescent="0.25">
      <c r="C5" s="28"/>
      <c r="D5" s="25" t="s">
        <v>879</v>
      </c>
      <c r="E5" s="12"/>
    </row>
    <row r="6" spans="1:9" x14ac:dyDescent="0.25">
      <c r="A6" s="2" t="s">
        <v>834</v>
      </c>
      <c r="B6" s="43" t="s">
        <v>835</v>
      </c>
      <c r="D6" s="442" t="s">
        <v>836</v>
      </c>
      <c r="E6" s="27" t="s">
        <v>837</v>
      </c>
    </row>
    <row r="7" spans="1:9" x14ac:dyDescent="0.25">
      <c r="A7" s="25" t="s">
        <v>166</v>
      </c>
      <c r="B7" s="43"/>
      <c r="E7" s="238" t="s">
        <v>838</v>
      </c>
    </row>
    <row r="8" spans="1:9" x14ac:dyDescent="0.25">
      <c r="A8" s="44"/>
      <c r="B8" s="45"/>
      <c r="D8" s="46"/>
      <c r="E8" s="27"/>
      <c r="F8" s="19"/>
    </row>
    <row r="9" spans="1:9" x14ac:dyDescent="0.25">
      <c r="A9" s="44"/>
      <c r="B9" s="45" t="s">
        <v>878</v>
      </c>
      <c r="D9" s="46"/>
      <c r="E9" s="27" t="s">
        <v>877</v>
      </c>
      <c r="F9" s="19"/>
    </row>
    <row r="10" spans="1:9" x14ac:dyDescent="0.25">
      <c r="A10" s="44"/>
      <c r="B10" s="305"/>
      <c r="D10" s="46"/>
      <c r="E10" s="27"/>
      <c r="F10" s="19"/>
      <c r="H10" s="19"/>
    </row>
    <row r="11" spans="1:9" x14ac:dyDescent="0.25">
      <c r="E11"/>
      <c r="F11" s="2"/>
    </row>
    <row r="12" spans="1:9" x14ac:dyDescent="0.25">
      <c r="E12" s="27"/>
    </row>
    <row r="13" spans="1:9" x14ac:dyDescent="0.25">
      <c r="E13"/>
    </row>
    <row r="14" spans="1:9" x14ac:dyDescent="0.25">
      <c r="E14"/>
      <c r="F14" s="27"/>
      <c r="I14" s="288"/>
    </row>
    <row r="15" spans="1:9" x14ac:dyDescent="0.25">
      <c r="E15"/>
      <c r="I15" s="25"/>
    </row>
    <row r="16" spans="1:9" x14ac:dyDescent="0.25">
      <c r="B16" s="2" t="s">
        <v>881</v>
      </c>
      <c r="D16" s="204" t="s">
        <v>880</v>
      </c>
      <c r="E16" s="25" t="s">
        <v>884</v>
      </c>
    </row>
    <row r="17" spans="1:25" x14ac:dyDescent="0.25">
      <c r="B17" s="2" t="s">
        <v>883</v>
      </c>
      <c r="D17" s="204" t="s">
        <v>882</v>
      </c>
      <c r="E17" s="19"/>
    </row>
    <row r="19" spans="1:25" x14ac:dyDescent="0.25">
      <c r="V19" t="s">
        <v>167</v>
      </c>
      <c r="W19" t="s">
        <v>168</v>
      </c>
      <c r="X19" t="s">
        <v>169</v>
      </c>
      <c r="Y19" t="s">
        <v>170</v>
      </c>
    </row>
    <row r="20" spans="1:25" x14ac:dyDescent="0.25">
      <c r="E20" s="27"/>
      <c r="F20" s="19"/>
      <c r="V20" t="s">
        <v>171</v>
      </c>
      <c r="W20" s="200">
        <v>0.4458333333333333</v>
      </c>
      <c r="X20" t="s">
        <v>172</v>
      </c>
    </row>
    <row r="24" spans="1:25" x14ac:dyDescent="0.25">
      <c r="A24" s="201"/>
      <c r="C24" s="27"/>
    </row>
    <row r="25" spans="1:25" x14ac:dyDescent="0.25">
      <c r="A25" s="202"/>
    </row>
    <row r="26" spans="1:25" x14ac:dyDescent="0.25">
      <c r="A26" s="203"/>
    </row>
    <row r="27" spans="1:25" x14ac:dyDescent="0.25">
      <c r="A27" s="204"/>
    </row>
    <row r="28" spans="1:25" x14ac:dyDescent="0.25">
      <c r="A28" s="205"/>
      <c r="C28" s="27"/>
    </row>
    <row r="29" spans="1:25" x14ac:dyDescent="0.25">
      <c r="A29" s="206"/>
    </row>
    <row r="30" spans="1:25" x14ac:dyDescent="0.25">
      <c r="A30" s="207"/>
    </row>
    <row r="31" spans="1:25" x14ac:dyDescent="0.25">
      <c r="A31" s="208"/>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26" t="s">
        <v>839</v>
      </c>
      <c r="B1" s="827"/>
      <c r="C1" s="828"/>
      <c r="D1" s="826" t="s">
        <v>474</v>
      </c>
      <c r="E1" s="827"/>
      <c r="F1" s="828"/>
      <c r="G1" s="826" t="s">
        <v>586</v>
      </c>
      <c r="H1" s="827"/>
      <c r="I1" s="828"/>
      <c r="J1" s="826" t="s">
        <v>885</v>
      </c>
      <c r="K1" s="827"/>
      <c r="L1" s="828"/>
      <c r="M1" s="826" t="s">
        <v>475</v>
      </c>
      <c r="N1" s="827"/>
      <c r="O1" s="828"/>
      <c r="P1" s="826" t="s">
        <v>886</v>
      </c>
      <c r="Q1" s="827"/>
      <c r="R1" s="828"/>
      <c r="S1" s="826" t="s">
        <v>887</v>
      </c>
      <c r="T1" s="827"/>
      <c r="U1" s="828"/>
      <c r="V1" s="826" t="s">
        <v>585</v>
      </c>
      <c r="W1" s="827"/>
      <c r="X1" s="828"/>
      <c r="Y1" s="826" t="s">
        <v>634</v>
      </c>
      <c r="Z1" s="827"/>
      <c r="AA1" s="828"/>
      <c r="AB1" s="826" t="s">
        <v>888</v>
      </c>
      <c r="AC1" s="827"/>
      <c r="AD1" s="828"/>
      <c r="AE1" s="826" t="s">
        <v>889</v>
      </c>
      <c r="AF1" s="827"/>
      <c r="AG1" s="828"/>
      <c r="AH1" s="61"/>
      <c r="AI1" s="829"/>
      <c r="AJ1" s="812"/>
      <c r="AK1" s="812"/>
      <c r="AL1" s="812"/>
      <c r="AM1" s="812"/>
      <c r="AN1" s="812"/>
      <c r="AO1" s="812"/>
      <c r="AP1" s="812"/>
      <c r="AQ1" s="812"/>
      <c r="AR1" s="812"/>
      <c r="AS1" s="812"/>
    </row>
    <row r="2" spans="1:45" ht="15" customHeight="1" x14ac:dyDescent="0.25">
      <c r="C2" s="310"/>
      <c r="F2" s="310"/>
      <c r="I2" s="310"/>
      <c r="L2" s="310"/>
      <c r="O2" s="310"/>
      <c r="R2" s="310"/>
      <c r="U2" s="310"/>
      <c r="X2" s="310"/>
      <c r="AA2" s="832" t="s">
        <v>1037</v>
      </c>
      <c r="AD2" s="310"/>
      <c r="AG2" s="310"/>
      <c r="AI2" t="s">
        <v>890</v>
      </c>
      <c r="AJ2" t="s">
        <v>891</v>
      </c>
      <c r="AK2" t="s">
        <v>253</v>
      </c>
      <c r="AL2" t="s">
        <v>160</v>
      </c>
      <c r="AM2" t="s">
        <v>208</v>
      </c>
      <c r="AN2" t="s">
        <v>892</v>
      </c>
      <c r="AO2" t="s">
        <v>893</v>
      </c>
      <c r="AP2" t="s">
        <v>894</v>
      </c>
      <c r="AQ2" t="s">
        <v>895</v>
      </c>
      <c r="AR2" t="s">
        <v>896</v>
      </c>
      <c r="AS2" t="s">
        <v>134</v>
      </c>
    </row>
    <row r="3" spans="1:45" ht="15" customHeight="1" x14ac:dyDescent="0.25">
      <c r="A3" s="3" t="s">
        <v>253</v>
      </c>
      <c r="B3" s="13" t="s">
        <v>892</v>
      </c>
      <c r="C3" s="312"/>
      <c r="D3" s="3" t="s">
        <v>253</v>
      </c>
      <c r="E3" s="13" t="s">
        <v>1036</v>
      </c>
      <c r="F3" s="312"/>
      <c r="G3" s="3" t="s">
        <v>253</v>
      </c>
      <c r="H3" s="13" t="s">
        <v>1036</v>
      </c>
      <c r="I3" s="312"/>
      <c r="J3" s="3" t="s">
        <v>253</v>
      </c>
      <c r="K3" s="13" t="s">
        <v>1036</v>
      </c>
      <c r="L3" s="310"/>
      <c r="M3" s="3" t="s">
        <v>253</v>
      </c>
      <c r="N3" s="13" t="s">
        <v>1036</v>
      </c>
      <c r="O3" s="310"/>
      <c r="P3" s="3" t="s">
        <v>253</v>
      </c>
      <c r="Q3" s="13" t="s">
        <v>1036</v>
      </c>
      <c r="R3" s="310"/>
      <c r="S3" s="3" t="s">
        <v>253</v>
      </c>
      <c r="T3" s="13" t="s">
        <v>1036</v>
      </c>
      <c r="U3" s="310"/>
      <c r="V3" t="s">
        <v>253</v>
      </c>
      <c r="W3" t="s">
        <v>1036</v>
      </c>
      <c r="X3" s="310"/>
      <c r="Y3" t="s">
        <v>253</v>
      </c>
      <c r="Z3" t="s">
        <v>1036</v>
      </c>
      <c r="AA3" s="833"/>
      <c r="AB3" s="3" t="s">
        <v>253</v>
      </c>
      <c r="AC3" s="13" t="s">
        <v>1036</v>
      </c>
      <c r="AD3" s="310"/>
      <c r="AE3" s="3" t="s">
        <v>253</v>
      </c>
      <c r="AF3" s="13" t="s">
        <v>1036</v>
      </c>
      <c r="AG3" s="310"/>
      <c r="AI3" t="s">
        <v>3</v>
      </c>
      <c r="AJ3" t="s">
        <v>839</v>
      </c>
      <c r="AK3" s="12">
        <v>45805</v>
      </c>
      <c r="AM3" t="s">
        <v>900</v>
      </c>
      <c r="AN3" s="5">
        <v>60.23</v>
      </c>
      <c r="AO3" t="s">
        <v>897</v>
      </c>
      <c r="AP3" s="128" t="s">
        <v>245</v>
      </c>
      <c r="AQ3" t="s">
        <v>901</v>
      </c>
      <c r="AR3" t="s">
        <v>898</v>
      </c>
      <c r="AS3" t="s">
        <v>902</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13"/>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490"/>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13"/>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10"/>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10"/>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10"/>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10"/>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10"/>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3">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10"/>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490"/>
      <c r="AH4" s="491"/>
      <c r="AI4" t="s">
        <v>3</v>
      </c>
      <c r="AJ4" t="s">
        <v>839</v>
      </c>
      <c r="AK4" s="12">
        <v>45814</v>
      </c>
      <c r="AM4" t="s">
        <v>900</v>
      </c>
      <c r="AN4" s="5">
        <v>-8.61</v>
      </c>
      <c r="AO4" t="s">
        <v>897</v>
      </c>
      <c r="AP4" s="128" t="s">
        <v>245</v>
      </c>
      <c r="AQ4" t="s">
        <v>901</v>
      </c>
      <c r="AR4" t="s">
        <v>898</v>
      </c>
      <c r="AS4" t="s">
        <v>903</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13"/>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490"/>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13"/>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10"/>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10"/>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10"/>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10"/>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10"/>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3">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10"/>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490"/>
      <c r="AH5" s="491"/>
      <c r="AI5" t="s">
        <v>3</v>
      </c>
      <c r="AJ5" t="s">
        <v>839</v>
      </c>
      <c r="AK5" s="12">
        <v>45838</v>
      </c>
      <c r="AM5" t="s">
        <v>900</v>
      </c>
      <c r="AN5" s="5">
        <v>38.33</v>
      </c>
      <c r="AO5" t="s">
        <v>897</v>
      </c>
      <c r="AP5" s="128" t="s">
        <v>245</v>
      </c>
      <c r="AQ5" t="s">
        <v>901</v>
      </c>
      <c r="AR5" t="s">
        <v>898</v>
      </c>
      <c r="AS5" t="s">
        <v>904</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13"/>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490"/>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3"/>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10"/>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10"/>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10"/>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10"/>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10"/>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13">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10"/>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490"/>
      <c r="AH6" s="491"/>
      <c r="AI6" t="s">
        <v>3</v>
      </c>
      <c r="AJ6" t="s">
        <v>839</v>
      </c>
      <c r="AK6" s="12">
        <v>45868.42</v>
      </c>
      <c r="AM6" t="s">
        <v>900</v>
      </c>
      <c r="AN6" s="5"/>
      <c r="AO6" t="s">
        <v>897</v>
      </c>
      <c r="AP6" s="128" t="s">
        <v>245</v>
      </c>
      <c r="AQ6" t="s">
        <v>901</v>
      </c>
      <c r="AR6" t="s">
        <v>898</v>
      </c>
      <c r="AS6" t="s">
        <v>905</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13"/>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490"/>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13"/>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10"/>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10"/>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10"/>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10"/>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10"/>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3">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10"/>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490"/>
      <c r="AH7" s="491"/>
      <c r="AI7" t="s">
        <v>3</v>
      </c>
      <c r="AJ7" t="s">
        <v>839</v>
      </c>
      <c r="AK7" s="12">
        <v>45898.84</v>
      </c>
      <c r="AM7" t="s">
        <v>900</v>
      </c>
      <c r="AN7" s="5" t="s">
        <v>148</v>
      </c>
      <c r="AO7" t="s">
        <v>897</v>
      </c>
      <c r="AP7" s="128" t="s">
        <v>245</v>
      </c>
      <c r="AQ7" t="s">
        <v>901</v>
      </c>
      <c r="AR7" t="s">
        <v>898</v>
      </c>
      <c r="AS7" t="s">
        <v>906</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13"/>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490"/>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13"/>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10"/>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10"/>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10"/>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10"/>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10"/>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3">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10"/>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490"/>
      <c r="AH8" s="491"/>
      <c r="AI8" t="s">
        <v>3</v>
      </c>
      <c r="AJ8" t="s">
        <v>839</v>
      </c>
      <c r="AK8" s="12">
        <v>45929.259999999995</v>
      </c>
      <c r="AM8" t="s">
        <v>900</v>
      </c>
      <c r="AN8" s="5" t="s">
        <v>148</v>
      </c>
      <c r="AO8" t="s">
        <v>897</v>
      </c>
      <c r="AP8" s="128" t="s">
        <v>245</v>
      </c>
      <c r="AQ8" t="s">
        <v>901</v>
      </c>
      <c r="AR8" t="s">
        <v>898</v>
      </c>
      <c r="AS8" t="s">
        <v>907</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13"/>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490"/>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13"/>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10"/>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10"/>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10"/>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10"/>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10"/>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3">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10"/>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490"/>
      <c r="AH9" s="491"/>
      <c r="AI9" t="s">
        <v>3</v>
      </c>
      <c r="AJ9" t="s">
        <v>839</v>
      </c>
      <c r="AK9" s="12">
        <v>45959.679999999993</v>
      </c>
      <c r="AM9" t="s">
        <v>900</v>
      </c>
      <c r="AN9" s="5" t="s">
        <v>148</v>
      </c>
      <c r="AO9" t="s">
        <v>897</v>
      </c>
      <c r="AP9" s="128" t="s">
        <v>245</v>
      </c>
      <c r="AQ9" t="s">
        <v>901</v>
      </c>
      <c r="AR9" t="s">
        <v>898</v>
      </c>
      <c r="AS9" t="s">
        <v>908</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13"/>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490"/>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3"/>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10"/>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10"/>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10"/>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10"/>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10"/>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3">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10"/>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490"/>
      <c r="AH10" s="491"/>
      <c r="AI10" t="s">
        <v>3</v>
      </c>
      <c r="AJ10" t="s">
        <v>839</v>
      </c>
      <c r="AK10" s="12">
        <v>45990.099999999991</v>
      </c>
      <c r="AM10" t="s">
        <v>900</v>
      </c>
      <c r="AN10" s="5">
        <v>0</v>
      </c>
      <c r="AO10" t="s">
        <v>897</v>
      </c>
      <c r="AP10" s="128" t="s">
        <v>245</v>
      </c>
      <c r="AQ10" t="s">
        <v>901</v>
      </c>
      <c r="AR10" t="s">
        <v>898</v>
      </c>
      <c r="AS10" t="s">
        <v>909</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13"/>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490"/>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13"/>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10"/>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10"/>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10"/>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10"/>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10"/>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3">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10"/>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490"/>
      <c r="AH11" s="491"/>
      <c r="AI11" t="s">
        <v>3</v>
      </c>
      <c r="AJ11" t="s">
        <v>839</v>
      </c>
      <c r="AK11" s="12">
        <v>46020.51999999999</v>
      </c>
      <c r="AM11" t="s">
        <v>900</v>
      </c>
      <c r="AN11" s="5">
        <v>0</v>
      </c>
      <c r="AO11" t="s">
        <v>897</v>
      </c>
      <c r="AP11" s="128" t="s">
        <v>245</v>
      </c>
      <c r="AQ11" t="s">
        <v>901</v>
      </c>
      <c r="AR11" t="s">
        <v>898</v>
      </c>
      <c r="AS11" t="s">
        <v>910</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13"/>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490"/>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3"/>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10"/>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10"/>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10"/>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10"/>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10"/>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3">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10"/>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490"/>
      <c r="AH12" s="491"/>
      <c r="AI12" t="s">
        <v>3</v>
      </c>
      <c r="AJ12" t="s">
        <v>839</v>
      </c>
      <c r="AK12" s="12">
        <v>46050.939999999988</v>
      </c>
      <c r="AM12" t="s">
        <v>900</v>
      </c>
      <c r="AN12" s="5">
        <v>0</v>
      </c>
      <c r="AO12" t="s">
        <v>897</v>
      </c>
      <c r="AP12" s="128" t="s">
        <v>245</v>
      </c>
      <c r="AQ12" t="s">
        <v>901</v>
      </c>
      <c r="AR12" t="s">
        <v>898</v>
      </c>
      <c r="AS12" t="s">
        <v>911</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3"/>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490"/>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13"/>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10"/>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10"/>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10"/>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10"/>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10"/>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3">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10"/>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490"/>
      <c r="AH13" s="491"/>
      <c r="AI13" t="s">
        <v>3</v>
      </c>
      <c r="AJ13" t="s">
        <v>839</v>
      </c>
      <c r="AK13" s="12">
        <v>46081.359999999986</v>
      </c>
      <c r="AM13" t="s">
        <v>900</v>
      </c>
      <c r="AN13" s="5">
        <v>0</v>
      </c>
      <c r="AO13" t="s">
        <v>897</v>
      </c>
      <c r="AP13" s="128" t="s">
        <v>245</v>
      </c>
      <c r="AQ13" t="s">
        <v>901</v>
      </c>
      <c r="AR13" t="s">
        <v>898</v>
      </c>
      <c r="AS13" t="s">
        <v>912</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3"/>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490"/>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3"/>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10"/>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10"/>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10"/>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10"/>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10"/>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3">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10"/>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490"/>
      <c r="AH14" s="491"/>
      <c r="AI14" t="s">
        <v>3</v>
      </c>
      <c r="AJ14" t="s">
        <v>839</v>
      </c>
      <c r="AK14" s="12">
        <v>46111.779999999984</v>
      </c>
      <c r="AM14" t="s">
        <v>900</v>
      </c>
      <c r="AN14" s="5">
        <v>0</v>
      </c>
      <c r="AO14" t="s">
        <v>897</v>
      </c>
      <c r="AP14" s="128" t="s">
        <v>245</v>
      </c>
      <c r="AQ14" t="s">
        <v>901</v>
      </c>
      <c r="AR14" t="s">
        <v>898</v>
      </c>
      <c r="AS14" t="s">
        <v>913</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10"/>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490"/>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10"/>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10"/>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10"/>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10"/>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10"/>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10"/>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3">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10"/>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490"/>
      <c r="AH15" s="491"/>
      <c r="AI15" t="s">
        <v>3</v>
      </c>
      <c r="AJ15" t="s">
        <v>839</v>
      </c>
      <c r="AK15" s="12">
        <v>46142.199999999983</v>
      </c>
      <c r="AM15" t="s">
        <v>900</v>
      </c>
      <c r="AN15" s="5">
        <v>0</v>
      </c>
      <c r="AO15" t="s">
        <v>897</v>
      </c>
      <c r="AP15" s="128" t="s">
        <v>245</v>
      </c>
      <c r="AQ15" t="s">
        <v>901</v>
      </c>
      <c r="AR15" t="s">
        <v>898</v>
      </c>
      <c r="AS15" t="s">
        <v>914</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10"/>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490"/>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10"/>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10"/>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10"/>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10"/>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10"/>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10"/>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3">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10"/>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490"/>
      <c r="AH16" s="491"/>
      <c r="AI16" t="s">
        <v>3</v>
      </c>
      <c r="AJ16" t="s">
        <v>839</v>
      </c>
      <c r="AK16" s="12">
        <v>46172.619999999981</v>
      </c>
      <c r="AM16" t="s">
        <v>900</v>
      </c>
      <c r="AN16" s="5">
        <v>0</v>
      </c>
      <c r="AO16" t="s">
        <v>897</v>
      </c>
      <c r="AP16" s="128" t="s">
        <v>245</v>
      </c>
      <c r="AQ16" t="s">
        <v>901</v>
      </c>
      <c r="AR16" t="s">
        <v>898</v>
      </c>
      <c r="AS16" t="s">
        <v>915</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10"/>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490"/>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10"/>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10"/>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10"/>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10"/>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10"/>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10"/>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3">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10"/>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490"/>
      <c r="AH17" s="491"/>
      <c r="AI17" t="s">
        <v>3</v>
      </c>
      <c r="AJ17" t="s">
        <v>839</v>
      </c>
      <c r="AK17" s="12">
        <v>46203.039999999979</v>
      </c>
      <c r="AM17" t="s">
        <v>900</v>
      </c>
      <c r="AN17" s="5">
        <v>0</v>
      </c>
      <c r="AO17" t="s">
        <v>897</v>
      </c>
      <c r="AP17" s="128" t="s">
        <v>245</v>
      </c>
      <c r="AQ17" t="s">
        <v>901</v>
      </c>
      <c r="AR17" t="s">
        <v>898</v>
      </c>
      <c r="AS17" t="s">
        <v>916</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10"/>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490"/>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10"/>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10"/>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10"/>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10"/>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10"/>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10"/>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3">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10"/>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490"/>
      <c r="AH18" s="491"/>
      <c r="AI18" t="s">
        <v>3</v>
      </c>
      <c r="AJ18" t="s">
        <v>839</v>
      </c>
      <c r="AK18" s="12">
        <v>46233.459999999977</v>
      </c>
      <c r="AM18" t="s">
        <v>900</v>
      </c>
      <c r="AN18" s="5">
        <v>0</v>
      </c>
      <c r="AO18" t="s">
        <v>897</v>
      </c>
      <c r="AP18" s="128" t="s">
        <v>245</v>
      </c>
      <c r="AQ18" t="s">
        <v>901</v>
      </c>
      <c r="AR18" t="s">
        <v>898</v>
      </c>
      <c r="AS18" t="s">
        <v>917</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10"/>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490"/>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10"/>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10"/>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10"/>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10"/>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10"/>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10"/>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3">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10"/>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490"/>
      <c r="AH19" s="491"/>
      <c r="AI19" t="s">
        <v>3</v>
      </c>
      <c r="AJ19" t="s">
        <v>839</v>
      </c>
      <c r="AK19" s="12">
        <v>46263.879999999976</v>
      </c>
      <c r="AM19" t="s">
        <v>900</v>
      </c>
      <c r="AN19" s="5">
        <v>0</v>
      </c>
      <c r="AO19" t="s">
        <v>897</v>
      </c>
      <c r="AP19" s="128" t="s">
        <v>245</v>
      </c>
      <c r="AQ19" t="s">
        <v>901</v>
      </c>
      <c r="AR19" t="s">
        <v>898</v>
      </c>
      <c r="AS19" t="s">
        <v>918</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10"/>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490"/>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10"/>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10"/>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10"/>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10"/>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10"/>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10"/>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3">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10"/>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490"/>
      <c r="AH20" s="491"/>
      <c r="AI20" t="s">
        <v>3</v>
      </c>
      <c r="AJ20" t="s">
        <v>839</v>
      </c>
      <c r="AK20" s="12">
        <v>46294.299999999974</v>
      </c>
      <c r="AM20" t="s">
        <v>900</v>
      </c>
      <c r="AN20" s="5">
        <v>0</v>
      </c>
      <c r="AO20" t="s">
        <v>897</v>
      </c>
      <c r="AP20" s="128" t="s">
        <v>245</v>
      </c>
      <c r="AQ20" t="s">
        <v>901</v>
      </c>
      <c r="AR20" t="s">
        <v>898</v>
      </c>
      <c r="AS20" t="s">
        <v>919</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10"/>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490"/>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10"/>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10"/>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10"/>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10"/>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10"/>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10"/>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3">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10"/>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490"/>
      <c r="AH21" s="491"/>
      <c r="AI21" t="s">
        <v>3</v>
      </c>
      <c r="AJ21" t="s">
        <v>839</v>
      </c>
      <c r="AK21" s="12">
        <v>46324.719999999972</v>
      </c>
      <c r="AM21" t="s">
        <v>900</v>
      </c>
      <c r="AN21" s="5">
        <v>0</v>
      </c>
      <c r="AO21" t="s">
        <v>897</v>
      </c>
      <c r="AP21" s="128" t="s">
        <v>245</v>
      </c>
      <c r="AQ21" t="s">
        <v>901</v>
      </c>
      <c r="AR21" t="s">
        <v>898</v>
      </c>
      <c r="AS21" t="s">
        <v>920</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10"/>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490"/>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10"/>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10"/>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10"/>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10"/>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10"/>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10"/>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3">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10"/>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490"/>
      <c r="AH22" s="491"/>
      <c r="AI22" t="s">
        <v>3</v>
      </c>
      <c r="AJ22" t="s">
        <v>899</v>
      </c>
      <c r="AK22" s="12">
        <v>45805</v>
      </c>
      <c r="AM22" t="s">
        <v>900</v>
      </c>
      <c r="AN22" s="5">
        <v>660.59</v>
      </c>
      <c r="AO22" t="s">
        <v>897</v>
      </c>
      <c r="AP22" s="128" t="s">
        <v>245</v>
      </c>
      <c r="AQ22" t="s">
        <v>901</v>
      </c>
      <c r="AR22" t="s">
        <v>898</v>
      </c>
      <c r="AS22" t="s">
        <v>921</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10"/>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490"/>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10"/>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10"/>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10"/>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10"/>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10"/>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10"/>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3"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10"/>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490"/>
      <c r="AH23" s="491"/>
      <c r="AI23" t="s">
        <v>3</v>
      </c>
      <c r="AJ23" t="s">
        <v>899</v>
      </c>
      <c r="AK23" s="12">
        <v>45835.42</v>
      </c>
      <c r="AM23" t="s">
        <v>900</v>
      </c>
      <c r="AN23" s="5">
        <v>660.59</v>
      </c>
      <c r="AO23" t="s">
        <v>897</v>
      </c>
      <c r="AP23" s="128" t="s">
        <v>245</v>
      </c>
      <c r="AQ23" t="s">
        <v>901</v>
      </c>
      <c r="AR23" t="s">
        <v>898</v>
      </c>
      <c r="AS23" t="s">
        <v>922</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10"/>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492"/>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11"/>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11"/>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11"/>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11"/>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11"/>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11"/>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495"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11"/>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492"/>
      <c r="AH24" s="491"/>
      <c r="AI24" t="s">
        <v>3</v>
      </c>
      <c r="AJ24" t="s">
        <v>899</v>
      </c>
      <c r="AK24" s="12">
        <v>45865.84</v>
      </c>
      <c r="AM24" t="s">
        <v>900</v>
      </c>
      <c r="AN24" s="5">
        <v>660.59</v>
      </c>
      <c r="AO24" t="s">
        <v>897</v>
      </c>
      <c r="AP24" s="128" t="s">
        <v>245</v>
      </c>
      <c r="AQ24" t="s">
        <v>901</v>
      </c>
      <c r="AR24" t="s">
        <v>898</v>
      </c>
      <c r="AS24" t="s">
        <v>923</v>
      </c>
    </row>
    <row r="25" spans="1:45" ht="15.75" customHeight="1" thickBot="1" x14ac:dyDescent="0.3">
      <c r="A25" s="23"/>
      <c r="B25" s="830">
        <f>SUMIFS(tblCarryingExpenses[Amount],tblCarryingExpenses[Category],IF(A1="Mortgage Payment paid after Reinstatement","Mortgage Payment",A1),tblCarryingExpenses[Include],"Yes")</f>
        <v>89.949999999999989</v>
      </c>
      <c r="C25" s="831"/>
      <c r="D25" s="23"/>
      <c r="E25" s="830">
        <f>SUMIFS(tblCarryingExpenses[Amount],tblCarryingExpenses[Category],IF(D1="Mortgage Payment paid after Reinstatement","Mortgage Payment",D1),tblCarryingExpenses[Include],"Yes")</f>
        <v>3302.9500000000003</v>
      </c>
      <c r="F25" s="834"/>
      <c r="G25" s="493"/>
      <c r="H25" s="830">
        <f>SUMIFS(tblCarryingExpenses[Amount],tblCarryingExpenses[Category],IF(G1="Mortgage Payment paid after Reinstatement","Mortgage Payment",G1),tblCarryingExpenses[Include],"Yes")</f>
        <v>1832.74</v>
      </c>
      <c r="I25" s="831"/>
      <c r="J25" s="493"/>
      <c r="K25" s="830">
        <f>SUMIFS(tblCarryingExpenses[Amount],tblCarryingExpenses[Category],IF(J1="Mortgage Payment paid after Reinstatement","Mortgage Payment",J1),tblCarryingExpenses[Include],"Yes")</f>
        <v>0</v>
      </c>
      <c r="L25" s="831"/>
      <c r="M25" s="493"/>
      <c r="N25" s="830">
        <f>SUMIFS(tblCarryingExpenses[Amount],tblCarryingExpenses[Category],IF(M1="Mortgage Payment paid after Reinstatement","Mortgage Payment",M1),tblCarryingExpenses[Include],"Yes")</f>
        <v>0</v>
      </c>
      <c r="O25" s="831"/>
      <c r="P25" s="493"/>
      <c r="Q25" s="830">
        <f>SUMIFS(tblCarryingExpenses[Amount],tblCarryingExpenses[Category],IF(P1="Mortgage Payment paid after Reinstatement","Mortgage Payment",P1),tblCarryingExpenses[Include],"Yes")</f>
        <v>277.64</v>
      </c>
      <c r="R25" s="831"/>
      <c r="S25" s="493"/>
      <c r="T25" s="830">
        <f>SUMIFS(tblCarryingExpenses[Amount],tblCarryingExpenses[Category],IF(S1="Mortgage Payment paid after Reinstatement","Mortgage Payment",S1),tblCarryingExpenses[Include],"Yes")</f>
        <v>0</v>
      </c>
      <c r="U25" s="831"/>
      <c r="V25" s="493"/>
      <c r="W25" s="830">
        <f>SUMIFS(tblCarryingExpenses[Amount],tblCarryingExpenses[Category],IF(V1="Mortgage Payment paid after Reinstatement","Mortgage Payment",V1),tblCarryingExpenses[Include],"Yes")</f>
        <v>0</v>
      </c>
      <c r="X25" s="831"/>
      <c r="Y25" s="493"/>
      <c r="Z25" s="830">
        <f>SUM(Z4:AA23)</f>
        <v>0</v>
      </c>
      <c r="AA25" s="831"/>
      <c r="AB25" s="493"/>
      <c r="AC25" s="830">
        <f>SUMIFS(tblCarryingExpenses[Amount],tblCarryingExpenses[Category],IF(AB1="Mortgage Payment paid after Reinstatement","Mortgage Payment",AB1),tblCarryingExpenses[Include],"Yes")</f>
        <v>0</v>
      </c>
      <c r="AD25" s="831"/>
      <c r="AE25" s="493"/>
      <c r="AF25" s="830">
        <f>SUMIFS(tblCarryingExpenses[Amount],tblCarryingExpenses[Category],IF(AE1="Mortgage Payment paid after Reinstatement","Mortgage Payment",AE1),tblCarryingExpenses[Include],"Yes")</f>
        <v>0</v>
      </c>
      <c r="AG25" s="831"/>
      <c r="AH25" s="5"/>
      <c r="AI25" t="s">
        <v>3</v>
      </c>
      <c r="AJ25" t="s">
        <v>899</v>
      </c>
      <c r="AK25" s="12">
        <v>45896.259999999995</v>
      </c>
      <c r="AM25" t="s">
        <v>900</v>
      </c>
      <c r="AN25" s="5">
        <v>660.59</v>
      </c>
      <c r="AO25" t="s">
        <v>897</v>
      </c>
      <c r="AP25" s="128" t="s">
        <v>245</v>
      </c>
      <c r="AQ25" t="s">
        <v>901</v>
      </c>
      <c r="AR25" t="s">
        <v>898</v>
      </c>
      <c r="AS25" t="s">
        <v>924</v>
      </c>
    </row>
    <row r="26" spans="1:45" ht="15" customHeight="1" x14ac:dyDescent="0.25">
      <c r="AI26" t="s">
        <v>3</v>
      </c>
      <c r="AJ26" t="s">
        <v>899</v>
      </c>
      <c r="AK26" s="12">
        <v>45926.679999999993</v>
      </c>
      <c r="AM26" t="s">
        <v>900</v>
      </c>
      <c r="AN26" s="5">
        <v>660.59</v>
      </c>
      <c r="AO26" t="s">
        <v>897</v>
      </c>
      <c r="AP26" s="128" t="s">
        <v>245</v>
      </c>
      <c r="AQ26" t="s">
        <v>901</v>
      </c>
      <c r="AR26" t="s">
        <v>898</v>
      </c>
      <c r="AS26" t="s">
        <v>925</v>
      </c>
    </row>
    <row r="27" spans="1:45" ht="15" customHeight="1" x14ac:dyDescent="0.25">
      <c r="AI27" t="s">
        <v>3</v>
      </c>
      <c r="AJ27" t="s">
        <v>899</v>
      </c>
      <c r="AK27" s="12">
        <v>45957.099999999991</v>
      </c>
      <c r="AM27" t="s">
        <v>900</v>
      </c>
      <c r="AN27" s="5">
        <v>0</v>
      </c>
      <c r="AO27" t="s">
        <v>897</v>
      </c>
      <c r="AP27" s="128" t="s">
        <v>245</v>
      </c>
      <c r="AQ27" t="s">
        <v>901</v>
      </c>
      <c r="AR27" t="s">
        <v>898</v>
      </c>
      <c r="AS27" t="s">
        <v>926</v>
      </c>
    </row>
    <row r="28" spans="1:45" ht="15" customHeight="1" x14ac:dyDescent="0.25">
      <c r="AI28" t="s">
        <v>3</v>
      </c>
      <c r="AJ28" t="s">
        <v>899</v>
      </c>
      <c r="AK28" s="12">
        <v>45987.51999999999</v>
      </c>
      <c r="AM28" t="s">
        <v>900</v>
      </c>
      <c r="AN28" s="5">
        <v>0</v>
      </c>
      <c r="AO28" t="s">
        <v>897</v>
      </c>
      <c r="AP28" s="128" t="s">
        <v>245</v>
      </c>
      <c r="AQ28" t="s">
        <v>901</v>
      </c>
      <c r="AR28" t="s">
        <v>898</v>
      </c>
      <c r="AS28" t="s">
        <v>927</v>
      </c>
    </row>
    <row r="29" spans="1:45" ht="15" customHeight="1" x14ac:dyDescent="0.25">
      <c r="AI29" t="s">
        <v>3</v>
      </c>
      <c r="AJ29" t="s">
        <v>899</v>
      </c>
      <c r="AK29" s="12">
        <v>46017.939999999988</v>
      </c>
      <c r="AM29" t="s">
        <v>900</v>
      </c>
      <c r="AN29" s="5">
        <v>0</v>
      </c>
      <c r="AO29" t="s">
        <v>897</v>
      </c>
      <c r="AP29" s="128" t="s">
        <v>245</v>
      </c>
      <c r="AQ29" t="s">
        <v>901</v>
      </c>
      <c r="AR29" t="s">
        <v>898</v>
      </c>
      <c r="AS29" t="s">
        <v>928</v>
      </c>
    </row>
    <row r="30" spans="1:45" ht="15" customHeight="1" x14ac:dyDescent="0.25">
      <c r="AI30" t="s">
        <v>3</v>
      </c>
      <c r="AJ30" t="s">
        <v>899</v>
      </c>
      <c r="AK30" s="12">
        <v>46048.359999999986</v>
      </c>
      <c r="AM30" t="s">
        <v>900</v>
      </c>
      <c r="AN30" s="5">
        <v>0</v>
      </c>
      <c r="AO30" t="s">
        <v>897</v>
      </c>
      <c r="AP30" s="128" t="s">
        <v>245</v>
      </c>
      <c r="AQ30" t="s">
        <v>901</v>
      </c>
      <c r="AR30" t="s">
        <v>898</v>
      </c>
      <c r="AS30" t="s">
        <v>929</v>
      </c>
    </row>
    <row r="31" spans="1:45" ht="15" customHeight="1" x14ac:dyDescent="0.25">
      <c r="AI31" t="s">
        <v>3</v>
      </c>
      <c r="AJ31" t="s">
        <v>899</v>
      </c>
      <c r="AK31" s="12">
        <v>46078.779999999984</v>
      </c>
      <c r="AM31" t="s">
        <v>900</v>
      </c>
      <c r="AN31" s="5">
        <v>0</v>
      </c>
      <c r="AO31" t="s">
        <v>897</v>
      </c>
      <c r="AP31" s="128" t="s">
        <v>245</v>
      </c>
      <c r="AQ31" t="s">
        <v>901</v>
      </c>
      <c r="AR31" t="s">
        <v>898</v>
      </c>
      <c r="AS31" t="s">
        <v>930</v>
      </c>
    </row>
    <row r="32" spans="1:45" ht="15" customHeight="1" x14ac:dyDescent="0.25">
      <c r="AI32" t="s">
        <v>3</v>
      </c>
      <c r="AJ32" t="s">
        <v>899</v>
      </c>
      <c r="AK32" s="12">
        <v>46109.199999999983</v>
      </c>
      <c r="AM32" t="s">
        <v>900</v>
      </c>
      <c r="AN32" s="5">
        <v>0</v>
      </c>
      <c r="AO32" t="s">
        <v>897</v>
      </c>
      <c r="AP32" s="128" t="s">
        <v>245</v>
      </c>
      <c r="AQ32" t="s">
        <v>901</v>
      </c>
      <c r="AR32" t="s">
        <v>898</v>
      </c>
      <c r="AS32" t="s">
        <v>931</v>
      </c>
    </row>
    <row r="33" spans="35:45" ht="15" customHeight="1" x14ac:dyDescent="0.25">
      <c r="AI33" t="s">
        <v>3</v>
      </c>
      <c r="AJ33" t="s">
        <v>899</v>
      </c>
      <c r="AK33" s="12">
        <v>46139.619999999981</v>
      </c>
      <c r="AM33" t="s">
        <v>900</v>
      </c>
      <c r="AN33" s="5">
        <v>0</v>
      </c>
      <c r="AO33" t="s">
        <v>897</v>
      </c>
      <c r="AP33" s="128" t="s">
        <v>245</v>
      </c>
      <c r="AQ33" t="s">
        <v>901</v>
      </c>
      <c r="AR33" t="s">
        <v>898</v>
      </c>
      <c r="AS33" t="s">
        <v>932</v>
      </c>
    </row>
    <row r="34" spans="35:45" ht="15" customHeight="1" x14ac:dyDescent="0.25">
      <c r="AI34" t="s">
        <v>3</v>
      </c>
      <c r="AJ34" t="s">
        <v>899</v>
      </c>
      <c r="AK34" s="12">
        <v>46170.039999999979</v>
      </c>
      <c r="AM34" t="s">
        <v>900</v>
      </c>
      <c r="AN34" s="5">
        <v>0</v>
      </c>
      <c r="AO34" t="s">
        <v>897</v>
      </c>
      <c r="AP34" s="128" t="s">
        <v>245</v>
      </c>
      <c r="AQ34" t="s">
        <v>901</v>
      </c>
      <c r="AR34" t="s">
        <v>898</v>
      </c>
      <c r="AS34" t="s">
        <v>933</v>
      </c>
    </row>
    <row r="35" spans="35:45" ht="15" customHeight="1" x14ac:dyDescent="0.25">
      <c r="AI35" t="s">
        <v>3</v>
      </c>
      <c r="AJ35" t="s">
        <v>899</v>
      </c>
      <c r="AK35" s="12">
        <v>46200.459999999977</v>
      </c>
      <c r="AM35" t="s">
        <v>900</v>
      </c>
      <c r="AN35" s="5">
        <v>0</v>
      </c>
      <c r="AO35" t="s">
        <v>897</v>
      </c>
      <c r="AP35" s="128" t="s">
        <v>245</v>
      </c>
      <c r="AQ35" t="s">
        <v>901</v>
      </c>
      <c r="AR35" t="s">
        <v>898</v>
      </c>
      <c r="AS35" t="s">
        <v>934</v>
      </c>
    </row>
    <row r="36" spans="35:45" ht="15" customHeight="1" x14ac:dyDescent="0.25">
      <c r="AI36" t="s">
        <v>3</v>
      </c>
      <c r="AJ36" t="s">
        <v>899</v>
      </c>
      <c r="AK36" s="12">
        <v>46230.879999999976</v>
      </c>
      <c r="AM36" t="s">
        <v>900</v>
      </c>
      <c r="AN36" s="5">
        <v>0</v>
      </c>
      <c r="AO36" t="s">
        <v>897</v>
      </c>
      <c r="AP36" s="128" t="s">
        <v>245</v>
      </c>
      <c r="AQ36" t="s">
        <v>901</v>
      </c>
      <c r="AR36" t="s">
        <v>898</v>
      </c>
      <c r="AS36" t="s">
        <v>935</v>
      </c>
    </row>
    <row r="37" spans="35:45" ht="15" customHeight="1" x14ac:dyDescent="0.25">
      <c r="AI37" t="s">
        <v>3</v>
      </c>
      <c r="AJ37" t="s">
        <v>899</v>
      </c>
      <c r="AK37" s="12">
        <v>46261.299999999974</v>
      </c>
      <c r="AM37" t="s">
        <v>900</v>
      </c>
      <c r="AN37" s="5">
        <v>0</v>
      </c>
      <c r="AO37" t="s">
        <v>897</v>
      </c>
      <c r="AP37" s="128" t="s">
        <v>245</v>
      </c>
      <c r="AQ37" t="s">
        <v>901</v>
      </c>
      <c r="AR37" t="s">
        <v>898</v>
      </c>
      <c r="AS37" t="s">
        <v>936</v>
      </c>
    </row>
    <row r="38" spans="35:45" ht="15" customHeight="1" x14ac:dyDescent="0.25">
      <c r="AI38" t="s">
        <v>3</v>
      </c>
      <c r="AJ38" t="s">
        <v>899</v>
      </c>
      <c r="AK38" s="12">
        <v>46291.719999999972</v>
      </c>
      <c r="AM38" t="s">
        <v>900</v>
      </c>
      <c r="AN38" s="5">
        <v>0</v>
      </c>
      <c r="AO38" t="s">
        <v>897</v>
      </c>
      <c r="AP38" s="128" t="s">
        <v>245</v>
      </c>
      <c r="AQ38" t="s">
        <v>901</v>
      </c>
      <c r="AR38" t="s">
        <v>898</v>
      </c>
      <c r="AS38" t="s">
        <v>937</v>
      </c>
    </row>
    <row r="39" spans="35:45" ht="15" customHeight="1" x14ac:dyDescent="0.25">
      <c r="AI39" t="s">
        <v>3</v>
      </c>
      <c r="AJ39" t="s">
        <v>899</v>
      </c>
      <c r="AK39" s="12">
        <v>46322.13999999997</v>
      </c>
      <c r="AM39" t="s">
        <v>900</v>
      </c>
      <c r="AN39" s="5">
        <v>0</v>
      </c>
      <c r="AO39" t="s">
        <v>897</v>
      </c>
      <c r="AP39" s="128" t="s">
        <v>245</v>
      </c>
      <c r="AQ39" t="s">
        <v>901</v>
      </c>
      <c r="AR39" t="s">
        <v>898</v>
      </c>
      <c r="AS39" t="s">
        <v>938</v>
      </c>
    </row>
    <row r="40" spans="35:45" ht="15" customHeight="1" x14ac:dyDescent="0.25">
      <c r="AI40" t="s">
        <v>3</v>
      </c>
      <c r="AJ40" t="s">
        <v>899</v>
      </c>
      <c r="AK40" s="12">
        <v>46352.559999999969</v>
      </c>
      <c r="AM40" t="s">
        <v>900</v>
      </c>
      <c r="AN40" s="5">
        <v>0</v>
      </c>
      <c r="AO40" t="s">
        <v>897</v>
      </c>
      <c r="AP40" s="128" t="s">
        <v>245</v>
      </c>
      <c r="AQ40" t="s">
        <v>901</v>
      </c>
      <c r="AR40" t="s">
        <v>898</v>
      </c>
      <c r="AS40" t="s">
        <v>939</v>
      </c>
    </row>
    <row r="41" spans="35:45" ht="15" customHeight="1" x14ac:dyDescent="0.25">
      <c r="AI41" t="s">
        <v>3</v>
      </c>
      <c r="AJ41" t="s">
        <v>586</v>
      </c>
      <c r="AK41" s="12">
        <v>45805</v>
      </c>
      <c r="AM41" t="s">
        <v>900</v>
      </c>
      <c r="AN41" s="5">
        <v>0</v>
      </c>
      <c r="AO41" t="s">
        <v>897</v>
      </c>
      <c r="AP41" s="128" t="s">
        <v>245</v>
      </c>
      <c r="AQ41" t="s">
        <v>901</v>
      </c>
      <c r="AR41" t="s">
        <v>898</v>
      </c>
      <c r="AS41" t="s">
        <v>940</v>
      </c>
    </row>
    <row r="42" spans="35:45" ht="15" customHeight="1" x14ac:dyDescent="0.25">
      <c r="AI42" t="s">
        <v>3</v>
      </c>
      <c r="AJ42" t="s">
        <v>586</v>
      </c>
      <c r="AK42" s="12">
        <v>45835.42</v>
      </c>
      <c r="AM42" t="s">
        <v>900</v>
      </c>
      <c r="AN42" s="5">
        <v>0</v>
      </c>
      <c r="AO42" t="s">
        <v>897</v>
      </c>
      <c r="AP42" s="128" t="s">
        <v>245</v>
      </c>
      <c r="AQ42" t="s">
        <v>901</v>
      </c>
      <c r="AR42" t="s">
        <v>898</v>
      </c>
      <c r="AS42" t="s">
        <v>941</v>
      </c>
    </row>
    <row r="43" spans="35:45" ht="15" customHeight="1" x14ac:dyDescent="0.25">
      <c r="AI43" t="s">
        <v>3</v>
      </c>
      <c r="AJ43" t="s">
        <v>586</v>
      </c>
      <c r="AK43" s="12">
        <v>45865.84</v>
      </c>
      <c r="AM43" t="s">
        <v>900</v>
      </c>
      <c r="AN43" s="5">
        <v>0</v>
      </c>
      <c r="AO43" t="s">
        <v>897</v>
      </c>
      <c r="AP43" s="128" t="s">
        <v>245</v>
      </c>
      <c r="AQ43" t="s">
        <v>901</v>
      </c>
      <c r="AR43" t="s">
        <v>898</v>
      </c>
      <c r="AS43" t="s">
        <v>942</v>
      </c>
    </row>
    <row r="44" spans="35:45" ht="15" customHeight="1" x14ac:dyDescent="0.25">
      <c r="AI44" t="s">
        <v>3</v>
      </c>
      <c r="AJ44" t="s">
        <v>586</v>
      </c>
      <c r="AK44" s="12">
        <v>45896.259999999995</v>
      </c>
      <c r="AM44" t="s">
        <v>900</v>
      </c>
      <c r="AN44" s="5">
        <v>0</v>
      </c>
      <c r="AO44" t="s">
        <v>897</v>
      </c>
      <c r="AP44" s="128" t="s">
        <v>245</v>
      </c>
      <c r="AQ44" t="s">
        <v>901</v>
      </c>
      <c r="AR44" t="s">
        <v>898</v>
      </c>
      <c r="AS44" t="s">
        <v>943</v>
      </c>
    </row>
    <row r="45" spans="35:45" ht="15" customHeight="1" x14ac:dyDescent="0.25">
      <c r="AI45" t="s">
        <v>3</v>
      </c>
      <c r="AJ45" t="s">
        <v>586</v>
      </c>
      <c r="AK45" s="12">
        <v>45931</v>
      </c>
      <c r="AM45" t="s">
        <v>900</v>
      </c>
      <c r="AN45" s="5">
        <v>916.37</v>
      </c>
      <c r="AO45" t="s">
        <v>897</v>
      </c>
      <c r="AP45" s="128" t="s">
        <v>245</v>
      </c>
      <c r="AQ45" t="s">
        <v>901</v>
      </c>
      <c r="AR45" t="s">
        <v>898</v>
      </c>
      <c r="AS45" t="s">
        <v>944</v>
      </c>
    </row>
    <row r="46" spans="35:45" ht="15" customHeight="1" x14ac:dyDescent="0.25">
      <c r="AI46" t="s">
        <v>3</v>
      </c>
      <c r="AJ46" t="s">
        <v>586</v>
      </c>
      <c r="AK46" s="12">
        <v>45961.42</v>
      </c>
      <c r="AM46" t="s">
        <v>900</v>
      </c>
      <c r="AN46" s="5">
        <v>916.37</v>
      </c>
      <c r="AO46" t="s">
        <v>897</v>
      </c>
      <c r="AP46" s="128" t="s">
        <v>245</v>
      </c>
      <c r="AQ46" t="s">
        <v>901</v>
      </c>
      <c r="AR46" t="s">
        <v>898</v>
      </c>
      <c r="AS46" t="s">
        <v>945</v>
      </c>
    </row>
    <row r="47" spans="35:45" ht="15" customHeight="1" x14ac:dyDescent="0.25">
      <c r="AI47" t="s">
        <v>3</v>
      </c>
      <c r="AJ47" t="s">
        <v>586</v>
      </c>
      <c r="AK47" s="12">
        <v>45991.839999999997</v>
      </c>
      <c r="AM47" t="s">
        <v>900</v>
      </c>
      <c r="AN47" s="5"/>
      <c r="AO47" t="s">
        <v>897</v>
      </c>
      <c r="AP47" s="128" t="s">
        <v>245</v>
      </c>
      <c r="AQ47" t="s">
        <v>901</v>
      </c>
      <c r="AR47" t="s">
        <v>898</v>
      </c>
      <c r="AS47" t="s">
        <v>946</v>
      </c>
    </row>
    <row r="48" spans="35:45" ht="15" customHeight="1" x14ac:dyDescent="0.25">
      <c r="AI48" t="s">
        <v>3</v>
      </c>
      <c r="AJ48" t="s">
        <v>586</v>
      </c>
      <c r="AK48" s="12">
        <v>46022.259999999995</v>
      </c>
      <c r="AM48" t="s">
        <v>900</v>
      </c>
      <c r="AN48" s="5"/>
      <c r="AO48" t="s">
        <v>897</v>
      </c>
      <c r="AP48" s="128" t="s">
        <v>245</v>
      </c>
      <c r="AQ48" t="s">
        <v>901</v>
      </c>
      <c r="AR48" t="s">
        <v>898</v>
      </c>
      <c r="AS48" t="s">
        <v>947</v>
      </c>
    </row>
    <row r="49" spans="35:45" ht="15" customHeight="1" x14ac:dyDescent="0.25">
      <c r="AI49" t="s">
        <v>3</v>
      </c>
      <c r="AJ49" t="s">
        <v>586</v>
      </c>
      <c r="AK49" s="12">
        <v>46052.679999999993</v>
      </c>
      <c r="AM49" t="s">
        <v>900</v>
      </c>
      <c r="AN49" s="5"/>
      <c r="AO49" t="s">
        <v>897</v>
      </c>
      <c r="AP49" s="128" t="s">
        <v>245</v>
      </c>
      <c r="AQ49" t="s">
        <v>901</v>
      </c>
      <c r="AR49" t="s">
        <v>898</v>
      </c>
      <c r="AS49" t="s">
        <v>948</v>
      </c>
    </row>
    <row r="50" spans="35:45" ht="15" customHeight="1" x14ac:dyDescent="0.25">
      <c r="AI50" t="s">
        <v>3</v>
      </c>
      <c r="AJ50" t="s">
        <v>586</v>
      </c>
      <c r="AK50" s="12">
        <v>46083.099999999991</v>
      </c>
      <c r="AM50" t="s">
        <v>900</v>
      </c>
      <c r="AN50" s="5"/>
      <c r="AO50" t="s">
        <v>897</v>
      </c>
      <c r="AP50" s="128" t="s">
        <v>245</v>
      </c>
      <c r="AQ50" t="s">
        <v>901</v>
      </c>
      <c r="AR50" t="s">
        <v>898</v>
      </c>
      <c r="AS50" t="s">
        <v>949</v>
      </c>
    </row>
    <row r="51" spans="35:45" ht="15" customHeight="1" x14ac:dyDescent="0.25">
      <c r="AI51" t="s">
        <v>3</v>
      </c>
      <c r="AJ51" t="s">
        <v>586</v>
      </c>
      <c r="AK51" s="12">
        <v>46113.51999999999</v>
      </c>
      <c r="AM51" t="s">
        <v>900</v>
      </c>
      <c r="AN51" s="5"/>
      <c r="AO51" t="s">
        <v>897</v>
      </c>
      <c r="AP51" s="128" t="s">
        <v>245</v>
      </c>
      <c r="AQ51" t="s">
        <v>901</v>
      </c>
      <c r="AR51" t="s">
        <v>898</v>
      </c>
      <c r="AS51" t="s">
        <v>950</v>
      </c>
    </row>
    <row r="52" spans="35:45" ht="15" customHeight="1" x14ac:dyDescent="0.25">
      <c r="AI52" t="s">
        <v>3</v>
      </c>
      <c r="AJ52" t="s">
        <v>586</v>
      </c>
      <c r="AK52" s="12">
        <v>46143.939999999988</v>
      </c>
      <c r="AM52" t="s">
        <v>900</v>
      </c>
      <c r="AN52" s="5"/>
      <c r="AO52" t="s">
        <v>897</v>
      </c>
      <c r="AP52" s="128" t="s">
        <v>245</v>
      </c>
      <c r="AQ52" t="s">
        <v>901</v>
      </c>
      <c r="AR52" t="s">
        <v>898</v>
      </c>
      <c r="AS52" t="s">
        <v>951</v>
      </c>
    </row>
    <row r="53" spans="35:45" ht="15" customHeight="1" x14ac:dyDescent="0.25">
      <c r="AI53" t="s">
        <v>3</v>
      </c>
      <c r="AJ53" t="s">
        <v>586</v>
      </c>
      <c r="AK53" s="12">
        <v>46174.359999999986</v>
      </c>
      <c r="AM53" t="s">
        <v>900</v>
      </c>
      <c r="AN53" s="5"/>
      <c r="AO53" t="s">
        <v>897</v>
      </c>
      <c r="AP53" s="128" t="s">
        <v>245</v>
      </c>
      <c r="AQ53" t="s">
        <v>901</v>
      </c>
      <c r="AR53" t="s">
        <v>898</v>
      </c>
      <c r="AS53" t="s">
        <v>952</v>
      </c>
    </row>
    <row r="54" spans="35:45" ht="15" customHeight="1" x14ac:dyDescent="0.25">
      <c r="AI54" t="s">
        <v>3</v>
      </c>
      <c r="AJ54" t="s">
        <v>586</v>
      </c>
      <c r="AK54" s="12">
        <v>46204.779999999984</v>
      </c>
      <c r="AM54" t="s">
        <v>900</v>
      </c>
      <c r="AN54" s="5"/>
      <c r="AO54" t="s">
        <v>897</v>
      </c>
      <c r="AP54" s="128" t="s">
        <v>245</v>
      </c>
      <c r="AQ54" t="s">
        <v>901</v>
      </c>
      <c r="AR54" t="s">
        <v>898</v>
      </c>
      <c r="AS54" t="s">
        <v>953</v>
      </c>
    </row>
    <row r="55" spans="35:45" ht="15" customHeight="1" x14ac:dyDescent="0.25">
      <c r="AI55" t="s">
        <v>3</v>
      </c>
      <c r="AJ55" t="s">
        <v>586</v>
      </c>
      <c r="AK55" s="12">
        <v>46235.199999999983</v>
      </c>
      <c r="AM55" t="s">
        <v>900</v>
      </c>
      <c r="AN55" s="5"/>
      <c r="AO55" t="s">
        <v>897</v>
      </c>
      <c r="AP55" s="128" t="s">
        <v>245</v>
      </c>
      <c r="AQ55" t="s">
        <v>901</v>
      </c>
      <c r="AR55" t="s">
        <v>898</v>
      </c>
      <c r="AS55" t="s">
        <v>954</v>
      </c>
    </row>
    <row r="56" spans="35:45" ht="15" customHeight="1" x14ac:dyDescent="0.25">
      <c r="AI56" t="s">
        <v>3</v>
      </c>
      <c r="AJ56" t="s">
        <v>586</v>
      </c>
      <c r="AK56" s="12">
        <v>46265.619999999981</v>
      </c>
      <c r="AM56" t="s">
        <v>900</v>
      </c>
      <c r="AN56" s="5"/>
      <c r="AO56" t="s">
        <v>897</v>
      </c>
      <c r="AP56" s="128" t="s">
        <v>245</v>
      </c>
      <c r="AQ56" t="s">
        <v>901</v>
      </c>
      <c r="AR56" t="s">
        <v>898</v>
      </c>
      <c r="AS56" t="s">
        <v>955</v>
      </c>
    </row>
    <row r="57" spans="35:45" ht="15" customHeight="1" x14ac:dyDescent="0.25">
      <c r="AI57" t="s">
        <v>3</v>
      </c>
      <c r="AJ57" t="s">
        <v>586</v>
      </c>
      <c r="AK57" s="12">
        <v>46296.039999999979</v>
      </c>
      <c r="AM57" t="s">
        <v>900</v>
      </c>
      <c r="AN57" s="5"/>
      <c r="AO57" t="s">
        <v>897</v>
      </c>
      <c r="AP57" s="128" t="s">
        <v>245</v>
      </c>
      <c r="AQ57" t="s">
        <v>901</v>
      </c>
      <c r="AR57" t="s">
        <v>898</v>
      </c>
      <c r="AS57" t="s">
        <v>956</v>
      </c>
    </row>
    <row r="58" spans="35:45" ht="15" customHeight="1" x14ac:dyDescent="0.25">
      <c r="AI58" t="s">
        <v>3</v>
      </c>
      <c r="AJ58" t="s">
        <v>586</v>
      </c>
      <c r="AK58" s="12">
        <v>46326.459999999977</v>
      </c>
      <c r="AM58" t="s">
        <v>900</v>
      </c>
      <c r="AN58" s="5"/>
      <c r="AO58" t="s">
        <v>897</v>
      </c>
      <c r="AP58" s="128" t="s">
        <v>245</v>
      </c>
      <c r="AQ58" t="s">
        <v>901</v>
      </c>
      <c r="AR58" t="s">
        <v>898</v>
      </c>
      <c r="AS58" t="s">
        <v>957</v>
      </c>
    </row>
    <row r="59" spans="35:45" ht="15" customHeight="1" x14ac:dyDescent="0.25">
      <c r="AI59" t="s">
        <v>3</v>
      </c>
      <c r="AJ59" t="s">
        <v>586</v>
      </c>
      <c r="AK59" s="12">
        <v>46356.879999999976</v>
      </c>
      <c r="AM59" t="s">
        <v>900</v>
      </c>
      <c r="AN59" s="5"/>
      <c r="AO59" t="s">
        <v>897</v>
      </c>
      <c r="AP59" s="128" t="s">
        <v>245</v>
      </c>
      <c r="AQ59" t="s">
        <v>901</v>
      </c>
      <c r="AR59" t="s">
        <v>898</v>
      </c>
      <c r="AS59" t="s">
        <v>958</v>
      </c>
    </row>
    <row r="60" spans="35:45" ht="15" customHeight="1" x14ac:dyDescent="0.25">
      <c r="AI60" t="s">
        <v>3</v>
      </c>
      <c r="AJ60" t="s">
        <v>475</v>
      </c>
      <c r="AK60" s="12">
        <v>45805</v>
      </c>
      <c r="AM60" t="s">
        <v>900</v>
      </c>
      <c r="AN60" s="5">
        <v>0</v>
      </c>
      <c r="AO60" t="s">
        <v>897</v>
      </c>
      <c r="AP60" s="128" t="s">
        <v>245</v>
      </c>
      <c r="AQ60" t="s">
        <v>901</v>
      </c>
      <c r="AR60" t="s">
        <v>898</v>
      </c>
      <c r="AS60" t="s">
        <v>959</v>
      </c>
    </row>
    <row r="61" spans="35:45" ht="15" customHeight="1" x14ac:dyDescent="0.25">
      <c r="AI61" t="s">
        <v>3</v>
      </c>
      <c r="AJ61" t="s">
        <v>475</v>
      </c>
      <c r="AK61" s="12">
        <v>45835.42</v>
      </c>
      <c r="AM61" t="s">
        <v>900</v>
      </c>
      <c r="AN61" s="5">
        <v>0</v>
      </c>
      <c r="AO61" t="s">
        <v>897</v>
      </c>
      <c r="AP61" s="128" t="s">
        <v>245</v>
      </c>
      <c r="AQ61" t="s">
        <v>901</v>
      </c>
      <c r="AR61" t="s">
        <v>898</v>
      </c>
      <c r="AS61" t="s">
        <v>960</v>
      </c>
    </row>
    <row r="62" spans="35:45" ht="15" customHeight="1" x14ac:dyDescent="0.25">
      <c r="AI62" t="s">
        <v>3</v>
      </c>
      <c r="AJ62" t="s">
        <v>475</v>
      </c>
      <c r="AK62" s="12">
        <v>45865.84</v>
      </c>
      <c r="AM62" t="s">
        <v>900</v>
      </c>
      <c r="AN62" s="5">
        <v>0</v>
      </c>
      <c r="AO62" t="s">
        <v>897</v>
      </c>
      <c r="AP62" s="128" t="s">
        <v>245</v>
      </c>
      <c r="AQ62" t="s">
        <v>901</v>
      </c>
      <c r="AR62" t="s">
        <v>898</v>
      </c>
      <c r="AS62" t="s">
        <v>961</v>
      </c>
    </row>
    <row r="63" spans="35:45" ht="15" customHeight="1" x14ac:dyDescent="0.25">
      <c r="AI63" t="s">
        <v>3</v>
      </c>
      <c r="AJ63" t="s">
        <v>475</v>
      </c>
      <c r="AK63" s="12">
        <v>45896.259999999995</v>
      </c>
      <c r="AM63" t="s">
        <v>900</v>
      </c>
      <c r="AN63" s="5">
        <v>0</v>
      </c>
      <c r="AO63" t="s">
        <v>897</v>
      </c>
      <c r="AP63" s="128" t="s">
        <v>245</v>
      </c>
      <c r="AQ63" t="s">
        <v>901</v>
      </c>
      <c r="AR63" t="s">
        <v>898</v>
      </c>
      <c r="AS63" t="s">
        <v>962</v>
      </c>
    </row>
    <row r="64" spans="35:45" ht="15" customHeight="1" x14ac:dyDescent="0.25">
      <c r="AI64" t="s">
        <v>3</v>
      </c>
      <c r="AJ64" t="s">
        <v>475</v>
      </c>
      <c r="AK64" s="12">
        <v>45926.679999999993</v>
      </c>
      <c r="AM64" t="s">
        <v>900</v>
      </c>
      <c r="AN64" s="5">
        <v>0</v>
      </c>
      <c r="AO64" t="s">
        <v>897</v>
      </c>
      <c r="AP64" s="128" t="s">
        <v>245</v>
      </c>
      <c r="AQ64" t="s">
        <v>901</v>
      </c>
      <c r="AR64" t="s">
        <v>898</v>
      </c>
      <c r="AS64" t="s">
        <v>963</v>
      </c>
    </row>
    <row r="65" spans="35:45" ht="15" customHeight="1" x14ac:dyDescent="0.25">
      <c r="AI65" t="s">
        <v>3</v>
      </c>
      <c r="AJ65" t="s">
        <v>475</v>
      </c>
      <c r="AK65" s="12">
        <v>45957.099999999991</v>
      </c>
      <c r="AM65" t="s">
        <v>900</v>
      </c>
      <c r="AN65" s="5">
        <v>0</v>
      </c>
      <c r="AO65" t="s">
        <v>897</v>
      </c>
      <c r="AP65" s="128" t="s">
        <v>245</v>
      </c>
      <c r="AQ65" t="s">
        <v>901</v>
      </c>
      <c r="AR65" t="s">
        <v>898</v>
      </c>
      <c r="AS65" t="s">
        <v>964</v>
      </c>
    </row>
    <row r="66" spans="35:45" ht="15" customHeight="1" x14ac:dyDescent="0.25">
      <c r="AI66" t="s">
        <v>3</v>
      </c>
      <c r="AJ66" t="s">
        <v>475</v>
      </c>
      <c r="AK66" s="12">
        <v>45987.51999999999</v>
      </c>
      <c r="AM66" t="s">
        <v>900</v>
      </c>
      <c r="AN66" s="5">
        <v>0</v>
      </c>
      <c r="AO66" t="s">
        <v>897</v>
      </c>
      <c r="AP66" s="128" t="s">
        <v>245</v>
      </c>
      <c r="AQ66" t="s">
        <v>901</v>
      </c>
      <c r="AR66" t="s">
        <v>898</v>
      </c>
      <c r="AS66" t="s">
        <v>965</v>
      </c>
    </row>
    <row r="67" spans="35:45" ht="15" customHeight="1" x14ac:dyDescent="0.25">
      <c r="AI67" t="s">
        <v>3</v>
      </c>
      <c r="AJ67" t="s">
        <v>475</v>
      </c>
      <c r="AK67" s="12">
        <v>46017.939999999988</v>
      </c>
      <c r="AM67" t="s">
        <v>900</v>
      </c>
      <c r="AN67" s="5">
        <v>0</v>
      </c>
      <c r="AO67" t="s">
        <v>897</v>
      </c>
      <c r="AP67" s="128" t="s">
        <v>245</v>
      </c>
      <c r="AQ67" t="s">
        <v>901</v>
      </c>
      <c r="AR67" t="s">
        <v>898</v>
      </c>
      <c r="AS67" t="s">
        <v>966</v>
      </c>
    </row>
    <row r="68" spans="35:45" ht="15" customHeight="1" x14ac:dyDescent="0.25">
      <c r="AI68" t="s">
        <v>3</v>
      </c>
      <c r="AJ68" t="s">
        <v>475</v>
      </c>
      <c r="AK68" s="12">
        <v>46048.359999999986</v>
      </c>
      <c r="AM68" t="s">
        <v>900</v>
      </c>
      <c r="AN68" s="5">
        <v>0</v>
      </c>
      <c r="AO68" t="s">
        <v>897</v>
      </c>
      <c r="AP68" s="128" t="s">
        <v>245</v>
      </c>
      <c r="AQ68" t="s">
        <v>901</v>
      </c>
      <c r="AR68" t="s">
        <v>898</v>
      </c>
      <c r="AS68" t="s">
        <v>967</v>
      </c>
    </row>
    <row r="69" spans="35:45" ht="15" customHeight="1" x14ac:dyDescent="0.25">
      <c r="AI69" t="s">
        <v>3</v>
      </c>
      <c r="AJ69" t="s">
        <v>475</v>
      </c>
      <c r="AK69" s="12">
        <v>46078.779999999984</v>
      </c>
      <c r="AM69" t="s">
        <v>900</v>
      </c>
      <c r="AN69" s="5">
        <v>0</v>
      </c>
      <c r="AO69" t="s">
        <v>897</v>
      </c>
      <c r="AP69" s="128" t="s">
        <v>245</v>
      </c>
      <c r="AQ69" t="s">
        <v>901</v>
      </c>
      <c r="AR69" t="s">
        <v>898</v>
      </c>
      <c r="AS69" t="s">
        <v>968</v>
      </c>
    </row>
    <row r="70" spans="35:45" ht="15" customHeight="1" x14ac:dyDescent="0.25">
      <c r="AI70" t="s">
        <v>3</v>
      </c>
      <c r="AJ70" t="s">
        <v>475</v>
      </c>
      <c r="AK70" s="12">
        <v>46109.199999999983</v>
      </c>
      <c r="AM70" t="s">
        <v>900</v>
      </c>
      <c r="AN70" s="5">
        <v>0</v>
      </c>
      <c r="AO70" t="s">
        <v>897</v>
      </c>
      <c r="AP70" s="128" t="s">
        <v>245</v>
      </c>
      <c r="AQ70" t="s">
        <v>901</v>
      </c>
      <c r="AR70" t="s">
        <v>898</v>
      </c>
      <c r="AS70" t="s">
        <v>969</v>
      </c>
    </row>
    <row r="71" spans="35:45" ht="15" customHeight="1" x14ac:dyDescent="0.25">
      <c r="AI71" t="s">
        <v>3</v>
      </c>
      <c r="AJ71" t="s">
        <v>475</v>
      </c>
      <c r="AK71" s="12">
        <v>46139.619999999981</v>
      </c>
      <c r="AM71" t="s">
        <v>900</v>
      </c>
      <c r="AN71" s="5">
        <v>0</v>
      </c>
      <c r="AO71" t="s">
        <v>897</v>
      </c>
      <c r="AP71" s="128" t="s">
        <v>245</v>
      </c>
      <c r="AQ71" t="s">
        <v>901</v>
      </c>
      <c r="AR71" t="s">
        <v>898</v>
      </c>
      <c r="AS71" t="s">
        <v>970</v>
      </c>
    </row>
    <row r="72" spans="35:45" ht="15" customHeight="1" x14ac:dyDescent="0.25">
      <c r="AI72" t="s">
        <v>3</v>
      </c>
      <c r="AJ72" t="s">
        <v>475</v>
      </c>
      <c r="AK72" s="12">
        <v>46170.039999999979</v>
      </c>
      <c r="AM72" t="s">
        <v>900</v>
      </c>
      <c r="AN72" s="5">
        <v>0</v>
      </c>
      <c r="AO72" t="s">
        <v>897</v>
      </c>
      <c r="AP72" s="128" t="s">
        <v>245</v>
      </c>
      <c r="AQ72" t="s">
        <v>901</v>
      </c>
      <c r="AR72" t="s">
        <v>898</v>
      </c>
      <c r="AS72" t="s">
        <v>971</v>
      </c>
    </row>
    <row r="73" spans="35:45" ht="15" customHeight="1" x14ac:dyDescent="0.25">
      <c r="AI73" t="s">
        <v>3</v>
      </c>
      <c r="AJ73" t="s">
        <v>475</v>
      </c>
      <c r="AK73" s="12">
        <v>46200.459999999977</v>
      </c>
      <c r="AM73" t="s">
        <v>900</v>
      </c>
      <c r="AN73" s="5">
        <v>0</v>
      </c>
      <c r="AO73" t="s">
        <v>897</v>
      </c>
      <c r="AP73" s="128" t="s">
        <v>245</v>
      </c>
      <c r="AQ73" t="s">
        <v>901</v>
      </c>
      <c r="AR73" t="s">
        <v>898</v>
      </c>
      <c r="AS73" t="s">
        <v>972</v>
      </c>
    </row>
    <row r="74" spans="35:45" ht="15" customHeight="1" x14ac:dyDescent="0.25">
      <c r="AI74" t="s">
        <v>3</v>
      </c>
      <c r="AJ74" t="s">
        <v>475</v>
      </c>
      <c r="AK74" s="12">
        <v>46230.879999999976</v>
      </c>
      <c r="AM74" t="s">
        <v>900</v>
      </c>
      <c r="AN74" s="5">
        <v>0</v>
      </c>
      <c r="AO74" t="s">
        <v>897</v>
      </c>
      <c r="AP74" s="128" t="s">
        <v>245</v>
      </c>
      <c r="AQ74" t="s">
        <v>901</v>
      </c>
      <c r="AR74" t="s">
        <v>898</v>
      </c>
      <c r="AS74" t="s">
        <v>973</v>
      </c>
    </row>
    <row r="75" spans="35:45" ht="15" customHeight="1" x14ac:dyDescent="0.25">
      <c r="AI75" t="s">
        <v>3</v>
      </c>
      <c r="AJ75" t="s">
        <v>475</v>
      </c>
      <c r="AK75" s="12">
        <v>46261.299999999974</v>
      </c>
      <c r="AM75" t="s">
        <v>900</v>
      </c>
      <c r="AN75" s="5">
        <v>0</v>
      </c>
      <c r="AO75" t="s">
        <v>897</v>
      </c>
      <c r="AP75" s="128" t="s">
        <v>245</v>
      </c>
      <c r="AQ75" t="s">
        <v>901</v>
      </c>
      <c r="AR75" t="s">
        <v>898</v>
      </c>
      <c r="AS75" t="s">
        <v>974</v>
      </c>
    </row>
    <row r="76" spans="35:45" ht="15" customHeight="1" x14ac:dyDescent="0.25">
      <c r="AI76" t="s">
        <v>3</v>
      </c>
      <c r="AJ76" t="s">
        <v>475</v>
      </c>
      <c r="AK76" s="12">
        <v>46291.719999999972</v>
      </c>
      <c r="AM76" t="s">
        <v>900</v>
      </c>
      <c r="AN76" s="5">
        <v>0</v>
      </c>
      <c r="AO76" t="s">
        <v>897</v>
      </c>
      <c r="AP76" s="128" t="s">
        <v>245</v>
      </c>
      <c r="AQ76" t="s">
        <v>901</v>
      </c>
      <c r="AR76" t="s">
        <v>898</v>
      </c>
      <c r="AS76" t="s">
        <v>975</v>
      </c>
    </row>
    <row r="77" spans="35:45" ht="15" customHeight="1" x14ac:dyDescent="0.25">
      <c r="AI77" t="s">
        <v>3</v>
      </c>
      <c r="AJ77" t="s">
        <v>475</v>
      </c>
      <c r="AK77" s="12">
        <v>46322.13999999997</v>
      </c>
      <c r="AM77" t="s">
        <v>900</v>
      </c>
      <c r="AN77" s="5">
        <v>0</v>
      </c>
      <c r="AO77" t="s">
        <v>897</v>
      </c>
      <c r="AP77" s="128" t="s">
        <v>245</v>
      </c>
      <c r="AQ77" t="s">
        <v>901</v>
      </c>
      <c r="AR77" t="s">
        <v>898</v>
      </c>
      <c r="AS77" t="s">
        <v>976</v>
      </c>
    </row>
    <row r="78" spans="35:45" ht="15" customHeight="1" x14ac:dyDescent="0.25">
      <c r="AI78" t="s">
        <v>3</v>
      </c>
      <c r="AJ78" t="s">
        <v>475</v>
      </c>
      <c r="AK78" s="12">
        <v>46352.559999999969</v>
      </c>
      <c r="AM78" t="s">
        <v>900</v>
      </c>
      <c r="AN78" s="5">
        <v>0</v>
      </c>
      <c r="AO78" t="s">
        <v>897</v>
      </c>
      <c r="AP78" s="128" t="s">
        <v>245</v>
      </c>
      <c r="AQ78" t="s">
        <v>901</v>
      </c>
      <c r="AR78" t="s">
        <v>898</v>
      </c>
      <c r="AS78" t="s">
        <v>977</v>
      </c>
    </row>
    <row r="79" spans="35:45" ht="15" customHeight="1" x14ac:dyDescent="0.25">
      <c r="AI79" t="s">
        <v>3</v>
      </c>
      <c r="AJ79" t="s">
        <v>886</v>
      </c>
      <c r="AK79" s="12">
        <v>45751</v>
      </c>
      <c r="AM79" t="s">
        <v>900</v>
      </c>
      <c r="AN79" s="5">
        <v>50</v>
      </c>
      <c r="AO79" t="s">
        <v>897</v>
      </c>
      <c r="AP79" s="128" t="s">
        <v>245</v>
      </c>
      <c r="AQ79" t="s">
        <v>901</v>
      </c>
      <c r="AR79" t="s">
        <v>898</v>
      </c>
      <c r="AS79" t="s">
        <v>978</v>
      </c>
    </row>
    <row r="80" spans="35:45" ht="15" customHeight="1" x14ac:dyDescent="0.25">
      <c r="AI80" t="s">
        <v>3</v>
      </c>
      <c r="AJ80" t="s">
        <v>886</v>
      </c>
      <c r="AK80" s="12">
        <v>45751</v>
      </c>
      <c r="AM80" t="s">
        <v>900</v>
      </c>
      <c r="AN80" s="5">
        <v>47.9</v>
      </c>
      <c r="AO80" t="s">
        <v>897</v>
      </c>
      <c r="AP80" s="128" t="s">
        <v>245</v>
      </c>
      <c r="AQ80" t="s">
        <v>901</v>
      </c>
      <c r="AR80" t="s">
        <v>898</v>
      </c>
      <c r="AS80" t="s">
        <v>979</v>
      </c>
    </row>
    <row r="81" spans="35:45" ht="15" customHeight="1" x14ac:dyDescent="0.25">
      <c r="AI81" t="s">
        <v>3</v>
      </c>
      <c r="AJ81" t="s">
        <v>886</v>
      </c>
      <c r="AK81" s="12">
        <v>45781.42</v>
      </c>
      <c r="AM81" t="s">
        <v>900</v>
      </c>
      <c r="AN81" s="5">
        <v>53.51</v>
      </c>
      <c r="AO81" t="s">
        <v>897</v>
      </c>
      <c r="AP81" s="128" t="s">
        <v>245</v>
      </c>
      <c r="AQ81" t="s">
        <v>901</v>
      </c>
      <c r="AR81" t="s">
        <v>898</v>
      </c>
      <c r="AS81" t="s">
        <v>980</v>
      </c>
    </row>
    <row r="82" spans="35:45" ht="15" customHeight="1" x14ac:dyDescent="0.25">
      <c r="AI82" t="s">
        <v>3</v>
      </c>
      <c r="AJ82" t="s">
        <v>886</v>
      </c>
      <c r="AK82" s="12">
        <v>45811.839999999997</v>
      </c>
      <c r="AM82" t="s">
        <v>900</v>
      </c>
      <c r="AN82" s="5">
        <v>61.43</v>
      </c>
      <c r="AO82" t="s">
        <v>897</v>
      </c>
      <c r="AP82" s="128" t="s">
        <v>245</v>
      </c>
      <c r="AQ82" t="s">
        <v>901</v>
      </c>
      <c r="AR82" t="s">
        <v>898</v>
      </c>
      <c r="AS82" t="s">
        <v>981</v>
      </c>
    </row>
    <row r="83" spans="35:45" ht="15" customHeight="1" x14ac:dyDescent="0.25">
      <c r="AI83" t="s">
        <v>3</v>
      </c>
      <c r="AJ83" t="s">
        <v>886</v>
      </c>
      <c r="AK83" s="12">
        <v>45842.259999999995</v>
      </c>
      <c r="AM83" t="s">
        <v>900</v>
      </c>
      <c r="AN83" s="5">
        <v>64.8</v>
      </c>
      <c r="AO83" t="s">
        <v>897</v>
      </c>
      <c r="AP83" s="128" t="s">
        <v>245</v>
      </c>
      <c r="AQ83" t="s">
        <v>901</v>
      </c>
      <c r="AR83" t="s">
        <v>898</v>
      </c>
      <c r="AS83" t="s">
        <v>982</v>
      </c>
    </row>
    <row r="84" spans="35:45" ht="15" customHeight="1" x14ac:dyDescent="0.25">
      <c r="AI84" t="s">
        <v>3</v>
      </c>
      <c r="AJ84" t="s">
        <v>886</v>
      </c>
      <c r="AK84" s="12">
        <v>45872.679999999993</v>
      </c>
      <c r="AM84" t="s">
        <v>900</v>
      </c>
      <c r="AN84" s="5">
        <v>0</v>
      </c>
      <c r="AO84" t="s">
        <v>897</v>
      </c>
      <c r="AP84" s="128" t="s">
        <v>245</v>
      </c>
      <c r="AQ84" t="s">
        <v>901</v>
      </c>
      <c r="AR84" t="s">
        <v>898</v>
      </c>
      <c r="AS84" t="s">
        <v>983</v>
      </c>
    </row>
    <row r="85" spans="35:45" ht="15" customHeight="1" x14ac:dyDescent="0.25">
      <c r="AI85" t="s">
        <v>3</v>
      </c>
      <c r="AJ85" t="s">
        <v>886</v>
      </c>
      <c r="AK85" s="12">
        <v>45903.099999999991</v>
      </c>
      <c r="AM85" t="s">
        <v>900</v>
      </c>
      <c r="AN85" s="5">
        <v>0</v>
      </c>
      <c r="AO85" t="s">
        <v>897</v>
      </c>
      <c r="AP85" s="128" t="s">
        <v>245</v>
      </c>
      <c r="AQ85" t="s">
        <v>901</v>
      </c>
      <c r="AR85" t="s">
        <v>898</v>
      </c>
      <c r="AS85" t="s">
        <v>984</v>
      </c>
    </row>
    <row r="86" spans="35:45" ht="15" customHeight="1" x14ac:dyDescent="0.25">
      <c r="AI86" t="s">
        <v>3</v>
      </c>
      <c r="AJ86" t="s">
        <v>886</v>
      </c>
      <c r="AK86" s="12">
        <v>45933.51999999999</v>
      </c>
      <c r="AM86" t="s">
        <v>900</v>
      </c>
      <c r="AN86" s="5">
        <v>0</v>
      </c>
      <c r="AO86" t="s">
        <v>897</v>
      </c>
      <c r="AP86" s="128" t="s">
        <v>245</v>
      </c>
      <c r="AQ86" t="s">
        <v>901</v>
      </c>
      <c r="AR86" t="s">
        <v>898</v>
      </c>
      <c r="AS86" t="s">
        <v>985</v>
      </c>
    </row>
    <row r="87" spans="35:45" ht="15" customHeight="1" x14ac:dyDescent="0.25">
      <c r="AI87" t="s">
        <v>3</v>
      </c>
      <c r="AJ87" t="s">
        <v>886</v>
      </c>
      <c r="AK87" s="12">
        <v>45963.939999999988</v>
      </c>
      <c r="AM87" t="s">
        <v>900</v>
      </c>
      <c r="AN87" s="5">
        <v>0</v>
      </c>
      <c r="AO87" t="s">
        <v>897</v>
      </c>
      <c r="AP87" s="128" t="s">
        <v>245</v>
      </c>
      <c r="AQ87" t="s">
        <v>901</v>
      </c>
      <c r="AR87" t="s">
        <v>898</v>
      </c>
      <c r="AS87" t="s">
        <v>986</v>
      </c>
    </row>
    <row r="88" spans="35:45" ht="15" customHeight="1" x14ac:dyDescent="0.25">
      <c r="AI88" t="s">
        <v>3</v>
      </c>
      <c r="AJ88" t="s">
        <v>886</v>
      </c>
      <c r="AK88" s="12">
        <v>45994.359999999986</v>
      </c>
      <c r="AM88" t="s">
        <v>900</v>
      </c>
      <c r="AN88" s="5">
        <v>0</v>
      </c>
      <c r="AO88" t="s">
        <v>897</v>
      </c>
      <c r="AP88" s="128" t="s">
        <v>245</v>
      </c>
      <c r="AQ88" t="s">
        <v>901</v>
      </c>
      <c r="AR88" t="s">
        <v>898</v>
      </c>
      <c r="AS88" t="s">
        <v>987</v>
      </c>
    </row>
    <row r="89" spans="35:45" ht="15" customHeight="1" x14ac:dyDescent="0.25">
      <c r="AI89" t="s">
        <v>3</v>
      </c>
      <c r="AJ89" t="s">
        <v>886</v>
      </c>
      <c r="AK89" s="12">
        <v>46024.779999999984</v>
      </c>
      <c r="AM89" t="s">
        <v>900</v>
      </c>
      <c r="AN89" s="5">
        <v>0</v>
      </c>
      <c r="AO89" t="s">
        <v>897</v>
      </c>
      <c r="AP89" s="128" t="s">
        <v>245</v>
      </c>
      <c r="AQ89" t="s">
        <v>901</v>
      </c>
      <c r="AR89" t="s">
        <v>898</v>
      </c>
      <c r="AS89" t="s">
        <v>988</v>
      </c>
    </row>
    <row r="90" spans="35:45" ht="15" customHeight="1" x14ac:dyDescent="0.25">
      <c r="AI90" t="s">
        <v>3</v>
      </c>
      <c r="AJ90" t="s">
        <v>886</v>
      </c>
      <c r="AK90" s="12">
        <v>46055.199999999983</v>
      </c>
      <c r="AM90" t="s">
        <v>900</v>
      </c>
      <c r="AN90" s="5">
        <v>0</v>
      </c>
      <c r="AO90" t="s">
        <v>897</v>
      </c>
      <c r="AP90" s="128" t="s">
        <v>245</v>
      </c>
      <c r="AQ90" t="s">
        <v>901</v>
      </c>
      <c r="AR90" t="s">
        <v>898</v>
      </c>
      <c r="AS90" t="s">
        <v>989</v>
      </c>
    </row>
    <row r="91" spans="35:45" ht="15" customHeight="1" x14ac:dyDescent="0.25">
      <c r="AI91" t="s">
        <v>3</v>
      </c>
      <c r="AJ91" t="s">
        <v>886</v>
      </c>
      <c r="AK91" s="12">
        <v>46085.619999999981</v>
      </c>
      <c r="AM91" t="s">
        <v>900</v>
      </c>
      <c r="AN91" s="5">
        <v>0</v>
      </c>
      <c r="AO91" t="s">
        <v>897</v>
      </c>
      <c r="AP91" s="128" t="s">
        <v>245</v>
      </c>
      <c r="AQ91" t="s">
        <v>901</v>
      </c>
      <c r="AR91" t="s">
        <v>898</v>
      </c>
      <c r="AS91" t="s">
        <v>990</v>
      </c>
    </row>
    <row r="92" spans="35:45" ht="15" customHeight="1" x14ac:dyDescent="0.25">
      <c r="AI92" t="s">
        <v>3</v>
      </c>
      <c r="AJ92" t="s">
        <v>886</v>
      </c>
      <c r="AK92" s="12">
        <v>46116.039999999979</v>
      </c>
      <c r="AM92" t="s">
        <v>900</v>
      </c>
      <c r="AN92" s="5">
        <v>0</v>
      </c>
      <c r="AO92" t="s">
        <v>897</v>
      </c>
      <c r="AP92" s="128" t="s">
        <v>245</v>
      </c>
      <c r="AQ92" t="s">
        <v>901</v>
      </c>
      <c r="AR92" t="s">
        <v>898</v>
      </c>
      <c r="AS92" t="s">
        <v>991</v>
      </c>
    </row>
    <row r="93" spans="35:45" x14ac:dyDescent="0.25">
      <c r="AI93" t="s">
        <v>3</v>
      </c>
      <c r="AJ93" t="s">
        <v>886</v>
      </c>
      <c r="AK93" s="12">
        <v>46146.459999999977</v>
      </c>
      <c r="AM93" t="s">
        <v>900</v>
      </c>
      <c r="AN93" s="5">
        <v>0</v>
      </c>
      <c r="AO93" t="s">
        <v>897</v>
      </c>
      <c r="AP93" s="128" t="s">
        <v>245</v>
      </c>
      <c r="AQ93" t="s">
        <v>901</v>
      </c>
      <c r="AR93" t="s">
        <v>898</v>
      </c>
      <c r="AS93" t="s">
        <v>992</v>
      </c>
    </row>
    <row r="94" spans="35:45" x14ac:dyDescent="0.25">
      <c r="AI94" t="s">
        <v>3</v>
      </c>
      <c r="AJ94" t="s">
        <v>886</v>
      </c>
      <c r="AK94" s="12">
        <v>46176.879999999976</v>
      </c>
      <c r="AM94" t="s">
        <v>900</v>
      </c>
      <c r="AN94" s="5">
        <v>0</v>
      </c>
      <c r="AO94" t="s">
        <v>897</v>
      </c>
      <c r="AP94" s="128" t="s">
        <v>245</v>
      </c>
      <c r="AQ94" t="s">
        <v>901</v>
      </c>
      <c r="AR94" t="s">
        <v>898</v>
      </c>
      <c r="AS94" t="s">
        <v>993</v>
      </c>
    </row>
    <row r="95" spans="35:45" x14ac:dyDescent="0.25">
      <c r="AI95" t="s">
        <v>3</v>
      </c>
      <c r="AJ95" t="s">
        <v>886</v>
      </c>
      <c r="AK95" s="12">
        <v>46207.299999999974</v>
      </c>
      <c r="AM95" t="s">
        <v>900</v>
      </c>
      <c r="AN95" s="5">
        <v>0</v>
      </c>
      <c r="AO95" t="s">
        <v>897</v>
      </c>
      <c r="AP95" s="128" t="s">
        <v>245</v>
      </c>
      <c r="AQ95" t="s">
        <v>901</v>
      </c>
      <c r="AR95" t="s">
        <v>898</v>
      </c>
      <c r="AS95" t="s">
        <v>994</v>
      </c>
    </row>
    <row r="96" spans="35:45" x14ac:dyDescent="0.25">
      <c r="AI96" t="s">
        <v>3</v>
      </c>
      <c r="AJ96" t="s">
        <v>886</v>
      </c>
      <c r="AK96" s="12">
        <v>46237.719999999972</v>
      </c>
      <c r="AM96" t="s">
        <v>900</v>
      </c>
      <c r="AN96" s="5">
        <v>0</v>
      </c>
      <c r="AO96" t="s">
        <v>897</v>
      </c>
      <c r="AP96" s="128" t="s">
        <v>245</v>
      </c>
      <c r="AQ96" t="s">
        <v>901</v>
      </c>
      <c r="AR96" t="s">
        <v>898</v>
      </c>
      <c r="AS96" t="s">
        <v>995</v>
      </c>
    </row>
    <row r="97" spans="35:45" x14ac:dyDescent="0.25">
      <c r="AI97" t="s">
        <v>3</v>
      </c>
      <c r="AJ97" t="s">
        <v>886</v>
      </c>
      <c r="AK97" s="12">
        <v>46268.13999999997</v>
      </c>
      <c r="AM97" t="s">
        <v>900</v>
      </c>
      <c r="AN97" s="5">
        <v>0</v>
      </c>
      <c r="AO97" t="s">
        <v>897</v>
      </c>
      <c r="AP97" s="128" t="s">
        <v>245</v>
      </c>
      <c r="AQ97" t="s">
        <v>901</v>
      </c>
      <c r="AR97" t="s">
        <v>898</v>
      </c>
      <c r="AS97" t="s">
        <v>996</v>
      </c>
    </row>
    <row r="98" spans="35:45" x14ac:dyDescent="0.25">
      <c r="AI98" t="s">
        <v>3</v>
      </c>
      <c r="AJ98" t="s">
        <v>886</v>
      </c>
      <c r="AK98" s="12">
        <v>46298.559999999969</v>
      </c>
      <c r="AM98" t="s">
        <v>900</v>
      </c>
      <c r="AN98" s="5">
        <v>0</v>
      </c>
      <c r="AO98" t="s">
        <v>897</v>
      </c>
      <c r="AP98" s="128" t="s">
        <v>245</v>
      </c>
      <c r="AQ98" t="s">
        <v>901</v>
      </c>
      <c r="AR98" t="s">
        <v>898</v>
      </c>
      <c r="AS98" t="s">
        <v>997</v>
      </c>
    </row>
    <row r="99" spans="35:45" x14ac:dyDescent="0.25">
      <c r="AI99" t="s">
        <v>3</v>
      </c>
      <c r="AJ99" t="s">
        <v>585</v>
      </c>
      <c r="AK99" s="12">
        <v>45751</v>
      </c>
      <c r="AM99" t="s">
        <v>900</v>
      </c>
      <c r="AN99" s="5"/>
      <c r="AO99" t="s">
        <v>897</v>
      </c>
      <c r="AP99" s="128" t="s">
        <v>245</v>
      </c>
      <c r="AQ99" t="s">
        <v>901</v>
      </c>
      <c r="AR99" t="s">
        <v>898</v>
      </c>
      <c r="AS99" t="s">
        <v>998</v>
      </c>
    </row>
    <row r="100" spans="35:45" x14ac:dyDescent="0.25">
      <c r="AI100" t="s">
        <v>3</v>
      </c>
      <c r="AJ100" t="s">
        <v>585</v>
      </c>
      <c r="AK100" s="12">
        <v>45781.42</v>
      </c>
      <c r="AM100" t="s">
        <v>900</v>
      </c>
      <c r="AN100" s="5" t="s">
        <v>148</v>
      </c>
      <c r="AO100" t="s">
        <v>897</v>
      </c>
      <c r="AP100" s="128" t="s">
        <v>245</v>
      </c>
      <c r="AQ100" t="s">
        <v>901</v>
      </c>
      <c r="AR100" t="s">
        <v>898</v>
      </c>
      <c r="AS100" t="s">
        <v>999</v>
      </c>
    </row>
    <row r="101" spans="35:45" x14ac:dyDescent="0.25">
      <c r="AI101" t="s">
        <v>3</v>
      </c>
      <c r="AJ101" t="s">
        <v>585</v>
      </c>
      <c r="AK101" s="12">
        <v>45811.839999999997</v>
      </c>
      <c r="AM101" t="s">
        <v>900</v>
      </c>
      <c r="AN101" s="5" t="s">
        <v>148</v>
      </c>
      <c r="AO101" t="s">
        <v>897</v>
      </c>
      <c r="AP101" s="128" t="s">
        <v>245</v>
      </c>
      <c r="AQ101" t="s">
        <v>901</v>
      </c>
      <c r="AR101" t="s">
        <v>898</v>
      </c>
      <c r="AS101" t="s">
        <v>1000</v>
      </c>
    </row>
    <row r="102" spans="35:45" x14ac:dyDescent="0.25">
      <c r="AI102" t="s">
        <v>3</v>
      </c>
      <c r="AJ102" t="s">
        <v>585</v>
      </c>
      <c r="AK102" s="12">
        <v>45842.259999999995</v>
      </c>
      <c r="AM102" t="s">
        <v>900</v>
      </c>
      <c r="AN102" s="5" t="s">
        <v>148</v>
      </c>
      <c r="AO102" t="s">
        <v>897</v>
      </c>
      <c r="AP102" s="128" t="s">
        <v>245</v>
      </c>
      <c r="AQ102" t="s">
        <v>901</v>
      </c>
      <c r="AR102" t="s">
        <v>898</v>
      </c>
      <c r="AS102" t="s">
        <v>1001</v>
      </c>
    </row>
    <row r="103" spans="35:45" x14ac:dyDescent="0.25">
      <c r="AI103" t="s">
        <v>3</v>
      </c>
      <c r="AJ103" t="s">
        <v>585</v>
      </c>
      <c r="AK103" s="12">
        <v>45872.679999999993</v>
      </c>
      <c r="AM103" t="s">
        <v>900</v>
      </c>
      <c r="AN103" s="5" t="s">
        <v>148</v>
      </c>
      <c r="AO103" t="s">
        <v>897</v>
      </c>
      <c r="AP103" s="128" t="s">
        <v>245</v>
      </c>
      <c r="AQ103" t="s">
        <v>901</v>
      </c>
      <c r="AR103" t="s">
        <v>898</v>
      </c>
      <c r="AS103" t="s">
        <v>1002</v>
      </c>
    </row>
    <row r="104" spans="35:45" x14ac:dyDescent="0.25">
      <c r="AI104" t="s">
        <v>3</v>
      </c>
      <c r="AJ104" t="s">
        <v>585</v>
      </c>
      <c r="AK104" s="12">
        <v>45903.099999999991</v>
      </c>
      <c r="AM104" t="s">
        <v>900</v>
      </c>
      <c r="AN104" s="5" t="s">
        <v>148</v>
      </c>
      <c r="AO104" t="s">
        <v>897</v>
      </c>
      <c r="AP104" s="128" t="s">
        <v>245</v>
      </c>
      <c r="AQ104" t="s">
        <v>901</v>
      </c>
      <c r="AR104" t="s">
        <v>898</v>
      </c>
      <c r="AS104" t="s">
        <v>1003</v>
      </c>
    </row>
    <row r="105" spans="35:45" x14ac:dyDescent="0.25">
      <c r="AI105" t="s">
        <v>3</v>
      </c>
      <c r="AJ105" t="s">
        <v>585</v>
      </c>
      <c r="AK105" s="12">
        <v>45933.51999999999</v>
      </c>
      <c r="AM105" t="s">
        <v>900</v>
      </c>
      <c r="AN105" s="5">
        <v>0</v>
      </c>
      <c r="AO105" t="s">
        <v>897</v>
      </c>
      <c r="AP105" s="128" t="s">
        <v>245</v>
      </c>
      <c r="AQ105" t="s">
        <v>901</v>
      </c>
      <c r="AR105" t="s">
        <v>898</v>
      </c>
      <c r="AS105" t="s">
        <v>1004</v>
      </c>
    </row>
    <row r="106" spans="35:45" x14ac:dyDescent="0.25">
      <c r="AI106" t="s">
        <v>3</v>
      </c>
      <c r="AJ106" t="s">
        <v>585</v>
      </c>
      <c r="AK106" s="12">
        <v>45963.939999999988</v>
      </c>
      <c r="AM106" t="s">
        <v>900</v>
      </c>
      <c r="AN106" s="5">
        <v>0</v>
      </c>
      <c r="AO106" t="s">
        <v>897</v>
      </c>
      <c r="AP106" s="128" t="s">
        <v>245</v>
      </c>
      <c r="AQ106" t="s">
        <v>901</v>
      </c>
      <c r="AR106" t="s">
        <v>898</v>
      </c>
      <c r="AS106" t="s">
        <v>1005</v>
      </c>
    </row>
    <row r="107" spans="35:45" x14ac:dyDescent="0.25">
      <c r="AI107" t="s">
        <v>3</v>
      </c>
      <c r="AJ107" t="s">
        <v>585</v>
      </c>
      <c r="AK107" s="12">
        <v>45994.359999999986</v>
      </c>
      <c r="AM107" t="s">
        <v>900</v>
      </c>
      <c r="AN107" s="5">
        <v>0</v>
      </c>
      <c r="AO107" t="s">
        <v>897</v>
      </c>
      <c r="AP107" s="128" t="s">
        <v>245</v>
      </c>
      <c r="AQ107" t="s">
        <v>901</v>
      </c>
      <c r="AR107" t="s">
        <v>898</v>
      </c>
      <c r="AS107" t="s">
        <v>1006</v>
      </c>
    </row>
    <row r="108" spans="35:45" x14ac:dyDescent="0.25">
      <c r="AI108" t="s">
        <v>3</v>
      </c>
      <c r="AJ108" t="s">
        <v>585</v>
      </c>
      <c r="AK108" s="12">
        <v>46024.779999999984</v>
      </c>
      <c r="AM108" t="s">
        <v>900</v>
      </c>
      <c r="AN108" s="5">
        <v>0</v>
      </c>
      <c r="AO108" t="s">
        <v>897</v>
      </c>
      <c r="AP108" s="128" t="s">
        <v>245</v>
      </c>
      <c r="AQ108" t="s">
        <v>901</v>
      </c>
      <c r="AR108" t="s">
        <v>898</v>
      </c>
      <c r="AS108" t="s">
        <v>1007</v>
      </c>
    </row>
    <row r="109" spans="35:45" x14ac:dyDescent="0.25">
      <c r="AI109" t="s">
        <v>3</v>
      </c>
      <c r="AJ109" t="s">
        <v>585</v>
      </c>
      <c r="AK109" s="12">
        <v>46055.199999999983</v>
      </c>
      <c r="AM109" t="s">
        <v>900</v>
      </c>
      <c r="AN109" s="5">
        <v>0</v>
      </c>
      <c r="AO109" t="s">
        <v>897</v>
      </c>
      <c r="AP109" s="128" t="s">
        <v>245</v>
      </c>
      <c r="AQ109" t="s">
        <v>901</v>
      </c>
      <c r="AR109" t="s">
        <v>898</v>
      </c>
      <c r="AS109" t="s">
        <v>1008</v>
      </c>
    </row>
    <row r="110" spans="35:45" x14ac:dyDescent="0.25">
      <c r="AI110" t="s">
        <v>3</v>
      </c>
      <c r="AJ110" t="s">
        <v>585</v>
      </c>
      <c r="AK110" s="12">
        <v>46085.619999999981</v>
      </c>
      <c r="AM110" t="s">
        <v>900</v>
      </c>
      <c r="AN110" s="5">
        <v>0</v>
      </c>
      <c r="AO110" t="s">
        <v>897</v>
      </c>
      <c r="AP110" s="128" t="s">
        <v>245</v>
      </c>
      <c r="AQ110" t="s">
        <v>901</v>
      </c>
      <c r="AR110" t="s">
        <v>898</v>
      </c>
      <c r="AS110" t="s">
        <v>1009</v>
      </c>
    </row>
    <row r="111" spans="35:45" x14ac:dyDescent="0.25">
      <c r="AI111" t="s">
        <v>3</v>
      </c>
      <c r="AJ111" t="s">
        <v>585</v>
      </c>
      <c r="AK111" s="12">
        <v>46116.039999999979</v>
      </c>
      <c r="AM111" t="s">
        <v>900</v>
      </c>
      <c r="AN111" s="5">
        <v>0</v>
      </c>
      <c r="AO111" t="s">
        <v>897</v>
      </c>
      <c r="AP111" s="128" t="s">
        <v>245</v>
      </c>
      <c r="AQ111" t="s">
        <v>901</v>
      </c>
      <c r="AR111" t="s">
        <v>898</v>
      </c>
      <c r="AS111" t="s">
        <v>1010</v>
      </c>
    </row>
    <row r="112" spans="35:45" x14ac:dyDescent="0.25">
      <c r="AI112" t="s">
        <v>3</v>
      </c>
      <c r="AJ112" t="s">
        <v>585</v>
      </c>
      <c r="AK112" s="12">
        <v>46146.459999999977</v>
      </c>
      <c r="AM112" t="s">
        <v>900</v>
      </c>
      <c r="AN112" s="5">
        <v>0</v>
      </c>
      <c r="AO112" t="s">
        <v>897</v>
      </c>
      <c r="AP112" s="128" t="s">
        <v>245</v>
      </c>
      <c r="AQ112" t="s">
        <v>901</v>
      </c>
      <c r="AR112" t="s">
        <v>898</v>
      </c>
      <c r="AS112" t="s">
        <v>1011</v>
      </c>
    </row>
    <row r="113" spans="35:45" x14ac:dyDescent="0.25">
      <c r="AI113" t="s">
        <v>3</v>
      </c>
      <c r="AJ113" t="s">
        <v>585</v>
      </c>
      <c r="AK113" s="12">
        <v>46176.879999999976</v>
      </c>
      <c r="AM113" t="s">
        <v>900</v>
      </c>
      <c r="AN113" s="5">
        <v>0</v>
      </c>
      <c r="AO113" t="s">
        <v>897</v>
      </c>
      <c r="AP113" s="128" t="s">
        <v>245</v>
      </c>
      <c r="AQ113" t="s">
        <v>901</v>
      </c>
      <c r="AR113" t="s">
        <v>898</v>
      </c>
      <c r="AS113" t="s">
        <v>1012</v>
      </c>
    </row>
    <row r="114" spans="35:45" x14ac:dyDescent="0.25">
      <c r="AI114" t="s">
        <v>3</v>
      </c>
      <c r="AJ114" t="s">
        <v>585</v>
      </c>
      <c r="AK114" s="12">
        <v>46207.299999999974</v>
      </c>
      <c r="AM114" t="s">
        <v>900</v>
      </c>
      <c r="AN114" s="5">
        <v>0</v>
      </c>
      <c r="AO114" t="s">
        <v>897</v>
      </c>
      <c r="AP114" s="128" t="s">
        <v>245</v>
      </c>
      <c r="AQ114" t="s">
        <v>901</v>
      </c>
      <c r="AR114" t="s">
        <v>898</v>
      </c>
      <c r="AS114" t="s">
        <v>1013</v>
      </c>
    </row>
    <row r="115" spans="35:45" x14ac:dyDescent="0.25">
      <c r="AI115" t="s">
        <v>3</v>
      </c>
      <c r="AJ115" t="s">
        <v>585</v>
      </c>
      <c r="AK115" s="12">
        <v>46237.719999999972</v>
      </c>
      <c r="AM115" t="s">
        <v>900</v>
      </c>
      <c r="AN115" s="5">
        <v>0</v>
      </c>
      <c r="AO115" t="s">
        <v>897</v>
      </c>
      <c r="AP115" s="128" t="s">
        <v>245</v>
      </c>
      <c r="AQ115" t="s">
        <v>901</v>
      </c>
      <c r="AR115" t="s">
        <v>898</v>
      </c>
      <c r="AS115" t="s">
        <v>1014</v>
      </c>
    </row>
    <row r="116" spans="35:45" x14ac:dyDescent="0.25">
      <c r="AI116" t="s">
        <v>3</v>
      </c>
      <c r="AJ116" t="s">
        <v>585</v>
      </c>
      <c r="AK116" s="12">
        <v>46268.13999999997</v>
      </c>
      <c r="AM116" t="s">
        <v>900</v>
      </c>
      <c r="AN116" s="5">
        <v>0</v>
      </c>
      <c r="AO116" t="s">
        <v>897</v>
      </c>
      <c r="AP116" s="128" t="s">
        <v>245</v>
      </c>
      <c r="AQ116" t="s">
        <v>901</v>
      </c>
      <c r="AR116" t="s">
        <v>898</v>
      </c>
      <c r="AS116" t="s">
        <v>1015</v>
      </c>
    </row>
    <row r="117" spans="35:45" x14ac:dyDescent="0.25">
      <c r="AI117" t="s">
        <v>3</v>
      </c>
      <c r="AJ117" t="s">
        <v>585</v>
      </c>
      <c r="AK117" s="12">
        <v>46298.559999999969</v>
      </c>
      <c r="AM117" t="s">
        <v>900</v>
      </c>
      <c r="AN117" s="5">
        <v>0</v>
      </c>
      <c r="AO117" t="s">
        <v>897</v>
      </c>
      <c r="AP117" s="128" t="s">
        <v>245</v>
      </c>
      <c r="AQ117" t="s">
        <v>901</v>
      </c>
      <c r="AR117" t="s">
        <v>898</v>
      </c>
      <c r="AS117" t="s">
        <v>1016</v>
      </c>
    </row>
    <row r="118" spans="35:45" x14ac:dyDescent="0.25">
      <c r="AI118" t="s">
        <v>3</v>
      </c>
      <c r="AJ118" t="s">
        <v>634</v>
      </c>
      <c r="AK118" s="12">
        <v>45170</v>
      </c>
      <c r="AM118" t="s">
        <v>900</v>
      </c>
      <c r="AN118" s="5">
        <v>893</v>
      </c>
      <c r="AO118" t="s">
        <v>897</v>
      </c>
      <c r="AP118" s="128" t="s">
        <v>245</v>
      </c>
      <c r="AQ118" t="s">
        <v>901</v>
      </c>
      <c r="AR118" t="s">
        <v>898</v>
      </c>
      <c r="AS118" t="s">
        <v>1017</v>
      </c>
    </row>
    <row r="119" spans="35:45" x14ac:dyDescent="0.25">
      <c r="AI119" t="s">
        <v>3</v>
      </c>
      <c r="AJ119" t="s">
        <v>634</v>
      </c>
      <c r="AK119" s="12">
        <v>45536</v>
      </c>
      <c r="AM119" t="s">
        <v>900</v>
      </c>
      <c r="AN119" s="5">
        <v>2453</v>
      </c>
      <c r="AO119" t="s">
        <v>897</v>
      </c>
      <c r="AP119" s="128" t="s">
        <v>245</v>
      </c>
      <c r="AQ119" t="s">
        <v>901</v>
      </c>
      <c r="AR119" t="s">
        <v>898</v>
      </c>
      <c r="AS119" t="s">
        <v>1018</v>
      </c>
    </row>
    <row r="120" spans="35:45" x14ac:dyDescent="0.25">
      <c r="AI120" t="s">
        <v>3</v>
      </c>
      <c r="AJ120" t="s">
        <v>634</v>
      </c>
      <c r="AK120" s="12">
        <v>45901</v>
      </c>
      <c r="AM120" t="s">
        <v>900</v>
      </c>
      <c r="AN120" s="5">
        <v>2557.71</v>
      </c>
      <c r="AO120" t="s">
        <v>897</v>
      </c>
      <c r="AP120" s="128" t="s">
        <v>245</v>
      </c>
      <c r="AQ120" t="s">
        <v>901</v>
      </c>
      <c r="AR120" t="s">
        <v>898</v>
      </c>
      <c r="AS120" t="s">
        <v>1019</v>
      </c>
    </row>
    <row r="121" spans="35:45" x14ac:dyDescent="0.25">
      <c r="AI121" t="s">
        <v>3</v>
      </c>
      <c r="AJ121" t="s">
        <v>634</v>
      </c>
      <c r="AK121" s="12">
        <v>46266</v>
      </c>
      <c r="AM121" t="s">
        <v>900</v>
      </c>
      <c r="AN121" s="5">
        <v>0</v>
      </c>
      <c r="AO121" t="s">
        <v>897</v>
      </c>
      <c r="AP121" s="128" t="s">
        <v>245</v>
      </c>
      <c r="AQ121" t="s">
        <v>901</v>
      </c>
      <c r="AR121" t="s">
        <v>898</v>
      </c>
      <c r="AS121" t="s">
        <v>1020</v>
      </c>
    </row>
    <row r="122" spans="35:45" x14ac:dyDescent="0.25">
      <c r="AI122" t="s">
        <v>3</v>
      </c>
      <c r="AJ122" t="s">
        <v>634</v>
      </c>
      <c r="AK122" s="12">
        <v>46631</v>
      </c>
      <c r="AM122" t="s">
        <v>900</v>
      </c>
      <c r="AN122" s="5">
        <v>0</v>
      </c>
      <c r="AO122" t="s">
        <v>897</v>
      </c>
      <c r="AP122" s="128" t="s">
        <v>245</v>
      </c>
      <c r="AQ122" t="s">
        <v>901</v>
      </c>
      <c r="AR122" t="s">
        <v>898</v>
      </c>
      <c r="AS122" t="s">
        <v>1021</v>
      </c>
    </row>
    <row r="123" spans="35:45" x14ac:dyDescent="0.25">
      <c r="AI123" t="s">
        <v>3</v>
      </c>
      <c r="AJ123" t="s">
        <v>634</v>
      </c>
      <c r="AK123" s="12">
        <v>46996</v>
      </c>
      <c r="AM123" t="s">
        <v>900</v>
      </c>
      <c r="AN123" s="5">
        <v>0</v>
      </c>
      <c r="AO123" t="s">
        <v>897</v>
      </c>
      <c r="AP123" s="128" t="s">
        <v>245</v>
      </c>
      <c r="AQ123" t="s">
        <v>901</v>
      </c>
      <c r="AR123" t="s">
        <v>898</v>
      </c>
      <c r="AS123" t="s">
        <v>1022</v>
      </c>
    </row>
    <row r="124" spans="35:45" x14ac:dyDescent="0.25">
      <c r="AI124" t="s">
        <v>3</v>
      </c>
      <c r="AJ124" t="s">
        <v>634</v>
      </c>
      <c r="AK124" s="12">
        <v>47361</v>
      </c>
      <c r="AM124" t="s">
        <v>900</v>
      </c>
      <c r="AN124" s="5">
        <v>0</v>
      </c>
      <c r="AO124" t="s">
        <v>897</v>
      </c>
      <c r="AP124" s="128" t="s">
        <v>245</v>
      </c>
      <c r="AQ124" t="s">
        <v>901</v>
      </c>
      <c r="AR124" t="s">
        <v>898</v>
      </c>
      <c r="AS124" t="s">
        <v>1023</v>
      </c>
    </row>
    <row r="125" spans="35:45" x14ac:dyDescent="0.25">
      <c r="AI125" t="s">
        <v>3</v>
      </c>
      <c r="AJ125" t="s">
        <v>634</v>
      </c>
      <c r="AK125" s="12">
        <v>47726</v>
      </c>
      <c r="AM125" t="s">
        <v>900</v>
      </c>
      <c r="AN125" s="5">
        <v>0</v>
      </c>
      <c r="AO125" t="s">
        <v>897</v>
      </c>
      <c r="AP125" s="128" t="s">
        <v>245</v>
      </c>
      <c r="AQ125" t="s">
        <v>901</v>
      </c>
      <c r="AR125" t="s">
        <v>898</v>
      </c>
      <c r="AS125" t="s">
        <v>1024</v>
      </c>
    </row>
    <row r="126" spans="35:45" x14ac:dyDescent="0.25">
      <c r="AI126" t="s">
        <v>3</v>
      </c>
      <c r="AJ126" t="s">
        <v>634</v>
      </c>
      <c r="AK126" s="12">
        <v>48091</v>
      </c>
      <c r="AM126" t="s">
        <v>900</v>
      </c>
      <c r="AN126" s="5">
        <v>0</v>
      </c>
      <c r="AO126" t="s">
        <v>897</v>
      </c>
      <c r="AP126" s="128" t="s">
        <v>245</v>
      </c>
      <c r="AQ126" t="s">
        <v>901</v>
      </c>
      <c r="AR126" t="s">
        <v>898</v>
      </c>
      <c r="AS126" t="s">
        <v>1025</v>
      </c>
    </row>
    <row r="127" spans="35:45" x14ac:dyDescent="0.25">
      <c r="AI127" t="s">
        <v>3</v>
      </c>
      <c r="AJ127" t="s">
        <v>634</v>
      </c>
      <c r="AK127" s="12">
        <v>48456</v>
      </c>
      <c r="AM127" t="s">
        <v>900</v>
      </c>
      <c r="AN127" s="5">
        <v>0</v>
      </c>
      <c r="AO127" t="s">
        <v>897</v>
      </c>
      <c r="AP127" s="128" t="s">
        <v>245</v>
      </c>
      <c r="AQ127" t="s">
        <v>901</v>
      </c>
      <c r="AR127" t="s">
        <v>898</v>
      </c>
      <c r="AS127" t="s">
        <v>1026</v>
      </c>
    </row>
    <row r="128" spans="35:45" x14ac:dyDescent="0.25">
      <c r="AI128" t="s">
        <v>3</v>
      </c>
      <c r="AJ128" t="s">
        <v>634</v>
      </c>
      <c r="AK128" s="12">
        <v>48821</v>
      </c>
      <c r="AM128" t="s">
        <v>900</v>
      </c>
      <c r="AN128" s="5">
        <v>0</v>
      </c>
      <c r="AO128" t="s">
        <v>897</v>
      </c>
      <c r="AP128" s="128" t="s">
        <v>245</v>
      </c>
      <c r="AQ128" t="s">
        <v>901</v>
      </c>
      <c r="AR128" t="s">
        <v>898</v>
      </c>
      <c r="AS128" t="s">
        <v>1027</v>
      </c>
    </row>
    <row r="129" spans="35:45" x14ac:dyDescent="0.25">
      <c r="AI129" t="s">
        <v>3</v>
      </c>
      <c r="AJ129" t="s">
        <v>634</v>
      </c>
      <c r="AK129" s="12">
        <v>49186</v>
      </c>
      <c r="AM129" t="s">
        <v>900</v>
      </c>
      <c r="AN129" s="5">
        <v>0</v>
      </c>
      <c r="AO129" t="s">
        <v>897</v>
      </c>
      <c r="AP129" s="128" t="s">
        <v>245</v>
      </c>
      <c r="AQ129" t="s">
        <v>901</v>
      </c>
      <c r="AR129" t="s">
        <v>898</v>
      </c>
      <c r="AS129" t="s">
        <v>1028</v>
      </c>
    </row>
    <row r="130" spans="35:45" x14ac:dyDescent="0.25">
      <c r="AI130" t="s">
        <v>3</v>
      </c>
      <c r="AJ130" t="s">
        <v>634</v>
      </c>
      <c r="AK130" s="12">
        <v>49551</v>
      </c>
      <c r="AM130" t="s">
        <v>900</v>
      </c>
      <c r="AN130" s="5">
        <v>0</v>
      </c>
      <c r="AO130" t="s">
        <v>897</v>
      </c>
      <c r="AP130" s="128" t="s">
        <v>245</v>
      </c>
      <c r="AQ130" t="s">
        <v>901</v>
      </c>
      <c r="AR130" t="s">
        <v>898</v>
      </c>
      <c r="AS130" t="s">
        <v>1029</v>
      </c>
    </row>
    <row r="131" spans="35:45" x14ac:dyDescent="0.25">
      <c r="AI131" t="s">
        <v>3</v>
      </c>
      <c r="AJ131" t="s">
        <v>634</v>
      </c>
      <c r="AK131" s="12">
        <v>49916</v>
      </c>
      <c r="AM131" t="s">
        <v>900</v>
      </c>
      <c r="AN131" s="5">
        <v>0</v>
      </c>
      <c r="AO131" t="s">
        <v>897</v>
      </c>
      <c r="AP131" s="128" t="s">
        <v>245</v>
      </c>
      <c r="AQ131" t="s">
        <v>901</v>
      </c>
      <c r="AR131" t="s">
        <v>898</v>
      </c>
      <c r="AS131" t="s">
        <v>1030</v>
      </c>
    </row>
    <row r="132" spans="35:45" x14ac:dyDescent="0.25">
      <c r="AI132" t="s">
        <v>3</v>
      </c>
      <c r="AJ132" t="s">
        <v>634</v>
      </c>
      <c r="AK132" s="12">
        <v>50281</v>
      </c>
      <c r="AM132" t="s">
        <v>900</v>
      </c>
      <c r="AN132" s="5">
        <v>0</v>
      </c>
      <c r="AO132" t="s">
        <v>897</v>
      </c>
      <c r="AP132" s="128" t="s">
        <v>245</v>
      </c>
      <c r="AQ132" t="s">
        <v>901</v>
      </c>
      <c r="AR132" t="s">
        <v>898</v>
      </c>
      <c r="AS132" t="s">
        <v>1031</v>
      </c>
    </row>
    <row r="133" spans="35:45" x14ac:dyDescent="0.25">
      <c r="AI133" t="s">
        <v>3</v>
      </c>
      <c r="AJ133" t="s">
        <v>634</v>
      </c>
      <c r="AK133" s="12">
        <v>50646</v>
      </c>
      <c r="AM133" t="s">
        <v>900</v>
      </c>
      <c r="AN133" s="5">
        <v>0</v>
      </c>
      <c r="AO133" t="s">
        <v>897</v>
      </c>
      <c r="AP133" s="128" t="s">
        <v>245</v>
      </c>
      <c r="AQ133" t="s">
        <v>901</v>
      </c>
      <c r="AR133" t="s">
        <v>898</v>
      </c>
      <c r="AS133" t="s">
        <v>1032</v>
      </c>
    </row>
    <row r="134" spans="35:45" x14ac:dyDescent="0.25">
      <c r="AI134" t="s">
        <v>3</v>
      </c>
      <c r="AJ134" t="s">
        <v>634</v>
      </c>
      <c r="AK134" s="12">
        <v>51011</v>
      </c>
      <c r="AM134" t="s">
        <v>900</v>
      </c>
      <c r="AN134" s="5">
        <v>0</v>
      </c>
      <c r="AO134" t="s">
        <v>897</v>
      </c>
      <c r="AP134" s="128" t="s">
        <v>245</v>
      </c>
      <c r="AQ134" t="s">
        <v>901</v>
      </c>
      <c r="AR134" t="s">
        <v>898</v>
      </c>
      <c r="AS134" t="s">
        <v>1033</v>
      </c>
    </row>
    <row r="135" spans="35:45" x14ac:dyDescent="0.25">
      <c r="AI135" t="s">
        <v>3</v>
      </c>
      <c r="AJ135" t="s">
        <v>634</v>
      </c>
      <c r="AK135" s="12">
        <v>51376</v>
      </c>
      <c r="AM135" t="s">
        <v>900</v>
      </c>
      <c r="AN135" s="5">
        <v>0</v>
      </c>
      <c r="AO135" t="s">
        <v>897</v>
      </c>
      <c r="AP135" s="128" t="s">
        <v>245</v>
      </c>
      <c r="AQ135" t="s">
        <v>901</v>
      </c>
      <c r="AR135" t="s">
        <v>898</v>
      </c>
      <c r="AS135" t="s">
        <v>1034</v>
      </c>
    </row>
    <row r="136" spans="35:45" x14ac:dyDescent="0.25">
      <c r="AI136" t="s">
        <v>3</v>
      </c>
      <c r="AJ136" t="s">
        <v>634</v>
      </c>
      <c r="AK136" s="12">
        <v>51741</v>
      </c>
      <c r="AM136" t="s">
        <v>900</v>
      </c>
      <c r="AN136" s="5">
        <v>0</v>
      </c>
      <c r="AO136" t="s">
        <v>897</v>
      </c>
      <c r="AP136" s="128" t="s">
        <v>245</v>
      </c>
      <c r="AQ136" t="s">
        <v>901</v>
      </c>
      <c r="AR136" t="s">
        <v>898</v>
      </c>
      <c r="AS136" t="s">
        <v>1035</v>
      </c>
    </row>
  </sheetData>
  <mergeCells count="24">
    <mergeCell ref="AC25:AD25"/>
    <mergeCell ref="AF25:AG25"/>
    <mergeCell ref="AA2:AA3"/>
    <mergeCell ref="B25:C25"/>
    <mergeCell ref="E25:F25"/>
    <mergeCell ref="H25:I25"/>
    <mergeCell ref="K25:L25"/>
    <mergeCell ref="N25:O25"/>
    <mergeCell ref="Q25:R25"/>
    <mergeCell ref="T25:U25"/>
    <mergeCell ref="W25:X25"/>
    <mergeCell ref="Z25:AA25"/>
    <mergeCell ref="V1:X1"/>
    <mergeCell ref="Y1:AA1"/>
    <mergeCell ref="AB1:AD1"/>
    <mergeCell ref="AE1:AG1"/>
    <mergeCell ref="AI1:AS1"/>
    <mergeCell ref="S1:U1"/>
    <mergeCell ref="P1:R1"/>
    <mergeCell ref="A1:C1"/>
    <mergeCell ref="D1:F1"/>
    <mergeCell ref="J1:L1"/>
    <mergeCell ref="M1:O1"/>
    <mergeCell ref="G1:I1"/>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35" t="e">
        <f>"Preassigned Rows Indicating Payment or Scheduling by " &amp;Profit!#REF!&amp;" Your Home"</f>
        <v>#REF!</v>
      </c>
      <c r="C2" s="836"/>
      <c r="E2" s="54"/>
    </row>
    <row r="3" spans="1:13" ht="15.75" hidden="1" thickBot="1" x14ac:dyDescent="0.3">
      <c r="B3" s="837"/>
      <c r="C3" s="838"/>
      <c r="E3" s="54"/>
    </row>
    <row r="4" spans="1:13" hidden="1" x14ac:dyDescent="0.25">
      <c r="B4" s="843" t="s">
        <v>173</v>
      </c>
      <c r="C4" s="844"/>
      <c r="E4" s="54"/>
    </row>
    <row r="5" spans="1:13" ht="15.75" hidden="1" thickBot="1" x14ac:dyDescent="0.3">
      <c r="B5" s="845"/>
      <c r="C5" s="846"/>
      <c r="E5" s="54"/>
    </row>
    <row r="6" spans="1:13" hidden="1" x14ac:dyDescent="0.25">
      <c r="B6" s="839" t="s">
        <v>174</v>
      </c>
      <c r="C6" s="840"/>
      <c r="E6" s="54"/>
    </row>
    <row r="7" spans="1:13" ht="15.75" hidden="1" thickBot="1" x14ac:dyDescent="0.3">
      <c r="B7" s="841"/>
      <c r="C7" s="842"/>
    </row>
    <row r="8" spans="1:13" hidden="1" x14ac:dyDescent="0.25">
      <c r="B8" s="847" t="s">
        <v>175</v>
      </c>
      <c r="C8" s="848"/>
    </row>
    <row r="9" spans="1:13" ht="15.75" hidden="1" thickBot="1" x14ac:dyDescent="0.3">
      <c r="B9" s="849"/>
      <c r="C9" s="850"/>
    </row>
    <row r="10" spans="1:13" hidden="1" x14ac:dyDescent="0.25"/>
    <row r="11" spans="1:13" s="48" customFormat="1" ht="15.75" thickBot="1" x14ac:dyDescent="0.3">
      <c r="A11" s="47" t="s">
        <v>176</v>
      </c>
      <c r="B11" s="47" t="s">
        <v>177</v>
      </c>
      <c r="C11" s="47" t="s">
        <v>178</v>
      </c>
      <c r="D11" s="64" t="s">
        <v>179</v>
      </c>
      <c r="E11" s="65" t="s">
        <v>180</v>
      </c>
      <c r="G11" s="54"/>
      <c r="H11" s="54"/>
      <c r="I11" s="54"/>
      <c r="J11" s="54"/>
      <c r="K11" s="54"/>
      <c r="L11" s="54"/>
      <c r="M11" s="54"/>
    </row>
    <row r="12" spans="1:13" s="48" customFormat="1" ht="15.75" thickTop="1" x14ac:dyDescent="0.25">
      <c r="A12" s="50" t="s">
        <v>181</v>
      </c>
      <c r="B12" s="50" t="s">
        <v>181</v>
      </c>
      <c r="C12" s="50" t="s">
        <v>182</v>
      </c>
      <c r="D12" s="62">
        <v>0</v>
      </c>
      <c r="E12" s="63"/>
      <c r="G12" s="54"/>
      <c r="H12" s="54"/>
      <c r="I12" s="54"/>
      <c r="J12" s="54"/>
      <c r="K12" s="54"/>
      <c r="L12" s="54"/>
      <c r="M12" s="54"/>
    </row>
    <row r="13" spans="1:13" s="48" customFormat="1" x14ac:dyDescent="0.25">
      <c r="A13" s="50" t="s">
        <v>183</v>
      </c>
      <c r="B13" s="50" t="s">
        <v>184</v>
      </c>
      <c r="C13" s="50" t="s">
        <v>185</v>
      </c>
      <c r="D13" s="62">
        <v>0</v>
      </c>
      <c r="E13" s="63"/>
      <c r="G13" s="54"/>
      <c r="H13" s="54"/>
      <c r="I13" s="54"/>
      <c r="J13" s="54"/>
      <c r="K13" s="54"/>
      <c r="L13" s="54"/>
      <c r="M13" s="54"/>
    </row>
    <row r="14" spans="1:13" s="48" customFormat="1" x14ac:dyDescent="0.25">
      <c r="A14" s="50" t="s">
        <v>183</v>
      </c>
      <c r="B14" s="50" t="s">
        <v>186</v>
      </c>
      <c r="C14" s="50" t="s">
        <v>186</v>
      </c>
      <c r="D14" s="62">
        <v>0</v>
      </c>
      <c r="E14" s="63"/>
      <c r="G14" s="54"/>
      <c r="H14" s="54"/>
      <c r="I14" s="54"/>
      <c r="J14" s="54"/>
      <c r="K14" s="54"/>
      <c r="L14" s="54"/>
      <c r="M14" s="54"/>
    </row>
    <row r="15" spans="1:13" s="48" customFormat="1" x14ac:dyDescent="0.25">
      <c r="A15" s="50"/>
      <c r="B15" s="50" t="s">
        <v>187</v>
      </c>
      <c r="C15" s="50" t="s">
        <v>188</v>
      </c>
      <c r="D15" s="62">
        <v>6</v>
      </c>
      <c r="E15" s="63"/>
      <c r="G15" s="54"/>
      <c r="H15" s="54"/>
      <c r="I15" s="54"/>
      <c r="J15" s="54"/>
      <c r="K15" s="54"/>
      <c r="L15" s="54"/>
      <c r="M15" s="54"/>
    </row>
    <row r="16" spans="1:13" s="48" customFormat="1" x14ac:dyDescent="0.25">
      <c r="A16" s="51" t="s">
        <v>189</v>
      </c>
      <c r="B16" s="51" t="s">
        <v>190</v>
      </c>
      <c r="C16" s="51" t="s">
        <v>494</v>
      </c>
      <c r="D16" s="52">
        <v>0</v>
      </c>
      <c r="E16" s="53">
        <v>0</v>
      </c>
      <c r="G16" s="54"/>
      <c r="H16" s="54"/>
      <c r="I16" s="54"/>
      <c r="J16" s="54"/>
      <c r="K16" s="54"/>
      <c r="L16" s="54"/>
      <c r="M16" s="54"/>
    </row>
    <row r="17" spans="1:13" s="48" customFormat="1" x14ac:dyDescent="0.25">
      <c r="A17" s="51" t="s">
        <v>191</v>
      </c>
      <c r="B17" s="51" t="s">
        <v>190</v>
      </c>
      <c r="C17" s="51" t="s">
        <v>489</v>
      </c>
      <c r="D17" s="52">
        <v>0</v>
      </c>
      <c r="E17" s="53">
        <v>0</v>
      </c>
      <c r="G17" s="54"/>
      <c r="H17" s="54"/>
      <c r="I17" s="54"/>
      <c r="J17" s="54"/>
      <c r="K17" s="54"/>
      <c r="L17" s="54"/>
      <c r="M17" s="54"/>
    </row>
    <row r="18" spans="1:13" s="48" customFormat="1" x14ac:dyDescent="0.25">
      <c r="A18" s="51" t="s">
        <v>192</v>
      </c>
      <c r="B18" s="51" t="s">
        <v>190</v>
      </c>
      <c r="C18" s="51" t="s">
        <v>490</v>
      </c>
      <c r="D18" s="52">
        <v>0</v>
      </c>
      <c r="E18" s="53">
        <v>0</v>
      </c>
      <c r="G18" s="54"/>
      <c r="H18" s="54"/>
      <c r="I18" s="54"/>
      <c r="J18" s="54"/>
      <c r="K18" s="54"/>
      <c r="L18" s="54"/>
      <c r="M18" s="54"/>
    </row>
    <row r="19" spans="1:13" s="48" customFormat="1" x14ac:dyDescent="0.25">
      <c r="A19" s="51" t="s">
        <v>194</v>
      </c>
      <c r="B19" s="51" t="s">
        <v>190</v>
      </c>
      <c r="C19" s="51" t="s">
        <v>491</v>
      </c>
      <c r="D19" s="52">
        <v>0</v>
      </c>
      <c r="E19" s="53">
        <v>0</v>
      </c>
      <c r="G19" s="54"/>
      <c r="H19" s="54"/>
      <c r="I19" s="54"/>
      <c r="J19" s="54"/>
      <c r="K19" s="54"/>
      <c r="L19" s="54"/>
      <c r="M19" s="54"/>
    </row>
    <row r="20" spans="1:13" s="48" customFormat="1" x14ac:dyDescent="0.25">
      <c r="A20" s="51" t="s">
        <v>195</v>
      </c>
      <c r="B20" s="51" t="s">
        <v>190</v>
      </c>
      <c r="C20" s="51" t="s">
        <v>492</v>
      </c>
      <c r="D20" s="52">
        <v>0</v>
      </c>
      <c r="E20" s="53">
        <v>0</v>
      </c>
      <c r="G20" s="49"/>
    </row>
    <row r="21" spans="1:13" x14ac:dyDescent="0.25">
      <c r="A21" s="230"/>
      <c r="B21" s="230"/>
      <c r="C21" s="475" t="s">
        <v>753</v>
      </c>
      <c r="D21" s="477">
        <v>1</v>
      </c>
      <c r="E21" s="251">
        <v>155</v>
      </c>
    </row>
    <row r="22" spans="1:13" x14ac:dyDescent="0.25">
      <c r="A22" s="234"/>
      <c r="B22" s="234"/>
      <c r="C22" s="234" t="s">
        <v>752</v>
      </c>
      <c r="D22" s="477">
        <v>1</v>
      </c>
      <c r="E22" s="236">
        <v>45</v>
      </c>
    </row>
    <row r="23" spans="1:13" x14ac:dyDescent="0.25">
      <c r="A23" s="234"/>
      <c r="B23" s="230"/>
      <c r="C23" s="230" t="s">
        <v>766</v>
      </c>
      <c r="D23" s="250">
        <v>1</v>
      </c>
      <c r="E23" s="251">
        <v>25</v>
      </c>
    </row>
    <row r="24" spans="1:13" x14ac:dyDescent="0.25">
      <c r="A24" s="230"/>
      <c r="B24" s="230"/>
      <c r="C24" s="230" t="s">
        <v>754</v>
      </c>
      <c r="D24" s="477">
        <v>1</v>
      </c>
      <c r="E24" s="251">
        <v>85</v>
      </c>
    </row>
    <row r="25" spans="1:13" x14ac:dyDescent="0.25">
      <c r="A25" s="230"/>
      <c r="B25" s="230"/>
      <c r="C25" s="230" t="s">
        <v>755</v>
      </c>
      <c r="D25" s="477">
        <v>1</v>
      </c>
      <c r="E25" s="251">
        <v>25</v>
      </c>
    </row>
    <row r="26" spans="1:13" x14ac:dyDescent="0.25">
      <c r="A26" s="230"/>
      <c r="B26" s="230"/>
      <c r="C26" s="230" t="s">
        <v>756</v>
      </c>
      <c r="D26" s="250">
        <v>2</v>
      </c>
      <c r="E26" s="251">
        <v>35</v>
      </c>
    </row>
    <row r="27" spans="1:13" x14ac:dyDescent="0.25">
      <c r="A27" s="230"/>
      <c r="B27" s="230"/>
      <c r="C27" s="230" t="s">
        <v>757</v>
      </c>
      <c r="D27" s="477">
        <v>1</v>
      </c>
      <c r="E27" s="251">
        <v>350</v>
      </c>
    </row>
    <row r="28" spans="1:13" x14ac:dyDescent="0.25">
      <c r="A28" s="230"/>
      <c r="B28" s="230"/>
      <c r="C28" s="230" t="s">
        <v>758</v>
      </c>
      <c r="D28" s="477">
        <v>1</v>
      </c>
      <c r="E28" s="251">
        <v>1200</v>
      </c>
    </row>
    <row r="29" spans="1:13" x14ac:dyDescent="0.25">
      <c r="A29" s="230"/>
      <c r="B29" s="230"/>
      <c r="C29" s="230" t="s">
        <v>759</v>
      </c>
      <c r="D29" s="477">
        <v>1</v>
      </c>
      <c r="E29" s="251">
        <v>110</v>
      </c>
    </row>
    <row r="30" spans="1:13" x14ac:dyDescent="0.25">
      <c r="A30" s="230"/>
      <c r="B30" s="230"/>
      <c r="C30" s="230" t="s">
        <v>760</v>
      </c>
      <c r="D30" s="477">
        <v>1</v>
      </c>
      <c r="E30" s="251">
        <v>215</v>
      </c>
    </row>
    <row r="31" spans="1:13" x14ac:dyDescent="0.25">
      <c r="A31" s="230"/>
      <c r="B31" s="230"/>
      <c r="C31" s="230" t="s">
        <v>761</v>
      </c>
      <c r="D31" s="477">
        <v>1</v>
      </c>
      <c r="E31" s="251">
        <v>1300.0999999999999</v>
      </c>
    </row>
    <row r="32" spans="1:13" x14ac:dyDescent="0.25">
      <c r="A32" s="230"/>
      <c r="B32" s="230"/>
      <c r="C32" s="230" t="s">
        <v>762</v>
      </c>
      <c r="D32" s="477">
        <v>1</v>
      </c>
      <c r="E32" s="251">
        <v>95</v>
      </c>
    </row>
    <row r="33" spans="1:7" x14ac:dyDescent="0.25">
      <c r="A33" s="230"/>
      <c r="B33" s="230"/>
      <c r="C33" s="230" t="s">
        <v>763</v>
      </c>
      <c r="D33" s="477">
        <v>1</v>
      </c>
      <c r="E33" s="251">
        <v>65</v>
      </c>
    </row>
    <row r="34" spans="1:7" x14ac:dyDescent="0.25">
      <c r="A34" s="230"/>
      <c r="B34" s="230"/>
      <c r="C34" s="234" t="s">
        <v>764</v>
      </c>
      <c r="D34" s="477">
        <v>1</v>
      </c>
      <c r="E34" s="251">
        <v>95</v>
      </c>
    </row>
    <row r="35" spans="1:7" x14ac:dyDescent="0.25">
      <c r="A35" s="476"/>
      <c r="B35" s="476"/>
      <c r="C35" s="476" t="s">
        <v>765</v>
      </c>
      <c r="D35" s="477">
        <v>0</v>
      </c>
      <c r="E35" s="479">
        <v>95</v>
      </c>
    </row>
    <row r="36" spans="1:7" x14ac:dyDescent="0.25">
      <c r="A36" s="476"/>
      <c r="B36" s="476"/>
      <c r="C36" s="476" t="s">
        <v>756</v>
      </c>
      <c r="D36" s="477">
        <v>1</v>
      </c>
      <c r="E36" s="479">
        <v>35</v>
      </c>
    </row>
    <row r="37" spans="1:7" x14ac:dyDescent="0.25">
      <c r="A37" s="476"/>
      <c r="B37" s="476"/>
      <c r="C37" s="476" t="s">
        <v>767</v>
      </c>
      <c r="D37" s="477">
        <v>1</v>
      </c>
      <c r="E37" s="479">
        <v>0</v>
      </c>
    </row>
    <row r="38" spans="1:7" x14ac:dyDescent="0.25">
      <c r="A38" s="476"/>
      <c r="B38" s="476"/>
      <c r="C38" s="476" t="s">
        <v>769</v>
      </c>
      <c r="D38" s="477">
        <v>1</v>
      </c>
      <c r="E38" s="479">
        <v>45</v>
      </c>
    </row>
    <row r="39" spans="1:7" x14ac:dyDescent="0.25">
      <c r="A39" s="476"/>
      <c r="B39" s="476"/>
      <c r="C39" s="476" t="s">
        <v>770</v>
      </c>
      <c r="D39" s="477">
        <v>1</v>
      </c>
      <c r="E39" s="479">
        <v>95</v>
      </c>
    </row>
    <row r="40" spans="1:7" x14ac:dyDescent="0.25">
      <c r="A40" s="476"/>
      <c r="B40" s="476"/>
      <c r="C40" s="476" t="s">
        <v>771</v>
      </c>
      <c r="D40" s="477">
        <v>1</v>
      </c>
      <c r="E40" s="479">
        <v>95</v>
      </c>
    </row>
    <row r="41" spans="1:7" x14ac:dyDescent="0.25">
      <c r="A41" s="476"/>
      <c r="B41" s="476"/>
      <c r="C41" s="476" t="s">
        <v>775</v>
      </c>
      <c r="D41" s="477">
        <v>8</v>
      </c>
      <c r="E41" s="479">
        <v>25</v>
      </c>
    </row>
    <row r="42" spans="1:7" x14ac:dyDescent="0.25">
      <c r="A42" s="476"/>
      <c r="B42" s="476"/>
      <c r="C42" s="476" t="s">
        <v>772</v>
      </c>
      <c r="D42" s="477">
        <v>8</v>
      </c>
      <c r="E42" s="479">
        <v>10</v>
      </c>
    </row>
    <row r="43" spans="1:7" x14ac:dyDescent="0.25">
      <c r="A43" s="476"/>
      <c r="B43" s="476"/>
      <c r="C43" s="476" t="s">
        <v>773</v>
      </c>
      <c r="D43" s="477">
        <v>3</v>
      </c>
      <c r="E43" s="479">
        <v>10</v>
      </c>
    </row>
    <row r="44" spans="1:7" x14ac:dyDescent="0.25">
      <c r="A44" s="476"/>
      <c r="B44" s="476"/>
      <c r="C44" s="476" t="s">
        <v>774</v>
      </c>
      <c r="D44" s="477">
        <v>2</v>
      </c>
      <c r="E44" s="479">
        <v>35</v>
      </c>
    </row>
    <row r="45" spans="1:7" x14ac:dyDescent="0.25">
      <c r="A45" s="476"/>
      <c r="B45" s="476"/>
      <c r="C45" s="476" t="s">
        <v>768</v>
      </c>
      <c r="D45" s="477">
        <v>1</v>
      </c>
      <c r="E45" s="479">
        <v>95</v>
      </c>
    </row>
    <row r="46" spans="1:7" x14ac:dyDescent="0.25">
      <c r="A46" s="476"/>
      <c r="B46" s="476"/>
      <c r="C46" s="476" t="s">
        <v>776</v>
      </c>
      <c r="D46" s="477">
        <v>1</v>
      </c>
      <c r="E46" s="479">
        <v>50</v>
      </c>
    </row>
    <row r="47" spans="1:7" s="48" customFormat="1" x14ac:dyDescent="0.25">
      <c r="A47" s="476"/>
      <c r="B47" s="476"/>
      <c r="C47" s="476" t="s">
        <v>832</v>
      </c>
      <c r="D47" s="478">
        <v>1</v>
      </c>
      <c r="E47" s="480">
        <v>48</v>
      </c>
      <c r="G47" s="49"/>
    </row>
    <row r="48" spans="1:7" x14ac:dyDescent="0.25">
      <c r="A48" s="476"/>
      <c r="B48" s="476"/>
      <c r="C48" s="476" t="s">
        <v>833</v>
      </c>
      <c r="D48" s="477">
        <v>1</v>
      </c>
      <c r="E48" s="479">
        <v>80</v>
      </c>
    </row>
    <row r="49" spans="1:5" x14ac:dyDescent="0.25">
      <c r="A49" s="476"/>
      <c r="B49" s="476"/>
      <c r="C49" s="230" t="s">
        <v>854</v>
      </c>
      <c r="D49" s="477">
        <v>1</v>
      </c>
      <c r="E49" s="479">
        <v>139.47</v>
      </c>
    </row>
    <row r="50" spans="1:5" x14ac:dyDescent="0.25">
      <c r="A50" s="476"/>
      <c r="B50" s="476"/>
      <c r="C50" s="476"/>
      <c r="D50" s="477"/>
      <c r="E50" s="479"/>
    </row>
    <row r="51" spans="1:5" x14ac:dyDescent="0.25">
      <c r="A51" s="476"/>
      <c r="B51" s="476"/>
      <c r="C51" s="475"/>
      <c r="D51" s="477"/>
      <c r="E51" s="479"/>
    </row>
    <row r="52" spans="1:5" x14ac:dyDescent="0.25">
      <c r="A52" s="476"/>
      <c r="B52" s="476"/>
      <c r="C52" s="476"/>
      <c r="D52" s="477"/>
      <c r="E52" s="479"/>
    </row>
    <row r="53" spans="1:5" x14ac:dyDescent="0.25">
      <c r="A53" s="476"/>
      <c r="B53" s="476"/>
      <c r="C53" s="476"/>
      <c r="D53" s="477"/>
      <c r="E53" s="479"/>
    </row>
    <row r="54" spans="1:5" x14ac:dyDescent="0.25">
      <c r="A54" s="476"/>
      <c r="B54" s="476"/>
      <c r="C54" s="476"/>
      <c r="D54" s="477"/>
      <c r="E54" s="479"/>
    </row>
    <row r="55" spans="1:5" x14ac:dyDescent="0.25">
      <c r="A55" s="476"/>
      <c r="B55" s="476"/>
      <c r="C55" s="476"/>
      <c r="D55" s="477"/>
      <c r="E55" s="479"/>
    </row>
    <row r="56" spans="1:5" x14ac:dyDescent="0.25">
      <c r="A56" s="306"/>
      <c r="B56" s="306"/>
      <c r="C56" s="306"/>
      <c r="D56" s="307"/>
      <c r="E56" s="308"/>
    </row>
    <row r="57" spans="1:5" x14ac:dyDescent="0.25">
      <c r="A57" s="306"/>
      <c r="B57" s="306"/>
      <c r="C57" s="306"/>
      <c r="D57" s="307"/>
      <c r="E57" s="308"/>
    </row>
    <row r="58" spans="1:5" x14ac:dyDescent="0.25">
      <c r="A58" s="230"/>
      <c r="B58" s="230"/>
      <c r="C58" s="230"/>
      <c r="D58" s="250"/>
      <c r="E58" s="251"/>
    </row>
    <row r="59" spans="1:5" x14ac:dyDescent="0.25">
      <c r="A59" s="230"/>
      <c r="B59" s="230"/>
      <c r="C59" s="230"/>
      <c r="D59" s="250"/>
      <c r="E59" s="251"/>
    </row>
    <row r="60" spans="1:5" x14ac:dyDescent="0.25">
      <c r="A60" s="270"/>
      <c r="B60" s="270"/>
      <c r="C60" s="270"/>
      <c r="D60" s="271"/>
      <c r="E60" s="272"/>
    </row>
    <row r="61" spans="1:5" x14ac:dyDescent="0.25">
      <c r="A61" s="270"/>
      <c r="B61" s="270"/>
      <c r="C61" s="270"/>
      <c r="D61" s="271"/>
      <c r="E61" s="272"/>
    </row>
    <row r="62" spans="1:5" x14ac:dyDescent="0.25">
      <c r="A62" s="270"/>
      <c r="B62" s="270"/>
      <c r="C62" s="270"/>
      <c r="D62" s="271"/>
      <c r="E62" s="272"/>
    </row>
    <row r="63" spans="1:5" x14ac:dyDescent="0.25">
      <c r="A63" s="270"/>
      <c r="B63" s="270"/>
      <c r="C63" s="270"/>
      <c r="D63" s="271"/>
      <c r="E63" s="272"/>
    </row>
    <row r="64" spans="1:5" x14ac:dyDescent="0.25">
      <c r="A64" s="276"/>
      <c r="B64" s="276"/>
      <c r="C64" s="276"/>
      <c r="D64" s="271"/>
      <c r="E64" s="272"/>
    </row>
    <row r="65" spans="1:5" x14ac:dyDescent="0.25">
      <c r="A65" s="276"/>
      <c r="B65" s="276"/>
      <c r="C65" s="276"/>
      <c r="D65" s="277"/>
      <c r="E65" s="278"/>
    </row>
    <row r="66" spans="1:5" x14ac:dyDescent="0.25">
      <c r="A66" s="276"/>
      <c r="B66" s="276"/>
      <c r="C66" s="276"/>
      <c r="D66" s="271"/>
      <c r="E66" s="272"/>
    </row>
    <row r="67" spans="1:5" x14ac:dyDescent="0.25">
      <c r="A67" s="276"/>
      <c r="B67" s="276"/>
      <c r="C67" s="276"/>
      <c r="D67" s="277"/>
      <c r="E67" s="278"/>
    </row>
    <row r="68" spans="1:5" x14ac:dyDescent="0.25">
      <c r="A68" s="276"/>
      <c r="B68" s="276"/>
      <c r="C68" s="276"/>
      <c r="D68" s="271"/>
      <c r="E68" s="272"/>
    </row>
    <row r="69" spans="1:5" x14ac:dyDescent="0.25">
      <c r="A69" s="276"/>
      <c r="B69" s="276"/>
      <c r="C69" s="276"/>
      <c r="D69" s="277"/>
      <c r="E69" s="278"/>
    </row>
    <row r="70" spans="1:5" x14ac:dyDescent="0.25">
      <c r="A70" s="276"/>
      <c r="B70" s="276"/>
      <c r="C70" s="276"/>
      <c r="D70" s="271"/>
      <c r="E70" s="272"/>
    </row>
    <row r="71" spans="1:5" x14ac:dyDescent="0.25">
      <c r="A71" s="276"/>
      <c r="B71" s="276"/>
      <c r="C71" s="276"/>
      <c r="D71" s="277"/>
      <c r="E71" s="278"/>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33"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60" t="s">
        <v>197</v>
      </c>
      <c r="B1" s="861"/>
      <c r="C1" s="861"/>
      <c r="D1" s="861"/>
      <c r="E1" s="861"/>
      <c r="F1" s="861"/>
      <c r="G1" s="861"/>
      <c r="H1" s="862"/>
      <c r="I1" s="851" t="s">
        <v>198</v>
      </c>
      <c r="J1" s="852"/>
      <c r="K1" s="852"/>
      <c r="L1" s="852"/>
      <c r="M1" s="852"/>
      <c r="N1" s="853"/>
      <c r="P1" s="30" t="s">
        <v>199</v>
      </c>
      <c r="Q1" s="15">
        <v>1</v>
      </c>
      <c r="R1" s="59" t="s">
        <v>200</v>
      </c>
      <c r="S1" s="15">
        <v>4</v>
      </c>
    </row>
    <row r="2" spans="1:19" x14ac:dyDescent="0.25">
      <c r="A2" s="863"/>
      <c r="B2" s="622"/>
      <c r="C2" s="622"/>
      <c r="D2" s="622"/>
      <c r="E2" s="622"/>
      <c r="F2" s="622"/>
      <c r="G2" s="622"/>
      <c r="H2" s="864"/>
      <c r="I2" s="854"/>
      <c r="J2" s="855"/>
      <c r="K2" s="855"/>
      <c r="L2" s="855"/>
      <c r="M2" s="855"/>
      <c r="N2" s="856"/>
      <c r="P2" s="30" t="s">
        <v>201</v>
      </c>
      <c r="Q2" s="15">
        <v>2</v>
      </c>
      <c r="R2" s="30" t="s">
        <v>202</v>
      </c>
      <c r="S2" s="15">
        <v>0</v>
      </c>
    </row>
    <row r="3" spans="1:19" ht="15.75" thickBot="1" x14ac:dyDescent="0.3">
      <c r="A3" s="865"/>
      <c r="B3" s="866"/>
      <c r="C3" s="866"/>
      <c r="D3" s="866"/>
      <c r="E3" s="866"/>
      <c r="F3" s="866"/>
      <c r="G3" s="866"/>
      <c r="H3" s="867"/>
      <c r="I3" s="857"/>
      <c r="J3" s="858"/>
      <c r="K3" s="858"/>
      <c r="L3" s="858"/>
      <c r="M3" s="858"/>
      <c r="N3" s="859"/>
      <c r="P3" s="30" t="s">
        <v>493</v>
      </c>
      <c r="Q3" s="15">
        <v>3</v>
      </c>
      <c r="R3" s="15" t="s">
        <v>203</v>
      </c>
      <c r="S3" s="15">
        <v>5</v>
      </c>
    </row>
    <row r="4" spans="1:19" s="61" customFormat="1" ht="30.75" thickTop="1" x14ac:dyDescent="0.25">
      <c r="A4" s="108" t="s">
        <v>204</v>
      </c>
      <c r="B4" s="109" t="s">
        <v>205</v>
      </c>
      <c r="C4" s="108" t="s">
        <v>206</v>
      </c>
      <c r="D4" s="108" t="s">
        <v>207</v>
      </c>
      <c r="E4" s="108" t="s">
        <v>208</v>
      </c>
      <c r="F4" s="108" t="s">
        <v>179</v>
      </c>
      <c r="G4" s="110" t="s">
        <v>180</v>
      </c>
      <c r="H4" s="110" t="s">
        <v>209</v>
      </c>
      <c r="I4" s="231" t="s">
        <v>210</v>
      </c>
      <c r="J4" s="67" t="s">
        <v>211</v>
      </c>
      <c r="K4" s="245" t="s">
        <v>212</v>
      </c>
      <c r="L4" s="67" t="s">
        <v>213</v>
      </c>
      <c r="M4" s="67" t="s">
        <v>214</v>
      </c>
      <c r="N4" s="67" t="s">
        <v>134</v>
      </c>
    </row>
    <row r="5" spans="1:19" x14ac:dyDescent="0.25">
      <c r="A5" s="72" t="str">
        <f>+IF(FromProposal[[#This Row],[Cost Code]]&lt;&gt;0,+'Gnatt Chart'!$A$2,"")</f>
        <v xml:space="preserve">Tim Flemming </v>
      </c>
      <c r="B5" s="70">
        <v>1</v>
      </c>
      <c r="C5" s="72" t="s">
        <v>181</v>
      </c>
      <c r="D5" s="72" t="s">
        <v>181</v>
      </c>
      <c r="E5" s="72" t="s">
        <v>182</v>
      </c>
      <c r="F5" s="72">
        <v>0</v>
      </c>
      <c r="G5" s="284"/>
      <c r="H5" s="284"/>
      <c r="I5" s="232"/>
      <c r="J5" s="68">
        <v>4</v>
      </c>
      <c r="K5" s="249">
        <v>45363</v>
      </c>
      <c r="L5" s="68"/>
      <c r="M5" s="248"/>
      <c r="N5" s="69"/>
    </row>
    <row r="6" spans="1:19" x14ac:dyDescent="0.25">
      <c r="A6" s="72" t="str">
        <f>+IF(FromProposal[[#This Row],[Cost Code]]&lt;&gt;0,+'Gnatt Chart'!$A$2,"")</f>
        <v xml:space="preserve">Tim Flemming </v>
      </c>
      <c r="B6" s="70">
        <v>2</v>
      </c>
      <c r="C6" s="72" t="s">
        <v>183</v>
      </c>
      <c r="D6" s="72" t="s">
        <v>184</v>
      </c>
      <c r="E6" s="72" t="s">
        <v>185</v>
      </c>
      <c r="F6" s="72">
        <v>0</v>
      </c>
      <c r="G6" s="284"/>
      <c r="H6" s="284"/>
      <c r="I6" s="232"/>
      <c r="J6" s="68">
        <v>4</v>
      </c>
      <c r="K6" s="249">
        <v>45823</v>
      </c>
      <c r="L6" s="68"/>
      <c r="M6" s="248">
        <v>4897.57</v>
      </c>
      <c r="N6" s="69"/>
    </row>
    <row r="7" spans="1:19" x14ac:dyDescent="0.25">
      <c r="A7" s="72" t="str">
        <f>+IF(FromProposal[[#This Row],[Cost Code]]&lt;&gt;0,+'Gnatt Chart'!$A$2,"")</f>
        <v xml:space="preserve">Tim Flemming </v>
      </c>
      <c r="B7" s="70">
        <v>3</v>
      </c>
      <c r="C7" s="72" t="s">
        <v>183</v>
      </c>
      <c r="D7" s="72" t="s">
        <v>186</v>
      </c>
      <c r="E7" s="72" t="s">
        <v>186</v>
      </c>
      <c r="F7" s="72">
        <v>0</v>
      </c>
      <c r="G7" s="284"/>
      <c r="H7" s="284"/>
      <c r="I7" s="232"/>
      <c r="J7" s="68">
        <v>4</v>
      </c>
      <c r="K7" s="249"/>
      <c r="L7" s="68"/>
      <c r="M7" s="248"/>
      <c r="N7" s="69"/>
    </row>
    <row r="8" spans="1:19" x14ac:dyDescent="0.25">
      <c r="A8" s="72" t="str">
        <f>+IF(FromProposal[[#This Row],[Cost Code]]&lt;&gt;0,+'Gnatt Chart'!$A$2,"")</f>
        <v/>
      </c>
      <c r="B8" s="70">
        <v>4</v>
      </c>
      <c r="D8" s="72" t="s">
        <v>187</v>
      </c>
      <c r="E8" s="72" t="s">
        <v>188</v>
      </c>
      <c r="F8" s="72">
        <v>6</v>
      </c>
      <c r="G8" s="284"/>
      <c r="H8" s="284"/>
      <c r="I8" s="232"/>
      <c r="J8" s="68">
        <v>5</v>
      </c>
      <c r="K8" s="249"/>
      <c r="L8" s="68"/>
      <c r="M8" s="248"/>
      <c r="N8" s="69"/>
    </row>
    <row r="9" spans="1:19" x14ac:dyDescent="0.25">
      <c r="A9" s="72" t="str">
        <f>+IF(FromProposal[[#This Row],[Cost Code]]&lt;&gt;0,+'Gnatt Chart'!$A$2,"")</f>
        <v xml:space="preserve">Tim Flemming </v>
      </c>
      <c r="B9" s="70">
        <v>5</v>
      </c>
      <c r="C9" s="72" t="s">
        <v>189</v>
      </c>
      <c r="D9" s="72" t="s">
        <v>190</v>
      </c>
      <c r="E9" s="72" t="s">
        <v>494</v>
      </c>
      <c r="F9" s="72">
        <v>0</v>
      </c>
      <c r="G9" s="284">
        <v>0</v>
      </c>
      <c r="H9" s="284">
        <v>0</v>
      </c>
      <c r="I9" s="232"/>
      <c r="J9" s="68"/>
      <c r="K9" s="249"/>
      <c r="L9" s="68"/>
      <c r="M9" s="248"/>
      <c r="N9" s="69"/>
    </row>
    <row r="10" spans="1:19" x14ac:dyDescent="0.25">
      <c r="A10" s="72" t="str">
        <f>+IF(FromProposal[[#This Row],[Cost Code]]&lt;&gt;0,+'Gnatt Chart'!$A$2,"")</f>
        <v xml:space="preserve">Tim Flemming </v>
      </c>
      <c r="B10" s="70">
        <v>6</v>
      </c>
      <c r="C10" s="72" t="s">
        <v>191</v>
      </c>
      <c r="D10" s="72" t="s">
        <v>190</v>
      </c>
      <c r="E10" s="72" t="s">
        <v>489</v>
      </c>
      <c r="F10" s="72">
        <v>0</v>
      </c>
      <c r="G10" s="284">
        <v>0</v>
      </c>
      <c r="H10" s="284">
        <v>0</v>
      </c>
      <c r="I10" s="232"/>
      <c r="J10" s="68"/>
      <c r="K10" s="249"/>
      <c r="L10" s="68"/>
      <c r="M10" s="248"/>
      <c r="N10" s="69"/>
    </row>
    <row r="11" spans="1:19" x14ac:dyDescent="0.25">
      <c r="A11" s="72" t="str">
        <f>+IF(FromProposal[[#This Row],[Cost Code]]&lt;&gt;0,+'Gnatt Chart'!$A$2,"")</f>
        <v xml:space="preserve">Tim Flemming </v>
      </c>
      <c r="B11" s="70">
        <v>7</v>
      </c>
      <c r="C11" s="72" t="s">
        <v>192</v>
      </c>
      <c r="D11" s="72" t="s">
        <v>190</v>
      </c>
      <c r="E11" s="72" t="s">
        <v>490</v>
      </c>
      <c r="F11" s="72">
        <v>0</v>
      </c>
      <c r="G11" s="284">
        <v>0</v>
      </c>
      <c r="H11" s="284">
        <v>0</v>
      </c>
      <c r="I11" s="232"/>
      <c r="J11" s="68"/>
      <c r="K11" s="249"/>
      <c r="L11" s="68"/>
      <c r="M11" s="248"/>
      <c r="N11" s="69"/>
    </row>
    <row r="12" spans="1:19" x14ac:dyDescent="0.25">
      <c r="A12" s="72" t="str">
        <f>+IF(FromProposal[[#This Row],[Cost Code]]&lt;&gt;0,+'Gnatt Chart'!$A$2,"")</f>
        <v xml:space="preserve">Tim Flemming </v>
      </c>
      <c r="B12" s="70">
        <v>8</v>
      </c>
      <c r="C12" s="72" t="s">
        <v>194</v>
      </c>
      <c r="D12" s="72" t="s">
        <v>190</v>
      </c>
      <c r="E12" s="72" t="s">
        <v>491</v>
      </c>
      <c r="F12" s="72">
        <v>0</v>
      </c>
      <c r="G12" s="284">
        <v>0</v>
      </c>
      <c r="H12" s="284">
        <v>0</v>
      </c>
      <c r="I12" s="232"/>
      <c r="J12" s="68"/>
      <c r="K12" s="249"/>
      <c r="L12" s="68"/>
      <c r="M12" s="248"/>
      <c r="N12" s="69"/>
    </row>
    <row r="13" spans="1:19" x14ac:dyDescent="0.25">
      <c r="A13" s="72" t="str">
        <f>+IF(FromProposal[[#This Row],[Cost Code]]&lt;&gt;0,+'Gnatt Chart'!$A$2,"")</f>
        <v xml:space="preserve">Tim Flemming </v>
      </c>
      <c r="B13" s="70">
        <v>9</v>
      </c>
      <c r="C13" s="72" t="s">
        <v>195</v>
      </c>
      <c r="D13" s="72" t="s">
        <v>190</v>
      </c>
      <c r="E13" s="72" t="s">
        <v>492</v>
      </c>
      <c r="F13" s="72">
        <v>0</v>
      </c>
      <c r="G13" s="284">
        <v>0</v>
      </c>
      <c r="H13" s="284">
        <v>0</v>
      </c>
      <c r="I13" s="232"/>
      <c r="J13" s="68"/>
      <c r="K13" s="249"/>
      <c r="L13" s="68"/>
      <c r="M13" s="248"/>
      <c r="N13" s="69"/>
    </row>
    <row r="14" spans="1:19" x14ac:dyDescent="0.25">
      <c r="A14" s="72" t="str">
        <f>+IF(FromProposal[[#This Row],[Cost Code]]&lt;&gt;0,+'Gnatt Chart'!$A$2,"")</f>
        <v/>
      </c>
      <c r="B14" s="70">
        <v>10</v>
      </c>
      <c r="E14" s="72" t="s">
        <v>753</v>
      </c>
      <c r="F14" s="72">
        <v>1</v>
      </c>
      <c r="G14" s="283">
        <v>155</v>
      </c>
      <c r="H14" s="283">
        <v>155</v>
      </c>
      <c r="I14" s="232" t="s">
        <v>29</v>
      </c>
      <c r="J14" s="68"/>
      <c r="K14" s="249"/>
      <c r="L14" s="68"/>
      <c r="M14" s="248"/>
      <c r="N14" s="69"/>
    </row>
    <row r="15" spans="1:19" x14ac:dyDescent="0.25">
      <c r="A15" s="72" t="str">
        <f>+IF(FromProposal[[#This Row],[Cost Code]]&lt;&gt;0,+'Gnatt Chart'!$A$2,"")</f>
        <v/>
      </c>
      <c r="B15" s="70">
        <v>11</v>
      </c>
      <c r="E15" s="72" t="s">
        <v>752</v>
      </c>
      <c r="F15" s="72">
        <v>1</v>
      </c>
      <c r="G15" s="284">
        <v>45</v>
      </c>
      <c r="H15" s="284">
        <v>45</v>
      </c>
      <c r="I15" s="232" t="s">
        <v>29</v>
      </c>
      <c r="J15" s="68"/>
      <c r="K15" s="249"/>
      <c r="L15" s="68"/>
      <c r="M15" s="248"/>
      <c r="N15" s="69"/>
    </row>
    <row r="16" spans="1:19" x14ac:dyDescent="0.25">
      <c r="A16" s="72" t="str">
        <f>+IF(FromProposal[[#This Row],[Cost Code]]&lt;&gt;0,+'Gnatt Chart'!$A$2,"")</f>
        <v/>
      </c>
      <c r="B16" s="70">
        <v>12</v>
      </c>
      <c r="E16" s="72" t="s">
        <v>766</v>
      </c>
      <c r="F16" s="72">
        <v>1</v>
      </c>
      <c r="G16" s="284">
        <v>25</v>
      </c>
      <c r="H16" s="284">
        <v>25</v>
      </c>
      <c r="I16" s="232" t="s">
        <v>29</v>
      </c>
      <c r="J16" s="68"/>
      <c r="K16" s="249"/>
      <c r="L16" s="68"/>
      <c r="M16" s="248"/>
      <c r="N16" s="69"/>
    </row>
    <row r="17" spans="1:14" x14ac:dyDescent="0.25">
      <c r="A17" s="72" t="str">
        <f>+IF(FromProposal[[#This Row],[Cost Code]]&lt;&gt;0,+'Gnatt Chart'!$A$2,"")</f>
        <v/>
      </c>
      <c r="B17" s="70">
        <v>13</v>
      </c>
      <c r="E17" s="72" t="s">
        <v>754</v>
      </c>
      <c r="F17" s="72">
        <v>1</v>
      </c>
      <c r="G17" s="284">
        <v>85</v>
      </c>
      <c r="H17" s="284">
        <v>85</v>
      </c>
      <c r="I17" s="232" t="s">
        <v>29</v>
      </c>
      <c r="J17" s="68"/>
      <c r="K17" s="249"/>
      <c r="L17" s="68"/>
      <c r="M17" s="248"/>
      <c r="N17" s="69"/>
    </row>
    <row r="18" spans="1:14" x14ac:dyDescent="0.25">
      <c r="A18" s="72" t="str">
        <f>+IF(FromProposal[[#This Row],[Cost Code]]&lt;&gt;0,+'Gnatt Chart'!$A$2,"")</f>
        <v/>
      </c>
      <c r="B18" s="70">
        <v>14</v>
      </c>
      <c r="E18" s="72" t="s">
        <v>755</v>
      </c>
      <c r="F18" s="72">
        <v>1</v>
      </c>
      <c r="G18" s="284">
        <v>25</v>
      </c>
      <c r="H18" s="284">
        <v>25</v>
      </c>
      <c r="I18" s="232" t="s">
        <v>29</v>
      </c>
      <c r="J18" s="68"/>
      <c r="K18" s="249"/>
      <c r="L18" s="68"/>
      <c r="M18" s="248"/>
      <c r="N18" s="69"/>
    </row>
    <row r="19" spans="1:14" x14ac:dyDescent="0.25">
      <c r="A19" s="72" t="str">
        <f>+IF(FromProposal[[#This Row],[Cost Code]]&lt;&gt;0,+'Gnatt Chart'!$A$2,"")</f>
        <v/>
      </c>
      <c r="B19" s="70">
        <v>15</v>
      </c>
      <c r="E19" s="72" t="s">
        <v>756</v>
      </c>
      <c r="F19" s="72">
        <v>2</v>
      </c>
      <c r="G19" s="284">
        <v>35</v>
      </c>
      <c r="H19" s="284">
        <v>70</v>
      </c>
      <c r="I19" s="232" t="s">
        <v>29</v>
      </c>
      <c r="J19" s="68"/>
      <c r="K19" s="249"/>
      <c r="L19" s="68"/>
      <c r="M19" s="248"/>
      <c r="N19" s="69"/>
    </row>
    <row r="20" spans="1:14" x14ac:dyDescent="0.25">
      <c r="A20" s="72" t="str">
        <f>+IF(FromProposal[[#This Row],[Cost Code]]&lt;&gt;0,+'Gnatt Chart'!$A$2,"")</f>
        <v/>
      </c>
      <c r="B20" s="70">
        <v>16</v>
      </c>
      <c r="E20" s="72" t="s">
        <v>757</v>
      </c>
      <c r="F20" s="72">
        <v>1</v>
      </c>
      <c r="G20" s="284">
        <v>350</v>
      </c>
      <c r="H20" s="284">
        <v>350</v>
      </c>
      <c r="I20" s="232" t="s">
        <v>29</v>
      </c>
      <c r="J20" s="68"/>
      <c r="K20" s="249"/>
      <c r="L20" s="68"/>
      <c r="M20" s="248"/>
      <c r="N20" s="69"/>
    </row>
    <row r="21" spans="1:14" x14ac:dyDescent="0.25">
      <c r="A21" s="72" t="str">
        <f>+IF(FromProposal[[#This Row],[Cost Code]]&lt;&gt;0,+'Gnatt Chart'!$A$2,"")</f>
        <v/>
      </c>
      <c r="B21" s="70">
        <v>17</v>
      </c>
      <c r="E21" s="72" t="s">
        <v>758</v>
      </c>
      <c r="F21" s="72">
        <v>1</v>
      </c>
      <c r="G21" s="284">
        <v>1200</v>
      </c>
      <c r="H21" s="284">
        <v>1200</v>
      </c>
      <c r="I21" s="232" t="s">
        <v>29</v>
      </c>
      <c r="J21" s="68"/>
      <c r="K21" s="249"/>
      <c r="L21" s="68"/>
      <c r="M21" s="248"/>
      <c r="N21" s="69"/>
    </row>
    <row r="22" spans="1:14" x14ac:dyDescent="0.25">
      <c r="A22" s="72" t="str">
        <f>+IF(FromProposal[[#This Row],[Cost Code]]&lt;&gt;0,+'Gnatt Chart'!$A$2,"")</f>
        <v/>
      </c>
      <c r="B22" s="70">
        <v>18</v>
      </c>
      <c r="E22" s="72" t="s">
        <v>759</v>
      </c>
      <c r="F22" s="72">
        <v>1</v>
      </c>
      <c r="G22" s="284">
        <v>110</v>
      </c>
      <c r="H22" s="284">
        <v>110</v>
      </c>
      <c r="I22" s="232" t="s">
        <v>29</v>
      </c>
      <c r="J22" s="68"/>
      <c r="K22" s="249"/>
      <c r="L22" s="68"/>
      <c r="M22" s="248"/>
      <c r="N22" s="69" t="s">
        <v>520</v>
      </c>
    </row>
    <row r="23" spans="1:14" x14ac:dyDescent="0.25">
      <c r="A23" s="72" t="str">
        <f>+IF(FromProposal[[#This Row],[Cost Code]]&lt;&gt;0,+'Gnatt Chart'!$A$2,"")</f>
        <v/>
      </c>
      <c r="B23" s="70">
        <v>19</v>
      </c>
      <c r="E23" s="72" t="s">
        <v>760</v>
      </c>
      <c r="F23" s="72">
        <v>1</v>
      </c>
      <c r="G23" s="284">
        <v>215</v>
      </c>
      <c r="H23" s="284">
        <v>215</v>
      </c>
      <c r="I23" s="232" t="s">
        <v>29</v>
      </c>
      <c r="J23" s="68"/>
      <c r="K23" s="249"/>
      <c r="L23" s="68"/>
      <c r="M23" s="248"/>
      <c r="N23" s="69"/>
    </row>
    <row r="24" spans="1:14" x14ac:dyDescent="0.25">
      <c r="A24" s="72" t="str">
        <f>+IF(FromProposal[[#This Row],[Cost Code]]&lt;&gt;0,+'Gnatt Chart'!$A$2,"")</f>
        <v/>
      </c>
      <c r="B24" s="70">
        <v>20</v>
      </c>
      <c r="E24" s="72" t="s">
        <v>761</v>
      </c>
      <c r="F24" s="72">
        <v>1</v>
      </c>
      <c r="G24" s="284">
        <v>1300.0999999999999</v>
      </c>
      <c r="H24" s="284">
        <v>1300.0999999999999</v>
      </c>
      <c r="I24" s="232" t="s">
        <v>29</v>
      </c>
      <c r="J24" s="68"/>
      <c r="K24" s="249"/>
      <c r="L24" s="68"/>
      <c r="M24" s="248"/>
      <c r="N24" s="69"/>
    </row>
    <row r="25" spans="1:14" x14ac:dyDescent="0.25">
      <c r="A25" s="72" t="str">
        <f>+IF(FromProposal[[#This Row],[Cost Code]]&lt;&gt;0,+'Gnatt Chart'!$A$2,"")</f>
        <v/>
      </c>
      <c r="B25" s="70">
        <v>21</v>
      </c>
      <c r="E25" s="72" t="s">
        <v>762</v>
      </c>
      <c r="F25" s="72">
        <v>1</v>
      </c>
      <c r="G25" s="284">
        <v>95</v>
      </c>
      <c r="H25" s="284">
        <v>95</v>
      </c>
      <c r="I25" s="232" t="s">
        <v>29</v>
      </c>
      <c r="J25" s="68"/>
      <c r="K25" s="249"/>
      <c r="L25" s="68"/>
      <c r="M25" s="248"/>
      <c r="N25" s="69"/>
    </row>
    <row r="26" spans="1:14" x14ac:dyDescent="0.25">
      <c r="A26" s="72" t="str">
        <f>+IF(FromProposal[[#This Row],[Cost Code]]&lt;&gt;0,+'Gnatt Chart'!$A$2,"")</f>
        <v/>
      </c>
      <c r="B26" s="70">
        <v>22</v>
      </c>
      <c r="E26" s="261" t="s">
        <v>763</v>
      </c>
      <c r="F26" s="261">
        <v>1</v>
      </c>
      <c r="G26" s="285">
        <v>65</v>
      </c>
      <c r="H26" s="285">
        <v>65</v>
      </c>
      <c r="I26" s="232" t="s">
        <v>29</v>
      </c>
      <c r="J26" s="68"/>
      <c r="K26" s="249"/>
      <c r="L26" s="68"/>
      <c r="M26" s="248"/>
      <c r="N26" s="69"/>
    </row>
    <row r="27" spans="1:14" x14ac:dyDescent="0.25">
      <c r="A27" s="72" t="str">
        <f>+IF(FromProposal[[#This Row],[Cost Code]]&lt;&gt;0,+'Gnatt Chart'!$A$2,"")</f>
        <v/>
      </c>
      <c r="B27" s="70">
        <v>23</v>
      </c>
      <c r="E27" s="72" t="s">
        <v>764</v>
      </c>
      <c r="F27" s="72">
        <v>1</v>
      </c>
      <c r="G27" s="284">
        <v>95</v>
      </c>
      <c r="H27" s="284">
        <v>95</v>
      </c>
      <c r="I27" s="232" t="s">
        <v>29</v>
      </c>
      <c r="J27" s="68"/>
      <c r="K27" s="249"/>
      <c r="L27" s="68"/>
      <c r="M27" s="248"/>
      <c r="N27" s="69"/>
    </row>
    <row r="28" spans="1:14" x14ac:dyDescent="0.25">
      <c r="A28" s="72" t="str">
        <f>+IF(FromProposal[[#This Row],[Cost Code]]&lt;&gt;0,+'Gnatt Chart'!$A$2,"")</f>
        <v/>
      </c>
      <c r="B28" s="70">
        <v>24</v>
      </c>
      <c r="E28" s="72" t="s">
        <v>765</v>
      </c>
      <c r="F28" s="72">
        <v>0</v>
      </c>
      <c r="G28" s="284">
        <v>95</v>
      </c>
      <c r="H28" s="284">
        <v>0</v>
      </c>
      <c r="I28" s="232"/>
      <c r="J28" s="68"/>
      <c r="K28" s="249"/>
      <c r="L28" s="68"/>
      <c r="M28" s="248"/>
      <c r="N28" s="69"/>
    </row>
    <row r="29" spans="1:14" x14ac:dyDescent="0.25">
      <c r="A29" s="72" t="str">
        <f>+IF(FromProposal[[#This Row],[Cost Code]]&lt;&gt;0,+'Gnatt Chart'!$A$2,"")</f>
        <v/>
      </c>
      <c r="B29" s="70">
        <v>25</v>
      </c>
      <c r="E29" s="72" t="s">
        <v>756</v>
      </c>
      <c r="F29" s="72">
        <v>1</v>
      </c>
      <c r="G29" s="284">
        <v>35</v>
      </c>
      <c r="H29" s="284">
        <v>35</v>
      </c>
      <c r="I29" s="232" t="s">
        <v>29</v>
      </c>
      <c r="J29" s="68"/>
      <c r="K29" s="249"/>
      <c r="L29" s="68"/>
      <c r="M29" s="248"/>
      <c r="N29" s="69"/>
    </row>
    <row r="30" spans="1:14" x14ac:dyDescent="0.25">
      <c r="A30" s="72" t="str">
        <f>+IF(FromProposal[[#This Row],[Cost Code]]&lt;&gt;0,+'Gnatt Chart'!$A$2,"")</f>
        <v/>
      </c>
      <c r="B30" s="70">
        <v>26</v>
      </c>
      <c r="E30" s="72" t="s">
        <v>767</v>
      </c>
      <c r="F30" s="72">
        <v>1</v>
      </c>
      <c r="G30" s="284">
        <v>0</v>
      </c>
      <c r="H30" s="284">
        <v>0</v>
      </c>
      <c r="I30" s="232"/>
      <c r="J30" s="68"/>
      <c r="K30" s="249"/>
      <c r="L30" s="68"/>
      <c r="M30" s="248"/>
      <c r="N30" s="69"/>
    </row>
    <row r="31" spans="1:14" x14ac:dyDescent="0.25">
      <c r="A31" s="72" t="str">
        <f>+IF(FromProposal[[#This Row],[Cost Code]]&lt;&gt;0,+'Gnatt Chart'!$A$2,"")</f>
        <v/>
      </c>
      <c r="B31" s="70">
        <v>27</v>
      </c>
      <c r="E31" s="72" t="s">
        <v>769</v>
      </c>
      <c r="F31" s="72">
        <v>1</v>
      </c>
      <c r="G31" s="284">
        <v>45</v>
      </c>
      <c r="H31" s="284">
        <v>45</v>
      </c>
      <c r="I31" s="232" t="s">
        <v>29</v>
      </c>
      <c r="J31" s="68"/>
      <c r="K31" s="249"/>
      <c r="L31" s="68"/>
      <c r="M31" s="248"/>
      <c r="N31" s="69"/>
    </row>
    <row r="32" spans="1:14" x14ac:dyDescent="0.25">
      <c r="A32" s="72" t="str">
        <f>+IF(FromProposal[[#This Row],[Cost Code]]&lt;&gt;0,+'Gnatt Chart'!$A$2,"")</f>
        <v/>
      </c>
      <c r="B32" s="70">
        <v>28</v>
      </c>
      <c r="E32" s="72" t="s">
        <v>770</v>
      </c>
      <c r="F32" s="72">
        <v>1</v>
      </c>
      <c r="G32" s="284">
        <v>95</v>
      </c>
      <c r="H32" s="284">
        <v>95</v>
      </c>
      <c r="I32" s="232" t="s">
        <v>29</v>
      </c>
      <c r="J32" s="68"/>
      <c r="K32" s="249"/>
      <c r="L32" s="68"/>
      <c r="M32" s="248"/>
      <c r="N32" s="69"/>
    </row>
    <row r="33" spans="1:14" x14ac:dyDescent="0.25">
      <c r="A33" s="72" t="str">
        <f>+IF(FromProposal[[#This Row],[Cost Code]]&lt;&gt;0,+'Gnatt Chart'!$A$2,"")</f>
        <v/>
      </c>
      <c r="B33" s="70">
        <v>29</v>
      </c>
      <c r="E33" s="72" t="s">
        <v>771</v>
      </c>
      <c r="F33" s="72">
        <v>1</v>
      </c>
      <c r="G33" s="284">
        <v>95</v>
      </c>
      <c r="H33" s="284">
        <v>95</v>
      </c>
      <c r="I33" s="232" t="s">
        <v>29</v>
      </c>
      <c r="J33" s="68"/>
      <c r="K33" s="249"/>
      <c r="L33" s="68"/>
      <c r="M33" s="248"/>
      <c r="N33" s="69"/>
    </row>
    <row r="34" spans="1:14" x14ac:dyDescent="0.25">
      <c r="A34" s="72" t="str">
        <f>+IF(FromProposal[[#This Row],[Cost Code]]&lt;&gt;0,+'Gnatt Chart'!$A$2,"")</f>
        <v/>
      </c>
      <c r="B34" s="70">
        <v>30</v>
      </c>
      <c r="E34" s="72" t="s">
        <v>775</v>
      </c>
      <c r="F34" s="72">
        <v>8</v>
      </c>
      <c r="G34" s="284">
        <v>25</v>
      </c>
      <c r="H34" s="284">
        <v>200</v>
      </c>
      <c r="I34" s="232" t="s">
        <v>29</v>
      </c>
      <c r="J34" s="68"/>
      <c r="K34" s="249"/>
      <c r="L34" s="68"/>
      <c r="M34" s="248"/>
      <c r="N34" s="69"/>
    </row>
    <row r="35" spans="1:14" x14ac:dyDescent="0.25">
      <c r="A35" s="72" t="str">
        <f>+IF(FromProposal[[#This Row],[Cost Code]]&lt;&gt;0,+'Gnatt Chart'!$A$2,"")</f>
        <v/>
      </c>
      <c r="B35" s="70">
        <v>31</v>
      </c>
      <c r="E35" s="72" t="s">
        <v>772</v>
      </c>
      <c r="F35" s="72">
        <v>8</v>
      </c>
      <c r="G35" s="284">
        <v>10</v>
      </c>
      <c r="H35" s="284">
        <v>80</v>
      </c>
      <c r="I35" s="232" t="s">
        <v>29</v>
      </c>
      <c r="J35" s="68"/>
      <c r="K35" s="249"/>
      <c r="L35" s="68"/>
      <c r="M35" s="248"/>
      <c r="N35" s="69"/>
    </row>
    <row r="36" spans="1:14" x14ac:dyDescent="0.25">
      <c r="A36" s="72" t="str">
        <f>+IF(FromProposal[[#This Row],[Cost Code]]&lt;&gt;0,+'Gnatt Chart'!$A$2,"")</f>
        <v/>
      </c>
      <c r="B36" s="70">
        <v>32</v>
      </c>
      <c r="E36" s="72" t="s">
        <v>773</v>
      </c>
      <c r="F36" s="72">
        <v>3</v>
      </c>
      <c r="G36" s="284">
        <v>10</v>
      </c>
      <c r="H36" s="284">
        <v>30</v>
      </c>
      <c r="I36" s="232" t="s">
        <v>29</v>
      </c>
      <c r="J36" s="68"/>
      <c r="K36" s="249"/>
      <c r="L36" s="68"/>
      <c r="M36" s="248"/>
      <c r="N36" s="69"/>
    </row>
    <row r="37" spans="1:14" x14ac:dyDescent="0.25">
      <c r="A37" s="72" t="str">
        <f>+IF(FromProposal[[#This Row],[Cost Code]]&lt;&gt;0,+'Gnatt Chart'!$A$2,"")</f>
        <v/>
      </c>
      <c r="B37" s="70">
        <v>33</v>
      </c>
      <c r="E37" s="72" t="s">
        <v>774</v>
      </c>
      <c r="F37" s="72">
        <v>2</v>
      </c>
      <c r="G37" s="284">
        <v>35</v>
      </c>
      <c r="H37" s="284">
        <v>70</v>
      </c>
      <c r="I37" s="232" t="s">
        <v>29</v>
      </c>
      <c r="J37" s="68"/>
      <c r="K37" s="249"/>
      <c r="L37" s="68"/>
      <c r="M37" s="248"/>
      <c r="N37" s="69"/>
    </row>
    <row r="38" spans="1:14" x14ac:dyDescent="0.25">
      <c r="A38" s="72" t="str">
        <f>+IF(FromProposal[[#This Row],[Cost Code]]&lt;&gt;0,+'Gnatt Chart'!$A$2,"")</f>
        <v/>
      </c>
      <c r="B38" s="70">
        <v>34</v>
      </c>
      <c r="E38" s="72" t="s">
        <v>768</v>
      </c>
      <c r="F38" s="72">
        <v>1</v>
      </c>
      <c r="G38" s="284">
        <v>95</v>
      </c>
      <c r="H38" s="284">
        <v>95</v>
      </c>
      <c r="I38" s="232" t="s">
        <v>29</v>
      </c>
      <c r="J38" s="68"/>
      <c r="K38" s="249"/>
      <c r="L38" s="68"/>
      <c r="M38" s="248"/>
      <c r="N38" s="69"/>
    </row>
    <row r="39" spans="1:14" x14ac:dyDescent="0.25">
      <c r="A39" s="72" t="str">
        <f>+IF(FromProposal[[#This Row],[Cost Code]]&lt;&gt;0,+'Gnatt Chart'!$A$2,"")</f>
        <v/>
      </c>
      <c r="B39" s="70">
        <v>35</v>
      </c>
      <c r="E39" s="72" t="s">
        <v>776</v>
      </c>
      <c r="F39" s="72">
        <v>1</v>
      </c>
      <c r="G39" s="284">
        <v>50</v>
      </c>
      <c r="H39" s="284">
        <v>50</v>
      </c>
      <c r="I39" s="232" t="s">
        <v>29</v>
      </c>
      <c r="J39" s="68"/>
      <c r="K39" s="249"/>
      <c r="L39" s="68"/>
      <c r="M39" s="248"/>
      <c r="N39" s="69"/>
    </row>
    <row r="40" spans="1:14" x14ac:dyDescent="0.25">
      <c r="A40" s="72" t="str">
        <f>+IF(FromProposal[[#This Row],[Cost Code]]&lt;&gt;0,+'Gnatt Chart'!$A$2,"")</f>
        <v/>
      </c>
      <c r="B40" s="70">
        <v>36</v>
      </c>
      <c r="E40" s="72" t="s">
        <v>832</v>
      </c>
      <c r="F40" s="72">
        <v>1</v>
      </c>
      <c r="G40" s="284">
        <v>48</v>
      </c>
      <c r="H40" s="284">
        <v>48</v>
      </c>
      <c r="I40" s="232" t="s">
        <v>29</v>
      </c>
      <c r="J40" s="68"/>
      <c r="K40" s="249"/>
      <c r="L40" s="68"/>
      <c r="M40" s="248"/>
      <c r="N40" s="69"/>
    </row>
    <row r="41" spans="1:14" x14ac:dyDescent="0.25">
      <c r="A41" s="72" t="str">
        <f>+IF(FromProposal[[#This Row],[Cost Code]]&lt;&gt;0,+'Gnatt Chart'!$A$2,"")</f>
        <v/>
      </c>
      <c r="B41" s="70">
        <v>37</v>
      </c>
      <c r="E41" s="72" t="s">
        <v>833</v>
      </c>
      <c r="F41" s="72">
        <v>1</v>
      </c>
      <c r="G41" s="284">
        <v>80</v>
      </c>
      <c r="H41" s="284">
        <v>80</v>
      </c>
      <c r="I41" s="232" t="s">
        <v>29</v>
      </c>
      <c r="J41" s="68"/>
      <c r="K41" s="249"/>
      <c r="L41" s="68"/>
      <c r="M41" s="248"/>
      <c r="N41" s="69"/>
    </row>
    <row r="42" spans="1:14" x14ac:dyDescent="0.25">
      <c r="A42" s="72" t="str">
        <f>+IF(FromProposal[[#This Row],[Cost Code]]&lt;&gt;0,+'Gnatt Chart'!$A$2,"")</f>
        <v/>
      </c>
      <c r="B42" s="70">
        <v>38</v>
      </c>
      <c r="E42" s="72" t="s">
        <v>854</v>
      </c>
      <c r="F42" s="72">
        <v>1</v>
      </c>
      <c r="G42" s="284">
        <v>139.47</v>
      </c>
      <c r="H42" s="284">
        <v>139.47</v>
      </c>
      <c r="I42" s="232" t="s">
        <v>29</v>
      </c>
      <c r="J42" s="68"/>
      <c r="K42" s="249"/>
      <c r="L42" s="68"/>
      <c r="M42" s="248"/>
      <c r="N42" s="69"/>
    </row>
    <row r="43" spans="1:14" x14ac:dyDescent="0.25">
      <c r="A43" s="72" t="str">
        <f>+IF(FromProposal[[#This Row],[Cost Code]]&lt;&gt;0,+'Gnatt Chart'!$A$2,"")</f>
        <v/>
      </c>
      <c r="B43" s="70">
        <v>39</v>
      </c>
      <c r="G43" s="284"/>
      <c r="H43" s="284"/>
      <c r="I43" s="232"/>
      <c r="J43" s="68"/>
      <c r="K43" s="249"/>
      <c r="L43" s="68"/>
      <c r="M43" s="248"/>
      <c r="N43" s="69"/>
    </row>
    <row r="44" spans="1:14" x14ac:dyDescent="0.25">
      <c r="A44" s="72" t="str">
        <f>+IF(FromProposal[[#This Row],[Cost Code]]&lt;&gt;0,+'Gnatt Chart'!$A$2,"")</f>
        <v/>
      </c>
      <c r="B44" s="70">
        <v>40</v>
      </c>
      <c r="G44" s="284"/>
      <c r="H44" s="284"/>
      <c r="I44" s="232"/>
      <c r="J44" s="68"/>
      <c r="K44" s="249"/>
      <c r="L44" s="68"/>
      <c r="M44" s="248"/>
      <c r="N44" s="69"/>
    </row>
    <row r="45" spans="1:14" x14ac:dyDescent="0.25">
      <c r="A45" s="72" t="str">
        <f>+IF(FromProposal[[#This Row],[Cost Code]]&lt;&gt;0,+'Gnatt Chart'!$A$2,"")</f>
        <v/>
      </c>
      <c r="B45" s="70">
        <v>41</v>
      </c>
      <c r="G45" s="284"/>
      <c r="H45" s="284"/>
      <c r="I45" s="232"/>
      <c r="J45" s="68"/>
      <c r="K45" s="249"/>
      <c r="L45" s="68"/>
      <c r="M45" s="248"/>
      <c r="N45" s="69"/>
    </row>
    <row r="46" spans="1:14" x14ac:dyDescent="0.25">
      <c r="A46" s="72" t="str">
        <f>+IF(FromProposal[[#This Row],[Cost Code]]&lt;&gt;0,+'Gnatt Chart'!$A$2,"")</f>
        <v/>
      </c>
      <c r="B46" s="70">
        <v>42</v>
      </c>
      <c r="G46" s="284"/>
      <c r="H46" s="284"/>
      <c r="I46" s="232"/>
      <c r="J46" s="68"/>
      <c r="K46" s="249"/>
      <c r="L46" s="68"/>
      <c r="M46" s="248"/>
      <c r="N46" s="69"/>
    </row>
    <row r="47" spans="1:14" x14ac:dyDescent="0.25">
      <c r="A47" s="72" t="str">
        <f>+IF(FromProposal[[#This Row],[Cost Code]]&lt;&gt;0,+'Gnatt Chart'!$A$2,"")</f>
        <v/>
      </c>
      <c r="B47" s="70">
        <v>43</v>
      </c>
      <c r="G47" s="284"/>
      <c r="H47" s="284"/>
      <c r="I47" s="232"/>
      <c r="J47" s="68"/>
      <c r="K47" s="249"/>
      <c r="L47" s="68"/>
      <c r="M47" s="248"/>
      <c r="N47" s="69"/>
    </row>
    <row r="48" spans="1:14" x14ac:dyDescent="0.25">
      <c r="A48" s="72" t="str">
        <f>+IF(FromProposal[[#This Row],[Cost Code]]&lt;&gt;0,+'Gnatt Chart'!$A$2,"")</f>
        <v/>
      </c>
      <c r="B48" s="70">
        <v>44</v>
      </c>
      <c r="G48" s="284"/>
      <c r="H48" s="284"/>
      <c r="I48" s="232"/>
      <c r="J48" s="68"/>
      <c r="K48" s="249"/>
      <c r="L48" s="68"/>
      <c r="M48" s="248"/>
      <c r="N48" s="69"/>
    </row>
    <row r="49" spans="7:11" x14ac:dyDescent="0.25">
      <c r="G49" s="72"/>
      <c r="H49" s="72"/>
      <c r="K49" s="246"/>
    </row>
    <row r="50" spans="7:11" x14ac:dyDescent="0.25">
      <c r="G50" s="72"/>
      <c r="H50" s="72"/>
      <c r="K50" s="246"/>
    </row>
    <row r="51" spans="7:11" x14ac:dyDescent="0.25">
      <c r="G51" s="72"/>
      <c r="H51" s="72"/>
      <c r="K51" s="246"/>
    </row>
    <row r="52" spans="7:11" x14ac:dyDescent="0.25">
      <c r="G52" s="72"/>
      <c r="H52" s="72"/>
      <c r="K52" s="246"/>
    </row>
    <row r="53" spans="7:11" x14ac:dyDescent="0.25">
      <c r="G53" s="72"/>
      <c r="H53" s="72"/>
      <c r="K53" s="246"/>
    </row>
    <row r="54" spans="7:11" x14ac:dyDescent="0.25">
      <c r="G54" s="72"/>
      <c r="H54" s="72"/>
      <c r="K54" s="246"/>
    </row>
    <row r="55" spans="7:11" x14ac:dyDescent="0.25">
      <c r="G55" s="72"/>
      <c r="H55" s="72"/>
      <c r="K55" s="246"/>
    </row>
    <row r="56" spans="7:11" x14ac:dyDescent="0.25">
      <c r="G56" s="72"/>
      <c r="H56" s="72"/>
      <c r="K56" s="246"/>
    </row>
    <row r="57" spans="7:11" x14ac:dyDescent="0.25">
      <c r="G57" s="72"/>
      <c r="H57" s="72"/>
      <c r="K57" s="246"/>
    </row>
    <row r="58" spans="7:11" x14ac:dyDescent="0.25">
      <c r="G58" s="72"/>
      <c r="H58" s="72"/>
      <c r="K58" s="246"/>
    </row>
    <row r="59" spans="7:11" x14ac:dyDescent="0.25">
      <c r="G59" s="72"/>
      <c r="H59" s="72"/>
      <c r="K59" s="246"/>
    </row>
    <row r="60" spans="7:11" x14ac:dyDescent="0.25">
      <c r="G60" s="72"/>
      <c r="H60" s="72"/>
      <c r="K60" s="246"/>
    </row>
    <row r="61" spans="7:11" x14ac:dyDescent="0.25">
      <c r="G61" s="72"/>
      <c r="H61" s="72"/>
      <c r="K61" s="246"/>
    </row>
    <row r="62" spans="7:11" x14ac:dyDescent="0.25">
      <c r="G62" s="72"/>
      <c r="H62" s="72"/>
      <c r="K62" s="246"/>
    </row>
    <row r="63" spans="7:11" x14ac:dyDescent="0.25">
      <c r="G63" s="72"/>
      <c r="H63" s="72"/>
      <c r="K63" s="246"/>
    </row>
    <row r="64" spans="7:11" x14ac:dyDescent="0.25">
      <c r="G64" s="72"/>
      <c r="H64" s="72"/>
      <c r="K64" s="246"/>
    </row>
    <row r="65" spans="7:11" x14ac:dyDescent="0.25">
      <c r="G65" s="72"/>
      <c r="H65" s="72"/>
      <c r="K65" s="246"/>
    </row>
    <row r="66" spans="7:11" x14ac:dyDescent="0.25">
      <c r="G66" s="72"/>
      <c r="H66" s="72"/>
      <c r="K66" s="246"/>
    </row>
    <row r="67" spans="7:11" x14ac:dyDescent="0.25">
      <c r="G67" s="72"/>
      <c r="H67" s="72"/>
      <c r="K67" s="246"/>
    </row>
    <row r="68" spans="7:11" x14ac:dyDescent="0.25">
      <c r="G68" s="72"/>
      <c r="H68" s="72"/>
      <c r="K68" s="246"/>
    </row>
    <row r="69" spans="7:11" x14ac:dyDescent="0.25">
      <c r="G69" s="72"/>
      <c r="H69" s="72"/>
      <c r="K69" s="246"/>
    </row>
    <row r="70" spans="7:11" x14ac:dyDescent="0.25">
      <c r="G70" s="72"/>
      <c r="H70" s="72"/>
      <c r="K70" s="246"/>
    </row>
    <row r="71" spans="7:11" x14ac:dyDescent="0.25">
      <c r="G71" s="72"/>
      <c r="H71" s="72"/>
      <c r="K71" s="246"/>
    </row>
    <row r="72" spans="7:11" x14ac:dyDescent="0.25">
      <c r="G72" s="72"/>
      <c r="H72" s="72"/>
      <c r="K72" s="246"/>
    </row>
    <row r="73" spans="7:11" x14ac:dyDescent="0.25">
      <c r="G73" s="72"/>
      <c r="H73" s="72"/>
      <c r="K73" s="246"/>
    </row>
    <row r="74" spans="7:11" x14ac:dyDescent="0.25">
      <c r="G74" s="72"/>
      <c r="H74" s="72"/>
      <c r="K74" s="246"/>
    </row>
    <row r="75" spans="7:11" x14ac:dyDescent="0.25">
      <c r="G75" s="72"/>
      <c r="H75" s="72"/>
      <c r="K75" s="246"/>
    </row>
    <row r="76" spans="7:11" x14ac:dyDescent="0.25">
      <c r="G76" s="72"/>
      <c r="H76" s="72"/>
      <c r="K76" s="246"/>
    </row>
    <row r="77" spans="7:11" x14ac:dyDescent="0.25">
      <c r="G77" s="72"/>
      <c r="H77" s="72"/>
      <c r="K77" s="246"/>
    </row>
    <row r="78" spans="7:11" x14ac:dyDescent="0.25">
      <c r="G78" s="72"/>
      <c r="H78" s="72"/>
      <c r="K78" s="246"/>
    </row>
    <row r="79" spans="7:11" x14ac:dyDescent="0.25">
      <c r="G79" s="72"/>
      <c r="H79" s="72"/>
      <c r="K79" s="246"/>
    </row>
    <row r="80" spans="7:11" x14ac:dyDescent="0.25">
      <c r="G80" s="72"/>
      <c r="H80" s="72"/>
      <c r="K80" s="246"/>
    </row>
    <row r="81" spans="7:11" x14ac:dyDescent="0.25">
      <c r="G81" s="72"/>
      <c r="H81" s="72"/>
      <c r="K81" s="246"/>
    </row>
    <row r="82" spans="7:11" x14ac:dyDescent="0.25">
      <c r="G82" s="72"/>
      <c r="H82" s="72"/>
      <c r="K82" s="246"/>
    </row>
    <row r="83" spans="7:11" x14ac:dyDescent="0.25">
      <c r="G83" s="72"/>
      <c r="H83" s="72"/>
      <c r="K83" s="246"/>
    </row>
    <row r="84" spans="7:11" x14ac:dyDescent="0.25">
      <c r="G84" s="72"/>
      <c r="H84" s="72"/>
      <c r="K84" s="246"/>
    </row>
    <row r="85" spans="7:11" x14ac:dyDescent="0.25">
      <c r="G85" s="72"/>
      <c r="H85" s="72"/>
      <c r="K85" s="246"/>
    </row>
    <row r="86" spans="7:11" x14ac:dyDescent="0.25">
      <c r="G86" s="72"/>
      <c r="H86" s="72"/>
      <c r="K86" s="246"/>
    </row>
    <row r="87" spans="7:11" x14ac:dyDescent="0.25">
      <c r="G87" s="72"/>
      <c r="H87" s="72"/>
      <c r="K87" s="246"/>
    </row>
    <row r="88" spans="7:11" x14ac:dyDescent="0.25">
      <c r="G88" s="72"/>
      <c r="H88" s="72"/>
      <c r="K88" s="246"/>
    </row>
    <row r="89" spans="7:11" x14ac:dyDescent="0.25">
      <c r="G89" s="72"/>
      <c r="H89" s="72"/>
      <c r="K89" s="246"/>
    </row>
    <row r="90" spans="7:11" x14ac:dyDescent="0.25">
      <c r="K90" s="246"/>
    </row>
    <row r="91" spans="7:11" x14ac:dyDescent="0.25">
      <c r="K91" s="246"/>
    </row>
    <row r="92" spans="7:11" x14ac:dyDescent="0.25">
      <c r="K92" s="246"/>
    </row>
    <row r="93" spans="7:11" x14ac:dyDescent="0.25">
      <c r="K93" s="246"/>
    </row>
    <row r="94" spans="7:11" x14ac:dyDescent="0.25">
      <c r="K94" s="246"/>
    </row>
    <row r="95" spans="7:11" x14ac:dyDescent="0.25">
      <c r="K95" s="246"/>
    </row>
    <row r="96" spans="7:11" x14ac:dyDescent="0.25">
      <c r="K96" s="246"/>
    </row>
    <row r="97" spans="11:11" x14ac:dyDescent="0.25">
      <c r="K97" s="246"/>
    </row>
    <row r="98" spans="11:11" x14ac:dyDescent="0.25">
      <c r="K98" s="246"/>
    </row>
    <row r="99" spans="11:11" x14ac:dyDescent="0.25">
      <c r="K99" s="246"/>
    </row>
    <row r="100" spans="11:11" x14ac:dyDescent="0.25">
      <c r="K100" s="246"/>
    </row>
    <row r="101" spans="11:11" x14ac:dyDescent="0.25">
      <c r="K101" s="246"/>
    </row>
    <row r="102" spans="11:11" x14ac:dyDescent="0.25">
      <c r="K102" s="246"/>
    </row>
    <row r="103" spans="11:11" x14ac:dyDescent="0.25">
      <c r="K103" s="246"/>
    </row>
    <row r="104" spans="11:11" x14ac:dyDescent="0.25">
      <c r="K104" s="246"/>
    </row>
    <row r="105" spans="11:11" x14ac:dyDescent="0.25">
      <c r="K105" s="246"/>
    </row>
    <row r="106" spans="11:11" x14ac:dyDescent="0.25">
      <c r="K106" s="246"/>
    </row>
    <row r="107" spans="11:11" x14ac:dyDescent="0.25">
      <c r="K107" s="246"/>
    </row>
    <row r="108" spans="11:11" x14ac:dyDescent="0.25">
      <c r="K108" s="246"/>
    </row>
    <row r="109" spans="11:11" x14ac:dyDescent="0.25">
      <c r="K109" s="246"/>
    </row>
    <row r="110" spans="11:11" x14ac:dyDescent="0.25">
      <c r="K110" s="246"/>
    </row>
    <row r="111" spans="11:11" x14ac:dyDescent="0.25">
      <c r="K111" s="246"/>
    </row>
    <row r="112" spans="11:11" x14ac:dyDescent="0.25">
      <c r="K112" s="246"/>
    </row>
    <row r="113" spans="11:11" x14ac:dyDescent="0.25">
      <c r="K113" s="246"/>
    </row>
    <row r="114" spans="11:11" x14ac:dyDescent="0.25">
      <c r="K114" s="246"/>
    </row>
    <row r="115" spans="11:11" x14ac:dyDescent="0.25">
      <c r="K115" s="246"/>
    </row>
    <row r="116" spans="11:11" x14ac:dyDescent="0.25">
      <c r="K116" s="246"/>
    </row>
    <row r="117" spans="11:11" x14ac:dyDescent="0.25">
      <c r="K117" s="246"/>
    </row>
    <row r="118" spans="11:11" x14ac:dyDescent="0.25">
      <c r="K118" s="246"/>
    </row>
    <row r="119" spans="11:11" x14ac:dyDescent="0.25">
      <c r="K119" s="246"/>
    </row>
    <row r="120" spans="11:11" x14ac:dyDescent="0.25">
      <c r="K120" s="246"/>
    </row>
    <row r="121" spans="11:11" x14ac:dyDescent="0.25">
      <c r="K121" s="246"/>
    </row>
    <row r="122" spans="11:11" x14ac:dyDescent="0.25">
      <c r="K122" s="246"/>
    </row>
    <row r="123" spans="11:11" x14ac:dyDescent="0.25">
      <c r="K123" s="246"/>
    </row>
    <row r="124" spans="11:11" x14ac:dyDescent="0.25">
      <c r="K124" s="246"/>
    </row>
    <row r="125" spans="11:11" x14ac:dyDescent="0.25">
      <c r="K125" s="246"/>
    </row>
    <row r="126" spans="11:11" x14ac:dyDescent="0.25">
      <c r="K126" s="246"/>
    </row>
    <row r="127" spans="11:11" x14ac:dyDescent="0.25">
      <c r="K127" s="246"/>
    </row>
    <row r="128" spans="11:11" x14ac:dyDescent="0.25">
      <c r="K128" s="246"/>
    </row>
    <row r="129" spans="11:11" x14ac:dyDescent="0.25">
      <c r="K129" s="246"/>
    </row>
    <row r="130" spans="11:11" x14ac:dyDescent="0.25">
      <c r="K130" s="246"/>
    </row>
    <row r="131" spans="11:11" x14ac:dyDescent="0.25">
      <c r="K131" s="246"/>
    </row>
    <row r="132" spans="11:11" x14ac:dyDescent="0.25">
      <c r="K132" s="246"/>
    </row>
    <row r="133" spans="11:11" x14ac:dyDescent="0.25">
      <c r="K133" s="246"/>
    </row>
    <row r="134" spans="11:11" x14ac:dyDescent="0.25">
      <c r="K134" s="246"/>
    </row>
    <row r="135" spans="11:11" x14ac:dyDescent="0.25">
      <c r="K135" s="246"/>
    </row>
    <row r="136" spans="11:11" x14ac:dyDescent="0.25">
      <c r="K136" s="246"/>
    </row>
    <row r="137" spans="11:11" x14ac:dyDescent="0.25">
      <c r="K137" s="246"/>
    </row>
    <row r="138" spans="11:11" x14ac:dyDescent="0.25">
      <c r="K138" s="246"/>
    </row>
    <row r="139" spans="11:11" x14ac:dyDescent="0.25">
      <c r="K139" s="246"/>
    </row>
    <row r="140" spans="11:11" x14ac:dyDescent="0.25">
      <c r="K140" s="246"/>
    </row>
    <row r="141" spans="11:11" x14ac:dyDescent="0.25">
      <c r="K141" s="246"/>
    </row>
    <row r="142" spans="11:11" x14ac:dyDescent="0.25">
      <c r="K142" s="246"/>
    </row>
    <row r="143" spans="11:11" x14ac:dyDescent="0.25">
      <c r="K143" s="246"/>
    </row>
    <row r="144" spans="11:11" x14ac:dyDescent="0.25">
      <c r="K144" s="246"/>
    </row>
    <row r="145" spans="11:11" x14ac:dyDescent="0.25">
      <c r="K145" s="246"/>
    </row>
    <row r="146" spans="11:11" x14ac:dyDescent="0.25">
      <c r="K146" s="246"/>
    </row>
    <row r="147" spans="11:11" x14ac:dyDescent="0.25">
      <c r="K147" s="246"/>
    </row>
    <row r="148" spans="11:11" x14ac:dyDescent="0.25">
      <c r="K148" s="246"/>
    </row>
    <row r="149" spans="11:11" x14ac:dyDescent="0.25">
      <c r="K149" s="246"/>
    </row>
    <row r="150" spans="11:11" x14ac:dyDescent="0.25">
      <c r="K150" s="246"/>
    </row>
    <row r="151" spans="11:11" x14ac:dyDescent="0.25">
      <c r="K151" s="246"/>
    </row>
    <row r="152" spans="11:11" x14ac:dyDescent="0.25">
      <c r="K152" s="246"/>
    </row>
    <row r="153" spans="11:11" x14ac:dyDescent="0.25">
      <c r="K153" s="246"/>
    </row>
    <row r="154" spans="11:11" x14ac:dyDescent="0.25">
      <c r="K154" s="246"/>
    </row>
    <row r="155" spans="11:11" x14ac:dyDescent="0.25">
      <c r="K155" s="246"/>
    </row>
    <row r="156" spans="11:11" x14ac:dyDescent="0.25">
      <c r="K156" s="246"/>
    </row>
    <row r="157" spans="11:11" x14ac:dyDescent="0.25">
      <c r="K157" s="246"/>
    </row>
    <row r="158" spans="11:11" x14ac:dyDescent="0.25">
      <c r="K158" s="246"/>
    </row>
    <row r="159" spans="11:11" x14ac:dyDescent="0.25">
      <c r="K159" s="246"/>
    </row>
    <row r="160" spans="11:11" x14ac:dyDescent="0.25">
      <c r="K160" s="246"/>
    </row>
    <row r="161" spans="11:11" x14ac:dyDescent="0.25">
      <c r="K161" s="246"/>
    </row>
    <row r="162" spans="11:11" x14ac:dyDescent="0.25">
      <c r="K162" s="246"/>
    </row>
    <row r="163" spans="11:11" x14ac:dyDescent="0.25">
      <c r="K163" s="246"/>
    </row>
    <row r="164" spans="11:11" x14ac:dyDescent="0.25">
      <c r="K164" s="246"/>
    </row>
    <row r="165" spans="11:11" x14ac:dyDescent="0.25">
      <c r="K165" s="246"/>
    </row>
    <row r="166" spans="11:11" x14ac:dyDescent="0.25">
      <c r="K166" s="246"/>
    </row>
    <row r="167" spans="11:11" x14ac:dyDescent="0.25">
      <c r="K167" s="246"/>
    </row>
    <row r="168" spans="11:11" x14ac:dyDescent="0.25">
      <c r="K168" s="246"/>
    </row>
    <row r="169" spans="11:11" x14ac:dyDescent="0.25">
      <c r="K169" s="246"/>
    </row>
    <row r="170" spans="11:11" x14ac:dyDescent="0.25">
      <c r="K170" s="246"/>
    </row>
    <row r="171" spans="11:11" x14ac:dyDescent="0.25">
      <c r="K171" s="246"/>
    </row>
    <row r="172" spans="11:11" x14ac:dyDescent="0.25">
      <c r="K172" s="246"/>
    </row>
    <row r="173" spans="11:11" x14ac:dyDescent="0.25">
      <c r="K173" s="246"/>
    </row>
    <row r="174" spans="11:11" x14ac:dyDescent="0.25">
      <c r="K174" s="246"/>
    </row>
    <row r="175" spans="11:11" x14ac:dyDescent="0.25">
      <c r="K175" s="246"/>
    </row>
    <row r="176" spans="11:11" x14ac:dyDescent="0.25">
      <c r="K176" s="246"/>
    </row>
    <row r="177" spans="11:11" x14ac:dyDescent="0.25">
      <c r="K177" s="246"/>
    </row>
    <row r="178" spans="11:11" x14ac:dyDescent="0.25">
      <c r="K178" s="246"/>
    </row>
    <row r="179" spans="11:11" x14ac:dyDescent="0.25">
      <c r="K179" s="246"/>
    </row>
    <row r="180" spans="11:11" x14ac:dyDescent="0.25">
      <c r="K180" s="246"/>
    </row>
    <row r="181" spans="11:11" x14ac:dyDescent="0.25">
      <c r="K181" s="246"/>
    </row>
    <row r="182" spans="11:11" x14ac:dyDescent="0.25">
      <c r="K182" s="246"/>
    </row>
    <row r="183" spans="11:11" x14ac:dyDescent="0.25">
      <c r="K183" s="246"/>
    </row>
    <row r="184" spans="11:11" x14ac:dyDescent="0.25">
      <c r="K184" s="246"/>
    </row>
    <row r="185" spans="11:11" x14ac:dyDescent="0.25">
      <c r="K185" s="246"/>
    </row>
    <row r="186" spans="11:11" x14ac:dyDescent="0.25">
      <c r="K186" s="246"/>
    </row>
    <row r="187" spans="11:11" x14ac:dyDescent="0.25">
      <c r="K187" s="246"/>
    </row>
    <row r="188" spans="11:11" x14ac:dyDescent="0.25">
      <c r="K188" s="246"/>
    </row>
    <row r="189" spans="11:11" x14ac:dyDescent="0.25">
      <c r="K189" s="246"/>
    </row>
    <row r="190" spans="11:11" x14ac:dyDescent="0.25">
      <c r="K190" s="246"/>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86" bestFit="1" customWidth="1"/>
    <col min="8" max="8" width="10.140625" style="286" bestFit="1" customWidth="1"/>
    <col min="9" max="9" width="5.5703125" style="34" customWidth="1"/>
    <col min="10" max="10" width="6.28515625" style="34" customWidth="1"/>
    <col min="11" max="11" width="13" style="34" customWidth="1"/>
    <col min="12" max="12" width="5.28515625" style="34" customWidth="1"/>
    <col min="13" max="13" width="9.42578125" style="286" customWidth="1"/>
    <col min="14" max="14" width="9" style="286"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8"/>
      <c r="B1" s="149"/>
      <c r="C1" s="150"/>
      <c r="D1" s="151"/>
      <c r="E1" s="152"/>
      <c r="F1" s="153"/>
      <c r="G1" s="153"/>
      <c r="H1" s="153"/>
      <c r="I1" s="153"/>
      <c r="J1" s="890" t="s">
        <v>215</v>
      </c>
      <c r="K1" s="890"/>
      <c r="L1" s="153"/>
      <c r="M1" s="886" t="s">
        <v>216</v>
      </c>
      <c r="N1" s="887"/>
      <c r="O1" s="262" t="s">
        <v>217</v>
      </c>
    </row>
    <row r="2" spans="1:125" ht="30" customHeight="1" thickBot="1" x14ac:dyDescent="0.35">
      <c r="A2" s="884" t="s">
        <v>488</v>
      </c>
      <c r="B2" s="885"/>
      <c r="C2" s="882" t="e">
        <f>Profit!#REF!&amp; " Your Home"</f>
        <v>#REF!</v>
      </c>
      <c r="D2" s="883"/>
      <c r="E2" s="162" t="s">
        <v>218</v>
      </c>
      <c r="F2" s="880">
        <f>+MIN(ProposalToGnatt[Start Date])</f>
        <v>45363</v>
      </c>
      <c r="G2" s="881"/>
      <c r="H2" s="893" t="s">
        <v>219</v>
      </c>
      <c r="I2" s="894"/>
      <c r="J2" s="871">
        <f>+SUM(H8:H20)</f>
        <v>20549.104910999999</v>
      </c>
      <c r="K2" s="718"/>
      <c r="L2" s="154"/>
      <c r="M2" s="871">
        <f>+SUM(N8:N20)-SUM(M8:M20)</f>
        <v>0</v>
      </c>
      <c r="N2" s="787"/>
      <c r="O2" s="263">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868"/>
      <c r="B3" s="869"/>
      <c r="C3" s="869"/>
      <c r="D3" s="869"/>
      <c r="E3" s="163"/>
      <c r="G3" s="34"/>
      <c r="H3" s="895" t="s">
        <v>220</v>
      </c>
      <c r="I3" s="896"/>
      <c r="J3" s="874">
        <f>SUM(H22:H25)</f>
        <v>0</v>
      </c>
      <c r="K3" s="875"/>
      <c r="L3" s="155"/>
      <c r="M3" s="874">
        <f>+J3-SUM(M22:M25)</f>
        <v>0</v>
      </c>
      <c r="N3" s="787"/>
      <c r="O3" s="264">
        <f>+SUM(H22:H25)-SUM(M22:M25)</f>
        <v>0</v>
      </c>
      <c r="AP3" s="15"/>
      <c r="AQ3" s="15"/>
      <c r="AR3" s="15"/>
    </row>
    <row r="4" spans="1:125" ht="30" customHeight="1" x14ac:dyDescent="0.3">
      <c r="A4" s="868" t="str">
        <f>+Profit!B2</f>
        <v>4121 Tensity Dr</v>
      </c>
      <c r="B4" s="869" t="str">
        <f>+Profit!B2</f>
        <v>4121 Tensity Dr</v>
      </c>
      <c r="C4" s="869"/>
      <c r="D4" s="869"/>
      <c r="E4" s="891" t="s">
        <v>221</v>
      </c>
      <c r="F4" s="892"/>
      <c r="G4" s="76">
        <v>1</v>
      </c>
      <c r="H4" s="897" t="str">
        <f>+A2 &amp; "Total:"</f>
        <v>Tim Flemming Total:</v>
      </c>
      <c r="I4" s="898"/>
      <c r="J4" s="876">
        <f>SUM(ProposalToGnatt[Price])</f>
        <v>4897.5700000000006</v>
      </c>
      <c r="K4" s="877"/>
      <c r="L4" s="156"/>
      <c r="M4" s="876" cm="1">
        <f t="array" ref="M4">+SUM(ProposalToGnatt[Due]-ProposalToGnatt[Paid])</f>
        <v>1.9895196601282805E-13</v>
      </c>
      <c r="N4" s="787"/>
      <c r="O4" s="265">
        <f>+SUM(ProposalToGnatt[Price])-SUM(ProposalToGnatt[Paid])</f>
        <v>0</v>
      </c>
      <c r="AP4" s="15"/>
      <c r="AQ4" s="15"/>
      <c r="AR4" s="15"/>
    </row>
    <row r="5" spans="1:125" ht="18" customHeight="1" thickBot="1" x14ac:dyDescent="0.3">
      <c r="A5" s="157"/>
      <c r="B5" s="158" t="s">
        <v>222</v>
      </c>
      <c r="C5" s="159"/>
      <c r="D5" s="160"/>
      <c r="E5" s="872" t="s">
        <v>223</v>
      </c>
      <c r="F5" s="873"/>
      <c r="G5" s="161">
        <v>2</v>
      </c>
      <c r="H5" s="870" t="s">
        <v>224</v>
      </c>
      <c r="I5" s="870"/>
      <c r="J5" s="878">
        <f>+SUM(J2:K4)</f>
        <v>25446.674910999998</v>
      </c>
      <c r="K5" s="879"/>
      <c r="L5" s="24"/>
      <c r="M5" s="899">
        <f>+SUM(M2:M4)</f>
        <v>1.9895196601282805E-13</v>
      </c>
      <c r="N5" s="802"/>
      <c r="O5" s="268">
        <f>+SUM(O2:Q4)</f>
        <v>20549.104910999999</v>
      </c>
      <c r="BB5" s="15"/>
      <c r="BC5" s="15"/>
      <c r="BD5" s="15"/>
    </row>
    <row r="6" spans="1:125" s="22" customFormat="1" ht="30.75" customHeight="1" thickBot="1" x14ac:dyDescent="0.4">
      <c r="A6" s="77"/>
      <c r="B6" s="78"/>
      <c r="C6" s="79"/>
      <c r="D6" s="77"/>
      <c r="E6" s="80" t="e">
        <f>Profit!#REF!&amp;" Your Home Supplied Materials"</f>
        <v>#REF!</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225</v>
      </c>
      <c r="B7" s="78" t="s">
        <v>226</v>
      </c>
      <c r="C7" s="79" t="s">
        <v>206</v>
      </c>
      <c r="D7" s="77" t="s">
        <v>207</v>
      </c>
      <c r="E7" s="77" t="s">
        <v>208</v>
      </c>
      <c r="F7" s="77" t="s">
        <v>179</v>
      </c>
      <c r="G7" s="81" t="s">
        <v>180</v>
      </c>
      <c r="H7" s="81" t="s">
        <v>209</v>
      </c>
      <c r="I7" s="77" t="s">
        <v>210</v>
      </c>
      <c r="J7" s="77" t="s">
        <v>211</v>
      </c>
      <c r="K7" s="82" t="s">
        <v>212</v>
      </c>
      <c r="L7" s="77" t="s">
        <v>213</v>
      </c>
      <c r="M7" s="77" t="s">
        <v>214</v>
      </c>
      <c r="N7" s="77" t="s">
        <v>216</v>
      </c>
      <c r="O7" s="77" t="s">
        <v>134</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e">
        <f>Profit!#REF!&amp;" Your Home"</f>
        <v>#REF!</v>
      </c>
      <c r="B8" s="84">
        <v>1</v>
      </c>
      <c r="C8" s="85"/>
      <c r="D8" s="83"/>
      <c r="E8" s="83" t="s">
        <v>227</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e">
        <f>Profit!#REF!&amp;" Your Home"</f>
        <v>#REF!</v>
      </c>
      <c r="B9" s="84">
        <f>+B8+1</f>
        <v>2</v>
      </c>
      <c r="C9" s="85"/>
      <c r="D9" s="83"/>
      <c r="E9" s="83" t="s">
        <v>228</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e">
        <f>Profit!#REF!&amp;" Your Home"</f>
        <v>#REF!</v>
      </c>
      <c r="B10" s="84">
        <f t="shared" ref="B10:B20" si="4">+B9+1</f>
        <v>3</v>
      </c>
      <c r="C10" s="85"/>
      <c r="D10" s="83"/>
      <c r="E10" s="83" t="s">
        <v>229</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e">
        <f>Profit!#REF!&amp;" Your Home"</f>
        <v>#REF!</v>
      </c>
      <c r="B11" s="84">
        <f t="shared" si="4"/>
        <v>4</v>
      </c>
      <c r="C11" s="85"/>
      <c r="D11" s="83"/>
      <c r="E11" s="83" t="s">
        <v>230</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e">
        <f>Profit!#REF!&amp;" Your Home"</f>
        <v>#REF!</v>
      </c>
      <c r="B12" s="84">
        <f t="shared" si="4"/>
        <v>5</v>
      </c>
      <c r="C12" s="85"/>
      <c r="D12" s="83"/>
      <c r="E12" s="83" t="s">
        <v>231</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e">
        <f>Profit!#REF!&amp;" Your Home"</f>
        <v>#REF!</v>
      </c>
      <c r="B13" s="84">
        <f t="shared" si="4"/>
        <v>6</v>
      </c>
      <c r="C13" s="85"/>
      <c r="D13" s="83"/>
      <c r="E13" s="83" t="s">
        <v>232</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e">
        <f>Profit!#REF!&amp;" Your Home"</f>
        <v>#REF!</v>
      </c>
      <c r="B14" s="84">
        <f t="shared" si="4"/>
        <v>7</v>
      </c>
      <c r="C14" s="85"/>
      <c r="D14" s="83"/>
      <c r="E14" s="83" t="s">
        <v>233</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e">
        <f>Profit!#REF!&amp;" Your Home"</f>
        <v>#REF!</v>
      </c>
      <c r="B15" s="84">
        <f t="shared" si="4"/>
        <v>8</v>
      </c>
      <c r="C15" s="85"/>
      <c r="D15" s="83"/>
      <c r="E15" s="83" t="s">
        <v>234</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e">
        <f>Profit!#REF!&amp;" Your Home"</f>
        <v>#REF!</v>
      </c>
      <c r="B16" s="84">
        <f t="shared" si="4"/>
        <v>9</v>
      </c>
      <c r="C16" s="85"/>
      <c r="D16" s="83"/>
      <c r="E16" s="83" t="s">
        <v>478</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e">
        <f>Profit!#REF!&amp;" Your Home"</f>
        <v>#REF!</v>
      </c>
      <c r="B17" s="84">
        <f>+B15+1</f>
        <v>9</v>
      </c>
      <c r="C17" s="85"/>
      <c r="D17" s="83"/>
      <c r="E17" s="83" t="s">
        <v>235</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e">
        <f>Profit!#REF!&amp;" Your Home"</f>
        <v>#REF!</v>
      </c>
      <c r="B18" s="84">
        <f t="shared" si="4"/>
        <v>10</v>
      </c>
      <c r="C18" s="85"/>
      <c r="D18" s="83"/>
      <c r="E18" s="83" t="s">
        <v>236</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e">
        <f>Profit!#REF!&amp;" Your Home"</f>
        <v>#REF!</v>
      </c>
      <c r="B19" s="84">
        <f t="shared" si="4"/>
        <v>11</v>
      </c>
      <c r="C19" s="85"/>
      <c r="D19" s="83"/>
      <c r="E19" s="83" t="s">
        <v>237</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e">
        <f>Profit!#REF!&amp;" Your Home"</f>
        <v>#REF!</v>
      </c>
      <c r="B20" s="84">
        <f t="shared" si="4"/>
        <v>12</v>
      </c>
      <c r="C20" s="85"/>
      <c r="D20" s="83"/>
      <c r="E20" s="83" t="s">
        <v>574</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e">
        <f>Profit!#REF!&amp;" Your Home's Paid Contractors"</f>
        <v>#REF!</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239</v>
      </c>
      <c r="B22" s="96">
        <f>+B20+1</f>
        <v>13</v>
      </c>
      <c r="C22" s="97"/>
      <c r="D22" s="98"/>
      <c r="E22" s="99" t="s">
        <v>240</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888" t="s">
        <v>241</v>
      </c>
      <c r="AB22" s="889"/>
      <c r="AC22" s="889"/>
      <c r="AD22" s="889"/>
      <c r="AE22" s="889"/>
      <c r="AF22" s="889"/>
      <c r="AG22" s="889"/>
      <c r="AH22" s="889"/>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239</v>
      </c>
      <c r="B23" s="96">
        <f>+B22+1</f>
        <v>14</v>
      </c>
      <c r="C23" s="97"/>
      <c r="D23" s="98"/>
      <c r="E23" s="99" t="s">
        <v>240</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889"/>
      <c r="AB23" s="889"/>
      <c r="AC23" s="889"/>
      <c r="AD23" s="889"/>
      <c r="AE23" s="889"/>
      <c r="AF23" s="889"/>
      <c r="AG23" s="889"/>
      <c r="AH23" s="889"/>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242</v>
      </c>
      <c r="B24" s="96">
        <f>+B23+1</f>
        <v>15</v>
      </c>
      <c r="C24" s="97"/>
      <c r="D24" s="98"/>
      <c r="E24" s="99" t="s">
        <v>243</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242</v>
      </c>
      <c r="B25" s="96">
        <f>+B24+1</f>
        <v>16</v>
      </c>
      <c r="C25" s="97"/>
      <c r="D25" s="98"/>
      <c r="E25" s="99" t="s">
        <v>244</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47" t="s">
        <v>204</v>
      </c>
      <c r="B27" s="247" t="s">
        <v>205</v>
      </c>
      <c r="C27" s="247" t="s">
        <v>206</v>
      </c>
      <c r="D27" s="247" t="s">
        <v>207</v>
      </c>
      <c r="E27" s="247" t="s">
        <v>208</v>
      </c>
      <c r="F27" s="247" t="s">
        <v>179</v>
      </c>
      <c r="G27" s="266" t="s">
        <v>180</v>
      </c>
      <c r="H27" s="266" t="s">
        <v>209</v>
      </c>
      <c r="I27" s="247" t="s">
        <v>210</v>
      </c>
      <c r="J27" s="247" t="s">
        <v>211</v>
      </c>
      <c r="K27" s="267" t="s">
        <v>212</v>
      </c>
      <c r="L27" s="247" t="s">
        <v>213</v>
      </c>
      <c r="M27" s="247" t="s">
        <v>214</v>
      </c>
      <c r="N27" s="22" t="s">
        <v>216</v>
      </c>
      <c r="O27" s="22" t="s">
        <v>134</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488</v>
      </c>
      <c r="B28">
        <v>1</v>
      </c>
      <c r="C28" t="s">
        <v>181</v>
      </c>
      <c r="D28" t="s">
        <v>181</v>
      </c>
      <c r="E28" t="s">
        <v>182</v>
      </c>
      <c r="F28">
        <v>0</v>
      </c>
      <c r="G28" s="14"/>
      <c r="H28" s="14"/>
      <c r="I28"/>
      <c r="J28">
        <v>4</v>
      </c>
      <c r="K28" s="235">
        <v>45363</v>
      </c>
      <c r="L28"/>
      <c r="M28" s="14"/>
      <c r="N28" s="287"/>
      <c r="O28" s="269"/>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488</v>
      </c>
      <c r="B29">
        <v>2</v>
      </c>
      <c r="C29" t="s">
        <v>183</v>
      </c>
      <c r="D29" t="s">
        <v>184</v>
      </c>
      <c r="E29" t="s">
        <v>185</v>
      </c>
      <c r="F29">
        <v>0</v>
      </c>
      <c r="G29" s="14"/>
      <c r="H29" s="14"/>
      <c r="I29"/>
      <c r="J29">
        <v>4</v>
      </c>
      <c r="K29" s="235">
        <v>45823</v>
      </c>
      <c r="L29"/>
      <c r="M29" s="14">
        <v>4897.57</v>
      </c>
      <c r="N29" s="287"/>
      <c r="O29" s="269"/>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488</v>
      </c>
      <c r="B30">
        <v>3</v>
      </c>
      <c r="C30" t="s">
        <v>183</v>
      </c>
      <c r="D30" t="s">
        <v>186</v>
      </c>
      <c r="E30" t="s">
        <v>186</v>
      </c>
      <c r="F30">
        <v>0</v>
      </c>
      <c r="G30" s="14"/>
      <c r="H30" s="14"/>
      <c r="I30"/>
      <c r="J30">
        <v>4</v>
      </c>
      <c r="K30" s="235"/>
      <c r="L30"/>
      <c r="M30" s="14"/>
      <c r="N30" s="287"/>
      <c r="O30" s="269"/>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245</v>
      </c>
      <c r="B31">
        <v>4</v>
      </c>
      <c r="C31"/>
      <c r="D31" t="s">
        <v>187</v>
      </c>
      <c r="E31" t="s">
        <v>188</v>
      </c>
      <c r="F31">
        <v>6</v>
      </c>
      <c r="G31" s="14"/>
      <c r="H31" s="14"/>
      <c r="I31"/>
      <c r="J31">
        <v>5</v>
      </c>
      <c r="K31" s="235"/>
      <c r="L31"/>
      <c r="M31" s="14"/>
      <c r="N31" s="287"/>
      <c r="O31" s="269"/>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488</v>
      </c>
      <c r="B32">
        <v>5</v>
      </c>
      <c r="C32" t="s">
        <v>189</v>
      </c>
      <c r="D32" t="s">
        <v>190</v>
      </c>
      <c r="E32" t="s">
        <v>494</v>
      </c>
      <c r="F32">
        <v>0</v>
      </c>
      <c r="G32" s="14">
        <v>0</v>
      </c>
      <c r="H32" s="14">
        <v>0</v>
      </c>
      <c r="I32"/>
      <c r="J32"/>
      <c r="K32" s="235"/>
      <c r="L32"/>
      <c r="M32" s="14"/>
      <c r="N32" s="287"/>
      <c r="O32" s="269"/>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488</v>
      </c>
      <c r="B33">
        <v>6</v>
      </c>
      <c r="C33" t="s">
        <v>191</v>
      </c>
      <c r="D33" t="s">
        <v>190</v>
      </c>
      <c r="E33" t="s">
        <v>489</v>
      </c>
      <c r="F33">
        <v>0</v>
      </c>
      <c r="G33" s="14">
        <v>0</v>
      </c>
      <c r="H33" s="14">
        <v>0</v>
      </c>
      <c r="I33"/>
      <c r="J33"/>
      <c r="K33" s="235"/>
      <c r="L33"/>
      <c r="M33" s="14"/>
      <c r="N33" s="287"/>
      <c r="O33" s="269"/>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488</v>
      </c>
      <c r="B34">
        <v>7</v>
      </c>
      <c r="C34" t="s">
        <v>192</v>
      </c>
      <c r="D34" t="s">
        <v>190</v>
      </c>
      <c r="E34" t="s">
        <v>490</v>
      </c>
      <c r="F34">
        <v>0</v>
      </c>
      <c r="G34" s="14">
        <v>0</v>
      </c>
      <c r="H34" s="14">
        <v>0</v>
      </c>
      <c r="I34"/>
      <c r="J34"/>
      <c r="K34" s="235"/>
      <c r="L34"/>
      <c r="M34" s="14"/>
      <c r="N34" s="287"/>
      <c r="O34" s="269"/>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488</v>
      </c>
      <c r="B35">
        <v>8</v>
      </c>
      <c r="C35" t="s">
        <v>194</v>
      </c>
      <c r="D35" t="s">
        <v>190</v>
      </c>
      <c r="E35" t="s">
        <v>491</v>
      </c>
      <c r="F35">
        <v>0</v>
      </c>
      <c r="G35" s="14">
        <v>0</v>
      </c>
      <c r="H35" s="14">
        <v>0</v>
      </c>
      <c r="I35"/>
      <c r="J35"/>
      <c r="K35" s="235"/>
      <c r="L35"/>
      <c r="M35" s="14"/>
      <c r="N35" s="287"/>
      <c r="O35" s="269"/>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488</v>
      </c>
      <c r="B36">
        <v>9</v>
      </c>
      <c r="C36" t="s">
        <v>195</v>
      </c>
      <c r="D36" t="s">
        <v>190</v>
      </c>
      <c r="E36" t="s">
        <v>492</v>
      </c>
      <c r="F36">
        <v>0</v>
      </c>
      <c r="G36" s="14">
        <v>0</v>
      </c>
      <c r="H36" s="14">
        <v>0</v>
      </c>
      <c r="I36"/>
      <c r="J36"/>
      <c r="K36" s="235"/>
      <c r="L36"/>
      <c r="M36" s="14"/>
      <c r="N36" s="287"/>
      <c r="O36" s="269"/>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245</v>
      </c>
      <c r="B37">
        <v>10</v>
      </c>
      <c r="C37"/>
      <c r="D37"/>
      <c r="E37" t="s">
        <v>753</v>
      </c>
      <c r="F37">
        <v>1</v>
      </c>
      <c r="G37" s="14">
        <v>155</v>
      </c>
      <c r="H37" s="14">
        <v>155</v>
      </c>
      <c r="I37" t="s">
        <v>29</v>
      </c>
      <c r="J37"/>
      <c r="K37" s="235"/>
      <c r="L37"/>
      <c r="M37" s="14"/>
      <c r="N37" s="287">
        <v>155</v>
      </c>
      <c r="O37" s="269"/>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245</v>
      </c>
      <c r="B38">
        <v>11</v>
      </c>
      <c r="C38"/>
      <c r="D38"/>
      <c r="E38" t="s">
        <v>752</v>
      </c>
      <c r="F38">
        <v>1</v>
      </c>
      <c r="G38" s="14">
        <v>45</v>
      </c>
      <c r="H38" s="14">
        <v>45</v>
      </c>
      <c r="I38" t="s">
        <v>29</v>
      </c>
      <c r="J38"/>
      <c r="K38" s="235"/>
      <c r="L38"/>
      <c r="M38" s="14"/>
      <c r="N38" s="287">
        <v>45</v>
      </c>
      <c r="O38" s="269"/>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245</v>
      </c>
      <c r="B39">
        <v>12</v>
      </c>
      <c r="C39"/>
      <c r="D39"/>
      <c r="E39" t="s">
        <v>766</v>
      </c>
      <c r="F39">
        <v>1</v>
      </c>
      <c r="G39" s="14">
        <v>25</v>
      </c>
      <c r="H39" s="14">
        <v>25</v>
      </c>
      <c r="I39" t="s">
        <v>29</v>
      </c>
      <c r="J39"/>
      <c r="K39" s="235"/>
      <c r="L39"/>
      <c r="M39" s="14"/>
      <c r="N39" s="287">
        <v>25</v>
      </c>
      <c r="O39" s="269"/>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245</v>
      </c>
      <c r="B40">
        <v>13</v>
      </c>
      <c r="C40"/>
      <c r="D40"/>
      <c r="E40" t="s">
        <v>754</v>
      </c>
      <c r="F40">
        <v>1</v>
      </c>
      <c r="G40" s="14">
        <v>85</v>
      </c>
      <c r="H40" s="14">
        <v>85</v>
      </c>
      <c r="I40" t="s">
        <v>29</v>
      </c>
      <c r="J40"/>
      <c r="K40" s="235"/>
      <c r="L40"/>
      <c r="M40" s="14"/>
      <c r="N40" s="287">
        <v>85</v>
      </c>
      <c r="O40" s="269"/>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245</v>
      </c>
      <c r="B41">
        <v>14</v>
      </c>
      <c r="C41"/>
      <c r="D41"/>
      <c r="E41" t="s">
        <v>755</v>
      </c>
      <c r="F41">
        <v>1</v>
      </c>
      <c r="G41" s="14">
        <v>25</v>
      </c>
      <c r="H41" s="14">
        <v>25</v>
      </c>
      <c r="I41" t="s">
        <v>29</v>
      </c>
      <c r="J41"/>
      <c r="K41" s="235"/>
      <c r="L41"/>
      <c r="M41" s="14"/>
      <c r="N41" s="287">
        <v>25</v>
      </c>
      <c r="O41" s="269"/>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245</v>
      </c>
      <c r="B42">
        <v>15</v>
      </c>
      <c r="C42"/>
      <c r="D42"/>
      <c r="E42" t="s">
        <v>756</v>
      </c>
      <c r="F42">
        <v>2</v>
      </c>
      <c r="G42" s="14">
        <v>35</v>
      </c>
      <c r="H42" s="14">
        <v>70</v>
      </c>
      <c r="I42" t="s">
        <v>29</v>
      </c>
      <c r="J42"/>
      <c r="K42" s="235"/>
      <c r="L42"/>
      <c r="M42" s="14"/>
      <c r="N42" s="287">
        <v>70</v>
      </c>
      <c r="O42" s="269"/>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245</v>
      </c>
      <c r="B43">
        <v>16</v>
      </c>
      <c r="C43"/>
      <c r="D43"/>
      <c r="E43" t="s">
        <v>757</v>
      </c>
      <c r="F43">
        <v>1</v>
      </c>
      <c r="G43" s="14">
        <v>350</v>
      </c>
      <c r="H43" s="14">
        <v>350</v>
      </c>
      <c r="I43" t="s">
        <v>29</v>
      </c>
      <c r="J43"/>
      <c r="K43" s="235"/>
      <c r="L43"/>
      <c r="M43" s="14"/>
      <c r="N43" s="287">
        <v>350</v>
      </c>
      <c r="O43" s="269"/>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245</v>
      </c>
      <c r="B44">
        <v>17</v>
      </c>
      <c r="C44"/>
      <c r="D44"/>
      <c r="E44" t="s">
        <v>758</v>
      </c>
      <c r="F44">
        <v>1</v>
      </c>
      <c r="G44" s="14">
        <v>1200</v>
      </c>
      <c r="H44" s="14">
        <v>1200</v>
      </c>
      <c r="I44" t="s">
        <v>29</v>
      </c>
      <c r="J44"/>
      <c r="K44" s="235"/>
      <c r="L44"/>
      <c r="M44" s="14"/>
      <c r="N44" s="287">
        <v>1200</v>
      </c>
      <c r="O44" s="269"/>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245</v>
      </c>
      <c r="B45">
        <v>18</v>
      </c>
      <c r="C45"/>
      <c r="D45"/>
      <c r="E45" t="s">
        <v>759</v>
      </c>
      <c r="F45">
        <v>1</v>
      </c>
      <c r="G45" s="14">
        <v>110</v>
      </c>
      <c r="H45" s="14">
        <v>110</v>
      </c>
      <c r="I45" t="s">
        <v>29</v>
      </c>
      <c r="J45"/>
      <c r="K45" s="235"/>
      <c r="L45"/>
      <c r="M45" s="14"/>
      <c r="N45" s="287">
        <v>110</v>
      </c>
      <c r="O45" s="269" t="s">
        <v>520</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245</v>
      </c>
      <c r="B46">
        <v>19</v>
      </c>
      <c r="C46"/>
      <c r="D46"/>
      <c r="E46" t="s">
        <v>760</v>
      </c>
      <c r="F46">
        <v>1</v>
      </c>
      <c r="G46" s="14">
        <v>215</v>
      </c>
      <c r="H46" s="14">
        <v>215</v>
      </c>
      <c r="I46" t="s">
        <v>29</v>
      </c>
      <c r="J46"/>
      <c r="K46" s="235"/>
      <c r="L46"/>
      <c r="M46" s="14"/>
      <c r="N46" s="287">
        <v>215</v>
      </c>
      <c r="O46" s="269"/>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245</v>
      </c>
      <c r="B47">
        <v>20</v>
      </c>
      <c r="C47"/>
      <c r="D47"/>
      <c r="E47" t="s">
        <v>761</v>
      </c>
      <c r="F47">
        <v>1</v>
      </c>
      <c r="G47" s="14">
        <v>1300.0999999999999</v>
      </c>
      <c r="H47" s="14">
        <v>1300.0999999999999</v>
      </c>
      <c r="I47" t="s">
        <v>29</v>
      </c>
      <c r="J47"/>
      <c r="K47" s="235"/>
      <c r="L47"/>
      <c r="M47" s="14"/>
      <c r="N47" s="287">
        <v>1300.0999999999999</v>
      </c>
      <c r="O47" s="269"/>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245</v>
      </c>
      <c r="B48">
        <v>21</v>
      </c>
      <c r="C48"/>
      <c r="D48"/>
      <c r="E48" t="s">
        <v>762</v>
      </c>
      <c r="F48">
        <v>1</v>
      </c>
      <c r="G48" s="14">
        <v>95</v>
      </c>
      <c r="H48" s="14">
        <v>95</v>
      </c>
      <c r="I48" t="s">
        <v>29</v>
      </c>
      <c r="J48"/>
      <c r="K48" s="235"/>
      <c r="L48"/>
      <c r="M48" s="14"/>
      <c r="N48" s="287">
        <v>95</v>
      </c>
      <c r="O48" s="269"/>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245</v>
      </c>
      <c r="B49">
        <v>22</v>
      </c>
      <c r="C49"/>
      <c r="D49"/>
      <c r="E49" t="s">
        <v>763</v>
      </c>
      <c r="F49">
        <v>1</v>
      </c>
      <c r="G49" s="14">
        <v>65</v>
      </c>
      <c r="H49" s="14">
        <v>65</v>
      </c>
      <c r="I49" t="s">
        <v>29</v>
      </c>
      <c r="J49"/>
      <c r="K49" s="235"/>
      <c r="L49"/>
      <c r="M49" s="14"/>
      <c r="N49" s="287">
        <v>65</v>
      </c>
      <c r="O49" s="269"/>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245</v>
      </c>
      <c r="B50">
        <v>23</v>
      </c>
      <c r="C50"/>
      <c r="D50"/>
      <c r="E50" t="s">
        <v>764</v>
      </c>
      <c r="F50">
        <v>1</v>
      </c>
      <c r="G50" s="14">
        <v>95</v>
      </c>
      <c r="H50" s="14">
        <v>95</v>
      </c>
      <c r="I50" t="s">
        <v>29</v>
      </c>
      <c r="J50"/>
      <c r="K50" s="235"/>
      <c r="L50"/>
      <c r="M50" s="14"/>
      <c r="N50" s="287">
        <v>95</v>
      </c>
      <c r="O50" s="269"/>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245</v>
      </c>
      <c r="B51">
        <v>24</v>
      </c>
      <c r="C51"/>
      <c r="D51"/>
      <c r="E51" t="s">
        <v>765</v>
      </c>
      <c r="F51">
        <v>0</v>
      </c>
      <c r="G51" s="14">
        <v>95</v>
      </c>
      <c r="H51" s="14">
        <v>0</v>
      </c>
      <c r="I51"/>
      <c r="J51"/>
      <c r="K51" s="235"/>
      <c r="L51"/>
      <c r="M51" s="14"/>
      <c r="N51" s="287"/>
      <c r="O51" s="269"/>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245</v>
      </c>
      <c r="B52">
        <v>25</v>
      </c>
      <c r="C52"/>
      <c r="D52"/>
      <c r="E52" t="s">
        <v>756</v>
      </c>
      <c r="F52">
        <v>1</v>
      </c>
      <c r="G52" s="14">
        <v>35</v>
      </c>
      <c r="H52" s="14">
        <v>35</v>
      </c>
      <c r="I52" t="s">
        <v>29</v>
      </c>
      <c r="J52"/>
      <c r="K52" s="235"/>
      <c r="L52"/>
      <c r="M52" s="14"/>
      <c r="N52" s="287">
        <v>35</v>
      </c>
      <c r="O52" s="269"/>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245</v>
      </c>
      <c r="B53">
        <v>26</v>
      </c>
      <c r="C53"/>
      <c r="D53"/>
      <c r="E53" t="s">
        <v>767</v>
      </c>
      <c r="F53">
        <v>1</v>
      </c>
      <c r="G53" s="14">
        <v>0</v>
      </c>
      <c r="H53" s="14">
        <v>0</v>
      </c>
      <c r="I53"/>
      <c r="J53"/>
      <c r="K53" s="235"/>
      <c r="L53"/>
      <c r="M53" s="14"/>
      <c r="N53" s="287"/>
      <c r="O53" s="269"/>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245</v>
      </c>
      <c r="B54">
        <v>27</v>
      </c>
      <c r="C54"/>
      <c r="D54"/>
      <c r="E54" t="s">
        <v>769</v>
      </c>
      <c r="F54">
        <v>1</v>
      </c>
      <c r="G54" s="14">
        <v>45</v>
      </c>
      <c r="H54" s="14">
        <v>45</v>
      </c>
      <c r="I54" t="s">
        <v>29</v>
      </c>
      <c r="J54"/>
      <c r="K54" s="235"/>
      <c r="L54"/>
      <c r="M54" s="14"/>
      <c r="N54" s="287">
        <v>45</v>
      </c>
      <c r="O54" s="269"/>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245</v>
      </c>
      <c r="B55">
        <v>28</v>
      </c>
      <c r="C55"/>
      <c r="D55"/>
      <c r="E55" t="s">
        <v>770</v>
      </c>
      <c r="F55">
        <v>1</v>
      </c>
      <c r="G55" s="14">
        <v>95</v>
      </c>
      <c r="H55" s="14">
        <v>95</v>
      </c>
      <c r="I55" t="s">
        <v>29</v>
      </c>
      <c r="J55"/>
      <c r="K55" s="235"/>
      <c r="L55"/>
      <c r="M55" s="14"/>
      <c r="N55" s="287">
        <v>95</v>
      </c>
      <c r="O55" s="269"/>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245</v>
      </c>
      <c r="B56">
        <v>29</v>
      </c>
      <c r="C56"/>
      <c r="D56"/>
      <c r="E56" t="s">
        <v>771</v>
      </c>
      <c r="F56">
        <v>1</v>
      </c>
      <c r="G56" s="14">
        <v>95</v>
      </c>
      <c r="H56" s="14">
        <v>95</v>
      </c>
      <c r="I56" t="s">
        <v>29</v>
      </c>
      <c r="J56"/>
      <c r="K56" s="235"/>
      <c r="L56"/>
      <c r="M56" s="14"/>
      <c r="N56" s="287">
        <v>95</v>
      </c>
      <c r="O56" s="269"/>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245</v>
      </c>
      <c r="B57">
        <v>30</v>
      </c>
      <c r="C57"/>
      <c r="D57"/>
      <c r="E57" t="s">
        <v>775</v>
      </c>
      <c r="F57">
        <v>8</v>
      </c>
      <c r="G57" s="14">
        <v>25</v>
      </c>
      <c r="H57" s="14">
        <v>200</v>
      </c>
      <c r="I57" t="s">
        <v>29</v>
      </c>
      <c r="J57"/>
      <c r="K57" s="235"/>
      <c r="L57"/>
      <c r="M57" s="14"/>
      <c r="N57" s="287">
        <v>200</v>
      </c>
      <c r="O57" s="269"/>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245</v>
      </c>
      <c r="B58">
        <v>31</v>
      </c>
      <c r="C58"/>
      <c r="D58"/>
      <c r="E58" t="s">
        <v>772</v>
      </c>
      <c r="F58">
        <v>8</v>
      </c>
      <c r="G58" s="14">
        <v>10</v>
      </c>
      <c r="H58" s="14">
        <v>80</v>
      </c>
      <c r="I58" t="s">
        <v>29</v>
      </c>
      <c r="J58"/>
      <c r="K58" s="235"/>
      <c r="L58"/>
      <c r="M58" s="14"/>
      <c r="N58" s="287">
        <v>80</v>
      </c>
      <c r="O58" s="269"/>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245</v>
      </c>
      <c r="B59">
        <v>32</v>
      </c>
      <c r="C59"/>
      <c r="D59"/>
      <c r="E59" t="s">
        <v>773</v>
      </c>
      <c r="F59">
        <v>3</v>
      </c>
      <c r="G59" s="14">
        <v>10</v>
      </c>
      <c r="H59" s="14">
        <v>30</v>
      </c>
      <c r="I59" t="s">
        <v>29</v>
      </c>
      <c r="J59"/>
      <c r="K59" s="235"/>
      <c r="L59"/>
      <c r="M59" s="14"/>
      <c r="N59" s="287">
        <v>30</v>
      </c>
      <c r="O59" s="269"/>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245</v>
      </c>
      <c r="B60">
        <v>33</v>
      </c>
      <c r="C60"/>
      <c r="D60"/>
      <c r="E60" t="s">
        <v>774</v>
      </c>
      <c r="F60">
        <v>2</v>
      </c>
      <c r="G60" s="14">
        <v>35</v>
      </c>
      <c r="H60" s="14">
        <v>70</v>
      </c>
      <c r="I60" t="s">
        <v>29</v>
      </c>
      <c r="J60"/>
      <c r="K60" s="235"/>
      <c r="L60"/>
      <c r="M60" s="14"/>
      <c r="N60" s="287">
        <v>70</v>
      </c>
      <c r="O60" s="269"/>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245</v>
      </c>
      <c r="B61">
        <v>34</v>
      </c>
      <c r="C61"/>
      <c r="D61"/>
      <c r="E61" t="s">
        <v>768</v>
      </c>
      <c r="F61">
        <v>1</v>
      </c>
      <c r="G61" s="14">
        <v>95</v>
      </c>
      <c r="H61" s="14">
        <v>95</v>
      </c>
      <c r="I61" t="s">
        <v>29</v>
      </c>
      <c r="J61"/>
      <c r="K61" s="235"/>
      <c r="L61"/>
      <c r="M61" s="14"/>
      <c r="N61" s="287">
        <v>95</v>
      </c>
      <c r="O61" s="269"/>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245</v>
      </c>
      <c r="B62">
        <v>35</v>
      </c>
      <c r="C62"/>
      <c r="D62"/>
      <c r="E62" t="s">
        <v>776</v>
      </c>
      <c r="F62">
        <v>1</v>
      </c>
      <c r="G62" s="14">
        <v>50</v>
      </c>
      <c r="H62" s="14">
        <v>50</v>
      </c>
      <c r="I62" t="s">
        <v>29</v>
      </c>
      <c r="J62"/>
      <c r="K62" s="235"/>
      <c r="L62"/>
      <c r="M62" s="14"/>
      <c r="N62" s="287">
        <v>50</v>
      </c>
      <c r="O62" s="269"/>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245</v>
      </c>
      <c r="B63">
        <v>36</v>
      </c>
      <c r="C63"/>
      <c r="D63"/>
      <c r="E63" t="s">
        <v>832</v>
      </c>
      <c r="F63">
        <v>1</v>
      </c>
      <c r="G63" s="14">
        <v>48</v>
      </c>
      <c r="H63" s="14">
        <v>48</v>
      </c>
      <c r="I63" t="s">
        <v>29</v>
      </c>
      <c r="J63"/>
      <c r="K63" s="235"/>
      <c r="L63"/>
      <c r="M63" s="14"/>
      <c r="N63" s="287">
        <v>48</v>
      </c>
      <c r="O63" s="269"/>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245</v>
      </c>
      <c r="B64">
        <v>37</v>
      </c>
      <c r="C64"/>
      <c r="D64"/>
      <c r="E64" t="s">
        <v>833</v>
      </c>
      <c r="F64">
        <v>1</v>
      </c>
      <c r="G64" s="14">
        <v>80</v>
      </c>
      <c r="H64" s="14">
        <v>80</v>
      </c>
      <c r="I64" t="s">
        <v>29</v>
      </c>
      <c r="J64"/>
      <c r="K64" s="235"/>
      <c r="L64"/>
      <c r="M64" s="14"/>
      <c r="N64" s="287">
        <v>80</v>
      </c>
      <c r="O64" s="269"/>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245</v>
      </c>
      <c r="B65">
        <v>38</v>
      </c>
      <c r="C65"/>
      <c r="D65"/>
      <c r="E65" t="s">
        <v>854</v>
      </c>
      <c r="F65">
        <v>1</v>
      </c>
      <c r="G65" s="14">
        <v>139.47</v>
      </c>
      <c r="H65" s="14">
        <v>139.47</v>
      </c>
      <c r="I65" t="s">
        <v>29</v>
      </c>
      <c r="J65"/>
      <c r="K65" s="235"/>
      <c r="L65"/>
      <c r="M65" s="14"/>
      <c r="N65" s="287">
        <v>139.47</v>
      </c>
      <c r="O65" s="269"/>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245</v>
      </c>
      <c r="B66">
        <v>39</v>
      </c>
      <c r="C66"/>
      <c r="D66"/>
      <c r="E66"/>
      <c r="F66"/>
      <c r="G66" s="14"/>
      <c r="H66" s="14"/>
      <c r="I66"/>
      <c r="J66"/>
      <c r="K66" s="235"/>
      <c r="L66"/>
      <c r="M66" s="14"/>
      <c r="N66" s="287"/>
      <c r="O66" s="269"/>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245</v>
      </c>
      <c r="B67">
        <v>40</v>
      </c>
      <c r="C67"/>
      <c r="D67"/>
      <c r="E67"/>
      <c r="F67"/>
      <c r="G67" s="14"/>
      <c r="H67" s="14"/>
      <c r="I67"/>
      <c r="J67"/>
      <c r="K67" s="235"/>
      <c r="L67"/>
      <c r="M67" s="14"/>
      <c r="N67" s="287"/>
      <c r="O67" s="269"/>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245</v>
      </c>
      <c r="B68">
        <v>41</v>
      </c>
      <c r="C68"/>
      <c r="D68"/>
      <c r="E68"/>
      <c r="F68"/>
      <c r="G68" s="14"/>
      <c r="H68" s="14"/>
      <c r="I68"/>
      <c r="J68"/>
      <c r="K68" s="235"/>
      <c r="L68"/>
      <c r="M68" s="14"/>
      <c r="N68" s="287"/>
      <c r="O68" s="269"/>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245</v>
      </c>
      <c r="B69">
        <v>42</v>
      </c>
      <c r="C69"/>
      <c r="D69"/>
      <c r="E69"/>
      <c r="F69"/>
      <c r="G69" s="14"/>
      <c r="H69" s="14"/>
      <c r="I69"/>
      <c r="J69"/>
      <c r="K69" s="235"/>
      <c r="L69"/>
      <c r="M69" s="14"/>
      <c r="N69" s="287"/>
      <c r="O69" s="269"/>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245</v>
      </c>
      <c r="B70">
        <v>43</v>
      </c>
      <c r="C70"/>
      <c r="D70"/>
      <c r="E70"/>
      <c r="F70"/>
      <c r="G70" s="14"/>
      <c r="H70" s="14"/>
      <c r="I70"/>
      <c r="J70"/>
      <c r="K70" s="235"/>
      <c r="L70"/>
      <c r="M70" s="14"/>
      <c r="N70" s="287"/>
      <c r="O70" s="269"/>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245</v>
      </c>
      <c r="B71">
        <v>44</v>
      </c>
      <c r="C71"/>
      <c r="D71"/>
      <c r="E71"/>
      <c r="F71"/>
      <c r="G71" s="14"/>
      <c r="H71" s="14"/>
      <c r="I71"/>
      <c r="J71"/>
      <c r="K71" s="235"/>
      <c r="L71"/>
      <c r="M71" s="14"/>
      <c r="N71" s="287"/>
      <c r="O71" s="269"/>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35"/>
      <c r="L72"/>
      <c r="M72" s="14"/>
      <c r="N72" s="287"/>
      <c r="O72" s="269"/>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35"/>
      <c r="L73"/>
      <c r="M73" s="14"/>
      <c r="N73" s="287"/>
      <c r="O73" s="269"/>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35"/>
      <c r="L74"/>
      <c r="M74" s="14"/>
      <c r="N74" s="287"/>
      <c r="O74" s="269"/>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35"/>
      <c r="L75"/>
      <c r="M75" s="14"/>
      <c r="N75" s="287"/>
      <c r="O75" s="269"/>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35"/>
      <c r="L76"/>
      <c r="M76" s="14"/>
      <c r="N76" s="287"/>
      <c r="O76" s="269"/>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35"/>
      <c r="L77"/>
      <c r="M77" s="14"/>
      <c r="N77" s="287"/>
      <c r="O77" s="269"/>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35"/>
      <c r="L78"/>
      <c r="M78" s="14"/>
      <c r="N78" s="287"/>
      <c r="O78" s="269"/>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35"/>
      <c r="L79"/>
      <c r="M79" s="14"/>
      <c r="N79" s="287"/>
      <c r="O79" s="269"/>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35"/>
      <c r="L80"/>
      <c r="M80" s="14"/>
      <c r="N80" s="287"/>
      <c r="O80" s="269"/>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35"/>
      <c r="L81"/>
      <c r="M81" s="14"/>
      <c r="N81" s="287"/>
      <c r="O81" s="269"/>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35"/>
      <c r="L82"/>
      <c r="M82" s="14"/>
      <c r="N82" s="287"/>
      <c r="O82" s="269"/>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35"/>
      <c r="L83"/>
      <c r="M83" s="14"/>
      <c r="N83" s="287"/>
      <c r="O83" s="269"/>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35"/>
      <c r="L84"/>
      <c r="M84" s="14"/>
      <c r="N84" s="287"/>
      <c r="O84" s="269"/>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35"/>
      <c r="L85"/>
      <c r="M85" s="14"/>
      <c r="N85" s="287"/>
      <c r="O85" s="269"/>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35"/>
      <c r="L86"/>
      <c r="M86" s="14"/>
      <c r="N86" s="287"/>
      <c r="O86" s="269"/>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35"/>
      <c r="L87"/>
      <c r="M87" s="14"/>
      <c r="N87" s="287"/>
      <c r="O87" s="269"/>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849</v>
      </c>
      <c r="D1" s="104"/>
      <c r="E1" s="104"/>
      <c r="F1" s="104"/>
      <c r="G1" s="104"/>
      <c r="H1" s="104"/>
    </row>
    <row r="2" spans="1:8" ht="30" x14ac:dyDescent="0.25">
      <c r="A2" s="247" t="s">
        <v>204</v>
      </c>
      <c r="B2" s="247" t="s">
        <v>205</v>
      </c>
      <c r="C2" s="247" t="s">
        <v>208</v>
      </c>
      <c r="D2" s="247" t="s">
        <v>179</v>
      </c>
      <c r="E2" s="266" t="s">
        <v>180</v>
      </c>
      <c r="F2" s="266" t="s">
        <v>209</v>
      </c>
      <c r="G2" s="247" t="s">
        <v>210</v>
      </c>
      <c r="H2" s="22" t="s">
        <v>216</v>
      </c>
    </row>
    <row r="3" spans="1:8" x14ac:dyDescent="0.25">
      <c r="A3" t="s">
        <v>488</v>
      </c>
      <c r="B3">
        <v>1</v>
      </c>
      <c r="C3" t="s">
        <v>182</v>
      </c>
      <c r="D3">
        <v>0</v>
      </c>
      <c r="E3" s="14"/>
      <c r="F3" s="14"/>
      <c r="H3" s="287"/>
    </row>
    <row r="4" spans="1:8" x14ac:dyDescent="0.25">
      <c r="A4" t="s">
        <v>488</v>
      </c>
      <c r="B4">
        <v>2</v>
      </c>
      <c r="C4" t="s">
        <v>185</v>
      </c>
      <c r="D4">
        <v>0</v>
      </c>
      <c r="E4" s="14"/>
      <c r="F4" s="14"/>
      <c r="H4" s="287"/>
    </row>
    <row r="5" spans="1:8" x14ac:dyDescent="0.25">
      <c r="A5" t="s">
        <v>488</v>
      </c>
      <c r="B5">
        <v>3</v>
      </c>
      <c r="C5" t="s">
        <v>186</v>
      </c>
      <c r="D5">
        <v>0</v>
      </c>
      <c r="E5" s="14"/>
      <c r="F5" s="14"/>
      <c r="H5" s="287"/>
    </row>
    <row r="6" spans="1:8" x14ac:dyDescent="0.25">
      <c r="A6" t="s">
        <v>245</v>
      </c>
      <c r="B6">
        <v>4</v>
      </c>
      <c r="C6" t="s">
        <v>188</v>
      </c>
      <c r="D6">
        <v>6</v>
      </c>
      <c r="E6" s="14"/>
      <c r="F6" s="14"/>
      <c r="H6" s="287"/>
    </row>
    <row r="7" spans="1:8" x14ac:dyDescent="0.25">
      <c r="A7" t="s">
        <v>488</v>
      </c>
      <c r="B7">
        <v>5</v>
      </c>
      <c r="C7" t="s">
        <v>494</v>
      </c>
      <c r="D7">
        <v>0</v>
      </c>
      <c r="E7" s="14">
        <v>0</v>
      </c>
      <c r="F7" s="14">
        <v>0</v>
      </c>
      <c r="H7" s="287"/>
    </row>
    <row r="8" spans="1:8" x14ac:dyDescent="0.25">
      <c r="A8" t="s">
        <v>488</v>
      </c>
      <c r="B8">
        <v>6</v>
      </c>
      <c r="C8" t="s">
        <v>489</v>
      </c>
      <c r="D8">
        <v>0</v>
      </c>
      <c r="E8" s="14">
        <v>0</v>
      </c>
      <c r="F8" s="14">
        <v>0</v>
      </c>
      <c r="H8" s="287"/>
    </row>
    <row r="9" spans="1:8" x14ac:dyDescent="0.25">
      <c r="A9" t="s">
        <v>488</v>
      </c>
      <c r="B9">
        <v>7</v>
      </c>
      <c r="C9" t="s">
        <v>490</v>
      </c>
      <c r="D9">
        <v>0</v>
      </c>
      <c r="E9" s="14">
        <v>0</v>
      </c>
      <c r="F9" s="14">
        <v>0</v>
      </c>
      <c r="H9" s="287"/>
    </row>
    <row r="10" spans="1:8" x14ac:dyDescent="0.25">
      <c r="A10" t="s">
        <v>488</v>
      </c>
      <c r="B10">
        <v>8</v>
      </c>
      <c r="C10" t="s">
        <v>491</v>
      </c>
      <c r="D10">
        <v>0</v>
      </c>
      <c r="E10" s="14">
        <v>0</v>
      </c>
      <c r="F10" s="14">
        <v>0</v>
      </c>
      <c r="H10" s="287"/>
    </row>
    <row r="11" spans="1:8" x14ac:dyDescent="0.25">
      <c r="A11" t="s">
        <v>488</v>
      </c>
      <c r="B11">
        <v>9</v>
      </c>
      <c r="C11" t="s">
        <v>492</v>
      </c>
      <c r="D11">
        <v>0</v>
      </c>
      <c r="E11" s="14">
        <v>0</v>
      </c>
      <c r="F11" s="14">
        <v>0</v>
      </c>
      <c r="H11" s="287"/>
    </row>
    <row r="12" spans="1:8" x14ac:dyDescent="0.25">
      <c r="A12" t="s">
        <v>245</v>
      </c>
      <c r="B12">
        <v>10</v>
      </c>
      <c r="C12" t="s">
        <v>753</v>
      </c>
      <c r="D12">
        <v>1</v>
      </c>
      <c r="E12" s="14">
        <v>155</v>
      </c>
      <c r="F12" s="14">
        <v>155</v>
      </c>
      <c r="G12" t="s">
        <v>29</v>
      </c>
      <c r="H12" s="287">
        <v>155</v>
      </c>
    </row>
    <row r="13" spans="1:8" x14ac:dyDescent="0.25">
      <c r="A13" t="s">
        <v>245</v>
      </c>
      <c r="B13">
        <v>11</v>
      </c>
      <c r="C13" t="s">
        <v>752</v>
      </c>
      <c r="D13">
        <v>1</v>
      </c>
      <c r="E13" s="14">
        <v>45</v>
      </c>
      <c r="F13" s="14">
        <v>45</v>
      </c>
      <c r="G13" t="s">
        <v>29</v>
      </c>
      <c r="H13" s="287">
        <v>45</v>
      </c>
    </row>
    <row r="14" spans="1:8" x14ac:dyDescent="0.25">
      <c r="A14" t="s">
        <v>245</v>
      </c>
      <c r="B14">
        <v>12</v>
      </c>
      <c r="C14" t="s">
        <v>766</v>
      </c>
      <c r="D14">
        <v>1</v>
      </c>
      <c r="E14" s="14">
        <v>25</v>
      </c>
      <c r="F14" s="14">
        <v>25</v>
      </c>
      <c r="G14" t="s">
        <v>29</v>
      </c>
      <c r="H14" s="287">
        <v>25</v>
      </c>
    </row>
    <row r="15" spans="1:8" x14ac:dyDescent="0.25">
      <c r="A15" t="s">
        <v>245</v>
      </c>
      <c r="B15">
        <v>13</v>
      </c>
      <c r="C15" t="s">
        <v>754</v>
      </c>
      <c r="D15">
        <v>1</v>
      </c>
      <c r="E15" s="14">
        <v>85</v>
      </c>
      <c r="F15" s="14">
        <v>85</v>
      </c>
      <c r="G15" t="s">
        <v>29</v>
      </c>
      <c r="H15" s="287">
        <v>85</v>
      </c>
    </row>
    <row r="16" spans="1:8" x14ac:dyDescent="0.25">
      <c r="A16" t="s">
        <v>245</v>
      </c>
      <c r="B16">
        <v>14</v>
      </c>
      <c r="C16" t="s">
        <v>755</v>
      </c>
      <c r="D16">
        <v>1</v>
      </c>
      <c r="E16" s="14">
        <v>25</v>
      </c>
      <c r="F16" s="14">
        <v>25</v>
      </c>
      <c r="G16" t="s">
        <v>29</v>
      </c>
      <c r="H16" s="287">
        <v>25</v>
      </c>
    </row>
    <row r="17" spans="1:8" x14ac:dyDescent="0.25">
      <c r="A17" t="s">
        <v>245</v>
      </c>
      <c r="B17">
        <v>15</v>
      </c>
      <c r="C17" t="s">
        <v>756</v>
      </c>
      <c r="D17">
        <v>2</v>
      </c>
      <c r="E17" s="14">
        <v>35</v>
      </c>
      <c r="F17" s="14">
        <v>70</v>
      </c>
      <c r="G17" t="s">
        <v>29</v>
      </c>
      <c r="H17" s="287">
        <v>70</v>
      </c>
    </row>
    <row r="18" spans="1:8" x14ac:dyDescent="0.25">
      <c r="A18" t="s">
        <v>245</v>
      </c>
      <c r="B18">
        <v>16</v>
      </c>
      <c r="C18" t="s">
        <v>757</v>
      </c>
      <c r="D18">
        <v>1</v>
      </c>
      <c r="E18" s="14">
        <v>350</v>
      </c>
      <c r="F18" s="14">
        <v>350</v>
      </c>
      <c r="G18" t="s">
        <v>29</v>
      </c>
      <c r="H18" s="287">
        <v>350</v>
      </c>
    </row>
    <row r="19" spans="1:8" x14ac:dyDescent="0.25">
      <c r="A19" t="s">
        <v>245</v>
      </c>
      <c r="B19">
        <v>17</v>
      </c>
      <c r="C19" t="s">
        <v>758</v>
      </c>
      <c r="D19">
        <v>1</v>
      </c>
      <c r="E19" s="14">
        <v>1200</v>
      </c>
      <c r="F19" s="14">
        <v>1200</v>
      </c>
      <c r="G19" t="s">
        <v>29</v>
      </c>
      <c r="H19" s="287">
        <v>1200</v>
      </c>
    </row>
    <row r="20" spans="1:8" x14ac:dyDescent="0.25">
      <c r="A20" t="s">
        <v>245</v>
      </c>
      <c r="B20">
        <v>18</v>
      </c>
      <c r="C20" t="s">
        <v>759</v>
      </c>
      <c r="D20">
        <v>1</v>
      </c>
      <c r="E20" s="14">
        <v>110</v>
      </c>
      <c r="F20" s="14">
        <v>110</v>
      </c>
      <c r="G20" t="s">
        <v>29</v>
      </c>
      <c r="H20" s="287">
        <v>110</v>
      </c>
    </row>
    <row r="21" spans="1:8" x14ac:dyDescent="0.25">
      <c r="A21" t="s">
        <v>245</v>
      </c>
      <c r="B21">
        <v>19</v>
      </c>
      <c r="C21" t="s">
        <v>760</v>
      </c>
      <c r="D21">
        <v>1</v>
      </c>
      <c r="E21" s="14">
        <v>215</v>
      </c>
      <c r="F21" s="14">
        <v>215</v>
      </c>
      <c r="G21" t="s">
        <v>29</v>
      </c>
      <c r="H21" s="287">
        <v>215</v>
      </c>
    </row>
    <row r="22" spans="1:8" x14ac:dyDescent="0.25">
      <c r="A22" t="s">
        <v>245</v>
      </c>
      <c r="B22">
        <v>20</v>
      </c>
      <c r="C22" t="s">
        <v>761</v>
      </c>
      <c r="D22">
        <v>1</v>
      </c>
      <c r="E22" s="14">
        <v>1300.0999999999999</v>
      </c>
      <c r="F22" s="14">
        <v>1300.0999999999999</v>
      </c>
      <c r="G22" t="s">
        <v>29</v>
      </c>
      <c r="H22" s="287">
        <v>1300.0999999999999</v>
      </c>
    </row>
    <row r="23" spans="1:8" x14ac:dyDescent="0.25">
      <c r="A23" t="s">
        <v>245</v>
      </c>
      <c r="B23">
        <v>21</v>
      </c>
      <c r="C23" t="s">
        <v>762</v>
      </c>
      <c r="D23">
        <v>1</v>
      </c>
      <c r="E23" s="14">
        <v>95</v>
      </c>
      <c r="F23" s="14">
        <v>95</v>
      </c>
      <c r="G23" t="s">
        <v>29</v>
      </c>
      <c r="H23" s="287">
        <v>95</v>
      </c>
    </row>
    <row r="24" spans="1:8" x14ac:dyDescent="0.25">
      <c r="A24" t="s">
        <v>245</v>
      </c>
      <c r="B24">
        <v>22</v>
      </c>
      <c r="C24" t="s">
        <v>763</v>
      </c>
      <c r="D24">
        <v>1</v>
      </c>
      <c r="E24" s="14">
        <v>65</v>
      </c>
      <c r="F24" s="14">
        <v>65</v>
      </c>
      <c r="G24" t="s">
        <v>29</v>
      </c>
      <c r="H24" s="287">
        <v>65</v>
      </c>
    </row>
    <row r="25" spans="1:8" x14ac:dyDescent="0.25">
      <c r="A25" t="s">
        <v>245</v>
      </c>
      <c r="B25">
        <v>23</v>
      </c>
      <c r="C25" t="s">
        <v>764</v>
      </c>
      <c r="D25">
        <v>1</v>
      </c>
      <c r="E25" s="14">
        <v>95</v>
      </c>
      <c r="F25" s="14">
        <v>95</v>
      </c>
      <c r="G25" t="s">
        <v>29</v>
      </c>
      <c r="H25" s="287">
        <v>95</v>
      </c>
    </row>
    <row r="26" spans="1:8" x14ac:dyDescent="0.25">
      <c r="A26" t="s">
        <v>245</v>
      </c>
      <c r="B26">
        <v>24</v>
      </c>
      <c r="C26" t="s">
        <v>765</v>
      </c>
      <c r="D26">
        <v>0</v>
      </c>
      <c r="E26" s="14">
        <v>95</v>
      </c>
      <c r="F26" s="14">
        <v>0</v>
      </c>
      <c r="H26" s="287"/>
    </row>
    <row r="27" spans="1:8" x14ac:dyDescent="0.25">
      <c r="A27" t="s">
        <v>245</v>
      </c>
      <c r="B27">
        <v>25</v>
      </c>
      <c r="C27" t="s">
        <v>756</v>
      </c>
      <c r="D27">
        <v>1</v>
      </c>
      <c r="E27" s="14">
        <v>35</v>
      </c>
      <c r="F27" s="14">
        <v>35</v>
      </c>
      <c r="G27" t="s">
        <v>29</v>
      </c>
      <c r="H27" s="287">
        <v>35</v>
      </c>
    </row>
    <row r="28" spans="1:8" x14ac:dyDescent="0.25">
      <c r="A28" t="s">
        <v>245</v>
      </c>
      <c r="B28">
        <v>26</v>
      </c>
      <c r="C28" t="s">
        <v>767</v>
      </c>
      <c r="D28">
        <v>1</v>
      </c>
      <c r="E28" s="14">
        <v>0</v>
      </c>
      <c r="F28" s="14">
        <v>0</v>
      </c>
      <c r="H28" s="287"/>
    </row>
    <row r="29" spans="1:8" x14ac:dyDescent="0.25">
      <c r="A29" t="s">
        <v>245</v>
      </c>
      <c r="B29">
        <v>27</v>
      </c>
      <c r="C29" t="s">
        <v>769</v>
      </c>
      <c r="D29">
        <v>1</v>
      </c>
      <c r="E29" s="14">
        <v>45</v>
      </c>
      <c r="F29" s="14">
        <v>45</v>
      </c>
      <c r="G29" t="s">
        <v>29</v>
      </c>
      <c r="H29" s="287">
        <v>45</v>
      </c>
    </row>
    <row r="30" spans="1:8" x14ac:dyDescent="0.25">
      <c r="A30" t="s">
        <v>245</v>
      </c>
      <c r="B30">
        <v>28</v>
      </c>
      <c r="C30" t="s">
        <v>770</v>
      </c>
      <c r="D30">
        <v>1</v>
      </c>
      <c r="E30" s="14">
        <v>95</v>
      </c>
      <c r="F30" s="14">
        <v>95</v>
      </c>
      <c r="G30" t="s">
        <v>29</v>
      </c>
      <c r="H30" s="287">
        <v>95</v>
      </c>
    </row>
    <row r="31" spans="1:8" x14ac:dyDescent="0.25">
      <c r="A31" t="s">
        <v>245</v>
      </c>
      <c r="B31">
        <v>29</v>
      </c>
      <c r="C31" t="s">
        <v>771</v>
      </c>
      <c r="D31">
        <v>1</v>
      </c>
      <c r="E31" s="14">
        <v>95</v>
      </c>
      <c r="F31" s="14">
        <v>95</v>
      </c>
      <c r="G31" t="s">
        <v>29</v>
      </c>
      <c r="H31" s="287">
        <v>95</v>
      </c>
    </row>
    <row r="32" spans="1:8" x14ac:dyDescent="0.25">
      <c r="A32" t="s">
        <v>245</v>
      </c>
      <c r="B32">
        <v>30</v>
      </c>
      <c r="C32" t="s">
        <v>775</v>
      </c>
      <c r="D32">
        <v>8</v>
      </c>
      <c r="E32" s="14">
        <v>25</v>
      </c>
      <c r="F32" s="14">
        <v>200</v>
      </c>
      <c r="G32" t="s">
        <v>29</v>
      </c>
      <c r="H32" s="287">
        <v>200</v>
      </c>
    </row>
    <row r="33" spans="1:8" x14ac:dyDescent="0.25">
      <c r="A33" t="s">
        <v>245</v>
      </c>
      <c r="B33">
        <v>31</v>
      </c>
      <c r="C33" t="s">
        <v>772</v>
      </c>
      <c r="D33">
        <v>8</v>
      </c>
      <c r="E33" s="14">
        <v>10</v>
      </c>
      <c r="F33" s="14">
        <v>80</v>
      </c>
      <c r="G33" t="s">
        <v>29</v>
      </c>
      <c r="H33" s="287">
        <v>80</v>
      </c>
    </row>
    <row r="34" spans="1:8" x14ac:dyDescent="0.25">
      <c r="A34" t="s">
        <v>245</v>
      </c>
      <c r="B34">
        <v>32</v>
      </c>
      <c r="C34" t="s">
        <v>773</v>
      </c>
      <c r="D34">
        <v>3</v>
      </c>
      <c r="E34" s="14">
        <v>10</v>
      </c>
      <c r="F34" s="14">
        <v>30</v>
      </c>
      <c r="G34" t="s">
        <v>29</v>
      </c>
      <c r="H34" s="287">
        <v>30</v>
      </c>
    </row>
    <row r="35" spans="1:8" x14ac:dyDescent="0.25">
      <c r="A35" t="s">
        <v>245</v>
      </c>
      <c r="B35">
        <v>33</v>
      </c>
      <c r="C35" t="s">
        <v>774</v>
      </c>
      <c r="D35">
        <v>2</v>
      </c>
      <c r="E35" s="14">
        <v>35</v>
      </c>
      <c r="F35" s="14">
        <v>70</v>
      </c>
      <c r="G35" t="s">
        <v>29</v>
      </c>
      <c r="H35" s="287">
        <v>70</v>
      </c>
    </row>
    <row r="36" spans="1:8" x14ac:dyDescent="0.25">
      <c r="A36" t="s">
        <v>245</v>
      </c>
      <c r="B36">
        <v>34</v>
      </c>
      <c r="C36" t="s">
        <v>768</v>
      </c>
      <c r="D36">
        <v>1</v>
      </c>
      <c r="E36" s="14">
        <v>95</v>
      </c>
      <c r="F36" s="14">
        <v>95</v>
      </c>
      <c r="G36" t="s">
        <v>29</v>
      </c>
      <c r="H36" s="287">
        <v>95</v>
      </c>
    </row>
    <row r="37" spans="1:8" x14ac:dyDescent="0.25">
      <c r="A37" t="s">
        <v>245</v>
      </c>
      <c r="B37">
        <v>35</v>
      </c>
      <c r="C37" t="s">
        <v>776</v>
      </c>
      <c r="D37">
        <v>1</v>
      </c>
      <c r="E37" s="14">
        <v>50</v>
      </c>
      <c r="F37" s="14">
        <v>50</v>
      </c>
      <c r="G37" t="s">
        <v>29</v>
      </c>
      <c r="H37" s="287">
        <v>50</v>
      </c>
    </row>
    <row r="38" spans="1:8" x14ac:dyDescent="0.25">
      <c r="A38" t="s">
        <v>245</v>
      </c>
      <c r="B38">
        <v>36</v>
      </c>
      <c r="C38" t="s">
        <v>832</v>
      </c>
      <c r="D38">
        <v>1</v>
      </c>
      <c r="E38" s="14">
        <v>48</v>
      </c>
      <c r="F38" s="14">
        <v>48</v>
      </c>
      <c r="G38" t="s">
        <v>29</v>
      </c>
      <c r="H38" s="287">
        <v>48</v>
      </c>
    </row>
    <row r="39" spans="1:8" x14ac:dyDescent="0.25">
      <c r="A39" t="s">
        <v>245</v>
      </c>
      <c r="B39">
        <v>37</v>
      </c>
      <c r="C39" t="s">
        <v>833</v>
      </c>
      <c r="D39">
        <v>1</v>
      </c>
      <c r="E39" s="14">
        <v>80</v>
      </c>
      <c r="F39" s="14">
        <v>80</v>
      </c>
      <c r="G39" t="s">
        <v>29</v>
      </c>
      <c r="H39" s="287">
        <v>80</v>
      </c>
    </row>
    <row r="41" spans="1:8" x14ac:dyDescent="0.25">
      <c r="F41" t="s">
        <v>850</v>
      </c>
      <c r="H41" s="14">
        <f>SUM(H12:H40)</f>
        <v>4758.1000000000004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44" bestFit="1" customWidth="1"/>
    <col min="6" max="6" width="10" style="244" bestFit="1" customWidth="1"/>
    <col min="7" max="8" width="10.28515625" style="244" bestFit="1" customWidth="1"/>
    <col min="9" max="9" width="5.42578125" style="244" customWidth="1"/>
    <col min="10" max="10" width="50.7109375" bestFit="1" customWidth="1"/>
    <col min="11" max="12" width="9.7109375" bestFit="1" customWidth="1"/>
    <col min="13" max="13" width="8.7109375" style="235"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35" bestFit="1" customWidth="1"/>
    <col min="24" max="25" width="14.28515625" bestFit="1" customWidth="1"/>
  </cols>
  <sheetData>
    <row r="1" spans="1:23" x14ac:dyDescent="0.25">
      <c r="A1" s="911" t="s">
        <v>246</v>
      </c>
      <c r="B1" s="912"/>
      <c r="C1" s="718"/>
      <c r="D1" s="718"/>
      <c r="E1" s="718"/>
      <c r="F1" s="718"/>
      <c r="G1" s="622"/>
      <c r="I1" s="907" t="s">
        <v>247</v>
      </c>
      <c r="J1" s="908"/>
      <c r="K1" s="909"/>
      <c r="L1" s="910"/>
      <c r="M1"/>
      <c r="N1" s="900" t="s">
        <v>248</v>
      </c>
      <c r="O1" s="901"/>
      <c r="P1" s="901"/>
      <c r="Q1" s="901"/>
      <c r="R1" s="901"/>
      <c r="S1" s="902"/>
      <c r="W1"/>
    </row>
    <row r="2" spans="1:23" ht="15.75" thickBot="1" x14ac:dyDescent="0.3">
      <c r="A2" s="911" t="s">
        <v>249</v>
      </c>
      <c r="B2" s="912"/>
      <c r="C2" s="718"/>
      <c r="D2" s="718"/>
      <c r="E2" s="718"/>
      <c r="F2" s="718"/>
      <c r="G2" s="622"/>
      <c r="I2" s="906" t="s">
        <v>250</v>
      </c>
      <c r="J2" s="779"/>
      <c r="K2" s="780"/>
      <c r="L2" s="781"/>
      <c r="M2"/>
      <c r="N2" s="903" t="str">
        <f>"Recap Summary Table - " &amp; +Profit!B2</f>
        <v>Recap Summary Table - 4121 Tensity Dr</v>
      </c>
      <c r="O2" s="904"/>
      <c r="P2" s="904"/>
      <c r="Q2" s="904"/>
      <c r="R2" s="904"/>
      <c r="S2" s="905"/>
      <c r="W2"/>
    </row>
    <row r="4" spans="1:23" s="61" customFormat="1" x14ac:dyDescent="0.25">
      <c r="A4" s="61" t="s">
        <v>205</v>
      </c>
      <c r="B4" s="22" t="s">
        <v>207</v>
      </c>
      <c r="C4" s="61" t="s">
        <v>208</v>
      </c>
      <c r="D4" s="3" t="s">
        <v>251</v>
      </c>
      <c r="E4" s="273" t="s">
        <v>212</v>
      </c>
      <c r="F4" s="3" t="s">
        <v>209</v>
      </c>
      <c r="G4" s="61" t="s">
        <v>210</v>
      </c>
      <c r="I4" s="61" t="s">
        <v>205</v>
      </c>
      <c r="J4" s="61" t="s">
        <v>252</v>
      </c>
      <c r="K4" s="274" t="s">
        <v>253</v>
      </c>
      <c r="L4" s="61" t="s">
        <v>210</v>
      </c>
      <c r="N4" s="3" t="s">
        <v>205</v>
      </c>
      <c r="O4" s="22" t="s">
        <v>207</v>
      </c>
      <c r="P4" s="3" t="s">
        <v>208</v>
      </c>
      <c r="Q4" s="3" t="s">
        <v>252</v>
      </c>
      <c r="R4" s="3" t="s">
        <v>253</v>
      </c>
      <c r="S4" s="3" t="s">
        <v>210</v>
      </c>
    </row>
    <row r="5" spans="1:23" x14ac:dyDescent="0.25">
      <c r="A5">
        <v>5</v>
      </c>
      <c r="B5" t="s">
        <v>190</v>
      </c>
      <c r="C5" t="s">
        <v>494</v>
      </c>
      <c r="F5" s="275">
        <v>0</v>
      </c>
      <c r="G5"/>
      <c r="H5"/>
      <c r="I5"/>
      <c r="K5" s="235"/>
      <c r="M5"/>
      <c r="R5" s="235"/>
      <c r="W5"/>
    </row>
    <row r="6" spans="1:23" x14ac:dyDescent="0.25">
      <c r="A6">
        <v>6</v>
      </c>
      <c r="B6" t="s">
        <v>190</v>
      </c>
      <c r="C6" t="s">
        <v>489</v>
      </c>
      <c r="F6" s="275">
        <v>0</v>
      </c>
      <c r="G6"/>
      <c r="H6"/>
      <c r="I6"/>
      <c r="K6" s="235"/>
      <c r="M6"/>
      <c r="W6"/>
    </row>
    <row r="7" spans="1:23" x14ac:dyDescent="0.25">
      <c r="A7">
        <v>7</v>
      </c>
      <c r="B7" t="s">
        <v>190</v>
      </c>
      <c r="C7" t="s">
        <v>490</v>
      </c>
      <c r="F7" s="275">
        <v>0</v>
      </c>
      <c r="G7"/>
      <c r="H7"/>
      <c r="I7"/>
      <c r="K7" s="235"/>
      <c r="M7"/>
      <c r="W7"/>
    </row>
    <row r="8" spans="1:23" x14ac:dyDescent="0.25">
      <c r="A8">
        <v>8</v>
      </c>
      <c r="B8" t="s">
        <v>190</v>
      </c>
      <c r="C8" t="s">
        <v>491</v>
      </c>
      <c r="F8" s="275">
        <v>0</v>
      </c>
      <c r="G8"/>
      <c r="H8"/>
      <c r="I8"/>
      <c r="K8" s="235"/>
      <c r="M8"/>
      <c r="W8"/>
    </row>
    <row r="9" spans="1:23" x14ac:dyDescent="0.25">
      <c r="A9">
        <v>9</v>
      </c>
      <c r="B9" t="s">
        <v>190</v>
      </c>
      <c r="C9" t="s">
        <v>492</v>
      </c>
      <c r="F9" s="275">
        <v>0</v>
      </c>
      <c r="G9"/>
      <c r="H9"/>
      <c r="I9"/>
      <c r="K9" s="235"/>
      <c r="M9"/>
      <c r="W9"/>
    </row>
    <row r="10" spans="1:23" x14ac:dyDescent="0.25">
      <c r="A10">
        <v>24</v>
      </c>
      <c r="C10" t="s">
        <v>765</v>
      </c>
      <c r="F10" s="275">
        <v>0</v>
      </c>
      <c r="G10"/>
      <c r="H10"/>
      <c r="I10"/>
      <c r="K10" s="235"/>
      <c r="M10"/>
      <c r="W10"/>
    </row>
    <row r="11" spans="1:23" x14ac:dyDescent="0.25">
      <c r="A11">
        <v>26</v>
      </c>
      <c r="C11" t="s">
        <v>767</v>
      </c>
      <c r="F11" s="275">
        <v>0</v>
      </c>
      <c r="G11"/>
      <c r="H11"/>
      <c r="I11"/>
      <c r="K11" s="235"/>
      <c r="M11"/>
      <c r="W11"/>
    </row>
    <row r="12" spans="1:23" x14ac:dyDescent="0.25">
      <c r="A12">
        <v>39</v>
      </c>
      <c r="F12" s="275"/>
      <c r="G12"/>
      <c r="H12"/>
      <c r="I12"/>
      <c r="K12" s="235"/>
      <c r="M12"/>
      <c r="W12"/>
    </row>
    <row r="13" spans="1:23" x14ac:dyDescent="0.25">
      <c r="A13">
        <v>40</v>
      </c>
      <c r="F13" s="275"/>
      <c r="G13"/>
      <c r="H13"/>
      <c r="I13"/>
      <c r="K13" s="235"/>
      <c r="M13"/>
      <c r="U13" s="235"/>
      <c r="W13"/>
    </row>
    <row r="14" spans="1:23" x14ac:dyDescent="0.25">
      <c r="A14">
        <v>41</v>
      </c>
      <c r="F14" s="275"/>
      <c r="G14"/>
      <c r="H14"/>
      <c r="I14"/>
      <c r="K14" s="235"/>
      <c r="M14"/>
      <c r="U14" s="235"/>
      <c r="W14"/>
    </row>
    <row r="15" spans="1:23" x14ac:dyDescent="0.25">
      <c r="A15">
        <v>42</v>
      </c>
      <c r="F15" s="275"/>
      <c r="G15"/>
      <c r="H15"/>
      <c r="I15"/>
      <c r="K15" s="235"/>
      <c r="M15"/>
      <c r="U15" s="235"/>
      <c r="W15"/>
    </row>
    <row r="16" spans="1:23" x14ac:dyDescent="0.25">
      <c r="A16">
        <v>43</v>
      </c>
      <c r="F16" s="275"/>
      <c r="G16"/>
      <c r="H16"/>
      <c r="I16"/>
      <c r="K16" s="235"/>
      <c r="M16"/>
      <c r="U16" s="235"/>
      <c r="W16"/>
    </row>
    <row r="17" spans="1:23" x14ac:dyDescent="0.25">
      <c r="A17">
        <v>44</v>
      </c>
      <c r="F17" s="275"/>
      <c r="G17"/>
      <c r="H17"/>
      <c r="I17"/>
      <c r="K17" s="235"/>
      <c r="M17"/>
      <c r="U17" s="235"/>
      <c r="W17"/>
    </row>
    <row r="18" spans="1:23" x14ac:dyDescent="0.25">
      <c r="A18">
        <v>3</v>
      </c>
      <c r="B18" t="s">
        <v>186</v>
      </c>
      <c r="C18" t="s">
        <v>186</v>
      </c>
      <c r="D18">
        <v>4</v>
      </c>
      <c r="F18" s="275"/>
      <c r="G18"/>
      <c r="H18"/>
      <c r="I18"/>
      <c r="K18" s="235"/>
      <c r="M18"/>
      <c r="U18" s="235"/>
      <c r="W18"/>
    </row>
    <row r="19" spans="1:23" x14ac:dyDescent="0.25">
      <c r="A19">
        <v>1</v>
      </c>
      <c r="B19" t="s">
        <v>181</v>
      </c>
      <c r="C19" t="s">
        <v>182</v>
      </c>
      <c r="D19">
        <v>4</v>
      </c>
      <c r="E19" s="244">
        <v>45363</v>
      </c>
      <c r="F19" s="275"/>
      <c r="G19"/>
      <c r="H19"/>
      <c r="I19"/>
      <c r="K19" s="235"/>
      <c r="M19"/>
      <c r="U19" s="235"/>
      <c r="W19"/>
    </row>
    <row r="20" spans="1:23" x14ac:dyDescent="0.25">
      <c r="A20">
        <v>2</v>
      </c>
      <c r="B20" t="s">
        <v>185</v>
      </c>
      <c r="C20" t="s">
        <v>185</v>
      </c>
      <c r="D20">
        <v>4</v>
      </c>
      <c r="E20" s="244">
        <v>45823</v>
      </c>
      <c r="F20" s="275"/>
      <c r="G20"/>
      <c r="H20"/>
      <c r="I20"/>
      <c r="K20" s="235"/>
      <c r="M20"/>
      <c r="U20" s="235"/>
      <c r="W20"/>
    </row>
    <row r="21" spans="1:23" x14ac:dyDescent="0.25">
      <c r="A21">
        <v>4</v>
      </c>
      <c r="B21" t="s">
        <v>187</v>
      </c>
      <c r="C21" t="s">
        <v>188</v>
      </c>
      <c r="D21">
        <v>5</v>
      </c>
      <c r="F21" s="275"/>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479</v>
      </c>
    </row>
    <row r="2" spans="1:11" x14ac:dyDescent="0.25">
      <c r="I2" s="915" t="s">
        <v>2</v>
      </c>
      <c r="J2" s="915" t="str">
        <f>IF(Profit!$U$6,IF(K2="No","No","Yes"),"No")</f>
        <v>No</v>
      </c>
      <c r="K2" s="917"/>
    </row>
    <row r="3" spans="1:11" s="3" customFormat="1" ht="15.75" thickBot="1" x14ac:dyDescent="0.3">
      <c r="A3" s="3" t="s">
        <v>305</v>
      </c>
      <c r="B3" s="3" t="s">
        <v>253</v>
      </c>
      <c r="C3" s="13" t="s">
        <v>306</v>
      </c>
      <c r="D3" s="3" t="s">
        <v>307</v>
      </c>
      <c r="E3" s="13" t="s">
        <v>308</v>
      </c>
      <c r="F3" s="3" t="s">
        <v>309</v>
      </c>
      <c r="I3" s="916"/>
      <c r="J3" s="916"/>
      <c r="K3" s="918"/>
    </row>
    <row r="4" spans="1:11" s="3" customFormat="1" x14ac:dyDescent="0.25">
      <c r="C4" s="13"/>
      <c r="E4" s="13"/>
    </row>
    <row r="5" spans="1:11" s="3" customFormat="1" x14ac:dyDescent="0.25">
      <c r="A5" s="2" t="s">
        <v>476</v>
      </c>
      <c r="B5" s="12">
        <v>45316</v>
      </c>
      <c r="C5" s="301"/>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476</v>
      </c>
      <c r="B10" s="12">
        <v>45316</v>
      </c>
      <c r="C10" s="301"/>
      <c r="D10">
        <v>0</v>
      </c>
      <c r="E10" s="14">
        <v>35</v>
      </c>
      <c r="F10" s="14">
        <f t="shared" si="0"/>
        <v>0</v>
      </c>
      <c r="G10"/>
      <c r="H10" s="3"/>
      <c r="I10" s="3"/>
    </row>
    <row r="11" spans="1:11" x14ac:dyDescent="0.25">
      <c r="A11" s="2" t="s">
        <v>476</v>
      </c>
      <c r="B11" s="12">
        <v>45322</v>
      </c>
      <c r="C11" s="301"/>
      <c r="D11">
        <v>0</v>
      </c>
      <c r="E11" s="14">
        <v>55</v>
      </c>
      <c r="F11" s="14">
        <f t="shared" si="0"/>
        <v>0</v>
      </c>
    </row>
    <row r="12" spans="1:11" x14ac:dyDescent="0.25">
      <c r="A12" s="2" t="s">
        <v>477</v>
      </c>
      <c r="B12" s="12"/>
      <c r="C12" s="301"/>
      <c r="D12">
        <v>0</v>
      </c>
      <c r="E12" s="14"/>
      <c r="F12" s="14">
        <f t="shared" si="0"/>
        <v>0</v>
      </c>
    </row>
    <row r="13" spans="1:11" x14ac:dyDescent="0.25">
      <c r="A13" s="2" t="s">
        <v>522</v>
      </c>
      <c r="B13" s="12">
        <v>45315</v>
      </c>
      <c r="C13" s="301"/>
      <c r="D13">
        <v>0</v>
      </c>
      <c r="E13" s="14">
        <v>201.25</v>
      </c>
      <c r="F13" s="14">
        <f>+D13*E13</f>
        <v>0</v>
      </c>
    </row>
    <row r="14" spans="1:11" x14ac:dyDescent="0.25">
      <c r="A14" s="2" t="s">
        <v>523</v>
      </c>
      <c r="B14" s="12">
        <v>45322</v>
      </c>
      <c r="C14" s="301"/>
      <c r="D14">
        <v>0</v>
      </c>
      <c r="E14" s="14">
        <v>46</v>
      </c>
      <c r="F14" s="14">
        <f>+D14*E14</f>
        <v>0</v>
      </c>
    </row>
    <row r="15" spans="1:11" x14ac:dyDescent="0.25">
      <c r="A15" s="2" t="s">
        <v>524</v>
      </c>
      <c r="B15" s="12">
        <v>45322</v>
      </c>
      <c r="C15" s="301"/>
      <c r="D15">
        <v>0</v>
      </c>
      <c r="E15" s="14">
        <v>10</v>
      </c>
      <c r="F15" s="14">
        <f>+D15*E15</f>
        <v>0</v>
      </c>
    </row>
    <row r="16" spans="1:11" x14ac:dyDescent="0.25">
      <c r="B16" s="12"/>
      <c r="C16" s="301"/>
      <c r="D16">
        <v>1</v>
      </c>
      <c r="E16" s="14"/>
      <c r="F16" s="14">
        <f>+D16*E16</f>
        <v>0</v>
      </c>
    </row>
    <row r="17" spans="1:10" x14ac:dyDescent="0.25">
      <c r="B17" s="12"/>
      <c r="C17" s="301"/>
      <c r="D17">
        <v>1</v>
      </c>
      <c r="E17" s="14"/>
      <c r="F17" s="14">
        <f>+D17*E17</f>
        <v>0</v>
      </c>
    </row>
    <row r="18" spans="1:10" x14ac:dyDescent="0.25">
      <c r="B18" s="166"/>
      <c r="C18" s="14"/>
      <c r="D18"/>
      <c r="E18" s="14"/>
      <c r="F18" s="14">
        <f t="shared" ref="F18:F21" si="1">+D18*E18</f>
        <v>0</v>
      </c>
    </row>
    <row r="19" spans="1:10" x14ac:dyDescent="0.25">
      <c r="B19" s="166"/>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13"/>
      <c r="D28" s="914"/>
      <c r="E28" s="914"/>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255</v>
      </c>
      <c r="B1" s="7" t="s">
        <v>256</v>
      </c>
    </row>
    <row r="2" spans="1:5" x14ac:dyDescent="0.25">
      <c r="A2" s="3" t="s">
        <v>257</v>
      </c>
      <c r="B2" s="6"/>
      <c r="C2" s="4"/>
    </row>
    <row r="4" spans="1:5" x14ac:dyDescent="0.25">
      <c r="A4" s="2" t="s">
        <v>258</v>
      </c>
      <c r="B4" s="1">
        <v>0</v>
      </c>
      <c r="C4" s="1">
        <v>0</v>
      </c>
    </row>
    <row r="5" spans="1:5" x14ac:dyDescent="0.25">
      <c r="A5" s="2" t="s">
        <v>259</v>
      </c>
      <c r="B5" s="1">
        <v>33</v>
      </c>
      <c r="C5"/>
      <c r="D5" s="1"/>
    </row>
    <row r="6" spans="1:5" ht="15.75" thickBot="1" x14ac:dyDescent="0.3">
      <c r="A6" s="2" t="s">
        <v>260</v>
      </c>
      <c r="B6" s="20">
        <v>0</v>
      </c>
      <c r="C6" s="20">
        <f>B5*B6</f>
        <v>0</v>
      </c>
      <c r="D6" s="29"/>
    </row>
    <row r="7" spans="1:5" x14ac:dyDescent="0.25">
      <c r="C7" s="9" t="s">
        <v>261</v>
      </c>
      <c r="D7" s="1">
        <f>SUM(C4:C6)</f>
        <v>0</v>
      </c>
    </row>
    <row r="8" spans="1:5" x14ac:dyDescent="0.25">
      <c r="D8" s="1"/>
    </row>
    <row r="10" spans="1:5" ht="15.75" thickBot="1" x14ac:dyDescent="0.3">
      <c r="D10" s="29"/>
    </row>
    <row r="11" spans="1:5" x14ac:dyDescent="0.25">
      <c r="D11" s="30" t="s">
        <v>262</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263</v>
      </c>
    </row>
    <row r="2" spans="1:7" s="3" customFormat="1" x14ac:dyDescent="0.25">
      <c r="B2" s="3" t="s">
        <v>264</v>
      </c>
      <c r="C2" s="3" t="s">
        <v>265</v>
      </c>
      <c r="D2" s="8" t="s">
        <v>266</v>
      </c>
      <c r="E2" s="3" t="s">
        <v>267</v>
      </c>
      <c r="F2" s="8" t="s">
        <v>254</v>
      </c>
      <c r="G2" s="3" t="s">
        <v>268</v>
      </c>
    </row>
    <row r="3" spans="1:7" x14ac:dyDescent="0.25">
      <c r="A3" s="175" t="s">
        <v>269</v>
      </c>
      <c r="B3" s="175"/>
      <c r="C3" s="176">
        <v>0</v>
      </c>
      <c r="D3" s="177">
        <v>0</v>
      </c>
      <c r="E3">
        <f>+C3*D3</f>
        <v>0</v>
      </c>
      <c r="F3" s="26">
        <f t="shared" ref="F3:F44" si="0">+E3*0.0725</f>
        <v>0</v>
      </c>
    </row>
    <row r="4" spans="1:7" x14ac:dyDescent="0.25">
      <c r="A4" s="175" t="s">
        <v>270</v>
      </c>
      <c r="B4" s="175"/>
      <c r="C4" s="176">
        <v>0</v>
      </c>
      <c r="D4" s="177">
        <v>0</v>
      </c>
      <c r="E4">
        <f t="shared" ref="E4:E61" si="1">+C4*D4</f>
        <v>0</v>
      </c>
      <c r="F4" s="26">
        <f t="shared" si="0"/>
        <v>0</v>
      </c>
    </row>
    <row r="5" spans="1:7" x14ac:dyDescent="0.25">
      <c r="A5" s="175" t="s">
        <v>271</v>
      </c>
      <c r="B5" s="175"/>
      <c r="C5" s="176">
        <v>0</v>
      </c>
      <c r="D5" s="177">
        <v>0</v>
      </c>
      <c r="E5">
        <f t="shared" si="1"/>
        <v>0</v>
      </c>
      <c r="F5" s="26">
        <f t="shared" si="0"/>
        <v>0</v>
      </c>
    </row>
    <row r="6" spans="1:7" x14ac:dyDescent="0.25">
      <c r="A6" s="175" t="s">
        <v>272</v>
      </c>
      <c r="B6" s="175"/>
      <c r="C6" s="176">
        <v>0</v>
      </c>
      <c r="D6" s="177">
        <v>0</v>
      </c>
      <c r="E6">
        <f t="shared" si="1"/>
        <v>0</v>
      </c>
      <c r="F6" s="26">
        <f t="shared" si="0"/>
        <v>0</v>
      </c>
    </row>
    <row r="7" spans="1:7" x14ac:dyDescent="0.25">
      <c r="A7" s="175" t="s">
        <v>273</v>
      </c>
      <c r="B7" s="175"/>
      <c r="C7" s="176">
        <v>0</v>
      </c>
      <c r="D7" s="177">
        <v>0</v>
      </c>
      <c r="E7">
        <f t="shared" si="1"/>
        <v>0</v>
      </c>
      <c r="F7" s="26">
        <f t="shared" si="0"/>
        <v>0</v>
      </c>
    </row>
    <row r="8" spans="1:7" x14ac:dyDescent="0.25">
      <c r="A8" s="175" t="s">
        <v>274</v>
      </c>
      <c r="B8" s="175"/>
      <c r="C8" s="176">
        <v>0</v>
      </c>
      <c r="D8" s="177">
        <v>0</v>
      </c>
      <c r="E8">
        <f t="shared" si="1"/>
        <v>0</v>
      </c>
      <c r="F8" s="26">
        <f t="shared" si="0"/>
        <v>0</v>
      </c>
    </row>
    <row r="9" spans="1:7" x14ac:dyDescent="0.25">
      <c r="A9" s="175" t="s">
        <v>275</v>
      </c>
      <c r="B9" s="175"/>
      <c r="C9" s="176">
        <v>0</v>
      </c>
      <c r="D9" s="177">
        <v>0</v>
      </c>
      <c r="E9">
        <f t="shared" si="1"/>
        <v>0</v>
      </c>
      <c r="F9" s="26">
        <f t="shared" si="0"/>
        <v>0</v>
      </c>
    </row>
    <row r="10" spans="1:7" x14ac:dyDescent="0.25">
      <c r="A10" s="175" t="s">
        <v>148</v>
      </c>
      <c r="B10" s="175"/>
      <c r="C10" s="176">
        <v>0</v>
      </c>
      <c r="D10" s="177">
        <v>0</v>
      </c>
      <c r="E10">
        <f t="shared" si="1"/>
        <v>0</v>
      </c>
      <c r="F10" s="26">
        <f t="shared" si="0"/>
        <v>0</v>
      </c>
    </row>
    <row r="11" spans="1:7" x14ac:dyDescent="0.25">
      <c r="A11" s="175"/>
      <c r="B11" s="175"/>
      <c r="C11" s="176">
        <v>0</v>
      </c>
      <c r="D11" s="177">
        <v>0</v>
      </c>
      <c r="E11">
        <f t="shared" si="1"/>
        <v>0</v>
      </c>
      <c r="F11" s="26">
        <f t="shared" si="0"/>
        <v>0</v>
      </c>
    </row>
    <row r="12" spans="1:7" x14ac:dyDescent="0.25">
      <c r="A12" s="175" t="s">
        <v>276</v>
      </c>
      <c r="B12" s="175"/>
      <c r="C12" s="176">
        <v>0</v>
      </c>
      <c r="D12" s="177">
        <v>0</v>
      </c>
      <c r="E12">
        <f t="shared" si="1"/>
        <v>0</v>
      </c>
      <c r="F12" s="26">
        <f t="shared" si="0"/>
        <v>0</v>
      </c>
    </row>
    <row r="13" spans="1:7" x14ac:dyDescent="0.25">
      <c r="A13" s="175" t="s">
        <v>277</v>
      </c>
      <c r="B13" s="175"/>
      <c r="C13" s="176">
        <v>0</v>
      </c>
      <c r="D13" s="177">
        <v>0</v>
      </c>
      <c r="E13">
        <f t="shared" si="1"/>
        <v>0</v>
      </c>
      <c r="F13" s="26">
        <f t="shared" si="0"/>
        <v>0</v>
      </c>
    </row>
    <row r="14" spans="1:7" x14ac:dyDescent="0.25">
      <c r="A14" s="175" t="s">
        <v>278</v>
      </c>
      <c r="B14" s="175"/>
      <c r="C14" s="176">
        <v>0</v>
      </c>
      <c r="D14" s="177">
        <v>0</v>
      </c>
      <c r="E14">
        <f t="shared" si="1"/>
        <v>0</v>
      </c>
      <c r="F14" s="26">
        <f t="shared" si="0"/>
        <v>0</v>
      </c>
    </row>
    <row r="15" spans="1:7" x14ac:dyDescent="0.25">
      <c r="A15" s="175" t="s">
        <v>279</v>
      </c>
      <c r="B15" s="175"/>
      <c r="C15" s="176">
        <v>0</v>
      </c>
      <c r="D15" s="177">
        <v>0</v>
      </c>
      <c r="E15">
        <f t="shared" si="1"/>
        <v>0</v>
      </c>
      <c r="F15" s="26">
        <f t="shared" si="0"/>
        <v>0</v>
      </c>
    </row>
    <row r="16" spans="1:7" x14ac:dyDescent="0.25">
      <c r="A16" s="175"/>
      <c r="B16" s="175"/>
      <c r="C16" s="176">
        <v>0</v>
      </c>
      <c r="D16" s="177">
        <v>0</v>
      </c>
      <c r="E16">
        <f t="shared" si="1"/>
        <v>0</v>
      </c>
      <c r="F16" s="26">
        <f t="shared" si="0"/>
        <v>0</v>
      </c>
    </row>
    <row r="17" spans="1:6" x14ac:dyDescent="0.25">
      <c r="A17" s="175" t="s">
        <v>280</v>
      </c>
      <c r="B17" s="175"/>
      <c r="C17" s="176">
        <v>0</v>
      </c>
      <c r="D17" s="177">
        <v>0</v>
      </c>
      <c r="E17">
        <f t="shared" si="1"/>
        <v>0</v>
      </c>
      <c r="F17" s="26">
        <f t="shared" si="0"/>
        <v>0</v>
      </c>
    </row>
    <row r="18" spans="1:6" x14ac:dyDescent="0.25">
      <c r="A18" s="175" t="s">
        <v>281</v>
      </c>
      <c r="B18" s="175"/>
      <c r="C18" s="176">
        <v>0</v>
      </c>
      <c r="D18" s="177">
        <v>0</v>
      </c>
      <c r="E18">
        <f t="shared" si="1"/>
        <v>0</v>
      </c>
      <c r="F18" s="26">
        <f t="shared" si="0"/>
        <v>0</v>
      </c>
    </row>
    <row r="19" spans="1:6" x14ac:dyDescent="0.25">
      <c r="A19" s="175"/>
      <c r="B19" s="175"/>
      <c r="C19" s="176">
        <v>0</v>
      </c>
      <c r="D19" s="177">
        <v>0</v>
      </c>
      <c r="E19">
        <f t="shared" si="1"/>
        <v>0</v>
      </c>
      <c r="F19" s="26">
        <f t="shared" si="0"/>
        <v>0</v>
      </c>
    </row>
    <row r="20" spans="1:6" x14ac:dyDescent="0.25">
      <c r="A20" s="175" t="s">
        <v>282</v>
      </c>
      <c r="B20" s="175"/>
      <c r="C20" s="176">
        <v>0</v>
      </c>
      <c r="D20" s="177">
        <v>0</v>
      </c>
      <c r="E20">
        <f t="shared" si="1"/>
        <v>0</v>
      </c>
      <c r="F20" s="26">
        <f t="shared" si="0"/>
        <v>0</v>
      </c>
    </row>
    <row r="21" spans="1:6" x14ac:dyDescent="0.25">
      <c r="A21" s="175" t="s">
        <v>283</v>
      </c>
      <c r="B21" s="175"/>
      <c r="C21" s="176">
        <v>0</v>
      </c>
      <c r="D21" s="177">
        <v>0</v>
      </c>
      <c r="E21">
        <f t="shared" si="1"/>
        <v>0</v>
      </c>
      <c r="F21" s="26">
        <f t="shared" si="0"/>
        <v>0</v>
      </c>
    </row>
    <row r="22" spans="1:6" x14ac:dyDescent="0.25">
      <c r="A22" s="175"/>
      <c r="B22" s="175"/>
      <c r="C22" s="176">
        <v>0</v>
      </c>
      <c r="D22" s="177">
        <v>0</v>
      </c>
      <c r="E22">
        <f t="shared" si="1"/>
        <v>0</v>
      </c>
      <c r="F22" s="26">
        <f t="shared" si="0"/>
        <v>0</v>
      </c>
    </row>
    <row r="23" spans="1:6" x14ac:dyDescent="0.25">
      <c r="A23" s="175" t="s">
        <v>284</v>
      </c>
      <c r="B23" s="175"/>
      <c r="C23" s="176">
        <v>0</v>
      </c>
      <c r="D23" s="177">
        <v>0</v>
      </c>
      <c r="E23">
        <f t="shared" si="1"/>
        <v>0</v>
      </c>
      <c r="F23" s="26">
        <f t="shared" si="0"/>
        <v>0</v>
      </c>
    </row>
    <row r="24" spans="1:6" x14ac:dyDescent="0.25">
      <c r="A24" s="175"/>
      <c r="B24" s="175"/>
      <c r="C24" s="176">
        <v>0</v>
      </c>
      <c r="D24" s="177">
        <v>0</v>
      </c>
      <c r="E24">
        <f t="shared" si="1"/>
        <v>0</v>
      </c>
      <c r="F24" s="26">
        <f t="shared" si="0"/>
        <v>0</v>
      </c>
    </row>
    <row r="25" spans="1:6" x14ac:dyDescent="0.25">
      <c r="A25" s="175"/>
      <c r="B25" s="175"/>
      <c r="C25" s="176">
        <v>0</v>
      </c>
      <c r="D25" s="177">
        <v>0</v>
      </c>
      <c r="E25">
        <f t="shared" si="1"/>
        <v>0</v>
      </c>
      <c r="F25" s="26">
        <f t="shared" si="0"/>
        <v>0</v>
      </c>
    </row>
    <row r="26" spans="1:6" x14ac:dyDescent="0.25">
      <c r="A26" s="175" t="s">
        <v>285</v>
      </c>
      <c r="B26" s="175"/>
      <c r="C26" s="176">
        <v>0</v>
      </c>
      <c r="D26" s="177">
        <v>0</v>
      </c>
      <c r="E26">
        <f t="shared" si="1"/>
        <v>0</v>
      </c>
      <c r="F26" s="26">
        <f t="shared" si="0"/>
        <v>0</v>
      </c>
    </row>
    <row r="27" spans="1:6" x14ac:dyDescent="0.25">
      <c r="A27" s="175" t="s">
        <v>286</v>
      </c>
      <c r="B27" s="175"/>
      <c r="C27" s="176">
        <v>0</v>
      </c>
      <c r="D27" s="177">
        <v>0</v>
      </c>
      <c r="E27">
        <f t="shared" si="1"/>
        <v>0</v>
      </c>
      <c r="F27" s="26">
        <f t="shared" si="0"/>
        <v>0</v>
      </c>
    </row>
    <row r="28" spans="1:6" x14ac:dyDescent="0.25">
      <c r="A28" s="175" t="s">
        <v>287</v>
      </c>
      <c r="B28" s="175"/>
      <c r="C28" s="176">
        <v>0</v>
      </c>
      <c r="D28" s="177">
        <v>0</v>
      </c>
      <c r="E28">
        <f t="shared" si="1"/>
        <v>0</v>
      </c>
      <c r="F28" s="26">
        <f t="shared" si="0"/>
        <v>0</v>
      </c>
    </row>
    <row r="29" spans="1:6" x14ac:dyDescent="0.25">
      <c r="A29" s="175" t="s">
        <v>288</v>
      </c>
      <c r="B29" s="175"/>
      <c r="C29" s="176">
        <v>0</v>
      </c>
      <c r="D29" s="177">
        <v>0</v>
      </c>
      <c r="E29">
        <f t="shared" si="1"/>
        <v>0</v>
      </c>
      <c r="F29" s="26">
        <f t="shared" si="0"/>
        <v>0</v>
      </c>
    </row>
    <row r="30" spans="1:6" x14ac:dyDescent="0.25">
      <c r="A30" s="175" t="s">
        <v>289</v>
      </c>
      <c r="B30" s="175"/>
      <c r="C30" s="176">
        <v>0</v>
      </c>
      <c r="D30" s="177">
        <v>0</v>
      </c>
      <c r="E30">
        <f t="shared" si="1"/>
        <v>0</v>
      </c>
      <c r="F30" s="26">
        <f t="shared" si="0"/>
        <v>0</v>
      </c>
    </row>
    <row r="31" spans="1:6" x14ac:dyDescent="0.25">
      <c r="A31" s="175" t="s">
        <v>290</v>
      </c>
      <c r="B31" s="175"/>
      <c r="C31" s="176">
        <v>0</v>
      </c>
      <c r="D31" s="177">
        <v>0</v>
      </c>
      <c r="E31">
        <f t="shared" si="1"/>
        <v>0</v>
      </c>
      <c r="F31" s="26">
        <f t="shared" si="0"/>
        <v>0</v>
      </c>
    </row>
    <row r="32" spans="1:6" x14ac:dyDescent="0.25">
      <c r="A32" s="175" t="s">
        <v>291</v>
      </c>
      <c r="B32" s="175"/>
      <c r="C32" s="176">
        <v>0</v>
      </c>
      <c r="D32" s="177">
        <v>0</v>
      </c>
      <c r="E32">
        <f t="shared" si="1"/>
        <v>0</v>
      </c>
      <c r="F32" s="26">
        <f t="shared" si="0"/>
        <v>0</v>
      </c>
    </row>
    <row r="33" spans="1:6" x14ac:dyDescent="0.25">
      <c r="A33" s="175" t="s">
        <v>292</v>
      </c>
      <c r="B33" s="175"/>
      <c r="C33" s="176">
        <v>0</v>
      </c>
      <c r="D33" s="177">
        <v>0</v>
      </c>
      <c r="E33">
        <f t="shared" si="1"/>
        <v>0</v>
      </c>
      <c r="F33" s="26">
        <f t="shared" si="0"/>
        <v>0</v>
      </c>
    </row>
    <row r="34" spans="1:6" x14ac:dyDescent="0.25">
      <c r="A34" s="175" t="s">
        <v>293</v>
      </c>
      <c r="B34" s="175"/>
      <c r="C34" s="176">
        <v>0</v>
      </c>
      <c r="D34" s="177">
        <v>0</v>
      </c>
      <c r="E34">
        <f t="shared" si="1"/>
        <v>0</v>
      </c>
      <c r="F34" s="26">
        <f t="shared" si="0"/>
        <v>0</v>
      </c>
    </row>
    <row r="35" spans="1:6" x14ac:dyDescent="0.25">
      <c r="A35" s="175" t="s">
        <v>294</v>
      </c>
      <c r="B35" s="175"/>
      <c r="C35" s="176">
        <v>0</v>
      </c>
      <c r="D35" s="177">
        <v>0</v>
      </c>
      <c r="E35">
        <f t="shared" si="1"/>
        <v>0</v>
      </c>
      <c r="F35" s="26">
        <f t="shared" si="0"/>
        <v>0</v>
      </c>
    </row>
    <row r="36" spans="1:6" x14ac:dyDescent="0.25">
      <c r="A36" s="175" t="s">
        <v>295</v>
      </c>
      <c r="B36" s="175"/>
      <c r="C36" s="176">
        <v>0</v>
      </c>
      <c r="D36" s="177">
        <v>0</v>
      </c>
      <c r="E36">
        <f t="shared" si="1"/>
        <v>0</v>
      </c>
      <c r="F36" s="26">
        <f t="shared" si="0"/>
        <v>0</v>
      </c>
    </row>
    <row r="37" spans="1:6" x14ac:dyDescent="0.25">
      <c r="A37" s="175"/>
      <c r="B37" s="175"/>
      <c r="C37" s="176">
        <v>0</v>
      </c>
      <c r="D37" s="177">
        <v>0</v>
      </c>
      <c r="E37">
        <f t="shared" si="1"/>
        <v>0</v>
      </c>
      <c r="F37" s="26">
        <f t="shared" si="0"/>
        <v>0</v>
      </c>
    </row>
    <row r="38" spans="1:6" x14ac:dyDescent="0.25">
      <c r="A38" s="175" t="s">
        <v>296</v>
      </c>
      <c r="B38" s="175"/>
      <c r="C38" s="176">
        <v>0</v>
      </c>
      <c r="D38" s="177">
        <v>0</v>
      </c>
      <c r="E38">
        <f t="shared" si="1"/>
        <v>0</v>
      </c>
      <c r="F38" s="26">
        <f t="shared" si="0"/>
        <v>0</v>
      </c>
    </row>
    <row r="39" spans="1:6" x14ac:dyDescent="0.25">
      <c r="A39" s="175" t="s">
        <v>297</v>
      </c>
      <c r="B39" s="175"/>
      <c r="C39" s="176">
        <v>0</v>
      </c>
      <c r="D39" s="177">
        <v>0</v>
      </c>
      <c r="E39">
        <f t="shared" si="1"/>
        <v>0</v>
      </c>
      <c r="F39" s="26">
        <f t="shared" si="0"/>
        <v>0</v>
      </c>
    </row>
    <row r="40" spans="1:6" x14ac:dyDescent="0.25">
      <c r="A40" s="175" t="s">
        <v>298</v>
      </c>
      <c r="B40" s="175"/>
      <c r="C40" s="176">
        <v>0</v>
      </c>
      <c r="D40" s="177">
        <v>0</v>
      </c>
      <c r="E40">
        <f t="shared" si="1"/>
        <v>0</v>
      </c>
      <c r="F40" s="26">
        <f t="shared" si="0"/>
        <v>0</v>
      </c>
    </row>
    <row r="41" spans="1:6" x14ac:dyDescent="0.25">
      <c r="A41" s="175" t="s">
        <v>299</v>
      </c>
      <c r="B41" s="175"/>
      <c r="C41" s="176">
        <v>0</v>
      </c>
      <c r="D41" s="177">
        <v>0</v>
      </c>
      <c r="E41">
        <f t="shared" si="1"/>
        <v>0</v>
      </c>
      <c r="F41" s="26">
        <f t="shared" si="0"/>
        <v>0</v>
      </c>
    </row>
    <row r="42" spans="1:6" x14ac:dyDescent="0.25">
      <c r="A42" s="175"/>
      <c r="B42" s="175"/>
      <c r="C42" s="176">
        <v>0</v>
      </c>
      <c r="D42" s="177">
        <v>0</v>
      </c>
      <c r="E42">
        <f t="shared" si="1"/>
        <v>0</v>
      </c>
      <c r="F42" s="26">
        <f t="shared" si="0"/>
        <v>0</v>
      </c>
    </row>
    <row r="43" spans="1:6" x14ac:dyDescent="0.25">
      <c r="A43" s="175" t="s">
        <v>300</v>
      </c>
      <c r="B43" s="175"/>
      <c r="C43" s="176">
        <v>0</v>
      </c>
      <c r="D43" s="177">
        <v>0</v>
      </c>
      <c r="E43">
        <f t="shared" ref="E43:E57" si="2">+C43*D43</f>
        <v>0</v>
      </c>
      <c r="F43" s="26">
        <f t="shared" si="0"/>
        <v>0</v>
      </c>
    </row>
    <row r="44" spans="1:6" x14ac:dyDescent="0.25">
      <c r="A44" s="175" t="s">
        <v>301</v>
      </c>
      <c r="B44" s="175"/>
      <c r="C44" s="176">
        <v>0</v>
      </c>
      <c r="D44" s="177">
        <v>0</v>
      </c>
      <c r="E44">
        <f t="shared" si="2"/>
        <v>0</v>
      </c>
      <c r="F44" s="26">
        <f t="shared" si="0"/>
        <v>0</v>
      </c>
    </row>
    <row r="45" spans="1:6" x14ac:dyDescent="0.25">
      <c r="A45" s="175" t="s">
        <v>302</v>
      </c>
      <c r="B45" s="175">
        <v>6973242570225</v>
      </c>
      <c r="C45" s="176">
        <v>0</v>
      </c>
      <c r="D45" s="177">
        <v>49.97</v>
      </c>
      <c r="E45">
        <f t="shared" si="2"/>
        <v>0</v>
      </c>
      <c r="F45" s="26">
        <f>+E45*0.0725</f>
        <v>0</v>
      </c>
    </row>
    <row r="46" spans="1:6" x14ac:dyDescent="0.25">
      <c r="A46" s="175" t="s">
        <v>303</v>
      </c>
      <c r="B46" s="175"/>
      <c r="C46" s="176">
        <v>0</v>
      </c>
      <c r="D46" s="177">
        <v>69.989999999999995</v>
      </c>
      <c r="E46">
        <f t="shared" si="2"/>
        <v>0</v>
      </c>
      <c r="F46" s="26">
        <f t="shared" ref="F46:F60" si="3">+E46*0.0725</f>
        <v>0</v>
      </c>
    </row>
    <row r="47" spans="1:6" x14ac:dyDescent="0.25">
      <c r="A47" s="175"/>
      <c r="B47" s="175"/>
      <c r="C47" s="176">
        <v>0</v>
      </c>
      <c r="D47" s="177">
        <v>0</v>
      </c>
      <c r="E47">
        <f t="shared" si="2"/>
        <v>0</v>
      </c>
      <c r="F47" s="26">
        <f t="shared" si="3"/>
        <v>0</v>
      </c>
    </row>
    <row r="48" spans="1:6" x14ac:dyDescent="0.25">
      <c r="A48" s="175"/>
      <c r="B48" s="175"/>
      <c r="C48" s="176">
        <v>0</v>
      </c>
      <c r="D48" s="177">
        <v>0</v>
      </c>
      <c r="E48">
        <f t="shared" si="2"/>
        <v>0</v>
      </c>
      <c r="F48" s="26">
        <f t="shared" si="3"/>
        <v>0</v>
      </c>
    </row>
    <row r="49" spans="1:7" x14ac:dyDescent="0.25">
      <c r="A49" s="175"/>
      <c r="B49" s="175"/>
      <c r="C49" s="176">
        <v>0</v>
      </c>
      <c r="D49" s="177">
        <v>0</v>
      </c>
      <c r="E49">
        <f t="shared" si="2"/>
        <v>0</v>
      </c>
      <c r="F49" s="26">
        <f t="shared" si="3"/>
        <v>0</v>
      </c>
    </row>
    <row r="50" spans="1:7" x14ac:dyDescent="0.25">
      <c r="A50" s="175"/>
      <c r="B50" s="175"/>
      <c r="C50" s="176">
        <v>0</v>
      </c>
      <c r="D50" s="177">
        <v>0</v>
      </c>
      <c r="E50">
        <f t="shared" si="2"/>
        <v>0</v>
      </c>
      <c r="F50" s="26">
        <f t="shared" si="3"/>
        <v>0</v>
      </c>
    </row>
    <row r="51" spans="1:7" x14ac:dyDescent="0.25">
      <c r="A51" s="175"/>
      <c r="B51" s="175"/>
      <c r="C51" s="176">
        <v>0</v>
      </c>
      <c r="D51" s="177">
        <v>0</v>
      </c>
      <c r="E51">
        <f t="shared" si="2"/>
        <v>0</v>
      </c>
      <c r="F51" s="26">
        <f t="shared" si="3"/>
        <v>0</v>
      </c>
    </row>
    <row r="52" spans="1:7" x14ac:dyDescent="0.25">
      <c r="A52" s="175"/>
      <c r="B52" s="175"/>
      <c r="C52" s="176">
        <v>0</v>
      </c>
      <c r="D52" s="177">
        <v>0</v>
      </c>
      <c r="E52">
        <f t="shared" si="2"/>
        <v>0</v>
      </c>
      <c r="F52" s="26">
        <f t="shared" si="3"/>
        <v>0</v>
      </c>
    </row>
    <row r="53" spans="1:7" x14ac:dyDescent="0.25">
      <c r="A53" s="175"/>
      <c r="B53" s="175"/>
      <c r="C53" s="176">
        <v>0</v>
      </c>
      <c r="D53" s="177">
        <v>0</v>
      </c>
      <c r="E53">
        <f t="shared" si="2"/>
        <v>0</v>
      </c>
      <c r="F53" s="26">
        <f t="shared" si="3"/>
        <v>0</v>
      </c>
    </row>
    <row r="54" spans="1:7" x14ac:dyDescent="0.25">
      <c r="A54" s="175"/>
      <c r="B54" s="175"/>
      <c r="C54" s="176">
        <v>0</v>
      </c>
      <c r="D54" s="177">
        <v>0</v>
      </c>
      <c r="E54">
        <f t="shared" si="2"/>
        <v>0</v>
      </c>
      <c r="F54" s="26">
        <f t="shared" si="3"/>
        <v>0</v>
      </c>
    </row>
    <row r="55" spans="1:7" x14ac:dyDescent="0.25">
      <c r="A55" s="175"/>
      <c r="B55" s="175"/>
      <c r="C55" s="176">
        <v>0</v>
      </c>
      <c r="D55" s="177">
        <v>0</v>
      </c>
      <c r="E55">
        <f t="shared" si="2"/>
        <v>0</v>
      </c>
      <c r="F55" s="26">
        <f t="shared" si="3"/>
        <v>0</v>
      </c>
    </row>
    <row r="56" spans="1:7" x14ac:dyDescent="0.25">
      <c r="A56" s="175"/>
      <c r="B56" s="175"/>
      <c r="C56" s="176">
        <v>0</v>
      </c>
      <c r="D56" s="177">
        <v>0</v>
      </c>
      <c r="E56">
        <f t="shared" si="2"/>
        <v>0</v>
      </c>
      <c r="F56" s="26">
        <f t="shared" si="3"/>
        <v>0</v>
      </c>
    </row>
    <row r="57" spans="1:7" x14ac:dyDescent="0.25">
      <c r="A57" s="175"/>
      <c r="B57" s="175"/>
      <c r="C57" s="176">
        <v>0</v>
      </c>
      <c r="D57" s="177">
        <v>0</v>
      </c>
      <c r="E57">
        <f t="shared" si="2"/>
        <v>0</v>
      </c>
      <c r="F57" s="26">
        <f t="shared" si="3"/>
        <v>0</v>
      </c>
    </row>
    <row r="58" spans="1:7" x14ac:dyDescent="0.25">
      <c r="A58" s="175"/>
      <c r="B58" s="175"/>
      <c r="C58" s="176">
        <v>0</v>
      </c>
      <c r="D58" s="177">
        <v>0</v>
      </c>
      <c r="E58">
        <f t="shared" si="1"/>
        <v>0</v>
      </c>
      <c r="F58" s="26">
        <f t="shared" si="3"/>
        <v>0</v>
      </c>
    </row>
    <row r="59" spans="1:7" x14ac:dyDescent="0.25">
      <c r="A59" s="175" t="s">
        <v>304</v>
      </c>
      <c r="B59" s="175"/>
      <c r="C59" s="176">
        <v>0</v>
      </c>
      <c r="D59" s="177">
        <v>0</v>
      </c>
      <c r="E59">
        <f t="shared" si="1"/>
        <v>0</v>
      </c>
      <c r="F59" s="26">
        <f t="shared" si="3"/>
        <v>0</v>
      </c>
    </row>
    <row r="60" spans="1:7" x14ac:dyDescent="0.25">
      <c r="A60" s="174"/>
      <c r="B60" s="175"/>
      <c r="C60" s="176">
        <v>0</v>
      </c>
      <c r="D60" s="177">
        <v>0</v>
      </c>
      <c r="E60">
        <f t="shared" si="1"/>
        <v>0</v>
      </c>
      <c r="F60" s="26">
        <f t="shared" si="3"/>
        <v>0</v>
      </c>
    </row>
    <row r="61" spans="1:7" ht="15.75" thickBot="1" x14ac:dyDescent="0.3">
      <c r="A61" s="174"/>
      <c r="B61" s="175"/>
      <c r="C61" s="176">
        <v>0</v>
      </c>
      <c r="D61" s="177">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305</v>
      </c>
      <c r="B1" s="3" t="s">
        <v>253</v>
      </c>
      <c r="C1" s="13" t="s">
        <v>306</v>
      </c>
      <c r="D1" s="3" t="s">
        <v>307</v>
      </c>
      <c r="E1" s="13" t="s">
        <v>308</v>
      </c>
      <c r="F1" s="3" t="s">
        <v>309</v>
      </c>
    </row>
    <row r="2" spans="1:10" ht="15.75" thickBot="1" x14ac:dyDescent="0.3">
      <c r="A2" s="393" t="s">
        <v>612</v>
      </c>
      <c r="B2" s="394"/>
      <c r="C2" s="395"/>
      <c r="D2" s="394"/>
      <c r="E2" s="395"/>
      <c r="F2" s="395">
        <v>0</v>
      </c>
    </row>
    <row r="3" spans="1:10" x14ac:dyDescent="0.25">
      <c r="A3" s="393" t="s">
        <v>310</v>
      </c>
      <c r="B3" s="396"/>
      <c r="C3" s="395" t="s">
        <v>589</v>
      </c>
      <c r="D3" s="394">
        <v>0</v>
      </c>
      <c r="E3" s="395">
        <v>75</v>
      </c>
      <c r="F3" s="395">
        <f>IF($I$3="Yes",+D3*E3,0)</f>
        <v>0</v>
      </c>
      <c r="H3" s="915" t="s">
        <v>2</v>
      </c>
      <c r="I3" s="915" t="str">
        <f>IF(Profit!$U$6,IF(J3,"Yes","N0"),"no")</f>
        <v>no</v>
      </c>
      <c r="J3" s="919" t="b">
        <v>1</v>
      </c>
    </row>
    <row r="4" spans="1:10" ht="15.75" thickBot="1" x14ac:dyDescent="0.3">
      <c r="A4" s="393" t="s">
        <v>310</v>
      </c>
      <c r="B4" s="397"/>
      <c r="C4" s="395" t="s">
        <v>311</v>
      </c>
      <c r="D4" s="394">
        <v>0</v>
      </c>
      <c r="E4" s="395">
        <v>325</v>
      </c>
      <c r="F4" s="395">
        <f t="shared" ref="F4:F5" si="0">IF($I$3="Yes",+D4*E4,0)</f>
        <v>0</v>
      </c>
      <c r="H4" s="916"/>
      <c r="I4" s="916"/>
      <c r="J4" s="920"/>
    </row>
    <row r="5" spans="1:10" x14ac:dyDescent="0.25">
      <c r="A5" s="393" t="s">
        <v>310</v>
      </c>
      <c r="B5" s="394"/>
      <c r="C5" s="395" t="s">
        <v>312</v>
      </c>
      <c r="D5" s="394">
        <v>0</v>
      </c>
      <c r="E5" s="395">
        <v>104</v>
      </c>
      <c r="F5" s="395">
        <f t="shared" si="0"/>
        <v>0</v>
      </c>
      <c r="G5">
        <f>IF(I3="yes",+SUM(F2:F5),0)</f>
        <v>0</v>
      </c>
    </row>
    <row r="6" spans="1:10" s="22" customFormat="1" x14ac:dyDescent="0.25">
      <c r="A6" s="138" t="s">
        <v>310</v>
      </c>
      <c r="B6" s="425">
        <v>45579</v>
      </c>
      <c r="C6" s="426" t="s">
        <v>589</v>
      </c>
      <c r="D6" s="252">
        <v>0</v>
      </c>
      <c r="E6" s="426">
        <v>75</v>
      </c>
      <c r="F6" s="426">
        <f>IF($I$3="Yes",0,+D6*E6)</f>
        <v>0</v>
      </c>
      <c r="G6"/>
    </row>
    <row r="7" spans="1:10" x14ac:dyDescent="0.25">
      <c r="A7" s="138" t="s">
        <v>310</v>
      </c>
      <c r="B7" s="427">
        <v>45211</v>
      </c>
      <c r="C7" s="426" t="s">
        <v>311</v>
      </c>
      <c r="D7" s="252">
        <v>0</v>
      </c>
      <c r="E7" s="426">
        <v>325</v>
      </c>
      <c r="F7" s="426">
        <f t="shared" ref="F7:F19" si="1">IF($I$3="Yes",0,+D7*E7)</f>
        <v>0</v>
      </c>
    </row>
    <row r="8" spans="1:10" x14ac:dyDescent="0.25">
      <c r="A8" s="138" t="s">
        <v>310</v>
      </c>
      <c r="B8" s="252"/>
      <c r="C8" s="426" t="s">
        <v>312</v>
      </c>
      <c r="D8" s="252">
        <v>0</v>
      </c>
      <c r="E8" s="426">
        <v>104</v>
      </c>
      <c r="F8" s="426">
        <f t="shared" si="1"/>
        <v>0</v>
      </c>
    </row>
    <row r="9" spans="1:10" x14ac:dyDescent="0.25">
      <c r="A9" s="138" t="s">
        <v>310</v>
      </c>
      <c r="B9" s="252"/>
      <c r="C9" s="426" t="s">
        <v>313</v>
      </c>
      <c r="D9" s="252">
        <v>0</v>
      </c>
      <c r="E9" s="426">
        <f>+(12.13+31.46+41.63)/3</f>
        <v>28.406666666666666</v>
      </c>
      <c r="F9" s="426">
        <f t="shared" si="1"/>
        <v>0</v>
      </c>
    </row>
    <row r="10" spans="1:10" x14ac:dyDescent="0.25">
      <c r="A10" s="138" t="s">
        <v>310</v>
      </c>
      <c r="B10" s="252"/>
      <c r="C10" s="426" t="s">
        <v>314</v>
      </c>
      <c r="D10" s="252">
        <v>0</v>
      </c>
      <c r="E10" s="426">
        <v>6.35</v>
      </c>
      <c r="F10" s="426">
        <f t="shared" si="1"/>
        <v>0</v>
      </c>
    </row>
    <row r="11" spans="1:10" x14ac:dyDescent="0.25">
      <c r="A11" s="138" t="s">
        <v>310</v>
      </c>
      <c r="B11" s="252"/>
      <c r="C11" s="426" t="s">
        <v>315</v>
      </c>
      <c r="D11" s="252"/>
      <c r="E11" s="426">
        <v>2.5</v>
      </c>
      <c r="F11" s="426">
        <f t="shared" si="1"/>
        <v>0</v>
      </c>
    </row>
    <row r="12" spans="1:10" x14ac:dyDescent="0.25">
      <c r="A12" s="138" t="s">
        <v>310</v>
      </c>
      <c r="B12" s="252"/>
      <c r="C12" s="426" t="s">
        <v>316</v>
      </c>
      <c r="D12" s="252">
        <v>0</v>
      </c>
      <c r="E12" s="426">
        <f>(8.5+10+17.34)/3</f>
        <v>11.946666666666667</v>
      </c>
      <c r="F12" s="426">
        <f t="shared" si="1"/>
        <v>0</v>
      </c>
    </row>
    <row r="13" spans="1:10" x14ac:dyDescent="0.25">
      <c r="A13" s="138" t="s">
        <v>310</v>
      </c>
      <c r="B13" s="427"/>
      <c r="C13" s="426" t="s">
        <v>317</v>
      </c>
      <c r="D13" s="252">
        <v>0</v>
      </c>
      <c r="E13" s="426">
        <v>73.13</v>
      </c>
      <c r="F13" s="426">
        <f t="shared" si="1"/>
        <v>0</v>
      </c>
    </row>
    <row r="14" spans="1:10" x14ac:dyDescent="0.25">
      <c r="A14" s="138" t="s">
        <v>310</v>
      </c>
      <c r="B14" s="427"/>
      <c r="C14" s="426" t="s">
        <v>318</v>
      </c>
      <c r="D14" s="252">
        <v>0</v>
      </c>
      <c r="E14" s="426">
        <v>472</v>
      </c>
      <c r="F14" s="426">
        <f t="shared" si="1"/>
        <v>0</v>
      </c>
    </row>
    <row r="15" spans="1:10" x14ac:dyDescent="0.25">
      <c r="A15" s="138" t="s">
        <v>319</v>
      </c>
      <c r="B15" s="427">
        <v>45737</v>
      </c>
      <c r="C15" s="426"/>
      <c r="D15" s="252">
        <v>1</v>
      </c>
      <c r="E15" s="426">
        <v>1350</v>
      </c>
      <c r="F15" s="426">
        <f t="shared" si="1"/>
        <v>1350</v>
      </c>
    </row>
    <row r="16" spans="1:10" x14ac:dyDescent="0.25">
      <c r="A16" s="138" t="s">
        <v>777</v>
      </c>
      <c r="B16" s="427">
        <v>45757</v>
      </c>
      <c r="C16" s="138" t="s">
        <v>519</v>
      </c>
      <c r="D16" s="252">
        <v>1</v>
      </c>
      <c r="E16" s="426">
        <v>250</v>
      </c>
      <c r="F16" s="426">
        <f t="shared" si="1"/>
        <v>250</v>
      </c>
    </row>
    <row r="17" spans="1:10" x14ac:dyDescent="0.25">
      <c r="A17" s="138" t="s">
        <v>777</v>
      </c>
      <c r="B17" s="428">
        <v>45810</v>
      </c>
      <c r="C17" s="138" t="s">
        <v>852</v>
      </c>
      <c r="D17" s="252">
        <v>1</v>
      </c>
      <c r="E17" s="426">
        <v>350</v>
      </c>
      <c r="F17" s="426">
        <f t="shared" si="1"/>
        <v>350</v>
      </c>
    </row>
    <row r="18" spans="1:10" x14ac:dyDescent="0.25">
      <c r="A18" s="138" t="s">
        <v>319</v>
      </c>
      <c r="B18" s="427"/>
      <c r="C18" s="426" t="s">
        <v>550</v>
      </c>
      <c r="D18" s="252">
        <v>0</v>
      </c>
      <c r="E18" s="426">
        <v>100</v>
      </c>
      <c r="F18" s="426">
        <f t="shared" si="1"/>
        <v>0</v>
      </c>
      <c r="I18" s="3"/>
    </row>
    <row r="19" spans="1:10" x14ac:dyDescent="0.25">
      <c r="A19" s="138" t="s">
        <v>319</v>
      </c>
      <c r="B19" s="427"/>
      <c r="C19" s="426" t="s">
        <v>551</v>
      </c>
      <c r="D19" s="252">
        <v>0</v>
      </c>
      <c r="E19" s="426">
        <v>150</v>
      </c>
      <c r="F19" s="426">
        <f t="shared" si="1"/>
        <v>0</v>
      </c>
      <c r="I19" s="3"/>
    </row>
    <row r="20" spans="1:10" x14ac:dyDescent="0.25">
      <c r="B20" s="166"/>
      <c r="C20" s="14"/>
      <c r="D20"/>
      <c r="E20" s="14"/>
      <c r="F20" s="14"/>
      <c r="G20">
        <f>IF(I4="yes",0,+SUM(F6:F19))</f>
        <v>1950</v>
      </c>
      <c r="I20" s="3"/>
    </row>
    <row r="21" spans="1:10" x14ac:dyDescent="0.25">
      <c r="B21" s="166"/>
      <c r="C21" s="14"/>
      <c r="D21"/>
      <c r="E21" s="14"/>
      <c r="F21" s="14"/>
      <c r="I21" s="3"/>
    </row>
    <row r="22" spans="1:10" x14ac:dyDescent="0.25">
      <c r="B22" s="166"/>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320</v>
      </c>
      <c r="B1" s="3"/>
      <c r="D1" s="5"/>
      <c r="E1" s="14"/>
      <c r="F1" s="14"/>
      <c r="G1" s="14"/>
    </row>
    <row r="2" spans="1:11" x14ac:dyDescent="0.25">
      <c r="A2" s="2"/>
      <c r="B2" s="2"/>
      <c r="C2" s="3"/>
      <c r="D2" s="8"/>
      <c r="E2" s="13"/>
      <c r="F2" s="13"/>
      <c r="G2" s="13"/>
    </row>
    <row r="3" spans="1:11" ht="15.75" thickBot="1" x14ac:dyDescent="0.3">
      <c r="A3" s="3" t="s">
        <v>208</v>
      </c>
      <c r="B3" s="3" t="s">
        <v>321</v>
      </c>
      <c r="C3" s="3" t="s">
        <v>265</v>
      </c>
      <c r="D3" s="8" t="s">
        <v>266</v>
      </c>
      <c r="E3" s="13" t="s">
        <v>267</v>
      </c>
      <c r="F3" s="13" t="s">
        <v>254</v>
      </c>
      <c r="G3" s="13" t="s">
        <v>268</v>
      </c>
    </row>
    <row r="4" spans="1:11" x14ac:dyDescent="0.25">
      <c r="A4" s="398" t="s">
        <v>615</v>
      </c>
      <c r="B4" s="398"/>
      <c r="C4" s="398"/>
      <c r="D4" s="399"/>
      <c r="E4" s="400"/>
      <c r="F4" s="400"/>
      <c r="G4" s="400"/>
      <c r="I4" s="915" t="s">
        <v>2</v>
      </c>
      <c r="J4" s="915" t="str">
        <f>IF(Profit!$U$6,IF(K4,"Yes","N0"),"no")</f>
        <v>no</v>
      </c>
      <c r="K4" s="919" t="b">
        <v>0</v>
      </c>
    </row>
    <row r="5" spans="1:11" ht="15.75" thickBot="1" x14ac:dyDescent="0.3">
      <c r="A5" s="393" t="s">
        <v>618</v>
      </c>
      <c r="B5" s="393">
        <v>977057</v>
      </c>
      <c r="C5" s="394">
        <v>0</v>
      </c>
      <c r="D5" s="401">
        <v>149</v>
      </c>
      <c r="E5" s="395">
        <f>+C5*D5</f>
        <v>0</v>
      </c>
      <c r="F5" s="402">
        <f>+E5*0.0725</f>
        <v>0</v>
      </c>
      <c r="G5" s="400"/>
      <c r="I5" s="916"/>
      <c r="J5" s="916"/>
      <c r="K5" s="920"/>
    </row>
    <row r="6" spans="1:11" x14ac:dyDescent="0.25">
      <c r="A6" s="393" t="s">
        <v>617</v>
      </c>
      <c r="B6" s="393">
        <v>3648606</v>
      </c>
      <c r="C6" s="394">
        <v>0</v>
      </c>
      <c r="D6" s="401">
        <v>700</v>
      </c>
      <c r="E6" s="395">
        <f>+C6*D6</f>
        <v>0</v>
      </c>
      <c r="F6" s="402">
        <f t="shared" ref="F6" si="0">+E6*0.0725</f>
        <v>0</v>
      </c>
      <c r="G6" s="400"/>
    </row>
    <row r="7" spans="1:11" ht="15.75" thickBot="1" x14ac:dyDescent="0.3">
      <c r="A7" s="393" t="s">
        <v>616</v>
      </c>
      <c r="B7" s="393">
        <v>1654366</v>
      </c>
      <c r="C7" s="394">
        <v>0</v>
      </c>
      <c r="D7" s="401">
        <v>450</v>
      </c>
      <c r="E7" s="395">
        <f>+C7*D7</f>
        <v>0</v>
      </c>
      <c r="F7" s="402">
        <f t="shared" ref="F7" si="1">+E7*0.0725</f>
        <v>0</v>
      </c>
      <c r="G7" s="403"/>
    </row>
    <row r="8" spans="1:11" x14ac:dyDescent="0.25">
      <c r="A8" s="398"/>
      <c r="B8" s="398"/>
      <c r="C8" s="398"/>
      <c r="D8" s="224" t="s">
        <v>614</v>
      </c>
      <c r="E8" s="395"/>
      <c r="F8" s="395"/>
      <c r="G8" s="395">
        <f>IF(J4="yes",+SUM(E5:E7)+SUM(F5:F7),0)</f>
        <v>0</v>
      </c>
    </row>
    <row r="9" spans="1:11" x14ac:dyDescent="0.25">
      <c r="A9" s="138" t="s">
        <v>322</v>
      </c>
      <c r="B9" s="138">
        <v>977057</v>
      </c>
      <c r="C9" s="252">
        <v>0</v>
      </c>
      <c r="D9" s="239">
        <v>149</v>
      </c>
      <c r="E9" s="14">
        <f>+C9*D9</f>
        <v>0</v>
      </c>
      <c r="F9" s="26">
        <f>+E9*0.0725</f>
        <v>0</v>
      </c>
      <c r="G9" s="13"/>
    </row>
    <row r="10" spans="1:11" x14ac:dyDescent="0.25">
      <c r="A10" s="138" t="s">
        <v>323</v>
      </c>
      <c r="B10" s="138"/>
      <c r="C10" s="252">
        <v>0</v>
      </c>
      <c r="D10" s="239">
        <v>500</v>
      </c>
      <c r="E10" s="14">
        <f>+C10*D10</f>
        <v>0</v>
      </c>
      <c r="F10" s="26">
        <f>+E10*0.0725</f>
        <v>0</v>
      </c>
      <c r="G10" s="14"/>
    </row>
    <row r="11" spans="1:11" x14ac:dyDescent="0.25">
      <c r="A11" s="138" t="s">
        <v>324</v>
      </c>
      <c r="B11" s="138">
        <v>1008246199</v>
      </c>
      <c r="C11" s="252">
        <v>0</v>
      </c>
      <c r="D11" s="239">
        <v>448</v>
      </c>
      <c r="E11" s="14">
        <f>+C11*D11</f>
        <v>0</v>
      </c>
      <c r="F11" s="26">
        <f>+E11*0.0725</f>
        <v>0</v>
      </c>
      <c r="G11" s="14"/>
    </row>
    <row r="12" spans="1:11" ht="15.75" thickBot="1" x14ac:dyDescent="0.3">
      <c r="A12" s="138" t="s">
        <v>552</v>
      </c>
      <c r="B12" s="138">
        <v>205954</v>
      </c>
      <c r="C12" s="252">
        <v>0</v>
      </c>
      <c r="D12" s="239">
        <v>0</v>
      </c>
      <c r="E12" s="21"/>
      <c r="F12" s="21"/>
      <c r="G12" s="21"/>
    </row>
    <row r="13" spans="1:11" x14ac:dyDescent="0.25">
      <c r="A13" s="138"/>
      <c r="B13" s="138"/>
      <c r="C13" s="252"/>
      <c r="D13" s="253" t="s">
        <v>325</v>
      </c>
      <c r="E13" s="14"/>
      <c r="F13" s="14"/>
      <c r="G13" s="14">
        <f>IF(J4="yes",0,+SUM(E9:E12)+SUM(F9:F12))</f>
        <v>0</v>
      </c>
    </row>
    <row r="14" spans="1:11" x14ac:dyDescent="0.25">
      <c r="A14" s="138" t="s">
        <v>326</v>
      </c>
      <c r="B14" s="138">
        <v>206436</v>
      </c>
      <c r="C14" s="252">
        <v>0</v>
      </c>
      <c r="D14" s="253">
        <v>12.98</v>
      </c>
      <c r="E14" s="14">
        <v>0</v>
      </c>
      <c r="F14" s="26">
        <f>+E14*0.0725</f>
        <v>0</v>
      </c>
      <c r="G14" s="14">
        <v>0</v>
      </c>
    </row>
    <row r="15" spans="1:11" x14ac:dyDescent="0.25">
      <c r="A15" s="138" t="s">
        <v>553</v>
      </c>
      <c r="B15" s="138">
        <v>1006760329</v>
      </c>
      <c r="C15" s="252">
        <v>0</v>
      </c>
      <c r="D15" s="239">
        <v>698</v>
      </c>
      <c r="E15" s="14" t="s">
        <v>148</v>
      </c>
      <c r="F15" s="14"/>
      <c r="G15" s="14"/>
    </row>
    <row r="16" spans="1:11" x14ac:dyDescent="0.25">
      <c r="A16" s="138" t="s">
        <v>326</v>
      </c>
      <c r="B16" s="138">
        <v>1630551</v>
      </c>
      <c r="C16" s="252">
        <v>0</v>
      </c>
      <c r="D16" s="239">
        <v>32.979999999999997</v>
      </c>
      <c r="E16" s="14">
        <f>+C16*D16</f>
        <v>0</v>
      </c>
      <c r="F16" s="26">
        <f>+E16*0.0725</f>
        <v>0</v>
      </c>
      <c r="G16" s="14"/>
    </row>
    <row r="17" spans="1:8" x14ac:dyDescent="0.25">
      <c r="A17" s="138" t="s">
        <v>613</v>
      </c>
      <c r="B17" s="138">
        <v>3648606</v>
      </c>
      <c r="C17" s="252">
        <v>0</v>
      </c>
      <c r="D17" s="239">
        <v>700</v>
      </c>
      <c r="E17" s="14">
        <f>+C17*D17</f>
        <v>0</v>
      </c>
      <c r="F17" s="26">
        <f t="shared" ref="F17:F29" si="2">+E17*0.0725</f>
        <v>0</v>
      </c>
      <c r="G17" s="14"/>
    </row>
    <row r="18" spans="1:8" x14ac:dyDescent="0.25">
      <c r="A18" s="138" t="s">
        <v>327</v>
      </c>
      <c r="B18" s="138">
        <v>1654366</v>
      </c>
      <c r="C18" s="252">
        <v>0</v>
      </c>
      <c r="D18" s="239">
        <v>374.29</v>
      </c>
      <c r="E18" s="14">
        <f>+C18*D18</f>
        <v>0</v>
      </c>
      <c r="F18" s="26">
        <f t="shared" si="2"/>
        <v>0</v>
      </c>
      <c r="G18" s="14"/>
    </row>
    <row r="19" spans="1:8" x14ac:dyDescent="0.25">
      <c r="A19" s="138" t="s">
        <v>328</v>
      </c>
      <c r="B19" s="138">
        <v>118694</v>
      </c>
      <c r="C19" s="252">
        <v>0</v>
      </c>
      <c r="D19" s="239">
        <v>39.28</v>
      </c>
      <c r="E19" s="14">
        <f>+C19*D19</f>
        <v>0</v>
      </c>
      <c r="F19" s="26">
        <f t="shared" si="2"/>
        <v>0</v>
      </c>
      <c r="G19" s="14"/>
    </row>
    <row r="20" spans="1:8" x14ac:dyDescent="0.25">
      <c r="A20" s="138" t="s">
        <v>329</v>
      </c>
      <c r="B20" s="254"/>
      <c r="C20" s="252">
        <v>0</v>
      </c>
      <c r="D20" s="239">
        <v>189</v>
      </c>
      <c r="E20" s="14">
        <f>+C20*D20</f>
        <v>0</v>
      </c>
      <c r="F20" s="26">
        <f t="shared" si="2"/>
        <v>0</v>
      </c>
      <c r="G20" s="14"/>
    </row>
    <row r="21" spans="1:8" x14ac:dyDescent="0.25">
      <c r="A21" s="138" t="s">
        <v>554</v>
      </c>
      <c r="B21" s="254">
        <v>206332</v>
      </c>
      <c r="C21" s="252">
        <v>0</v>
      </c>
      <c r="D21" s="239">
        <v>32.85</v>
      </c>
      <c r="E21" s="14" t="s">
        <v>148</v>
      </c>
      <c r="F21" s="26"/>
      <c r="G21" s="14"/>
    </row>
    <row r="22" spans="1:8" x14ac:dyDescent="0.25">
      <c r="A22" s="138" t="s">
        <v>330</v>
      </c>
      <c r="B22" s="254"/>
      <c r="C22" s="252">
        <v>0</v>
      </c>
      <c r="D22" s="239">
        <v>169</v>
      </c>
      <c r="E22" s="14">
        <f t="shared" ref="E22:E29" si="3">+C22*D22</f>
        <v>0</v>
      </c>
      <c r="F22" s="26">
        <f t="shared" si="2"/>
        <v>0</v>
      </c>
      <c r="G22" s="14"/>
    </row>
    <row r="23" spans="1:8" x14ac:dyDescent="0.25">
      <c r="A23" s="254" t="s">
        <v>331</v>
      </c>
      <c r="B23" s="254">
        <v>1692925</v>
      </c>
      <c r="C23" s="252">
        <v>0</v>
      </c>
      <c r="D23" s="239">
        <v>170.39</v>
      </c>
      <c r="E23" s="14">
        <f t="shared" si="3"/>
        <v>0</v>
      </c>
      <c r="F23" s="26">
        <f t="shared" si="2"/>
        <v>0</v>
      </c>
      <c r="G23" s="14"/>
    </row>
    <row r="24" spans="1:8" x14ac:dyDescent="0.25">
      <c r="A24" s="254" t="s">
        <v>582</v>
      </c>
      <c r="B24" s="254"/>
      <c r="C24" s="252">
        <v>0</v>
      </c>
      <c r="D24" s="239">
        <v>900</v>
      </c>
      <c r="E24" s="14">
        <f t="shared" si="3"/>
        <v>0</v>
      </c>
      <c r="F24" s="26">
        <f>+E24*0.0725</f>
        <v>0</v>
      </c>
      <c r="G24" s="14"/>
    </row>
    <row r="25" spans="1:8" x14ac:dyDescent="0.25">
      <c r="A25" s="254" t="s">
        <v>583</v>
      </c>
      <c r="B25" s="254"/>
      <c r="C25" s="252">
        <v>0</v>
      </c>
      <c r="D25" s="239">
        <v>900</v>
      </c>
      <c r="E25" s="14">
        <f t="shared" si="3"/>
        <v>0</v>
      </c>
      <c r="F25" s="26">
        <f>+E25*0.0725</f>
        <v>0</v>
      </c>
      <c r="G25" s="14"/>
    </row>
    <row r="26" spans="1:8" x14ac:dyDescent="0.25">
      <c r="A26" s="254"/>
      <c r="B26" s="254"/>
      <c r="C26" s="252">
        <v>0</v>
      </c>
      <c r="D26" s="239">
        <v>170.39</v>
      </c>
      <c r="E26" s="14">
        <f t="shared" si="3"/>
        <v>0</v>
      </c>
      <c r="F26" s="26">
        <f>+E26*0.0725</f>
        <v>0</v>
      </c>
      <c r="G26" s="14"/>
    </row>
    <row r="27" spans="1:8" x14ac:dyDescent="0.25">
      <c r="A27" s="254"/>
      <c r="B27" s="254"/>
      <c r="C27" s="252">
        <v>0</v>
      </c>
      <c r="D27" s="239">
        <v>170.39</v>
      </c>
      <c r="E27" s="14">
        <f t="shared" si="3"/>
        <v>0</v>
      </c>
      <c r="F27" s="26">
        <f>+E27*0.0725</f>
        <v>0</v>
      </c>
      <c r="G27" s="14"/>
    </row>
    <row r="28" spans="1:8" x14ac:dyDescent="0.25">
      <c r="A28" s="254"/>
      <c r="B28" s="254"/>
      <c r="C28" s="252">
        <v>0</v>
      </c>
      <c r="D28" s="239">
        <v>170.39</v>
      </c>
      <c r="E28" s="14">
        <f t="shared" si="3"/>
        <v>0</v>
      </c>
      <c r="F28" s="26">
        <f>+E28*0.0725</f>
        <v>0</v>
      </c>
      <c r="G28" s="14"/>
    </row>
    <row r="29" spans="1:8" ht="15.75" thickBot="1" x14ac:dyDescent="0.3">
      <c r="A29" s="138" t="s">
        <v>555</v>
      </c>
      <c r="B29" s="254"/>
      <c r="C29" s="252">
        <v>0</v>
      </c>
      <c r="D29" s="239">
        <v>0</v>
      </c>
      <c r="E29" s="14">
        <f t="shared" si="3"/>
        <v>0</v>
      </c>
      <c r="F29" s="26">
        <f t="shared" si="2"/>
        <v>0</v>
      </c>
      <c r="G29" s="21"/>
    </row>
    <row r="30" spans="1:8" x14ac:dyDescent="0.25">
      <c r="B30" s="2"/>
      <c r="C30" s="914" t="s">
        <v>332</v>
      </c>
      <c r="D30" s="914"/>
      <c r="E30" s="914"/>
      <c r="F30" s="30"/>
      <c r="G30" s="14">
        <f>IF(J4="yes",0,SUM(E9:E29)+SUM(F9:F29))</f>
        <v>0</v>
      </c>
    </row>
    <row r="31" spans="1:8" x14ac:dyDescent="0.25">
      <c r="H31" s="14" t="s">
        <v>148</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82" t="s">
        <v>253</v>
      </c>
      <c r="B1" s="3" t="s">
        <v>333</v>
      </c>
      <c r="C1" s="3"/>
    </row>
    <row r="2" spans="1:12" x14ac:dyDescent="0.25">
      <c r="D2" s="3"/>
      <c r="E2" s="8"/>
      <c r="F2" s="13"/>
      <c r="G2" s="13"/>
      <c r="H2" s="13"/>
    </row>
    <row r="3" spans="1:12" x14ac:dyDescent="0.25">
      <c r="B3" s="3" t="s">
        <v>208</v>
      </c>
      <c r="C3" s="3" t="s">
        <v>321</v>
      </c>
      <c r="D3" s="3" t="s">
        <v>265</v>
      </c>
      <c r="E3" s="8" t="s">
        <v>266</v>
      </c>
      <c r="F3" s="13" t="s">
        <v>267</v>
      </c>
      <c r="G3" s="13" t="s">
        <v>254</v>
      </c>
      <c r="H3" s="13" t="s">
        <v>268</v>
      </c>
    </row>
    <row r="4" spans="1:12" ht="15.75" thickBot="1" x14ac:dyDescent="0.3">
      <c r="B4" s="3" t="s">
        <v>615</v>
      </c>
      <c r="C4" s="3"/>
      <c r="D4" s="3"/>
      <c r="E4" s="8"/>
      <c r="F4" s="13"/>
      <c r="G4" s="13"/>
      <c r="H4" s="13"/>
    </row>
    <row r="5" spans="1:12" x14ac:dyDescent="0.25">
      <c r="B5" s="404" t="s">
        <v>340</v>
      </c>
      <c r="C5" s="404"/>
      <c r="D5" s="394">
        <v>1</v>
      </c>
      <c r="E5" s="401">
        <v>179</v>
      </c>
      <c r="F5" s="395">
        <f>+D5*E5</f>
        <v>179</v>
      </c>
      <c r="G5" s="402">
        <f t="shared" ref="G5:G9" si="0">+F5*0.0725</f>
        <v>12.977499999999999</v>
      </c>
      <c r="H5" s="400"/>
      <c r="J5" s="915" t="s">
        <v>2</v>
      </c>
      <c r="K5" s="915" t="str">
        <f>IF(Profit!U6,IF(L5,"Yes","No"),"No")</f>
        <v>No</v>
      </c>
      <c r="L5" s="919" t="b">
        <v>0</v>
      </c>
    </row>
    <row r="6" spans="1:12" ht="15.75" thickBot="1" x14ac:dyDescent="0.3">
      <c r="B6" s="404" t="s">
        <v>619</v>
      </c>
      <c r="C6" s="404"/>
      <c r="D6" s="394">
        <v>1</v>
      </c>
      <c r="E6" s="401">
        <v>53.98</v>
      </c>
      <c r="F6" s="395">
        <f>+D6*E6</f>
        <v>53.98</v>
      </c>
      <c r="G6" s="402">
        <f t="shared" si="0"/>
        <v>3.9135499999999994</v>
      </c>
      <c r="H6" s="400"/>
      <c r="J6" s="916"/>
      <c r="K6" s="916"/>
      <c r="L6" s="920"/>
    </row>
    <row r="7" spans="1:12" x14ac:dyDescent="0.25">
      <c r="B7" s="404" t="s">
        <v>288</v>
      </c>
      <c r="C7" s="404"/>
      <c r="D7" s="394">
        <v>2</v>
      </c>
      <c r="E7" s="401">
        <v>15.47</v>
      </c>
      <c r="F7" s="395">
        <f>+D7*E7</f>
        <v>30.94</v>
      </c>
      <c r="G7" s="402">
        <f t="shared" si="0"/>
        <v>2.24315</v>
      </c>
      <c r="H7" s="400"/>
    </row>
    <row r="8" spans="1:12" x14ac:dyDescent="0.25">
      <c r="B8" s="404" t="s">
        <v>620</v>
      </c>
      <c r="C8" s="404"/>
      <c r="D8" s="394">
        <v>5</v>
      </c>
      <c r="E8" s="401">
        <v>39.979999999999997</v>
      </c>
      <c r="F8" s="395">
        <v>0</v>
      </c>
      <c r="G8" s="402">
        <f t="shared" si="0"/>
        <v>0</v>
      </c>
      <c r="H8" s="400"/>
    </row>
    <row r="9" spans="1:12" ht="15.75" thickBot="1" x14ac:dyDescent="0.3">
      <c r="B9" s="404" t="s">
        <v>337</v>
      </c>
      <c r="C9" s="404">
        <v>732291231619</v>
      </c>
      <c r="D9" s="394">
        <v>3</v>
      </c>
      <c r="E9" s="401">
        <v>99</v>
      </c>
      <c r="F9" s="403">
        <f>+D9*E9</f>
        <v>297</v>
      </c>
      <c r="G9" s="403">
        <f t="shared" si="0"/>
        <v>21.532499999999999</v>
      </c>
      <c r="H9" s="403"/>
    </row>
    <row r="10" spans="1:12" x14ac:dyDescent="0.25">
      <c r="B10" s="404"/>
      <c r="C10" s="404"/>
      <c r="D10" s="394"/>
      <c r="E10" s="401"/>
      <c r="F10" s="395"/>
      <c r="G10" s="395"/>
      <c r="H10" s="395">
        <f>IF(K5="Yes",+SUM(F5:F9)+SUM(G5:G9),0)</f>
        <v>0</v>
      </c>
    </row>
    <row r="11" spans="1:12" x14ac:dyDescent="0.25">
      <c r="B11" s="254"/>
      <c r="C11" s="254"/>
      <c r="D11" s="252"/>
      <c r="E11" s="239"/>
      <c r="G11" s="26"/>
      <c r="H11" s="13"/>
    </row>
    <row r="12" spans="1:12" x14ac:dyDescent="0.25">
      <c r="B12" s="254"/>
      <c r="C12" s="254"/>
      <c r="D12" s="252"/>
      <c r="E12" s="239"/>
      <c r="G12" s="26"/>
      <c r="H12" s="13"/>
    </row>
    <row r="13" spans="1:12" x14ac:dyDescent="0.25">
      <c r="B13" s="254" t="s">
        <v>824</v>
      </c>
      <c r="C13" s="254" t="s">
        <v>825</v>
      </c>
      <c r="D13" s="252">
        <v>2</v>
      </c>
      <c r="E13" s="239">
        <v>28.12</v>
      </c>
      <c r="F13" s="14">
        <f>+D13*E13</f>
        <v>56.24</v>
      </c>
      <c r="G13" s="26">
        <f t="shared" ref="G13:G30" si="1">+F13*0.0725</f>
        <v>4.0773999999999999</v>
      </c>
      <c r="H13" s="13"/>
    </row>
    <row r="14" spans="1:12" x14ac:dyDescent="0.25">
      <c r="B14" s="254" t="s">
        <v>809</v>
      </c>
      <c r="C14" s="254" t="s">
        <v>810</v>
      </c>
      <c r="D14" s="252">
        <v>1</v>
      </c>
      <c r="E14" s="239">
        <v>48.58</v>
      </c>
      <c r="F14" s="14">
        <f>+D14*E14</f>
        <v>48.58</v>
      </c>
      <c r="G14" s="26">
        <f t="shared" si="1"/>
        <v>3.5220499999999997</v>
      </c>
    </row>
    <row r="15" spans="1:12" x14ac:dyDescent="0.25">
      <c r="B15" s="254" t="s">
        <v>820</v>
      </c>
      <c r="C15" s="254" t="s">
        <v>821</v>
      </c>
      <c r="D15" s="252">
        <v>1</v>
      </c>
      <c r="E15" s="239">
        <v>35.229999999999997</v>
      </c>
      <c r="F15" s="14">
        <f>+D15*E15</f>
        <v>35.229999999999997</v>
      </c>
      <c r="G15" s="26">
        <f t="shared" si="1"/>
        <v>2.5541749999999994</v>
      </c>
    </row>
    <row r="16" spans="1:12" x14ac:dyDescent="0.25">
      <c r="B16" s="254" t="s">
        <v>822</v>
      </c>
      <c r="C16" s="254" t="s">
        <v>823</v>
      </c>
      <c r="D16" s="252">
        <v>1</v>
      </c>
      <c r="E16" s="239">
        <v>6.33</v>
      </c>
      <c r="F16" s="14">
        <f>+D16*E16</f>
        <v>6.33</v>
      </c>
      <c r="G16" s="26">
        <f t="shared" si="1"/>
        <v>0.45892499999999997</v>
      </c>
    </row>
    <row r="17" spans="1:11" x14ac:dyDescent="0.25">
      <c r="B17" s="254" t="s">
        <v>334</v>
      </c>
      <c r="C17" s="254">
        <v>1233228</v>
      </c>
      <c r="D17" s="252">
        <v>0</v>
      </c>
      <c r="E17" s="239">
        <v>39.979999999999997</v>
      </c>
      <c r="F17" s="14">
        <v>0</v>
      </c>
      <c r="G17" s="26">
        <f t="shared" si="1"/>
        <v>0</v>
      </c>
    </row>
    <row r="18" spans="1:11" x14ac:dyDescent="0.25">
      <c r="B18" s="254" t="s">
        <v>335</v>
      </c>
      <c r="C18" s="254" t="s">
        <v>148</v>
      </c>
      <c r="D18" s="252">
        <v>0</v>
      </c>
      <c r="E18" s="239">
        <v>6.99</v>
      </c>
      <c r="F18" s="14">
        <f t="shared" ref="F18:F29" si="2">+D18*E18</f>
        <v>0</v>
      </c>
      <c r="G18" s="26">
        <f t="shared" si="1"/>
        <v>0</v>
      </c>
    </row>
    <row r="19" spans="1:11" x14ac:dyDescent="0.25">
      <c r="B19" s="254" t="s">
        <v>336</v>
      </c>
      <c r="C19" s="254"/>
      <c r="D19" s="252">
        <v>0</v>
      </c>
      <c r="E19" s="239">
        <v>24.4</v>
      </c>
      <c r="F19" s="14">
        <f t="shared" si="2"/>
        <v>0</v>
      </c>
      <c r="G19" s="26">
        <f t="shared" si="1"/>
        <v>0</v>
      </c>
    </row>
    <row r="20" spans="1:11" x14ac:dyDescent="0.25">
      <c r="B20" s="254" t="s">
        <v>337</v>
      </c>
      <c r="C20" s="254" t="s">
        <v>518</v>
      </c>
      <c r="D20" s="252">
        <v>0</v>
      </c>
      <c r="E20" s="239">
        <v>89.1</v>
      </c>
      <c r="F20" s="14">
        <f t="shared" si="2"/>
        <v>0</v>
      </c>
      <c r="G20" s="26">
        <f t="shared" si="1"/>
        <v>0</v>
      </c>
    </row>
    <row r="21" spans="1:11" x14ac:dyDescent="0.25">
      <c r="B21" s="254" t="s">
        <v>338</v>
      </c>
      <c r="C21" s="279">
        <v>26508261804</v>
      </c>
      <c r="D21" s="252">
        <v>0</v>
      </c>
      <c r="E21" s="239">
        <v>114</v>
      </c>
      <c r="F21" s="14">
        <f t="shared" si="2"/>
        <v>0</v>
      </c>
      <c r="G21" s="26">
        <f t="shared" si="1"/>
        <v>0</v>
      </c>
    </row>
    <row r="22" spans="1:11" x14ac:dyDescent="0.25">
      <c r="B22" s="254" t="s">
        <v>288</v>
      </c>
      <c r="C22" s="254">
        <v>6925699939094</v>
      </c>
      <c r="D22" s="252">
        <v>0</v>
      </c>
      <c r="E22" s="239">
        <v>34.979999999999997</v>
      </c>
      <c r="F22" s="14">
        <f t="shared" si="2"/>
        <v>0</v>
      </c>
      <c r="G22" s="26">
        <f t="shared" si="1"/>
        <v>0</v>
      </c>
    </row>
    <row r="23" spans="1:11" x14ac:dyDescent="0.25">
      <c r="B23" s="254" t="s">
        <v>339</v>
      </c>
      <c r="C23" s="254"/>
      <c r="D23" s="252">
        <v>0</v>
      </c>
      <c r="E23" s="239"/>
      <c r="F23" s="14">
        <f t="shared" si="2"/>
        <v>0</v>
      </c>
      <c r="G23" s="26">
        <f t="shared" si="1"/>
        <v>0</v>
      </c>
    </row>
    <row r="24" spans="1:11" x14ac:dyDescent="0.25">
      <c r="B24" s="254" t="s">
        <v>340</v>
      </c>
      <c r="C24" s="254">
        <v>38877656754</v>
      </c>
      <c r="D24" s="252">
        <v>0</v>
      </c>
      <c r="E24" s="239">
        <v>169</v>
      </c>
      <c r="F24" s="14">
        <f t="shared" si="2"/>
        <v>0</v>
      </c>
      <c r="G24" s="26">
        <f t="shared" si="1"/>
        <v>0</v>
      </c>
    </row>
    <row r="25" spans="1:11" x14ac:dyDescent="0.25">
      <c r="B25" s="254" t="s">
        <v>337</v>
      </c>
      <c r="C25" s="254" t="s">
        <v>794</v>
      </c>
      <c r="D25" s="252">
        <v>1</v>
      </c>
      <c r="E25" s="239">
        <v>89.1</v>
      </c>
      <c r="F25" s="14">
        <f t="shared" si="2"/>
        <v>89.1</v>
      </c>
      <c r="G25" s="26">
        <f t="shared" si="1"/>
        <v>6.4597499999999988</v>
      </c>
    </row>
    <row r="26" spans="1:11" x14ac:dyDescent="0.25">
      <c r="B26" s="254" t="s">
        <v>341</v>
      </c>
      <c r="C26" s="254"/>
      <c r="D26" s="252">
        <v>0</v>
      </c>
      <c r="E26" s="239">
        <v>-29.7</v>
      </c>
      <c r="F26" s="14">
        <f t="shared" si="2"/>
        <v>0</v>
      </c>
      <c r="G26" s="26">
        <f t="shared" si="1"/>
        <v>0</v>
      </c>
    </row>
    <row r="27" spans="1:11" x14ac:dyDescent="0.25">
      <c r="A27" s="12">
        <v>45845</v>
      </c>
      <c r="B27" s="254" t="s">
        <v>856</v>
      </c>
      <c r="C27" s="483">
        <v>45845</v>
      </c>
      <c r="D27" s="252">
        <v>1</v>
      </c>
      <c r="E27" s="239">
        <v>1299.33</v>
      </c>
      <c r="F27" s="14">
        <f t="shared" si="2"/>
        <v>1299.33</v>
      </c>
      <c r="G27" s="26" t="s">
        <v>148</v>
      </c>
    </row>
    <row r="28" spans="1:11" x14ac:dyDescent="0.25">
      <c r="A28" s="12">
        <v>45845</v>
      </c>
      <c r="B28" s="254" t="s">
        <v>876</v>
      </c>
      <c r="C28" s="483">
        <v>45845</v>
      </c>
      <c r="D28" s="252">
        <v>1</v>
      </c>
      <c r="E28" s="239">
        <v>125</v>
      </c>
      <c r="F28" s="14">
        <f t="shared" si="2"/>
        <v>125</v>
      </c>
      <c r="G28" s="26">
        <f t="shared" si="1"/>
        <v>9.0625</v>
      </c>
    </row>
    <row r="29" spans="1:11" x14ac:dyDescent="0.25">
      <c r="B29" s="254"/>
      <c r="C29" s="254"/>
      <c r="D29" s="252"/>
      <c r="E29" s="239"/>
      <c r="F29" s="14">
        <f t="shared" si="2"/>
        <v>0</v>
      </c>
      <c r="G29" s="26">
        <f t="shared" si="1"/>
        <v>0</v>
      </c>
    </row>
    <row r="30" spans="1:11" ht="15.75" thickBot="1" x14ac:dyDescent="0.3">
      <c r="B30" s="254"/>
      <c r="C30" s="254"/>
      <c r="D30" s="252"/>
      <c r="E30" s="239"/>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342</v>
      </c>
      <c r="B1" s="32"/>
      <c r="C1" s="32"/>
    </row>
    <row r="2" spans="1:13" x14ac:dyDescent="0.25">
      <c r="D2" s="3"/>
      <c r="E2" s="8"/>
      <c r="F2" s="13"/>
      <c r="G2" s="13"/>
      <c r="H2" s="13"/>
      <c r="K2" s="915" t="s">
        <v>2</v>
      </c>
      <c r="L2" s="915" t="str">
        <f>IF(Profit!U6,IF(M2,"Yes","No"),"No")</f>
        <v>No</v>
      </c>
      <c r="M2" s="919" t="b">
        <v>1</v>
      </c>
    </row>
    <row r="3" spans="1:13" s="22" customFormat="1" ht="14.25" customHeight="1" thickBot="1" x14ac:dyDescent="0.3">
      <c r="A3" s="3" t="s">
        <v>208</v>
      </c>
      <c r="B3" s="3" t="s">
        <v>253</v>
      </c>
      <c r="C3" s="3" t="s">
        <v>321</v>
      </c>
      <c r="D3" s="3" t="s">
        <v>265</v>
      </c>
      <c r="E3" s="8" t="s">
        <v>266</v>
      </c>
      <c r="F3" s="13" t="s">
        <v>267</v>
      </c>
      <c r="G3" s="13"/>
      <c r="H3" s="13" t="s">
        <v>268</v>
      </c>
      <c r="K3" s="916"/>
      <c r="L3" s="916"/>
      <c r="M3" s="920"/>
    </row>
    <row r="4" spans="1:13" s="22" customFormat="1" ht="14.25" customHeight="1" x14ac:dyDescent="0.25">
      <c r="A4" s="3"/>
      <c r="B4" s="3"/>
      <c r="C4" s="3"/>
      <c r="D4" s="3"/>
      <c r="E4" s="8"/>
      <c r="F4" s="13"/>
      <c r="G4" s="13"/>
      <c r="H4" s="13"/>
      <c r="K4"/>
      <c r="L4"/>
      <c r="M4"/>
    </row>
    <row r="5" spans="1:13" s="22" customFormat="1" ht="14.25" customHeight="1" x14ac:dyDescent="0.25">
      <c r="A5" s="3"/>
      <c r="B5" s="429"/>
      <c r="C5" s="3"/>
      <c r="D5" s="3" t="s">
        <v>148</v>
      </c>
      <c r="E5" s="8" t="s">
        <v>148</v>
      </c>
      <c r="F5" s="14" t="s">
        <v>148</v>
      </c>
      <c r="G5" s="14"/>
      <c r="H5" s="13"/>
      <c r="K5"/>
      <c r="L5"/>
      <c r="M5"/>
    </row>
    <row r="6" spans="1:13" s="22" customFormat="1" ht="14.25" customHeight="1" x14ac:dyDescent="0.25">
      <c r="A6" s="3" t="s">
        <v>801</v>
      </c>
      <c r="B6" s="3" t="s">
        <v>802</v>
      </c>
      <c r="C6" s="3"/>
      <c r="D6" s="3">
        <v>6</v>
      </c>
      <c r="E6" s="8">
        <v>8.91</v>
      </c>
      <c r="F6" s="14">
        <f t="shared" ref="F6:F18" si="0">+D6*E6</f>
        <v>53.46</v>
      </c>
      <c r="G6" s="14">
        <f>+F6*0.0725</f>
        <v>3.8758499999999998</v>
      </c>
      <c r="H6" s="13"/>
      <c r="K6"/>
      <c r="L6"/>
      <c r="M6"/>
    </row>
    <row r="7" spans="1:13" ht="14.25" customHeight="1" x14ac:dyDescent="0.25">
      <c r="A7" s="32" t="s">
        <v>343</v>
      </c>
      <c r="B7" s="32"/>
      <c r="C7" s="32">
        <v>935605</v>
      </c>
      <c r="D7" s="254">
        <v>0</v>
      </c>
      <c r="E7" s="239">
        <v>209</v>
      </c>
      <c r="F7" s="14">
        <f t="shared" si="0"/>
        <v>0</v>
      </c>
      <c r="G7" s="14">
        <f t="shared" ref="G7:G37" si="1">+F7*0.0725</f>
        <v>0</v>
      </c>
      <c r="H7" s="13"/>
    </row>
    <row r="8" spans="1:13" ht="14.25" customHeight="1" x14ac:dyDescent="0.25">
      <c r="A8" s="32" t="s">
        <v>848</v>
      </c>
      <c r="B8" s="32" t="s">
        <v>847</v>
      </c>
      <c r="C8" s="32" t="s">
        <v>148</v>
      </c>
      <c r="D8" s="254">
        <v>1</v>
      </c>
      <c r="E8" s="239">
        <v>5.68</v>
      </c>
      <c r="F8" s="14">
        <f t="shared" si="0"/>
        <v>5.68</v>
      </c>
      <c r="G8" s="14">
        <f t="shared" si="1"/>
        <v>0.41179999999999994</v>
      </c>
      <c r="H8" s="13"/>
    </row>
    <row r="9" spans="1:13" ht="14.25" customHeight="1" x14ac:dyDescent="0.25">
      <c r="A9" s="32" t="s">
        <v>846</v>
      </c>
      <c r="B9" s="32" t="s">
        <v>808</v>
      </c>
      <c r="C9" s="32" t="s">
        <v>148</v>
      </c>
      <c r="D9" s="254">
        <v>1</v>
      </c>
      <c r="E9" s="239">
        <v>47.48</v>
      </c>
      <c r="F9" s="14">
        <f>+D9*E9</f>
        <v>47.48</v>
      </c>
      <c r="G9" s="14">
        <f t="shared" si="1"/>
        <v>3.4422999999999995</v>
      </c>
      <c r="H9" s="13"/>
    </row>
    <row r="10" spans="1:13" ht="14.25" customHeight="1" x14ac:dyDescent="0.25">
      <c r="A10" s="32" t="s">
        <v>844</v>
      </c>
      <c r="B10" s="32" t="s">
        <v>845</v>
      </c>
      <c r="C10" s="32" t="s">
        <v>148</v>
      </c>
      <c r="D10" s="252">
        <v>1</v>
      </c>
      <c r="E10" s="239">
        <v>74.08</v>
      </c>
      <c r="F10" s="14">
        <f t="shared" si="0"/>
        <v>74.08</v>
      </c>
      <c r="G10" s="14">
        <f t="shared" si="1"/>
        <v>5.3707999999999991</v>
      </c>
    </row>
    <row r="11" spans="1:13" ht="14.25" customHeight="1" x14ac:dyDescent="0.25">
      <c r="A11" s="32" t="s">
        <v>842</v>
      </c>
      <c r="B11" s="32" t="s">
        <v>843</v>
      </c>
      <c r="C11" s="32" t="s">
        <v>148</v>
      </c>
      <c r="D11" s="252">
        <v>1</v>
      </c>
      <c r="E11" s="239">
        <v>47.96</v>
      </c>
      <c r="F11" s="14">
        <f t="shared" si="0"/>
        <v>47.96</v>
      </c>
      <c r="G11" s="14">
        <f t="shared" si="1"/>
        <v>3.4770999999999996</v>
      </c>
    </row>
    <row r="12" spans="1:13" ht="14.25" customHeight="1" x14ac:dyDescent="0.25">
      <c r="A12" s="32" t="s">
        <v>818</v>
      </c>
      <c r="B12" s="32" t="s">
        <v>819</v>
      </c>
      <c r="C12" s="32" t="s">
        <v>148</v>
      </c>
      <c r="D12" s="252">
        <v>1</v>
      </c>
      <c r="E12" s="239">
        <v>104.72</v>
      </c>
      <c r="F12" s="14">
        <f>+D12*E12</f>
        <v>104.72</v>
      </c>
      <c r="G12" s="14">
        <f t="shared" si="1"/>
        <v>7.5921999999999992</v>
      </c>
    </row>
    <row r="13" spans="1:13" ht="14.25" customHeight="1" x14ac:dyDescent="0.25">
      <c r="A13" s="32" t="s">
        <v>816</v>
      </c>
      <c r="B13" s="32" t="s">
        <v>817</v>
      </c>
      <c r="C13" s="32" t="s">
        <v>148</v>
      </c>
      <c r="D13" s="252">
        <v>1</v>
      </c>
      <c r="E13" s="239">
        <v>103.04</v>
      </c>
      <c r="F13" s="14">
        <f t="shared" si="0"/>
        <v>103.04</v>
      </c>
      <c r="G13" s="14">
        <f t="shared" si="1"/>
        <v>7.4703999999999997</v>
      </c>
    </row>
    <row r="14" spans="1:13" ht="14.25" customHeight="1" x14ac:dyDescent="0.25">
      <c r="A14" s="32" t="s">
        <v>813</v>
      </c>
      <c r="B14" s="32" t="s">
        <v>815</v>
      </c>
      <c r="C14" s="32" t="s">
        <v>148</v>
      </c>
      <c r="D14" s="252">
        <v>2</v>
      </c>
      <c r="E14" s="239">
        <v>18.46</v>
      </c>
      <c r="F14" s="14">
        <f t="shared" si="0"/>
        <v>36.92</v>
      </c>
      <c r="G14" s="14">
        <f t="shared" si="1"/>
        <v>2.6766999999999999</v>
      </c>
    </row>
    <row r="15" spans="1:13" ht="14.25" customHeight="1" x14ac:dyDescent="0.25">
      <c r="A15" s="32" t="s">
        <v>813</v>
      </c>
      <c r="B15" s="32" t="s">
        <v>814</v>
      </c>
      <c r="C15" s="32" t="s">
        <v>148</v>
      </c>
      <c r="D15" s="252">
        <v>2</v>
      </c>
      <c r="E15" s="239">
        <v>14.5</v>
      </c>
      <c r="F15" s="14">
        <f t="shared" si="0"/>
        <v>29</v>
      </c>
      <c r="G15" s="14">
        <f t="shared" si="1"/>
        <v>2.1025</v>
      </c>
    </row>
    <row r="16" spans="1:13" ht="14.25" customHeight="1" x14ac:dyDescent="0.25">
      <c r="A16" s="32" t="s">
        <v>807</v>
      </c>
      <c r="B16" s="32" t="s">
        <v>808</v>
      </c>
      <c r="C16" s="32" t="s">
        <v>148</v>
      </c>
      <c r="D16" s="252">
        <v>1</v>
      </c>
      <c r="E16" s="239">
        <v>44.98</v>
      </c>
      <c r="F16" s="14">
        <f t="shared" si="0"/>
        <v>44.98</v>
      </c>
      <c r="G16" s="14">
        <f t="shared" si="1"/>
        <v>3.2610499999999996</v>
      </c>
    </row>
    <row r="17" spans="1:7" ht="14.25" customHeight="1" x14ac:dyDescent="0.25">
      <c r="A17" s="32" t="s">
        <v>805</v>
      </c>
      <c r="B17" s="32" t="s">
        <v>806</v>
      </c>
      <c r="C17" s="32"/>
      <c r="D17" s="252">
        <v>1</v>
      </c>
      <c r="E17" s="239">
        <v>66.599999999999994</v>
      </c>
      <c r="F17" s="14">
        <f t="shared" si="0"/>
        <v>66.599999999999994</v>
      </c>
      <c r="G17" s="14">
        <f t="shared" si="1"/>
        <v>4.8284999999999991</v>
      </c>
    </row>
    <row r="18" spans="1:7" ht="14.25" customHeight="1" x14ac:dyDescent="0.25">
      <c r="A18" s="32" t="s">
        <v>804</v>
      </c>
      <c r="B18" s="32" t="s">
        <v>803</v>
      </c>
      <c r="C18" s="32" t="s">
        <v>148</v>
      </c>
      <c r="D18" s="252">
        <v>2</v>
      </c>
      <c r="E18" s="239">
        <v>16.809999999999999</v>
      </c>
      <c r="F18" s="14">
        <f t="shared" si="0"/>
        <v>33.619999999999997</v>
      </c>
      <c r="G18" s="14">
        <f t="shared" si="1"/>
        <v>2.4374499999999997</v>
      </c>
    </row>
    <row r="19" spans="1:7" ht="14.25" customHeight="1" x14ac:dyDescent="0.25">
      <c r="A19" s="315" t="s">
        <v>547</v>
      </c>
      <c r="B19" s="315"/>
      <c r="C19" s="315">
        <v>25598</v>
      </c>
      <c r="D19" s="252">
        <v>0</v>
      </c>
      <c r="E19" s="239">
        <v>101</v>
      </c>
      <c r="F19" s="14">
        <f t="shared" ref="F19:F37" si="2">+D19*E19</f>
        <v>0</v>
      </c>
      <c r="G19" s="14">
        <f t="shared" si="1"/>
        <v>0</v>
      </c>
    </row>
    <row r="20" spans="1:7" ht="14.25" customHeight="1" x14ac:dyDescent="0.25">
      <c r="A20" s="315" t="s">
        <v>517</v>
      </c>
      <c r="B20" s="315"/>
      <c r="C20" s="315">
        <v>30151125574</v>
      </c>
      <c r="D20" s="252">
        <v>0</v>
      </c>
      <c r="E20" s="239">
        <v>91.46</v>
      </c>
      <c r="F20" s="14">
        <f t="shared" si="2"/>
        <v>0</v>
      </c>
      <c r="G20" s="14">
        <f t="shared" si="1"/>
        <v>0</v>
      </c>
    </row>
    <row r="21" spans="1:7" ht="14.25" customHeight="1" x14ac:dyDescent="0.25">
      <c r="A21" s="32" t="s">
        <v>344</v>
      </c>
      <c r="B21" s="32"/>
      <c r="C21" s="32"/>
      <c r="D21" s="252">
        <v>0</v>
      </c>
      <c r="E21" s="239">
        <v>284.56</v>
      </c>
      <c r="F21" s="14">
        <f t="shared" si="2"/>
        <v>0</v>
      </c>
      <c r="G21" s="14">
        <f t="shared" si="1"/>
        <v>0</v>
      </c>
    </row>
    <row r="22" spans="1:7" ht="14.25" customHeight="1" x14ac:dyDescent="0.25">
      <c r="A22" s="32" t="s">
        <v>345</v>
      </c>
      <c r="B22" s="32"/>
      <c r="C22" s="32">
        <v>72904</v>
      </c>
      <c r="D22" s="252">
        <v>0</v>
      </c>
      <c r="E22" s="239">
        <v>429.62</v>
      </c>
      <c r="F22" s="14">
        <f>+D22*E22</f>
        <v>0</v>
      </c>
      <c r="G22" s="14">
        <f t="shared" si="1"/>
        <v>0</v>
      </c>
    </row>
    <row r="23" spans="1:7" ht="14.25" customHeight="1" x14ac:dyDescent="0.25">
      <c r="A23" s="32" t="s">
        <v>346</v>
      </c>
      <c r="B23" s="32"/>
      <c r="C23" s="32" t="s">
        <v>561</v>
      </c>
      <c r="D23" s="252">
        <v>0</v>
      </c>
      <c r="E23" s="239">
        <v>8.77</v>
      </c>
      <c r="F23" s="14">
        <f t="shared" si="2"/>
        <v>0</v>
      </c>
      <c r="G23" s="14">
        <f t="shared" si="1"/>
        <v>0</v>
      </c>
    </row>
    <row r="24" spans="1:7" ht="14.25" customHeight="1" x14ac:dyDescent="0.25">
      <c r="A24" s="315" t="s">
        <v>558</v>
      </c>
      <c r="B24" s="315"/>
      <c r="C24" s="315" t="s">
        <v>563</v>
      </c>
      <c r="D24" s="252">
        <v>0</v>
      </c>
      <c r="E24" s="239">
        <v>18.88</v>
      </c>
      <c r="F24" s="14">
        <f t="shared" si="2"/>
        <v>0</v>
      </c>
      <c r="G24" s="14">
        <f t="shared" si="1"/>
        <v>0</v>
      </c>
    </row>
    <row r="25" spans="1:7" ht="14.25" customHeight="1" x14ac:dyDescent="0.25">
      <c r="A25" s="315" t="s">
        <v>559</v>
      </c>
      <c r="B25" s="315"/>
      <c r="C25" s="315" t="s">
        <v>562</v>
      </c>
      <c r="D25" s="252">
        <v>0</v>
      </c>
      <c r="E25" s="239">
        <v>47.14</v>
      </c>
      <c r="F25" s="14">
        <f t="shared" si="2"/>
        <v>0</v>
      </c>
      <c r="G25" s="14">
        <f t="shared" si="1"/>
        <v>0</v>
      </c>
    </row>
    <row r="26" spans="1:7" ht="14.25" customHeight="1" x14ac:dyDescent="0.25">
      <c r="A26" s="315" t="s">
        <v>559</v>
      </c>
      <c r="B26" s="315"/>
      <c r="C26" s="315" t="s">
        <v>560</v>
      </c>
      <c r="D26" s="252">
        <v>0</v>
      </c>
      <c r="E26" s="239">
        <v>27.73</v>
      </c>
      <c r="F26" s="14">
        <f t="shared" si="2"/>
        <v>0</v>
      </c>
      <c r="G26" s="14">
        <f t="shared" si="1"/>
        <v>0</v>
      </c>
    </row>
    <row r="27" spans="1:7" ht="14.25" customHeight="1" x14ac:dyDescent="0.25">
      <c r="A27" s="32" t="s">
        <v>347</v>
      </c>
      <c r="B27" s="32"/>
      <c r="C27" s="32">
        <v>5279793</v>
      </c>
      <c r="D27" s="252">
        <v>1</v>
      </c>
      <c r="E27" s="239">
        <v>66.48</v>
      </c>
      <c r="F27" s="14">
        <f t="shared" si="2"/>
        <v>66.48</v>
      </c>
      <c r="G27" s="14">
        <f t="shared" si="1"/>
        <v>4.8197999999999999</v>
      </c>
    </row>
    <row r="28" spans="1:7" ht="14.25" customHeight="1" x14ac:dyDescent="0.25">
      <c r="A28" s="32" t="s">
        <v>348</v>
      </c>
      <c r="B28" s="32"/>
      <c r="C28" s="32">
        <v>287027</v>
      </c>
      <c r="D28" s="252">
        <v>0</v>
      </c>
      <c r="E28" s="239">
        <v>50.48</v>
      </c>
      <c r="F28" s="14">
        <f t="shared" si="2"/>
        <v>0</v>
      </c>
      <c r="G28" s="14">
        <f t="shared" si="1"/>
        <v>0</v>
      </c>
    </row>
    <row r="29" spans="1:7" ht="14.25" customHeight="1" x14ac:dyDescent="0.25">
      <c r="A29" s="32" t="s">
        <v>797</v>
      </c>
      <c r="B29" s="32" t="s">
        <v>798</v>
      </c>
      <c r="C29" s="32"/>
      <c r="D29" s="252">
        <v>8</v>
      </c>
      <c r="E29" s="239">
        <v>16.32</v>
      </c>
      <c r="F29" s="14">
        <f t="shared" si="2"/>
        <v>130.56</v>
      </c>
      <c r="G29" s="14">
        <f t="shared" si="1"/>
        <v>9.4656000000000002</v>
      </c>
    </row>
    <row r="30" spans="1:7" ht="14.25" customHeight="1" x14ac:dyDescent="0.25">
      <c r="A30" s="32" t="s">
        <v>349</v>
      </c>
      <c r="B30" s="32"/>
      <c r="C30" s="32" t="s">
        <v>545</v>
      </c>
      <c r="D30" s="252">
        <v>0</v>
      </c>
      <c r="E30" s="239">
        <v>69.97</v>
      </c>
      <c r="F30" s="14">
        <f t="shared" si="2"/>
        <v>0</v>
      </c>
      <c r="G30" s="14">
        <f t="shared" si="1"/>
        <v>0</v>
      </c>
    </row>
    <row r="31" spans="1:7" ht="14.25" customHeight="1" x14ac:dyDescent="0.25">
      <c r="A31" s="32" t="s">
        <v>350</v>
      </c>
      <c r="B31" s="32" t="s">
        <v>793</v>
      </c>
      <c r="C31" s="32" t="s">
        <v>148</v>
      </c>
      <c r="D31" s="252">
        <v>2</v>
      </c>
      <c r="E31" s="239">
        <v>95.68</v>
      </c>
      <c r="F31" s="14">
        <f t="shared" si="2"/>
        <v>191.36</v>
      </c>
      <c r="G31" s="14">
        <f t="shared" si="1"/>
        <v>13.8736</v>
      </c>
    </row>
    <row r="32" spans="1:7" ht="14.25" customHeight="1" x14ac:dyDescent="0.25">
      <c r="A32" s="32" t="s">
        <v>351</v>
      </c>
      <c r="B32" s="32"/>
      <c r="C32" s="32" t="s">
        <v>352</v>
      </c>
      <c r="D32" s="252">
        <v>0</v>
      </c>
      <c r="E32" s="239">
        <v>12.97</v>
      </c>
      <c r="F32" s="14">
        <f t="shared" si="2"/>
        <v>0</v>
      </c>
      <c r="G32" s="14">
        <f t="shared" si="1"/>
        <v>0</v>
      </c>
    </row>
    <row r="33" spans="1:11" ht="14.25" customHeight="1" x14ac:dyDescent="0.25">
      <c r="A33" s="32" t="s">
        <v>353</v>
      </c>
      <c r="B33" s="32"/>
      <c r="C33" s="32"/>
      <c r="D33" s="252"/>
      <c r="E33" s="239"/>
      <c r="F33" s="14">
        <f t="shared" si="2"/>
        <v>0</v>
      </c>
      <c r="G33" s="14">
        <f t="shared" si="1"/>
        <v>0</v>
      </c>
    </row>
    <row r="34" spans="1:11" ht="14.25" customHeight="1" x14ac:dyDescent="0.25">
      <c r="A34" s="32" t="s">
        <v>354</v>
      </c>
      <c r="B34" s="32"/>
      <c r="C34" s="32">
        <v>30699285174</v>
      </c>
      <c r="D34" s="252">
        <v>0</v>
      </c>
      <c r="E34" s="239">
        <v>12.93</v>
      </c>
      <c r="F34" s="14">
        <f t="shared" si="2"/>
        <v>0</v>
      </c>
      <c r="G34" s="14">
        <f t="shared" si="1"/>
        <v>0</v>
      </c>
    </row>
    <row r="35" spans="1:11" ht="14.25" customHeight="1" x14ac:dyDescent="0.25">
      <c r="A35" s="32" t="s">
        <v>355</v>
      </c>
      <c r="B35" s="32"/>
      <c r="C35" s="280">
        <v>883351469845</v>
      </c>
      <c r="D35" s="252">
        <v>0</v>
      </c>
      <c r="E35" s="239">
        <v>47.97</v>
      </c>
      <c r="F35" s="14">
        <f t="shared" si="2"/>
        <v>0</v>
      </c>
      <c r="G35" s="14">
        <f t="shared" si="1"/>
        <v>0</v>
      </c>
    </row>
    <row r="36" spans="1:11" ht="14.25" customHeight="1" x14ac:dyDescent="0.25">
      <c r="A36" s="32" t="s">
        <v>356</v>
      </c>
      <c r="B36" s="32"/>
      <c r="C36" s="280">
        <v>883351891448</v>
      </c>
      <c r="D36" s="252">
        <v>0</v>
      </c>
      <c r="E36" s="239">
        <v>77.569999999999993</v>
      </c>
      <c r="F36" s="14">
        <f t="shared" si="2"/>
        <v>0</v>
      </c>
      <c r="G36" s="14">
        <f t="shared" si="1"/>
        <v>0</v>
      </c>
    </row>
    <row r="37" spans="1:11" ht="14.25" customHeight="1" thickBot="1" x14ac:dyDescent="0.3">
      <c r="A37" s="32" t="s">
        <v>357</v>
      </c>
      <c r="B37" s="32"/>
      <c r="C37" s="280">
        <v>883351396332</v>
      </c>
      <c r="D37" s="252">
        <v>0</v>
      </c>
      <c r="E37" s="239">
        <v>139</v>
      </c>
      <c r="F37" s="14">
        <f t="shared" si="2"/>
        <v>0</v>
      </c>
      <c r="G37" s="14">
        <f t="shared" si="1"/>
        <v>0</v>
      </c>
      <c r="H37" s="21"/>
    </row>
    <row r="38" spans="1:11" ht="14.25" customHeight="1" x14ac:dyDescent="0.25">
      <c r="A38" s="32"/>
      <c r="B38" s="32"/>
      <c r="C38" s="280"/>
      <c r="D38" s="282"/>
      <c r="E38" s="281"/>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358</v>
      </c>
      <c r="B1" s="3"/>
    </row>
    <row r="2" spans="1:12" x14ac:dyDescent="0.25">
      <c r="C2" s="3"/>
      <c r="D2" s="8"/>
      <c r="E2" s="13"/>
      <c r="F2" s="13"/>
      <c r="G2" s="13"/>
      <c r="J2" s="915" t="s">
        <v>2</v>
      </c>
      <c r="K2" s="915" t="str">
        <f>IF(Profit!U6,IF(L2,"Yes","No"),"No")</f>
        <v>No</v>
      </c>
      <c r="L2" s="919" t="b">
        <v>1</v>
      </c>
    </row>
    <row r="3" spans="1:12" ht="15.75" thickBot="1" x14ac:dyDescent="0.3">
      <c r="A3" s="31" t="s">
        <v>208</v>
      </c>
      <c r="B3" s="31" t="s">
        <v>321</v>
      </c>
      <c r="C3" s="31" t="s">
        <v>265</v>
      </c>
      <c r="D3" s="258" t="s">
        <v>266</v>
      </c>
      <c r="E3" s="259" t="s">
        <v>267</v>
      </c>
      <c r="F3" s="259" t="s">
        <v>254</v>
      </c>
      <c r="G3" s="259" t="s">
        <v>268</v>
      </c>
      <c r="J3" s="916"/>
      <c r="K3" s="916"/>
      <c r="L3" s="920"/>
    </row>
    <row r="4" spans="1:12" x14ac:dyDescent="0.25">
      <c r="A4" s="256"/>
      <c r="B4" s="256" t="s">
        <v>359</v>
      </c>
      <c r="C4" s="254">
        <v>0</v>
      </c>
      <c r="D4" s="257">
        <v>154</v>
      </c>
      <c r="E4" s="1">
        <f>C4*D4</f>
        <v>0</v>
      </c>
      <c r="F4" s="26">
        <f t="shared" ref="F4:F22" si="0">+E4*0.0725</f>
        <v>0</v>
      </c>
      <c r="G4" s="13"/>
    </row>
    <row r="5" spans="1:12" x14ac:dyDescent="0.25">
      <c r="A5" s="254" t="s">
        <v>360</v>
      </c>
      <c r="B5" s="254">
        <v>795984</v>
      </c>
      <c r="C5" s="252">
        <v>0</v>
      </c>
      <c r="D5" s="239">
        <v>144</v>
      </c>
      <c r="E5" s="1">
        <f>C5*D5</f>
        <v>0</v>
      </c>
      <c r="F5" s="26">
        <f t="shared" si="0"/>
        <v>0</v>
      </c>
    </row>
    <row r="6" spans="1:12" x14ac:dyDescent="0.25">
      <c r="A6" s="254" t="s">
        <v>361</v>
      </c>
      <c r="B6" s="254" t="s">
        <v>361</v>
      </c>
      <c r="C6" s="252">
        <v>0</v>
      </c>
      <c r="D6" s="239">
        <v>224</v>
      </c>
      <c r="E6" s="1">
        <f t="shared" ref="E6:E22" si="1">C6*D6</f>
        <v>0</v>
      </c>
      <c r="F6" s="26">
        <f t="shared" si="0"/>
        <v>0</v>
      </c>
    </row>
    <row r="7" spans="1:12" x14ac:dyDescent="0.25">
      <c r="A7" s="254" t="s">
        <v>362</v>
      </c>
      <c r="B7" s="254" t="s">
        <v>363</v>
      </c>
      <c r="C7" s="252">
        <v>0</v>
      </c>
      <c r="D7" s="239">
        <v>152</v>
      </c>
      <c r="E7" s="1">
        <f t="shared" si="1"/>
        <v>0</v>
      </c>
      <c r="F7" s="26">
        <f t="shared" si="0"/>
        <v>0</v>
      </c>
    </row>
    <row r="8" spans="1:12" x14ac:dyDescent="0.25">
      <c r="A8" s="254" t="s">
        <v>364</v>
      </c>
      <c r="B8" s="254" t="s">
        <v>365</v>
      </c>
      <c r="C8" s="252">
        <v>0</v>
      </c>
      <c r="D8" s="239">
        <v>50</v>
      </c>
      <c r="E8" s="1">
        <f t="shared" si="1"/>
        <v>0</v>
      </c>
      <c r="F8" s="26">
        <f t="shared" si="0"/>
        <v>0</v>
      </c>
    </row>
    <row r="9" spans="1:12" x14ac:dyDescent="0.25">
      <c r="A9" s="254" t="s">
        <v>366</v>
      </c>
      <c r="B9" s="254" t="s">
        <v>367</v>
      </c>
      <c r="C9" s="252">
        <v>0</v>
      </c>
      <c r="D9" s="239">
        <v>166</v>
      </c>
      <c r="E9" s="1">
        <f t="shared" si="1"/>
        <v>0</v>
      </c>
      <c r="F9" s="26">
        <f t="shared" si="0"/>
        <v>0</v>
      </c>
    </row>
    <row r="10" spans="1:12" x14ac:dyDescent="0.25">
      <c r="A10" s="254" t="s">
        <v>368</v>
      </c>
      <c r="B10" s="254" t="s">
        <v>369</v>
      </c>
      <c r="C10" s="252">
        <v>0</v>
      </c>
      <c r="D10" s="239">
        <v>104</v>
      </c>
      <c r="E10" s="1">
        <f t="shared" si="1"/>
        <v>0</v>
      </c>
      <c r="F10" s="26">
        <f t="shared" si="0"/>
        <v>0</v>
      </c>
    </row>
    <row r="11" spans="1:12" x14ac:dyDescent="0.25">
      <c r="A11" s="254" t="s">
        <v>370</v>
      </c>
      <c r="B11" s="254" t="s">
        <v>371</v>
      </c>
      <c r="C11" s="252">
        <v>0</v>
      </c>
      <c r="D11" s="239">
        <v>81.98</v>
      </c>
      <c r="E11" s="1">
        <f t="shared" si="1"/>
        <v>0</v>
      </c>
      <c r="F11" s="26">
        <f t="shared" si="0"/>
        <v>0</v>
      </c>
    </row>
    <row r="12" spans="1:12" x14ac:dyDescent="0.25">
      <c r="A12" s="254" t="s">
        <v>370</v>
      </c>
      <c r="B12" s="254" t="s">
        <v>372</v>
      </c>
      <c r="C12" s="252">
        <v>0</v>
      </c>
      <c r="D12" s="239">
        <v>143</v>
      </c>
      <c r="E12" s="1">
        <f t="shared" si="1"/>
        <v>0</v>
      </c>
      <c r="F12" s="26">
        <f t="shared" si="0"/>
        <v>0</v>
      </c>
    </row>
    <row r="13" spans="1:12" x14ac:dyDescent="0.25">
      <c r="A13" s="254" t="s">
        <v>370</v>
      </c>
      <c r="B13" s="254" t="s">
        <v>373</v>
      </c>
      <c r="C13" s="252">
        <v>0</v>
      </c>
      <c r="D13" s="239">
        <v>98.98</v>
      </c>
      <c r="E13" s="1">
        <f t="shared" si="1"/>
        <v>0</v>
      </c>
      <c r="F13" s="26">
        <f t="shared" si="0"/>
        <v>0</v>
      </c>
    </row>
    <row r="14" spans="1:12" x14ac:dyDescent="0.25">
      <c r="A14" s="254" t="s">
        <v>374</v>
      </c>
      <c r="B14" s="254" t="s">
        <v>375</v>
      </c>
      <c r="C14" s="252">
        <v>0</v>
      </c>
      <c r="D14" s="239">
        <v>165</v>
      </c>
      <c r="E14" s="1">
        <f t="shared" si="1"/>
        <v>0</v>
      </c>
      <c r="F14" s="26">
        <f t="shared" si="0"/>
        <v>0</v>
      </c>
    </row>
    <row r="15" spans="1:12" x14ac:dyDescent="0.25">
      <c r="A15" s="254" t="s">
        <v>376</v>
      </c>
      <c r="B15" s="254">
        <v>795984</v>
      </c>
      <c r="C15" s="252">
        <v>0</v>
      </c>
      <c r="D15" s="239">
        <v>144</v>
      </c>
      <c r="E15" s="1">
        <f t="shared" si="1"/>
        <v>0</v>
      </c>
      <c r="F15" s="26">
        <f t="shared" si="0"/>
        <v>0</v>
      </c>
    </row>
    <row r="16" spans="1:12" x14ac:dyDescent="0.25">
      <c r="A16" s="254"/>
      <c r="B16" s="254" t="s">
        <v>377</v>
      </c>
      <c r="C16" s="252">
        <v>0</v>
      </c>
      <c r="D16" s="239">
        <v>107</v>
      </c>
      <c r="E16" s="1">
        <f t="shared" si="1"/>
        <v>0</v>
      </c>
      <c r="F16" s="26">
        <f t="shared" si="0"/>
        <v>0</v>
      </c>
    </row>
    <row r="17" spans="1:10" x14ac:dyDescent="0.25">
      <c r="A17" s="254" t="s">
        <v>370</v>
      </c>
      <c r="B17" s="254" t="s">
        <v>378</v>
      </c>
      <c r="C17" s="252">
        <v>0</v>
      </c>
      <c r="D17" s="239">
        <v>112</v>
      </c>
      <c r="E17" s="1">
        <f t="shared" si="1"/>
        <v>0</v>
      </c>
      <c r="F17" s="26">
        <f t="shared" si="0"/>
        <v>0</v>
      </c>
    </row>
    <row r="18" spans="1:10" x14ac:dyDescent="0.25">
      <c r="A18" s="254" t="s">
        <v>379</v>
      </c>
      <c r="B18" s="254" t="s">
        <v>379</v>
      </c>
      <c r="C18" s="252">
        <v>0</v>
      </c>
      <c r="D18" s="239">
        <v>40.96</v>
      </c>
      <c r="E18" s="1">
        <f t="shared" si="1"/>
        <v>0</v>
      </c>
      <c r="F18" s="26">
        <f t="shared" si="0"/>
        <v>0</v>
      </c>
    </row>
    <row r="19" spans="1:10" x14ac:dyDescent="0.25">
      <c r="A19" s="254"/>
      <c r="B19" s="254" t="s">
        <v>380</v>
      </c>
      <c r="C19" s="252">
        <v>0</v>
      </c>
      <c r="D19" s="239">
        <v>18.28</v>
      </c>
      <c r="E19" s="1">
        <f t="shared" si="1"/>
        <v>0</v>
      </c>
      <c r="F19" s="26">
        <f t="shared" si="0"/>
        <v>0</v>
      </c>
    </row>
    <row r="20" spans="1:10" x14ac:dyDescent="0.25">
      <c r="A20" s="254" t="s">
        <v>548</v>
      </c>
      <c r="B20" s="254" t="s">
        <v>549</v>
      </c>
      <c r="C20" s="252">
        <v>0</v>
      </c>
      <c r="D20" s="239">
        <v>13.48</v>
      </c>
      <c r="E20" s="1">
        <f t="shared" si="1"/>
        <v>0</v>
      </c>
      <c r="F20" s="26">
        <f t="shared" si="0"/>
        <v>0</v>
      </c>
    </row>
    <row r="21" spans="1:10" x14ac:dyDescent="0.25">
      <c r="A21" s="254" t="s">
        <v>381</v>
      </c>
      <c r="B21" s="254"/>
      <c r="C21" s="252">
        <v>0</v>
      </c>
      <c r="D21" s="239">
        <v>0</v>
      </c>
      <c r="E21" s="1">
        <f t="shared" si="1"/>
        <v>0</v>
      </c>
      <c r="F21" s="26">
        <f t="shared" si="0"/>
        <v>0</v>
      </c>
    </row>
    <row r="22" spans="1:10" ht="15.75" thickBot="1" x14ac:dyDescent="0.3">
      <c r="A22" s="254" t="s">
        <v>382</v>
      </c>
      <c r="B22" s="254"/>
      <c r="C22" s="252">
        <v>0</v>
      </c>
      <c r="D22" s="239">
        <v>935.09</v>
      </c>
      <c r="E22" s="1">
        <f t="shared" si="1"/>
        <v>0</v>
      </c>
      <c r="F22" s="21">
        <f t="shared" si="0"/>
        <v>0</v>
      </c>
      <c r="G22" s="21"/>
    </row>
    <row r="23" spans="1:10" x14ac:dyDescent="0.25">
      <c r="G23" s="14">
        <f>+SUM(E4:E22)+SUM(F4:F22)</f>
        <v>0</v>
      </c>
      <c r="J23" s="1"/>
    </row>
    <row r="24" spans="1:10" x14ac:dyDescent="0.25">
      <c r="A24" s="32" t="s">
        <v>383</v>
      </c>
    </row>
    <row r="25" spans="1:10" x14ac:dyDescent="0.25">
      <c r="A25" s="3" t="s">
        <v>208</v>
      </c>
      <c r="B25" s="3" t="s">
        <v>321</v>
      </c>
      <c r="C25" s="3" t="s">
        <v>265</v>
      </c>
      <c r="D25" s="8" t="s">
        <v>266</v>
      </c>
      <c r="E25" s="13" t="s">
        <v>267</v>
      </c>
      <c r="F25" s="13"/>
      <c r="G25" s="13" t="s">
        <v>268</v>
      </c>
    </row>
    <row r="26" spans="1:10" x14ac:dyDescent="0.25">
      <c r="A26" s="138"/>
      <c r="B26" s="138" t="s">
        <v>384</v>
      </c>
      <c r="C26" s="252">
        <v>0</v>
      </c>
      <c r="D26" s="239">
        <v>2000</v>
      </c>
      <c r="E26" s="1">
        <f>C26*D26</f>
        <v>0</v>
      </c>
      <c r="F26" s="26">
        <f>+E26*0.0725</f>
        <v>0</v>
      </c>
    </row>
    <row r="27" spans="1:10" x14ac:dyDescent="0.25">
      <c r="A27" s="138"/>
      <c r="B27" s="138" t="s">
        <v>385</v>
      </c>
      <c r="C27" s="252">
        <v>0</v>
      </c>
      <c r="D27" s="239">
        <v>0</v>
      </c>
      <c r="E27" s="1">
        <f>C27*D27</f>
        <v>0</v>
      </c>
      <c r="F27" s="26">
        <f>+E27*0.0725</f>
        <v>0</v>
      </c>
    </row>
    <row r="28" spans="1:10" x14ac:dyDescent="0.25">
      <c r="A28" s="138"/>
      <c r="B28" s="138" t="s">
        <v>386</v>
      </c>
      <c r="C28" s="252">
        <v>0</v>
      </c>
      <c r="D28" s="239">
        <v>0</v>
      </c>
      <c r="E28" s="1">
        <f>C28*D28</f>
        <v>0</v>
      </c>
      <c r="F28" s="26">
        <f>+E28*0.0725</f>
        <v>0</v>
      </c>
    </row>
    <row r="29" spans="1:10" x14ac:dyDescent="0.25">
      <c r="A29" s="28" t="s">
        <v>557</v>
      </c>
      <c r="B29" s="138"/>
      <c r="C29" s="252">
        <v>0</v>
      </c>
      <c r="D29" s="239">
        <v>8800</v>
      </c>
      <c r="E29" s="1">
        <f>C29*D29</f>
        <v>0</v>
      </c>
      <c r="F29" s="26">
        <f>+E29*0.0725</f>
        <v>0</v>
      </c>
    </row>
    <row r="30" spans="1:10" x14ac:dyDescent="0.25">
      <c r="A30" s="138"/>
      <c r="B30" s="138"/>
      <c r="C30" s="252">
        <v>0</v>
      </c>
      <c r="D30" s="239">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387</v>
      </c>
    </row>
    <row r="35" spans="1:10" x14ac:dyDescent="0.25">
      <c r="A35" s="3" t="s">
        <v>208</v>
      </c>
      <c r="B35" s="3" t="s">
        <v>321</v>
      </c>
      <c r="C35" s="3" t="s">
        <v>265</v>
      </c>
      <c r="D35" s="8" t="s">
        <v>266</v>
      </c>
      <c r="E35" s="13" t="s">
        <v>267</v>
      </c>
      <c r="F35" s="13"/>
      <c r="G35" s="13" t="s">
        <v>268</v>
      </c>
    </row>
    <row r="36" spans="1:10" x14ac:dyDescent="0.25">
      <c r="A36" s="256" t="s">
        <v>388</v>
      </c>
      <c r="B36" s="256"/>
      <c r="C36" s="256">
        <v>0</v>
      </c>
      <c r="D36" s="257">
        <v>1100</v>
      </c>
      <c r="E36" s="14">
        <f t="shared" ref="E36:E41" si="2">+C36*D36</f>
        <v>0</v>
      </c>
      <c r="F36" s="26">
        <f t="shared" ref="F36:F41" si="3">+E36*0.0725</f>
        <v>0</v>
      </c>
      <c r="G36" s="13"/>
    </row>
    <row r="37" spans="1:10" x14ac:dyDescent="0.25">
      <c r="A37" s="138" t="s">
        <v>389</v>
      </c>
      <c r="B37" s="138">
        <v>400390</v>
      </c>
      <c r="C37" s="252">
        <v>0</v>
      </c>
      <c r="D37" s="239">
        <v>2.0499999999999998</v>
      </c>
      <c r="E37" s="14">
        <f t="shared" si="2"/>
        <v>0</v>
      </c>
      <c r="F37" s="26">
        <f t="shared" si="3"/>
        <v>0</v>
      </c>
    </row>
    <row r="38" spans="1:10" x14ac:dyDescent="0.25">
      <c r="A38" s="138" t="s">
        <v>390</v>
      </c>
      <c r="B38" s="138">
        <v>376787</v>
      </c>
      <c r="C38" s="252">
        <v>0</v>
      </c>
      <c r="D38" s="239">
        <v>4.9800000000000004</v>
      </c>
      <c r="E38" s="14">
        <f t="shared" si="2"/>
        <v>0</v>
      </c>
      <c r="F38" s="26">
        <f t="shared" si="3"/>
        <v>0</v>
      </c>
    </row>
    <row r="39" spans="1:10" x14ac:dyDescent="0.25">
      <c r="A39" s="138" t="s">
        <v>148</v>
      </c>
      <c r="B39" s="138" t="s">
        <v>148</v>
      </c>
      <c r="C39" s="252">
        <v>0</v>
      </c>
      <c r="D39" s="239">
        <v>0</v>
      </c>
      <c r="E39" s="14">
        <f t="shared" si="2"/>
        <v>0</v>
      </c>
      <c r="F39" s="26">
        <f t="shared" si="3"/>
        <v>0</v>
      </c>
    </row>
    <row r="40" spans="1:10" x14ac:dyDescent="0.25">
      <c r="A40" s="138" t="s">
        <v>391</v>
      </c>
      <c r="B40" s="138">
        <v>2280072</v>
      </c>
      <c r="C40" s="252">
        <v>0</v>
      </c>
      <c r="D40" s="239">
        <v>18.97</v>
      </c>
      <c r="E40" s="14">
        <f t="shared" si="2"/>
        <v>0</v>
      </c>
      <c r="F40" s="26">
        <f t="shared" si="3"/>
        <v>0</v>
      </c>
    </row>
    <row r="41" spans="1:10" ht="15.75" thickBot="1" x14ac:dyDescent="0.3">
      <c r="A41" s="138" t="s">
        <v>392</v>
      </c>
      <c r="B41" s="138">
        <v>1000707539</v>
      </c>
      <c r="C41" s="252">
        <v>0</v>
      </c>
      <c r="D41" s="239">
        <v>1.98</v>
      </c>
      <c r="E41" s="21">
        <f t="shared" si="2"/>
        <v>0</v>
      </c>
      <c r="F41" s="21">
        <f t="shared" si="3"/>
        <v>0</v>
      </c>
      <c r="G41" s="21"/>
    </row>
    <row r="42" spans="1:10" x14ac:dyDescent="0.25">
      <c r="G42" s="14">
        <f>+SUM(E36:E41)+SUM(F36:F41)</f>
        <v>0</v>
      </c>
    </row>
    <row r="43" spans="1:10" ht="15.75" thickBot="1" x14ac:dyDescent="0.3">
      <c r="H43" s="21"/>
      <c r="J43" s="3" t="s">
        <v>148</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196</v>
      </c>
      <c r="D1" s="32"/>
      <c r="E1" s="32"/>
      <c r="F1" s="32" t="s">
        <v>868</v>
      </c>
      <c r="N1" s="915" t="s">
        <v>2</v>
      </c>
      <c r="O1" s="915" t="str">
        <f>IF(Profit!U6,IF(P1,"Yes","No"),"No")</f>
        <v>No</v>
      </c>
      <c r="P1" s="919" t="b">
        <v>1</v>
      </c>
    </row>
    <row r="2" spans="1:16" s="3" customFormat="1" ht="15.75" thickBot="1" x14ac:dyDescent="0.3">
      <c r="A2" s="429" t="s">
        <v>253</v>
      </c>
      <c r="B2" s="3" t="s">
        <v>866</v>
      </c>
      <c r="C2" s="3" t="s">
        <v>208</v>
      </c>
      <c r="D2" s="3" t="s">
        <v>537</v>
      </c>
      <c r="E2" s="3" t="s">
        <v>393</v>
      </c>
      <c r="G2" s="3" t="s">
        <v>867</v>
      </c>
      <c r="H2" s="3" t="s">
        <v>179</v>
      </c>
      <c r="I2" s="8" t="s">
        <v>266</v>
      </c>
      <c r="J2" s="6" t="s">
        <v>267</v>
      </c>
      <c r="K2" s="13" t="s">
        <v>254</v>
      </c>
      <c r="L2" s="3" t="s">
        <v>268</v>
      </c>
      <c r="M2" s="3" t="s">
        <v>214</v>
      </c>
      <c r="N2" s="916"/>
      <c r="O2" s="916"/>
      <c r="P2" s="920"/>
    </row>
    <row r="3" spans="1:16" s="3" customFormat="1" x14ac:dyDescent="0.25">
      <c r="A3" s="486"/>
      <c r="B3" s="398"/>
      <c r="C3" s="398" t="s">
        <v>615</v>
      </c>
      <c r="D3" s="398"/>
      <c r="E3" s="405">
        <f>+Profit!M9</f>
        <v>1368</v>
      </c>
      <c r="F3" s="484"/>
      <c r="G3" s="398"/>
      <c r="H3" s="398"/>
      <c r="I3" s="399"/>
      <c r="J3" s="409"/>
      <c r="K3" s="400"/>
      <c r="N3"/>
      <c r="O3"/>
      <c r="P3" s="5"/>
    </row>
    <row r="4" spans="1:16" s="3" customFormat="1" x14ac:dyDescent="0.25">
      <c r="A4" s="487" t="s">
        <v>394</v>
      </c>
      <c r="B4" s="393"/>
      <c r="C4" s="393" t="s">
        <v>395</v>
      </c>
      <c r="D4" s="393"/>
      <c r="E4" s="393"/>
      <c r="F4" s="393"/>
      <c r="G4" s="393" t="s">
        <v>396</v>
      </c>
      <c r="H4" s="407">
        <v>8.0000000000000002E-3</v>
      </c>
      <c r="I4" s="401">
        <v>68.540000000000006</v>
      </c>
      <c r="J4" s="401">
        <f>I4*H4*$E$3</f>
        <v>750.10176000000001</v>
      </c>
      <c r="K4" s="402">
        <f>+J4*0.0725</f>
        <v>54.382377599999998</v>
      </c>
      <c r="N4"/>
      <c r="O4"/>
      <c r="P4" s="5"/>
    </row>
    <row r="5" spans="1:16" s="3" customFormat="1" x14ac:dyDescent="0.25">
      <c r="A5" s="487" t="s">
        <v>533</v>
      </c>
      <c r="B5" s="393"/>
      <c r="C5" s="393" t="s">
        <v>525</v>
      </c>
      <c r="D5" s="393"/>
      <c r="E5" s="393"/>
      <c r="F5" s="393"/>
      <c r="G5" s="393" t="s">
        <v>526</v>
      </c>
      <c r="H5" s="407">
        <v>4.0000000000000001E-3</v>
      </c>
      <c r="I5" s="401">
        <v>33.99</v>
      </c>
      <c r="J5" s="401">
        <f>I5*H5*$E$3</f>
        <v>185.99328</v>
      </c>
      <c r="K5" s="402">
        <f t="shared" ref="K5" si="0">+J5*0.0725</f>
        <v>13.484512799999999</v>
      </c>
      <c r="N5"/>
      <c r="O5"/>
      <c r="P5" s="5"/>
    </row>
    <row r="6" spans="1:16" s="3" customFormat="1" x14ac:dyDescent="0.25">
      <c r="A6" s="487" t="s">
        <v>534</v>
      </c>
      <c r="B6" s="393"/>
      <c r="C6" s="393" t="s">
        <v>400</v>
      </c>
      <c r="D6" s="393"/>
      <c r="E6" s="393"/>
      <c r="F6" s="393"/>
      <c r="G6" s="393">
        <v>185342</v>
      </c>
      <c r="H6" s="407">
        <f>10/2526</f>
        <v>3.95882818685669E-3</v>
      </c>
      <c r="I6" s="394">
        <f>147/5</f>
        <v>29.4</v>
      </c>
      <c r="J6" s="401">
        <f>I6*H6*$E$3</f>
        <v>159.22090261282659</v>
      </c>
      <c r="K6" s="402">
        <f>+J6*0.0725</f>
        <v>11.543515439429926</v>
      </c>
      <c r="N6"/>
      <c r="O6"/>
      <c r="P6" s="5"/>
    </row>
    <row r="7" spans="1:16" x14ac:dyDescent="0.25">
      <c r="A7" s="487" t="s">
        <v>535</v>
      </c>
      <c r="B7" s="393"/>
      <c r="C7" s="393" t="s">
        <v>402</v>
      </c>
      <c r="D7" s="393"/>
      <c r="E7" s="393"/>
      <c r="F7" s="393"/>
      <c r="G7" s="393">
        <v>985007</v>
      </c>
      <c r="H7" s="407">
        <f>3/2526</f>
        <v>1.1876484560570072E-3</v>
      </c>
      <c r="I7" s="401">
        <v>52.23</v>
      </c>
      <c r="J7" s="401">
        <f>I7*H7*$E$3</f>
        <v>84.85824228028504</v>
      </c>
      <c r="K7" s="402">
        <f t="shared" ref="K7" si="1">+J7*0.0725</f>
        <v>6.152222565320665</v>
      </c>
      <c r="L7"/>
      <c r="M7"/>
    </row>
    <row r="8" spans="1:16" x14ac:dyDescent="0.25">
      <c r="A8" s="487" t="s">
        <v>415</v>
      </c>
      <c r="B8" s="393"/>
      <c r="C8" s="393"/>
      <c r="D8" s="393"/>
      <c r="E8" s="405">
        <f>+$E$3</f>
        <v>1368</v>
      </c>
      <c r="F8" s="484"/>
      <c r="G8" s="393" t="s">
        <v>417</v>
      </c>
      <c r="H8" s="408">
        <v>5.1528384279475983</v>
      </c>
      <c r="I8" s="401">
        <v>2.41</v>
      </c>
      <c r="J8" s="401">
        <f>H8*$E$3</f>
        <v>7049.0829694323147</v>
      </c>
      <c r="K8" s="406"/>
      <c r="L8"/>
      <c r="M8"/>
    </row>
    <row r="9" spans="1:16" s="3" customFormat="1" x14ac:dyDescent="0.25">
      <c r="A9" s="429"/>
      <c r="H9" s="913" t="s">
        <v>621</v>
      </c>
      <c r="I9" s="914"/>
      <c r="J9" s="914"/>
      <c r="K9" s="30"/>
      <c r="L9" s="1">
        <f>IF(O1="Yes",SUM(J4:J8)+SUM(K4:K8),0)</f>
        <v>0</v>
      </c>
      <c r="M9" s="1"/>
      <c r="N9"/>
      <c r="O9"/>
      <c r="P9" s="5"/>
    </row>
    <row r="10" spans="1:16" s="3" customFormat="1" x14ac:dyDescent="0.25">
      <c r="A10" s="429"/>
      <c r="N10"/>
      <c r="O10"/>
      <c r="P10" s="5"/>
    </row>
    <row r="11" spans="1:16" s="3" customFormat="1" x14ac:dyDescent="0.25">
      <c r="A11" s="12" t="s">
        <v>394</v>
      </c>
      <c r="B11"/>
      <c r="D11" s="32"/>
      <c r="N11"/>
      <c r="O11"/>
      <c r="P11" s="5"/>
    </row>
    <row r="12" spans="1:16" x14ac:dyDescent="0.25">
      <c r="A12" s="12">
        <v>45783</v>
      </c>
      <c r="B12" t="s">
        <v>869</v>
      </c>
      <c r="C12" s="138" t="s">
        <v>857</v>
      </c>
      <c r="D12" s="138" t="s">
        <v>858</v>
      </c>
      <c r="F12" s="2" t="s">
        <v>407</v>
      </c>
      <c r="G12" s="138" t="s">
        <v>859</v>
      </c>
      <c r="H12" s="252">
        <v>5</v>
      </c>
      <c r="I12" s="239">
        <v>37.549999999999997</v>
      </c>
      <c r="J12" s="5">
        <f t="shared" ref="J12:J18" si="2">+H12*I12</f>
        <v>187.75</v>
      </c>
      <c r="K12" s="26">
        <f t="shared" ref="K12:K18" si="3">+J12*0.0725</f>
        <v>13.611875</v>
      </c>
      <c r="L12"/>
      <c r="M12" t="s">
        <v>3</v>
      </c>
      <c r="P12" s="5"/>
    </row>
    <row r="13" spans="1:16" x14ac:dyDescent="0.25">
      <c r="A13" s="12">
        <v>45780</v>
      </c>
      <c r="B13" t="s">
        <v>872</v>
      </c>
      <c r="C13" s="138" t="s">
        <v>860</v>
      </c>
      <c r="D13" s="138" t="s">
        <v>862</v>
      </c>
      <c r="G13" s="138" t="s">
        <v>861</v>
      </c>
      <c r="H13" s="252">
        <v>2</v>
      </c>
      <c r="I13" s="239">
        <v>29</v>
      </c>
      <c r="J13" s="5">
        <f t="shared" si="2"/>
        <v>58</v>
      </c>
      <c r="K13" s="26">
        <f t="shared" si="3"/>
        <v>4.2050000000000001</v>
      </c>
      <c r="L13"/>
      <c r="M13" t="s">
        <v>3</v>
      </c>
      <c r="P13" s="5"/>
    </row>
    <row r="14" spans="1:16" x14ac:dyDescent="0.25">
      <c r="A14" s="12">
        <v>45780</v>
      </c>
      <c r="B14" t="s">
        <v>873</v>
      </c>
      <c r="C14" s="138" t="s">
        <v>860</v>
      </c>
      <c r="D14" s="138" t="s">
        <v>863</v>
      </c>
      <c r="G14" s="138" t="s">
        <v>864</v>
      </c>
      <c r="H14" s="252">
        <v>1</v>
      </c>
      <c r="I14" s="239">
        <v>31</v>
      </c>
      <c r="J14" s="5">
        <f t="shared" si="2"/>
        <v>31</v>
      </c>
      <c r="K14" s="26">
        <f t="shared" si="3"/>
        <v>2.2475000000000001</v>
      </c>
      <c r="L14"/>
      <c r="M14" t="s">
        <v>3</v>
      </c>
      <c r="P14" s="5"/>
    </row>
    <row r="15" spans="1:16" x14ac:dyDescent="0.25">
      <c r="A15" s="12">
        <v>45786</v>
      </c>
      <c r="B15" t="s">
        <v>870</v>
      </c>
      <c r="C15" s="138" t="s">
        <v>857</v>
      </c>
      <c r="D15" s="138" t="s">
        <v>858</v>
      </c>
      <c r="F15" s="2" t="s">
        <v>871</v>
      </c>
      <c r="G15" s="138" t="s">
        <v>859</v>
      </c>
      <c r="H15" s="252">
        <v>2</v>
      </c>
      <c r="I15" s="239">
        <v>37.549999999999997</v>
      </c>
      <c r="J15" s="5">
        <f t="shared" ref="J15" si="4">+H15*I15</f>
        <v>75.099999999999994</v>
      </c>
      <c r="K15" s="26">
        <f t="shared" ref="K15" si="5">+J15*0.0725</f>
        <v>5.4447499999999991</v>
      </c>
      <c r="L15"/>
      <c r="M15" t="s">
        <v>865</v>
      </c>
      <c r="P15" s="5"/>
    </row>
    <row r="16" spans="1:16" x14ac:dyDescent="0.25">
      <c r="A16" s="12" t="s">
        <v>533</v>
      </c>
      <c r="C16" s="138"/>
      <c r="D16" s="138"/>
      <c r="G16" s="138"/>
      <c r="H16" s="252"/>
      <c r="I16" s="239"/>
      <c r="J16" s="5">
        <f t="shared" si="2"/>
        <v>0</v>
      </c>
      <c r="K16" s="26">
        <f t="shared" si="3"/>
        <v>0</v>
      </c>
      <c r="L16"/>
      <c r="M16"/>
    </row>
    <row r="17" spans="1:13" x14ac:dyDescent="0.25">
      <c r="C17" s="138" t="s">
        <v>530</v>
      </c>
      <c r="D17" s="138"/>
      <c r="G17" s="138" t="s">
        <v>397</v>
      </c>
      <c r="H17" s="252">
        <v>0</v>
      </c>
      <c r="I17" s="239">
        <v>109.95</v>
      </c>
      <c r="J17" s="5">
        <f t="shared" si="2"/>
        <v>0</v>
      </c>
      <c r="K17" s="26">
        <f t="shared" si="3"/>
        <v>0</v>
      </c>
      <c r="L17"/>
      <c r="M17"/>
    </row>
    <row r="18" spans="1:13" x14ac:dyDescent="0.25">
      <c r="C18" s="138" t="s">
        <v>398</v>
      </c>
      <c r="D18" s="138"/>
      <c r="G18" s="138" t="s">
        <v>399</v>
      </c>
      <c r="H18" s="252">
        <v>0</v>
      </c>
      <c r="I18" s="239">
        <v>65.64</v>
      </c>
      <c r="J18" s="5">
        <f t="shared" si="2"/>
        <v>0</v>
      </c>
      <c r="K18" s="26">
        <f t="shared" si="3"/>
        <v>0</v>
      </c>
      <c r="L18"/>
      <c r="M18"/>
    </row>
    <row r="20" spans="1:13" x14ac:dyDescent="0.25">
      <c r="L20"/>
      <c r="M20"/>
    </row>
    <row r="21" spans="1:13" x14ac:dyDescent="0.25">
      <c r="C21" s="138" t="s">
        <v>527</v>
      </c>
      <c r="D21" s="138"/>
      <c r="G21" s="138" t="s">
        <v>526</v>
      </c>
      <c r="H21" s="252"/>
      <c r="I21" s="239">
        <v>33.99</v>
      </c>
      <c r="J21" s="5">
        <f>+H21*I21</f>
        <v>0</v>
      </c>
      <c r="K21" s="26">
        <f>+J21*0.0725</f>
        <v>0</v>
      </c>
      <c r="L21"/>
      <c r="M21"/>
    </row>
    <row r="22" spans="1:13" x14ac:dyDescent="0.25">
      <c r="C22" s="138" t="s">
        <v>525</v>
      </c>
      <c r="D22" s="138"/>
      <c r="G22" s="138" t="s">
        <v>526</v>
      </c>
      <c r="H22" s="252"/>
      <c r="I22" s="239">
        <v>33.99</v>
      </c>
      <c r="J22" s="5">
        <f t="shared" ref="J22:J31" si="6">+H22*I22</f>
        <v>0</v>
      </c>
      <c r="K22" s="26">
        <f t="shared" ref="K22:K31" si="7">+J22*0.0725</f>
        <v>0</v>
      </c>
      <c r="L22"/>
      <c r="M22"/>
    </row>
    <row r="23" spans="1:13" x14ac:dyDescent="0.25">
      <c r="A23" s="12" t="s">
        <v>534</v>
      </c>
      <c r="C23" s="138" t="s">
        <v>400</v>
      </c>
      <c r="D23" s="138"/>
      <c r="G23" s="138">
        <v>185342</v>
      </c>
      <c r="H23" s="252"/>
      <c r="I23" s="252">
        <f>147/5</f>
        <v>29.4</v>
      </c>
      <c r="J23" s="5">
        <f t="shared" si="6"/>
        <v>0</v>
      </c>
      <c r="K23" s="26">
        <f t="shared" si="7"/>
        <v>0</v>
      </c>
      <c r="L23"/>
      <c r="M23"/>
    </row>
    <row r="24" spans="1:13" x14ac:dyDescent="0.25">
      <c r="C24" s="138" t="s">
        <v>528</v>
      </c>
      <c r="D24" s="138"/>
      <c r="G24" s="138" t="s">
        <v>529</v>
      </c>
      <c r="H24" s="252">
        <v>0</v>
      </c>
      <c r="I24" s="239">
        <f>5*25.79</f>
        <v>128.94999999999999</v>
      </c>
      <c r="J24" s="5">
        <f t="shared" si="6"/>
        <v>0</v>
      </c>
      <c r="K24" s="26">
        <f t="shared" si="7"/>
        <v>0</v>
      </c>
      <c r="L24"/>
      <c r="M24"/>
    </row>
    <row r="25" spans="1:13" x14ac:dyDescent="0.25">
      <c r="A25" s="12" t="s">
        <v>535</v>
      </c>
      <c r="C25" s="138"/>
      <c r="D25" s="138"/>
      <c r="G25" s="138"/>
      <c r="H25" s="252"/>
      <c r="I25" s="239"/>
      <c r="J25" s="5">
        <f t="shared" si="6"/>
        <v>0</v>
      </c>
      <c r="K25" s="26">
        <f t="shared" si="7"/>
        <v>0</v>
      </c>
      <c r="L25"/>
      <c r="M25"/>
    </row>
    <row r="26" spans="1:13" x14ac:dyDescent="0.25">
      <c r="C26" s="138" t="s">
        <v>531</v>
      </c>
      <c r="D26" s="138"/>
      <c r="G26" s="138" t="s">
        <v>532</v>
      </c>
      <c r="H26" s="252">
        <v>0</v>
      </c>
      <c r="I26" s="239">
        <f>5*63.05</f>
        <v>315.25</v>
      </c>
      <c r="J26" s="5">
        <f t="shared" si="6"/>
        <v>0</v>
      </c>
      <c r="K26" s="26">
        <f t="shared" si="7"/>
        <v>0</v>
      </c>
      <c r="L26"/>
      <c r="M26"/>
    </row>
    <row r="27" spans="1:13" x14ac:dyDescent="0.25">
      <c r="C27" s="138" t="s">
        <v>401</v>
      </c>
      <c r="D27" s="138"/>
      <c r="G27" s="138">
        <v>389832</v>
      </c>
      <c r="H27" s="252">
        <v>0</v>
      </c>
      <c r="I27" s="239">
        <v>39.979999999999997</v>
      </c>
      <c r="J27" s="5">
        <f t="shared" si="6"/>
        <v>0</v>
      </c>
      <c r="K27" s="26">
        <f t="shared" si="7"/>
        <v>0</v>
      </c>
      <c r="L27"/>
      <c r="M27"/>
    </row>
    <row r="28" spans="1:13" x14ac:dyDescent="0.25">
      <c r="C28" s="138" t="s">
        <v>402</v>
      </c>
      <c r="D28" s="138"/>
      <c r="G28" s="138">
        <v>985007</v>
      </c>
      <c r="H28" s="252"/>
      <c r="I28" s="239">
        <v>52.23</v>
      </c>
      <c r="J28" s="5">
        <f t="shared" si="6"/>
        <v>0</v>
      </c>
      <c r="K28" s="26">
        <f t="shared" si="7"/>
        <v>0</v>
      </c>
      <c r="L28"/>
      <c r="M28"/>
    </row>
    <row r="29" spans="1:13" x14ac:dyDescent="0.25">
      <c r="C29" s="138" t="s">
        <v>403</v>
      </c>
      <c r="D29" s="138"/>
      <c r="G29" s="138">
        <v>814917</v>
      </c>
      <c r="H29" s="252"/>
      <c r="I29" s="239">
        <f>109/5</f>
        <v>21.8</v>
      </c>
      <c r="J29" s="5">
        <f t="shared" si="6"/>
        <v>0</v>
      </c>
      <c r="K29" s="26">
        <f t="shared" si="7"/>
        <v>0</v>
      </c>
      <c r="L29"/>
      <c r="M29"/>
    </row>
    <row r="30" spans="1:13" x14ac:dyDescent="0.25">
      <c r="C30" s="138" t="s">
        <v>404</v>
      </c>
      <c r="D30" s="138"/>
      <c r="G30" s="138" t="s">
        <v>405</v>
      </c>
      <c r="H30" s="252">
        <v>0</v>
      </c>
      <c r="I30" s="239">
        <v>40</v>
      </c>
      <c r="J30" s="5">
        <f t="shared" si="6"/>
        <v>0</v>
      </c>
      <c r="K30" s="26">
        <f t="shared" si="7"/>
        <v>0</v>
      </c>
      <c r="L30"/>
      <c r="M30"/>
    </row>
    <row r="31" spans="1:13" x14ac:dyDescent="0.25">
      <c r="C31" s="2" t="s">
        <v>406</v>
      </c>
      <c r="G31" s="138" t="s">
        <v>407</v>
      </c>
      <c r="H31" s="252">
        <v>0</v>
      </c>
      <c r="I31" s="239">
        <v>50.24</v>
      </c>
      <c r="J31" s="5">
        <f t="shared" si="6"/>
        <v>0</v>
      </c>
      <c r="K31" s="26">
        <f t="shared" si="7"/>
        <v>0</v>
      </c>
    </row>
    <row r="32" spans="1:13" x14ac:dyDescent="0.25">
      <c r="A32" s="12" t="s">
        <v>358</v>
      </c>
      <c r="D32" s="32"/>
      <c r="E32" s="139">
        <v>0</v>
      </c>
      <c r="F32" s="254"/>
      <c r="H32"/>
      <c r="I32" s="5"/>
      <c r="K32" s="1"/>
      <c r="L32"/>
      <c r="M32"/>
    </row>
    <row r="33" spans="1:18" x14ac:dyDescent="0.25">
      <c r="C33" s="138" t="s">
        <v>541</v>
      </c>
      <c r="D33" s="138" t="s">
        <v>542</v>
      </c>
      <c r="E33" s="254"/>
      <c r="F33" s="254"/>
      <c r="G33" s="138" t="s">
        <v>540</v>
      </c>
      <c r="H33" s="252">
        <v>0</v>
      </c>
      <c r="I33" s="239">
        <v>74.37</v>
      </c>
      <c r="J33" s="5">
        <f t="shared" ref="J33:J34" si="8">+H33*I33</f>
        <v>0</v>
      </c>
      <c r="K33" s="26">
        <f t="shared" ref="K33:K34" si="9">+J33*0.0725</f>
        <v>0</v>
      </c>
      <c r="L33"/>
      <c r="M33"/>
    </row>
    <row r="34" spans="1:18" x14ac:dyDescent="0.25">
      <c r="C34" s="138" t="s">
        <v>408</v>
      </c>
      <c r="D34" s="138"/>
      <c r="G34" s="138"/>
      <c r="H34" s="252"/>
      <c r="I34" s="239"/>
      <c r="J34" s="5">
        <f t="shared" si="8"/>
        <v>0</v>
      </c>
      <c r="K34" s="26">
        <f t="shared" si="9"/>
        <v>0</v>
      </c>
      <c r="L34"/>
      <c r="M34"/>
    </row>
    <row r="35" spans="1:18" x14ac:dyDescent="0.25">
      <c r="E35" s="180">
        <f>+E3</f>
        <v>1368</v>
      </c>
      <c r="F35" s="485"/>
      <c r="H35"/>
      <c r="I35" s="5"/>
      <c r="K35" s="1"/>
      <c r="L35"/>
      <c r="M35"/>
    </row>
    <row r="36" spans="1:18" x14ac:dyDescent="0.25">
      <c r="A36" s="12" t="s">
        <v>544</v>
      </c>
      <c r="D36" s="32"/>
      <c r="E36" s="139">
        <v>0</v>
      </c>
      <c r="F36" s="254"/>
      <c r="H36"/>
      <c r="I36" s="5"/>
      <c r="K36" s="1"/>
      <c r="L36"/>
      <c r="M36"/>
    </row>
    <row r="37" spans="1:18" x14ac:dyDescent="0.25">
      <c r="C37" s="138" t="s">
        <v>539</v>
      </c>
      <c r="D37" s="138" t="s">
        <v>538</v>
      </c>
      <c r="E37" s="254"/>
      <c r="F37" s="254"/>
      <c r="G37" s="138" t="s">
        <v>536</v>
      </c>
      <c r="H37" s="252"/>
      <c r="I37" s="239">
        <v>55.99</v>
      </c>
      <c r="J37" s="5">
        <f t="shared" ref="J37:J41" si="10">+H37*I37</f>
        <v>0</v>
      </c>
      <c r="K37" s="26">
        <f t="shared" ref="K37:K41" si="11">+J37*0.0725</f>
        <v>0</v>
      </c>
      <c r="L37"/>
      <c r="M37"/>
    </row>
    <row r="38" spans="1:18" x14ac:dyDescent="0.25">
      <c r="A38" s="12" t="s">
        <v>409</v>
      </c>
      <c r="D38" s="32"/>
      <c r="E38" s="139">
        <v>500</v>
      </c>
      <c r="F38" s="254"/>
      <c r="H38" s="252"/>
      <c r="I38" s="239"/>
      <c r="J38" s="5">
        <f t="shared" si="10"/>
        <v>0</v>
      </c>
      <c r="K38" s="26">
        <f t="shared" si="11"/>
        <v>0</v>
      </c>
      <c r="L38"/>
      <c r="M38"/>
    </row>
    <row r="39" spans="1:18" x14ac:dyDescent="0.25">
      <c r="C39" s="138" t="s">
        <v>410</v>
      </c>
      <c r="D39" s="138"/>
      <c r="G39" s="138" t="s">
        <v>411</v>
      </c>
      <c r="H39" s="252">
        <v>0</v>
      </c>
      <c r="I39" s="239">
        <v>47.98</v>
      </c>
      <c r="J39" s="5">
        <f t="shared" si="10"/>
        <v>0</v>
      </c>
      <c r="K39" s="26">
        <f t="shared" si="11"/>
        <v>0</v>
      </c>
      <c r="L39"/>
      <c r="M39"/>
    </row>
    <row r="40" spans="1:18" x14ac:dyDescent="0.25">
      <c r="C40" s="2" t="s">
        <v>412</v>
      </c>
      <c r="G40" s="138" t="s">
        <v>413</v>
      </c>
      <c r="H40" s="252">
        <v>0</v>
      </c>
      <c r="I40" s="239">
        <v>48.98</v>
      </c>
      <c r="J40" s="5">
        <f t="shared" si="10"/>
        <v>0</v>
      </c>
      <c r="K40" s="26">
        <f t="shared" si="11"/>
        <v>0</v>
      </c>
      <c r="L40"/>
      <c r="M40"/>
      <c r="N40" s="2"/>
    </row>
    <row r="41" spans="1:18" x14ac:dyDescent="0.25">
      <c r="H41" s="252">
        <v>0</v>
      </c>
      <c r="I41" s="239"/>
      <c r="J41" s="5">
        <f t="shared" si="10"/>
        <v>0</v>
      </c>
      <c r="K41" s="26">
        <f t="shared" si="11"/>
        <v>0</v>
      </c>
      <c r="N41" s="2"/>
    </row>
    <row r="42" spans="1:18" ht="15.75" thickBot="1" x14ac:dyDescent="0.3">
      <c r="H42"/>
      <c r="I42" s="5"/>
      <c r="J42" s="309"/>
      <c r="K42" s="255"/>
      <c r="L42" s="29"/>
    </row>
    <row r="43" spans="1:18" x14ac:dyDescent="0.25">
      <c r="H43" s="913" t="s">
        <v>414</v>
      </c>
      <c r="I43" s="914"/>
      <c r="J43" s="914"/>
      <c r="K43" s="30"/>
      <c r="L43" s="1">
        <f>IF($O$1="No",SUM(J12:J42)+SUM(K12:K42),0)</f>
        <v>377.35912500000001</v>
      </c>
      <c r="R43" s="2"/>
    </row>
    <row r="45" spans="1:18" x14ac:dyDescent="0.25">
      <c r="C45" s="2" t="s">
        <v>415</v>
      </c>
      <c r="H45"/>
      <c r="I45" s="5"/>
      <c r="J45" s="1"/>
      <c r="K45" s="1"/>
      <c r="L45"/>
      <c r="M45"/>
    </row>
    <row r="46" spans="1:18" x14ac:dyDescent="0.25">
      <c r="C46" s="138" t="s">
        <v>416</v>
      </c>
      <c r="D46" s="138"/>
      <c r="E46" s="180">
        <f>+$E$3</f>
        <v>1368</v>
      </c>
      <c r="F46" s="485"/>
      <c r="G46" s="138" t="s">
        <v>417</v>
      </c>
      <c r="H46" s="252">
        <v>1</v>
      </c>
      <c r="I46" s="239">
        <v>3400</v>
      </c>
      <c r="J46" s="1">
        <f>IF(H46="yes",E46*#REF!,I46)</f>
        <v>3400</v>
      </c>
      <c r="K46" s="1"/>
      <c r="L46"/>
      <c r="M46"/>
    </row>
    <row r="47" spans="1:18" x14ac:dyDescent="0.25">
      <c r="C47" s="138" t="s">
        <v>415</v>
      </c>
      <c r="D47" s="138"/>
      <c r="E47" s="180">
        <v>200</v>
      </c>
      <c r="F47" s="485"/>
      <c r="G47" s="138" t="s">
        <v>543</v>
      </c>
      <c r="H47" s="252">
        <v>0</v>
      </c>
      <c r="I47" s="239">
        <v>0</v>
      </c>
      <c r="J47" s="1">
        <f>IF(H47="yes",E47*#REF!,I47)</f>
        <v>0</v>
      </c>
      <c r="K47" s="1"/>
      <c r="L47"/>
      <c r="M47"/>
    </row>
    <row r="48" spans="1:18" ht="15.75" thickBot="1" x14ac:dyDescent="0.3">
      <c r="C48" s="138" t="s">
        <v>415</v>
      </c>
      <c r="D48" s="138"/>
      <c r="E48" s="180">
        <f>+$E$3</f>
        <v>1368</v>
      </c>
      <c r="F48" s="485"/>
      <c r="G48" s="138" t="s">
        <v>418</v>
      </c>
      <c r="H48" s="252">
        <v>0</v>
      </c>
      <c r="I48" s="239">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622</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419</v>
      </c>
      <c r="B1" s="32"/>
      <c r="J1" s="915" t="s">
        <v>2</v>
      </c>
      <c r="K1" s="915" t="str">
        <f>IF(Profit!U6,IF(L1,"Yes","No"),"No")</f>
        <v>No</v>
      </c>
      <c r="L1" s="919" t="b">
        <v>1</v>
      </c>
    </row>
    <row r="2" spans="1:12" s="3" customFormat="1" ht="15.75" thickBot="1" x14ac:dyDescent="0.3">
      <c r="A2" s="259" t="s">
        <v>208</v>
      </c>
      <c r="B2" s="259" t="s">
        <v>393</v>
      </c>
      <c r="C2" s="259" t="s">
        <v>226</v>
      </c>
      <c r="D2" s="259" t="s">
        <v>179</v>
      </c>
      <c r="E2" s="259" t="s">
        <v>266</v>
      </c>
      <c r="F2" s="259" t="s">
        <v>267</v>
      </c>
      <c r="G2" s="259" t="s">
        <v>254</v>
      </c>
      <c r="H2" s="259" t="s">
        <v>268</v>
      </c>
      <c r="J2" s="916"/>
      <c r="K2" s="916"/>
      <c r="L2" s="920"/>
    </row>
    <row r="3" spans="1:12" x14ac:dyDescent="0.25">
      <c r="A3" s="398" t="s">
        <v>615</v>
      </c>
      <c r="B3" s="405">
        <f>+Profit!M9</f>
        <v>1368</v>
      </c>
      <c r="C3" s="393"/>
      <c r="D3" s="394"/>
      <c r="E3" s="401"/>
      <c r="F3" s="406"/>
      <c r="G3" s="402"/>
      <c r="H3" s="394"/>
      <c r="J3" s="3"/>
    </row>
    <row r="4" spans="1:12" x14ac:dyDescent="0.25">
      <c r="A4" s="393" t="s">
        <v>420</v>
      </c>
      <c r="B4" s="405">
        <f>+B3</f>
        <v>1368</v>
      </c>
      <c r="C4" s="393" t="s">
        <v>417</v>
      </c>
      <c r="D4" s="394">
        <v>1</v>
      </c>
      <c r="E4" s="401">
        <v>5.5487134502924</v>
      </c>
      <c r="F4" s="406">
        <f>B4*E4*D4</f>
        <v>7590.6400000000031</v>
      </c>
      <c r="G4" s="402">
        <f t="shared" ref="G4:G5" si="0">+F4*0.0725</f>
        <v>550.32140000000015</v>
      </c>
      <c r="H4" s="394"/>
      <c r="J4" s="3"/>
    </row>
    <row r="5" spans="1:12" ht="15.75" thickBot="1" x14ac:dyDescent="0.3">
      <c r="A5" s="393" t="s">
        <v>421</v>
      </c>
      <c r="B5" s="405">
        <f>+B3</f>
        <v>1368</v>
      </c>
      <c r="C5" s="393"/>
      <c r="D5" s="394">
        <v>0</v>
      </c>
      <c r="E5" s="401">
        <f>+F8/B4</f>
        <v>5.5487134502923983</v>
      </c>
      <c r="F5" s="406">
        <f>B5*E5*D5</f>
        <v>0</v>
      </c>
      <c r="G5" s="402">
        <f t="shared" si="0"/>
        <v>0</v>
      </c>
      <c r="H5" s="385"/>
      <c r="J5" s="3"/>
    </row>
    <row r="6" spans="1:12" x14ac:dyDescent="0.25">
      <c r="A6" s="393"/>
      <c r="B6" s="405"/>
      <c r="C6" s="393"/>
      <c r="D6" s="394"/>
      <c r="E6" s="401"/>
      <c r="F6" s="406"/>
      <c r="G6" s="402"/>
      <c r="H6" s="395">
        <f>IF(K1="Yes",SUM(F4:G5),0)</f>
        <v>0</v>
      </c>
      <c r="J6" s="3"/>
    </row>
    <row r="7" spans="1:12" x14ac:dyDescent="0.25">
      <c r="B7" s="180"/>
      <c r="D7"/>
      <c r="E7" s="5"/>
      <c r="F7" s="1"/>
      <c r="G7" s="26"/>
      <c r="H7"/>
      <c r="J7" s="3"/>
    </row>
    <row r="8" spans="1:12" x14ac:dyDescent="0.25">
      <c r="A8" s="138" t="s">
        <v>781</v>
      </c>
      <c r="B8" s="194">
        <v>1368</v>
      </c>
      <c r="C8" s="138" t="s">
        <v>417</v>
      </c>
      <c r="D8" s="252">
        <v>1</v>
      </c>
      <c r="E8" s="239">
        <v>5.5487134502923983</v>
      </c>
      <c r="F8" s="406">
        <f t="shared" ref="F8:F20" si="1">B8*E8*D8</f>
        <v>7590.6400000000012</v>
      </c>
      <c r="G8" s="26">
        <f>+F8*0.0299</f>
        <v>226.96013600000003</v>
      </c>
      <c r="H8"/>
      <c r="I8" s="243" t="s">
        <v>782</v>
      </c>
    </row>
    <row r="9" spans="1:12" x14ac:dyDescent="0.25">
      <c r="A9" s="138" t="s">
        <v>495</v>
      </c>
      <c r="B9" s="194">
        <v>800</v>
      </c>
      <c r="C9" s="138"/>
      <c r="D9" s="252">
        <v>0</v>
      </c>
      <c r="E9" s="239">
        <v>6.22</v>
      </c>
      <c r="F9" s="406">
        <f t="shared" si="1"/>
        <v>0</v>
      </c>
      <c r="G9" s="26">
        <f t="shared" ref="G9:G20" si="2">+F9*0.0725</f>
        <v>0</v>
      </c>
      <c r="H9"/>
    </row>
    <row r="10" spans="1:12" x14ac:dyDescent="0.25">
      <c r="A10" s="138" t="s">
        <v>496</v>
      </c>
      <c r="B10" s="194">
        <v>1800</v>
      </c>
      <c r="C10" s="138"/>
      <c r="D10" s="252">
        <v>0</v>
      </c>
      <c r="E10" s="239">
        <v>3</v>
      </c>
      <c r="F10" s="406">
        <f t="shared" si="1"/>
        <v>0</v>
      </c>
      <c r="G10" s="26">
        <f t="shared" si="2"/>
        <v>0</v>
      </c>
      <c r="H10"/>
    </row>
    <row r="11" spans="1:12" x14ac:dyDescent="0.25">
      <c r="A11" s="138"/>
      <c r="B11" s="194"/>
      <c r="C11" s="138"/>
      <c r="D11" s="252"/>
      <c r="E11" s="239"/>
      <c r="F11" s="406">
        <f t="shared" si="1"/>
        <v>0</v>
      </c>
      <c r="G11" s="26">
        <f t="shared" si="2"/>
        <v>0</v>
      </c>
      <c r="H11"/>
    </row>
    <row r="12" spans="1:12" x14ac:dyDescent="0.25">
      <c r="A12" s="138"/>
      <c r="B12" s="194"/>
      <c r="C12" s="138"/>
      <c r="D12" s="252"/>
      <c r="E12" s="239"/>
      <c r="F12" s="406">
        <f t="shared" si="1"/>
        <v>0</v>
      </c>
      <c r="G12" s="26">
        <f t="shared" si="2"/>
        <v>0</v>
      </c>
      <c r="H12"/>
    </row>
    <row r="13" spans="1:12" x14ac:dyDescent="0.25">
      <c r="A13" s="138"/>
      <c r="B13" s="194"/>
      <c r="C13" s="138"/>
      <c r="D13" s="252"/>
      <c r="E13" s="239"/>
      <c r="F13" s="406">
        <f t="shared" si="1"/>
        <v>0</v>
      </c>
      <c r="G13" s="26">
        <f t="shared" si="2"/>
        <v>0</v>
      </c>
      <c r="H13"/>
    </row>
    <row r="14" spans="1:12" x14ac:dyDescent="0.25">
      <c r="A14" s="138"/>
      <c r="B14" s="194"/>
      <c r="C14" s="138"/>
      <c r="D14" s="252"/>
      <c r="E14" s="239"/>
      <c r="F14" s="406">
        <f t="shared" si="1"/>
        <v>0</v>
      </c>
      <c r="G14" s="26">
        <f t="shared" si="2"/>
        <v>0</v>
      </c>
      <c r="H14"/>
    </row>
    <row r="15" spans="1:12" x14ac:dyDescent="0.25">
      <c r="A15" s="138"/>
      <c r="B15" s="194"/>
      <c r="C15" s="138"/>
      <c r="D15" s="252"/>
      <c r="E15" s="239"/>
      <c r="F15" s="406">
        <f t="shared" si="1"/>
        <v>0</v>
      </c>
      <c r="G15" s="26">
        <f t="shared" si="2"/>
        <v>0</v>
      </c>
      <c r="H15"/>
    </row>
    <row r="16" spans="1:12" x14ac:dyDescent="0.25">
      <c r="A16" s="138" t="s">
        <v>556</v>
      </c>
      <c r="B16" s="194"/>
      <c r="C16" s="138"/>
      <c r="D16" s="252">
        <v>0</v>
      </c>
      <c r="E16" s="239">
        <v>0</v>
      </c>
      <c r="F16" s="406">
        <f t="shared" si="1"/>
        <v>0</v>
      </c>
      <c r="G16" s="26">
        <f t="shared" si="2"/>
        <v>0</v>
      </c>
      <c r="H16"/>
    </row>
    <row r="17" spans="1:11" x14ac:dyDescent="0.25">
      <c r="A17" s="138" t="s">
        <v>556</v>
      </c>
      <c r="B17" s="194"/>
      <c r="C17" s="138"/>
      <c r="D17" s="252">
        <v>0</v>
      </c>
      <c r="E17" s="239"/>
      <c r="F17" s="406">
        <f t="shared" si="1"/>
        <v>0</v>
      </c>
      <c r="G17" s="26">
        <f t="shared" si="2"/>
        <v>0</v>
      </c>
      <c r="H17"/>
    </row>
    <row r="18" spans="1:11" x14ac:dyDescent="0.25">
      <c r="A18" s="138" t="s">
        <v>556</v>
      </c>
      <c r="B18" s="194"/>
      <c r="C18" s="138"/>
      <c r="D18" s="252">
        <v>0</v>
      </c>
      <c r="E18" s="239"/>
      <c r="F18" s="406">
        <f t="shared" si="1"/>
        <v>0</v>
      </c>
      <c r="G18" s="26">
        <f t="shared" si="2"/>
        <v>0</v>
      </c>
      <c r="H18"/>
    </row>
    <row r="19" spans="1:11" x14ac:dyDescent="0.25">
      <c r="A19" s="138" t="s">
        <v>556</v>
      </c>
      <c r="B19" s="194"/>
      <c r="C19" s="138"/>
      <c r="D19" s="252">
        <v>0</v>
      </c>
      <c r="E19" s="239"/>
      <c r="F19" s="406">
        <f t="shared" si="1"/>
        <v>0</v>
      </c>
      <c r="G19" s="26">
        <f t="shared" si="2"/>
        <v>0</v>
      </c>
      <c r="H19"/>
    </row>
    <row r="20" spans="1:11" ht="15.75" thickBot="1" x14ac:dyDescent="0.3">
      <c r="A20" s="138" t="s">
        <v>421</v>
      </c>
      <c r="B20" s="194">
        <f>+$B$3</f>
        <v>1368</v>
      </c>
      <c r="C20" s="138"/>
      <c r="D20" s="252">
        <v>0</v>
      </c>
      <c r="E20" s="239">
        <v>1</v>
      </c>
      <c r="F20" s="406">
        <f t="shared" si="1"/>
        <v>0</v>
      </c>
      <c r="G20" s="26">
        <f t="shared" si="2"/>
        <v>0</v>
      </c>
      <c r="H20" s="23"/>
      <c r="K20" s="3"/>
    </row>
    <row r="21" spans="1:11" x14ac:dyDescent="0.25">
      <c r="D21"/>
      <c r="E21" s="5"/>
      <c r="F21" s="1"/>
      <c r="G21" s="1"/>
      <c r="H21" s="14">
        <f>IF(K1="No",SUM(F8:G20),0)</f>
        <v>7817.6001360000009</v>
      </c>
      <c r="J21" s="2"/>
    </row>
    <row r="22" spans="1:11" x14ac:dyDescent="0.25">
      <c r="A22" s="2" t="s">
        <v>422</v>
      </c>
      <c r="D22"/>
      <c r="F22" s="5">
        <v>0</v>
      </c>
      <c r="I22" s="14">
        <f>SUM(H6:H21)</f>
        <v>7817.6001360000009</v>
      </c>
      <c r="J22" s="2"/>
    </row>
    <row r="23" spans="1:11" x14ac:dyDescent="0.25">
      <c r="A23" s="2" t="s">
        <v>148</v>
      </c>
      <c r="D23" t="s">
        <v>148</v>
      </c>
      <c r="E23" s="5" t="s">
        <v>148</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15" t="s">
        <v>2</v>
      </c>
      <c r="K1" s="915" t="str">
        <f>IF(Profit!U6,IF(L1,"Yes","No"),"No")</f>
        <v>No</v>
      </c>
      <c r="L1" s="919" t="b">
        <v>0</v>
      </c>
    </row>
    <row r="2" spans="1:16" ht="15.75" thickBot="1" x14ac:dyDescent="0.3">
      <c r="A2" s="32" t="s">
        <v>189</v>
      </c>
      <c r="B2" s="32"/>
      <c r="C2" s="32"/>
      <c r="J2" s="916"/>
      <c r="K2" s="916"/>
      <c r="L2" s="920"/>
    </row>
    <row r="3" spans="1:16" s="22" customFormat="1" x14ac:dyDescent="0.25">
      <c r="A3" s="3" t="s">
        <v>305</v>
      </c>
      <c r="B3" s="3" t="s">
        <v>208</v>
      </c>
      <c r="C3" s="3" t="s">
        <v>253</v>
      </c>
      <c r="D3" s="3" t="s">
        <v>423</v>
      </c>
      <c r="E3" s="3" t="s">
        <v>265</v>
      </c>
      <c r="F3" s="8" t="s">
        <v>266</v>
      </c>
      <c r="G3" s="16" t="s">
        <v>309</v>
      </c>
      <c r="H3" s="3" t="s">
        <v>268</v>
      </c>
      <c r="J3" s="3"/>
      <c r="K3" s="3"/>
    </row>
    <row r="4" spans="1:16" s="22" customFormat="1" ht="15.75" thickBot="1" x14ac:dyDescent="0.3">
      <c r="A4" s="394"/>
      <c r="B4" s="394" t="s">
        <v>424</v>
      </c>
      <c r="C4" s="394"/>
      <c r="D4" s="393" t="s">
        <v>425</v>
      </c>
      <c r="E4" s="410">
        <v>0</v>
      </c>
      <c r="F4" s="401">
        <v>7000</v>
      </c>
      <c r="G4" s="402">
        <f>+E4*F4</f>
        <v>0</v>
      </c>
      <c r="H4" s="411"/>
      <c r="J4" s="3"/>
      <c r="K4" s="3"/>
    </row>
    <row r="5" spans="1:16" s="22" customFormat="1" x14ac:dyDescent="0.25">
      <c r="A5" s="398"/>
      <c r="B5" s="398"/>
      <c r="C5" s="398"/>
      <c r="D5" s="398"/>
      <c r="E5" s="398"/>
      <c r="F5" s="399"/>
      <c r="G5" s="412"/>
      <c r="H5" s="413">
        <f>IF(K1="Yes",+SUM(G4),0)</f>
        <v>0</v>
      </c>
      <c r="J5" s="3"/>
      <c r="K5" s="3"/>
    </row>
    <row r="6" spans="1:16" s="22" customFormat="1" x14ac:dyDescent="0.25">
      <c r="A6" s="3"/>
      <c r="B6" s="3" t="s">
        <v>778</v>
      </c>
      <c r="C6" s="3"/>
      <c r="D6" s="3" t="s">
        <v>779</v>
      </c>
      <c r="E6" s="3">
        <v>1</v>
      </c>
      <c r="F6" s="8">
        <v>152.83000000000001</v>
      </c>
      <c r="G6" s="26">
        <f t="shared" ref="G6:G7" si="0">+E6*F6</f>
        <v>152.83000000000001</v>
      </c>
      <c r="H6" s="3"/>
      <c r="J6" s="3"/>
      <c r="K6" s="3"/>
    </row>
    <row r="7" spans="1:16" s="22" customFormat="1" x14ac:dyDescent="0.25">
      <c r="A7" s="3"/>
      <c r="B7" s="3" t="s">
        <v>778</v>
      </c>
      <c r="C7" s="3"/>
      <c r="D7" s="3" t="s">
        <v>780</v>
      </c>
      <c r="E7" s="3">
        <v>1</v>
      </c>
      <c r="F7" s="8">
        <v>410.23</v>
      </c>
      <c r="G7" s="26">
        <f t="shared" si="0"/>
        <v>410.23</v>
      </c>
      <c r="H7" s="3"/>
      <c r="J7" s="3"/>
      <c r="K7" s="3"/>
    </row>
    <row r="8" spans="1:16" x14ac:dyDescent="0.25">
      <c r="A8"/>
      <c r="B8" t="s">
        <v>424</v>
      </c>
      <c r="C8"/>
      <c r="D8" s="2" t="s">
        <v>425</v>
      </c>
      <c r="E8" s="11">
        <v>0</v>
      </c>
      <c r="F8" s="5">
        <v>6000</v>
      </c>
      <c r="G8" s="26">
        <f>+E8*F8</f>
        <v>0</v>
      </c>
    </row>
    <row r="9" spans="1:16" x14ac:dyDescent="0.25">
      <c r="A9"/>
      <c r="B9" t="s">
        <v>426</v>
      </c>
      <c r="C9"/>
      <c r="D9" s="2" t="s">
        <v>427</v>
      </c>
      <c r="E9" s="11">
        <v>0</v>
      </c>
      <c r="F9" s="5">
        <v>8.98</v>
      </c>
      <c r="G9" s="26">
        <f>+E9*F9</f>
        <v>0</v>
      </c>
    </row>
    <row r="10" spans="1:16" x14ac:dyDescent="0.25">
      <c r="A10"/>
      <c r="B10" t="s">
        <v>503</v>
      </c>
      <c r="C10"/>
      <c r="D10" s="2" t="s">
        <v>502</v>
      </c>
      <c r="E10" s="11">
        <v>0</v>
      </c>
      <c r="F10" s="5">
        <v>22.97</v>
      </c>
      <c r="G10" s="26">
        <f t="shared" ref="G10:G15" si="1">+E10*F10</f>
        <v>0</v>
      </c>
    </row>
    <row r="11" spans="1:16" x14ac:dyDescent="0.25">
      <c r="A11"/>
      <c r="B11" t="s">
        <v>428</v>
      </c>
      <c r="C11"/>
      <c r="D11" s="2" t="s">
        <v>429</v>
      </c>
      <c r="E11" s="11">
        <v>0</v>
      </c>
      <c r="F11" s="5">
        <v>44.93</v>
      </c>
      <c r="G11" s="26">
        <f t="shared" si="1"/>
        <v>0</v>
      </c>
    </row>
    <row r="12" spans="1:16" x14ac:dyDescent="0.25">
      <c r="A12"/>
      <c r="B12" t="s">
        <v>430</v>
      </c>
      <c r="C12"/>
      <c r="D12" s="2" t="s">
        <v>504</v>
      </c>
      <c r="E12" s="11">
        <v>0</v>
      </c>
      <c r="F12" s="5">
        <v>5.98</v>
      </c>
      <c r="G12" s="26">
        <f t="shared" si="1"/>
        <v>0</v>
      </c>
    </row>
    <row r="13" spans="1:16" x14ac:dyDescent="0.25">
      <c r="A13"/>
      <c r="B13" t="s">
        <v>430</v>
      </c>
      <c r="C13"/>
      <c r="D13" s="2" t="s">
        <v>431</v>
      </c>
      <c r="E13" s="11">
        <v>0</v>
      </c>
      <c r="F13" s="5">
        <v>4.97</v>
      </c>
      <c r="G13" s="26">
        <f t="shared" si="1"/>
        <v>0</v>
      </c>
      <c r="K13" s="32"/>
      <c r="L13" s="2"/>
      <c r="N13" s="5"/>
      <c r="O13" s="26"/>
    </row>
    <row r="14" spans="1:16" x14ac:dyDescent="0.25">
      <c r="A14"/>
      <c r="B14" t="s">
        <v>432</v>
      </c>
      <c r="C14"/>
      <c r="D14" s="2" t="s">
        <v>433</v>
      </c>
      <c r="E14" s="11">
        <v>0</v>
      </c>
      <c r="F14" s="5">
        <v>23</v>
      </c>
      <c r="G14" s="26">
        <f t="shared" si="1"/>
        <v>0</v>
      </c>
      <c r="K14" s="3"/>
      <c r="L14" s="3"/>
      <c r="M14" s="3"/>
      <c r="N14" s="8"/>
      <c r="O14" s="16"/>
      <c r="P14" s="3"/>
    </row>
    <row r="15" spans="1:16" x14ac:dyDescent="0.25">
      <c r="A15"/>
      <c r="B15" t="s">
        <v>787</v>
      </c>
      <c r="C15" t="s">
        <v>148</v>
      </c>
      <c r="D15" s="2" t="s">
        <v>788</v>
      </c>
      <c r="E15" s="11">
        <v>1</v>
      </c>
      <c r="F15" s="5">
        <v>123.49</v>
      </c>
      <c r="G15" s="26">
        <f t="shared" si="1"/>
        <v>123.49</v>
      </c>
      <c r="L15" s="2"/>
      <c r="M15" s="11"/>
      <c r="N15" s="5"/>
      <c r="O15" s="26"/>
    </row>
    <row r="16" spans="1:16" ht="15.75" thickBot="1" x14ac:dyDescent="0.3">
      <c r="A16" s="2" t="s">
        <v>148</v>
      </c>
      <c r="B16" s="2" t="s">
        <v>434</v>
      </c>
      <c r="C16" s="434" t="s">
        <v>148</v>
      </c>
      <c r="E16">
        <v>0</v>
      </c>
      <c r="F16" s="5">
        <v>0</v>
      </c>
      <c r="G16" s="29">
        <f>+E16*F16</f>
        <v>0</v>
      </c>
      <c r="H16" s="29"/>
      <c r="L16" s="2"/>
      <c r="M16" s="11"/>
      <c r="N16" s="5"/>
      <c r="O16" s="26"/>
    </row>
    <row r="17" spans="5:16" x14ac:dyDescent="0.25">
      <c r="E17" s="913"/>
      <c r="F17" s="914"/>
      <c r="G17" s="914"/>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13"/>
      <c r="N24" s="914"/>
      <c r="O24" s="914"/>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435</v>
      </c>
      <c r="B1" s="3"/>
      <c r="I1" s="915" t="s">
        <v>2</v>
      </c>
      <c r="J1" s="915" t="str">
        <f>IF(Profit!U6,IF(K1,"Yes","No"),"No")</f>
        <v>No</v>
      </c>
      <c r="K1" s="919" t="b">
        <v>0</v>
      </c>
    </row>
    <row r="2" spans="1:11" ht="15.75" thickBot="1" x14ac:dyDescent="0.3">
      <c r="C2" s="3"/>
      <c r="D2" s="8"/>
      <c r="E2" s="13"/>
      <c r="F2" s="13"/>
      <c r="G2" s="13"/>
      <c r="I2" s="916"/>
      <c r="J2" s="916"/>
      <c r="K2" s="920"/>
    </row>
    <row r="3" spans="1:11" x14ac:dyDescent="0.25">
      <c r="A3" s="3" t="s">
        <v>208</v>
      </c>
      <c r="B3" s="3" t="s">
        <v>321</v>
      </c>
      <c r="C3" s="3" t="s">
        <v>265</v>
      </c>
      <c r="D3" s="8" t="s">
        <v>266</v>
      </c>
      <c r="E3" s="13" t="s">
        <v>267</v>
      </c>
      <c r="F3" s="13" t="s">
        <v>254</v>
      </c>
      <c r="G3" s="13" t="s">
        <v>268</v>
      </c>
    </row>
    <row r="4" spans="1:11" x14ac:dyDescent="0.25">
      <c r="A4" s="404" t="s">
        <v>498</v>
      </c>
      <c r="B4" s="404" t="s">
        <v>546</v>
      </c>
      <c r="C4" s="394">
        <v>4</v>
      </c>
      <c r="D4" s="401">
        <v>21.97</v>
      </c>
      <c r="E4" s="395">
        <f>+C4*D4</f>
        <v>87.88</v>
      </c>
      <c r="F4" s="402">
        <f t="shared" ref="F4:F7" si="0">+E4*0.0725</f>
        <v>6.3712999999999989</v>
      </c>
      <c r="G4" s="400"/>
    </row>
    <row r="5" spans="1:11" x14ac:dyDescent="0.25">
      <c r="A5" s="404" t="s">
        <v>509</v>
      </c>
      <c r="B5" s="404" t="s">
        <v>510</v>
      </c>
      <c r="C5" s="394">
        <v>2</v>
      </c>
      <c r="D5" s="401">
        <v>79.97</v>
      </c>
      <c r="E5" s="395">
        <f t="shared" ref="E5:E7" si="1">+C5*D5</f>
        <v>159.94</v>
      </c>
      <c r="F5" s="402">
        <f t="shared" si="0"/>
        <v>11.595649999999999</v>
      </c>
      <c r="G5" s="395"/>
    </row>
    <row r="6" spans="1:11" x14ac:dyDescent="0.25">
      <c r="A6" s="404" t="s">
        <v>511</v>
      </c>
      <c r="B6" s="404" t="s">
        <v>512</v>
      </c>
      <c r="C6" s="394">
        <v>1</v>
      </c>
      <c r="D6" s="401">
        <v>123</v>
      </c>
      <c r="E6" s="395">
        <f t="shared" si="1"/>
        <v>123</v>
      </c>
      <c r="F6" s="402">
        <f t="shared" si="0"/>
        <v>8.9174999999999986</v>
      </c>
      <c r="G6" s="395"/>
    </row>
    <row r="7" spans="1:11" ht="15.75" thickBot="1" x14ac:dyDescent="0.3">
      <c r="A7" s="404" t="s">
        <v>515</v>
      </c>
      <c r="B7" s="404" t="s">
        <v>516</v>
      </c>
      <c r="C7" s="394">
        <v>2</v>
      </c>
      <c r="D7" s="401">
        <v>54.98</v>
      </c>
      <c r="E7" s="395">
        <f t="shared" si="1"/>
        <v>109.96</v>
      </c>
      <c r="F7" s="402">
        <f t="shared" si="0"/>
        <v>7.9720999999999993</v>
      </c>
      <c r="G7" s="403"/>
    </row>
    <row r="8" spans="1:11" x14ac:dyDescent="0.25">
      <c r="A8" s="398"/>
      <c r="B8" s="398"/>
      <c r="C8" s="398"/>
      <c r="D8" s="399"/>
      <c r="E8" s="400"/>
      <c r="F8" s="400"/>
      <c r="G8" s="395">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497</v>
      </c>
      <c r="B11" s="3" t="s">
        <v>795</v>
      </c>
      <c r="C11" s="30">
        <v>1</v>
      </c>
      <c r="D11" s="8">
        <v>80.73</v>
      </c>
      <c r="E11" s="14">
        <f>+C11*D11</f>
        <v>80.73</v>
      </c>
      <c r="F11" s="26">
        <f t="shared" ref="F11:F33" si="2">+E11*0.0725</f>
        <v>5.8529249999999999</v>
      </c>
      <c r="G11" s="13"/>
    </row>
    <row r="12" spans="1:11" x14ac:dyDescent="0.25">
      <c r="A12" s="30" t="s">
        <v>498</v>
      </c>
      <c r="B12" s="30" t="s">
        <v>796</v>
      </c>
      <c r="C12">
        <v>1</v>
      </c>
      <c r="D12" s="5">
        <v>25.48</v>
      </c>
      <c r="E12" s="14">
        <f>+C12*D12</f>
        <v>25.48</v>
      </c>
      <c r="F12" s="26">
        <f t="shared" si="2"/>
        <v>1.8472999999999999</v>
      </c>
    </row>
    <row r="13" spans="1:11" x14ac:dyDescent="0.25">
      <c r="A13" s="30" t="s">
        <v>498</v>
      </c>
      <c r="B13" s="30" t="s">
        <v>499</v>
      </c>
      <c r="C13">
        <v>0</v>
      </c>
      <c r="D13" s="5">
        <v>29.97</v>
      </c>
      <c r="E13" s="14">
        <f>+C13*D13</f>
        <v>0</v>
      </c>
      <c r="F13" s="26">
        <f t="shared" si="2"/>
        <v>0</v>
      </c>
    </row>
    <row r="14" spans="1:11" x14ac:dyDescent="0.25">
      <c r="A14" s="30" t="s">
        <v>498</v>
      </c>
      <c r="B14" s="30" t="s">
        <v>500</v>
      </c>
      <c r="C14">
        <v>0</v>
      </c>
      <c r="D14" s="5">
        <v>21.97</v>
      </c>
      <c r="E14" s="14">
        <f>+C14*D14</f>
        <v>0</v>
      </c>
      <c r="F14" s="26">
        <f t="shared" si="2"/>
        <v>0</v>
      </c>
    </row>
    <row r="15" spans="1:11" x14ac:dyDescent="0.25">
      <c r="A15" s="30" t="s">
        <v>498</v>
      </c>
      <c r="B15" s="30" t="s">
        <v>501</v>
      </c>
      <c r="C15">
        <v>0</v>
      </c>
      <c r="D15" s="5">
        <v>69.97</v>
      </c>
      <c r="E15" s="14">
        <f>+C15*D15</f>
        <v>0</v>
      </c>
      <c r="F15" s="26">
        <f t="shared" si="2"/>
        <v>0</v>
      </c>
    </row>
    <row r="16" spans="1:11" x14ac:dyDescent="0.25">
      <c r="A16" s="30" t="s">
        <v>505</v>
      </c>
      <c r="B16" s="30" t="s">
        <v>506</v>
      </c>
      <c r="C16">
        <v>0</v>
      </c>
      <c r="D16" s="5">
        <v>64.97</v>
      </c>
      <c r="E16" s="14">
        <f t="shared" ref="E16:E33" si="3">+C16*D16</f>
        <v>0</v>
      </c>
      <c r="F16" s="26">
        <f t="shared" si="2"/>
        <v>0</v>
      </c>
    </row>
    <row r="17" spans="1:6" x14ac:dyDescent="0.25">
      <c r="A17" s="30" t="s">
        <v>507</v>
      </c>
      <c r="B17" s="30" t="s">
        <v>508</v>
      </c>
      <c r="C17">
        <v>0</v>
      </c>
      <c r="D17" s="5">
        <v>89.97</v>
      </c>
      <c r="E17" s="14">
        <f t="shared" si="3"/>
        <v>0</v>
      </c>
      <c r="F17" s="26">
        <f t="shared" si="2"/>
        <v>0</v>
      </c>
    </row>
    <row r="18" spans="1:6" x14ac:dyDescent="0.25">
      <c r="A18" s="30" t="s">
        <v>436</v>
      </c>
      <c r="B18" s="30">
        <v>2535475</v>
      </c>
      <c r="C18">
        <v>0</v>
      </c>
      <c r="D18" s="5">
        <v>24.98</v>
      </c>
      <c r="E18" s="14">
        <f t="shared" si="3"/>
        <v>0</v>
      </c>
      <c r="F18" s="26">
        <f t="shared" si="2"/>
        <v>0</v>
      </c>
    </row>
    <row r="19" spans="1:6" x14ac:dyDescent="0.25">
      <c r="A19" s="30" t="s">
        <v>874</v>
      </c>
      <c r="B19" s="30" t="s">
        <v>875</v>
      </c>
      <c r="C19">
        <v>1</v>
      </c>
      <c r="D19" s="5">
        <v>43.98</v>
      </c>
      <c r="E19" s="14">
        <f t="shared" si="3"/>
        <v>43.98</v>
      </c>
      <c r="F19" s="26">
        <f t="shared" si="2"/>
        <v>3.1885499999999998</v>
      </c>
    </row>
    <row r="20" spans="1:6" x14ac:dyDescent="0.25">
      <c r="A20" s="30" t="s">
        <v>513</v>
      </c>
      <c r="B20" s="30" t="s">
        <v>514</v>
      </c>
      <c r="C20">
        <v>0</v>
      </c>
      <c r="D20" s="5">
        <v>62.97</v>
      </c>
      <c r="E20" s="14">
        <f t="shared" si="3"/>
        <v>0</v>
      </c>
      <c r="F20" s="26">
        <f t="shared" si="2"/>
        <v>0</v>
      </c>
    </row>
    <row r="21" spans="1:6" x14ac:dyDescent="0.25">
      <c r="A21" s="30" t="s">
        <v>515</v>
      </c>
      <c r="B21" s="30" t="s">
        <v>516</v>
      </c>
      <c r="C21">
        <v>0</v>
      </c>
      <c r="D21" s="5">
        <v>54.98</v>
      </c>
      <c r="E21" s="14">
        <f t="shared" si="3"/>
        <v>0</v>
      </c>
      <c r="F21" s="26">
        <f t="shared" si="2"/>
        <v>0</v>
      </c>
    </row>
    <row r="22" spans="1:6" x14ac:dyDescent="0.25">
      <c r="A22" s="30" t="s">
        <v>437</v>
      </c>
      <c r="B22" s="30" t="s">
        <v>438</v>
      </c>
      <c r="C22">
        <v>0</v>
      </c>
      <c r="D22" s="5">
        <v>17.97</v>
      </c>
      <c r="E22" s="14">
        <f t="shared" si="3"/>
        <v>0</v>
      </c>
      <c r="F22" s="26">
        <f t="shared" si="2"/>
        <v>0</v>
      </c>
    </row>
    <row r="23" spans="1:6" x14ac:dyDescent="0.25">
      <c r="A23" s="30" t="s">
        <v>439</v>
      </c>
      <c r="B23" s="30" t="s">
        <v>440</v>
      </c>
      <c r="C23">
        <v>0</v>
      </c>
      <c r="D23" s="5">
        <v>16.98</v>
      </c>
      <c r="E23" s="14">
        <f t="shared" si="3"/>
        <v>0</v>
      </c>
      <c r="F23" s="26">
        <f t="shared" si="2"/>
        <v>0</v>
      </c>
    </row>
    <row r="24" spans="1:6" x14ac:dyDescent="0.25">
      <c r="A24" s="30" t="s">
        <v>441</v>
      </c>
      <c r="B24" s="30" t="s">
        <v>442</v>
      </c>
      <c r="C24">
        <v>0</v>
      </c>
      <c r="D24" s="5">
        <v>3.27</v>
      </c>
      <c r="E24" s="14">
        <f t="shared" si="3"/>
        <v>0</v>
      </c>
      <c r="F24" s="26">
        <f t="shared" si="2"/>
        <v>0</v>
      </c>
    </row>
    <row r="25" spans="1:6" x14ac:dyDescent="0.25">
      <c r="A25" s="30" t="s">
        <v>509</v>
      </c>
      <c r="B25" s="30" t="s">
        <v>510</v>
      </c>
      <c r="C25">
        <v>0</v>
      </c>
      <c r="D25" s="5">
        <v>79.97</v>
      </c>
      <c r="E25" s="14">
        <f t="shared" si="3"/>
        <v>0</v>
      </c>
      <c r="F25" s="26">
        <f t="shared" si="2"/>
        <v>0</v>
      </c>
    </row>
    <row r="26" spans="1:6" x14ac:dyDescent="0.25">
      <c r="A26" s="30" t="s">
        <v>511</v>
      </c>
      <c r="B26" s="30" t="s">
        <v>512</v>
      </c>
      <c r="C26">
        <v>0</v>
      </c>
      <c r="D26" s="5">
        <v>123</v>
      </c>
      <c r="E26" s="14">
        <f t="shared" si="3"/>
        <v>0</v>
      </c>
      <c r="F26" s="26">
        <f t="shared" si="2"/>
        <v>0</v>
      </c>
    </row>
    <row r="27" spans="1:6" x14ac:dyDescent="0.25">
      <c r="A27" s="30" t="s">
        <v>443</v>
      </c>
      <c r="B27" s="30" t="s">
        <v>444</v>
      </c>
      <c r="C27">
        <v>0</v>
      </c>
      <c r="D27" s="5">
        <v>13.98</v>
      </c>
      <c r="E27" s="14">
        <f t="shared" si="3"/>
        <v>0</v>
      </c>
      <c r="F27" s="26">
        <f t="shared" si="2"/>
        <v>0</v>
      </c>
    </row>
    <row r="28" spans="1:6" x14ac:dyDescent="0.25">
      <c r="A28" s="30" t="s">
        <v>445</v>
      </c>
      <c r="B28" s="30">
        <v>39800072986</v>
      </c>
      <c r="C28">
        <v>0</v>
      </c>
      <c r="D28" s="5">
        <v>17.87</v>
      </c>
      <c r="E28" s="14">
        <f t="shared" si="3"/>
        <v>0</v>
      </c>
      <c r="F28" s="26">
        <f t="shared" si="2"/>
        <v>0</v>
      </c>
    </row>
    <row r="29" spans="1:6" x14ac:dyDescent="0.25">
      <c r="A29" s="30" t="s">
        <v>446</v>
      </c>
      <c r="B29" s="280">
        <v>46335120372</v>
      </c>
      <c r="C29">
        <v>0</v>
      </c>
      <c r="D29" s="5">
        <v>99.97</v>
      </c>
      <c r="E29" s="14">
        <f t="shared" si="3"/>
        <v>0</v>
      </c>
      <c r="F29" s="26">
        <f t="shared" si="2"/>
        <v>0</v>
      </c>
    </row>
    <row r="30" spans="1:6" x14ac:dyDescent="0.25">
      <c r="A30" s="30" t="s">
        <v>447</v>
      </c>
      <c r="B30" s="280">
        <v>792145370178</v>
      </c>
      <c r="C30">
        <v>0</v>
      </c>
      <c r="D30" s="5">
        <v>59.97</v>
      </c>
      <c r="E30" s="14">
        <f t="shared" si="3"/>
        <v>0</v>
      </c>
      <c r="F30" s="26">
        <f t="shared" si="2"/>
        <v>0</v>
      </c>
    </row>
    <row r="31" spans="1:6" x14ac:dyDescent="0.25">
      <c r="A31" s="30" t="s">
        <v>448</v>
      </c>
      <c r="B31" s="30">
        <v>82392573331</v>
      </c>
      <c r="C31">
        <v>0</v>
      </c>
      <c r="D31" s="5">
        <v>109</v>
      </c>
      <c r="E31" s="14">
        <f t="shared" si="3"/>
        <v>0</v>
      </c>
      <c r="F31" s="26">
        <f t="shared" si="2"/>
        <v>0</v>
      </c>
    </row>
    <row r="32" spans="1:6" x14ac:dyDescent="0.25">
      <c r="A32" s="30" t="s">
        <v>449</v>
      </c>
      <c r="B32" s="30">
        <v>5190530</v>
      </c>
      <c r="C32">
        <v>0</v>
      </c>
      <c r="D32" s="5">
        <v>18.98</v>
      </c>
      <c r="E32" s="14">
        <f t="shared" si="3"/>
        <v>0</v>
      </c>
      <c r="F32" s="26">
        <f t="shared" si="2"/>
        <v>0</v>
      </c>
    </row>
    <row r="33" spans="1:10" ht="15.75" thickBot="1" x14ac:dyDescent="0.3">
      <c r="A33" s="30" t="s">
        <v>450</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238</v>
      </c>
      <c r="B1" s="16"/>
      <c r="H1" s="915" t="s">
        <v>2</v>
      </c>
      <c r="I1" s="915" t="str">
        <f>IF(Profit!$U$6,IF(J1="No","No","Yes"),"no")</f>
        <v>no</v>
      </c>
      <c r="J1" s="917"/>
    </row>
    <row r="2" spans="1:10" s="15" customFormat="1" ht="15.75" thickBot="1" x14ac:dyDescent="0.3">
      <c r="A2" s="3" t="s">
        <v>205</v>
      </c>
      <c r="B2" s="17" t="s">
        <v>451</v>
      </c>
      <c r="C2" s="30" t="s">
        <v>452</v>
      </c>
      <c r="D2" s="3" t="s">
        <v>265</v>
      </c>
      <c r="E2" s="8" t="s">
        <v>453</v>
      </c>
      <c r="F2" s="6" t="s">
        <v>454</v>
      </c>
      <c r="G2" s="15" t="s">
        <v>268</v>
      </c>
      <c r="H2" s="916"/>
      <c r="I2" s="916"/>
      <c r="J2" s="918"/>
    </row>
    <row r="4" spans="1:10" x14ac:dyDescent="0.25">
      <c r="A4" s="2" t="s">
        <v>148</v>
      </c>
      <c r="B4" s="18">
        <v>0</v>
      </c>
      <c r="C4" s="2" t="s">
        <v>148</v>
      </c>
      <c r="D4">
        <v>1</v>
      </c>
      <c r="E4" s="5">
        <v>0</v>
      </c>
      <c r="F4" s="1">
        <f t="shared" ref="F4:F11" si="0">+D4*E4</f>
        <v>0</v>
      </c>
    </row>
    <row r="5" spans="1:10" x14ac:dyDescent="0.25">
      <c r="A5" s="2" t="s">
        <v>455</v>
      </c>
      <c r="B5" s="18">
        <v>1</v>
      </c>
      <c r="C5" s="2">
        <f>24*10</f>
        <v>240</v>
      </c>
      <c r="D5">
        <v>0</v>
      </c>
      <c r="E5" s="5">
        <v>60</v>
      </c>
      <c r="F5" s="1">
        <f>+C5*B5*D5</f>
        <v>0</v>
      </c>
    </row>
    <row r="6" spans="1:10" x14ac:dyDescent="0.25">
      <c r="A6" s="2" t="s">
        <v>456</v>
      </c>
      <c r="D6">
        <v>0</v>
      </c>
      <c r="E6" s="5">
        <v>150</v>
      </c>
      <c r="F6" s="1">
        <f t="shared" si="0"/>
        <v>0</v>
      </c>
    </row>
    <row r="7" spans="1:10" x14ac:dyDescent="0.25">
      <c r="A7" s="2" t="s">
        <v>457</v>
      </c>
      <c r="D7">
        <v>1</v>
      </c>
      <c r="E7" s="5">
        <v>2871</v>
      </c>
      <c r="F7" s="1">
        <f t="shared" si="0"/>
        <v>2871</v>
      </c>
    </row>
    <row r="8" spans="1:10" x14ac:dyDescent="0.25">
      <c r="A8" s="2" t="s">
        <v>841</v>
      </c>
      <c r="D8">
        <v>1</v>
      </c>
      <c r="E8" s="5">
        <v>29.96</v>
      </c>
      <c r="F8" s="1">
        <f t="shared" si="0"/>
        <v>29.96</v>
      </c>
    </row>
    <row r="9" spans="1:10" x14ac:dyDescent="0.25">
      <c r="A9" s="2" t="s">
        <v>458</v>
      </c>
      <c r="D9">
        <v>0</v>
      </c>
      <c r="E9" s="5">
        <v>29</v>
      </c>
      <c r="F9" s="1">
        <f t="shared" si="0"/>
        <v>0</v>
      </c>
    </row>
    <row r="10" spans="1:10" x14ac:dyDescent="0.25">
      <c r="A10" s="2" t="s">
        <v>459</v>
      </c>
      <c r="D10">
        <v>0</v>
      </c>
      <c r="E10" s="5">
        <v>15</v>
      </c>
      <c r="F10" s="1">
        <f t="shared" si="0"/>
        <v>0</v>
      </c>
    </row>
    <row r="11" spans="1:10" x14ac:dyDescent="0.25">
      <c r="A11" s="2" t="s">
        <v>460</v>
      </c>
      <c r="D11">
        <v>0</v>
      </c>
      <c r="E11" s="5">
        <v>1100</v>
      </c>
      <c r="F11" s="1">
        <f t="shared" si="0"/>
        <v>0</v>
      </c>
    </row>
    <row r="12" spans="1:10" x14ac:dyDescent="0.25">
      <c r="A12" s="2" t="s">
        <v>521</v>
      </c>
      <c r="D12">
        <v>0</v>
      </c>
      <c r="E12" s="5">
        <v>285</v>
      </c>
      <c r="F12" s="1">
        <v>0</v>
      </c>
    </row>
    <row r="13" spans="1:10" x14ac:dyDescent="0.25">
      <c r="A13" s="2" t="s">
        <v>789</v>
      </c>
      <c r="B13" s="18" t="s">
        <v>148</v>
      </c>
      <c r="D13">
        <v>1</v>
      </c>
      <c r="E13" s="5">
        <v>80</v>
      </c>
      <c r="F13" s="1">
        <f>+D13*E13</f>
        <v>80</v>
      </c>
    </row>
    <row r="14" spans="1:10" x14ac:dyDescent="0.25">
      <c r="A14" s="2" t="s">
        <v>853</v>
      </c>
      <c r="C14" s="434">
        <v>45836</v>
      </c>
      <c r="D14">
        <v>1</v>
      </c>
      <c r="E14" s="5">
        <v>75</v>
      </c>
      <c r="F14" s="1">
        <f>+D14*E14</f>
        <v>75</v>
      </c>
    </row>
    <row r="15" spans="1:10" x14ac:dyDescent="0.25">
      <c r="A15" s="2" t="s">
        <v>840</v>
      </c>
      <c r="D15">
        <v>1</v>
      </c>
      <c r="E15" s="5">
        <v>250</v>
      </c>
      <c r="F15" s="1">
        <f>+D15*E15</f>
        <v>250</v>
      </c>
    </row>
    <row r="16" spans="1:10" ht="15.75" thickBot="1" x14ac:dyDescent="0.3">
      <c r="F16" s="29"/>
      <c r="G16" s="23"/>
    </row>
    <row r="17" spans="3:7" x14ac:dyDescent="0.25">
      <c r="C17" s="2">
        <f>+SUM(C4:C16)</f>
        <v>46076</v>
      </c>
      <c r="F17" s="15" t="s">
        <v>268</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623</v>
      </c>
      <c r="B1" s="32"/>
      <c r="C1" s="32"/>
      <c r="D1" s="16"/>
      <c r="I1" s="915" t="s">
        <v>2</v>
      </c>
      <c r="J1" s="915" t="str">
        <f>IF(Profit!$U$6,IF(K1="No","No","Yes"),"no")</f>
        <v>no</v>
      </c>
      <c r="K1" s="917"/>
    </row>
    <row r="2" spans="1:14" s="61" customFormat="1" ht="30.75" thickBot="1" x14ac:dyDescent="0.3">
      <c r="A2" s="61" t="s">
        <v>205</v>
      </c>
      <c r="B2" s="61" t="s">
        <v>205</v>
      </c>
      <c r="C2" s="61" t="s">
        <v>179</v>
      </c>
      <c r="D2" s="314" t="s">
        <v>461</v>
      </c>
      <c r="E2" s="61" t="s">
        <v>268</v>
      </c>
      <c r="F2" s="61" t="s">
        <v>462</v>
      </c>
      <c r="G2" s="247"/>
      <c r="H2" s="314">
        <v>20</v>
      </c>
      <c r="I2" s="916"/>
      <c r="J2" s="916"/>
      <c r="K2" s="918"/>
    </row>
    <row r="4" spans="1:14" x14ac:dyDescent="0.25">
      <c r="A4" s="2" t="s">
        <v>193</v>
      </c>
      <c r="C4" s="2">
        <v>0</v>
      </c>
      <c r="D4" s="18">
        <v>800</v>
      </c>
      <c r="E4" s="5">
        <f>+C4*D4</f>
        <v>0</v>
      </c>
    </row>
    <row r="5" spans="1:14" x14ac:dyDescent="0.25">
      <c r="A5" s="2" t="s">
        <v>463</v>
      </c>
      <c r="B5" s="2" t="s">
        <v>792</v>
      </c>
      <c r="C5" s="2">
        <v>1</v>
      </c>
      <c r="D5" s="18">
        <v>24.63</v>
      </c>
      <c r="E5" s="5">
        <f t="shared" ref="E5:E20" si="0">+C5*D5</f>
        <v>24.63</v>
      </c>
    </row>
    <row r="6" spans="1:14" x14ac:dyDescent="0.25">
      <c r="A6" s="2" t="s">
        <v>799</v>
      </c>
      <c r="B6" s="2" t="s">
        <v>800</v>
      </c>
      <c r="C6" s="2">
        <v>1</v>
      </c>
      <c r="D6" s="18">
        <v>35.229999999999997</v>
      </c>
      <c r="E6" s="5">
        <f t="shared" si="0"/>
        <v>35.229999999999997</v>
      </c>
    </row>
    <row r="7" spans="1:14" x14ac:dyDescent="0.25">
      <c r="A7" s="2" t="s">
        <v>464</v>
      </c>
      <c r="C7" s="2">
        <v>0</v>
      </c>
      <c r="D7" s="18">
        <v>28.47</v>
      </c>
      <c r="E7" s="5">
        <f t="shared" si="0"/>
        <v>0</v>
      </c>
    </row>
    <row r="8" spans="1:14" x14ac:dyDescent="0.25">
      <c r="A8" s="32" t="s">
        <v>783</v>
      </c>
      <c r="B8" s="32"/>
      <c r="C8" s="2">
        <v>0</v>
      </c>
      <c r="D8" s="18">
        <v>28.47</v>
      </c>
      <c r="E8" s="5">
        <f t="shared" ref="E8:E12" si="1">+C8*D8</f>
        <v>0</v>
      </c>
    </row>
    <row r="9" spans="1:14" x14ac:dyDescent="0.25">
      <c r="A9" s="2" t="s">
        <v>790</v>
      </c>
      <c r="C9" s="2">
        <v>2</v>
      </c>
      <c r="D9" s="18">
        <v>300</v>
      </c>
      <c r="E9" s="5">
        <v>643.5</v>
      </c>
    </row>
    <row r="10" spans="1:14" x14ac:dyDescent="0.25">
      <c r="A10" s="2" t="s">
        <v>784</v>
      </c>
      <c r="C10" s="2">
        <v>0</v>
      </c>
      <c r="D10" s="18">
        <v>1000</v>
      </c>
      <c r="E10" s="5">
        <f t="shared" si="1"/>
        <v>0</v>
      </c>
    </row>
    <row r="11" spans="1:14" x14ac:dyDescent="0.25">
      <c r="A11" s="2" t="s">
        <v>785</v>
      </c>
      <c r="C11" s="2">
        <v>0</v>
      </c>
      <c r="D11" s="18">
        <v>300</v>
      </c>
      <c r="E11" s="5">
        <f t="shared" si="1"/>
        <v>0</v>
      </c>
    </row>
    <row r="12" spans="1:14" x14ac:dyDescent="0.25">
      <c r="A12" s="2" t="s">
        <v>786</v>
      </c>
      <c r="C12" s="2">
        <v>0</v>
      </c>
      <c r="D12" s="18">
        <v>500</v>
      </c>
      <c r="E12" s="5">
        <f t="shared" si="1"/>
        <v>0</v>
      </c>
    </row>
    <row r="13" spans="1:14" x14ac:dyDescent="0.25">
      <c r="A13" s="2" t="s">
        <v>811</v>
      </c>
      <c r="B13" s="2" t="s">
        <v>812</v>
      </c>
      <c r="C13" s="2">
        <v>1</v>
      </c>
      <c r="D13" s="18">
        <v>22.64</v>
      </c>
      <c r="E13" s="5">
        <f t="shared" si="0"/>
        <v>22.64</v>
      </c>
    </row>
    <row r="14" spans="1:14" x14ac:dyDescent="0.25">
      <c r="A14" s="2" t="s">
        <v>465</v>
      </c>
      <c r="C14" s="2">
        <v>0</v>
      </c>
      <c r="D14" s="18">
        <v>1000</v>
      </c>
      <c r="E14" s="5">
        <f t="shared" si="0"/>
        <v>0</v>
      </c>
    </row>
    <row r="15" spans="1:14" x14ac:dyDescent="0.25">
      <c r="A15" s="2" t="s">
        <v>466</v>
      </c>
      <c r="E15" s="5">
        <f t="shared" si="0"/>
        <v>0</v>
      </c>
    </row>
    <row r="16" spans="1:14" x14ac:dyDescent="0.25">
      <c r="A16" s="2" t="s">
        <v>466</v>
      </c>
      <c r="E16" s="5">
        <f t="shared" si="0"/>
        <v>0</v>
      </c>
      <c r="K16">
        <v>872.32</v>
      </c>
      <c r="L16">
        <v>112.37</v>
      </c>
      <c r="M16">
        <f>+K16+L16</f>
        <v>984.69</v>
      </c>
      <c r="N16">
        <f>+L16/M16</f>
        <v>0.11411713331099127</v>
      </c>
    </row>
    <row r="17" spans="1:10" x14ac:dyDescent="0.25">
      <c r="A17" s="2" t="s">
        <v>467</v>
      </c>
      <c r="C17" s="2">
        <v>0</v>
      </c>
      <c r="D17" s="18">
        <v>5500</v>
      </c>
      <c r="E17" s="5">
        <f t="shared" si="0"/>
        <v>0</v>
      </c>
    </row>
    <row r="18" spans="1:10" x14ac:dyDescent="0.25">
      <c r="A18" s="2" t="s">
        <v>826</v>
      </c>
      <c r="B18" s="2" t="s">
        <v>827</v>
      </c>
      <c r="C18" s="2">
        <v>1</v>
      </c>
      <c r="D18" s="18">
        <v>12.33</v>
      </c>
      <c r="E18" s="5">
        <f t="shared" si="0"/>
        <v>12.33</v>
      </c>
    </row>
    <row r="19" spans="1:10" x14ac:dyDescent="0.25">
      <c r="A19" s="2" t="s">
        <v>828</v>
      </c>
      <c r="B19" s="2" t="s">
        <v>829</v>
      </c>
      <c r="C19" s="2">
        <v>1</v>
      </c>
      <c r="D19" s="18">
        <v>14.23</v>
      </c>
      <c r="E19" s="5">
        <f t="shared" si="0"/>
        <v>14.23</v>
      </c>
    </row>
    <row r="20" spans="1:10" x14ac:dyDescent="0.25">
      <c r="A20" s="2" t="s">
        <v>830</v>
      </c>
      <c r="B20" s="2" t="s">
        <v>831</v>
      </c>
      <c r="C20" s="2">
        <v>1</v>
      </c>
      <c r="D20" s="18">
        <v>37.979999999999997</v>
      </c>
      <c r="E20" s="5">
        <f t="shared" si="0"/>
        <v>37.979999999999997</v>
      </c>
      <c r="J20" s="3" t="s">
        <v>148</v>
      </c>
    </row>
    <row r="21" spans="1:10" x14ac:dyDescent="0.25">
      <c r="A21" s="2" t="s">
        <v>468</v>
      </c>
      <c r="C21" s="2">
        <v>0</v>
      </c>
      <c r="D21" s="18">
        <v>7.33</v>
      </c>
      <c r="E21" s="5">
        <f>+C21*D21</f>
        <v>0</v>
      </c>
      <c r="J21" s="3"/>
    </row>
    <row r="22" spans="1:10" x14ac:dyDescent="0.25">
      <c r="A22" s="2" t="s">
        <v>469</v>
      </c>
      <c r="C22" s="2">
        <v>0</v>
      </c>
      <c r="D22" s="18">
        <v>9.9700000000000006</v>
      </c>
      <c r="E22" s="5">
        <f>+C22*D22</f>
        <v>0</v>
      </c>
      <c r="J22" s="3"/>
    </row>
    <row r="23" spans="1:10" x14ac:dyDescent="0.25">
      <c r="A23" s="2" t="s">
        <v>470</v>
      </c>
      <c r="C23" s="2">
        <v>0</v>
      </c>
      <c r="D23" s="18">
        <v>3.98</v>
      </c>
      <c r="E23" s="5">
        <f>+C23*D23</f>
        <v>0</v>
      </c>
      <c r="J23" s="3"/>
    </row>
    <row r="24" spans="1:10" x14ac:dyDescent="0.25">
      <c r="A24" s="2" t="s">
        <v>855</v>
      </c>
      <c r="C24" s="2">
        <v>1</v>
      </c>
      <c r="D24" s="18">
        <v>367.22</v>
      </c>
      <c r="E24" s="5">
        <f>+C24*D24</f>
        <v>367.22</v>
      </c>
      <c r="I24" s="1"/>
      <c r="J24" t="s">
        <v>148</v>
      </c>
    </row>
    <row r="25" spans="1:10" x14ac:dyDescent="0.25">
      <c r="A25" s="2" t="s">
        <v>791</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11" t="s">
        <v>566</v>
      </c>
      <c r="C1" s="812"/>
      <c r="E1" s="811" t="s">
        <v>570</v>
      </c>
      <c r="F1" s="812"/>
      <c r="H1" s="811" t="s">
        <v>569</v>
      </c>
      <c r="I1" s="812"/>
      <c r="L1" s="811" t="s">
        <v>584</v>
      </c>
      <c r="M1" s="812"/>
    </row>
    <row r="2" spans="1:14" x14ac:dyDescent="0.25">
      <c r="A2" s="2" t="s">
        <v>567</v>
      </c>
    </row>
    <row r="3" spans="1:14" x14ac:dyDescent="0.25">
      <c r="A3" s="2" t="s">
        <v>571</v>
      </c>
      <c r="B3" s="316">
        <v>0.56000000000000005</v>
      </c>
      <c r="E3" s="316">
        <f>+B3</f>
        <v>0.56000000000000005</v>
      </c>
      <c r="H3" s="316">
        <f>+E3</f>
        <v>0.56000000000000005</v>
      </c>
      <c r="L3" s="316">
        <f>+E3</f>
        <v>0.56000000000000005</v>
      </c>
    </row>
    <row r="4" spans="1:14" ht="15.75" thickBot="1" x14ac:dyDescent="0.3">
      <c r="A4" s="2" t="s">
        <v>568</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576</v>
      </c>
      <c r="B12" s="811" t="s">
        <v>566</v>
      </c>
      <c r="C12" s="812"/>
      <c r="D12" s="3"/>
      <c r="E12" s="811" t="s">
        <v>570</v>
      </c>
      <c r="F12" s="812"/>
      <c r="G12" s="3"/>
      <c r="H12" s="811" t="s">
        <v>569</v>
      </c>
      <c r="I12" s="812"/>
      <c r="J12" s="3"/>
      <c r="K12" s="3"/>
    </row>
    <row r="13" spans="1:14" x14ac:dyDescent="0.25">
      <c r="A13" s="2" t="s">
        <v>578</v>
      </c>
      <c r="B13" s="316">
        <v>0.2</v>
      </c>
      <c r="C13">
        <f>+B13*STR!$C$4</f>
        <v>0</v>
      </c>
      <c r="E13" s="316">
        <f>+B13</f>
        <v>0.2</v>
      </c>
      <c r="F13">
        <f>+E13*STR!$F$4</f>
        <v>0</v>
      </c>
      <c r="H13" s="316">
        <f>+E13</f>
        <v>0.2</v>
      </c>
      <c r="I13">
        <f>+H13*STR!$M$4</f>
        <v>0</v>
      </c>
      <c r="K13" s="4">
        <f>+C13+F13+I13</f>
        <v>0</v>
      </c>
    </row>
    <row r="14" spans="1:14" ht="15.75" thickBot="1" x14ac:dyDescent="0.3">
      <c r="A14" s="2" t="s">
        <v>572</v>
      </c>
      <c r="B14" s="316">
        <v>0.05</v>
      </c>
      <c r="C14">
        <f>+B14*STR!$C$4</f>
        <v>0</v>
      </c>
      <c r="E14" s="316">
        <v>0.05</v>
      </c>
      <c r="F14">
        <f>+E14*STR!$C$4</f>
        <v>0</v>
      </c>
      <c r="H14" s="316">
        <v>0.05</v>
      </c>
      <c r="I14">
        <f>+H14*STR!$C$4</f>
        <v>0</v>
      </c>
      <c r="K14" s="317">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25" t="s">
        <v>588</v>
      </c>
      <c r="C2" s="926"/>
      <c r="D2" s="289" t="s">
        <v>134</v>
      </c>
      <c r="E2" s="295" t="s">
        <v>135</v>
      </c>
      <c r="F2" s="173" t="s">
        <v>136</v>
      </c>
      <c r="G2" s="145"/>
      <c r="H2" s="142"/>
    </row>
    <row r="3" spans="1:11" ht="15.75" thickBot="1" x14ac:dyDescent="0.3">
      <c r="B3" s="169" t="s">
        <v>149</v>
      </c>
      <c r="C3" s="170">
        <f>+SUM(E3:G3)</f>
        <v>335000</v>
      </c>
      <c r="D3" s="170"/>
      <c r="E3" s="242">
        <v>50000</v>
      </c>
      <c r="F3" s="292">
        <v>285000</v>
      </c>
      <c r="G3" s="240"/>
      <c r="I3" s="61"/>
      <c r="J3" s="61"/>
      <c r="K3" s="61"/>
    </row>
    <row r="4" spans="1:11" x14ac:dyDescent="0.25">
      <c r="B4" s="169" t="s">
        <v>150</v>
      </c>
      <c r="C4" s="170">
        <f>+SUM(E4:$G$4)</f>
        <v>89099.277500000011</v>
      </c>
      <c r="D4" s="170"/>
      <c r="E4" s="242">
        <v>10000.13875</v>
      </c>
      <c r="F4" s="293">
        <v>79099.138750000013</v>
      </c>
      <c r="G4" s="240"/>
      <c r="I4" s="61"/>
      <c r="J4" s="61"/>
      <c r="K4" s="61"/>
    </row>
    <row r="5" spans="1:11" x14ac:dyDescent="0.25">
      <c r="B5" s="171" t="s">
        <v>151</v>
      </c>
      <c r="C5" s="172">
        <f>+SUM(E5:G5)</f>
        <v>84974.5</v>
      </c>
      <c r="D5" s="172"/>
      <c r="E5" s="242">
        <v>0</v>
      </c>
      <c r="F5" s="293">
        <v>84974.5</v>
      </c>
      <c r="G5" s="143"/>
      <c r="I5" s="61"/>
      <c r="J5" s="61"/>
      <c r="K5" s="61"/>
    </row>
    <row r="6" spans="1:11" ht="15.75" thickBot="1" x14ac:dyDescent="0.3">
      <c r="B6" s="144" t="s">
        <v>152</v>
      </c>
      <c r="C6" s="140">
        <f>+SUM($E$6:$G$6)</f>
        <v>91406.693999999989</v>
      </c>
      <c r="D6" s="140"/>
      <c r="E6" s="290">
        <v>30489.599999999999</v>
      </c>
      <c r="F6" s="290">
        <v>60917.093999999997</v>
      </c>
      <c r="G6" s="143"/>
      <c r="I6" s="61"/>
      <c r="J6" s="61"/>
      <c r="K6" s="61"/>
    </row>
    <row r="7" spans="1:11" ht="15.75" thickBot="1" x14ac:dyDescent="0.3">
      <c r="B7" s="144" t="s">
        <v>153</v>
      </c>
      <c r="C7" s="140">
        <f>+SUM($E$7:$G$7)</f>
        <v>0</v>
      </c>
      <c r="D7" s="140"/>
      <c r="E7" s="242"/>
      <c r="F7" s="294"/>
      <c r="G7" s="143"/>
      <c r="I7" s="61"/>
      <c r="J7" s="61"/>
      <c r="K7" s="61"/>
    </row>
    <row r="8" spans="1:11" ht="15.75" thickBot="1" x14ac:dyDescent="0.3">
      <c r="B8" s="144" t="s">
        <v>154</v>
      </c>
      <c r="C8" s="921">
        <f>+AVERAGE(E3:F3)</f>
        <v>167500</v>
      </c>
      <c r="D8" s="680"/>
      <c r="E8" s="927"/>
      <c r="F8" s="622"/>
      <c r="G8" s="650"/>
      <c r="I8" s="61"/>
      <c r="J8" s="61"/>
      <c r="K8" s="61"/>
    </row>
    <row r="9" spans="1:11" ht="15.75" thickBot="1" x14ac:dyDescent="0.3">
      <c r="B9" s="144" t="s">
        <v>155</v>
      </c>
      <c r="C9" s="921">
        <f>+AVERAGE(E4:F4)</f>
        <v>44549.638750000006</v>
      </c>
      <c r="D9" s="680"/>
      <c r="E9" s="651"/>
      <c r="F9" s="629"/>
      <c r="G9" s="652"/>
      <c r="I9" s="61"/>
      <c r="J9" s="61"/>
      <c r="K9" s="61"/>
    </row>
    <row r="10" spans="1:11" ht="15.75" thickBot="1" x14ac:dyDescent="0.3">
      <c r="B10" s="144" t="s">
        <v>156</v>
      </c>
      <c r="C10" s="921">
        <f>+AVERAGE(E5:F5)</f>
        <v>42487.25</v>
      </c>
      <c r="D10" s="680"/>
      <c r="E10" s="928" t="s">
        <v>157</v>
      </c>
      <c r="F10" s="767"/>
      <c r="G10" s="735"/>
      <c r="I10" s="61"/>
      <c r="J10" s="61"/>
      <c r="K10" s="61"/>
    </row>
    <row r="11" spans="1:11" ht="15.75" thickBot="1" x14ac:dyDescent="0.3">
      <c r="B11" s="144" t="s">
        <v>158</v>
      </c>
      <c r="C11" s="921">
        <f>+AVERAGE(E6:F6)</f>
        <v>45703.346999999994</v>
      </c>
      <c r="D11" s="680"/>
      <c r="E11" s="922" t="s">
        <v>159</v>
      </c>
      <c r="F11" s="923"/>
      <c r="G11" s="924"/>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25" t="s">
        <v>587</v>
      </c>
      <c r="C2" s="926"/>
      <c r="D2" s="289" t="s">
        <v>134</v>
      </c>
      <c r="E2" s="295" t="s">
        <v>472</v>
      </c>
      <c r="F2" s="173" t="s">
        <v>137</v>
      </c>
      <c r="G2" s="145"/>
      <c r="H2" s="142"/>
    </row>
    <row r="3" spans="1:8" ht="15.75" thickBot="1" x14ac:dyDescent="0.3">
      <c r="B3" s="169" t="s">
        <v>149</v>
      </c>
      <c r="C3" s="170">
        <f>+SUM(E3:G3)</f>
        <v>750000</v>
      </c>
      <c r="D3" s="170"/>
      <c r="E3" s="242">
        <v>435000</v>
      </c>
      <c r="F3" s="292">
        <v>315000</v>
      </c>
      <c r="G3" s="240"/>
    </row>
    <row r="4" spans="1:8" x14ac:dyDescent="0.25">
      <c r="B4" s="169" t="s">
        <v>150</v>
      </c>
      <c r="C4" s="170">
        <f>+SUM(E4:$G$4)</f>
        <v>352369</v>
      </c>
      <c r="D4" s="170"/>
      <c r="E4" s="242">
        <v>249869</v>
      </c>
      <c r="F4" s="293">
        <v>102500</v>
      </c>
      <c r="G4" s="240"/>
    </row>
    <row r="5" spans="1:8" x14ac:dyDescent="0.25">
      <c r="B5" s="171" t="s">
        <v>151</v>
      </c>
      <c r="C5" s="172">
        <f>+SUM(E5:G5)</f>
        <v>242267</v>
      </c>
      <c r="D5" s="172"/>
      <c r="E5" s="242">
        <v>98192</v>
      </c>
      <c r="F5" s="293">
        <f>+F3+-F4-F6</f>
        <v>144075</v>
      </c>
      <c r="G5" s="143"/>
    </row>
    <row r="6" spans="1:8" ht="15.75" thickBot="1" x14ac:dyDescent="0.3">
      <c r="B6" s="144" t="s">
        <v>152</v>
      </c>
      <c r="C6" s="140">
        <f>+SUM($E$6:$G$6)</f>
        <v>155363.89666666667</v>
      </c>
      <c r="D6" s="140"/>
      <c r="E6" s="242">
        <v>86938.896666666667</v>
      </c>
      <c r="F6" s="293">
        <v>68425</v>
      </c>
      <c r="G6" s="143"/>
    </row>
    <row r="7" spans="1:8" ht="15.75" thickBot="1" x14ac:dyDescent="0.3">
      <c r="B7" s="144" t="s">
        <v>153</v>
      </c>
      <c r="C7" s="140">
        <f>+SUM($E$7:$G$7)</f>
        <v>0</v>
      </c>
      <c r="D7" s="140"/>
      <c r="E7" s="242"/>
      <c r="F7" s="294"/>
      <c r="G7" s="143"/>
    </row>
    <row r="8" spans="1:8" ht="15.75" thickBot="1" x14ac:dyDescent="0.3">
      <c r="B8" s="144" t="s">
        <v>154</v>
      </c>
      <c r="C8" s="921">
        <f>+AVERAGE(E3:F3)</f>
        <v>375000</v>
      </c>
      <c r="D8" s="680"/>
      <c r="E8" s="927"/>
      <c r="F8" s="622"/>
      <c r="G8" s="650"/>
    </row>
    <row r="9" spans="1:8" ht="15.75" thickBot="1" x14ac:dyDescent="0.3">
      <c r="B9" s="144" t="s">
        <v>155</v>
      </c>
      <c r="C9" s="921">
        <f>+AVERAGE(E4:F4)</f>
        <v>176184.5</v>
      </c>
      <c r="D9" s="680"/>
      <c r="E9" s="651"/>
      <c r="F9" s="629"/>
      <c r="G9" s="652"/>
    </row>
    <row r="10" spans="1:8" ht="15.75" thickBot="1" x14ac:dyDescent="0.3">
      <c r="B10" s="144" t="s">
        <v>156</v>
      </c>
      <c r="C10" s="921">
        <f>+AVERAGE(E5:F5)</f>
        <v>121133.5</v>
      </c>
      <c r="D10" s="680"/>
      <c r="E10" s="928" t="s">
        <v>157</v>
      </c>
      <c r="F10" s="767"/>
      <c r="G10" s="735"/>
    </row>
    <row r="11" spans="1:8" ht="15.75" thickBot="1" x14ac:dyDescent="0.3">
      <c r="B11" s="144" t="s">
        <v>158</v>
      </c>
      <c r="C11" s="921">
        <f>+AVERAGE(E6:F6)</f>
        <v>77681.948333333334</v>
      </c>
      <c r="D11" s="680"/>
      <c r="E11" s="922" t="s">
        <v>159</v>
      </c>
      <c r="F11" s="923"/>
      <c r="G11" s="924"/>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6"/>
      <c r="B2" s="925" t="s">
        <v>473</v>
      </c>
      <c r="C2" s="932"/>
      <c r="D2" s="289" t="s">
        <v>134</v>
      </c>
      <c r="E2" s="168" t="s">
        <v>138</v>
      </c>
      <c r="F2" s="168" t="s">
        <v>139</v>
      </c>
      <c r="G2" s="168" t="s">
        <v>140</v>
      </c>
      <c r="H2" s="173" t="s">
        <v>141</v>
      </c>
      <c r="I2" s="145"/>
      <c r="J2" s="142"/>
    </row>
    <row r="3" spans="1:10" ht="15.75" thickBot="1" x14ac:dyDescent="0.3">
      <c r="A3" s="147"/>
      <c r="B3" s="169" t="s">
        <v>149</v>
      </c>
      <c r="C3" s="170">
        <f>+SUM(E3:I3)</f>
        <v>1262529</v>
      </c>
      <c r="D3" s="170"/>
      <c r="E3" s="242">
        <v>210000</v>
      </c>
      <c r="F3" s="242">
        <v>423529</v>
      </c>
      <c r="G3" s="242">
        <v>330000</v>
      </c>
      <c r="H3" s="241">
        <v>299000</v>
      </c>
      <c r="I3" s="240"/>
    </row>
    <row r="4" spans="1:10" x14ac:dyDescent="0.25">
      <c r="A4" s="147"/>
      <c r="B4" s="169" t="s">
        <v>150</v>
      </c>
      <c r="C4" s="170">
        <f>+SUM(E4:$I$4)</f>
        <v>554594.92000000004</v>
      </c>
      <c r="D4" s="170"/>
      <c r="E4" s="242">
        <v>127000</v>
      </c>
      <c r="F4" s="242">
        <v>174585.47</v>
      </c>
      <c r="G4" s="242">
        <v>85975.790000000008</v>
      </c>
      <c r="H4" s="241">
        <v>167033.66</v>
      </c>
      <c r="I4" s="240"/>
    </row>
    <row r="5" spans="1:10" x14ac:dyDescent="0.25">
      <c r="A5" s="147"/>
      <c r="B5" s="171" t="s">
        <v>151</v>
      </c>
      <c r="C5" s="172">
        <f>+SUM(E5:I5)</f>
        <v>148708.10749999998</v>
      </c>
      <c r="D5" s="172"/>
      <c r="E5" s="242">
        <v>15000</v>
      </c>
      <c r="F5" s="242">
        <v>12223</v>
      </c>
      <c r="G5" s="242">
        <v>82805.727499999994</v>
      </c>
      <c r="H5" s="241">
        <v>38679.380000000005</v>
      </c>
      <c r="I5" s="143"/>
    </row>
    <row r="6" spans="1:10" ht="15.75" thickBot="1" x14ac:dyDescent="0.3">
      <c r="A6" s="147"/>
      <c r="B6" s="144" t="s">
        <v>152</v>
      </c>
      <c r="C6" s="140">
        <f>+SUM($E$6:$I$6)</f>
        <v>471212.07700000005</v>
      </c>
      <c r="D6" s="140"/>
      <c r="E6" s="242">
        <v>67485.868000000002</v>
      </c>
      <c r="F6" s="242">
        <v>154708.03800000003</v>
      </c>
      <c r="G6" s="242">
        <v>154490.20250000001</v>
      </c>
      <c r="H6" s="241">
        <v>94527.968499999988</v>
      </c>
      <c r="I6" s="143"/>
    </row>
    <row r="7" spans="1:10" ht="15.75" thickBot="1" x14ac:dyDescent="0.3">
      <c r="A7" s="147"/>
      <c r="B7" s="144" t="s">
        <v>153</v>
      </c>
      <c r="C7" s="140">
        <f>+SUM($E$7:$I$7)</f>
        <v>15470.803800000003</v>
      </c>
      <c r="D7" s="140"/>
      <c r="E7" s="291"/>
      <c r="F7" s="298">
        <v>15470.803800000003</v>
      </c>
      <c r="G7" s="298"/>
      <c r="H7" s="300"/>
      <c r="I7" s="143"/>
    </row>
    <row r="8" spans="1:10" ht="15.75" thickBot="1" x14ac:dyDescent="0.3">
      <c r="A8" s="147"/>
      <c r="B8" s="144" t="s">
        <v>154</v>
      </c>
      <c r="C8" s="921">
        <f>+AVERAGE(E3:H3)</f>
        <v>315632.25</v>
      </c>
      <c r="D8" s="929"/>
      <c r="E8" s="927"/>
      <c r="F8" s="622"/>
      <c r="G8" s="622"/>
      <c r="H8" s="622"/>
      <c r="I8" s="650"/>
    </row>
    <row r="9" spans="1:10" ht="15.75" thickBot="1" x14ac:dyDescent="0.3">
      <c r="A9" s="147"/>
      <c r="B9" s="144" t="s">
        <v>155</v>
      </c>
      <c r="C9" s="921">
        <f>+AVERAGE(E4:H4)</f>
        <v>138648.73000000001</v>
      </c>
      <c r="D9" s="929"/>
      <c r="E9" s="651"/>
      <c r="F9" s="629"/>
      <c r="G9" s="629"/>
      <c r="H9" s="629"/>
      <c r="I9" s="652"/>
    </row>
    <row r="10" spans="1:10" ht="15.75" thickBot="1" x14ac:dyDescent="0.3">
      <c r="A10" s="147"/>
      <c r="B10" s="144" t="s">
        <v>156</v>
      </c>
      <c r="C10" s="921">
        <f>+AVERAGE(E5:H5)</f>
        <v>37177.026874999996</v>
      </c>
      <c r="D10" s="929"/>
      <c r="E10" s="928" t="s">
        <v>157</v>
      </c>
      <c r="F10" s="933"/>
      <c r="G10" s="933"/>
      <c r="H10" s="933"/>
      <c r="I10" s="934"/>
    </row>
    <row r="11" spans="1:10" ht="15.75" thickBot="1" x14ac:dyDescent="0.3">
      <c r="B11" s="144" t="s">
        <v>158</v>
      </c>
      <c r="C11" s="921">
        <f>+AVERAGE(E6:H6)</f>
        <v>117803.01925000001</v>
      </c>
      <c r="D11" s="929"/>
      <c r="E11" s="922" t="s">
        <v>159</v>
      </c>
      <c r="F11" s="930"/>
      <c r="G11" s="930"/>
      <c r="H11" s="930"/>
      <c r="I11" s="931"/>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25" t="s">
        <v>473</v>
      </c>
      <c r="C2" s="926"/>
      <c r="D2" s="289" t="s">
        <v>134</v>
      </c>
      <c r="E2" s="295" t="s">
        <v>142</v>
      </c>
      <c r="F2" s="295" t="s">
        <v>143</v>
      </c>
      <c r="G2" s="173" t="s">
        <v>144</v>
      </c>
      <c r="H2" s="145"/>
      <c r="I2" s="142"/>
    </row>
    <row r="3" spans="1:9" ht="15.75" thickBot="1" x14ac:dyDescent="0.3">
      <c r="B3" s="169" t="s">
        <v>149</v>
      </c>
      <c r="C3" s="170">
        <f>+SUM(E3:H3)</f>
        <v>811800</v>
      </c>
      <c r="D3" s="170"/>
      <c r="E3" s="242">
        <v>363900</v>
      </c>
      <c r="F3" s="296">
        <v>210000</v>
      </c>
      <c r="G3" s="292">
        <v>237900</v>
      </c>
      <c r="H3" s="240"/>
    </row>
    <row r="4" spans="1:9" x14ac:dyDescent="0.25">
      <c r="B4" s="169" t="s">
        <v>150</v>
      </c>
      <c r="C4" s="170">
        <f>+SUM(E4:$H$4)</f>
        <v>401770.9</v>
      </c>
      <c r="D4" s="170"/>
      <c r="E4" s="242">
        <v>220000</v>
      </c>
      <c r="F4" s="297">
        <v>107061.9</v>
      </c>
      <c r="G4" s="293">
        <v>74709</v>
      </c>
      <c r="H4" s="240"/>
    </row>
    <row r="5" spans="1:9" x14ac:dyDescent="0.25">
      <c r="B5" s="171" t="s">
        <v>151</v>
      </c>
      <c r="C5" s="172">
        <f>+SUM(E5:H5)</f>
        <v>146350.07515412499</v>
      </c>
      <c r="D5" s="172"/>
      <c r="E5" s="242">
        <v>27507.698</v>
      </c>
      <c r="F5" s="297">
        <v>47760.57</v>
      </c>
      <c r="G5" s="293">
        <v>71081.80715412501</v>
      </c>
      <c r="H5" s="143"/>
    </row>
    <row r="6" spans="1:9" ht="15.75" thickBot="1" x14ac:dyDescent="0.3">
      <c r="B6" s="144" t="s">
        <v>152</v>
      </c>
      <c r="C6" s="140">
        <f>+SUM($E$6:$H$6)</f>
        <v>257067.10484587503</v>
      </c>
      <c r="D6" s="140"/>
      <c r="E6" s="242">
        <v>92658.781999999992</v>
      </c>
      <c r="F6" s="297">
        <v>64240.530000000028</v>
      </c>
      <c r="G6" s="293">
        <v>100167.792845875</v>
      </c>
      <c r="H6" s="143"/>
    </row>
    <row r="7" spans="1:9" ht="15.75" thickBot="1" x14ac:dyDescent="0.3">
      <c r="B7" s="144" t="s">
        <v>153</v>
      </c>
      <c r="C7" s="140">
        <f>+SUM($E$7:$H$7)</f>
        <v>0</v>
      </c>
      <c r="D7" s="140"/>
      <c r="E7" s="291"/>
      <c r="F7" s="298"/>
      <c r="G7" s="299"/>
      <c r="H7" s="143"/>
    </row>
    <row r="8" spans="1:9" ht="15.75" thickBot="1" x14ac:dyDescent="0.3">
      <c r="B8" s="144" t="s">
        <v>154</v>
      </c>
      <c r="C8" s="921">
        <f>+AVERAGE(E3:G3)</f>
        <v>270600</v>
      </c>
      <c r="D8" s="680"/>
      <c r="E8" s="927"/>
      <c r="F8" s="935"/>
      <c r="G8" s="622"/>
      <c r="H8" s="650"/>
    </row>
    <row r="9" spans="1:9" ht="15.75" thickBot="1" x14ac:dyDescent="0.3">
      <c r="B9" s="144" t="s">
        <v>155</v>
      </c>
      <c r="C9" s="921">
        <f>+AVERAGE(E4:G4)</f>
        <v>133923.63333333333</v>
      </c>
      <c r="D9" s="680"/>
      <c r="E9" s="651"/>
      <c r="F9" s="629"/>
      <c r="G9" s="629"/>
      <c r="H9" s="652"/>
    </row>
    <row r="10" spans="1:9" ht="15.75" thickBot="1" x14ac:dyDescent="0.3">
      <c r="B10" s="144" t="s">
        <v>156</v>
      </c>
      <c r="C10" s="921">
        <f>+AVERAGE(E5:G5)</f>
        <v>48783.358384708328</v>
      </c>
      <c r="D10" s="680"/>
      <c r="E10" s="928" t="s">
        <v>157</v>
      </c>
      <c r="F10" s="933"/>
      <c r="G10" s="767"/>
      <c r="H10" s="735"/>
    </row>
    <row r="11" spans="1:9" ht="15.75" thickBot="1" x14ac:dyDescent="0.3">
      <c r="B11" s="144" t="s">
        <v>158</v>
      </c>
      <c r="C11" s="921">
        <f>+AVERAGE(E6:G6)</f>
        <v>85689.034948625005</v>
      </c>
      <c r="D11" s="680"/>
      <c r="E11" s="922" t="s">
        <v>159</v>
      </c>
      <c r="F11" s="930"/>
      <c r="G11" s="923"/>
      <c r="H11" s="924"/>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25" t="s">
        <v>473</v>
      </c>
      <c r="C2" s="926"/>
      <c r="D2" s="289" t="s">
        <v>134</v>
      </c>
      <c r="E2" s="295" t="s">
        <v>145</v>
      </c>
      <c r="F2" s="295" t="s">
        <v>146</v>
      </c>
      <c r="G2" s="173" t="s">
        <v>147</v>
      </c>
      <c r="H2" s="145"/>
      <c r="I2" s="142"/>
    </row>
    <row r="3" spans="1:9" ht="15.75" thickBot="1" x14ac:dyDescent="0.3">
      <c r="B3" s="169" t="s">
        <v>149</v>
      </c>
      <c r="C3" s="170">
        <f>+SUM(E3:H3)</f>
        <v>540000</v>
      </c>
      <c r="D3" s="170"/>
      <c r="E3" s="242">
        <v>150000</v>
      </c>
      <c r="F3" s="296">
        <v>195000</v>
      </c>
      <c r="G3" s="292">
        <v>195000</v>
      </c>
      <c r="H3" s="240"/>
    </row>
    <row r="4" spans="1:9" x14ac:dyDescent="0.25">
      <c r="B4" s="169" t="s">
        <v>150</v>
      </c>
      <c r="C4" s="170">
        <f>+SUM(E4:$H$4)</f>
        <v>310642.71000000002</v>
      </c>
      <c r="D4" s="170"/>
      <c r="E4" s="242">
        <v>71644.86</v>
      </c>
      <c r="F4" s="297">
        <v>110309.86</v>
      </c>
      <c r="G4" s="293">
        <v>128687.99</v>
      </c>
      <c r="H4" s="240"/>
    </row>
    <row r="5" spans="1:9" x14ac:dyDescent="0.25">
      <c r="B5" s="171" t="s">
        <v>151</v>
      </c>
      <c r="C5" s="172">
        <f>+SUM(E5:H5)</f>
        <v>49980.701499999996</v>
      </c>
      <c r="D5" s="172"/>
      <c r="E5" s="242">
        <v>6302.96</v>
      </c>
      <c r="F5" s="297">
        <v>20425.14</v>
      </c>
      <c r="G5" s="293">
        <v>23252.601500000001</v>
      </c>
      <c r="H5" s="143"/>
    </row>
    <row r="6" spans="1:9" ht="15.75" thickBot="1" x14ac:dyDescent="0.3">
      <c r="B6" s="144" t="s">
        <v>152</v>
      </c>
      <c r="C6" s="140">
        <f>+SUM($E$6:$H$6)</f>
        <v>116039.9257777778</v>
      </c>
      <c r="D6" s="140"/>
      <c r="E6" s="242">
        <v>37694.072</v>
      </c>
      <c r="F6" s="297">
        <v>52771.490000000005</v>
      </c>
      <c r="G6" s="293">
        <v>25574.363777777784</v>
      </c>
      <c r="H6" s="143"/>
    </row>
    <row r="7" spans="1:9" ht="15.75" thickBot="1" x14ac:dyDescent="0.3">
      <c r="B7" s="144" t="s">
        <v>153</v>
      </c>
      <c r="C7" s="140">
        <f>+SUM($E$7:$H$7)</f>
        <v>0</v>
      </c>
      <c r="D7" s="140"/>
      <c r="E7" s="291"/>
      <c r="F7" s="298"/>
      <c r="G7" s="299"/>
      <c r="H7" s="143"/>
    </row>
    <row r="8" spans="1:9" ht="15.75" thickBot="1" x14ac:dyDescent="0.3">
      <c r="B8" s="144" t="s">
        <v>154</v>
      </c>
      <c r="C8" s="921">
        <f>+AVERAGE(E3:G3)</f>
        <v>180000</v>
      </c>
      <c r="D8" s="680"/>
      <c r="E8" s="927"/>
      <c r="F8" s="935"/>
      <c r="G8" s="622"/>
      <c r="H8" s="650"/>
    </row>
    <row r="9" spans="1:9" ht="15.75" thickBot="1" x14ac:dyDescent="0.3">
      <c r="B9" s="144" t="s">
        <v>155</v>
      </c>
      <c r="C9" s="921">
        <f>+AVERAGE(E4:G4)</f>
        <v>103547.57</v>
      </c>
      <c r="D9" s="680"/>
      <c r="E9" s="651"/>
      <c r="F9" s="629"/>
      <c r="G9" s="629"/>
      <c r="H9" s="652"/>
    </row>
    <row r="10" spans="1:9" ht="15.75" thickBot="1" x14ac:dyDescent="0.3">
      <c r="B10" s="144" t="s">
        <v>156</v>
      </c>
      <c r="C10" s="921">
        <f>+AVERAGE(E5:G5)</f>
        <v>16660.233833333332</v>
      </c>
      <c r="D10" s="680"/>
      <c r="E10" s="928" t="s">
        <v>157</v>
      </c>
      <c r="F10" s="933"/>
      <c r="G10" s="767"/>
      <c r="H10" s="735"/>
    </row>
    <row r="11" spans="1:9" ht="15.75" thickBot="1" x14ac:dyDescent="0.3">
      <c r="B11" s="144" t="s">
        <v>158</v>
      </c>
      <c r="C11" s="921">
        <f>+AVERAGE(E6:G6)</f>
        <v>38679.975259259263</v>
      </c>
      <c r="D11" s="680"/>
      <c r="E11" s="922" t="s">
        <v>159</v>
      </c>
      <c r="F11" s="930"/>
      <c r="G11" s="923"/>
      <c r="H11" s="924"/>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573</v>
      </c>
      <c r="C2">
        <v>1000</v>
      </c>
    </row>
    <row r="3" spans="1:3" x14ac:dyDescent="0.25">
      <c r="A3" t="s">
        <v>575</v>
      </c>
      <c r="C3">
        <v>9000</v>
      </c>
    </row>
    <row r="18" spans="6:7" x14ac:dyDescent="0.25">
      <c r="F18" s="30" t="s">
        <v>579</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5.xml>�� 
</file>

<file path=customXml/item6.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7.xml>�� 
</file>

<file path=customXml/itemProps1.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3.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4.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5.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6.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26</vt:i4>
      </vt:variant>
    </vt:vector>
  </HeadingPairs>
  <TitlesOfParts>
    <vt:vector size="59" baseType="lpstr">
      <vt:lpstr>Profit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Project_Start</vt:lpstr>
      <vt:lpstr>Amortization!Scrolling_Increment</vt:lpstr>
      <vt:lpstr>Scrolling_Increment</vt:lpstr>
      <vt:lpstr>subjectInterestRate</vt:lpstr>
      <vt:lpstr>subjectKnownBalance</vt:lpstr>
      <vt:lpstr>subjectKnownBalanceDate</vt:lpstr>
      <vt:lpstr>subjectMortgageEndDate</vt:lpstr>
      <vt:lpstr>subjectPayment</vt:lpstr>
      <vt:lpstr>subjectRemainingMonths</vt:lpstr>
      <vt:lpstr>tradeMonthlyGrossSpread</vt:lpstr>
      <vt:lpstr>tradeNetCreditIncluded</vt:lpstr>
      <vt:lpstr>tradePropertyConditionsForDocs</vt:lpstr>
      <vt:lpstr>tradePropertyListForDocs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2026-06-23T19:42:36Z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