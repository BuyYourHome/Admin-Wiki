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A94EA93F-5B41-45BE-84B1-511D05E9F976}"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C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20" i="71" l="1"/>
  <c r="Y500" i="71"/>
  <c r="Q500" i="71" s="1"/>
  <c r="Y508" i="71"/>
  <c r="Q508" i="71" s="1"/>
  <c r="Y516" i="71"/>
  <c r="Q516" i="71" s="1"/>
  <c r="Y524" i="71"/>
  <c r="Q524" i="71" s="1"/>
  <c r="Y532" i="71"/>
  <c r="Q532" i="71" s="1"/>
  <c r="Y540" i="71"/>
  <c r="Q540" i="71" s="1"/>
  <c r="Y548" i="71"/>
  <c r="Q548" i="71" s="1"/>
  <c r="Y556" i="71"/>
  <c r="Q556" i="71" s="1"/>
  <c r="Y564" i="71"/>
  <c r="Q564" i="71" s="1"/>
  <c r="Y572" i="71"/>
  <c r="Q572" i="71" s="1"/>
  <c r="Y580" i="71"/>
  <c r="Q580" i="71" s="1"/>
  <c r="Y588" i="71"/>
  <c r="Q588" i="71" s="1"/>
  <c r="Y596" i="71"/>
  <c r="Q596" i="71" s="1"/>
  <c r="Y604" i="71"/>
  <c r="Q604" i="71" s="1"/>
  <c r="Y612" i="71"/>
  <c r="Q612" i="71" s="1"/>
  <c r="Y620" i="71"/>
  <c r="Q620" i="71" s="1"/>
  <c r="Y628" i="71"/>
  <c r="Q628" i="71" s="1"/>
  <c r="Y636" i="71"/>
  <c r="Q636" i="71" s="1"/>
  <c r="Y644" i="71"/>
  <c r="Q644" i="71" s="1"/>
  <c r="Y652" i="71"/>
  <c r="Q652" i="71" s="1"/>
  <c r="Y502" i="71"/>
  <c r="Q502" i="71" s="1"/>
  <c r="Y510" i="71"/>
  <c r="Q510" i="71" s="1"/>
  <c r="Y518" i="71"/>
  <c r="Q518" i="71" s="1"/>
  <c r="Y526" i="71"/>
  <c r="Q526" i="71" s="1"/>
  <c r="Y534" i="71"/>
  <c r="Q534" i="71" s="1"/>
  <c r="Y542" i="71"/>
  <c r="Q542" i="71" s="1"/>
  <c r="Y550" i="71"/>
  <c r="Q550" i="71" s="1"/>
  <c r="Y558" i="71"/>
  <c r="Q558" i="71" s="1"/>
  <c r="Y566" i="71"/>
  <c r="Q566" i="71" s="1"/>
  <c r="Y574" i="71"/>
  <c r="Q574" i="71" s="1"/>
  <c r="Y582" i="71"/>
  <c r="Q582" i="71" s="1"/>
  <c r="Y590" i="71"/>
  <c r="Q590" i="71" s="1"/>
  <c r="Y598" i="71"/>
  <c r="Q598" i="71" s="1"/>
  <c r="Y606" i="71"/>
  <c r="Q606" i="71" s="1"/>
  <c r="Y614" i="71"/>
  <c r="Q614" i="71" s="1"/>
  <c r="Y622" i="71"/>
  <c r="Q622" i="71" s="1"/>
  <c r="Y630" i="71"/>
  <c r="Q630" i="71" s="1"/>
  <c r="Y638" i="71"/>
  <c r="Q638" i="71" s="1"/>
  <c r="Y646" i="71"/>
  <c r="Q646" i="71" s="1"/>
  <c r="Y654" i="71"/>
  <c r="Q654" i="71" s="1"/>
  <c r="Y662" i="71"/>
  <c r="Q662" i="71" s="1"/>
  <c r="Y670" i="71"/>
  <c r="Q670" i="71" s="1"/>
  <c r="Y678" i="71"/>
  <c r="Q678" i="71" s="1"/>
  <c r="Y686" i="71"/>
  <c r="Q686" i="71" s="1"/>
  <c r="Y694" i="71"/>
  <c r="Q694" i="71" s="1"/>
  <c r="Y503" i="71"/>
  <c r="Q503" i="71" s="1"/>
  <c r="Y511" i="71"/>
  <c r="Q511" i="71" s="1"/>
  <c r="Y519" i="71"/>
  <c r="Q519" i="71" s="1"/>
  <c r="Y527" i="71"/>
  <c r="Q527" i="71" s="1"/>
  <c r="Y535" i="71"/>
  <c r="Q535" i="71" s="1"/>
  <c r="Y543" i="71"/>
  <c r="Q543" i="71" s="1"/>
  <c r="Y551" i="71"/>
  <c r="Q551" i="71" s="1"/>
  <c r="Y559" i="71"/>
  <c r="Q559" i="71" s="1"/>
  <c r="Y567" i="71"/>
  <c r="Q567" i="71" s="1"/>
  <c r="Y575" i="71"/>
  <c r="Q575" i="71" s="1"/>
  <c r="Y583" i="71"/>
  <c r="Q583" i="71" s="1"/>
  <c r="Y591" i="71"/>
  <c r="Q591" i="71" s="1"/>
  <c r="Y599" i="71"/>
  <c r="Q599" i="71" s="1"/>
  <c r="Y607" i="71"/>
  <c r="Q607" i="71" s="1"/>
  <c r="Y615" i="71"/>
  <c r="Q615" i="71" s="1"/>
  <c r="Y623" i="71"/>
  <c r="Q623" i="71" s="1"/>
  <c r="Y631" i="71"/>
  <c r="Q631" i="71" s="1"/>
  <c r="Y639" i="71"/>
  <c r="Q639" i="71" s="1"/>
  <c r="Y647" i="71"/>
  <c r="Q647" i="71" s="1"/>
  <c r="Y655" i="71"/>
  <c r="Q655" i="71" s="1"/>
  <c r="Y663" i="71"/>
  <c r="Q663" i="71" s="1"/>
  <c r="Y671" i="71"/>
  <c r="Q671" i="71" s="1"/>
  <c r="Y679" i="71"/>
  <c r="Q679" i="71" s="1"/>
  <c r="Y687" i="71"/>
  <c r="Q687" i="71" s="1"/>
  <c r="Y695" i="71"/>
  <c r="Q695" i="71" s="1"/>
  <c r="Y498" i="71"/>
  <c r="Q498" i="71" s="1"/>
  <c r="Y506" i="71"/>
  <c r="Q506" i="71" s="1"/>
  <c r="Y514" i="71"/>
  <c r="Q514" i="71" s="1"/>
  <c r="Y522" i="71"/>
  <c r="Q522" i="71" s="1"/>
  <c r="Y530" i="71"/>
  <c r="Q530" i="71" s="1"/>
  <c r="Y538" i="71"/>
  <c r="Q538" i="71" s="1"/>
  <c r="Y546" i="71"/>
  <c r="Q546" i="71" s="1"/>
  <c r="Y554" i="71"/>
  <c r="Q554" i="71" s="1"/>
  <c r="Y562" i="71"/>
  <c r="Q562" i="71" s="1"/>
  <c r="Y570" i="71"/>
  <c r="Q570" i="71" s="1"/>
  <c r="Y578" i="71"/>
  <c r="Q578" i="71" s="1"/>
  <c r="Y586" i="71"/>
  <c r="Q586" i="71" s="1"/>
  <c r="Y499" i="71"/>
  <c r="Q499" i="71" s="1"/>
  <c r="Y507" i="71"/>
  <c r="Q507" i="71" s="1"/>
  <c r="Y515" i="71"/>
  <c r="Q515" i="71" s="1"/>
  <c r="Y523" i="71"/>
  <c r="Q523" i="71" s="1"/>
  <c r="Y531" i="71"/>
  <c r="Q531" i="71" s="1"/>
  <c r="Y539" i="71"/>
  <c r="Q539" i="71" s="1"/>
  <c r="Y547" i="71"/>
  <c r="Q547" i="71" s="1"/>
  <c r="Y555" i="71"/>
  <c r="Q555" i="71" s="1"/>
  <c r="Y563" i="71"/>
  <c r="Q563" i="71" s="1"/>
  <c r="Y571" i="71"/>
  <c r="Q571" i="71" s="1"/>
  <c r="Y579" i="71"/>
  <c r="Q579" i="71" s="1"/>
  <c r="Y587" i="71"/>
  <c r="Q587" i="71" s="1"/>
  <c r="Y512" i="71"/>
  <c r="Q512" i="71" s="1"/>
  <c r="Y533" i="71"/>
  <c r="Q533" i="71" s="1"/>
  <c r="Y553" i="71"/>
  <c r="Q553" i="71" s="1"/>
  <c r="Y576" i="71"/>
  <c r="Q576" i="71" s="1"/>
  <c r="Y594" i="71"/>
  <c r="Q594" i="71" s="1"/>
  <c r="Y608" i="71"/>
  <c r="Q608" i="71" s="1"/>
  <c r="Y619" i="71"/>
  <c r="Q619" i="71" s="1"/>
  <c r="Y633" i="71"/>
  <c r="Q633" i="71" s="1"/>
  <c r="Y645" i="71"/>
  <c r="Q645" i="71" s="1"/>
  <c r="Y658" i="71"/>
  <c r="Q658" i="71" s="1"/>
  <c r="Y668" i="71"/>
  <c r="Q668" i="71" s="1"/>
  <c r="Y680" i="71"/>
  <c r="Q680" i="71" s="1"/>
  <c r="Y690" i="71"/>
  <c r="Q690" i="71" s="1"/>
  <c r="Y700" i="71"/>
  <c r="Q700" i="71" s="1"/>
  <c r="Y708" i="71"/>
  <c r="Q708" i="71" s="1"/>
  <c r="Y716" i="71"/>
  <c r="Q716" i="71" s="1"/>
  <c r="Y724" i="71"/>
  <c r="Q724" i="71" s="1"/>
  <c r="Y732" i="71"/>
  <c r="Q732" i="71" s="1"/>
  <c r="Y740" i="71"/>
  <c r="Q740" i="71" s="1"/>
  <c r="Y748" i="71"/>
  <c r="Q748" i="71" s="1"/>
  <c r="Y756" i="71"/>
  <c r="Q756" i="71" s="1"/>
  <c r="Y764" i="71"/>
  <c r="Q764" i="71" s="1"/>
  <c r="Y772" i="71"/>
  <c r="Q772" i="71" s="1"/>
  <c r="Y780" i="71"/>
  <c r="Q780" i="71" s="1"/>
  <c r="Y788" i="71"/>
  <c r="Q788" i="71" s="1"/>
  <c r="Y796" i="71"/>
  <c r="Q796" i="71" s="1"/>
  <c r="Y804" i="71"/>
  <c r="Q804" i="71" s="1"/>
  <c r="Y812" i="71"/>
  <c r="Q812" i="71" s="1"/>
  <c r="Y820" i="71"/>
  <c r="Q820" i="71" s="1"/>
  <c r="Y828" i="71"/>
  <c r="Q828" i="71" s="1"/>
  <c r="Y536" i="71"/>
  <c r="Q536" i="71" s="1"/>
  <c r="Y681" i="71"/>
  <c r="Q681" i="71" s="1"/>
  <c r="Y741" i="71"/>
  <c r="Q741" i="71" s="1"/>
  <c r="Y781" i="71"/>
  <c r="Q781" i="71" s="1"/>
  <c r="Y805" i="71"/>
  <c r="Q805" i="71" s="1"/>
  <c r="Y829" i="71"/>
  <c r="Q829" i="71" s="1"/>
  <c r="Y496" i="71"/>
  <c r="Q496" i="71" s="1"/>
  <c r="Y517" i="71"/>
  <c r="Q517" i="71" s="1"/>
  <c r="Y537" i="71"/>
  <c r="Q537" i="71" s="1"/>
  <c r="Y560" i="71"/>
  <c r="Q560" i="71" s="1"/>
  <c r="Y581" i="71"/>
  <c r="Q581" i="71" s="1"/>
  <c r="Y597" i="71"/>
  <c r="Q597" i="71" s="1"/>
  <c r="Y610" i="71"/>
  <c r="Q610" i="71" s="1"/>
  <c r="Y624" i="71"/>
  <c r="Q624" i="71" s="1"/>
  <c r="Y635" i="71"/>
  <c r="Q635" i="71" s="1"/>
  <c r="Y649" i="71"/>
  <c r="Q649" i="71" s="1"/>
  <c r="Y660" i="71"/>
  <c r="Q660" i="71" s="1"/>
  <c r="Y672" i="71"/>
  <c r="Q672" i="71" s="1"/>
  <c r="Y682" i="71"/>
  <c r="Q682" i="71" s="1"/>
  <c r="Y692" i="71"/>
  <c r="Q692" i="71" s="1"/>
  <c r="Y702" i="71"/>
  <c r="Q702" i="71" s="1"/>
  <c r="Y710" i="71"/>
  <c r="Q710" i="71" s="1"/>
  <c r="Y718" i="71"/>
  <c r="Q718" i="71" s="1"/>
  <c r="Y726" i="71"/>
  <c r="Q726" i="71" s="1"/>
  <c r="Y734" i="71"/>
  <c r="Q734" i="71" s="1"/>
  <c r="Y742" i="71"/>
  <c r="Q742" i="71" s="1"/>
  <c r="Y750" i="71"/>
  <c r="Q750" i="71" s="1"/>
  <c r="Y758" i="71"/>
  <c r="Q758" i="71" s="1"/>
  <c r="Y766" i="71"/>
  <c r="Q766" i="71" s="1"/>
  <c r="Y774" i="71"/>
  <c r="Q774" i="71" s="1"/>
  <c r="Y782" i="71"/>
  <c r="Q782" i="71" s="1"/>
  <c r="Y790" i="71"/>
  <c r="Q790" i="71" s="1"/>
  <c r="Y798" i="71"/>
  <c r="Q798" i="71" s="1"/>
  <c r="Y806" i="71"/>
  <c r="Q806" i="71" s="1"/>
  <c r="Y814" i="71"/>
  <c r="Q814" i="71" s="1"/>
  <c r="Y822" i="71"/>
  <c r="Q822" i="71" s="1"/>
  <c r="Y830" i="71"/>
  <c r="Q830" i="71" s="1"/>
  <c r="Y521" i="71"/>
  <c r="Q521" i="71" s="1"/>
  <c r="Y565" i="71"/>
  <c r="Q565" i="71" s="1"/>
  <c r="Y613" i="71"/>
  <c r="Q613" i="71" s="1"/>
  <c r="Y640" i="71"/>
  <c r="Q640" i="71" s="1"/>
  <c r="Y664" i="71"/>
  <c r="Q664" i="71" s="1"/>
  <c r="Y696" i="71"/>
  <c r="Q696" i="71" s="1"/>
  <c r="Y712" i="71"/>
  <c r="Q712" i="71" s="1"/>
  <c r="Y728" i="71"/>
  <c r="Q728" i="71" s="1"/>
  <c r="Y744" i="71"/>
  <c r="Q744" i="71" s="1"/>
  <c r="Y760" i="71"/>
  <c r="Q760" i="71" s="1"/>
  <c r="Y776" i="71"/>
  <c r="Q776" i="71" s="1"/>
  <c r="Y792" i="71"/>
  <c r="Q792" i="71" s="1"/>
  <c r="Y808" i="71"/>
  <c r="Q808" i="71" s="1"/>
  <c r="Y824" i="71"/>
  <c r="Q824" i="71" s="1"/>
  <c r="Y525" i="71"/>
  <c r="Q525" i="71" s="1"/>
  <c r="Y497" i="71"/>
  <c r="Q497" i="71" s="1"/>
  <c r="Y520" i="71"/>
  <c r="Q520" i="71" s="1"/>
  <c r="Y541" i="71"/>
  <c r="Q541" i="71" s="1"/>
  <c r="Y561" i="71"/>
  <c r="Q561" i="71" s="1"/>
  <c r="Y584" i="71"/>
  <c r="Q584" i="71" s="1"/>
  <c r="Y600" i="71"/>
  <c r="Q600" i="71" s="1"/>
  <c r="Y611" i="71"/>
  <c r="Q611" i="71" s="1"/>
  <c r="Y625" i="71"/>
  <c r="Q625" i="71" s="1"/>
  <c r="Y637" i="71"/>
  <c r="Q637" i="71" s="1"/>
  <c r="Y650" i="71"/>
  <c r="Q650" i="71" s="1"/>
  <c r="Y661" i="71"/>
  <c r="Q661" i="71" s="1"/>
  <c r="Y673" i="71"/>
  <c r="Q673" i="71" s="1"/>
  <c r="Y683" i="71"/>
  <c r="Q683" i="71" s="1"/>
  <c r="Y693" i="71"/>
  <c r="Q693" i="71" s="1"/>
  <c r="Y703" i="71"/>
  <c r="Q703" i="71" s="1"/>
  <c r="Y711" i="71"/>
  <c r="Q711" i="71" s="1"/>
  <c r="Y719" i="71"/>
  <c r="Q719" i="71" s="1"/>
  <c r="Y727" i="71"/>
  <c r="Q727" i="71" s="1"/>
  <c r="Y735" i="71"/>
  <c r="Q735" i="71" s="1"/>
  <c r="Y743" i="71"/>
  <c r="Q743" i="71" s="1"/>
  <c r="Y751" i="71"/>
  <c r="Q751" i="71" s="1"/>
  <c r="Y759" i="71"/>
  <c r="Q759" i="71" s="1"/>
  <c r="Y767" i="71"/>
  <c r="Q767" i="71" s="1"/>
  <c r="Y775" i="71"/>
  <c r="Q775" i="71" s="1"/>
  <c r="Y783" i="71"/>
  <c r="Q783" i="71" s="1"/>
  <c r="Y791" i="71"/>
  <c r="Q791" i="71" s="1"/>
  <c r="Y799" i="71"/>
  <c r="Q799" i="71" s="1"/>
  <c r="Y807" i="71"/>
  <c r="Q807" i="71" s="1"/>
  <c r="Y815" i="71"/>
  <c r="Q815" i="71" s="1"/>
  <c r="Y823" i="71"/>
  <c r="Q823" i="71" s="1"/>
  <c r="Y831" i="71"/>
  <c r="Q831" i="71" s="1"/>
  <c r="Y501" i="71"/>
  <c r="Q501" i="71" s="1"/>
  <c r="Y544" i="71"/>
  <c r="Q544" i="71" s="1"/>
  <c r="Y585" i="71"/>
  <c r="Q585" i="71" s="1"/>
  <c r="Y601" i="71"/>
  <c r="Q601" i="71" s="1"/>
  <c r="Y626" i="71"/>
  <c r="Q626" i="71" s="1"/>
  <c r="Y651" i="71"/>
  <c r="Q651" i="71" s="1"/>
  <c r="Y674" i="71"/>
  <c r="Q674" i="71" s="1"/>
  <c r="Y684" i="71"/>
  <c r="Q684" i="71" s="1"/>
  <c r="Y704" i="71"/>
  <c r="Q704" i="71" s="1"/>
  <c r="Y720" i="71"/>
  <c r="Q720" i="71" s="1"/>
  <c r="Y736" i="71"/>
  <c r="Q736" i="71" s="1"/>
  <c r="Y752" i="71"/>
  <c r="Q752" i="71" s="1"/>
  <c r="Y768" i="71"/>
  <c r="Q768" i="71" s="1"/>
  <c r="Y784" i="71"/>
  <c r="Q784" i="71" s="1"/>
  <c r="Y800" i="71"/>
  <c r="Q800" i="71" s="1"/>
  <c r="Y816" i="71"/>
  <c r="Q816" i="71" s="1"/>
  <c r="Y832" i="71"/>
  <c r="Q832" i="71" s="1"/>
  <c r="Y505" i="71"/>
  <c r="Q505" i="71" s="1"/>
  <c r="Y528" i="71"/>
  <c r="Q528" i="71" s="1"/>
  <c r="Y549" i="71"/>
  <c r="Q549" i="71" s="1"/>
  <c r="Y569" i="71"/>
  <c r="Q569" i="71" s="1"/>
  <c r="Y592" i="71"/>
  <c r="Q592" i="71" s="1"/>
  <c r="Y603" i="71"/>
  <c r="Q603" i="71" s="1"/>
  <c r="Y617" i="71"/>
  <c r="Q617" i="71" s="1"/>
  <c r="Y629" i="71"/>
  <c r="Q629" i="71" s="1"/>
  <c r="Y642" i="71"/>
  <c r="Q642" i="71" s="1"/>
  <c r="Y656" i="71"/>
  <c r="Q656" i="71" s="1"/>
  <c r="Y666" i="71"/>
  <c r="Q666" i="71" s="1"/>
  <c r="Y676" i="71"/>
  <c r="Q676" i="71" s="1"/>
  <c r="Y688" i="71"/>
  <c r="Q688" i="71" s="1"/>
  <c r="Y698" i="71"/>
  <c r="Q698" i="71" s="1"/>
  <c r="Y706" i="71"/>
  <c r="Q706" i="71" s="1"/>
  <c r="Y714" i="71"/>
  <c r="Q714" i="71" s="1"/>
  <c r="Y722" i="71"/>
  <c r="Q722" i="71" s="1"/>
  <c r="Y730" i="71"/>
  <c r="Q730" i="71" s="1"/>
  <c r="Y738" i="71"/>
  <c r="Q738" i="71" s="1"/>
  <c r="Y746" i="71"/>
  <c r="Q746" i="71" s="1"/>
  <c r="Y754" i="71"/>
  <c r="Q754" i="71" s="1"/>
  <c r="Y762" i="71"/>
  <c r="Q762" i="71" s="1"/>
  <c r="Y770" i="71"/>
  <c r="Q770" i="71" s="1"/>
  <c r="Y778" i="71"/>
  <c r="Q778" i="71" s="1"/>
  <c r="Y786" i="71"/>
  <c r="Q786" i="71" s="1"/>
  <c r="Y794" i="71"/>
  <c r="Q794" i="71" s="1"/>
  <c r="Y802" i="71"/>
  <c r="Q802" i="71" s="1"/>
  <c r="Y810" i="71"/>
  <c r="Q810" i="71" s="1"/>
  <c r="Y818" i="71"/>
  <c r="Q818" i="71" s="1"/>
  <c r="Y826" i="71"/>
  <c r="Q826" i="71" s="1"/>
  <c r="Y557" i="71"/>
  <c r="Q557" i="71" s="1"/>
  <c r="Y595" i="71"/>
  <c r="Q595" i="71" s="1"/>
  <c r="Y621" i="71"/>
  <c r="Q621" i="71" s="1"/>
  <c r="Y648" i="71"/>
  <c r="Q648" i="71" s="1"/>
  <c r="Y669" i="71"/>
  <c r="Q669" i="71" s="1"/>
  <c r="Y701" i="71"/>
  <c r="Q701" i="71" s="1"/>
  <c r="Y709" i="71"/>
  <c r="Q709" i="71" s="1"/>
  <c r="Y725" i="71"/>
  <c r="Q725" i="71" s="1"/>
  <c r="Y749" i="71"/>
  <c r="Q749" i="71" s="1"/>
  <c r="Y773" i="71"/>
  <c r="Q773" i="71" s="1"/>
  <c r="Y797" i="71"/>
  <c r="Q797" i="71" s="1"/>
  <c r="Y821" i="71"/>
  <c r="Q821" i="71" s="1"/>
  <c r="Y509" i="71"/>
  <c r="Q509" i="71" s="1"/>
  <c r="Y529" i="71"/>
  <c r="Q529" i="71" s="1"/>
  <c r="Y552" i="71"/>
  <c r="Q552" i="71" s="1"/>
  <c r="Y573" i="71"/>
  <c r="Q573" i="71" s="1"/>
  <c r="Y593" i="71"/>
  <c r="Q593" i="71" s="1"/>
  <c r="Y605" i="71"/>
  <c r="Q605" i="71" s="1"/>
  <c r="Y618" i="71"/>
  <c r="Q618" i="71" s="1"/>
  <c r="Y632" i="71"/>
  <c r="Q632" i="71" s="1"/>
  <c r="Y643" i="71"/>
  <c r="Q643" i="71" s="1"/>
  <c r="Y657" i="71"/>
  <c r="Q657" i="71" s="1"/>
  <c r="Y667" i="71"/>
  <c r="Q667" i="71" s="1"/>
  <c r="Y677" i="71"/>
  <c r="Q677" i="71" s="1"/>
  <c r="Y689" i="71"/>
  <c r="Q689" i="71" s="1"/>
  <c r="Y699" i="71"/>
  <c r="Q699" i="71" s="1"/>
  <c r="Y707" i="71"/>
  <c r="Q707" i="71" s="1"/>
  <c r="Y715" i="71"/>
  <c r="Q715" i="71" s="1"/>
  <c r="Y723" i="71"/>
  <c r="Q723" i="71" s="1"/>
  <c r="Y731" i="71"/>
  <c r="Q731" i="71" s="1"/>
  <c r="Y739" i="71"/>
  <c r="Q739" i="71" s="1"/>
  <c r="Y747" i="71"/>
  <c r="Q747" i="71" s="1"/>
  <c r="Y755" i="71"/>
  <c r="Q755" i="71" s="1"/>
  <c r="Y763" i="71"/>
  <c r="Q763" i="71" s="1"/>
  <c r="Y771" i="71"/>
  <c r="Q771" i="71" s="1"/>
  <c r="Y779" i="71"/>
  <c r="Q779" i="71" s="1"/>
  <c r="Y787" i="71"/>
  <c r="Q787" i="71" s="1"/>
  <c r="Y795" i="71"/>
  <c r="Q795" i="71" s="1"/>
  <c r="Y803" i="71"/>
  <c r="Q803" i="71" s="1"/>
  <c r="Y811" i="71"/>
  <c r="Q811" i="71" s="1"/>
  <c r="Y819" i="71"/>
  <c r="Q819" i="71" s="1"/>
  <c r="Y827" i="71"/>
  <c r="Q827" i="71" s="1"/>
  <c r="Y513" i="71"/>
  <c r="Q513" i="71" s="1"/>
  <c r="Y577" i="71"/>
  <c r="Q577" i="71" s="1"/>
  <c r="Y609" i="71"/>
  <c r="Q609" i="71" s="1"/>
  <c r="Y634" i="71"/>
  <c r="Q634" i="71" s="1"/>
  <c r="Y659" i="71"/>
  <c r="Q659" i="71" s="1"/>
  <c r="Y691" i="71"/>
  <c r="Q691" i="71" s="1"/>
  <c r="Y717" i="71"/>
  <c r="Q717" i="71" s="1"/>
  <c r="Y733" i="71"/>
  <c r="Q733" i="71" s="1"/>
  <c r="Y757" i="71"/>
  <c r="Q757" i="71" s="1"/>
  <c r="Y765" i="71"/>
  <c r="Q765" i="71" s="1"/>
  <c r="Y789" i="71"/>
  <c r="Q789" i="71" s="1"/>
  <c r="Y813" i="71"/>
  <c r="Q813" i="71" s="1"/>
  <c r="Y568" i="71"/>
  <c r="Q568" i="71" s="1"/>
  <c r="Y653" i="71"/>
  <c r="Q653" i="71" s="1"/>
  <c r="Y729" i="71"/>
  <c r="Q729" i="71" s="1"/>
  <c r="Y793" i="71"/>
  <c r="Q793" i="71" s="1"/>
  <c r="Y504" i="71"/>
  <c r="Q504" i="71" s="1"/>
  <c r="Y665" i="71"/>
  <c r="Q665" i="71" s="1"/>
  <c r="Y737" i="71"/>
  <c r="Q737" i="71" s="1"/>
  <c r="Y801" i="71"/>
  <c r="Q801" i="71" s="1"/>
  <c r="Y833" i="71"/>
  <c r="Q833" i="71" s="1"/>
  <c r="Y545" i="71"/>
  <c r="Q545" i="71" s="1"/>
  <c r="Y675" i="71"/>
  <c r="Q675" i="71" s="1"/>
  <c r="Y745" i="71"/>
  <c r="Q745" i="71" s="1"/>
  <c r="Y809" i="71"/>
  <c r="Q809" i="71" s="1"/>
  <c r="Y697" i="71"/>
  <c r="Q697" i="71" s="1"/>
  <c r="Y825" i="71"/>
  <c r="Q825" i="71" s="1"/>
  <c r="Y616" i="71"/>
  <c r="Q616" i="71" s="1"/>
  <c r="Y589" i="71"/>
  <c r="Q589" i="71" s="1"/>
  <c r="Y685" i="71"/>
  <c r="Q685" i="71" s="1"/>
  <c r="Y753" i="71"/>
  <c r="Q753" i="71" s="1"/>
  <c r="Y817" i="71"/>
  <c r="Q817" i="71" s="1"/>
  <c r="Y602" i="71"/>
  <c r="Q602" i="71" s="1"/>
  <c r="Y761" i="71"/>
  <c r="Q761" i="71" s="1"/>
  <c r="Y627" i="71"/>
  <c r="Q627" i="71" s="1"/>
  <c r="Y713" i="71"/>
  <c r="Q713" i="71" s="1"/>
  <c r="Y777" i="71"/>
  <c r="Q777" i="71" s="1"/>
  <c r="Y769" i="71"/>
  <c r="Q769" i="71" s="1"/>
  <c r="Y641" i="71"/>
  <c r="Q641" i="71" s="1"/>
  <c r="Y721" i="71"/>
  <c r="Q721" i="71" s="1"/>
  <c r="Y785" i="71"/>
  <c r="Q785" i="71" s="1"/>
  <c r="Y705" i="71"/>
  <c r="Q705" i="71" s="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P684" i="71" l="1"/>
  <c r="Q20" i="71"/>
  <c r="AB753" i="71"/>
  <c r="R753" i="71"/>
  <c r="U753" i="71" s="1"/>
  <c r="Z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Z683" i="71"/>
  <c r="Z596" i="71"/>
  <c r="R762" i="71"/>
  <c r="U762" i="71" s="1"/>
  <c r="R664" i="71"/>
  <c r="U664" i="71" s="1"/>
  <c r="Z509" i="71"/>
  <c r="Z754" i="71"/>
  <c r="Z677" i="71"/>
  <c r="AB531" i="71"/>
  <c r="T827" i="71"/>
  <c r="Z540" i="71"/>
  <c r="AB515" i="71"/>
  <c r="T685" i="71"/>
  <c r="Z524" i="71"/>
  <c r="Z660" i="71"/>
  <c r="AB585" i="71"/>
  <c r="R731" i="71"/>
  <c r="U731" i="71" s="1"/>
  <c r="AB565" i="71"/>
  <c r="AB556" i="71"/>
  <c r="T653" i="71"/>
  <c r="Z650" i="71"/>
  <c r="R780" i="71"/>
  <c r="U780" i="71" s="1"/>
  <c r="Z652" i="71"/>
  <c r="AB741" i="71"/>
  <c r="Z571" i="71"/>
  <c r="R537" i="71"/>
  <c r="U537" i="71" s="1"/>
  <c r="T796" i="71"/>
  <c r="AB802" i="71"/>
  <c r="T527" i="71"/>
  <c r="AB584" i="71"/>
  <c r="Z777" i="71"/>
  <c r="R799" i="71"/>
  <c r="U799" i="71" s="1"/>
  <c r="R594" i="71"/>
  <c r="U594" i="71" s="1"/>
  <c r="Z620" i="71"/>
  <c r="R738" i="71"/>
  <c r="U738" i="71" s="1"/>
  <c r="Z601" i="71"/>
  <c r="Z815" i="71"/>
  <c r="R673" i="71"/>
  <c r="U673" i="71" s="1"/>
  <c r="AB542" i="71"/>
  <c r="Z824" i="71"/>
  <c r="AB789" i="71"/>
  <c r="T740" i="71"/>
  <c r="Z521" i="71"/>
  <c r="R508" i="71"/>
  <c r="U508" i="71" s="1"/>
  <c r="P589" i="71"/>
  <c r="P750" i="71"/>
  <c r="P633" i="71"/>
  <c r="P519" i="71"/>
  <c r="P536" i="71"/>
  <c r="P586" i="71"/>
  <c r="P752" i="71"/>
  <c r="P557" i="71"/>
  <c r="P626" i="71"/>
  <c r="P578" i="71"/>
  <c r="Z818" i="71"/>
  <c r="T768" i="71"/>
  <c r="AB607" i="71"/>
  <c r="AB590" i="71"/>
  <c r="AB534" i="71"/>
  <c r="T626" i="71"/>
  <c r="R659" i="71"/>
  <c r="U659" i="71" s="1"/>
  <c r="T733" i="71"/>
  <c r="T649" i="71"/>
  <c r="T572" i="71"/>
  <c r="R703" i="71"/>
  <c r="U703" i="71" s="1"/>
  <c r="R832" i="71"/>
  <c r="U832" i="71" s="1"/>
  <c r="T749" i="71"/>
  <c r="T744" i="71"/>
  <c r="R776" i="71"/>
  <c r="U776" i="71" s="1"/>
  <c r="R669" i="71"/>
  <c r="U669" i="71" s="1"/>
  <c r="Z727" i="71"/>
  <c r="Z520" i="71"/>
  <c r="AB785" i="71"/>
  <c r="AB614" i="71"/>
  <c r="AB695" i="71"/>
  <c r="R604" i="71"/>
  <c r="U604" i="71" s="1"/>
  <c r="Z711" i="71"/>
  <c r="T724" i="71"/>
  <c r="R512" i="71"/>
  <c r="U512" i="71" s="1"/>
  <c r="R689" i="71"/>
  <c r="U689" i="71" s="1"/>
  <c r="Z502" i="71"/>
  <c r="Z591" i="71"/>
  <c r="Z648" i="71"/>
  <c r="AB722" i="71"/>
  <c r="AB612" i="71"/>
  <c r="AB693" i="71"/>
  <c r="R698" i="71"/>
  <c r="U698" i="71" s="1"/>
  <c r="Z811" i="71"/>
  <c r="Z773" i="71"/>
  <c r="Z658" i="71"/>
  <c r="R755" i="71"/>
  <c r="U755" i="71" s="1"/>
  <c r="Z628" i="71"/>
  <c r="Z770" i="71"/>
  <c r="Z505" i="71"/>
  <c r="Z715" i="71"/>
  <c r="Z561" i="71"/>
  <c r="R560" i="71"/>
  <c r="U560" i="71" s="1"/>
  <c r="Z795" i="71"/>
  <c r="R554" i="71"/>
  <c r="U554" i="71" s="1"/>
  <c r="Z797" i="71"/>
  <c r="Z656" i="71"/>
  <c r="Z736" i="71"/>
  <c r="Z730" i="71"/>
  <c r="Z528" i="71"/>
  <c r="T506" i="71"/>
  <c r="Z578" i="71"/>
  <c r="P787" i="71"/>
  <c r="P511" i="71"/>
  <c r="P517" i="71"/>
  <c r="P620" i="71"/>
  <c r="P635" i="71"/>
  <c r="P656" i="71"/>
  <c r="P531" i="71"/>
  <c r="P755" i="71"/>
  <c r="P660" i="71"/>
  <c r="P542" i="71"/>
  <c r="P703" i="71"/>
  <c r="Z690" i="71"/>
  <c r="T541" i="71"/>
  <c r="Z665" i="71"/>
  <c r="T555" i="71"/>
  <c r="T547" i="71"/>
  <c r="AB679" i="71"/>
  <c r="Z623" i="71"/>
  <c r="AB767" i="71"/>
  <c r="R752" i="71"/>
  <c r="U752" i="71" s="1"/>
  <c r="R619" i="71"/>
  <c r="U619" i="71" s="1"/>
  <c r="AB671" i="71"/>
  <c r="R517" i="71"/>
  <c r="U517" i="71" s="1"/>
  <c r="Z507" i="71"/>
  <c r="T794" i="71"/>
  <c r="AB668" i="71"/>
  <c r="R618" i="71"/>
  <c r="U618" i="71" s="1"/>
  <c r="AB588" i="71"/>
  <c r="Z826" i="71"/>
  <c r="AB579" i="71"/>
  <c r="R646" i="71"/>
  <c r="U646" i="71" s="1"/>
  <c r="R807" i="71"/>
  <c r="U807" i="71" s="1"/>
  <c r="Z546" i="71"/>
  <c r="R633" i="71"/>
  <c r="U633" i="71" s="1"/>
  <c r="T513" i="71"/>
  <c r="T539" i="71"/>
  <c r="AB511" i="71"/>
  <c r="AB791" i="71"/>
  <c r="AB788" i="71"/>
  <c r="Z746" i="71"/>
  <c r="T519" i="71"/>
  <c r="AB769" i="71"/>
  <c r="Z747" i="71"/>
  <c r="Z655" i="71"/>
  <c r="T712" i="71"/>
  <c r="R602" i="71"/>
  <c r="U602" i="71" s="1"/>
  <c r="R707" i="71"/>
  <c r="U707" i="71" s="1"/>
  <c r="T609" i="71"/>
  <c r="Z751" i="71"/>
  <c r="R756" i="71"/>
  <c r="U756" i="71" s="1"/>
  <c r="R538" i="71"/>
  <c r="U538" i="71" s="1"/>
  <c r="R544" i="71"/>
  <c r="U544" i="71" s="1"/>
  <c r="T781" i="71"/>
  <c r="T706" i="71"/>
  <c r="Z803" i="71"/>
  <c r="Z625" i="71"/>
  <c r="Z553" i="71"/>
  <c r="R657" i="71"/>
  <c r="U657" i="71" s="1"/>
  <c r="Z831" i="71"/>
  <c r="Z772" i="71"/>
  <c r="T688" i="71"/>
  <c r="Z496" i="71"/>
  <c r="T714" i="71"/>
  <c r="R784" i="71"/>
  <c r="U784" i="71" s="1"/>
  <c r="T550" i="71"/>
  <c r="T575" i="71"/>
  <c r="T545" i="71"/>
  <c r="P659" i="71"/>
  <c r="P780" i="71"/>
  <c r="P695" i="71"/>
  <c r="P807" i="71"/>
  <c r="P740" i="71"/>
  <c r="P550" i="71"/>
  <c r="P808" i="71"/>
  <c r="P627" i="71"/>
  <c r="P668" i="71"/>
  <c r="P678" i="71"/>
  <c r="P606" i="71"/>
  <c r="AB804" i="71"/>
  <c r="Z518" i="71"/>
  <c r="T680" i="71"/>
  <c r="Z631" i="71"/>
  <c r="R636" i="71"/>
  <c r="U636" i="71" s="1"/>
  <c r="Z825" i="71"/>
  <c r="Z598" i="71"/>
  <c r="R574" i="71"/>
  <c r="U574" i="71" s="1"/>
  <c r="Z678" i="71"/>
  <c r="AB557" i="71"/>
  <c r="T530" i="71"/>
  <c r="Z637" i="71"/>
  <c r="Z500" i="71"/>
  <c r="T808" i="71"/>
  <c r="R634" i="71"/>
  <c r="U634" i="71" s="1"/>
  <c r="Z639" i="71"/>
  <c r="T821" i="71"/>
  <c r="AB760" i="71"/>
  <c r="AB725" i="71"/>
  <c r="T792" i="71"/>
  <c r="R819" i="71"/>
  <c r="U819" i="71" s="1"/>
  <c r="R583" i="71"/>
  <c r="U583" i="71" s="1"/>
  <c r="AB640" i="71"/>
  <c r="AB674" i="71"/>
  <c r="Z549" i="71"/>
  <c r="Z630" i="71"/>
  <c r="AB719" i="71"/>
  <c r="AB743" i="71"/>
  <c r="T748" i="71"/>
  <c r="AB829" i="71"/>
  <c r="T699" i="71"/>
  <c r="T536" i="71"/>
  <c r="Z713" i="71"/>
  <c r="T720" i="71"/>
  <c r="R820" i="71"/>
  <c r="U820" i="71" s="1"/>
  <c r="T611" i="71"/>
  <c r="R608" i="71"/>
  <c r="U608" i="71" s="1"/>
  <c r="R817" i="71"/>
  <c r="U817" i="71" s="1"/>
  <c r="R759" i="71"/>
  <c r="U759" i="71" s="1"/>
  <c r="T764" i="71"/>
  <c r="Z586" i="71"/>
  <c r="R787" i="71"/>
  <c r="U787" i="71" s="1"/>
  <c r="Z552" i="71"/>
  <c r="T745" i="71"/>
  <c r="R641" i="71"/>
  <c r="U641" i="71" s="1"/>
  <c r="Z737" i="71"/>
  <c r="Z663" i="71"/>
  <c r="R580" i="71"/>
  <c r="U580" i="71" s="1"/>
  <c r="R504" i="71"/>
  <c r="U504" i="71" s="1"/>
  <c r="R522" i="71"/>
  <c r="U522" i="71" s="1"/>
  <c r="T823" i="71"/>
  <c r="Z624" i="71"/>
  <c r="T562" i="71"/>
  <c r="Z723" i="71"/>
  <c r="Z651" i="71"/>
  <c r="P585" i="71"/>
  <c r="P587" i="71"/>
  <c r="P555" i="71"/>
  <c r="P734" i="71"/>
  <c r="P548" i="71"/>
  <c r="P682" i="71"/>
  <c r="P547" i="71"/>
  <c r="P553" i="71"/>
  <c r="P522" i="71"/>
  <c r="P514" i="71"/>
  <c r="P661" i="71"/>
  <c r="Z605" i="71"/>
  <c r="R514" i="71"/>
  <c r="U514" i="71" s="1"/>
  <c r="Z582" i="71"/>
  <c r="T800" i="71"/>
  <c r="AB570" i="71"/>
  <c r="AB721" i="71"/>
  <c r="T732" i="71"/>
  <c r="T697" i="71"/>
  <c r="Z581" i="71"/>
  <c r="AB577" i="71"/>
  <c r="AB592" i="71"/>
  <c r="AB533" i="71"/>
  <c r="Z761" i="71"/>
  <c r="T606" i="71"/>
  <c r="T681" i="71"/>
  <c r="Z595" i="71"/>
  <c r="AB691" i="71"/>
  <c r="R569" i="71"/>
  <c r="U569" i="71" s="1"/>
  <c r="Z532" i="71"/>
  <c r="Z613" i="71"/>
  <c r="Z498" i="71"/>
  <c r="AB704" i="71"/>
  <c r="R812" i="71"/>
  <c r="U812" i="71" s="1"/>
  <c r="Z563" i="71"/>
  <c r="T543" i="71"/>
  <c r="T600" i="71"/>
  <c r="Z809" i="71"/>
  <c r="Z526" i="71"/>
  <c r="Z615" i="71"/>
  <c r="T672" i="71"/>
  <c r="T779" i="71"/>
  <c r="Z728" i="71"/>
  <c r="Z828" i="71"/>
  <c r="R675" i="71"/>
  <c r="U675" i="71" s="1"/>
  <c r="AB559" i="71"/>
  <c r="AB616" i="71"/>
  <c r="T801" i="71"/>
  <c r="Z503" i="71"/>
  <c r="AB716" i="71"/>
  <c r="AB816" i="71"/>
  <c r="Z599" i="71"/>
  <c r="T516" i="71"/>
  <c r="T696" i="71"/>
  <c r="T638" i="71"/>
  <c r="AB687" i="71"/>
  <c r="Z589" i="7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528" i="71"/>
  <c r="U528" i="71" s="1"/>
  <c r="AB525" i="71"/>
  <c r="AB530" i="71"/>
  <c r="T588" i="71"/>
  <c r="Z530" i="71"/>
  <c r="R588" i="71"/>
  <c r="U588" i="71" s="1"/>
  <c r="T534" i="71"/>
  <c r="R773" i="71"/>
  <c r="U773" i="71" s="1"/>
  <c r="R777" i="71"/>
  <c r="U777" i="71" s="1"/>
  <c r="AB815" i="71"/>
  <c r="T815" i="71"/>
  <c r="R815" i="71"/>
  <c r="U815" i="71" s="1"/>
  <c r="R530" i="71"/>
  <c r="U530" i="71" s="1"/>
  <c r="Z588" i="71"/>
  <c r="AB777" i="71"/>
  <c r="T777" i="71"/>
  <c r="AB749" i="71"/>
  <c r="Z719" i="71"/>
  <c r="T719" i="71"/>
  <c r="T503" i="71"/>
  <c r="Z725" i="71"/>
  <c r="AB828" i="71"/>
  <c r="Z539" i="71"/>
  <c r="T725" i="71"/>
  <c r="R831" i="71"/>
  <c r="U831" i="71" s="1"/>
  <c r="R725" i="71"/>
  <c r="U725" i="71" s="1"/>
  <c r="T544" i="71"/>
  <c r="AB538" i="71"/>
  <c r="Z511" i="71"/>
  <c r="Z752" i="71"/>
  <c r="T785" i="71"/>
  <c r="R791" i="71"/>
  <c r="U791" i="71" s="1"/>
  <c r="R534" i="71"/>
  <c r="U534" i="71" s="1"/>
  <c r="Z538" i="71"/>
  <c r="AB831" i="71"/>
  <c r="AB773" i="71"/>
  <c r="R785" i="71"/>
  <c r="U785" i="71" s="1"/>
  <c r="T831" i="71"/>
  <c r="T538" i="71"/>
  <c r="Z785" i="71"/>
  <c r="R677" i="71"/>
  <c r="U677" i="71" s="1"/>
  <c r="R541" i="71"/>
  <c r="U541" i="71" s="1"/>
  <c r="R749" i="71"/>
  <c r="U749" i="71" s="1"/>
  <c r="Z680" i="71"/>
  <c r="Z534" i="71"/>
  <c r="R680" i="71"/>
  <c r="U680" i="71" s="1"/>
  <c r="R695" i="71"/>
  <c r="U695" i="71" s="1"/>
  <c r="R648" i="71"/>
  <c r="U648" i="71" s="1"/>
  <c r="Z749" i="71"/>
  <c r="AB752" i="71"/>
  <c r="AB541" i="71"/>
  <c r="Z541" i="71"/>
  <c r="AB677" i="71"/>
  <c r="AB680" i="71"/>
  <c r="T677" i="71"/>
  <c r="T773" i="71"/>
  <c r="T502" i="71"/>
  <c r="T752" i="71"/>
  <c r="R795" i="71"/>
  <c r="U795" i="71" s="1"/>
  <c r="AB502" i="71"/>
  <c r="R531" i="71"/>
  <c r="U531" i="71" s="1"/>
  <c r="Z506" i="7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Z635" i="71"/>
  <c r="AB635" i="71"/>
  <c r="Z694" i="71"/>
  <c r="AB694" i="71"/>
  <c r="Z551" i="71"/>
  <c r="AB551" i="71"/>
  <c r="Z734" i="71"/>
  <c r="AB734" i="71"/>
  <c r="Z813" i="71"/>
  <c r="AB813" i="71"/>
  <c r="Z629" i="71"/>
  <c r="AB629" i="71"/>
  <c r="Z701" i="71"/>
  <c r="AB701" i="71"/>
  <c r="Z739" i="71"/>
  <c r="AB739" i="71"/>
  <c r="Z735" i="71"/>
  <c r="AB735" i="71"/>
  <c r="Z774" i="71"/>
  <c r="AB774" i="71"/>
  <c r="Z718" i="71"/>
  <c r="AB718" i="71"/>
  <c r="Z805" i="71"/>
  <c r="AB805" i="71"/>
  <c r="Z783" i="71"/>
  <c r="AB783" i="71"/>
  <c r="Z585" i="71"/>
  <c r="Z587" i="71"/>
  <c r="AB587" i="71"/>
  <c r="Z661" i="71"/>
  <c r="AB661" i="71"/>
  <c r="Z757" i="71"/>
  <c r="AB757" i="71"/>
  <c r="Z523" i="71"/>
  <c r="AB523" i="71"/>
  <c r="Z684" i="71"/>
  <c r="AB684" i="71"/>
  <c r="Z501" i="71"/>
  <c r="AB501" i="71"/>
  <c r="Z666" i="71"/>
  <c r="AB666" i="71"/>
  <c r="Z742" i="71"/>
  <c r="AB742" i="71"/>
  <c r="Z622" i="71"/>
  <c r="AB622" i="71"/>
  <c r="T775" i="71"/>
  <c r="AB775" i="71"/>
  <c r="Z535" i="71"/>
  <c r="AB535" i="71"/>
  <c r="Z750" i="71"/>
  <c r="AB750" i="71"/>
  <c r="Z822" i="71"/>
  <c r="AB822" i="71"/>
  <c r="Z564" i="71"/>
  <c r="AB564" i="71"/>
  <c r="Z778" i="71"/>
  <c r="AB778" i="71"/>
  <c r="Z705" i="71"/>
  <c r="AB705" i="71"/>
  <c r="T551" i="71"/>
  <c r="R551" i="71"/>
  <c r="U551" i="71" s="1"/>
  <c r="T763" i="71"/>
  <c r="Z558" i="71"/>
  <c r="T558" i="71"/>
  <c r="R558" i="71"/>
  <c r="U558" i="71" s="1"/>
  <c r="Z566" i="71"/>
  <c r="R566" i="71"/>
  <c r="U566" i="71" s="1"/>
  <c r="T566" i="71"/>
  <c r="Z510" i="71"/>
  <c r="Z810" i="71"/>
  <c r="Z790" i="71"/>
  <c r="T806" i="71"/>
  <c r="Z806" i="71"/>
  <c r="Z793" i="71"/>
  <c r="Z645" i="71"/>
  <c r="T790" i="71"/>
  <c r="T535" i="71"/>
  <c r="Z642" i="71"/>
  <c r="T717" i="71"/>
  <c r="Z717" i="71"/>
  <c r="Z654" i="71"/>
  <c r="Z782" i="71"/>
  <c r="R758" i="71"/>
  <c r="U758" i="71" s="1"/>
  <c r="Z758" i="71"/>
  <c r="R573" i="71"/>
  <c r="U573" i="71" s="1"/>
  <c r="Z573" i="71"/>
  <c r="R729" i="71"/>
  <c r="U729" i="71" s="1"/>
  <c r="Z729" i="71"/>
  <c r="R765" i="71"/>
  <c r="U765" i="71" s="1"/>
  <c r="Z765" i="71"/>
  <c r="T622" i="71"/>
  <c r="Z667" i="71"/>
  <c r="R535" i="71"/>
  <c r="U535" i="71" s="1"/>
  <c r="T573" i="71"/>
  <c r="R692" i="71"/>
  <c r="U692" i="71" s="1"/>
  <c r="Z692" i="71"/>
  <c r="Z708" i="71"/>
  <c r="T705" i="71"/>
  <c r="R700" i="71"/>
  <c r="U700" i="71" s="1"/>
  <c r="Z700" i="71"/>
  <c r="R705" i="71"/>
  <c r="U705" i="71" s="1"/>
  <c r="R610" i="71"/>
  <c r="U610" i="71" s="1"/>
  <c r="Z610" i="71"/>
  <c r="T758" i="71"/>
  <c r="R830" i="71"/>
  <c r="U830" i="71" s="1"/>
  <c r="Z830" i="71"/>
  <c r="Z662" i="71"/>
  <c r="R622" i="71"/>
  <c r="U622" i="71" s="1"/>
  <c r="T735" i="71"/>
  <c r="T587" i="71"/>
  <c r="Z798" i="71"/>
  <c r="Z627" i="71"/>
  <c r="R702" i="71"/>
  <c r="U702" i="71" s="1"/>
  <c r="Z702" i="71"/>
  <c r="Z709" i="71"/>
  <c r="Z643" i="71"/>
  <c r="T576" i="71"/>
  <c r="Z576" i="71"/>
  <c r="Z814" i="71"/>
  <c r="Z597" i="71"/>
  <c r="R763" i="71"/>
  <c r="U763" i="71" s="1"/>
  <c r="Z763" i="71"/>
  <c r="Z676" i="71"/>
  <c r="Z775" i="71"/>
  <c r="Z766" i="71"/>
  <c r="Z771" i="71"/>
  <c r="R735" i="71"/>
  <c r="U735" i="71" s="1"/>
  <c r="R587" i="71"/>
  <c r="U587" i="71" s="1"/>
  <c r="T670" i="71"/>
  <c r="Z670" i="71"/>
  <c r="Z726" i="71"/>
  <c r="R686" i="71"/>
  <c r="U686" i="71" s="1"/>
  <c r="Z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9" i="71" l="1"/>
  <c r="R626" i="71"/>
  <c r="U626" i="71" s="1"/>
  <c r="Z544" i="71"/>
  <c r="T655" i="71"/>
  <c r="AB792" i="71"/>
  <c r="T556" i="71"/>
  <c r="AB591" i="71"/>
  <c r="R658" i="71"/>
  <c r="U658" i="71" s="1"/>
  <c r="R772" i="71"/>
  <c r="U772" i="71" s="1"/>
  <c r="R655" i="71"/>
  <c r="U655" i="71" s="1"/>
  <c r="R556" i="71"/>
  <c r="U556" i="71" s="1"/>
  <c r="V753" i="71"/>
  <c r="T507" i="71"/>
  <c r="AB744" i="71"/>
  <c r="AB560" i="71"/>
  <c r="T620" i="71"/>
  <c r="AB544" i="71"/>
  <c r="Z531" i="71"/>
  <c r="T648" i="71"/>
  <c r="V648" i="71" s="1"/>
  <c r="Z791" i="71"/>
  <c r="Z579" i="71"/>
  <c r="T791" i="71"/>
  <c r="V791" i="71" s="1"/>
  <c r="T540" i="71"/>
  <c r="R630" i="71"/>
  <c r="U630" i="71" s="1"/>
  <c r="R828" i="71"/>
  <c r="U828" i="71" s="1"/>
  <c r="R720" i="71"/>
  <c r="U720" i="71" s="1"/>
  <c r="Z522" i="71"/>
  <c r="T615" i="71"/>
  <c r="Z681" i="71"/>
  <c r="T630" i="71"/>
  <c r="T596" i="71"/>
  <c r="R808" i="71"/>
  <c r="U808" i="71" s="1"/>
  <c r="Z545" i="71"/>
  <c r="Z636" i="71"/>
  <c r="AB683" i="71"/>
  <c r="Z816" i="71"/>
  <c r="AB596" i="71"/>
  <c r="AB745" i="71"/>
  <c r="Z792" i="71"/>
  <c r="AB673" i="71"/>
  <c r="T565" i="71"/>
  <c r="AB648" i="71"/>
  <c r="T683" i="71"/>
  <c r="R681" i="71"/>
  <c r="U681" i="71" s="1"/>
  <c r="R638" i="71"/>
  <c r="U638" i="71" s="1"/>
  <c r="R683" i="71"/>
  <c r="U683" i="71" s="1"/>
  <c r="AB801" i="71"/>
  <c r="AB578" i="71"/>
  <c r="R792" i="71"/>
  <c r="U792" i="71" s="1"/>
  <c r="AB678" i="71"/>
  <c r="T804" i="71"/>
  <c r="R536" i="71"/>
  <c r="U536" i="71" s="1"/>
  <c r="AB698" i="71"/>
  <c r="AB536" i="71"/>
  <c r="T689" i="71"/>
  <c r="V689" i="71" s="1"/>
  <c r="T520" i="71"/>
  <c r="T678" i="71"/>
  <c r="AB832" i="71"/>
  <c r="T549" i="71"/>
  <c r="AB761" i="71"/>
  <c r="AB797" i="71"/>
  <c r="AB517" i="71"/>
  <c r="Z592" i="71"/>
  <c r="R706" i="71"/>
  <c r="U706" i="71" s="1"/>
  <c r="T517" i="71"/>
  <c r="V517" i="71" s="1"/>
  <c r="R668" i="71"/>
  <c r="U668" i="71" s="1"/>
  <c r="R678" i="71"/>
  <c r="U678" i="71" s="1"/>
  <c r="AB764" i="71"/>
  <c r="AB569" i="71"/>
  <c r="T811" i="71"/>
  <c r="Z762" i="71"/>
  <c r="Z606" i="71"/>
  <c r="AB796" i="71"/>
  <c r="Z557" i="71"/>
  <c r="AB715" i="71"/>
  <c r="T518" i="71"/>
  <c r="AB746" i="71"/>
  <c r="Z721" i="71"/>
  <c r="T767" i="71"/>
  <c r="Z517" i="71"/>
  <c r="R596" i="71"/>
  <c r="U596" i="71" s="1"/>
  <c r="T537" i="71"/>
  <c r="V537" i="71" s="1"/>
  <c r="R821" i="71"/>
  <c r="U821" i="71" s="1"/>
  <c r="Z646" i="71"/>
  <c r="AB540" i="71"/>
  <c r="R540" i="71"/>
  <c r="U540" i="71" s="1"/>
  <c r="Z537" i="71"/>
  <c r="Z594" i="71"/>
  <c r="R727" i="71"/>
  <c r="U727" i="71" s="1"/>
  <c r="AB604" i="71"/>
  <c r="T825" i="71"/>
  <c r="AB532" i="71"/>
  <c r="R543" i="71"/>
  <c r="U543" i="71" s="1"/>
  <c r="AB537" i="71"/>
  <c r="AB594" i="71"/>
  <c r="R565" i="71"/>
  <c r="U565" i="71" s="1"/>
  <c r="R696" i="71"/>
  <c r="U696" i="71" s="1"/>
  <c r="AB653" i="71"/>
  <c r="Z794" i="71"/>
  <c r="T673" i="71"/>
  <c r="V673" i="71" s="1"/>
  <c r="Z673" i="71"/>
  <c r="Z565" i="71"/>
  <c r="T570" i="71"/>
  <c r="T532" i="71"/>
  <c r="R685" i="71"/>
  <c r="U685" i="71" s="1"/>
  <c r="T759" i="71"/>
  <c r="V759" i="71" s="1"/>
  <c r="T594" i="71"/>
  <c r="V594" i="71" s="1"/>
  <c r="T727" i="71"/>
  <c r="T578" i="71"/>
  <c r="R578" i="71"/>
  <c r="U578" i="71" s="1"/>
  <c r="R818" i="71"/>
  <c r="U818" i="71" s="1"/>
  <c r="T770" i="71"/>
  <c r="T797" i="71"/>
  <c r="AB631" i="71"/>
  <c r="Z724" i="71"/>
  <c r="AB724" i="71"/>
  <c r="R724" i="71"/>
  <c r="U724" i="71" s="1"/>
  <c r="T560" i="71"/>
  <c r="V560" i="71" s="1"/>
  <c r="AB549" i="71"/>
  <c r="R663" i="71"/>
  <c r="U663" i="71" s="1"/>
  <c r="AB772" i="71"/>
  <c r="T569" i="71"/>
  <c r="V569" i="71" s="1"/>
  <c r="R737" i="71"/>
  <c r="U737" i="71" s="1"/>
  <c r="Z569" i="71"/>
  <c r="AB809" i="71"/>
  <c r="R516" i="71"/>
  <c r="U516" i="71" s="1"/>
  <c r="T515" i="71"/>
  <c r="R796" i="71"/>
  <c r="U796" i="71" s="1"/>
  <c r="Z741" i="71"/>
  <c r="Z515" i="71"/>
  <c r="AB651" i="71"/>
  <c r="T557" i="71"/>
  <c r="R744" i="71"/>
  <c r="U744" i="71" s="1"/>
  <c r="AB794" i="71"/>
  <c r="R532" i="71"/>
  <c r="U532" i="71" s="1"/>
  <c r="R760" i="71"/>
  <c r="U760" i="71" s="1"/>
  <c r="T820" i="71"/>
  <c r="V820" i="71" s="1"/>
  <c r="T760" i="71"/>
  <c r="R581" i="71"/>
  <c r="U581" i="71" s="1"/>
  <c r="Z575" i="71"/>
  <c r="AB626" i="71"/>
  <c r="T658" i="71"/>
  <c r="Z689" i="71"/>
  <c r="Z707" i="71"/>
  <c r="R746" i="71"/>
  <c r="U746" i="71" s="1"/>
  <c r="T511" i="71"/>
  <c r="R549" i="71"/>
  <c r="U549" i="71" s="1"/>
  <c r="R533" i="71"/>
  <c r="U533" i="71" s="1"/>
  <c r="T828" i="71"/>
  <c r="AB823" i="71"/>
  <c r="Z796" i="71"/>
  <c r="T741" i="71"/>
  <c r="AB658" i="71"/>
  <c r="AB575" i="71"/>
  <c r="AB675" i="71"/>
  <c r="Z744" i="71"/>
  <c r="T762" i="71"/>
  <c r="V762" i="71" s="1"/>
  <c r="T531" i="71"/>
  <c r="V531" i="71" s="1"/>
  <c r="AB762" i="71"/>
  <c r="R511" i="71"/>
  <c r="U511" i="71" s="1"/>
  <c r="T736" i="71"/>
  <c r="Z760" i="71"/>
  <c r="Z759" i="71"/>
  <c r="T829" i="71"/>
  <c r="R515" i="71"/>
  <c r="U515" i="71" s="1"/>
  <c r="R542" i="71"/>
  <c r="U542" i="71" s="1"/>
  <c r="Z556" i="71"/>
  <c r="R797" i="71"/>
  <c r="U797" i="71" s="1"/>
  <c r="T826" i="71"/>
  <c r="T687" i="71"/>
  <c r="AB609" i="71"/>
  <c r="T663" i="71"/>
  <c r="R570" i="71"/>
  <c r="U570" i="71" s="1"/>
  <c r="AB507" i="71"/>
  <c r="Z626" i="71"/>
  <c r="AB689" i="71"/>
  <c r="Z570" i="71"/>
  <c r="AB663" i="71"/>
  <c r="T772" i="71"/>
  <c r="AB759" i="71"/>
  <c r="R719" i="71"/>
  <c r="U719" i="71" s="1"/>
  <c r="AB655" i="71"/>
  <c r="Z542" i="71"/>
  <c r="AB581" i="71"/>
  <c r="R557" i="71"/>
  <c r="U557" i="71" s="1"/>
  <c r="R575" i="71"/>
  <c r="U575" i="71" s="1"/>
  <c r="AB800" i="71"/>
  <c r="R699" i="71"/>
  <c r="U699" i="71" s="1"/>
  <c r="T812" i="71"/>
  <c r="V812" i="71" s="1"/>
  <c r="Z653" i="71"/>
  <c r="Z714" i="71"/>
  <c r="Z519" i="71"/>
  <c r="AB623" i="71"/>
  <c r="T623" i="71"/>
  <c r="R507" i="71"/>
  <c r="U507" i="71" s="1"/>
  <c r="Z693" i="71"/>
  <c r="AB737" i="71"/>
  <c r="AB707" i="71"/>
  <c r="Z829" i="71"/>
  <c r="AB583" i="71"/>
  <c r="AB503" i="71"/>
  <c r="T691" i="71"/>
  <c r="R640" i="71"/>
  <c r="U640" i="71" s="1"/>
  <c r="Z611" i="71"/>
  <c r="AB611" i="71"/>
  <c r="AB817" i="71"/>
  <c r="T807" i="71"/>
  <c r="V807" i="71" s="1"/>
  <c r="AB601" i="71"/>
  <c r="T505" i="71"/>
  <c r="T581" i="71"/>
  <c r="T723" i="71"/>
  <c r="T546" i="71"/>
  <c r="AB681" i="71"/>
  <c r="R611" i="71"/>
  <c r="U611" i="71" s="1"/>
  <c r="T577" i="71"/>
  <c r="T601" i="71"/>
  <c r="R653" i="71"/>
  <c r="U653" i="71" s="1"/>
  <c r="AB638" i="71"/>
  <c r="R623" i="71"/>
  <c r="U623" i="71" s="1"/>
  <c r="T514" i="71"/>
  <c r="V514" i="71" s="1"/>
  <c r="T664" i="71"/>
  <c r="V664" i="71" s="1"/>
  <c r="T751" i="71"/>
  <c r="R496" i="71"/>
  <c r="U496" i="71" s="1"/>
  <c r="Z801" i="71"/>
  <c r="AB812" i="71"/>
  <c r="AB520" i="71"/>
  <c r="Z562" i="71"/>
  <c r="Z514" i="71"/>
  <c r="Z633" i="71"/>
  <c r="Z740" i="71"/>
  <c r="R770" i="71"/>
  <c r="U770" i="71" s="1"/>
  <c r="Z812" i="71"/>
  <c r="Z638" i="71"/>
  <c r="AB519" i="71"/>
  <c r="AB770" i="71"/>
  <c r="R711" i="71"/>
  <c r="U711" i="71" s="1"/>
  <c r="T707" i="71"/>
  <c r="V707" i="71" s="1"/>
  <c r="R794" i="71"/>
  <c r="U794" i="71" s="1"/>
  <c r="T625" i="71"/>
  <c r="R625" i="71"/>
  <c r="U625" i="71" s="1"/>
  <c r="R672" i="71"/>
  <c r="U672" i="71" s="1"/>
  <c r="AB615" i="71"/>
  <c r="Z640" i="71"/>
  <c r="AB807" i="71"/>
  <c r="R723" i="71"/>
  <c r="U723" i="71" s="1"/>
  <c r="R639" i="71"/>
  <c r="U639" i="71" s="1"/>
  <c r="AB723" i="71"/>
  <c r="Z699" i="71"/>
  <c r="AB625" i="71"/>
  <c r="AB660" i="71"/>
  <c r="T698" i="71"/>
  <c r="V698" i="71" s="1"/>
  <c r="AB514" i="71"/>
  <c r="Z664" i="71"/>
  <c r="Z609" i="71"/>
  <c r="R803" i="71"/>
  <c r="U803" i="71" s="1"/>
  <c r="T746" i="71"/>
  <c r="Z817" i="71"/>
  <c r="R503" i="71"/>
  <c r="U503" i="71" s="1"/>
  <c r="T640" i="71"/>
  <c r="R801" i="71"/>
  <c r="U801" i="71" s="1"/>
  <c r="AB825" i="71"/>
  <c r="Z807" i="71"/>
  <c r="AB633" i="71"/>
  <c r="R624" i="71"/>
  <c r="U624" i="71" s="1"/>
  <c r="T737" i="71"/>
  <c r="R829" i="71"/>
  <c r="U829" i="71" s="1"/>
  <c r="AB740" i="71"/>
  <c r="R519" i="71"/>
  <c r="U519" i="71" s="1"/>
  <c r="R609" i="71"/>
  <c r="U609" i="71" s="1"/>
  <c r="AB699" i="71"/>
  <c r="T817" i="71"/>
  <c r="V817" i="71" s="1"/>
  <c r="R615" i="71"/>
  <c r="U615" i="71" s="1"/>
  <c r="R825" i="71"/>
  <c r="U825" i="71" s="1"/>
  <c r="R740" i="71"/>
  <c r="U740" i="71" s="1"/>
  <c r="R601" i="71"/>
  <c r="U601" i="71" s="1"/>
  <c r="AB727" i="71"/>
  <c r="T639" i="71"/>
  <c r="T633" i="71"/>
  <c r="V633" i="71" s="1"/>
  <c r="T583" i="71"/>
  <c r="V583" i="71" s="1"/>
  <c r="AB598" i="71"/>
  <c r="T660" i="71"/>
  <c r="R665" i="71"/>
  <c r="U665" i="71" s="1"/>
  <c r="R754" i="71"/>
  <c r="U754" i="71" s="1"/>
  <c r="Z612" i="71"/>
  <c r="R747" i="71"/>
  <c r="U747" i="71" s="1"/>
  <c r="R751" i="71"/>
  <c r="U751" i="71" s="1"/>
  <c r="AB820" i="71"/>
  <c r="T675" i="71"/>
  <c r="V675" i="71" s="1"/>
  <c r="Z584" i="71"/>
  <c r="R824" i="71"/>
  <c r="U824" i="71" s="1"/>
  <c r="T528" i="71"/>
  <c r="V528" i="71" s="1"/>
  <c r="Z649" i="71"/>
  <c r="T496" i="71"/>
  <c r="AB528" i="71"/>
  <c r="T542" i="71"/>
  <c r="AB747" i="71"/>
  <c r="AB748" i="71"/>
  <c r="T824" i="71"/>
  <c r="AB818" i="71"/>
  <c r="T795" i="71"/>
  <c r="V795" i="71" s="1"/>
  <c r="AB711" i="71"/>
  <c r="AB555" i="71"/>
  <c r="R552" i="71"/>
  <c r="U552" i="71" s="1"/>
  <c r="Z733" i="71"/>
  <c r="AB826" i="71"/>
  <c r="AB649" i="71"/>
  <c r="AB795" i="71"/>
  <c r="R671" i="71"/>
  <c r="U671" i="71" s="1"/>
  <c r="R498" i="71"/>
  <c r="U498" i="71" s="1"/>
  <c r="Z820" i="71"/>
  <c r="AB522" i="71"/>
  <c r="Z675" i="71"/>
  <c r="R598" i="71"/>
  <c r="U598" i="71" s="1"/>
  <c r="R826" i="71"/>
  <c r="U826" i="71" s="1"/>
  <c r="R649" i="71"/>
  <c r="U649" i="71" s="1"/>
  <c r="T747" i="71"/>
  <c r="AB751" i="71"/>
  <c r="AB496" i="71"/>
  <c r="T522" i="71"/>
  <c r="V522" i="71" s="1"/>
  <c r="Z583" i="71"/>
  <c r="Z808" i="71"/>
  <c r="Z536" i="71"/>
  <c r="Z768" i="71"/>
  <c r="T598" i="71"/>
  <c r="T605" i="71"/>
  <c r="AB768" i="71"/>
  <c r="R768" i="71"/>
  <c r="U768" i="71" s="1"/>
  <c r="T818" i="71"/>
  <c r="T711" i="71"/>
  <c r="R539" i="71"/>
  <c r="U539" i="71" s="1"/>
  <c r="Z756" i="71"/>
  <c r="R823" i="71"/>
  <c r="U823" i="71" s="1"/>
  <c r="T612" i="71"/>
  <c r="R660" i="71"/>
  <c r="U660" i="71" s="1"/>
  <c r="R714" i="71"/>
  <c r="U714" i="71" s="1"/>
  <c r="AB714" i="71"/>
  <c r="AB506" i="71"/>
  <c r="R506" i="71"/>
  <c r="U506" i="71" s="1"/>
  <c r="AB665" i="71"/>
  <c r="T665" i="71"/>
  <c r="R612" i="71"/>
  <c r="U612" i="71" s="1"/>
  <c r="AB539" i="71"/>
  <c r="Z823" i="71"/>
  <c r="AB808" i="71"/>
  <c r="T754" i="71"/>
  <c r="R704" i="71"/>
  <c r="U704" i="71" s="1"/>
  <c r="T559" i="71"/>
  <c r="T803" i="71"/>
  <c r="Z550" i="71"/>
  <c r="AB524" i="71"/>
  <c r="R591" i="71"/>
  <c r="U591" i="71" s="1"/>
  <c r="AB756" i="71"/>
  <c r="T619" i="71"/>
  <c r="V619" i="71" s="1"/>
  <c r="V541" i="71"/>
  <c r="Z619" i="71"/>
  <c r="AB580" i="71"/>
  <c r="Z819" i="71"/>
  <c r="Z720" i="71"/>
  <c r="T580" i="71"/>
  <c r="V580" i="71" s="1"/>
  <c r="R527" i="71"/>
  <c r="U527" i="71" s="1"/>
  <c r="T651" i="71"/>
  <c r="AB550" i="71"/>
  <c r="R679" i="71"/>
  <c r="U679" i="71" s="1"/>
  <c r="AB803" i="71"/>
  <c r="R614" i="71"/>
  <c r="U614" i="71" s="1"/>
  <c r="AB754" i="71"/>
  <c r="AB620" i="71"/>
  <c r="Z618" i="71"/>
  <c r="R550" i="71"/>
  <c r="U550" i="71" s="1"/>
  <c r="Z800" i="71"/>
  <c r="R651" i="71"/>
  <c r="U651" i="71" s="1"/>
  <c r="Z580" i="71"/>
  <c r="T634" i="71"/>
  <c r="V634" i="71" s="1"/>
  <c r="AB619" i="71"/>
  <c r="Z679" i="71"/>
  <c r="T614" i="71"/>
  <c r="R620" i="71"/>
  <c r="U620" i="71" s="1"/>
  <c r="R524" i="71"/>
  <c r="U524" i="71" s="1"/>
  <c r="Z614" i="71"/>
  <c r="T679" i="71"/>
  <c r="R518" i="71"/>
  <c r="U518" i="71" s="1"/>
  <c r="T591" i="71"/>
  <c r="T524" i="71"/>
  <c r="T819" i="71"/>
  <c r="V819" i="71" s="1"/>
  <c r="AB561" i="71"/>
  <c r="R546" i="71"/>
  <c r="U546" i="71" s="1"/>
  <c r="T730" i="71"/>
  <c r="R800" i="71"/>
  <c r="U800" i="71" s="1"/>
  <c r="AB586" i="71"/>
  <c r="R586" i="71"/>
  <c r="U586" i="71" s="1"/>
  <c r="Z659" i="71"/>
  <c r="V752" i="71"/>
  <c r="AB819" i="71"/>
  <c r="AB730" i="71"/>
  <c r="Z634" i="71"/>
  <c r="AB634" i="71"/>
  <c r="T659" i="71"/>
  <c r="V659" i="71" s="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Z616" i="71"/>
  <c r="T533" i="71"/>
  <c r="T704" i="71"/>
  <c r="AB728" i="71"/>
  <c r="R600" i="71"/>
  <c r="U600" i="71" s="1"/>
  <c r="Z672" i="71"/>
  <c r="AB652" i="71"/>
  <c r="R521" i="71"/>
  <c r="U521" i="71" s="1"/>
  <c r="Z697" i="71"/>
  <c r="T582" i="71"/>
  <c r="Z516" i="71"/>
  <c r="R809" i="71"/>
  <c r="U809" i="71" s="1"/>
  <c r="Z704" i="71"/>
  <c r="Z533" i="71"/>
  <c r="R697" i="71"/>
  <c r="U697" i="71" s="1"/>
  <c r="T552" i="71"/>
  <c r="Z560" i="71"/>
  <c r="AB703" i="71"/>
  <c r="R652" i="71"/>
  <c r="U652" i="71" s="1"/>
  <c r="R585" i="71"/>
  <c r="U585" i="71" s="1"/>
  <c r="Z703" i="71"/>
  <c r="AB688" i="71"/>
  <c r="AB787" i="71"/>
  <c r="AB552" i="71"/>
  <c r="T809" i="71"/>
  <c r="Z600" i="71"/>
  <c r="AB521" i="71"/>
  <c r="R584" i="71"/>
  <c r="U584" i="71" s="1"/>
  <c r="Z780" i="71"/>
  <c r="AB669" i="71"/>
  <c r="AB572" i="71"/>
  <c r="R687" i="71"/>
  <c r="U687" i="71" s="1"/>
  <c r="AB599" i="71"/>
  <c r="AB672" i="71"/>
  <c r="AB600" i="71"/>
  <c r="T595" i="71"/>
  <c r="T592" i="71"/>
  <c r="AB605" i="71"/>
  <c r="AB656" i="71"/>
  <c r="Z512" i="71"/>
  <c r="Z572" i="71"/>
  <c r="T521" i="71"/>
  <c r="T585" i="71"/>
  <c r="AB628" i="71"/>
  <c r="AB516" i="71"/>
  <c r="AB582" i="71"/>
  <c r="T628" i="71"/>
  <c r="R656" i="71"/>
  <c r="U656" i="71" s="1"/>
  <c r="R555" i="71"/>
  <c r="U555" i="71" s="1"/>
  <c r="V555" i="71" s="1"/>
  <c r="R595" i="71"/>
  <c r="U595" i="71" s="1"/>
  <c r="T695" i="71"/>
  <c r="V695" i="71" s="1"/>
  <c r="AB595" i="71"/>
  <c r="T780" i="71"/>
  <c r="V780" i="71" s="1"/>
  <c r="T669" i="71"/>
  <c r="V669" i="71" s="1"/>
  <c r="AB562" i="71"/>
  <c r="R572" i="71"/>
  <c r="U572" i="71" s="1"/>
  <c r="Z687" i="71"/>
  <c r="Z755" i="71"/>
  <c r="R502" i="71"/>
  <c r="U502" i="71" s="1"/>
  <c r="T755" i="71"/>
  <c r="V755" i="71" s="1"/>
  <c r="R605" i="71"/>
  <c r="U605" i="71" s="1"/>
  <c r="AB630" i="71"/>
  <c r="T553" i="71"/>
  <c r="R599" i="71"/>
  <c r="U599" i="71" s="1"/>
  <c r="AB697" i="71"/>
  <c r="T652" i="71"/>
  <c r="Z669" i="71"/>
  <c r="AB512" i="71"/>
  <c r="T703" i="71"/>
  <c r="V703" i="71" s="1"/>
  <c r="R582" i="71"/>
  <c r="U582" i="71" s="1"/>
  <c r="AB608" i="71"/>
  <c r="Z787" i="71"/>
  <c r="R628" i="71"/>
  <c r="U628" i="71" s="1"/>
  <c r="Z732" i="71"/>
  <c r="R562" i="71"/>
  <c r="U562" i="71" s="1"/>
  <c r="AB639" i="71"/>
  <c r="T512" i="71"/>
  <c r="V512" i="71" s="1"/>
  <c r="Z590" i="71"/>
  <c r="Z555" i="71"/>
  <c r="AB664" i="71"/>
  <c r="T787" i="71"/>
  <c r="V787" i="71" s="1"/>
  <c r="AB780" i="71"/>
  <c r="T584" i="71"/>
  <c r="T786" i="71"/>
  <c r="R786" i="71"/>
  <c r="U786" i="71" s="1"/>
  <c r="AB786" i="71"/>
  <c r="Z786" i="71"/>
  <c r="T710" i="71"/>
  <c r="Z710" i="71"/>
  <c r="AB710" i="71"/>
  <c r="R710" i="71"/>
  <c r="U710" i="71" s="1"/>
  <c r="R722" i="71"/>
  <c r="U722" i="71" s="1"/>
  <c r="T722" i="71"/>
  <c r="Z568" i="71"/>
  <c r="AB568" i="71"/>
  <c r="R568" i="71"/>
  <c r="U568" i="71" s="1"/>
  <c r="T646" i="71"/>
  <c r="V646" i="71" s="1"/>
  <c r="AB509" i="71"/>
  <c r="T590" i="71"/>
  <c r="R690" i="71"/>
  <c r="U690" i="71" s="1"/>
  <c r="AB811" i="71"/>
  <c r="AB685" i="71"/>
  <c r="R509" i="71"/>
  <c r="U509" i="71" s="1"/>
  <c r="AB637" i="71"/>
  <c r="AB696" i="71"/>
  <c r="Z696" i="71"/>
  <c r="AB526" i="71"/>
  <c r="R526" i="71"/>
  <c r="U526" i="71" s="1"/>
  <c r="T526" i="71"/>
  <c r="AB606" i="71"/>
  <c r="R606" i="71"/>
  <c r="U606" i="71" s="1"/>
  <c r="T641" i="71"/>
  <c r="V641" i="71" s="1"/>
  <c r="AB641" i="71"/>
  <c r="Z641" i="71"/>
  <c r="Z764" i="71"/>
  <c r="Z748" i="71"/>
  <c r="R748" i="71"/>
  <c r="U748" i="71" s="1"/>
  <c r="T674" i="71"/>
  <c r="AB500" i="71"/>
  <c r="T500" i="71"/>
  <c r="R500" i="71"/>
  <c r="U500" i="71" s="1"/>
  <c r="Z574" i="71"/>
  <c r="R553" i="71"/>
  <c r="U553" i="71" s="1"/>
  <c r="AB553" i="71"/>
  <c r="Z769" i="71"/>
  <c r="R769" i="71"/>
  <c r="U769" i="71" s="1"/>
  <c r="T769" i="71"/>
  <c r="Z668" i="71"/>
  <c r="T668" i="71"/>
  <c r="T776" i="71"/>
  <c r="V776" i="71" s="1"/>
  <c r="Z776" i="71"/>
  <c r="AB776" i="71"/>
  <c r="AB824" i="71"/>
  <c r="AB799" i="71"/>
  <c r="T799" i="71"/>
  <c r="V799" i="71" s="1"/>
  <c r="Z799" i="71"/>
  <c r="Z802" i="71"/>
  <c r="R525" i="71"/>
  <c r="U525" i="71" s="1"/>
  <c r="Z525" i="71"/>
  <c r="T525" i="71"/>
  <c r="Z685" i="71"/>
  <c r="T657" i="71"/>
  <c r="V657" i="71" s="1"/>
  <c r="T499" i="71"/>
  <c r="R499" i="71"/>
  <c r="U499" i="71" s="1"/>
  <c r="AB499" i="71"/>
  <c r="Z499" i="71"/>
  <c r="R548" i="71"/>
  <c r="U548" i="71" s="1"/>
  <c r="T548" i="71"/>
  <c r="Z548" i="71"/>
  <c r="AB646" i="71"/>
  <c r="AB731" i="71"/>
  <c r="AB547" i="71"/>
  <c r="T731" i="71"/>
  <c r="V731" i="71" s="1"/>
  <c r="T509" i="71"/>
  <c r="AB736" i="71"/>
  <c r="R736" i="71"/>
  <c r="U736" i="71" s="1"/>
  <c r="T743" i="71"/>
  <c r="R802" i="71"/>
  <c r="U802" i="71" s="1"/>
  <c r="T802" i="71"/>
  <c r="R589" i="71"/>
  <c r="U589" i="71" s="1"/>
  <c r="AB589" i="71"/>
  <c r="R728" i="71"/>
  <c r="U728" i="71" s="1"/>
  <c r="T728" i="71"/>
  <c r="R647" i="71"/>
  <c r="U647" i="71" s="1"/>
  <c r="T647" i="71"/>
  <c r="Z647" i="71"/>
  <c r="AB647" i="71"/>
  <c r="Z504" i="71"/>
  <c r="T504" i="71"/>
  <c r="V504" i="71" s="1"/>
  <c r="AB504" i="71"/>
  <c r="R745" i="71"/>
  <c r="U745" i="71" s="1"/>
  <c r="T713" i="71"/>
  <c r="AB713" i="71"/>
  <c r="R713" i="71"/>
  <c r="U713" i="71" s="1"/>
  <c r="Z743" i="71"/>
  <c r="Z821" i="71"/>
  <c r="AB821" i="71"/>
  <c r="R637" i="71"/>
  <c r="U637" i="71" s="1"/>
  <c r="R804" i="71"/>
  <c r="U804" i="71" s="1"/>
  <c r="Z804" i="71"/>
  <c r="R688" i="71"/>
  <c r="U688" i="71" s="1"/>
  <c r="Z688" i="71"/>
  <c r="AB712" i="71"/>
  <c r="Z712" i="71"/>
  <c r="R712" i="71"/>
  <c r="U712" i="71" s="1"/>
  <c r="T579" i="71"/>
  <c r="R579" i="71"/>
  <c r="U579" i="71" s="1"/>
  <c r="R593" i="71"/>
  <c r="U593" i="71" s="1"/>
  <c r="Z593" i="71"/>
  <c r="AB593" i="71"/>
  <c r="T607" i="71"/>
  <c r="R607" i="71"/>
  <c r="U607" i="71" s="1"/>
  <c r="Z508" i="71"/>
  <c r="R497" i="71"/>
  <c r="U497" i="71" s="1"/>
  <c r="T497" i="71"/>
  <c r="AB497" i="71"/>
  <c r="Z497" i="71"/>
  <c r="AB548" i="71"/>
  <c r="AB650" i="71"/>
  <c r="T650" i="71"/>
  <c r="R650" i="71"/>
  <c r="U650" i="71" s="1"/>
  <c r="Z731" i="71"/>
  <c r="T716" i="71"/>
  <c r="R716" i="71"/>
  <c r="U716" i="71" s="1"/>
  <c r="Z716" i="71"/>
  <c r="T602" i="71"/>
  <c r="V602" i="71" s="1"/>
  <c r="Z602" i="71"/>
  <c r="AB602" i="71"/>
  <c r="Z529" i="71"/>
  <c r="R529" i="71"/>
  <c r="U529" i="71" s="1"/>
  <c r="AB529" i="71"/>
  <c r="Z657" i="71"/>
  <c r="AB563" i="71"/>
  <c r="R674" i="71"/>
  <c r="U674" i="71" s="1"/>
  <c r="Z674" i="71"/>
  <c r="Z722" i="71"/>
  <c r="T637" i="71"/>
  <c r="T589" i="71"/>
  <c r="T644" i="71"/>
  <c r="Z644" i="71"/>
  <c r="R644" i="71"/>
  <c r="U644" i="71" s="1"/>
  <c r="AB644" i="71"/>
  <c r="AB779" i="71"/>
  <c r="Z779" i="71"/>
  <c r="R779" i="71"/>
  <c r="U779" i="71" s="1"/>
  <c r="Z691" i="71"/>
  <c r="R691" i="71"/>
  <c r="U691" i="71" s="1"/>
  <c r="Z784" i="71"/>
  <c r="AB784" i="71"/>
  <c r="T784" i="71"/>
  <c r="V784" i="71" s="1"/>
  <c r="AB513" i="71"/>
  <c r="Z513" i="71"/>
  <c r="R513" i="71"/>
  <c r="U513" i="71" s="1"/>
  <c r="R567" i="71"/>
  <c r="U567" i="71" s="1"/>
  <c r="AB567" i="71"/>
  <c r="Z567" i="71"/>
  <c r="T567" i="71"/>
  <c r="T593" i="71"/>
  <c r="Z617" i="71"/>
  <c r="T617" i="71"/>
  <c r="AB617" i="71"/>
  <c r="R617" i="71"/>
  <c r="U617" i="71" s="1"/>
  <c r="Z698" i="71"/>
  <c r="Z604" i="71"/>
  <c r="T604" i="71"/>
  <c r="V604" i="71" s="1"/>
  <c r="R520" i="71"/>
  <c r="U520" i="71" s="1"/>
  <c r="R733" i="71"/>
  <c r="U733" i="71" s="1"/>
  <c r="AB733" i="71"/>
  <c r="Z607" i="71"/>
  <c r="Z738" i="71"/>
  <c r="AB738" i="71"/>
  <c r="AB554" i="71"/>
  <c r="R621" i="71"/>
  <c r="U621" i="71" s="1"/>
  <c r="T621" i="71"/>
  <c r="AB621" i="71"/>
  <c r="Z621" i="71"/>
  <c r="T690" i="71"/>
  <c r="T574" i="71"/>
  <c r="V574" i="71" s="1"/>
  <c r="R811" i="71"/>
  <c r="U811" i="71" s="1"/>
  <c r="AB657" i="71"/>
  <c r="Z745" i="71"/>
  <c r="R764" i="71"/>
  <c r="U764" i="71" s="1"/>
  <c r="R563" i="71"/>
  <c r="U563" i="71" s="1"/>
  <c r="T563" i="71"/>
  <c r="T618" i="71"/>
  <c r="V618" i="71" s="1"/>
  <c r="T554" i="71"/>
  <c r="V554" i="71" s="1"/>
  <c r="T529" i="71"/>
  <c r="T616" i="71"/>
  <c r="R616" i="71"/>
  <c r="U616" i="71" s="1"/>
  <c r="AB498" i="71"/>
  <c r="T498" i="71"/>
  <c r="AB732" i="71"/>
  <c r="R732" i="71"/>
  <c r="U732" i="71" s="1"/>
  <c r="Z608" i="71"/>
  <c r="T608" i="71"/>
  <c r="V608" i="71" s="1"/>
  <c r="T636" i="71"/>
  <c r="V636" i="71" s="1"/>
  <c r="AB636" i="71"/>
  <c r="T632" i="71"/>
  <c r="Z632" i="71"/>
  <c r="R632" i="71"/>
  <c r="U632" i="71" s="1"/>
  <c r="AB632" i="71"/>
  <c r="R767" i="71"/>
  <c r="U767" i="71" s="1"/>
  <c r="Z767" i="71"/>
  <c r="T603" i="71"/>
  <c r="Z603" i="71"/>
  <c r="R603" i="71"/>
  <c r="U603" i="71" s="1"/>
  <c r="AB603" i="71"/>
  <c r="T738" i="71"/>
  <c r="V738" i="71" s="1"/>
  <c r="R571" i="71"/>
  <c r="U571" i="71" s="1"/>
  <c r="AB571" i="71"/>
  <c r="T571" i="71"/>
  <c r="Z827" i="71"/>
  <c r="R827" i="71"/>
  <c r="U827" i="71" s="1"/>
  <c r="AB827" i="71"/>
  <c r="R833" i="71"/>
  <c r="U833" i="71" s="1"/>
  <c r="T833" i="71"/>
  <c r="Z833" i="71"/>
  <c r="R761" i="71"/>
  <c r="U761" i="71" s="1"/>
  <c r="T761" i="71"/>
  <c r="R559" i="71"/>
  <c r="U559" i="71" s="1"/>
  <c r="Z559" i="71"/>
  <c r="AB613" i="71"/>
  <c r="T613" i="71"/>
  <c r="R613" i="71"/>
  <c r="U613" i="71" s="1"/>
  <c r="T721" i="71"/>
  <c r="R721" i="71"/>
  <c r="U721" i="71" s="1"/>
  <c r="AB624" i="71"/>
  <c r="T624" i="71"/>
  <c r="R631" i="71"/>
  <c r="U631" i="71" s="1"/>
  <c r="T631" i="71"/>
  <c r="AB706" i="71"/>
  <c r="Z706" i="71"/>
  <c r="T788" i="71"/>
  <c r="R788" i="71"/>
  <c r="U788" i="71" s="1"/>
  <c r="Z788" i="71"/>
  <c r="R715" i="71"/>
  <c r="U715" i="71" s="1"/>
  <c r="T715" i="71"/>
  <c r="Z695" i="71"/>
  <c r="Z832" i="71"/>
  <c r="T832" i="71"/>
  <c r="V832" i="71" s="1"/>
  <c r="T682" i="71"/>
  <c r="Z682" i="71"/>
  <c r="AB682" i="71"/>
  <c r="Z547" i="71"/>
  <c r="R547" i="71"/>
  <c r="U547" i="71" s="1"/>
  <c r="T508" i="71"/>
  <c r="V508" i="71" s="1"/>
  <c r="AB508" i="71"/>
  <c r="R590" i="71"/>
  <c r="U590" i="71" s="1"/>
  <c r="AB690" i="71"/>
  <c r="R743" i="71"/>
  <c r="U743" i="71" s="1"/>
  <c r="V815" i="71"/>
  <c r="Z554" i="71"/>
  <c r="T568" i="71"/>
  <c r="AB833" i="71"/>
  <c r="T816" i="71"/>
  <c r="R816" i="71"/>
  <c r="U816" i="71" s="1"/>
  <c r="AB543" i="71"/>
  <c r="Z543" i="71"/>
  <c r="R577" i="71"/>
  <c r="U577" i="71" s="1"/>
  <c r="Z577" i="71"/>
  <c r="R545" i="71"/>
  <c r="U545" i="71" s="1"/>
  <c r="AB545" i="71"/>
  <c r="AB781" i="71"/>
  <c r="Z781" i="71"/>
  <c r="R781" i="71"/>
  <c r="U781" i="71" s="1"/>
  <c r="Z671" i="71"/>
  <c r="T671" i="71"/>
  <c r="AB505" i="71"/>
  <c r="R505" i="71"/>
  <c r="U505" i="71" s="1"/>
  <c r="T789" i="71"/>
  <c r="Z789" i="71"/>
  <c r="R789" i="71"/>
  <c r="U789" i="71" s="1"/>
  <c r="R682" i="71"/>
  <c r="U682" i="71" s="1"/>
  <c r="AB527" i="71"/>
  <c r="Z527" i="71"/>
  <c r="R741" i="71"/>
  <c r="U741" i="71" s="1"/>
  <c r="V544" i="71"/>
  <c r="V530" i="71"/>
  <c r="V534" i="71"/>
  <c r="V821" i="71"/>
  <c r="V588" i="71"/>
  <c r="V785" i="71"/>
  <c r="V777" i="71"/>
  <c r="V725" i="71"/>
  <c r="V677" i="71"/>
  <c r="V773" i="71"/>
  <c r="V831" i="71"/>
  <c r="V680" i="71"/>
  <c r="V622" i="71"/>
  <c r="V576" i="71"/>
  <c r="V758" i="71"/>
  <c r="V702" i="71"/>
  <c r="V558" i="71"/>
  <c r="AB20" i="71"/>
  <c r="AC20" i="71"/>
  <c r="V551" i="71"/>
  <c r="V729" i="71"/>
  <c r="V587" i="71"/>
  <c r="V573" i="71"/>
  <c r="V535" i="71"/>
  <c r="V686" i="71"/>
  <c r="V566" i="71"/>
  <c r="V700" i="71"/>
  <c r="V763" i="71"/>
  <c r="T20" i="71"/>
  <c r="Z20" i="71"/>
  <c r="R20" i="71"/>
  <c r="U20" i="71" s="1"/>
  <c r="V692"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1" i="71" l="1"/>
  <c r="V536" i="71"/>
  <c r="V678" i="71"/>
  <c r="V556" i="71"/>
  <c r="V824" i="71"/>
  <c r="V655" i="71"/>
  <c r="V626" i="71"/>
  <c r="V658" i="71"/>
  <c r="V772" i="71"/>
  <c r="V581" i="71"/>
  <c r="V720" i="71"/>
  <c r="V503" i="71"/>
  <c r="V828" i="71"/>
  <c r="V630" i="71"/>
  <c r="V628" i="71"/>
  <c r="V706" i="71"/>
  <c r="V808" i="71"/>
  <c r="V760" i="71"/>
  <c r="V719" i="71"/>
  <c r="V527" i="71"/>
  <c r="V792" i="71"/>
  <c r="V764" i="71"/>
  <c r="V502" i="71"/>
  <c r="V740" i="71"/>
  <c r="V638" i="71"/>
  <c r="V637" i="71"/>
  <c r="V668" i="71"/>
  <c r="V733" i="71"/>
  <c r="V826" i="71"/>
  <c r="V747" i="71"/>
  <c r="V575" i="71"/>
  <c r="V563" i="71"/>
  <c r="V683" i="71"/>
  <c r="V515" i="71"/>
  <c r="V570" i="71"/>
  <c r="V714" i="71"/>
  <c r="V625" i="71"/>
  <c r="V591" i="71"/>
  <c r="V653" i="71"/>
  <c r="V768" i="71"/>
  <c r="V596" i="71"/>
  <c r="V565" i="71"/>
  <c r="V615" i="71"/>
  <c r="V690" i="71"/>
  <c r="V509" i="71"/>
  <c r="V521" i="71"/>
  <c r="V511" i="71"/>
  <c r="V663" i="71"/>
  <c r="V557" i="71"/>
  <c r="V672" i="71"/>
  <c r="V624" i="71"/>
  <c r="V770" i="71"/>
  <c r="V727" i="71"/>
  <c r="V586" i="71"/>
  <c r="V723" i="71"/>
  <c r="V825" i="71"/>
  <c r="V592" i="71"/>
  <c r="V797" i="71"/>
  <c r="V685" i="71"/>
  <c r="V818" i="71"/>
  <c r="V696" i="71"/>
  <c r="V796" i="71"/>
  <c r="V746" i="71"/>
  <c r="V496" i="71"/>
  <c r="V540" i="71"/>
  <c r="V601" i="71"/>
  <c r="V500" i="71"/>
  <c r="V516" i="71"/>
  <c r="V809" i="71"/>
  <c r="V552" i="71"/>
  <c r="V803" i="71"/>
  <c r="V532" i="71"/>
  <c r="V650" i="71"/>
  <c r="V660" i="71"/>
  <c r="V578" i="71"/>
  <c r="V744" i="71"/>
  <c r="V724" i="71"/>
  <c r="V609" i="71"/>
  <c r="V584" i="71"/>
  <c r="V562" i="71"/>
  <c r="V543" i="71"/>
  <c r="V542" i="71"/>
  <c r="V728" i="71"/>
  <c r="V644" i="71"/>
  <c r="V640" i="71"/>
  <c r="V549" i="71"/>
  <c r="V539" i="71"/>
  <c r="V623" i="71"/>
  <c r="V737" i="71"/>
  <c r="V507" i="71"/>
  <c r="V665" i="71"/>
  <c r="V612" i="71"/>
  <c r="V605" i="71"/>
  <c r="V649" i="71"/>
  <c r="V754" i="71"/>
  <c r="V620" i="71"/>
  <c r="V606" i="71"/>
  <c r="V546" i="71"/>
  <c r="V829" i="71"/>
  <c r="V524" i="71"/>
  <c r="V506" i="71"/>
  <c r="V691" i="71"/>
  <c r="V505" i="71"/>
  <c r="V801" i="71"/>
  <c r="V550" i="71"/>
  <c r="V533" i="71"/>
  <c r="V525" i="71"/>
  <c r="V781" i="71"/>
  <c r="V621" i="71"/>
  <c r="V611" i="7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Y21" i="71" l="1"/>
  <c r="S21" i="71"/>
  <c r="P21" i="71"/>
  <c r="E22" i="71"/>
  <c r="J22" i="71" s="1"/>
  <c r="M21" i="71"/>
  <c r="N20" i="69"/>
  <c r="Z20" i="69" s="1"/>
  <c r="Q20" i="69" s="1"/>
  <c r="AC20" i="69" s="1"/>
  <c r="S20" i="69"/>
  <c r="M20" i="69"/>
  <c r="L555" i="69"/>
  <c r="E21" i="69"/>
  <c r="J21" i="69" s="1"/>
  <c r="Q21" i="71" l="1"/>
  <c r="AC21" i="71" s="1"/>
  <c r="D22" i="71"/>
  <c r="I22" i="71" s="1"/>
  <c r="L21" i="71"/>
  <c r="P20" i="69"/>
  <c r="AB20" i="69"/>
  <c r="L556" i="69"/>
  <c r="D21" i="69"/>
  <c r="Z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Y22" i="71" l="1"/>
  <c r="S22" i="71"/>
  <c r="P22" i="71"/>
  <c r="L22" i="71"/>
  <c r="I23" i="71"/>
  <c r="K23" i="71"/>
  <c r="P21" i="69"/>
  <c r="R21" i="69"/>
  <c r="L560" i="69"/>
  <c r="L508" i="69"/>
  <c r="D22" i="69"/>
  <c r="Q22" i="71" l="1"/>
  <c r="AC22" i="71" s="1"/>
  <c r="A23" i="71"/>
  <c r="N23" i="71" s="1"/>
  <c r="B24" i="71"/>
  <c r="C24" i="71"/>
  <c r="Y21" i="69"/>
  <c r="T21" i="69"/>
  <c r="AB21" i="69"/>
  <c r="W21" i="69"/>
  <c r="U21" i="69"/>
  <c r="L561" i="69"/>
  <c r="L509" i="69"/>
  <c r="I22" i="69"/>
  <c r="K22" i="69"/>
  <c r="Y23" i="71" l="1"/>
  <c r="Q23" i="71" s="1"/>
  <c r="S23" i="71"/>
  <c r="P23" i="71"/>
  <c r="R22" i="71"/>
  <c r="W22" i="71" s="1"/>
  <c r="T22" i="71"/>
  <c r="AB22" i="71"/>
  <c r="Z22" i="71"/>
  <c r="E24" i="71"/>
  <c r="J24" i="71" s="1"/>
  <c r="M23" i="71"/>
  <c r="V21" i="69"/>
  <c r="L562" i="69"/>
  <c r="L510" i="69"/>
  <c r="B23" i="69"/>
  <c r="C23" i="69"/>
  <c r="A22" i="69"/>
  <c r="L21" i="69"/>
  <c r="U22" i="71" l="1"/>
  <c r="V22" i="71" s="1"/>
  <c r="AC23" i="71"/>
  <c r="L23" i="71"/>
  <c r="D24" i="71"/>
  <c r="S22" i="69"/>
  <c r="N22" i="69"/>
  <c r="Z22" i="69" s="1"/>
  <c r="Q22" i="69" s="1"/>
  <c r="AC22" i="69" s="1"/>
  <c r="M22" i="69"/>
  <c r="L563" i="69"/>
  <c r="L511" i="69"/>
  <c r="E23" i="69"/>
  <c r="J23" i="69" s="1"/>
  <c r="Z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Y24" i="71" l="1"/>
  <c r="Q24" i="71" s="1"/>
  <c r="S24" i="7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Z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Y25" i="71" l="1"/>
  <c r="Q25" i="71" s="1"/>
  <c r="S25" i="7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Z25" i="71"/>
  <c r="R25" i="71"/>
  <c r="W25" i="71" s="1"/>
  <c r="K26" i="71"/>
  <c r="A26" i="71" s="1"/>
  <c r="N26" i="71" s="1"/>
  <c r="P24" i="69"/>
  <c r="AB24" i="69"/>
  <c r="K25" i="69"/>
  <c r="A25" i="69" s="1"/>
  <c r="L572" i="69"/>
  <c r="L520" i="69"/>
  <c r="Y26" i="71" l="1"/>
  <c r="Q26" i="71" s="1"/>
  <c r="S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Z26" i="71" l="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Y27" i="71" l="1"/>
  <c r="Q27" i="71" s="1"/>
  <c r="S27" i="71"/>
  <c r="P27" i="71"/>
  <c r="E28" i="71"/>
  <c r="J28" i="71" s="1"/>
  <c r="M27" i="71"/>
  <c r="L27" i="71" s="1"/>
  <c r="P26" i="69"/>
  <c r="AB26" i="69"/>
  <c r="L577" i="69"/>
  <c r="L525" i="69"/>
  <c r="D27" i="69"/>
  <c r="L25" i="69"/>
  <c r="AC27" i="71" l="1"/>
  <c r="Z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Y28" i="71" l="1"/>
  <c r="Q28" i="71" s="1"/>
  <c r="S28" i="71"/>
  <c r="P28" i="71"/>
  <c r="E29" i="71"/>
  <c r="J29" i="71" s="1"/>
  <c r="M28" i="71"/>
  <c r="L28" i="71" s="1"/>
  <c r="P27" i="69"/>
  <c r="AB27" i="69"/>
  <c r="L581" i="69"/>
  <c r="L529" i="69"/>
  <c r="L26" i="69"/>
  <c r="D28" i="69"/>
  <c r="AC28" i="71" l="1"/>
  <c r="Z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Y29" i="71" l="1"/>
  <c r="Q29" i="71" s="1"/>
  <c r="S29" i="71"/>
  <c r="P29" i="71"/>
  <c r="I30" i="71"/>
  <c r="K30" i="71"/>
  <c r="R28" i="69"/>
  <c r="W28" i="69" s="1"/>
  <c r="T28" i="69"/>
  <c r="Y28" i="69"/>
  <c r="L586" i="69"/>
  <c r="L534" i="69"/>
  <c r="I29" i="69"/>
  <c r="K29" i="69"/>
  <c r="AB29" i="71" l="1"/>
  <c r="AC29" i="71"/>
  <c r="Z29" i="71"/>
  <c r="R29" i="71"/>
  <c r="W29" i="71" s="1"/>
  <c r="T29" i="71"/>
  <c r="A30" i="71"/>
  <c r="N30" i="71" s="1"/>
  <c r="C31" i="71"/>
  <c r="B31" i="71"/>
  <c r="U28" i="69"/>
  <c r="V28" i="69" s="1"/>
  <c r="L587" i="69"/>
  <c r="L535" i="69"/>
  <c r="C30" i="69"/>
  <c r="B30" i="69"/>
  <c r="A29" i="69"/>
  <c r="Y30" i="71" l="1"/>
  <c r="Q30" i="71" s="1"/>
  <c r="S30" i="71"/>
  <c r="P30" i="71"/>
  <c r="U29" i="71"/>
  <c r="V29" i="71" s="1"/>
  <c r="E31" i="71"/>
  <c r="J31" i="71" s="1"/>
  <c r="M30" i="71"/>
  <c r="L30" i="71" s="1"/>
  <c r="S29" i="69"/>
  <c r="N29" i="69"/>
  <c r="Z29" i="69" s="1"/>
  <c r="Q29" i="69" s="1"/>
  <c r="AC29" i="69" s="1"/>
  <c r="M29" i="69"/>
  <c r="L588" i="69"/>
  <c r="L536" i="69"/>
  <c r="L28" i="69"/>
  <c r="E30" i="69"/>
  <c r="J30" i="69" s="1"/>
  <c r="AC30" i="71" l="1"/>
  <c r="Z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Y31" i="71" l="1"/>
  <c r="Q31" i="71" s="1"/>
  <c r="S31" i="71"/>
  <c r="P31" i="71"/>
  <c r="D32" i="71"/>
  <c r="K32" i="71" s="1"/>
  <c r="M31" i="71"/>
  <c r="L31" i="71" s="1"/>
  <c r="P30" i="69"/>
  <c r="AB30" i="69"/>
  <c r="L592" i="69"/>
  <c r="L540" i="69"/>
  <c r="D31" i="69"/>
  <c r="AC31" i="71" l="1"/>
  <c r="Z31" i="71"/>
  <c r="AB31" i="71"/>
  <c r="R31" i="71"/>
  <c r="W31" i="71" s="1"/>
  <c r="T31" i="71"/>
  <c r="I32" i="71"/>
  <c r="B33" i="71"/>
  <c r="A32" i="71"/>
  <c r="N32" i="71" s="1"/>
  <c r="C33" i="71"/>
  <c r="T30" i="69"/>
  <c r="Y30" i="69"/>
  <c r="R30" i="69"/>
  <c r="U30" i="69" s="1"/>
  <c r="L593" i="69"/>
  <c r="L541" i="69"/>
  <c r="I31" i="69"/>
  <c r="K31" i="69"/>
  <c r="Y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Y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Y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Y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Y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Y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Y38" i="71" l="1"/>
  <c r="P38" i="71"/>
  <c r="I39" i="71"/>
  <c r="K39" i="71"/>
  <c r="P37" i="69"/>
  <c r="L37" i="69"/>
  <c r="L619" i="69"/>
  <c r="D38" i="69"/>
  <c r="A39" i="71" l="1"/>
  <c r="N39" i="71" s="1"/>
  <c r="C40" i="71"/>
  <c r="B40" i="71"/>
  <c r="L620" i="69"/>
  <c r="I38" i="69"/>
  <c r="K38" i="69"/>
  <c r="Y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Y40" i="71" l="1"/>
  <c r="P40" i="71"/>
  <c r="I41" i="71"/>
  <c r="K41" i="71"/>
  <c r="N39" i="69"/>
  <c r="Z39" i="69" s="1"/>
  <c r="M39" i="69"/>
  <c r="L626" i="69"/>
  <c r="E40" i="69"/>
  <c r="J40" i="69" s="1"/>
  <c r="A41" i="71" l="1"/>
  <c r="N41" i="71" s="1"/>
  <c r="C42" i="71"/>
  <c r="B42" i="71"/>
  <c r="P39" i="69"/>
  <c r="L39" i="69"/>
  <c r="L627" i="69"/>
  <c r="D40" i="69"/>
  <c r="Y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Y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Y43" i="71" l="1"/>
  <c r="P43" i="71"/>
  <c r="I44" i="71"/>
  <c r="K44" i="71"/>
  <c r="L637" i="69"/>
  <c r="B43" i="69"/>
  <c r="C43" i="69"/>
  <c r="A42" i="69"/>
  <c r="A44" i="71" l="1"/>
  <c r="N44" i="71" s="1"/>
  <c r="C45" i="71"/>
  <c r="B45" i="71"/>
  <c r="N42" i="69"/>
  <c r="Z42" i="69" s="1"/>
  <c r="M42" i="69"/>
  <c r="L638" i="69"/>
  <c r="E43" i="69"/>
  <c r="J43" i="69" s="1"/>
  <c r="Y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Y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Y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Y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Y48" i="71" l="1"/>
  <c r="P48" i="71"/>
  <c r="I49" i="71"/>
  <c r="K49" i="71"/>
  <c r="L655" i="69"/>
  <c r="A47" i="69"/>
  <c r="C48" i="69"/>
  <c r="B48" i="69"/>
  <c r="A49" i="71" l="1"/>
  <c r="N49" i="71" s="1"/>
  <c r="B50" i="71"/>
  <c r="C50" i="71"/>
  <c r="N47" i="69"/>
  <c r="Z47" i="69" s="1"/>
  <c r="M47" i="69"/>
  <c r="L656" i="69"/>
  <c r="E48" i="69"/>
  <c r="J48" i="69" s="1"/>
  <c r="Y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Y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Y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Y52" i="71" l="1"/>
  <c r="P52" i="71"/>
  <c r="I53" i="71"/>
  <c r="K53" i="71"/>
  <c r="L670" i="69"/>
  <c r="A51" i="69"/>
  <c r="C52" i="69"/>
  <c r="B52" i="69"/>
  <c r="C54" i="71" l="1"/>
  <c r="B54" i="71"/>
  <c r="A53" i="71"/>
  <c r="N53" i="71" s="1"/>
  <c r="N51" i="69"/>
  <c r="Z51" i="69" s="1"/>
  <c r="M51" i="69"/>
  <c r="L671" i="69"/>
  <c r="E52" i="69"/>
  <c r="J52" i="69" s="1"/>
  <c r="Y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Y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Y55" i="71" l="1"/>
  <c r="P55" i="71"/>
  <c r="I56" i="71"/>
  <c r="K56" i="71"/>
  <c r="L680" i="69"/>
  <c r="I54" i="69"/>
  <c r="K54" i="69"/>
  <c r="B57" i="71" l="1"/>
  <c r="C57" i="71"/>
  <c r="A56" i="71"/>
  <c r="N56" i="71" s="1"/>
  <c r="L681" i="69"/>
  <c r="B55" i="69"/>
  <c r="C55" i="69"/>
  <c r="A54" i="69"/>
  <c r="Y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Y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Y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Y59" i="71" l="1"/>
  <c r="P59" i="71"/>
  <c r="I60" i="71"/>
  <c r="K60" i="71"/>
  <c r="L694" i="69"/>
  <c r="I58" i="69"/>
  <c r="K58" i="69"/>
  <c r="A60" i="71" l="1"/>
  <c r="N60" i="71" s="1"/>
  <c r="B61" i="71"/>
  <c r="C61" i="71"/>
  <c r="L695" i="69"/>
  <c r="B59" i="69"/>
  <c r="C59" i="69"/>
  <c r="A58" i="69"/>
  <c r="Y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Y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Y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Y63" i="71" l="1"/>
  <c r="P63" i="71"/>
  <c r="K64" i="71"/>
  <c r="A64" i="71" s="1"/>
  <c r="N64" i="71" s="1"/>
  <c r="H64" i="71"/>
  <c r="C63" i="69"/>
  <c r="B63" i="69"/>
  <c r="E63" i="69" s="1"/>
  <c r="J63" i="69" s="1"/>
  <c r="N62" i="69"/>
  <c r="Z62" i="69" s="1"/>
  <c r="M62" i="69"/>
  <c r="L709" i="69"/>
  <c r="Y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Y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Y66" i="71" l="1"/>
  <c r="P66" i="71"/>
  <c r="K67" i="71"/>
  <c r="A67" i="71" s="1"/>
  <c r="N67" i="71" s="1"/>
  <c r="H67" i="71"/>
  <c r="L718" i="69"/>
  <c r="B66" i="69"/>
  <c r="A65" i="69"/>
  <c r="C66" i="69"/>
  <c r="L64" i="69"/>
  <c r="Y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Y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Y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Y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Y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Y72" i="71" l="1"/>
  <c r="P72" i="71"/>
  <c r="I73" i="71"/>
  <c r="H73" i="71"/>
  <c r="K73" i="71"/>
  <c r="H70" i="69"/>
  <c r="K70" i="69"/>
  <c r="C71" i="69" s="1"/>
  <c r="L734" i="69"/>
  <c r="C74" i="71" l="1"/>
  <c r="A73" i="71"/>
  <c r="N73" i="71" s="1"/>
  <c r="B74" i="71"/>
  <c r="A70" i="69"/>
  <c r="B71" i="69"/>
  <c r="E71" i="69" s="1"/>
  <c r="J71" i="69" s="1"/>
  <c r="L735" i="69"/>
  <c r="Y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Y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Y75" i="71" l="1"/>
  <c r="P75" i="71"/>
  <c r="H76" i="71"/>
  <c r="I76" i="71"/>
  <c r="K76" i="71"/>
  <c r="L745" i="69"/>
  <c r="B74" i="69"/>
  <c r="C74" i="69"/>
  <c r="A73" i="69"/>
  <c r="A76" i="71" l="1"/>
  <c r="N76" i="71" s="1"/>
  <c r="C77" i="71"/>
  <c r="B77" i="71"/>
  <c r="N73" i="69"/>
  <c r="Z73" i="69" s="1"/>
  <c r="M73" i="69"/>
  <c r="L746" i="69"/>
  <c r="E74" i="69"/>
  <c r="J74" i="69" s="1"/>
  <c r="Y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Y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Y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Y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Y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Y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Y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Y83" i="71" l="1"/>
  <c r="P83" i="71"/>
  <c r="K84" i="71"/>
  <c r="A84" i="71" s="1"/>
  <c r="N84" i="71" s="1"/>
  <c r="H84" i="71"/>
  <c r="L768" i="69"/>
  <c r="C81" i="69"/>
  <c r="A80" i="69"/>
  <c r="B81" i="69"/>
  <c r="L78" i="69"/>
  <c r="Y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Y85" i="71" l="1"/>
  <c r="P85" i="71"/>
  <c r="H86" i="71"/>
  <c r="B87" i="71"/>
  <c r="E87" i="71" s="1"/>
  <c r="J87" i="71" s="1"/>
  <c r="I86" i="71"/>
  <c r="A86" i="71"/>
  <c r="N81" i="69"/>
  <c r="Z81" i="69" s="1"/>
  <c r="M81" i="69"/>
  <c r="L773" i="69"/>
  <c r="E82" i="69"/>
  <c r="J82" i="69" s="1"/>
  <c r="M86" i="71" l="1"/>
  <c r="L86" i="71" s="1"/>
  <c r="N86" i="71"/>
  <c r="D87" i="71"/>
  <c r="I87" i="71" s="1"/>
  <c r="P81" i="69"/>
  <c r="L774" i="69"/>
  <c r="D82" i="69"/>
  <c r="Y86" i="71" l="1"/>
  <c r="P86" i="71"/>
  <c r="K87" i="71"/>
  <c r="A87" i="71" s="1"/>
  <c r="N87" i="71" s="1"/>
  <c r="H87" i="71"/>
  <c r="L775" i="69"/>
  <c r="L80" i="69"/>
  <c r="I82" i="69"/>
  <c r="H82" i="69"/>
  <c r="K82" i="69"/>
  <c r="Y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Y88" i="71" l="1"/>
  <c r="P88" i="71"/>
  <c r="I89" i="71"/>
  <c r="H89" i="71"/>
  <c r="B90" i="71"/>
  <c r="E90" i="71" s="1"/>
  <c r="J90" i="71" s="1"/>
  <c r="A89" i="71"/>
  <c r="N83" i="69"/>
  <c r="Z83" i="69" s="1"/>
  <c r="M83" i="69"/>
  <c r="L781" i="69"/>
  <c r="E84" i="69"/>
  <c r="J84" i="69" s="1"/>
  <c r="N89" i="71" l="1"/>
  <c r="M89" i="71"/>
  <c r="L89" i="71" s="1"/>
  <c r="D90" i="71"/>
  <c r="I90" i="71" s="1"/>
  <c r="P83" i="69"/>
  <c r="L782" i="69"/>
  <c r="D84" i="69"/>
  <c r="Y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Y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Y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Y92" i="71" l="1"/>
  <c r="P92" i="71"/>
  <c r="I93" i="71"/>
  <c r="H93" i="71"/>
  <c r="K93" i="71"/>
  <c r="N86" i="69"/>
  <c r="Z86" i="69" s="1"/>
  <c r="M86" i="69"/>
  <c r="E87" i="69"/>
  <c r="J87" i="69" s="1"/>
  <c r="C94" i="71" l="1"/>
  <c r="A93" i="71"/>
  <c r="N93" i="71" s="1"/>
  <c r="B94" i="71"/>
  <c r="P86" i="69"/>
  <c r="D87" i="69"/>
  <c r="H87" i="69" s="1"/>
  <c r="L85" i="69"/>
  <c r="Y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Y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Y95" i="71" l="1"/>
  <c r="P95" i="71"/>
  <c r="I96" i="71"/>
  <c r="H96" i="71"/>
  <c r="K96" i="71"/>
  <c r="D90" i="69"/>
  <c r="I90" i="69" s="1"/>
  <c r="N89" i="69"/>
  <c r="Z89" i="69" s="1"/>
  <c r="M89" i="69"/>
  <c r="A96" i="71" l="1"/>
  <c r="N96" i="71" s="1"/>
  <c r="C97" i="71"/>
  <c r="B97" i="71"/>
  <c r="P89" i="69"/>
  <c r="K90" i="69"/>
  <c r="A90" i="69" s="1"/>
  <c r="H90" i="69"/>
  <c r="Y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Y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Y98" i="71" l="1"/>
  <c r="P98" i="71"/>
  <c r="K99" i="71"/>
  <c r="A99" i="71" s="1"/>
  <c r="N99" i="71" s="1"/>
  <c r="H99" i="71"/>
  <c r="B94" i="69"/>
  <c r="C94" i="69"/>
  <c r="A93" i="69"/>
  <c r="L90" i="69"/>
  <c r="Y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Y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Y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Y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Y103" i="71" l="1"/>
  <c r="P103" i="71"/>
  <c r="H104" i="71"/>
  <c r="I104" i="71"/>
  <c r="K104" i="71"/>
  <c r="N97" i="69"/>
  <c r="Z97" i="69" s="1"/>
  <c r="M97" i="69"/>
  <c r="D98" i="69"/>
  <c r="I98" i="69" s="1"/>
  <c r="B105" i="71" l="1"/>
  <c r="A104" i="71"/>
  <c r="N104" i="71" s="1"/>
  <c r="C105" i="71"/>
  <c r="P97" i="69"/>
  <c r="K98" i="69"/>
  <c r="C99" i="69" s="1"/>
  <c r="H98" i="69"/>
  <c r="L95" i="69"/>
  <c r="Y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Y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Y106" i="71" l="1"/>
  <c r="P106" i="71"/>
  <c r="H107" i="71"/>
  <c r="K107" i="71"/>
  <c r="A107" i="71" s="1"/>
  <c r="N107" i="71" s="1"/>
  <c r="A101" i="69"/>
  <c r="B102" i="69"/>
  <c r="E102" i="69" s="1"/>
  <c r="J102" i="69" s="1"/>
  <c r="Y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Y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Y109" i="71" l="1"/>
  <c r="P109" i="71"/>
  <c r="K110" i="71"/>
  <c r="A110" i="71" s="1"/>
  <c r="N110" i="71" s="1"/>
  <c r="H110" i="71"/>
  <c r="N104" i="69"/>
  <c r="Z104" i="69" s="1"/>
  <c r="M104" i="69"/>
  <c r="L101" i="69"/>
  <c r="D105" i="69"/>
  <c r="Y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Y111" i="71" l="1"/>
  <c r="P111" i="71"/>
  <c r="I112" i="71"/>
  <c r="H112" i="71"/>
  <c r="K112" i="71"/>
  <c r="C107" i="69"/>
  <c r="A106" i="69"/>
  <c r="B107" i="69"/>
  <c r="C113" i="71" l="1"/>
  <c r="B113" i="71"/>
  <c r="A112" i="71"/>
  <c r="N112" i="71" s="1"/>
  <c r="N106" i="69"/>
  <c r="Z106" i="69" s="1"/>
  <c r="M106" i="69"/>
  <c r="L103" i="69"/>
  <c r="E107" i="69"/>
  <c r="J107" i="69" s="1"/>
  <c r="Y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Y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Y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Y115" i="71" l="1"/>
  <c r="P115" i="71"/>
  <c r="K116" i="71"/>
  <c r="A116" i="71" s="1"/>
  <c r="N116" i="71" s="1"/>
  <c r="H116" i="71"/>
  <c r="N109" i="69"/>
  <c r="Z109" i="69" s="1"/>
  <c r="M109" i="69"/>
  <c r="E110" i="69"/>
  <c r="J110" i="69" s="1"/>
  <c r="Y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Y117" i="71" l="1"/>
  <c r="P117" i="71"/>
  <c r="I118" i="71"/>
  <c r="H118" i="71"/>
  <c r="K118" i="71"/>
  <c r="P110" i="69"/>
  <c r="D111" i="69"/>
  <c r="K111" i="69" s="1"/>
  <c r="B112" i="69" s="1"/>
  <c r="L108" i="69"/>
  <c r="C119" i="71" l="1"/>
  <c r="A118" i="71"/>
  <c r="N118" i="71" s="1"/>
  <c r="B119" i="71"/>
  <c r="A111" i="69"/>
  <c r="C112" i="69"/>
  <c r="I111" i="69"/>
  <c r="H111" i="69"/>
  <c r="E112" i="69"/>
  <c r="J112" i="69" s="1"/>
  <c r="Y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Y119" i="71" l="1"/>
  <c r="P119" i="71"/>
  <c r="I120" i="71"/>
  <c r="H120" i="71"/>
  <c r="K120" i="71"/>
  <c r="P112" i="69"/>
  <c r="D113" i="69"/>
  <c r="C121" i="71" l="1"/>
  <c r="B121" i="71"/>
  <c r="A120" i="71"/>
  <c r="N120" i="71" s="1"/>
  <c r="H113" i="69"/>
  <c r="I113" i="69"/>
  <c r="K113" i="69"/>
  <c r="Y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Y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Y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Y123" i="71" l="1"/>
  <c r="P123" i="71"/>
  <c r="I124" i="71"/>
  <c r="H124" i="71"/>
  <c r="A124" i="71"/>
  <c r="B125" i="71"/>
  <c r="E125" i="71" s="1"/>
  <c r="J125" i="71" s="1"/>
  <c r="I117" i="69"/>
  <c r="H117" i="69"/>
  <c r="K117" i="69"/>
  <c r="N124" i="71" l="1"/>
  <c r="M124" i="71"/>
  <c r="L124" i="71" s="1"/>
  <c r="D125" i="71"/>
  <c r="C118" i="69"/>
  <c r="A117" i="69"/>
  <c r="B118" i="69"/>
  <c r="Y124" i="71" l="1"/>
  <c r="P124" i="71"/>
  <c r="I125" i="71"/>
  <c r="H125" i="71"/>
  <c r="K125" i="71"/>
  <c r="N117" i="69"/>
  <c r="Z117" i="69" s="1"/>
  <c r="M117" i="69"/>
  <c r="L114" i="69"/>
  <c r="E118" i="69"/>
  <c r="J118" i="69" s="1"/>
  <c r="C126" i="71" l="1"/>
  <c r="A125" i="71"/>
  <c r="N125" i="71" s="1"/>
  <c r="B126" i="71"/>
  <c r="P117" i="69"/>
  <c r="D118" i="69"/>
  <c r="Y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Y126" i="71" l="1"/>
  <c r="P126" i="71"/>
  <c r="K127" i="71"/>
  <c r="A127" i="71" s="1"/>
  <c r="N127" i="71" s="1"/>
  <c r="I127" i="71"/>
  <c r="C120" i="69"/>
  <c r="B120" i="69"/>
  <c r="A119" i="69"/>
  <c r="Y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Y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Y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Y130" i="71" l="1"/>
  <c r="P130" i="71"/>
  <c r="K131" i="71"/>
  <c r="A131" i="71" s="1"/>
  <c r="N131" i="71" s="1"/>
  <c r="H131" i="71"/>
  <c r="H123" i="69"/>
  <c r="I123" i="69"/>
  <c r="K123" i="69"/>
  <c r="Y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Y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Y133" i="71" l="1"/>
  <c r="P133" i="71"/>
  <c r="I134" i="71"/>
  <c r="H134" i="71"/>
  <c r="K134" i="71"/>
  <c r="P125" i="69"/>
  <c r="D126" i="69"/>
  <c r="L124" i="69"/>
  <c r="C135" i="71" l="1"/>
  <c r="A134" i="71"/>
  <c r="N134" i="71" s="1"/>
  <c r="B135" i="71"/>
  <c r="I126" i="69"/>
  <c r="H126" i="69"/>
  <c r="K126" i="69"/>
  <c r="Y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Y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Y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Y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Y138" i="71" l="1"/>
  <c r="P138" i="71"/>
  <c r="I139" i="71"/>
  <c r="H139" i="71"/>
  <c r="K139" i="71"/>
  <c r="C132" i="69"/>
  <c r="A131" i="69"/>
  <c r="B132" i="69"/>
  <c r="C140" i="71" l="1"/>
  <c r="A139" i="71"/>
  <c r="N139" i="71" s="1"/>
  <c r="B140" i="71"/>
  <c r="N131" i="69"/>
  <c r="Z131" i="69" s="1"/>
  <c r="M131" i="69"/>
  <c r="E132" i="69"/>
  <c r="J132" i="69" s="1"/>
  <c r="Y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Y140" i="71" l="1"/>
  <c r="P140" i="71"/>
  <c r="K141" i="71"/>
  <c r="A141" i="71" s="1"/>
  <c r="N141" i="71" s="1"/>
  <c r="H141" i="71"/>
  <c r="K133" i="69"/>
  <c r="C134" i="69" s="1"/>
  <c r="H133" i="69"/>
  <c r="L131" i="69"/>
  <c r="Y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Y142" i="71" l="1"/>
  <c r="P142" i="71"/>
  <c r="I143" i="71"/>
  <c r="H143" i="71"/>
  <c r="K143" i="71"/>
  <c r="P134" i="69"/>
  <c r="K135" i="69"/>
  <c r="B136" i="69" s="1"/>
  <c r="H135" i="69"/>
  <c r="C144" i="71" l="1"/>
  <c r="A143" i="71"/>
  <c r="N143" i="71" s="1"/>
  <c r="B144" i="71"/>
  <c r="A135" i="69"/>
  <c r="C136" i="69"/>
  <c r="E136" i="69"/>
  <c r="J136" i="69" s="1"/>
  <c r="Y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Y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Y145" i="71" l="1"/>
  <c r="P145" i="71"/>
  <c r="I146" i="71"/>
  <c r="H146" i="71"/>
  <c r="C147" i="71"/>
  <c r="A146" i="71"/>
  <c r="E147" i="71"/>
  <c r="J147" i="71" s="1"/>
  <c r="P137" i="69"/>
  <c r="D138" i="69"/>
  <c r="I138" i="69" s="1"/>
  <c r="L136" i="69"/>
  <c r="N146" i="71" l="1"/>
  <c r="M146" i="71"/>
  <c r="L146" i="71" s="1"/>
  <c r="D147" i="71"/>
  <c r="H138" i="69"/>
  <c r="K138" i="69"/>
  <c r="C139" i="69" s="1"/>
  <c r="Y146" i="71" l="1"/>
  <c r="P146" i="71"/>
  <c r="I147" i="71"/>
  <c r="H147" i="71"/>
  <c r="K147" i="71"/>
  <c r="B139" i="69"/>
  <c r="E139" i="69" s="1"/>
  <c r="J139" i="69" s="1"/>
  <c r="A138" i="69"/>
  <c r="C148" i="71" l="1"/>
  <c r="A147" i="71"/>
  <c r="N147" i="71" s="1"/>
  <c r="B148" i="71"/>
  <c r="M138" i="69"/>
  <c r="N138" i="69"/>
  <c r="Z138" i="69" s="1"/>
  <c r="L137" i="69"/>
  <c r="D139" i="69"/>
  <c r="Y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Y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Y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Y150" i="71" l="1"/>
  <c r="P150" i="71"/>
  <c r="I151" i="71"/>
  <c r="H151" i="71"/>
  <c r="K151" i="71"/>
  <c r="H142" i="69"/>
  <c r="I142" i="69"/>
  <c r="B143" i="69"/>
  <c r="E143" i="69" s="1"/>
  <c r="J143" i="69" s="1"/>
  <c r="A142" i="69"/>
  <c r="C152" i="71" l="1"/>
  <c r="A151" i="71"/>
  <c r="N151" i="71" s="1"/>
  <c r="B152" i="71"/>
  <c r="N142" i="69"/>
  <c r="Z142" i="69" s="1"/>
  <c r="M142" i="69"/>
  <c r="L141" i="69"/>
  <c r="D143" i="69"/>
  <c r="Y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Y152" i="71" l="1"/>
  <c r="P152" i="71"/>
  <c r="C153" i="71"/>
  <c r="B153" i="71"/>
  <c r="E153" i="71" s="1"/>
  <c r="J153" i="71" s="1"/>
  <c r="M152" i="71"/>
  <c r="L152" i="71" s="1"/>
  <c r="P143" i="69"/>
  <c r="D144" i="69"/>
  <c r="D153" i="71" l="1"/>
  <c r="K153" i="71" s="1"/>
  <c r="A153" i="71" s="1"/>
  <c r="N153" i="71" s="1"/>
  <c r="I144" i="69"/>
  <c r="H144" i="69"/>
  <c r="K144" i="69"/>
  <c r="Y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Y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Y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Y157" i="71" l="1"/>
  <c r="Y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Y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Y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Y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Y161" i="71" l="1"/>
  <c r="P161" i="71"/>
  <c r="H162" i="71"/>
  <c r="I162" i="71"/>
  <c r="A162" i="71"/>
  <c r="C163" i="71"/>
  <c r="E163" i="71"/>
  <c r="J163" i="71" s="1"/>
  <c r="B154" i="69"/>
  <c r="E154" i="69" s="1"/>
  <c r="J154" i="69" s="1"/>
  <c r="A153" i="69"/>
  <c r="M162" i="71" l="1"/>
  <c r="L162" i="71" s="1"/>
  <c r="N162" i="71"/>
  <c r="D163" i="71"/>
  <c r="N153" i="69"/>
  <c r="Z153" i="69" s="1"/>
  <c r="M153" i="69"/>
  <c r="D154" i="69"/>
  <c r="L152" i="69"/>
  <c r="Y162" i="71" l="1"/>
  <c r="P162" i="71"/>
  <c r="I163" i="71"/>
  <c r="H163" i="71"/>
  <c r="K163" i="71"/>
  <c r="P153" i="69"/>
  <c r="I154" i="69"/>
  <c r="H154" i="69"/>
  <c r="K154" i="69"/>
  <c r="C164" i="71" l="1"/>
  <c r="A163" i="71"/>
  <c r="N163" i="71" s="1"/>
  <c r="B164" i="71"/>
  <c r="C155" i="69"/>
  <c r="A154" i="69"/>
  <c r="B155" i="69"/>
  <c r="Y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Y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Y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Y166" i="71" l="1"/>
  <c r="P166" i="71"/>
  <c r="I167" i="71"/>
  <c r="H167" i="71"/>
  <c r="K167" i="71"/>
  <c r="L156" i="69"/>
  <c r="C158" i="69"/>
  <c r="A157" i="69"/>
  <c r="B158" i="69"/>
  <c r="C168" i="71" l="1"/>
  <c r="A167" i="71"/>
  <c r="N167" i="71" s="1"/>
  <c r="B168" i="71"/>
  <c r="N157" i="69"/>
  <c r="Z157" i="69" s="1"/>
  <c r="M157" i="69"/>
  <c r="E158" i="69"/>
  <c r="J158" i="69" s="1"/>
  <c r="Y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Y169" i="71" l="1"/>
  <c r="Y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Y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Y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Y172" i="71" l="1"/>
  <c r="P172" i="71"/>
  <c r="K173" i="71"/>
  <c r="A173" i="71" s="1"/>
  <c r="N173" i="71" s="1"/>
  <c r="I173" i="71"/>
  <c r="N162" i="69"/>
  <c r="Z162" i="69" s="1"/>
  <c r="M162" i="69"/>
  <c r="E163" i="69"/>
  <c r="J163" i="69" s="1"/>
  <c r="Y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Y174" i="71" l="1"/>
  <c r="P174" i="71"/>
  <c r="I175" i="71"/>
  <c r="H175" i="71"/>
  <c r="K175" i="71"/>
  <c r="K164" i="69"/>
  <c r="C165" i="69" s="1"/>
  <c r="H164" i="69"/>
  <c r="C176" i="71" l="1"/>
  <c r="A175" i="71"/>
  <c r="N175" i="71" s="1"/>
  <c r="B176" i="71"/>
  <c r="B165" i="69"/>
  <c r="E165" i="69" s="1"/>
  <c r="J165" i="69" s="1"/>
  <c r="A164" i="69"/>
  <c r="L163" i="69"/>
  <c r="Y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Y177" i="71" l="1"/>
  <c r="Y176"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Y178" i="71" l="1"/>
  <c r="P178" i="71"/>
  <c r="I179" i="71"/>
  <c r="H179" i="71"/>
  <c r="K179" i="71"/>
  <c r="P167" i="69"/>
  <c r="D168" i="69"/>
  <c r="I168" i="69" s="1"/>
  <c r="L166" i="69"/>
  <c r="C180" i="71" l="1"/>
  <c r="A179" i="71"/>
  <c r="N179" i="71" s="1"/>
  <c r="B180" i="71"/>
  <c r="K168" i="69"/>
  <c r="C169" i="69" s="1"/>
  <c r="H168" i="69"/>
  <c r="Y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Y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Y181" i="71" l="1"/>
  <c r="P181" i="71"/>
  <c r="I182" i="71"/>
  <c r="H182" i="71"/>
  <c r="B183" i="71"/>
  <c r="C183" i="71"/>
  <c r="A182" i="71"/>
  <c r="N182" i="71" s="1"/>
  <c r="N170" i="69"/>
  <c r="Z170" i="69" s="1"/>
  <c r="M170" i="69"/>
  <c r="D171" i="69"/>
  <c r="K171" i="69" s="1"/>
  <c r="Y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Y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Y184" i="71" l="1"/>
  <c r="P184" i="71"/>
  <c r="I185" i="71"/>
  <c r="H185" i="71"/>
  <c r="K185" i="71"/>
  <c r="N173" i="69"/>
  <c r="Z173" i="69" s="1"/>
  <c r="M173" i="69"/>
  <c r="L171" i="69"/>
  <c r="E174" i="69"/>
  <c r="J174" i="69" s="1"/>
  <c r="B186" i="71" l="1"/>
  <c r="A185" i="71"/>
  <c r="N185" i="71" s="1"/>
  <c r="C186" i="71"/>
  <c r="P173" i="69"/>
  <c r="D174" i="69"/>
  <c r="H174" i="69" s="1"/>
  <c r="Y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Y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Y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Y189" i="71" l="1"/>
  <c r="Y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Y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Y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Y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Y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Y194" i="71" l="1"/>
  <c r="P194" i="71"/>
  <c r="I195" i="71"/>
  <c r="H195" i="71"/>
  <c r="K195" i="71"/>
  <c r="N183" i="69"/>
  <c r="Z183" i="69" s="1"/>
  <c r="M183" i="69"/>
  <c r="D184" i="69"/>
  <c r="H184" i="69" s="1"/>
  <c r="C196" i="71" l="1"/>
  <c r="A195" i="71"/>
  <c r="N195" i="71" s="1"/>
  <c r="B196" i="71"/>
  <c r="P183" i="69"/>
  <c r="K184" i="69"/>
  <c r="B185" i="69" s="1"/>
  <c r="I184" i="69"/>
  <c r="Y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Y196" i="71" l="1"/>
  <c r="P196" i="71"/>
  <c r="I197" i="71"/>
  <c r="H197" i="71"/>
  <c r="K197" i="71"/>
  <c r="P185" i="69"/>
  <c r="D186" i="69"/>
  <c r="H186" i="69" s="1"/>
  <c r="C198" i="71" l="1"/>
  <c r="A197" i="71"/>
  <c r="N197" i="71" s="1"/>
  <c r="B198" i="71"/>
  <c r="K186" i="69"/>
  <c r="B187" i="69" s="1"/>
  <c r="I186" i="69"/>
  <c r="Y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Y198" i="71" l="1"/>
  <c r="P198" i="71"/>
  <c r="I199" i="71"/>
  <c r="H199" i="71"/>
  <c r="K199" i="71"/>
  <c r="P187" i="69"/>
  <c r="D188" i="69"/>
  <c r="L184" i="69"/>
  <c r="C200" i="71" l="1"/>
  <c r="A199" i="71"/>
  <c r="N199" i="71" s="1"/>
  <c r="B200" i="71"/>
  <c r="H188" i="69"/>
  <c r="I188" i="69"/>
  <c r="K188" i="69"/>
  <c r="Y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Y200" i="71" l="1"/>
  <c r="P200" i="71"/>
  <c r="K201" i="71"/>
  <c r="A201" i="71" s="1"/>
  <c r="N201" i="71" s="1"/>
  <c r="H201" i="71"/>
  <c r="N189" i="69"/>
  <c r="Z189" i="69" s="1"/>
  <c r="M189" i="69"/>
  <c r="D190" i="69"/>
  <c r="H190" i="69" s="1"/>
  <c r="L186" i="69"/>
  <c r="Y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Y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Y203" i="71" l="1"/>
  <c r="P203" i="71"/>
  <c r="I204" i="71"/>
  <c r="H204" i="71"/>
  <c r="K204" i="71"/>
  <c r="N192" i="69"/>
  <c r="Z192" i="69" s="1"/>
  <c r="M192" i="69"/>
  <c r="E193" i="69"/>
  <c r="J193" i="69" s="1"/>
  <c r="C205" i="71" l="1"/>
  <c r="A204" i="71"/>
  <c r="N204" i="71" s="1"/>
  <c r="B205" i="71"/>
  <c r="P192" i="69"/>
  <c r="D193" i="69"/>
  <c r="K193" i="69" s="1"/>
  <c r="C194" i="69" s="1"/>
  <c r="Y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Y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Y206" i="71" l="1"/>
  <c r="P206" i="71"/>
  <c r="I207" i="71"/>
  <c r="H207" i="71"/>
  <c r="K207" i="71"/>
  <c r="C196" i="69"/>
  <c r="A195" i="69"/>
  <c r="B196" i="69"/>
  <c r="L191" i="69"/>
  <c r="C208" i="71" l="1"/>
  <c r="A207" i="71"/>
  <c r="N207" i="71" s="1"/>
  <c r="B208" i="71"/>
  <c r="N195" i="69"/>
  <c r="Z195" i="69" s="1"/>
  <c r="M195" i="69"/>
  <c r="E196" i="69"/>
  <c r="J196" i="69" s="1"/>
  <c r="Y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Y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Y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Y210" i="71" l="1"/>
  <c r="P210" i="71"/>
  <c r="I211" i="71"/>
  <c r="H211" i="71"/>
  <c r="K211" i="71"/>
  <c r="C200" i="69"/>
  <c r="A199" i="69"/>
  <c r="B200" i="69"/>
  <c r="C212" i="71" l="1"/>
  <c r="A211" i="71"/>
  <c r="N211" i="71" s="1"/>
  <c r="B212" i="71"/>
  <c r="N199" i="69"/>
  <c r="Z199" i="69" s="1"/>
  <c r="M199" i="69"/>
  <c r="E200" i="69"/>
  <c r="J200" i="69" s="1"/>
  <c r="Y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Y212" i="71" l="1"/>
  <c r="Q212" i="71" s="1"/>
  <c r="P212" i="71"/>
  <c r="I213" i="71"/>
  <c r="H213" i="71"/>
  <c r="K213" i="71"/>
  <c r="C202" i="69"/>
  <c r="A201" i="69"/>
  <c r="B202" i="69"/>
  <c r="C214" i="71" l="1"/>
  <c r="A213" i="71"/>
  <c r="N213" i="71" s="1"/>
  <c r="B214" i="71"/>
  <c r="N201" i="69"/>
  <c r="Z201" i="69" s="1"/>
  <c r="M201" i="69"/>
  <c r="E202" i="69"/>
  <c r="J202" i="69" s="1"/>
  <c r="Y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Y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Y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Y216" i="71" l="1"/>
  <c r="Q216" i="71" s="1"/>
  <c r="S216" i="71"/>
  <c r="P216" i="71"/>
  <c r="I217" i="71"/>
  <c r="H217" i="71"/>
  <c r="K217" i="71"/>
  <c r="P205" i="69"/>
  <c r="L202" i="69"/>
  <c r="D206" i="69"/>
  <c r="B218" i="71" l="1"/>
  <c r="C218" i="71"/>
  <c r="A217" i="71"/>
  <c r="N217" i="71" s="1"/>
  <c r="H206" i="69"/>
  <c r="I206" i="69"/>
  <c r="K206" i="69"/>
  <c r="Y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Y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Y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Y220" i="71" l="1"/>
  <c r="Q220" i="71" s="1"/>
  <c r="S220" i="71"/>
  <c r="P220" i="71"/>
  <c r="H221" i="71"/>
  <c r="I221" i="71"/>
  <c r="K221" i="71"/>
  <c r="N209" i="69"/>
  <c r="Z209" i="69" s="1"/>
  <c r="M209" i="69"/>
  <c r="E210" i="69"/>
  <c r="J210" i="69" s="1"/>
  <c r="C222" i="71" l="1"/>
  <c r="B222" i="71"/>
  <c r="A221" i="71"/>
  <c r="N221" i="71" s="1"/>
  <c r="P209" i="69"/>
  <c r="L206" i="69"/>
  <c r="D210" i="69"/>
  <c r="Y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Y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Y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Y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Y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Y226" i="71" l="1"/>
  <c r="Q226" i="71" s="1"/>
  <c r="S226" i="71"/>
  <c r="P226" i="71"/>
  <c r="I227" i="71"/>
  <c r="H227" i="71"/>
  <c r="K227" i="71"/>
  <c r="P214" i="69"/>
  <c r="D215" i="69"/>
  <c r="L211" i="69"/>
  <c r="C228" i="71" l="1"/>
  <c r="A227" i="71"/>
  <c r="N227" i="71" s="1"/>
  <c r="B228" i="71"/>
  <c r="I215" i="69"/>
  <c r="H215" i="69"/>
  <c r="K215" i="69"/>
  <c r="Y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Y228" i="71" l="1"/>
  <c r="Q228" i="71" s="1"/>
  <c r="S228" i="71"/>
  <c r="P228" i="71"/>
  <c r="I229" i="71"/>
  <c r="H229" i="71"/>
  <c r="K229" i="71"/>
  <c r="N216" i="69"/>
  <c r="Z216" i="69" s="1"/>
  <c r="M216" i="69"/>
  <c r="E217" i="69"/>
  <c r="J217" i="69" s="1"/>
  <c r="L213" i="69"/>
  <c r="C230" i="71" l="1"/>
  <c r="A229" i="71"/>
  <c r="N229" i="71" s="1"/>
  <c r="B230" i="71"/>
  <c r="P216" i="69"/>
  <c r="D217" i="69"/>
  <c r="Y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Y230" i="71" l="1"/>
  <c r="Q230" i="71" s="1"/>
  <c r="S230" i="71"/>
  <c r="P230" i="71"/>
  <c r="I231" i="71"/>
  <c r="H231" i="71"/>
  <c r="K231" i="71"/>
  <c r="C219" i="69"/>
  <c r="A218" i="69"/>
  <c r="B219" i="69"/>
  <c r="L215" i="69"/>
  <c r="C232" i="71" l="1"/>
  <c r="A231" i="71"/>
  <c r="N231" i="71" s="1"/>
  <c r="B232" i="71"/>
  <c r="N218" i="69"/>
  <c r="Z218" i="69" s="1"/>
  <c r="M218" i="69"/>
  <c r="E219" i="69"/>
  <c r="J219" i="69" s="1"/>
  <c r="Y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Y232" i="71" l="1"/>
  <c r="Q232" i="71" s="1"/>
  <c r="S232" i="71"/>
  <c r="P232" i="71"/>
  <c r="I233" i="71"/>
  <c r="H233" i="71"/>
  <c r="K233" i="71"/>
  <c r="I220" i="69"/>
  <c r="H220" i="69"/>
  <c r="K220" i="69"/>
  <c r="B234" i="71" l="1"/>
  <c r="A233" i="71"/>
  <c r="N233" i="71" s="1"/>
  <c r="C234" i="71"/>
  <c r="L217" i="69"/>
  <c r="C221" i="69"/>
  <c r="A220" i="69"/>
  <c r="B221" i="69"/>
  <c r="Y233" i="71" l="1"/>
  <c r="Q233" i="71" s="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Y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Y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Y237" i="71" l="1"/>
  <c r="Q237" i="71" s="1"/>
  <c r="Y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Y238" i="71" l="1"/>
  <c r="Q238" i="71" s="1"/>
  <c r="S238" i="71"/>
  <c r="P238" i="71"/>
  <c r="I239" i="71"/>
  <c r="H239" i="71"/>
  <c r="K239" i="71"/>
  <c r="P224" i="69"/>
  <c r="D225" i="69"/>
  <c r="H225" i="69" s="1"/>
  <c r="C240" i="71" l="1"/>
  <c r="A239" i="71"/>
  <c r="N239" i="71" s="1"/>
  <c r="B240" i="71"/>
  <c r="K225" i="69"/>
  <c r="C226" i="69" s="1"/>
  <c r="I225" i="69"/>
  <c r="Y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Y240" i="71" l="1"/>
  <c r="Q240" i="71" s="1"/>
  <c r="S240" i="71"/>
  <c r="P240" i="71"/>
  <c r="K241" i="71"/>
  <c r="A241" i="71" s="1"/>
  <c r="N241" i="71" s="1"/>
  <c r="I241" i="71"/>
  <c r="P226" i="69"/>
  <c r="I227" i="69"/>
  <c r="H227" i="69"/>
  <c r="K227" i="69"/>
  <c r="Y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Y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Y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Y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Y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Y246" i="71" l="1"/>
  <c r="Q246" i="71" s="1"/>
  <c r="S246" i="71"/>
  <c r="P246" i="71"/>
  <c r="I247" i="71"/>
  <c r="H247" i="71"/>
  <c r="K247" i="71"/>
  <c r="C234" i="69"/>
  <c r="A233" i="69"/>
  <c r="B234" i="69"/>
  <c r="C248" i="71" l="1"/>
  <c r="A247" i="71"/>
  <c r="N247" i="71" s="1"/>
  <c r="B248" i="71"/>
  <c r="N233" i="69"/>
  <c r="Z233" i="69" s="1"/>
  <c r="M233" i="69"/>
  <c r="E234" i="69"/>
  <c r="J234" i="69" s="1"/>
  <c r="Y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Y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Y249" i="71" l="1"/>
  <c r="Q249" i="71" s="1"/>
  <c r="S249" i="71"/>
  <c r="P249" i="71"/>
  <c r="H250" i="71"/>
  <c r="I250" i="71"/>
  <c r="K250" i="71"/>
  <c r="P235" i="69"/>
  <c r="D236" i="69"/>
  <c r="I236" i="69" s="1"/>
  <c r="B251" i="71" l="1"/>
  <c r="C251" i="71"/>
  <c r="A250" i="71"/>
  <c r="N250" i="71" s="1"/>
  <c r="K236" i="69"/>
  <c r="C237" i="69" s="1"/>
  <c r="H236" i="69"/>
  <c r="Y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Y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Y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Y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Y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Y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Y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Y257" i="71" l="1"/>
  <c r="Q257" i="71" s="1"/>
  <c r="S257" i="71"/>
  <c r="P257" i="71"/>
  <c r="B259" i="71"/>
  <c r="E259" i="71" s="1"/>
  <c r="J259" i="71" s="1"/>
  <c r="A258" i="71"/>
  <c r="I258" i="71"/>
  <c r="H258" i="71"/>
  <c r="P242" i="69"/>
  <c r="D243" i="69"/>
  <c r="M258" i="71" l="1"/>
  <c r="L258" i="71" s="1"/>
  <c r="N258" i="71"/>
  <c r="D259" i="71"/>
  <c r="I243" i="69"/>
  <c r="H243" i="69"/>
  <c r="K243" i="69"/>
  <c r="L242" i="69"/>
  <c r="Y258" i="71" l="1"/>
  <c r="Q258" i="71" s="1"/>
  <c r="S258" i="71"/>
  <c r="P258" i="71"/>
  <c r="I259" i="71"/>
  <c r="H259" i="71"/>
  <c r="K259" i="71"/>
  <c r="C244" i="69"/>
  <c r="B244" i="69"/>
  <c r="A243" i="69"/>
  <c r="C260" i="71" l="1"/>
  <c r="A259" i="71"/>
  <c r="N259" i="71" s="1"/>
  <c r="B260" i="71"/>
  <c r="N243" i="69"/>
  <c r="Z243" i="69" s="1"/>
  <c r="M243" i="69"/>
  <c r="E244" i="69"/>
  <c r="J244" i="69" s="1"/>
  <c r="Y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Y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Y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Y262" i="71" l="1"/>
  <c r="Q262" i="71" s="1"/>
  <c r="S262" i="71"/>
  <c r="P262" i="71"/>
  <c r="I263" i="71"/>
  <c r="H263" i="71"/>
  <c r="K263" i="71"/>
  <c r="P246" i="69"/>
  <c r="D247" i="69"/>
  <c r="I247" i="69" s="1"/>
  <c r="C264" i="71" l="1"/>
  <c r="A263" i="71"/>
  <c r="N263" i="71" s="1"/>
  <c r="B264" i="71"/>
  <c r="K247" i="69"/>
  <c r="C248" i="69" s="1"/>
  <c r="H247" i="69"/>
  <c r="L246" i="69"/>
  <c r="Y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Y264" i="71" l="1"/>
  <c r="Q264" i="71" s="1"/>
  <c r="S264" i="71"/>
  <c r="P264" i="71"/>
  <c r="I265" i="71"/>
  <c r="H265" i="71"/>
  <c r="K265" i="71"/>
  <c r="P248" i="69"/>
  <c r="D249" i="69"/>
  <c r="C266" i="71" l="1"/>
  <c r="A265" i="71"/>
  <c r="N265" i="71" s="1"/>
  <c r="B266" i="71"/>
  <c r="I249" i="69"/>
  <c r="H249" i="69"/>
  <c r="K249" i="69"/>
  <c r="L248" i="69"/>
  <c r="Y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Y266" i="71" l="1"/>
  <c r="Q266" i="71" s="1"/>
  <c r="S266" i="71"/>
  <c r="P266" i="71"/>
  <c r="I267" i="71"/>
  <c r="H267" i="71"/>
  <c r="K267" i="71"/>
  <c r="N250" i="69"/>
  <c r="Z250" i="69" s="1"/>
  <c r="M250" i="69"/>
  <c r="D251" i="69"/>
  <c r="H251" i="69" s="1"/>
  <c r="C268" i="71" l="1"/>
  <c r="A267" i="71"/>
  <c r="N267" i="71" s="1"/>
  <c r="B268" i="71"/>
  <c r="P250" i="69"/>
  <c r="K251" i="69"/>
  <c r="C252" i="69" s="1"/>
  <c r="I251" i="69"/>
  <c r="L250" i="69"/>
  <c r="Y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Y268" i="71" l="1"/>
  <c r="Q268" i="71" s="1"/>
  <c r="S268" i="71"/>
  <c r="P268" i="71"/>
  <c r="I269" i="71"/>
  <c r="H269" i="71"/>
  <c r="K269" i="71"/>
  <c r="N252" i="69"/>
  <c r="Z252" i="69" s="1"/>
  <c r="M252" i="69"/>
  <c r="E253" i="69"/>
  <c r="J253" i="69" s="1"/>
  <c r="A269" i="71" l="1"/>
  <c r="N269" i="71" s="1"/>
  <c r="C270" i="71"/>
  <c r="B270" i="71"/>
  <c r="P252" i="69"/>
  <c r="D253" i="69"/>
  <c r="H253" i="69" s="1"/>
  <c r="Y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Y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Y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Y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Y273" i="71" l="1"/>
  <c r="Q273" i="71" s="1"/>
  <c r="S273" i="71"/>
  <c r="P273" i="71"/>
  <c r="H274" i="71"/>
  <c r="I274" i="71"/>
  <c r="K274" i="71"/>
  <c r="I258" i="69"/>
  <c r="K258" i="69"/>
  <c r="B259" i="69" s="1"/>
  <c r="L256" i="69"/>
  <c r="B275" i="71" l="1"/>
  <c r="A274" i="71"/>
  <c r="N274" i="71" s="1"/>
  <c r="C275" i="71"/>
  <c r="C259" i="69"/>
  <c r="A258" i="69"/>
  <c r="E259" i="69"/>
  <c r="J259" i="69" s="1"/>
  <c r="Y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Y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Y276" i="71" l="1"/>
  <c r="Q276" i="71" s="1"/>
  <c r="S276" i="71"/>
  <c r="P276" i="71"/>
  <c r="I277" i="71"/>
  <c r="H277" i="71"/>
  <c r="K277" i="71"/>
  <c r="P260" i="69"/>
  <c r="L259" i="69"/>
  <c r="D261" i="69"/>
  <c r="C278" i="71" l="1"/>
  <c r="B278" i="71"/>
  <c r="A277" i="71"/>
  <c r="N277" i="71" s="1"/>
  <c r="I261" i="69"/>
  <c r="H261" i="69"/>
  <c r="K261" i="69"/>
  <c r="Y277" i="71" l="1"/>
  <c r="Q277" i="71" s="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Y278" i="71" l="1"/>
  <c r="Q278" i="71" s="1"/>
  <c r="S278" i="71"/>
  <c r="P278" i="71"/>
  <c r="I279" i="71"/>
  <c r="H279" i="71"/>
  <c r="K279" i="71"/>
  <c r="N262" i="69"/>
  <c r="Z262" i="69" s="1"/>
  <c r="M262" i="69"/>
  <c r="D263" i="69"/>
  <c r="I263" i="69" s="1"/>
  <c r="C280" i="71" l="1"/>
  <c r="A279" i="71"/>
  <c r="N279" i="71" s="1"/>
  <c r="B280" i="71"/>
  <c r="P262" i="69"/>
  <c r="K263" i="69"/>
  <c r="C264" i="69" s="1"/>
  <c r="H263" i="69"/>
  <c r="Y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Y280" i="71" l="1"/>
  <c r="Q280" i="71" s="1"/>
  <c r="S280" i="71"/>
  <c r="P280" i="71"/>
  <c r="I281" i="71"/>
  <c r="H281" i="71"/>
  <c r="K281" i="71"/>
  <c r="P264" i="69"/>
  <c r="D265" i="69"/>
  <c r="B282" i="71" l="1"/>
  <c r="C282" i="71"/>
  <c r="A281" i="71"/>
  <c r="N281" i="71" s="1"/>
  <c r="I265" i="69"/>
  <c r="H265" i="69"/>
  <c r="K265" i="69"/>
  <c r="Y281" i="71" l="1"/>
  <c r="Q281" i="71" s="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Y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Y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Y284" i="71" l="1"/>
  <c r="Q284" i="71" s="1"/>
  <c r="S284" i="71"/>
  <c r="P284" i="71"/>
  <c r="H285" i="71"/>
  <c r="I285" i="71"/>
  <c r="K285" i="71"/>
  <c r="N268" i="69"/>
  <c r="Z268" i="69" s="1"/>
  <c r="M268" i="69"/>
  <c r="E269" i="69"/>
  <c r="J269" i="69" s="1"/>
  <c r="C286" i="71" l="1"/>
  <c r="B286" i="71"/>
  <c r="A285" i="71"/>
  <c r="N285" i="71" s="1"/>
  <c r="P268" i="69"/>
  <c r="L268" i="69"/>
  <c r="D269" i="69"/>
  <c r="Y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Y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Y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Y288" i="71" l="1"/>
  <c r="Q288" i="71" s="1"/>
  <c r="S288" i="71"/>
  <c r="P288" i="71"/>
  <c r="I289" i="71"/>
  <c r="H289" i="71"/>
  <c r="K289" i="71"/>
  <c r="P272" i="69"/>
  <c r="I273" i="69"/>
  <c r="H273" i="69"/>
  <c r="K273" i="69"/>
  <c r="L272" i="69"/>
  <c r="A289" i="71" l="1"/>
  <c r="N289" i="71" s="1"/>
  <c r="B290" i="71"/>
  <c r="C290" i="71"/>
  <c r="C274" i="69"/>
  <c r="A273" i="69"/>
  <c r="B274" i="69"/>
  <c r="Y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Y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Y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Y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Y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Y294" i="71" l="1"/>
  <c r="Q294" i="71" s="1"/>
  <c r="S294" i="71"/>
  <c r="P294" i="71"/>
  <c r="I295" i="71"/>
  <c r="H295" i="71"/>
  <c r="K295" i="71"/>
  <c r="N278" i="69"/>
  <c r="Z278" i="69" s="1"/>
  <c r="M278" i="69"/>
  <c r="E279" i="69"/>
  <c r="J279" i="69" s="1"/>
  <c r="C296" i="71" l="1"/>
  <c r="A295" i="71"/>
  <c r="N295" i="71" s="1"/>
  <c r="B296" i="71"/>
  <c r="P278" i="69"/>
  <c r="L278" i="69"/>
  <c r="D279" i="69"/>
  <c r="Y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Y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Y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Y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Y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Y300" i="71" l="1"/>
  <c r="Q300" i="71" s="1"/>
  <c r="S300" i="71"/>
  <c r="P300" i="71"/>
  <c r="I301" i="71"/>
  <c r="H301" i="71"/>
  <c r="K301" i="71"/>
  <c r="B285" i="69"/>
  <c r="C285" i="69"/>
  <c r="A284" i="69"/>
  <c r="C302" i="71" l="1"/>
  <c r="A301" i="71"/>
  <c r="N301" i="71" s="1"/>
  <c r="B302" i="71"/>
  <c r="N284" i="69"/>
  <c r="Z284" i="69" s="1"/>
  <c r="M284" i="69"/>
  <c r="E285" i="69"/>
  <c r="J285" i="69" s="1"/>
  <c r="Y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Y302" i="71" l="1"/>
  <c r="Q302" i="71" s="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Y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Y304" i="71" l="1"/>
  <c r="Q304" i="71" s="1"/>
  <c r="S304" i="71"/>
  <c r="P304" i="71"/>
  <c r="I305" i="71"/>
  <c r="H305" i="71"/>
  <c r="K305" i="71"/>
  <c r="C288" i="69"/>
  <c r="A287" i="69"/>
  <c r="B288" i="69"/>
  <c r="C306" i="71" l="1"/>
  <c r="A305" i="71"/>
  <c r="N305" i="71" s="1"/>
  <c r="B306" i="71"/>
  <c r="N287" i="69"/>
  <c r="Z287" i="69" s="1"/>
  <c r="M287" i="69"/>
  <c r="E288" i="69"/>
  <c r="J288" i="69" s="1"/>
  <c r="Y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Y306" i="71" l="1"/>
  <c r="Q306" i="71" s="1"/>
  <c r="S306" i="71"/>
  <c r="P306" i="71"/>
  <c r="I307" i="71"/>
  <c r="H307" i="71"/>
  <c r="K307" i="71"/>
  <c r="L288" i="69"/>
  <c r="I289" i="69"/>
  <c r="H289" i="69"/>
  <c r="K289" i="69"/>
  <c r="C308" i="71" l="1"/>
  <c r="A307" i="71"/>
  <c r="N307" i="71" s="1"/>
  <c r="B308" i="71"/>
  <c r="C290" i="69"/>
  <c r="A289" i="69"/>
  <c r="B290" i="69"/>
  <c r="Y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Y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Y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Y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Y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Y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Y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Y314" i="71" l="1"/>
  <c r="Q314" i="71" s="1"/>
  <c r="S314" i="71"/>
  <c r="P314" i="71"/>
  <c r="I315" i="71"/>
  <c r="H315" i="71"/>
  <c r="K315" i="71"/>
  <c r="N297" i="69"/>
  <c r="Z297" i="69" s="1"/>
  <c r="M297" i="69"/>
  <c r="D298" i="69"/>
  <c r="C316" i="71" l="1"/>
  <c r="A315" i="71"/>
  <c r="N315" i="71" s="1"/>
  <c r="B316" i="71"/>
  <c r="P297" i="69"/>
  <c r="I298" i="69"/>
  <c r="H298" i="69"/>
  <c r="K298" i="69"/>
  <c r="Y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Y316" i="71" l="1"/>
  <c r="Q316" i="71" s="1"/>
  <c r="S316" i="71"/>
  <c r="P316" i="71"/>
  <c r="I317" i="71"/>
  <c r="H317" i="71"/>
  <c r="K317" i="71"/>
  <c r="P299" i="69"/>
  <c r="K300" i="69"/>
  <c r="C301" i="69" s="1"/>
  <c r="H300" i="69"/>
  <c r="C318" i="71" l="1"/>
  <c r="A317" i="71"/>
  <c r="N317" i="71" s="1"/>
  <c r="B318" i="71"/>
  <c r="B301" i="69"/>
  <c r="E301" i="69" s="1"/>
  <c r="J301" i="69" s="1"/>
  <c r="A300" i="69"/>
  <c r="Y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Y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Y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Y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Y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Y322" i="71" l="1"/>
  <c r="Q322" i="71" s="1"/>
  <c r="S322" i="71"/>
  <c r="P322" i="71"/>
  <c r="I323" i="71"/>
  <c r="H323" i="71"/>
  <c r="K323" i="71"/>
  <c r="C307" i="69"/>
  <c r="A306" i="69"/>
  <c r="B307" i="69"/>
  <c r="C324" i="71" l="1"/>
  <c r="A323" i="71"/>
  <c r="N323" i="71" s="1"/>
  <c r="B324" i="71"/>
  <c r="N306" i="69"/>
  <c r="Z306" i="69" s="1"/>
  <c r="M306" i="69"/>
  <c r="E307" i="69"/>
  <c r="J307" i="69" s="1"/>
  <c r="Y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Y324" i="71" l="1"/>
  <c r="Q324" i="71" s="1"/>
  <c r="S324" i="71"/>
  <c r="P324" i="71"/>
  <c r="I325" i="71"/>
  <c r="H325" i="71"/>
  <c r="K325" i="71"/>
  <c r="C309" i="69"/>
  <c r="A308" i="69"/>
  <c r="B309" i="69"/>
  <c r="C326" i="71" l="1"/>
  <c r="A325" i="71"/>
  <c r="N325" i="71" s="1"/>
  <c r="B326" i="71"/>
  <c r="N308" i="69"/>
  <c r="Z308" i="69" s="1"/>
  <c r="M308" i="69"/>
  <c r="E309" i="69"/>
  <c r="J309" i="69" s="1"/>
  <c r="Y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Y326" i="71" l="1"/>
  <c r="Q326" i="71" s="1"/>
  <c r="S326" i="71"/>
  <c r="P326" i="71"/>
  <c r="I327" i="71"/>
  <c r="H327" i="71"/>
  <c r="K327" i="71"/>
  <c r="A310" i="69"/>
  <c r="B311" i="69"/>
  <c r="E311" i="69" s="1"/>
  <c r="J311" i="69" s="1"/>
  <c r="C328" i="71" l="1"/>
  <c r="A327" i="71"/>
  <c r="N327" i="71" s="1"/>
  <c r="B328" i="71"/>
  <c r="M310" i="69"/>
  <c r="N310" i="69"/>
  <c r="Z310" i="69" s="1"/>
  <c r="D311" i="69"/>
  <c r="Y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Y328" i="71" l="1"/>
  <c r="Q328" i="71" s="1"/>
  <c r="S328" i="71"/>
  <c r="P328" i="71"/>
  <c r="I329" i="71"/>
  <c r="H329" i="71"/>
  <c r="K329" i="71"/>
  <c r="C313" i="69"/>
  <c r="A312" i="69"/>
  <c r="B313" i="69"/>
  <c r="L309" i="69"/>
  <c r="C330" i="71" l="1"/>
  <c r="A329" i="71"/>
  <c r="N329" i="71" s="1"/>
  <c r="B330" i="71"/>
  <c r="N312" i="69"/>
  <c r="Z312" i="69" s="1"/>
  <c r="M312" i="69"/>
  <c r="E313" i="69"/>
  <c r="J313" i="69" s="1"/>
  <c r="Y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Y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Y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Y332" i="71" l="1"/>
  <c r="Q332" i="71" s="1"/>
  <c r="S332" i="71"/>
  <c r="P332" i="71"/>
  <c r="I333" i="71"/>
  <c r="H333" i="71"/>
  <c r="K333" i="71"/>
  <c r="P315" i="69"/>
  <c r="D316" i="69"/>
  <c r="C334" i="71" l="1"/>
  <c r="A333" i="71"/>
  <c r="N333" i="71" s="1"/>
  <c r="B334" i="71"/>
  <c r="I316" i="69"/>
  <c r="H316" i="69"/>
  <c r="K316" i="69"/>
  <c r="L313" i="69"/>
  <c r="Y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Y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Y335" i="71" l="1"/>
  <c r="Q335" i="71" s="1"/>
  <c r="S335" i="71"/>
  <c r="P335" i="71"/>
  <c r="K336" i="71"/>
  <c r="A336" i="71" s="1"/>
  <c r="N336" i="71" s="1"/>
  <c r="I336" i="71"/>
  <c r="N318" i="69"/>
  <c r="Z318" i="69" s="1"/>
  <c r="M318" i="69"/>
  <c r="D319" i="69"/>
  <c r="K319" i="69" s="1"/>
  <c r="B320" i="69" s="1"/>
  <c r="Y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Y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Y338" i="71" l="1"/>
  <c r="Q338" i="71" s="1"/>
  <c r="S338" i="71"/>
  <c r="P338" i="71"/>
  <c r="I339" i="71"/>
  <c r="H339" i="71"/>
  <c r="K339" i="71"/>
  <c r="P321" i="69"/>
  <c r="D322" i="69"/>
  <c r="I322" i="69" s="1"/>
  <c r="C340" i="71" l="1"/>
  <c r="A339" i="71"/>
  <c r="N339" i="71" s="1"/>
  <c r="B340" i="71"/>
  <c r="H322" i="69"/>
  <c r="K322" i="69"/>
  <c r="C323" i="69" s="1"/>
  <c r="Y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Y340" i="71" l="1"/>
  <c r="Q340" i="71" s="1"/>
  <c r="S340" i="71"/>
  <c r="P340" i="71"/>
  <c r="H341" i="71"/>
  <c r="I341" i="71"/>
  <c r="B342" i="71"/>
  <c r="E342" i="71" s="1"/>
  <c r="J342" i="71" s="1"/>
  <c r="A341" i="71"/>
  <c r="P323" i="69"/>
  <c r="D324" i="69"/>
  <c r="N341" i="71" l="1"/>
  <c r="D342" i="71"/>
  <c r="H342" i="71" s="1"/>
  <c r="M341" i="71"/>
  <c r="L341" i="71" s="1"/>
  <c r="I324" i="69"/>
  <c r="H324" i="69"/>
  <c r="K324" i="69"/>
  <c r="Y341" i="71" l="1"/>
  <c r="Q341" i="71" s="1"/>
  <c r="S341" i="71"/>
  <c r="P341" i="71"/>
  <c r="K342" i="71"/>
  <c r="A342" i="71" s="1"/>
  <c r="N342" i="71" s="1"/>
  <c r="I342" i="71"/>
  <c r="C325" i="69"/>
  <c r="A324" i="69"/>
  <c r="B325" i="69"/>
  <c r="L321" i="69"/>
  <c r="Y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Y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Y344" i="71" l="1"/>
  <c r="Q344" i="71" s="1"/>
  <c r="S344" i="71"/>
  <c r="P344" i="71"/>
  <c r="I345" i="71"/>
  <c r="H345" i="71"/>
  <c r="K345" i="71"/>
  <c r="P326" i="69"/>
  <c r="D327" i="69"/>
  <c r="H327" i="69" s="1"/>
  <c r="C346" i="71" l="1"/>
  <c r="A345" i="71"/>
  <c r="N345" i="71" s="1"/>
  <c r="B346" i="71"/>
  <c r="I327" i="69"/>
  <c r="K327" i="69"/>
  <c r="C328" i="69" s="1"/>
  <c r="Y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Y346" i="71" l="1"/>
  <c r="Q346" i="71" s="1"/>
  <c r="S346" i="71"/>
  <c r="P346" i="71"/>
  <c r="I347" i="71"/>
  <c r="H347" i="71"/>
  <c r="K347" i="71"/>
  <c r="N328" i="69"/>
  <c r="Z328" i="69" s="1"/>
  <c r="M328" i="69"/>
  <c r="E329" i="69"/>
  <c r="J329" i="69" s="1"/>
  <c r="C348" i="71" l="1"/>
  <c r="A347" i="71"/>
  <c r="N347" i="71" s="1"/>
  <c r="B348" i="71"/>
  <c r="P328" i="69"/>
  <c r="D329" i="69"/>
  <c r="Y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Y348" i="71" l="1"/>
  <c r="Q348" i="71" s="1"/>
  <c r="S348" i="71"/>
  <c r="P348" i="71"/>
  <c r="I349" i="71"/>
  <c r="H349" i="71"/>
  <c r="K349" i="71"/>
  <c r="B331" i="69"/>
  <c r="E331" i="69" s="1"/>
  <c r="J331" i="69" s="1"/>
  <c r="A330" i="69"/>
  <c r="C350" i="71" l="1"/>
  <c r="A349" i="71"/>
  <c r="N349" i="71" s="1"/>
  <c r="B350" i="71"/>
  <c r="N330" i="69"/>
  <c r="Z330" i="69" s="1"/>
  <c r="M330" i="69"/>
  <c r="D331" i="69"/>
  <c r="Y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Y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Y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Y352" i="71" l="1"/>
  <c r="Q352" i="71" s="1"/>
  <c r="S352" i="71"/>
  <c r="P352" i="71"/>
  <c r="I353" i="71"/>
  <c r="H353" i="71"/>
  <c r="K353" i="71"/>
  <c r="P333" i="69"/>
  <c r="L332" i="69"/>
  <c r="D334" i="69"/>
  <c r="C354" i="71" l="1"/>
  <c r="A353" i="71"/>
  <c r="N353" i="71" s="1"/>
  <c r="B354" i="71"/>
  <c r="I334" i="69"/>
  <c r="H334" i="69"/>
  <c r="K334" i="69"/>
  <c r="Y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Y354" i="71" l="1"/>
  <c r="Q354" i="71" s="1"/>
  <c r="S354" i="71"/>
  <c r="P354" i="71"/>
  <c r="I355" i="71"/>
  <c r="H355" i="71"/>
  <c r="K355" i="71"/>
  <c r="P335" i="69"/>
  <c r="I336" i="69"/>
  <c r="H336" i="69"/>
  <c r="K336" i="69"/>
  <c r="C356" i="71" l="1"/>
  <c r="A355" i="71"/>
  <c r="N355" i="71" s="1"/>
  <c r="B356" i="71"/>
  <c r="L334" i="69"/>
  <c r="C337" i="69"/>
  <c r="A336" i="69"/>
  <c r="B337" i="69"/>
  <c r="Y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Y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Y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Y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Y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Y360" i="71" l="1"/>
  <c r="Q360" i="71" s="1"/>
  <c r="S360" i="71"/>
  <c r="P360" i="71"/>
  <c r="K361" i="71"/>
  <c r="A361" i="71" s="1"/>
  <c r="N361" i="71" s="1"/>
  <c r="H361" i="71"/>
  <c r="N340" i="69"/>
  <c r="Z340" i="69" s="1"/>
  <c r="M340" i="69"/>
  <c r="E341" i="69"/>
  <c r="J341" i="69" s="1"/>
  <c r="Y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Y362" i="71" l="1"/>
  <c r="Q362" i="71" s="1"/>
  <c r="S362" i="71"/>
  <c r="P362" i="71"/>
  <c r="I363" i="71"/>
  <c r="H363" i="71"/>
  <c r="K363" i="71"/>
  <c r="B343" i="69"/>
  <c r="E343" i="69" s="1"/>
  <c r="J343" i="69" s="1"/>
  <c r="A342" i="69"/>
  <c r="C364" i="71" l="1"/>
  <c r="A363" i="71"/>
  <c r="N363" i="71" s="1"/>
  <c r="B364" i="71"/>
  <c r="N342" i="69"/>
  <c r="Z342" i="69" s="1"/>
  <c r="M342" i="69"/>
  <c r="D343" i="69"/>
  <c r="Y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Y364" i="71" l="1"/>
  <c r="Q364" i="71" s="1"/>
  <c r="S364" i="71"/>
  <c r="P364" i="71"/>
  <c r="I365" i="71"/>
  <c r="H365" i="71"/>
  <c r="K365" i="71"/>
  <c r="K344" i="69"/>
  <c r="C345" i="69" s="1"/>
  <c r="H344" i="69"/>
  <c r="L341" i="69"/>
  <c r="C366" i="71" l="1"/>
  <c r="A365" i="71"/>
  <c r="N365" i="71" s="1"/>
  <c r="B366" i="71"/>
  <c r="B345" i="69"/>
  <c r="E345" i="69" s="1"/>
  <c r="J345" i="69" s="1"/>
  <c r="A344" i="69"/>
  <c r="Y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Y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Y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Y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Y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Y370" i="71" l="1"/>
  <c r="Q370" i="71" s="1"/>
  <c r="S370" i="71"/>
  <c r="P370" i="71"/>
  <c r="K371" i="71"/>
  <c r="A371" i="71" s="1"/>
  <c r="N371" i="71" s="1"/>
  <c r="H371" i="71"/>
  <c r="N350" i="69"/>
  <c r="Z350" i="69" s="1"/>
  <c r="M350" i="69"/>
  <c r="E351" i="69"/>
  <c r="J351" i="69" s="1"/>
  <c r="Y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Y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Y373" i="71" l="1"/>
  <c r="Q373" i="71" s="1"/>
  <c r="S373" i="71"/>
  <c r="P373" i="71"/>
  <c r="I374" i="71"/>
  <c r="H374" i="71"/>
  <c r="K374" i="71"/>
  <c r="P352" i="69"/>
  <c r="D353" i="69"/>
  <c r="C375" i="71" l="1"/>
  <c r="A374" i="71"/>
  <c r="N374" i="71" s="1"/>
  <c r="B375" i="71"/>
  <c r="H353" i="69"/>
  <c r="I353" i="69"/>
  <c r="K353" i="69"/>
  <c r="L349" i="69"/>
  <c r="Y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Y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Y376" i="71" l="1"/>
  <c r="Q376" i="71" s="1"/>
  <c r="S376" i="71"/>
  <c r="P376" i="71"/>
  <c r="K377" i="71"/>
  <c r="A377" i="71" s="1"/>
  <c r="N377" i="71" s="1"/>
  <c r="H377" i="71"/>
  <c r="N355" i="69"/>
  <c r="Z355" i="69" s="1"/>
  <c r="M355" i="69"/>
  <c r="E356" i="69"/>
  <c r="J356" i="69" s="1"/>
  <c r="Y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Y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Y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Y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Y381" i="71" l="1"/>
  <c r="Q381" i="71" s="1"/>
  <c r="S381" i="71"/>
  <c r="P381" i="71"/>
  <c r="I382" i="71"/>
  <c r="H382" i="71"/>
  <c r="K382" i="71"/>
  <c r="P358" i="69"/>
  <c r="K359" i="69"/>
  <c r="B360" i="69" s="1"/>
  <c r="I359" i="69"/>
  <c r="C383" i="71" l="1"/>
  <c r="A382" i="71"/>
  <c r="N382" i="71" s="1"/>
  <c r="B383" i="71"/>
  <c r="A359" i="69"/>
  <c r="C360" i="69"/>
  <c r="L355" i="69"/>
  <c r="E360" i="69"/>
  <c r="J360" i="69" s="1"/>
  <c r="Y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Y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Y384" i="71" l="1"/>
  <c r="Q384" i="71" s="1"/>
  <c r="S384" i="71"/>
  <c r="P384" i="71"/>
  <c r="K385" i="71"/>
  <c r="A385" i="71" s="1"/>
  <c r="N385" i="71" s="1"/>
  <c r="H385" i="71"/>
  <c r="M361" i="69"/>
  <c r="N361" i="69"/>
  <c r="Z361" i="69" s="1"/>
  <c r="D362" i="69"/>
  <c r="I362" i="69" s="1"/>
  <c r="Y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Y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Y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Y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Y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Y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Y391" i="71" l="1"/>
  <c r="Q391" i="71" s="1"/>
  <c r="S391" i="71"/>
  <c r="P391" i="71"/>
  <c r="I392" i="71"/>
  <c r="H392" i="71"/>
  <c r="K392" i="71"/>
  <c r="C368" i="69"/>
  <c r="A367" i="69"/>
  <c r="E368" i="69"/>
  <c r="J368" i="69" s="1"/>
  <c r="C393" i="71" l="1"/>
  <c r="A392" i="71"/>
  <c r="N392" i="71" s="1"/>
  <c r="B393" i="71"/>
  <c r="N367" i="69"/>
  <c r="Z367" i="69" s="1"/>
  <c r="M367" i="69"/>
  <c r="D368" i="69"/>
  <c r="Y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Y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Y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Y395" i="71" l="1"/>
  <c r="Q395" i="71" s="1"/>
  <c r="S395" i="71"/>
  <c r="P395" i="71"/>
  <c r="I396" i="71"/>
  <c r="H396" i="71"/>
  <c r="K396" i="71"/>
  <c r="N371" i="69"/>
  <c r="Z371" i="69" s="1"/>
  <c r="M371" i="69"/>
  <c r="E372" i="69"/>
  <c r="J372" i="69" s="1"/>
  <c r="C397" i="71" l="1"/>
  <c r="A396" i="71"/>
  <c r="N396" i="71" s="1"/>
  <c r="B397" i="71"/>
  <c r="P371" i="69"/>
  <c r="D372" i="69"/>
  <c r="Y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Y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Y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Y399" i="71" l="1"/>
  <c r="Q399" i="71" s="1"/>
  <c r="S399" i="71"/>
  <c r="P399" i="71"/>
  <c r="E400" i="71"/>
  <c r="J400" i="71" s="1"/>
  <c r="M399" i="71"/>
  <c r="L399" i="71" s="1"/>
  <c r="P374" i="69"/>
  <c r="H375" i="69"/>
  <c r="I375" i="69"/>
  <c r="K375" i="69"/>
  <c r="D400" i="71" l="1"/>
  <c r="K400" i="71" s="1"/>
  <c r="A400" i="71" s="1"/>
  <c r="N400" i="71" s="1"/>
  <c r="C376" i="69"/>
  <c r="B376" i="69"/>
  <c r="A375" i="69"/>
  <c r="Y400" i="71" l="1"/>
  <c r="Q400" i="71" s="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Y401" i="71" l="1"/>
  <c r="Q401" i="71" s="1"/>
  <c r="S401" i="71"/>
  <c r="P401" i="71"/>
  <c r="K402" i="71"/>
  <c r="A402" i="71" s="1"/>
  <c r="N402" i="71" s="1"/>
  <c r="H402" i="71"/>
  <c r="P376" i="69"/>
  <c r="D377" i="69"/>
  <c r="Y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Y403" i="71" l="1"/>
  <c r="Q403" i="71" s="1"/>
  <c r="S403" i="71"/>
  <c r="P403" i="71"/>
  <c r="I404" i="71"/>
  <c r="H404" i="71"/>
  <c r="K404" i="71"/>
  <c r="I378" i="69"/>
  <c r="H378" i="69"/>
  <c r="K378" i="69"/>
  <c r="C405" i="71" l="1"/>
  <c r="A404" i="71"/>
  <c r="N404" i="71" s="1"/>
  <c r="B405" i="71"/>
  <c r="C379" i="69"/>
  <c r="A378" i="69"/>
  <c r="B379" i="69"/>
  <c r="L374" i="69"/>
  <c r="Y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Y406" i="71" l="1"/>
  <c r="Q406" i="71" s="1"/>
  <c r="Y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Y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Y408" i="71" l="1"/>
  <c r="Q408" i="71" s="1"/>
  <c r="S408" i="71"/>
  <c r="P408" i="71"/>
  <c r="H409" i="71"/>
  <c r="K409" i="71"/>
  <c r="A409" i="71" s="1"/>
  <c r="N409" i="71" s="1"/>
  <c r="N382" i="69"/>
  <c r="Z382" i="69" s="1"/>
  <c r="M382" i="69"/>
  <c r="E383" i="69"/>
  <c r="J383" i="69" s="1"/>
  <c r="L378" i="69"/>
  <c r="Y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Y410" i="71" l="1"/>
  <c r="Q410" i="71" s="1"/>
  <c r="S410" i="71"/>
  <c r="P410" i="71"/>
  <c r="I411" i="71"/>
  <c r="H411" i="71"/>
  <c r="K411" i="71"/>
  <c r="P383" i="69"/>
  <c r="D384" i="69"/>
  <c r="H384" i="69" s="1"/>
  <c r="B412" i="71" l="1"/>
  <c r="A411" i="71"/>
  <c r="N411" i="71" s="1"/>
  <c r="C412" i="71"/>
  <c r="K384" i="69"/>
  <c r="C385" i="69" s="1"/>
  <c r="I384" i="69"/>
  <c r="Y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Y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Y413" i="71" l="1"/>
  <c r="Q413" i="71" s="1"/>
  <c r="S413" i="71"/>
  <c r="P413" i="71"/>
  <c r="K414" i="71"/>
  <c r="A414" i="71" s="1"/>
  <c r="N414" i="71" s="1"/>
  <c r="H414" i="71"/>
  <c r="P386" i="69"/>
  <c r="L382" i="69"/>
  <c r="D387" i="69"/>
  <c r="Y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Y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Y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Y417" i="71" l="1"/>
  <c r="Q417" i="71" s="1"/>
  <c r="S417" i="71"/>
  <c r="P417" i="71"/>
  <c r="I418" i="71"/>
  <c r="H418" i="71"/>
  <c r="K418" i="71"/>
  <c r="C391" i="69"/>
  <c r="A390" i="69"/>
  <c r="B391" i="69"/>
  <c r="C419" i="71" l="1"/>
  <c r="A418" i="71"/>
  <c r="N418" i="71" s="1"/>
  <c r="B419" i="71"/>
  <c r="N390" i="69"/>
  <c r="Z390" i="69" s="1"/>
  <c r="M390" i="69"/>
  <c r="L386" i="69"/>
  <c r="E391" i="69"/>
  <c r="J391" i="69" s="1"/>
  <c r="Y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Y419" i="71" l="1"/>
  <c r="Q419" i="71" s="1"/>
  <c r="S419" i="71"/>
  <c r="P419" i="71"/>
  <c r="I420" i="71"/>
  <c r="H420" i="71"/>
  <c r="K420" i="71"/>
  <c r="C393" i="69"/>
  <c r="A392" i="69"/>
  <c r="B393" i="69"/>
  <c r="C421" i="71" l="1"/>
  <c r="A420" i="71"/>
  <c r="N420" i="71" s="1"/>
  <c r="B421" i="71"/>
  <c r="N392" i="69"/>
  <c r="Z392" i="69" s="1"/>
  <c r="M392" i="69"/>
  <c r="E393" i="69"/>
  <c r="J393" i="69" s="1"/>
  <c r="L388" i="69"/>
  <c r="Y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Y421" i="71" l="1"/>
  <c r="Q421" i="71" s="1"/>
  <c r="S421" i="71"/>
  <c r="P421" i="71"/>
  <c r="I422" i="71"/>
  <c r="H422" i="71"/>
  <c r="K422" i="71"/>
  <c r="N394" i="69"/>
  <c r="Z394" i="69" s="1"/>
  <c r="M394" i="69"/>
  <c r="D395" i="69"/>
  <c r="I395" i="69" s="1"/>
  <c r="C423" i="71" l="1"/>
  <c r="A422" i="71"/>
  <c r="N422" i="71" s="1"/>
  <c r="B423" i="71"/>
  <c r="P394" i="69"/>
  <c r="K395" i="69"/>
  <c r="A395" i="69" s="1"/>
  <c r="H395" i="69"/>
  <c r="Y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Y423" i="71" l="1"/>
  <c r="Q423" i="71" s="1"/>
  <c r="S423" i="71"/>
  <c r="P423" i="71"/>
  <c r="H424" i="71"/>
  <c r="I424" i="71"/>
  <c r="B425" i="71"/>
  <c r="E425" i="71" s="1"/>
  <c r="A424" i="71"/>
  <c r="P396" i="69"/>
  <c r="D397" i="69"/>
  <c r="N424" i="71" l="1"/>
  <c r="M424" i="71"/>
  <c r="L424" i="71" s="1"/>
  <c r="J425" i="71"/>
  <c r="D425" i="71"/>
  <c r="I425" i="71" s="1"/>
  <c r="H397" i="69"/>
  <c r="I397" i="69"/>
  <c r="K397" i="69"/>
  <c r="Y424" i="71" l="1"/>
  <c r="Q424" i="71" s="1"/>
  <c r="S424" i="71"/>
  <c r="P424" i="71"/>
  <c r="K425" i="71"/>
  <c r="A425" i="71" s="1"/>
  <c r="N425" i="71" s="1"/>
  <c r="H425" i="71"/>
  <c r="B398" i="69"/>
  <c r="C398" i="69"/>
  <c r="A397" i="69"/>
  <c r="L393" i="69"/>
  <c r="Y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Y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Y427" i="71" l="1"/>
  <c r="Q427" i="71" s="1"/>
  <c r="S427" i="71"/>
  <c r="P427" i="71"/>
  <c r="I428" i="71"/>
  <c r="H428" i="71"/>
  <c r="K428" i="71"/>
  <c r="C401" i="69"/>
  <c r="A400" i="69"/>
  <c r="B401" i="69"/>
  <c r="L396" i="69"/>
  <c r="C429" i="71" l="1"/>
  <c r="A428" i="71"/>
  <c r="N428" i="71" s="1"/>
  <c r="B429" i="71"/>
  <c r="N400" i="69"/>
  <c r="Z400" i="69" s="1"/>
  <c r="M400" i="69"/>
  <c r="E401" i="69"/>
  <c r="J401" i="69" s="1"/>
  <c r="Y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Y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Y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Y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Y432" i="71" l="1"/>
  <c r="Q432" i="71" s="1"/>
  <c r="S432" i="71"/>
  <c r="P432" i="71"/>
  <c r="I433" i="71"/>
  <c r="H433" i="71"/>
  <c r="K433" i="71"/>
  <c r="N404" i="69"/>
  <c r="Z404" i="69" s="1"/>
  <c r="M404" i="69"/>
  <c r="L400" i="69"/>
  <c r="E405" i="69"/>
  <c r="J405" i="69" s="1"/>
  <c r="C434" i="71" l="1"/>
  <c r="A433" i="71"/>
  <c r="N433" i="71" s="1"/>
  <c r="B434" i="71"/>
  <c r="P404" i="69"/>
  <c r="D405" i="69"/>
  <c r="I405" i="69" s="1"/>
  <c r="Y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Y434" i="71" l="1"/>
  <c r="Q434" i="71" s="1"/>
  <c r="S434" i="71"/>
  <c r="P434" i="71"/>
  <c r="K435" i="71"/>
  <c r="A435" i="71" s="1"/>
  <c r="N435" i="71" s="1"/>
  <c r="I435" i="71"/>
  <c r="N406" i="69"/>
  <c r="Z406" i="69" s="1"/>
  <c r="M406" i="69"/>
  <c r="L402" i="69"/>
  <c r="E407" i="69"/>
  <c r="J407" i="69" s="1"/>
  <c r="Y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Y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Y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Y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Y439" i="71" l="1"/>
  <c r="Q439" i="71" s="1"/>
  <c r="S439" i="71"/>
  <c r="P439" i="71"/>
  <c r="I440" i="71"/>
  <c r="H440" i="71"/>
  <c r="K440" i="71"/>
  <c r="K411" i="69"/>
  <c r="A411" i="69" s="1"/>
  <c r="H411" i="69"/>
  <c r="C441" i="71" l="1"/>
  <c r="A440" i="71"/>
  <c r="N440" i="71" s="1"/>
  <c r="B441" i="71"/>
  <c r="C412" i="69"/>
  <c r="B412" i="69"/>
  <c r="E412" i="69" s="1"/>
  <c r="J412" i="69" s="1"/>
  <c r="N411" i="69"/>
  <c r="Z411" i="69" s="1"/>
  <c r="M411" i="69"/>
  <c r="Y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Y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Y442" i="71" l="1"/>
  <c r="Q442" i="71" s="1"/>
  <c r="S442" i="71"/>
  <c r="P442" i="71"/>
  <c r="K443" i="71"/>
  <c r="A443" i="71" s="1"/>
  <c r="N443" i="71" s="1"/>
  <c r="H443" i="71"/>
  <c r="P413" i="69"/>
  <c r="K414" i="69"/>
  <c r="B415" i="69" s="1"/>
  <c r="H414" i="69"/>
  <c r="Y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Y444" i="71" l="1"/>
  <c r="Q444" i="71" s="1"/>
  <c r="S444" i="71"/>
  <c r="P444" i="71"/>
  <c r="I445" i="71"/>
  <c r="H445" i="71"/>
  <c r="K445" i="71"/>
  <c r="P415" i="69"/>
  <c r="D416" i="69"/>
  <c r="C446" i="71" l="1"/>
  <c r="A445" i="71"/>
  <c r="N445" i="71" s="1"/>
  <c r="B446" i="71"/>
  <c r="I416" i="69"/>
  <c r="H416" i="69"/>
  <c r="K416" i="69"/>
  <c r="Y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Y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Y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Y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Y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Y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Y451" i="71" l="1"/>
  <c r="Q451" i="71" s="1"/>
  <c r="S451" i="71"/>
  <c r="P451" i="71"/>
  <c r="I452" i="71"/>
  <c r="H452" i="71"/>
  <c r="K452" i="71"/>
  <c r="L419" i="69"/>
  <c r="I422" i="69"/>
  <c r="H422" i="69"/>
  <c r="K422" i="69"/>
  <c r="C453" i="71" l="1"/>
  <c r="A452" i="71"/>
  <c r="N452" i="71" s="1"/>
  <c r="B453" i="71"/>
  <c r="C423" i="69"/>
  <c r="A422" i="69"/>
  <c r="B423" i="69"/>
  <c r="Y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Y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Y454" i="71" l="1"/>
  <c r="Q454" i="71" s="1"/>
  <c r="S454" i="71"/>
  <c r="P454" i="71"/>
  <c r="H455" i="71"/>
  <c r="I455" i="71"/>
  <c r="A455" i="71"/>
  <c r="B456" i="71"/>
  <c r="E456" i="71" s="1"/>
  <c r="J456" i="71" s="1"/>
  <c r="P424" i="69"/>
  <c r="D425" i="69"/>
  <c r="N455" i="71" l="1"/>
  <c r="M455" i="71"/>
  <c r="L455" i="71" s="1"/>
  <c r="D456" i="71"/>
  <c r="I456" i="71" s="1"/>
  <c r="I425" i="69"/>
  <c r="H425" i="69"/>
  <c r="K425" i="69"/>
  <c r="Y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Y456" i="71" l="1"/>
  <c r="Q456" i="71" s="1"/>
  <c r="S456" i="71"/>
  <c r="P456" i="71"/>
  <c r="I457" i="71"/>
  <c r="H457" i="71"/>
  <c r="K457" i="71"/>
  <c r="H426" i="69"/>
  <c r="I426" i="69"/>
  <c r="K426" i="69"/>
  <c r="C458" i="71" l="1"/>
  <c r="A457" i="71"/>
  <c r="N457" i="71" s="1"/>
  <c r="B458" i="71"/>
  <c r="B427" i="69"/>
  <c r="C427" i="69"/>
  <c r="A426" i="69"/>
  <c r="L424" i="69"/>
  <c r="Y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Y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Y459" i="71" l="1"/>
  <c r="Q459" i="71" s="1"/>
  <c r="S459" i="71"/>
  <c r="P459" i="71"/>
  <c r="I460" i="71"/>
  <c r="H460" i="71"/>
  <c r="K460" i="71"/>
  <c r="N428" i="69"/>
  <c r="Z428" i="69" s="1"/>
  <c r="M428" i="69"/>
  <c r="E429" i="69"/>
  <c r="J429" i="69" s="1"/>
  <c r="C461" i="71" l="1"/>
  <c r="A460" i="71"/>
  <c r="N460" i="71" s="1"/>
  <c r="B461" i="71"/>
  <c r="P428" i="69"/>
  <c r="D429" i="69"/>
  <c r="Y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Y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Y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Y463" i="71" l="1"/>
  <c r="Q463" i="71" s="1"/>
  <c r="S463" i="71"/>
  <c r="P463" i="71"/>
  <c r="I464" i="71"/>
  <c r="H464" i="71"/>
  <c r="K464" i="71"/>
  <c r="P431" i="69"/>
  <c r="L430" i="69"/>
  <c r="D432" i="69"/>
  <c r="C465" i="71" l="1"/>
  <c r="A464" i="71"/>
  <c r="N464" i="71" s="1"/>
  <c r="B465" i="71"/>
  <c r="H432" i="69"/>
  <c r="I432" i="69"/>
  <c r="K432" i="69"/>
  <c r="Y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Y465" i="71" l="1"/>
  <c r="Q465" i="71" s="1"/>
  <c r="S465" i="71"/>
  <c r="P465" i="71"/>
  <c r="I466" i="71"/>
  <c r="H466" i="71"/>
  <c r="K466" i="71"/>
  <c r="N433" i="69"/>
  <c r="Z433" i="69" s="1"/>
  <c r="M433" i="69"/>
  <c r="E434" i="69"/>
  <c r="J434" i="69" s="1"/>
  <c r="C467" i="71" l="1"/>
  <c r="A466" i="71"/>
  <c r="N466" i="71" s="1"/>
  <c r="B467" i="71"/>
  <c r="P433" i="69"/>
  <c r="D434" i="69"/>
  <c r="H434" i="69" s="1"/>
  <c r="L432" i="69"/>
  <c r="Y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Y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Y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Y469" i="71" l="1"/>
  <c r="Q469" i="71" s="1"/>
  <c r="S469" i="71"/>
  <c r="P469" i="71"/>
  <c r="H470" i="71"/>
  <c r="B471" i="71"/>
  <c r="E471" i="71" s="1"/>
  <c r="J471" i="71" s="1"/>
  <c r="I470" i="71"/>
  <c r="A470" i="71"/>
  <c r="I437" i="69"/>
  <c r="H437" i="69"/>
  <c r="K437" i="69"/>
  <c r="M470" i="71" l="1"/>
  <c r="L470" i="71" s="1"/>
  <c r="N470" i="71"/>
  <c r="D471" i="71"/>
  <c r="I471" i="71" s="1"/>
  <c r="C438" i="69"/>
  <c r="A437" i="69"/>
  <c r="B438" i="69"/>
  <c r="Y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Y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Y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Y473" i="71" l="1"/>
  <c r="Q473" i="71" s="1"/>
  <c r="S473" i="71"/>
  <c r="P473" i="71"/>
  <c r="H474" i="71"/>
  <c r="I474" i="71"/>
  <c r="B475" i="71"/>
  <c r="E475" i="71" s="1"/>
  <c r="J475" i="71" s="1"/>
  <c r="A474" i="71"/>
  <c r="P439" i="69"/>
  <c r="D440" i="69"/>
  <c r="M474" i="71" l="1"/>
  <c r="L474" i="71" s="1"/>
  <c r="N474" i="71"/>
  <c r="D475" i="71"/>
  <c r="I475" i="71" s="1"/>
  <c r="H440" i="69"/>
  <c r="I440" i="69"/>
  <c r="K440" i="69"/>
  <c r="Y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Y475" i="71" l="1"/>
  <c r="Q475" i="71" s="1"/>
  <c r="S475" i="71"/>
  <c r="P475" i="71"/>
  <c r="I476" i="71"/>
  <c r="H476" i="71"/>
  <c r="K476" i="71"/>
  <c r="I441" i="69"/>
  <c r="H441" i="69"/>
  <c r="K441" i="69"/>
  <c r="C477" i="71" l="1"/>
  <c r="A476" i="71"/>
  <c r="N476" i="71" s="1"/>
  <c r="B477" i="71"/>
  <c r="L440" i="69"/>
  <c r="B442" i="69"/>
  <c r="C442" i="69"/>
  <c r="A441" i="69"/>
  <c r="Y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Y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Y478" i="71" l="1"/>
  <c r="Q478" i="71" s="1"/>
  <c r="S478" i="71"/>
  <c r="P478" i="71"/>
  <c r="I479" i="71"/>
  <c r="H479" i="71"/>
  <c r="K479" i="71"/>
  <c r="P443" i="69"/>
  <c r="D444" i="69"/>
  <c r="C480" i="71" l="1"/>
  <c r="A479" i="71"/>
  <c r="N479" i="71" s="1"/>
  <c r="B480" i="71"/>
  <c r="I444" i="69"/>
  <c r="H444" i="69"/>
  <c r="K444" i="69"/>
  <c r="L443" i="69"/>
  <c r="Y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Y480" i="71" l="1"/>
  <c r="Q480" i="71" s="1"/>
  <c r="S480" i="71"/>
  <c r="P480" i="71"/>
  <c r="I481" i="71"/>
  <c r="H481" i="71"/>
  <c r="K481" i="71"/>
  <c r="N445" i="69"/>
  <c r="Z445" i="69" s="1"/>
  <c r="M445" i="69"/>
  <c r="D446" i="69"/>
  <c r="C482" i="71" l="1"/>
  <c r="A481" i="71"/>
  <c r="N481" i="71" s="1"/>
  <c r="B482" i="71"/>
  <c r="P445" i="69"/>
  <c r="I446" i="69"/>
  <c r="H446" i="69"/>
  <c r="K446" i="69"/>
  <c r="Y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Y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Y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Y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Y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Y486" i="71" l="1"/>
  <c r="Q486" i="71" s="1"/>
  <c r="S486" i="71"/>
  <c r="P486" i="71"/>
  <c r="K487" i="71"/>
  <c r="A487" i="71" s="1"/>
  <c r="N487" i="71" s="1"/>
  <c r="H487" i="71"/>
  <c r="P449" i="69"/>
  <c r="L449" i="69"/>
  <c r="D450" i="69"/>
  <c r="Y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Y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Y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Y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Y491" i="71" l="1"/>
  <c r="Q491" i="71" s="1"/>
  <c r="S491" i="71"/>
  <c r="P491" i="71"/>
  <c r="I492" i="71"/>
  <c r="H492" i="71"/>
  <c r="C493" i="71"/>
  <c r="A492" i="71"/>
  <c r="N492" i="71" s="1"/>
  <c r="B493" i="71"/>
  <c r="N453" i="69"/>
  <c r="Z453" i="69" s="1"/>
  <c r="M453" i="69"/>
  <c r="E454" i="69"/>
  <c r="J454" i="69" s="1"/>
  <c r="Y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Y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Y494" i="71" l="1"/>
  <c r="Q494" i="71" s="1"/>
  <c r="S494" i="71"/>
  <c r="P494" i="71"/>
  <c r="K495" i="71"/>
  <c r="A495" i="71" s="1"/>
  <c r="H495"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P9" i="69"/>
  <c r="O6" i="69"/>
  <c r="D14" i="1"/>
  <c r="I52" i="33"/>
  <c r="B37" i="33"/>
  <c r="C37" i="33" s="1"/>
  <c r="B24" i="33"/>
  <c r="Q15" i="1"/>
  <c r="Q12" i="1"/>
  <c r="Q11" i="1"/>
  <c r="F5" i="58"/>
  <c r="F12" i="58"/>
  <c r="F11" i="58"/>
  <c r="F10" i="58"/>
  <c r="F9" i="58"/>
  <c r="J2" i="58"/>
  <c r="G8" i="58" s="1"/>
  <c r="AD20" i="71" l="1"/>
  <c r="AE20" i="71" s="1"/>
  <c r="O21" i="71"/>
  <c r="X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21" i="71" l="1"/>
  <c r="AE21" i="71" s="1"/>
  <c r="O22" i="71"/>
  <c r="X22" i="71" s="1"/>
  <c r="AA6" i="69"/>
  <c r="B12" i="66"/>
  <c r="B11" i="66" s="1"/>
  <c r="O20" i="69"/>
  <c r="X20" i="69" s="1"/>
  <c r="AD19" i="69"/>
  <c r="AE19" i="69" s="1"/>
  <c r="Q16" i="1"/>
  <c r="R16" i="1"/>
  <c r="AD22" i="71" l="1"/>
  <c r="AE22" i="71" s="1"/>
  <c r="O23" i="71"/>
  <c r="X23" i="71" s="1"/>
  <c r="O21" i="69"/>
  <c r="X21" i="69" s="1"/>
  <c r="AD20" i="69"/>
  <c r="AE20" i="69" s="1"/>
  <c r="E3" i="4"/>
  <c r="F9" i="22"/>
  <c r="G9" i="22" s="1"/>
  <c r="G8" i="22"/>
  <c r="F7" i="22"/>
  <c r="G7" i="22" s="1"/>
  <c r="F6" i="22"/>
  <c r="G6" i="22" s="1"/>
  <c r="F5" i="22"/>
  <c r="G5" i="22" s="1"/>
  <c r="E7" i="15"/>
  <c r="F7" i="15" s="1"/>
  <c r="E6" i="15"/>
  <c r="F6" i="15" s="1"/>
  <c r="E5" i="15"/>
  <c r="F5" i="15" s="1"/>
  <c r="G8" i="15"/>
  <c r="AD23" i="71" l="1"/>
  <c r="AE23" i="71" s="1"/>
  <c r="O24" i="71"/>
  <c r="X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AD24" i="71" l="1"/>
  <c r="AE24" i="71" s="1"/>
  <c r="O25" i="71"/>
  <c r="X25" i="71" s="1"/>
  <c r="O23" i="69"/>
  <c r="X23" i="69" s="1"/>
  <c r="AD22" i="69"/>
  <c r="AE22" i="69" s="1"/>
  <c r="G5" i="21"/>
  <c r="L9" i="4"/>
  <c r="AD25" i="71" l="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X31" i="71" s="1"/>
  <c r="O29" i="69"/>
  <c r="X29" i="69" s="1"/>
  <c r="AD28" i="69"/>
  <c r="AE28" i="69" s="1"/>
  <c r="C6" i="62"/>
  <c r="AD31" i="71" l="1"/>
  <c r="AE31" i="71" s="1"/>
  <c r="O32" i="71"/>
  <c r="O30" i="69"/>
  <c r="X30" i="69" s="1"/>
  <c r="AD29" i="69"/>
  <c r="AE29" i="69" s="1"/>
  <c r="E13" i="59"/>
  <c r="S32" i="71" l="1"/>
  <c r="Q32" i="71" s="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AD32" i="71" s="1"/>
  <c r="T32" i="71"/>
  <c r="Z32" i="71"/>
  <c r="AB32" i="71"/>
  <c r="AC32" i="71" l="1"/>
  <c r="AC6" i="71"/>
  <c r="W32" i="71"/>
  <c r="U32" i="71"/>
  <c r="V32" i="71" s="1"/>
  <c r="AE32" i="71"/>
  <c r="O33" i="71"/>
  <c r="S33" i="71" l="1"/>
  <c r="Q33" i="71" s="1"/>
  <c r="R33" i="71" l="1"/>
  <c r="X33" i="71" s="1"/>
  <c r="AB33" i="71"/>
  <c r="AC33" i="71" s="1"/>
  <c r="Z33" i="71"/>
  <c r="T33" i="71"/>
  <c r="AD33" i="71" l="1"/>
  <c r="AE33" i="71" s="1"/>
  <c r="W33" i="71"/>
  <c r="U33" i="71"/>
  <c r="V33" i="71" s="1"/>
  <c r="O34" i="71"/>
  <c r="S34" i="71" s="1"/>
  <c r="Q34" i="71" l="1"/>
  <c r="T34" i="71" s="1"/>
  <c r="R34" i="71" l="1"/>
  <c r="Z34" i="71"/>
  <c r="AB34" i="71"/>
  <c r="AC34" i="71" s="1"/>
  <c r="U34" i="71" l="1"/>
  <c r="V34" i="71" s="1"/>
  <c r="W34" i="71"/>
  <c r="X34" i="71"/>
  <c r="AD34" i="71" s="1"/>
  <c r="O35" i="71" l="1"/>
  <c r="AE34" i="71"/>
  <c r="S35" i="71" l="1"/>
  <c r="Q35" i="71" s="1"/>
  <c r="R35" i="71" l="1"/>
  <c r="Z35" i="71"/>
  <c r="AB35" i="71"/>
  <c r="AC35" i="71" s="1"/>
  <c r="T35" i="71"/>
  <c r="X35" i="71" l="1"/>
  <c r="AD35" i="71" s="1"/>
  <c r="U35" i="71"/>
  <c r="V35" i="71" s="1"/>
  <c r="W35" i="71"/>
  <c r="AE35" i="71" l="1"/>
  <c r="O36" i="71"/>
  <c r="S36" i="71" l="1"/>
  <c r="Q36" i="71" s="1"/>
  <c r="R36" i="71" l="1"/>
  <c r="AB36" i="71"/>
  <c r="AC36" i="71" s="1"/>
  <c r="Z36" i="71"/>
  <c r="T36" i="71"/>
  <c r="U36" i="71" l="1"/>
  <c r="V36" i="71" s="1"/>
  <c r="W36" i="71"/>
  <c r="X36" i="71"/>
  <c r="AD36" i="71" s="1"/>
  <c r="O37" i="71" l="1"/>
  <c r="AE36" i="71"/>
  <c r="S37" i="71" l="1"/>
  <c r="Q37" i="71" s="1"/>
  <c r="T37" i="71" l="1"/>
  <c r="AB37" i="71"/>
  <c r="AC37" i="71" s="1"/>
  <c r="Z37" i="71"/>
  <c r="R37" i="71"/>
  <c r="U37" i="71" l="1"/>
  <c r="V37" i="71" s="1"/>
  <c r="W37" i="71"/>
  <c r="X37" i="71"/>
  <c r="AD37" i="71" s="1"/>
  <c r="O38" i="71" l="1"/>
  <c r="AE37" i="71"/>
  <c r="S38" i="71" l="1"/>
  <c r="Q38" i="71" s="1"/>
  <c r="R38" i="71" l="1"/>
  <c r="T38" i="71"/>
  <c r="Z38" i="71"/>
  <c r="AB38" i="71"/>
  <c r="AC38" i="71" s="1"/>
  <c r="U38" i="71" l="1"/>
  <c r="V38" i="71" s="1"/>
  <c r="W38" i="71"/>
  <c r="X38" i="71"/>
  <c r="AD38" i="71" s="1"/>
  <c r="AE38" i="71" l="1"/>
  <c r="O39" i="71"/>
  <c r="S39" i="71" l="1"/>
  <c r="Q39" i="71" s="1"/>
  <c r="R39" i="71" l="1"/>
  <c r="Z39" i="71"/>
  <c r="T39" i="71"/>
  <c r="AB39" i="71"/>
  <c r="AC39" i="71" s="1"/>
  <c r="U39" i="71" l="1"/>
  <c r="V39" i="71" s="1"/>
  <c r="W39" i="71"/>
  <c r="X39" i="71"/>
  <c r="AD39" i="71" s="1"/>
  <c r="AE39" i="71" l="1"/>
  <c r="O40" i="71"/>
  <c r="S40" i="71" l="1"/>
  <c r="Q40" i="71" s="1"/>
  <c r="R40" i="71" l="1"/>
  <c r="AB40" i="71"/>
  <c r="AC40" i="71" s="1"/>
  <c r="Z40" i="71"/>
  <c r="T40" i="71"/>
  <c r="U40" i="71" l="1"/>
  <c r="V40" i="71" s="1"/>
  <c r="W40" i="71"/>
  <c r="X40" i="71"/>
  <c r="AD40" i="71" s="1"/>
  <c r="O41" i="71" l="1"/>
  <c r="AE40" i="71"/>
  <c r="S41" i="71" l="1"/>
  <c r="Q41" i="71" s="1"/>
  <c r="T41" i="71" l="1"/>
  <c r="AB41" i="71"/>
  <c r="AC41" i="71" s="1"/>
  <c r="Z41" i="71"/>
  <c r="R41" i="71"/>
  <c r="U41" i="71" l="1"/>
  <c r="V41" i="71" s="1"/>
  <c r="W41" i="71"/>
  <c r="X41" i="71"/>
  <c r="AD41" i="71" s="1"/>
  <c r="O42" i="71" l="1"/>
  <c r="AE41" i="71"/>
  <c r="S42" i="71" l="1"/>
  <c r="Q42" i="71" s="1"/>
  <c r="R42" i="71" l="1"/>
  <c r="Z42" i="71"/>
  <c r="T42" i="71"/>
  <c r="AB42" i="71"/>
  <c r="AC42" i="71" s="1"/>
  <c r="U42" i="71" l="1"/>
  <c r="V42" i="71" s="1"/>
  <c r="W42" i="71"/>
  <c r="X42" i="71"/>
  <c r="AD42" i="71" s="1"/>
  <c r="AE42" i="71" l="1"/>
  <c r="O43" i="71"/>
  <c r="S43" i="71" l="1"/>
  <c r="Q43" i="71" s="1"/>
  <c r="R43" i="71" l="1"/>
  <c r="T43" i="71"/>
  <c r="Z43" i="71"/>
  <c r="AB43" i="71"/>
  <c r="AC43" i="71" s="1"/>
  <c r="U43" i="71" l="1"/>
  <c r="V43" i="71" s="1"/>
  <c r="W43" i="71"/>
  <c r="X43" i="71"/>
  <c r="AD43" i="71" s="1"/>
  <c r="O44" i="71" l="1"/>
  <c r="AE43" i="71"/>
  <c r="S44" i="71" l="1"/>
  <c r="Q44" i="71" s="1"/>
  <c r="T44" i="71" l="1"/>
  <c r="AB44" i="71"/>
  <c r="AC44" i="71" s="1"/>
  <c r="Z44" i="71"/>
  <c r="R44" i="71"/>
  <c r="U44" i="71" l="1"/>
  <c r="V44" i="71" s="1"/>
  <c r="W44" i="71"/>
  <c r="X44" i="71"/>
  <c r="AD44" i="71" s="1"/>
  <c r="O45" i="71" l="1"/>
  <c r="AE44" i="71"/>
  <c r="S45" i="71" l="1"/>
  <c r="Q45" i="71" s="1"/>
  <c r="R45" i="71" l="1"/>
  <c r="AB45" i="71"/>
  <c r="AC45" i="71" s="1"/>
  <c r="Z45" i="71"/>
  <c r="T45" i="71"/>
  <c r="U45" i="71" l="1"/>
  <c r="V45" i="71" s="1"/>
  <c r="W45" i="71"/>
  <c r="X45" i="71"/>
  <c r="AD45" i="71" s="1"/>
  <c r="O46" i="71" l="1"/>
  <c r="AE45" i="71"/>
  <c r="S46" i="71" l="1"/>
  <c r="Q46" i="71" s="1"/>
  <c r="T46" i="71" l="1"/>
  <c r="AB46" i="71"/>
  <c r="AC46" i="71" s="1"/>
  <c r="Z46" i="71"/>
  <c r="R46" i="71"/>
  <c r="U46" i="71" l="1"/>
  <c r="V46" i="71" s="1"/>
  <c r="W46" i="71"/>
  <c r="X46" i="71"/>
  <c r="AD46" i="71" s="1"/>
  <c r="AE46" i="71" l="1"/>
  <c r="O47" i="71"/>
  <c r="S47" i="71" l="1"/>
  <c r="Q47" i="71" s="1"/>
  <c r="R47" i="71" l="1"/>
  <c r="T47" i="71"/>
  <c r="Z47" i="71"/>
  <c r="AB47" i="71"/>
  <c r="AC47" i="71" s="1"/>
  <c r="U47" i="71" l="1"/>
  <c r="V47" i="71" s="1"/>
  <c r="W47" i="71"/>
  <c r="X47" i="71"/>
  <c r="AD47" i="71" s="1"/>
  <c r="O48" i="71" l="1"/>
  <c r="AE47" i="71"/>
  <c r="S48" i="71" l="1"/>
  <c r="Q48" i="71" s="1"/>
  <c r="AB48" i="71" l="1"/>
  <c r="AC48" i="71" s="1"/>
  <c r="T48" i="71"/>
  <c r="R48" i="71"/>
  <c r="Z48" i="71"/>
  <c r="U48" i="71" l="1"/>
  <c r="V48" i="71" s="1"/>
  <c r="W48" i="71"/>
  <c r="X48" i="71"/>
  <c r="AD48" i="71" s="1"/>
  <c r="AE48" i="71" l="1"/>
  <c r="O49" i="71"/>
  <c r="S49" i="71" l="1"/>
  <c r="Q49" i="71" s="1"/>
  <c r="T49" i="71" l="1"/>
  <c r="Z49" i="71"/>
  <c r="AB49" i="71"/>
  <c r="AC49" i="71" s="1"/>
  <c r="R49" i="71"/>
  <c r="U49" i="71" l="1"/>
  <c r="V49" i="71" s="1"/>
  <c r="W49" i="71"/>
  <c r="X49" i="71"/>
  <c r="AD49" i="71" s="1"/>
  <c r="AE49" i="71" l="1"/>
  <c r="O50" i="71"/>
  <c r="S50" i="71" l="1"/>
  <c r="Q50" i="71" s="1"/>
  <c r="Z50" i="71" l="1"/>
  <c r="T50" i="71"/>
  <c r="AB50" i="71"/>
  <c r="AC50" i="71" s="1"/>
  <c r="R50" i="71"/>
  <c r="U50" i="71" l="1"/>
  <c r="V50" i="71" s="1"/>
  <c r="W50" i="71"/>
  <c r="X50" i="71"/>
  <c r="AD50" i="71" s="1"/>
  <c r="AE50" i="71" l="1"/>
  <c r="O51" i="71"/>
  <c r="S51" i="71" l="1"/>
  <c r="Q51" i="71" s="1"/>
  <c r="R51" i="71" l="1"/>
  <c r="AB51" i="71"/>
  <c r="AC51" i="71" s="1"/>
  <c r="T51" i="71"/>
  <c r="Z51" i="71"/>
  <c r="U51" i="71" l="1"/>
  <c r="V51" i="71" s="1"/>
  <c r="W51" i="71"/>
  <c r="X51" i="71"/>
  <c r="AD51" i="71" s="1"/>
  <c r="AE51" i="71" l="1"/>
  <c r="O52" i="71"/>
  <c r="S52" i="71" l="1"/>
  <c r="Q52" i="71" s="1"/>
  <c r="T52" i="71" l="1"/>
  <c r="AB52" i="71"/>
  <c r="AC52" i="71" s="1"/>
  <c r="R52" i="71"/>
  <c r="Z52" i="71"/>
  <c r="U52" i="71" l="1"/>
  <c r="V52" i="71" s="1"/>
  <c r="W52" i="71"/>
  <c r="X52" i="71"/>
  <c r="AD52" i="71" s="1"/>
  <c r="AE52" i="71" l="1"/>
  <c r="O53" i="71"/>
  <c r="S53" i="71" l="1"/>
  <c r="Q53" i="71" s="1"/>
  <c r="R53" i="71" l="1"/>
  <c r="AB53" i="71"/>
  <c r="AC53" i="71" s="1"/>
  <c r="Z53" i="71"/>
  <c r="T53" i="71"/>
  <c r="U53" i="71" l="1"/>
  <c r="V53" i="71" s="1"/>
  <c r="W53" i="71"/>
  <c r="X53" i="71"/>
  <c r="AD53" i="71" s="1"/>
  <c r="O54" i="71" l="1"/>
  <c r="AE53" i="71"/>
  <c r="S54" i="71" l="1"/>
  <c r="Q54" i="71" s="1"/>
  <c r="T54" i="71" l="1"/>
  <c r="Z54" i="71"/>
  <c r="R54" i="71"/>
  <c r="AB54" i="71"/>
  <c r="AC54" i="71" s="1"/>
  <c r="U54" i="71" l="1"/>
  <c r="V54" i="71" s="1"/>
  <c r="W54" i="71"/>
  <c r="X54" i="71"/>
  <c r="AD54" i="71" s="1"/>
  <c r="AE54" i="71" l="1"/>
  <c r="O55" i="71"/>
  <c r="S55" i="71" l="1"/>
  <c r="Q55" i="71" s="1"/>
  <c r="R55" i="71" l="1"/>
  <c r="T55" i="71"/>
  <c r="AB55" i="71"/>
  <c r="AC55" i="71" s="1"/>
  <c r="Z55" i="71"/>
  <c r="U55" i="71" l="1"/>
  <c r="V55" i="71" s="1"/>
  <c r="W55" i="71"/>
  <c r="X55" i="71"/>
  <c r="AD55" i="71" s="1"/>
  <c r="AE55" i="71" l="1"/>
  <c r="O56" i="71"/>
  <c r="S56" i="71" l="1"/>
  <c r="Q56" i="71" s="1"/>
  <c r="R56" i="71" l="1"/>
  <c r="T56" i="71"/>
  <c r="Z56" i="71"/>
  <c r="AB56" i="71"/>
  <c r="AC56" i="71" s="1"/>
  <c r="U56" i="71" l="1"/>
  <c r="V56" i="71" s="1"/>
  <c r="W56" i="71"/>
  <c r="X56" i="71"/>
  <c r="AD56" i="71" s="1"/>
  <c r="AE56" i="71" l="1"/>
  <c r="O57" i="71"/>
  <c r="S57" i="71" l="1"/>
  <c r="Q57" i="71" s="1"/>
  <c r="R57" i="71" l="1"/>
  <c r="AB57" i="71"/>
  <c r="AC57" i="71" s="1"/>
  <c r="Z57" i="71"/>
  <c r="T57" i="71"/>
  <c r="U57" i="71" l="1"/>
  <c r="V57" i="71" s="1"/>
  <c r="W57" i="71"/>
  <c r="X57" i="71"/>
  <c r="AD57" i="71" s="1"/>
  <c r="AE57" i="71" l="1"/>
  <c r="O58" i="71"/>
  <c r="S58" i="71" l="1"/>
  <c r="Q58" i="71" s="1"/>
  <c r="T58" i="71" l="1"/>
  <c r="R58" i="71"/>
  <c r="AB58" i="71"/>
  <c r="AC58" i="71" s="1"/>
  <c r="Z58" i="71"/>
  <c r="U58" i="71" l="1"/>
  <c r="V58" i="71" s="1"/>
  <c r="W58" i="71"/>
  <c r="X58" i="71"/>
  <c r="AD58" i="71" s="1"/>
  <c r="O59" i="71" l="1"/>
  <c r="AE58" i="71"/>
  <c r="S59" i="71" l="1"/>
  <c r="Q59" i="71" s="1"/>
  <c r="R59" i="71" l="1"/>
  <c r="AB59" i="71"/>
  <c r="AC59" i="71" s="1"/>
  <c r="Z59" i="71"/>
  <c r="T59" i="71"/>
  <c r="U59" i="71" l="1"/>
  <c r="V59" i="71" s="1"/>
  <c r="W59" i="71"/>
  <c r="X59" i="71"/>
  <c r="AD59" i="71" s="1"/>
  <c r="O60" i="71" l="1"/>
  <c r="AE59" i="71"/>
  <c r="S60" i="71" l="1"/>
  <c r="Q60" i="71" s="1"/>
  <c r="T60" i="71" l="1"/>
  <c r="R60" i="71"/>
  <c r="Z60" i="71"/>
  <c r="AB60" i="71"/>
  <c r="AC60" i="71" s="1"/>
  <c r="U60" i="71" l="1"/>
  <c r="V60" i="71" s="1"/>
  <c r="W60" i="71"/>
  <c r="X60" i="71"/>
  <c r="AD60" i="71" s="1"/>
  <c r="AE60" i="71" l="1"/>
  <c r="O61" i="71"/>
  <c r="S61" i="71" l="1"/>
  <c r="Q61" i="71" s="1"/>
  <c r="R61" i="71" l="1"/>
  <c r="Z61" i="71"/>
  <c r="T61" i="71"/>
  <c r="AB61" i="71"/>
  <c r="AC61" i="71" s="1"/>
  <c r="U61" i="71" l="1"/>
  <c r="V61" i="71" s="1"/>
  <c r="W61" i="71"/>
  <c r="X61" i="71"/>
  <c r="AD61" i="71" s="1"/>
  <c r="AE61" i="71" l="1"/>
  <c r="O62" i="71"/>
  <c r="S62" i="71" l="1"/>
  <c r="Q62" i="71" s="1"/>
  <c r="T62" i="71" l="1"/>
  <c r="R62" i="71"/>
  <c r="Z62" i="71"/>
  <c r="AB62" i="71"/>
  <c r="AC62" i="71" s="1"/>
  <c r="U62" i="71" l="1"/>
  <c r="V62" i="71" s="1"/>
  <c r="W62" i="71"/>
  <c r="X62" i="71"/>
  <c r="AD62" i="71" s="1"/>
  <c r="AE62" i="71" l="1"/>
  <c r="O63" i="71"/>
  <c r="S63" i="71" l="1"/>
  <c r="Q63" i="71" s="1"/>
  <c r="R63" i="71" l="1"/>
  <c r="Z63" i="71"/>
  <c r="AB63" i="71"/>
  <c r="AC63" i="71" s="1"/>
  <c r="T63" i="71"/>
  <c r="U63" i="71" l="1"/>
  <c r="V63" i="71" s="1"/>
  <c r="W63" i="71"/>
  <c r="X63" i="71"/>
  <c r="AD63" i="71" s="1"/>
  <c r="O64" i="71" l="1"/>
  <c r="AE63" i="71"/>
  <c r="S64" i="71" l="1"/>
  <c r="Q64" i="71" s="1"/>
  <c r="AB64" i="71" l="1"/>
  <c r="AC64" i="71" s="1"/>
  <c r="T64" i="71"/>
  <c r="Z64" i="71"/>
  <c r="R64" i="71"/>
  <c r="U64" i="71" l="1"/>
  <c r="V64" i="71" s="1"/>
  <c r="W64" i="71"/>
  <c r="X64" i="71"/>
  <c r="AD64" i="71" s="1"/>
  <c r="O65" i="71" l="1"/>
  <c r="AE64" i="71"/>
  <c r="S65" i="71" l="1"/>
  <c r="Q65" i="71" s="1"/>
  <c r="R65" i="71" l="1"/>
  <c r="Z65" i="71"/>
  <c r="T65" i="71"/>
  <c r="AB65" i="71"/>
  <c r="AC65" i="71" s="1"/>
  <c r="U65" i="71" l="1"/>
  <c r="V65" i="71" s="1"/>
  <c r="W65" i="71"/>
  <c r="X65" i="71"/>
  <c r="AD65" i="71" s="1"/>
  <c r="AE65" i="71" l="1"/>
  <c r="O66" i="71"/>
  <c r="S66" i="71" l="1"/>
  <c r="Q66" i="71" s="1"/>
  <c r="Z66" i="71" l="1"/>
  <c r="AB66" i="71"/>
  <c r="AC66" i="71" s="1"/>
  <c r="T66" i="71"/>
  <c r="R66" i="71"/>
  <c r="U66" i="71" l="1"/>
  <c r="V66" i="71" s="1"/>
  <c r="W66" i="71"/>
  <c r="X66" i="71"/>
  <c r="AD66" i="71" s="1"/>
  <c r="AE66" i="71" l="1"/>
  <c r="O67" i="71"/>
  <c r="S67" i="71" l="1"/>
  <c r="Q67" i="71" s="1"/>
  <c r="R67" i="71" l="1"/>
  <c r="AB67" i="71"/>
  <c r="AC67" i="71" s="1"/>
  <c r="Z67" i="71"/>
  <c r="T67" i="71"/>
  <c r="U67" i="71" l="1"/>
  <c r="V67" i="71" s="1"/>
  <c r="W67" i="71"/>
  <c r="X67" i="71"/>
  <c r="AD67" i="71" s="1"/>
  <c r="AE67" i="71" l="1"/>
  <c r="O68" i="71"/>
  <c r="S68" i="71" l="1"/>
  <c r="Q68" i="71" s="1"/>
  <c r="Z68" i="71" l="1"/>
  <c r="AB68" i="71"/>
  <c r="AC68" i="71" s="1"/>
  <c r="T68" i="71"/>
  <c r="R68" i="71"/>
  <c r="U68" i="71" l="1"/>
  <c r="V68" i="71" s="1"/>
  <c r="W68" i="71"/>
  <c r="X68" i="71"/>
  <c r="AD68" i="71" s="1"/>
  <c r="AE68" i="71" l="1"/>
  <c r="O69" i="71"/>
  <c r="S69" i="71" l="1"/>
  <c r="Q69" i="71" s="1"/>
  <c r="Z69" i="71" l="1"/>
  <c r="AB69" i="71"/>
  <c r="AC69" i="71" s="1"/>
  <c r="T69" i="71"/>
  <c r="R69" i="71"/>
  <c r="U69" i="71" l="1"/>
  <c r="V69" i="71" s="1"/>
  <c r="W69" i="71"/>
  <c r="X69" i="71"/>
  <c r="AD69" i="71" s="1"/>
  <c r="AE69" i="71" l="1"/>
  <c r="O70" i="71"/>
  <c r="S70" i="71" l="1"/>
  <c r="Q70" i="71" s="1"/>
  <c r="T70" i="71" l="1"/>
  <c r="AB70" i="71"/>
  <c r="AC70" i="71" s="1"/>
  <c r="R70" i="71"/>
  <c r="Z70" i="71"/>
  <c r="U70" i="71" l="1"/>
  <c r="V70" i="71" s="1"/>
  <c r="W70" i="71"/>
  <c r="X70" i="71"/>
  <c r="AD70" i="71" s="1"/>
  <c r="O71" i="71" l="1"/>
  <c r="AE70" i="71"/>
  <c r="S71" i="71" l="1"/>
  <c r="Q71" i="71" s="1"/>
  <c r="R71" i="71" l="1"/>
  <c r="Z71" i="71"/>
  <c r="T71" i="71"/>
  <c r="AB71" i="71"/>
  <c r="AC71" i="71" s="1"/>
  <c r="U71" i="71" l="1"/>
  <c r="V71" i="71" s="1"/>
  <c r="W71" i="71"/>
  <c r="X71" i="71"/>
  <c r="AD71" i="71" s="1"/>
  <c r="O72" i="71" l="1"/>
  <c r="AE71" i="71"/>
  <c r="S72" i="71" l="1"/>
  <c r="Q72" i="71" s="1"/>
  <c r="AB72" i="71" l="1"/>
  <c r="AC72" i="71" s="1"/>
  <c r="T72" i="71"/>
  <c r="R72" i="71"/>
  <c r="Z72" i="71"/>
  <c r="U72" i="71" l="1"/>
  <c r="V72" i="71" s="1"/>
  <c r="W72" i="71"/>
  <c r="X72" i="71"/>
  <c r="AD72" i="71" s="1"/>
  <c r="O73" i="71" l="1"/>
  <c r="AE72" i="71"/>
  <c r="S73" i="71" l="1"/>
  <c r="Q73" i="71" s="1"/>
  <c r="T73" i="71" l="1"/>
  <c r="R73" i="71"/>
  <c r="Z73" i="71"/>
  <c r="AB73" i="71"/>
  <c r="AC73" i="71" s="1"/>
  <c r="U73" i="71" l="1"/>
  <c r="V73" i="71" s="1"/>
  <c r="W73" i="71"/>
  <c r="X73" i="71"/>
  <c r="AD73" i="71" s="1"/>
  <c r="AE73" i="71" l="1"/>
  <c r="O74" i="71"/>
  <c r="S74" i="71" l="1"/>
  <c r="Q74" i="71" s="1"/>
  <c r="Z74" i="71" l="1"/>
  <c r="AB74" i="71"/>
  <c r="AC74" i="71" s="1"/>
  <c r="T74" i="71"/>
  <c r="R74" i="71"/>
  <c r="U74" i="71" l="1"/>
  <c r="V74" i="71" s="1"/>
  <c r="W74" i="71"/>
  <c r="X74" i="71"/>
  <c r="AD74" i="71" s="1"/>
  <c r="AE74" i="71" l="1"/>
  <c r="O75" i="71"/>
  <c r="S75" i="71" l="1"/>
  <c r="Q75" i="71" s="1"/>
  <c r="R75" i="71" l="1"/>
  <c r="AB75" i="71"/>
  <c r="AC75" i="71" s="1"/>
  <c r="T75" i="71"/>
  <c r="Z75" i="71"/>
  <c r="U75" i="71" l="1"/>
  <c r="V75" i="71" s="1"/>
  <c r="W75" i="71"/>
  <c r="X75" i="71"/>
  <c r="AD75" i="71" s="1"/>
  <c r="AE75" i="71" l="1"/>
  <c r="O76" i="71"/>
  <c r="S76" i="71" l="1"/>
  <c r="Q76" i="71" s="1"/>
  <c r="Z76" i="71" l="1"/>
  <c r="AB76" i="71"/>
  <c r="AC76" i="71" s="1"/>
  <c r="T76" i="71"/>
  <c r="R76" i="71"/>
  <c r="U76" i="71" l="1"/>
  <c r="V76" i="71" s="1"/>
  <c r="W76" i="71"/>
  <c r="X76" i="71"/>
  <c r="AD76" i="71" s="1"/>
  <c r="O77" i="71" l="1"/>
  <c r="AE76" i="71"/>
  <c r="S77" i="71" l="1"/>
  <c r="Q77" i="71" s="1"/>
  <c r="Z77" i="71" l="1"/>
  <c r="AB77" i="71"/>
  <c r="AC77" i="71" s="1"/>
  <c r="T77" i="71"/>
  <c r="R77" i="71"/>
  <c r="U77" i="71" l="1"/>
  <c r="V77" i="71" s="1"/>
  <c r="W77" i="71"/>
  <c r="X77" i="71"/>
  <c r="AD77" i="71" s="1"/>
  <c r="AE77" i="71" l="1"/>
  <c r="O78" i="71"/>
  <c r="S78" i="71" l="1"/>
  <c r="Q78" i="71" s="1"/>
  <c r="T78" i="71" l="1"/>
  <c r="AB78" i="71"/>
  <c r="AC78" i="71" s="1"/>
  <c r="Z78" i="71"/>
  <c r="R78" i="71"/>
  <c r="U78" i="71" l="1"/>
  <c r="V78" i="71" s="1"/>
  <c r="W78" i="71"/>
  <c r="X78" i="71"/>
  <c r="AD78" i="71" s="1"/>
  <c r="AE78" i="71" l="1"/>
  <c r="O79" i="71"/>
  <c r="S79" i="71" l="1"/>
  <c r="Q79" i="71" s="1"/>
  <c r="R79" i="71" l="1"/>
  <c r="AB79" i="71"/>
  <c r="AC79" i="71" s="1"/>
  <c r="Z79" i="71"/>
  <c r="T79" i="71"/>
  <c r="U79" i="71" l="1"/>
  <c r="V79" i="71" s="1"/>
  <c r="W79" i="71"/>
  <c r="X79" i="71"/>
  <c r="AD79" i="71" s="1"/>
  <c r="AE79" i="71" l="1"/>
  <c r="O80" i="71"/>
  <c r="S80" i="71" l="1"/>
  <c r="Q80" i="71" s="1"/>
  <c r="AB80" i="71" l="1"/>
  <c r="AC80" i="71" s="1"/>
  <c r="T80" i="71"/>
  <c r="Z80" i="71"/>
  <c r="R80" i="71"/>
  <c r="U80" i="71" l="1"/>
  <c r="V80" i="71" s="1"/>
  <c r="W80" i="71"/>
  <c r="X80" i="71"/>
  <c r="AD80" i="71" s="1"/>
  <c r="AE80" i="71" l="1"/>
  <c r="O81" i="71"/>
  <c r="S81" i="71" l="1"/>
  <c r="Q81" i="71" s="1"/>
  <c r="T81" i="71" l="1"/>
  <c r="Z81" i="71"/>
  <c r="R81" i="71"/>
  <c r="AB81" i="71"/>
  <c r="AC81" i="71" s="1"/>
  <c r="U81" i="71" l="1"/>
  <c r="V81" i="71" s="1"/>
  <c r="W81" i="71"/>
  <c r="X81" i="71"/>
  <c r="AD81" i="71" s="1"/>
  <c r="AE81" i="71" l="1"/>
  <c r="O82" i="71"/>
  <c r="S82" i="71" l="1"/>
  <c r="Q82" i="71" s="1"/>
  <c r="R82" i="71" l="1"/>
  <c r="Z82" i="71"/>
  <c r="AB82" i="71"/>
  <c r="AC82" i="71" s="1"/>
  <c r="T82" i="71"/>
  <c r="U82" i="71" l="1"/>
  <c r="V82" i="71" s="1"/>
  <c r="W82" i="71"/>
  <c r="X82" i="71"/>
  <c r="AD82" i="71" s="1"/>
  <c r="O83" i="71" l="1"/>
  <c r="AE82" i="71"/>
  <c r="S83" i="71" l="1"/>
  <c r="Q83" i="71" s="1"/>
  <c r="R83" i="71" l="1"/>
  <c r="AB83" i="71"/>
  <c r="AC83" i="71" s="1"/>
  <c r="T83" i="71"/>
  <c r="Z83" i="71"/>
  <c r="U83" i="71" l="1"/>
  <c r="V83" i="71" s="1"/>
  <c r="W83" i="71"/>
  <c r="X83" i="71"/>
  <c r="AD83" i="71" s="1"/>
  <c r="O84" i="71" l="1"/>
  <c r="AE83" i="71"/>
  <c r="S84" i="71" l="1"/>
  <c r="Q84" i="71" s="1"/>
  <c r="R84" i="71" l="1"/>
  <c r="T84" i="71"/>
  <c r="Z84" i="71"/>
  <c r="AB84" i="71"/>
  <c r="AC84" i="71" s="1"/>
  <c r="U84" i="71" l="1"/>
  <c r="V84" i="71" s="1"/>
  <c r="W84" i="71"/>
  <c r="X84" i="71"/>
  <c r="AD84" i="71" s="1"/>
  <c r="AE84" i="71" l="1"/>
  <c r="O85" i="71"/>
  <c r="S85" i="71" l="1"/>
  <c r="Q85" i="71" s="1"/>
  <c r="T85" i="71" l="1"/>
  <c r="R85" i="71"/>
  <c r="Z85" i="71"/>
  <c r="AB85" i="71"/>
  <c r="AC85" i="71" s="1"/>
  <c r="U85" i="71" l="1"/>
  <c r="V85" i="71" s="1"/>
  <c r="W85" i="71"/>
  <c r="X85" i="71"/>
  <c r="AD85" i="71" s="1"/>
  <c r="AE85" i="71" l="1"/>
  <c r="O86" i="71"/>
  <c r="S86" i="71" l="1"/>
  <c r="Q86" i="71" s="1"/>
  <c r="Z86" i="71" l="1"/>
  <c r="AB86" i="71"/>
  <c r="AC86" i="71" s="1"/>
  <c r="T86" i="71"/>
  <c r="R86" i="71"/>
  <c r="U86" i="71" l="1"/>
  <c r="V86" i="71" s="1"/>
  <c r="W86" i="71"/>
  <c r="X86" i="71"/>
  <c r="AD86" i="71" s="1"/>
  <c r="AE86" i="71" l="1"/>
  <c r="O87" i="71"/>
  <c r="S87" i="71" l="1"/>
  <c r="Q87" i="71" s="1"/>
  <c r="Z87" i="71" l="1"/>
  <c r="T87" i="71"/>
  <c r="AB87" i="71"/>
  <c r="AC87" i="71" s="1"/>
  <c r="R87" i="71"/>
  <c r="U87" i="71" l="1"/>
  <c r="V87" i="71" s="1"/>
  <c r="W87" i="71"/>
  <c r="X87" i="71"/>
  <c r="AD87" i="71" s="1"/>
  <c r="AE87" i="71" l="1"/>
  <c r="O88" i="71"/>
  <c r="S88" i="71" l="1"/>
  <c r="Q88" i="71" s="1"/>
  <c r="T88" i="71" l="1"/>
  <c r="AB88" i="71"/>
  <c r="AC88" i="71" s="1"/>
  <c r="Z88" i="71"/>
  <c r="R88" i="71"/>
  <c r="U88" i="71" l="1"/>
  <c r="V88" i="71" s="1"/>
  <c r="W88" i="71"/>
  <c r="X88" i="71"/>
  <c r="AD88" i="71" s="1"/>
  <c r="O89" i="71" l="1"/>
  <c r="AE88" i="71"/>
  <c r="S89" i="71" l="1"/>
  <c r="Q89" i="71" s="1"/>
  <c r="Z89" i="71" l="1"/>
  <c r="R89" i="71"/>
  <c r="AB89" i="71"/>
  <c r="AC89" i="71" s="1"/>
  <c r="T89" i="71"/>
  <c r="U89" i="71" l="1"/>
  <c r="V89" i="71" s="1"/>
  <c r="W89" i="71"/>
  <c r="X89" i="71"/>
  <c r="AD89" i="71" s="1"/>
  <c r="AE89" i="71" l="1"/>
  <c r="O90" i="71"/>
  <c r="S90" i="71" l="1"/>
  <c r="Q90" i="71" s="1"/>
  <c r="R90" i="71" l="1"/>
  <c r="Z90" i="71"/>
  <c r="AB90" i="71"/>
  <c r="AC90" i="71" s="1"/>
  <c r="T90" i="71"/>
  <c r="U90" i="71" l="1"/>
  <c r="V90" i="71" s="1"/>
  <c r="W90" i="71"/>
  <c r="X90" i="71"/>
  <c r="AD90" i="71" s="1"/>
  <c r="AE90" i="71" l="1"/>
  <c r="O91" i="71"/>
  <c r="S91" i="71" l="1"/>
  <c r="Q91" i="71" s="1"/>
  <c r="AB91" i="71" l="1"/>
  <c r="AC91" i="71" s="1"/>
  <c r="AC7" i="71" s="1"/>
  <c r="Z91" i="71"/>
  <c r="T91" i="71"/>
  <c r="R91" i="71"/>
  <c r="U91" i="71" l="1"/>
  <c r="V91" i="71" s="1"/>
  <c r="W91" i="71"/>
  <c r="X91" i="71"/>
  <c r="AC5" i="71" l="1"/>
  <c r="AD91" i="71"/>
  <c r="V11" i="71"/>
  <c r="AC4" i="71" s="1"/>
  <c r="O92" i="71"/>
  <c r="AC8" i="71"/>
  <c r="AE91" i="71" l="1"/>
  <c r="AC9" i="71" s="1"/>
  <c r="S92" i="71"/>
  <c r="Q92" i="71" s="1"/>
  <c r="Z92" i="71" l="1"/>
  <c r="T92" i="71"/>
  <c r="R92" i="71"/>
  <c r="AB92" i="71"/>
  <c r="AC92" i="71" s="1"/>
  <c r="U92" i="71" l="1"/>
  <c r="V92" i="71" s="1"/>
  <c r="W92" i="71"/>
  <c r="X92" i="71"/>
  <c r="AD92" i="71" s="1"/>
  <c r="AE92" i="71" l="1"/>
  <c r="O93" i="71"/>
  <c r="S93" i="71" l="1"/>
  <c r="Q93" i="71" s="1"/>
  <c r="T93" i="71" l="1"/>
  <c r="AB93" i="71"/>
  <c r="AC93" i="71" s="1"/>
  <c r="Z93" i="71"/>
  <c r="R93" i="71"/>
  <c r="U93" i="71" l="1"/>
  <c r="V93" i="71" s="1"/>
  <c r="W93" i="71"/>
  <c r="X93" i="71"/>
  <c r="AD93" i="71" s="1"/>
  <c r="O94" i="71" l="1"/>
  <c r="AE93" i="71"/>
  <c r="S94" i="71" l="1"/>
  <c r="Q94" i="71" s="1"/>
  <c r="Z94" i="71" l="1"/>
  <c r="T94" i="71"/>
  <c r="AB94" i="71"/>
  <c r="AC94" i="71" s="1"/>
  <c r="R94" i="71"/>
  <c r="U94" i="71" l="1"/>
  <c r="V94" i="71" s="1"/>
  <c r="W94" i="71"/>
  <c r="X94" i="71"/>
  <c r="AD94" i="71" s="1"/>
  <c r="O95" i="71" l="1"/>
  <c r="AE94" i="71"/>
  <c r="S95" i="71" l="1"/>
  <c r="Q95" i="71" s="1"/>
  <c r="R95" i="71" l="1"/>
  <c r="AB95" i="71"/>
  <c r="AC95" i="71" s="1"/>
  <c r="T95" i="71"/>
  <c r="Z95" i="71"/>
  <c r="U95" i="71" l="1"/>
  <c r="V95" i="71" s="1"/>
  <c r="W95" i="71"/>
  <c r="X95" i="71"/>
  <c r="AD95" i="71" s="1"/>
  <c r="AE95" i="71" l="1"/>
  <c r="O96" i="71"/>
  <c r="S96" i="71" l="1"/>
  <c r="Q96" i="71" s="1"/>
  <c r="T96" i="71" l="1"/>
  <c r="AB96" i="71"/>
  <c r="AC96" i="71" s="1"/>
  <c r="R96" i="71"/>
  <c r="Z96" i="71"/>
  <c r="U96" i="71" l="1"/>
  <c r="V96" i="71" s="1"/>
  <c r="W96" i="71"/>
  <c r="X96" i="71"/>
  <c r="AD96" i="71" s="1"/>
  <c r="O97" i="71" l="1"/>
  <c r="AE96" i="71"/>
  <c r="S97" i="71" l="1"/>
  <c r="Q97" i="71" s="1"/>
  <c r="R97" i="71" l="1"/>
  <c r="T97" i="71"/>
  <c r="AB97" i="71"/>
  <c r="AC97" i="71" s="1"/>
  <c r="Z97" i="71"/>
  <c r="U97" i="71" l="1"/>
  <c r="V97" i="71" s="1"/>
  <c r="W97" i="71"/>
  <c r="X97" i="71"/>
  <c r="AD97" i="71" s="1"/>
  <c r="AE97" i="71" l="1"/>
  <c r="O98" i="71"/>
  <c r="S98" i="71" l="1"/>
  <c r="Q98" i="71" s="1"/>
  <c r="R98" i="71" l="1"/>
  <c r="AB98" i="71"/>
  <c r="AC98" i="71" s="1"/>
  <c r="Z98" i="71"/>
  <c r="T98" i="71"/>
  <c r="U98" i="71" l="1"/>
  <c r="V98" i="71" s="1"/>
  <c r="W98" i="71"/>
  <c r="X98" i="71"/>
  <c r="AD98" i="71" s="1"/>
  <c r="AE98" i="71" l="1"/>
  <c r="O99" i="71"/>
  <c r="S99" i="71" l="1"/>
  <c r="Q99" i="71" s="1"/>
  <c r="Z99" i="71" l="1"/>
  <c r="R99" i="71"/>
  <c r="AB99" i="71"/>
  <c r="AC99" i="71" s="1"/>
  <c r="T99" i="71"/>
  <c r="U99" i="71" l="1"/>
  <c r="V99" i="71" s="1"/>
  <c r="W99" i="71"/>
  <c r="X99" i="71"/>
  <c r="AD99" i="71" s="1"/>
  <c r="O100" i="71" l="1"/>
  <c r="AE99" i="71"/>
  <c r="S100" i="71" l="1"/>
  <c r="Q100" i="71" s="1"/>
  <c r="R100" i="71" l="1"/>
  <c r="Z100" i="71"/>
  <c r="T100" i="71"/>
  <c r="AB100" i="71"/>
  <c r="AC100" i="71" s="1"/>
  <c r="U100" i="71" l="1"/>
  <c r="V100" i="71" s="1"/>
  <c r="W100" i="71"/>
  <c r="X100" i="71"/>
  <c r="AD100" i="71" s="1"/>
  <c r="AE100" i="71" l="1"/>
  <c r="O101" i="71"/>
  <c r="S101" i="71" l="1"/>
  <c r="Q101" i="71" s="1"/>
  <c r="T101" i="71" l="1"/>
  <c r="Z101" i="71"/>
  <c r="AB101" i="71"/>
  <c r="AC101" i="71" s="1"/>
  <c r="R101" i="71"/>
  <c r="U101" i="71" l="1"/>
  <c r="V101" i="71" s="1"/>
  <c r="W101" i="71"/>
  <c r="X101" i="71"/>
  <c r="AD101" i="71" s="1"/>
  <c r="O102" i="71" l="1"/>
  <c r="AE101" i="71"/>
  <c r="S102" i="71" l="1"/>
  <c r="Q102" i="71" s="1"/>
  <c r="R102" i="71" l="1"/>
  <c r="Z102" i="71"/>
  <c r="AB102" i="71"/>
  <c r="AC102" i="71" s="1"/>
  <c r="T102" i="71"/>
  <c r="U102" i="71" l="1"/>
  <c r="V102" i="71" s="1"/>
  <c r="W102" i="71"/>
  <c r="X102" i="71"/>
  <c r="AD102" i="71" s="1"/>
  <c r="O103" i="71" l="1"/>
  <c r="AE102" i="71"/>
  <c r="S103" i="71" l="1"/>
  <c r="Q103" i="71" s="1"/>
  <c r="R103" i="71" l="1"/>
  <c r="T103" i="71"/>
  <c r="AB103" i="71"/>
  <c r="AC103" i="71" s="1"/>
  <c r="Z103" i="71"/>
  <c r="U103" i="71" l="1"/>
  <c r="V103" i="71" s="1"/>
  <c r="W103" i="71"/>
  <c r="X103" i="71"/>
  <c r="AD103" i="71" s="1"/>
  <c r="AE103" i="71" l="1"/>
  <c r="O104" i="71"/>
  <c r="S104" i="71" l="1"/>
  <c r="Q104" i="71" s="1"/>
  <c r="T104" i="71" l="1"/>
  <c r="Z104" i="71"/>
  <c r="AB104" i="71"/>
  <c r="AC104" i="71" s="1"/>
  <c r="R104" i="71"/>
  <c r="U104" i="71" l="1"/>
  <c r="V104" i="71" s="1"/>
  <c r="W104" i="71"/>
  <c r="X104" i="71"/>
  <c r="AD104" i="71" s="1"/>
  <c r="AE104" i="71" l="1"/>
  <c r="O105" i="71"/>
  <c r="S105" i="71" l="1"/>
  <c r="Q105" i="71" s="1"/>
  <c r="Z105" i="71" l="1"/>
  <c r="AB105" i="71"/>
  <c r="AC105" i="71" s="1"/>
  <c r="T105" i="71"/>
  <c r="R105" i="71"/>
  <c r="U105" i="71" l="1"/>
  <c r="V105" i="71" s="1"/>
  <c r="W105" i="71"/>
  <c r="X105" i="71"/>
  <c r="AD105" i="71" s="1"/>
  <c r="O106" i="71" l="1"/>
  <c r="AE105" i="71"/>
  <c r="S106" i="71" l="1"/>
  <c r="Q106" i="71" s="1"/>
  <c r="R106" i="71" l="1"/>
  <c r="Z106" i="71"/>
  <c r="AB106" i="71"/>
  <c r="AC106" i="71" s="1"/>
  <c r="T106" i="71"/>
  <c r="U106" i="71" l="1"/>
  <c r="V106" i="71" s="1"/>
  <c r="W106" i="71"/>
  <c r="X106" i="71"/>
  <c r="AD106" i="71" s="1"/>
  <c r="AE106" i="71" l="1"/>
  <c r="O107" i="71"/>
  <c r="S107" i="71" l="1"/>
  <c r="Q107" i="71" s="1"/>
  <c r="R107" i="71" l="1"/>
  <c r="Z107" i="71"/>
  <c r="AB107" i="71"/>
  <c r="AC107" i="71" s="1"/>
  <c r="T107" i="71"/>
  <c r="U107" i="71" l="1"/>
  <c r="V107" i="71" s="1"/>
  <c r="W107" i="71"/>
  <c r="X107" i="71"/>
  <c r="AD107" i="71" s="1"/>
  <c r="O108" i="71" l="1"/>
  <c r="AE107" i="71"/>
  <c r="S108" i="71" l="1"/>
  <c r="Q108" i="71" s="1"/>
  <c r="Z108" i="71" l="1"/>
  <c r="AB108" i="71"/>
  <c r="AC108" i="71" s="1"/>
  <c r="R108" i="71"/>
  <c r="T108" i="71"/>
  <c r="U108" i="71" l="1"/>
  <c r="V108" i="71" s="1"/>
  <c r="W108" i="71"/>
  <c r="X108" i="71"/>
  <c r="AD108" i="71" s="1"/>
  <c r="O109" i="71" l="1"/>
  <c r="AE108" i="71"/>
  <c r="S109" i="71" l="1"/>
  <c r="Q109" i="71" s="1"/>
  <c r="T109" i="71" l="1"/>
  <c r="AB109" i="71"/>
  <c r="AC109" i="71" s="1"/>
  <c r="Z109" i="71"/>
  <c r="R109" i="71"/>
  <c r="U109" i="71" l="1"/>
  <c r="V109" i="71" s="1"/>
  <c r="W109" i="71"/>
  <c r="X109" i="71"/>
  <c r="AD109" i="71" s="1"/>
  <c r="AE109" i="71" l="1"/>
  <c r="O110" i="71"/>
  <c r="S110" i="71" l="1"/>
  <c r="Q110" i="71" s="1"/>
  <c r="AB110" i="71" l="1"/>
  <c r="AC110" i="71" s="1"/>
  <c r="Z110" i="71"/>
  <c r="R110" i="71"/>
  <c r="T110" i="71"/>
  <c r="U110" i="71" l="1"/>
  <c r="V110" i="71" s="1"/>
  <c r="W110" i="71"/>
  <c r="X110" i="71"/>
  <c r="AD110" i="71" s="1"/>
  <c r="O111" i="71" l="1"/>
  <c r="AE110" i="71"/>
  <c r="S111" i="71" l="1"/>
  <c r="Q111" i="71" s="1"/>
  <c r="AB111" i="71" l="1"/>
  <c r="AC111" i="71" s="1"/>
  <c r="T111" i="71"/>
  <c r="R111" i="71"/>
  <c r="Z111" i="71"/>
  <c r="U111" i="71" l="1"/>
  <c r="V111" i="71" s="1"/>
  <c r="W111" i="71"/>
  <c r="X111" i="71"/>
  <c r="AD111" i="71" s="1"/>
  <c r="O112" i="71" l="1"/>
  <c r="AE111" i="71"/>
  <c r="S112" i="71" l="1"/>
  <c r="Q112" i="71" s="1"/>
  <c r="T112" i="71" l="1"/>
  <c r="AB112" i="71"/>
  <c r="AC112" i="71" s="1"/>
  <c r="R112" i="71"/>
  <c r="Z112" i="71"/>
  <c r="U112" i="71" l="1"/>
  <c r="V112" i="71" s="1"/>
  <c r="W112" i="71"/>
  <c r="X112" i="71"/>
  <c r="AD112" i="71" s="1"/>
  <c r="AE112" i="71" l="1"/>
  <c r="O113" i="71"/>
  <c r="S113" i="71" l="1"/>
  <c r="Q113" i="71" s="1"/>
  <c r="R113" i="71" l="1"/>
  <c r="T113" i="71"/>
  <c r="Z113" i="71"/>
  <c r="AB113" i="71"/>
  <c r="AC113" i="71" s="1"/>
  <c r="U113" i="71" l="1"/>
  <c r="V113" i="71" s="1"/>
  <c r="W113" i="71"/>
  <c r="X113" i="71"/>
  <c r="AD113" i="71" s="1"/>
  <c r="AE113" i="71" l="1"/>
  <c r="O114" i="71"/>
  <c r="S114" i="71" l="1"/>
  <c r="Q114" i="71" s="1"/>
  <c r="R114" i="71" l="1"/>
  <c r="AB114" i="71"/>
  <c r="AC114" i="71" s="1"/>
  <c r="Z114" i="71"/>
  <c r="T114" i="71"/>
  <c r="U114" i="71" l="1"/>
  <c r="V114" i="71" s="1"/>
  <c r="W114" i="71"/>
  <c r="X114" i="71"/>
  <c r="AD114" i="71" s="1"/>
  <c r="AE114" i="71" l="1"/>
  <c r="O115" i="71"/>
  <c r="S115" i="71" l="1"/>
  <c r="Q115" i="71" s="1"/>
  <c r="AB115" i="71" l="1"/>
  <c r="AC115" i="71" s="1"/>
  <c r="Z115" i="71"/>
  <c r="T115" i="71"/>
  <c r="R115" i="71"/>
  <c r="U115" i="71" l="1"/>
  <c r="V115" i="71" s="1"/>
  <c r="W115" i="71"/>
  <c r="X115" i="71"/>
  <c r="AD115" i="71" s="1"/>
  <c r="AE115" i="71" l="1"/>
  <c r="O116" i="71"/>
  <c r="S116" i="71" l="1"/>
  <c r="Q116" i="71" s="1"/>
  <c r="R116" i="71" l="1"/>
  <c r="T116" i="71"/>
  <c r="Z116" i="71"/>
  <c r="AB116" i="71"/>
  <c r="AC116" i="71" s="1"/>
  <c r="U116" i="71" l="1"/>
  <c r="V116" i="71" s="1"/>
  <c r="W116" i="71"/>
  <c r="X116" i="71"/>
  <c r="AD116" i="71" s="1"/>
  <c r="O117" i="71" l="1"/>
  <c r="AE116" i="71"/>
  <c r="S117" i="71" l="1"/>
  <c r="Q117" i="71" s="1"/>
  <c r="R117" i="71" l="1"/>
  <c r="AB117" i="71"/>
  <c r="AC117" i="71" s="1"/>
  <c r="Z117" i="71"/>
  <c r="T117" i="71"/>
  <c r="U117" i="71" l="1"/>
  <c r="V117" i="71" s="1"/>
  <c r="W117" i="71"/>
  <c r="X117" i="71"/>
  <c r="AD117" i="71" s="1"/>
  <c r="AE117" i="71" l="1"/>
  <c r="O118" i="71"/>
  <c r="S118" i="71" l="1"/>
  <c r="Q118" i="71" s="1"/>
  <c r="Z118" i="71" l="1"/>
  <c r="AB118" i="71"/>
  <c r="AC118" i="71" s="1"/>
  <c r="T118" i="71"/>
  <c r="R118" i="71"/>
  <c r="U118" i="71" l="1"/>
  <c r="V118" i="71" s="1"/>
  <c r="W118" i="71"/>
  <c r="X118" i="71"/>
  <c r="AD118" i="71" s="1"/>
  <c r="O119" i="71" l="1"/>
  <c r="AE118" i="71"/>
  <c r="S119" i="71" l="1"/>
  <c r="Q119" i="71" s="1"/>
  <c r="R119" i="71" l="1"/>
  <c r="T119" i="71"/>
  <c r="AB119" i="71"/>
  <c r="AC119" i="71" s="1"/>
  <c r="Z119" i="71"/>
  <c r="U119" i="71" l="1"/>
  <c r="V119" i="71" s="1"/>
  <c r="W119" i="71"/>
  <c r="X119" i="71"/>
  <c r="AD119" i="71" s="1"/>
  <c r="O120" i="71" l="1"/>
  <c r="AE119" i="71"/>
  <c r="S120" i="71" l="1"/>
  <c r="Q120" i="71" s="1"/>
  <c r="AB120" i="71" l="1"/>
  <c r="AC120" i="71" s="1"/>
  <c r="T120" i="71"/>
  <c r="R120" i="71"/>
  <c r="Z120" i="71"/>
  <c r="U120" i="71" l="1"/>
  <c r="V120" i="71" s="1"/>
  <c r="W120" i="71"/>
  <c r="X120" i="71"/>
  <c r="AD120" i="71" s="1"/>
  <c r="AE120" i="71" l="1"/>
  <c r="O121" i="71"/>
  <c r="S121" i="71" l="1"/>
  <c r="Q121" i="71" s="1"/>
  <c r="R121" i="71" l="1"/>
  <c r="AB121" i="71"/>
  <c r="AC121" i="71" s="1"/>
  <c r="Z121" i="71"/>
  <c r="T121" i="71"/>
  <c r="U121" i="71" l="1"/>
  <c r="V121" i="71" s="1"/>
  <c r="W121" i="71"/>
  <c r="X121" i="71"/>
  <c r="AD121" i="71" s="1"/>
  <c r="AE121" i="71" l="1"/>
  <c r="O122" i="71"/>
  <c r="S122" i="71" l="1"/>
  <c r="Q122" i="71" s="1"/>
  <c r="T122" i="71" l="1"/>
  <c r="Z122" i="71"/>
  <c r="R122" i="71"/>
  <c r="AB122" i="71"/>
  <c r="AC122" i="71" s="1"/>
  <c r="U122" i="71" l="1"/>
  <c r="V122" i="71" s="1"/>
  <c r="W122" i="71"/>
  <c r="X122" i="71"/>
  <c r="AD122" i="71" s="1"/>
  <c r="O123" i="71" l="1"/>
  <c r="AE122" i="71"/>
  <c r="S123" i="71" l="1"/>
  <c r="Q123" i="71" s="1"/>
  <c r="R123" i="71" l="1"/>
  <c r="Z123" i="71"/>
  <c r="T123" i="71"/>
  <c r="AB123" i="71"/>
  <c r="AC123" i="71" s="1"/>
  <c r="U123" i="71" l="1"/>
  <c r="V123" i="71" s="1"/>
  <c r="W123" i="71"/>
  <c r="X123" i="71"/>
  <c r="AD123" i="71" s="1"/>
  <c r="AE123" i="71" l="1"/>
  <c r="O124" i="71"/>
  <c r="S124" i="71" l="1"/>
  <c r="Q124" i="71" s="1"/>
  <c r="Z124" i="71" l="1"/>
  <c r="T124" i="71"/>
  <c r="R124" i="71"/>
  <c r="AB124" i="71"/>
  <c r="AC124" i="71" s="1"/>
  <c r="U124" i="71" l="1"/>
  <c r="V124" i="71" s="1"/>
  <c r="W124" i="71"/>
  <c r="X124" i="71"/>
  <c r="AD124" i="71" s="1"/>
  <c r="AE124" i="71" l="1"/>
  <c r="O125" i="71"/>
  <c r="S125" i="71" l="1"/>
  <c r="Q125" i="71" s="1"/>
  <c r="R125" i="71" l="1"/>
  <c r="Z125" i="71"/>
  <c r="T125" i="71"/>
  <c r="AB125" i="71"/>
  <c r="AC125" i="71" s="1"/>
  <c r="U125" i="71" l="1"/>
  <c r="V125" i="71" s="1"/>
  <c r="W125" i="71"/>
  <c r="X125" i="71"/>
  <c r="AD125" i="71" s="1"/>
  <c r="AE125" i="71" l="1"/>
  <c r="O126" i="71"/>
  <c r="S126" i="71" l="1"/>
  <c r="Q126" i="71" s="1"/>
  <c r="Z126" i="71" l="1"/>
  <c r="R126" i="71"/>
  <c r="AB126" i="71"/>
  <c r="AC126" i="71" s="1"/>
  <c r="T126" i="71"/>
  <c r="U126" i="71" l="1"/>
  <c r="V126" i="71" s="1"/>
  <c r="W126" i="71"/>
  <c r="X126" i="71"/>
  <c r="AD126" i="71" s="1"/>
  <c r="AE126" i="71" l="1"/>
  <c r="O127" i="71"/>
  <c r="S127" i="71" l="1"/>
  <c r="Q127" i="71" s="1"/>
  <c r="R127" i="71" l="1"/>
  <c r="AB127" i="71"/>
  <c r="AC127" i="71" s="1"/>
  <c r="T127" i="71"/>
  <c r="Z127" i="71"/>
  <c r="U127" i="71" l="1"/>
  <c r="V127" i="71" s="1"/>
  <c r="W127" i="71"/>
  <c r="X127" i="71"/>
  <c r="AD127" i="71" s="1"/>
  <c r="AE127" i="71" l="1"/>
  <c r="O128" i="71"/>
  <c r="S128" i="71" l="1"/>
  <c r="Q128" i="71" s="1"/>
  <c r="T128" i="71" l="1"/>
  <c r="Z128" i="71"/>
  <c r="AB128" i="71"/>
  <c r="AC128" i="71" s="1"/>
  <c r="R128" i="71"/>
  <c r="U128" i="71" l="1"/>
  <c r="V128" i="71" s="1"/>
  <c r="W128" i="71"/>
  <c r="X128" i="71"/>
  <c r="AD128" i="71" s="1"/>
  <c r="AE128" i="71" l="1"/>
  <c r="O129" i="71"/>
  <c r="S129" i="71" l="1"/>
  <c r="Q129" i="71" s="1"/>
  <c r="T129" i="71" l="1"/>
  <c r="Z129" i="71"/>
  <c r="R129" i="71"/>
  <c r="AB129" i="71"/>
  <c r="AC129" i="71" s="1"/>
  <c r="U129" i="71" l="1"/>
  <c r="V129" i="71" s="1"/>
  <c r="W129" i="71"/>
  <c r="X129" i="71"/>
  <c r="AD129" i="71" s="1"/>
  <c r="AE129" i="71" l="1"/>
  <c r="O130" i="71"/>
  <c r="S130" i="71" l="1"/>
  <c r="Q130" i="71" s="1"/>
  <c r="R130" i="71" l="1"/>
  <c r="AB130" i="71"/>
  <c r="AC130" i="71" s="1"/>
  <c r="Z130" i="71"/>
  <c r="T130" i="71"/>
  <c r="U130" i="71" l="1"/>
  <c r="V130" i="71" s="1"/>
  <c r="W130" i="71"/>
  <c r="X130" i="71"/>
  <c r="AD130" i="71" s="1"/>
  <c r="AE130" i="71" l="1"/>
  <c r="O131" i="71"/>
  <c r="S131" i="71" l="1"/>
  <c r="Q131" i="71" s="1"/>
  <c r="R131" i="71" l="1"/>
  <c r="Z131" i="71"/>
  <c r="T131" i="71"/>
  <c r="AB131" i="71"/>
  <c r="AC131" i="71" s="1"/>
  <c r="U131" i="71" l="1"/>
  <c r="V131" i="71" s="1"/>
  <c r="W131" i="71"/>
  <c r="X131" i="71"/>
  <c r="AD131" i="71" s="1"/>
  <c r="O132" i="71" l="1"/>
  <c r="AE131" i="71"/>
  <c r="S132" i="71" l="1"/>
  <c r="Q132" i="71" s="1"/>
  <c r="Z132" i="71" l="1"/>
  <c r="T132" i="71"/>
  <c r="AB132" i="71"/>
  <c r="AC132" i="71" s="1"/>
  <c r="R132" i="71"/>
  <c r="U132" i="71" l="1"/>
  <c r="V132" i="71" s="1"/>
  <c r="W132" i="71"/>
  <c r="X132" i="71"/>
  <c r="AD132" i="71" s="1"/>
  <c r="O133" i="71" l="1"/>
  <c r="AE132" i="71"/>
  <c r="S133" i="71" l="1"/>
  <c r="Q133" i="71" s="1"/>
  <c r="R133" i="71" l="1"/>
  <c r="Z133" i="71"/>
  <c r="AB133" i="71"/>
  <c r="AC133" i="71" s="1"/>
  <c r="T133" i="71"/>
  <c r="U133" i="71" l="1"/>
  <c r="V133" i="71" s="1"/>
  <c r="W133" i="71"/>
  <c r="X133" i="71"/>
  <c r="AD133" i="71" s="1"/>
  <c r="O134" i="71" l="1"/>
  <c r="AE133" i="71"/>
  <c r="S134" i="71" l="1"/>
  <c r="Q134" i="71" s="1"/>
  <c r="Z134" i="71" l="1"/>
  <c r="AB134" i="71"/>
  <c r="AC134" i="71" s="1"/>
  <c r="T134" i="71"/>
  <c r="R134" i="71"/>
  <c r="U134" i="71" l="1"/>
  <c r="V134" i="71" s="1"/>
  <c r="W134" i="71"/>
  <c r="X134" i="71"/>
  <c r="AD134" i="71" s="1"/>
  <c r="O135" i="71" l="1"/>
  <c r="AE134" i="71"/>
  <c r="S135" i="71" l="1"/>
  <c r="Q135" i="71" s="1"/>
  <c r="R135" i="71" l="1"/>
  <c r="Z135" i="71"/>
  <c r="T135" i="71"/>
  <c r="AB135" i="71"/>
  <c r="AC135" i="71" s="1"/>
  <c r="U135" i="71" l="1"/>
  <c r="V135" i="71" s="1"/>
  <c r="W135" i="71"/>
  <c r="X135" i="71"/>
  <c r="AD135" i="71" s="1"/>
  <c r="O136" i="71" l="1"/>
  <c r="AE135" i="71"/>
  <c r="S136" i="71" l="1"/>
  <c r="Q136" i="71" s="1"/>
  <c r="Z136" i="71" l="1"/>
  <c r="R136" i="71"/>
  <c r="AB136" i="71"/>
  <c r="AC136" i="71" s="1"/>
  <c r="T136" i="71"/>
  <c r="U136" i="71" l="1"/>
  <c r="V136" i="71" s="1"/>
  <c r="W136" i="71"/>
  <c r="X136" i="71"/>
  <c r="AD136" i="71" s="1"/>
  <c r="O137" i="71" l="1"/>
  <c r="AE136" i="71"/>
  <c r="S137" i="71" l="1"/>
  <c r="Q137" i="71" s="1"/>
  <c r="R137" i="71" l="1"/>
  <c r="AB137" i="71"/>
  <c r="AC137" i="71" s="1"/>
  <c r="Z137" i="71"/>
  <c r="T137" i="71"/>
  <c r="U137" i="71" l="1"/>
  <c r="V137" i="71" s="1"/>
  <c r="W137" i="71"/>
  <c r="X137" i="71"/>
  <c r="AD137" i="71" s="1"/>
  <c r="O138" i="71" l="1"/>
  <c r="AE137" i="71"/>
  <c r="S138" i="71" l="1"/>
  <c r="Q138" i="71" s="1"/>
  <c r="Z138" i="71" l="1"/>
  <c r="R138" i="71"/>
  <c r="T138" i="71"/>
  <c r="AB138" i="71"/>
  <c r="AC138" i="71" s="1"/>
  <c r="U138" i="71" l="1"/>
  <c r="V138" i="71" s="1"/>
  <c r="W138" i="71"/>
  <c r="X138" i="71"/>
  <c r="AD138" i="71" s="1"/>
  <c r="O139" i="71" l="1"/>
  <c r="AE138" i="71"/>
  <c r="S139" i="71" l="1"/>
  <c r="Q139" i="71" s="1"/>
  <c r="R139" i="71" l="1"/>
  <c r="AB139" i="71"/>
  <c r="AC139" i="71" s="1"/>
  <c r="Z139" i="71"/>
  <c r="T139" i="71"/>
  <c r="U139" i="71" l="1"/>
  <c r="V139" i="71" s="1"/>
  <c r="W139" i="71"/>
  <c r="X139" i="71"/>
  <c r="AD139" i="71" s="1"/>
  <c r="AE139" i="71" l="1"/>
  <c r="O140" i="71"/>
  <c r="S140" i="71" l="1"/>
  <c r="Q140" i="71" s="1"/>
  <c r="R140" i="71" l="1"/>
  <c r="AB140" i="71"/>
  <c r="AC140" i="71" s="1"/>
  <c r="T140" i="71"/>
  <c r="Z140" i="71"/>
  <c r="U140" i="71" l="1"/>
  <c r="V140" i="71" s="1"/>
  <c r="W140" i="71"/>
  <c r="X140" i="71"/>
  <c r="AD140" i="71" s="1"/>
  <c r="O141" i="71" l="1"/>
  <c r="AE140" i="71"/>
  <c r="S141" i="71" l="1"/>
  <c r="Q141" i="71" s="1"/>
  <c r="R141" i="71" l="1"/>
  <c r="T141" i="71"/>
  <c r="Z141" i="71"/>
  <c r="AB141" i="71"/>
  <c r="AC141" i="71" s="1"/>
  <c r="U141" i="71" l="1"/>
  <c r="V141" i="71" s="1"/>
  <c r="W141" i="71"/>
  <c r="X141" i="71"/>
  <c r="AD141" i="71" s="1"/>
  <c r="AE141" i="71" l="1"/>
  <c r="O142" i="71"/>
  <c r="S142" i="71" l="1"/>
  <c r="Q142" i="71" s="1"/>
  <c r="T142" i="71" l="1"/>
  <c r="AB142" i="71"/>
  <c r="AC142" i="71" s="1"/>
  <c r="R142" i="71"/>
  <c r="Z142" i="71"/>
  <c r="U142" i="71" l="1"/>
  <c r="V142" i="71" s="1"/>
  <c r="W142" i="71"/>
  <c r="X142" i="71"/>
  <c r="AD142" i="71" s="1"/>
  <c r="AE142" i="71" l="1"/>
  <c r="O143" i="71"/>
  <c r="S143" i="71" l="1"/>
  <c r="Q143" i="71" s="1"/>
  <c r="T143" i="71" l="1"/>
  <c r="R143" i="71"/>
  <c r="Z143" i="71"/>
  <c r="AB143" i="71"/>
  <c r="AC143" i="71" s="1"/>
  <c r="U143" i="71" l="1"/>
  <c r="V143" i="71" s="1"/>
  <c r="W143" i="71"/>
  <c r="X143" i="71"/>
  <c r="AD143" i="71" s="1"/>
  <c r="O144" i="71" l="1"/>
  <c r="AE143" i="71"/>
  <c r="S144" i="71" l="1"/>
  <c r="Q144" i="71" s="1"/>
  <c r="Z144" i="71" l="1"/>
  <c r="R144" i="71"/>
  <c r="AB144" i="71"/>
  <c r="AC144" i="71" s="1"/>
  <c r="T144" i="71"/>
  <c r="U144" i="71" l="1"/>
  <c r="V144" i="71" s="1"/>
  <c r="W144" i="71"/>
  <c r="X144" i="71"/>
  <c r="AD144" i="71" s="1"/>
  <c r="AE144" i="71" l="1"/>
  <c r="O145" i="71"/>
  <c r="S145" i="71" l="1"/>
  <c r="Q145" i="71" s="1"/>
  <c r="AB145" i="71" l="1"/>
  <c r="AC145" i="71" s="1"/>
  <c r="R145" i="71"/>
  <c r="Z145" i="71"/>
  <c r="T145" i="71"/>
  <c r="U145" i="71" l="1"/>
  <c r="V145" i="71" s="1"/>
  <c r="W145" i="71"/>
  <c r="X145" i="71"/>
  <c r="AD145" i="71" s="1"/>
  <c r="O146" i="71" l="1"/>
  <c r="AE145" i="71"/>
  <c r="S146" i="71" l="1"/>
  <c r="Q146" i="71" s="1"/>
  <c r="T146" i="71" l="1"/>
  <c r="Z146" i="71"/>
  <c r="AB146" i="71"/>
  <c r="AC146" i="71" s="1"/>
  <c r="R146" i="71"/>
  <c r="U146" i="71" l="1"/>
  <c r="V146" i="71" s="1"/>
  <c r="W146" i="71"/>
  <c r="X146" i="71"/>
  <c r="AD146" i="71" s="1"/>
  <c r="O147" i="71" l="1"/>
  <c r="AE146" i="71"/>
  <c r="S147" i="71" l="1"/>
  <c r="Q147" i="71" s="1"/>
  <c r="T147" i="71" l="1"/>
  <c r="R147" i="71"/>
  <c r="AB147" i="71"/>
  <c r="AC147" i="71" s="1"/>
  <c r="Z147" i="71"/>
  <c r="U147" i="71" l="1"/>
  <c r="V147" i="71" s="1"/>
  <c r="W147" i="71"/>
  <c r="X147" i="71"/>
  <c r="AD147" i="71" s="1"/>
  <c r="AE147" i="71" l="1"/>
  <c r="O148" i="71"/>
  <c r="S148" i="71" l="1"/>
  <c r="Q148" i="71" s="1"/>
  <c r="R148" i="71" l="1"/>
  <c r="AB148" i="71"/>
  <c r="AC148" i="71" s="1"/>
  <c r="T148" i="71"/>
  <c r="Z148" i="71"/>
  <c r="U148" i="71" l="1"/>
  <c r="V148" i="71" s="1"/>
  <c r="W148" i="71"/>
  <c r="X148" i="71"/>
  <c r="AD148" i="71" s="1"/>
  <c r="AE148" i="71" l="1"/>
  <c r="O149" i="71"/>
  <c r="S149" i="71" l="1"/>
  <c r="Q149" i="71" s="1"/>
  <c r="T149" i="71" l="1"/>
  <c r="AB149" i="71"/>
  <c r="AC149" i="71" s="1"/>
  <c r="Z149" i="71"/>
  <c r="R149" i="71"/>
  <c r="U149" i="71" l="1"/>
  <c r="V149" i="71" s="1"/>
  <c r="W149" i="71"/>
  <c r="X149" i="71"/>
  <c r="AD149" i="71" s="1"/>
  <c r="O150" i="71" l="1"/>
  <c r="AE149" i="71"/>
  <c r="S150" i="71" l="1"/>
  <c r="Q150" i="71" s="1"/>
  <c r="R150" i="71" l="1"/>
  <c r="T150" i="71"/>
  <c r="Z150" i="71"/>
  <c r="AB150" i="71"/>
  <c r="AC150" i="71" s="1"/>
  <c r="U150" i="71" l="1"/>
  <c r="V150" i="71" s="1"/>
  <c r="W150" i="71"/>
  <c r="X150" i="71"/>
  <c r="AD150" i="71" s="1"/>
  <c r="AE150" i="71" l="1"/>
  <c r="O151" i="71"/>
  <c r="S151" i="71" l="1"/>
  <c r="Q151" i="71" s="1"/>
  <c r="T151" i="71" l="1"/>
  <c r="AB151" i="71"/>
  <c r="AC151" i="71" s="1"/>
  <c r="Z151" i="71"/>
  <c r="R151" i="71"/>
  <c r="U151" i="71" l="1"/>
  <c r="V151" i="71" s="1"/>
  <c r="W151" i="71"/>
  <c r="X151" i="71"/>
  <c r="AD151" i="71" s="1"/>
  <c r="O152" i="71" l="1"/>
  <c r="AE151" i="71"/>
  <c r="S152" i="71" l="1"/>
  <c r="Q152" i="71" s="1"/>
  <c r="AB152" i="71" l="1"/>
  <c r="AC152" i="71" s="1"/>
  <c r="Z152" i="71"/>
  <c r="R152" i="71"/>
  <c r="T152" i="71"/>
  <c r="U152" i="71" l="1"/>
  <c r="V152" i="71" s="1"/>
  <c r="W152" i="71"/>
  <c r="X152" i="71"/>
  <c r="AD152" i="71" s="1"/>
  <c r="AE152" i="71" l="1"/>
  <c r="O153" i="71"/>
  <c r="S153" i="71" l="1"/>
  <c r="Q153" i="71" s="1"/>
  <c r="R153" i="71" l="1"/>
  <c r="T153" i="71"/>
  <c r="Z153" i="71"/>
  <c r="AB153" i="71"/>
  <c r="AC153" i="71" s="1"/>
  <c r="U153" i="71" l="1"/>
  <c r="V153" i="71" s="1"/>
  <c r="W153" i="71"/>
  <c r="X153" i="71"/>
  <c r="AD153" i="71" s="1"/>
  <c r="AE153" i="71" l="1"/>
  <c r="O154" i="71"/>
  <c r="S154" i="71" l="1"/>
  <c r="Q154" i="71" s="1"/>
  <c r="Z154" i="71" l="1"/>
  <c r="AB154" i="71"/>
  <c r="AC154" i="71" s="1"/>
  <c r="R154" i="71"/>
  <c r="T154" i="71"/>
  <c r="U154" i="71" l="1"/>
  <c r="V154" i="71" s="1"/>
  <c r="W154" i="71"/>
  <c r="X154" i="71"/>
  <c r="AD154" i="71" s="1"/>
  <c r="O155" i="71" l="1"/>
  <c r="AE154" i="71"/>
  <c r="S155" i="71" l="1"/>
  <c r="Q155" i="71" s="1"/>
  <c r="Z155" i="71" l="1"/>
  <c r="R155" i="71"/>
  <c r="T155" i="71"/>
  <c r="AB155" i="71"/>
  <c r="AC155" i="71" s="1"/>
  <c r="U155" i="71" l="1"/>
  <c r="V155" i="71" s="1"/>
  <c r="W155" i="71"/>
  <c r="X155" i="71"/>
  <c r="AD155" i="71" s="1"/>
  <c r="O156" i="71" l="1"/>
  <c r="AE155" i="71"/>
  <c r="S156" i="71" l="1"/>
  <c r="Q156" i="71" s="1"/>
  <c r="T156" i="71" l="1"/>
  <c r="AB156" i="71"/>
  <c r="AC156" i="71" s="1"/>
  <c r="Z156" i="71"/>
  <c r="R156" i="71"/>
  <c r="U156" i="71" l="1"/>
  <c r="V156" i="71" s="1"/>
  <c r="W156" i="71"/>
  <c r="X156" i="71"/>
  <c r="AD156" i="71" s="1"/>
  <c r="O157" i="71" l="1"/>
  <c r="AE156" i="71"/>
  <c r="S157" i="71" l="1"/>
  <c r="Q157" i="71" s="1"/>
  <c r="R157" i="71" l="1"/>
  <c r="T157" i="71"/>
  <c r="AB157" i="71"/>
  <c r="AC157" i="71" s="1"/>
  <c r="Z157" i="71"/>
  <c r="U157" i="71" l="1"/>
  <c r="V157" i="71" s="1"/>
  <c r="W157" i="71"/>
  <c r="X157" i="71"/>
  <c r="AD157" i="71" s="1"/>
  <c r="AE157" i="71" l="1"/>
  <c r="O158" i="71"/>
  <c r="S158" i="71" l="1"/>
  <c r="Q158" i="71" s="1"/>
  <c r="Z158" i="71" l="1"/>
  <c r="T158" i="71"/>
  <c r="AB158" i="71"/>
  <c r="AC158" i="71" s="1"/>
  <c r="R158" i="71"/>
  <c r="U158" i="71" l="1"/>
  <c r="V158" i="71" s="1"/>
  <c r="W158" i="71"/>
  <c r="X158" i="71"/>
  <c r="AD158" i="71" s="1"/>
  <c r="O159" i="71" l="1"/>
  <c r="AE158" i="71"/>
  <c r="S159" i="71" l="1"/>
  <c r="Q159" i="71" s="1"/>
  <c r="T159" i="71" l="1"/>
  <c r="AB159" i="71"/>
  <c r="AC159" i="71" s="1"/>
  <c r="Z159" i="71"/>
  <c r="R159" i="71"/>
  <c r="U159" i="71" l="1"/>
  <c r="V159" i="71" s="1"/>
  <c r="W159" i="71"/>
  <c r="X159" i="71"/>
  <c r="AD159" i="71" s="1"/>
  <c r="AE159" i="71" l="1"/>
  <c r="O160" i="71"/>
  <c r="S160" i="71" l="1"/>
  <c r="Q160" i="71" s="1"/>
  <c r="AB160" i="71" l="1"/>
  <c r="AC160" i="71" s="1"/>
  <c r="R160" i="71"/>
  <c r="T160" i="71"/>
  <c r="Z160" i="71"/>
  <c r="U160" i="71" l="1"/>
  <c r="V160" i="71" s="1"/>
  <c r="W160" i="71"/>
  <c r="X160" i="71"/>
  <c r="AD160" i="71" s="1"/>
  <c r="O161" i="71" l="1"/>
  <c r="AE160" i="71"/>
  <c r="S161" i="71" l="1"/>
  <c r="Q161" i="71" s="1"/>
  <c r="R161" i="71" l="1"/>
  <c r="T161" i="71"/>
  <c r="Z161" i="71"/>
  <c r="AB161" i="71"/>
  <c r="AC161" i="71" s="1"/>
  <c r="U161" i="71" l="1"/>
  <c r="V161" i="71" s="1"/>
  <c r="W161" i="71"/>
  <c r="X161" i="71"/>
  <c r="AD161" i="71" s="1"/>
  <c r="O162" i="71" l="1"/>
  <c r="AE161" i="71"/>
  <c r="S162" i="71" l="1"/>
  <c r="Q162" i="71" s="1"/>
  <c r="AB162" i="71" l="1"/>
  <c r="AC162" i="71" s="1"/>
  <c r="R162" i="71"/>
  <c r="T162" i="71"/>
  <c r="Z162" i="71"/>
  <c r="U162" i="71" l="1"/>
  <c r="V162" i="71" s="1"/>
  <c r="W162" i="71"/>
  <c r="X162" i="71"/>
  <c r="AD162" i="71" s="1"/>
  <c r="O163" i="71" l="1"/>
  <c r="AE162" i="71"/>
  <c r="S163" i="71" l="1"/>
  <c r="Q163" i="71" s="1"/>
  <c r="T163" i="71" l="1"/>
  <c r="AB163" i="71"/>
  <c r="AC163" i="71" s="1"/>
  <c r="Z163" i="71"/>
  <c r="R163" i="71"/>
  <c r="U163" i="71" l="1"/>
  <c r="V163" i="71" s="1"/>
  <c r="W163" i="71"/>
  <c r="X163" i="71"/>
  <c r="AD163" i="71" s="1"/>
  <c r="AE163" i="71" l="1"/>
  <c r="O164" i="71"/>
  <c r="S164" i="71" l="1"/>
  <c r="Q164" i="71" s="1"/>
  <c r="T164" i="71" l="1"/>
  <c r="Z164" i="71"/>
  <c r="AB164" i="71"/>
  <c r="AC164" i="71" s="1"/>
  <c r="R164" i="71"/>
  <c r="U164" i="71" l="1"/>
  <c r="V164" i="71" s="1"/>
  <c r="W164" i="71"/>
  <c r="X164" i="71"/>
  <c r="AD164" i="71" s="1"/>
  <c r="O165" i="71" l="1"/>
  <c r="AE164" i="71"/>
  <c r="S165" i="71" l="1"/>
  <c r="Q165" i="71" s="1"/>
  <c r="AB165" i="71" l="1"/>
  <c r="AC165" i="71" s="1"/>
  <c r="Z165" i="71"/>
  <c r="T165" i="71"/>
  <c r="R165" i="71"/>
  <c r="U165" i="71" l="1"/>
  <c r="V165" i="71" s="1"/>
  <c r="W165" i="71"/>
  <c r="X165" i="71"/>
  <c r="AD165" i="71" s="1"/>
  <c r="O166" i="71" l="1"/>
  <c r="AE165" i="71"/>
  <c r="S166" i="71" l="1"/>
  <c r="Q166" i="71" s="1"/>
  <c r="Z166" i="71" l="1"/>
  <c r="T166" i="71"/>
  <c r="AB166" i="71"/>
  <c r="AC166" i="71" s="1"/>
  <c r="R166" i="71"/>
  <c r="U166" i="71" l="1"/>
  <c r="V166" i="71" s="1"/>
  <c r="W166" i="71"/>
  <c r="X166" i="71"/>
  <c r="AD166" i="71" s="1"/>
  <c r="O167" i="71" l="1"/>
  <c r="AE166" i="71"/>
  <c r="S167" i="71" l="1"/>
  <c r="Q167" i="71" s="1"/>
  <c r="T167" i="71" l="1"/>
  <c r="Z167" i="71"/>
  <c r="AB167" i="71"/>
  <c r="AC167" i="71" s="1"/>
  <c r="R167" i="71"/>
  <c r="U167" i="71" l="1"/>
  <c r="V167" i="71" s="1"/>
  <c r="W167" i="71"/>
  <c r="X167" i="71"/>
  <c r="AD167" i="71" s="1"/>
  <c r="AE167" i="71" l="1"/>
  <c r="O168" i="71"/>
  <c r="Z212" i="71"/>
  <c r="T212" i="71"/>
  <c r="AB212" i="71"/>
  <c r="R212" i="71"/>
  <c r="S168" i="71" l="1"/>
  <c r="Q168" i="71" s="1"/>
  <c r="U212" i="71"/>
  <c r="Z168" i="71" l="1"/>
  <c r="AB168" i="71"/>
  <c r="AC168" i="71" s="1"/>
  <c r="T168" i="71"/>
  <c r="R168" i="71"/>
  <c r="U168" i="71" l="1"/>
  <c r="V168" i="71" s="1"/>
  <c r="W168" i="71"/>
  <c r="X168" i="71"/>
  <c r="AD168" i="71" s="1"/>
  <c r="O169" i="71" l="1"/>
  <c r="AE168" i="71"/>
  <c r="S169" i="71" l="1"/>
  <c r="Q169" i="71" s="1"/>
  <c r="R169" i="71" l="1"/>
  <c r="Z169" i="71"/>
  <c r="AB169" i="71"/>
  <c r="AC169" i="71" s="1"/>
  <c r="T169" i="71"/>
  <c r="U169" i="71" l="1"/>
  <c r="V169" i="71" s="1"/>
  <c r="W169" i="71"/>
  <c r="X169" i="71"/>
  <c r="AD169" i="71" s="1"/>
  <c r="AE169" i="71" l="1"/>
  <c r="O170" i="71"/>
  <c r="S170" i="71" l="1"/>
  <c r="Q170" i="71" s="1"/>
  <c r="Z170" i="71" l="1"/>
  <c r="T170" i="71"/>
  <c r="AB170" i="71"/>
  <c r="AC170" i="71" s="1"/>
  <c r="R170" i="71"/>
  <c r="U170" i="71" l="1"/>
  <c r="V170" i="71" s="1"/>
  <c r="W170" i="71"/>
  <c r="X170" i="71"/>
  <c r="AD170" i="71" s="1"/>
  <c r="O171" i="71" l="1"/>
  <c r="AE170" i="71"/>
  <c r="S171" i="71" l="1"/>
  <c r="Q171" i="71" s="1"/>
  <c r="T171" i="71" l="1"/>
  <c r="AB171" i="71"/>
  <c r="AC171" i="71" s="1"/>
  <c r="Z171" i="71"/>
  <c r="R171" i="71"/>
  <c r="U171" i="71" l="1"/>
  <c r="V171" i="71" s="1"/>
  <c r="W171" i="71"/>
  <c r="X171" i="71"/>
  <c r="AD171" i="71" s="1"/>
  <c r="AE171" i="71" l="1"/>
  <c r="O172" i="71"/>
  <c r="S172" i="71" l="1"/>
  <c r="Q172" i="71" s="1"/>
  <c r="Z172" i="71" l="1"/>
  <c r="AB172" i="71"/>
  <c r="AC172" i="71" s="1"/>
  <c r="T172" i="71"/>
  <c r="R172" i="71"/>
  <c r="U172" i="71" l="1"/>
  <c r="V172" i="71" s="1"/>
  <c r="W172" i="71"/>
  <c r="X172" i="71"/>
  <c r="AD172" i="71" s="1"/>
  <c r="O173" i="71" l="1"/>
  <c r="AE172" i="71"/>
  <c r="S173" i="71" l="1"/>
  <c r="Q173" i="71" s="1"/>
  <c r="R173" i="71" l="1"/>
  <c r="Z173" i="71"/>
  <c r="AB173" i="71"/>
  <c r="AC173" i="71" s="1"/>
  <c r="T173" i="71"/>
  <c r="U173" i="71" l="1"/>
  <c r="V173" i="71" s="1"/>
  <c r="W173" i="71"/>
  <c r="X173" i="71"/>
  <c r="AD173" i="71" s="1"/>
  <c r="O174" i="71" l="1"/>
  <c r="AE173" i="71"/>
  <c r="S174" i="71" l="1"/>
  <c r="Q174" i="71" s="1"/>
  <c r="R174" i="71" l="1"/>
  <c r="Z174" i="71"/>
  <c r="AB174" i="71"/>
  <c r="AC174" i="71" s="1"/>
  <c r="T174" i="71"/>
  <c r="U174" i="71" l="1"/>
  <c r="V174" i="71" s="1"/>
  <c r="W174" i="71"/>
  <c r="X174" i="71"/>
  <c r="AD174" i="71" s="1"/>
  <c r="O175" i="71" l="1"/>
  <c r="AE174" i="71"/>
  <c r="S175" i="71" l="1"/>
  <c r="Q175" i="71" s="1"/>
  <c r="AB175" i="71" l="1"/>
  <c r="AC175" i="71" s="1"/>
  <c r="Z175" i="71"/>
  <c r="T175" i="71"/>
  <c r="R175" i="71"/>
  <c r="U175" i="71" l="1"/>
  <c r="V175" i="71" s="1"/>
  <c r="W175" i="71"/>
  <c r="X175" i="71"/>
  <c r="AD175" i="71" s="1"/>
  <c r="AE175" i="71" l="1"/>
  <c r="O176" i="71"/>
  <c r="S176" i="71" l="1"/>
  <c r="Q176" i="71" s="1"/>
  <c r="T176" i="71" l="1"/>
  <c r="AB176" i="71"/>
  <c r="AC176" i="71" s="1"/>
  <c r="Z176" i="71"/>
  <c r="R176" i="71"/>
  <c r="U176" i="71" l="1"/>
  <c r="V176" i="71" s="1"/>
  <c r="W176" i="71"/>
  <c r="X176" i="71"/>
  <c r="AD176" i="71" s="1"/>
  <c r="O177" i="71" l="1"/>
  <c r="AE176" i="71"/>
  <c r="S177" i="71" l="1"/>
  <c r="Q177" i="71" s="1"/>
  <c r="T177" i="71" l="1"/>
  <c r="Z177" i="71"/>
  <c r="AB177" i="71"/>
  <c r="AC177" i="71" s="1"/>
  <c r="R177" i="71"/>
  <c r="U177" i="71" l="1"/>
  <c r="V177" i="71" s="1"/>
  <c r="W177" i="71"/>
  <c r="X177" i="71"/>
  <c r="AD177" i="71" s="1"/>
  <c r="AE177" i="71" l="1"/>
  <c r="O178" i="71"/>
  <c r="S178" i="71" l="1"/>
  <c r="Q178" i="71" s="1"/>
  <c r="R178" i="71" l="1"/>
  <c r="AB178" i="71"/>
  <c r="AC178" i="71" s="1"/>
  <c r="Z178" i="71"/>
  <c r="T178" i="71"/>
  <c r="U178" i="71" l="1"/>
  <c r="V178" i="71" s="1"/>
  <c r="W178" i="71"/>
  <c r="X178" i="71"/>
  <c r="AD178" i="71" s="1"/>
  <c r="O179" i="71" l="1"/>
  <c r="AE178" i="71"/>
  <c r="S179" i="71" l="1"/>
  <c r="Q179" i="71" s="1"/>
  <c r="Z179" i="71" l="1"/>
  <c r="T179" i="71"/>
  <c r="R179" i="71"/>
  <c r="AB179" i="71"/>
  <c r="AC179" i="71" s="1"/>
  <c r="U179" i="71" l="1"/>
  <c r="V179" i="71" s="1"/>
  <c r="W179" i="71"/>
  <c r="X179" i="71"/>
  <c r="AD179" i="71" s="1"/>
  <c r="AE179" i="71" l="1"/>
  <c r="O180" i="71"/>
  <c r="S180" i="71" l="1"/>
  <c r="Q180" i="71" s="1"/>
  <c r="Z180" i="71" l="1"/>
  <c r="T180" i="71"/>
  <c r="R180" i="71"/>
  <c r="AB180" i="71"/>
  <c r="AC180" i="71" s="1"/>
  <c r="U180" i="71" l="1"/>
  <c r="V180" i="71" s="1"/>
  <c r="W180" i="71"/>
  <c r="X180" i="71"/>
  <c r="AD180" i="71" s="1"/>
  <c r="O181" i="71" l="1"/>
  <c r="AE180" i="71"/>
  <c r="S181" i="71" l="1"/>
  <c r="Q181" i="71" s="1"/>
  <c r="T181" i="71" l="1"/>
  <c r="AB181" i="71"/>
  <c r="AC181" i="71" s="1"/>
  <c r="Z181" i="71"/>
  <c r="R181" i="71"/>
  <c r="U181" i="71" l="1"/>
  <c r="V181" i="71" s="1"/>
  <c r="W181" i="71"/>
  <c r="X181" i="71"/>
  <c r="AD181" i="71" s="1"/>
  <c r="AE181" i="71" l="1"/>
  <c r="O182" i="71"/>
  <c r="S182" i="71" l="1"/>
  <c r="Q182" i="71" s="1"/>
  <c r="R182" i="71" l="1"/>
  <c r="T182" i="71"/>
  <c r="Z182" i="71"/>
  <c r="AB182" i="71"/>
  <c r="AC182" i="71" s="1"/>
  <c r="U182" i="71" l="1"/>
  <c r="V182" i="71" s="1"/>
  <c r="W182" i="71"/>
  <c r="X182" i="71"/>
  <c r="AD182" i="71" s="1"/>
  <c r="O183" i="71" l="1"/>
  <c r="AE182" i="71"/>
  <c r="S183" i="71" l="1"/>
  <c r="Q183" i="71" s="1"/>
  <c r="Z183" i="71" l="1"/>
  <c r="AB183" i="71"/>
  <c r="AC183" i="71" s="1"/>
  <c r="T183" i="71"/>
  <c r="R183" i="71"/>
  <c r="U183" i="71" l="1"/>
  <c r="V183" i="71" s="1"/>
  <c r="W183" i="71"/>
  <c r="X183" i="71"/>
  <c r="AD183" i="71" s="1"/>
  <c r="AE183" i="71" l="1"/>
  <c r="O184" i="71"/>
  <c r="S184" i="71" l="1"/>
  <c r="Q184" i="71" s="1"/>
  <c r="T184" i="71" l="1"/>
  <c r="AB184" i="71"/>
  <c r="AC184" i="71" s="1"/>
  <c r="Z184" i="71"/>
  <c r="R184" i="71"/>
  <c r="U184" i="71" l="1"/>
  <c r="V184" i="71" s="1"/>
  <c r="W184" i="71"/>
  <c r="X184" i="71"/>
  <c r="AD184" i="71" s="1"/>
  <c r="O185" i="71" l="1"/>
  <c r="AE184" i="71"/>
  <c r="S185" i="71" l="1"/>
  <c r="Q185" i="71" s="1"/>
  <c r="T185" i="71" l="1"/>
  <c r="Z185" i="71"/>
  <c r="AB185" i="71"/>
  <c r="AC185" i="71" s="1"/>
  <c r="R185" i="71"/>
  <c r="U185" i="71" l="1"/>
  <c r="V185" i="71" s="1"/>
  <c r="W185" i="71"/>
  <c r="X185" i="71"/>
  <c r="AD185" i="71" s="1"/>
  <c r="AE185" i="71" l="1"/>
  <c r="O186" i="71"/>
  <c r="S186" i="71" l="1"/>
  <c r="Q186" i="71" s="1"/>
  <c r="R186" i="71" l="1"/>
  <c r="AB186" i="71"/>
  <c r="AC186" i="71" s="1"/>
  <c r="Z186" i="71"/>
  <c r="T186" i="71"/>
  <c r="U186" i="71" l="1"/>
  <c r="V186" i="71" s="1"/>
  <c r="W186" i="71"/>
  <c r="X186" i="71"/>
  <c r="AD186" i="71" s="1"/>
  <c r="O187" i="71" l="1"/>
  <c r="AE186" i="71"/>
  <c r="S187" i="71" l="1"/>
  <c r="Q187" i="71" s="1"/>
  <c r="R187" i="71" l="1"/>
  <c r="T187" i="71"/>
  <c r="AB187" i="71"/>
  <c r="AC187" i="71" s="1"/>
  <c r="Z187" i="71"/>
  <c r="U187" i="71" l="1"/>
  <c r="V187" i="71" s="1"/>
  <c r="W187" i="71"/>
  <c r="X187" i="71"/>
  <c r="AD187" i="71" s="1"/>
  <c r="O188" i="71" l="1"/>
  <c r="AE187" i="71"/>
  <c r="S188" i="71" l="1"/>
  <c r="Q188" i="71" s="1"/>
  <c r="Z188" i="71" l="1"/>
  <c r="T188" i="71"/>
  <c r="AB188" i="71"/>
  <c r="AC188" i="71" s="1"/>
  <c r="R188" i="71"/>
  <c r="U188" i="71" l="1"/>
  <c r="V188" i="71" s="1"/>
  <c r="W188" i="71"/>
  <c r="X188" i="71"/>
  <c r="AD188" i="71" s="1"/>
  <c r="AE188" i="71" l="1"/>
  <c r="O189" i="71"/>
  <c r="S189" i="71" l="1"/>
  <c r="Q189" i="71" s="1"/>
  <c r="T189" i="71" l="1"/>
  <c r="R189" i="71"/>
  <c r="Z189" i="71"/>
  <c r="AB189" i="71"/>
  <c r="AC189" i="71" s="1"/>
  <c r="U189" i="71" l="1"/>
  <c r="V189" i="71" s="1"/>
  <c r="W189" i="71"/>
  <c r="X189" i="71"/>
  <c r="AD189" i="71" s="1"/>
  <c r="AE189" i="71" l="1"/>
  <c r="O190" i="71"/>
  <c r="S190" i="71" l="1"/>
  <c r="Q190" i="71" s="1"/>
  <c r="AB190" i="71" l="1"/>
  <c r="AC190" i="71" s="1"/>
  <c r="T190" i="71"/>
  <c r="Z190" i="71"/>
  <c r="R190" i="71"/>
  <c r="U190" i="71" l="1"/>
  <c r="V190" i="71" s="1"/>
  <c r="W190" i="71"/>
  <c r="X190" i="71"/>
  <c r="AD190" i="71" s="1"/>
  <c r="O191" i="71" l="1"/>
  <c r="AE190" i="71"/>
  <c r="S191" i="71" l="1"/>
  <c r="Q191" i="71" s="1"/>
  <c r="T191" i="71" l="1"/>
  <c r="AB191" i="71"/>
  <c r="AC191" i="71" s="1"/>
  <c r="R191" i="71"/>
  <c r="Z191" i="71"/>
  <c r="U191" i="71" l="1"/>
  <c r="V191" i="71" s="1"/>
  <c r="W191" i="71"/>
  <c r="X191" i="71"/>
  <c r="AD191" i="71" s="1"/>
  <c r="AE191" i="71" l="1"/>
  <c r="O192" i="71"/>
  <c r="S192" i="71" l="1"/>
  <c r="Q192" i="71" s="1"/>
  <c r="T192" i="71" l="1"/>
  <c r="Z192" i="71"/>
  <c r="R192" i="71"/>
  <c r="AB192" i="71"/>
  <c r="AC192" i="71" s="1"/>
  <c r="U192" i="71" l="1"/>
  <c r="V192" i="71" s="1"/>
  <c r="W192" i="71"/>
  <c r="X192" i="71"/>
  <c r="AD192" i="71" s="1"/>
  <c r="AE192" i="71" l="1"/>
  <c r="O193" i="71"/>
  <c r="S193" i="71" l="1"/>
  <c r="Q193" i="71" s="1"/>
  <c r="T193" i="71" l="1"/>
  <c r="Z193" i="71"/>
  <c r="AB193" i="71"/>
  <c r="AC193" i="71" s="1"/>
  <c r="R193" i="71"/>
  <c r="U193" i="71" l="1"/>
  <c r="V193" i="71" s="1"/>
  <c r="W193" i="71"/>
  <c r="X193" i="71"/>
  <c r="AD193" i="71" s="1"/>
  <c r="AE193" i="71" l="1"/>
  <c r="O194" i="71"/>
  <c r="S194" i="71" l="1"/>
  <c r="Q194" i="71" s="1"/>
  <c r="R194" i="71" l="1"/>
  <c r="Z194" i="71"/>
  <c r="T194" i="71"/>
  <c r="AB194" i="71"/>
  <c r="AC194" i="71" s="1"/>
  <c r="U194" i="71" l="1"/>
  <c r="V194" i="71" s="1"/>
  <c r="W194" i="71"/>
  <c r="X194" i="71"/>
  <c r="AD194" i="71" s="1"/>
  <c r="O195" i="71" l="1"/>
  <c r="AE194" i="71"/>
  <c r="S195" i="71" l="1"/>
  <c r="Q195" i="71" s="1"/>
  <c r="Z195" i="71" l="1"/>
  <c r="T195" i="71"/>
  <c r="R195" i="71"/>
  <c r="AB195" i="71"/>
  <c r="AC195" i="71" s="1"/>
  <c r="U195" i="71" l="1"/>
  <c r="V195" i="71" s="1"/>
  <c r="W195" i="71"/>
  <c r="X195" i="71"/>
  <c r="AD195" i="71" s="1"/>
  <c r="O196" i="71" l="1"/>
  <c r="AE195" i="71"/>
  <c r="S196" i="71" l="1"/>
  <c r="Q196" i="71" s="1"/>
  <c r="Z196" i="71" l="1"/>
  <c r="R196" i="71"/>
  <c r="AB196" i="71"/>
  <c r="AC196" i="71" s="1"/>
  <c r="T196" i="71"/>
  <c r="U196" i="71" l="1"/>
  <c r="V196" i="71" s="1"/>
  <c r="W196" i="71"/>
  <c r="X196" i="71"/>
  <c r="AD196" i="71" s="1"/>
  <c r="O197" i="71" l="1"/>
  <c r="AE196" i="71"/>
  <c r="S197" i="71" l="1"/>
  <c r="Q197" i="71" s="1"/>
  <c r="T197" i="71" l="1"/>
  <c r="Z197" i="71"/>
  <c r="AB197" i="71"/>
  <c r="AC197" i="71" s="1"/>
  <c r="R197" i="71"/>
  <c r="U197" i="71" l="1"/>
  <c r="V197" i="71" s="1"/>
  <c r="W197" i="71"/>
  <c r="X197" i="71"/>
  <c r="AD197" i="71" s="1"/>
  <c r="AE197" i="71" l="1"/>
  <c r="O198" i="71"/>
  <c r="S198" i="71" l="1"/>
  <c r="Q198" i="71" s="1"/>
  <c r="AB198" i="71" l="1"/>
  <c r="AC198" i="71" s="1"/>
  <c r="Z198" i="71"/>
  <c r="T198" i="71"/>
  <c r="R198" i="71"/>
  <c r="U198" i="71" l="1"/>
  <c r="V198" i="71" s="1"/>
  <c r="W198" i="71"/>
  <c r="X198" i="71"/>
  <c r="AD198" i="71" s="1"/>
  <c r="O199" i="71" l="1"/>
  <c r="AE198" i="71"/>
  <c r="S199" i="71" l="1"/>
  <c r="Q199" i="71" s="1"/>
  <c r="R199" i="71" l="1"/>
  <c r="Z199" i="71"/>
  <c r="T199" i="71"/>
  <c r="AB199" i="71"/>
  <c r="AC199" i="71" s="1"/>
  <c r="U199" i="71" l="1"/>
  <c r="V199" i="71" s="1"/>
  <c r="W199" i="71"/>
  <c r="X199" i="71"/>
  <c r="AD199" i="71" s="1"/>
  <c r="O200" i="71" l="1"/>
  <c r="AE199" i="71"/>
  <c r="S200" i="71" l="1"/>
  <c r="Q200" i="71" s="1"/>
  <c r="T200" i="71" l="1"/>
  <c r="R200" i="71"/>
  <c r="Z200" i="71"/>
  <c r="AB200" i="71"/>
  <c r="AC200" i="71" s="1"/>
  <c r="U200" i="71" l="1"/>
  <c r="V200" i="71" s="1"/>
  <c r="W200" i="71"/>
  <c r="X200" i="71"/>
  <c r="AD200" i="71" s="1"/>
  <c r="AE200" i="71" l="1"/>
  <c r="O201" i="71"/>
  <c r="S201" i="71" l="1"/>
  <c r="Q201" i="71" s="1"/>
  <c r="T201" i="71" l="1"/>
  <c r="Z201" i="71"/>
  <c r="R201" i="71"/>
  <c r="AB201" i="71"/>
  <c r="AC201" i="71" s="1"/>
  <c r="U201" i="71" l="1"/>
  <c r="V201" i="71" s="1"/>
  <c r="W201" i="71"/>
  <c r="X201" i="71"/>
  <c r="AD201" i="71" s="1"/>
  <c r="AE201" i="71" l="1"/>
  <c r="O202" i="71"/>
  <c r="S202" i="71" l="1"/>
  <c r="Q202" i="71" s="1"/>
  <c r="R202" i="71" l="1"/>
  <c r="Z202" i="71"/>
  <c r="AB202" i="71"/>
  <c r="AC202" i="71" s="1"/>
  <c r="T202" i="71"/>
  <c r="U202" i="71" l="1"/>
  <c r="V202" i="71" s="1"/>
  <c r="W202" i="71"/>
  <c r="X202" i="71"/>
  <c r="AD202" i="71" s="1"/>
  <c r="O203" i="71" l="1"/>
  <c r="AE202" i="71"/>
  <c r="S203" i="71" l="1"/>
  <c r="Q203" i="71" s="1"/>
  <c r="AB203" i="71" l="1"/>
  <c r="AC203" i="71" s="1"/>
  <c r="Z203" i="71"/>
  <c r="R203" i="71"/>
  <c r="T203" i="71"/>
  <c r="U203" i="71" l="1"/>
  <c r="V203" i="71" s="1"/>
  <c r="W203" i="71"/>
  <c r="X203" i="71"/>
  <c r="AD203" i="71" s="1"/>
  <c r="AE203" i="71" l="1"/>
  <c r="O204" i="71"/>
  <c r="S204" i="71" l="1"/>
  <c r="Q204" i="71" s="1"/>
  <c r="R204" i="71" l="1"/>
  <c r="Z204" i="71"/>
  <c r="T204" i="71"/>
  <c r="AB204" i="71"/>
  <c r="AC204" i="71" s="1"/>
  <c r="U204" i="71" l="1"/>
  <c r="V204" i="71" s="1"/>
  <c r="W204" i="71"/>
  <c r="X204" i="71"/>
  <c r="AD204" i="71" s="1"/>
  <c r="AE204" i="71" l="1"/>
  <c r="O205" i="71"/>
  <c r="S205" i="71" l="1"/>
  <c r="Q205" i="71" s="1"/>
  <c r="AB205" i="71" l="1"/>
  <c r="AC205" i="71" s="1"/>
  <c r="T205" i="71"/>
  <c r="R205" i="71"/>
  <c r="Z205" i="71"/>
  <c r="U205" i="71" l="1"/>
  <c r="V205" i="71" s="1"/>
  <c r="W205" i="71"/>
  <c r="X205" i="71"/>
  <c r="AD205" i="71" s="1"/>
  <c r="AE205" i="71" l="1"/>
  <c r="O206" i="71"/>
  <c r="S206" i="71" l="1"/>
  <c r="Q206" i="71" s="1"/>
  <c r="R206" i="71" l="1"/>
  <c r="AB206" i="71"/>
  <c r="AC206" i="71" s="1"/>
  <c r="T206" i="71"/>
  <c r="Z206" i="71"/>
  <c r="U206" i="71" l="1"/>
  <c r="V206" i="71" s="1"/>
  <c r="W206" i="71"/>
  <c r="X206" i="71"/>
  <c r="AD206" i="71" s="1"/>
  <c r="O207" i="71" l="1"/>
  <c r="AE206" i="71"/>
  <c r="S207" i="71" l="1"/>
  <c r="Q207" i="71" s="1"/>
  <c r="AB207" i="71" l="1"/>
  <c r="AC207" i="71" s="1"/>
  <c r="R207" i="71"/>
  <c r="Z207" i="71"/>
  <c r="T207" i="71"/>
  <c r="U207" i="71" l="1"/>
  <c r="V207" i="71" s="1"/>
  <c r="W207" i="71"/>
  <c r="X207" i="71"/>
  <c r="AD207" i="71" s="1"/>
  <c r="AE207" i="71" l="1"/>
  <c r="O208" i="71"/>
  <c r="S208" i="71" l="1"/>
  <c r="Q208" i="71" s="1"/>
  <c r="T208" i="71" l="1"/>
  <c r="Z208" i="71"/>
  <c r="AB208" i="71"/>
  <c r="AC208" i="71" s="1"/>
  <c r="R208" i="71"/>
  <c r="U208" i="71" l="1"/>
  <c r="V208" i="71" s="1"/>
  <c r="W208" i="71"/>
  <c r="X208" i="71"/>
  <c r="AD208" i="71" s="1"/>
  <c r="AE208" i="71" l="1"/>
  <c r="O209" i="71"/>
  <c r="S209" i="71" l="1"/>
  <c r="Q209" i="71" s="1"/>
  <c r="T209" i="71" l="1"/>
  <c r="Z209" i="71"/>
  <c r="AB209" i="71"/>
  <c r="AC209" i="71" s="1"/>
  <c r="R209" i="71"/>
  <c r="U209" i="71" l="1"/>
  <c r="V209" i="71" s="1"/>
  <c r="W209" i="71"/>
  <c r="X209" i="71"/>
  <c r="AD209" i="71" s="1"/>
  <c r="AE209" i="71" l="1"/>
  <c r="O210" i="71"/>
  <c r="S210" i="71" l="1"/>
  <c r="Q210" i="71" s="1"/>
  <c r="R210" i="71" l="1"/>
  <c r="T210" i="71"/>
  <c r="Z210" i="71"/>
  <c r="AB210" i="71"/>
  <c r="AC210" i="71" s="1"/>
  <c r="U210" i="71" l="1"/>
  <c r="V210" i="71" s="1"/>
  <c r="W210" i="71"/>
  <c r="X210" i="71"/>
  <c r="AD210" i="71" s="1"/>
  <c r="O211" i="71" l="1"/>
  <c r="AE210" i="71"/>
  <c r="S211" i="71" l="1"/>
  <c r="Q211" i="71" s="1"/>
  <c r="T211" i="71" l="1"/>
  <c r="AB211" i="7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R211" i="71"/>
  <c r="Z211" i="71"/>
  <c r="U211" i="71" l="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X211" i="71"/>
  <c r="AD211" i="71" s="1"/>
  <c r="O212" i="71" l="1"/>
  <c r="AE211" i="71"/>
  <c r="S212" i="71" l="1"/>
  <c r="V212" i="71" s="1"/>
  <c r="X212" i="71"/>
  <c r="AD212" i="71" s="1"/>
  <c r="AE212" i="71" l="1"/>
  <c r="O213" i="71"/>
  <c r="X213" i="71" s="1"/>
  <c r="AD213" i="71" s="1"/>
  <c r="O214" i="71" l="1"/>
  <c r="X214" i="71" s="1"/>
  <c r="AD214" i="71" s="1"/>
  <c r="AE213" i="71"/>
  <c r="AE214" i="71" l="1"/>
  <c r="O215" i="71"/>
  <c r="X215" i="71" s="1"/>
  <c r="AD215" i="71" s="1"/>
  <c r="AE215" i="71" l="1"/>
  <c r="O216" i="71"/>
  <c r="X216" i="71" s="1"/>
  <c r="AD216" i="71" s="1"/>
  <c r="AE216" i="71" l="1"/>
  <c r="O217" i="71"/>
  <c r="X217" i="71" s="1"/>
  <c r="AD217" i="71" s="1"/>
  <c r="O218" i="71" l="1"/>
  <c r="X218" i="71" s="1"/>
  <c r="AD218" i="71" s="1"/>
  <c r="AE217" i="71"/>
  <c r="O219" i="71" l="1"/>
  <c r="X219" i="71" s="1"/>
  <c r="AD219" i="71" s="1"/>
  <c r="AE218" i="71"/>
  <c r="AE219" i="71" l="1"/>
  <c r="O220" i="71"/>
  <c r="X220" i="71" s="1"/>
  <c r="AD220" i="71" s="1"/>
  <c r="AE220" i="71" l="1"/>
  <c r="O221" i="71"/>
  <c r="X221" i="71" s="1"/>
  <c r="AD221" i="71" s="1"/>
  <c r="O222" i="71" l="1"/>
  <c r="X222" i="71" s="1"/>
  <c r="AD222" i="71" s="1"/>
  <c r="AE221" i="71"/>
  <c r="AE222" i="71" l="1"/>
  <c r="O223" i="71"/>
  <c r="X223" i="71" s="1"/>
  <c r="AD223" i="71" s="1"/>
  <c r="O224" i="71" l="1"/>
  <c r="X224" i="71" s="1"/>
  <c r="AD224" i="71" s="1"/>
  <c r="AE223" i="71"/>
  <c r="O225" i="71" l="1"/>
  <c r="X225" i="71" s="1"/>
  <c r="AD225" i="71" s="1"/>
  <c r="AE224" i="71"/>
  <c r="AE225" i="71" l="1"/>
  <c r="O226" i="71"/>
  <c r="X226" i="71" s="1"/>
  <c r="AD226" i="71" s="1"/>
  <c r="AE226" i="71" l="1"/>
  <c r="O227" i="71"/>
  <c r="X227" i="71" s="1"/>
  <c r="AD227" i="71" s="1"/>
  <c r="O228" i="71" l="1"/>
  <c r="X228" i="71" s="1"/>
  <c r="AD228" i="71" s="1"/>
  <c r="AE227" i="71"/>
  <c r="AE228" i="71" l="1"/>
  <c r="O229" i="71"/>
  <c r="X229" i="71" s="1"/>
  <c r="AD229" i="71" s="1"/>
  <c r="O230" i="71" l="1"/>
  <c r="X230" i="71" s="1"/>
  <c r="AD230" i="71" s="1"/>
  <c r="AE229" i="71"/>
  <c r="AE230" i="71" l="1"/>
  <c r="O231" i="71"/>
  <c r="X231" i="71" s="1"/>
  <c r="AD231" i="71" s="1"/>
  <c r="AE231" i="71" l="1"/>
  <c r="O232" i="71"/>
  <c r="X232" i="71" s="1"/>
  <c r="AD232" i="71" s="1"/>
  <c r="AE232" i="71" l="1"/>
  <c r="O233" i="71"/>
  <c r="X233" i="71" s="1"/>
  <c r="AD233" i="71" s="1"/>
  <c r="AE233" i="71" l="1"/>
  <c r="O234" i="71"/>
  <c r="X234" i="71" s="1"/>
  <c r="AD234" i="71" s="1"/>
  <c r="O235" i="71" l="1"/>
  <c r="X235" i="71" s="1"/>
  <c r="AD235" i="71" s="1"/>
  <c r="AE234" i="71"/>
  <c r="O236" i="71" l="1"/>
  <c r="X236" i="71" s="1"/>
  <c r="AD236" i="71" s="1"/>
  <c r="AE235" i="71"/>
  <c r="AE236" i="71" l="1"/>
  <c r="O237" i="71"/>
  <c r="X237" i="71" s="1"/>
  <c r="AD237" i="71" s="1"/>
  <c r="O238" i="71" l="1"/>
  <c r="X238" i="71" s="1"/>
  <c r="AD238" i="71" s="1"/>
  <c r="AE237" i="71"/>
  <c r="AE238" i="71" l="1"/>
  <c r="O239" i="71"/>
  <c r="X239" i="71" s="1"/>
  <c r="AD239" i="71" s="1"/>
  <c r="O240" i="71" l="1"/>
  <c r="X240" i="71" s="1"/>
  <c r="AD240" i="71" s="1"/>
  <c r="AE239" i="71"/>
  <c r="AE240" i="71" l="1"/>
  <c r="O241" i="71"/>
  <c r="X241" i="71" s="1"/>
  <c r="AD241" i="71" s="1"/>
  <c r="O242" i="71" l="1"/>
  <c r="X242" i="71" s="1"/>
  <c r="AD242" i="71" s="1"/>
  <c r="AE241" i="71"/>
  <c r="O243" i="71" l="1"/>
  <c r="X243" i="71" s="1"/>
  <c r="AD243" i="71" s="1"/>
  <c r="AE242" i="71"/>
  <c r="O244" i="71" l="1"/>
  <c r="X244" i="71" s="1"/>
  <c r="AD244" i="71" s="1"/>
  <c r="AE243" i="71"/>
  <c r="O245" i="71" l="1"/>
  <c r="X245" i="71" s="1"/>
  <c r="AD245" i="71" s="1"/>
  <c r="AE244" i="71"/>
  <c r="O246" i="71" l="1"/>
  <c r="X246" i="71" s="1"/>
  <c r="AD246" i="71" s="1"/>
  <c r="AE245" i="71"/>
  <c r="AE246" i="71" l="1"/>
  <c r="O247" i="71"/>
  <c r="X247" i="71" s="1"/>
  <c r="AD247" i="71" s="1"/>
  <c r="AE247" i="71" l="1"/>
  <c r="O248" i="71"/>
  <c r="X248" i="71" s="1"/>
  <c r="AD248" i="71" s="1"/>
  <c r="AE248" i="71" l="1"/>
  <c r="O249" i="71"/>
  <c r="X249" i="71" s="1"/>
  <c r="AD249" i="71" s="1"/>
  <c r="AE249" i="71" l="1"/>
  <c r="O250" i="71"/>
  <c r="X250" i="71" s="1"/>
  <c r="AD250" i="71" s="1"/>
  <c r="AE250" i="71" l="1"/>
  <c r="O251" i="71"/>
  <c r="X251" i="71" s="1"/>
  <c r="AD251" i="71" s="1"/>
  <c r="O252" i="71" l="1"/>
  <c r="X252" i="71" s="1"/>
  <c r="AD252" i="71" s="1"/>
  <c r="AE251" i="71"/>
  <c r="O253" i="71" l="1"/>
  <c r="X253" i="71" s="1"/>
  <c r="AD253" i="71" s="1"/>
  <c r="AE252" i="71"/>
  <c r="AE253" i="71" l="1"/>
  <c r="O254" i="71"/>
  <c r="X254" i="71" s="1"/>
  <c r="AD254" i="71" s="1"/>
  <c r="O255" i="71" l="1"/>
  <c r="X255" i="71" s="1"/>
  <c r="AD255" i="71" s="1"/>
  <c r="AE254" i="71"/>
  <c r="AE255" i="71" l="1"/>
  <c r="O256" i="71"/>
  <c r="X256" i="71" s="1"/>
  <c r="AD256" i="71" s="1"/>
  <c r="O257" i="71" l="1"/>
  <c r="X257" i="71" s="1"/>
  <c r="AD257" i="71" s="1"/>
  <c r="AE256" i="71"/>
  <c r="AE257" i="71" l="1"/>
  <c r="O258" i="71"/>
  <c r="X258" i="71" s="1"/>
  <c r="AD258" i="71" s="1"/>
  <c r="AE258" i="71" l="1"/>
  <c r="O259" i="71"/>
  <c r="X259" i="71" s="1"/>
  <c r="AD259" i="71" s="1"/>
  <c r="AE259" i="71" l="1"/>
  <c r="O260" i="71"/>
  <c r="X260" i="71" s="1"/>
  <c r="AD260" i="71" s="1"/>
  <c r="O261" i="71" l="1"/>
  <c r="X261" i="71" s="1"/>
  <c r="AD261" i="71" s="1"/>
  <c r="AE260" i="71"/>
  <c r="AE261" i="71" l="1"/>
  <c r="O262" i="71"/>
  <c r="X262" i="71" s="1"/>
  <c r="AD262" i="71" s="1"/>
  <c r="O263" i="71" l="1"/>
  <c r="X263" i="71" s="1"/>
  <c r="AD263" i="71" s="1"/>
  <c r="AE262" i="71"/>
  <c r="AE263" i="71" l="1"/>
  <c r="O264" i="71"/>
  <c r="X264" i="71" s="1"/>
  <c r="AD264" i="71" s="1"/>
  <c r="O265" i="71" l="1"/>
  <c r="X265" i="71" s="1"/>
  <c r="AD265" i="71" s="1"/>
  <c r="AE264" i="71"/>
  <c r="AE265" i="71" l="1"/>
  <c r="O266" i="71"/>
  <c r="X266" i="71" s="1"/>
  <c r="AD266" i="71" s="1"/>
  <c r="O267" i="71" l="1"/>
  <c r="X267" i="71" s="1"/>
  <c r="AD267" i="71" s="1"/>
  <c r="AE266" i="71"/>
  <c r="O268" i="71" l="1"/>
  <c r="X268" i="71" s="1"/>
  <c r="AD268" i="71" s="1"/>
  <c r="AE267" i="71"/>
  <c r="AE268" i="71" l="1"/>
  <c r="O269" i="71"/>
  <c r="X269" i="71" s="1"/>
  <c r="AD269" i="71" s="1"/>
  <c r="O270" i="71" l="1"/>
  <c r="X270" i="71" s="1"/>
  <c r="AD270" i="71" s="1"/>
  <c r="AE269" i="71"/>
  <c r="O271" i="71" l="1"/>
  <c r="X271" i="71" s="1"/>
  <c r="AD271" i="71" s="1"/>
  <c r="AE270" i="71"/>
  <c r="O272" i="71" l="1"/>
  <c r="X272" i="71" s="1"/>
  <c r="AD272" i="71" s="1"/>
  <c r="AE271" i="71"/>
  <c r="AE272" i="71" l="1"/>
  <c r="O273" i="71"/>
  <c r="X273" i="71" s="1"/>
  <c r="AD273" i="71" s="1"/>
  <c r="O274" i="71" l="1"/>
  <c r="X274" i="71" s="1"/>
  <c r="AD274" i="71" s="1"/>
  <c r="AE273" i="71"/>
  <c r="AE274" i="71" l="1"/>
  <c r="O275" i="71"/>
  <c r="X275" i="71" s="1"/>
  <c r="AD275" i="71" s="1"/>
  <c r="O276" i="71" l="1"/>
  <c r="X276" i="71" s="1"/>
  <c r="AD276" i="71" s="1"/>
  <c r="AE275" i="71"/>
  <c r="O277" i="71" l="1"/>
  <c r="X277" i="71" s="1"/>
  <c r="AD277" i="71" s="1"/>
  <c r="AE276" i="71"/>
  <c r="AE277" i="71" l="1"/>
  <c r="O278" i="71"/>
  <c r="X278" i="71" s="1"/>
  <c r="AD278" i="71" s="1"/>
  <c r="AE278" i="71" l="1"/>
  <c r="O279" i="71"/>
  <c r="X279" i="71" s="1"/>
  <c r="AD279" i="71" s="1"/>
  <c r="AE279" i="71" l="1"/>
  <c r="O280" i="71"/>
  <c r="X280" i="71" s="1"/>
  <c r="AD280" i="71" s="1"/>
  <c r="AE280" i="71" l="1"/>
  <c r="O281" i="71"/>
  <c r="X281" i="71" s="1"/>
  <c r="AD281" i="71" s="1"/>
  <c r="AE281" i="71" l="1"/>
  <c r="O282" i="71"/>
  <c r="X282" i="71" s="1"/>
  <c r="AD282" i="71" s="1"/>
  <c r="O283" i="71" l="1"/>
  <c r="X283" i="71" s="1"/>
  <c r="AD283" i="71" s="1"/>
  <c r="AE282" i="71"/>
  <c r="AE283" i="71" l="1"/>
  <c r="O284" i="71"/>
  <c r="X284" i="71" s="1"/>
  <c r="AD284" i="71" s="1"/>
  <c r="AE284" i="71" l="1"/>
  <c r="O285" i="71"/>
  <c r="X285" i="71" s="1"/>
  <c r="AD285" i="71" s="1"/>
  <c r="O286" i="71" l="1"/>
  <c r="X286" i="71" s="1"/>
  <c r="AD286" i="71" s="1"/>
  <c r="AE285" i="71"/>
  <c r="O287" i="71" l="1"/>
  <c r="X287" i="71" s="1"/>
  <c r="AD287" i="71" s="1"/>
  <c r="AE286" i="71"/>
  <c r="O288" i="71" l="1"/>
  <c r="X288" i="71" s="1"/>
  <c r="AD288" i="71" s="1"/>
  <c r="AE287" i="71"/>
  <c r="O289" i="71" l="1"/>
  <c r="X289" i="71" s="1"/>
  <c r="AD289" i="71" s="1"/>
  <c r="AE288" i="71"/>
  <c r="AE289" i="71" l="1"/>
  <c r="O290" i="71"/>
  <c r="X290" i="71" s="1"/>
  <c r="AD290" i="71" s="1"/>
  <c r="O291" i="71" l="1"/>
  <c r="X291" i="71" s="1"/>
  <c r="AD291" i="71" s="1"/>
  <c r="AE290" i="71"/>
  <c r="O292" i="71" l="1"/>
  <c r="X292" i="71" s="1"/>
  <c r="AD292" i="71" s="1"/>
  <c r="AE291" i="71"/>
  <c r="AE292" i="71" l="1"/>
  <c r="O293" i="71"/>
  <c r="X293" i="71" s="1"/>
  <c r="AD293" i="71" s="1"/>
  <c r="AE293" i="71" l="1"/>
  <c r="O294" i="71"/>
  <c r="X294" i="71" s="1"/>
  <c r="AD294" i="71" s="1"/>
  <c r="O295" i="71" l="1"/>
  <c r="X295" i="71" s="1"/>
  <c r="AD295" i="71" s="1"/>
  <c r="AE294" i="71"/>
  <c r="AE295" i="71" l="1"/>
  <c r="O296" i="71"/>
  <c r="X296" i="71" s="1"/>
  <c r="AD296" i="71" s="1"/>
  <c r="AE296" i="71" l="1"/>
  <c r="O297" i="71"/>
  <c r="X297" i="71" s="1"/>
  <c r="AD297" i="71" s="1"/>
  <c r="O298" i="71" l="1"/>
  <c r="X298" i="71" s="1"/>
  <c r="AD298" i="71" s="1"/>
  <c r="AE297" i="71"/>
  <c r="AE298" i="71" l="1"/>
  <c r="O299" i="71"/>
  <c r="X299" i="71" s="1"/>
  <c r="AD299" i="71" s="1"/>
  <c r="AE299" i="71" l="1"/>
  <c r="O300" i="71"/>
  <c r="X300" i="71" s="1"/>
  <c r="AD300" i="71" s="1"/>
  <c r="O301" i="71" l="1"/>
  <c r="X301" i="71" s="1"/>
  <c r="AD301" i="71" s="1"/>
  <c r="AE300" i="71"/>
  <c r="AE301" i="71" l="1"/>
  <c r="O302" i="71"/>
  <c r="X302" i="71" s="1"/>
  <c r="AD302" i="71" s="1"/>
  <c r="O303" i="71" l="1"/>
  <c r="X303" i="71" s="1"/>
  <c r="AD303" i="71" s="1"/>
  <c r="AE302" i="71"/>
  <c r="O304" i="71" l="1"/>
  <c r="X304" i="71" s="1"/>
  <c r="AD304" i="71" s="1"/>
  <c r="AE303" i="71"/>
  <c r="AE304" i="71" l="1"/>
  <c r="O305" i="71"/>
  <c r="X305" i="71" s="1"/>
  <c r="AD305" i="71" s="1"/>
  <c r="AE305" i="71" l="1"/>
  <c r="O306" i="71"/>
  <c r="X306" i="71" s="1"/>
  <c r="AD306" i="71" s="1"/>
  <c r="O307" i="71" l="1"/>
  <c r="X307" i="71" s="1"/>
  <c r="AD307" i="71" s="1"/>
  <c r="AE306" i="71"/>
  <c r="O308" i="71" l="1"/>
  <c r="X308" i="71" s="1"/>
  <c r="AD308" i="71" s="1"/>
  <c r="AE307" i="71"/>
  <c r="AE308" i="71" l="1"/>
  <c r="O309" i="71"/>
  <c r="X309" i="71" s="1"/>
  <c r="AD309" i="71" s="1"/>
  <c r="O310" i="71" l="1"/>
  <c r="X310" i="71" s="1"/>
  <c r="AD310" i="71" s="1"/>
  <c r="AE309" i="71"/>
  <c r="O311" i="71" l="1"/>
  <c r="X311" i="71" s="1"/>
  <c r="AD311" i="71" s="1"/>
  <c r="AE310" i="71"/>
  <c r="AE311" i="71" l="1"/>
  <c r="O312" i="71"/>
  <c r="X312" i="71" s="1"/>
  <c r="AD312" i="71" s="1"/>
  <c r="O313" i="71" l="1"/>
  <c r="X313" i="71" s="1"/>
  <c r="AD313" i="71" s="1"/>
  <c r="AE312" i="71"/>
  <c r="O314" i="71" l="1"/>
  <c r="X314" i="71" s="1"/>
  <c r="AD314" i="71" s="1"/>
  <c r="AE313" i="71"/>
  <c r="AE314" i="71" l="1"/>
  <c r="O315" i="71"/>
  <c r="X315" i="71" s="1"/>
  <c r="AD315" i="71" s="1"/>
  <c r="O316" i="71" l="1"/>
  <c r="X316" i="71" s="1"/>
  <c r="AD316" i="71" s="1"/>
  <c r="AE315" i="71"/>
  <c r="O317" i="71" l="1"/>
  <c r="X317" i="71" s="1"/>
  <c r="AD317" i="71" s="1"/>
  <c r="AE316" i="71"/>
  <c r="O318" i="71" l="1"/>
  <c r="X318" i="71" s="1"/>
  <c r="AD318" i="71" s="1"/>
  <c r="AE317" i="71"/>
  <c r="O319" i="71" l="1"/>
  <c r="X319" i="71" s="1"/>
  <c r="AD319" i="71" s="1"/>
  <c r="AE318" i="71"/>
  <c r="O320" i="71" l="1"/>
  <c r="X320" i="71" s="1"/>
  <c r="AD320" i="71" s="1"/>
  <c r="AE319" i="71"/>
  <c r="AE320" i="71" l="1"/>
  <c r="O321" i="71"/>
  <c r="X321" i="71" s="1"/>
  <c r="AD321" i="71" s="1"/>
  <c r="O322" i="71" l="1"/>
  <c r="X322" i="71" s="1"/>
  <c r="AD322" i="71" s="1"/>
  <c r="AE321" i="71"/>
  <c r="O323" i="71" l="1"/>
  <c r="X323" i="71" s="1"/>
  <c r="AD323" i="71" s="1"/>
  <c r="AE322" i="71"/>
  <c r="O324" i="71" l="1"/>
  <c r="X324" i="71" s="1"/>
  <c r="AD324" i="71" s="1"/>
  <c r="AE323" i="71"/>
  <c r="AE324" i="71" l="1"/>
  <c r="O325" i="71"/>
  <c r="X325" i="71" s="1"/>
  <c r="AD325" i="71" s="1"/>
  <c r="AE325" i="71" l="1"/>
  <c r="O326" i="71"/>
  <c r="X326" i="71" s="1"/>
  <c r="AD326" i="71" s="1"/>
  <c r="AE326" i="71" l="1"/>
  <c r="O327" i="71"/>
  <c r="X327" i="71" s="1"/>
  <c r="AD327" i="71" s="1"/>
  <c r="O328" i="71" l="1"/>
  <c r="X328" i="71" s="1"/>
  <c r="AD328" i="71" s="1"/>
  <c r="AE327" i="71"/>
  <c r="AE328" i="71" l="1"/>
  <c r="O329" i="71"/>
  <c r="X329" i="71" s="1"/>
  <c r="AD329" i="71" s="1"/>
  <c r="AE329" i="71" l="1"/>
  <c r="O330" i="71"/>
  <c r="X330" i="71" s="1"/>
  <c r="AD330" i="71" s="1"/>
  <c r="AE330" i="71" l="1"/>
  <c r="O331" i="71"/>
  <c r="X331" i="71" s="1"/>
  <c r="AD331" i="71" s="1"/>
  <c r="AE331" i="71" l="1"/>
  <c r="O332" i="71"/>
  <c r="X332" i="71" s="1"/>
  <c r="AD332" i="71" s="1"/>
  <c r="AE332" i="71" l="1"/>
  <c r="O333" i="71"/>
  <c r="X333" i="71" s="1"/>
  <c r="AD333" i="71" s="1"/>
  <c r="O334" i="71" l="1"/>
  <c r="X334" i="71" s="1"/>
  <c r="AD334" i="71" s="1"/>
  <c r="AE333" i="71"/>
  <c r="O335" i="71" l="1"/>
  <c r="X335" i="71" s="1"/>
  <c r="AD335" i="71" s="1"/>
  <c r="AE334" i="71"/>
  <c r="AE335" i="71" l="1"/>
  <c r="O336" i="71"/>
  <c r="X336" i="71" s="1"/>
  <c r="AD336" i="71" s="1"/>
  <c r="AE336" i="71" l="1"/>
  <c r="O337" i="71"/>
  <c r="X337" i="71" s="1"/>
  <c r="AD337" i="71" s="1"/>
  <c r="O338" i="71" l="1"/>
  <c r="X338" i="71" s="1"/>
  <c r="AD338" i="71" s="1"/>
  <c r="AE337" i="71"/>
  <c r="AE338" i="71" l="1"/>
  <c r="O339" i="71"/>
  <c r="X339" i="71" s="1"/>
  <c r="AD339" i="71" s="1"/>
  <c r="O340" i="71" l="1"/>
  <c r="X340" i="71" s="1"/>
  <c r="AD340" i="71" s="1"/>
  <c r="AE339" i="71"/>
  <c r="O341" i="71" l="1"/>
  <c r="X341" i="71" s="1"/>
  <c r="AD341" i="71" s="1"/>
  <c r="AE340" i="71"/>
  <c r="O342" i="71" l="1"/>
  <c r="X342" i="71" s="1"/>
  <c r="AD342" i="71" s="1"/>
  <c r="AE341" i="71"/>
  <c r="O343" i="71" l="1"/>
  <c r="X343" i="71" s="1"/>
  <c r="AD343" i="71" s="1"/>
  <c r="AE342" i="71"/>
  <c r="O344" i="71" l="1"/>
  <c r="X344" i="71" s="1"/>
  <c r="AD344" i="71" s="1"/>
  <c r="AE343" i="71"/>
  <c r="AE344" i="71" l="1"/>
  <c r="O345" i="71"/>
  <c r="X345" i="71" s="1"/>
  <c r="AD345" i="71" s="1"/>
  <c r="O346" i="71" l="1"/>
  <c r="X346" i="71" s="1"/>
  <c r="AD346" i="71" s="1"/>
  <c r="AE345" i="71"/>
  <c r="O347" i="71" l="1"/>
  <c r="X347" i="71" s="1"/>
  <c r="AD347" i="71" s="1"/>
  <c r="AE346" i="71"/>
  <c r="O348" i="71" l="1"/>
  <c r="X348" i="71" s="1"/>
  <c r="AD348" i="71" s="1"/>
  <c r="AE347" i="71"/>
  <c r="O349" i="71" l="1"/>
  <c r="X349" i="71" s="1"/>
  <c r="AD349" i="71" s="1"/>
  <c r="AE348" i="71"/>
  <c r="O350" i="71" l="1"/>
  <c r="X350" i="71" s="1"/>
  <c r="AD350" i="71" s="1"/>
  <c r="AE349" i="71"/>
  <c r="AE350" i="71" l="1"/>
  <c r="O351" i="71"/>
  <c r="X351" i="71" s="1"/>
  <c r="AD351" i="71" s="1"/>
  <c r="O352" i="71" l="1"/>
  <c r="X352" i="71" s="1"/>
  <c r="AD352" i="71" s="1"/>
  <c r="AE351" i="71"/>
  <c r="O353" i="71" l="1"/>
  <c r="X353" i="71" s="1"/>
  <c r="AD353" i="71" s="1"/>
  <c r="AE352" i="71"/>
  <c r="O354" i="71" l="1"/>
  <c r="X354" i="71" s="1"/>
  <c r="AD354" i="71" s="1"/>
  <c r="AE353" i="71"/>
  <c r="AE354" i="71" l="1"/>
  <c r="O355" i="71"/>
  <c r="X355" i="71" s="1"/>
  <c r="AD355" i="71" s="1"/>
  <c r="O356" i="71" l="1"/>
  <c r="X356" i="71" s="1"/>
  <c r="AD356" i="71" s="1"/>
  <c r="AE355" i="71"/>
  <c r="O357" i="71" l="1"/>
  <c r="X357" i="71" s="1"/>
  <c r="AD357" i="71" s="1"/>
  <c r="AE356" i="71"/>
  <c r="AE357" i="71" l="1"/>
  <c r="O358" i="71"/>
  <c r="X358" i="71" s="1"/>
  <c r="AD358" i="71" s="1"/>
  <c r="AE358" i="71" l="1"/>
  <c r="O359" i="71"/>
  <c r="X359" i="71" s="1"/>
  <c r="AD359" i="71" s="1"/>
  <c r="O360" i="71" l="1"/>
  <c r="X360" i="71" s="1"/>
  <c r="AD360" i="71" s="1"/>
  <c r="AE359" i="71"/>
  <c r="O361" i="71" l="1"/>
  <c r="X361" i="71" s="1"/>
  <c r="AD361" i="71" s="1"/>
  <c r="AE360" i="71"/>
  <c r="O362" i="71" l="1"/>
  <c r="X362" i="71" s="1"/>
  <c r="AD362" i="71" s="1"/>
  <c r="AE361" i="71"/>
  <c r="O363" i="71" l="1"/>
  <c r="X363" i="71" s="1"/>
  <c r="AD363" i="71" s="1"/>
  <c r="AE362" i="71"/>
  <c r="AE363" i="71" l="1"/>
  <c r="O364" i="71"/>
  <c r="X364" i="71" s="1"/>
  <c r="AD364" i="71" s="1"/>
  <c r="O365" i="71" l="1"/>
  <c r="X365" i="71" s="1"/>
  <c r="AD365" i="71" s="1"/>
  <c r="AE364" i="71"/>
  <c r="AE365" i="71" l="1"/>
  <c r="O366" i="71"/>
  <c r="X366" i="71" s="1"/>
  <c r="AD366" i="71" s="1"/>
  <c r="O367" i="71" l="1"/>
  <c r="X367" i="71" s="1"/>
  <c r="AD367" i="71" s="1"/>
  <c r="AE366" i="71"/>
  <c r="O368" i="71" l="1"/>
  <c r="X368" i="71" s="1"/>
  <c r="AD368" i="71" s="1"/>
  <c r="AE367" i="71"/>
  <c r="AE368" i="71" l="1"/>
  <c r="O369" i="71"/>
  <c r="X369" i="71" s="1"/>
  <c r="AD369" i="71" s="1"/>
  <c r="O370" i="71" l="1"/>
  <c r="X370" i="71" s="1"/>
  <c r="AD370" i="71" s="1"/>
  <c r="AE369" i="71"/>
  <c r="O371" i="71" l="1"/>
  <c r="X371" i="71" s="1"/>
  <c r="AD371" i="71" s="1"/>
  <c r="AE370" i="71"/>
  <c r="O372" i="71" l="1"/>
  <c r="X372" i="71" s="1"/>
  <c r="AD372" i="71" s="1"/>
  <c r="AE371" i="71"/>
  <c r="O373" i="71" l="1"/>
  <c r="X373" i="71" s="1"/>
  <c r="AD373" i="71" s="1"/>
  <c r="AE372" i="71"/>
  <c r="AE373" i="71" l="1"/>
  <c r="O374" i="71"/>
  <c r="X374" i="71" s="1"/>
  <c r="AD374" i="71" s="1"/>
  <c r="AE374" i="71" l="1"/>
  <c r="O375" i="71"/>
  <c r="X375" i="71" s="1"/>
  <c r="AD375" i="71" s="1"/>
  <c r="AE375" i="71" l="1"/>
  <c r="O376" i="71"/>
  <c r="X376" i="71" s="1"/>
  <c r="AD376" i="71" s="1"/>
  <c r="O377" i="71" l="1"/>
  <c r="X377" i="71" s="1"/>
  <c r="AD377" i="71" s="1"/>
  <c r="AE376" i="71"/>
  <c r="O378" i="71" l="1"/>
  <c r="X378" i="71" s="1"/>
  <c r="AD378" i="71" s="1"/>
  <c r="AE377" i="71"/>
  <c r="O379" i="71" l="1"/>
  <c r="X379" i="71" s="1"/>
  <c r="AD379" i="71" s="1"/>
  <c r="AE378" i="71"/>
  <c r="O380" i="71" l="1"/>
  <c r="X380" i="71" s="1"/>
  <c r="AD380" i="71" s="1"/>
  <c r="AE379" i="71"/>
  <c r="O381" i="71" l="1"/>
  <c r="X381" i="71" s="1"/>
  <c r="AD381" i="71" s="1"/>
  <c r="AE380" i="71"/>
  <c r="O382" i="71" l="1"/>
  <c r="X382" i="71" s="1"/>
  <c r="AD382" i="71" s="1"/>
  <c r="AE381" i="71"/>
  <c r="AE382" i="71" l="1"/>
  <c r="O383" i="71"/>
  <c r="X383" i="71" s="1"/>
  <c r="AD383" i="71" s="1"/>
  <c r="AE383" i="71" l="1"/>
  <c r="O384" i="71"/>
  <c r="X384" i="71" s="1"/>
  <c r="AD384" i="71" s="1"/>
  <c r="AE384" i="71" l="1"/>
  <c r="O385" i="71"/>
  <c r="X385" i="71" s="1"/>
  <c r="AD385" i="71" s="1"/>
  <c r="O386" i="71" l="1"/>
  <c r="X386" i="71" s="1"/>
  <c r="AD386" i="71" s="1"/>
  <c r="AE385" i="71"/>
  <c r="O387" i="71" l="1"/>
  <c r="X387" i="71" s="1"/>
  <c r="AD387" i="71" s="1"/>
  <c r="AE386" i="71"/>
  <c r="O388" i="71" l="1"/>
  <c r="X388" i="71" s="1"/>
  <c r="AD388" i="71" s="1"/>
  <c r="AE387" i="71"/>
  <c r="AE388" i="71" l="1"/>
  <c r="O389" i="71"/>
  <c r="X389" i="71" s="1"/>
  <c r="AD389" i="71" s="1"/>
  <c r="O390" i="71" l="1"/>
  <c r="X390" i="71" s="1"/>
  <c r="AD390" i="71" s="1"/>
  <c r="AE389" i="71"/>
  <c r="O391" i="71" l="1"/>
  <c r="X391" i="71" s="1"/>
  <c r="AD391" i="71" s="1"/>
  <c r="AE390" i="71"/>
  <c r="AE391" i="71" l="1"/>
  <c r="O392" i="71"/>
  <c r="X392" i="71" s="1"/>
  <c r="AD392" i="71" s="1"/>
  <c r="O393" i="71" l="1"/>
  <c r="X393" i="71" s="1"/>
  <c r="AD393" i="71" s="1"/>
  <c r="AE392" i="71"/>
  <c r="O394" i="71" l="1"/>
  <c r="X394" i="71" s="1"/>
  <c r="AD394" i="71" s="1"/>
  <c r="AE393" i="71"/>
  <c r="AE394" i="71" l="1"/>
  <c r="O395" i="71"/>
  <c r="X395" i="71" s="1"/>
  <c r="AD395" i="71" s="1"/>
  <c r="O396" i="71" l="1"/>
  <c r="X396" i="71" s="1"/>
  <c r="AD396" i="71" s="1"/>
  <c r="AE395" i="71"/>
  <c r="O397" i="71" l="1"/>
  <c r="X397" i="71" s="1"/>
  <c r="AD397" i="71" s="1"/>
  <c r="AE396" i="71"/>
  <c r="O398" i="71" l="1"/>
  <c r="X398" i="71" s="1"/>
  <c r="AD398" i="71" s="1"/>
  <c r="AE397" i="71"/>
  <c r="O399" i="71" l="1"/>
  <c r="X399" i="71" s="1"/>
  <c r="AD399" i="71" s="1"/>
  <c r="AE398" i="71"/>
  <c r="O400" i="71" l="1"/>
  <c r="X400" i="71" s="1"/>
  <c r="AD400" i="71" s="1"/>
  <c r="AE399" i="71"/>
  <c r="AE400" i="71" l="1"/>
  <c r="O401" i="71"/>
  <c r="X401" i="71" s="1"/>
  <c r="AD401" i="71" s="1"/>
  <c r="O402" i="71" l="1"/>
  <c r="X402" i="71" s="1"/>
  <c r="AD402" i="71" s="1"/>
  <c r="AE401" i="71"/>
  <c r="AE402" i="71" l="1"/>
  <c r="O403" i="71"/>
  <c r="X403" i="71" s="1"/>
  <c r="AD403" i="71" s="1"/>
  <c r="AE403" i="71" l="1"/>
  <c r="O404" i="71"/>
  <c r="X404" i="71" s="1"/>
  <c r="AD404" i="71" s="1"/>
  <c r="O405" i="71" l="1"/>
  <c r="X405" i="71" s="1"/>
  <c r="AD405" i="71" s="1"/>
  <c r="AE404" i="71"/>
  <c r="O406" i="71" l="1"/>
  <c r="X406" i="71" s="1"/>
  <c r="AD406" i="71" s="1"/>
  <c r="AE405" i="71"/>
  <c r="AE406" i="71" l="1"/>
  <c r="O407" i="71"/>
  <c r="X407" i="71" s="1"/>
  <c r="AD407" i="71" s="1"/>
  <c r="AE407" i="71" l="1"/>
  <c r="O408" i="71"/>
  <c r="X408" i="71" s="1"/>
  <c r="AD408" i="71" s="1"/>
  <c r="O409" i="71" l="1"/>
  <c r="X409" i="71" s="1"/>
  <c r="AD409" i="71" s="1"/>
  <c r="AE408" i="71"/>
  <c r="O410" i="71" l="1"/>
  <c r="X410" i="71" s="1"/>
  <c r="AD410" i="71" s="1"/>
  <c r="AE409" i="71"/>
  <c r="O411" i="71" l="1"/>
  <c r="X411" i="71" s="1"/>
  <c r="AD411" i="71" s="1"/>
  <c r="AE410" i="71"/>
  <c r="O412" i="71" l="1"/>
  <c r="X412" i="71" s="1"/>
  <c r="AD412" i="71" s="1"/>
  <c r="AE411" i="71"/>
  <c r="AE412" i="71" l="1"/>
  <c r="O413" i="71"/>
  <c r="X413" i="71" s="1"/>
  <c r="AD413" i="71" s="1"/>
  <c r="O414" i="71" l="1"/>
  <c r="X414" i="71" s="1"/>
  <c r="AD414" i="71" s="1"/>
  <c r="AE413" i="71"/>
  <c r="AE414" i="71" l="1"/>
  <c r="O415" i="71"/>
  <c r="X415" i="71" s="1"/>
  <c r="AD415" i="71" s="1"/>
  <c r="AE415" i="71" l="1"/>
  <c r="O416" i="71"/>
  <c r="X416" i="71" s="1"/>
  <c r="AD416" i="71" s="1"/>
  <c r="O417" i="71" l="1"/>
  <c r="X417" i="71" s="1"/>
  <c r="AD417" i="71" s="1"/>
  <c r="AE416" i="71"/>
  <c r="AE417" i="71" l="1"/>
  <c r="O418" i="71"/>
  <c r="X418" i="71" s="1"/>
  <c r="AD418" i="71" s="1"/>
  <c r="O419" i="71" l="1"/>
  <c r="X419" i="71" s="1"/>
  <c r="AD419" i="71" s="1"/>
  <c r="AE418" i="71"/>
  <c r="O420" i="71" l="1"/>
  <c r="X420" i="71" s="1"/>
  <c r="AD420" i="71" s="1"/>
  <c r="AE419" i="71"/>
  <c r="AE420" i="71" l="1"/>
  <c r="O421" i="71"/>
  <c r="X421" i="71" s="1"/>
  <c r="AD421" i="71" s="1"/>
  <c r="AE421" i="71" l="1"/>
  <c r="O422" i="71"/>
  <c r="X422" i="71" s="1"/>
  <c r="AD422" i="71" s="1"/>
  <c r="AE422" i="71" l="1"/>
  <c r="O423" i="71"/>
  <c r="X423" i="71" s="1"/>
  <c r="AD423" i="71" s="1"/>
  <c r="O424" i="71" l="1"/>
  <c r="X424" i="71" s="1"/>
  <c r="AD424" i="71" s="1"/>
  <c r="AE423" i="71"/>
  <c r="O425" i="71" l="1"/>
  <c r="X425" i="71" s="1"/>
  <c r="AD425" i="71" s="1"/>
  <c r="AE424" i="71"/>
  <c r="O426" i="71" l="1"/>
  <c r="X426" i="71" s="1"/>
  <c r="AD426" i="71" s="1"/>
  <c r="AE425" i="71"/>
  <c r="AE426" i="71" l="1"/>
  <c r="O427" i="71"/>
  <c r="X427" i="71" s="1"/>
  <c r="AD427" i="71" s="1"/>
  <c r="O428" i="71" l="1"/>
  <c r="X428" i="71" s="1"/>
  <c r="AD428" i="71" s="1"/>
  <c r="AE427" i="71"/>
  <c r="O429" i="71" l="1"/>
  <c r="X429" i="71" s="1"/>
  <c r="AD429" i="71" s="1"/>
  <c r="AE428" i="71"/>
  <c r="O430" i="71" l="1"/>
  <c r="X430" i="71" s="1"/>
  <c r="AD430" i="71" s="1"/>
  <c r="AE429" i="71"/>
  <c r="O431" i="71" l="1"/>
  <c r="X431" i="71" s="1"/>
  <c r="AD431" i="71" s="1"/>
  <c r="AE430" i="71"/>
  <c r="O432" i="71" l="1"/>
  <c r="X432" i="71" s="1"/>
  <c r="AD432" i="71" s="1"/>
  <c r="AE431" i="71"/>
  <c r="O433" i="71" l="1"/>
  <c r="X433" i="71" s="1"/>
  <c r="AD433" i="71" s="1"/>
  <c r="AE432" i="71"/>
  <c r="O434" i="71" l="1"/>
  <c r="X434" i="71" s="1"/>
  <c r="AD434" i="71" s="1"/>
  <c r="AE433" i="71"/>
  <c r="AE434" i="71" l="1"/>
  <c r="O435" i="71"/>
  <c r="X435" i="71" s="1"/>
  <c r="AD435" i="71" s="1"/>
  <c r="AE435" i="71" l="1"/>
  <c r="O436" i="71"/>
  <c r="X436" i="71" s="1"/>
  <c r="AD436" i="71" s="1"/>
  <c r="O437" i="71" l="1"/>
  <c r="X437" i="71" s="1"/>
  <c r="AD437" i="71" s="1"/>
  <c r="AE436" i="71"/>
  <c r="AE437" i="71" l="1"/>
  <c r="O438" i="71"/>
  <c r="X438" i="71" s="1"/>
  <c r="AD438" i="71" s="1"/>
  <c r="O439" i="71" l="1"/>
  <c r="X439" i="71" s="1"/>
  <c r="AD439" i="71" s="1"/>
  <c r="AE438" i="71"/>
  <c r="AE439" i="71" l="1"/>
  <c r="O440" i="71"/>
  <c r="X440" i="71" s="1"/>
  <c r="AD440" i="71" s="1"/>
  <c r="AE440" i="71" l="1"/>
  <c r="O441" i="71"/>
  <c r="X441" i="71" s="1"/>
  <c r="AD441" i="71" s="1"/>
  <c r="AE441" i="71" l="1"/>
  <c r="O442" i="71"/>
  <c r="X442" i="71" s="1"/>
  <c r="AD442" i="71" s="1"/>
  <c r="AE442" i="71" l="1"/>
  <c r="O443" i="71"/>
  <c r="X443" i="71" s="1"/>
  <c r="AD443" i="71" s="1"/>
  <c r="O444" i="71" l="1"/>
  <c r="X444" i="71" s="1"/>
  <c r="AD444" i="71" s="1"/>
  <c r="AE443" i="71"/>
  <c r="O445" i="71" l="1"/>
  <c r="X445" i="71" s="1"/>
  <c r="AD445" i="71" s="1"/>
  <c r="AE444" i="71"/>
  <c r="AE445" i="71" l="1"/>
  <c r="O446" i="71"/>
  <c r="X446" i="71" s="1"/>
  <c r="AD446" i="71" s="1"/>
  <c r="AE446" i="71" l="1"/>
  <c r="O447" i="71"/>
  <c r="X447" i="71" s="1"/>
  <c r="AD447" i="71" s="1"/>
  <c r="AE447" i="71" l="1"/>
  <c r="O448" i="71"/>
  <c r="X448" i="71" s="1"/>
  <c r="AD448" i="71" s="1"/>
  <c r="O449" i="71" l="1"/>
  <c r="X449" i="71" s="1"/>
  <c r="AD449" i="71" s="1"/>
  <c r="AE448" i="71"/>
  <c r="O450" i="71" l="1"/>
  <c r="X450" i="71" s="1"/>
  <c r="AD450" i="71" s="1"/>
  <c r="AE449" i="71"/>
  <c r="AE450" i="71" l="1"/>
  <c r="O451" i="71"/>
  <c r="X451" i="71" s="1"/>
  <c r="AD451" i="71" s="1"/>
  <c r="O452" i="71" l="1"/>
  <c r="X452" i="71" s="1"/>
  <c r="AD452" i="71" s="1"/>
  <c r="AE451" i="71"/>
  <c r="AE452" i="71" l="1"/>
  <c r="O453" i="71"/>
  <c r="X453" i="71" s="1"/>
  <c r="AD453" i="71" s="1"/>
  <c r="AE453" i="71" l="1"/>
  <c r="O454" i="71"/>
  <c r="X454" i="71" s="1"/>
  <c r="AD454" i="71" s="1"/>
  <c r="AE454" i="71" l="1"/>
  <c r="O455" i="71"/>
  <c r="X455" i="71" s="1"/>
  <c r="AD455" i="71" s="1"/>
  <c r="AE455" i="71" l="1"/>
  <c r="O456" i="71"/>
  <c r="X456" i="71" s="1"/>
  <c r="AD456" i="71" s="1"/>
  <c r="AE456" i="71" l="1"/>
  <c r="O457" i="71"/>
  <c r="X457" i="71" s="1"/>
  <c r="AD457" i="71" s="1"/>
  <c r="AE457" i="71" l="1"/>
  <c r="O458" i="71"/>
  <c r="X458" i="71" s="1"/>
  <c r="AD458" i="71" s="1"/>
  <c r="O459" i="71" l="1"/>
  <c r="X459" i="71" s="1"/>
  <c r="AD459" i="71" s="1"/>
  <c r="AE458" i="71"/>
  <c r="AE459" i="71" l="1"/>
  <c r="O460" i="71"/>
  <c r="X460" i="71" s="1"/>
  <c r="AD460" i="71" s="1"/>
  <c r="O461" i="71" l="1"/>
  <c r="X461" i="71" s="1"/>
  <c r="AD461" i="71" s="1"/>
  <c r="AE460" i="71"/>
  <c r="AE461" i="71" l="1"/>
  <c r="O462" i="71"/>
  <c r="X462" i="71" s="1"/>
  <c r="AD462" i="71" s="1"/>
  <c r="AE462" i="71" l="1"/>
  <c r="O463" i="71"/>
  <c r="X463" i="71" s="1"/>
  <c r="AD463" i="71" s="1"/>
  <c r="O464" i="71" l="1"/>
  <c r="X464" i="71" s="1"/>
  <c r="AD464" i="71" s="1"/>
  <c r="AE463" i="71"/>
  <c r="O465" i="71" l="1"/>
  <c r="X465" i="71" s="1"/>
  <c r="AD465" i="71" s="1"/>
  <c r="AE464" i="71"/>
  <c r="AE465" i="71" l="1"/>
  <c r="O466" i="71"/>
  <c r="X466" i="71" s="1"/>
  <c r="AD466" i="71" s="1"/>
  <c r="O467" i="71" l="1"/>
  <c r="X467" i="71" s="1"/>
  <c r="AD467" i="71" s="1"/>
  <c r="AE466" i="71"/>
  <c r="O468" i="71" l="1"/>
  <c r="X468" i="71" s="1"/>
  <c r="AD468" i="71" s="1"/>
  <c r="AE467" i="71"/>
  <c r="AE468" i="71" l="1"/>
  <c r="O469" i="71"/>
  <c r="X469" i="71" s="1"/>
  <c r="AD469" i="71" s="1"/>
  <c r="AE469" i="71" l="1"/>
  <c r="O470" i="71"/>
  <c r="X470" i="71" s="1"/>
  <c r="AD470" i="71" s="1"/>
  <c r="AE470" i="71" l="1"/>
  <c r="O471" i="71"/>
  <c r="X471" i="71" s="1"/>
  <c r="AD471" i="71" s="1"/>
  <c r="AE471" i="71" l="1"/>
  <c r="O472" i="71"/>
  <c r="X472" i="71" s="1"/>
  <c r="AD472" i="71" s="1"/>
  <c r="O473" i="71" l="1"/>
  <c r="X473" i="71" s="1"/>
  <c r="AD473" i="71" s="1"/>
  <c r="AE472" i="71"/>
  <c r="AE473" i="71" l="1"/>
  <c r="O474" i="71"/>
  <c r="X474" i="71" s="1"/>
  <c r="AD474" i="71" s="1"/>
  <c r="O475" i="71" l="1"/>
  <c r="X475" i="71" s="1"/>
  <c r="AD475" i="71" s="1"/>
  <c r="AE474" i="71"/>
  <c r="O476" i="71" l="1"/>
  <c r="X476" i="71" s="1"/>
  <c r="AD476" i="71" s="1"/>
  <c r="AE475" i="71"/>
  <c r="AE476" i="71" l="1"/>
  <c r="O477" i="71"/>
  <c r="X477" i="71" s="1"/>
  <c r="AD477" i="71" s="1"/>
  <c r="AE477" i="71" l="1"/>
  <c r="O478" i="71"/>
  <c r="X478" i="71" s="1"/>
  <c r="AD478" i="71" s="1"/>
  <c r="AE478" i="71" l="1"/>
  <c r="O479" i="71"/>
  <c r="X479" i="71" s="1"/>
  <c r="AD479" i="71" s="1"/>
  <c r="O480" i="71" l="1"/>
  <c r="X480" i="71" s="1"/>
  <c r="AD480" i="71" s="1"/>
  <c r="AE479" i="71"/>
  <c r="AE480" i="71" l="1"/>
  <c r="O481" i="71"/>
  <c r="X481" i="71" s="1"/>
  <c r="AD481" i="71" s="1"/>
  <c r="AE481" i="71" l="1"/>
  <c r="O482" i="71"/>
  <c r="X482" i="71" s="1"/>
  <c r="AD482" i="71" s="1"/>
  <c r="AE482" i="71" l="1"/>
  <c r="O483" i="71"/>
  <c r="X483" i="71" s="1"/>
  <c r="AD483" i="71" s="1"/>
  <c r="O484" i="71" l="1"/>
  <c r="X484" i="71" s="1"/>
  <c r="AD484" i="71" s="1"/>
  <c r="AE483" i="71"/>
  <c r="AE484" i="71" l="1"/>
  <c r="O485" i="71"/>
  <c r="X485" i="71" s="1"/>
  <c r="AD485" i="71" s="1"/>
  <c r="O486" i="71" l="1"/>
  <c r="X486" i="71" s="1"/>
  <c r="AD486" i="71" s="1"/>
  <c r="AE485" i="71"/>
  <c r="O487" i="71" l="1"/>
  <c r="X487" i="71" s="1"/>
  <c r="AD487" i="71" s="1"/>
  <c r="AE486" i="71"/>
  <c r="O488" i="71" l="1"/>
  <c r="X488" i="71" s="1"/>
  <c r="AD488" i="71" s="1"/>
  <c r="AE487" i="71"/>
  <c r="AE488" i="71" l="1"/>
  <c r="O489" i="71"/>
  <c r="X489" i="71" s="1"/>
  <c r="AD489" i="71" s="1"/>
  <c r="O490" i="71" l="1"/>
  <c r="X490" i="71" s="1"/>
  <c r="AD490" i="71" s="1"/>
  <c r="AE489" i="71"/>
  <c r="AE490" i="71" l="1"/>
  <c r="O491" i="71"/>
  <c r="X491" i="71" s="1"/>
  <c r="AD491" i="71" s="1"/>
  <c r="O492" i="71" l="1"/>
  <c r="X492" i="71" s="1"/>
  <c r="AD492" i="71" s="1"/>
  <c r="AE491" i="71"/>
  <c r="AE492" i="71" l="1"/>
  <c r="O493" i="71"/>
  <c r="X493" i="71" s="1"/>
  <c r="AD493" i="71" s="1"/>
  <c r="O494" i="71" l="1"/>
  <c r="X494" i="71" s="1"/>
  <c r="AD494" i="71" s="1"/>
  <c r="AE493" i="71"/>
  <c r="AE494" i="71" l="1"/>
  <c r="O495" i="71"/>
  <c r="X495" i="71" s="1"/>
  <c r="AD495" i="71" s="1"/>
  <c r="O496" i="71" l="1"/>
  <c r="X496" i="71" s="1"/>
  <c r="AD496" i="71" s="1"/>
  <c r="AE495" i="71"/>
  <c r="AE496" i="71" l="1"/>
  <c r="O497" i="71"/>
  <c r="X497" i="71" s="1"/>
  <c r="AD497" i="71" s="1"/>
  <c r="O498" i="71" l="1"/>
  <c r="X498" i="71" s="1"/>
  <c r="AD498" i="71" s="1"/>
  <c r="AE497" i="71"/>
  <c r="AE498" i="71" l="1"/>
  <c r="O499" i="71"/>
  <c r="X499" i="71" s="1"/>
  <c r="AD499" i="71" s="1"/>
  <c r="O500" i="71" l="1"/>
  <c r="X500" i="71" s="1"/>
  <c r="AD500" i="71" s="1"/>
  <c r="AE499" i="71"/>
  <c r="AE500" i="71" l="1"/>
  <c r="O501" i="71"/>
  <c r="X501" i="71" s="1"/>
  <c r="AD501" i="71" s="1"/>
  <c r="AE501" i="71" l="1"/>
  <c r="O502" i="71"/>
  <c r="X502" i="71" s="1"/>
  <c r="AD502" i="71" s="1"/>
  <c r="O503" i="71" l="1"/>
  <c r="X503" i="71" s="1"/>
  <c r="AD503" i="71" s="1"/>
  <c r="AE502" i="71"/>
  <c r="O504" i="71" l="1"/>
  <c r="X504" i="71" s="1"/>
  <c r="AD504" i="71" s="1"/>
  <c r="AE503" i="71"/>
  <c r="O505" i="71" l="1"/>
  <c r="X505" i="71" s="1"/>
  <c r="AD505" i="71" s="1"/>
  <c r="AE504" i="71"/>
  <c r="AE505" i="71" l="1"/>
  <c r="O506" i="71"/>
  <c r="X506" i="71" s="1"/>
  <c r="AD506" i="71" s="1"/>
  <c r="AE506" i="71" l="1"/>
  <c r="O507" i="71"/>
  <c r="X507" i="71" s="1"/>
  <c r="AD507" i="71" s="1"/>
  <c r="AE507" i="71" l="1"/>
  <c r="O508" i="71"/>
  <c r="X508" i="71" s="1"/>
  <c r="AD508" i="71" s="1"/>
  <c r="O509" i="71" l="1"/>
  <c r="X509" i="71" s="1"/>
  <c r="AD509" i="71" s="1"/>
  <c r="AE508" i="71"/>
  <c r="O510" i="71" l="1"/>
  <c r="X510" i="71" s="1"/>
  <c r="AD510" i="71" s="1"/>
  <c r="AE509" i="71"/>
  <c r="O511" i="71" l="1"/>
  <c r="X511" i="71" s="1"/>
  <c r="AD511" i="71" s="1"/>
  <c r="AE510" i="71"/>
  <c r="O512" i="71" l="1"/>
  <c r="X512" i="71" s="1"/>
  <c r="AD512" i="71" s="1"/>
  <c r="AE511" i="71"/>
  <c r="O513" i="71" l="1"/>
  <c r="X513" i="71" s="1"/>
  <c r="AD513" i="71" s="1"/>
  <c r="AE512" i="71"/>
  <c r="O514" i="71" l="1"/>
  <c r="X514" i="71" s="1"/>
  <c r="AD514" i="71" s="1"/>
  <c r="AE513" i="71"/>
  <c r="O515" i="71" l="1"/>
  <c r="X515" i="71" s="1"/>
  <c r="AD515" i="71" s="1"/>
  <c r="AE514" i="71"/>
  <c r="O516" i="71" l="1"/>
  <c r="X516" i="71" s="1"/>
  <c r="AD516" i="71" s="1"/>
  <c r="AE515" i="71"/>
  <c r="AE516" i="71" l="1"/>
  <c r="O517" i="71"/>
  <c r="X517" i="71" s="1"/>
  <c r="AD517" i="71" s="1"/>
  <c r="O518" i="71" l="1"/>
  <c r="X518" i="71" s="1"/>
  <c r="AD518" i="71" s="1"/>
  <c r="AE517" i="71"/>
  <c r="O519" i="71" l="1"/>
  <c r="X519" i="71" s="1"/>
  <c r="AD519" i="71" s="1"/>
  <c r="AE518" i="71"/>
  <c r="O520" i="71" l="1"/>
  <c r="X520" i="71" s="1"/>
  <c r="AD520" i="71" s="1"/>
  <c r="AE519" i="71"/>
  <c r="AE520" i="71" l="1"/>
  <c r="O521" i="71"/>
  <c r="X521" i="71" s="1"/>
  <c r="AD521" i="71" s="1"/>
  <c r="O522" i="71" l="1"/>
  <c r="X522" i="71" s="1"/>
  <c r="AD522" i="71" s="1"/>
  <c r="AE521" i="71"/>
  <c r="O523" i="71" l="1"/>
  <c r="X523" i="71" s="1"/>
  <c r="AD523" i="71" s="1"/>
  <c r="AE522" i="71"/>
  <c r="AE523" i="71" l="1"/>
  <c r="O524" i="71"/>
  <c r="X524" i="71" s="1"/>
  <c r="AD524" i="71" s="1"/>
  <c r="O525" i="71" l="1"/>
  <c r="X525" i="71" s="1"/>
  <c r="AD525" i="71" s="1"/>
  <c r="AE524" i="71"/>
  <c r="O526" i="71" l="1"/>
  <c r="X526" i="71" s="1"/>
  <c r="AD526" i="71" s="1"/>
  <c r="AE525" i="71"/>
  <c r="O527" i="71" l="1"/>
  <c r="X527" i="71" s="1"/>
  <c r="AD527" i="71" s="1"/>
  <c r="AE526" i="71"/>
  <c r="O528" i="71" l="1"/>
  <c r="X528" i="71" s="1"/>
  <c r="AD528" i="71" s="1"/>
  <c r="AE527" i="71"/>
  <c r="AE528" i="71" l="1"/>
  <c r="O529" i="71"/>
  <c r="X529" i="71" s="1"/>
  <c r="AD529" i="71" s="1"/>
  <c r="O530" i="71" l="1"/>
  <c r="X530" i="71" s="1"/>
  <c r="AD530" i="71" s="1"/>
  <c r="AE529" i="71"/>
  <c r="O531" i="71" l="1"/>
  <c r="X531" i="71" s="1"/>
  <c r="AD531" i="71" s="1"/>
  <c r="AE530" i="71"/>
  <c r="AE531" i="71" l="1"/>
  <c r="O532" i="71"/>
  <c r="X532" i="71" s="1"/>
  <c r="AD532" i="71" s="1"/>
  <c r="O533" i="71" l="1"/>
  <c r="X533" i="71" s="1"/>
  <c r="AD533" i="71" s="1"/>
  <c r="AE532" i="71"/>
  <c r="AE533" i="71" l="1"/>
  <c r="O534" i="71"/>
  <c r="X534" i="71" s="1"/>
  <c r="AD534" i="71" s="1"/>
  <c r="AE534" i="71" l="1"/>
  <c r="O535" i="71"/>
  <c r="X535" i="71" s="1"/>
  <c r="AD535" i="71" s="1"/>
  <c r="AE535" i="71" l="1"/>
  <c r="O536" i="71"/>
  <c r="X536" i="71" s="1"/>
  <c r="AD536" i="71" s="1"/>
  <c r="AE536" i="71" l="1"/>
  <c r="O537" i="71"/>
  <c r="X537" i="71" s="1"/>
  <c r="AD537" i="71" s="1"/>
  <c r="AE537" i="71" l="1"/>
  <c r="O538" i="71"/>
  <c r="X538" i="71" s="1"/>
  <c r="AD538" i="71" s="1"/>
  <c r="AE538" i="71" l="1"/>
  <c r="O539" i="71"/>
  <c r="X539" i="71" s="1"/>
  <c r="AD539" i="71" s="1"/>
  <c r="O540" i="71" l="1"/>
  <c r="X540" i="71" s="1"/>
  <c r="AD540" i="71" s="1"/>
  <c r="AE539" i="71"/>
  <c r="O541" i="71" l="1"/>
  <c r="X541" i="71" s="1"/>
  <c r="AD541" i="71" s="1"/>
  <c r="AE540" i="71"/>
  <c r="O542" i="71" l="1"/>
  <c r="X542" i="71" s="1"/>
  <c r="AD542" i="71" s="1"/>
  <c r="AE541" i="71"/>
  <c r="AE542" i="71" l="1"/>
  <c r="O543" i="71"/>
  <c r="X543" i="71" s="1"/>
  <c r="AD543" i="71" s="1"/>
  <c r="AE543" i="71" l="1"/>
  <c r="O544" i="71"/>
  <c r="X544" i="71" s="1"/>
  <c r="AD544" i="71" s="1"/>
  <c r="O545" i="71" l="1"/>
  <c r="X545" i="71" s="1"/>
  <c r="AD545" i="71" s="1"/>
  <c r="AE544" i="71"/>
  <c r="O546" i="71" l="1"/>
  <c r="X546" i="71" s="1"/>
  <c r="AD546" i="71" s="1"/>
  <c r="AE545" i="71"/>
  <c r="AE546" i="71" l="1"/>
  <c r="O547" i="71"/>
  <c r="X547" i="71" s="1"/>
  <c r="AD547" i="71" s="1"/>
  <c r="O548" i="71" l="1"/>
  <c r="X548" i="71" s="1"/>
  <c r="AD548" i="71" s="1"/>
  <c r="AE547" i="71"/>
  <c r="AE548" i="71" l="1"/>
  <c r="O549" i="71"/>
  <c r="X549" i="71" s="1"/>
  <c r="AD549" i="71" s="1"/>
  <c r="AE549" i="71" l="1"/>
  <c r="O550" i="71"/>
  <c r="X550" i="71" s="1"/>
  <c r="AD550" i="71" s="1"/>
  <c r="O551" i="71" l="1"/>
  <c r="X551" i="71" s="1"/>
  <c r="AD551" i="71" s="1"/>
  <c r="AE550" i="71"/>
  <c r="AE551" i="71" l="1"/>
  <c r="O552" i="71"/>
  <c r="X552" i="71" s="1"/>
  <c r="AD552" i="71" s="1"/>
  <c r="AE552" i="71" l="1"/>
  <c r="O553" i="71"/>
  <c r="X553" i="71" s="1"/>
  <c r="AD553" i="71" s="1"/>
  <c r="AE553" i="71" l="1"/>
  <c r="O554" i="71"/>
  <c r="X554" i="71" s="1"/>
  <c r="AD554" i="71" s="1"/>
  <c r="AE554" i="71" l="1"/>
  <c r="O555" i="71"/>
  <c r="X555" i="71" s="1"/>
  <c r="AD555" i="71" s="1"/>
  <c r="AE555" i="71" l="1"/>
  <c r="O556" i="71"/>
  <c r="X556" i="71" s="1"/>
  <c r="AD556" i="71" s="1"/>
  <c r="AE556" i="71" l="1"/>
  <c r="O557" i="71"/>
  <c r="X557" i="71" s="1"/>
  <c r="AD557" i="71" s="1"/>
  <c r="AE557" i="71" l="1"/>
  <c r="O558" i="71"/>
  <c r="X558" i="71" s="1"/>
  <c r="AD558" i="71" s="1"/>
  <c r="AE558" i="71" l="1"/>
  <c r="O559" i="71"/>
  <c r="X559" i="71" s="1"/>
  <c r="AD559" i="71" s="1"/>
  <c r="AE559" i="71" l="1"/>
  <c r="O560" i="71"/>
  <c r="X560" i="71" s="1"/>
  <c r="AD560" i="71" s="1"/>
  <c r="O561" i="71" l="1"/>
  <c r="X561" i="71" s="1"/>
  <c r="AD561" i="71" s="1"/>
  <c r="AE560" i="71"/>
  <c r="O562" i="71" l="1"/>
  <c r="X562" i="71" s="1"/>
  <c r="AD562" i="71" s="1"/>
  <c r="AE561" i="71"/>
  <c r="O563" i="71" l="1"/>
  <c r="X563" i="71" s="1"/>
  <c r="AD563" i="71" s="1"/>
  <c r="AE562" i="71"/>
  <c r="AE563" i="71" l="1"/>
  <c r="O564" i="71"/>
  <c r="X564" i="71" s="1"/>
  <c r="AD564" i="71" s="1"/>
  <c r="O565" i="71" l="1"/>
  <c r="X565" i="71" s="1"/>
  <c r="AD565" i="71" s="1"/>
  <c r="AE564" i="71"/>
  <c r="O566" i="71" l="1"/>
  <c r="X566" i="71" s="1"/>
  <c r="AD566" i="71" s="1"/>
  <c r="AE565" i="71"/>
  <c r="O567" i="71" l="1"/>
  <c r="X567" i="71" s="1"/>
  <c r="AD567" i="71" s="1"/>
  <c r="AE566" i="71"/>
  <c r="O568" i="71" l="1"/>
  <c r="X568" i="71" s="1"/>
  <c r="AD568" i="71" s="1"/>
  <c r="AE567" i="71"/>
  <c r="AE568" i="71" l="1"/>
  <c r="O569" i="71"/>
  <c r="X569" i="71" s="1"/>
  <c r="AD569" i="71" s="1"/>
  <c r="O570" i="71" l="1"/>
  <c r="X570" i="71" s="1"/>
  <c r="AD570" i="71" s="1"/>
  <c r="AE569" i="71"/>
  <c r="AE570" i="71" l="1"/>
  <c r="O571" i="71"/>
  <c r="X571" i="71" s="1"/>
  <c r="AD571" i="71" s="1"/>
  <c r="AE571" i="71" l="1"/>
  <c r="O572" i="71"/>
  <c r="X572" i="71" s="1"/>
  <c r="AD572" i="71" s="1"/>
  <c r="O573" i="71" l="1"/>
  <c r="X573" i="71" s="1"/>
  <c r="AD573" i="71" s="1"/>
  <c r="AE572" i="71"/>
  <c r="AE573" i="71" l="1"/>
  <c r="O574" i="71"/>
  <c r="X574" i="71" s="1"/>
  <c r="AD574" i="71" s="1"/>
  <c r="O575" i="71" l="1"/>
  <c r="X575" i="71" s="1"/>
  <c r="AD575" i="71" s="1"/>
  <c r="AE574" i="71"/>
  <c r="AE575" i="71" l="1"/>
  <c r="O576" i="71"/>
  <c r="X576" i="71" s="1"/>
  <c r="AD576" i="71" s="1"/>
  <c r="O577" i="71" l="1"/>
  <c r="X577" i="71" s="1"/>
  <c r="AD577" i="71" s="1"/>
  <c r="AE576" i="71"/>
  <c r="AE577" i="71" l="1"/>
  <c r="O578" i="71"/>
  <c r="X578" i="71" s="1"/>
  <c r="AD578" i="71" s="1"/>
  <c r="O579" i="71" l="1"/>
  <c r="X579" i="71" s="1"/>
  <c r="AD579" i="71" s="1"/>
  <c r="AE578" i="71"/>
  <c r="AE579" i="71" l="1"/>
  <c r="O580" i="71"/>
  <c r="X580" i="71" s="1"/>
  <c r="AD580" i="71" s="1"/>
  <c r="AE580" i="71" l="1"/>
  <c r="O581" i="71"/>
  <c r="X581" i="71" s="1"/>
  <c r="AD581" i="71" s="1"/>
  <c r="AE581" i="71" l="1"/>
  <c r="O582" i="71"/>
  <c r="X582" i="71" s="1"/>
  <c r="AD582" i="71" s="1"/>
  <c r="AE582" i="71" l="1"/>
  <c r="O583" i="71"/>
  <c r="X583" i="71" s="1"/>
  <c r="AD583" i="71" s="1"/>
  <c r="AE583" i="71" l="1"/>
  <c r="O584" i="71"/>
  <c r="X584" i="71" s="1"/>
  <c r="AD584" i="71" s="1"/>
  <c r="AE584" i="71" l="1"/>
  <c r="O585" i="71"/>
  <c r="X585" i="71" s="1"/>
  <c r="AD585" i="71" s="1"/>
  <c r="O586" i="71" l="1"/>
  <c r="X586" i="71" s="1"/>
  <c r="AD586" i="71" s="1"/>
  <c r="AE585" i="71"/>
  <c r="AE586" i="71" l="1"/>
  <c r="O587" i="71"/>
  <c r="X587" i="71" s="1"/>
  <c r="AD587" i="71" s="1"/>
  <c r="O588" i="71" l="1"/>
  <c r="X588" i="71" s="1"/>
  <c r="AD588" i="71" s="1"/>
  <c r="AE587" i="71"/>
  <c r="AE588" i="71" l="1"/>
  <c r="O589" i="71"/>
  <c r="X589" i="71" s="1"/>
  <c r="AD589" i="71" s="1"/>
  <c r="AE589" i="71" l="1"/>
  <c r="O590" i="71"/>
  <c r="X590" i="71" s="1"/>
  <c r="AD590" i="71" s="1"/>
  <c r="AE590" i="71" l="1"/>
  <c r="O591" i="71"/>
  <c r="X591" i="71" s="1"/>
  <c r="AD591" i="71" s="1"/>
  <c r="AE591" i="71" l="1"/>
  <c r="O592" i="71"/>
  <c r="X592" i="71" s="1"/>
  <c r="AD592" i="71" s="1"/>
  <c r="AE592" i="71" l="1"/>
  <c r="O593" i="71"/>
  <c r="X593" i="71" s="1"/>
  <c r="AD593" i="71" s="1"/>
  <c r="AE593" i="71" l="1"/>
  <c r="O594" i="71"/>
  <c r="X594" i="71" s="1"/>
  <c r="AD594" i="71" s="1"/>
  <c r="AE594" i="71" l="1"/>
  <c r="O595" i="71"/>
  <c r="X595" i="71" s="1"/>
  <c r="AD595" i="71" s="1"/>
  <c r="AE595" i="71" l="1"/>
  <c r="O596" i="71"/>
  <c r="X596" i="71" s="1"/>
  <c r="AD596" i="71" s="1"/>
  <c r="O597" i="71" l="1"/>
  <c r="X597" i="71" s="1"/>
  <c r="AD597" i="71" s="1"/>
  <c r="AE596" i="71"/>
  <c r="AE597" i="71" l="1"/>
  <c r="O598" i="71"/>
  <c r="X598" i="71" s="1"/>
  <c r="AD598" i="71" s="1"/>
  <c r="AE598" i="71" l="1"/>
  <c r="O599" i="71"/>
  <c r="X599" i="71" s="1"/>
  <c r="AD599" i="71" s="1"/>
  <c r="AE599" i="71" l="1"/>
  <c r="O600" i="71"/>
  <c r="X600" i="71" s="1"/>
  <c r="AD600" i="71" s="1"/>
  <c r="O601" i="71" l="1"/>
  <c r="X601" i="71" s="1"/>
  <c r="AD601" i="71" s="1"/>
  <c r="AE600" i="71"/>
  <c r="O602" i="71" l="1"/>
  <c r="X602" i="71" s="1"/>
  <c r="AD602" i="71" s="1"/>
  <c r="AE601" i="71"/>
  <c r="AE602" i="71" l="1"/>
  <c r="O603" i="71"/>
  <c r="X603" i="71" s="1"/>
  <c r="AD603" i="71" s="1"/>
  <c r="AE603" i="71" l="1"/>
  <c r="O604" i="71"/>
  <c r="X604" i="71" s="1"/>
  <c r="AD604" i="71" s="1"/>
  <c r="O605" i="71" l="1"/>
  <c r="X605" i="71" s="1"/>
  <c r="AD605" i="71" s="1"/>
  <c r="AE604" i="71"/>
  <c r="O606" i="71" l="1"/>
  <c r="X606" i="71" s="1"/>
  <c r="AD606" i="71" s="1"/>
  <c r="AE605" i="71"/>
  <c r="AE606" i="71" l="1"/>
  <c r="O607" i="71"/>
  <c r="X607" i="71" s="1"/>
  <c r="AD607" i="71" s="1"/>
  <c r="O608" i="71" l="1"/>
  <c r="X608" i="71" s="1"/>
  <c r="AD608" i="71" s="1"/>
  <c r="AE607" i="71"/>
  <c r="AE608" i="71" l="1"/>
  <c r="O609" i="71"/>
  <c r="X609" i="71" s="1"/>
  <c r="AD609" i="71" s="1"/>
  <c r="O610" i="71" l="1"/>
  <c r="X610" i="71" s="1"/>
  <c r="AD610" i="71" s="1"/>
  <c r="AE609" i="71"/>
  <c r="O611" i="71" l="1"/>
  <c r="X611" i="71" s="1"/>
  <c r="AD611" i="71" s="1"/>
  <c r="AE610" i="71"/>
  <c r="O612" i="71" l="1"/>
  <c r="X612" i="71" s="1"/>
  <c r="AD612" i="71" s="1"/>
  <c r="AE611" i="71"/>
  <c r="O613" i="71" l="1"/>
  <c r="X613" i="71" s="1"/>
  <c r="AD613" i="71" s="1"/>
  <c r="AE612" i="71"/>
  <c r="O614" i="71" l="1"/>
  <c r="X614" i="71" s="1"/>
  <c r="AD614" i="71" s="1"/>
  <c r="AE613" i="71"/>
  <c r="AE614" i="71" l="1"/>
  <c r="O615" i="71"/>
  <c r="X615" i="71" s="1"/>
  <c r="AD615" i="71" s="1"/>
  <c r="AE615" i="71" l="1"/>
  <c r="O616" i="71"/>
  <c r="X616" i="71" s="1"/>
  <c r="AD616" i="71" s="1"/>
  <c r="O617" i="71" l="1"/>
  <c r="X617" i="71" s="1"/>
  <c r="AD617" i="71" s="1"/>
  <c r="AE616" i="71"/>
  <c r="AE617" i="71" l="1"/>
  <c r="O618" i="71"/>
  <c r="X618" i="71" s="1"/>
  <c r="AD618" i="71" s="1"/>
  <c r="AE618" i="71" l="1"/>
  <c r="O619" i="71"/>
  <c r="X619" i="71" s="1"/>
  <c r="AD619" i="71" s="1"/>
  <c r="O620" i="71" l="1"/>
  <c r="X620" i="71" s="1"/>
  <c r="AD620" i="71" s="1"/>
  <c r="AE619" i="71"/>
  <c r="O621" i="71" l="1"/>
  <c r="X621" i="71" s="1"/>
  <c r="AD621" i="71" s="1"/>
  <c r="AE620" i="71"/>
  <c r="O622" i="71" l="1"/>
  <c r="X622" i="71" s="1"/>
  <c r="AD622" i="71" s="1"/>
  <c r="AE621" i="71"/>
  <c r="O623" i="71" l="1"/>
  <c r="X623" i="71" s="1"/>
  <c r="AD623" i="71" s="1"/>
  <c r="AE622" i="71"/>
  <c r="O624" i="71" l="1"/>
  <c r="X624" i="71" s="1"/>
  <c r="AD624" i="71" s="1"/>
  <c r="AE623" i="71"/>
  <c r="O625" i="71" l="1"/>
  <c r="X625" i="71" s="1"/>
  <c r="AD625" i="71" s="1"/>
  <c r="AE624" i="71"/>
  <c r="AE625" i="71" l="1"/>
  <c r="O626" i="71"/>
  <c r="X626" i="71" s="1"/>
  <c r="AD626" i="71" s="1"/>
  <c r="O627" i="71" l="1"/>
  <c r="X627" i="71" s="1"/>
  <c r="AD627" i="71" s="1"/>
  <c r="AE626" i="71"/>
  <c r="AE627" i="71" l="1"/>
  <c r="O628" i="71"/>
  <c r="X628" i="71" s="1"/>
  <c r="AD628" i="71" s="1"/>
  <c r="AE628" i="71" l="1"/>
  <c r="O629" i="71"/>
  <c r="X629" i="71" s="1"/>
  <c r="AD629" i="71" s="1"/>
  <c r="O630" i="71" l="1"/>
  <c r="X630" i="71" s="1"/>
  <c r="AD630" i="71" s="1"/>
  <c r="AE629" i="71"/>
  <c r="AE630" i="71" l="1"/>
  <c r="O631" i="71"/>
  <c r="X631" i="71" s="1"/>
  <c r="AD631" i="71" s="1"/>
  <c r="O632" i="71" l="1"/>
  <c r="X632" i="71" s="1"/>
  <c r="AD632" i="71" s="1"/>
  <c r="AE631" i="71"/>
  <c r="AE632" i="71" l="1"/>
  <c r="O633" i="71"/>
  <c r="X633" i="71" s="1"/>
  <c r="AD633" i="71" s="1"/>
  <c r="AE633" i="71" l="1"/>
  <c r="O634" i="71"/>
  <c r="X634" i="71" s="1"/>
  <c r="AD634" i="71" s="1"/>
  <c r="O635" i="71" l="1"/>
  <c r="X635" i="71" s="1"/>
  <c r="AD635" i="71" s="1"/>
  <c r="AE634" i="71"/>
  <c r="O636" i="71" l="1"/>
  <c r="X636" i="71" s="1"/>
  <c r="AD636" i="71" s="1"/>
  <c r="AE635" i="71"/>
  <c r="O637" i="71" l="1"/>
  <c r="X637" i="71" s="1"/>
  <c r="AD637" i="71" s="1"/>
  <c r="AE636" i="71"/>
  <c r="AE637" i="71" l="1"/>
  <c r="O638" i="71"/>
  <c r="X638" i="71" s="1"/>
  <c r="AD638" i="71" s="1"/>
  <c r="O639" i="71" l="1"/>
  <c r="X639" i="71" s="1"/>
  <c r="AD639" i="71" s="1"/>
  <c r="AE638" i="71"/>
  <c r="O640" i="71" l="1"/>
  <c r="X640" i="71" s="1"/>
  <c r="AD640" i="71" s="1"/>
  <c r="AE639" i="71"/>
  <c r="AE640" i="71" l="1"/>
  <c r="O641" i="71"/>
  <c r="X641" i="71" s="1"/>
  <c r="AD641" i="71" s="1"/>
  <c r="O642" i="71" l="1"/>
  <c r="X642" i="71" s="1"/>
  <c r="AD642" i="71" s="1"/>
  <c r="AE641" i="71"/>
  <c r="O643" i="71" l="1"/>
  <c r="X643" i="71" s="1"/>
  <c r="AD643" i="71" s="1"/>
  <c r="AE642" i="71"/>
  <c r="AE643" i="71" l="1"/>
  <c r="O644" i="71"/>
  <c r="X644" i="71" s="1"/>
  <c r="AD644" i="71" s="1"/>
  <c r="O645" i="71" l="1"/>
  <c r="X645" i="71" s="1"/>
  <c r="AD645" i="71" s="1"/>
  <c r="AE644" i="71"/>
  <c r="O646" i="71" l="1"/>
  <c r="X646" i="71" s="1"/>
  <c r="AD646" i="71" s="1"/>
  <c r="AE645" i="71"/>
  <c r="AE646" i="71" l="1"/>
  <c r="O647" i="71"/>
  <c r="X647" i="71" s="1"/>
  <c r="AD647" i="71" s="1"/>
  <c r="O648" i="71" l="1"/>
  <c r="X648" i="71" s="1"/>
  <c r="AD648" i="71" s="1"/>
  <c r="AE647" i="71"/>
  <c r="O649" i="71" l="1"/>
  <c r="X649" i="71" s="1"/>
  <c r="AD649" i="71" s="1"/>
  <c r="AE648" i="71"/>
  <c r="AE649" i="71" l="1"/>
  <c r="O650" i="71"/>
  <c r="X650" i="71" s="1"/>
  <c r="AD650" i="71" s="1"/>
  <c r="AE650" i="71" l="1"/>
  <c r="O651" i="71"/>
  <c r="X651" i="71" s="1"/>
  <c r="AD651" i="71" s="1"/>
  <c r="O652" i="71" l="1"/>
  <c r="X652" i="71" s="1"/>
  <c r="AD652" i="71" s="1"/>
  <c r="AE651" i="71"/>
  <c r="AE652" i="71" l="1"/>
  <c r="O653" i="71"/>
  <c r="X653" i="71" s="1"/>
  <c r="AD653" i="71" s="1"/>
  <c r="O654" i="71" l="1"/>
  <c r="X654" i="71" s="1"/>
  <c r="AD654" i="71" s="1"/>
  <c r="AE653" i="71"/>
  <c r="AE654" i="71" l="1"/>
  <c r="O655" i="71"/>
  <c r="X655" i="71" s="1"/>
  <c r="AD655" i="71" s="1"/>
  <c r="O656" i="71" l="1"/>
  <c r="X656" i="71" s="1"/>
  <c r="AD656" i="71" s="1"/>
  <c r="AE655" i="71"/>
  <c r="AE656" i="71" l="1"/>
  <c r="O657" i="71"/>
  <c r="X657" i="71" s="1"/>
  <c r="AD657" i="71" s="1"/>
  <c r="AE657" i="71" l="1"/>
  <c r="O658" i="71"/>
  <c r="X658" i="71" s="1"/>
  <c r="AD658" i="71" s="1"/>
  <c r="AE658" i="71" l="1"/>
  <c r="O659" i="71"/>
  <c r="X659" i="71" s="1"/>
  <c r="AD659" i="71" s="1"/>
  <c r="AE659" i="71" l="1"/>
  <c r="O660" i="71"/>
  <c r="X660" i="71" s="1"/>
  <c r="AD660" i="71" s="1"/>
  <c r="O661" i="71" l="1"/>
  <c r="X661" i="71" s="1"/>
  <c r="AD661" i="71" s="1"/>
  <c r="AE660" i="71"/>
  <c r="O662" i="71" l="1"/>
  <c r="X662" i="71" s="1"/>
  <c r="AD662" i="71" s="1"/>
  <c r="AE661" i="71"/>
  <c r="O663" i="71" l="1"/>
  <c r="X663" i="71" s="1"/>
  <c r="AD663" i="71" s="1"/>
  <c r="AE662" i="71"/>
  <c r="O664" i="71" l="1"/>
  <c r="X664" i="71" s="1"/>
  <c r="AD664" i="71" s="1"/>
  <c r="AE663" i="71"/>
  <c r="O665" i="71" l="1"/>
  <c r="X665" i="71" s="1"/>
  <c r="AD665" i="71" s="1"/>
  <c r="AE664" i="71"/>
  <c r="AE665" i="71" l="1"/>
  <c r="O666" i="71"/>
  <c r="X666" i="71" s="1"/>
  <c r="AD666" i="71" s="1"/>
  <c r="O667" i="71" l="1"/>
  <c r="X667" i="71" s="1"/>
  <c r="AD667" i="71" s="1"/>
  <c r="AE666" i="71"/>
  <c r="AE667" i="71" l="1"/>
  <c r="O668" i="71"/>
  <c r="X668" i="71" s="1"/>
  <c r="AD668" i="71" s="1"/>
  <c r="O669" i="71" l="1"/>
  <c r="X669" i="71" s="1"/>
  <c r="AD669" i="71" s="1"/>
  <c r="AE668" i="71"/>
  <c r="O670" i="71" l="1"/>
  <c r="X670" i="71" s="1"/>
  <c r="AD670" i="71" s="1"/>
  <c r="AE669" i="71"/>
  <c r="AE670" i="71" l="1"/>
  <c r="O671" i="71"/>
  <c r="X671" i="71" s="1"/>
  <c r="AD671" i="71" s="1"/>
  <c r="AE671" i="71" l="1"/>
  <c r="O672" i="71"/>
  <c r="X672" i="71" s="1"/>
  <c r="AD672" i="71" s="1"/>
  <c r="AE672" i="71" l="1"/>
  <c r="O673" i="71"/>
  <c r="X673" i="71" s="1"/>
  <c r="AD673" i="71" s="1"/>
  <c r="O674" i="71" l="1"/>
  <c r="X674" i="71" s="1"/>
  <c r="AD674" i="71" s="1"/>
  <c r="AE673" i="71"/>
  <c r="O675" i="71" l="1"/>
  <c r="X675" i="71" s="1"/>
  <c r="AD675" i="71" s="1"/>
  <c r="AE674" i="71"/>
  <c r="O676" i="71" l="1"/>
  <c r="X676" i="71" s="1"/>
  <c r="AD676" i="71" s="1"/>
  <c r="AE675" i="71"/>
  <c r="AE676" i="71" l="1"/>
  <c r="O677" i="71"/>
  <c r="X677" i="71" s="1"/>
  <c r="AD677" i="71" s="1"/>
  <c r="AE677" i="71" l="1"/>
  <c r="O678" i="71"/>
  <c r="X678" i="71" s="1"/>
  <c r="AD678" i="71" s="1"/>
  <c r="O679" i="71" l="1"/>
  <c r="X679" i="71" s="1"/>
  <c r="AD679" i="71" s="1"/>
  <c r="AE678" i="71"/>
  <c r="AE679" i="71" l="1"/>
  <c r="O680" i="71"/>
  <c r="X680" i="71" s="1"/>
  <c r="AD680" i="71" s="1"/>
  <c r="O681" i="71" l="1"/>
  <c r="X681" i="71" s="1"/>
  <c r="AD681" i="71" s="1"/>
  <c r="AE680" i="71"/>
  <c r="AE681" i="71" l="1"/>
  <c r="O682" i="71"/>
  <c r="X682" i="71" s="1"/>
  <c r="AD682" i="71" s="1"/>
  <c r="O683" i="71" l="1"/>
  <c r="X683" i="71" s="1"/>
  <c r="AD683" i="71" s="1"/>
  <c r="AE682" i="71"/>
  <c r="O684" i="71" l="1"/>
  <c r="X684" i="71" s="1"/>
  <c r="AD684" i="71" s="1"/>
  <c r="AE683" i="71"/>
  <c r="AE684" i="71" l="1"/>
  <c r="O685" i="71"/>
  <c r="X685" i="71" s="1"/>
  <c r="AD685" i="71" s="1"/>
  <c r="AE685" i="71" l="1"/>
  <c r="O686" i="71"/>
  <c r="X686" i="71" s="1"/>
  <c r="AD686" i="71" s="1"/>
  <c r="AE686" i="71" l="1"/>
  <c r="O687" i="71"/>
  <c r="X687" i="71" s="1"/>
  <c r="AD687" i="71" s="1"/>
  <c r="O688" i="71" l="1"/>
  <c r="X688" i="71" s="1"/>
  <c r="AD688" i="71" s="1"/>
  <c r="AE687" i="71"/>
  <c r="AE688" i="71" l="1"/>
  <c r="O689" i="71"/>
  <c r="X689" i="71" s="1"/>
  <c r="AD689" i="71" s="1"/>
  <c r="AE689" i="71" l="1"/>
  <c r="O690" i="71"/>
  <c r="X690" i="71" s="1"/>
  <c r="AD690" i="71" s="1"/>
  <c r="O691" i="71" l="1"/>
  <c r="X691" i="71" s="1"/>
  <c r="AD691" i="71" s="1"/>
  <c r="AE690" i="71"/>
  <c r="O692" i="71" l="1"/>
  <c r="X692" i="71" s="1"/>
  <c r="AD692" i="71" s="1"/>
  <c r="AE691" i="71"/>
  <c r="AE692" i="71" l="1"/>
  <c r="O693" i="71"/>
  <c r="X693" i="71" s="1"/>
  <c r="AD693" i="71" s="1"/>
  <c r="O694" i="71" l="1"/>
  <c r="X694" i="71" s="1"/>
  <c r="AD694" i="71" s="1"/>
  <c r="AE693" i="71"/>
  <c r="AE694" i="71" l="1"/>
  <c r="O695" i="71"/>
  <c r="X695" i="71" s="1"/>
  <c r="AD695" i="71" s="1"/>
  <c r="O696" i="71" l="1"/>
  <c r="X696" i="71" s="1"/>
  <c r="AD696" i="71" s="1"/>
  <c r="AE695" i="71"/>
  <c r="O697" i="71" l="1"/>
  <c r="X697" i="71" s="1"/>
  <c r="AD697" i="71" s="1"/>
  <c r="AE696" i="71"/>
  <c r="AE697" i="71" l="1"/>
  <c r="O698" i="71"/>
  <c r="X698" i="71" s="1"/>
  <c r="AD698" i="71" s="1"/>
  <c r="O699" i="71" l="1"/>
  <c r="X699" i="71" s="1"/>
  <c r="AD699" i="71" s="1"/>
  <c r="AE698" i="71"/>
  <c r="O700" i="71" l="1"/>
  <c r="X700" i="71" s="1"/>
  <c r="AD700" i="71" s="1"/>
  <c r="AE699" i="71"/>
  <c r="AE700" i="71" l="1"/>
  <c r="O701" i="71"/>
  <c r="X701" i="71" s="1"/>
  <c r="AD701" i="71" s="1"/>
  <c r="O702" i="71" l="1"/>
  <c r="X702" i="71" s="1"/>
  <c r="AD702" i="71" s="1"/>
  <c r="AE701" i="71"/>
  <c r="AE702" i="71" l="1"/>
  <c r="O703" i="71"/>
  <c r="X703" i="71" s="1"/>
  <c r="AD703" i="71" s="1"/>
  <c r="AE703" i="71" l="1"/>
  <c r="O704" i="71"/>
  <c r="X704" i="71" s="1"/>
  <c r="AD704" i="71" s="1"/>
  <c r="AE704" i="71" l="1"/>
  <c r="O705" i="71"/>
  <c r="X705" i="71" s="1"/>
  <c r="AD705" i="71" s="1"/>
  <c r="AE705" i="71" l="1"/>
  <c r="O706" i="71"/>
  <c r="X706" i="71" s="1"/>
  <c r="AD706" i="71" s="1"/>
  <c r="O707" i="71" l="1"/>
  <c r="X707" i="71" s="1"/>
  <c r="AD707" i="71" s="1"/>
  <c r="AE706" i="71"/>
  <c r="O708" i="71" l="1"/>
  <c r="X708" i="71" s="1"/>
  <c r="AD708" i="71" s="1"/>
  <c r="AE707" i="71"/>
  <c r="AE708" i="71" l="1"/>
  <c r="O709" i="71"/>
  <c r="X709" i="71" s="1"/>
  <c r="AD709" i="71" s="1"/>
  <c r="O710" i="71" l="1"/>
  <c r="X710" i="71" s="1"/>
  <c r="AD710" i="71" s="1"/>
  <c r="AE709" i="71"/>
  <c r="O711" i="71" l="1"/>
  <c r="X711" i="71" s="1"/>
  <c r="AD711" i="71" s="1"/>
  <c r="AE710" i="71"/>
  <c r="AE711" i="71" l="1"/>
  <c r="O712" i="71"/>
  <c r="X712" i="71" s="1"/>
  <c r="AD712" i="71" s="1"/>
  <c r="O713" i="71" l="1"/>
  <c r="X713" i="71" s="1"/>
  <c r="AD713" i="71" s="1"/>
  <c r="AE712" i="71"/>
  <c r="AE713" i="71" l="1"/>
  <c r="O714" i="71"/>
  <c r="X714" i="71" s="1"/>
  <c r="AD714" i="71" s="1"/>
  <c r="AE714" i="71" l="1"/>
  <c r="O715" i="71"/>
  <c r="X715" i="71" s="1"/>
  <c r="AD715" i="71" s="1"/>
  <c r="AE715" i="71" l="1"/>
  <c r="O716" i="71"/>
  <c r="X716" i="71" s="1"/>
  <c r="AD716" i="71" s="1"/>
  <c r="AE716" i="71" l="1"/>
  <c r="O717" i="71"/>
  <c r="X717" i="71" s="1"/>
  <c r="AD717" i="71" s="1"/>
  <c r="O718" i="71" l="1"/>
  <c r="X718" i="71" s="1"/>
  <c r="AD718" i="71" s="1"/>
  <c r="AE717" i="71"/>
  <c r="O719" i="71" l="1"/>
  <c r="X719" i="71" s="1"/>
  <c r="AD719" i="71" s="1"/>
  <c r="AE718" i="71"/>
  <c r="O720" i="71" l="1"/>
  <c r="X720" i="71" s="1"/>
  <c r="AD720" i="71" s="1"/>
  <c r="AE719" i="71"/>
  <c r="O721" i="71" l="1"/>
  <c r="X721" i="71" s="1"/>
  <c r="AD721" i="71" s="1"/>
  <c r="AE720" i="71"/>
  <c r="AE721" i="71" l="1"/>
  <c r="O722" i="71"/>
  <c r="X722" i="71" s="1"/>
  <c r="AD722" i="71" s="1"/>
  <c r="O723" i="71" l="1"/>
  <c r="X723" i="71" s="1"/>
  <c r="AD723" i="71" s="1"/>
  <c r="AE722" i="71"/>
  <c r="AE723" i="71" l="1"/>
  <c r="O724" i="71"/>
  <c r="X724" i="71" s="1"/>
  <c r="AD724" i="71" s="1"/>
  <c r="AE724" i="71" l="1"/>
  <c r="O725" i="71"/>
  <c r="X725" i="71" s="1"/>
  <c r="AD725" i="71" s="1"/>
  <c r="AE725" i="71" l="1"/>
  <c r="O726" i="71"/>
  <c r="X726" i="71" s="1"/>
  <c r="AD726" i="71" s="1"/>
  <c r="AE726" i="71" l="1"/>
  <c r="O727" i="71"/>
  <c r="X727" i="71" s="1"/>
  <c r="AD727" i="71" s="1"/>
  <c r="O728" i="71" l="1"/>
  <c r="X728" i="71" s="1"/>
  <c r="AD728" i="71" s="1"/>
  <c r="AE727" i="71"/>
  <c r="O729" i="71" l="1"/>
  <c r="X729" i="71" s="1"/>
  <c r="AD729" i="71" s="1"/>
  <c r="AE728" i="71"/>
  <c r="AE729" i="71" l="1"/>
  <c r="O730" i="71"/>
  <c r="X730" i="71" s="1"/>
  <c r="AD730" i="71" s="1"/>
  <c r="AE730" i="71" l="1"/>
  <c r="O731" i="71"/>
  <c r="X731" i="71" s="1"/>
  <c r="AD731" i="71" s="1"/>
  <c r="O732" i="71" l="1"/>
  <c r="X732" i="71" s="1"/>
  <c r="AD732" i="71" s="1"/>
  <c r="AE731" i="71"/>
  <c r="O733" i="71" l="1"/>
  <c r="X733" i="71" s="1"/>
  <c r="AD733" i="71" s="1"/>
  <c r="AE732" i="71"/>
  <c r="AE733" i="71" l="1"/>
  <c r="O734" i="71"/>
  <c r="X734" i="71" s="1"/>
  <c r="AD734" i="71" s="1"/>
  <c r="O735" i="71" l="1"/>
  <c r="X735" i="71" s="1"/>
  <c r="AD735" i="71" s="1"/>
  <c r="AE734" i="71"/>
  <c r="O736" i="71" l="1"/>
  <c r="X736" i="71" s="1"/>
  <c r="AD736" i="71" s="1"/>
  <c r="AE735" i="71"/>
  <c r="AE736" i="71" l="1"/>
  <c r="O737" i="71"/>
  <c r="X737" i="71" s="1"/>
  <c r="AD737" i="71" s="1"/>
  <c r="O738" i="71" l="1"/>
  <c r="X738" i="71" s="1"/>
  <c r="AD738" i="71" s="1"/>
  <c r="AE737" i="71"/>
  <c r="AE738" i="71" l="1"/>
  <c r="O739" i="71"/>
  <c r="X739" i="71" s="1"/>
  <c r="AD739" i="71" s="1"/>
  <c r="O740" i="71" l="1"/>
  <c r="X740" i="71" s="1"/>
  <c r="AD740" i="71" s="1"/>
  <c r="AE739" i="71"/>
  <c r="O741" i="71" l="1"/>
  <c r="X741" i="71" s="1"/>
  <c r="AD741" i="71" s="1"/>
  <c r="AE740" i="71"/>
  <c r="AE741" i="71" l="1"/>
  <c r="O742" i="71"/>
  <c r="X742" i="71" s="1"/>
  <c r="AD742" i="71" s="1"/>
  <c r="AE742" i="71" l="1"/>
  <c r="O743" i="71"/>
  <c r="X743" i="71" s="1"/>
  <c r="AD743" i="71" s="1"/>
  <c r="O744" i="71" l="1"/>
  <c r="X744" i="71" s="1"/>
  <c r="AD744" i="71" s="1"/>
  <c r="AE743" i="71"/>
  <c r="AE744" i="71" l="1"/>
  <c r="O745" i="71"/>
  <c r="X745" i="71" s="1"/>
  <c r="AD745" i="71" s="1"/>
  <c r="AE745" i="71" l="1"/>
  <c r="O746" i="71"/>
  <c r="X746" i="71" s="1"/>
  <c r="AD746" i="71" s="1"/>
  <c r="AE746" i="71" l="1"/>
  <c r="O747" i="71"/>
  <c r="X747" i="71" s="1"/>
  <c r="AD747" i="71" s="1"/>
  <c r="O748" i="71" l="1"/>
  <c r="X748" i="71" s="1"/>
  <c r="AD748" i="71" s="1"/>
  <c r="AE747" i="71"/>
  <c r="AE748" i="71" l="1"/>
  <c r="O749" i="71"/>
  <c r="X749" i="71" s="1"/>
  <c r="AD749" i="71" s="1"/>
  <c r="AE749" i="71" l="1"/>
  <c r="O750" i="71"/>
  <c r="X750" i="71" s="1"/>
  <c r="AD750" i="71" s="1"/>
  <c r="O751" i="71" l="1"/>
  <c r="X751" i="71" s="1"/>
  <c r="AD751" i="71" s="1"/>
  <c r="AE750" i="71"/>
  <c r="O752" i="71" l="1"/>
  <c r="X752" i="71" s="1"/>
  <c r="AD752" i="71" s="1"/>
  <c r="AE751" i="71"/>
  <c r="O753" i="71" l="1"/>
  <c r="X753" i="71" s="1"/>
  <c r="AD753" i="71" s="1"/>
  <c r="AE752" i="71"/>
  <c r="O754" i="71" l="1"/>
  <c r="X754" i="71" s="1"/>
  <c r="AD754" i="71" s="1"/>
  <c r="AE753" i="71"/>
  <c r="AE754" i="71" l="1"/>
  <c r="O755" i="71"/>
  <c r="X755" i="71" s="1"/>
  <c r="AD755" i="71" s="1"/>
  <c r="O756" i="71" l="1"/>
  <c r="X756" i="71" s="1"/>
  <c r="AD756" i="71" s="1"/>
  <c r="AE755" i="71"/>
  <c r="AE756" i="71" l="1"/>
  <c r="O757" i="71"/>
  <c r="X757" i="71" s="1"/>
  <c r="AD757" i="71" s="1"/>
  <c r="O758" i="71" l="1"/>
  <c r="X758" i="71" s="1"/>
  <c r="AD758" i="71" s="1"/>
  <c r="AE757" i="71"/>
  <c r="AE758" i="71" l="1"/>
  <c r="O759" i="71"/>
  <c r="X759" i="71" s="1"/>
  <c r="AD759" i="71" s="1"/>
  <c r="O760" i="71" l="1"/>
  <c r="X760" i="71" s="1"/>
  <c r="AD760" i="71" s="1"/>
  <c r="AE759" i="71"/>
  <c r="AE760" i="71" l="1"/>
  <c r="O761" i="71"/>
  <c r="X761" i="71" s="1"/>
  <c r="AD761" i="71" s="1"/>
  <c r="AE761" i="71" l="1"/>
  <c r="O762" i="71"/>
  <c r="X762" i="71" s="1"/>
  <c r="AD762" i="71" s="1"/>
  <c r="AE762" i="71" l="1"/>
  <c r="O763" i="71"/>
  <c r="X763" i="71" s="1"/>
  <c r="AD763" i="71" s="1"/>
  <c r="O764" i="71" l="1"/>
  <c r="X764" i="71" s="1"/>
  <c r="AD764" i="71" s="1"/>
  <c r="AE763" i="71"/>
  <c r="AE764" i="71" l="1"/>
  <c r="O765" i="71"/>
  <c r="X765" i="71" s="1"/>
  <c r="AD765" i="71" s="1"/>
  <c r="AE765" i="71" l="1"/>
  <c r="O766" i="71"/>
  <c r="X766" i="71" s="1"/>
  <c r="AD766" i="71" s="1"/>
  <c r="AE766" i="71" l="1"/>
  <c r="O767" i="71"/>
  <c r="X767" i="71" s="1"/>
  <c r="AD767" i="71" s="1"/>
  <c r="AE767" i="71" l="1"/>
  <c r="O768" i="71"/>
  <c r="X768" i="71" s="1"/>
  <c r="AD768" i="71" s="1"/>
  <c r="AE768" i="71" l="1"/>
  <c r="O769" i="71"/>
  <c r="X769" i="71" s="1"/>
  <c r="AD769" i="71" s="1"/>
  <c r="AE769" i="71" l="1"/>
  <c r="O770" i="71"/>
  <c r="X770" i="71" s="1"/>
  <c r="AD770" i="71" s="1"/>
  <c r="AE770" i="71" l="1"/>
  <c r="O771" i="71"/>
  <c r="X771" i="71" s="1"/>
  <c r="AD771" i="71" s="1"/>
  <c r="AE771" i="71" l="1"/>
  <c r="O772" i="71"/>
  <c r="X772" i="71" s="1"/>
  <c r="AD772" i="71" s="1"/>
  <c r="O773" i="71" l="1"/>
  <c r="X773" i="71" s="1"/>
  <c r="AD773" i="71" s="1"/>
  <c r="AE772" i="71"/>
  <c r="O774" i="71" l="1"/>
  <c r="X774" i="71" s="1"/>
  <c r="AD774" i="71" s="1"/>
  <c r="AE773" i="71"/>
  <c r="AE774" i="71" l="1"/>
  <c r="O775" i="71"/>
  <c r="X775" i="71" s="1"/>
  <c r="AD775" i="71" s="1"/>
  <c r="AE775" i="71" l="1"/>
  <c r="O776" i="71"/>
  <c r="X776" i="71" s="1"/>
  <c r="AD776" i="71" s="1"/>
  <c r="O777" i="71" l="1"/>
  <c r="X777" i="71" s="1"/>
  <c r="AD777" i="71" s="1"/>
  <c r="AE776" i="71"/>
  <c r="AE777" i="71" l="1"/>
  <c r="O778" i="71"/>
  <c r="X778" i="71" s="1"/>
  <c r="AD778" i="71" s="1"/>
  <c r="AE778" i="71" l="1"/>
  <c r="O779" i="71"/>
  <c r="X779" i="71" s="1"/>
  <c r="AD779" i="71" s="1"/>
  <c r="O780" i="71" l="1"/>
  <c r="X780" i="71" s="1"/>
  <c r="AD780" i="71" s="1"/>
  <c r="AE779" i="71"/>
  <c r="O781" i="71" l="1"/>
  <c r="X781" i="71" s="1"/>
  <c r="AD781" i="71" s="1"/>
  <c r="AE780" i="71"/>
  <c r="AE781" i="71" l="1"/>
  <c r="O782" i="71"/>
  <c r="X782" i="71" s="1"/>
  <c r="AD782" i="71" s="1"/>
  <c r="AE782" i="71" l="1"/>
  <c r="O783" i="71"/>
  <c r="X783" i="71" s="1"/>
  <c r="AD783" i="71" s="1"/>
  <c r="O784" i="71" l="1"/>
  <c r="X784" i="71" s="1"/>
  <c r="AD784" i="71" s="1"/>
  <c r="AE783" i="71"/>
  <c r="O785" i="71" l="1"/>
  <c r="X785" i="71" s="1"/>
  <c r="AD785" i="71" s="1"/>
  <c r="AE784" i="71"/>
  <c r="O786" i="71" l="1"/>
  <c r="X786" i="71" s="1"/>
  <c r="AD786" i="71" s="1"/>
  <c r="AE785" i="71"/>
  <c r="O787" i="71" l="1"/>
  <c r="X787" i="71" s="1"/>
  <c r="AD787" i="71" s="1"/>
  <c r="AE786" i="71"/>
  <c r="AE787" i="71" l="1"/>
  <c r="O788" i="71"/>
  <c r="X788" i="71" s="1"/>
  <c r="AD788" i="71" s="1"/>
  <c r="AE788" i="71" l="1"/>
  <c r="O789" i="71"/>
  <c r="X789" i="71" s="1"/>
  <c r="AD789" i="71" s="1"/>
  <c r="O790" i="71" l="1"/>
  <c r="X790" i="71" s="1"/>
  <c r="AD790" i="71" s="1"/>
  <c r="AE789" i="71"/>
  <c r="O791" i="71" l="1"/>
  <c r="X791" i="71" s="1"/>
  <c r="AD791" i="71" s="1"/>
  <c r="AE790" i="71"/>
  <c r="AE791" i="71" l="1"/>
  <c r="O792" i="71"/>
  <c r="X792" i="71" s="1"/>
  <c r="AD792" i="71" s="1"/>
  <c r="O793" i="71" l="1"/>
  <c r="X793" i="71" s="1"/>
  <c r="AD793" i="71" s="1"/>
  <c r="AE792" i="71"/>
  <c r="AE793" i="71" l="1"/>
  <c r="O794" i="71"/>
  <c r="X794" i="71" s="1"/>
  <c r="AD794" i="71" s="1"/>
  <c r="O795" i="71" l="1"/>
  <c r="X795" i="71" s="1"/>
  <c r="AD795" i="71" s="1"/>
  <c r="AE794" i="71"/>
  <c r="O796" i="71" l="1"/>
  <c r="X796" i="71" s="1"/>
  <c r="AD796" i="71" s="1"/>
  <c r="AE795" i="71"/>
  <c r="AE796" i="71" l="1"/>
  <c r="O797" i="71"/>
  <c r="X797" i="71" s="1"/>
  <c r="AD797" i="71" s="1"/>
  <c r="AE797" i="71" l="1"/>
  <c r="O798" i="71"/>
  <c r="X798" i="71" s="1"/>
  <c r="AD798" i="71" s="1"/>
  <c r="O799" i="71" l="1"/>
  <c r="X799" i="71" s="1"/>
  <c r="AD799" i="71" s="1"/>
  <c r="AE798" i="71"/>
  <c r="O800" i="71" l="1"/>
  <c r="X800" i="71" s="1"/>
  <c r="AD800" i="71" s="1"/>
  <c r="AE799" i="71"/>
  <c r="AE800" i="71" l="1"/>
  <c r="O801" i="71"/>
  <c r="X801" i="71" s="1"/>
  <c r="AD801" i="71" s="1"/>
  <c r="AE801" i="71" l="1"/>
  <c r="O802" i="71"/>
  <c r="X802" i="71" s="1"/>
  <c r="AD802" i="71" s="1"/>
  <c r="AE802" i="71" l="1"/>
  <c r="O803" i="71"/>
  <c r="X803" i="71" s="1"/>
  <c r="AD803" i="71" s="1"/>
  <c r="O804" i="71" l="1"/>
  <c r="X804" i="71" s="1"/>
  <c r="AD804" i="71" s="1"/>
  <c r="AE803" i="71"/>
  <c r="AE804" i="71" l="1"/>
  <c r="O805" i="71"/>
  <c r="X805" i="71" s="1"/>
  <c r="AD805" i="71" s="1"/>
  <c r="AE805" i="71" l="1"/>
  <c r="O806" i="71"/>
  <c r="X806" i="71" s="1"/>
  <c r="AD806" i="71" s="1"/>
  <c r="AE806" i="71" l="1"/>
  <c r="O807" i="71"/>
  <c r="X807" i="71" s="1"/>
  <c r="AD807" i="71" s="1"/>
  <c r="O808" i="71" l="1"/>
  <c r="X808" i="71" s="1"/>
  <c r="AD808" i="71" s="1"/>
  <c r="AE807" i="71"/>
  <c r="O809" i="71" l="1"/>
  <c r="X809" i="71" s="1"/>
  <c r="AD809" i="71" s="1"/>
  <c r="AE808" i="71"/>
  <c r="AE809" i="71" l="1"/>
  <c r="O810" i="71"/>
  <c r="X810" i="71" s="1"/>
  <c r="AD810" i="71" s="1"/>
  <c r="AE810" i="71" l="1"/>
  <c r="O811" i="71"/>
  <c r="X811" i="71" s="1"/>
  <c r="AD811" i="71" s="1"/>
  <c r="AE811" i="71" l="1"/>
  <c r="O812" i="71"/>
  <c r="X812" i="71" s="1"/>
  <c r="AD812" i="71" s="1"/>
  <c r="O813" i="71" l="1"/>
  <c r="X813" i="71" s="1"/>
  <c r="AD813" i="71" s="1"/>
  <c r="AE812" i="71"/>
  <c r="AE813" i="71" l="1"/>
  <c r="O814" i="71"/>
  <c r="X814" i="71" s="1"/>
  <c r="AD814" i="71" s="1"/>
  <c r="AE814" i="71" l="1"/>
  <c r="O815" i="71"/>
  <c r="X815" i="71" s="1"/>
  <c r="AD815" i="71" s="1"/>
  <c r="AE815" i="71" l="1"/>
  <c r="O816" i="71"/>
  <c r="X816" i="71" s="1"/>
  <c r="AD816" i="71" s="1"/>
  <c r="O817" i="71" l="1"/>
  <c r="X817" i="71" s="1"/>
  <c r="AD817" i="71" s="1"/>
  <c r="AE816" i="71"/>
  <c r="AE817" i="71" l="1"/>
  <c r="O818" i="71"/>
  <c r="X818" i="71" s="1"/>
  <c r="AD818" i="71" s="1"/>
  <c r="O819" i="71" l="1"/>
  <c r="X819" i="71" s="1"/>
  <c r="AD819" i="71" s="1"/>
  <c r="AE818" i="71"/>
  <c r="O820" i="71" l="1"/>
  <c r="X820" i="71" s="1"/>
  <c r="AD820" i="71" s="1"/>
  <c r="AE819" i="71"/>
  <c r="AE820" i="71" l="1"/>
  <c r="O821" i="71"/>
  <c r="X821" i="71" s="1"/>
  <c r="AD821" i="71" s="1"/>
  <c r="AE821" i="71" l="1"/>
  <c r="O822" i="71"/>
  <c r="X822" i="71" s="1"/>
  <c r="AD822" i="71" s="1"/>
  <c r="AE822" i="71" l="1"/>
  <c r="O823" i="71"/>
  <c r="X823" i="71" s="1"/>
  <c r="AD823" i="71" s="1"/>
  <c r="O824" i="71" l="1"/>
  <c r="X824" i="71" s="1"/>
  <c r="AD824" i="71" s="1"/>
  <c r="AE823" i="71"/>
  <c r="O825" i="71" l="1"/>
  <c r="X825" i="71" s="1"/>
  <c r="AD825" i="71" s="1"/>
  <c r="AE824" i="71"/>
  <c r="AE825" i="71" l="1"/>
  <c r="O826" i="71"/>
  <c r="X826" i="71" s="1"/>
  <c r="AD826" i="71" s="1"/>
  <c r="AE826" i="71" l="1"/>
  <c r="O827" i="71"/>
  <c r="X827" i="71" s="1"/>
  <c r="AD827" i="71" s="1"/>
  <c r="AE827" i="71" l="1"/>
  <c r="O828" i="71"/>
  <c r="X828" i="71" s="1"/>
  <c r="AD828" i="71" s="1"/>
  <c r="AE828" i="71" l="1"/>
  <c r="O829" i="71"/>
  <c r="X829" i="71" s="1"/>
  <c r="AD829" i="71" s="1"/>
  <c r="AE829" i="71" l="1"/>
  <c r="O830" i="71"/>
  <c r="X830" i="71" s="1"/>
  <c r="AD830" i="71" s="1"/>
  <c r="AE830" i="71" l="1"/>
  <c r="O831" i="71"/>
  <c r="X831" i="71" s="1"/>
  <c r="AD831" i="71" s="1"/>
  <c r="AE831" i="71" l="1"/>
  <c r="O832" i="71"/>
  <c r="X832" i="71" s="1"/>
  <c r="AD832" i="71" s="1"/>
  <c r="O833" i="71" l="1"/>
  <c r="X833" i="71" s="1"/>
  <c r="AD833" i="71" s="1"/>
  <c r="AE832" i="71"/>
  <c r="AE833" i="7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<sst xmlns="http://schemas.openxmlformats.org/spreadsheetml/2006/main" count="2980" uniqueCount="1197">
  <si>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</si>
  <si>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</si>
  <si>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</si>
  <si>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</si>
  <si>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</si>
  <si>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</si>
  <si>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</si>
  <si>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</si>
  <si>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</si>
  <si>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</si>
  <si>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</si>
  <si>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</si>
  <si>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</si>
  <si>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</si>
  <si>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</si>
  <si>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</si>
  <si>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</si>
  <si>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</si>
  <si>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</si>
  <si>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</si>
  <si>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</si>
  <si>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</si>
  <si>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</si>
  <si>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</si>
  <si>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</si>
  <si>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</si>
  <si>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</si>
  <si>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</si>
  <si>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</si>
  <si>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</si>
  <si>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</si>
  <si>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</si>
  <si>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</si>
  <si>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</si>
  <si>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</si>
  <si>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</si>
  <si>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</si>
  <si>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</si>
  <si>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</si>
  <si>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</si>
  <si>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</si>
  <si>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</si>
  <si>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</si>
  <si>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</si>
  <si>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</si>
  <si>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</si>
  <si>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</si>
  <si>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</si>
  <si>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</si>
  <si>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</si>
  <si>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</si>
  <si>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</si>
  <si>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</si>
  <si>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</si>
  <si>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</si>
  <si>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</si>
  <si>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</si>
  <si>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</si>
  <si>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</si>
  <si>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</si>
  <si>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</si>
  <si>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</si>
  <si>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</si>
  <si>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</si>
  <si>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</si>
  <si>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</si>
  <si>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</si>
  <si>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</si>
  <si>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</si>
  <si>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</si>
  <si>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</si>
  <si>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</si>
  <si>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</si>
  <si>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</si>
  <si>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</si>
  <si>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</si>
  <si>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</si>
  <si>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</si>
  <si>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</si>
  <si>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</si>
  <si>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</si>
  <si>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</si>
  <si>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</si>
  <si>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</si>
  <si>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</si>
  <si>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</si>
  <si>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</si>
  <si>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</si>
  <si>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</si>
  <si>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</si>
  <si>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</si>
  <si>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</si>
  <si>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</si>
  <si>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</si>
  <si>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</si>
  <si>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</si>
  <si>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</si>
  <si>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</si>
  <si>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</si>
  <si>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</si>
  <si>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</si>
  <si>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</si>
  <si>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</si>
  <si>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</si>
  <si>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</si>
  <si>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</si>
  <si>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</si>
  <si>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</si>
  <si>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</si>
  <si>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</si>
  <si>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</si>
  <si>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</si>
  <si>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</si>
  <si>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</si>
  <si>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</si>
  <si>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</si>
  <si>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</si>
  <si>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</si>
  <si>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</si>
  <si>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</si>
  <si>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</si>
  <si>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</si>
  <si>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</si>
  <si>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</si>
  <si>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</si>
  <si>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</si>
  <si>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</si>
  <si>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</si>
  <si>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</si>
  <si>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</si>
  <si>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</si>
  <si>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</si>
  <si>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</si>
  <si>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</si>
  <si>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</si>
  <si>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</si>
  <si>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</si>
  <si>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</si>
  <si>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</si>
  <si>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</si>
  <si>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</si>
  <si>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</si>
  <si>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</si>
  <si>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</si>
  <si>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</si>
  <si>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</si>
  <si>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</si>
  <si>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</si>
  <si>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</si>
  <si>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</si>
  <si>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</si>
  <si>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</si>
  <si>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</si>
  <si>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</si>
  <si>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</si>
  <si>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</si>
  <si>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</si>
  <si>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</si>
  <si>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</si>
  <si>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</si>
  <si>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</si>
  <si>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</si>
  <si>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</si>
  <si>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</si>
  <si>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</si>
  <si>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</si>
  <si>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</si>
  <si>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</si>
  <si>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</si>
  <si>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</si>
  <si>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</si>
  <si>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</si>
  <si>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</si>
  <si>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</si>
  <si>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</si>
  <si>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</si>
  <si>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</si>
  <si>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</si>
  <si>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</si>
  <si>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</si>
  <si>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</si>
  <si>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</si>
  <si>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</si>
  <si>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</si>
  <si>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</si>
  <si>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</si>
  <si>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</si>
  <si>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</si>
  <si>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</si>
  <si>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</si>
  <si>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</si>
  <si>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</si>
  <si>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</si>
  <si>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</si>
  <si>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</si>
  <si>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</si>
  <si>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</si>
  <si>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</si>
  <si>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</si>
  <si>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</si>
  <si>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</si>
  <si>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</si>
  <si>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</si>
  <si>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</si>
  <si>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</si>
  <si>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</si>
  <si>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</si>
  <si>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</si>
  <si>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</si>
  <si>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</si>
  <si>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</si>
  <si>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</si>
  <si>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</si>
  <si>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</si>
  <si>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</si>
  <si>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</si>
  <si>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</si>
  <si>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</si>
  <si>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</si>
  <si>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</si>
  <si>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</si>
  <si>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</si>
  <si>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</si>
  <si>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</si>
  <si>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</si>
  <si>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</si>
  <si>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</si>
  <si>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</si>
  <si>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</si>
  <si>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</si>
  <si>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</si>
  <si>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</si>
  <si>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</si>
  <si>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</si>
  <si>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</si>
  <si>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</si>
  <si>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</si>
  <si>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</si>
  <si>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</si>
  <si>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</si>
  <si>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</si>
  <si>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</si>
  <si>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</si>
  <si>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</si>
  <si>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</si>
  <si>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</si>
  <si>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</si>
  <si>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</si>
  <si>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</si>
  <si>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</si>
  <si>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</si>
  <si>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</si>
  <si>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</si>
  <si>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</si>
  <si>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</si>
  <si>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</si>
  <si>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</si>
  <si>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</si>
  <si>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</si>
  <si>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</si>
  <si>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</si>
  <si>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</si>
  <si>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</si>
  <si>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</si>
  <si>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</si>
  <si>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</si>
  <si>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</si>
  <si>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</si>
  <si>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</si>
  <si>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</si>
  <si>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</si>
  <si>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</si>
  <si>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</si>
  <si>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</si>
  <si>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</si>
  <si>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</si>
  <si>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</si>
  <si>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</si>
  <si>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</si>
  <si>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</si>
  <si>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</si>
  <si>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</si>
  <si>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</si>
  <si>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</si>
  <si>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</si>
  <si>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</si>
  <si>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</si>
  <si>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</si>
  <si>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</si>
  <si>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</si>
  <si>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</si>
  <si>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</si>
  <si>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</si>
  <si>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</si>
  <si>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</si>
  <si>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</si>
  <si>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</si>
  <si>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</si>
  <si>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</si>
  <si>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</si>
  <si>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</si>
  <si>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</si>
  <si>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</si>
  <si>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</si>
  <si>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</si>
  <si>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</si>
  <si>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</si>
  <si>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</si>
  <si>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</si>
  <si>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</si>
  <si>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</si>
  <si>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</si>
  <si>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</si>
  <si>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</si>
  <si>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</si>
  <si>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</si>
  <si>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</si>
  <si>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</si>
  <si>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</si>
  <si>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</si>
  <si>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</si>
  <si>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</si>
  <si>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</si>
  <si>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</si>
  <si>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</si>
  <si>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</si>
  <si>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</si>
  <si>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</si>
  <si>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</si>
  <si>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</si>
  <si>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</si>
  <si>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</si>
  <si>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</si>
  <si>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</si>
  <si>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</si>
  <si>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</si>
  <si>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</si>
  <si>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</si>
  <si>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</si>
  <si>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</si>
  <si>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</si>
  <si>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</si>
  <si>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</si>
  <si>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</si>
  <si>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</si>
  <si>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</si>
  <si>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</si>
  <si>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</si>
  <si>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</si>
  <si>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</si>
  <si>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</si>
  <si>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</si>
  <si>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</si>
  <si>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</si>
  <si>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</si>
  <si>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</si>
  <si>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</si>
  <si>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</si>
  <si>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</si>
  <si>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</si>
  <si>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</si>
  <si>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</si>
  <si>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</si>
  <si>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</si>
  <si>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</si>
  <si>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</si>
  <si>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</si>
  <si>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</si>
  <si>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</si>
  <si>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</si>
  <si>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</si>
  <si>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</si>
  <si>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</si>
  <si>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</si>
  <si>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</si>
  <si>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</si>
  <si>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</si>
  <si>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</si>
  <si>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</si>
  <si>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</si>
  <si>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</si>
  <si>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</si>
  <si>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</si>
  <si>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</si>
  <si>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</si>
  <si>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</si>
  <si>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</si>
  <si>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</si>
  <si>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</si>
  <si>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</si>
  <si>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</si>
  <si>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</si>
  <si>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</si>
  <si>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</si>
  <si>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</si>
  <si>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</si>
  <si>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</si>
  <si>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</si>
  <si>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</si>
  <si>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</si>
  <si>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</si>
  <si>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</si>
  <si>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</si>
  <si>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</si>
  <si>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</si>
  <si>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</si>
  <si>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</si>
  <si>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</si>
  <si>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</si>
  <si>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</si>
  <si>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</si>
  <si>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</si>
  <si>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</si>
  <si>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</si>
  <si>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</si>
  <si>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</si>
  <si>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</si>
  <si>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</si>
  <si>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</si>
  <si>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</si>
  <si>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</si>
  <si>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</si>
  <si>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</si>
  <si>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</si>
  <si>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</si>
  <si>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</si>
  <si>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</si>
  <si>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</si>
  <si>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</si>
  <si>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</si>
  <si>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</si>
  <si>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</si>
  <si>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</si>
  <si>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</si>
  <si>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</si>
  <si>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</si>
  <si>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</si>
  <si>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</si>
  <si>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</si>
  <si>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</si>
  <si>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</si>
  <si>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</si>
  <si>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</si>
  <si>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</si>
  <si>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</si>
  <si>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</si>
  <si>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</si>
  <si>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</si>
  <si>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</si>
  <si>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</si>
  <si>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</si>
  <si>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</si>
  <si>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</si>
  <si>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</si>
  <si>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</si>
  <si>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</si>
  <si>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</si>
  <si>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</si>
  <si>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</si>
  <si>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</si>
  <si>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</si>
  <si>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</si>
  <si>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</si>
  <si>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</si>
  <si>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</si>
  <si>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</si>
  <si>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</si>
  <si>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</si>
  <si>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</si>
  <si>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</si>
  <si>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</si>
  <si>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</si>
  <si>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</si>
  <si>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</si>
  <si>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</si>
  <si>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</si>
  <si>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</si>
  <si>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</si>
  <si>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</si>
  <si>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</si>
  <si>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</si>
  <si>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</si>
  <si>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</si>
  <si>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</si>
  <si>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</si>
  <si>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</si>
  <si>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</si>
  <si>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</si>
  <si>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</si>
  <si>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</si>
  <si>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</si>
  <si>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</si>
  <si>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</si>
  <si>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</si>
  <si>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</si>
  <si>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</si>
  <si>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</si>
  <si>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</si>
  <si>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</si>
  <si>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</si>
  <si>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</si>
  <si>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</si>
  <si>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</si>
  <si>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</si>
  <si>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</si>
  <si>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</si>
  <si>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</si>
  <si>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</si>
  <si>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</si>
  <si>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</si>
  <si>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</si>
  <si>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</si>
  <si>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</si>
  <si>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</si>
  <si>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</si>
  <si>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</si>
  <si>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</si>
  <si>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</si>
  <si>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</si>
  <si>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</si>
  <si>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</si>
  <si>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</si>
  <si>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</si>
  <si>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</si>
  <si>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</si>
  <si>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</si>
  <si>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</si>
  <si>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</si>
  <si>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</si>
  <si>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</si>
  <si>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</si>
  <si>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</si>
  <si>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</si>
  <si>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</si>
  <si>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</si>
  <si>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</si>
  <si>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</si>
  <si>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</si>
  <si>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</si>
  <si>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</si>
  <si>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</si>
  <si>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</si>
  <si>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</si>
  <si>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</si>
  <si>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</si>
  <si>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</si>
  <si>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</si>
  <si>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</si>
  <si>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</si>
  <si>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</si>
  <si>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</si>
  <si>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</si>
  <si>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</si>
  <si>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</si>
  <si>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</si>
  <si>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</si>
  <si>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</si>
  <si>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</si>
  <si>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</si>
  <si>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</si>
  <si>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</si>
  <si>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</si>
  <si>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</si>
  <si>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</si>
  <si>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</si>
  <si>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</si>
  <si>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</si>
  <si>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</si>
  <si>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</si>
  <si>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</si>
  <si>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</si>
  <si>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</si>
  <si>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</si>
  <si>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</si>
  <si>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</si>
  <si>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</si>
  <si>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</si>
  <si>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</si>
  <si>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</si>
  <si>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</si>
  <si>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</si>
  <si>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</si>
  <si>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</si>
  <si>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</si>
  <si>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</si>
  <si>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</si>
  <si>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</si>
  <si>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</si>
  <si>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</si>
  <si>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</si>
  <si>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</si>
  <si>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</si>
  <si>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</si>
  <si>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</si>
  <si>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</si>
  <si>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</si>
  <si>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</si>
  <si>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</si>
  <si>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</si>
  <si>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</si>
  <si>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</si>
  <si>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</si>
  <si>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</si>
  <si>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</si>
  <si>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</si>
  <si>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</si>
  <si>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</si>
  <si>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</si>
  <si>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</si>
  <si>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</si>
  <si>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</si>
  <si>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</si>
  <si>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</si>
  <si>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</si>
  <si>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</si>
  <si>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</si>
  <si>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</si>
  <si>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</si>
  <si>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</si>
  <si>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</si>
  <si>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</si>
  <si>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</si>
  <si>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</si>
  <si>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</si>
  <si>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</si>
  <si>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</si>
  <si>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</si>
  <si>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</si>
  <si>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</si>
  <si>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</si>
  <si>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</si>
  <si>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</si>
  <si>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</si>
  <si>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</si>
  <si>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</si>
  <si>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</si>
  <si>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</si>
  <si>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</si>
  <si>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</si>
  <si>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</si>
  <si>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</si>
  <si>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</si>
  <si>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</si>
  <si>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</si>
  <si>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</si>
  <si>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</si>
  <si>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</si>
  <si>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</si>
  <si>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</si>
  <si>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</si>
  <si>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</si>
  <si>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</si>
  <si>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</si>
  <si>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</si>
  <si>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</si>
  <si>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</si>
  <si>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</si>
  <si>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</si>
  <si>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</si>
  <si>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</si>
  <si>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</si>
  <si>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</si>
  <si>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</si>
  <si>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</si>
  <si>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</si>
  <si>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</si>
  <si>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</si>
  <si>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</si>
  <si>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</si>
  <si>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</si>
  <si>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</si>
  <si>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</si>
  <si>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</si>
  <si>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</si>
  <si>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</si>
  <si>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</si>
  <si>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</si>
  <si>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</si>
  <si>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</si>
  <si>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</si>
  <si>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</si>
  <si>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</si>
  <si>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</si>
  <si>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</si>
  <si>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</si>
  <si>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</si>
  <si>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</si>
  <si>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</si>
  <si>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</si>
  <si>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</si>
  <si>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</si>
  <si>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</si>
  <si>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</si>
  <si>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</si>
  <si>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</si>
  <si>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</si>
  <si>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</si>
  <si>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</si>
  <si>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</si>
  <si>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</si>
  <si>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</si>
  <si>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</si>
  <si>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</si>
  <si>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</si>
  <si>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</si>
  <si>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</si>
  <si>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</si>
  <si>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</si>
  <si>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</si>
  <si>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</si>
  <si>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</si>
  <si>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</si>
  <si>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</si>
  <si>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</si>
  <si>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</si>
  <si>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</si>
  <si>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</si>
  <si>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</si>
  <si>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</si>
  <si>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</si>
  <si>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</si>
  <si>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</si>
  <si>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</si>
  <si>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</si>
  <si>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</si>
  <si>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</si>
  <si>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</si>
  <si>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</si>
  <si>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</si>
  <si>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</si>
  <si>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</si>
  <si>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</si>
  <si>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</si>
  <si>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</si>
  <si>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</si>
  <si>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</si>
  <si>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</si>
  <si>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</si>
  <si>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</si>
  <si>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</si>
  <si>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</si>
  <si>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</si>
  <si>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</si>
  <si>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</si>
  <si>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</si>
  <si>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</si>
  <si>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</si>
  <si>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</si>
  <si>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</si>
  <si>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</si>
  <si>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</si>
  <si>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</si>
  <si>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</si>
  <si>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</si>
  <si>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</si>
  <si>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</si>
  <si>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</si>
  <si>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</si>
  <si>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</si>
  <si>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</si>
  <si>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</si>
  <si>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</si>
  <si>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</si>
  <si>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</si>
  <si>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</si>
  <si>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</si>
  <si>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</si>
  <si>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</si>
  <si>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</si>
  <si>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</si>
  <si>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</si>
  <si>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</si>
  <si>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</si>
  <si>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</si>
  <si>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</si>
  <si>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</si>
  <si>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</si>
  <si>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</si>
  <si>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</si>
  <si>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</si>
  <si>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</si>
  <si>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</si>
  <si>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</si>
  <si>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</si>
  <si>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</si>
  <si>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</si>
  <si>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</si>
  <si>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</si>
  <si>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</si>
  <si>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</si>
  <si>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</si>
  <si>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</si>
  <si>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</si>
  <si>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</si>
  <si>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</si>
  <si>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</si>
  <si>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</si>
  <si>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</si>
  <si>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</si>
  <si>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</si>
  <si>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</si>
  <si>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</si>
  <si>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</si>
  <si>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</si>
  <si>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</si>
  <si>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</si>
  <si>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</si>
  <si>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</si>
  <si>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</si>
  <si>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</si>
  <si>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</si>
  <si>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</si>
  <si>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</si>
  <si>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</si>
  <si>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</si>
  <si>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</si>
  <si>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</si>
  <si>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</si>
  <si>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</si>
  <si>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</si>
  <si>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</si>
  <si>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</si>
  <si>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</si>
  <si>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</si>
  <si>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</si>
  <si>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</si>
  <si>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</si>
  <si>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</si>
  <si>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</si>
  <si>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</si>
  <si>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</si>
  <si>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</si>
  <si>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</si>
  <si>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</si>
  <si>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</si>
  <si>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</si>
  <si>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</si>
  <si>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</si>
  <si>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</si>
  <si>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</si>
  <si>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</si>
  <si>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</si>
  <si>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</si>
  <si>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</si>
  <si>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</si>
  <si>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</si>
  <si>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</si>
  <si>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</si>
  <si>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</si>
  <si>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</si>
  <si>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</si>
  <si>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</si>
  <si>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</si>
  <si>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</si>
  <si>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</si>
  <si>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</si>
  <si>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</si>
  <si>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</si>
  <si>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</si>
  <si>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</si>
  <si>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</si>
  <si>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</si>
  <si>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</si>
  <si>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</si>
  <si>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</si>
  <si>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</si>
  <si>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</si>
  <si>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</si>
  <si>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</si>
  <si>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</si>
  <si>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</si>
  <si>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</si>
  <si>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</si>
  <si>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</si>
  <si>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</si>
  <si>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</si>
  <si>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</si>
  <si>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</si>
  <si>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</si>
  <si>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</si>
  <si>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</si>
  <si>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</si>
  <si>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</si>
  <si>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</si>
  <si>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</si>
  <si>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</si>
  <si>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</si>
  <si>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</si>
  <si>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</si>
  <si>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</si>
  <si>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</si>
  <si>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</si>
  <si>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</si>
  <si>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</si>
  <si>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</si>
  <si>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</si>
  <si>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</si>
  <si>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</si>
  <si>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</si>
  <si>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</si>
  <si>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</si>
  <si>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</si>
  <si>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</si>
  <si>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</si>
  <si>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</si>
  <si>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</si>
  <si>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</si>
  <si>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</si>
  <si>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</si>
  <si>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</si>
  <si>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</si>
  <si>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</si>
  <si>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</si>
  <si>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</si>
  <si>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</si>
  <si>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</si>
  <si>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</si>
  <si>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</si>
  <si>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</si>
  <si>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</si>
  <si>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</si>
  <si>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</si>
  <si>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</si>
  <si>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</si>
  <si>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</si>
  <si>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</si>
  <si>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</si>
  <si>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</si>
  <si>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</si>
  <si>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</si>
  <si>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</si>
  <si>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</si>
  <si>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</si>
  <si>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</si>
  <si>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</si>
  <si>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</si>
  <si>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</si>
  <si>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</si>
  <si>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</si>
  <si>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</si>
  <si>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</si>
  <si>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</si>
  <si>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</si>
  <si>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</si>
  <si>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</si>
  <si>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</si>
  <si>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</si>
  <si>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</si>
  <si>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</si>
  <si>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</si>
  <si>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</si>
  <si>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</si>
  <si>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</si>
  <si>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</si>
  <si>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</si>
  <si>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</si>
  <si>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</si>
  <si>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</si>
  <si>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</si>
  <si>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</si>
  <si>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</si>
  <si>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</si>
  <si>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</si>
  <si>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</si>
  <si>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</si>
  <si>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</si>
  <si>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</si>
  <si>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</si>
  <si>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</si>
  <si>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</si>
  <si>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</si>
  <si>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</si>
  <si>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</si>
  <si>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</si>
  <si>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</si>
  <si>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</si>
  <si>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</si>
  <si>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</si>
  <si>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</si>
  <si>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</si>
  <si>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</si>
  <si>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</si>
  <si>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</si>
  <si>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</si>
  <si>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</si>
  <si>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</si>
  <si>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</si>
  <si>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</si>
  <si>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</si>
  <si>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</si>
  <si>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</si>
  <si>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</si>
  <si>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</si>
  <si>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</si>
  <si>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</si>
  <si>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</si>
  <si>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</si>
  <si>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</si>
  <si>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</si>
  <si>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</si>
  <si>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</si>
  <si>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</si>
  <si>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</si>
  <si>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</si>
  <si>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</si>
  <si>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</si>
  <si>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</si>
  <si>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</si>
  <si>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</si>
  <si>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</si>
  <si>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</si>
  <si>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</si>
  <si>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</si>
  <si>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</si>
  <si>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</si>
  <si>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</si>
  <si>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</si>
  <si>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</si>
  <si>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</si>
  <si>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</si>
  <si>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</si>
  <si>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</si>
  <si>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</si>
  <si>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</si>
  <si>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</si>
  <si>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</si>
  <si>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</si>
  <si>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</si>
  <si>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</si>
  <si>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</si>
  <si>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</si>
  <si>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</si>
  <si>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</si>
  <si>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</si>
  <si>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</si>
  <si>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</si>
  <si>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</si>
  <si>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</si>
  <si>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</si>
  <si>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</si>
  <si>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</si>
  <si>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</si>
  <si>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</si>
  <si>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</si>
  <si>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</si>
  <si>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</si>
  <si>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</si>
  <si>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</si>
  <si>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</si>
  <si>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</si>
  <si>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</si>
  <si>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</si>
  <si>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</si>
  <si>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</si>
  <si>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</si>
  <si>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</si>
  <si>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</si>
  <si>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</si>
  <si>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</si>
  <si>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</si>
  <si>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</si>
  <si>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</si>
  <si>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</si>
  <si>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</si>
  <si>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</si>
  <si>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</si>
  <si>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</si>
  <si>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</si>
  <si>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</si>
  <si>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</si>
  <si>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</si>
  <si>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</si>
  <si>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</si>
  <si>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</si>
  <si>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</si>
  <si>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</si>
  <si>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</si>
  <si>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</si>
  <si>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</si>
  <si>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</si>
  <si>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</si>
  <si>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</si>
  <si>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</si>
  <si>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</si>
  <si>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</si>
  <si>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</si>
  <si>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</si>
  <si>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</si>
  <si>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</si>
  <si>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</si>
  <si>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</si>
  <si>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</si>
  <si>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</si>
  <si>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</si>
  <si>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</si>
  <si>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</si>
  <si>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</si>
  <si>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</si>
  <si>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</si>
  <si>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</si>
  <si>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</si>
  <si>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</si>
  <si>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</si>
  <si>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</si>
  <si>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</si>
  <si>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</si>
  <si>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</si>
  <si>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</si>
  <si>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</si>
  <si>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</si>
  <si>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</si>
  <si>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</si>
  <si>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</si>
  <si>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</si>
  <si>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</si>
  <si>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</si>
  <si>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</si>
  <si>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</si>
  <si>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</si>
  <si>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</si>
  <si>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</si>
  <si>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</si>
  <si>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</si>
  <si>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</si>
  <si>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</si>
  <si>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</si>
  <si>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</si>
  <si>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</si>
  <si>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</si>
  <si>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</si>
  <si>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</si>
  <si>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</si>
  <si>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</si>
  <si>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</si>
  <si>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</si>
  <si>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</si>
  <si>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</si>
  <si>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</si>
  <si>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</si>
  <si>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</si>
  <si>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</si>
  <si>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</si>
  <si>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</si>
  <si>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</si>
  <si>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</si>
  <si>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</si>
  <si>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</si>
  <si>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</si>
  <si>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</si>
  <si>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</si>
  <si>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</si>
  <si>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</si>
  <si>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</si>
  <si>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</si>
  <si>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</si>
  <si>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</si>
  <si>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</si>
  <si>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</si>
  <si>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</si>
  <si>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</si>
  <si>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</si>
  <si>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</si>
  <si>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</si>
  <si>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</si>
  <si>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</si>
  <si>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</si>
  <si>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</si>
  <si>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</si>
  <si>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</si>
  <si>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</si>
  <si>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</si>
  <si>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</si>
  <si>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</si>
  <si>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</si>
  <si>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</si>
  <si>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</si>
  <si>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</si>
  <si>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</si>
  <si>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</si>
  <si>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</si>
  <si>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</si>
  <si>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</si>
  <si>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</si>
  <si>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</si>
  <si>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</si>
  <si>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</si>
  <si>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</si>
  <si>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</si>
  <si>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</si>
  <si>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</si>
  <si>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</si>
  <si>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</si>
  <si>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</si>
  <si>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</si>
  <si>
    <t>Table Buyer Outputs</t>
  </si>
  <si>
    <t>Table SubjectToLoan</t>
  </si>
  <si>
    <t>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</si>
</sst>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0" fillId="0" borderId="3" xfId="0" applyBorder="1"/>
    <xf numFmtId="0" fontId="0" fillId="0" borderId="36" xfId="0"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34" xfId="0" applyNumberFormat="1" applyFont="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3" fontId="1" fillId="33" borderId="36"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8" t="s">
        <v>853</v>
      </c>
      <c r="G1" s="789"/>
      <c r="H1" s="789"/>
      <c r="I1" s="789"/>
      <c r="J1" s="789"/>
      <c r="K1" s="676"/>
      <c r="L1" s="676"/>
      <c r="M1" s="677"/>
      <c r="R1" s="38" t="s">
        <v>634</v>
      </c>
      <c r="S1" s="37" t="b">
        <v>0</v>
      </c>
    </row>
    <row r="2" spans="1:25" ht="16.5" customHeight="1" thickBot="1" x14ac:dyDescent="0.3">
      <c r="A2" s="113"/>
      <c r="B2" s="735" t="s">
        <v>737</v>
      </c>
      <c r="C2" s="736"/>
      <c r="D2" s="736"/>
      <c r="E2" s="734" t="s">
        <v>738</v>
      </c>
      <c r="F2" s="669"/>
      <c r="G2" s="443" t="s">
        <v>739</v>
      </c>
      <c r="H2" s="590"/>
      <c r="I2" s="590"/>
      <c r="J2" s="590"/>
      <c r="K2" s="590"/>
      <c r="L2" s="804" t="s">
        <v>1</v>
      </c>
      <c r="M2" s="724">
        <v>45715</v>
      </c>
      <c r="O2" s="428" t="s">
        <v>2</v>
      </c>
      <c r="P2" s="428"/>
      <c r="R2" s="38" t="s">
        <v>633</v>
      </c>
      <c r="S2" s="37" t="b">
        <v>0</v>
      </c>
    </row>
    <row r="3" spans="1:25" ht="12" customHeight="1" thickBot="1" x14ac:dyDescent="0.25">
      <c r="A3" s="115" t="s">
        <v>4</v>
      </c>
      <c r="B3" s="116"/>
      <c r="D3" s="790" t="s">
        <v>1156</v>
      </c>
      <c r="E3" s="791"/>
      <c r="F3" s="790" t="s">
        <v>1163</v>
      </c>
      <c r="G3" s="791"/>
      <c r="H3" s="790" t="s">
        <v>1164</v>
      </c>
      <c r="I3" s="791"/>
      <c r="J3" s="790" t="s">
        <v>0</v>
      </c>
      <c r="K3" s="791"/>
      <c r="L3" s="805"/>
      <c r="M3" s="725"/>
      <c r="R3" s="131" t="s">
        <v>35</v>
      </c>
      <c r="S3" s="37" t="b">
        <v>0</v>
      </c>
      <c r="T3" s="37">
        <v>3</v>
      </c>
    </row>
    <row r="4" spans="1:25" ht="12" customHeight="1" thickBot="1" x14ac:dyDescent="0.25">
      <c r="A4" s="38" t="s">
        <v>5</v>
      </c>
      <c r="B4" s="812">
        <v>330000</v>
      </c>
      <c r="C4" s="813"/>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4">
        <f>IF(B1="Flip",B4,IF(C1="hold",B4*(1+C5),+Amortization!O3))</f>
        <v>346500</v>
      </c>
      <c r="C6" s="815"/>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4" t="s">
        <v>10</v>
      </c>
      <c r="M7" s="794">
        <v>0.03</v>
      </c>
      <c r="Q7" s="261"/>
      <c r="R7" s="427"/>
    </row>
    <row r="8" spans="1:25" ht="12" customHeight="1" thickBot="1" x14ac:dyDescent="0.25">
      <c r="A8" s="38" t="s">
        <v>1157</v>
      </c>
      <c r="B8" s="327"/>
      <c r="C8" s="391"/>
      <c r="D8" s="361"/>
      <c r="E8" s="336"/>
      <c r="F8" s="340"/>
      <c r="G8" s="341">
        <f>+IF($C$1="hold",$M$7,0)*$C$50/12*B4</f>
        <v>0</v>
      </c>
      <c r="H8" s="595"/>
      <c r="I8" s="600"/>
      <c r="J8" s="374"/>
      <c r="K8" s="375"/>
      <c r="L8" s="805"/>
      <c r="M8" s="795"/>
    </row>
    <row r="9" spans="1:25" ht="12" customHeight="1" thickBot="1" x14ac:dyDescent="0.25">
      <c r="A9" s="130" t="str">
        <f>IF(T3=3,"Delta Mortgages","Monthly Rent:")</f>
        <v>Delta Mortgages</v>
      </c>
      <c r="B9" s="773">
        <v>1800</v>
      </c>
      <c r="C9" s="809"/>
      <c r="D9" s="363"/>
      <c r="E9" s="364"/>
      <c r="F9" s="382"/>
      <c r="G9" s="366"/>
      <c r="H9" s="596"/>
      <c r="I9" s="601"/>
      <c r="J9" s="379"/>
      <c r="K9" s="388">
        <f>IF(OR(C1="Hold",D1="Slow Flip"),IF(C1="hold",+B9,+Amortization!AA9),"")</f>
        <v>835.83</v>
      </c>
      <c r="L9" s="804" t="s">
        <v>12</v>
      </c>
      <c r="M9" s="730">
        <v>1368</v>
      </c>
    </row>
    <row r="10" spans="1:25" ht="12" customHeight="1" thickBot="1" x14ac:dyDescent="0.25">
      <c r="C10" s="818" t="s">
        <v>13</v>
      </c>
      <c r="D10" s="768" t="s">
        <v>13</v>
      </c>
      <c r="E10" s="117">
        <f>SUM(D4:E9)</f>
        <v>0</v>
      </c>
      <c r="F10" s="726">
        <f>+SUM(F4:G9)</f>
        <v>34650</v>
      </c>
      <c r="G10" s="727"/>
      <c r="H10" s="114"/>
      <c r="I10" s="114"/>
      <c r="J10" s="726">
        <f>SUM(J4:K9)</f>
        <v>835.83</v>
      </c>
      <c r="K10" s="727"/>
      <c r="L10" s="805"/>
      <c r="M10" s="731"/>
      <c r="O10" s="476" t="s">
        <v>625</v>
      </c>
      <c r="P10" s="477"/>
      <c r="Q10" s="470"/>
      <c r="R10" s="478"/>
      <c r="U10" s="37" t="s">
        <v>740</v>
      </c>
      <c r="V10" s="37" t="s">
        <v>741</v>
      </c>
      <c r="W10" s="133"/>
    </row>
    <row r="11" spans="1:25" ht="12" customHeight="1" thickBot="1" x14ac:dyDescent="0.3">
      <c r="C11" s="118"/>
      <c r="D11" s="816" t="str">
        <f>IF(T3=3,"Profit calculations based on selling in 5 years","")</f>
        <v>Profit calculations based on selling in 5 years</v>
      </c>
      <c r="E11" s="670"/>
      <c r="F11" s="670"/>
      <c r="G11" s="670"/>
      <c r="H11" s="670"/>
      <c r="I11" s="670"/>
      <c r="J11" s="670"/>
      <c r="K11" s="817"/>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2" t="s">
        <v>16</v>
      </c>
      <c r="I14" s="793"/>
      <c r="J14" s="674"/>
      <c r="K14" s="642"/>
      <c r="L14" s="700" t="s">
        <v>17</v>
      </c>
      <c r="M14" s="799"/>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800"/>
      <c r="M15" s="801"/>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800"/>
      <c r="M16" s="801"/>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2"/>
      <c r="M17" s="803"/>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6">
        <f>-SUM(D14:D20)</f>
        <v>130291.26</v>
      </c>
      <c r="C21" s="654"/>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2" t="s">
        <v>609</v>
      </c>
      <c r="M22" s="733"/>
      <c r="R22" s="427"/>
    </row>
    <row r="23" spans="1:24" ht="12" customHeight="1" thickBot="1" x14ac:dyDescent="0.25">
      <c r="A23" s="38" t="s">
        <v>600</v>
      </c>
      <c r="B23" s="342">
        <v>6.5000000000000002E-2</v>
      </c>
      <c r="C23" s="343">
        <v>30</v>
      </c>
      <c r="D23" s="335"/>
      <c r="E23" s="336"/>
      <c r="F23" s="340"/>
      <c r="G23" s="341"/>
      <c r="H23" s="592"/>
      <c r="I23" s="600"/>
      <c r="J23" s="377"/>
      <c r="K23" s="375"/>
      <c r="L23" s="732" t="s">
        <v>597</v>
      </c>
      <c r="M23" s="733"/>
      <c r="R23" s="427"/>
    </row>
    <row r="24" spans="1:24" ht="12" customHeight="1" thickBot="1" x14ac:dyDescent="0.25">
      <c r="A24" s="38" t="s">
        <v>601</v>
      </c>
      <c r="B24" s="766">
        <v>45566</v>
      </c>
      <c r="C24" s="718"/>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10">
        <v>5000</v>
      </c>
      <c r="C27" s="81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6" t="s">
        <v>23</v>
      </c>
      <c r="M29" s="703"/>
      <c r="S29" s="133"/>
    </row>
    <row r="30" spans="1:24" ht="12" customHeight="1" thickBot="1" x14ac:dyDescent="0.25">
      <c r="A30" s="130" t="s">
        <v>580</v>
      </c>
      <c r="C30" s="495">
        <f>+B45/C50</f>
        <v>706.85208086111106</v>
      </c>
      <c r="D30" s="361"/>
      <c r="E30" s="336"/>
      <c r="F30" s="340"/>
      <c r="G30" s="341"/>
      <c r="H30" s="592"/>
      <c r="I30" s="600"/>
      <c r="J30" s="376"/>
      <c r="K30" s="375"/>
      <c r="L30" s="797"/>
      <c r="M30" s="798"/>
      <c r="Q30" s="261"/>
      <c r="R30" s="427"/>
    </row>
    <row r="31" spans="1:24" ht="12" customHeight="1" x14ac:dyDescent="0.2">
      <c r="A31" s="130" t="s">
        <v>841</v>
      </c>
      <c r="B31" s="508">
        <f>+Carrying!B25/Profit!$B$28</f>
        <v>14.95234426229508</v>
      </c>
      <c r="C31" s="122"/>
      <c r="D31" s="361"/>
      <c r="E31" s="336"/>
      <c r="F31" s="340"/>
      <c r="G31" s="341"/>
      <c r="H31" s="592"/>
      <c r="I31" s="600"/>
      <c r="J31" s="376"/>
      <c r="K31" s="375"/>
      <c r="L31" s="761" t="s">
        <v>25</v>
      </c>
      <c r="M31" s="673"/>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2"/>
      <c r="M32" s="763"/>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2"/>
      <c r="M33" s="763"/>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4"/>
      <c r="M34" s="765"/>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4" t="s">
        <v>26</v>
      </c>
      <c r="M41" s="759">
        <f>IF(+T3=3,-J54,+B42/B28)</f>
        <v>1478.7032229508197</v>
      </c>
    </row>
    <row r="42" spans="1:13" ht="12" customHeight="1" thickBot="1" x14ac:dyDescent="0.3">
      <c r="A42" s="38" t="s">
        <v>26</v>
      </c>
      <c r="B42" s="783">
        <f>+B28*SUM(B31:B41)</f>
        <v>5503.2800000000007</v>
      </c>
      <c r="C42" s="642"/>
      <c r="D42" s="335">
        <f>-B42</f>
        <v>-5503.2800000000007</v>
      </c>
      <c r="E42" s="336"/>
      <c r="F42" s="340"/>
      <c r="G42" s="341"/>
      <c r="H42" s="592"/>
      <c r="I42" s="600"/>
      <c r="J42" s="376"/>
      <c r="K42" s="375"/>
      <c r="L42" s="785"/>
      <c r="M42" s="760"/>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4" t="s">
        <v>1040</v>
      </c>
      <c r="M44" s="759">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5"/>
      <c r="M45" s="760"/>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50" t="s">
        <v>27</v>
      </c>
      <c r="M47" s="759">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1"/>
      <c r="M48" s="760"/>
    </row>
    <row r="49" spans="1:17" ht="12" customHeight="1" thickBot="1" x14ac:dyDescent="0.25">
      <c r="A49" s="131" t="s">
        <v>37</v>
      </c>
      <c r="B49" s="399"/>
      <c r="C49" s="183">
        <v>2.4E-2</v>
      </c>
      <c r="D49" s="361"/>
      <c r="E49" s="336"/>
      <c r="F49" s="340">
        <f>IF(S5,IF(OR(T3=1,T3=2),-C49*$F$10,0),"")</f>
        <v>0</v>
      </c>
      <c r="G49" s="341"/>
      <c r="H49" s="592"/>
      <c r="I49" s="600"/>
      <c r="J49" s="377"/>
      <c r="K49" s="375"/>
      <c r="L49" s="750" t="s">
        <v>31</v>
      </c>
      <c r="M49" s="759">
        <f>-E55</f>
        <v>-4446.7850890000082</v>
      </c>
    </row>
    <row r="50" spans="1:17" ht="12" customHeight="1" thickBot="1" x14ac:dyDescent="0.25">
      <c r="A50" s="184" t="s">
        <v>38</v>
      </c>
      <c r="B50" s="182"/>
      <c r="C50" s="210">
        <v>36</v>
      </c>
      <c r="D50" s="361"/>
      <c r="E50" s="336"/>
      <c r="F50" s="340"/>
      <c r="G50" s="341"/>
      <c r="H50" s="592"/>
      <c r="I50" s="600"/>
      <c r="J50" s="377"/>
      <c r="K50" s="375"/>
      <c r="L50" s="751"/>
      <c r="M50" s="760"/>
    </row>
    <row r="51" spans="1:17" ht="12" customHeight="1" thickBot="1" x14ac:dyDescent="0.3">
      <c r="A51" s="38" t="s">
        <v>39</v>
      </c>
      <c r="B51" s="773"/>
      <c r="C51" s="774"/>
      <c r="D51" s="362"/>
      <c r="E51" s="336"/>
      <c r="F51" s="340">
        <f>-C51</f>
        <v>0</v>
      </c>
      <c r="G51" s="341"/>
      <c r="H51" s="592"/>
      <c r="I51" s="600"/>
      <c r="J51" s="378"/>
      <c r="K51" s="375"/>
      <c r="L51" s="679" t="s">
        <v>34</v>
      </c>
      <c r="M51" s="747"/>
    </row>
    <row r="52" spans="1:17" ht="12" customHeight="1" thickBot="1" x14ac:dyDescent="0.25">
      <c r="A52" s="38" t="s">
        <v>40</v>
      </c>
      <c r="B52" s="771">
        <f>+D91</f>
        <v>940</v>
      </c>
      <c r="C52" s="772"/>
      <c r="D52" s="361">
        <f>-B52</f>
        <v>-940</v>
      </c>
      <c r="E52" s="336"/>
      <c r="F52" s="340"/>
      <c r="G52" s="341"/>
      <c r="H52" s="592"/>
      <c r="I52" s="600"/>
      <c r="J52" s="378"/>
      <c r="K52" s="375"/>
      <c r="L52" s="748"/>
      <c r="M52" s="749"/>
    </row>
    <row r="53" spans="1:17" ht="12" customHeight="1" thickBot="1" x14ac:dyDescent="0.25">
      <c r="A53" s="38" t="s">
        <v>41</v>
      </c>
      <c r="B53" s="769">
        <f>+D102</f>
        <v>290</v>
      </c>
      <c r="C53" s="770"/>
      <c r="D53" s="363"/>
      <c r="E53" s="364"/>
      <c r="F53" s="365">
        <f>-B53</f>
        <v>-290</v>
      </c>
      <c r="G53" s="366"/>
      <c r="H53" s="591"/>
      <c r="I53" s="601"/>
      <c r="J53" s="379"/>
      <c r="K53" s="380"/>
    </row>
    <row r="54" spans="1:17" ht="12" customHeight="1" thickBot="1" x14ac:dyDescent="0.25">
      <c r="B54" s="767" t="s">
        <v>42</v>
      </c>
      <c r="C54" s="768"/>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1" t="s">
        <v>43</v>
      </c>
      <c r="C55" s="782"/>
      <c r="D55" s="782"/>
      <c r="E55" s="602">
        <f>+SUM(D10:E53)</f>
        <v>4446.7850890000082</v>
      </c>
      <c r="F55" s="728">
        <f>+SUM(F10:G53)</f>
        <v>49968.999999999971</v>
      </c>
      <c r="G55" s="729"/>
      <c r="H55" s="787"/>
      <c r="I55" s="787"/>
      <c r="J55" s="135"/>
      <c r="K55" s="137">
        <f>+SUM(J54:K54)</f>
        <v>210.83000000000015</v>
      </c>
      <c r="Q55" s="112"/>
    </row>
    <row r="56" spans="1:17" ht="12" customHeight="1" thickBot="1" x14ac:dyDescent="0.25">
      <c r="A56" s="39"/>
      <c r="B56" s="39"/>
      <c r="D56" s="39"/>
      <c r="E56" s="707" t="s">
        <v>44</v>
      </c>
      <c r="F56" s="708"/>
      <c r="G56" s="587">
        <f>SUM(E55:G55)</f>
        <v>54415.785088999983</v>
      </c>
      <c r="H56" s="729">
        <f>+SUM(H10:I53)</f>
        <v>-152955.03</v>
      </c>
      <c r="I56" s="729"/>
      <c r="J56" s="135"/>
      <c r="K56" s="137"/>
      <c r="L56" s="690" t="s">
        <v>45</v>
      </c>
      <c r="M56" s="741" t="s">
        <v>46</v>
      </c>
      <c r="Q56" s="112"/>
    </row>
    <row r="57" spans="1:17" ht="12" customHeight="1" x14ac:dyDescent="0.2">
      <c r="A57" s="39"/>
      <c r="B57" s="39"/>
      <c r="D57" s="39"/>
      <c r="E57" s="707" t="s">
        <v>44</v>
      </c>
      <c r="F57" s="708"/>
      <c r="G57" s="134"/>
      <c r="H57" s="134"/>
      <c r="I57" s="134">
        <f>SUM(G56:I56)</f>
        <v>-98539.244911000016</v>
      </c>
      <c r="J57" s="135"/>
      <c r="K57" s="137"/>
      <c r="L57" s="691"/>
      <c r="M57" s="742"/>
      <c r="Q57" s="112"/>
    </row>
    <row r="58" spans="1:17" ht="12" customHeight="1" thickBot="1" x14ac:dyDescent="0.25">
      <c r="A58" s="39"/>
      <c r="B58" s="39"/>
      <c r="E58" s="707" t="s">
        <v>47</v>
      </c>
      <c r="F58" s="708"/>
      <c r="G58" s="708"/>
      <c r="H58" s="135"/>
      <c r="I58" s="604"/>
      <c r="J58" s="606">
        <f>IF(OR(T3=2,T3=3),IF(T3=2,C50,60),0)</f>
        <v>60</v>
      </c>
      <c r="K58" s="605">
        <f>IF(OR(T3=2,T3=3),+J58*K55,0)</f>
        <v>12649.80000000001</v>
      </c>
      <c r="L58" s="692"/>
      <c r="M58" s="742"/>
    </row>
    <row r="59" spans="1:17" ht="12" customHeight="1" thickBot="1" x14ac:dyDescent="0.25">
      <c r="A59" s="39"/>
      <c r="B59" s="39"/>
      <c r="E59" s="136"/>
      <c r="F59" s="693" t="s">
        <v>611</v>
      </c>
      <c r="G59" s="694"/>
      <c r="H59" s="603"/>
      <c r="I59" s="603"/>
      <c r="J59" s="597"/>
      <c r="K59" s="597">
        <f>+K58+I57</f>
        <v>-85889.444910999999</v>
      </c>
      <c r="L59" s="123">
        <f>$B$25*$K$59</f>
        <v>0</v>
      </c>
      <c r="M59" s="124">
        <f>+$K$59-L59</f>
        <v>-85889.444910999999</v>
      </c>
    </row>
    <row r="60" spans="1:17" ht="12" customHeight="1" thickTop="1" thickBot="1" x14ac:dyDescent="0.3">
      <c r="A60" s="125" t="s">
        <v>48</v>
      </c>
      <c r="B60" s="779">
        <f>IF(OR(C1="Hold",D1="slow flip"),0.15,0)</f>
        <v>0.15</v>
      </c>
      <c r="C60" s="780"/>
      <c r="D60" s="125"/>
      <c r="E60" s="125"/>
      <c r="F60" s="693" t="s">
        <v>602</v>
      </c>
      <c r="G60" s="719"/>
      <c r="H60" s="719"/>
      <c r="I60" s="720"/>
      <c r="J60" s="720"/>
      <c r="K60" s="720"/>
      <c r="L60" s="134">
        <f>-I85</f>
        <v>0</v>
      </c>
      <c r="M60" s="168">
        <f>+I85</f>
        <v>0</v>
      </c>
    </row>
    <row r="61" spans="1:17" ht="12" customHeight="1" thickTop="1" thickBot="1" x14ac:dyDescent="0.3">
      <c r="A61" s="38" t="s">
        <v>49</v>
      </c>
      <c r="B61" s="775">
        <v>0.1</v>
      </c>
      <c r="C61" s="776">
        <v>0.15</v>
      </c>
      <c r="D61" s="777">
        <f>+M63*B61</f>
        <v>-7300.6028174349995</v>
      </c>
      <c r="E61" s="778"/>
      <c r="F61" s="721" t="s">
        <v>1158</v>
      </c>
      <c r="G61" s="719"/>
      <c r="H61" s="719"/>
      <c r="I61" s="720"/>
      <c r="J61" s="720"/>
      <c r="K61" s="720"/>
      <c r="L61" s="400" t="s">
        <v>471</v>
      </c>
      <c r="M61" s="168">
        <f>IF(B60="",0,-$B$60*SUM(M59:M60))</f>
        <v>12883.416736649999</v>
      </c>
    </row>
    <row r="62" spans="1:17" ht="12" customHeight="1" x14ac:dyDescent="0.25">
      <c r="F62" s="721" t="s">
        <v>1159</v>
      </c>
      <c r="G62" s="719"/>
      <c r="H62" s="719"/>
      <c r="I62" s="720"/>
      <c r="J62" s="720"/>
      <c r="K62" s="720"/>
      <c r="L62" s="123">
        <f>SUM(L59:L61)</f>
        <v>0</v>
      </c>
      <c r="M62" s="124">
        <f>SUM(M59:M61)</f>
        <v>-73006.028174349995</v>
      </c>
    </row>
    <row r="63" spans="1:17" ht="12" customHeight="1" thickBot="1" x14ac:dyDescent="0.3">
      <c r="A63" s="116"/>
      <c r="C63" s="38"/>
      <c r="D63" s="38"/>
      <c r="E63" s="38"/>
      <c r="F63" s="721" t="s">
        <v>612</v>
      </c>
      <c r="G63" s="719"/>
      <c r="H63" s="719"/>
      <c r="I63" s="720"/>
      <c r="J63" s="720"/>
      <c r="K63" s="720"/>
      <c r="L63" s="128"/>
      <c r="M63" s="320">
        <f>SUM(L62:M62)</f>
        <v>-73006.028174349995</v>
      </c>
    </row>
    <row r="64" spans="1:17" ht="12" customHeight="1" x14ac:dyDescent="0.25">
      <c r="A64" s="116"/>
      <c r="F64" s="721" t="s">
        <v>1160</v>
      </c>
      <c r="G64" s="719"/>
      <c r="H64" s="719"/>
      <c r="I64" s="720"/>
      <c r="J64" s="720"/>
      <c r="K64" s="720"/>
      <c r="L64" s="134"/>
      <c r="M64" s="588">
        <f>IF($T$3=3,Docs!I23,0)</f>
        <v>236592</v>
      </c>
    </row>
    <row r="65" spans="1:13" ht="12" customHeight="1" thickBot="1" x14ac:dyDescent="0.3">
      <c r="A65" s="116"/>
      <c r="C65" s="38"/>
      <c r="F65" s="721" t="s">
        <v>1162</v>
      </c>
      <c r="G65" s="719"/>
      <c r="H65" s="719"/>
      <c r="I65" s="720"/>
      <c r="J65" s="720"/>
      <c r="K65" s="720"/>
      <c r="L65" s="134"/>
      <c r="M65" s="589">
        <f>+'Trade Properties'!R11*J58</f>
        <v>197160</v>
      </c>
    </row>
    <row r="66" spans="1:13" ht="12" customHeight="1" thickBot="1" x14ac:dyDescent="0.3">
      <c r="A66" s="116"/>
      <c r="C66" s="38"/>
      <c r="D66" s="38"/>
      <c r="E66" s="38"/>
      <c r="F66" s="806" t="s">
        <v>1166</v>
      </c>
      <c r="G66" s="807"/>
      <c r="H66" s="807"/>
      <c r="I66" s="808"/>
      <c r="J66" s="808"/>
      <c r="K66" s="808"/>
      <c r="L66" s="587"/>
      <c r="M66" s="589">
        <f>SUM(M63:M65)</f>
        <v>360745.97182565002</v>
      </c>
    </row>
    <row r="67" spans="1:13" ht="12" customHeight="1" thickTop="1" x14ac:dyDescent="0.2">
      <c r="A67" s="119" t="s">
        <v>50</v>
      </c>
    </row>
    <row r="68" spans="1:13" ht="12" customHeight="1" thickBot="1" x14ac:dyDescent="0.25">
      <c r="A68" s="38" t="s">
        <v>51</v>
      </c>
      <c r="B68" s="711">
        <f>+'Gnatt Chart'!J5</f>
        <v>25446.674910999998</v>
      </c>
      <c r="C68" s="711"/>
      <c r="D68" s="711">
        <f>-B68</f>
        <v>-25446.674910999998</v>
      </c>
      <c r="E68" s="711"/>
    </row>
    <row r="69" spans="1:13" ht="12" customHeight="1" thickBot="1" x14ac:dyDescent="0.25">
      <c r="A69" s="38" t="s">
        <v>52</v>
      </c>
      <c r="B69" s="126">
        <v>0.1</v>
      </c>
      <c r="D69" s="711"/>
      <c r="E69" s="711"/>
      <c r="G69" s="700" t="s">
        <v>53</v>
      </c>
      <c r="H69" s="701"/>
      <c r="I69" s="701"/>
      <c r="J69" s="702"/>
      <c r="K69" s="702"/>
      <c r="L69" s="703"/>
    </row>
    <row r="70" spans="1:13" ht="12" customHeight="1" thickBot="1" x14ac:dyDescent="0.25">
      <c r="A70" s="38" t="s">
        <v>54</v>
      </c>
      <c r="B70" s="740">
        <f>IF(M13,0,+B69*SUM(B68:C68))</f>
        <v>0</v>
      </c>
      <c r="C70" s="740"/>
      <c r="D70" s="740">
        <f>-B70</f>
        <v>0</v>
      </c>
      <c r="E70" s="740"/>
      <c r="G70" s="704"/>
      <c r="H70" s="705"/>
      <c r="I70" s="705"/>
      <c r="J70" s="705"/>
      <c r="K70" s="705"/>
      <c r="L70" s="706"/>
    </row>
    <row r="71" spans="1:13" ht="12" customHeight="1" thickBot="1" x14ac:dyDescent="0.25">
      <c r="A71" s="38" t="s">
        <v>55</v>
      </c>
      <c r="D71" s="709">
        <f>+SUM(D68:E70)</f>
        <v>-25446.674910999998</v>
      </c>
      <c r="E71" s="710"/>
      <c r="G71" s="686" t="s">
        <v>1165</v>
      </c>
      <c r="H71" s="687"/>
      <c r="I71" s="687"/>
      <c r="J71" s="688"/>
      <c r="K71" s="688"/>
      <c r="L71" s="689"/>
    </row>
    <row r="72" spans="1:13" ht="12" customHeight="1" thickTop="1" thickBot="1" x14ac:dyDescent="0.25">
      <c r="A72" s="127" t="s">
        <v>56</v>
      </c>
      <c r="B72" s="125"/>
      <c r="C72" s="125"/>
      <c r="D72" s="38"/>
      <c r="E72" s="38"/>
      <c r="G72" s="683"/>
      <c r="H72" s="684"/>
      <c r="I72" s="684"/>
      <c r="J72" s="684"/>
      <c r="K72" s="684"/>
      <c r="L72" s="685"/>
    </row>
    <row r="73" spans="1:13" ht="12" customHeight="1" x14ac:dyDescent="0.2">
      <c r="A73" s="38" t="s">
        <v>57</v>
      </c>
      <c r="B73" s="738">
        <v>350</v>
      </c>
      <c r="C73" s="739"/>
      <c r="D73" s="711"/>
      <c r="E73" s="711"/>
      <c r="J73" s="37"/>
      <c r="K73" s="37"/>
    </row>
    <row r="74" spans="1:13" ht="12" customHeight="1" thickBot="1" x14ac:dyDescent="0.25">
      <c r="A74" s="38" t="s">
        <v>58</v>
      </c>
      <c r="B74" s="722">
        <v>0</v>
      </c>
      <c r="C74" s="723"/>
      <c r="D74" s="711"/>
      <c r="E74" s="711"/>
      <c r="J74" s="37"/>
      <c r="K74" s="37"/>
    </row>
    <row r="75" spans="1:13" ht="12" customHeight="1" thickBot="1" x14ac:dyDescent="0.25">
      <c r="A75" s="38" t="s">
        <v>59</v>
      </c>
      <c r="B75" s="722">
        <v>250</v>
      </c>
      <c r="C75" s="723"/>
      <c r="F75" s="737" t="s">
        <v>480</v>
      </c>
      <c r="G75" s="714"/>
      <c r="H75" s="714" t="s">
        <v>212</v>
      </c>
      <c r="I75" s="714"/>
      <c r="J75" s="303" t="s">
        <v>481</v>
      </c>
      <c r="K75" s="37"/>
    </row>
    <row r="76" spans="1:13" ht="12" customHeight="1" thickBot="1" x14ac:dyDescent="0.3">
      <c r="A76" s="38" t="s">
        <v>59</v>
      </c>
      <c r="B76" s="722"/>
      <c r="C76" s="723"/>
      <c r="F76" s="715">
        <f>_xlfn.DAYS(J76,H76)</f>
        <v>183</v>
      </c>
      <c r="G76" s="716"/>
      <c r="H76" s="717">
        <v>45748</v>
      </c>
      <c r="I76" s="718"/>
      <c r="J76" s="469">
        <v>45931</v>
      </c>
      <c r="K76" s="37"/>
    </row>
    <row r="77" spans="1:13" ht="12" customHeight="1" x14ac:dyDescent="0.2">
      <c r="A77" s="38" t="s">
        <v>60</v>
      </c>
      <c r="B77" s="722"/>
      <c r="C77" s="723"/>
      <c r="D77" s="121"/>
      <c r="E77" s="114"/>
      <c r="F77" s="114"/>
      <c r="G77" s="114"/>
      <c r="H77" s="304"/>
      <c r="I77" s="305"/>
      <c r="J77" s="114"/>
      <c r="K77" s="695" t="s">
        <v>564</v>
      </c>
    </row>
    <row r="78" spans="1:13" ht="12" customHeight="1" x14ac:dyDescent="0.2">
      <c r="A78" s="38" t="s">
        <v>60</v>
      </c>
      <c r="B78" s="722"/>
      <c r="C78" s="723"/>
      <c r="D78" s="306"/>
      <c r="G78" s="698" t="s">
        <v>482</v>
      </c>
      <c r="H78" s="698" t="s">
        <v>483</v>
      </c>
      <c r="I78" s="698" t="s">
        <v>484</v>
      </c>
      <c r="J78" s="698" t="s">
        <v>485</v>
      </c>
      <c r="K78" s="696"/>
    </row>
    <row r="79" spans="1:13" ht="12" customHeight="1" thickBot="1" x14ac:dyDescent="0.25">
      <c r="A79" s="38" t="s">
        <v>61</v>
      </c>
      <c r="B79" s="722"/>
      <c r="C79" s="723"/>
      <c r="D79" s="115" t="s">
        <v>253</v>
      </c>
      <c r="E79" s="752" t="s">
        <v>486</v>
      </c>
      <c r="F79" s="752"/>
      <c r="G79" s="699"/>
      <c r="H79" s="699"/>
      <c r="I79" s="699"/>
      <c r="J79" s="699"/>
      <c r="K79" s="697"/>
    </row>
    <row r="80" spans="1:13" ht="12" customHeight="1" x14ac:dyDescent="0.25">
      <c r="A80" s="38" t="s">
        <v>62</v>
      </c>
      <c r="B80" s="722"/>
      <c r="C80" s="723"/>
      <c r="D80" s="581">
        <v>45397</v>
      </c>
      <c r="E80" s="753" t="s">
        <v>605</v>
      </c>
      <c r="F80" s="754"/>
      <c r="G80" s="369"/>
      <c r="H80" s="370">
        <f>+G80/$G$86</f>
        <v>0</v>
      </c>
      <c r="I80" s="371">
        <f>+$L$59*H80</f>
        <v>0</v>
      </c>
      <c r="J80" s="372">
        <f>+G80+I80</f>
        <v>0</v>
      </c>
      <c r="K80" s="373">
        <f>IF(G80="",0,+I80/G80*365/_xlfn.DAYS($J$76,D80))</f>
        <v>0</v>
      </c>
    </row>
    <row r="81" spans="1:12" ht="12" customHeight="1" x14ac:dyDescent="0.25">
      <c r="A81" s="38" t="s">
        <v>63</v>
      </c>
      <c r="B81" s="722"/>
      <c r="C81" s="723"/>
      <c r="D81" s="581">
        <f>+D80+90</f>
        <v>45487</v>
      </c>
      <c r="E81" s="753" t="str">
        <f>+E80</f>
        <v>unknown</v>
      </c>
      <c r="F81" s="754"/>
      <c r="G81" s="369"/>
      <c r="H81" s="370">
        <f>+G81/$G$86</f>
        <v>0</v>
      </c>
      <c r="I81" s="371">
        <f>+$L$59*H81</f>
        <v>0</v>
      </c>
      <c r="J81" s="372">
        <f>+G81+I81</f>
        <v>0</v>
      </c>
      <c r="K81" s="373">
        <f>IF(G81="",0,+I81/G81*365/_xlfn.DAYS($J$76,D81))</f>
        <v>0</v>
      </c>
    </row>
    <row r="82" spans="1:12" ht="12" customHeight="1" x14ac:dyDescent="0.25">
      <c r="A82" s="38" t="s">
        <v>64</v>
      </c>
      <c r="B82" s="722"/>
      <c r="C82" s="723"/>
      <c r="D82" s="581">
        <f>+D81+270</f>
        <v>45757</v>
      </c>
      <c r="E82" s="753" t="str">
        <f>+E81</f>
        <v>unknown</v>
      </c>
      <c r="F82" s="754"/>
      <c r="G82" s="369"/>
      <c r="H82" s="370">
        <f>+G82/$G$86</f>
        <v>0</v>
      </c>
      <c r="I82" s="371">
        <f>+$L$59*H82</f>
        <v>0</v>
      </c>
      <c r="J82" s="372">
        <f>+G82+I82</f>
        <v>0</v>
      </c>
      <c r="K82" s="373">
        <f>IF(G82="",0,+I82/G82*365/_xlfn.DAYS($J$76,D82))</f>
        <v>0</v>
      </c>
    </row>
    <row r="83" spans="1:12" ht="12" customHeight="1" thickBot="1" x14ac:dyDescent="0.3">
      <c r="A83" s="38" t="s">
        <v>65</v>
      </c>
      <c r="B83" s="722"/>
      <c r="C83" s="723"/>
      <c r="D83" s="581">
        <f>+J76-120</f>
        <v>45811</v>
      </c>
      <c r="E83" s="753" t="str">
        <f>+E82</f>
        <v>unknown</v>
      </c>
      <c r="F83" s="754"/>
      <c r="G83" s="369"/>
      <c r="H83" s="370">
        <f>+G83/$G$86</f>
        <v>0</v>
      </c>
      <c r="I83" s="371">
        <f>+$L$59*H83</f>
        <v>0</v>
      </c>
      <c r="J83" s="372">
        <f>+G83+I83</f>
        <v>0</v>
      </c>
      <c r="K83" s="373">
        <f>IF(G83="",0,+I83/G83*365/_xlfn.DAYS($J$76,D83))</f>
        <v>0</v>
      </c>
    </row>
    <row r="84" spans="1:12" ht="12" customHeight="1" thickBot="1" x14ac:dyDescent="0.3">
      <c r="A84" s="38" t="s">
        <v>66</v>
      </c>
      <c r="B84" s="722">
        <v>200</v>
      </c>
      <c r="C84" s="723"/>
      <c r="D84" s="582">
        <v>45422</v>
      </c>
      <c r="E84" s="755" t="str">
        <f>+F1</f>
        <v>Heritage Management</v>
      </c>
      <c r="F84" s="75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2"/>
      <c r="C85" s="723"/>
      <c r="D85" s="348" t="str">
        <f>+J75</f>
        <v>End Date</v>
      </c>
      <c r="E85" s="712" t="s">
        <v>603</v>
      </c>
      <c r="F85" s="713"/>
      <c r="G85" s="349">
        <f>+SUM(G79:G82)</f>
        <v>0</v>
      </c>
      <c r="H85" s="350">
        <f>+SUM(H79:H82)</f>
        <v>0</v>
      </c>
      <c r="I85" s="349">
        <f>+SUM(I79:I82)</f>
        <v>0</v>
      </c>
      <c r="J85" s="349">
        <f>+SUM(J79:J82)</f>
        <v>0</v>
      </c>
      <c r="K85" s="351">
        <f>AVERAGE(K79:K82)</f>
        <v>0</v>
      </c>
    </row>
    <row r="86" spans="1:12" ht="12" customHeight="1" thickBot="1" x14ac:dyDescent="0.3">
      <c r="A86" s="38" t="s">
        <v>68</v>
      </c>
      <c r="B86" s="722"/>
      <c r="C86" s="723"/>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2">
        <v>90</v>
      </c>
      <c r="C87" s="723"/>
      <c r="D87" s="711"/>
      <c r="E87" s="711"/>
    </row>
    <row r="88" spans="1:12" ht="12" customHeight="1" x14ac:dyDescent="0.2">
      <c r="A88" s="38" t="s">
        <v>565</v>
      </c>
      <c r="B88" s="722">
        <v>20</v>
      </c>
      <c r="C88" s="723"/>
      <c r="D88" s="711"/>
      <c r="E88" s="711"/>
    </row>
    <row r="89" spans="1:12" ht="12" customHeight="1" x14ac:dyDescent="0.2">
      <c r="A89" s="38" t="s">
        <v>70</v>
      </c>
      <c r="B89" s="722">
        <v>30</v>
      </c>
      <c r="C89" s="723"/>
      <c r="D89" s="711"/>
      <c r="E89" s="711"/>
    </row>
    <row r="90" spans="1:12" ht="12" customHeight="1" thickBot="1" x14ac:dyDescent="0.25">
      <c r="A90" s="38" t="s">
        <v>71</v>
      </c>
      <c r="B90" s="757"/>
      <c r="C90" s="758"/>
      <c r="D90" s="745"/>
      <c r="E90" s="746"/>
    </row>
    <row r="91" spans="1:12" ht="12" customHeight="1" thickBot="1" x14ac:dyDescent="0.25">
      <c r="D91" s="709">
        <f>+SUM(B73:C90)</f>
        <v>940</v>
      </c>
      <c r="E91" s="710"/>
      <c r="G91" s="679" t="s">
        <v>72</v>
      </c>
      <c r="H91" s="680"/>
      <c r="I91" s="680"/>
      <c r="J91" s="681"/>
      <c r="K91" s="681"/>
      <c r="L91" s="682"/>
    </row>
    <row r="92" spans="1:12" ht="12" customHeight="1" thickBot="1" x14ac:dyDescent="0.25">
      <c r="G92" s="683"/>
      <c r="H92" s="684"/>
      <c r="I92" s="684"/>
      <c r="J92" s="684"/>
      <c r="K92" s="684"/>
      <c r="L92" s="685"/>
    </row>
    <row r="93" spans="1:12" ht="12" customHeight="1" thickTop="1" thickBot="1" x14ac:dyDescent="0.25">
      <c r="A93" s="127" t="s">
        <v>73</v>
      </c>
      <c r="B93" s="125"/>
      <c r="C93" s="125"/>
      <c r="D93" s="125"/>
      <c r="E93" s="125"/>
    </row>
    <row r="94" spans="1:12" ht="12" customHeight="1" x14ac:dyDescent="0.2">
      <c r="A94" s="38" t="s">
        <v>57</v>
      </c>
      <c r="B94" s="738"/>
      <c r="C94" s="739"/>
      <c r="D94" s="711"/>
      <c r="E94" s="711"/>
    </row>
    <row r="95" spans="1:12" ht="12" customHeight="1" x14ac:dyDescent="0.2">
      <c r="A95" s="38" t="s">
        <v>59</v>
      </c>
      <c r="B95" s="722">
        <v>250</v>
      </c>
      <c r="C95" s="723"/>
      <c r="D95" s="711"/>
      <c r="E95" s="711"/>
    </row>
    <row r="96" spans="1:12" ht="12" customHeight="1" x14ac:dyDescent="0.2">
      <c r="A96" s="38" t="s">
        <v>74</v>
      </c>
      <c r="B96" s="722">
        <v>0</v>
      </c>
      <c r="C96" s="723"/>
      <c r="D96" s="711"/>
      <c r="E96" s="711"/>
    </row>
    <row r="97" spans="1:12" ht="12" customHeight="1" x14ac:dyDescent="0.2">
      <c r="A97" s="38" t="s">
        <v>75</v>
      </c>
      <c r="B97" s="722"/>
      <c r="C97" s="723"/>
      <c r="D97" s="711"/>
      <c r="E97" s="711"/>
    </row>
    <row r="98" spans="1:12" ht="12" customHeight="1" x14ac:dyDescent="0.2">
      <c r="A98" s="38" t="s">
        <v>69</v>
      </c>
      <c r="B98" s="722"/>
      <c r="C98" s="723"/>
      <c r="D98" s="711"/>
      <c r="E98" s="711"/>
    </row>
    <row r="99" spans="1:12" ht="12" customHeight="1" x14ac:dyDescent="0.2">
      <c r="A99" s="38" t="s">
        <v>76</v>
      </c>
      <c r="B99" s="722">
        <v>40</v>
      </c>
      <c r="C99" s="723"/>
      <c r="D99" s="711"/>
      <c r="E99" s="711"/>
    </row>
    <row r="100" spans="1:12" ht="12" customHeight="1" x14ac:dyDescent="0.2">
      <c r="A100" s="38" t="s">
        <v>77</v>
      </c>
      <c r="B100" s="722"/>
      <c r="C100" s="723"/>
      <c r="D100" s="711"/>
      <c r="E100" s="711"/>
    </row>
    <row r="101" spans="1:12" ht="12" customHeight="1" thickBot="1" x14ac:dyDescent="0.25">
      <c r="A101" s="38" t="s">
        <v>71</v>
      </c>
      <c r="B101" s="743"/>
      <c r="C101" s="744"/>
      <c r="D101" s="745"/>
      <c r="E101" s="746"/>
    </row>
    <row r="102" spans="1:12" ht="12" customHeight="1" thickTop="1" thickBot="1" x14ac:dyDescent="0.25">
      <c r="D102" s="709">
        <f>+SUM(B94:C101)</f>
        <v>290</v>
      </c>
      <c r="E102" s="710"/>
      <c r="G102" s="679" t="s">
        <v>78</v>
      </c>
      <c r="H102" s="680"/>
      <c r="I102" s="680"/>
      <c r="J102" s="681"/>
      <c r="K102" s="681"/>
      <c r="L102" s="682"/>
    </row>
    <row r="103" spans="1:12" ht="12" customHeight="1" thickBot="1" x14ac:dyDescent="0.25">
      <c r="G103" s="683"/>
      <c r="H103" s="684"/>
      <c r="I103" s="684"/>
      <c r="J103" s="684"/>
      <c r="K103" s="684"/>
      <c r="L103" s="685"/>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29" activePane="bottomLeft" state="frozen"/>
      <selection pane="bottomLeft" activeCell="AC8" sqref="AC8"/>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3" t="s">
        <v>595</v>
      </c>
      <c r="B1" s="670"/>
      <c r="C1" s="670"/>
      <c r="D1" s="671"/>
      <c r="N1" s="329"/>
      <c r="O1" s="627"/>
      <c r="P1" s="627"/>
      <c r="Q1" s="627"/>
      <c r="R1" s="627"/>
      <c r="S1" s="617">
        <v>1</v>
      </c>
      <c r="T1" s="13"/>
      <c r="Z1" s="329"/>
      <c r="AA1" s="456"/>
      <c r="AD1" s="14"/>
      <c r="AE1" s="13"/>
      <c r="AJ1" s="276"/>
      <c r="AK1" s="276"/>
      <c r="AL1" s="276"/>
      <c r="AM1" s="276"/>
      <c r="AP1"/>
    </row>
    <row r="2" spans="1:42" ht="15.75" thickBot="1" x14ac:dyDescent="0.3">
      <c r="A2" s="672" t="s">
        <v>592</v>
      </c>
      <c r="B2" s="673"/>
      <c r="C2" s="465">
        <f>+Profit!C15</f>
        <v>97228</v>
      </c>
      <c r="D2" s="631"/>
      <c r="J2" s="2" t="s">
        <v>1139</v>
      </c>
      <c r="K2" s="635">
        <v>0</v>
      </c>
      <c r="L2" s="636"/>
      <c r="N2" s="30" t="s">
        <v>1140</v>
      </c>
      <c r="O2" s="572">
        <f>IF($S$1=1,P2,IF($S$1=2,Q2,IF($S$1=3,R2)))</f>
        <v>0.05</v>
      </c>
      <c r="P2" s="573">
        <v>0.05</v>
      </c>
      <c r="Q2" s="573">
        <v>0.05</v>
      </c>
      <c r="R2" s="573">
        <v>0.05</v>
      </c>
      <c r="U2" s="14"/>
      <c r="V2" s="456" t="s">
        <v>1151</v>
      </c>
      <c r="W2" s="458">
        <v>134.16999999999999</v>
      </c>
      <c r="Z2" s="643" t="s">
        <v>1177</v>
      </c>
      <c r="AA2" s="644"/>
      <c r="AB2" s="645"/>
      <c r="AC2" s="646"/>
      <c r="AJ2" s="276"/>
      <c r="AK2" s="276"/>
      <c r="AL2" s="276"/>
      <c r="AM2" s="276"/>
      <c r="AP2"/>
    </row>
    <row r="3" spans="1:42" ht="15.75" thickBot="1" x14ac:dyDescent="0.3">
      <c r="A3" s="672" t="s">
        <v>591</v>
      </c>
      <c r="B3" s="673"/>
      <c r="C3" s="441">
        <f>+Profit!B15</f>
        <v>3.7499999999999999E-2</v>
      </c>
      <c r="D3" s="315"/>
      <c r="J3" s="30" t="s">
        <v>1141</v>
      </c>
      <c r="K3" s="637">
        <v>0.1</v>
      </c>
      <c r="L3" s="638"/>
      <c r="N3" s="30" t="s">
        <v>1142</v>
      </c>
      <c r="O3" s="384">
        <f>IF($S$1=1,P3,IF($S$1=2,Q3,IF($S$1=3,R3)))</f>
        <v>346500</v>
      </c>
      <c r="P3" s="574">
        <f>+Profit!$B$4*(1++P2)</f>
        <v>346500</v>
      </c>
      <c r="Q3" s="385">
        <f>+Profit!$B$4*(1++Q2)</f>
        <v>346500</v>
      </c>
      <c r="R3" s="386">
        <f>+Profit!$B$4*(1++R2)</f>
        <v>346500</v>
      </c>
      <c r="U3" s="14"/>
      <c r="V3" s="456" t="s">
        <v>1152</v>
      </c>
      <c r="W3" s="458">
        <v>188.55</v>
      </c>
      <c r="Z3" s="647" t="s">
        <v>1178</v>
      </c>
      <c r="AA3" s="648"/>
      <c r="AB3" s="649"/>
      <c r="AC3" s="628">
        <f>cfdRate1Payment</f>
        <v>645.28</v>
      </c>
      <c r="AJ3" s="276"/>
      <c r="AK3" s="276"/>
      <c r="AL3" s="276"/>
      <c r="AM3" s="276"/>
      <c r="AP3"/>
    </row>
    <row r="4" spans="1:42" ht="15.75" thickBot="1" x14ac:dyDescent="0.3">
      <c r="A4" s="672" t="s">
        <v>1193</v>
      </c>
      <c r="B4" s="673"/>
      <c r="C4" s="465">
        <f>+D4/12</f>
        <v>17.666666666666668</v>
      </c>
      <c r="D4" s="465">
        <f>DATEDIF(C6,C7,"m")</f>
        <v>212</v>
      </c>
      <c r="J4" s="30" t="s">
        <v>1143</v>
      </c>
      <c r="K4" s="639">
        <f>+Profit!M63</f>
        <v>-73006.028174349995</v>
      </c>
      <c r="L4" s="640"/>
      <c r="N4" s="30" t="s">
        <v>1144</v>
      </c>
      <c r="O4" s="384">
        <f>IF($S$1=1,P4,IF($S$1=2,Q4,IF($S$1=3,R4)))</f>
        <v>34650</v>
      </c>
      <c r="P4" s="574">
        <f>+$O$3*$K$3</f>
        <v>34650</v>
      </c>
      <c r="Q4" s="385">
        <f>+$O$3*$K$3</f>
        <v>34650</v>
      </c>
      <c r="R4" s="386">
        <f>+$O$3*$K$3</f>
        <v>34650</v>
      </c>
      <c r="U4" s="14"/>
      <c r="V4" s="456" t="s">
        <v>1155</v>
      </c>
      <c r="W4" s="457">
        <f>+O9+W2+W3</f>
        <v>968</v>
      </c>
      <c r="Z4" s="647" t="s">
        <v>1179</v>
      </c>
      <c r="AA4" s="648"/>
      <c r="AB4" s="649"/>
      <c r="AC4" s="629">
        <f>cfdRate2Payment</f>
        <v>659.9</v>
      </c>
      <c r="AJ4" s="276"/>
      <c r="AK4" s="276"/>
      <c r="AL4" s="276"/>
      <c r="AM4" s="276"/>
      <c r="AO4" s="460"/>
      <c r="AP4" s="14"/>
    </row>
    <row r="5" spans="1:42" ht="15.75" thickBot="1" x14ac:dyDescent="0.3">
      <c r="A5" s="672" t="s">
        <v>590</v>
      </c>
      <c r="B5" s="673"/>
      <c r="C5" s="457">
        <f>ROUND(PMT($C$3/12,$D$4,-$C$2,0), 2)</f>
        <v>627.88</v>
      </c>
      <c r="D5" s="315"/>
      <c r="J5" s="30"/>
      <c r="K5" s="30"/>
      <c r="L5" s="30"/>
      <c r="N5" s="30" t="s">
        <v>1161</v>
      </c>
      <c r="O5" s="384">
        <f>+'Trade Properties'!R8</f>
        <v>236592</v>
      </c>
      <c r="P5" s="574">
        <f>+O5</f>
        <v>236592</v>
      </c>
      <c r="Q5" s="385">
        <f>+O5</f>
        <v>236592</v>
      </c>
      <c r="R5" s="386">
        <f>+O5</f>
        <v>236592</v>
      </c>
      <c r="U5" s="460"/>
      <c r="V5" s="460"/>
      <c r="W5" s="460"/>
      <c r="Z5" s="647" t="s">
        <v>1180</v>
      </c>
      <c r="AA5" s="648"/>
      <c r="AB5" s="649"/>
      <c r="AC5" s="629">
        <f>IFERROR(_xlfn.XLOOKUP(cfdFirstRateMonths-1,tblContractForDeed[Period],tblContractForDeed[End Bal]),"")</f>
        <v>57470.46</v>
      </c>
      <c r="AH5" s="22"/>
      <c r="AI5" s="22"/>
      <c r="AJ5" s="22"/>
      <c r="AK5"/>
    </row>
    <row r="6" spans="1:42" ht="15.75" thickBot="1" x14ac:dyDescent="0.3">
      <c r="A6" s="672" t="s">
        <v>1147</v>
      </c>
      <c r="B6" s="673"/>
      <c r="C6" s="576">
        <v>45870</v>
      </c>
      <c r="D6" s="315"/>
      <c r="N6" s="30" t="s">
        <v>1145</v>
      </c>
      <c r="O6" s="384">
        <f>IF($S$1=1,P6,IF($S$1=2,Q6,IF($S$1=3,R6)))</f>
        <v>75258</v>
      </c>
      <c r="P6" s="574">
        <f>+P3-P4-$O$5</f>
        <v>75258</v>
      </c>
      <c r="Q6" s="385">
        <f t="shared" ref="Q6:R6" si="0">+Q3-Q4-$O$5</f>
        <v>75258</v>
      </c>
      <c r="R6" s="386">
        <f t="shared" si="0"/>
        <v>75258</v>
      </c>
      <c r="U6" s="460"/>
      <c r="V6" s="460"/>
      <c r="W6" s="460"/>
      <c r="Z6" s="647" t="s">
        <v>1181</v>
      </c>
      <c r="AA6" s="648"/>
      <c r="AB6" s="649"/>
      <c r="AC6" s="629">
        <f>IFERROR(_xlfn.XLOOKUP(12,tblScheduleIndex[Period],tblBuyerOutputs[Monthly Cash Flow]),"")</f>
        <v>17.399999999999977</v>
      </c>
      <c r="AH6" s="22"/>
      <c r="AI6" s="22"/>
      <c r="AJ6" s="22"/>
      <c r="AK6"/>
    </row>
    <row r="7" spans="1:42" ht="15.75" thickBot="1" x14ac:dyDescent="0.3">
      <c r="A7" s="678" t="s">
        <v>1148</v>
      </c>
      <c r="B7" s="642"/>
      <c r="C7" s="576">
        <v>52322</v>
      </c>
      <c r="D7" s="509"/>
      <c r="N7" s="30" t="s">
        <v>1146</v>
      </c>
      <c r="P7" s="575">
        <v>2.5000000000000001E-2</v>
      </c>
      <c r="Q7" s="575">
        <v>3.5000000000000003E-2</v>
      </c>
      <c r="R7" s="575">
        <v>3.2500000000000001E-2</v>
      </c>
      <c r="U7" s="460"/>
      <c r="V7" s="460"/>
      <c r="W7" s="460"/>
      <c r="Z7" s="647" t="s">
        <v>1182</v>
      </c>
      <c r="AA7" s="648"/>
      <c r="AB7" s="649"/>
      <c r="AC7" s="629">
        <f>IFERROR(_xlfn.XLOOKUP(cfdFirstRateMonths-1,tblContractForDeed[Period],tblBuyerOutputs[Cumul Cash Flow]),"")</f>
        <v>563.43999999999869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47" t="s">
        <v>1183</v>
      </c>
      <c r="AA8" s="648"/>
      <c r="AB8" s="649"/>
      <c r="AC8" s="629">
        <f>IFERROR(_xlfn.XLOOKUP(cfdFirstRateMonths-1,tblContractForDeed[Period],tblBuyerOutputs[Monthly Appr]),"")</f>
        <v>421.26297672157216</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47" t="s">
        <v>1184</v>
      </c>
      <c r="AA9" s="648"/>
      <c r="AB9" s="649"/>
      <c r="AC9" s="629">
        <f>IFERROR(_xlfn.XLOOKUP(cfdFirstRateMonths-1,tblContractForDeed[Period],tblBuyerOutputs[Cumul Appr]),"")</f>
        <v>26266.377389898884</v>
      </c>
      <c r="AH9" s="22"/>
      <c r="AI9" s="22"/>
      <c r="AJ9" s="22"/>
      <c r="AK9"/>
    </row>
    <row r="10" spans="1:42" ht="15.75" thickBot="1" x14ac:dyDescent="0.3">
      <c r="N10" s="30" t="s">
        <v>1189</v>
      </c>
      <c r="P10" s="575">
        <v>0.03</v>
      </c>
      <c r="Q10" s="575">
        <v>3.5000000000000003E-2</v>
      </c>
      <c r="R10" s="575">
        <v>0.04</v>
      </c>
      <c r="Z10" s="650" t="s">
        <v>1185</v>
      </c>
      <c r="AA10" s="651"/>
      <c r="AB10" s="652"/>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1" t="s">
        <v>1153</v>
      </c>
      <c r="I13" s="642"/>
      <c r="J13" s="616">
        <v>46204</v>
      </c>
      <c r="K13" s="641" t="s">
        <v>1187</v>
      </c>
      <c r="L13" s="674"/>
      <c r="M13" s="674"/>
      <c r="N13" s="642"/>
      <c r="O13" s="464">
        <v>5</v>
      </c>
      <c r="P13" s="465">
        <f>+O13*12</f>
        <v>60</v>
      </c>
      <c r="Q13" s="641" t="s">
        <v>1186</v>
      </c>
      <c r="R13" s="642"/>
      <c r="S13" s="653">
        <f>EDATE(J13,P13)</f>
        <v>48030</v>
      </c>
      <c r="T13" s="654"/>
      <c r="AC13"/>
      <c r="AH13" s="22"/>
      <c r="AI13" s="22"/>
      <c r="AJ13" s="22"/>
      <c r="AK13"/>
    </row>
    <row r="14" spans="1:42" ht="15.75" thickBot="1" x14ac:dyDescent="0.3">
      <c r="K14" s="641" t="s">
        <v>1188</v>
      </c>
      <c r="L14" s="674"/>
      <c r="M14" s="674"/>
      <c r="N14" s="642"/>
      <c r="O14" s="464">
        <v>15</v>
      </c>
      <c r="P14" s="465">
        <f>+O14*12</f>
        <v>180</v>
      </c>
      <c r="Q14" s="641" t="s">
        <v>1154</v>
      </c>
      <c r="R14" s="642"/>
      <c r="S14" s="653">
        <f>EDATE(J13,P14-1)</f>
        <v>51653</v>
      </c>
      <c r="T14" s="654"/>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75" t="s">
        <v>1195</v>
      </c>
      <c r="B17" s="676"/>
      <c r="C17" s="676"/>
      <c r="D17" s="676"/>
      <c r="E17" s="676"/>
      <c r="F17" s="676"/>
      <c r="G17" s="676"/>
      <c r="H17" s="676"/>
      <c r="I17" s="676"/>
      <c r="J17" s="676"/>
      <c r="K17" s="677"/>
      <c r="N17" s="460"/>
      <c r="O17" s="675" t="str">
        <f>"Official Contract for Deed Schedule: "&amp;TEXT($O$8,"0.00%")&amp;" for first "&amp;$O$13&amp;" years, then "&amp;TEXT($O$11,"0.00%")</f>
        <v>Official Contract for Deed Schedule: 6.25% for first 5 years, then 6.75%</v>
      </c>
      <c r="P17" s="676"/>
      <c r="Q17" s="676"/>
      <c r="R17" s="676"/>
      <c r="S17" s="676"/>
      <c r="T17" s="676"/>
      <c r="U17" s="676"/>
      <c r="V17" s="676"/>
      <c r="W17" s="676"/>
      <c r="X17" s="676"/>
      <c r="Y17" s="677"/>
      <c r="Z17" s="675" t="s">
        <v>1194</v>
      </c>
      <c r="AA17" s="676"/>
      <c r="AB17" s="676"/>
      <c r="AC17" s="676"/>
      <c r="AD17" s="676"/>
      <c r="AE17" s="677"/>
    </row>
    <row r="18" spans="1:44" ht="15" customHeight="1" thickBot="1" x14ac:dyDescent="0.3">
      <c r="C18" s="655" t="s">
        <v>658</v>
      </c>
      <c r="D18" s="656"/>
      <c r="E18" s="657"/>
      <c r="F18" s="657"/>
      <c r="G18" s="657"/>
      <c r="H18" s="658"/>
      <c r="I18" s="659" t="s">
        <v>655</v>
      </c>
      <c r="J18" s="660"/>
      <c r="L18" s="659" t="s">
        <v>1190</v>
      </c>
      <c r="M18" s="668"/>
      <c r="N18" s="669"/>
      <c r="O18" s="466"/>
      <c r="P18" s="618"/>
      <c r="Q18" s="661" t="s">
        <v>658</v>
      </c>
      <c r="R18" s="662"/>
      <c r="S18" s="663"/>
      <c r="T18" s="663"/>
      <c r="U18" s="663"/>
      <c r="V18" s="664"/>
      <c r="W18" s="661" t="s">
        <v>655</v>
      </c>
      <c r="X18" s="665"/>
      <c r="Y18" s="406"/>
      <c r="Z18" s="666" t="s">
        <v>1175</v>
      </c>
      <c r="AA18" s="667"/>
      <c r="AB18" s="632" t="s">
        <v>1169</v>
      </c>
      <c r="AC18" s="633"/>
      <c r="AD18" s="633"/>
      <c r="AE18" s="633"/>
      <c r="AF18" s="634"/>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1196</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68">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67">
        <f>IF(INDEX(tblContractForDeed[Payment],ROW()-ROW(tblBuyerOutputs[#Headers]))=0,0,INDEX(tblContractForDeed[Payment],ROW()-ROW(tblBuyerOutputs[#Headers]))-INDEX(tblSubjectToLoan[Payment],ROW()-ROW(tblBuyerOutputs[#Headers])))</f>
        <v>17.399999999999977</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67">
        <f>IF(INDEX(tblContractForDeed[Payment],ROW()-ROW(tblBuyerOutputs[#Headers]))=0,0,INDEX(tblContractForDeed[Payment],ROW()-ROW(tblBuyerOutputs[#Headers]))-INDEX(tblSubjectToLoan[Payment],ROW()-ROW(tblBuyerOutputs[#Headers])))</f>
        <v>17.399999999999977</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67">
        <f>IF(INDEX(tblContractForDeed[Payment],ROW()-ROW(tblBuyerOutputs[#Headers]))=0,0,INDEX(tblContractForDeed[Payment],ROW()-ROW(tblBuyerOutputs[#Headers]))-INDEX(tblSubjectToLoan[Payment],ROW()-ROW(tblBuyerOutputs[#Headers])))</f>
        <v>17.399999999999977</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67">
        <f>IF(INDEX(tblContractForDeed[Payment],ROW()-ROW(tblBuyerOutputs[#Headers]))=0,0,INDEX(tblContractForDeed[Payment],ROW()-ROW(tblBuyerOutputs[#Headers]))-INDEX(tblSubjectToLoan[Payment],ROW()-ROW(tblBuyerOutputs[#Headers])))</f>
        <v>17.399999999999977</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67">
        <f>IF(INDEX(tblContractForDeed[Payment],ROW()-ROW(tblBuyerOutputs[#Headers]))=0,0,INDEX(tblContractForDeed[Payment],ROW()-ROW(tblBuyerOutputs[#Headers]))-INDEX(tblSubjectToLoan[Payment],ROW()-ROW(tblBuyerOutputs[#Headers])))</f>
        <v>17.399999999999977</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67">
        <f>IF(INDEX(tblContractForDeed[Payment],ROW()-ROW(tblBuyerOutputs[#Headers]))=0,0,INDEX(tblContractForDeed[Payment],ROW()-ROW(tblBuyerOutputs[#Headers]))-INDEX(tblSubjectToLoan[Payment],ROW()-ROW(tblBuyerOutputs[#Headers])))</f>
        <v>17.399999999999977</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67">
        <f>IF(INDEX(tblContractForDeed[Payment],ROW()-ROW(tblBuyerOutputs[#Headers]))=0,0,INDEX(tblContractForDeed[Payment],ROW()-ROW(tblBuyerOutputs[#Headers]))-INDEX(tblSubjectToLoan[Payment],ROW()-ROW(tblBuyerOutputs[#Headers])))</f>
        <v>17.399999999999977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67">
        <f>IF(INDEX(tblContractForDeed[Payment],ROW()-ROW(tblBuyerOutputs[#Headers]))=0,0,INDEX(tblContractForDeed[Payment],ROW()-ROW(tblBuyerOutputs[#Headers]))-INDEX(tblSubjectToLoan[Payment],ROW()-ROW(tblBuyerOutputs[#Headers])))</f>
        <v>17.399999999999977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67">
        <f>IF(INDEX(tblContractForDeed[Payment],ROW()-ROW(tblBuyerOutputs[#Headers]))=0,0,INDEX(tblContractForDeed[Payment],ROW()-ROW(tblBuyerOutputs[#Headers]))-INDEX(tblSubjectToLoan[Payment],ROW()-ROW(tblBuyerOutputs[#Headers])))</f>
        <v>17.399999999999977</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67">
        <f>IF(INDEX(tblContractForDeed[Payment],ROW()-ROW(tblBuyerOutputs[#Headers]))=0,0,INDEX(tblContractForDeed[Payment],ROW()-ROW(tblBuyerOutputs[#Headers]))-INDEX(tblSubjectToLoan[Payment],ROW()-ROW(tblBuyerOutputs[#Headers])))</f>
        <v>17.399999999999977</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67">
        <f>IF(INDEX(tblContractForDeed[Payment],ROW()-ROW(tblBuyerOutputs[#Headers]))=0,0,INDEX(tblContractForDeed[Payment],ROW()-ROW(tblBuyerOutputs[#Headers]))-INDEX(tblSubjectToLoan[Payment],ROW()-ROW(tblBuyerOutputs[#Headers])))</f>
        <v>17.399999999999977</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68">
        <f>IF(INDEX(tblContractForDeed[Payment],ROW()-ROW(tblBuyerOutputs[#Headers]))=0,0,INDEX(tblContractForDeed[Payment],ROW()-ROW(tblBuyerOutputs[#Headers]))-INDEX(tblSubjectToLoan[Payment],ROW()-ROW(tblBuyerOutputs[#Headers])))</f>
        <v>17.399999999999977</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Appr],ROW()-ROW(tblBuyerOutputs[#Headers])-1)))*$O$2/12)</f>
        <v>345.04429473630125</v>
      </c>
      <c r="AE43" s="332">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67">
        <f>IF(INDEX(tblContractForDeed[Payment],ROW()-ROW(tblBuyerOutputs[#Headers]))=0,0,INDEX(tblContractForDeed[Payment],ROW()-ROW(tblBuyerOutputs[#Headers]))-INDEX(tblSubjectToLoan[Payment],ROW()-ROW(tblBuyerOutputs[#Headers])))</f>
        <v>17.399999999999977</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67">
        <f>IF(INDEX(tblContractForDeed[Payment],ROW()-ROW(tblBuyerOutputs[#Headers]))=0,0,INDEX(tblContractForDeed[Payment],ROW()-ROW(tblBuyerOutputs[#Headers]))-INDEX(tblSubjectToLoan[Payment],ROW()-ROW(tblBuyerOutputs[#Headers])))</f>
        <v>17.399999999999977</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67">
        <f>IF(INDEX(tblContractForDeed[Payment],ROW()-ROW(tblBuyerOutputs[#Headers]))=0,0,INDEX(tblContractForDeed[Payment],ROW()-ROW(tblBuyerOutputs[#Headers]))-INDEX(tblSubjectToLoan[Payment],ROW()-ROW(tblBuyerOutputs[#Headers])))</f>
        <v>17.399999999999977</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67">
        <f>IF(INDEX(tblContractForDeed[Payment],ROW()-ROW(tblBuyerOutputs[#Headers]))=0,0,INDEX(tblContractForDeed[Payment],ROW()-ROW(tblBuyerOutputs[#Headers]))-INDEX(tblSubjectToLoan[Payment],ROW()-ROW(tblBuyerOutputs[#Headers])))</f>
        <v>17.399999999999977</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67">
        <f>IF(INDEX(tblContractForDeed[Payment],ROW()-ROW(tblBuyerOutputs[#Headers]))=0,0,INDEX(tblContractForDeed[Payment],ROW()-ROW(tblBuyerOutputs[#Headers]))-INDEX(tblSubjectToLoan[Payment],ROW()-ROW(tblBuyerOutputs[#Headers])))</f>
        <v>17.399999999999977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67">
        <f>IF(INDEX(tblContractForDeed[Payment],ROW()-ROW(tblBuyerOutputs[#Headers]))=0,0,INDEX(tblContractForDeed[Payment],ROW()-ROW(tblBuyerOutputs[#Headers]))-INDEX(tblSubjectToLoan[Payment],ROW()-ROW(tblBuyerOutputs[#Headers])))</f>
        <v>17.399999999999977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67">
        <f>IF(INDEX(tblContractForDeed[Payment],ROW()-ROW(tblBuyerOutputs[#Headers]))=0,0,INDEX(tblContractForDeed[Payment],ROW()-ROW(tblBuyerOutputs[#Headers]))-INDEX(tblSubjectToLoan[Payment],ROW()-ROW(tblBuyerOutputs[#Headers])))</f>
        <v>17.399999999999977</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67">
        <f>IF(INDEX(tblContractForDeed[Payment],ROW()-ROW(tblBuyerOutputs[#Headers]))=0,0,INDEX(tblContractForDeed[Payment],ROW()-ROW(tblBuyerOutputs[#Headers]))-INDEX(tblSubjectToLoan[Payment],ROW()-ROW(tblBuyerOutputs[#Headers])))</f>
        <v>17.399999999999977</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67">
        <f>IF(INDEX(tblContractForDeed[Payment],ROW()-ROW(tblBuyerOutputs[#Headers]))=0,0,INDEX(tblContractForDeed[Payment],ROW()-ROW(tblBuyerOutputs[#Headers]))-INDEX(tblSubjectToLoan[Payment],ROW()-ROW(tblBuyerOutputs[#Headers])))</f>
        <v>17.399999999999977</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67">
        <f>IF(INDEX(tblContractForDeed[Payment],ROW()-ROW(tblBuyerOutputs[#Headers]))=0,0,INDEX(tblContractForDeed[Payment],ROW()-ROW(tblBuyerOutputs[#Headers]))-INDEX(tblSubjectToLoan[Payment],ROW()-ROW(tblBuyerOutputs[#Headers])))</f>
        <v>17.399999999999977</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67">
        <f>IF(INDEX(tblContractForDeed[Payment],ROW()-ROW(tblBuyerOutputs[#Headers]))=0,0,INDEX(tblContractForDeed[Payment],ROW()-ROW(tblBuyerOutputs[#Headers]))-INDEX(tblSubjectToLoan[Payment],ROW()-ROW(tblBuyerOutputs[#Headers])))</f>
        <v>17.399999999999977</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68">
        <f>IF(INDEX(tblContractForDeed[Payment],ROW()-ROW(tblBuyerOutputs[#Headers]))=0,0,INDEX(tblContractForDeed[Payment],ROW()-ROW(tblBuyerOutputs[#Headers]))-INDEX(tblSubjectToLoan[Payment],ROW()-ROW(tblBuyerOutputs[#Headers])))</f>
        <v>17.399999999999977</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Appr],ROW()-ROW(tblBuyerOutputs[#Headers])-1)))*$O$2/12)</f>
        <v>362.69741570827455</v>
      </c>
      <c r="AE55" s="332">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67">
        <f>IF(INDEX(tblContractForDeed[Payment],ROW()-ROW(tblBuyerOutputs[#Headers]))=0,0,INDEX(tblContractForDeed[Payment],ROW()-ROW(tblBuyerOutputs[#Headers]))-INDEX(tblSubjectToLoan[Payment],ROW()-ROW(tblBuyerOutputs[#Headers])))</f>
        <v>17.399999999999977</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67">
        <f>IF(INDEX(tblContractForDeed[Payment],ROW()-ROW(tblBuyerOutputs[#Headers]))=0,0,INDEX(tblContractForDeed[Payment],ROW()-ROW(tblBuyerOutputs[#Headers]))-INDEX(tblSubjectToLoan[Payment],ROW()-ROW(tblBuyerOutputs[#Headers])))</f>
        <v>17.399999999999977</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67">
        <f>IF(INDEX(tblContractForDeed[Payment],ROW()-ROW(tblBuyerOutputs[#Headers]))=0,0,INDEX(tblContractForDeed[Payment],ROW()-ROW(tblBuyerOutputs[#Headers]))-INDEX(tblSubjectToLoan[Payment],ROW()-ROW(tblBuyerOutputs[#Headers])))</f>
        <v>17.399999999999977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67">
        <f>IF(INDEX(tblContractForDeed[Payment],ROW()-ROW(tblBuyerOutputs[#Headers]))=0,0,INDEX(tblContractForDeed[Payment],ROW()-ROW(tblBuyerOutputs[#Headers]))-INDEX(tblSubjectToLoan[Payment],ROW()-ROW(tblBuyerOutputs[#Headers])))</f>
        <v>17.399999999999977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67">
        <f>IF(INDEX(tblContractForDeed[Payment],ROW()-ROW(tblBuyerOutputs[#Headers]))=0,0,INDEX(tblContractForDeed[Payment],ROW()-ROW(tblBuyerOutputs[#Headers]))-INDEX(tblSubjectToLoan[Payment],ROW()-ROW(tblBuyerOutputs[#Headers])))</f>
        <v>17.399999999999977</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67">
        <f>IF(INDEX(tblContractForDeed[Payment],ROW()-ROW(tblBuyerOutputs[#Headers]))=0,0,INDEX(tblContractForDeed[Payment],ROW()-ROW(tblBuyerOutputs[#Headers]))-INDEX(tblSubjectToLoan[Payment],ROW()-ROW(tblBuyerOutputs[#Headers])))</f>
        <v>17.399999999999977</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67">
        <f>IF(INDEX(tblContractForDeed[Payment],ROW()-ROW(tblBuyerOutputs[#Headers]))=0,0,INDEX(tblContractForDeed[Payment],ROW()-ROW(tblBuyerOutputs[#Headers]))-INDEX(tblSubjectToLoan[Payment],ROW()-ROW(tblBuyerOutputs[#Headers])))</f>
        <v>17.399999999999977</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67">
        <f>IF(INDEX(tblContractForDeed[Payment],ROW()-ROW(tblBuyerOutputs[#Headers]))=0,0,INDEX(tblContractForDeed[Payment],ROW()-ROW(tblBuyerOutputs[#Headers]))-INDEX(tblSubjectToLoan[Payment],ROW()-ROW(tblBuyerOutputs[#Headers])))</f>
        <v>17.399999999999977</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67">
        <f>IF(INDEX(tblContractForDeed[Payment],ROW()-ROW(tblBuyerOutputs[#Headers]))=0,0,INDEX(tblContractForDeed[Payment],ROW()-ROW(tblBuyerOutputs[#Headers]))-INDEX(tblSubjectToLoan[Payment],ROW()-ROW(tblBuyerOutputs[#Headers])))</f>
        <v>17.399999999999977</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67">
        <f>IF(INDEX(tblContractForDeed[Payment],ROW()-ROW(tblBuyerOutputs[#Headers]))=0,0,INDEX(tblContractForDeed[Payment],ROW()-ROW(tblBuyerOutputs[#Headers]))-INDEX(tblSubjectToLoan[Payment],ROW()-ROW(tblBuyerOutputs[#Headers])))</f>
        <v>17.399999999999977</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67">
        <f>IF(INDEX(tblContractForDeed[Payment],ROW()-ROW(tblBuyerOutputs[#Headers]))=0,0,INDEX(tblContractForDeed[Payment],ROW()-ROW(tblBuyerOutputs[#Headers]))-INDEX(tblSubjectToLoan[Payment],ROW()-ROW(tblBuyerOutputs[#Headers])))</f>
        <v>17.399999999999977</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68">
        <f>IF(INDEX(tblContractForDeed[Payment],ROW()-ROW(tblBuyerOutputs[#Headers]))=0,0,INDEX(tblContractForDeed[Payment],ROW()-ROW(tblBuyerOutputs[#Headers]))-INDEX(tblSubjectToLoan[Payment],ROW()-ROW(tblBuyerOutputs[#Headers])))</f>
        <v>17.399999999999977</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Appr],ROW()-ROW(tblBuyerOutputs[#Headers])-1)))*$O$2/12)</f>
        <v>381.2537038527098</v>
      </c>
      <c r="AE67" s="332">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67">
        <f>IF(INDEX(tblContractForDeed[Payment],ROW()-ROW(tblBuyerOutputs[#Headers]))=0,0,INDEX(tblContractForDeed[Payment],ROW()-ROW(tblBuyerOutputs[#Headers]))-INDEX(tblSubjectToLoan[Payment],ROW()-ROW(tblBuyerOutputs[#Headers])))</f>
        <v>17.399999999999977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67">
        <f>IF(INDEX(tblContractForDeed[Payment],ROW()-ROW(tblBuyerOutputs[#Headers]))=0,0,INDEX(tblContractForDeed[Payment],ROW()-ROW(tblBuyerOutputs[#Headers]))-INDEX(tblSubjectToLoan[Payment],ROW()-ROW(tblBuyerOutputs[#Headers])))</f>
        <v>17.399999999999977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67">
        <f>IF(INDEX(tblContractForDeed[Payment],ROW()-ROW(tblBuyerOutputs[#Headers]))=0,0,INDEX(tblContractForDeed[Payment],ROW()-ROW(tblBuyerOutputs[#Headers]))-INDEX(tblSubjectToLoan[Payment],ROW()-ROW(tblBuyerOutputs[#Headers])))</f>
        <v>17.399999999999977</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67">
        <f>IF(INDEX(tblContractForDeed[Payment],ROW()-ROW(tblBuyerOutputs[#Headers]))=0,0,INDEX(tblContractForDeed[Payment],ROW()-ROW(tblBuyerOutputs[#Headers]))-INDEX(tblSubjectToLoan[Payment],ROW()-ROW(tblBuyerOutputs[#Headers])))</f>
        <v>17.399999999999977</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67">
        <f>IF(INDEX(tblContractForDeed[Payment],ROW()-ROW(tblBuyerOutputs[#Headers]))=0,0,INDEX(tblContractForDeed[Payment],ROW()-ROW(tblBuyerOutputs[#Headers]))-INDEX(tblSubjectToLoan[Payment],ROW()-ROW(tblBuyerOutputs[#Headers])))</f>
        <v>17.399999999999977</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67">
        <f>IF(INDEX(tblContractForDeed[Payment],ROW()-ROW(tblBuyerOutputs[#Headers]))=0,0,INDEX(tblContractForDeed[Payment],ROW()-ROW(tblBuyerOutputs[#Headers]))-INDEX(tblSubjectToLoan[Payment],ROW()-ROW(tblBuyerOutputs[#Headers])))</f>
        <v>17.399999999999977</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67">
        <f>IF(INDEX(tblContractForDeed[Payment],ROW()-ROW(tblBuyerOutputs[#Headers]))=0,0,INDEX(tblContractForDeed[Payment],ROW()-ROW(tblBuyerOutputs[#Headers]))-INDEX(tblSubjectToLoan[Payment],ROW()-ROW(tblBuyerOutputs[#Headers])))</f>
        <v>17.399999999999977</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67">
        <f>IF(INDEX(tblContractForDeed[Payment],ROW()-ROW(tblBuyerOutputs[#Headers]))=0,0,INDEX(tblContractForDeed[Payment],ROW()-ROW(tblBuyerOutputs[#Headers]))-INDEX(tblSubjectToLoan[Payment],ROW()-ROW(tblBuyerOutputs[#Headers])))</f>
        <v>17.399999999999977</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67">
        <f>IF(INDEX(tblContractForDeed[Payment],ROW()-ROW(tblBuyerOutputs[#Headers]))=0,0,INDEX(tblContractForDeed[Payment],ROW()-ROW(tblBuyerOutputs[#Headers]))-INDEX(tblSubjectToLoan[Payment],ROW()-ROW(tblBuyerOutputs[#Headers])))</f>
        <v>17.399999999999977</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67">
        <f>IF(INDEX(tblContractForDeed[Payment],ROW()-ROW(tblBuyerOutputs[#Headers]))=0,0,INDEX(tblContractForDeed[Payment],ROW()-ROW(tblBuyerOutputs[#Headers]))-INDEX(tblSubjectToLoan[Payment],ROW()-ROW(tblBuyerOutputs[#Headers])))</f>
        <v>17.399999999999977</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67">
        <f>IF(INDEX(tblContractForDeed[Payment],ROW()-ROW(tblBuyerOutputs[#Headers]))=0,0,INDEX(tblContractForDeed[Payment],ROW()-ROW(tblBuyerOutputs[#Headers]))-INDEX(tblSubjectToLoan[Payment],ROW()-ROW(tblBuyerOutputs[#Headers])))</f>
        <v>17.399999999999977</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68">
        <f>IF(INDEX(tblContractForDeed[Payment],ROW()-ROW(tblBuyerOutputs[#Headers]))=0,0,INDEX(tblContractForDeed[Payment],ROW()-ROW(tblBuyerOutputs[#Headers]))-INDEX(tblSubjectToLoan[Payment],ROW()-ROW(tblBuyerOutputs[#Headers])))</f>
        <v>17.399999999999977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Appr],ROW()-ROW(tblBuyerOutputs[#Headers])-1)))*$O$2/12)</f>
        <v>400.75936691625469</v>
      </c>
      <c r="AE79" s="332">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67">
        <f>IF(INDEX(tblContractForDeed[Payment],ROW()-ROW(tblBuyerOutputs[#Headers]))=0,0,INDEX(tblContractForDeed[Payment],ROW()-ROW(tblBuyerOutputs[#Headers]))-INDEX(tblSubjectToLoan[Payment],ROW()-ROW(tblBuyerOutputs[#Headers])))</f>
        <v>17.399999999999977</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67">
        <f>IF(INDEX(tblContractForDeed[Payment],ROW()-ROW(tblBuyerOutputs[#Headers]))=0,0,INDEX(tblContractForDeed[Payment],ROW()-ROW(tblBuyerOutputs[#Headers]))-INDEX(tblSubjectToLoan[Payment],ROW()-ROW(tblBuyerOutputs[#Headers])))</f>
        <v>17.399999999999977</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67">
        <f>IF(INDEX(tblContractForDeed[Payment],ROW()-ROW(tblBuyerOutputs[#Headers]))=0,0,INDEX(tblContractForDeed[Payment],ROW()-ROW(tblBuyerOutputs[#Headers]))-INDEX(tblSubjectToLoan[Payment],ROW()-ROW(tblBuyerOutputs[#Headers])))</f>
        <v>17.399999999999977</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67">
        <f>IF(INDEX(tblContractForDeed[Payment],ROW()-ROW(tblBuyerOutputs[#Headers]))=0,0,INDEX(tblContractForDeed[Payment],ROW()-ROW(tblBuyerOutputs[#Headers]))-INDEX(tblSubjectToLoan[Payment],ROW()-ROW(tblBuyerOutputs[#Headers])))</f>
        <v>17.399999999999977</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13">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67">
        <f>IF(INDEX(tblContractForDeed[Payment],ROW()-ROW(tblBuyerOutputs[#Headers]))=0,0,INDEX(tblContractForDeed[Payment],ROW()-ROW(tblBuyerOutputs[#Headers]))-INDEX(tblSubjectToLoan[Payment],ROW()-ROW(tblBuyerOutputs[#Headers])))</f>
        <v>17.399999999999977</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67">
        <f>IF(INDEX(tblContractForDeed[Payment],ROW()-ROW(tblBuyerOutputs[#Headers]))=0,0,INDEX(tblContractForDeed[Payment],ROW()-ROW(tblBuyerOutputs[#Headers]))-INDEX(tblSubjectToLoan[Payment],ROW()-ROW(tblBuyerOutputs[#Headers])))</f>
        <v>17.399999999999977</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67">
        <f>IF(INDEX(tblContractForDeed[Payment],ROW()-ROW(tblBuyerOutputs[#Headers]))=0,0,INDEX(tblContractForDeed[Payment],ROW()-ROW(tblBuyerOutputs[#Headers]))-INDEX(tblSubjectToLoan[Payment],ROW()-ROW(tblBuyerOutputs[#Headers])))</f>
        <v>17.399999999999977</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67">
        <f>IF(INDEX(tblContractForDeed[Payment],ROW()-ROW(tblBuyerOutputs[#Headers]))=0,0,INDEX(tblContractForDeed[Payment],ROW()-ROW(tblBuyerOutputs[#Headers]))-INDEX(tblSubjectToLoan[Payment],ROW()-ROW(tblBuyerOutputs[#Headers])))</f>
        <v>17.399999999999977</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67">
        <f>IF(INDEX(tblContractForDeed[Payment],ROW()-ROW(tblBuyerOutputs[#Headers]))=0,0,INDEX(tblContractForDeed[Payment],ROW()-ROW(tblBuyerOutputs[#Headers]))-INDEX(tblSubjectToLoan[Payment],ROW()-ROW(tblBuyerOutputs[#Headers])))</f>
        <v>17.399999999999977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67">
        <f>IF(INDEX(tblContractForDeed[Payment],ROW()-ROW(tblBuyerOutputs[#Headers]))=0,0,INDEX(tblContractForDeed[Payment],ROW()-ROW(tblBuyerOutputs[#Headers]))-INDEX(tblSubjectToLoan[Payment],ROW()-ROW(tblBuyerOutputs[#Headers])))</f>
        <v>17.399999999999977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67">
        <f>IF(INDEX(tblContractForDeed[Payment],ROW()-ROW(tblBuyerOutputs[#Headers]))=0,0,INDEX(tblContractForDeed[Payment],ROW()-ROW(tblBuyerOutputs[#Headers]))-INDEX(tblSubjectToLoan[Payment],ROW()-ROW(tblBuyerOutputs[#Headers])))</f>
        <v>17.399999999999977</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68">
        <f>IF(INDEX(tblContractForDeed[Payment],ROW()-ROW(tblBuyerOutputs[#Headers]))=0,0,INDEX(tblContractForDeed[Payment],ROW()-ROW(tblBuyerOutputs[#Headers]))-INDEX(tblSubjectToLoan[Payment],ROW()-ROW(tblBuyerOutputs[#Headers])))</f>
        <v>17.399999999999977</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Appr],ROW()-ROW(tblBuyerOutputs[#Headers])-1)))*$O$2/12)</f>
        <v>421.26297672157216</v>
      </c>
      <c r="AE91" s="332">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67">
        <f>IF(INDEX(tblContractForDeed[Payment],ROW()-ROW(tblBuyerOutputs[#Headers]))=0,0,INDEX(tblContractForDeed[Payment],ROW()-ROW(tblBuyerOutputs[#Headers]))-INDEX(tblSubjectToLoan[Payment],ROW()-ROW(tblBuyerOutputs[#Headers])))</f>
        <v>32.019999999999982</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67">
        <f>IF(INDEX(tblContractForDeed[Payment],ROW()-ROW(tblBuyerOutputs[#Headers]))=0,0,INDEX(tblContractForDeed[Payment],ROW()-ROW(tblBuyerOutputs[#Headers]))-INDEX(tblSubjectToLoan[Payment],ROW()-ROW(tblBuyerOutputs[#Headers])))</f>
        <v>32.019999999999982</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67">
        <f>IF(INDEX(tblContractForDeed[Payment],ROW()-ROW(tblBuyerOutputs[#Headers]))=0,0,INDEX(tblContractForDeed[Payment],ROW()-ROW(tblBuyerOutputs[#Headers]))-INDEX(tblSubjectToLoan[Payment],ROW()-ROW(tblBuyerOutputs[#Headers])))</f>
        <v>32.019999999999982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67">
        <f>IF(INDEX(tblContractForDeed[Payment],ROW()-ROW(tblBuyerOutputs[#Headers]))=0,0,INDEX(tblContractForDeed[Payment],ROW()-ROW(tblBuyerOutputs[#Headers]))-INDEX(tblSubjectToLoan[Payment],ROW()-ROW(tblBuyerOutputs[#Headers])))</f>
        <v>32.019999999999982</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67">
        <f>IF(INDEX(tblContractForDeed[Payment],ROW()-ROW(tblBuyerOutputs[#Headers]))=0,0,INDEX(tblContractForDeed[Payment],ROW()-ROW(tblBuyerOutputs[#Headers]))-INDEX(tblSubjectToLoan[Payment],ROW()-ROW(tblBuyerOutputs[#Headers])))</f>
        <v>32.019999999999982</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67">
        <f>IF(INDEX(tblContractForDeed[Payment],ROW()-ROW(tblBuyerOutputs[#Headers]))=0,0,INDEX(tblContractForDeed[Payment],ROW()-ROW(tblBuyerOutputs[#Headers]))-INDEX(tblSubjectToLoan[Payment],ROW()-ROW(tblBuyerOutputs[#Headers])))</f>
        <v>32.019999999999982</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67">
        <f>IF(INDEX(tblContractForDeed[Payment],ROW()-ROW(tblBuyerOutputs[#Headers]))=0,0,INDEX(tblContractForDeed[Payment],ROW()-ROW(tblBuyerOutputs[#Headers]))-INDEX(tblSubjectToLoan[Payment],ROW()-ROW(tblBuyerOutputs[#Headers])))</f>
        <v>32.019999999999982</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67">
        <f>IF(INDEX(tblContractForDeed[Payment],ROW()-ROW(tblBuyerOutputs[#Headers]))=0,0,INDEX(tblContractForDeed[Payment],ROW()-ROW(tblBuyerOutputs[#Headers]))-INDEX(tblSubjectToLoan[Payment],ROW()-ROW(tblBuyerOutputs[#Headers])))</f>
        <v>32.019999999999982</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67">
        <f>IF(INDEX(tblContractForDeed[Payment],ROW()-ROW(tblBuyerOutputs[#Headers]))=0,0,INDEX(tblContractForDeed[Payment],ROW()-ROW(tblBuyerOutputs[#Headers]))-INDEX(tblSubjectToLoan[Payment],ROW()-ROW(tblBuyerOutputs[#Headers])))</f>
        <v>32.019999999999982</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67">
        <f>IF(INDEX(tblContractForDeed[Payment],ROW()-ROW(tblBuyerOutputs[#Headers]))=0,0,INDEX(tblContractForDeed[Payment],ROW()-ROW(tblBuyerOutputs[#Headers]))-INDEX(tblSubjectToLoan[Payment],ROW()-ROW(tblBuyerOutputs[#Headers])))</f>
        <v>32.019999999999982</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67">
        <f>IF(INDEX(tblContractForDeed[Payment],ROW()-ROW(tblBuyerOutputs[#Headers]))=0,0,INDEX(tblContractForDeed[Payment],ROW()-ROW(tblBuyerOutputs[#Headers]))-INDEX(tblSubjectToLoan[Payment],ROW()-ROW(tblBuyerOutputs[#Headers])))</f>
        <v>32.019999999999982</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68">
        <f>IF(INDEX(tblContractForDeed[Payment],ROW()-ROW(tblBuyerOutputs[#Headers]))=0,0,INDEX(tblContractForDeed[Payment],ROW()-ROW(tblBuyerOutputs[#Headers]))-INDEX(tblSubjectToLoan[Payment],ROW()-ROW(tblBuyerOutputs[#Headers])))</f>
        <v>32.019999999999982</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Appr],ROW()-ROW(tblBuyerOutputs[#Headers])-1)))*$O$2/12)</f>
        <v>442.81559011795616</v>
      </c>
      <c r="AE103" s="332">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67">
        <f>IF(INDEX(tblContractForDeed[Payment],ROW()-ROW(tblBuyerOutputs[#Headers]))=0,0,INDEX(tblContractForDeed[Payment],ROW()-ROW(tblBuyerOutputs[#Headers]))-INDEX(tblSubjectToLoan[Payment],ROW()-ROW(tblBuyerOutputs[#Headers])))</f>
        <v>32.019999999999982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67">
        <f>IF(INDEX(tblContractForDeed[Payment],ROW()-ROW(tblBuyerOutputs[#Headers]))=0,0,INDEX(tblContractForDeed[Payment],ROW()-ROW(tblBuyerOutputs[#Headers]))-INDEX(tblSubjectToLoan[Payment],ROW()-ROW(tblBuyerOutputs[#Headers])))</f>
        <v>32.019999999999982</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67">
        <f>IF(INDEX(tblContractForDeed[Payment],ROW()-ROW(tblBuyerOutputs[#Headers]))=0,0,INDEX(tblContractForDeed[Payment],ROW()-ROW(tblBuyerOutputs[#Headers]))-INDEX(tblSubjectToLoan[Payment],ROW()-ROW(tblBuyerOutputs[#Headers])))</f>
        <v>32.019999999999982</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67">
        <f>IF(INDEX(tblContractForDeed[Payment],ROW()-ROW(tblBuyerOutputs[#Headers]))=0,0,INDEX(tblContractForDeed[Payment],ROW()-ROW(tblBuyerOutputs[#Headers]))-INDEX(tblSubjectToLoan[Payment],ROW()-ROW(tblBuyerOutputs[#Headers])))</f>
        <v>32.019999999999982</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67">
        <f>IF(INDEX(tblContractForDeed[Payment],ROW()-ROW(tblBuyerOutputs[#Headers]))=0,0,INDEX(tblContractForDeed[Payment],ROW()-ROW(tblBuyerOutputs[#Headers]))-INDEX(tblSubjectToLoan[Payment],ROW()-ROW(tblBuyerOutputs[#Headers])))</f>
        <v>32.019999999999982</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67">
        <f>IF(INDEX(tblContractForDeed[Payment],ROW()-ROW(tblBuyerOutputs[#Headers]))=0,0,INDEX(tblContractForDeed[Payment],ROW()-ROW(tblBuyerOutputs[#Headers]))-INDEX(tblSubjectToLoan[Payment],ROW()-ROW(tblBuyerOutputs[#Headers])))</f>
        <v>32.019999999999982</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67">
        <f>IF(INDEX(tblContractForDeed[Payment],ROW()-ROW(tblBuyerOutputs[#Headers]))=0,0,INDEX(tblContractForDeed[Payment],ROW()-ROW(tblBuyerOutputs[#Headers]))-INDEX(tblSubjectToLoan[Payment],ROW()-ROW(tblBuyerOutputs[#Headers])))</f>
        <v>32.019999999999982</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67">
        <f>IF(INDEX(tblContractForDeed[Payment],ROW()-ROW(tblBuyerOutputs[#Headers]))=0,0,INDEX(tblContractForDeed[Payment],ROW()-ROW(tblBuyerOutputs[#Headers]))-INDEX(tblSubjectToLoan[Payment],ROW()-ROW(tblBuyerOutputs[#Headers])))</f>
        <v>32.019999999999982</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67">
        <f>IF(INDEX(tblContractForDeed[Payment],ROW()-ROW(tblBuyerOutputs[#Headers]))=0,0,INDEX(tblContractForDeed[Payment],ROW()-ROW(tblBuyerOutputs[#Headers]))-INDEX(tblSubjectToLoan[Payment],ROW()-ROW(tblBuyerOutputs[#Headers])))</f>
        <v>32.019999999999982</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67">
        <f>IF(INDEX(tblContractForDeed[Payment],ROW()-ROW(tblBuyerOutputs[#Headers]))=0,0,INDEX(tblContractForDeed[Payment],ROW()-ROW(tblBuyerOutputs[#Headers]))-INDEX(tblSubjectToLoan[Payment],ROW()-ROW(tblBuyerOutputs[#Headers])))</f>
        <v>32.019999999999982</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67">
        <f>IF(INDEX(tblContractForDeed[Payment],ROW()-ROW(tblBuyerOutputs[#Headers]))=0,0,INDEX(tblContractForDeed[Payment],ROW()-ROW(tblBuyerOutputs[#Headers]))-INDEX(tblSubjectToLoan[Payment],ROW()-ROW(tblBuyerOutputs[#Headers])))</f>
        <v>32.019999999999982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68">
        <f>IF(INDEX(tblContractForDeed[Payment],ROW()-ROW(tblBuyerOutputs[#Headers]))=0,0,INDEX(tblContractForDeed[Payment],ROW()-ROW(tblBuyerOutputs[#Headers]))-INDEX(tblSubjectToLoan[Payment],ROW()-ROW(tblBuyerOutputs[#Headers])))</f>
        <v>32.019999999999982</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Appr],ROW()-ROW(tblBuyerOutputs[#Headers])-1)))*$O$2/12)</f>
        <v>465.47087612001042</v>
      </c>
      <c r="AE115" s="332">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67">
        <f>IF(INDEX(tblContractForDeed[Payment],ROW()-ROW(tblBuyerOutputs[#Headers]))=0,0,INDEX(tblContractForDeed[Payment],ROW()-ROW(tblBuyerOutputs[#Headers]))-INDEX(tblSubjectToLoan[Payment],ROW()-ROW(tblBuyerOutputs[#Headers])))</f>
        <v>32.019999999999982</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67">
        <f>IF(INDEX(tblContractForDeed[Payment],ROW()-ROW(tblBuyerOutputs[#Headers]))=0,0,INDEX(tblContractForDeed[Payment],ROW()-ROW(tblBuyerOutputs[#Headers]))-INDEX(tblSubjectToLoan[Payment],ROW()-ROW(tblBuyerOutputs[#Headers])))</f>
        <v>32.019999999999982</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67">
        <f>IF(INDEX(tblContractForDeed[Payment],ROW()-ROW(tblBuyerOutputs[#Headers]))=0,0,INDEX(tblContractForDeed[Payment],ROW()-ROW(tblBuyerOutputs[#Headers]))-INDEX(tblSubjectToLoan[Payment],ROW()-ROW(tblBuyerOutputs[#Headers])))</f>
        <v>32.019999999999982</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67">
        <f>IF(INDEX(tblContractForDeed[Payment],ROW()-ROW(tblBuyerOutputs[#Headers]))=0,0,INDEX(tblContractForDeed[Payment],ROW()-ROW(tblBuyerOutputs[#Headers]))-INDEX(tblSubjectToLoan[Payment],ROW()-ROW(tblBuyerOutputs[#Headers])))</f>
        <v>32.019999999999982</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67">
        <f>IF(INDEX(tblContractForDeed[Payment],ROW()-ROW(tblBuyerOutputs[#Headers]))=0,0,INDEX(tblContractForDeed[Payment],ROW()-ROW(tblBuyerOutputs[#Headers]))-INDEX(tblSubjectToLoan[Payment],ROW()-ROW(tblBuyerOutputs[#Headers])))</f>
        <v>32.019999999999982</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67">
        <f>IF(INDEX(tblContractForDeed[Payment],ROW()-ROW(tblBuyerOutputs[#Headers]))=0,0,INDEX(tblContractForDeed[Payment],ROW()-ROW(tblBuyerOutputs[#Headers]))-INDEX(tblSubjectToLoan[Payment],ROW()-ROW(tblBuyerOutputs[#Headers])))</f>
        <v>32.019999999999982</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67">
        <f>IF(INDEX(tblContractForDeed[Payment],ROW()-ROW(tblBuyerOutputs[#Headers]))=0,0,INDEX(tblContractForDeed[Payment],ROW()-ROW(tblBuyerOutputs[#Headers]))-INDEX(tblSubjectToLoan[Payment],ROW()-ROW(tblBuyerOutputs[#Headers])))</f>
        <v>32.019999999999982</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67">
        <f>IF(INDEX(tblContractForDeed[Payment],ROW()-ROW(tblBuyerOutputs[#Headers]))=0,0,INDEX(tblContractForDeed[Payment],ROW()-ROW(tblBuyerOutputs[#Headers]))-INDEX(tblSubjectToLoan[Payment],ROW()-ROW(tblBuyerOutputs[#Headers])))</f>
        <v>32.019999999999982</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67">
        <f>IF(INDEX(tblContractForDeed[Payment],ROW()-ROW(tblBuyerOutputs[#Headers]))=0,0,INDEX(tblContractForDeed[Payment],ROW()-ROW(tblBuyerOutputs[#Headers]))-INDEX(tblSubjectToLoan[Payment],ROW()-ROW(tblBuyerOutputs[#Headers])))</f>
        <v>32.019999999999982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67">
        <f>IF(INDEX(tblContractForDeed[Payment],ROW()-ROW(tblBuyerOutputs[#Headers]))=0,0,INDEX(tblContractForDeed[Payment],ROW()-ROW(tblBuyerOutputs[#Headers]))-INDEX(tblSubjectToLoan[Payment],ROW()-ROW(tblBuyerOutputs[#Headers])))</f>
        <v>32.019999999999982</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67">
        <f>IF(INDEX(tblContractForDeed[Payment],ROW()-ROW(tblBuyerOutputs[#Headers]))=0,0,INDEX(tblContractForDeed[Payment],ROW()-ROW(tblBuyerOutputs[#Headers]))-INDEX(tblSubjectToLoan[Payment],ROW()-ROW(tblBuyerOutputs[#Headers])))</f>
        <v>32.019999999999982</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68">
        <f>IF(INDEX(tblContractForDeed[Payment],ROW()-ROW(tblBuyerOutputs[#Headers]))=0,0,INDEX(tblContractForDeed[Payment],ROW()-ROW(tblBuyerOutputs[#Headers]))-INDEX(tblSubjectToLoan[Payment],ROW()-ROW(tblBuyerOutputs[#Headers])))</f>
        <v>32.019999999999982</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Appr],ROW()-ROW(tblBuyerOutputs[#Headers])-1)))*$O$2/12)</f>
        <v>489.28524955098328</v>
      </c>
      <c r="AE127" s="332">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67">
        <f>IF(INDEX(tblContractForDeed[Payment],ROW()-ROW(tblBuyerOutputs[#Headers]))=0,0,INDEX(tblContractForDeed[Payment],ROW()-ROW(tblBuyerOutputs[#Headers]))-INDEX(tblSubjectToLoan[Payment],ROW()-ROW(tblBuyerOutputs[#Headers])))</f>
        <v>32.019999999999982</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67">
        <f>IF(INDEX(tblContractForDeed[Payment],ROW()-ROW(tblBuyerOutputs[#Headers]))=0,0,INDEX(tblContractForDeed[Payment],ROW()-ROW(tblBuyerOutputs[#Headers]))-INDEX(tblSubjectToLoan[Payment],ROW()-ROW(tblBuyerOutputs[#Headers])))</f>
        <v>32.019999999999982</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67">
        <f>IF(INDEX(tblContractForDeed[Payment],ROW()-ROW(tblBuyerOutputs[#Headers]))=0,0,INDEX(tblContractForDeed[Payment],ROW()-ROW(tblBuyerOutputs[#Headers]))-INDEX(tblSubjectToLoan[Payment],ROW()-ROW(tblBuyerOutputs[#Headers])))</f>
        <v>32.019999999999982</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67">
        <f>IF(INDEX(tblContractForDeed[Payment],ROW()-ROW(tblBuyerOutputs[#Headers]))=0,0,INDEX(tblContractForDeed[Payment],ROW()-ROW(tblBuyerOutputs[#Headers]))-INDEX(tblSubjectToLoan[Payment],ROW()-ROW(tblBuyerOutputs[#Headers])))</f>
        <v>32.019999999999982</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67">
        <f>IF(INDEX(tblContractForDeed[Payment],ROW()-ROW(tblBuyerOutputs[#Headers]))=0,0,INDEX(tblContractForDeed[Payment],ROW()-ROW(tblBuyerOutputs[#Headers]))-INDEX(tblSubjectToLoan[Payment],ROW()-ROW(tblBuyerOutputs[#Headers])))</f>
        <v>32.019999999999982</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67">
        <f>IF(INDEX(tblContractForDeed[Payment],ROW()-ROW(tblBuyerOutputs[#Headers]))=0,0,INDEX(tblContractForDeed[Payment],ROW()-ROW(tblBuyerOutputs[#Headers]))-INDEX(tblSubjectToLoan[Payment],ROW()-ROW(tblBuyerOutputs[#Headers])))</f>
        <v>32.019999999999982</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67">
        <f>IF(INDEX(tblContractForDeed[Payment],ROW()-ROW(tblBuyerOutputs[#Headers]))=0,0,INDEX(tblContractForDeed[Payment],ROW()-ROW(tblBuyerOutputs[#Headers]))-INDEX(tblSubjectToLoan[Payment],ROW()-ROW(tblBuyerOutputs[#Headers])))</f>
        <v>32.019999999999982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67">
        <f>IF(INDEX(tblContractForDeed[Payment],ROW()-ROW(tblBuyerOutputs[#Headers]))=0,0,INDEX(tblContractForDeed[Payment],ROW()-ROW(tblBuyerOutputs[#Headers]))-INDEX(tblSubjectToLoan[Payment],ROW()-ROW(tblBuyerOutputs[#Headers])))</f>
        <v>32.019999999999982</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67">
        <f>IF(INDEX(tblContractForDeed[Payment],ROW()-ROW(tblBuyerOutputs[#Headers]))=0,0,INDEX(tblContractForDeed[Payment],ROW()-ROW(tblBuyerOutputs[#Headers]))-INDEX(tblSubjectToLoan[Payment],ROW()-ROW(tblBuyerOutputs[#Headers])))</f>
        <v>32.019999999999982</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67">
        <f>IF(INDEX(tblContractForDeed[Payment],ROW()-ROW(tblBuyerOutputs[#Headers]))=0,0,INDEX(tblContractForDeed[Payment],ROW()-ROW(tblBuyerOutputs[#Headers]))-INDEX(tblSubjectToLoan[Payment],ROW()-ROW(tblBuyerOutputs[#Headers])))</f>
        <v>32.019999999999982</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67">
        <f>IF(INDEX(tblContractForDeed[Payment],ROW()-ROW(tblBuyerOutputs[#Headers]))=0,0,INDEX(tblContractForDeed[Payment],ROW()-ROW(tblBuyerOutputs[#Headers]))-INDEX(tblSubjectToLoan[Payment],ROW()-ROW(tblBuyerOutputs[#Headers])))</f>
        <v>32.019999999999982</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68">
        <f>IF(INDEX(tblContractForDeed[Payment],ROW()-ROW(tblBuyerOutputs[#Headers]))=0,0,INDEX(tblContractForDeed[Payment],ROW()-ROW(tblBuyerOutputs[#Headers]))-INDEX(tblSubjectToLoan[Payment],ROW()-ROW(tblBuyerOutputs[#Headers])))</f>
        <v>32.019999999999982</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Appr],ROW()-ROW(tblBuyerOutputs[#Headers])-1)))*$O$2/12)</f>
        <v>514.3180115235491</v>
      </c>
      <c r="AE139" s="332">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67">
        <f>IF(INDEX(tblContractForDeed[Payment],ROW()-ROW(tblBuyerOutputs[#Headers]))=0,0,INDEX(tblContractForDeed[Payment],ROW()-ROW(tblBuyerOutputs[#Headers]))-INDEX(tblSubjectToLoan[Payment],ROW()-ROW(tblBuyerOutputs[#Headers])))</f>
        <v>32.019999999999982</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67">
        <f>IF(INDEX(tblContractForDeed[Payment],ROW()-ROW(tblBuyerOutputs[#Headers]))=0,0,INDEX(tblContractForDeed[Payment],ROW()-ROW(tblBuyerOutputs[#Headers]))-INDEX(tblSubjectToLoan[Payment],ROW()-ROW(tblBuyerOutputs[#Headers])))</f>
        <v>32.019999999999982</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67">
        <f>IF(INDEX(tblContractForDeed[Payment],ROW()-ROW(tblBuyerOutputs[#Headers]))=0,0,INDEX(tblContractForDeed[Payment],ROW()-ROW(tblBuyerOutputs[#Headers]))-INDEX(tblSubjectToLoan[Payment],ROW()-ROW(tblBuyerOutputs[#Headers])))</f>
        <v>32.019999999999982</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67">
        <f>IF(INDEX(tblContractForDeed[Payment],ROW()-ROW(tblBuyerOutputs[#Headers]))=0,0,INDEX(tblContractForDeed[Payment],ROW()-ROW(tblBuyerOutputs[#Headers]))-INDEX(tblSubjectToLoan[Payment],ROW()-ROW(tblBuyerOutputs[#Headers])))</f>
        <v>32.019999999999982</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67">
        <f>IF(INDEX(tblContractForDeed[Payment],ROW()-ROW(tblBuyerOutputs[#Headers]))=0,0,INDEX(tblContractForDeed[Payment],ROW()-ROW(tblBuyerOutputs[#Headers]))-INDEX(tblSubjectToLoan[Payment],ROW()-ROW(tblBuyerOutputs[#Headers])))</f>
        <v>32.019999999999982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67">
        <f>IF(INDEX(tblContractForDeed[Payment],ROW()-ROW(tblBuyerOutputs[#Headers]))=0,0,INDEX(tblContractForDeed[Payment],ROW()-ROW(tblBuyerOutputs[#Headers]))-INDEX(tblSubjectToLoan[Payment],ROW()-ROW(tblBuyerOutputs[#Headers])))</f>
        <v>32.019999999999982</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67">
        <f>IF(INDEX(tblContractForDeed[Payment],ROW()-ROW(tblBuyerOutputs[#Headers]))=0,0,INDEX(tblContractForDeed[Payment],ROW()-ROW(tblBuyerOutputs[#Headers]))-INDEX(tblSubjectToLoan[Payment],ROW()-ROW(tblBuyerOutputs[#Headers])))</f>
        <v>32.019999999999982</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67">
        <f>IF(INDEX(tblContractForDeed[Payment],ROW()-ROW(tblBuyerOutputs[#Headers]))=0,0,INDEX(tblContractForDeed[Payment],ROW()-ROW(tblBuyerOutputs[#Headers]))-INDEX(tblSubjectToLoan[Payment],ROW()-ROW(tblBuyerOutputs[#Headers])))</f>
        <v>32.019999999999982</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13">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67">
        <f>IF(INDEX(tblContractForDeed[Payment],ROW()-ROW(tblBuyerOutputs[#Headers]))=0,0,INDEX(tblContractForDeed[Payment],ROW()-ROW(tblBuyerOutputs[#Headers]))-INDEX(tblSubjectToLoan[Payment],ROW()-ROW(tblBuyerOutputs[#Headers])))</f>
        <v>32.019999999999982</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67">
        <f>IF(INDEX(tblContractForDeed[Payment],ROW()-ROW(tblBuyerOutputs[#Headers]))=0,0,INDEX(tblContractForDeed[Payment],ROW()-ROW(tblBuyerOutputs[#Headers]))-INDEX(tblSubjectToLoan[Payment],ROW()-ROW(tblBuyerOutputs[#Headers])))</f>
        <v>32.019999999999982</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67">
        <f>IF(INDEX(tblContractForDeed[Payment],ROW()-ROW(tblBuyerOutputs[#Headers]))=0,0,INDEX(tblContractForDeed[Payment],ROW()-ROW(tblBuyerOutputs[#Headers]))-INDEX(tblSubjectToLoan[Payment],ROW()-ROW(tblBuyerOutputs[#Headers])))</f>
        <v>32.019999999999982</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68">
        <f>IF(INDEX(tblContractForDeed[Payment],ROW()-ROW(tblBuyerOutputs[#Headers]))=0,0,INDEX(tblContractForDeed[Payment],ROW()-ROW(tblBuyerOutputs[#Headers]))-INDEX(tblSubjectToLoan[Payment],ROW()-ROW(tblBuyerOutputs[#Headers])))</f>
        <v>32.019999999999982</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Appr],ROW()-ROW(tblBuyerOutputs[#Headers])-1)))*$O$2/12)</f>
        <v>540.63149710785308</v>
      </c>
      <c r="AE151" s="332">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67">
        <f>IF(INDEX(tblContractForDeed[Payment],ROW()-ROW(tblBuyerOutputs[#Headers]))=0,0,INDEX(tblContractForDeed[Payment],ROW()-ROW(tblBuyerOutputs[#Headers]))-INDEX(tblSubjectToLoan[Payment],ROW()-ROW(tblBuyerOutputs[#Headers])))</f>
        <v>32.019999999999982</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67">
        <f>IF(INDEX(tblContractForDeed[Payment],ROW()-ROW(tblBuyerOutputs[#Headers]))=0,0,INDEX(tblContractForDeed[Payment],ROW()-ROW(tblBuyerOutputs[#Headers]))-INDEX(tblSubjectToLoan[Payment],ROW()-ROW(tblBuyerOutputs[#Headers])))</f>
        <v>32.019999999999982</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67">
        <f>IF(INDEX(tblContractForDeed[Payment],ROW()-ROW(tblBuyerOutputs[#Headers]))=0,0,INDEX(tblContractForDeed[Payment],ROW()-ROW(tblBuyerOutputs[#Headers]))-INDEX(tblSubjectToLoan[Payment],ROW()-ROW(tblBuyerOutputs[#Headers])))</f>
        <v>32.019999999999982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67">
        <f>IF(INDEX(tblContractForDeed[Payment],ROW()-ROW(tblBuyerOutputs[#Headers]))=0,0,INDEX(tblContractForDeed[Payment],ROW()-ROW(tblBuyerOutputs[#Headers]))-INDEX(tblSubjectToLoan[Payment],ROW()-ROW(tblBuyerOutputs[#Headers])))</f>
        <v>32.019999999999982</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67">
        <f>IF(INDEX(tblContractForDeed[Payment],ROW()-ROW(tblBuyerOutputs[#Headers]))=0,0,INDEX(tblContractForDeed[Payment],ROW()-ROW(tblBuyerOutputs[#Headers]))-INDEX(tblSubjectToLoan[Payment],ROW()-ROW(tblBuyerOutputs[#Headers])))</f>
        <v>32.019999999999982</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67">
        <f>IF(INDEX(tblContractForDeed[Payment],ROW()-ROW(tblBuyerOutputs[#Headers]))=0,0,INDEX(tblContractForDeed[Payment],ROW()-ROW(tblBuyerOutputs[#Headers]))-INDEX(tblSubjectToLoan[Payment],ROW()-ROW(tblBuyerOutputs[#Headers])))</f>
        <v>32.019999999999982</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67">
        <f>IF(INDEX(tblContractForDeed[Payment],ROW()-ROW(tblBuyerOutputs[#Headers]))=0,0,INDEX(tblContractForDeed[Payment],ROW()-ROW(tblBuyerOutputs[#Headers]))-INDEX(tblSubjectToLoan[Payment],ROW()-ROW(tblBuyerOutputs[#Headers])))</f>
        <v>32.019999999999982</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67">
        <f>IF(INDEX(tblContractForDeed[Payment],ROW()-ROW(tblBuyerOutputs[#Headers]))=0,0,INDEX(tblContractForDeed[Payment],ROW()-ROW(tblBuyerOutputs[#Headers]))-INDEX(tblSubjectToLoan[Payment],ROW()-ROW(tblBuyerOutputs[#Headers])))</f>
        <v>32.019999999999982</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67">
        <f>IF(INDEX(tblContractForDeed[Payment],ROW()-ROW(tblBuyerOutputs[#Headers]))=0,0,INDEX(tblContractForDeed[Payment],ROW()-ROW(tblBuyerOutputs[#Headers]))-INDEX(tblSubjectToLoan[Payment],ROW()-ROW(tblBuyerOutputs[#Headers])))</f>
        <v>32.019999999999982</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67">
        <f>IF(INDEX(tblContractForDeed[Payment],ROW()-ROW(tblBuyerOutputs[#Headers]))=0,0,INDEX(tblContractForDeed[Payment],ROW()-ROW(tblBuyerOutputs[#Headers]))-INDEX(tblSubjectToLoan[Payment],ROW()-ROW(tblBuyerOutputs[#Headers])))</f>
        <v>32.019999999999982</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67">
        <f>IF(INDEX(tblContractForDeed[Payment],ROW()-ROW(tblBuyerOutputs[#Headers]))=0,0,INDEX(tblContractForDeed[Payment],ROW()-ROW(tblBuyerOutputs[#Headers]))-INDEX(tblSubjectToLoan[Payment],ROW()-ROW(tblBuyerOutputs[#Headers])))</f>
        <v>32.019999999999982</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68">
        <f>IF(INDEX(tblContractForDeed[Payment],ROW()-ROW(tblBuyerOutputs[#Headers]))=0,0,INDEX(tblContractForDeed[Payment],ROW()-ROW(tblBuyerOutputs[#Headers]))-INDEX(tblSubjectToLoan[Payment],ROW()-ROW(tblBuyerOutputs[#Headers])))</f>
        <v>32.019999999999982</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Appr],ROW()-ROW(tblBuyerOutputs[#Headers])-1)))*$O$2/12)</f>
        <v>568.29123055453351</v>
      </c>
      <c r="AE163" s="332">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67">
        <f>IF(INDEX(tblContractForDeed[Payment],ROW()-ROW(tblBuyerOutputs[#Headers]))=0,0,INDEX(tblContractForDeed[Payment],ROW()-ROW(tblBuyerOutputs[#Headers]))-INDEX(tblSubjectToLoan[Payment],ROW()-ROW(tblBuyerOutputs[#Headers])))</f>
        <v>32.019999999999982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67">
        <f>IF(INDEX(tblContractForDeed[Payment],ROW()-ROW(tblBuyerOutputs[#Headers]))=0,0,INDEX(tblContractForDeed[Payment],ROW()-ROW(tblBuyerOutputs[#Headers]))-INDEX(tblSubjectToLoan[Payment],ROW()-ROW(tblBuyerOutputs[#Headers])))</f>
        <v>32.019999999999982</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67">
        <f>IF(INDEX(tblContractForDeed[Payment],ROW()-ROW(tblBuyerOutputs[#Headers]))=0,0,INDEX(tblContractForDeed[Payment],ROW()-ROW(tblBuyerOutputs[#Headers]))-INDEX(tblSubjectToLoan[Payment],ROW()-ROW(tblBuyerOutputs[#Headers])))</f>
        <v>32.019999999999982</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67">
        <f>IF(INDEX(tblContractForDeed[Payment],ROW()-ROW(tblBuyerOutputs[#Headers]))=0,0,INDEX(tblContractForDeed[Payment],ROW()-ROW(tblBuyerOutputs[#Headers]))-INDEX(tblSubjectToLoan[Payment],ROW()-ROW(tblBuyerOutputs[#Headers])))</f>
        <v>32.019999999999982</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67">
        <f>IF(INDEX(tblContractForDeed[Payment],ROW()-ROW(tblBuyerOutputs[#Headers]))=0,0,INDEX(tblContractForDeed[Payment],ROW()-ROW(tblBuyerOutputs[#Headers]))-INDEX(tblSubjectToLoan[Payment],ROW()-ROW(tblBuyerOutputs[#Headers])))</f>
        <v>32.019999999999982</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67">
        <f>IF(INDEX(tblContractForDeed[Payment],ROW()-ROW(tblBuyerOutputs[#Headers]))=0,0,INDEX(tblContractForDeed[Payment],ROW()-ROW(tblBuyerOutputs[#Headers]))-INDEX(tblSubjectToLoan[Payment],ROW()-ROW(tblBuyerOutputs[#Headers])))</f>
        <v>32.019999999999982</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67">
        <f>IF(INDEX(tblContractForDeed[Payment],ROW()-ROW(tblBuyerOutputs[#Headers]))=0,0,INDEX(tblContractForDeed[Payment],ROW()-ROW(tblBuyerOutputs[#Headers]))-INDEX(tblSubjectToLoan[Payment],ROW()-ROW(tblBuyerOutputs[#Headers])))</f>
        <v>32.019999999999982</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67">
        <f>IF(INDEX(tblContractForDeed[Payment],ROW()-ROW(tblBuyerOutputs[#Headers]))=0,0,INDEX(tblContractForDeed[Payment],ROW()-ROW(tblBuyerOutputs[#Headers]))-INDEX(tblSubjectToLoan[Payment],ROW()-ROW(tblBuyerOutputs[#Headers])))</f>
        <v>32.019999999999982</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67">
        <f>IF(INDEX(tblContractForDeed[Payment],ROW()-ROW(tblBuyerOutputs[#Headers]))=0,0,INDEX(tblContractForDeed[Payment],ROW()-ROW(tblBuyerOutputs[#Headers]))-INDEX(tblSubjectToLoan[Payment],ROW()-ROW(tblBuyerOutputs[#Headers])))</f>
        <v>32.019999999999982</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67">
        <f>IF(INDEX(tblContractForDeed[Payment],ROW()-ROW(tblBuyerOutputs[#Headers]))=0,0,INDEX(tblContractForDeed[Payment],ROW()-ROW(tblBuyerOutputs[#Headers]))-INDEX(tblSubjectToLoan[Payment],ROW()-ROW(tblBuyerOutputs[#Headers])))</f>
        <v>32.019999999999982</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67">
        <f>IF(INDEX(tblContractForDeed[Payment],ROW()-ROW(tblBuyerOutputs[#Headers]))=0,0,INDEX(tblContractForDeed[Payment],ROW()-ROW(tblBuyerOutputs[#Headers]))-INDEX(tblSubjectToLoan[Payment],ROW()-ROW(tblBuyerOutputs[#Headers])))</f>
        <v>32.019999999999982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68">
        <f>IF(INDEX(tblContractForDeed[Payment],ROW()-ROW(tblBuyerOutputs[#Headers]))=0,0,INDEX(tblContractForDeed[Payment],ROW()-ROW(tblBuyerOutputs[#Headers]))-INDEX(tblSubjectToLoan[Payment],ROW()-ROW(tblBuyerOutputs[#Headers])))</f>
        <v>32.019999999999982</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Appr],ROW()-ROW(tblBuyerOutputs[#Headers])-1)))*$O$2/12)</f>
        <v>597.36608845924911</v>
      </c>
      <c r="AE175" s="332">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67">
        <f>IF(INDEX(tblContractForDeed[Payment],ROW()-ROW(tblBuyerOutputs[#Headers]))=0,0,INDEX(tblContractForDeed[Payment],ROW()-ROW(tblBuyerOutputs[#Headers]))-INDEX(tblSubjectToLoan[Payment],ROW()-ROW(tblBuyerOutputs[#Headers])))</f>
        <v>32.019999999999982</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67">
        <f>IF(INDEX(tblContractForDeed[Payment],ROW()-ROW(tblBuyerOutputs[#Headers]))=0,0,INDEX(tblContractForDeed[Payment],ROW()-ROW(tblBuyerOutputs[#Headers]))-INDEX(tblSubjectToLoan[Payment],ROW()-ROW(tblBuyerOutputs[#Headers])))</f>
        <v>32.019999999999982</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67">
        <f>IF(INDEX(tblContractForDeed[Payment],ROW()-ROW(tblBuyerOutputs[#Headers]))=0,0,INDEX(tblContractForDeed[Payment],ROW()-ROW(tblBuyerOutputs[#Headers]))-INDEX(tblSubjectToLoan[Payment],ROW()-ROW(tblBuyerOutputs[#Headers])))</f>
        <v>32.019999999999982</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67">
        <f>IF(INDEX(tblContractForDeed[Payment],ROW()-ROW(tblBuyerOutputs[#Headers]))=0,0,INDEX(tblContractForDeed[Payment],ROW()-ROW(tblBuyerOutputs[#Headers]))-INDEX(tblSubjectToLoan[Payment],ROW()-ROW(tblBuyerOutputs[#Headers])))</f>
        <v>32.019999999999982</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67">
        <f>IF(INDEX(tblContractForDeed[Payment],ROW()-ROW(tblBuyerOutputs[#Headers]))=0,0,INDEX(tblContractForDeed[Payment],ROW()-ROW(tblBuyerOutputs[#Headers]))-INDEX(tblSubjectToLoan[Payment],ROW()-ROW(tblBuyerOutputs[#Headers])))</f>
        <v>32.019999999999982</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67">
        <f>IF(INDEX(tblContractForDeed[Payment],ROW()-ROW(tblBuyerOutputs[#Headers]))=0,0,INDEX(tblContractForDeed[Payment],ROW()-ROW(tblBuyerOutputs[#Headers]))-INDEX(tblSubjectToLoan[Payment],ROW()-ROW(tblBuyerOutputs[#Headers])))</f>
        <v>32.019999999999982</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67">
        <f>IF(INDEX(tblContractForDeed[Payment],ROW()-ROW(tblBuyerOutputs[#Headers]))=0,0,INDEX(tblContractForDeed[Payment],ROW()-ROW(tblBuyerOutputs[#Headers]))-INDEX(tblSubjectToLoan[Payment],ROW()-ROW(tblBuyerOutputs[#Headers])))</f>
        <v>32.019999999999982</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67">
        <f>IF(INDEX(tblContractForDeed[Payment],ROW()-ROW(tblBuyerOutputs[#Headers]))=0,0,INDEX(tblContractForDeed[Payment],ROW()-ROW(tblBuyerOutputs[#Headers]))-INDEX(tblSubjectToLoan[Payment],ROW()-ROW(tblBuyerOutputs[#Headers])))</f>
        <v>32.019999999999982</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67">
        <f>IF(INDEX(tblContractForDeed[Payment],ROW()-ROW(tblBuyerOutputs[#Headers]))=0,0,INDEX(tblContractForDeed[Payment],ROW()-ROW(tblBuyerOutputs[#Headers]))-INDEX(tblSubjectToLoan[Payment],ROW()-ROW(tblBuyerOutputs[#Headers])))</f>
        <v>32.019999999999982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67">
        <f>IF(INDEX(tblContractForDeed[Payment],ROW()-ROW(tblBuyerOutputs[#Headers]))=0,0,INDEX(tblContractForDeed[Payment],ROW()-ROW(tblBuyerOutputs[#Headers]))-INDEX(tblSubjectToLoan[Payment],ROW()-ROW(tblBuyerOutputs[#Headers])))</f>
        <v>32.019999999999982</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67">
        <f>IF(INDEX(tblContractForDeed[Payment],ROW()-ROW(tblBuyerOutputs[#Headers]))=0,0,INDEX(tblContractForDeed[Payment],ROW()-ROW(tblBuyerOutputs[#Headers]))-INDEX(tblSubjectToLoan[Payment],ROW()-ROW(tblBuyerOutputs[#Headers])))</f>
        <v>32.019999999999982</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68">
        <f>IF(INDEX(tblContractForDeed[Payment],ROW()-ROW(tblBuyerOutputs[#Headers]))=0,0,INDEX(tblContractForDeed[Payment],ROW()-ROW(tblBuyerOutputs[#Headers]))-INDEX(tblSubjectToLoan[Payment],ROW()-ROW(tblBuyerOutputs[#Headers])))</f>
        <v>32.019999999999982</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Appr],ROW()-ROW(tblBuyerOutputs[#Headers])-1)))*$O$2/12)</f>
        <v>627.92847127501159</v>
      </c>
      <c r="AE187" s="332">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67">
        <f>IF(INDEX(tblContractForDeed[Payment],ROW()-ROW(tblBuyerOutputs[#Headers]))=0,0,INDEX(tblContractForDeed[Payment],ROW()-ROW(tblBuyerOutputs[#Headers]))-INDEX(tblSubjectToLoan[Payment],ROW()-ROW(tblBuyerOutputs[#Headers])))</f>
        <v>32.019999999999982</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67">
        <f>IF(INDEX(tblContractForDeed[Payment],ROW()-ROW(tblBuyerOutputs[#Headers]))=0,0,INDEX(tblContractForDeed[Payment],ROW()-ROW(tblBuyerOutputs[#Headers]))-INDEX(tblSubjectToLoan[Payment],ROW()-ROW(tblBuyerOutputs[#Headers])))</f>
        <v>32.019999999999982</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67">
        <f>IF(INDEX(tblContractForDeed[Payment],ROW()-ROW(tblBuyerOutputs[#Headers]))=0,0,INDEX(tblContractForDeed[Payment],ROW()-ROW(tblBuyerOutputs[#Headers]))-INDEX(tblSubjectToLoan[Payment],ROW()-ROW(tblBuyerOutputs[#Headers])))</f>
        <v>32.019999999999982</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67">
        <f>IF(INDEX(tblContractForDeed[Payment],ROW()-ROW(tblBuyerOutputs[#Headers]))=0,0,INDEX(tblContractForDeed[Payment],ROW()-ROW(tblBuyerOutputs[#Headers]))-INDEX(tblSubjectToLoan[Payment],ROW()-ROW(tblBuyerOutputs[#Headers])))</f>
        <v>32.019999999999982</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67">
        <f>IF(INDEX(tblContractForDeed[Payment],ROW()-ROW(tblBuyerOutputs[#Headers]))=0,0,INDEX(tblContractForDeed[Payment],ROW()-ROW(tblBuyerOutputs[#Headers]))-INDEX(tblSubjectToLoan[Payment],ROW()-ROW(tblBuyerOutputs[#Headers])))</f>
        <v>32.019999999999982</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67">
        <f>IF(INDEX(tblContractForDeed[Payment],ROW()-ROW(tblBuyerOutputs[#Headers]))=0,0,INDEX(tblContractForDeed[Payment],ROW()-ROW(tblBuyerOutputs[#Headers]))-INDEX(tblSubjectToLoan[Payment],ROW()-ROW(tblBuyerOutputs[#Headers])))</f>
        <v>32.019999999999982</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67">
        <f>IF(INDEX(tblContractForDeed[Payment],ROW()-ROW(tblBuyerOutputs[#Headers]))=0,0,INDEX(tblContractForDeed[Payment],ROW()-ROW(tblBuyerOutputs[#Headers]))-INDEX(tblSubjectToLoan[Payment],ROW()-ROW(tblBuyerOutputs[#Headers])))</f>
        <v>32.019999999999982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67">
        <f>IF(INDEX(tblContractForDeed[Payment],ROW()-ROW(tblBuyerOutputs[#Headers]))=0,0,INDEX(tblContractForDeed[Payment],ROW()-ROW(tblBuyerOutputs[#Headers]))-INDEX(tblSubjectToLoan[Payment],ROW()-ROW(tblBuyerOutputs[#Headers])))</f>
        <v>32.019999999999982</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67">
        <f>IF(INDEX(tblContractForDeed[Payment],ROW()-ROW(tblBuyerOutputs[#Headers]))=0,0,INDEX(tblContractForDeed[Payment],ROW()-ROW(tblBuyerOutputs[#Headers]))-INDEX(tblSubjectToLoan[Payment],ROW()-ROW(tblBuyerOutputs[#Headers])))</f>
        <v>32.019999999999982</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67">
        <f>IF(INDEX(tblContractForDeed[Payment],ROW()-ROW(tblBuyerOutputs[#Headers]))=0,0,INDEX(tblContractForDeed[Payment],ROW()-ROW(tblBuyerOutputs[#Headers]))-INDEX(tblSubjectToLoan[Payment],ROW()-ROW(tblBuyerOutputs[#Headers])))</f>
        <v>32.019999999999982</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67">
        <f>IF(INDEX(tblContractForDeed[Payment],ROW()-ROW(tblBuyerOutputs[#Headers]))=0,0,INDEX(tblContractForDeed[Payment],ROW()-ROW(tblBuyerOutputs[#Headers]))-INDEX(tblSubjectToLoan[Payment],ROW()-ROW(tblBuyerOutputs[#Headers])))</f>
        <v>32.019999999999982</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68">
        <f>IF(INDEX(tblContractForDeed[Payment],ROW()-ROW(tblBuyerOutputs[#Headers]))=0,0,INDEX(tblContractForDeed[Payment],ROW()-ROW(tblBuyerOutputs[#Headers]))-INDEX(tblSubjectToLoan[Payment],ROW()-ROW(tblBuyerOutputs[#Headers])))</f>
        <v>32.019999999999982</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Appr],ROW()-ROW(tblBuyerOutputs[#Headers])-1)))*$O$2/12)</f>
        <v>660.05448359941659</v>
      </c>
      <c r="AE199" s="332">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67">
        <f>IF(INDEX(tblContractForDeed[Payment],ROW()-ROW(tblBuyerOutputs[#Headers]))=0,0,INDEX(tblContractForDeed[Payment],ROW()-ROW(tblBuyerOutputs[#Headers]))-INDEX(tblSubjectToLoan[Payment],ROW()-ROW(tblBuyerOutputs[#Headers])))</f>
        <v>32.019999999999982</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67">
        <f>IF(INDEX(tblContractForDeed[Payment],ROW()-ROW(tblBuyerOutputs[#Headers]))=0,0,INDEX(tblContractForDeed[Payment],ROW()-ROW(tblBuyerOutputs[#Headers]))-INDEX(tblSubjectToLoan[Payment],ROW()-ROW(tblBuyerOutputs[#Headers])))</f>
        <v>32.019999999999982</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67">
        <f>IF(INDEX(tblContractForDeed[Payment],ROW()-ROW(tblBuyerOutputs[#Headers]))=0,0,INDEX(tblContractForDeed[Payment],ROW()-ROW(tblBuyerOutputs[#Headers]))-INDEX(tblSubjectToLoan[Payment],ROW()-ROW(tblBuyerOutputs[#Headers])))</f>
        <v>32.019999999999982</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67">
        <f>IF(INDEX(tblContractForDeed[Payment],ROW()-ROW(tblBuyerOutputs[#Headers]))=0,0,INDEX(tblContractForDeed[Payment],ROW()-ROW(tblBuyerOutputs[#Headers]))-INDEX(tblSubjectToLoan[Payment],ROW()-ROW(tblBuyerOutputs[#Headers])))</f>
        <v>32.019999999999982</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67">
        <f>IF(INDEX(tblContractForDeed[Payment],ROW()-ROW(tblBuyerOutputs[#Headers]))=0,0,INDEX(tblContractForDeed[Payment],ROW()-ROW(tblBuyerOutputs[#Headers]))-INDEX(tblSubjectToLoan[Payment],ROW()-ROW(tblBuyerOutputs[#Headers])))</f>
        <v>32.019999999999982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67">
        <f>IF(INDEX(tblContractForDeed[Payment],ROW()-ROW(tblBuyerOutputs[#Headers]))=0,0,INDEX(tblContractForDeed[Payment],ROW()-ROW(tblBuyerOutputs[#Headers]))-INDEX(tblSubjectToLoan[Payment],ROW()-ROW(tblBuyerOutputs[#Headers])))</f>
        <v>32.019999999999982</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67">
        <f>IF(INDEX(tblContractForDeed[Payment],ROW()-ROW(tblBuyerOutputs[#Headers]))=0,0,INDEX(tblContractForDeed[Payment],ROW()-ROW(tblBuyerOutputs[#Headers]))-INDEX(tblSubjectToLoan[Payment],ROW()-ROW(tblBuyerOutputs[#Headers])))</f>
        <v>32.019999999999982</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67">
        <f>IF(INDEX(tblContractForDeed[Payment],ROW()-ROW(tblBuyerOutputs[#Headers]))=0,0,INDEX(tblContractForDeed[Payment],ROW()-ROW(tblBuyerOutputs[#Headers]))-INDEX(tblSubjectToLoan[Payment],ROW()-ROW(tblBuyerOutputs[#Headers])))</f>
        <v>32.019999999999982</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67">
        <f>IF(INDEX(tblContractForDeed[Payment],ROW()-ROW(tblBuyerOutputs[#Headers]))=0,0,INDEX(tblContractForDeed[Payment],ROW()-ROW(tblBuyerOutputs[#Headers]))-INDEX(tblSubjectToLoan[Payment],ROW()-ROW(tblBuyerOutputs[#Headers])))</f>
        <v>32.019999999999982</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67">
        <f>IF(INDEX(tblContractForDeed[Payment],ROW()-ROW(tblBuyerOutputs[#Headers]))=0,0,INDEX(tblContractForDeed[Payment],ROW()-ROW(tblBuyerOutputs[#Headers]))-INDEX(tblSubjectToLoan[Payment],ROW()-ROW(tblBuyerOutputs[#Headers])))</f>
        <v>32.019999999999982</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67">
        <f>IF(INDEX(tblContractForDeed[Payment],ROW()-ROW(tblBuyerOutputs[#Headers]))=0,0,INDEX(tblContractForDeed[Payment],ROW()-ROW(tblBuyerOutputs[#Headers]))-INDEX(tblSubjectToLoan[Payment],ROW()-ROW(tblBuyerOutputs[#Headers])))</f>
        <v>32.019999999999982</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Appr],ROW()-ROW(tblBuyerOutputs[#Headers])-1)))*$O$2/12)</f>
        <v>690.94518541315529</v>
      </c>
      <c r="AE210" s="276">
        <f>IF(INDEX(tblContractForDeed[End Bal],ROW()-ROW(tblBuyerOutputs[#Headers]))&lt;=0,0,IF(ROW()=ROW(tblBuyerOutputs[#Headers])+1,0,INDEX(tblBuyerOutputs[Cumul Appr],ROW()-ROW(tblBuyerOutputs[#Headers])-1))+tblBuyerOutputs[[#This Row],[Monthly Appr]])</f>
        <v>91259.789684570409</v>
      </c>
      <c r="AF210" s="22"/>
      <c r="AG210" s="14"/>
      <c r="AL210"/>
      <c r="AM210" s="14"/>
      <c r="AO210" s="276"/>
      <c r="AQ210" s="14"/>
      <c r="AR210"/>
    </row>
    <row r="211" spans="1:44"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68">
        <f>IF(INDEX(tblContractForDeed[Payment],ROW()-ROW(tblBuyerOutputs[#Headers]))=0,0,INDEX(tblContractForDeed[Payment],ROW()-ROW(tblBuyerOutputs[#Headers]))-INDEX(tblSubjectToLoan[Payment],ROW()-ROW(tblBuyerOutputs[#Headers])))</f>
        <v>32.020000000035111</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180</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Z17:AE17"/>
    <mergeCell ref="A17:K17"/>
    <mergeCell ref="A4:B4"/>
    <mergeCell ref="A5:B5"/>
    <mergeCell ref="A6:B6"/>
    <mergeCell ref="A7:B7"/>
    <mergeCell ref="S14:T14"/>
    <mergeCell ref="A1:D1"/>
    <mergeCell ref="A2:B2"/>
    <mergeCell ref="A3:B3"/>
    <mergeCell ref="H13:I13"/>
    <mergeCell ref="Q14:R14"/>
    <mergeCell ref="K13:N13"/>
    <mergeCell ref="K14:N14"/>
    <mergeCell ref="C18:H18"/>
    <mergeCell ref="I18:J18"/>
    <mergeCell ref="Q18:V18"/>
    <mergeCell ref="W18:X18"/>
    <mergeCell ref="Z18:AA18"/>
    <mergeCell ref="L18:N18"/>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5">
        <v>0</v>
      </c>
      <c r="L2" s="636"/>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7">
        <v>0.1</v>
      </c>
      <c r="L3" s="638"/>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39">
        <f>+Profit!M63</f>
        <v>-73006.028174349995</v>
      </c>
      <c r="L4" s="640"/>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4" t="s">
        <v>1177</v>
      </c>
      <c r="Y5" s="830"/>
      <c r="Z5" s="829"/>
      <c r="AA5" s="716"/>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7" t="s">
        <v>1178</v>
      </c>
      <c r="Y6" s="648"/>
      <c r="Z6" s="649"/>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7" t="s">
        <v>1179</v>
      </c>
      <c r="Y7" s="648"/>
      <c r="Z7" s="649"/>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7" t="s">
        <v>1180</v>
      </c>
      <c r="Y8" s="648"/>
      <c r="Z8" s="649"/>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7" t="s">
        <v>1181</v>
      </c>
      <c r="Y9" s="648"/>
      <c r="Z9" s="649"/>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7" t="s">
        <v>1182</v>
      </c>
      <c r="Y10" s="648"/>
      <c r="Z10" s="649"/>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7" t="s">
        <v>1183</v>
      </c>
      <c r="Y11" s="648"/>
      <c r="Z11" s="649"/>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7" t="s">
        <v>1184</v>
      </c>
      <c r="Y12" s="648"/>
      <c r="Z12" s="649"/>
      <c r="AA12" s="609">
        <f>IFERROR(_xlfn.XLOOKUP($P$12-1,$Z:$Z,$AE:$AE),"")</f>
        <v>0</v>
      </c>
      <c r="AB12" s="460"/>
      <c r="AD12" s="14"/>
      <c r="AE12" s="30"/>
      <c r="AG12" s="22"/>
      <c r="AH12" s="22"/>
      <c r="AI12" s="22"/>
      <c r="AJ12"/>
    </row>
    <row r="13" spans="2:41" ht="15.75" thickBot="1" x14ac:dyDescent="0.3">
      <c r="X13" s="650" t="s">
        <v>1185</v>
      </c>
      <c r="Y13" s="651"/>
      <c r="Z13" s="652"/>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5" t="str">
        <f>"Official Contract for Deed Schedule: "&amp;TEXT($O$8,"0.00%")&amp;" for first "&amp;$O$12&amp;" years, then "&amp;TEXT($O$10,"0.00%")</f>
        <v>Official Contract for Deed Schedule: 6.25% for first 5 years, then 6.25%</v>
      </c>
      <c r="P16" s="819"/>
      <c r="Q16" s="819"/>
      <c r="R16" s="819"/>
      <c r="S16" s="819"/>
      <c r="T16" s="819"/>
      <c r="U16" s="819"/>
      <c r="V16" s="819"/>
      <c r="W16" s="819"/>
      <c r="X16" s="819"/>
      <c r="Y16" s="819"/>
      <c r="Z16" s="669"/>
    </row>
    <row r="17" spans="1:31" ht="15" customHeight="1" thickBot="1" x14ac:dyDescent="0.3">
      <c r="C17" s="820" t="s">
        <v>658</v>
      </c>
      <c r="D17" s="821"/>
      <c r="E17" s="822"/>
      <c r="F17" s="822"/>
      <c r="G17" s="822"/>
      <c r="H17" s="823"/>
      <c r="I17" s="824" t="s">
        <v>655</v>
      </c>
      <c r="J17" s="716"/>
      <c r="N17" s="460"/>
      <c r="O17" s="466"/>
      <c r="P17" s="454"/>
      <c r="Q17" s="825" t="s">
        <v>658</v>
      </c>
      <c r="R17" s="826"/>
      <c r="S17" s="808"/>
      <c r="T17" s="808"/>
      <c r="U17" s="808"/>
      <c r="V17" s="765"/>
      <c r="W17" s="825" t="s">
        <v>655</v>
      </c>
      <c r="X17" s="827"/>
      <c r="Y17" s="612" t="s">
        <v>1175</v>
      </c>
      <c r="Z17" s="466"/>
      <c r="AA17" s="828" t="s">
        <v>1169</v>
      </c>
      <c r="AB17" s="829"/>
      <c r="AC17" s="829"/>
      <c r="AD17" s="829"/>
      <c r="AE17" s="716"/>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720"/>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720"/>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720"/>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3" t="s">
        <v>79</v>
      </c>
      <c r="D1" s="854"/>
      <c r="E1" s="720"/>
      <c r="I1" s="84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5" t="s">
        <v>80</v>
      </c>
      <c r="K1" s="84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20"/>
      <c r="J2" s="855"/>
      <c r="K2" s="847"/>
    </row>
    <row r="3" spans="1:11" ht="16.5" customHeight="1" x14ac:dyDescent="0.25">
      <c r="A3" t="s">
        <v>81</v>
      </c>
      <c r="B3" s="229" t="s">
        <v>686</v>
      </c>
      <c r="C3" s="228" t="s">
        <v>678</v>
      </c>
      <c r="D3" s="22"/>
      <c r="I3" s="720"/>
      <c r="J3" s="222"/>
      <c r="K3" s="847"/>
    </row>
    <row r="4" spans="1:11" x14ac:dyDescent="0.25">
      <c r="A4" t="s">
        <v>82</v>
      </c>
      <c r="B4" s="227" t="s">
        <v>687</v>
      </c>
      <c r="C4" s="230" t="s">
        <v>678</v>
      </c>
      <c r="D4" s="22"/>
      <c r="I4" s="720"/>
      <c r="K4" s="847"/>
    </row>
    <row r="5" spans="1:11" ht="16.5" x14ac:dyDescent="0.3">
      <c r="A5" t="s">
        <v>83</v>
      </c>
      <c r="B5" s="217"/>
      <c r="C5" s="218"/>
      <c r="D5" s="22"/>
      <c r="I5" s="720"/>
      <c r="K5" s="847"/>
    </row>
    <row r="6" spans="1:11" ht="15" customHeight="1" thickBot="1" x14ac:dyDescent="0.3">
      <c r="A6" t="s">
        <v>84</v>
      </c>
      <c r="B6" s="219"/>
      <c r="C6" s="220"/>
      <c r="D6" s="22"/>
      <c r="I6" s="720"/>
      <c r="K6" s="847"/>
    </row>
    <row r="7" spans="1:11" x14ac:dyDescent="0.25">
      <c r="I7" s="720"/>
      <c r="K7" s="847"/>
    </row>
    <row r="8" spans="1:11" x14ac:dyDescent="0.25">
      <c r="I8" s="720"/>
      <c r="K8" s="847"/>
    </row>
    <row r="9" spans="1:11" x14ac:dyDescent="0.25">
      <c r="A9" s="15" t="s">
        <v>85</v>
      </c>
      <c r="B9" s="15" t="s">
        <v>86</v>
      </c>
      <c r="C9" s="15"/>
      <c r="I9" s="720"/>
      <c r="K9" s="847"/>
    </row>
    <row r="10" spans="1:11" x14ac:dyDescent="0.25">
      <c r="B10" s="856" t="s">
        <v>87</v>
      </c>
      <c r="C10" s="857"/>
      <c r="D10" s="857"/>
      <c r="E10" s="857"/>
      <c r="F10" s="857"/>
      <c r="G10" s="857"/>
      <c r="I10" s="720"/>
      <c r="K10" s="847"/>
    </row>
    <row r="11" spans="1:11" x14ac:dyDescent="0.25">
      <c r="B11" s="720"/>
      <c r="C11" s="720"/>
      <c r="D11" s="720"/>
      <c r="E11" s="720"/>
      <c r="F11" s="720"/>
      <c r="G11" s="720"/>
      <c r="I11" s="720"/>
      <c r="K11" s="847"/>
    </row>
    <row r="12" spans="1:11" x14ac:dyDescent="0.25">
      <c r="F12" s="846" t="s">
        <v>88</v>
      </c>
      <c r="I12" s="720"/>
      <c r="K12" s="847"/>
    </row>
    <row r="13" spans="1:11" ht="15.75" thickBot="1" x14ac:dyDescent="0.3">
      <c r="B13" s="31" t="s">
        <v>89</v>
      </c>
      <c r="C13" s="215" t="s">
        <v>90</v>
      </c>
      <c r="D13" s="31" t="s">
        <v>91</v>
      </c>
      <c r="E13" s="31"/>
      <c r="F13" s="699"/>
      <c r="G13" s="31" t="s">
        <v>92</v>
      </c>
      <c r="I13" s="720"/>
      <c r="K13" s="84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20"/>
      <c r="K14" s="847"/>
    </row>
    <row r="15" spans="1:11" ht="16.5" thickTop="1" thickBot="1" x14ac:dyDescent="0.3">
      <c r="C15" s="187"/>
      <c r="D15" s="188" t="s">
        <v>93</v>
      </c>
      <c r="E15" s="189">
        <f>+Profit!$M$49</f>
        <v>-4446.7850890000082</v>
      </c>
      <c r="H15" s="216"/>
      <c r="K15" s="847"/>
    </row>
    <row r="16" spans="1:11" ht="16.5" thickTop="1" thickBot="1" x14ac:dyDescent="0.3">
      <c r="C16" s="187"/>
      <c r="D16" s="190" t="s">
        <v>94</v>
      </c>
      <c r="E16" s="191">
        <f>+G14/E15</f>
        <v>-8.4167604999810468</v>
      </c>
      <c r="F16" s="224">
        <v>0.1</v>
      </c>
      <c r="H16" s="216" t="s">
        <v>95</v>
      </c>
      <c r="I16" s="84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7"/>
    </row>
    <row r="17" spans="1:13" ht="15.75" thickTop="1" x14ac:dyDescent="0.25">
      <c r="C17" s="187"/>
      <c r="D17" s="190" t="s">
        <v>96</v>
      </c>
      <c r="E17" s="191">
        <f>+G14/(F14+G14)</f>
        <v>0.89267193829237945</v>
      </c>
      <c r="F17" t="s">
        <v>97</v>
      </c>
      <c r="I17" s="847"/>
      <c r="K17" s="847"/>
    </row>
    <row r="18" spans="1:13" x14ac:dyDescent="0.25">
      <c r="I18" s="847"/>
      <c r="K18" s="847"/>
    </row>
    <row r="19" spans="1:13" ht="15.75" thickBot="1" x14ac:dyDescent="0.3">
      <c r="A19" s="15" t="s">
        <v>98</v>
      </c>
      <c r="B19" s="15" t="s">
        <v>99</v>
      </c>
      <c r="D19" s="15" t="s">
        <v>100</v>
      </c>
      <c r="H19">
        <f>IF(H20="X",1,0)</f>
        <v>0</v>
      </c>
      <c r="K19" s="847"/>
    </row>
    <row r="20" spans="1:13" ht="15" customHeight="1" thickTop="1" thickBot="1" x14ac:dyDescent="0.3">
      <c r="B20" t="s">
        <v>101</v>
      </c>
      <c r="H20" s="216"/>
      <c r="I20" s="84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7"/>
    </row>
    <row r="21" spans="1:13" ht="15.75" thickTop="1" x14ac:dyDescent="0.25">
      <c r="B21" t="s">
        <v>102</v>
      </c>
      <c r="I21" s="847"/>
      <c r="J21" s="213"/>
      <c r="K21" s="847"/>
      <c r="L21" s="212"/>
      <c r="M21" s="212"/>
    </row>
    <row r="22" spans="1:13" ht="30" x14ac:dyDescent="0.25">
      <c r="F22" s="61" t="s">
        <v>103</v>
      </c>
      <c r="I22" s="847"/>
      <c r="J22" s="212"/>
      <c r="K22" s="847"/>
      <c r="L22" s="212"/>
      <c r="M22" s="212"/>
    </row>
    <row r="23" spans="1:13" ht="15.75" thickBot="1" x14ac:dyDescent="0.3">
      <c r="B23" s="31" t="s">
        <v>104</v>
      </c>
      <c r="C23" s="849"/>
      <c r="D23" s="850"/>
      <c r="E23" s="850"/>
      <c r="F23" s="850"/>
      <c r="G23" s="31" t="s">
        <v>92</v>
      </c>
      <c r="I23" s="848"/>
      <c r="J23" s="212"/>
      <c r="K23" s="847"/>
      <c r="L23" s="212"/>
      <c r="M23" s="212"/>
    </row>
    <row r="24" spans="1:13" ht="16.5" thickTop="1" thickBot="1" x14ac:dyDescent="0.3">
      <c r="B24" s="223">
        <f>+SUM(Profit!C19:'Profit'!C20)</f>
        <v>5000</v>
      </c>
      <c r="C24" s="851" t="s">
        <v>105</v>
      </c>
      <c r="D24" s="852"/>
      <c r="E24" s="852"/>
      <c r="F24" s="10">
        <f>+B24</f>
        <v>5000</v>
      </c>
      <c r="G24" s="192">
        <f>+Profit!M63</f>
        <v>-73006.028174349995</v>
      </c>
      <c r="I24" s="720"/>
      <c r="K24" s="847"/>
    </row>
    <row r="25" spans="1:13" ht="15.4" customHeight="1" thickTop="1" thickBot="1" x14ac:dyDescent="0.3">
      <c r="C25" s="187"/>
      <c r="D25" s="188" t="s">
        <v>93</v>
      </c>
      <c r="E25" s="189">
        <f>+Profit!$M$49</f>
        <v>-4446.7850890000082</v>
      </c>
      <c r="H25">
        <f>IF(H26="X",1+H19,H19)</f>
        <v>1</v>
      </c>
      <c r="K25" s="847"/>
    </row>
    <row r="26" spans="1:13" ht="15" customHeight="1" thickTop="1" thickBot="1" x14ac:dyDescent="0.3">
      <c r="C26" s="187"/>
      <c r="D26" s="190" t="s">
        <v>94</v>
      </c>
      <c r="E26" s="191">
        <f>+G24/E25</f>
        <v>16.417710033917462</v>
      </c>
      <c r="H26" s="216" t="s">
        <v>106</v>
      </c>
      <c r="I26" s="84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7"/>
    </row>
    <row r="27" spans="1:13" ht="15" customHeight="1" thickTop="1" x14ac:dyDescent="0.25">
      <c r="C27" s="187"/>
      <c r="D27" s="190" t="s">
        <v>96</v>
      </c>
      <c r="E27" s="191">
        <f>+G24/(F24+G24)</f>
        <v>1.0735228939878871</v>
      </c>
      <c r="I27" s="847"/>
      <c r="K27" s="847"/>
    </row>
    <row r="28" spans="1:13" ht="15" customHeight="1" x14ac:dyDescent="0.25">
      <c r="I28" s="847"/>
      <c r="K28" s="847"/>
    </row>
    <row r="29" spans="1:13" x14ac:dyDescent="0.25">
      <c r="A29" s="15"/>
      <c r="B29" s="15"/>
      <c r="I29" s="848"/>
      <c r="K29" s="847"/>
    </row>
    <row r="30" spans="1:13" x14ac:dyDescent="0.25">
      <c r="A30" s="15" t="s">
        <v>107</v>
      </c>
      <c r="B30" s="15" t="s">
        <v>108</v>
      </c>
      <c r="D30" t="s">
        <v>109</v>
      </c>
      <c r="I30" s="720"/>
      <c r="K30" s="84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7"/>
    </row>
    <row r="32" spans="1:13" ht="15.75" thickBot="1" x14ac:dyDescent="0.3">
      <c r="B32" t="s">
        <v>102</v>
      </c>
      <c r="H32">
        <f>IF(H33="X",H25+1,H25)</f>
        <v>2</v>
      </c>
      <c r="K32" s="847"/>
    </row>
    <row r="33" spans="1:13" ht="15" customHeight="1" thickTop="1" thickBot="1" x14ac:dyDescent="0.3">
      <c r="H33" s="216" t="s">
        <v>106</v>
      </c>
      <c r="I33" s="84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7"/>
    </row>
    <row r="34" spans="1:13" ht="16.5" thickTop="1" thickBot="1" x14ac:dyDescent="0.3">
      <c r="C34" s="2" t="s">
        <v>110</v>
      </c>
      <c r="D34" s="3" t="s">
        <v>111</v>
      </c>
      <c r="F34" s="3" t="s">
        <v>112</v>
      </c>
      <c r="I34" s="847"/>
      <c r="K34" s="847"/>
    </row>
    <row r="35" spans="1:13" ht="16.5" thickTop="1" thickBot="1" x14ac:dyDescent="0.3">
      <c r="B35" s="221" t="s">
        <v>113</v>
      </c>
      <c r="C35" s="194">
        <v>10400</v>
      </c>
      <c r="D35" s="186">
        <v>60</v>
      </c>
      <c r="F35" s="846" t="s">
        <v>103</v>
      </c>
      <c r="I35" s="847"/>
      <c r="K35" s="847"/>
    </row>
    <row r="36" spans="1:13" ht="16.5" thickTop="1" thickBot="1" x14ac:dyDescent="0.3">
      <c r="B36" s="31" t="s">
        <v>114</v>
      </c>
      <c r="C36" s="31" t="s">
        <v>115</v>
      </c>
      <c r="D36" s="31" t="s">
        <v>116</v>
      </c>
      <c r="E36" s="31" t="s">
        <v>117</v>
      </c>
      <c r="F36" s="699"/>
      <c r="G36" s="31" t="s">
        <v>92</v>
      </c>
      <c r="I36" s="847"/>
      <c r="K36" s="84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7"/>
      <c r="K37" s="847"/>
    </row>
    <row r="38" spans="1:13" ht="16.5" thickTop="1" thickBot="1" x14ac:dyDescent="0.3">
      <c r="B38" s="196">
        <v>0.34</v>
      </c>
      <c r="C38" s="211">
        <f>1-B38</f>
        <v>0.65999999999999992</v>
      </c>
      <c r="D38" s="10"/>
      <c r="E38" s="36"/>
      <c r="F38" s="10"/>
      <c r="G38" s="10"/>
      <c r="I38" s="847"/>
      <c r="K38" s="847"/>
    </row>
    <row r="39" spans="1:13" ht="15.4" customHeight="1" thickTop="1" x14ac:dyDescent="0.25">
      <c r="B39" s="10"/>
      <c r="C39" s="192"/>
      <c r="D39" s="188" t="s">
        <v>93</v>
      </c>
      <c r="E39" s="189">
        <f>+Profit!$M$49-C37+C35</f>
        <v>-7746.7850890000082</v>
      </c>
      <c r="F39" s="10"/>
      <c r="G39" s="10"/>
      <c r="I39" s="847"/>
      <c r="K39" s="847"/>
    </row>
    <row r="40" spans="1:13" x14ac:dyDescent="0.25">
      <c r="C40" s="187"/>
      <c r="D40" s="190" t="s">
        <v>94</v>
      </c>
      <c r="E40" s="191">
        <f>+G37/E39</f>
        <v>11.12022951258483</v>
      </c>
      <c r="I40" s="847"/>
      <c r="K40" s="847"/>
    </row>
    <row r="41" spans="1:13" ht="15" customHeight="1" thickBot="1" x14ac:dyDescent="0.3">
      <c r="C41" s="187"/>
      <c r="D41" s="190" t="s">
        <v>96</v>
      </c>
      <c r="E41" s="191">
        <f>+G37/(F37+G37)</f>
        <v>1.2667410593880546</v>
      </c>
      <c r="H41">
        <f>IF(H42="X",H32+1,H32)</f>
        <v>2</v>
      </c>
      <c r="K41" s="847"/>
    </row>
    <row r="42" spans="1:13" ht="16.5" thickTop="1" thickBot="1" x14ac:dyDescent="0.3">
      <c r="A42" s="15" t="s">
        <v>118</v>
      </c>
      <c r="B42" s="15" t="s">
        <v>119</v>
      </c>
      <c r="H42" s="216"/>
      <c r="I42" s="84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7"/>
    </row>
    <row r="43" spans="1:13" ht="15.75" thickTop="1" x14ac:dyDescent="0.25">
      <c r="B43" t="s">
        <v>101</v>
      </c>
      <c r="I43" s="847"/>
      <c r="K43" s="720"/>
      <c r="M43" s="198"/>
    </row>
    <row r="44" spans="1:13" x14ac:dyDescent="0.25">
      <c r="B44" t="s">
        <v>102</v>
      </c>
      <c r="I44" s="847"/>
      <c r="K44" s="720"/>
    </row>
    <row r="45" spans="1:13" ht="15" customHeight="1" x14ac:dyDescent="0.25">
      <c r="B45" t="s">
        <v>120</v>
      </c>
      <c r="I45" s="847"/>
      <c r="K45" s="720"/>
    </row>
    <row r="46" spans="1:13" x14ac:dyDescent="0.25">
      <c r="B46" t="s">
        <v>121</v>
      </c>
      <c r="I46" s="847"/>
      <c r="K46" s="720"/>
    </row>
    <row r="47" spans="1:13" x14ac:dyDescent="0.25">
      <c r="F47" s="3" t="s">
        <v>122</v>
      </c>
      <c r="I47" s="847"/>
      <c r="K47" s="720"/>
    </row>
    <row r="48" spans="1:13" x14ac:dyDescent="0.25">
      <c r="C48" s="846" t="s">
        <v>123</v>
      </c>
      <c r="D48" s="846" t="s">
        <v>124</v>
      </c>
      <c r="E48" s="846" t="s">
        <v>125</v>
      </c>
      <c r="F48" s="846" t="s">
        <v>103</v>
      </c>
      <c r="I48" s="847"/>
      <c r="K48" s="720"/>
    </row>
    <row r="49" spans="1:11" ht="15.75" thickBot="1" x14ac:dyDescent="0.3">
      <c r="B49" s="3" t="s">
        <v>114</v>
      </c>
      <c r="C49" s="699" t="s">
        <v>123</v>
      </c>
      <c r="D49" s="699" t="s">
        <v>124</v>
      </c>
      <c r="E49" s="699" t="s">
        <v>126</v>
      </c>
      <c r="F49" s="699"/>
      <c r="G49" s="31" t="s">
        <v>92</v>
      </c>
      <c r="I49" s="847"/>
      <c r="K49" s="720"/>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7"/>
      <c r="K50" s="720"/>
    </row>
    <row r="51" spans="1:11" ht="15.75" thickTop="1" x14ac:dyDescent="0.25">
      <c r="D51" s="15" t="s">
        <v>127</v>
      </c>
      <c r="I51" s="214"/>
      <c r="K51" s="720"/>
    </row>
    <row r="52" spans="1:11" x14ac:dyDescent="0.25">
      <c r="C52" s="187"/>
      <c r="D52" s="188" t="s">
        <v>93</v>
      </c>
      <c r="E52" s="189">
        <f>+Profit!$M$49-B24+B50</f>
        <v>553.21491099999184</v>
      </c>
      <c r="H52" t="s">
        <v>95</v>
      </c>
      <c r="I52" s="84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20"/>
    </row>
    <row r="53" spans="1:11" ht="15" customHeight="1" x14ac:dyDescent="0.25">
      <c r="C53" s="187"/>
      <c r="D53" s="190" t="s">
        <v>94</v>
      </c>
      <c r="E53" s="191">
        <f>+G50/E52</f>
        <v>-26.195621564338516</v>
      </c>
      <c r="I53" s="720"/>
      <c r="K53" s="720"/>
    </row>
    <row r="54" spans="1:11" x14ac:dyDescent="0.25">
      <c r="C54" s="187"/>
      <c r="D54" s="190" t="s">
        <v>96</v>
      </c>
      <c r="E54" s="191">
        <f>+G50/(F50+G50)</f>
        <v>0.37831665518402202</v>
      </c>
      <c r="I54" s="720"/>
      <c r="K54" s="720"/>
    </row>
    <row r="55" spans="1:11" ht="15" customHeight="1" x14ac:dyDescent="0.25">
      <c r="I55" s="720"/>
      <c r="K55" s="720"/>
    </row>
    <row r="56" spans="1:11" ht="15.75" thickBot="1" x14ac:dyDescent="0.3">
      <c r="B56" s="15" t="s">
        <v>128</v>
      </c>
      <c r="D56" t="s">
        <v>129</v>
      </c>
      <c r="I56" s="720"/>
      <c r="K56" s="720"/>
    </row>
    <row r="57" spans="1:11" x14ac:dyDescent="0.25">
      <c r="A57" s="83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8"/>
      <c r="C57" s="838"/>
      <c r="D57" s="838"/>
      <c r="E57" s="838"/>
      <c r="F57" s="838"/>
      <c r="G57" s="839"/>
      <c r="I57" s="720"/>
      <c r="K57" s="720"/>
    </row>
    <row r="58" spans="1:11" x14ac:dyDescent="0.25">
      <c r="A58" s="840"/>
      <c r="B58" s="841"/>
      <c r="C58" s="841"/>
      <c r="D58" s="841"/>
      <c r="E58" s="841"/>
      <c r="F58" s="841"/>
      <c r="G58" s="842"/>
      <c r="I58" s="720"/>
      <c r="K58" s="720"/>
    </row>
    <row r="59" spans="1:11" x14ac:dyDescent="0.25">
      <c r="A59" s="840"/>
      <c r="B59" s="841"/>
      <c r="C59" s="841"/>
      <c r="D59" s="841"/>
      <c r="E59" s="841"/>
      <c r="F59" s="841"/>
      <c r="G59" s="842"/>
      <c r="K59" s="720"/>
    </row>
    <row r="60" spans="1:11" x14ac:dyDescent="0.25">
      <c r="A60" s="840"/>
      <c r="B60" s="841"/>
      <c r="C60" s="841"/>
      <c r="D60" s="841"/>
      <c r="E60" s="841"/>
      <c r="F60" s="841"/>
      <c r="G60" s="842"/>
      <c r="K60" s="720"/>
    </row>
    <row r="61" spans="1:11" x14ac:dyDescent="0.25">
      <c r="A61" s="840"/>
      <c r="B61" s="841"/>
      <c r="C61" s="841"/>
      <c r="D61" s="841"/>
      <c r="E61" s="841"/>
      <c r="F61" s="841"/>
      <c r="G61" s="842"/>
      <c r="H61" t="s">
        <v>95</v>
      </c>
      <c r="I61" s="84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20"/>
    </row>
    <row r="62" spans="1:11" x14ac:dyDescent="0.25">
      <c r="A62" s="840"/>
      <c r="B62" s="841"/>
      <c r="C62" s="841"/>
      <c r="D62" s="841"/>
      <c r="E62" s="841"/>
      <c r="F62" s="841"/>
      <c r="G62" s="842"/>
      <c r="I62" s="720"/>
      <c r="K62" s="720"/>
    </row>
    <row r="63" spans="1:11" x14ac:dyDescent="0.25">
      <c r="A63" s="840"/>
      <c r="B63" s="841"/>
      <c r="C63" s="841"/>
      <c r="D63" s="841"/>
      <c r="E63" s="841"/>
      <c r="F63" s="841"/>
      <c r="G63" s="842"/>
      <c r="I63" s="720"/>
      <c r="K63" s="720"/>
    </row>
    <row r="64" spans="1:11" x14ac:dyDescent="0.25">
      <c r="A64" s="840"/>
      <c r="B64" s="841"/>
      <c r="C64" s="841"/>
      <c r="D64" s="841"/>
      <c r="E64" s="841"/>
      <c r="F64" s="841"/>
      <c r="G64" s="842"/>
      <c r="I64" s="720"/>
      <c r="K64" s="720"/>
    </row>
    <row r="65" spans="1:11" x14ac:dyDescent="0.25">
      <c r="A65" s="840"/>
      <c r="B65" s="841"/>
      <c r="C65" s="841"/>
      <c r="D65" s="841"/>
      <c r="E65" s="841"/>
      <c r="F65" s="841"/>
      <c r="G65" s="842"/>
      <c r="I65" s="720"/>
      <c r="K65" s="720"/>
    </row>
    <row r="66" spans="1:11" x14ac:dyDescent="0.25">
      <c r="A66" s="840"/>
      <c r="B66" s="841"/>
      <c r="C66" s="841"/>
      <c r="D66" s="841"/>
      <c r="E66" s="841"/>
      <c r="F66" s="841"/>
      <c r="G66" s="842"/>
      <c r="I66" s="720"/>
      <c r="K66" s="720"/>
    </row>
    <row r="67" spans="1:11" x14ac:dyDescent="0.25">
      <c r="A67" s="840"/>
      <c r="B67" s="841"/>
      <c r="C67" s="841"/>
      <c r="D67" s="841"/>
      <c r="E67" s="841"/>
      <c r="F67" s="841"/>
      <c r="G67" s="842"/>
      <c r="I67" s="720"/>
      <c r="K67" s="720"/>
    </row>
    <row r="68" spans="1:11" x14ac:dyDescent="0.25">
      <c r="A68" s="840"/>
      <c r="B68" s="841"/>
      <c r="C68" s="841"/>
      <c r="D68" s="841"/>
      <c r="E68" s="841"/>
      <c r="F68" s="841"/>
      <c r="G68" s="842"/>
      <c r="I68" s="720"/>
    </row>
    <row r="69" spans="1:11" x14ac:dyDescent="0.25">
      <c r="A69" s="840"/>
      <c r="B69" s="841"/>
      <c r="C69" s="841"/>
      <c r="D69" s="841"/>
      <c r="E69" s="841"/>
      <c r="F69" s="841"/>
      <c r="G69" s="842"/>
      <c r="I69" s="720"/>
    </row>
    <row r="70" spans="1:11" x14ac:dyDescent="0.25">
      <c r="A70" s="840"/>
      <c r="B70" s="841"/>
      <c r="C70" s="841"/>
      <c r="D70" s="841"/>
      <c r="E70" s="841"/>
      <c r="F70" s="841"/>
      <c r="G70" s="842"/>
      <c r="I70" s="720"/>
    </row>
    <row r="71" spans="1:11" x14ac:dyDescent="0.25">
      <c r="A71" s="840"/>
      <c r="B71" s="841"/>
      <c r="C71" s="841"/>
      <c r="D71" s="841"/>
      <c r="E71" s="841"/>
      <c r="F71" s="841"/>
      <c r="G71" s="842"/>
      <c r="I71" s="720"/>
    </row>
    <row r="72" spans="1:11" x14ac:dyDescent="0.25">
      <c r="A72" s="840"/>
      <c r="B72" s="841"/>
      <c r="C72" s="841"/>
      <c r="D72" s="841"/>
      <c r="E72" s="841"/>
      <c r="F72" s="841"/>
      <c r="G72" s="842"/>
      <c r="I72" s="720"/>
    </row>
    <row r="73" spans="1:11" x14ac:dyDescent="0.25">
      <c r="A73" s="840"/>
      <c r="B73" s="841"/>
      <c r="C73" s="841"/>
      <c r="D73" s="841"/>
      <c r="E73" s="841"/>
      <c r="F73" s="841"/>
      <c r="G73" s="842"/>
    </row>
    <row r="74" spans="1:11" x14ac:dyDescent="0.25">
      <c r="A74" s="840"/>
      <c r="B74" s="841"/>
      <c r="C74" s="841"/>
      <c r="D74" s="841"/>
      <c r="E74" s="841"/>
      <c r="F74" s="841"/>
      <c r="G74" s="842"/>
      <c r="H74" t="s">
        <v>95</v>
      </c>
      <c r="I74" s="197" t="str">
        <f>"Sincerely,
Wes Browning"</f>
        <v>Sincerely,
Wes Browning</v>
      </c>
    </row>
    <row r="75" spans="1:11" ht="15" customHeight="1" x14ac:dyDescent="0.25">
      <c r="A75" s="840"/>
      <c r="B75" s="841"/>
      <c r="C75" s="841"/>
      <c r="D75" s="841"/>
      <c r="E75" s="841"/>
      <c r="F75" s="841"/>
      <c r="G75" s="842"/>
      <c r="I75" s="197"/>
    </row>
    <row r="76" spans="1:11" x14ac:dyDescent="0.25">
      <c r="A76" s="840"/>
      <c r="B76" s="841"/>
      <c r="C76" s="841"/>
      <c r="D76" s="841"/>
      <c r="E76" s="841"/>
      <c r="F76" s="841"/>
      <c r="G76" s="842"/>
      <c r="I76" s="197"/>
    </row>
    <row r="77" spans="1:11" x14ac:dyDescent="0.25">
      <c r="A77" s="840"/>
      <c r="B77" s="841"/>
      <c r="C77" s="841"/>
      <c r="D77" s="841"/>
      <c r="E77" s="841"/>
      <c r="F77" s="841"/>
      <c r="G77" s="842"/>
    </row>
    <row r="78" spans="1:11" x14ac:dyDescent="0.25">
      <c r="A78" s="840"/>
      <c r="B78" s="841"/>
      <c r="C78" s="841"/>
      <c r="D78" s="841"/>
      <c r="E78" s="841"/>
      <c r="F78" s="841"/>
      <c r="G78" s="842"/>
    </row>
    <row r="79" spans="1:11" ht="15.75" thickBot="1" x14ac:dyDescent="0.3">
      <c r="A79" s="843"/>
      <c r="B79" s="844"/>
      <c r="C79" s="844"/>
      <c r="D79" s="844"/>
      <c r="E79" s="844"/>
      <c r="F79" s="844"/>
      <c r="G79" s="845"/>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3" t="s">
        <v>841</v>
      </c>
      <c r="B1" s="864"/>
      <c r="C1" s="865"/>
      <c r="D1" s="863" t="s">
        <v>474</v>
      </c>
      <c r="E1" s="864"/>
      <c r="F1" s="865"/>
      <c r="G1" s="863" t="s">
        <v>586</v>
      </c>
      <c r="H1" s="864"/>
      <c r="I1" s="865"/>
      <c r="J1" s="863" t="s">
        <v>887</v>
      </c>
      <c r="K1" s="864"/>
      <c r="L1" s="865"/>
      <c r="M1" s="863" t="s">
        <v>475</v>
      </c>
      <c r="N1" s="864"/>
      <c r="O1" s="865"/>
      <c r="P1" s="863" t="s">
        <v>888</v>
      </c>
      <c r="Q1" s="864"/>
      <c r="R1" s="865"/>
      <c r="S1" s="863" t="s">
        <v>889</v>
      </c>
      <c r="T1" s="864"/>
      <c r="U1" s="865"/>
      <c r="V1" s="863" t="s">
        <v>585</v>
      </c>
      <c r="W1" s="864"/>
      <c r="X1" s="865"/>
      <c r="Y1" s="863" t="s">
        <v>635</v>
      </c>
      <c r="Z1" s="864"/>
      <c r="AA1" s="865"/>
      <c r="AB1" s="863" t="s">
        <v>890</v>
      </c>
      <c r="AC1" s="864"/>
      <c r="AD1" s="865"/>
      <c r="AE1" s="863" t="s">
        <v>891</v>
      </c>
      <c r="AF1" s="864"/>
      <c r="AG1" s="865"/>
      <c r="AH1" s="61"/>
      <c r="AI1" s="866"/>
      <c r="AJ1" s="854"/>
      <c r="AK1" s="854"/>
      <c r="AL1" s="854"/>
      <c r="AM1" s="854"/>
      <c r="AN1" s="854"/>
      <c r="AO1" s="854"/>
      <c r="AP1" s="854"/>
      <c r="AQ1" s="854"/>
      <c r="AR1" s="854"/>
      <c r="AS1" s="854"/>
    </row>
    <row r="2" spans="1:45" ht="15" customHeight="1" x14ac:dyDescent="0.25">
      <c r="C2" s="312"/>
      <c r="F2" s="312"/>
      <c r="I2" s="312"/>
      <c r="L2" s="312"/>
      <c r="O2" s="312"/>
      <c r="R2" s="312"/>
      <c r="U2" s="312"/>
      <c r="X2" s="312"/>
      <c r="AA2" s="860"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1"/>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8">
        <f>SUMIFS(tblCarryingExpenses[Amount],tblCarryingExpenses[Category],IF(A1="Mortgage Payment paid after Reinstatement","Mortgage Payment",A1),tblCarryingExpenses[Include],"Yes")</f>
        <v>89.949999999999989</v>
      </c>
      <c r="C25" s="859"/>
      <c r="D25" s="23"/>
      <c r="E25" s="858">
        <f>SUMIFS(tblCarryingExpenses[Amount],tblCarryingExpenses[Category],IF(D1="Mortgage Payment paid after Reinstatement","Mortgage Payment",D1),tblCarryingExpenses[Include],"Yes")</f>
        <v>3302.9500000000003</v>
      </c>
      <c r="F25" s="862"/>
      <c r="G25" s="507"/>
      <c r="H25" s="858">
        <f>SUMIFS(tblCarryingExpenses[Amount],tblCarryingExpenses[Category],IF(G1="Mortgage Payment paid after Reinstatement","Mortgage Payment",G1),tblCarryingExpenses[Include],"Yes")</f>
        <v>1832.74</v>
      </c>
      <c r="I25" s="859"/>
      <c r="J25" s="507"/>
      <c r="K25" s="858">
        <f>SUMIFS(tblCarryingExpenses[Amount],tblCarryingExpenses[Category],IF(J1="Mortgage Payment paid after Reinstatement","Mortgage Payment",J1),tblCarryingExpenses[Include],"Yes")</f>
        <v>0</v>
      </c>
      <c r="L25" s="859"/>
      <c r="M25" s="507"/>
      <c r="N25" s="858">
        <f>SUMIFS(tblCarryingExpenses[Amount],tblCarryingExpenses[Category],IF(M1="Mortgage Payment paid after Reinstatement","Mortgage Payment",M1),tblCarryingExpenses[Include],"Yes")</f>
        <v>0</v>
      </c>
      <c r="O25" s="859"/>
      <c r="P25" s="507"/>
      <c r="Q25" s="858">
        <f>SUMIFS(tblCarryingExpenses[Amount],tblCarryingExpenses[Category],IF(P1="Mortgage Payment paid after Reinstatement","Mortgage Payment",P1),tblCarryingExpenses[Include],"Yes")</f>
        <v>277.64</v>
      </c>
      <c r="R25" s="859"/>
      <c r="S25" s="507"/>
      <c r="T25" s="858">
        <f>SUMIFS(tblCarryingExpenses[Amount],tblCarryingExpenses[Category],IF(S1="Mortgage Payment paid after Reinstatement","Mortgage Payment",S1),tblCarryingExpenses[Include],"Yes")</f>
        <v>0</v>
      </c>
      <c r="U25" s="859"/>
      <c r="V25" s="507"/>
      <c r="W25" s="858">
        <f>SUMIFS(tblCarryingExpenses[Amount],tblCarryingExpenses[Category],IF(V1="Mortgage Payment paid after Reinstatement","Mortgage Payment",V1),tblCarryingExpenses[Include],"Yes")</f>
        <v>0</v>
      </c>
      <c r="X25" s="859"/>
      <c r="Y25" s="507"/>
      <c r="Z25" s="858">
        <f>SUM(Z4:AA23)</f>
        <v>0</v>
      </c>
      <c r="AA25" s="859"/>
      <c r="AB25" s="507"/>
      <c r="AC25" s="858">
        <f>SUMIFS(tblCarryingExpenses[Amount],tblCarryingExpenses[Category],IF(AB1="Mortgage Payment paid after Reinstatement","Mortgage Payment",AB1),tblCarryingExpenses[Include],"Yes")</f>
        <v>0</v>
      </c>
      <c r="AD25" s="859"/>
      <c r="AE25" s="507"/>
      <c r="AF25" s="858">
        <f>SUMIFS(tblCarryingExpenses[Amount],tblCarryingExpenses[Category],IF(AE1="Mortgage Payment paid after Reinstatement","Mortgage Payment",AE1),tblCarryingExpenses[Include],"Yes")</f>
        <v>0</v>
      </c>
      <c r="AG25" s="859"/>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720"/>
      <c r="C2" s="720"/>
      <c r="D2" s="720"/>
      <c r="E2" s="720"/>
      <c r="F2" s="720"/>
      <c r="G2" s="720"/>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4" t="s">
        <v>215</v>
      </c>
      <c r="K1" s="904"/>
      <c r="L1" s="154"/>
      <c r="M1" s="900" t="s">
        <v>216</v>
      </c>
      <c r="N1" s="901"/>
      <c r="O1" s="263" t="s">
        <v>217</v>
      </c>
    </row>
    <row r="2" spans="1:125" ht="30" customHeight="1" thickBot="1" x14ac:dyDescent="0.35">
      <c r="A2" s="931" t="s">
        <v>488</v>
      </c>
      <c r="B2" s="932"/>
      <c r="C2" s="929" t="str">
        <f>Profit!E1&amp; " Your Home"</f>
        <v xml:space="preserve"> Your Home</v>
      </c>
      <c r="D2" s="930"/>
      <c r="E2" s="163" t="s">
        <v>218</v>
      </c>
      <c r="F2" s="927">
        <f>+MIN(ProposalToGnatt[Start Date])</f>
        <v>45363</v>
      </c>
      <c r="G2" s="928"/>
      <c r="H2" s="907" t="s">
        <v>219</v>
      </c>
      <c r="I2" s="908"/>
      <c r="J2" s="916">
        <f>+SUM(H8:H20)</f>
        <v>20549.104910999999</v>
      </c>
      <c r="K2" s="920"/>
      <c r="L2" s="155"/>
      <c r="M2" s="916">
        <f>+SUM(N8:N20)-SUM(M8:M20)</f>
        <v>0</v>
      </c>
      <c r="N2" s="649"/>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7"/>
      <c r="B3" s="918"/>
      <c r="C3" s="918"/>
      <c r="D3" s="918"/>
      <c r="E3" s="164"/>
      <c r="G3" s="34"/>
      <c r="H3" s="909" t="s">
        <v>220</v>
      </c>
      <c r="I3" s="910"/>
      <c r="J3" s="915">
        <f>SUM(H22:H25)</f>
        <v>0</v>
      </c>
      <c r="K3" s="923"/>
      <c r="L3" s="156"/>
      <c r="M3" s="915">
        <f>+J3-SUM(M22:M25)</f>
        <v>0</v>
      </c>
      <c r="N3" s="649"/>
      <c r="O3" s="265">
        <f>+SUM(H22:H25)-SUM(M22:M25)</f>
        <v>0</v>
      </c>
      <c r="AP3" s="15"/>
      <c r="AQ3" s="15"/>
      <c r="AR3" s="15"/>
    </row>
    <row r="4" spans="1:125" ht="30" customHeight="1" x14ac:dyDescent="0.3">
      <c r="A4" s="917" t="str">
        <f>+Profit!B2</f>
        <v>4121 Tensity Dr</v>
      </c>
      <c r="B4" s="918" t="str">
        <f>+Profit!B2</f>
        <v>4121 Tensity Dr</v>
      </c>
      <c r="C4" s="918"/>
      <c r="D4" s="918"/>
      <c r="E4" s="905" t="s">
        <v>221</v>
      </c>
      <c r="F4" s="906"/>
      <c r="G4" s="76">
        <v>1</v>
      </c>
      <c r="H4" s="911" t="str">
        <f>+A2 &amp; "Total:"</f>
        <v>Tim Flemming Total:</v>
      </c>
      <c r="I4" s="912"/>
      <c r="J4" s="913">
        <f>SUM(ProposalToGnatt[Price])</f>
        <v>4897.5700000000006</v>
      </c>
      <c r="K4" s="924"/>
      <c r="L4" s="157"/>
      <c r="M4" s="913" cm="1">
        <f t="array" ref="M4">+SUM(ProposalToGnatt[Due]-ProposalToGnatt[Paid])</f>
        <v>1.9895196601282805E-13</v>
      </c>
      <c r="N4" s="649"/>
      <c r="O4" s="266">
        <f>+SUM(ProposalToGnatt[Price])-SUM(ProposalToGnatt[Paid])</f>
        <v>0</v>
      </c>
      <c r="AP4" s="15"/>
      <c r="AQ4" s="15"/>
      <c r="AR4" s="15"/>
    </row>
    <row r="5" spans="1:125" ht="18" customHeight="1" thickBot="1" x14ac:dyDescent="0.3">
      <c r="A5" s="158"/>
      <c r="B5" s="159" t="s">
        <v>222</v>
      </c>
      <c r="C5" s="160"/>
      <c r="D5" s="161"/>
      <c r="E5" s="921" t="s">
        <v>223</v>
      </c>
      <c r="F5" s="922"/>
      <c r="G5" s="162">
        <v>2</v>
      </c>
      <c r="H5" s="919" t="s">
        <v>224</v>
      </c>
      <c r="I5" s="919"/>
      <c r="J5" s="925">
        <f>+SUM(J2:K4)</f>
        <v>25446.674910999998</v>
      </c>
      <c r="K5" s="926"/>
      <c r="L5" s="24"/>
      <c r="M5" s="914">
        <f>+SUM(M2:M4)</f>
        <v>1.9895196601282805E-13</v>
      </c>
      <c r="N5" s="652"/>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2" t="s">
        <v>241</v>
      </c>
      <c r="AB22" s="903"/>
      <c r="AC22" s="903"/>
      <c r="AD22" s="903"/>
      <c r="AE22" s="903"/>
      <c r="AF22" s="903"/>
      <c r="AG22" s="903"/>
      <c r="AH22" s="90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3"/>
      <c r="AB23" s="903"/>
      <c r="AC23" s="903"/>
      <c r="AD23" s="903"/>
      <c r="AE23" s="903"/>
      <c r="AF23" s="903"/>
      <c r="AG23" s="903"/>
      <c r="AH23" s="90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20"/>
      <c r="D1" s="920"/>
      <c r="E1" s="920"/>
      <c r="F1" s="920"/>
      <c r="G1" s="720"/>
      <c r="I1" s="632" t="s">
        <v>247</v>
      </c>
      <c r="J1" s="633"/>
      <c r="K1" s="940"/>
      <c r="L1" s="941"/>
      <c r="M1"/>
      <c r="N1" s="933" t="s">
        <v>248</v>
      </c>
      <c r="O1" s="934"/>
      <c r="P1" s="934"/>
      <c r="Q1" s="934"/>
      <c r="R1" s="934"/>
      <c r="S1" s="935"/>
      <c r="W1"/>
    </row>
    <row r="2" spans="1:23" ht="15.75" thickBot="1" x14ac:dyDescent="0.3">
      <c r="A2" s="942" t="s">
        <v>249</v>
      </c>
      <c r="B2" s="943"/>
      <c r="C2" s="920"/>
      <c r="D2" s="920"/>
      <c r="E2" s="920"/>
      <c r="F2" s="920"/>
      <c r="G2" s="720"/>
      <c r="I2" s="939" t="s">
        <v>250</v>
      </c>
      <c r="J2" s="662"/>
      <c r="K2" s="663"/>
      <c r="L2" s="664"/>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3" t="s">
        <v>566</v>
      </c>
      <c r="C1" s="854"/>
      <c r="E1" s="853" t="s">
        <v>570</v>
      </c>
      <c r="F1" s="854"/>
      <c r="H1" s="853" t="s">
        <v>569</v>
      </c>
      <c r="I1" s="854"/>
      <c r="L1" s="853" t="s">
        <v>584</v>
      </c>
      <c r="M1" s="85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3" t="s">
        <v>566</v>
      </c>
      <c r="C12" s="854"/>
      <c r="D12" s="3"/>
      <c r="E12" s="853" t="s">
        <v>570</v>
      </c>
      <c r="F12" s="854"/>
      <c r="G12" s="3"/>
      <c r="H12" s="853" t="s">
        <v>569</v>
      </c>
      <c r="I12" s="85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42"/>
      <c r="E8" s="958"/>
      <c r="F8" s="720"/>
      <c r="G8" s="763"/>
      <c r="I8" s="61"/>
      <c r="J8" s="61"/>
      <c r="K8" s="61"/>
    </row>
    <row r="9" spans="1:11" ht="15.75" thickBot="1" x14ac:dyDescent="0.3">
      <c r="B9" s="145" t="s">
        <v>155</v>
      </c>
      <c r="C9" s="952">
        <f>+AVERAGE(E4:F4)</f>
        <v>44549.638750000006</v>
      </c>
      <c r="D9" s="642"/>
      <c r="E9" s="764"/>
      <c r="F9" s="808"/>
      <c r="G9" s="765"/>
      <c r="I9" s="61"/>
      <c r="J9" s="61"/>
      <c r="K9" s="61"/>
    </row>
    <row r="10" spans="1:11" ht="15.75" thickBot="1" x14ac:dyDescent="0.3">
      <c r="B10" s="145" t="s">
        <v>156</v>
      </c>
      <c r="C10" s="952">
        <f>+AVERAGE(E5:F5)</f>
        <v>42487.25</v>
      </c>
      <c r="D10" s="642"/>
      <c r="E10" s="959" t="s">
        <v>157</v>
      </c>
      <c r="F10" s="960"/>
      <c r="G10" s="669"/>
      <c r="I10" s="61"/>
      <c r="J10" s="61"/>
      <c r="K10" s="61"/>
    </row>
    <row r="11" spans="1:11" ht="15.75" thickBot="1" x14ac:dyDescent="0.3">
      <c r="B11" s="145" t="s">
        <v>158</v>
      </c>
      <c r="C11" s="952">
        <f>+AVERAGE(E6:F6)</f>
        <v>45703.346999999994</v>
      </c>
      <c r="D11" s="642"/>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42"/>
      <c r="E8" s="958"/>
      <c r="F8" s="720"/>
      <c r="G8" s="763"/>
    </row>
    <row r="9" spans="1:8" ht="15.75" thickBot="1" x14ac:dyDescent="0.3">
      <c r="B9" s="145" t="s">
        <v>155</v>
      </c>
      <c r="C9" s="952">
        <f>+AVERAGE(E4:F4)</f>
        <v>176184.5</v>
      </c>
      <c r="D9" s="642"/>
      <c r="E9" s="764"/>
      <c r="F9" s="808"/>
      <c r="G9" s="765"/>
    </row>
    <row r="10" spans="1:8" ht="15.75" thickBot="1" x14ac:dyDescent="0.3">
      <c r="B10" s="145" t="s">
        <v>156</v>
      </c>
      <c r="C10" s="952">
        <f>+AVERAGE(E5:F5)</f>
        <v>121133.5</v>
      </c>
      <c r="D10" s="642"/>
      <c r="E10" s="959" t="s">
        <v>157</v>
      </c>
      <c r="F10" s="960"/>
      <c r="G10" s="669"/>
    </row>
    <row r="11" spans="1:8" ht="15.75" thickBot="1" x14ac:dyDescent="0.3">
      <c r="B11" s="145" t="s">
        <v>158</v>
      </c>
      <c r="C11" s="952">
        <f>+AVERAGE(E6:F6)</f>
        <v>77681.948333333334</v>
      </c>
      <c r="D11" s="642"/>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720"/>
      <c r="G8" s="720"/>
      <c r="H8" s="720"/>
      <c r="I8" s="763"/>
    </row>
    <row r="9" spans="1:10" ht="15.75" thickBot="1" x14ac:dyDescent="0.3">
      <c r="A9" s="148"/>
      <c r="B9" s="145" t="s">
        <v>155</v>
      </c>
      <c r="C9" s="952">
        <f>+AVERAGE(E4:H4)</f>
        <v>138648.73000000001</v>
      </c>
      <c r="D9" s="961"/>
      <c r="E9" s="764"/>
      <c r="F9" s="808"/>
      <c r="G9" s="808"/>
      <c r="H9" s="808"/>
      <c r="I9" s="765"/>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42"/>
      <c r="E8" s="958"/>
      <c r="F8" s="967"/>
      <c r="G8" s="720"/>
      <c r="H8" s="763"/>
    </row>
    <row r="9" spans="1:9" ht="15.75" thickBot="1" x14ac:dyDescent="0.3">
      <c r="B9" s="145" t="s">
        <v>155</v>
      </c>
      <c r="C9" s="952">
        <f>+AVERAGE(E4:G4)</f>
        <v>133923.63333333333</v>
      </c>
      <c r="D9" s="642"/>
      <c r="E9" s="764"/>
      <c r="F9" s="808"/>
      <c r="G9" s="808"/>
      <c r="H9" s="765"/>
    </row>
    <row r="10" spans="1:9" ht="15.75" thickBot="1" x14ac:dyDescent="0.3">
      <c r="B10" s="145" t="s">
        <v>156</v>
      </c>
      <c r="C10" s="952">
        <f>+AVERAGE(E5:G5)</f>
        <v>48783.358384708328</v>
      </c>
      <c r="D10" s="642"/>
      <c r="E10" s="959" t="s">
        <v>157</v>
      </c>
      <c r="F10" s="965"/>
      <c r="G10" s="960"/>
      <c r="H10" s="669"/>
    </row>
    <row r="11" spans="1:9" ht="15.75" thickBot="1" x14ac:dyDescent="0.3">
      <c r="B11" s="145" t="s">
        <v>158</v>
      </c>
      <c r="C11" s="952">
        <f>+AVERAGE(E6:G6)</f>
        <v>85689.034948625005</v>
      </c>
      <c r="D11" s="642"/>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42"/>
      <c r="E8" s="958"/>
      <c r="F8" s="967"/>
      <c r="G8" s="720"/>
      <c r="H8" s="763"/>
    </row>
    <row r="9" spans="1:9" ht="15.75" thickBot="1" x14ac:dyDescent="0.3">
      <c r="B9" s="145" t="s">
        <v>155</v>
      </c>
      <c r="C9" s="952">
        <f>+AVERAGE(E4:G4)</f>
        <v>103547.57</v>
      </c>
      <c r="D9" s="642"/>
      <c r="E9" s="764"/>
      <c r="F9" s="808"/>
      <c r="G9" s="808"/>
      <c r="H9" s="765"/>
    </row>
    <row r="10" spans="1:9" ht="15.75" thickBot="1" x14ac:dyDescent="0.3">
      <c r="B10" s="145" t="s">
        <v>156</v>
      </c>
      <c r="C10" s="952">
        <f>+AVERAGE(E5:G5)</f>
        <v>16660.233833333332</v>
      </c>
      <c r="D10" s="642"/>
      <c r="E10" s="959" t="s">
        <v>157</v>
      </c>
      <c r="F10" s="965"/>
      <c r="G10" s="960"/>
      <c r="H10" s="669"/>
    </row>
    <row r="11" spans="1:9" ht="15.75" thickBot="1" x14ac:dyDescent="0.3">
      <c r="B11" s="145" t="s">
        <v>158</v>
      </c>
      <c r="C11" s="952">
        <f>+AVERAGE(E6:G6)</f>
        <v>38679.975259259263</v>
      </c>
      <c r="D11" s="642"/>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2026-06-22T23:06:16Z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