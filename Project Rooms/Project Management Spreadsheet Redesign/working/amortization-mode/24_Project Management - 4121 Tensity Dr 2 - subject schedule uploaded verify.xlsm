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5D980231-CF23-4C4C-88A2-9C4E47CD0343}"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Test'!$C$3</definedName>
    <definedName name="subjectKnownBalance">'Amortization - Table Test'!$C$2</definedName>
    <definedName name="subjectKnownBalanceDate">'Amortization - Table Test'!$C$6</definedName>
    <definedName name="subjectMortgageEndDate">'Amortization - Table Test'!$C$7</definedName>
    <definedName name="subjectPayment">'Amortization - Table Test'!$C$5</definedName>
    <definedName name="subjectRemainingMonths">'Amortization - Table Test'!$D$4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71" l="1"/>
  <c r="B20" i="71" s="1"/>
  <c r="C3" i="71"/>
  <c r="D4" i="71"/>
  <c r="C4" i="71" s="1"/>
  <c r="A20" i="71"/>
  <c r="N20" i="71" s="1"/>
  <c r="A21" i="71"/>
  <c r="N21" i="71" s="1"/>
  <c r="P14" i="71"/>
  <c r="P13" i="71"/>
  <c r="L20" i="71"/>
  <c r="Q8" i="71"/>
  <c r="R3" i="71"/>
  <c r="Q3" i="71"/>
  <c r="P3" i="71"/>
  <c r="O2"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A22" i="71" l="1"/>
  <c r="AC10" i="71"/>
  <c r="E20" i="71"/>
  <c r="J20" i="71" s="1"/>
  <c r="C5" i="71"/>
  <c r="O3" i="71"/>
  <c r="P4" i="71" s="1"/>
  <c r="R11" i="71"/>
  <c r="Q11" i="71"/>
  <c r="P11" i="71"/>
  <c r="S14" i="71"/>
  <c r="S13"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N22" i="71" l="1"/>
  <c r="A23" i="71"/>
  <c r="C20" i="71"/>
  <c r="S21" i="71"/>
  <c r="Y21" i="71"/>
  <c r="Q21" i="71" s="1"/>
  <c r="S22" i="71"/>
  <c r="Y20" i="71"/>
  <c r="Y22" i="71"/>
  <c r="Q22" i="71" s="1"/>
  <c r="S20"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N23" i="71" l="1"/>
  <c r="A24" i="71"/>
  <c r="D20" i="71"/>
  <c r="K20" i="71" s="1"/>
  <c r="B21" i="71" s="1"/>
  <c r="I20" i="71"/>
  <c r="T21" i="71"/>
  <c r="AB21" i="71"/>
  <c r="R21" i="71"/>
  <c r="Z21" i="71"/>
  <c r="T22" i="71"/>
  <c r="R22" i="71"/>
  <c r="Z22" i="71"/>
  <c r="AB22" i="71"/>
  <c r="Q20" i="71"/>
  <c r="P20" i="71"/>
  <c r="P21" i="71"/>
  <c r="P22" i="71"/>
  <c r="U11" i="7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N24" i="71" l="1"/>
  <c r="A25" i="71"/>
  <c r="P23" i="71"/>
  <c r="Y23" i="71"/>
  <c r="Q23" i="71" s="1"/>
  <c r="S23" i="71"/>
  <c r="E21" i="71"/>
  <c r="J21" i="71" s="1"/>
  <c r="C21" i="71"/>
  <c r="D21" i="71" s="1"/>
  <c r="I21" i="71" s="1"/>
  <c r="T20" i="71"/>
  <c r="R20" i="71"/>
  <c r="Z20" i="71"/>
  <c r="AB20" i="71"/>
  <c r="AC20" i="71"/>
  <c r="AC21" i="71" s="1"/>
  <c r="AC22" i="71" s="1"/>
  <c r="AC23" i="71" s="1"/>
  <c r="U22" i="71"/>
  <c r="V22" i="71"/>
  <c r="U21" i="71"/>
  <c r="V21" i="71" s="1"/>
  <c r="V743" i="69"/>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R23" i="71" l="1"/>
  <c r="U23" i="71" s="1"/>
  <c r="AB23" i="71"/>
  <c r="Z23" i="71"/>
  <c r="T23" i="71"/>
  <c r="AC24" i="71"/>
  <c r="N25" i="71"/>
  <c r="A26" i="71"/>
  <c r="S24" i="71"/>
  <c r="Y24" i="71"/>
  <c r="Q24" i="71" s="1"/>
  <c r="P24" i="71"/>
  <c r="K21" i="71"/>
  <c r="B22" i="71" s="1"/>
  <c r="U20" i="71"/>
  <c r="V20" i="71"/>
  <c r="W20" i="71"/>
  <c r="W22" i="71"/>
  <c r="W23" i="71"/>
  <c r="W21" i="71"/>
  <c r="D20" i="69"/>
  <c r="N26" i="71" l="1"/>
  <c r="A27" i="71"/>
  <c r="Y25" i="71"/>
  <c r="Q25" i="71" s="1"/>
  <c r="S25" i="71"/>
  <c r="P25" i="71"/>
  <c r="AC25" i="71"/>
  <c r="R24" i="71"/>
  <c r="T24" i="71"/>
  <c r="AB24" i="71"/>
  <c r="Z24" i="71"/>
  <c r="V23" i="71"/>
  <c r="E22" i="71"/>
  <c r="J22" i="71" s="1"/>
  <c r="I20" i="69"/>
  <c r="K20" i="69"/>
  <c r="U24" i="71" l="1"/>
  <c r="V24" i="71"/>
  <c r="W24" i="71"/>
  <c r="T25" i="71"/>
  <c r="R25" i="71"/>
  <c r="AB25" i="71"/>
  <c r="Z25" i="71"/>
  <c r="N27" i="71"/>
  <c r="A28" i="71"/>
  <c r="C22" i="71"/>
  <c r="D22" i="71" s="1"/>
  <c r="I22" i="71" s="1"/>
  <c r="S26" i="71"/>
  <c r="Y26" i="71"/>
  <c r="Q26" i="71" s="1"/>
  <c r="P26" i="71"/>
  <c r="K22" i="71"/>
  <c r="B23" i="71" s="1"/>
  <c r="L554" i="69"/>
  <c r="B21" i="69"/>
  <c r="C21" i="69"/>
  <c r="A20" i="69"/>
  <c r="N28" i="71" l="1"/>
  <c r="A29" i="71"/>
  <c r="Y27" i="71"/>
  <c r="Q27" i="71" s="1"/>
  <c r="S27" i="71"/>
  <c r="P27" i="71"/>
  <c r="Z26" i="71"/>
  <c r="R26" i="71"/>
  <c r="T26" i="71"/>
  <c r="AB26" i="71"/>
  <c r="AC26" i="71"/>
  <c r="AC27" i="71" s="1"/>
  <c r="U25" i="71"/>
  <c r="V25" i="71" s="1"/>
  <c r="W25" i="71"/>
  <c r="E23" i="71"/>
  <c r="J23" i="71" s="1"/>
  <c r="C23" i="71"/>
  <c r="D23" i="71" s="1"/>
  <c r="I23" i="71" s="1"/>
  <c r="M21" i="71"/>
  <c r="N20" i="69"/>
  <c r="Z20" i="69" s="1"/>
  <c r="Q20" i="69" s="1"/>
  <c r="AC20" i="69" s="1"/>
  <c r="S20" i="69"/>
  <c r="M20" i="69"/>
  <c r="L555" i="69"/>
  <c r="E21" i="69"/>
  <c r="J21" i="69" s="1"/>
  <c r="V26" i="71" l="1"/>
  <c r="U26" i="71"/>
  <c r="W26" i="71"/>
  <c r="W27" i="71"/>
  <c r="Z27" i="71"/>
  <c r="AB27" i="71"/>
  <c r="T27" i="71"/>
  <c r="R27" i="71"/>
  <c r="U27" i="71" s="1"/>
  <c r="N29" i="71"/>
  <c r="A30" i="71"/>
  <c r="Y28" i="71"/>
  <c r="Q28" i="71" s="1"/>
  <c r="S28" i="71"/>
  <c r="P28" i="71"/>
  <c r="K23" i="71"/>
  <c r="B24" i="71" s="1"/>
  <c r="L21" i="71"/>
  <c r="P20" i="69"/>
  <c r="AB20" i="69"/>
  <c r="L556" i="69"/>
  <c r="D21" i="69"/>
  <c r="N30" i="71" l="1"/>
  <c r="A31" i="71"/>
  <c r="Z28" i="71"/>
  <c r="AB28" i="71"/>
  <c r="T28" i="71"/>
  <c r="R28" i="71"/>
  <c r="Y29" i="71"/>
  <c r="Q29" i="71" s="1"/>
  <c r="S29" i="71"/>
  <c r="P29" i="71"/>
  <c r="AC28" i="71"/>
  <c r="V27" i="71"/>
  <c r="E24" i="71"/>
  <c r="J24" i="71" s="1"/>
  <c r="R20" i="69"/>
  <c r="U20" i="69" s="1"/>
  <c r="Y20" i="69"/>
  <c r="T20" i="69"/>
  <c r="L557" i="69"/>
  <c r="I21" i="69"/>
  <c r="K21" i="69"/>
  <c r="U28" i="71" l="1"/>
  <c r="V28" i="71"/>
  <c r="W29" i="71"/>
  <c r="W28" i="71"/>
  <c r="C24" i="71"/>
  <c r="D24" i="71" s="1"/>
  <c r="I24" i="71" s="1"/>
  <c r="AB29" i="71"/>
  <c r="T29" i="71"/>
  <c r="R29" i="71"/>
  <c r="Z29" i="71"/>
  <c r="AC29" i="71"/>
  <c r="N31" i="71"/>
  <c r="A32" i="71"/>
  <c r="Y30" i="71"/>
  <c r="Q30" i="71" s="1"/>
  <c r="P30" i="71"/>
  <c r="S30" i="71"/>
  <c r="W20" i="69"/>
  <c r="V20" i="69"/>
  <c r="L558" i="69"/>
  <c r="L506" i="69"/>
  <c r="L20" i="69"/>
  <c r="C22" i="69"/>
  <c r="B22" i="69"/>
  <c r="A21" i="69"/>
  <c r="Y31" i="71" l="1"/>
  <c r="P31" i="71"/>
  <c r="AC30" i="71"/>
  <c r="N32" i="71"/>
  <c r="A33" i="71"/>
  <c r="AB30" i="71"/>
  <c r="Z30" i="71"/>
  <c r="R30" i="71"/>
  <c r="T30" i="71"/>
  <c r="K24" i="71"/>
  <c r="B25" i="71" s="1"/>
  <c r="U29" i="71"/>
  <c r="V29" i="71" s="1"/>
  <c r="E25" i="71"/>
  <c r="J25" i="71" s="1"/>
  <c r="M22" i="71"/>
  <c r="S21" i="69"/>
  <c r="M21" i="69"/>
  <c r="N21" i="69"/>
  <c r="Z21" i="69" s="1"/>
  <c r="Q21" i="69" s="1"/>
  <c r="AC21" i="69" s="1"/>
  <c r="L559" i="69"/>
  <c r="L507" i="69"/>
  <c r="E22" i="69"/>
  <c r="J22" i="69" s="1"/>
  <c r="Y32" i="71" l="1"/>
  <c r="P32" i="71"/>
  <c r="U30" i="71"/>
  <c r="V30" i="71"/>
  <c r="W30" i="71"/>
  <c r="N33" i="71"/>
  <c r="A34" i="71"/>
  <c r="C25" i="71"/>
  <c r="D25" i="71" s="1"/>
  <c r="L22" i="71"/>
  <c r="P21" i="69"/>
  <c r="R21" i="69"/>
  <c r="L560" i="69"/>
  <c r="L508" i="69"/>
  <c r="D22" i="69"/>
  <c r="A35" i="71" l="1"/>
  <c r="N34" i="71"/>
  <c r="Y33" i="71"/>
  <c r="P33" i="71"/>
  <c r="I25" i="71"/>
  <c r="K25" i="71"/>
  <c r="B26" i="71" s="1"/>
  <c r="Y21" i="69"/>
  <c r="T21" i="69"/>
  <c r="AB21" i="69"/>
  <c r="W21" i="69"/>
  <c r="U21" i="69"/>
  <c r="L561" i="69"/>
  <c r="L509" i="69"/>
  <c r="I22" i="69"/>
  <c r="K22" i="69"/>
  <c r="Y34" i="71" l="1"/>
  <c r="P34" i="71"/>
  <c r="A36" i="71"/>
  <c r="N35" i="71"/>
  <c r="E26" i="71"/>
  <c r="J26" i="71" s="1"/>
  <c r="C26" i="71"/>
  <c r="D26" i="71" s="1"/>
  <c r="I26" i="71" s="1"/>
  <c r="M23" i="71"/>
  <c r="V21" i="69"/>
  <c r="L562" i="69"/>
  <c r="L510" i="69"/>
  <c r="B23" i="69"/>
  <c r="C23" i="69"/>
  <c r="A22" i="69"/>
  <c r="L21" i="69"/>
  <c r="Y35" i="71" l="1"/>
  <c r="P35" i="71"/>
  <c r="N36" i="71"/>
  <c r="A37" i="71"/>
  <c r="K26" i="71"/>
  <c r="B27" i="71" s="1"/>
  <c r="L23" i="71"/>
  <c r="S22" i="69"/>
  <c r="N22" i="69"/>
  <c r="Z22" i="69" s="1"/>
  <c r="Q22" i="69" s="1"/>
  <c r="AC22" i="69" s="1"/>
  <c r="M22" i="69"/>
  <c r="L563" i="69"/>
  <c r="L511" i="69"/>
  <c r="E23" i="69"/>
  <c r="J23" i="69" s="1"/>
  <c r="Y36" i="71" l="1"/>
  <c r="P36" i="71"/>
  <c r="N37" i="71"/>
  <c r="A38" i="71"/>
  <c r="E27" i="71"/>
  <c r="J27" i="71" s="1"/>
  <c r="C27" i="71"/>
  <c r="D27" i="71" s="1"/>
  <c r="I27" i="71" s="1"/>
  <c r="P22" i="69"/>
  <c r="AB22" i="69"/>
  <c r="L564" i="69"/>
  <c r="L512" i="69"/>
  <c r="D23" i="69"/>
  <c r="N38" i="71" l="1"/>
  <c r="A39" i="71"/>
  <c r="Y37" i="71"/>
  <c r="P37" i="71"/>
  <c r="K27" i="71"/>
  <c r="B28" i="71" s="1"/>
  <c r="T22" i="69"/>
  <c r="R22" i="69"/>
  <c r="U22" i="69" s="1"/>
  <c r="Y22" i="69"/>
  <c r="L565" i="69"/>
  <c r="L513" i="69"/>
  <c r="I23" i="69"/>
  <c r="K23" i="69"/>
  <c r="N39" i="71" l="1"/>
  <c r="A40" i="71"/>
  <c r="P38" i="71"/>
  <c r="Y38" i="71"/>
  <c r="E28" i="71"/>
  <c r="J28" i="71" s="1"/>
  <c r="M24" i="71"/>
  <c r="V22" i="69"/>
  <c r="W22" i="69"/>
  <c r="L566" i="69"/>
  <c r="L514" i="69"/>
  <c r="L22" i="69"/>
  <c r="A23" i="69"/>
  <c r="C24" i="69"/>
  <c r="B24" i="69"/>
  <c r="N40" i="71" l="1"/>
  <c r="A41" i="71"/>
  <c r="P39" i="71"/>
  <c r="Y39" i="71"/>
  <c r="C28" i="71"/>
  <c r="D28" i="71" s="1"/>
  <c r="L24" i="71"/>
  <c r="S23" i="69"/>
  <c r="N23" i="69"/>
  <c r="Z23" i="69" s="1"/>
  <c r="Q23" i="69" s="1"/>
  <c r="AC23" i="69" s="1"/>
  <c r="M23" i="69"/>
  <c r="L567" i="69"/>
  <c r="L515" i="69"/>
  <c r="E24" i="69"/>
  <c r="J24" i="69" s="1"/>
  <c r="A42" i="71" l="1"/>
  <c r="N41" i="71"/>
  <c r="P40" i="71"/>
  <c r="Y40" i="71"/>
  <c r="I28" i="71"/>
  <c r="K28" i="71"/>
  <c r="B29" i="71" s="1"/>
  <c r="P23" i="69"/>
  <c r="AB23" i="69"/>
  <c r="D24" i="69"/>
  <c r="L568" i="69"/>
  <c r="L516" i="69"/>
  <c r="Y41" i="71" l="1"/>
  <c r="P41" i="71"/>
  <c r="A43" i="71"/>
  <c r="N42" i="71"/>
  <c r="E29" i="71"/>
  <c r="J29" i="71" s="1"/>
  <c r="T23" i="69"/>
  <c r="R23" i="69"/>
  <c r="U23" i="69" s="1"/>
  <c r="Y23" i="69"/>
  <c r="I24" i="69"/>
  <c r="K24" i="69"/>
  <c r="L569" i="69"/>
  <c r="L517" i="69"/>
  <c r="N43" i="71" l="1"/>
  <c r="A44" i="71"/>
  <c r="P42" i="71"/>
  <c r="Y42" i="71"/>
  <c r="C29" i="71"/>
  <c r="D29" i="71" s="1"/>
  <c r="I29" i="71" s="1"/>
  <c r="K29" i="71"/>
  <c r="B30" i="71" s="1"/>
  <c r="M25" i="71"/>
  <c r="V23" i="69"/>
  <c r="W23" i="69"/>
  <c r="B25" i="69"/>
  <c r="E25" i="69" s="1"/>
  <c r="J25" i="69" s="1"/>
  <c r="A24" i="69"/>
  <c r="C25" i="69"/>
  <c r="L570" i="69"/>
  <c r="L518" i="69"/>
  <c r="L23" i="69"/>
  <c r="N44" i="71" l="1"/>
  <c r="A45" i="71"/>
  <c r="P43" i="71"/>
  <c r="Y43" i="71"/>
  <c r="E30" i="71"/>
  <c r="J30" i="71" s="1"/>
  <c r="C30" i="71"/>
  <c r="D30" i="71" s="1"/>
  <c r="I30" i="71" s="1"/>
  <c r="L25" i="71"/>
  <c r="D25" i="69"/>
  <c r="I25" i="69" s="1"/>
  <c r="S24" i="69"/>
  <c r="N24" i="69"/>
  <c r="Z24" i="69" s="1"/>
  <c r="Q24" i="69" s="1"/>
  <c r="AC24" i="69" s="1"/>
  <c r="M24" i="69"/>
  <c r="L571" i="69"/>
  <c r="L519" i="69"/>
  <c r="A46" i="71" l="1"/>
  <c r="N45" i="71"/>
  <c r="P44" i="71"/>
  <c r="Y44" i="71"/>
  <c r="K30" i="71"/>
  <c r="B31" i="71" s="1"/>
  <c r="P24" i="69"/>
  <c r="AB24" i="69"/>
  <c r="K25" i="69"/>
  <c r="A25" i="69" s="1"/>
  <c r="L572" i="69"/>
  <c r="L520" i="69"/>
  <c r="Y45" i="71" l="1"/>
  <c r="P45" i="71"/>
  <c r="N46" i="71"/>
  <c r="A47" i="71"/>
  <c r="E31" i="71"/>
  <c r="J31" i="71" s="1"/>
  <c r="C31" i="71"/>
  <c r="D31" i="71" s="1"/>
  <c r="I31" i="71" s="1"/>
  <c r="M26" i="71"/>
  <c r="L26" i="71" s="1"/>
  <c r="Y24" i="69"/>
  <c r="T24" i="69"/>
  <c r="R24" i="69"/>
  <c r="U24" i="69" s="1"/>
  <c r="M25" i="69"/>
  <c r="N25" i="69"/>
  <c r="Z25" i="69" s="1"/>
  <c r="Q25" i="69" s="1"/>
  <c r="AC25" i="69" s="1"/>
  <c r="S25" i="69"/>
  <c r="C26" i="69"/>
  <c r="B26" i="69"/>
  <c r="E26" i="69" s="1"/>
  <c r="J26" i="69" s="1"/>
  <c r="L573" i="69"/>
  <c r="L521" i="69"/>
  <c r="N47" i="71" l="1"/>
  <c r="A48" i="71"/>
  <c r="Y46" i="71"/>
  <c r="P46" i="71"/>
  <c r="K31" i="71"/>
  <c r="B32" i="71" s="1"/>
  <c r="P25" i="69"/>
  <c r="R25" i="69"/>
  <c r="V24" i="69"/>
  <c r="W24" i="69"/>
  <c r="D26" i="69"/>
  <c r="K26" i="69" s="1"/>
  <c r="L574" i="69"/>
  <c r="L522" i="69"/>
  <c r="L24" i="69"/>
  <c r="N48" i="71" l="1"/>
  <c r="A49" i="71"/>
  <c r="P47" i="71"/>
  <c r="Y47" i="71"/>
  <c r="E32" i="71"/>
  <c r="J32" i="71" s="1"/>
  <c r="C32" i="71"/>
  <c r="D32" i="71" s="1"/>
  <c r="I32" i="71" s="1"/>
  <c r="Y25" i="69"/>
  <c r="AB25" i="69"/>
  <c r="T25" i="69"/>
  <c r="I26" i="69"/>
  <c r="W25" i="69"/>
  <c r="U25" i="69"/>
  <c r="L575" i="69"/>
  <c r="L523" i="69"/>
  <c r="B27" i="69"/>
  <c r="C27" i="69"/>
  <c r="A26" i="69"/>
  <c r="N49" i="71" l="1"/>
  <c r="A50" i="71"/>
  <c r="P48" i="71"/>
  <c r="Y48" i="71"/>
  <c r="K32" i="71"/>
  <c r="B33" i="71" s="1"/>
  <c r="V25" i="69"/>
  <c r="S26" i="69"/>
  <c r="N26" i="69"/>
  <c r="Z26" i="69" s="1"/>
  <c r="Q26" i="69" s="1"/>
  <c r="AC26" i="69" s="1"/>
  <c r="M26" i="69"/>
  <c r="L576" i="69"/>
  <c r="L524" i="69"/>
  <c r="E27" i="69"/>
  <c r="J27" i="69" s="1"/>
  <c r="A51" i="71" l="1"/>
  <c r="N50" i="71"/>
  <c r="P49" i="71"/>
  <c r="Y49" i="71"/>
  <c r="E33" i="71"/>
  <c r="J33" i="71" s="1"/>
  <c r="C33" i="71"/>
  <c r="D33" i="71" s="1"/>
  <c r="I33" i="71" s="1"/>
  <c r="M27" i="71"/>
  <c r="L27" i="71" s="1"/>
  <c r="P26" i="69"/>
  <c r="AB26" i="69"/>
  <c r="L577" i="69"/>
  <c r="L525" i="69"/>
  <c r="D27" i="69"/>
  <c r="L25" i="69"/>
  <c r="Y50" i="71" l="1"/>
  <c r="P50" i="71"/>
  <c r="N51" i="71"/>
  <c r="A52" i="71"/>
  <c r="K33" i="71"/>
  <c r="B34" i="71" s="1"/>
  <c r="Y26" i="69"/>
  <c r="T26" i="69"/>
  <c r="R26" i="69"/>
  <c r="U26" i="69" s="1"/>
  <c r="L578" i="69"/>
  <c r="L526" i="69"/>
  <c r="I27" i="69"/>
  <c r="K27" i="69"/>
  <c r="A53" i="71" l="1"/>
  <c r="N52" i="71"/>
  <c r="P51" i="71"/>
  <c r="Y51" i="71"/>
  <c r="E34" i="71"/>
  <c r="J34" i="71" s="1"/>
  <c r="V26" i="69"/>
  <c r="W26" i="69"/>
  <c r="L579" i="69"/>
  <c r="L527" i="69"/>
  <c r="A27" i="69"/>
  <c r="C28" i="69"/>
  <c r="B28" i="69"/>
  <c r="C34" i="71" l="1"/>
  <c r="D34" i="71" s="1"/>
  <c r="I34" i="71" s="1"/>
  <c r="Y52" i="71"/>
  <c r="P52" i="71"/>
  <c r="A54" i="71"/>
  <c r="N53" i="71"/>
  <c r="K34" i="71"/>
  <c r="B35" i="71" s="1"/>
  <c r="S27" i="69"/>
  <c r="N27" i="69"/>
  <c r="Z27" i="69" s="1"/>
  <c r="Q27" i="69" s="1"/>
  <c r="AC27" i="69" s="1"/>
  <c r="M27" i="69"/>
  <c r="L580" i="69"/>
  <c r="L528" i="69"/>
  <c r="E28" i="69"/>
  <c r="J28" i="69" s="1"/>
  <c r="P53" i="71" l="1"/>
  <c r="Y53" i="71"/>
  <c r="N54" i="71"/>
  <c r="A55" i="71"/>
  <c r="E35" i="71"/>
  <c r="J35" i="71" s="1"/>
  <c r="C35" i="71"/>
  <c r="D35" i="71" s="1"/>
  <c r="I35" i="71" s="1"/>
  <c r="M28" i="71"/>
  <c r="L28" i="71" s="1"/>
  <c r="P27" i="69"/>
  <c r="AB27" i="69"/>
  <c r="L581" i="69"/>
  <c r="L529" i="69"/>
  <c r="L26" i="69"/>
  <c r="D28" i="69"/>
  <c r="N55" i="71" l="1"/>
  <c r="A56" i="71"/>
  <c r="P54" i="71"/>
  <c r="Y54" i="71"/>
  <c r="K35" i="71"/>
  <c r="B36" i="71" s="1"/>
  <c r="R27" i="69"/>
  <c r="U27" i="69" s="1"/>
  <c r="T27" i="69"/>
  <c r="Y27" i="69"/>
  <c r="L582" i="69"/>
  <c r="L530" i="69"/>
  <c r="I28" i="69"/>
  <c r="K28" i="69"/>
  <c r="A57" i="71" l="1"/>
  <c r="N56" i="71"/>
  <c r="P55" i="71"/>
  <c r="Y55" i="71"/>
  <c r="E36" i="71"/>
  <c r="J36" i="71" s="1"/>
  <c r="C36" i="71"/>
  <c r="D36" i="71" s="1"/>
  <c r="I36" i="71" s="1"/>
  <c r="W27" i="69"/>
  <c r="V27" i="69"/>
  <c r="L583" i="69"/>
  <c r="L531" i="69"/>
  <c r="B29" i="69"/>
  <c r="C29" i="69"/>
  <c r="A28" i="69"/>
  <c r="P56" i="71" l="1"/>
  <c r="Y56" i="71"/>
  <c r="A58" i="71"/>
  <c r="N57" i="71"/>
  <c r="K36" i="71"/>
  <c r="B37" i="71" s="1"/>
  <c r="S28" i="69"/>
  <c r="N28" i="69"/>
  <c r="Z28" i="69" s="1"/>
  <c r="Q28" i="69" s="1"/>
  <c r="AC28" i="69" s="1"/>
  <c r="M28" i="69"/>
  <c r="L584" i="69"/>
  <c r="L532" i="69"/>
  <c r="E29" i="69"/>
  <c r="J29" i="69" s="1"/>
  <c r="P57" i="71" l="1"/>
  <c r="Y57" i="71"/>
  <c r="N58" i="71"/>
  <c r="A59" i="71"/>
  <c r="E37" i="71"/>
  <c r="J37" i="71" s="1"/>
  <c r="M29" i="71"/>
  <c r="L29" i="71" s="1"/>
  <c r="P28" i="69"/>
  <c r="AB28" i="69"/>
  <c r="L585" i="69"/>
  <c r="L533" i="69"/>
  <c r="D29" i="69"/>
  <c r="L27" i="69"/>
  <c r="C37" i="71" l="1"/>
  <c r="D37" i="71" s="1"/>
  <c r="I37" i="71" s="1"/>
  <c r="P58" i="71"/>
  <c r="Y58" i="71"/>
  <c r="N59" i="71"/>
  <c r="A60" i="71"/>
  <c r="K37" i="71"/>
  <c r="B38" i="71" s="1"/>
  <c r="R28" i="69"/>
  <c r="W28" i="69" s="1"/>
  <c r="T28" i="69"/>
  <c r="Y28" i="69"/>
  <c r="L586" i="69"/>
  <c r="L534" i="69"/>
  <c r="I29" i="69"/>
  <c r="K29" i="69"/>
  <c r="A61" i="71" l="1"/>
  <c r="N60" i="71"/>
  <c r="P59" i="71"/>
  <c r="Y59" i="71"/>
  <c r="E38" i="71"/>
  <c r="J38" i="71" s="1"/>
  <c r="U28" i="69"/>
  <c r="V28" i="69" s="1"/>
  <c r="L587" i="69"/>
  <c r="L535" i="69"/>
  <c r="C30" i="69"/>
  <c r="B30" i="69"/>
  <c r="A29" i="69"/>
  <c r="C38" i="71" l="1"/>
  <c r="D38" i="71" s="1"/>
  <c r="I38" i="71" s="1"/>
  <c r="Y60" i="71"/>
  <c r="P60" i="71"/>
  <c r="A62" i="71"/>
  <c r="N61" i="71"/>
  <c r="K38" i="71"/>
  <c r="B39" i="71" s="1"/>
  <c r="M30" i="71"/>
  <c r="L30" i="71" s="1"/>
  <c r="S29" i="69"/>
  <c r="N29" i="69"/>
  <c r="Z29" i="69" s="1"/>
  <c r="Q29" i="69" s="1"/>
  <c r="AC29" i="69" s="1"/>
  <c r="M29" i="69"/>
  <c r="L588" i="69"/>
  <c r="L536" i="69"/>
  <c r="L28" i="69"/>
  <c r="E30" i="69"/>
  <c r="J30" i="69" s="1"/>
  <c r="P61" i="71" l="1"/>
  <c r="Y61" i="71"/>
  <c r="A63" i="71"/>
  <c r="N62" i="71"/>
  <c r="E39" i="71"/>
  <c r="J39" i="71" s="1"/>
  <c r="P29" i="69"/>
  <c r="AB29" i="69"/>
  <c r="D30" i="69"/>
  <c r="I30" i="69" s="1"/>
  <c r="L589" i="69"/>
  <c r="L537" i="69"/>
  <c r="P62" i="71" l="1"/>
  <c r="Y62" i="71"/>
  <c r="N63" i="71"/>
  <c r="A64" i="71"/>
  <c r="C39" i="71"/>
  <c r="D39" i="71" s="1"/>
  <c r="T29" i="69"/>
  <c r="R29" i="69"/>
  <c r="U29" i="69" s="1"/>
  <c r="Y29" i="69"/>
  <c r="K30" i="69"/>
  <c r="A30" i="69" s="1"/>
  <c r="L590" i="69"/>
  <c r="L538" i="69"/>
  <c r="L29" i="69"/>
  <c r="N64" i="71" l="1"/>
  <c r="A65" i="71"/>
  <c r="Y63" i="71"/>
  <c r="P63" i="71"/>
  <c r="I39" i="71"/>
  <c r="K39" i="71"/>
  <c r="B40" i="71" s="1"/>
  <c r="V29" i="69"/>
  <c r="W29" i="69"/>
  <c r="C31" i="69"/>
  <c r="B31" i="69"/>
  <c r="E31" i="69" s="1"/>
  <c r="J31" i="69" s="1"/>
  <c r="N30" i="69"/>
  <c r="Z30" i="69" s="1"/>
  <c r="Q30" i="69" s="1"/>
  <c r="AC30" i="69" s="1"/>
  <c r="S30" i="69"/>
  <c r="M30" i="69"/>
  <c r="L591" i="69"/>
  <c r="L539" i="69"/>
  <c r="N65" i="71" l="1"/>
  <c r="A66" i="71"/>
  <c r="Y64" i="71"/>
  <c r="P64" i="71"/>
  <c r="E40" i="71"/>
  <c r="J40" i="71" s="1"/>
  <c r="M31" i="71"/>
  <c r="L31" i="71" s="1"/>
  <c r="P30" i="69"/>
  <c r="AB30" i="69"/>
  <c r="L592" i="69"/>
  <c r="L540" i="69"/>
  <c r="D31" i="69"/>
  <c r="A67" i="71" l="1"/>
  <c r="N66" i="71"/>
  <c r="Y65" i="71"/>
  <c r="P65" i="71"/>
  <c r="C40" i="71"/>
  <c r="D40" i="71" s="1"/>
  <c r="T30" i="69"/>
  <c r="Y30" i="69"/>
  <c r="R30" i="69"/>
  <c r="U30" i="69" s="1"/>
  <c r="L593" i="69"/>
  <c r="L541" i="69"/>
  <c r="I31" i="69"/>
  <c r="K31" i="69"/>
  <c r="P66" i="71" l="1"/>
  <c r="Y66" i="71"/>
  <c r="N67" i="71"/>
  <c r="A68" i="71"/>
  <c r="I40" i="71"/>
  <c r="K40" i="71"/>
  <c r="B41" i="71" s="1"/>
  <c r="W30" i="69"/>
  <c r="M32" i="71"/>
  <c r="L32" i="71" s="1"/>
  <c r="V30" i="69"/>
  <c r="L594" i="69"/>
  <c r="L542" i="69"/>
  <c r="A31" i="69"/>
  <c r="C32" i="69"/>
  <c r="B32" i="69"/>
  <c r="L30" i="69"/>
  <c r="N68" i="71" l="1"/>
  <c r="A69" i="71"/>
  <c r="Y67" i="71"/>
  <c r="P67" i="71"/>
  <c r="E41" i="71"/>
  <c r="J41" i="71" s="1"/>
  <c r="N31" i="69"/>
  <c r="Z31" i="69" s="1"/>
  <c r="M31" i="69"/>
  <c r="L595" i="69"/>
  <c r="L543" i="69"/>
  <c r="E32" i="69"/>
  <c r="J32" i="69" s="1"/>
  <c r="N69" i="71" l="1"/>
  <c r="A70" i="71"/>
  <c r="P68" i="71"/>
  <c r="Y68" i="71"/>
  <c r="C41" i="71"/>
  <c r="D41" i="71" s="1"/>
  <c r="P31" i="69"/>
  <c r="L596" i="69"/>
  <c r="L544" i="69"/>
  <c r="D32" i="69"/>
  <c r="L31" i="69"/>
  <c r="A71" i="71" l="1"/>
  <c r="N70" i="71"/>
  <c r="P69" i="71"/>
  <c r="Y69" i="71"/>
  <c r="I41" i="71"/>
  <c r="K41" i="71"/>
  <c r="B42" i="71" s="1"/>
  <c r="L597" i="69"/>
  <c r="L545" i="69"/>
  <c r="I32" i="69"/>
  <c r="K32" i="69"/>
  <c r="P70" i="71" l="1"/>
  <c r="Y70" i="71"/>
  <c r="N71" i="71"/>
  <c r="A72" i="71"/>
  <c r="E42" i="71"/>
  <c r="J42" i="71" s="1"/>
  <c r="M33" i="71"/>
  <c r="L33" i="71" s="1"/>
  <c r="L598" i="69"/>
  <c r="L546" i="69"/>
  <c r="B33" i="69"/>
  <c r="C33" i="69"/>
  <c r="A32" i="69"/>
  <c r="N72" i="71" l="1"/>
  <c r="A73" i="71"/>
  <c r="Y71" i="71"/>
  <c r="P71" i="71"/>
  <c r="C42" i="71"/>
  <c r="D42" i="71" s="1"/>
  <c r="N32" i="69"/>
  <c r="Z32" i="69" s="1"/>
  <c r="M32" i="69"/>
  <c r="L599" i="69"/>
  <c r="L547" i="69"/>
  <c r="L548" i="69" s="1"/>
  <c r="E33" i="69"/>
  <c r="J33" i="69" s="1"/>
  <c r="N73" i="71" l="1"/>
  <c r="A74" i="71"/>
  <c r="P72" i="71"/>
  <c r="Y72" i="71"/>
  <c r="I42" i="71"/>
  <c r="K42" i="71"/>
  <c r="B43" i="71" s="1"/>
  <c r="P32" i="69"/>
  <c r="L32" i="69"/>
  <c r="L549" i="69"/>
  <c r="L600" i="69"/>
  <c r="D33" i="69"/>
  <c r="N74" i="71" l="1"/>
  <c r="A75" i="71"/>
  <c r="Y73" i="71"/>
  <c r="P73" i="71"/>
  <c r="E43" i="71"/>
  <c r="J43" i="71" s="1"/>
  <c r="L601" i="69"/>
  <c r="L550" i="69"/>
  <c r="I33" i="69"/>
  <c r="K33" i="69"/>
  <c r="N75" i="71" l="1"/>
  <c r="A76" i="71"/>
  <c r="P74" i="71"/>
  <c r="Y74" i="71"/>
  <c r="C43" i="71"/>
  <c r="D43" i="71" s="1"/>
  <c r="M34" i="71"/>
  <c r="L34" i="71" s="1"/>
  <c r="L551" i="69"/>
  <c r="L602" i="69"/>
  <c r="C34" i="69"/>
  <c r="B34" i="69"/>
  <c r="A33" i="69"/>
  <c r="N76" i="71" l="1"/>
  <c r="A77" i="71"/>
  <c r="P75" i="71"/>
  <c r="Y75" i="71"/>
  <c r="I43" i="71"/>
  <c r="K43" i="71"/>
  <c r="B44" i="71" s="1"/>
  <c r="N33" i="69"/>
  <c r="Z33" i="69" s="1"/>
  <c r="M33" i="69"/>
  <c r="L603" i="69"/>
  <c r="L552" i="69"/>
  <c r="E34" i="69"/>
  <c r="J34" i="69" s="1"/>
  <c r="N77" i="71" l="1"/>
  <c r="A78" i="71"/>
  <c r="Y76" i="71"/>
  <c r="P76" i="71"/>
  <c r="E44" i="71"/>
  <c r="J44" i="71" s="1"/>
  <c r="P33" i="69"/>
  <c r="L33" i="69"/>
  <c r="D34" i="69"/>
  <c r="I34" i="69" s="1"/>
  <c r="L553" i="69"/>
  <c r="L604" i="69"/>
  <c r="C44" i="71" l="1"/>
  <c r="D44" i="71" s="1"/>
  <c r="I44" i="71" s="1"/>
  <c r="N78" i="71"/>
  <c r="A79" i="71"/>
  <c r="P77" i="71"/>
  <c r="Y77" i="71"/>
  <c r="K44" i="71"/>
  <c r="B45" i="71" s="1"/>
  <c r="K34" i="69"/>
  <c r="A34" i="69" s="1"/>
  <c r="L605" i="69"/>
  <c r="A80" i="71" l="1"/>
  <c r="N79" i="71"/>
  <c r="P78" i="71"/>
  <c r="Y78" i="71"/>
  <c r="E45" i="71"/>
  <c r="J45" i="71" s="1"/>
  <c r="M35" i="71"/>
  <c r="L35" i="71" s="1"/>
  <c r="C35" i="69"/>
  <c r="B35" i="69"/>
  <c r="E35" i="69" s="1"/>
  <c r="J35" i="69" s="1"/>
  <c r="N34" i="69"/>
  <c r="Z34" i="69" s="1"/>
  <c r="M34" i="69"/>
  <c r="L606" i="69"/>
  <c r="C45" i="71" l="1"/>
  <c r="D45" i="71" s="1"/>
  <c r="I45" i="71" s="1"/>
  <c r="Y79" i="71"/>
  <c r="P79" i="71"/>
  <c r="A81" i="71"/>
  <c r="N80" i="71"/>
  <c r="K45" i="71"/>
  <c r="B46" i="71" s="1"/>
  <c r="P34" i="69"/>
  <c r="L607" i="69"/>
  <c r="D35" i="69"/>
  <c r="L34" i="69"/>
  <c r="P80" i="71" l="1"/>
  <c r="Y80" i="71"/>
  <c r="N81" i="71"/>
  <c r="A82" i="71"/>
  <c r="E46" i="71"/>
  <c r="J46" i="71" s="1"/>
  <c r="L608" i="69"/>
  <c r="I35" i="69"/>
  <c r="K35" i="69"/>
  <c r="N82" i="71" l="1"/>
  <c r="A83" i="71"/>
  <c r="Y81" i="71"/>
  <c r="P81" i="71"/>
  <c r="C46" i="71"/>
  <c r="D46" i="71" s="1"/>
  <c r="L609" i="69"/>
  <c r="A35" i="69"/>
  <c r="C36" i="69"/>
  <c r="B36" i="69"/>
  <c r="A84" i="71" l="1"/>
  <c r="N83" i="71"/>
  <c r="P82" i="71"/>
  <c r="Y82" i="71"/>
  <c r="I46" i="71"/>
  <c r="K46" i="71"/>
  <c r="B47" i="71" s="1"/>
  <c r="M36" i="71"/>
  <c r="L36" i="71" s="1"/>
  <c r="N35" i="69"/>
  <c r="Z35" i="69" s="1"/>
  <c r="M35" i="69"/>
  <c r="L610" i="69"/>
  <c r="E36" i="69"/>
  <c r="J36" i="69" s="1"/>
  <c r="P83" i="71" l="1"/>
  <c r="Y83" i="71"/>
  <c r="A85" i="71"/>
  <c r="N84" i="71"/>
  <c r="E47" i="71"/>
  <c r="J47" i="71" s="1"/>
  <c r="P35" i="69"/>
  <c r="L35" i="69"/>
  <c r="L611" i="69"/>
  <c r="D36" i="69"/>
  <c r="P84" i="71" l="1"/>
  <c r="Y84" i="71"/>
  <c r="N85" i="71"/>
  <c r="A86" i="71"/>
  <c r="C47" i="71"/>
  <c r="D47" i="71" s="1"/>
  <c r="L612" i="69"/>
  <c r="I36" i="69"/>
  <c r="K36" i="69"/>
  <c r="A87" i="71" l="1"/>
  <c r="N86" i="71"/>
  <c r="P85" i="71"/>
  <c r="Y85" i="71"/>
  <c r="I47" i="71"/>
  <c r="K47" i="71"/>
  <c r="B48" i="71" s="1"/>
  <c r="L613" i="69"/>
  <c r="B37" i="69"/>
  <c r="A36" i="69"/>
  <c r="C37" i="69"/>
  <c r="Y86" i="71" l="1"/>
  <c r="P86" i="71"/>
  <c r="A88" i="71"/>
  <c r="N87" i="71"/>
  <c r="E48" i="71"/>
  <c r="J48" i="71" s="1"/>
  <c r="M37" i="71"/>
  <c r="L37" i="71" s="1"/>
  <c r="N36" i="69"/>
  <c r="Z36" i="69" s="1"/>
  <c r="M36" i="69"/>
  <c r="L614" i="69"/>
  <c r="E37" i="69"/>
  <c r="J37" i="69" s="1"/>
  <c r="Y87" i="71" l="1"/>
  <c r="P87" i="71"/>
  <c r="N88" i="71"/>
  <c r="A89" i="71"/>
  <c r="C48" i="71"/>
  <c r="D48" i="71" s="1"/>
  <c r="P36" i="69"/>
  <c r="L36" i="69"/>
  <c r="L615" i="69"/>
  <c r="D37" i="69"/>
  <c r="N89" i="71" l="1"/>
  <c r="A90" i="71"/>
  <c r="Y88" i="71"/>
  <c r="P88" i="71"/>
  <c r="I48" i="71"/>
  <c r="K48" i="71"/>
  <c r="B49" i="71" s="1"/>
  <c r="L616" i="69"/>
  <c r="I37" i="69"/>
  <c r="K37" i="69"/>
  <c r="A91" i="71" l="1"/>
  <c r="N90" i="71"/>
  <c r="P89" i="71"/>
  <c r="Y89" i="71"/>
  <c r="E49" i="71"/>
  <c r="J49" i="71" s="1"/>
  <c r="L617" i="69"/>
  <c r="C38" i="69"/>
  <c r="B38" i="69"/>
  <c r="A37" i="69"/>
  <c r="P90" i="71" l="1"/>
  <c r="Y90" i="71"/>
  <c r="N91" i="71"/>
  <c r="A92" i="71"/>
  <c r="C49" i="71"/>
  <c r="D49" i="71" s="1"/>
  <c r="M38" i="71"/>
  <c r="L38" i="71" s="1"/>
  <c r="N37" i="69"/>
  <c r="Z37" i="69" s="1"/>
  <c r="M37" i="69"/>
  <c r="L618" i="69"/>
  <c r="E38" i="69"/>
  <c r="J38" i="69" s="1"/>
  <c r="N92" i="71" l="1"/>
  <c r="A93" i="71"/>
  <c r="Y91" i="71"/>
  <c r="P91" i="71"/>
  <c r="I49" i="71"/>
  <c r="K49" i="71"/>
  <c r="B50" i="71" s="1"/>
  <c r="P37" i="69"/>
  <c r="L37" i="69"/>
  <c r="L619" i="69"/>
  <c r="D38" i="69"/>
  <c r="A94" i="71" l="1"/>
  <c r="N93" i="71"/>
  <c r="P92" i="71"/>
  <c r="Y92" i="71"/>
  <c r="E50" i="71"/>
  <c r="J50" i="71" s="1"/>
  <c r="L620" i="69"/>
  <c r="I38" i="69"/>
  <c r="K38" i="69"/>
  <c r="Y93" i="71" l="1"/>
  <c r="P93" i="71"/>
  <c r="A95" i="71"/>
  <c r="N94" i="71"/>
  <c r="C50" i="71"/>
  <c r="D50" i="71" s="1"/>
  <c r="M39" i="71"/>
  <c r="L39" i="71" s="1"/>
  <c r="L621" i="69"/>
  <c r="B39" i="69"/>
  <c r="A38" i="69"/>
  <c r="C39" i="69"/>
  <c r="Y94" i="71" l="1"/>
  <c r="P94" i="71"/>
  <c r="A96" i="71"/>
  <c r="N95" i="71"/>
  <c r="I50" i="71"/>
  <c r="K50" i="71"/>
  <c r="B51" i="71" s="1"/>
  <c r="N38" i="69"/>
  <c r="Z38" i="69" s="1"/>
  <c r="M38" i="69"/>
  <c r="L622" i="69"/>
  <c r="E39" i="69"/>
  <c r="J39" i="69" s="1"/>
  <c r="Y95" i="71" l="1"/>
  <c r="P95" i="71"/>
  <c r="N96" i="71"/>
  <c r="A97" i="71"/>
  <c r="E51" i="71"/>
  <c r="J51" i="71" s="1"/>
  <c r="P38" i="69"/>
  <c r="L38" i="69"/>
  <c r="L623" i="69"/>
  <c r="D39" i="69"/>
  <c r="A98" i="71" l="1"/>
  <c r="N97" i="71"/>
  <c r="Y96" i="71"/>
  <c r="P96" i="71"/>
  <c r="C51" i="71"/>
  <c r="D51" i="71" s="1"/>
  <c r="L624" i="69"/>
  <c r="I39" i="69"/>
  <c r="K39" i="69"/>
  <c r="P97" i="71" l="1"/>
  <c r="Y97" i="71"/>
  <c r="N98" i="71"/>
  <c r="A99" i="71"/>
  <c r="I51" i="71"/>
  <c r="K51" i="71"/>
  <c r="B52" i="71" s="1"/>
  <c r="M40" i="71"/>
  <c r="L40" i="71" s="1"/>
  <c r="L625" i="69"/>
  <c r="A39" i="69"/>
  <c r="C40" i="69"/>
  <c r="B40" i="69"/>
  <c r="P98" i="71" l="1"/>
  <c r="Y98" i="71"/>
  <c r="A100" i="71"/>
  <c r="N99" i="71"/>
  <c r="E52" i="71"/>
  <c r="J52" i="71" s="1"/>
  <c r="N39" i="69"/>
  <c r="Z39" i="69" s="1"/>
  <c r="M39" i="69"/>
  <c r="L626" i="69"/>
  <c r="E40" i="69"/>
  <c r="J40" i="69" s="1"/>
  <c r="Y99" i="71" l="1"/>
  <c r="P99" i="71"/>
  <c r="A101" i="71"/>
  <c r="N100" i="71"/>
  <c r="C52" i="71"/>
  <c r="D52" i="71" s="1"/>
  <c r="P39" i="69"/>
  <c r="L39" i="69"/>
  <c r="L627" i="69"/>
  <c r="D40" i="69"/>
  <c r="Y100" i="71" l="1"/>
  <c r="P100" i="71"/>
  <c r="N101" i="71"/>
  <c r="A102" i="71"/>
  <c r="I52" i="71"/>
  <c r="K52" i="71"/>
  <c r="B53" i="71" s="1"/>
  <c r="M41" i="71"/>
  <c r="L41" i="71" s="1"/>
  <c r="L628" i="69"/>
  <c r="I40" i="69"/>
  <c r="K40" i="69"/>
  <c r="N102" i="71" l="1"/>
  <c r="A103" i="71"/>
  <c r="P101" i="71"/>
  <c r="Y101" i="71"/>
  <c r="E53" i="71"/>
  <c r="J53" i="71" s="1"/>
  <c r="L629" i="69"/>
  <c r="B41" i="69"/>
  <c r="C41" i="69"/>
  <c r="A40" i="69"/>
  <c r="N103" i="71" l="1"/>
  <c r="A104" i="71"/>
  <c r="Y102" i="71"/>
  <c r="P102" i="71"/>
  <c r="C53" i="71"/>
  <c r="D53" i="71" s="1"/>
  <c r="N40" i="69"/>
  <c r="Z40" i="69" s="1"/>
  <c r="M40" i="69"/>
  <c r="L630" i="69"/>
  <c r="E41" i="69"/>
  <c r="J41" i="69" s="1"/>
  <c r="A105" i="71" l="1"/>
  <c r="N104" i="71"/>
  <c r="Y103" i="71"/>
  <c r="P103" i="71"/>
  <c r="I53" i="71"/>
  <c r="K53" i="71"/>
  <c r="B54" i="71" s="1"/>
  <c r="P40" i="69"/>
  <c r="L40" i="69"/>
  <c r="L631" i="69"/>
  <c r="D41" i="69"/>
  <c r="Y104" i="71" l="1"/>
  <c r="P104" i="71"/>
  <c r="A106" i="71"/>
  <c r="N105" i="71"/>
  <c r="E54" i="71"/>
  <c r="J54" i="71" s="1"/>
  <c r="M42" i="71"/>
  <c r="L42" i="71" s="1"/>
  <c r="L632" i="69"/>
  <c r="I41" i="69"/>
  <c r="K41" i="69"/>
  <c r="Y105" i="71" l="1"/>
  <c r="P105" i="71"/>
  <c r="N106" i="71"/>
  <c r="A107" i="71"/>
  <c r="C54" i="71"/>
  <c r="D54" i="71" s="1"/>
  <c r="L633" i="69"/>
  <c r="C42" i="69"/>
  <c r="B42" i="69"/>
  <c r="A41" i="69"/>
  <c r="N107" i="71" l="1"/>
  <c r="A108" i="71"/>
  <c r="P106" i="71"/>
  <c r="Y106" i="71"/>
  <c r="I54" i="71"/>
  <c r="K54" i="71"/>
  <c r="B55" i="71" s="1"/>
  <c r="N41" i="69"/>
  <c r="Z41" i="69" s="1"/>
  <c r="M41" i="69"/>
  <c r="L634" i="69"/>
  <c r="E42" i="69"/>
  <c r="J42" i="69" s="1"/>
  <c r="N108" i="71" l="1"/>
  <c r="A109" i="71"/>
  <c r="P107" i="71"/>
  <c r="Y107" i="71"/>
  <c r="E55" i="71"/>
  <c r="J55" i="71" s="1"/>
  <c r="P41" i="69"/>
  <c r="L41" i="69"/>
  <c r="L635" i="69"/>
  <c r="D42" i="69"/>
  <c r="N109" i="71" l="1"/>
  <c r="A110" i="71"/>
  <c r="P108" i="71"/>
  <c r="Y108" i="71"/>
  <c r="C55" i="71"/>
  <c r="D55" i="71" s="1"/>
  <c r="M43" i="71"/>
  <c r="L43" i="71" s="1"/>
  <c r="L636" i="69"/>
  <c r="I42" i="69"/>
  <c r="K42" i="69"/>
  <c r="A111" i="71" l="1"/>
  <c r="N110" i="71"/>
  <c r="Y109" i="71"/>
  <c r="P109" i="71"/>
  <c r="I55" i="71"/>
  <c r="K55" i="71"/>
  <c r="B56" i="71" s="1"/>
  <c r="L637" i="69"/>
  <c r="B43" i="69"/>
  <c r="C43" i="69"/>
  <c r="A42" i="69"/>
  <c r="Y110" i="71" l="1"/>
  <c r="P110" i="71"/>
  <c r="N111" i="71"/>
  <c r="A112" i="71"/>
  <c r="E56" i="71"/>
  <c r="J56" i="71" s="1"/>
  <c r="N42" i="69"/>
  <c r="Z42" i="69" s="1"/>
  <c r="M42" i="69"/>
  <c r="L638" i="69"/>
  <c r="E43" i="69"/>
  <c r="J43" i="69" s="1"/>
  <c r="A113" i="71" l="1"/>
  <c r="N112" i="71"/>
  <c r="Y111" i="71"/>
  <c r="P111" i="71"/>
  <c r="C56" i="71"/>
  <c r="D56" i="71" s="1"/>
  <c r="M44" i="71"/>
  <c r="L44" i="71" s="1"/>
  <c r="P42" i="69"/>
  <c r="L42" i="69"/>
  <c r="D43" i="69"/>
  <c r="I43" i="69" s="1"/>
  <c r="L639" i="69"/>
  <c r="Y112" i="71" l="1"/>
  <c r="P112" i="71"/>
  <c r="N113" i="71"/>
  <c r="A114" i="71"/>
  <c r="I56" i="71"/>
  <c r="K56" i="71"/>
  <c r="B57" i="71" s="1"/>
  <c r="K43" i="69"/>
  <c r="A43" i="69" s="1"/>
  <c r="L640" i="69"/>
  <c r="A115" i="71" l="1"/>
  <c r="N114" i="71"/>
  <c r="P113" i="71"/>
  <c r="Y113" i="71"/>
  <c r="E57" i="71"/>
  <c r="J57" i="71" s="1"/>
  <c r="B44" i="69"/>
  <c r="E44" i="69" s="1"/>
  <c r="J44" i="69" s="1"/>
  <c r="C44" i="69"/>
  <c r="N43" i="69"/>
  <c r="Z43" i="69" s="1"/>
  <c r="M43" i="69"/>
  <c r="L641" i="69"/>
  <c r="P114" i="71" l="1"/>
  <c r="Y114" i="71"/>
  <c r="N115" i="71"/>
  <c r="A116" i="71"/>
  <c r="C57" i="71"/>
  <c r="D57" i="71" s="1"/>
  <c r="P43" i="69"/>
  <c r="D44" i="69"/>
  <c r="I44" i="69" s="1"/>
  <c r="L642" i="69"/>
  <c r="L43" i="69"/>
  <c r="A117" i="71" l="1"/>
  <c r="N116" i="71"/>
  <c r="Y115" i="71"/>
  <c r="P115" i="71"/>
  <c r="I57" i="71"/>
  <c r="K57" i="71"/>
  <c r="B58" i="71" s="1"/>
  <c r="M45" i="71"/>
  <c r="L45" i="71" s="1"/>
  <c r="K44" i="69"/>
  <c r="C45" i="69" s="1"/>
  <c r="L643" i="69"/>
  <c r="P116" i="71" l="1"/>
  <c r="Y116" i="71"/>
  <c r="N117" i="71"/>
  <c r="A118" i="71"/>
  <c r="E58" i="71"/>
  <c r="J58" i="71" s="1"/>
  <c r="B45" i="69"/>
  <c r="E45" i="69" s="1"/>
  <c r="J45" i="69" s="1"/>
  <c r="A44" i="69"/>
  <c r="L644" i="69"/>
  <c r="N118" i="71" l="1"/>
  <c r="A119" i="71"/>
  <c r="Y117" i="71"/>
  <c r="P117" i="71"/>
  <c r="C58" i="71"/>
  <c r="D58" i="71" s="1"/>
  <c r="M44" i="69"/>
  <c r="N44" i="69"/>
  <c r="Z44" i="69" s="1"/>
  <c r="L645" i="69"/>
  <c r="D45" i="69"/>
  <c r="A120" i="71" l="1"/>
  <c r="N119" i="71"/>
  <c r="P118" i="71"/>
  <c r="Y118" i="71"/>
  <c r="I58" i="71"/>
  <c r="K58" i="71"/>
  <c r="B59" i="71" s="1"/>
  <c r="M46" i="71"/>
  <c r="L46" i="71" s="1"/>
  <c r="P44" i="69"/>
  <c r="L44" i="69"/>
  <c r="L646" i="69"/>
  <c r="I45" i="69"/>
  <c r="K45" i="69"/>
  <c r="Y119" i="71" l="1"/>
  <c r="P119" i="71"/>
  <c r="N120" i="71"/>
  <c r="A121" i="71"/>
  <c r="E59" i="71"/>
  <c r="J59" i="71" s="1"/>
  <c r="L647" i="69"/>
  <c r="C46" i="69"/>
  <c r="B46" i="69"/>
  <c r="A45" i="69"/>
  <c r="A122" i="71" l="1"/>
  <c r="N121" i="71"/>
  <c r="P120" i="71"/>
  <c r="Y120" i="71"/>
  <c r="C59" i="71"/>
  <c r="D59" i="71" s="1"/>
  <c r="N45" i="69"/>
  <c r="Z45" i="69" s="1"/>
  <c r="M45" i="69"/>
  <c r="L648" i="69"/>
  <c r="E46" i="69"/>
  <c r="J46" i="69" s="1"/>
  <c r="P121" i="71" l="1"/>
  <c r="Y121" i="71"/>
  <c r="N122" i="71"/>
  <c r="A123" i="71"/>
  <c r="I59" i="71"/>
  <c r="K59" i="71"/>
  <c r="B60" i="71" s="1"/>
  <c r="P45" i="69"/>
  <c r="L45" i="69"/>
  <c r="L649" i="69"/>
  <c r="D46" i="69"/>
  <c r="A124" i="71" l="1"/>
  <c r="N123" i="71"/>
  <c r="Y122" i="71"/>
  <c r="P122" i="71"/>
  <c r="E60" i="71"/>
  <c r="J60" i="71" s="1"/>
  <c r="M47" i="71"/>
  <c r="L47" i="71" s="1"/>
  <c r="L650" i="69"/>
  <c r="I46" i="69"/>
  <c r="K46" i="69"/>
  <c r="Y123" i="71" l="1"/>
  <c r="P123" i="71"/>
  <c r="A125" i="71"/>
  <c r="N124" i="71"/>
  <c r="C60" i="71"/>
  <c r="D60" i="71" s="1"/>
  <c r="L651" i="69"/>
  <c r="B47" i="69"/>
  <c r="C47" i="69"/>
  <c r="A46" i="69"/>
  <c r="P124" i="71" l="1"/>
  <c r="Y124" i="71"/>
  <c r="N125" i="71"/>
  <c r="A126" i="71"/>
  <c r="I60" i="71"/>
  <c r="K60" i="71"/>
  <c r="B61" i="71" s="1"/>
  <c r="N46" i="69"/>
  <c r="Z46" i="69" s="1"/>
  <c r="M46" i="69"/>
  <c r="L652" i="69"/>
  <c r="E47" i="69"/>
  <c r="J47" i="69" s="1"/>
  <c r="A127" i="71" l="1"/>
  <c r="N126" i="71"/>
  <c r="Y125" i="71"/>
  <c r="P125" i="71"/>
  <c r="E61" i="71"/>
  <c r="J61" i="71" s="1"/>
  <c r="C61" i="71"/>
  <c r="D61" i="71" s="1"/>
  <c r="I61" i="71" s="1"/>
  <c r="P46" i="69"/>
  <c r="L46" i="69"/>
  <c r="L653" i="69"/>
  <c r="D47" i="69"/>
  <c r="P126" i="71" l="1"/>
  <c r="Y126" i="71"/>
  <c r="N127" i="71"/>
  <c r="A128" i="71"/>
  <c r="K61" i="71"/>
  <c r="B62" i="71" s="1"/>
  <c r="M48" i="71"/>
  <c r="L48" i="71" s="1"/>
  <c r="L654" i="69"/>
  <c r="I47" i="69"/>
  <c r="K47" i="69"/>
  <c r="N128" i="71" l="1"/>
  <c r="A129" i="71"/>
  <c r="P127" i="71"/>
  <c r="Y127" i="71"/>
  <c r="E62" i="71"/>
  <c r="J62" i="71" s="1"/>
  <c r="L655" i="69"/>
  <c r="A47" i="69"/>
  <c r="C48" i="69"/>
  <c r="B48" i="69"/>
  <c r="A130" i="71" l="1"/>
  <c r="N129" i="71"/>
  <c r="Y128" i="71"/>
  <c r="P128" i="71"/>
  <c r="C62" i="71"/>
  <c r="N47" i="69"/>
  <c r="Z47" i="69" s="1"/>
  <c r="M47" i="69"/>
  <c r="L656" i="69"/>
  <c r="E48" i="69"/>
  <c r="J48" i="69" s="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P47" i="69"/>
  <c r="L47" i="69"/>
  <c r="D48" i="69"/>
  <c r="I48" i="69" s="1"/>
  <c r="L657" i="69"/>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K48" i="69"/>
  <c r="B49" i="69" s="1"/>
  <c r="L658" i="69"/>
  <c r="H62" i="71" l="1"/>
  <c r="H63" i="71" s="1"/>
  <c r="P131" i="71"/>
  <c r="Y131" i="71"/>
  <c r="A133" i="71"/>
  <c r="N132" i="71"/>
  <c r="E63" i="71"/>
  <c r="J63" i="71" s="1"/>
  <c r="A48" i="69"/>
  <c r="C49" i="69"/>
  <c r="L659" i="69"/>
  <c r="E49" i="69"/>
  <c r="J49" i="69" s="1"/>
  <c r="P132" i="71" l="1"/>
  <c r="Y132" i="71"/>
  <c r="N133" i="71"/>
  <c r="A134" i="71"/>
  <c r="C63" i="71"/>
  <c r="D63" i="71" s="1"/>
  <c r="N48" i="69"/>
  <c r="Z48" i="69" s="1"/>
  <c r="M48" i="69"/>
  <c r="L660" i="69"/>
  <c r="D49" i="69"/>
  <c r="A135" i="71" l="1"/>
  <c r="N134" i="71"/>
  <c r="Y133" i="71"/>
  <c r="P133" i="71"/>
  <c r="I63" i="71"/>
  <c r="K63" i="71"/>
  <c r="B64" i="71" s="1"/>
  <c r="M50" i="71"/>
  <c r="L50" i="71" s="1"/>
  <c r="P48" i="69"/>
  <c r="L48" i="69"/>
  <c r="L661" i="69"/>
  <c r="I49" i="69"/>
  <c r="K49" i="69"/>
  <c r="P134" i="71" l="1"/>
  <c r="Y134" i="71"/>
  <c r="A136" i="71"/>
  <c r="N135" i="71"/>
  <c r="E64" i="71"/>
  <c r="J64" i="71" s="1"/>
  <c r="L662" i="69"/>
  <c r="C50" i="69"/>
  <c r="B50" i="69"/>
  <c r="A49" i="69"/>
  <c r="P135" i="71" l="1"/>
  <c r="Y135" i="71"/>
  <c r="A137" i="71"/>
  <c r="N136" i="71"/>
  <c r="C64" i="71"/>
  <c r="D64" i="71" s="1"/>
  <c r="N49" i="69"/>
  <c r="Z49" i="69" s="1"/>
  <c r="M49" i="69"/>
  <c r="L663" i="69"/>
  <c r="E50" i="69"/>
  <c r="J50" i="69" s="1"/>
  <c r="P136" i="71" l="1"/>
  <c r="Y136" i="71"/>
  <c r="A138" i="71"/>
  <c r="N137" i="71"/>
  <c r="I64" i="71"/>
  <c r="H64" i="71"/>
  <c r="K64" i="71"/>
  <c r="B65" i="71" s="1"/>
  <c r="P49" i="69"/>
  <c r="L49" i="69"/>
  <c r="L664" i="69"/>
  <c r="D50" i="69"/>
  <c r="Y137" i="71" l="1"/>
  <c r="P137" i="71"/>
  <c r="A139" i="71"/>
  <c r="N138" i="71"/>
  <c r="E65" i="71"/>
  <c r="J65" i="71" s="1"/>
  <c r="M51" i="71"/>
  <c r="L51" i="71" s="1"/>
  <c r="L665" i="69"/>
  <c r="I50" i="69"/>
  <c r="K50" i="69"/>
  <c r="C65" i="71" l="1"/>
  <c r="D65" i="71" s="1"/>
  <c r="K65" i="71" s="1"/>
  <c r="B66" i="71" s="1"/>
  <c r="N139" i="71"/>
  <c r="A140" i="71"/>
  <c r="Y138" i="71"/>
  <c r="P138" i="71"/>
  <c r="E66" i="71"/>
  <c r="J66" i="71" s="1"/>
  <c r="I65" i="71"/>
  <c r="H65" i="71"/>
  <c r="L666" i="69"/>
  <c r="B51" i="69"/>
  <c r="A50" i="69"/>
  <c r="C51" i="69"/>
  <c r="A141" i="71" l="1"/>
  <c r="N140" i="71"/>
  <c r="P139" i="71"/>
  <c r="Y139" i="71"/>
  <c r="C66" i="71"/>
  <c r="D66" i="71" s="1"/>
  <c r="N50" i="69"/>
  <c r="Z50" i="69" s="1"/>
  <c r="M50" i="69"/>
  <c r="L667" i="69"/>
  <c r="E51" i="69"/>
  <c r="J51" i="69" s="1"/>
  <c r="P140" i="71" l="1"/>
  <c r="Y140" i="71"/>
  <c r="N141" i="71"/>
  <c r="A142" i="71"/>
  <c r="H66" i="71"/>
  <c r="I66" i="71"/>
  <c r="K66" i="71"/>
  <c r="B67" i="71" s="1"/>
  <c r="P50" i="69"/>
  <c r="L50" i="69"/>
  <c r="L668" i="69"/>
  <c r="D51" i="69"/>
  <c r="A143" i="71" l="1"/>
  <c r="N142" i="71"/>
  <c r="Y141" i="71"/>
  <c r="P141" i="71"/>
  <c r="E67" i="71"/>
  <c r="J67" i="71" s="1"/>
  <c r="M52" i="71"/>
  <c r="L52" i="71" s="1"/>
  <c r="L669" i="69"/>
  <c r="I51" i="69"/>
  <c r="K51" i="69"/>
  <c r="C67" i="71" l="1"/>
  <c r="D67" i="71" s="1"/>
  <c r="K67" i="71" s="1"/>
  <c r="B68" i="71" s="1"/>
  <c r="P142" i="71"/>
  <c r="Y142" i="71"/>
  <c r="A144" i="71"/>
  <c r="N143" i="71"/>
  <c r="H67" i="71"/>
  <c r="I67" i="71"/>
  <c r="L670" i="69"/>
  <c r="A51" i="69"/>
  <c r="C52" i="69"/>
  <c r="B52" i="69"/>
  <c r="Y143" i="71" l="1"/>
  <c r="P143" i="71"/>
  <c r="A145" i="71"/>
  <c r="N144" i="71"/>
  <c r="E68" i="71"/>
  <c r="J68" i="71" s="1"/>
  <c r="N51" i="69"/>
  <c r="Z51" i="69" s="1"/>
  <c r="M51" i="69"/>
  <c r="L671" i="69"/>
  <c r="E52" i="69"/>
  <c r="J52" i="69" s="1"/>
  <c r="Y144" i="71" l="1"/>
  <c r="P144" i="71"/>
  <c r="A146" i="71"/>
  <c r="N145" i="71"/>
  <c r="C68" i="71"/>
  <c r="D68" i="71" s="1"/>
  <c r="M53" i="71"/>
  <c r="L53" i="71" s="1"/>
  <c r="P51" i="69"/>
  <c r="L51" i="69"/>
  <c r="D52" i="69"/>
  <c r="I52" i="69" s="1"/>
  <c r="L672" i="69"/>
  <c r="Y145" i="71" l="1"/>
  <c r="P145" i="71"/>
  <c r="N146" i="71"/>
  <c r="A147" i="71"/>
  <c r="H68" i="71"/>
  <c r="I68" i="71"/>
  <c r="K68" i="71"/>
  <c r="B69" i="71" s="1"/>
  <c r="K52" i="69"/>
  <c r="B53" i="69" s="1"/>
  <c r="L673" i="69"/>
  <c r="P146" i="71" l="1"/>
  <c r="Y146" i="71"/>
  <c r="A148" i="71"/>
  <c r="N147" i="71"/>
  <c r="E69" i="71"/>
  <c r="J69" i="71" s="1"/>
  <c r="A52" i="69"/>
  <c r="C53" i="69"/>
  <c r="L674" i="69"/>
  <c r="E53" i="69"/>
  <c r="J53" i="69" s="1"/>
  <c r="C69" i="71" l="1"/>
  <c r="D69" i="71" s="1"/>
  <c r="Y147" i="71"/>
  <c r="P147" i="71"/>
  <c r="A149" i="71"/>
  <c r="N148" i="71"/>
  <c r="I69" i="71"/>
  <c r="H69" i="71"/>
  <c r="K69" i="71"/>
  <c r="B70" i="71" s="1"/>
  <c r="N52" i="69"/>
  <c r="Z52" i="69" s="1"/>
  <c r="M52" i="69"/>
  <c r="L675" i="69"/>
  <c r="D53" i="69"/>
  <c r="A150" i="71" l="1"/>
  <c r="N149" i="71"/>
  <c r="Y148" i="71"/>
  <c r="P148" i="71"/>
  <c r="E70" i="71"/>
  <c r="J70" i="71" s="1"/>
  <c r="M54" i="71"/>
  <c r="L54" i="71" s="1"/>
  <c r="P52" i="69"/>
  <c r="L52" i="69"/>
  <c r="L676" i="69"/>
  <c r="I53" i="69"/>
  <c r="K53" i="69"/>
  <c r="P149" i="71" l="1"/>
  <c r="Y149" i="71"/>
  <c r="A151" i="71"/>
  <c r="N150" i="71"/>
  <c r="C70" i="71"/>
  <c r="D70" i="71" s="1"/>
  <c r="L677" i="69"/>
  <c r="C54" i="69"/>
  <c r="B54" i="69"/>
  <c r="A53" i="69"/>
  <c r="Y150" i="71" l="1"/>
  <c r="P150" i="71"/>
  <c r="A152" i="71"/>
  <c r="N151" i="71"/>
  <c r="H70" i="71"/>
  <c r="I70" i="71"/>
  <c r="K70" i="71"/>
  <c r="B71" i="71" s="1"/>
  <c r="N53" i="69"/>
  <c r="Z53" i="69" s="1"/>
  <c r="M53" i="69"/>
  <c r="L678" i="69"/>
  <c r="E54" i="69"/>
  <c r="J54" i="69" s="1"/>
  <c r="A153" i="71" l="1"/>
  <c r="N152" i="71"/>
  <c r="Y151" i="71"/>
  <c r="P151" i="71"/>
  <c r="E71" i="71"/>
  <c r="J71" i="71" s="1"/>
  <c r="M55" i="71"/>
  <c r="L55" i="71" s="1"/>
  <c r="P53" i="69"/>
  <c r="L679" i="69"/>
  <c r="L53" i="69"/>
  <c r="D54" i="69"/>
  <c r="C71" i="71" l="1"/>
  <c r="D71" i="71" s="1"/>
  <c r="P152" i="71"/>
  <c r="Y152" i="71"/>
  <c r="A154" i="71"/>
  <c r="N153" i="71"/>
  <c r="I71" i="71"/>
  <c r="H71" i="71"/>
  <c r="K71" i="71"/>
  <c r="B72" i="71" s="1"/>
  <c r="L680" i="69"/>
  <c r="I54" i="69"/>
  <c r="K54" i="69"/>
  <c r="N154" i="71" l="1"/>
  <c r="A155" i="71"/>
  <c r="Y153" i="71"/>
  <c r="P153" i="71"/>
  <c r="E72" i="71"/>
  <c r="J72" i="71" s="1"/>
  <c r="L681" i="69"/>
  <c r="B55" i="69"/>
  <c r="C55" i="69"/>
  <c r="A54" i="69"/>
  <c r="N155" i="71" l="1"/>
  <c r="A156" i="71"/>
  <c r="P154" i="71"/>
  <c r="Y154" i="71"/>
  <c r="C72" i="71"/>
  <c r="D72" i="71" s="1"/>
  <c r="M56" i="71"/>
  <c r="L56" i="71" s="1"/>
  <c r="N54" i="69"/>
  <c r="Z54" i="69" s="1"/>
  <c r="M54" i="69"/>
  <c r="L682" i="69"/>
  <c r="E55" i="69"/>
  <c r="J55" i="69" s="1"/>
  <c r="N156" i="71" l="1"/>
  <c r="A157" i="71"/>
  <c r="P155" i="71"/>
  <c r="Y155" i="71"/>
  <c r="I72" i="71"/>
  <c r="H72" i="71"/>
  <c r="K72" i="71"/>
  <c r="B73" i="71" s="1"/>
  <c r="P54" i="69"/>
  <c r="D55" i="69"/>
  <c r="L683" i="69"/>
  <c r="L54" i="69"/>
  <c r="A158" i="71" l="1"/>
  <c r="N157" i="71"/>
  <c r="P156" i="71"/>
  <c r="Y156" i="71"/>
  <c r="E73" i="71"/>
  <c r="J73" i="71" s="1"/>
  <c r="C73" i="71"/>
  <c r="D73" i="71" s="1"/>
  <c r="K73" i="71" s="1"/>
  <c r="B74" i="71" s="1"/>
  <c r="I55" i="69"/>
  <c r="K55" i="69"/>
  <c r="L684" i="69"/>
  <c r="P157" i="71" l="1"/>
  <c r="Y157" i="71"/>
  <c r="A159" i="71"/>
  <c r="N158" i="71"/>
  <c r="E74" i="71"/>
  <c r="J74" i="71" s="1"/>
  <c r="C74" i="71"/>
  <c r="D74" i="71" s="1"/>
  <c r="I73" i="71"/>
  <c r="H73" i="71"/>
  <c r="A55" i="69"/>
  <c r="C56" i="69"/>
  <c r="B56" i="69"/>
  <c r="E56" i="69" s="1"/>
  <c r="J56" i="69" s="1"/>
  <c r="L685" i="69"/>
  <c r="N159" i="71" l="1"/>
  <c r="A160" i="71"/>
  <c r="P158" i="71"/>
  <c r="Y158" i="71"/>
  <c r="H74" i="71"/>
  <c r="I74" i="71"/>
  <c r="K74" i="71"/>
  <c r="B75" i="71" s="1"/>
  <c r="M57" i="71"/>
  <c r="L57" i="71" s="1"/>
  <c r="D56" i="69"/>
  <c r="I56" i="69" s="1"/>
  <c r="N55" i="69"/>
  <c r="Z55" i="69" s="1"/>
  <c r="M55" i="69"/>
  <c r="L686" i="69"/>
  <c r="N160" i="71" l="1"/>
  <c r="A161" i="71"/>
  <c r="P159" i="71"/>
  <c r="Y159" i="71"/>
  <c r="E75" i="71"/>
  <c r="J75" i="71" s="1"/>
  <c r="P55" i="69"/>
  <c r="K56" i="69"/>
  <c r="B57" i="69" s="1"/>
  <c r="L55" i="69"/>
  <c r="L687" i="69"/>
  <c r="C75" i="71" l="1"/>
  <c r="D75" i="71" s="1"/>
  <c r="N161" i="71"/>
  <c r="A162" i="71"/>
  <c r="P160" i="71"/>
  <c r="Y160" i="71"/>
  <c r="H75" i="71"/>
  <c r="I75" i="71"/>
  <c r="K75" i="71"/>
  <c r="B76" i="71" s="1"/>
  <c r="A56" i="69"/>
  <c r="C57" i="69"/>
  <c r="L688" i="69"/>
  <c r="E57" i="69"/>
  <c r="J57" i="69" s="1"/>
  <c r="A163" i="71" l="1"/>
  <c r="N162" i="71"/>
  <c r="Y161" i="71"/>
  <c r="P161" i="71"/>
  <c r="E76" i="71"/>
  <c r="J76" i="71" s="1"/>
  <c r="N56" i="69"/>
  <c r="Z56" i="69" s="1"/>
  <c r="M56" i="69"/>
  <c r="L689" i="69"/>
  <c r="D57" i="69"/>
  <c r="Y162" i="71" l="1"/>
  <c r="P162" i="71"/>
  <c r="A164" i="71"/>
  <c r="N163" i="71"/>
  <c r="C76" i="71"/>
  <c r="D76" i="71" s="1"/>
  <c r="M58" i="71"/>
  <c r="L58" i="71" s="1"/>
  <c r="P56" i="69"/>
  <c r="L690" i="69"/>
  <c r="I57" i="69"/>
  <c r="K57" i="69"/>
  <c r="L56" i="69"/>
  <c r="Y163" i="71" l="1"/>
  <c r="P163" i="71"/>
  <c r="A165" i="71"/>
  <c r="N164" i="71"/>
  <c r="H76" i="71"/>
  <c r="I76" i="71"/>
  <c r="K76" i="71"/>
  <c r="B77" i="71" s="1"/>
  <c r="L691" i="69"/>
  <c r="C58" i="69"/>
  <c r="B58" i="69"/>
  <c r="A57" i="69"/>
  <c r="P164" i="71" l="1"/>
  <c r="Y164" i="71"/>
  <c r="N165" i="71"/>
  <c r="A166" i="71"/>
  <c r="E77" i="71"/>
  <c r="J77" i="71" s="1"/>
  <c r="N57" i="69"/>
  <c r="Z57" i="69" s="1"/>
  <c r="M57" i="69"/>
  <c r="L692" i="69"/>
  <c r="E58" i="69"/>
  <c r="J58" i="69" s="1"/>
  <c r="A167" i="71" l="1"/>
  <c r="N166" i="71"/>
  <c r="C77" i="71"/>
  <c r="D77" i="71" s="1"/>
  <c r="K77" i="71" s="1"/>
  <c r="B78" i="71" s="1"/>
  <c r="Y165" i="71"/>
  <c r="P165" i="71"/>
  <c r="E78" i="71"/>
  <c r="J78" i="71" s="1"/>
  <c r="I77" i="71"/>
  <c r="H77" i="71"/>
  <c r="M59" i="71"/>
  <c r="L59" i="71" s="1"/>
  <c r="P57" i="69"/>
  <c r="L693" i="69"/>
  <c r="L57" i="69"/>
  <c r="D58" i="69"/>
  <c r="P166" i="71" l="1"/>
  <c r="Y166" i="71"/>
  <c r="A168" i="71"/>
  <c r="N167" i="71"/>
  <c r="C78" i="71"/>
  <c r="D78" i="71" s="1"/>
  <c r="L694" i="69"/>
  <c r="I58" i="69"/>
  <c r="K58" i="69"/>
  <c r="P167" i="71" l="1"/>
  <c r="Y167" i="71"/>
  <c r="A169" i="71"/>
  <c r="N168" i="71"/>
  <c r="H78" i="71"/>
  <c r="I78" i="71"/>
  <c r="K78" i="71"/>
  <c r="B79" i="71" s="1"/>
  <c r="L695" i="69"/>
  <c r="B59" i="69"/>
  <c r="C59" i="69"/>
  <c r="A58" i="69"/>
  <c r="P168" i="71" l="1"/>
  <c r="Y168" i="71"/>
  <c r="N169" i="71"/>
  <c r="A170" i="71"/>
  <c r="E79" i="71"/>
  <c r="J79" i="71" s="1"/>
  <c r="M60" i="71"/>
  <c r="L60" i="71" s="1"/>
  <c r="N58" i="69"/>
  <c r="Z58" i="69" s="1"/>
  <c r="M58" i="69"/>
  <c r="L696" i="69"/>
  <c r="E59" i="69"/>
  <c r="J59" i="69" s="1"/>
  <c r="A171" i="71" l="1"/>
  <c r="N170" i="71"/>
  <c r="Y169" i="71"/>
  <c r="P169" i="71"/>
  <c r="C79" i="71"/>
  <c r="D79" i="71" s="1"/>
  <c r="P58" i="69"/>
  <c r="D59" i="69"/>
  <c r="L697" i="69"/>
  <c r="L58" i="69"/>
  <c r="P170" i="71" l="1"/>
  <c r="Y170" i="71"/>
  <c r="N171" i="71"/>
  <c r="A172" i="71"/>
  <c r="I79" i="71"/>
  <c r="H79" i="71"/>
  <c r="K79" i="71"/>
  <c r="B80" i="71" s="1"/>
  <c r="I59" i="69"/>
  <c r="K59" i="69"/>
  <c r="L698" i="69"/>
  <c r="A173" i="71" l="1"/>
  <c r="N172" i="71"/>
  <c r="P171" i="71"/>
  <c r="Y171" i="71"/>
  <c r="E80" i="71"/>
  <c r="J80" i="71" s="1"/>
  <c r="C60" i="69"/>
  <c r="A59" i="69"/>
  <c r="B60" i="69"/>
  <c r="E60" i="69" s="1"/>
  <c r="J60" i="69" s="1"/>
  <c r="L699" i="69"/>
  <c r="C80" i="71" l="1"/>
  <c r="D80" i="71" s="1"/>
  <c r="P172" i="71"/>
  <c r="Y172" i="71"/>
  <c r="A174" i="71"/>
  <c r="N173" i="71"/>
  <c r="I80" i="71"/>
  <c r="H80" i="71"/>
  <c r="K80" i="71"/>
  <c r="B81" i="71" s="1"/>
  <c r="M61" i="71"/>
  <c r="L61" i="71" s="1"/>
  <c r="D60" i="69"/>
  <c r="I60" i="69" s="1"/>
  <c r="N59" i="69"/>
  <c r="Z59" i="69" s="1"/>
  <c r="M59" i="69"/>
  <c r="L700" i="69"/>
  <c r="N174" i="71" l="1"/>
  <c r="A175" i="71"/>
  <c r="Y173" i="71"/>
  <c r="P173" i="71"/>
  <c r="E81" i="71"/>
  <c r="J81" i="71" s="1"/>
  <c r="P59" i="69"/>
  <c r="L59" i="69"/>
  <c r="K60" i="69"/>
  <c r="B61" i="69" s="1"/>
  <c r="L701" i="69"/>
  <c r="N175" i="71" l="1"/>
  <c r="A176" i="71"/>
  <c r="P174" i="71"/>
  <c r="Y174" i="71"/>
  <c r="C81" i="71"/>
  <c r="D81" i="71" s="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N176" i="71" l="1"/>
  <c r="A177" i="71"/>
  <c r="Y175" i="71"/>
  <c r="P175" i="71"/>
  <c r="I81" i="71"/>
  <c r="H81" i="71"/>
  <c r="K81" i="71"/>
  <c r="B82" i="71" s="1"/>
  <c r="N60" i="69"/>
  <c r="Z60" i="69" s="1"/>
  <c r="M60" i="69"/>
  <c r="L703" i="69"/>
  <c r="D61" i="69"/>
  <c r="N177" i="71" l="1"/>
  <c r="A178" i="71"/>
  <c r="Y176" i="71"/>
  <c r="P176" i="71"/>
  <c r="E82" i="71"/>
  <c r="J82"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C82" i="71" l="1"/>
  <c r="D82" i="71" s="1"/>
  <c r="A179" i="71"/>
  <c r="N178" i="71"/>
  <c r="P177" i="71"/>
  <c r="Y177" i="71"/>
  <c r="H82" i="71"/>
  <c r="I82" i="71"/>
  <c r="K82" i="71"/>
  <c r="B83" i="71" s="1"/>
  <c r="L705" i="69"/>
  <c r="A61" i="69"/>
  <c r="B62" i="69"/>
  <c r="C62" i="69"/>
  <c r="H61" i="69"/>
  <c r="H62" i="69" s="1"/>
  <c r="Y178" i="71" l="1"/>
  <c r="P178" i="71"/>
  <c r="N179" i="71"/>
  <c r="A180" i="71"/>
  <c r="E83" i="71"/>
  <c r="J83" i="71" s="1"/>
  <c r="C83" i="71"/>
  <c r="D83" i="71" s="1"/>
  <c r="K83" i="71" s="1"/>
  <c r="B84" i="71" s="1"/>
  <c r="N61" i="69"/>
  <c r="Z61" i="69" s="1"/>
  <c r="M61" i="69"/>
  <c r="L706" i="69"/>
  <c r="E62" i="69"/>
  <c r="J62" i="69" s="1"/>
  <c r="A181" i="71" l="1"/>
  <c r="N180" i="71"/>
  <c r="P179" i="71"/>
  <c r="Y179" i="71"/>
  <c r="E84" i="71"/>
  <c r="J84" i="71" s="1"/>
  <c r="H83" i="71"/>
  <c r="I83" i="71"/>
  <c r="P61" i="69"/>
  <c r="D62" i="69"/>
  <c r="I62" i="69" s="1"/>
  <c r="L707" i="69"/>
  <c r="P180" i="71" l="1"/>
  <c r="Y180" i="71"/>
  <c r="A182" i="71"/>
  <c r="N181" i="71"/>
  <c r="C84" i="71"/>
  <c r="D84" i="71" s="1"/>
  <c r="M63" i="71"/>
  <c r="L63" i="71" s="1"/>
  <c r="K62" i="69"/>
  <c r="A62" i="69" s="1"/>
  <c r="L708" i="69"/>
  <c r="L61" i="69"/>
  <c r="Y181" i="71" l="1"/>
  <c r="P181" i="71"/>
  <c r="A183" i="71"/>
  <c r="N182" i="71"/>
  <c r="H84" i="71"/>
  <c r="I84" i="71"/>
  <c r="K84" i="71"/>
  <c r="B85" i="71" s="1"/>
  <c r="C63" i="69"/>
  <c r="B63" i="69"/>
  <c r="E63" i="69" s="1"/>
  <c r="J63" i="69" s="1"/>
  <c r="N62" i="69"/>
  <c r="Z62" i="69" s="1"/>
  <c r="M62" i="69"/>
  <c r="L709" i="69"/>
  <c r="A184" i="71" l="1"/>
  <c r="N183" i="71"/>
  <c r="P182" i="71"/>
  <c r="Y182" i="71"/>
  <c r="E85" i="71"/>
  <c r="J85" i="71" s="1"/>
  <c r="M64" i="71"/>
  <c r="L64" i="71" s="1"/>
  <c r="P62" i="69"/>
  <c r="D63" i="69"/>
  <c r="H63" i="69" s="1"/>
  <c r="L710" i="69"/>
  <c r="Y183" i="71" l="1"/>
  <c r="P183" i="71"/>
  <c r="N184" i="71"/>
  <c r="A185" i="71"/>
  <c r="C85" i="71"/>
  <c r="D85" i="71" s="1"/>
  <c r="K63" i="69"/>
  <c r="B64" i="69" s="1"/>
  <c r="I63" i="69"/>
  <c r="L711" i="69"/>
  <c r="L62" i="69"/>
  <c r="A186" i="71" l="1"/>
  <c r="N185" i="71"/>
  <c r="Y184" i="71"/>
  <c r="P184" i="71"/>
  <c r="I85" i="71"/>
  <c r="H85" i="71"/>
  <c r="K85" i="71"/>
  <c r="B86" i="71" s="1"/>
  <c r="A63" i="69"/>
  <c r="C64" i="69"/>
  <c r="L712" i="69"/>
  <c r="E64" i="69"/>
  <c r="J64" i="69" s="1"/>
  <c r="P185" i="71" l="1"/>
  <c r="Y185" i="71"/>
  <c r="A187" i="71"/>
  <c r="N186" i="71"/>
  <c r="E86" i="71"/>
  <c r="J86" i="71" s="1"/>
  <c r="C86" i="71"/>
  <c r="D86" i="71" s="1"/>
  <c r="N63" i="69"/>
  <c r="Z63" i="69" s="1"/>
  <c r="M63" i="69"/>
  <c r="D64" i="69"/>
  <c r="I64" i="69" s="1"/>
  <c r="L713" i="69"/>
  <c r="Y186" i="71" l="1"/>
  <c r="P186" i="71"/>
  <c r="N187" i="71"/>
  <c r="A188" i="71"/>
  <c r="H86" i="71"/>
  <c r="I86" i="71"/>
  <c r="K86" i="71"/>
  <c r="B87" i="71" s="1"/>
  <c r="M65" i="71"/>
  <c r="L65" i="71" s="1"/>
  <c r="P63" i="69"/>
  <c r="H64" i="69"/>
  <c r="K64" i="69"/>
  <c r="C65" i="69" s="1"/>
  <c r="L714" i="69"/>
  <c r="L63" i="69"/>
  <c r="A189" i="71" l="1"/>
  <c r="N188" i="71"/>
  <c r="P187" i="71"/>
  <c r="Y187" i="71"/>
  <c r="E87" i="71"/>
  <c r="J87" i="71" s="1"/>
  <c r="B65" i="69"/>
  <c r="E65" i="69" s="1"/>
  <c r="J65" i="69" s="1"/>
  <c r="A64" i="69"/>
  <c r="L715" i="69"/>
  <c r="Y188" i="71" l="1"/>
  <c r="P188" i="71"/>
  <c r="A190" i="71"/>
  <c r="N189" i="71"/>
  <c r="C87" i="71"/>
  <c r="D87" i="71" s="1"/>
  <c r="N64" i="69"/>
  <c r="Z64" i="69" s="1"/>
  <c r="M64" i="69"/>
  <c r="L716" i="69"/>
  <c r="D65" i="69"/>
  <c r="Y189" i="71" l="1"/>
  <c r="P189" i="71"/>
  <c r="A191" i="71"/>
  <c r="N190" i="71"/>
  <c r="I87" i="71"/>
  <c r="H87" i="71"/>
  <c r="K87" i="71"/>
  <c r="B88" i="71" s="1"/>
  <c r="M66" i="71"/>
  <c r="L66" i="71" s="1"/>
  <c r="P64" i="69"/>
  <c r="L717" i="69"/>
  <c r="H65" i="69"/>
  <c r="I65" i="69"/>
  <c r="K65" i="69"/>
  <c r="Y190" i="71" l="1"/>
  <c r="P190" i="71"/>
  <c r="N191" i="71"/>
  <c r="A192" i="71"/>
  <c r="E88" i="71"/>
  <c r="J88" i="71" s="1"/>
  <c r="L718" i="69"/>
  <c r="B66" i="69"/>
  <c r="A65" i="69"/>
  <c r="C66" i="69"/>
  <c r="L64" i="69"/>
  <c r="A193" i="71" l="1"/>
  <c r="N192" i="71"/>
  <c r="P191" i="71"/>
  <c r="Y191" i="71"/>
  <c r="C88" i="71"/>
  <c r="D88" i="71" s="1"/>
  <c r="M67" i="71"/>
  <c r="L67" i="71" s="1"/>
  <c r="N65" i="69"/>
  <c r="Z65" i="69" s="1"/>
  <c r="M65" i="69"/>
  <c r="L719" i="69"/>
  <c r="E66" i="69"/>
  <c r="J66" i="69" s="1"/>
  <c r="Y192" i="71" l="1"/>
  <c r="P192" i="71"/>
  <c r="A194" i="71"/>
  <c r="N193" i="71"/>
  <c r="I88" i="71"/>
  <c r="H88" i="71"/>
  <c r="K88" i="71"/>
  <c r="B89" i="71" s="1"/>
  <c r="P65" i="69"/>
  <c r="L720" i="69"/>
  <c r="D66" i="69"/>
  <c r="P193" i="71" l="1"/>
  <c r="Y193" i="71"/>
  <c r="N194" i="71"/>
  <c r="A195" i="71"/>
  <c r="E89" i="71"/>
  <c r="J89" i="71" s="1"/>
  <c r="L721" i="69"/>
  <c r="I66" i="69"/>
  <c r="H66" i="69"/>
  <c r="K66" i="69"/>
  <c r="C89" i="71" l="1"/>
  <c r="D89" i="71" s="1"/>
  <c r="N195" i="71"/>
  <c r="A196" i="71"/>
  <c r="P194" i="71"/>
  <c r="Y194" i="71"/>
  <c r="I89" i="71"/>
  <c r="H89" i="71"/>
  <c r="K89" i="71"/>
  <c r="B90" i="71" s="1"/>
  <c r="M68" i="71"/>
  <c r="L68" i="71" s="1"/>
  <c r="L722" i="69"/>
  <c r="L65" i="69"/>
  <c r="C67" i="69"/>
  <c r="A66" i="69"/>
  <c r="B67" i="69"/>
  <c r="A197" i="71" l="1"/>
  <c r="N196" i="71"/>
  <c r="P195" i="71"/>
  <c r="Y195" i="71"/>
  <c r="E90" i="71"/>
  <c r="J90" i="71" s="1"/>
  <c r="N66" i="69"/>
  <c r="Z66" i="69" s="1"/>
  <c r="M66" i="69"/>
  <c r="L723" i="69"/>
  <c r="E67" i="69"/>
  <c r="J67" i="69" s="1"/>
  <c r="Y196" i="71" l="1"/>
  <c r="P196" i="71"/>
  <c r="N197" i="71"/>
  <c r="A198" i="71"/>
  <c r="C90" i="71"/>
  <c r="D90" i="71" s="1"/>
  <c r="P66" i="69"/>
  <c r="L724" i="69"/>
  <c r="D67" i="69"/>
  <c r="A199" i="71" l="1"/>
  <c r="N198" i="71"/>
  <c r="P197" i="71"/>
  <c r="Y197" i="71"/>
  <c r="H90" i="71"/>
  <c r="I90" i="71"/>
  <c r="K90" i="71"/>
  <c r="B91" i="71" s="1"/>
  <c r="M69" i="71"/>
  <c r="L69" i="71" s="1"/>
  <c r="L725" i="69"/>
  <c r="L66" i="69"/>
  <c r="H67" i="69"/>
  <c r="I67" i="69"/>
  <c r="K67" i="69"/>
  <c r="P198" i="71" l="1"/>
  <c r="Y198" i="71"/>
  <c r="N199" i="71"/>
  <c r="A200" i="71"/>
  <c r="E91" i="71"/>
  <c r="J91" i="71" s="1"/>
  <c r="C91" i="71"/>
  <c r="D91" i="71" s="1"/>
  <c r="K91" i="71" s="1"/>
  <c r="B92" i="71" s="1"/>
  <c r="L726" i="69"/>
  <c r="B68" i="69"/>
  <c r="C68" i="69"/>
  <c r="A67" i="69"/>
  <c r="A201" i="71" l="1"/>
  <c r="N200" i="71"/>
  <c r="P199" i="71"/>
  <c r="Y199" i="71"/>
  <c r="E92" i="71"/>
  <c r="J92" i="71" s="1"/>
  <c r="H91" i="71"/>
  <c r="I91" i="71"/>
  <c r="N67" i="69"/>
  <c r="Z67" i="69" s="1"/>
  <c r="M67" i="69"/>
  <c r="L727" i="69"/>
  <c r="E68" i="69"/>
  <c r="J68" i="69" s="1"/>
  <c r="P200" i="71" l="1"/>
  <c r="Y200" i="71"/>
  <c r="N201" i="71"/>
  <c r="A202" i="71"/>
  <c r="C92" i="71"/>
  <c r="D92" i="71" s="1"/>
  <c r="M70" i="71"/>
  <c r="L70" i="71" s="1"/>
  <c r="P67" i="69"/>
  <c r="D68" i="69"/>
  <c r="I68" i="69" s="1"/>
  <c r="L728" i="69"/>
  <c r="N202" i="71" l="1"/>
  <c r="A203" i="71"/>
  <c r="P201" i="71"/>
  <c r="Y201" i="71"/>
  <c r="H92" i="71"/>
  <c r="I92" i="71"/>
  <c r="K92" i="71"/>
  <c r="B93" i="71" s="1"/>
  <c r="H68" i="69"/>
  <c r="K68" i="69"/>
  <c r="C69" i="69" s="1"/>
  <c r="L729" i="69"/>
  <c r="L67" i="69"/>
  <c r="N203" i="71" l="1"/>
  <c r="A204" i="71"/>
  <c r="Y202" i="71"/>
  <c r="P202" i="71"/>
  <c r="E93" i="71"/>
  <c r="J93" i="71" s="1"/>
  <c r="B69" i="69"/>
  <c r="E69" i="69" s="1"/>
  <c r="J69" i="69" s="1"/>
  <c r="A68" i="69"/>
  <c r="L730" i="69"/>
  <c r="C93" i="71" l="1"/>
  <c r="D93" i="71" s="1"/>
  <c r="N204" i="71"/>
  <c r="A205" i="71"/>
  <c r="P203" i="71"/>
  <c r="Y203" i="71"/>
  <c r="I93" i="71"/>
  <c r="H93" i="71"/>
  <c r="K93" i="71"/>
  <c r="B94" i="71" s="1"/>
  <c r="M71" i="71"/>
  <c r="L71" i="71" s="1"/>
  <c r="N68" i="69"/>
  <c r="Z68" i="69" s="1"/>
  <c r="M68" i="69"/>
  <c r="D69" i="69"/>
  <c r="K69" i="69" s="1"/>
  <c r="A69" i="69" s="1"/>
  <c r="L731" i="69"/>
  <c r="N205" i="71" l="1"/>
  <c r="A206" i="71"/>
  <c r="Y204" i="71"/>
  <c r="P204" i="71"/>
  <c r="E94" i="71"/>
  <c r="J94" i="71" s="1"/>
  <c r="P68" i="69"/>
  <c r="N69" i="69"/>
  <c r="Z69" i="69" s="1"/>
  <c r="H69" i="69"/>
  <c r="I69" i="69"/>
  <c r="C70" i="69"/>
  <c r="B70" i="69"/>
  <c r="E70" i="69" s="1"/>
  <c r="J70" i="69" s="1"/>
  <c r="M69" i="69"/>
  <c r="L732" i="69"/>
  <c r="A207" i="71" l="1"/>
  <c r="N206" i="71"/>
  <c r="Y205" i="71"/>
  <c r="P205" i="71"/>
  <c r="C94" i="71"/>
  <c r="D94" i="71" s="1"/>
  <c r="M72" i="71"/>
  <c r="L72" i="71" s="1"/>
  <c r="P69" i="69"/>
  <c r="D70" i="69"/>
  <c r="I70" i="69" s="1"/>
  <c r="L733" i="69"/>
  <c r="L68" i="69"/>
  <c r="P206" i="71" l="1"/>
  <c r="Y206" i="71"/>
  <c r="N207" i="71"/>
  <c r="A208" i="71"/>
  <c r="H94" i="71"/>
  <c r="I94" i="71"/>
  <c r="K94" i="71"/>
  <c r="B95" i="71" s="1"/>
  <c r="H70" i="69"/>
  <c r="K70" i="69"/>
  <c r="C71" i="69" s="1"/>
  <c r="L734" i="69"/>
  <c r="N208" i="71" l="1"/>
  <c r="A209" i="71"/>
  <c r="P207" i="71"/>
  <c r="Y207" i="71"/>
  <c r="E95" i="71"/>
  <c r="J95" i="71" s="1"/>
  <c r="A70" i="69"/>
  <c r="B71" i="69"/>
  <c r="E71" i="69" s="1"/>
  <c r="J71" i="69" s="1"/>
  <c r="L735" i="69"/>
  <c r="N209" i="71" l="1"/>
  <c r="A210" i="71"/>
  <c r="C95" i="71"/>
  <c r="D95" i="71" s="1"/>
  <c r="I95" i="71" s="1"/>
  <c r="Y208" i="71"/>
  <c r="P208" i="71"/>
  <c r="H95" i="71"/>
  <c r="M73" i="71"/>
  <c r="L73" i="71" s="1"/>
  <c r="N70" i="69"/>
  <c r="Z70" i="69" s="1"/>
  <c r="M70" i="69"/>
  <c r="L736" i="69"/>
  <c r="D71" i="69"/>
  <c r="K95" i="71" l="1"/>
  <c r="B96" i="71" s="1"/>
  <c r="A211" i="71"/>
  <c r="N210" i="71"/>
  <c r="P209" i="71"/>
  <c r="Y209" i="71"/>
  <c r="E96" i="71"/>
  <c r="J96" i="71" s="1"/>
  <c r="C96" i="71"/>
  <c r="D96" i="71" s="1"/>
  <c r="K96" i="71" s="1"/>
  <c r="B97" i="71" s="1"/>
  <c r="P70" i="69"/>
  <c r="L737" i="69"/>
  <c r="L69" i="69"/>
  <c r="H71" i="69"/>
  <c r="I71" i="69"/>
  <c r="K71" i="69"/>
  <c r="Y210" i="71" l="1"/>
  <c r="P210" i="71"/>
  <c r="A212" i="71"/>
  <c r="N211" i="71"/>
  <c r="E97" i="71"/>
  <c r="J97" i="71" s="1"/>
  <c r="C97" i="71"/>
  <c r="D97" i="71" s="1"/>
  <c r="I96" i="71"/>
  <c r="H96" i="71"/>
  <c r="L738" i="69"/>
  <c r="B72" i="69"/>
  <c r="C72" i="69"/>
  <c r="A71" i="69"/>
  <c r="Y211" i="71" l="1"/>
  <c r="Q211" i="71" s="1"/>
  <c r="S211" i="71"/>
  <c r="P211" i="71"/>
  <c r="A213" i="71"/>
  <c r="N212" i="71"/>
  <c r="I97" i="71"/>
  <c r="H97" i="71"/>
  <c r="K97" i="71"/>
  <c r="B98" i="71" s="1"/>
  <c r="N71" i="69"/>
  <c r="Z71" i="69" s="1"/>
  <c r="M71" i="69"/>
  <c r="L739" i="69"/>
  <c r="E72" i="69"/>
  <c r="J72" i="69" s="1"/>
  <c r="AB211" i="71" l="1"/>
  <c r="R211" i="71"/>
  <c r="Z211" i="71"/>
  <c r="T211" i="71"/>
  <c r="P212" i="71"/>
  <c r="S212" i="71"/>
  <c r="Y212" i="71"/>
  <c r="Q212" i="71" s="1"/>
  <c r="A214" i="71"/>
  <c r="N213" i="71"/>
  <c r="E98" i="71"/>
  <c r="J98" i="71" s="1"/>
  <c r="M74" i="71"/>
  <c r="L74" i="71" s="1"/>
  <c r="P71" i="69"/>
  <c r="D72" i="69"/>
  <c r="H72" i="69" s="1"/>
  <c r="L740" i="69"/>
  <c r="L70" i="69"/>
  <c r="R212" i="71" l="1"/>
  <c r="AB212" i="71"/>
  <c r="T212" i="71"/>
  <c r="Z212" i="71"/>
  <c r="A215" i="71"/>
  <c r="N214" i="71"/>
  <c r="U211" i="71"/>
  <c r="V211" i="71"/>
  <c r="S213" i="71"/>
  <c r="Y213" i="71"/>
  <c r="Q213" i="71" s="1"/>
  <c r="P213" i="71"/>
  <c r="C98" i="71"/>
  <c r="D98" i="71" s="1"/>
  <c r="K72" i="69"/>
  <c r="C73" i="69" s="1"/>
  <c r="I72" i="69"/>
  <c r="L741" i="69"/>
  <c r="A216" i="71" l="1"/>
  <c r="N215" i="71"/>
  <c r="T213" i="71"/>
  <c r="Z213" i="71"/>
  <c r="AB213" i="71"/>
  <c r="R213" i="71"/>
  <c r="Y214" i="71"/>
  <c r="Q214" i="71"/>
  <c r="P214" i="71"/>
  <c r="S214" i="71"/>
  <c r="U212" i="71"/>
  <c r="V212" i="71"/>
  <c r="H98" i="71"/>
  <c r="I98" i="71"/>
  <c r="K98" i="71"/>
  <c r="B99" i="71" s="1"/>
  <c r="B73" i="69"/>
  <c r="E73" i="69" s="1"/>
  <c r="J73" i="69" s="1"/>
  <c r="A72" i="69"/>
  <c r="L742" i="69"/>
  <c r="V213" i="71" l="1"/>
  <c r="U213" i="71"/>
  <c r="Z214" i="71"/>
  <c r="T214" i="71"/>
  <c r="R214" i="71"/>
  <c r="AB214" i="71"/>
  <c r="P215" i="71"/>
  <c r="S215" i="71"/>
  <c r="Y215" i="71"/>
  <c r="Q215" i="71" s="1"/>
  <c r="A217" i="71"/>
  <c r="N216" i="71"/>
  <c r="E99" i="71"/>
  <c r="J99" i="71" s="1"/>
  <c r="N72" i="69"/>
  <c r="Z72" i="69" s="1"/>
  <c r="M72" i="69"/>
  <c r="L743" i="69"/>
  <c r="D73" i="69"/>
  <c r="U214" i="71" l="1"/>
  <c r="V214" i="71" s="1"/>
  <c r="P216" i="71"/>
  <c r="Y216" i="71"/>
  <c r="S216" i="71"/>
  <c r="Q216" i="71"/>
  <c r="N217" i="71"/>
  <c r="A218" i="71"/>
  <c r="T215" i="71"/>
  <c r="Z215" i="71"/>
  <c r="R215" i="71"/>
  <c r="AB215" i="71"/>
  <c r="C99" i="71"/>
  <c r="D99" i="71" s="1"/>
  <c r="M75" i="71"/>
  <c r="L75" i="71" s="1"/>
  <c r="P72" i="69"/>
  <c r="L744" i="69"/>
  <c r="H73" i="69"/>
  <c r="I73" i="69"/>
  <c r="K73" i="69"/>
  <c r="L71" i="69"/>
  <c r="R216" i="71" l="1"/>
  <c r="Z216" i="71"/>
  <c r="T216" i="71"/>
  <c r="AB216" i="71"/>
  <c r="S217" i="71"/>
  <c r="P217" i="71"/>
  <c r="Y217" i="71"/>
  <c r="Q217" i="71" s="1"/>
  <c r="U215" i="71"/>
  <c r="V215" i="71" s="1"/>
  <c r="N218" i="71"/>
  <c r="A219" i="71"/>
  <c r="H99" i="71"/>
  <c r="I99" i="71"/>
  <c r="K99" i="71"/>
  <c r="B100" i="71" s="1"/>
  <c r="L745" i="69"/>
  <c r="B74" i="69"/>
  <c r="C74" i="69"/>
  <c r="A73" i="69"/>
  <c r="Z217" i="71" l="1"/>
  <c r="AB217" i="71"/>
  <c r="T217" i="71"/>
  <c r="R217" i="71"/>
  <c r="U217" i="71" s="1"/>
  <c r="V217" i="71" s="1"/>
  <c r="N219" i="71"/>
  <c r="A220" i="71"/>
  <c r="S218" i="71"/>
  <c r="Y218" i="71"/>
  <c r="Q218" i="71" s="1"/>
  <c r="P218" i="71"/>
  <c r="V216" i="71"/>
  <c r="U216" i="71"/>
  <c r="E100" i="71"/>
  <c r="J100" i="71" s="1"/>
  <c r="N73" i="69"/>
  <c r="Z73" i="69" s="1"/>
  <c r="M73" i="69"/>
  <c r="L746" i="69"/>
  <c r="E74" i="69"/>
  <c r="J74" i="69" s="1"/>
  <c r="T218" i="71" l="1"/>
  <c r="AB218" i="71"/>
  <c r="R218" i="71"/>
  <c r="Z218" i="71"/>
  <c r="N220" i="71"/>
  <c r="A221" i="71"/>
  <c r="S219" i="71"/>
  <c r="P219" i="71"/>
  <c r="Y219" i="71"/>
  <c r="Q219" i="71" s="1"/>
  <c r="C100" i="71"/>
  <c r="D100" i="71" s="1"/>
  <c r="M76" i="71"/>
  <c r="L76" i="71" s="1"/>
  <c r="P73" i="69"/>
  <c r="L747" i="69"/>
  <c r="D74" i="69"/>
  <c r="A222" i="71" l="1"/>
  <c r="N221" i="71"/>
  <c r="Y220" i="71"/>
  <c r="Q220" i="71" s="1"/>
  <c r="P220" i="71"/>
  <c r="S220" i="71"/>
  <c r="U218" i="71"/>
  <c r="V218" i="71" s="1"/>
  <c r="AB219" i="71"/>
  <c r="R219" i="71"/>
  <c r="T219" i="71"/>
  <c r="Z219" i="71"/>
  <c r="H100" i="71"/>
  <c r="I100" i="71"/>
  <c r="K100" i="71"/>
  <c r="B101" i="71" s="1"/>
  <c r="L748" i="69"/>
  <c r="L72" i="69"/>
  <c r="I74" i="69"/>
  <c r="H74" i="69"/>
  <c r="K74" i="69"/>
  <c r="T220" i="71" l="1"/>
  <c r="AB220" i="71"/>
  <c r="R220" i="71"/>
  <c r="Z220" i="71"/>
  <c r="U219" i="71"/>
  <c r="V219" i="71"/>
  <c r="Y221" i="71"/>
  <c r="Q221" i="71" s="1"/>
  <c r="S221" i="71"/>
  <c r="P221" i="71"/>
  <c r="N222" i="71"/>
  <c r="A223" i="71"/>
  <c r="E101" i="71"/>
  <c r="J101" i="71" s="1"/>
  <c r="L749" i="69"/>
  <c r="C75" i="69"/>
  <c r="A74" i="69"/>
  <c r="B75" i="69"/>
  <c r="C101" i="71" l="1"/>
  <c r="D101" i="71" s="1"/>
  <c r="K101" i="71" s="1"/>
  <c r="B102" i="71" s="1"/>
  <c r="T221" i="71"/>
  <c r="AB221" i="71"/>
  <c r="Z221" i="71"/>
  <c r="R221" i="71"/>
  <c r="P222" i="71"/>
  <c r="Y222" i="71"/>
  <c r="Q222" i="71" s="1"/>
  <c r="S222" i="71"/>
  <c r="N223" i="71"/>
  <c r="A224" i="71"/>
  <c r="U220" i="71"/>
  <c r="V220" i="71"/>
  <c r="E102" i="71"/>
  <c r="J102" i="71" s="1"/>
  <c r="I101" i="71"/>
  <c r="H101" i="71"/>
  <c r="N74" i="69"/>
  <c r="Z74" i="69" s="1"/>
  <c r="M74" i="69"/>
  <c r="L750" i="69"/>
  <c r="E75" i="69"/>
  <c r="J75" i="69" s="1"/>
  <c r="U221" i="71" l="1"/>
  <c r="V221" i="71" s="1"/>
  <c r="AB222" i="71"/>
  <c r="Z222" i="71"/>
  <c r="T222" i="71"/>
  <c r="R222" i="71"/>
  <c r="N224" i="71"/>
  <c r="A225" i="71"/>
  <c r="P223" i="71"/>
  <c r="S223" i="71"/>
  <c r="Y223" i="71"/>
  <c r="Q223" i="71" s="1"/>
  <c r="C102" i="71"/>
  <c r="D102" i="71" s="1"/>
  <c r="M77" i="71"/>
  <c r="L77" i="71" s="1"/>
  <c r="P74" i="69"/>
  <c r="L751" i="69"/>
  <c r="L73" i="69"/>
  <c r="D75" i="69"/>
  <c r="T223" i="71" l="1"/>
  <c r="R223" i="71"/>
  <c r="U223" i="71" s="1"/>
  <c r="V223" i="71" s="1"/>
  <c r="AB223" i="71"/>
  <c r="Z223" i="71"/>
  <c r="N225" i="71"/>
  <c r="A226" i="71"/>
  <c r="S224" i="71"/>
  <c r="Y224" i="71"/>
  <c r="Q224" i="71" s="1"/>
  <c r="P224" i="71"/>
  <c r="U222" i="71"/>
  <c r="V222" i="71" s="1"/>
  <c r="H102" i="71"/>
  <c r="I102" i="71"/>
  <c r="K102" i="71"/>
  <c r="B103" i="71" s="1"/>
  <c r="L752" i="69"/>
  <c r="H75" i="69"/>
  <c r="I75" i="69"/>
  <c r="K75" i="69"/>
  <c r="N226" i="71" l="1"/>
  <c r="A227" i="71"/>
  <c r="Z224" i="71"/>
  <c r="AB224" i="71"/>
  <c r="T224" i="71"/>
  <c r="R224" i="71"/>
  <c r="U224" i="71" s="1"/>
  <c r="V224" i="71" s="1"/>
  <c r="P225" i="71"/>
  <c r="S225" i="71"/>
  <c r="Y225" i="71"/>
  <c r="Q225" i="71" s="1"/>
  <c r="E103" i="71"/>
  <c r="J103" i="71" s="1"/>
  <c r="L753" i="69"/>
  <c r="B76" i="69"/>
  <c r="A75" i="69"/>
  <c r="C76" i="69"/>
  <c r="A228" i="71" l="1"/>
  <c r="N227" i="71"/>
  <c r="AB225" i="71"/>
  <c r="R225" i="71"/>
  <c r="Z225" i="71"/>
  <c r="T225" i="71"/>
  <c r="S226" i="71"/>
  <c r="P226" i="71"/>
  <c r="Y226" i="71"/>
  <c r="Q226" i="71"/>
  <c r="C103" i="71"/>
  <c r="D103" i="71" s="1"/>
  <c r="N75" i="69"/>
  <c r="Z75" i="69" s="1"/>
  <c r="M75" i="69"/>
  <c r="L754" i="69"/>
  <c r="E76" i="69"/>
  <c r="J76" i="69" s="1"/>
  <c r="U225" i="71" l="1"/>
  <c r="V225" i="71"/>
  <c r="AB226" i="71"/>
  <c r="Z226" i="71"/>
  <c r="T226" i="71"/>
  <c r="R226" i="71"/>
  <c r="U226" i="71" s="1"/>
  <c r="V226" i="71" s="1"/>
  <c r="S227" i="71"/>
  <c r="P227" i="71"/>
  <c r="Y227" i="71"/>
  <c r="Q227" i="71" s="1"/>
  <c r="N228" i="71"/>
  <c r="A229" i="71"/>
  <c r="I103" i="71"/>
  <c r="H103" i="71"/>
  <c r="K103" i="71"/>
  <c r="B104" i="71" s="1"/>
  <c r="M78" i="71"/>
  <c r="L78" i="71" s="1"/>
  <c r="P75" i="69"/>
  <c r="D76" i="69"/>
  <c r="K76" i="69" s="1"/>
  <c r="C77" i="69" s="1"/>
  <c r="L755" i="69"/>
  <c r="L74" i="69"/>
  <c r="A230" i="71" l="1"/>
  <c r="N229" i="71"/>
  <c r="S228" i="71"/>
  <c r="P228" i="71"/>
  <c r="Y228" i="71"/>
  <c r="Q228" i="71" s="1"/>
  <c r="T227" i="71"/>
  <c r="R227" i="71"/>
  <c r="AB227" i="71"/>
  <c r="Z227" i="71"/>
  <c r="E104" i="71"/>
  <c r="J104" i="71" s="1"/>
  <c r="A76" i="69"/>
  <c r="I76" i="69"/>
  <c r="B77" i="69"/>
  <c r="E77" i="69" s="1"/>
  <c r="J77" i="69" s="1"/>
  <c r="H76" i="69"/>
  <c r="L756" i="69"/>
  <c r="T228" i="71" l="1"/>
  <c r="R228" i="71"/>
  <c r="Z228" i="71"/>
  <c r="AB228" i="71"/>
  <c r="U227" i="71"/>
  <c r="V227" i="71"/>
  <c r="C104" i="71"/>
  <c r="D104" i="71" s="1"/>
  <c r="I104" i="71" s="1"/>
  <c r="S229" i="71"/>
  <c r="Y229" i="71"/>
  <c r="Q229" i="71" s="1"/>
  <c r="P229" i="71"/>
  <c r="N230" i="71"/>
  <c r="A231" i="71"/>
  <c r="M79" i="71"/>
  <c r="L79" i="71" s="1"/>
  <c r="N76" i="69"/>
  <c r="Z76" i="69" s="1"/>
  <c r="M76" i="69"/>
  <c r="D77" i="69"/>
  <c r="I77" i="69" s="1"/>
  <c r="L757" i="69"/>
  <c r="Y230" i="71" l="1"/>
  <c r="Q230" i="71" s="1"/>
  <c r="P230" i="71"/>
  <c r="S230" i="71"/>
  <c r="N231" i="71"/>
  <c r="A232" i="71"/>
  <c r="H104" i="71"/>
  <c r="U228" i="71"/>
  <c r="V228" i="71" s="1"/>
  <c r="K104" i="71"/>
  <c r="B105" i="71" s="1"/>
  <c r="Z229" i="71"/>
  <c r="AB229" i="71"/>
  <c r="R229" i="71"/>
  <c r="U229" i="71" s="1"/>
  <c r="V229" i="71" s="1"/>
  <c r="T229" i="71"/>
  <c r="E105" i="71"/>
  <c r="J105" i="71" s="1"/>
  <c r="C105" i="71"/>
  <c r="D105" i="71" s="1"/>
  <c r="P76" i="69"/>
  <c r="H77" i="69"/>
  <c r="K77" i="69"/>
  <c r="B78" i="69" s="1"/>
  <c r="L758" i="69"/>
  <c r="P231" i="71" l="1"/>
  <c r="S231" i="71"/>
  <c r="Y231" i="71"/>
  <c r="Q231" i="71" s="1"/>
  <c r="N232" i="71"/>
  <c r="A233" i="71"/>
  <c r="R230" i="71"/>
  <c r="U230" i="71" s="1"/>
  <c r="T230" i="71"/>
  <c r="AB230" i="71"/>
  <c r="Z230" i="71"/>
  <c r="I105" i="71"/>
  <c r="H105" i="71"/>
  <c r="K105" i="71"/>
  <c r="B106" i="71" s="1"/>
  <c r="C78" i="69"/>
  <c r="A77" i="69"/>
  <c r="L759" i="69"/>
  <c r="L75" i="69"/>
  <c r="E78" i="69"/>
  <c r="J78" i="69" s="1"/>
  <c r="AB231" i="71" l="1"/>
  <c r="T231" i="71"/>
  <c r="R231" i="71"/>
  <c r="U231" i="71" s="1"/>
  <c r="V231" i="71" s="1"/>
  <c r="Z231" i="71"/>
  <c r="P232" i="71"/>
  <c r="S232" i="71"/>
  <c r="Y232" i="71"/>
  <c r="Q232" i="71" s="1"/>
  <c r="V230" i="71"/>
  <c r="N233" i="71"/>
  <c r="B233" i="71"/>
  <c r="E233" i="71" s="1"/>
  <c r="A234" i="71"/>
  <c r="C233" i="71"/>
  <c r="D233" i="71" s="1"/>
  <c r="H233" i="71" s="1"/>
  <c r="K233" i="71"/>
  <c r="E106" i="71"/>
  <c r="J106" i="71" s="1"/>
  <c r="C106" i="71"/>
  <c r="D106" i="71" s="1"/>
  <c r="M80" i="71"/>
  <c r="L80" i="71" s="1"/>
  <c r="N77" i="69"/>
  <c r="Z77" i="69" s="1"/>
  <c r="M77" i="69"/>
  <c r="D78" i="69"/>
  <c r="H78" i="69" s="1"/>
  <c r="L760" i="69"/>
  <c r="Z232" i="71" l="1"/>
  <c r="R232" i="71"/>
  <c r="T232" i="71"/>
  <c r="AB232" i="71"/>
  <c r="N234" i="71"/>
  <c r="C234" i="71"/>
  <c r="D234" i="71" s="1"/>
  <c r="H234" i="71" s="1"/>
  <c r="A235" i="71"/>
  <c r="K234" i="71"/>
  <c r="E234" i="71"/>
  <c r="B234" i="71"/>
  <c r="P233" i="71"/>
  <c r="S233" i="71"/>
  <c r="Y233" i="71"/>
  <c r="Q233" i="71" s="1"/>
  <c r="H106" i="71"/>
  <c r="I106" i="71"/>
  <c r="K106" i="71"/>
  <c r="B107" i="71" s="1"/>
  <c r="P77" i="69"/>
  <c r="K78" i="69"/>
  <c r="A78" i="69" s="1"/>
  <c r="I78" i="69"/>
  <c r="L761" i="69"/>
  <c r="P234" i="71" l="1"/>
  <c r="Y234" i="71"/>
  <c r="Q234" i="71" s="1"/>
  <c r="S234" i="71"/>
  <c r="A236" i="71"/>
  <c r="B235" i="71"/>
  <c r="E235" i="71" s="1"/>
  <c r="C235" i="71"/>
  <c r="D235" i="71" s="1"/>
  <c r="H235" i="71" s="1"/>
  <c r="K235" i="71"/>
  <c r="N235" i="71"/>
  <c r="T233" i="71"/>
  <c r="Z233" i="71"/>
  <c r="R233" i="71"/>
  <c r="AB233" i="71"/>
  <c r="V232" i="71"/>
  <c r="U232" i="71"/>
  <c r="E107" i="71"/>
  <c r="J107" i="71" s="1"/>
  <c r="M81" i="71"/>
  <c r="L81" i="71" s="1"/>
  <c r="B79" i="69"/>
  <c r="E79" i="69" s="1"/>
  <c r="J79" i="69" s="1"/>
  <c r="C79" i="69"/>
  <c r="N78" i="69"/>
  <c r="Z78" i="69" s="1"/>
  <c r="M78" i="69"/>
  <c r="L762" i="69"/>
  <c r="L76" i="69"/>
  <c r="A237" i="71" l="1"/>
  <c r="C236" i="71"/>
  <c r="D236" i="71" s="1"/>
  <c r="N236" i="71"/>
  <c r="K236" i="71"/>
  <c r="B236" i="71"/>
  <c r="E236" i="71" s="1"/>
  <c r="U233" i="71"/>
  <c r="V233" i="71"/>
  <c r="S235" i="71"/>
  <c r="P235" i="71"/>
  <c r="Y235" i="71"/>
  <c r="Q235" i="71" s="1"/>
  <c r="Z234" i="71"/>
  <c r="AB234" i="71"/>
  <c r="T234" i="71"/>
  <c r="R234" i="71"/>
  <c r="U234" i="71" s="1"/>
  <c r="V234" i="71" s="1"/>
  <c r="C107" i="71"/>
  <c r="D107" i="71" s="1"/>
  <c r="P78" i="69"/>
  <c r="D79" i="69"/>
  <c r="H79" i="69" s="1"/>
  <c r="L763" i="69"/>
  <c r="S236" i="71" l="1"/>
  <c r="P236" i="71"/>
  <c r="Y236" i="71"/>
  <c r="Q236" i="71" s="1"/>
  <c r="R235" i="71"/>
  <c r="U235" i="71" s="1"/>
  <c r="V235" i="71" s="1"/>
  <c r="AB235" i="71"/>
  <c r="Z235" i="71"/>
  <c r="T235" i="71"/>
  <c r="H236" i="71"/>
  <c r="C237" i="71"/>
  <c r="D237" i="71" s="1"/>
  <c r="K237" i="71"/>
  <c r="N237" i="71"/>
  <c r="B237" i="71"/>
  <c r="E237" i="71" s="1"/>
  <c r="A238" i="71"/>
  <c r="H107" i="71"/>
  <c r="I107" i="71"/>
  <c r="K107" i="71"/>
  <c r="B108" i="71" s="1"/>
  <c r="I79" i="69"/>
  <c r="K79" i="69"/>
  <c r="C80" i="69" s="1"/>
  <c r="L764" i="69"/>
  <c r="Y237" i="71" l="1"/>
  <c r="Q237" i="71" s="1"/>
  <c r="S237" i="71"/>
  <c r="P237" i="71"/>
  <c r="AB236" i="71"/>
  <c r="R236" i="71"/>
  <c r="Z236" i="71"/>
  <c r="T236" i="71"/>
  <c r="N238" i="71"/>
  <c r="C238" i="71"/>
  <c r="D238" i="71" s="1"/>
  <c r="H238" i="71" s="1"/>
  <c r="B238" i="71"/>
  <c r="E238" i="71"/>
  <c r="A239" i="71"/>
  <c r="K238" i="71"/>
  <c r="H237" i="71"/>
  <c r="E108" i="71"/>
  <c r="J108" i="71" s="1"/>
  <c r="C108" i="71"/>
  <c r="D108" i="71" s="1"/>
  <c r="M82" i="71"/>
  <c r="L82" i="71" s="1"/>
  <c r="B80" i="69"/>
  <c r="E80" i="69" s="1"/>
  <c r="J80" i="69" s="1"/>
  <c r="A79" i="69"/>
  <c r="L765" i="69"/>
  <c r="Y238" i="71" l="1"/>
  <c r="S238" i="71"/>
  <c r="Q238" i="71"/>
  <c r="P238" i="71"/>
  <c r="U236" i="71"/>
  <c r="V236" i="71"/>
  <c r="B239" i="71"/>
  <c r="E239" i="71" s="1"/>
  <c r="N239" i="71"/>
  <c r="K239" i="71"/>
  <c r="C239" i="71"/>
  <c r="D239" i="71" s="1"/>
  <c r="A240" i="71"/>
  <c r="T237" i="71"/>
  <c r="R237" i="71"/>
  <c r="Z237" i="71"/>
  <c r="AB237" i="71"/>
  <c r="H108" i="71"/>
  <c r="I108" i="71"/>
  <c r="K108" i="71"/>
  <c r="B109" i="71" s="1"/>
  <c r="N79" i="69"/>
  <c r="Z79" i="69" s="1"/>
  <c r="M79" i="69"/>
  <c r="L766" i="69"/>
  <c r="L77" i="69"/>
  <c r="D80" i="69"/>
  <c r="N240" i="71" l="1"/>
  <c r="A241" i="71"/>
  <c r="C240" i="71"/>
  <c r="D240" i="71" s="1"/>
  <c r="B240" i="71"/>
  <c r="K240" i="71"/>
  <c r="E240" i="71"/>
  <c r="H239" i="71"/>
  <c r="Z238" i="71"/>
  <c r="AB238" i="71"/>
  <c r="T238" i="71"/>
  <c r="R238" i="71"/>
  <c r="U237" i="71"/>
  <c r="V237" i="71" s="1"/>
  <c r="P239" i="71"/>
  <c r="S239" i="71"/>
  <c r="Y239" i="71"/>
  <c r="Q239" i="71" s="1"/>
  <c r="E109" i="71"/>
  <c r="J109" i="71" s="1"/>
  <c r="M83" i="71"/>
  <c r="L83" i="71" s="1"/>
  <c r="P79" i="69"/>
  <c r="L767" i="69"/>
  <c r="I80" i="69"/>
  <c r="H80" i="69"/>
  <c r="K80" i="69"/>
  <c r="R239" i="71" l="1"/>
  <c r="T239" i="71"/>
  <c r="Z239" i="71"/>
  <c r="AB239" i="71"/>
  <c r="H240" i="71"/>
  <c r="V238" i="71"/>
  <c r="U238" i="71"/>
  <c r="K241" i="71"/>
  <c r="A242" i="71"/>
  <c r="N241" i="71"/>
  <c r="B241" i="71"/>
  <c r="E241" i="71" s="1"/>
  <c r="C241" i="71"/>
  <c r="D241" i="71" s="1"/>
  <c r="H241" i="71" s="1"/>
  <c r="Y240" i="71"/>
  <c r="Q240" i="71" s="1"/>
  <c r="P240" i="71"/>
  <c r="S240" i="71"/>
  <c r="C109" i="71"/>
  <c r="D109" i="71" s="1"/>
  <c r="L768" i="69"/>
  <c r="C81" i="69"/>
  <c r="A80" i="69"/>
  <c r="B81" i="69"/>
  <c r="L78" i="69"/>
  <c r="T240" i="71" l="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N80" i="69"/>
  <c r="Z80" i="69" s="1"/>
  <c r="M80" i="69"/>
  <c r="L769" i="69"/>
  <c r="E81" i="69"/>
  <c r="J81" i="69" s="1"/>
  <c r="T241" i="71" l="1"/>
  <c r="Z241" i="71"/>
  <c r="AB241" i="71"/>
  <c r="R241" i="71"/>
  <c r="S242" i="71"/>
  <c r="P242" i="71"/>
  <c r="Y242" i="71"/>
  <c r="Q242" i="71" s="1"/>
  <c r="K243" i="71"/>
  <c r="B243" i="71"/>
  <c r="E243" i="71" s="1"/>
  <c r="A244" i="71"/>
  <c r="N243" i="71"/>
  <c r="C243" i="71"/>
  <c r="D243" i="71" s="1"/>
  <c r="H243" i="71" s="1"/>
  <c r="U240" i="71"/>
  <c r="V240" i="71"/>
  <c r="H242" i="71"/>
  <c r="E110" i="71"/>
  <c r="J110" i="71" s="1"/>
  <c r="P80" i="69"/>
  <c r="L770" i="69"/>
  <c r="D81" i="69"/>
  <c r="T242" i="71" l="1"/>
  <c r="Z242" i="71"/>
  <c r="R242" i="71"/>
  <c r="U242" i="71" s="1"/>
  <c r="V242" i="71" s="1"/>
  <c r="AB242" i="71"/>
  <c r="U241" i="71"/>
  <c r="V241" i="71"/>
  <c r="Y243" i="71"/>
  <c r="Q243" i="71" s="1"/>
  <c r="S243" i="71"/>
  <c r="P243" i="71"/>
  <c r="A245" i="71"/>
  <c r="C244" i="71"/>
  <c r="D244" i="71" s="1"/>
  <c r="N244" i="71"/>
  <c r="K244" i="71"/>
  <c r="B244" i="71"/>
  <c r="E244" i="71"/>
  <c r="C110" i="71"/>
  <c r="D110" i="71" s="1"/>
  <c r="L771" i="69"/>
  <c r="H81" i="69"/>
  <c r="I81" i="69"/>
  <c r="K81" i="69"/>
  <c r="L79" i="69"/>
  <c r="AB243" i="71" l="1"/>
  <c r="T243" i="71"/>
  <c r="Z243" i="71"/>
  <c r="R243" i="71"/>
  <c r="H244" i="71"/>
  <c r="Y244" i="71"/>
  <c r="Q244" i="71" s="1"/>
  <c r="S244" i="71"/>
  <c r="P244" i="71"/>
  <c r="C245" i="71"/>
  <c r="D245" i="71" s="1"/>
  <c r="A246" i="71"/>
  <c r="N245" i="71"/>
  <c r="B245" i="71"/>
  <c r="E245" i="71" s="1"/>
  <c r="K245" i="71"/>
  <c r="H110" i="71"/>
  <c r="I110" i="71"/>
  <c r="K110" i="71"/>
  <c r="B111" i="71" s="1"/>
  <c r="M85" i="71"/>
  <c r="L85" i="71" s="1"/>
  <c r="L772" i="69"/>
  <c r="B82" i="69"/>
  <c r="C82" i="69"/>
  <c r="A81" i="69"/>
  <c r="V243" i="71" l="1"/>
  <c r="U243" i="71"/>
  <c r="Y245" i="71"/>
  <c r="Q245" i="71" s="1"/>
  <c r="P245" i="71"/>
  <c r="S245" i="71"/>
  <c r="N246" i="71"/>
  <c r="K246" i="71"/>
  <c r="B246" i="71"/>
  <c r="E246" i="71" s="1"/>
  <c r="A247" i="71"/>
  <c r="C246" i="71"/>
  <c r="D246" i="71" s="1"/>
  <c r="T244" i="71"/>
  <c r="R244" i="71"/>
  <c r="U244" i="71" s="1"/>
  <c r="V244" i="71" s="1"/>
  <c r="AB244" i="71"/>
  <c r="Z244" i="71"/>
  <c r="H245" i="71"/>
  <c r="E111" i="71"/>
  <c r="J111" i="71" s="1"/>
  <c r="N81" i="69"/>
  <c r="Z81" i="69" s="1"/>
  <c r="M81" i="69"/>
  <c r="L773" i="69"/>
  <c r="E82" i="69"/>
  <c r="J82" i="69" s="1"/>
  <c r="Y246" i="71" l="1"/>
  <c r="S246" i="71"/>
  <c r="P246" i="71"/>
  <c r="Q246" i="71"/>
  <c r="R245" i="71"/>
  <c r="Z245" i="71"/>
  <c r="AB245" i="71"/>
  <c r="T245" i="71"/>
  <c r="H246" i="71"/>
  <c r="C247" i="71"/>
  <c r="D247" i="71" s="1"/>
  <c r="K247" i="71"/>
  <c r="N247" i="71"/>
  <c r="B247" i="71"/>
  <c r="E247" i="71" s="1"/>
  <c r="A248" i="71"/>
  <c r="C111" i="71"/>
  <c r="D111" i="71" s="1"/>
  <c r="M86" i="71"/>
  <c r="L86" i="71" s="1"/>
  <c r="P81" i="69"/>
  <c r="L774" i="69"/>
  <c r="D82" i="69"/>
  <c r="AB246" i="71" l="1"/>
  <c r="R246" i="71"/>
  <c r="U246" i="71" s="1"/>
  <c r="V246" i="71" s="1"/>
  <c r="T246" i="71"/>
  <c r="Z246" i="71"/>
  <c r="P247" i="71"/>
  <c r="Y247" i="71"/>
  <c r="Q247" i="71" s="1"/>
  <c r="S247" i="71"/>
  <c r="H247" i="71"/>
  <c r="A249" i="71"/>
  <c r="B248" i="71"/>
  <c r="E248" i="71" s="1"/>
  <c r="K248" i="71"/>
  <c r="N248" i="71"/>
  <c r="C248" i="71"/>
  <c r="D248" i="71" s="1"/>
  <c r="U245" i="71"/>
  <c r="V245" i="71"/>
  <c r="I111" i="71"/>
  <c r="H111" i="71"/>
  <c r="K111" i="71"/>
  <c r="B112" i="71" s="1"/>
  <c r="L775" i="69"/>
  <c r="L80" i="69"/>
  <c r="I82" i="69"/>
  <c r="H82" i="69"/>
  <c r="K82" i="69"/>
  <c r="H248" i="71" l="1"/>
  <c r="R247" i="71"/>
  <c r="Z247" i="71"/>
  <c r="AB247" i="71"/>
  <c r="T247" i="71"/>
  <c r="S248" i="71"/>
  <c r="Y248" i="71"/>
  <c r="Q248" i="71" s="1"/>
  <c r="P248" i="71"/>
  <c r="N249" i="71"/>
  <c r="K249" i="71"/>
  <c r="B249" i="71"/>
  <c r="E249" i="71" s="1"/>
  <c r="C249" i="71"/>
  <c r="D249" i="71" s="1"/>
  <c r="H249" i="71" s="1"/>
  <c r="A250" i="71"/>
  <c r="E112" i="71"/>
  <c r="J112" i="71" s="1"/>
  <c r="M87" i="71"/>
  <c r="L87" i="71" s="1"/>
  <c r="L776" i="69"/>
  <c r="C83" i="69"/>
  <c r="A82" i="69"/>
  <c r="B83" i="69"/>
  <c r="T248" i="71" l="1"/>
  <c r="Z248" i="71"/>
  <c r="R248" i="71"/>
  <c r="U248" i="71" s="1"/>
  <c r="V248" i="71" s="1"/>
  <c r="AB248" i="71"/>
  <c r="C250" i="71"/>
  <c r="D250" i="71" s="1"/>
  <c r="K250" i="71"/>
  <c r="N250" i="71"/>
  <c r="A251" i="71"/>
  <c r="B250" i="71"/>
  <c r="E250" i="71" s="1"/>
  <c r="U247" i="71"/>
  <c r="V247" i="71" s="1"/>
  <c r="S249" i="71"/>
  <c r="P249" i="71"/>
  <c r="Y249" i="71"/>
  <c r="Q249" i="71" s="1"/>
  <c r="C112" i="71"/>
  <c r="D112" i="71" s="1"/>
  <c r="N82" i="69"/>
  <c r="Z82" i="69" s="1"/>
  <c r="M82" i="69"/>
  <c r="L777" i="69"/>
  <c r="E83" i="69"/>
  <c r="J83" i="69" s="1"/>
  <c r="H250" i="71" l="1"/>
  <c r="C251" i="71"/>
  <c r="D251" i="71" s="1"/>
  <c r="K251" i="71"/>
  <c r="A252" i="71"/>
  <c r="B251" i="71"/>
  <c r="E251" i="71" s="1"/>
  <c r="N251" i="71"/>
  <c r="S250" i="71"/>
  <c r="P250" i="71"/>
  <c r="Y250" i="71"/>
  <c r="Q250" i="71" s="1"/>
  <c r="AB249" i="71"/>
  <c r="Z249" i="71"/>
  <c r="T249" i="71"/>
  <c r="R249" i="71"/>
  <c r="I112" i="71"/>
  <c r="H112" i="71"/>
  <c r="K112" i="71"/>
  <c r="B113" i="71" s="1"/>
  <c r="P82" i="69"/>
  <c r="L778" i="69"/>
  <c r="D83" i="69"/>
  <c r="Y251" i="71" l="1"/>
  <c r="Q251" i="71" s="1"/>
  <c r="P251" i="71"/>
  <c r="S251" i="71"/>
  <c r="U249" i="71"/>
  <c r="V249" i="71" s="1"/>
  <c r="E252" i="71"/>
  <c r="A253" i="71"/>
  <c r="C252" i="71"/>
  <c r="D252" i="71" s="1"/>
  <c r="K252" i="71"/>
  <c r="B252" i="71"/>
  <c r="N252" i="71"/>
  <c r="H251" i="71"/>
  <c r="R250" i="71"/>
  <c r="T250" i="71"/>
  <c r="AB250" i="71"/>
  <c r="Z250" i="71"/>
  <c r="E113" i="71"/>
  <c r="J113" i="71" s="1"/>
  <c r="L779" i="69"/>
  <c r="L81" i="69"/>
  <c r="H83" i="69"/>
  <c r="I83" i="69"/>
  <c r="K83" i="69"/>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L780" i="69"/>
  <c r="B84" i="69"/>
  <c r="C84" i="69"/>
  <c r="A83" i="69"/>
  <c r="Z252" i="71" l="1"/>
  <c r="T252" i="71"/>
  <c r="AB252" i="71"/>
  <c r="R252" i="71"/>
  <c r="P253" i="71"/>
  <c r="Y253" i="71"/>
  <c r="Q253" i="71" s="1"/>
  <c r="S253" i="71"/>
  <c r="V251" i="71"/>
  <c r="U251" i="71"/>
  <c r="H253" i="71"/>
  <c r="C254" i="71"/>
  <c r="D254" i="71" s="1"/>
  <c r="N254" i="71"/>
  <c r="B254" i="71"/>
  <c r="E254" i="71" s="1"/>
  <c r="K254" i="71"/>
  <c r="A255" i="71"/>
  <c r="I113" i="71"/>
  <c r="H113" i="71"/>
  <c r="K113" i="71"/>
  <c r="B114" i="71" s="1"/>
  <c r="N83" i="69"/>
  <c r="Z83" i="69" s="1"/>
  <c r="M83" i="69"/>
  <c r="L781" i="69"/>
  <c r="E84" i="69"/>
  <c r="J84" i="69" s="1"/>
  <c r="P254" i="71" l="1"/>
  <c r="Y254" i="71"/>
  <c r="Q254" i="71" s="1"/>
  <c r="S254" i="71"/>
  <c r="U252" i="71"/>
  <c r="V252" i="71"/>
  <c r="H254" i="71"/>
  <c r="E255" i="71"/>
  <c r="A256" i="71"/>
  <c r="K255" i="71"/>
  <c r="C255" i="71"/>
  <c r="D255" i="71" s="1"/>
  <c r="B255" i="71"/>
  <c r="N255" i="71"/>
  <c r="T253" i="71"/>
  <c r="AB253" i="71"/>
  <c r="Z253" i="71"/>
  <c r="R253" i="71"/>
  <c r="U253" i="71" s="1"/>
  <c r="E114" i="71"/>
  <c r="J114" i="71" s="1"/>
  <c r="M89" i="71"/>
  <c r="L89" i="71" s="1"/>
  <c r="P83" i="69"/>
  <c r="L782" i="69"/>
  <c r="D84" i="69"/>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L783" i="69"/>
  <c r="L82" i="69"/>
  <c r="I84" i="69"/>
  <c r="H84" i="69"/>
  <c r="K84" i="69"/>
  <c r="R255" i="71" l="1"/>
  <c r="AB255" i="71"/>
  <c r="Z255" i="71"/>
  <c r="T255" i="71"/>
  <c r="C257" i="71"/>
  <c r="D257" i="71" s="1"/>
  <c r="H257" i="71" s="1"/>
  <c r="N257" i="71"/>
  <c r="K257" i="71"/>
  <c r="A258" i="71"/>
  <c r="B257" i="71"/>
  <c r="E257" i="71" s="1"/>
  <c r="I114" i="71"/>
  <c r="Y256" i="71"/>
  <c r="Q256" i="71" s="1"/>
  <c r="S256" i="71"/>
  <c r="P256" i="71"/>
  <c r="H256" i="71"/>
  <c r="H114" i="71"/>
  <c r="U254" i="71"/>
  <c r="V254" i="71" s="1"/>
  <c r="C115" i="71"/>
  <c r="D115" i="71" s="1"/>
  <c r="L784" i="69"/>
  <c r="C85" i="69"/>
  <c r="A84" i="69"/>
  <c r="B85" i="69"/>
  <c r="S257" i="71" l="1"/>
  <c r="Y257" i="71"/>
  <c r="P257" i="71"/>
  <c r="Q257" i="71"/>
  <c r="N258" i="71"/>
  <c r="C258" i="71"/>
  <c r="D258" i="71" s="1"/>
  <c r="H258" i="71" s="1"/>
  <c r="K258" i="71"/>
  <c r="A259" i="71"/>
  <c r="B258" i="71"/>
  <c r="E258" i="71"/>
  <c r="Z256" i="71"/>
  <c r="R256" i="71"/>
  <c r="AB256" i="71"/>
  <c r="T256" i="71"/>
  <c r="U255" i="71"/>
  <c r="V255" i="71" s="1"/>
  <c r="H115" i="71"/>
  <c r="I115" i="71"/>
  <c r="K115" i="71"/>
  <c r="B116" i="71" s="1"/>
  <c r="M90" i="71"/>
  <c r="L90" i="71" s="1"/>
  <c r="N84" i="69"/>
  <c r="Z84" i="69" s="1"/>
  <c r="M84" i="69"/>
  <c r="L785" i="69"/>
  <c r="E85" i="69"/>
  <c r="J85" i="69" s="1"/>
  <c r="Y258" i="71" l="1"/>
  <c r="Q258" i="71" s="1"/>
  <c r="P258" i="71"/>
  <c r="S258" i="71"/>
  <c r="R257" i="71"/>
  <c r="AB257" i="71"/>
  <c r="Z257" i="71"/>
  <c r="T257" i="71"/>
  <c r="V256" i="71"/>
  <c r="U256" i="71"/>
  <c r="A260" i="71"/>
  <c r="B259" i="71"/>
  <c r="E259" i="71" s="1"/>
  <c r="N259" i="71"/>
  <c r="K259" i="71"/>
  <c r="C259" i="71"/>
  <c r="D259" i="71" s="1"/>
  <c r="H259" i="71" s="1"/>
  <c r="E116" i="71"/>
  <c r="J116" i="71" s="1"/>
  <c r="P84" i="69"/>
  <c r="D85" i="69"/>
  <c r="H85" i="69" s="1"/>
  <c r="L786" i="69"/>
  <c r="H15" i="1" s="1"/>
  <c r="S259" i="71" l="1"/>
  <c r="Y259" i="71"/>
  <c r="Q259" i="71" s="1"/>
  <c r="P259" i="71"/>
  <c r="U257" i="71"/>
  <c r="V257" i="71"/>
  <c r="K260" i="71"/>
  <c r="N260" i="71"/>
  <c r="B260" i="71"/>
  <c r="E260" i="71" s="1"/>
  <c r="A261" i="71"/>
  <c r="C260" i="71"/>
  <c r="D260" i="71" s="1"/>
  <c r="T258" i="71"/>
  <c r="Z258" i="71"/>
  <c r="R258" i="71"/>
  <c r="AB258" i="71"/>
  <c r="C116" i="71"/>
  <c r="D116" i="71" s="1"/>
  <c r="K85" i="69"/>
  <c r="B86" i="69" s="1"/>
  <c r="I85" i="69"/>
  <c r="L83" i="69"/>
  <c r="P260" i="71" l="1"/>
  <c r="S260" i="71"/>
  <c r="Y260" i="71"/>
  <c r="Q260" i="71" s="1"/>
  <c r="H260" i="71"/>
  <c r="T259" i="71"/>
  <c r="AB259" i="71"/>
  <c r="R259" i="71"/>
  <c r="Z259" i="71"/>
  <c r="V258" i="71"/>
  <c r="U258" i="71"/>
  <c r="K261" i="71"/>
  <c r="C261" i="71"/>
  <c r="D261" i="71" s="1"/>
  <c r="A262" i="71"/>
  <c r="B261" i="71"/>
  <c r="E261" i="71" s="1"/>
  <c r="N261" i="71"/>
  <c r="H116" i="71"/>
  <c r="I116" i="71"/>
  <c r="K116" i="71"/>
  <c r="B117" i="71" s="1"/>
  <c r="M91" i="71"/>
  <c r="L91" i="71" s="1"/>
  <c r="C86" i="69"/>
  <c r="A85" i="69"/>
  <c r="E86" i="69"/>
  <c r="J86" i="69" s="1"/>
  <c r="P261" i="71" l="1"/>
  <c r="S261" i="71"/>
  <c r="Y261" i="71"/>
  <c r="Q261" i="71" s="1"/>
  <c r="U259" i="71"/>
  <c r="V259" i="71" s="1"/>
  <c r="N262" i="71"/>
  <c r="B262" i="71"/>
  <c r="E262" i="71" s="1"/>
  <c r="C262" i="71"/>
  <c r="D262" i="71" s="1"/>
  <c r="H262" i="71" s="1"/>
  <c r="K262" i="71"/>
  <c r="A263" i="71"/>
  <c r="H261" i="71"/>
  <c r="AB260" i="71"/>
  <c r="Z260" i="71"/>
  <c r="R260" i="71"/>
  <c r="T260" i="71"/>
  <c r="E117" i="71"/>
  <c r="J117" i="71" s="1"/>
  <c r="N85" i="69"/>
  <c r="Z85" i="69" s="1"/>
  <c r="M85" i="69"/>
  <c r="L84" i="69"/>
  <c r="D86" i="69"/>
  <c r="Y262" i="71" l="1"/>
  <c r="Q262" i="71" s="1"/>
  <c r="S262" i="71"/>
  <c r="P262" i="71"/>
  <c r="T261" i="71"/>
  <c r="Z261" i="71"/>
  <c r="R261" i="71"/>
  <c r="U261" i="71" s="1"/>
  <c r="V261" i="71" s="1"/>
  <c r="AB261" i="71"/>
  <c r="U260" i="71"/>
  <c r="V260" i="71" s="1"/>
  <c r="K263" i="71"/>
  <c r="B263" i="71"/>
  <c r="E263" i="71" s="1"/>
  <c r="C263" i="71"/>
  <c r="D263" i="71" s="1"/>
  <c r="H263" i="71" s="1"/>
  <c r="N263" i="71"/>
  <c r="A264" i="71"/>
  <c r="C117" i="71"/>
  <c r="D117" i="71" s="1"/>
  <c r="P85" i="69"/>
  <c r="I86" i="69"/>
  <c r="H86" i="69"/>
  <c r="K86" i="69"/>
  <c r="S263" i="71" l="1"/>
  <c r="Y263" i="71"/>
  <c r="P263" i="71"/>
  <c r="Q263" i="71"/>
  <c r="N264" i="71"/>
  <c r="A265" i="71"/>
  <c r="B264" i="71"/>
  <c r="E264" i="71" s="1"/>
  <c r="K264" i="71"/>
  <c r="C264" i="71"/>
  <c r="D264" i="71" s="1"/>
  <c r="AB262" i="71"/>
  <c r="Z262" i="71"/>
  <c r="R262" i="71"/>
  <c r="T262" i="71"/>
  <c r="I117" i="71"/>
  <c r="H117" i="71"/>
  <c r="K117" i="71"/>
  <c r="B118" i="71" s="1"/>
  <c r="M92" i="71"/>
  <c r="L92" i="71" s="1"/>
  <c r="C87" i="69"/>
  <c r="A86" i="69"/>
  <c r="B87" i="69"/>
  <c r="B265" i="71" l="1"/>
  <c r="E265" i="71" s="1"/>
  <c r="A266" i="71"/>
  <c r="K265" i="71"/>
  <c r="C265" i="71"/>
  <c r="D265" i="71" s="1"/>
  <c r="H265" i="71" s="1"/>
  <c r="N265" i="71"/>
  <c r="V262" i="71"/>
  <c r="U262" i="71"/>
  <c r="S264" i="71"/>
  <c r="Y264" i="71"/>
  <c r="Q264" i="71" s="1"/>
  <c r="P264" i="71"/>
  <c r="T263" i="71"/>
  <c r="R263" i="71"/>
  <c r="AB263" i="71"/>
  <c r="Z263" i="71"/>
  <c r="H264" i="71"/>
  <c r="E118" i="71"/>
  <c r="J118" i="71" s="1"/>
  <c r="N86" i="69"/>
  <c r="Z86" i="69" s="1"/>
  <c r="M86" i="69"/>
  <c r="E87" i="69"/>
  <c r="J87" i="69" s="1"/>
  <c r="S265" i="71" l="1"/>
  <c r="Y265" i="71"/>
  <c r="P265" i="71"/>
  <c r="Q265" i="71"/>
  <c r="V263" i="71"/>
  <c r="U263" i="71"/>
  <c r="N266" i="71"/>
  <c r="C266" i="71"/>
  <c r="D266" i="71" s="1"/>
  <c r="K266" i="71"/>
  <c r="A267" i="71"/>
  <c r="B266" i="71"/>
  <c r="E266" i="71" s="1"/>
  <c r="R264" i="71"/>
  <c r="T264" i="71"/>
  <c r="AB264" i="71"/>
  <c r="Z264" i="71"/>
  <c r="C118" i="71"/>
  <c r="D118" i="71" s="1"/>
  <c r="P86" i="69"/>
  <c r="D87" i="69"/>
  <c r="H87" i="69" s="1"/>
  <c r="L85" i="69"/>
  <c r="P266" i="71" l="1"/>
  <c r="Y266" i="71"/>
  <c r="Q266" i="71" s="1"/>
  <c r="S266" i="71"/>
  <c r="V264" i="71"/>
  <c r="U264" i="71"/>
  <c r="R265" i="71"/>
  <c r="AB265" i="71"/>
  <c r="T265" i="71"/>
  <c r="Z265" i="71"/>
  <c r="H266" i="71"/>
  <c r="A268" i="71"/>
  <c r="B267" i="71"/>
  <c r="E267" i="71" s="1"/>
  <c r="N267" i="71"/>
  <c r="C267" i="71"/>
  <c r="D267" i="71" s="1"/>
  <c r="H267" i="71" s="1"/>
  <c r="K267" i="71"/>
  <c r="H118" i="71"/>
  <c r="I118" i="71"/>
  <c r="K118" i="71"/>
  <c r="B119" i="71" s="1"/>
  <c r="M93" i="71"/>
  <c r="L93" i="71" s="1"/>
  <c r="K87" i="69"/>
  <c r="B88" i="69" s="1"/>
  <c r="I87" i="69"/>
  <c r="Z266" i="71" l="1"/>
  <c r="R266" i="71"/>
  <c r="T266" i="71"/>
  <c r="AB266" i="71"/>
  <c r="U265" i="71"/>
  <c r="V265" i="71"/>
  <c r="P267" i="71"/>
  <c r="Y267" i="71"/>
  <c r="Q267" i="71" s="1"/>
  <c r="S267" i="71"/>
  <c r="N268" i="71"/>
  <c r="B268" i="71"/>
  <c r="E268" i="71" s="1"/>
  <c r="A269" i="71"/>
  <c r="K268" i="71"/>
  <c r="C268" i="71"/>
  <c r="D268" i="71" s="1"/>
  <c r="H268" i="71" s="1"/>
  <c r="E119" i="71"/>
  <c r="J119" i="71" s="1"/>
  <c r="A87" i="69"/>
  <c r="C88" i="69"/>
  <c r="E88" i="69"/>
  <c r="J88" i="69" s="1"/>
  <c r="Z267" i="71" l="1"/>
  <c r="AB267" i="71"/>
  <c r="T267" i="71"/>
  <c r="R267" i="71"/>
  <c r="U267" i="71" s="1"/>
  <c r="V267" i="71" s="1"/>
  <c r="K269" i="71"/>
  <c r="A270" i="71"/>
  <c r="B269" i="71"/>
  <c r="E269" i="71" s="1"/>
  <c r="C269" i="71"/>
  <c r="D269" i="71" s="1"/>
  <c r="N269" i="71"/>
  <c r="P268" i="71"/>
  <c r="Y268" i="71"/>
  <c r="Q268" i="71" s="1"/>
  <c r="S268" i="71"/>
  <c r="U266" i="71"/>
  <c r="V266" i="71"/>
  <c r="C119" i="71"/>
  <c r="D119" i="71" s="1"/>
  <c r="N87" i="69"/>
  <c r="Z87" i="69" s="1"/>
  <c r="M87" i="69"/>
  <c r="D88" i="69"/>
  <c r="R268" i="71" l="1"/>
  <c r="U268" i="71" s="1"/>
  <c r="T268" i="71"/>
  <c r="AB268" i="71"/>
  <c r="Z268" i="71"/>
  <c r="B270" i="71"/>
  <c r="E270" i="71" s="1"/>
  <c r="A271" i="71"/>
  <c r="C270" i="71"/>
  <c r="D270" i="71" s="1"/>
  <c r="H270" i="71" s="1"/>
  <c r="N270" i="71"/>
  <c r="K270" i="71"/>
  <c r="H269" i="71"/>
  <c r="P269" i="71"/>
  <c r="Y269" i="71"/>
  <c r="Q269" i="71" s="1"/>
  <c r="S269" i="71"/>
  <c r="I119" i="71"/>
  <c r="H119" i="71"/>
  <c r="K119" i="71"/>
  <c r="B120" i="71" s="1"/>
  <c r="P87" i="69"/>
  <c r="L86" i="69"/>
  <c r="I88" i="69"/>
  <c r="H88" i="69"/>
  <c r="K88" i="69"/>
  <c r="C271" i="71" l="1"/>
  <c r="D271" i="71" s="1"/>
  <c r="K271" i="71"/>
  <c r="A272" i="71"/>
  <c r="B271" i="71"/>
  <c r="E271" i="71" s="1"/>
  <c r="N271" i="71"/>
  <c r="T269" i="71"/>
  <c r="R269" i="71"/>
  <c r="U269" i="71" s="1"/>
  <c r="V269" i="71" s="1"/>
  <c r="Z269" i="71"/>
  <c r="AB269" i="71"/>
  <c r="Q270" i="71"/>
  <c r="S270" i="71"/>
  <c r="Y270" i="71"/>
  <c r="P270" i="71"/>
  <c r="V268" i="71"/>
  <c r="E120" i="71"/>
  <c r="J120" i="71" s="1"/>
  <c r="M94" i="71"/>
  <c r="L94" i="71" s="1"/>
  <c r="C89" i="69"/>
  <c r="A88" i="69"/>
  <c r="B89" i="69"/>
  <c r="Y271" i="71" l="1"/>
  <c r="Q271" i="71" s="1"/>
  <c r="S271" i="71"/>
  <c r="P271" i="71"/>
  <c r="C120" i="71"/>
  <c r="D120" i="71" s="1"/>
  <c r="H120" i="71" s="1"/>
  <c r="K272" i="71"/>
  <c r="N272" i="71"/>
  <c r="A273" i="71"/>
  <c r="B272" i="71"/>
  <c r="E272" i="71" s="1"/>
  <c r="C272" i="71"/>
  <c r="D272" i="71" s="1"/>
  <c r="AB270" i="71"/>
  <c r="Z270" i="71"/>
  <c r="T270" i="71"/>
  <c r="R270" i="71"/>
  <c r="H271" i="71"/>
  <c r="I120" i="71"/>
  <c r="K120" i="71"/>
  <c r="B121" i="71" s="1"/>
  <c r="N88" i="69"/>
  <c r="Z88" i="69" s="1"/>
  <c r="M88" i="69"/>
  <c r="E89" i="69"/>
  <c r="J89" i="69" s="1"/>
  <c r="S272" i="71" l="1"/>
  <c r="Y272" i="71"/>
  <c r="Q272" i="71" s="1"/>
  <c r="P272" i="71"/>
  <c r="U270" i="71"/>
  <c r="V270" i="71"/>
  <c r="A274" i="71"/>
  <c r="B273" i="71"/>
  <c r="E273" i="71" s="1"/>
  <c r="C273" i="71"/>
  <c r="D273" i="71" s="1"/>
  <c r="K273" i="71"/>
  <c r="N273" i="71"/>
  <c r="H272" i="71"/>
  <c r="T271" i="71"/>
  <c r="Z271" i="71"/>
  <c r="R271" i="71"/>
  <c r="AB271" i="71"/>
  <c r="E121" i="71"/>
  <c r="J121" i="71" s="1"/>
  <c r="P88" i="69"/>
  <c r="D89" i="69"/>
  <c r="K89" i="69" s="1"/>
  <c r="B90" i="69" s="1"/>
  <c r="R272" i="71" l="1"/>
  <c r="U272" i="71" s="1"/>
  <c r="AB272" i="71"/>
  <c r="Z272" i="71"/>
  <c r="T272" i="71"/>
  <c r="V271" i="71"/>
  <c r="U271" i="71"/>
  <c r="E274" i="71"/>
  <c r="N274" i="71"/>
  <c r="C274" i="71"/>
  <c r="D274" i="71" s="1"/>
  <c r="A275" i="71"/>
  <c r="K274" i="71"/>
  <c r="B274" i="71"/>
  <c r="S273" i="71"/>
  <c r="Y273" i="71"/>
  <c r="P273" i="71"/>
  <c r="Q273" i="71"/>
  <c r="H273" i="71"/>
  <c r="C121" i="71"/>
  <c r="D121" i="71" s="1"/>
  <c r="M95" i="71"/>
  <c r="L95" i="71" s="1"/>
  <c r="I89" i="69"/>
  <c r="H89" i="69"/>
  <c r="A89" i="69"/>
  <c r="C90" i="69"/>
  <c r="L87" i="69"/>
  <c r="E90" i="69"/>
  <c r="J90" i="69" s="1"/>
  <c r="R273" i="71" l="1"/>
  <c r="AB273" i="71"/>
  <c r="T273" i="71"/>
  <c r="Z273" i="71"/>
  <c r="P274" i="71"/>
  <c r="Y274" i="71"/>
  <c r="Q274" i="71" s="1"/>
  <c r="S274" i="71"/>
  <c r="C275" i="71"/>
  <c r="D275" i="71" s="1"/>
  <c r="H275" i="71" s="1"/>
  <c r="K275" i="71"/>
  <c r="B275" i="71"/>
  <c r="E275" i="71" s="1"/>
  <c r="A276" i="71"/>
  <c r="N275" i="71"/>
  <c r="H274" i="71"/>
  <c r="V272" i="71"/>
  <c r="I121" i="71"/>
  <c r="H121" i="71"/>
  <c r="K121" i="71"/>
  <c r="B122" i="71" s="1"/>
  <c r="D90" i="69"/>
  <c r="I90" i="69" s="1"/>
  <c r="N89" i="69"/>
  <c r="Z89" i="69" s="1"/>
  <c r="M89" i="69"/>
  <c r="R274" i="71" l="1"/>
  <c r="AB274" i="71"/>
  <c r="T274" i="71"/>
  <c r="Z274" i="71"/>
  <c r="Y275" i="71"/>
  <c r="P275" i="71"/>
  <c r="Q275" i="71"/>
  <c r="S275" i="71"/>
  <c r="C276" i="71"/>
  <c r="D276" i="71" s="1"/>
  <c r="N276" i="71"/>
  <c r="A277" i="71"/>
  <c r="E276" i="71"/>
  <c r="K276" i="71"/>
  <c r="B276" i="71"/>
  <c r="U273" i="71"/>
  <c r="V273" i="71"/>
  <c r="E122" i="71"/>
  <c r="J122" i="71" s="1"/>
  <c r="P89" i="69"/>
  <c r="K90" i="69"/>
  <c r="A90" i="69" s="1"/>
  <c r="H90" i="69"/>
  <c r="R275" i="71" l="1"/>
  <c r="U275" i="71" s="1"/>
  <c r="AB275" i="71"/>
  <c r="T275" i="71"/>
  <c r="Z275" i="71"/>
  <c r="C277" i="71"/>
  <c r="D277" i="71" s="1"/>
  <c r="A278" i="71"/>
  <c r="B277" i="71"/>
  <c r="E277" i="71" s="1"/>
  <c r="N277" i="71"/>
  <c r="K277" i="71"/>
  <c r="P276" i="71"/>
  <c r="Y276" i="71"/>
  <c r="Q276" i="71"/>
  <c r="S276" i="71"/>
  <c r="H276" i="71"/>
  <c r="U274" i="71"/>
  <c r="V274" i="71"/>
  <c r="C122" i="71"/>
  <c r="D122" i="71" s="1"/>
  <c r="M96" i="71"/>
  <c r="L96" i="71" s="1"/>
  <c r="N90" i="69"/>
  <c r="Z90" i="69" s="1"/>
  <c r="B91" i="69"/>
  <c r="E91" i="69" s="1"/>
  <c r="J91" i="69" s="1"/>
  <c r="C91" i="69"/>
  <c r="M90" i="69"/>
  <c r="B278" i="71" l="1"/>
  <c r="E278" i="71" s="1"/>
  <c r="N278" i="71"/>
  <c r="C278" i="71"/>
  <c r="D278" i="71" s="1"/>
  <c r="H278" i="71" s="1"/>
  <c r="A279" i="71"/>
  <c r="K278" i="71"/>
  <c r="H277" i="71"/>
  <c r="P277" i="71"/>
  <c r="S277" i="71"/>
  <c r="Y277" i="71"/>
  <c r="Q277" i="71" s="1"/>
  <c r="R276" i="71"/>
  <c r="U276" i="71" s="1"/>
  <c r="T276" i="71"/>
  <c r="Z276" i="71"/>
  <c r="AB276" i="71"/>
  <c r="V275" i="71"/>
  <c r="H122" i="71"/>
  <c r="I122" i="71"/>
  <c r="K122" i="71"/>
  <c r="B123" i="71" s="1"/>
  <c r="P90" i="69"/>
  <c r="D91" i="69"/>
  <c r="H91" i="69" s="1"/>
  <c r="L88" i="69"/>
  <c r="A280" i="71" l="1"/>
  <c r="N279" i="71"/>
  <c r="K279" i="71"/>
  <c r="B279" i="71"/>
  <c r="E279" i="71" s="1"/>
  <c r="C279" i="71"/>
  <c r="D279" i="71" s="1"/>
  <c r="V276" i="71"/>
  <c r="P278" i="71"/>
  <c r="Y278" i="71"/>
  <c r="Q278" i="71" s="1"/>
  <c r="S278" i="71"/>
  <c r="Z277" i="71"/>
  <c r="T277" i="71"/>
  <c r="AB277" i="71"/>
  <c r="R277" i="71"/>
  <c r="U277" i="71" s="1"/>
  <c r="V277" i="71" s="1"/>
  <c r="E123" i="71"/>
  <c r="J123" i="71" s="1"/>
  <c r="K91" i="69"/>
  <c r="B92" i="69" s="1"/>
  <c r="I91" i="69"/>
  <c r="H279" i="71" l="1"/>
  <c r="Y279" i="71"/>
  <c r="Q279" i="71" s="1"/>
  <c r="P279" i="71"/>
  <c r="S279" i="71"/>
  <c r="R278" i="71"/>
  <c r="AB278" i="71"/>
  <c r="T278" i="71"/>
  <c r="Z278" i="71"/>
  <c r="C280" i="71"/>
  <c r="D280" i="71" s="1"/>
  <c r="N280" i="71"/>
  <c r="A281" i="71"/>
  <c r="K280" i="71"/>
  <c r="B280" i="71"/>
  <c r="E280" i="71" s="1"/>
  <c r="C123" i="71"/>
  <c r="D123" i="71" s="1"/>
  <c r="A91" i="69"/>
  <c r="C92" i="69"/>
  <c r="E92" i="69"/>
  <c r="J92" i="69" s="1"/>
  <c r="Z279" i="71" l="1"/>
  <c r="R279" i="71"/>
  <c r="U279" i="71" s="1"/>
  <c r="AB279" i="71"/>
  <c r="T279" i="71"/>
  <c r="U278" i="71"/>
  <c r="V278" i="71"/>
  <c r="Y280" i="71"/>
  <c r="Q280" i="71" s="1"/>
  <c r="P280" i="71"/>
  <c r="S280" i="71"/>
  <c r="H280" i="71"/>
  <c r="N281" i="71"/>
  <c r="C281" i="71"/>
  <c r="D281" i="71" s="1"/>
  <c r="K281" i="71"/>
  <c r="B281" i="71"/>
  <c r="E281" i="71" s="1"/>
  <c r="A282" i="71"/>
  <c r="H123" i="71"/>
  <c r="I123" i="71"/>
  <c r="K123" i="71"/>
  <c r="B124" i="71" s="1"/>
  <c r="M97" i="71"/>
  <c r="L97" i="71" s="1"/>
  <c r="N91" i="69"/>
  <c r="Z91" i="69" s="1"/>
  <c r="M91" i="69"/>
  <c r="D92" i="69"/>
  <c r="K92" i="69" s="1"/>
  <c r="C93" i="69" s="1"/>
  <c r="N282" i="71" l="1"/>
  <c r="K282" i="71"/>
  <c r="C282" i="71"/>
  <c r="D282" i="71" s="1"/>
  <c r="A283" i="71"/>
  <c r="B282" i="71"/>
  <c r="E282" i="71"/>
  <c r="H281" i="71"/>
  <c r="S281" i="71"/>
  <c r="Y281" i="71"/>
  <c r="Q281" i="71" s="1"/>
  <c r="P281" i="71"/>
  <c r="V279" i="71"/>
  <c r="AB280" i="71"/>
  <c r="R280" i="71"/>
  <c r="T280" i="71"/>
  <c r="Z280" i="71"/>
  <c r="E124" i="71"/>
  <c r="J124" i="71" s="1"/>
  <c r="P91" i="69"/>
  <c r="I92" i="69"/>
  <c r="H92" i="69"/>
  <c r="B93" i="69"/>
  <c r="E93" i="69" s="1"/>
  <c r="J93" i="69" s="1"/>
  <c r="A92" i="69"/>
  <c r="L89" i="69"/>
  <c r="U280" i="71" l="1"/>
  <c r="V280" i="71"/>
  <c r="N283" i="71"/>
  <c r="B283" i="71"/>
  <c r="C283" i="71"/>
  <c r="D283" i="71" s="1"/>
  <c r="K283" i="71"/>
  <c r="E283" i="71"/>
  <c r="A284" i="71"/>
  <c r="H282" i="71"/>
  <c r="Z281" i="71"/>
  <c r="AB281" i="71"/>
  <c r="R281" i="71"/>
  <c r="U281" i="71" s="1"/>
  <c r="V281" i="71" s="1"/>
  <c r="T281" i="71"/>
  <c r="P282" i="71"/>
  <c r="Y282" i="71"/>
  <c r="Q282" i="71" s="1"/>
  <c r="S282" i="71"/>
  <c r="C124" i="71"/>
  <c r="D124" i="71" s="1"/>
  <c r="N92" i="69"/>
  <c r="Z92" i="69" s="1"/>
  <c r="M92" i="69"/>
  <c r="D93" i="69"/>
  <c r="T282" i="71" l="1"/>
  <c r="R282" i="71"/>
  <c r="Z282" i="71"/>
  <c r="AB282" i="71"/>
  <c r="N284" i="71"/>
  <c r="A285" i="71"/>
  <c r="B284" i="71"/>
  <c r="E284" i="71" s="1"/>
  <c r="C284" i="71"/>
  <c r="D284" i="71" s="1"/>
  <c r="H284" i="71" s="1"/>
  <c r="K284" i="71"/>
  <c r="H283" i="71"/>
  <c r="Y283" i="71"/>
  <c r="Q283" i="71"/>
  <c r="S283" i="71"/>
  <c r="P283" i="71"/>
  <c r="H124" i="71"/>
  <c r="I124" i="71"/>
  <c r="K124" i="71"/>
  <c r="B125" i="71" s="1"/>
  <c r="M98" i="71"/>
  <c r="L98" i="71" s="1"/>
  <c r="P92" i="69"/>
  <c r="H93" i="69"/>
  <c r="I93" i="69"/>
  <c r="K93" i="69"/>
  <c r="A286" i="71" l="1"/>
  <c r="N285" i="71"/>
  <c r="C285" i="71"/>
  <c r="D285" i="71" s="1"/>
  <c r="H285" i="71" s="1"/>
  <c r="K285" i="71"/>
  <c r="B285" i="71"/>
  <c r="E285" i="71" s="1"/>
  <c r="S284" i="71"/>
  <c r="P284" i="71"/>
  <c r="Y284" i="71"/>
  <c r="Q284" i="71" s="1"/>
  <c r="Z283" i="71"/>
  <c r="T283" i="71"/>
  <c r="AB283" i="71"/>
  <c r="R283" i="71"/>
  <c r="U282" i="71"/>
  <c r="V282" i="71"/>
  <c r="E125" i="71"/>
  <c r="J125" i="71" s="1"/>
  <c r="B94" i="69"/>
  <c r="C94" i="69"/>
  <c r="A93" i="69"/>
  <c r="L90" i="69"/>
  <c r="U283" i="71" l="1"/>
  <c r="V283" i="71" s="1"/>
  <c r="S285" i="71"/>
  <c r="Y285" i="71"/>
  <c r="P285" i="71"/>
  <c r="Q285" i="71"/>
  <c r="AB284" i="71"/>
  <c r="Z284" i="71"/>
  <c r="T284" i="71"/>
  <c r="R284" i="71"/>
  <c r="U284" i="71" s="1"/>
  <c r="V284" i="71" s="1"/>
  <c r="N286" i="71"/>
  <c r="B286" i="71"/>
  <c r="E286" i="71" s="1"/>
  <c r="C286" i="71"/>
  <c r="D286" i="71" s="1"/>
  <c r="H286" i="71" s="1"/>
  <c r="A287" i="71"/>
  <c r="K286" i="71"/>
  <c r="C125" i="71"/>
  <c r="D125" i="71" s="1"/>
  <c r="M99" i="71"/>
  <c r="L99" i="71" s="1"/>
  <c r="N93" i="69"/>
  <c r="Z93" i="69" s="1"/>
  <c r="M93" i="69"/>
  <c r="E94" i="69"/>
  <c r="J94" i="69" s="1"/>
  <c r="R285" i="71" l="1"/>
  <c r="AB285" i="71"/>
  <c r="T285" i="71"/>
  <c r="Z285" i="71"/>
  <c r="C287" i="71"/>
  <c r="D287" i="71" s="1"/>
  <c r="N287" i="71"/>
  <c r="A288" i="71"/>
  <c r="B287" i="71"/>
  <c r="E287" i="71" s="1"/>
  <c r="K287" i="71"/>
  <c r="P286" i="71"/>
  <c r="S286" i="71"/>
  <c r="Y286" i="71"/>
  <c r="Q286" i="71" s="1"/>
  <c r="H125" i="71"/>
  <c r="I125" i="71"/>
  <c r="K125" i="71"/>
  <c r="B126" i="71" s="1"/>
  <c r="P93" i="69"/>
  <c r="D94" i="69"/>
  <c r="H287" i="71" l="1"/>
  <c r="Z286" i="71"/>
  <c r="R286" i="71"/>
  <c r="U286" i="71" s="1"/>
  <c r="AB286" i="71"/>
  <c r="T286" i="71"/>
  <c r="A289" i="71"/>
  <c r="B288" i="71"/>
  <c r="E288" i="71" s="1"/>
  <c r="C288" i="71"/>
  <c r="D288" i="71" s="1"/>
  <c r="N288" i="71"/>
  <c r="K288" i="71"/>
  <c r="P287" i="71"/>
  <c r="S287" i="71"/>
  <c r="Y287" i="71"/>
  <c r="Q287" i="71" s="1"/>
  <c r="V285" i="71"/>
  <c r="U285" i="71"/>
  <c r="E126" i="71"/>
  <c r="J126" i="71" s="1"/>
  <c r="I94" i="69"/>
  <c r="H94" i="69"/>
  <c r="K94" i="69"/>
  <c r="R287" i="71" l="1"/>
  <c r="U287" i="71" s="1"/>
  <c r="V287" i="71" s="1"/>
  <c r="Z287" i="71"/>
  <c r="T287" i="71"/>
  <c r="AB287" i="71"/>
  <c r="K289" i="71"/>
  <c r="A290" i="71"/>
  <c r="C289" i="71"/>
  <c r="D289" i="71" s="1"/>
  <c r="H289" i="71" s="1"/>
  <c r="B289" i="71"/>
  <c r="E289" i="71" s="1"/>
  <c r="N289" i="71"/>
  <c r="V286" i="71"/>
  <c r="H288" i="71"/>
  <c r="S288" i="71"/>
  <c r="P288" i="71"/>
  <c r="Y288" i="71"/>
  <c r="Q288" i="71" s="1"/>
  <c r="C126" i="71"/>
  <c r="D126" i="71" s="1"/>
  <c r="C95" i="69"/>
  <c r="A94" i="69"/>
  <c r="B95" i="69"/>
  <c r="L91" i="69"/>
  <c r="Z288" i="71" l="1"/>
  <c r="AB288" i="71"/>
  <c r="R288" i="71"/>
  <c r="T288" i="71"/>
  <c r="K290" i="71"/>
  <c r="A291" i="71"/>
  <c r="B290" i="71"/>
  <c r="E290" i="71" s="1"/>
  <c r="C290" i="71"/>
  <c r="D290" i="71" s="1"/>
  <c r="H290" i="71" s="1"/>
  <c r="N290" i="71"/>
  <c r="Y289" i="71"/>
  <c r="Q289" i="71" s="1"/>
  <c r="P289" i="71"/>
  <c r="S289" i="71"/>
  <c r="H126" i="71"/>
  <c r="I126" i="71"/>
  <c r="K126" i="71"/>
  <c r="B127" i="71" s="1"/>
  <c r="M100" i="71"/>
  <c r="L100" i="71" s="1"/>
  <c r="N94" i="69"/>
  <c r="Z94" i="69" s="1"/>
  <c r="M94" i="69"/>
  <c r="E95" i="69"/>
  <c r="J95" i="69" s="1"/>
  <c r="R289" i="71" l="1"/>
  <c r="U289" i="71" s="1"/>
  <c r="T289" i="71"/>
  <c r="Z289" i="71"/>
  <c r="AB289" i="71"/>
  <c r="N291" i="71"/>
  <c r="B291" i="71"/>
  <c r="E291" i="71" s="1"/>
  <c r="C291" i="71"/>
  <c r="D291" i="71" s="1"/>
  <c r="H291" i="71" s="1"/>
  <c r="K291" i="71"/>
  <c r="A292" i="71"/>
  <c r="U288" i="71"/>
  <c r="V288" i="71" s="1"/>
  <c r="Y290" i="71"/>
  <c r="Q290" i="71" s="1"/>
  <c r="P290" i="71"/>
  <c r="S290" i="71"/>
  <c r="E127" i="71"/>
  <c r="J127" i="71" s="1"/>
  <c r="P94" i="69"/>
  <c r="D95" i="69"/>
  <c r="H95" i="69" s="1"/>
  <c r="L92" i="69"/>
  <c r="T290" i="71" l="1"/>
  <c r="R290" i="71"/>
  <c r="Z290" i="71"/>
  <c r="AB290" i="71"/>
  <c r="S291" i="71"/>
  <c r="P291" i="71"/>
  <c r="Y291" i="71"/>
  <c r="Q291" i="71" s="1"/>
  <c r="K292" i="71"/>
  <c r="A293" i="71"/>
  <c r="N292" i="71"/>
  <c r="C292" i="71"/>
  <c r="D292" i="71" s="1"/>
  <c r="B292" i="71"/>
  <c r="E292" i="71" s="1"/>
  <c r="V289" i="71"/>
  <c r="C127" i="71"/>
  <c r="D127" i="71" s="1"/>
  <c r="K95" i="69"/>
  <c r="B96" i="69" s="1"/>
  <c r="I95" i="69"/>
  <c r="H292" i="71" l="1"/>
  <c r="S292" i="71"/>
  <c r="P292" i="71"/>
  <c r="Y292" i="71"/>
  <c r="Q292" i="71" s="1"/>
  <c r="U290" i="71"/>
  <c r="V290" i="71"/>
  <c r="AB291" i="71"/>
  <c r="Z291" i="71"/>
  <c r="T291" i="71"/>
  <c r="R291" i="71"/>
  <c r="K293" i="71"/>
  <c r="N293" i="71"/>
  <c r="A294" i="71"/>
  <c r="B293" i="71"/>
  <c r="E293" i="71" s="1"/>
  <c r="C293" i="71"/>
  <c r="D293" i="71" s="1"/>
  <c r="H293" i="71" s="1"/>
  <c r="I127" i="71"/>
  <c r="H127" i="71"/>
  <c r="K127" i="71"/>
  <c r="B128" i="71" s="1"/>
  <c r="M101" i="71"/>
  <c r="L101" i="71" s="1"/>
  <c r="A95" i="69"/>
  <c r="C96" i="69"/>
  <c r="E96" i="69"/>
  <c r="J96" i="69" s="1"/>
  <c r="A295" i="71" l="1"/>
  <c r="N294" i="71"/>
  <c r="B294" i="71"/>
  <c r="E294" i="71"/>
  <c r="C294" i="71"/>
  <c r="D294" i="71" s="1"/>
  <c r="K294" i="71"/>
  <c r="Z292" i="71"/>
  <c r="R292" i="71"/>
  <c r="AB292" i="71"/>
  <c r="T292" i="71"/>
  <c r="S293" i="71"/>
  <c r="P293" i="71"/>
  <c r="Y293" i="71"/>
  <c r="Q293" i="71" s="1"/>
  <c r="U291" i="71"/>
  <c r="V291" i="71"/>
  <c r="E128" i="71"/>
  <c r="J128" i="71" s="1"/>
  <c r="C128" i="71"/>
  <c r="D128" i="71" s="1"/>
  <c r="N95" i="69"/>
  <c r="Z95" i="69" s="1"/>
  <c r="M95" i="69"/>
  <c r="D96" i="69"/>
  <c r="AB293" i="71" l="1"/>
  <c r="Z293" i="71"/>
  <c r="R293" i="71"/>
  <c r="U293" i="71" s="1"/>
  <c r="V293" i="71" s="1"/>
  <c r="T293" i="71"/>
  <c r="H294" i="71"/>
  <c r="U292" i="71"/>
  <c r="V292" i="71"/>
  <c r="Y294" i="71"/>
  <c r="Q294" i="71" s="1"/>
  <c r="S294" i="71"/>
  <c r="P294" i="71"/>
  <c r="B295" i="71"/>
  <c r="E295" i="71" s="1"/>
  <c r="A296" i="71"/>
  <c r="K295" i="71"/>
  <c r="C295" i="71"/>
  <c r="D295" i="71" s="1"/>
  <c r="H295" i="71" s="1"/>
  <c r="N295" i="71"/>
  <c r="I128" i="71"/>
  <c r="H128" i="71"/>
  <c r="K128" i="71"/>
  <c r="B129" i="71" s="1"/>
  <c r="P95" i="69"/>
  <c r="L93" i="69"/>
  <c r="I96" i="69"/>
  <c r="H96" i="69"/>
  <c r="K96" i="69"/>
  <c r="R294" i="71" l="1"/>
  <c r="U294" i="71" s="1"/>
  <c r="AB294" i="71"/>
  <c r="T294" i="71"/>
  <c r="Z294" i="71"/>
  <c r="C296" i="71"/>
  <c r="D296" i="71" s="1"/>
  <c r="B296" i="71"/>
  <c r="N296" i="71"/>
  <c r="E296" i="71"/>
  <c r="A297" i="71"/>
  <c r="K296" i="71"/>
  <c r="P295" i="71"/>
  <c r="Y295" i="71"/>
  <c r="Q295" i="71" s="1"/>
  <c r="S295" i="71"/>
  <c r="E129" i="71"/>
  <c r="J129" i="71" s="1"/>
  <c r="M102" i="71"/>
  <c r="L102" i="71" s="1"/>
  <c r="C97" i="69"/>
  <c r="A96" i="69"/>
  <c r="B97" i="69"/>
  <c r="Z295" i="71" l="1"/>
  <c r="T295" i="71"/>
  <c r="R295" i="71"/>
  <c r="AB295" i="71"/>
  <c r="H296" i="71"/>
  <c r="Y296" i="71"/>
  <c r="Q296" i="71" s="1"/>
  <c r="P296" i="71"/>
  <c r="S296" i="71"/>
  <c r="A298" i="71"/>
  <c r="N297" i="71"/>
  <c r="C297" i="71"/>
  <c r="D297" i="71" s="1"/>
  <c r="H297" i="71" s="1"/>
  <c r="K297" i="71"/>
  <c r="B297" i="71"/>
  <c r="E297" i="71" s="1"/>
  <c r="V294" i="71"/>
  <c r="C129" i="71"/>
  <c r="D129" i="71" s="1"/>
  <c r="N96" i="69"/>
  <c r="Z96" i="69" s="1"/>
  <c r="M96" i="69"/>
  <c r="E97" i="69"/>
  <c r="J97" i="69" s="1"/>
  <c r="R296" i="71" l="1"/>
  <c r="T296" i="71"/>
  <c r="AB296" i="71"/>
  <c r="Z296" i="71"/>
  <c r="P297" i="71"/>
  <c r="S297" i="71"/>
  <c r="Y297" i="71"/>
  <c r="Q297" i="71" s="1"/>
  <c r="U295" i="71"/>
  <c r="V295" i="71" s="1"/>
  <c r="N298" i="71"/>
  <c r="C298" i="71"/>
  <c r="D298" i="71" s="1"/>
  <c r="K298" i="71"/>
  <c r="A299" i="71"/>
  <c r="B298" i="71"/>
  <c r="E298" i="71"/>
  <c r="I129" i="71"/>
  <c r="H129" i="71"/>
  <c r="K129" i="71"/>
  <c r="B130" i="71" s="1"/>
  <c r="P96" i="69"/>
  <c r="D97" i="69"/>
  <c r="I97" i="69" s="1"/>
  <c r="L94" i="69"/>
  <c r="N299" i="71" l="1"/>
  <c r="C299" i="71"/>
  <c r="D299" i="71" s="1"/>
  <c r="B299" i="71"/>
  <c r="E299" i="71" s="1"/>
  <c r="K299" i="71"/>
  <c r="A300" i="71"/>
  <c r="H298" i="71"/>
  <c r="S298" i="71"/>
  <c r="P298" i="71"/>
  <c r="Y298" i="71"/>
  <c r="Q298" i="71"/>
  <c r="Z297" i="71"/>
  <c r="R297" i="71"/>
  <c r="T297" i="71"/>
  <c r="AB297" i="71"/>
  <c r="U296" i="71"/>
  <c r="V296" i="71"/>
  <c r="E130" i="71"/>
  <c r="J130" i="71" s="1"/>
  <c r="C130" i="71"/>
  <c r="D130" i="71" s="1"/>
  <c r="K130" i="71" s="1"/>
  <c r="B131" i="71" s="1"/>
  <c r="K97" i="69"/>
  <c r="B98" i="69" s="1"/>
  <c r="H97" i="69"/>
  <c r="N300" i="71" l="1"/>
  <c r="B300" i="71"/>
  <c r="E300" i="71" s="1"/>
  <c r="A301" i="71"/>
  <c r="C300" i="71"/>
  <c r="D300" i="71" s="1"/>
  <c r="K300" i="71"/>
  <c r="U297" i="71"/>
  <c r="V297" i="71" s="1"/>
  <c r="R298" i="71"/>
  <c r="Z298" i="71"/>
  <c r="T298" i="71"/>
  <c r="AB298" i="71"/>
  <c r="H299" i="71"/>
  <c r="S299" i="71"/>
  <c r="P299" i="71"/>
  <c r="Y299" i="71"/>
  <c r="Q299" i="71" s="1"/>
  <c r="E131" i="71"/>
  <c r="J131" i="71" s="1"/>
  <c r="H130" i="71"/>
  <c r="I130" i="71"/>
  <c r="M103" i="71"/>
  <c r="L103" i="71" s="1"/>
  <c r="A97" i="69"/>
  <c r="C98" i="69"/>
  <c r="E98" i="69"/>
  <c r="J98" i="69" s="1"/>
  <c r="T299" i="71" l="1"/>
  <c r="R299" i="71"/>
  <c r="Z299" i="71"/>
  <c r="AB299" i="71"/>
  <c r="H300" i="71"/>
  <c r="N301" i="71"/>
  <c r="B301" i="71"/>
  <c r="E301" i="71" s="1"/>
  <c r="C301" i="71"/>
  <c r="D301" i="71" s="1"/>
  <c r="H301" i="71" s="1"/>
  <c r="K301" i="71"/>
  <c r="A302" i="71"/>
  <c r="C131" i="71"/>
  <c r="D131" i="71" s="1"/>
  <c r="K131" i="71" s="1"/>
  <c r="B132" i="71" s="1"/>
  <c r="E132" i="71" s="1"/>
  <c r="V298" i="71"/>
  <c r="U298" i="71"/>
  <c r="S300" i="71"/>
  <c r="P300" i="71"/>
  <c r="Y300" i="71"/>
  <c r="Q300" i="71" s="1"/>
  <c r="H131" i="71"/>
  <c r="I131" i="71"/>
  <c r="N97" i="69"/>
  <c r="Z97" i="69" s="1"/>
  <c r="M97" i="69"/>
  <c r="D98" i="69"/>
  <c r="I98" i="69" s="1"/>
  <c r="J132" i="71" l="1"/>
  <c r="C132" i="71"/>
  <c r="D132" i="71" s="1"/>
  <c r="S301" i="71"/>
  <c r="Y301" i="71"/>
  <c r="Q301" i="71" s="1"/>
  <c r="P301" i="71"/>
  <c r="R300" i="71"/>
  <c r="AB300" i="71"/>
  <c r="T300" i="71"/>
  <c r="Z300" i="71"/>
  <c r="U299" i="71"/>
  <c r="V299" i="71" s="1"/>
  <c r="A303" i="71"/>
  <c r="K302" i="71"/>
  <c r="C302" i="71"/>
  <c r="D302" i="71" s="1"/>
  <c r="B302" i="71"/>
  <c r="E302" i="71" s="1"/>
  <c r="N302" i="71"/>
  <c r="H132" i="71"/>
  <c r="I132" i="71"/>
  <c r="K132" i="71"/>
  <c r="B133" i="71" s="1"/>
  <c r="P97" i="69"/>
  <c r="K98" i="69"/>
  <c r="C99" i="69" s="1"/>
  <c r="H98" i="69"/>
  <c r="L95" i="69"/>
  <c r="Y302" i="71" l="1"/>
  <c r="Q302" i="71" s="1"/>
  <c r="S302" i="71"/>
  <c r="P302" i="71"/>
  <c r="V300" i="71"/>
  <c r="U300" i="71"/>
  <c r="H302" i="71"/>
  <c r="R301" i="71"/>
  <c r="AB301" i="71"/>
  <c r="Z301" i="71"/>
  <c r="T301" i="71"/>
  <c r="N303" i="71"/>
  <c r="A304" i="71"/>
  <c r="K303" i="71"/>
  <c r="C303" i="71"/>
  <c r="D303" i="71" s="1"/>
  <c r="B303" i="71"/>
  <c r="E303" i="71" s="1"/>
  <c r="E133" i="71"/>
  <c r="J133" i="71" s="1"/>
  <c r="C133" i="71"/>
  <c r="D133" i="71" s="1"/>
  <c r="K133" i="71" s="1"/>
  <c r="B134" i="71" s="1"/>
  <c r="M104" i="71"/>
  <c r="L104" i="71" s="1"/>
  <c r="A98" i="69"/>
  <c r="B99" i="69"/>
  <c r="E99" i="69" s="1"/>
  <c r="J99" i="69" s="1"/>
  <c r="U301" i="71" l="1"/>
  <c r="V301" i="71"/>
  <c r="H303" i="71"/>
  <c r="N304" i="71"/>
  <c r="A305" i="71"/>
  <c r="C304" i="71"/>
  <c r="D304" i="71" s="1"/>
  <c r="E304" i="71"/>
  <c r="K304" i="71"/>
  <c r="B304" i="71"/>
  <c r="Y303" i="71"/>
  <c r="Q303" i="71" s="1"/>
  <c r="P303" i="71"/>
  <c r="S303" i="71"/>
  <c r="AB302" i="71"/>
  <c r="T302" i="71"/>
  <c r="Z302" i="71"/>
  <c r="R302" i="71"/>
  <c r="E134" i="71"/>
  <c r="J134" i="71" s="1"/>
  <c r="I133" i="71"/>
  <c r="H133" i="71"/>
  <c r="N98" i="69"/>
  <c r="Z98" i="69" s="1"/>
  <c r="M98" i="69"/>
  <c r="D99" i="69"/>
  <c r="K99" i="69" s="1"/>
  <c r="B100" i="69" s="1"/>
  <c r="H304" i="71" l="1"/>
  <c r="N305" i="71"/>
  <c r="C305" i="71"/>
  <c r="D305" i="71" s="1"/>
  <c r="K305" i="71"/>
  <c r="A306" i="71"/>
  <c r="B305" i="71"/>
  <c r="E305" i="71" s="1"/>
  <c r="U302" i="71"/>
  <c r="V302" i="71" s="1"/>
  <c r="S304" i="71"/>
  <c r="P304" i="71"/>
  <c r="Y304" i="71"/>
  <c r="Q304" i="71" s="1"/>
  <c r="R303" i="71"/>
  <c r="U303" i="71" s="1"/>
  <c r="AB303" i="71"/>
  <c r="Z303" i="71"/>
  <c r="T303" i="71"/>
  <c r="C134" i="71"/>
  <c r="D134" i="71" s="1"/>
  <c r="P98" i="69"/>
  <c r="A99" i="69"/>
  <c r="C100" i="69"/>
  <c r="I99" i="69"/>
  <c r="H99" i="69"/>
  <c r="L96" i="69"/>
  <c r="E100" i="69"/>
  <c r="J100" i="69" s="1"/>
  <c r="N306" i="71" l="1"/>
  <c r="C306" i="71"/>
  <c r="D306" i="71" s="1"/>
  <c r="K306" i="71"/>
  <c r="A307" i="71"/>
  <c r="B306" i="71"/>
  <c r="E306" i="71"/>
  <c r="V303" i="71"/>
  <c r="T304" i="71"/>
  <c r="AB304" i="71"/>
  <c r="R304" i="71"/>
  <c r="U304" i="71" s="1"/>
  <c r="Z304" i="71"/>
  <c r="H305" i="71"/>
  <c r="Y305" i="71"/>
  <c r="Q305" i="71" s="1"/>
  <c r="P305" i="71"/>
  <c r="S305" i="71"/>
  <c r="H134" i="71"/>
  <c r="I134" i="71"/>
  <c r="K134" i="71"/>
  <c r="B135" i="71" s="1"/>
  <c r="N99" i="69"/>
  <c r="Z99" i="69" s="1"/>
  <c r="M99" i="69"/>
  <c r="D100" i="69"/>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P99" i="69"/>
  <c r="I100" i="69"/>
  <c r="H100" i="69"/>
  <c r="K100" i="69"/>
  <c r="R306" i="71" l="1"/>
  <c r="T306" i="71"/>
  <c r="AB306" i="71"/>
  <c r="Z306" i="71"/>
  <c r="V305" i="71"/>
  <c r="C135" i="71"/>
  <c r="D135" i="71" s="1"/>
  <c r="K135" i="71" s="1"/>
  <c r="B136" i="71" s="1"/>
  <c r="E136" i="71" s="1"/>
  <c r="J136" i="71" s="1"/>
  <c r="C308" i="71"/>
  <c r="D308" i="71" s="1"/>
  <c r="E308" i="71"/>
  <c r="B308" i="71"/>
  <c r="N308" i="71"/>
  <c r="K308" i="71"/>
  <c r="A309" i="71"/>
  <c r="P307" i="71"/>
  <c r="Y307" i="71"/>
  <c r="S307" i="71"/>
  <c r="Q307" i="71"/>
  <c r="H307" i="71"/>
  <c r="C101" i="69"/>
  <c r="A100" i="69"/>
  <c r="B101" i="69"/>
  <c r="Z307" i="71" l="1"/>
  <c r="AB307" i="71"/>
  <c r="T307" i="71"/>
  <c r="R307" i="71"/>
  <c r="I135" i="71"/>
  <c r="H308" i="71"/>
  <c r="H135" i="71"/>
  <c r="N309" i="71"/>
  <c r="B309" i="71"/>
  <c r="E309" i="71" s="1"/>
  <c r="C309" i="71"/>
  <c r="D309" i="71" s="1"/>
  <c r="A310" i="71"/>
  <c r="K309" i="71"/>
  <c r="Y308" i="71"/>
  <c r="Q308" i="71" s="1"/>
  <c r="P308" i="71"/>
  <c r="S308" i="71"/>
  <c r="U306" i="71"/>
  <c r="V306" i="71"/>
  <c r="C136" i="71"/>
  <c r="D136" i="71" s="1"/>
  <c r="N100" i="69"/>
  <c r="Z100" i="69" s="1"/>
  <c r="M100" i="69"/>
  <c r="E101" i="69"/>
  <c r="J101" i="69" s="1"/>
  <c r="L97" i="69"/>
  <c r="R308" i="71" l="1"/>
  <c r="AB308" i="71"/>
  <c r="Z308" i="71"/>
  <c r="T308" i="71"/>
  <c r="A311" i="71"/>
  <c r="N310" i="71"/>
  <c r="B310" i="71"/>
  <c r="E310" i="71" s="1"/>
  <c r="C310" i="71"/>
  <c r="D310" i="71" s="1"/>
  <c r="H310" i="71" s="1"/>
  <c r="K310" i="71"/>
  <c r="V307" i="71"/>
  <c r="U307" i="71"/>
  <c r="H309" i="71"/>
  <c r="Y309" i="71"/>
  <c r="Q309" i="71" s="1"/>
  <c r="P309" i="71"/>
  <c r="S309" i="71"/>
  <c r="I136" i="71"/>
  <c r="H136" i="71"/>
  <c r="K136" i="71"/>
  <c r="B137" i="71" s="1"/>
  <c r="P100" i="69"/>
  <c r="D101" i="69"/>
  <c r="H101" i="69" s="1"/>
  <c r="Y310" i="71" l="1"/>
  <c r="Q310" i="71" s="1"/>
  <c r="P310" i="71"/>
  <c r="S310" i="71"/>
  <c r="Z309" i="71"/>
  <c r="T309" i="71"/>
  <c r="R309" i="71"/>
  <c r="AB309" i="71"/>
  <c r="N311" i="71"/>
  <c r="A312" i="71"/>
  <c r="C311" i="71"/>
  <c r="D311" i="71" s="1"/>
  <c r="H311" i="71" s="1"/>
  <c r="B311" i="71"/>
  <c r="E311" i="71" s="1"/>
  <c r="K311" i="71"/>
  <c r="U308" i="71"/>
  <c r="V308" i="71"/>
  <c r="E137" i="71"/>
  <c r="J137" i="71" s="1"/>
  <c r="M106" i="71"/>
  <c r="L106" i="71" s="1"/>
  <c r="I101" i="69"/>
  <c r="K101" i="69"/>
  <c r="C102" i="69" s="1"/>
  <c r="Y311" i="71" l="1"/>
  <c r="Q311" i="71" s="1"/>
  <c r="P311" i="71"/>
  <c r="S311" i="71"/>
  <c r="U309" i="71"/>
  <c r="V309" i="71"/>
  <c r="C137" i="71"/>
  <c r="D137" i="71" s="1"/>
  <c r="K137" i="71" s="1"/>
  <c r="B138" i="71" s="1"/>
  <c r="E138" i="71" s="1"/>
  <c r="J138" i="71" s="1"/>
  <c r="N312" i="71"/>
  <c r="A313" i="71"/>
  <c r="B312" i="71"/>
  <c r="E312" i="71" s="1"/>
  <c r="K312" i="71"/>
  <c r="C312" i="71"/>
  <c r="D312" i="71" s="1"/>
  <c r="H312" i="71" s="1"/>
  <c r="R310" i="71"/>
  <c r="U310" i="71" s="1"/>
  <c r="AB310" i="71"/>
  <c r="T310" i="71"/>
  <c r="Z310" i="71"/>
  <c r="I137" i="71"/>
  <c r="A101" i="69"/>
  <c r="B102" i="69"/>
  <c r="E102" i="69" s="1"/>
  <c r="J102" i="69" s="1"/>
  <c r="AB311" i="71" l="1"/>
  <c r="T311" i="71"/>
  <c r="R311" i="71"/>
  <c r="U311" i="71" s="1"/>
  <c r="Z311" i="71"/>
  <c r="P312" i="71"/>
  <c r="Y312" i="71"/>
  <c r="Q312" i="71" s="1"/>
  <c r="S312" i="71"/>
  <c r="V310" i="71"/>
  <c r="C138" i="71"/>
  <c r="D138" i="71" s="1"/>
  <c r="K138" i="71" s="1"/>
  <c r="B139" i="71" s="1"/>
  <c r="H137" i="71"/>
  <c r="K313" i="71"/>
  <c r="B313" i="71"/>
  <c r="E313" i="71" s="1"/>
  <c r="N313" i="71"/>
  <c r="A314" i="71"/>
  <c r="C313" i="71"/>
  <c r="D313" i="71" s="1"/>
  <c r="H313" i="71" s="1"/>
  <c r="M107" i="71"/>
  <c r="L107" i="71" s="1"/>
  <c r="N101" i="69"/>
  <c r="Z101" i="69" s="1"/>
  <c r="M101" i="69"/>
  <c r="D102" i="69"/>
  <c r="K102" i="69" s="1"/>
  <c r="A102" i="69" s="1"/>
  <c r="L98" i="69"/>
  <c r="A315" i="71" l="1"/>
  <c r="N314" i="71"/>
  <c r="B314" i="71"/>
  <c r="E314" i="71"/>
  <c r="K314" i="71"/>
  <c r="C314" i="71"/>
  <c r="D314" i="71" s="1"/>
  <c r="H314" i="71" s="1"/>
  <c r="I138" i="71"/>
  <c r="P313" i="71"/>
  <c r="S313" i="71"/>
  <c r="Y313" i="71"/>
  <c r="Q313" i="71" s="1"/>
  <c r="H138" i="71"/>
  <c r="V311" i="71"/>
  <c r="T312" i="71"/>
  <c r="AB312" i="71"/>
  <c r="R312" i="71"/>
  <c r="U312" i="71" s="1"/>
  <c r="V312" i="71" s="1"/>
  <c r="Z312" i="71"/>
  <c r="E139" i="71"/>
  <c r="J139" i="71" s="1"/>
  <c r="P101" i="69"/>
  <c r="N102" i="69"/>
  <c r="Z102" i="69" s="1"/>
  <c r="B103" i="69"/>
  <c r="E103" i="69" s="1"/>
  <c r="J103" i="69" s="1"/>
  <c r="C103" i="69"/>
  <c r="H102" i="69"/>
  <c r="I102" i="69"/>
  <c r="M102" i="69"/>
  <c r="Z313" i="71" l="1"/>
  <c r="T313" i="71"/>
  <c r="R313" i="71"/>
  <c r="AB313" i="71"/>
  <c r="S314" i="71"/>
  <c r="P314" i="71"/>
  <c r="Y314" i="71"/>
  <c r="Q314" i="71" s="1"/>
  <c r="C139" i="71"/>
  <c r="D139" i="71" s="1"/>
  <c r="K139" i="71" s="1"/>
  <c r="B140" i="71" s="1"/>
  <c r="E140" i="71" s="1"/>
  <c r="J140" i="71" s="1"/>
  <c r="B315" i="71"/>
  <c r="E315" i="71" s="1"/>
  <c r="N315" i="71"/>
  <c r="C315" i="71"/>
  <c r="D315" i="71" s="1"/>
  <c r="K315" i="71"/>
  <c r="A316" i="71"/>
  <c r="P102" i="69"/>
  <c r="D103" i="69"/>
  <c r="T314" i="71" l="1"/>
  <c r="Z314" i="71"/>
  <c r="AB314" i="71"/>
  <c r="R314" i="71"/>
  <c r="A317" i="71"/>
  <c r="B316" i="71"/>
  <c r="E316" i="71" s="1"/>
  <c r="K316" i="71"/>
  <c r="C316" i="71"/>
  <c r="D316" i="71" s="1"/>
  <c r="N316" i="71"/>
  <c r="H315" i="71"/>
  <c r="U313" i="71"/>
  <c r="V313" i="71"/>
  <c r="I139" i="71"/>
  <c r="Y315" i="71"/>
  <c r="Q315" i="71" s="1"/>
  <c r="P315" i="71"/>
  <c r="S315" i="71"/>
  <c r="H139" i="71"/>
  <c r="C140" i="71"/>
  <c r="D140" i="71" s="1"/>
  <c r="L99" i="69"/>
  <c r="H103" i="69"/>
  <c r="I103" i="69"/>
  <c r="K103" i="69"/>
  <c r="AB315" i="71" l="1"/>
  <c r="T315" i="71"/>
  <c r="Z315" i="71"/>
  <c r="R315" i="71"/>
  <c r="B317" i="71"/>
  <c r="E317" i="71" s="1"/>
  <c r="C317" i="71"/>
  <c r="D317" i="71" s="1"/>
  <c r="H317" i="71" s="1"/>
  <c r="K317" i="71"/>
  <c r="A318" i="71"/>
  <c r="N317" i="71"/>
  <c r="U314" i="71"/>
  <c r="V314" i="71"/>
  <c r="Y316" i="71"/>
  <c r="Q316" i="71"/>
  <c r="S316" i="71"/>
  <c r="P316" i="71"/>
  <c r="H316" i="71"/>
  <c r="H140" i="71"/>
  <c r="I140" i="71"/>
  <c r="K140" i="71"/>
  <c r="B141" i="71" s="1"/>
  <c r="M108" i="71"/>
  <c r="L108" i="71" s="1"/>
  <c r="B104" i="69"/>
  <c r="C104" i="69"/>
  <c r="A103" i="69"/>
  <c r="Z316" i="71" l="1"/>
  <c r="AB316" i="71"/>
  <c r="T316" i="71"/>
  <c r="R316" i="71"/>
  <c r="U316" i="71" s="1"/>
  <c r="V316" i="71" s="1"/>
  <c r="B318" i="71"/>
  <c r="E318" i="71" s="1"/>
  <c r="A319" i="71"/>
  <c r="K318" i="71"/>
  <c r="C318" i="71"/>
  <c r="D318" i="71" s="1"/>
  <c r="N318" i="71"/>
  <c r="U315" i="71"/>
  <c r="V315" i="71"/>
  <c r="S317" i="71"/>
  <c r="P317" i="71"/>
  <c r="Y317" i="71"/>
  <c r="Q317" i="71" s="1"/>
  <c r="E141" i="71"/>
  <c r="J141" i="71" s="1"/>
  <c r="N103" i="69"/>
  <c r="Z103" i="69" s="1"/>
  <c r="M103" i="69"/>
  <c r="L100" i="69"/>
  <c r="E104" i="69"/>
  <c r="J104" i="69" s="1"/>
  <c r="R317" i="71" l="1"/>
  <c r="AB317" i="71"/>
  <c r="Z317" i="71"/>
  <c r="T317" i="71"/>
  <c r="C141" i="71"/>
  <c r="D141" i="71" s="1"/>
  <c r="K141" i="71" s="1"/>
  <c r="B142" i="71" s="1"/>
  <c r="E142" i="71" s="1"/>
  <c r="J142" i="71" s="1"/>
  <c r="H318" i="71"/>
  <c r="B319" i="71"/>
  <c r="E319" i="71" s="1"/>
  <c r="C319" i="71"/>
  <c r="D319" i="71" s="1"/>
  <c r="H319" i="71" s="1"/>
  <c r="K319" i="71"/>
  <c r="A320" i="71"/>
  <c r="N319" i="71"/>
  <c r="S318" i="71"/>
  <c r="Y318" i="71"/>
  <c r="Q318" i="71" s="1"/>
  <c r="P318" i="71"/>
  <c r="P103" i="69"/>
  <c r="D104" i="69"/>
  <c r="I104" i="69" s="1"/>
  <c r="R318" i="71" l="1"/>
  <c r="AB318" i="71"/>
  <c r="Z318" i="71"/>
  <c r="T318" i="71"/>
  <c r="P319" i="71"/>
  <c r="S319" i="71"/>
  <c r="Y319" i="71"/>
  <c r="Q319" i="71" s="1"/>
  <c r="I141" i="71"/>
  <c r="K320" i="71"/>
  <c r="C320" i="71"/>
  <c r="D320" i="71" s="1"/>
  <c r="N320" i="71"/>
  <c r="A321" i="71"/>
  <c r="B320" i="71"/>
  <c r="E320" i="71" s="1"/>
  <c r="H141" i="71"/>
  <c r="V317" i="71"/>
  <c r="U317" i="71"/>
  <c r="C142" i="71"/>
  <c r="D142" i="71" s="1"/>
  <c r="H104" i="69"/>
  <c r="K104" i="69"/>
  <c r="C105" i="69" s="1"/>
  <c r="R319" i="71" l="1"/>
  <c r="AB319" i="71"/>
  <c r="Z319" i="71"/>
  <c r="T319" i="71"/>
  <c r="B321" i="71"/>
  <c r="E321" i="71" s="1"/>
  <c r="C321" i="71"/>
  <c r="D321" i="71" s="1"/>
  <c r="H321" i="71" s="1"/>
  <c r="N321" i="71"/>
  <c r="A322" i="71"/>
  <c r="K321" i="71"/>
  <c r="Y320" i="71"/>
  <c r="Q320" i="71" s="1"/>
  <c r="P320" i="71"/>
  <c r="S320" i="71"/>
  <c r="H320" i="71"/>
  <c r="U318" i="71"/>
  <c r="V318" i="71" s="1"/>
  <c r="H142" i="71"/>
  <c r="I142" i="71"/>
  <c r="K142" i="71"/>
  <c r="B143" i="71" s="1"/>
  <c r="M109" i="71"/>
  <c r="L109" i="71" s="1"/>
  <c r="B105" i="69"/>
  <c r="E105" i="69" s="1"/>
  <c r="J105" i="69" s="1"/>
  <c r="A104" i="69"/>
  <c r="Y321" i="71" l="1"/>
  <c r="Q321" i="71" s="1"/>
  <c r="P321" i="71"/>
  <c r="S321" i="71"/>
  <c r="Z320" i="71"/>
  <c r="AB320" i="71"/>
  <c r="T320" i="71"/>
  <c r="R320" i="71"/>
  <c r="U320" i="71" s="1"/>
  <c r="V320" i="71" s="1"/>
  <c r="A323" i="71"/>
  <c r="B322" i="71"/>
  <c r="K322" i="71"/>
  <c r="E322" i="71"/>
  <c r="N322" i="71"/>
  <c r="C322" i="71"/>
  <c r="D322" i="71" s="1"/>
  <c r="H322" i="71" s="1"/>
  <c r="U319" i="71"/>
  <c r="V319" i="71" s="1"/>
  <c r="E143" i="71"/>
  <c r="J143" i="71" s="1"/>
  <c r="N104" i="69"/>
  <c r="Z104" i="69" s="1"/>
  <c r="M104" i="69"/>
  <c r="L101" i="69"/>
  <c r="D105" i="69"/>
  <c r="C323" i="71" l="1"/>
  <c r="D323" i="71" s="1"/>
  <c r="K323" i="71"/>
  <c r="B323" i="71"/>
  <c r="E323" i="71" s="1"/>
  <c r="A324" i="71"/>
  <c r="N323" i="71"/>
  <c r="P322" i="71"/>
  <c r="S322" i="71"/>
  <c r="Y322" i="71"/>
  <c r="Q322" i="71" s="1"/>
  <c r="Z321" i="71"/>
  <c r="T321" i="71"/>
  <c r="R321" i="71"/>
  <c r="AB321" i="71"/>
  <c r="C143" i="71"/>
  <c r="D143" i="71" s="1"/>
  <c r="M110" i="71"/>
  <c r="L110" i="71" s="1"/>
  <c r="P104" i="69"/>
  <c r="H105" i="69"/>
  <c r="I105" i="69"/>
  <c r="K105" i="69"/>
  <c r="U321" i="71" l="1"/>
  <c r="V321" i="71"/>
  <c r="T322" i="71"/>
  <c r="R322" i="71"/>
  <c r="Z322" i="71"/>
  <c r="AB322" i="71"/>
  <c r="A325" i="71"/>
  <c r="K324" i="71"/>
  <c r="N324" i="71"/>
  <c r="B324" i="71"/>
  <c r="C324" i="71"/>
  <c r="D324" i="71" s="1"/>
  <c r="E324" i="71"/>
  <c r="Y323" i="71"/>
  <c r="Q323" i="71"/>
  <c r="P323" i="71"/>
  <c r="S323" i="71"/>
  <c r="H323" i="71"/>
  <c r="I143" i="71"/>
  <c r="H143" i="71"/>
  <c r="K143" i="71"/>
  <c r="B144" i="71" s="1"/>
  <c r="B106" i="69"/>
  <c r="C106" i="69"/>
  <c r="A105" i="69"/>
  <c r="K325" i="71" l="1"/>
  <c r="A326" i="71"/>
  <c r="N325" i="71"/>
  <c r="C325" i="71"/>
  <c r="D325" i="71" s="1"/>
  <c r="B325" i="71"/>
  <c r="E325" i="71" s="1"/>
  <c r="U322" i="71"/>
  <c r="V322" i="71"/>
  <c r="H324" i="71"/>
  <c r="T323" i="71"/>
  <c r="Z323" i="71"/>
  <c r="R323" i="71"/>
  <c r="AB323" i="71"/>
  <c r="P324" i="71"/>
  <c r="S324" i="71"/>
  <c r="Y324" i="71"/>
  <c r="Q324" i="71"/>
  <c r="E144" i="71"/>
  <c r="J144" i="71" s="1"/>
  <c r="C144" i="71"/>
  <c r="D144" i="71" s="1"/>
  <c r="K144" i="71" s="1"/>
  <c r="B145" i="71" s="1"/>
  <c r="N105" i="69"/>
  <c r="Z105" i="69" s="1"/>
  <c r="M105" i="69"/>
  <c r="L102" i="69"/>
  <c r="E106" i="69"/>
  <c r="J106" i="69" s="1"/>
  <c r="T324" i="71" l="1"/>
  <c r="AB324" i="71"/>
  <c r="R324" i="71"/>
  <c r="U324" i="71" s="1"/>
  <c r="V324" i="71" s="1"/>
  <c r="Z324" i="71"/>
  <c r="H325" i="71"/>
  <c r="Y325" i="71"/>
  <c r="Q325" i="71" s="1"/>
  <c r="S325" i="71"/>
  <c r="P325" i="71"/>
  <c r="A327" i="71"/>
  <c r="C326" i="71"/>
  <c r="D326" i="71" s="1"/>
  <c r="N326" i="71"/>
  <c r="K326" i="71"/>
  <c r="B326" i="71"/>
  <c r="E326" i="71" s="1"/>
  <c r="U323" i="71"/>
  <c r="V323" i="71" s="1"/>
  <c r="E145" i="71"/>
  <c r="J145" i="71" s="1"/>
  <c r="C145" i="71"/>
  <c r="D145" i="71" s="1"/>
  <c r="I144" i="71"/>
  <c r="H144" i="71"/>
  <c r="P105" i="69"/>
  <c r="D106" i="69"/>
  <c r="AB325" i="71" l="1"/>
  <c r="T325" i="71"/>
  <c r="R325" i="71"/>
  <c r="U325" i="71" s="1"/>
  <c r="Z325" i="71"/>
  <c r="P326" i="71"/>
  <c r="Y326" i="71"/>
  <c r="Q326" i="71" s="1"/>
  <c r="S326" i="71"/>
  <c r="H326" i="71"/>
  <c r="C327" i="71"/>
  <c r="D327" i="71" s="1"/>
  <c r="K327" i="71"/>
  <c r="N327" i="71"/>
  <c r="B327" i="71"/>
  <c r="E327" i="71" s="1"/>
  <c r="A328" i="71"/>
  <c r="I145" i="71"/>
  <c r="H145" i="71"/>
  <c r="K145" i="71"/>
  <c r="B146" i="71" s="1"/>
  <c r="M111" i="71"/>
  <c r="L111" i="71" s="1"/>
  <c r="I106" i="69"/>
  <c r="H106" i="69"/>
  <c r="K106" i="69"/>
  <c r="K328" i="71" l="1"/>
  <c r="C328" i="71"/>
  <c r="D328" i="71" s="1"/>
  <c r="N328" i="71"/>
  <c r="B328" i="71"/>
  <c r="E328" i="71" s="1"/>
  <c r="A329" i="71"/>
  <c r="S327" i="71"/>
  <c r="P327" i="71"/>
  <c r="Y327" i="71"/>
  <c r="Q327" i="71"/>
  <c r="V325" i="71"/>
  <c r="R326" i="71"/>
  <c r="U326" i="71" s="1"/>
  <c r="V326" i="71" s="1"/>
  <c r="AB326" i="71"/>
  <c r="T326" i="71"/>
  <c r="Z326" i="71"/>
  <c r="H327" i="71"/>
  <c r="E146" i="71"/>
  <c r="J146" i="71" s="1"/>
  <c r="C107" i="69"/>
  <c r="A106" i="69"/>
  <c r="B107" i="69"/>
  <c r="K329" i="71" l="1"/>
  <c r="B329" i="71"/>
  <c r="E329" i="71" s="1"/>
  <c r="A330" i="71"/>
  <c r="C329" i="71"/>
  <c r="D329" i="71" s="1"/>
  <c r="H329" i="71" s="1"/>
  <c r="N329" i="71"/>
  <c r="P328" i="71"/>
  <c r="Y328" i="71"/>
  <c r="Q328" i="71" s="1"/>
  <c r="S328" i="71"/>
  <c r="H328" i="71"/>
  <c r="Z327" i="71"/>
  <c r="T327" i="71"/>
  <c r="AB327" i="71"/>
  <c r="R327" i="71"/>
  <c r="C146" i="71"/>
  <c r="D146" i="71" s="1"/>
  <c r="H146" i="71" s="1"/>
  <c r="N106" i="69"/>
  <c r="Z106" i="69" s="1"/>
  <c r="M106" i="69"/>
  <c r="L103" i="69"/>
  <c r="E107" i="69"/>
  <c r="J107" i="69" s="1"/>
  <c r="Z328" i="71" l="1"/>
  <c r="AB328" i="71"/>
  <c r="T328" i="71"/>
  <c r="R328" i="71"/>
  <c r="U327" i="71"/>
  <c r="V327" i="71"/>
  <c r="S329" i="71"/>
  <c r="P329" i="71"/>
  <c r="Y329" i="71"/>
  <c r="Q329" i="71" s="1"/>
  <c r="I146" i="71"/>
  <c r="K146" i="71"/>
  <c r="B147" i="71" s="1"/>
  <c r="N330" i="71"/>
  <c r="C330" i="71"/>
  <c r="D330" i="71" s="1"/>
  <c r="K330" i="71"/>
  <c r="A331" i="71"/>
  <c r="B330" i="71"/>
  <c r="E330" i="71" s="1"/>
  <c r="E147" i="71"/>
  <c r="J147" i="71" s="1"/>
  <c r="M112" i="71"/>
  <c r="L112" i="71" s="1"/>
  <c r="P106" i="69"/>
  <c r="D107" i="69"/>
  <c r="B331" i="71" l="1"/>
  <c r="N331" i="71"/>
  <c r="C331" i="71"/>
  <c r="D331" i="71" s="1"/>
  <c r="E331" i="71"/>
  <c r="A332" i="71"/>
  <c r="K331" i="71"/>
  <c r="H330" i="71"/>
  <c r="S330" i="71"/>
  <c r="Y330" i="71"/>
  <c r="Q330" i="71" s="1"/>
  <c r="P330" i="71"/>
  <c r="U328" i="71"/>
  <c r="V328" i="71"/>
  <c r="R329" i="71"/>
  <c r="U329" i="71" s="1"/>
  <c r="Z329" i="71"/>
  <c r="AB329" i="71"/>
  <c r="T329" i="71"/>
  <c r="C147" i="71"/>
  <c r="D147" i="71" s="1"/>
  <c r="H107" i="69"/>
  <c r="I107" i="69"/>
  <c r="K107" i="69"/>
  <c r="V329" i="71" l="1"/>
  <c r="A333" i="71"/>
  <c r="K332" i="71"/>
  <c r="B332" i="71"/>
  <c r="C332" i="71"/>
  <c r="D332" i="71" s="1"/>
  <c r="E332" i="71"/>
  <c r="N332" i="71"/>
  <c r="H331" i="71"/>
  <c r="P331" i="71"/>
  <c r="S331" i="71"/>
  <c r="Y331" i="71"/>
  <c r="Q331" i="71" s="1"/>
  <c r="T330" i="71"/>
  <c r="R330" i="71"/>
  <c r="Z330" i="71"/>
  <c r="AB330" i="71"/>
  <c r="H147" i="71"/>
  <c r="I147" i="71"/>
  <c r="K147" i="71"/>
  <c r="B148" i="71" s="1"/>
  <c r="B108" i="69"/>
  <c r="A107" i="69"/>
  <c r="C108" i="69"/>
  <c r="U330" i="71" l="1"/>
  <c r="V330" i="71"/>
  <c r="H332" i="71"/>
  <c r="Y332" i="71"/>
  <c r="Q332" i="71" s="1"/>
  <c r="S332" i="71"/>
  <c r="P332" i="71"/>
  <c r="Z331" i="71"/>
  <c r="AB331" i="71"/>
  <c r="R331" i="71"/>
  <c r="T331" i="71"/>
  <c r="B333" i="71"/>
  <c r="C333" i="71"/>
  <c r="D333" i="71" s="1"/>
  <c r="K333" i="71"/>
  <c r="E333" i="71"/>
  <c r="A334" i="71"/>
  <c r="N333" i="71"/>
  <c r="E148" i="71"/>
  <c r="J148" i="71" s="1"/>
  <c r="N107" i="69"/>
  <c r="Z107" i="69" s="1"/>
  <c r="M107" i="69"/>
  <c r="E108" i="69"/>
  <c r="J108" i="69" s="1"/>
  <c r="L104" i="69"/>
  <c r="Y333" i="71" l="1"/>
  <c r="Q333" i="71" s="1"/>
  <c r="P333" i="71"/>
  <c r="S333" i="71"/>
  <c r="C334" i="71"/>
  <c r="D334" i="71" s="1"/>
  <c r="N334" i="71"/>
  <c r="K334" i="71"/>
  <c r="B334" i="71"/>
  <c r="E334" i="71" s="1"/>
  <c r="A335" i="71"/>
  <c r="H333" i="71"/>
  <c r="R332" i="71"/>
  <c r="Z332" i="71"/>
  <c r="T332" i="71"/>
  <c r="AB332" i="71"/>
  <c r="V331" i="71"/>
  <c r="U331" i="71"/>
  <c r="C148" i="71"/>
  <c r="D148" i="71" s="1"/>
  <c r="M113" i="71"/>
  <c r="L113" i="71" s="1"/>
  <c r="P107" i="69"/>
  <c r="D108" i="69"/>
  <c r="R333" i="71" l="1"/>
  <c r="Z333" i="71"/>
  <c r="AB333" i="71"/>
  <c r="T333" i="71"/>
  <c r="S334" i="71"/>
  <c r="Y334" i="71"/>
  <c r="Q334" i="71" s="1"/>
  <c r="P334" i="71"/>
  <c r="H334" i="71"/>
  <c r="U332" i="71"/>
  <c r="V332" i="71"/>
  <c r="K335" i="71"/>
  <c r="B335" i="71"/>
  <c r="E335" i="71" s="1"/>
  <c r="C335" i="71"/>
  <c r="D335" i="71" s="1"/>
  <c r="A336" i="71"/>
  <c r="N335" i="71"/>
  <c r="H148" i="71"/>
  <c r="I148" i="71"/>
  <c r="K148" i="71"/>
  <c r="B149" i="71" s="1"/>
  <c r="I108" i="69"/>
  <c r="H108" i="69"/>
  <c r="K108" i="69"/>
  <c r="R334" i="71" l="1"/>
  <c r="AB334" i="71"/>
  <c r="T334" i="71"/>
  <c r="Z334" i="71"/>
  <c r="Y335" i="71"/>
  <c r="Q335" i="71" s="1"/>
  <c r="S335" i="71"/>
  <c r="P335" i="71"/>
  <c r="N336" i="71"/>
  <c r="A337" i="71"/>
  <c r="B336" i="71"/>
  <c r="E336" i="71" s="1"/>
  <c r="K336" i="71"/>
  <c r="C336" i="71"/>
  <c r="D336" i="71" s="1"/>
  <c r="H335" i="71"/>
  <c r="U333" i="71"/>
  <c r="V333" i="71" s="1"/>
  <c r="E149" i="71"/>
  <c r="J149" i="71" s="1"/>
  <c r="C109" i="69"/>
  <c r="A108" i="69"/>
  <c r="B109" i="69"/>
  <c r="AB335" i="71" l="1"/>
  <c r="R335" i="71"/>
  <c r="T335" i="71"/>
  <c r="Z335" i="71"/>
  <c r="Y336" i="71"/>
  <c r="Q336" i="71" s="1"/>
  <c r="P336" i="71"/>
  <c r="S336" i="71"/>
  <c r="H336" i="71"/>
  <c r="C337" i="71"/>
  <c r="D337" i="71" s="1"/>
  <c r="K337" i="71"/>
  <c r="N337" i="71"/>
  <c r="A338" i="71"/>
  <c r="B337" i="71"/>
  <c r="E337" i="71" s="1"/>
  <c r="U334" i="71"/>
  <c r="V334" i="71"/>
  <c r="C149" i="71"/>
  <c r="D149" i="71" s="1"/>
  <c r="M114" i="71"/>
  <c r="L114" i="71" s="1"/>
  <c r="N108" i="69"/>
  <c r="Z108" i="69" s="1"/>
  <c r="M108" i="69"/>
  <c r="L105" i="69"/>
  <c r="E109" i="69"/>
  <c r="J109" i="69" s="1"/>
  <c r="Z336" i="71" l="1"/>
  <c r="AB336" i="71"/>
  <c r="R336" i="71"/>
  <c r="T336" i="71"/>
  <c r="C338" i="71"/>
  <c r="D338" i="71" s="1"/>
  <c r="B338" i="71"/>
  <c r="E338" i="71"/>
  <c r="K338" i="71"/>
  <c r="A339" i="71"/>
  <c r="N338" i="71"/>
  <c r="P337" i="71"/>
  <c r="S337" i="71"/>
  <c r="Q337" i="71"/>
  <c r="Y337" i="71"/>
  <c r="U335" i="71"/>
  <c r="V335" i="71"/>
  <c r="H337" i="71"/>
  <c r="I149" i="71"/>
  <c r="H149" i="71"/>
  <c r="K149" i="71"/>
  <c r="B150" i="71" s="1"/>
  <c r="P108" i="69"/>
  <c r="D109" i="69"/>
  <c r="T337" i="71" l="1"/>
  <c r="R337" i="71"/>
  <c r="U337" i="71" s="1"/>
  <c r="Z337" i="71"/>
  <c r="AB337" i="71"/>
  <c r="H338" i="71"/>
  <c r="U336" i="71"/>
  <c r="V336" i="71" s="1"/>
  <c r="P338" i="71"/>
  <c r="Y338" i="71"/>
  <c r="Q338" i="71" s="1"/>
  <c r="S338" i="71"/>
  <c r="B339" i="71"/>
  <c r="E339" i="71" s="1"/>
  <c r="A340" i="71"/>
  <c r="N339" i="71"/>
  <c r="K339" i="71"/>
  <c r="C339" i="71"/>
  <c r="D339" i="71" s="1"/>
  <c r="H339" i="71" s="1"/>
  <c r="E150" i="71"/>
  <c r="J150" i="71" s="1"/>
  <c r="H109" i="69"/>
  <c r="I109" i="69"/>
  <c r="K109" i="69"/>
  <c r="R338" i="71" l="1"/>
  <c r="AB338" i="71"/>
  <c r="Z338" i="71"/>
  <c r="T338" i="71"/>
  <c r="S339" i="71"/>
  <c r="P339" i="71"/>
  <c r="Y339" i="71"/>
  <c r="Q339" i="71" s="1"/>
  <c r="B340" i="71"/>
  <c r="E340" i="71" s="1"/>
  <c r="A341" i="71"/>
  <c r="K340" i="71"/>
  <c r="C340" i="71"/>
  <c r="D340" i="71" s="1"/>
  <c r="N340" i="71"/>
  <c r="V337" i="71"/>
  <c r="C150" i="71"/>
  <c r="D150" i="71" s="1"/>
  <c r="M115" i="71"/>
  <c r="L115" i="71" s="1"/>
  <c r="L106" i="69"/>
  <c r="B110" i="69"/>
  <c r="A109" i="69"/>
  <c r="C110" i="69"/>
  <c r="T339" i="71" l="1"/>
  <c r="R339" i="71"/>
  <c r="Z339" i="71"/>
  <c r="AB339" i="71"/>
  <c r="Y340" i="71"/>
  <c r="Q340" i="71"/>
  <c r="S340" i="71"/>
  <c r="P340" i="71"/>
  <c r="H340" i="71"/>
  <c r="K341" i="71"/>
  <c r="A342" i="71"/>
  <c r="N341" i="71"/>
  <c r="B341" i="71"/>
  <c r="E341" i="71" s="1"/>
  <c r="C341" i="71"/>
  <c r="D341" i="71" s="1"/>
  <c r="H341" i="71" s="1"/>
  <c r="U338" i="71"/>
  <c r="V338" i="71"/>
  <c r="H150" i="71"/>
  <c r="I150" i="71"/>
  <c r="K150" i="71"/>
  <c r="B151" i="71" s="1"/>
  <c r="N109" i="69"/>
  <c r="Z109" i="69" s="1"/>
  <c r="M109" i="69"/>
  <c r="E110" i="69"/>
  <c r="J110" i="69" s="1"/>
  <c r="T340" i="71" l="1"/>
  <c r="R340" i="71"/>
  <c r="AB340" i="71"/>
  <c r="Z340" i="71"/>
  <c r="U339" i="71"/>
  <c r="V339" i="71" s="1"/>
  <c r="S341" i="71"/>
  <c r="Y341" i="71"/>
  <c r="Q341" i="71" s="1"/>
  <c r="P341" i="71"/>
  <c r="B342" i="71"/>
  <c r="E342" i="71" s="1"/>
  <c r="N342" i="71"/>
  <c r="A343" i="71"/>
  <c r="C342" i="71"/>
  <c r="D342" i="71" s="1"/>
  <c r="H342" i="71" s="1"/>
  <c r="K342" i="71"/>
  <c r="E151" i="71"/>
  <c r="J151" i="71" s="1"/>
  <c r="M116" i="71"/>
  <c r="L116" i="71" s="1"/>
  <c r="P109" i="69"/>
  <c r="D110" i="69"/>
  <c r="L107" i="69"/>
  <c r="A344" i="71" l="1"/>
  <c r="C343" i="71"/>
  <c r="D343" i="71" s="1"/>
  <c r="K343" i="71"/>
  <c r="B343" i="71"/>
  <c r="E343" i="71" s="1"/>
  <c r="N343" i="71"/>
  <c r="P342" i="71"/>
  <c r="Y342" i="71"/>
  <c r="Q342" i="71" s="1"/>
  <c r="S342" i="71"/>
  <c r="R341" i="71"/>
  <c r="AB341" i="71"/>
  <c r="Z341" i="71"/>
  <c r="T341" i="71"/>
  <c r="U340" i="71"/>
  <c r="V340" i="71"/>
  <c r="C151" i="71"/>
  <c r="D151" i="71" s="1"/>
  <c r="I110" i="69"/>
  <c r="H110" i="69"/>
  <c r="K110" i="69"/>
  <c r="R342" i="71" l="1"/>
  <c r="U342" i="71" s="1"/>
  <c r="V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C111" i="69"/>
  <c r="A110" i="69"/>
  <c r="B111" i="69"/>
  <c r="P344" i="71" l="1"/>
  <c r="Y344" i="71"/>
  <c r="Q344" i="71" s="1"/>
  <c r="S344" i="71"/>
  <c r="K345" i="71"/>
  <c r="B345" i="71"/>
  <c r="E345" i="71" s="1"/>
  <c r="C345" i="71"/>
  <c r="D345" i="71" s="1"/>
  <c r="H345" i="71" s="1"/>
  <c r="A346" i="71"/>
  <c r="N345" i="71"/>
  <c r="H344" i="71"/>
  <c r="Z343" i="71"/>
  <c r="R343" i="71"/>
  <c r="T343" i="71"/>
  <c r="AB343" i="71"/>
  <c r="E152" i="71"/>
  <c r="J152" i="71" s="1"/>
  <c r="M117" i="71"/>
  <c r="L117" i="71" s="1"/>
  <c r="N110" i="69"/>
  <c r="Z110" i="69" s="1"/>
  <c r="M110" i="69"/>
  <c r="E111" i="69"/>
  <c r="J111" i="69" s="1"/>
  <c r="AB344" i="71" l="1"/>
  <c r="T344" i="71"/>
  <c r="Z344" i="71"/>
  <c r="R344" i="71"/>
  <c r="U344" i="71" s="1"/>
  <c r="V344" i="71" s="1"/>
  <c r="U343" i="71"/>
  <c r="V343" i="71" s="1"/>
  <c r="K346" i="71"/>
  <c r="A347" i="71"/>
  <c r="B346" i="71"/>
  <c r="C346" i="71"/>
  <c r="D346" i="71" s="1"/>
  <c r="H346" i="71" s="1"/>
  <c r="E346" i="71"/>
  <c r="N346" i="71"/>
  <c r="S345" i="71"/>
  <c r="P345" i="71"/>
  <c r="Y345" i="71"/>
  <c r="Q345" i="71"/>
  <c r="C152" i="71"/>
  <c r="D152" i="71" s="1"/>
  <c r="P110" i="69"/>
  <c r="D111" i="69"/>
  <c r="K111" i="69" s="1"/>
  <c r="B112" i="69" s="1"/>
  <c r="L108" i="69"/>
  <c r="T345" i="71" l="1"/>
  <c r="R345" i="71"/>
  <c r="AB345" i="71"/>
  <c r="Z345" i="71"/>
  <c r="P346" i="71"/>
  <c r="Y346" i="71"/>
  <c r="Q346" i="71" s="1"/>
  <c r="S346" i="71"/>
  <c r="N347" i="71"/>
  <c r="C347" i="71"/>
  <c r="D347" i="71" s="1"/>
  <c r="K347" i="71"/>
  <c r="A348" i="71"/>
  <c r="B347" i="71"/>
  <c r="E347" i="71" s="1"/>
  <c r="I152" i="71"/>
  <c r="H152" i="71"/>
  <c r="K152" i="71"/>
  <c r="B153" i="71" s="1"/>
  <c r="A111" i="69"/>
  <c r="C112" i="69"/>
  <c r="I111" i="69"/>
  <c r="H111" i="69"/>
  <c r="E112" i="69"/>
  <c r="J112" i="69" s="1"/>
  <c r="T346" i="71" l="1"/>
  <c r="R346" i="71"/>
  <c r="AB346" i="71"/>
  <c r="Z346" i="71"/>
  <c r="B348" i="71"/>
  <c r="E348" i="71"/>
  <c r="N348" i="71"/>
  <c r="A349" i="71"/>
  <c r="C348" i="71"/>
  <c r="D348" i="71" s="1"/>
  <c r="K348" i="71"/>
  <c r="P347" i="71"/>
  <c r="Y347" i="71"/>
  <c r="Q347" i="71" s="1"/>
  <c r="S347" i="71"/>
  <c r="U345" i="71"/>
  <c r="V345" i="71" s="1"/>
  <c r="H347" i="71"/>
  <c r="E153" i="71"/>
  <c r="J153" i="71" s="1"/>
  <c r="M118" i="71"/>
  <c r="L118" i="71" s="1"/>
  <c r="N111" i="69"/>
  <c r="Z111" i="69" s="1"/>
  <c r="M111" i="69"/>
  <c r="D112" i="69"/>
  <c r="P348" i="71" l="1"/>
  <c r="Y348" i="71"/>
  <c r="Q348" i="71" s="1"/>
  <c r="S348" i="71"/>
  <c r="N349" i="71"/>
  <c r="C349" i="71"/>
  <c r="D349" i="71" s="1"/>
  <c r="K349" i="71"/>
  <c r="A350" i="71"/>
  <c r="B349" i="71"/>
  <c r="E349" i="71" s="1"/>
  <c r="R347" i="71"/>
  <c r="T347" i="71"/>
  <c r="Z347" i="71"/>
  <c r="AB347" i="71"/>
  <c r="V346" i="71"/>
  <c r="U346" i="71"/>
  <c r="H348" i="71"/>
  <c r="C153" i="71"/>
  <c r="D153" i="71" s="1"/>
  <c r="P111" i="69"/>
  <c r="I112" i="69"/>
  <c r="H112" i="69"/>
  <c r="K112" i="69"/>
  <c r="A351" i="71" l="1"/>
  <c r="K350" i="71"/>
  <c r="C350" i="71"/>
  <c r="D350" i="71" s="1"/>
  <c r="E350" i="71"/>
  <c r="B350" i="71"/>
  <c r="N350" i="71"/>
  <c r="H349" i="71"/>
  <c r="Y349" i="71"/>
  <c r="Q349" i="71" s="1"/>
  <c r="S349" i="71"/>
  <c r="P349" i="71"/>
  <c r="T348" i="71"/>
  <c r="Z348" i="71"/>
  <c r="R348" i="71"/>
  <c r="AB348" i="71"/>
  <c r="U347" i="71"/>
  <c r="V347" i="71" s="1"/>
  <c r="I153" i="71"/>
  <c r="H153" i="71"/>
  <c r="K153" i="71"/>
  <c r="B154" i="71" s="1"/>
  <c r="L109" i="69"/>
  <c r="C113" i="69"/>
  <c r="A112" i="69"/>
  <c r="B113" i="69"/>
  <c r="AB349" i="71" l="1"/>
  <c r="Z349" i="71"/>
  <c r="T349" i="71"/>
  <c r="R349" i="71"/>
  <c r="Y350" i="71"/>
  <c r="Q350" i="71" s="1"/>
  <c r="P350" i="71"/>
  <c r="S350" i="71"/>
  <c r="H350" i="71"/>
  <c r="U348" i="71"/>
  <c r="V348" i="71" s="1"/>
  <c r="B351" i="71"/>
  <c r="E351" i="71" s="1"/>
  <c r="N351" i="71"/>
  <c r="K351" i="71"/>
  <c r="C351" i="71"/>
  <c r="D351" i="71" s="1"/>
  <c r="H351" i="71" s="1"/>
  <c r="A352" i="71"/>
  <c r="E154" i="71"/>
  <c r="J154" i="71" s="1"/>
  <c r="M119" i="71"/>
  <c r="L119" i="71" s="1"/>
  <c r="N112" i="69"/>
  <c r="Z112" i="69" s="1"/>
  <c r="M112" i="69"/>
  <c r="E113" i="69"/>
  <c r="J113" i="69" s="1"/>
  <c r="N352" i="71" l="1"/>
  <c r="A353" i="71"/>
  <c r="B352" i="71"/>
  <c r="E352" i="71" s="1"/>
  <c r="C352" i="71"/>
  <c r="D352" i="71" s="1"/>
  <c r="H352" i="71" s="1"/>
  <c r="K352" i="71"/>
  <c r="R350" i="71"/>
  <c r="U350" i="71" s="1"/>
  <c r="V350" i="71" s="1"/>
  <c r="AB350" i="71"/>
  <c r="Z350" i="71"/>
  <c r="T350" i="71"/>
  <c r="S351" i="71"/>
  <c r="P351" i="71"/>
  <c r="Y351" i="71"/>
  <c r="Q351" i="71" s="1"/>
  <c r="U349" i="71"/>
  <c r="V349" i="71" s="1"/>
  <c r="C154" i="71"/>
  <c r="D154" i="71" s="1"/>
  <c r="P112" i="69"/>
  <c r="D113" i="69"/>
  <c r="Z351" i="71" l="1"/>
  <c r="R351" i="71"/>
  <c r="AB351" i="71"/>
  <c r="T351" i="71"/>
  <c r="A354" i="71"/>
  <c r="B353" i="71"/>
  <c r="E353" i="71" s="1"/>
  <c r="C353" i="71"/>
  <c r="D353" i="71" s="1"/>
  <c r="H353" i="71" s="1"/>
  <c r="K353" i="71"/>
  <c r="N353" i="71"/>
  <c r="S352" i="71"/>
  <c r="P352" i="71"/>
  <c r="Y352" i="71"/>
  <c r="Q352" i="71" s="1"/>
  <c r="H154" i="71"/>
  <c r="I154" i="71"/>
  <c r="K154" i="71"/>
  <c r="B155" i="71" s="1"/>
  <c r="H113" i="69"/>
  <c r="I113" i="69"/>
  <c r="K113" i="69"/>
  <c r="R352" i="71" l="1"/>
  <c r="U352" i="71" s="1"/>
  <c r="T352" i="71"/>
  <c r="Z352" i="71"/>
  <c r="AB352" i="71"/>
  <c r="C354" i="71"/>
  <c r="D354" i="71" s="1"/>
  <c r="H354" i="71" s="1"/>
  <c r="A355" i="71"/>
  <c r="N354" i="71"/>
  <c r="K354" i="71"/>
  <c r="B354" i="71"/>
  <c r="E354" i="71"/>
  <c r="U351" i="71"/>
  <c r="V351" i="71"/>
  <c r="P353" i="71"/>
  <c r="Y353" i="71"/>
  <c r="Q353" i="71" s="1"/>
  <c r="S353" i="71"/>
  <c r="E155" i="71"/>
  <c r="J155" i="71" s="1"/>
  <c r="M120" i="71"/>
  <c r="L120" i="71" s="1"/>
  <c r="L110" i="69"/>
  <c r="C114" i="69"/>
  <c r="B114" i="69"/>
  <c r="A113" i="69"/>
  <c r="B355" i="71" l="1"/>
  <c r="E355" i="71" s="1"/>
  <c r="A356" i="71"/>
  <c r="N355" i="71"/>
  <c r="K355" i="71"/>
  <c r="C355" i="71"/>
  <c r="D355" i="71" s="1"/>
  <c r="Z353" i="71"/>
  <c r="R353" i="71"/>
  <c r="U353" i="71" s="1"/>
  <c r="V353" i="71" s="1"/>
  <c r="AB353" i="71"/>
  <c r="T353" i="71"/>
  <c r="P354" i="71"/>
  <c r="Y354" i="71"/>
  <c r="Q354" i="71" s="1"/>
  <c r="S354" i="71"/>
  <c r="V352" i="71"/>
  <c r="C155" i="71"/>
  <c r="D155" i="71" s="1"/>
  <c r="N113" i="69"/>
  <c r="Z113" i="69" s="1"/>
  <c r="M113" i="69"/>
  <c r="E114" i="69"/>
  <c r="J114" i="69" s="1"/>
  <c r="T354" i="71" l="1"/>
  <c r="R354" i="71"/>
  <c r="U354" i="71" s="1"/>
  <c r="V354" i="71" s="1"/>
  <c r="Z354" i="71"/>
  <c r="AB354" i="71"/>
  <c r="H355" i="71"/>
  <c r="P355" i="71"/>
  <c r="Y355" i="71"/>
  <c r="Q355" i="71" s="1"/>
  <c r="S355" i="71"/>
  <c r="N356" i="71"/>
  <c r="A357" i="71"/>
  <c r="B356" i="71"/>
  <c r="E356" i="71" s="1"/>
  <c r="K356" i="71"/>
  <c r="C356" i="71"/>
  <c r="D356" i="71" s="1"/>
  <c r="H155" i="71"/>
  <c r="I155" i="71"/>
  <c r="K155" i="71"/>
  <c r="B156" i="71" s="1"/>
  <c r="P113" i="69"/>
  <c r="D114" i="69"/>
  <c r="AB355" i="71" l="1"/>
  <c r="R355" i="71"/>
  <c r="Z355" i="71"/>
  <c r="T355" i="71"/>
  <c r="H356" i="71"/>
  <c r="N357" i="71"/>
  <c r="B357" i="71"/>
  <c r="E357" i="71" s="1"/>
  <c r="C357" i="71"/>
  <c r="D357" i="71" s="1"/>
  <c r="H357" i="71" s="1"/>
  <c r="K357" i="71"/>
  <c r="A358" i="71"/>
  <c r="S356" i="71"/>
  <c r="P356" i="71"/>
  <c r="Y356" i="71"/>
  <c r="Q356" i="71" s="1"/>
  <c r="E156" i="71"/>
  <c r="J156" i="71" s="1"/>
  <c r="I114" i="69"/>
  <c r="H114" i="69"/>
  <c r="K114" i="69"/>
  <c r="AB356" i="71" l="1"/>
  <c r="Z356" i="71"/>
  <c r="T356" i="71"/>
  <c r="R356" i="71"/>
  <c r="U356" i="71" s="1"/>
  <c r="V356" i="71" s="1"/>
  <c r="K358" i="71"/>
  <c r="C358" i="71"/>
  <c r="D358" i="71" s="1"/>
  <c r="H358" i="71" s="1"/>
  <c r="N358" i="71"/>
  <c r="E358" i="71"/>
  <c r="B358" i="71"/>
  <c r="A359" i="71"/>
  <c r="U355" i="71"/>
  <c r="V355" i="71" s="1"/>
  <c r="S357" i="71"/>
  <c r="P357" i="71"/>
  <c r="Y357" i="71"/>
  <c r="Q357" i="71" s="1"/>
  <c r="C156" i="71"/>
  <c r="D156" i="71" s="1"/>
  <c r="M121" i="71"/>
  <c r="L121" i="71" s="1"/>
  <c r="L111" i="69"/>
  <c r="C115" i="69"/>
  <c r="A114" i="69"/>
  <c r="B115" i="69"/>
  <c r="T357" i="71" l="1"/>
  <c r="R357" i="71"/>
  <c r="U357" i="71" s="1"/>
  <c r="V357" i="71" s="1"/>
  <c r="Z357" i="71"/>
  <c r="AB357" i="71"/>
  <c r="P358" i="71"/>
  <c r="S358" i="71"/>
  <c r="Y358" i="71"/>
  <c r="Q358" i="71" s="1"/>
  <c r="A360" i="71"/>
  <c r="N359" i="71"/>
  <c r="C359" i="71"/>
  <c r="D359" i="71" s="1"/>
  <c r="H359" i="71" s="1"/>
  <c r="B359" i="71"/>
  <c r="E359" i="71" s="1"/>
  <c r="K359" i="71"/>
  <c r="H156" i="71"/>
  <c r="I156" i="71"/>
  <c r="K156" i="71"/>
  <c r="B157" i="71" s="1"/>
  <c r="N114" i="69"/>
  <c r="Z114" i="69" s="1"/>
  <c r="M114" i="69"/>
  <c r="E115" i="69"/>
  <c r="J115" i="69" s="1"/>
  <c r="AB358" i="71" l="1"/>
  <c r="T358" i="71"/>
  <c r="R358" i="71"/>
  <c r="U358" i="71" s="1"/>
  <c r="V358" i="71" s="1"/>
  <c r="Z358" i="71"/>
  <c r="A361" i="71"/>
  <c r="N360" i="71"/>
  <c r="C360" i="71"/>
  <c r="D360" i="71" s="1"/>
  <c r="B360" i="71"/>
  <c r="E360" i="71" s="1"/>
  <c r="K360" i="71"/>
  <c r="Y359" i="71"/>
  <c r="Q359" i="71" s="1"/>
  <c r="P359" i="71"/>
  <c r="S359" i="71"/>
  <c r="E157" i="71"/>
  <c r="J157" i="71" s="1"/>
  <c r="P114" i="69"/>
  <c r="D115" i="69"/>
  <c r="K115" i="69" s="1"/>
  <c r="B116" i="69" s="1"/>
  <c r="L112" i="69"/>
  <c r="P360" i="71" l="1"/>
  <c r="Y360" i="71"/>
  <c r="Q360" i="71" s="1"/>
  <c r="S360" i="71"/>
  <c r="H360" i="71"/>
  <c r="K361" i="71"/>
  <c r="B361" i="71"/>
  <c r="E361" i="71" s="1"/>
  <c r="C361" i="71"/>
  <c r="D361" i="71" s="1"/>
  <c r="N361" i="71"/>
  <c r="A362" i="71"/>
  <c r="Z359" i="71"/>
  <c r="T359" i="71"/>
  <c r="AB359" i="71"/>
  <c r="R359" i="71"/>
  <c r="C157" i="71"/>
  <c r="D157" i="71" s="1"/>
  <c r="H115" i="69"/>
  <c r="I115" i="69"/>
  <c r="A115" i="69"/>
  <c r="C116" i="69"/>
  <c r="E116" i="69"/>
  <c r="J116" i="69" s="1"/>
  <c r="U359" i="71" l="1"/>
  <c r="V359" i="71" s="1"/>
  <c r="H361" i="71"/>
  <c r="P361" i="71"/>
  <c r="S361" i="71"/>
  <c r="Y361" i="71"/>
  <c r="Q361" i="71"/>
  <c r="N362" i="71"/>
  <c r="C362" i="71"/>
  <c r="D362" i="71" s="1"/>
  <c r="B362" i="71"/>
  <c r="E362" i="71"/>
  <c r="K362" i="71"/>
  <c r="A363" i="71"/>
  <c r="R360" i="71"/>
  <c r="U360" i="71" s="1"/>
  <c r="V360" i="71" s="1"/>
  <c r="Z360" i="71"/>
  <c r="AB360" i="71"/>
  <c r="T360" i="71"/>
  <c r="H157" i="71"/>
  <c r="I157" i="71"/>
  <c r="K157" i="71"/>
  <c r="B158" i="71" s="1"/>
  <c r="M122" i="71"/>
  <c r="L122" i="71" s="1"/>
  <c r="N115" i="69"/>
  <c r="Z115" i="69" s="1"/>
  <c r="M115" i="69"/>
  <c r="D116" i="69"/>
  <c r="K116" i="69" s="1"/>
  <c r="R361" i="71" l="1"/>
  <c r="U361" i="71" s="1"/>
  <c r="AB361" i="71"/>
  <c r="Z361" i="71"/>
  <c r="T361" i="71"/>
  <c r="C363" i="71"/>
  <c r="D363" i="71" s="1"/>
  <c r="A364" i="71"/>
  <c r="K363" i="71"/>
  <c r="B363" i="71"/>
  <c r="E363" i="71" s="1"/>
  <c r="N363" i="71"/>
  <c r="S362" i="71"/>
  <c r="Y362" i="71"/>
  <c r="Q362" i="71" s="1"/>
  <c r="P362" i="71"/>
  <c r="H362" i="71"/>
  <c r="E158" i="71"/>
  <c r="J158" i="71" s="1"/>
  <c r="C158" i="71"/>
  <c r="D158" i="71" s="1"/>
  <c r="P115" i="69"/>
  <c r="H116" i="69"/>
  <c r="I116" i="69"/>
  <c r="C117" i="69"/>
  <c r="A116" i="69"/>
  <c r="B117" i="69"/>
  <c r="Z362" i="71" l="1"/>
  <c r="AB362" i="71"/>
  <c r="R362" i="71"/>
  <c r="T362" i="71"/>
  <c r="B364" i="71"/>
  <c r="K364" i="71"/>
  <c r="N364" i="71"/>
  <c r="E364" i="71"/>
  <c r="C364" i="71"/>
  <c r="D364" i="71" s="1"/>
  <c r="A365" i="71"/>
  <c r="H363" i="71"/>
  <c r="Y363" i="71"/>
  <c r="Q363" i="71"/>
  <c r="P363" i="71"/>
  <c r="S363" i="71"/>
  <c r="V361" i="71"/>
  <c r="H158" i="71"/>
  <c r="I158" i="71"/>
  <c r="K158" i="71"/>
  <c r="B159" i="71" s="1"/>
  <c r="N116" i="69"/>
  <c r="Z116" i="69" s="1"/>
  <c r="M116" i="69"/>
  <c r="E117" i="69"/>
  <c r="J117" i="69" s="1"/>
  <c r="L113" i="69"/>
  <c r="Y364" i="71" l="1"/>
  <c r="S364" i="71"/>
  <c r="Q364" i="71"/>
  <c r="P364" i="71"/>
  <c r="T363" i="71"/>
  <c r="R363" i="71"/>
  <c r="U363" i="71" s="1"/>
  <c r="V363" i="71" s="1"/>
  <c r="AB363" i="71"/>
  <c r="Z363" i="71"/>
  <c r="U362" i="71"/>
  <c r="V362" i="71"/>
  <c r="B365" i="71"/>
  <c r="E365" i="71" s="1"/>
  <c r="C365" i="71"/>
  <c r="D365" i="71" s="1"/>
  <c r="A366" i="71"/>
  <c r="K365" i="71"/>
  <c r="N365" i="71"/>
  <c r="H364" i="71"/>
  <c r="E159" i="71"/>
  <c r="J159" i="71" s="1"/>
  <c r="C159" i="71"/>
  <c r="D159" i="71" s="1"/>
  <c r="M123" i="71"/>
  <c r="L123" i="71" s="1"/>
  <c r="P116" i="69"/>
  <c r="D117" i="69"/>
  <c r="B366" i="71" l="1"/>
  <c r="A367" i="71"/>
  <c r="K366" i="71"/>
  <c r="C366" i="71"/>
  <c r="D366" i="71" s="1"/>
  <c r="E366" i="71"/>
  <c r="N366" i="71"/>
  <c r="H365" i="71"/>
  <c r="T364" i="71"/>
  <c r="R364" i="71"/>
  <c r="AB364" i="71"/>
  <c r="Z364" i="71"/>
  <c r="P365" i="71"/>
  <c r="S365" i="71"/>
  <c r="Y365" i="71"/>
  <c r="Q365" i="71" s="1"/>
  <c r="I159" i="71"/>
  <c r="H159" i="71"/>
  <c r="K159" i="71"/>
  <c r="B160" i="71" s="1"/>
  <c r="I117" i="69"/>
  <c r="H117" i="69"/>
  <c r="K117" i="69"/>
  <c r="H366" i="71" l="1"/>
  <c r="Y366" i="71"/>
  <c r="Q366" i="71" s="1"/>
  <c r="P366" i="71"/>
  <c r="S366" i="71"/>
  <c r="C367" i="71"/>
  <c r="D367" i="71" s="1"/>
  <c r="H367" i="71" s="1"/>
  <c r="K367" i="71"/>
  <c r="A368" i="71"/>
  <c r="B367" i="71"/>
  <c r="E367" i="71" s="1"/>
  <c r="N367" i="71"/>
  <c r="AB365" i="71"/>
  <c r="Z365" i="71"/>
  <c r="T365" i="71"/>
  <c r="R365" i="71"/>
  <c r="U365" i="71" s="1"/>
  <c r="V365" i="71" s="1"/>
  <c r="U364" i="71"/>
  <c r="V364" i="71"/>
  <c r="E160" i="71"/>
  <c r="J160" i="71" s="1"/>
  <c r="M124" i="71"/>
  <c r="L124" i="71" s="1"/>
  <c r="C118" i="69"/>
  <c r="A117" i="69"/>
  <c r="B118" i="69"/>
  <c r="Z366" i="71" l="1"/>
  <c r="AB366" i="71"/>
  <c r="R366" i="71"/>
  <c r="T366" i="71"/>
  <c r="Y367" i="71"/>
  <c r="Q367" i="71" s="1"/>
  <c r="P367" i="71"/>
  <c r="S367" i="71"/>
  <c r="C368" i="71"/>
  <c r="D368" i="71" s="1"/>
  <c r="K368" i="71"/>
  <c r="N368" i="71"/>
  <c r="A369" i="71"/>
  <c r="B368" i="71"/>
  <c r="E368" i="71" s="1"/>
  <c r="C160" i="71"/>
  <c r="D160" i="71" s="1"/>
  <c r="N117" i="69"/>
  <c r="Z117" i="69" s="1"/>
  <c r="M117" i="69"/>
  <c r="L114" i="69"/>
  <c r="E118" i="69"/>
  <c r="J118" i="69" s="1"/>
  <c r="T367" i="71" l="1"/>
  <c r="AB367" i="71"/>
  <c r="R367" i="71"/>
  <c r="U367" i="71" s="1"/>
  <c r="V367" i="71" s="1"/>
  <c r="Z367" i="71"/>
  <c r="N369" i="71"/>
  <c r="A370" i="71"/>
  <c r="B369" i="71"/>
  <c r="E369" i="71" s="1"/>
  <c r="C369" i="71"/>
  <c r="D369" i="71" s="1"/>
  <c r="H369" i="71" s="1"/>
  <c r="K369" i="71"/>
  <c r="H368" i="71"/>
  <c r="Y368" i="71"/>
  <c r="Q368" i="71"/>
  <c r="S368" i="71"/>
  <c r="P368" i="71"/>
  <c r="U366" i="71"/>
  <c r="V366" i="71" s="1"/>
  <c r="I160" i="71"/>
  <c r="H160" i="71"/>
  <c r="K160" i="71"/>
  <c r="B161" i="71" s="1"/>
  <c r="P117" i="69"/>
  <c r="D118" i="69"/>
  <c r="C370" i="71" l="1"/>
  <c r="D370" i="71" s="1"/>
  <c r="K370" i="71"/>
  <c r="N370" i="71"/>
  <c r="A371" i="71"/>
  <c r="B370" i="71"/>
  <c r="E370" i="71" s="1"/>
  <c r="S369" i="71"/>
  <c r="P369" i="71"/>
  <c r="Y369" i="71"/>
  <c r="Q369" i="71" s="1"/>
  <c r="T368" i="71"/>
  <c r="AB368" i="71"/>
  <c r="R368" i="71"/>
  <c r="U368" i="71" s="1"/>
  <c r="V368" i="71" s="1"/>
  <c r="Z368" i="71"/>
  <c r="E161" i="71"/>
  <c r="J161" i="71" s="1"/>
  <c r="C161" i="71"/>
  <c r="D161" i="71" s="1"/>
  <c r="K161" i="71" s="1"/>
  <c r="B162" i="71" s="1"/>
  <c r="M125" i="71"/>
  <c r="L125" i="71" s="1"/>
  <c r="I118" i="69"/>
  <c r="H118" i="69"/>
  <c r="K118" i="69"/>
  <c r="N371" i="71" l="1"/>
  <c r="C371" i="71"/>
  <c r="D371" i="71" s="1"/>
  <c r="A372" i="71"/>
  <c r="K371" i="71"/>
  <c r="B371" i="71"/>
  <c r="E371" i="71" s="1"/>
  <c r="P370" i="71"/>
  <c r="Y370" i="71"/>
  <c r="Q370" i="71" s="1"/>
  <c r="S370" i="71"/>
  <c r="T369" i="71"/>
  <c r="AB369" i="71"/>
  <c r="R369" i="71"/>
  <c r="U369" i="71" s="1"/>
  <c r="V369" i="71" s="1"/>
  <c r="Z369" i="71"/>
  <c r="H370" i="71"/>
  <c r="E162" i="71"/>
  <c r="J162" i="71" s="1"/>
  <c r="I161" i="71"/>
  <c r="H161" i="71"/>
  <c r="C119" i="69"/>
  <c r="A118" i="69"/>
  <c r="B119" i="69"/>
  <c r="T370" i="71" l="1"/>
  <c r="AB370" i="71"/>
  <c r="R370" i="71"/>
  <c r="Z370" i="71"/>
  <c r="C162" i="71"/>
  <c r="D162" i="71" s="1"/>
  <c r="K162" i="71" s="1"/>
  <c r="B163" i="71" s="1"/>
  <c r="N372" i="71"/>
  <c r="B372" i="71"/>
  <c r="E372" i="71" s="1"/>
  <c r="A373" i="71"/>
  <c r="K372" i="71"/>
  <c r="C372" i="71"/>
  <c r="D372" i="71" s="1"/>
  <c r="H371" i="71"/>
  <c r="S371" i="71"/>
  <c r="P371" i="71"/>
  <c r="Y371" i="71"/>
  <c r="Q371" i="71" s="1"/>
  <c r="N118" i="69"/>
  <c r="Z118" i="69" s="1"/>
  <c r="M118" i="69"/>
  <c r="L115" i="69"/>
  <c r="E119" i="69"/>
  <c r="J119" i="69" s="1"/>
  <c r="R371" i="71" l="1"/>
  <c r="U371" i="71" s="1"/>
  <c r="V371" i="71" s="1"/>
  <c r="AB371" i="71"/>
  <c r="T371" i="71"/>
  <c r="Z371" i="71"/>
  <c r="N373" i="71"/>
  <c r="A374" i="71"/>
  <c r="B373" i="71"/>
  <c r="E373" i="71" s="1"/>
  <c r="C373" i="71"/>
  <c r="D373" i="71" s="1"/>
  <c r="H373" i="71" s="1"/>
  <c r="K373" i="71"/>
  <c r="I162" i="71"/>
  <c r="H162" i="71"/>
  <c r="H372" i="71"/>
  <c r="U370" i="71"/>
  <c r="V370" i="71"/>
  <c r="S372" i="71"/>
  <c r="P372" i="71"/>
  <c r="Y372" i="71"/>
  <c r="Q372" i="71" s="1"/>
  <c r="E163" i="71"/>
  <c r="J163" i="71" s="1"/>
  <c r="P118" i="69"/>
  <c r="D119" i="69"/>
  <c r="Z372" i="71" l="1"/>
  <c r="AB372" i="71"/>
  <c r="T372" i="71"/>
  <c r="R372" i="71"/>
  <c r="N374" i="71"/>
  <c r="B374" i="71"/>
  <c r="E374" i="71" s="1"/>
  <c r="A375" i="71"/>
  <c r="C374" i="71"/>
  <c r="D374" i="71" s="1"/>
  <c r="K374" i="71"/>
  <c r="S373" i="71"/>
  <c r="P373" i="71"/>
  <c r="Y373" i="71"/>
  <c r="Q373" i="71" s="1"/>
  <c r="C163" i="71"/>
  <c r="D163" i="71" s="1"/>
  <c r="M126" i="71"/>
  <c r="L126" i="71" s="1"/>
  <c r="I119" i="69"/>
  <c r="H119" i="69"/>
  <c r="K119" i="69"/>
  <c r="H374" i="71" l="1"/>
  <c r="N375" i="71"/>
  <c r="A376" i="71"/>
  <c r="B375" i="71"/>
  <c r="E375" i="71" s="1"/>
  <c r="C375" i="71"/>
  <c r="D375" i="71" s="1"/>
  <c r="H375" i="71" s="1"/>
  <c r="K375" i="71"/>
  <c r="U372" i="71"/>
  <c r="V372" i="71"/>
  <c r="P374" i="71"/>
  <c r="S374" i="71"/>
  <c r="Y374" i="71"/>
  <c r="Q374" i="71" s="1"/>
  <c r="Z373" i="71"/>
  <c r="AB373" i="71"/>
  <c r="T373" i="71"/>
  <c r="R373" i="71"/>
  <c r="H163" i="71"/>
  <c r="I163" i="71"/>
  <c r="K163" i="71"/>
  <c r="B164" i="71" s="1"/>
  <c r="C120" i="69"/>
  <c r="B120" i="69"/>
  <c r="A119" i="69"/>
  <c r="U373" i="71" l="1"/>
  <c r="V373" i="71" s="1"/>
  <c r="AB374" i="71"/>
  <c r="T374" i="71"/>
  <c r="R374" i="71"/>
  <c r="U374" i="71" s="1"/>
  <c r="V374" i="71" s="1"/>
  <c r="Z374" i="71"/>
  <c r="N376" i="71"/>
  <c r="A377" i="71"/>
  <c r="B376" i="71"/>
  <c r="E376" i="71" s="1"/>
  <c r="K376" i="71"/>
  <c r="C376" i="71"/>
  <c r="D376" i="71" s="1"/>
  <c r="H376" i="71" s="1"/>
  <c r="Y375" i="71"/>
  <c r="Q375" i="71"/>
  <c r="P375" i="71"/>
  <c r="S375" i="71"/>
  <c r="E164" i="71"/>
  <c r="J164" i="71" s="1"/>
  <c r="M127" i="71"/>
  <c r="L127" i="71" s="1"/>
  <c r="N119" i="69"/>
  <c r="Z119" i="69" s="1"/>
  <c r="M119" i="69"/>
  <c r="E120" i="69"/>
  <c r="J120" i="69" s="1"/>
  <c r="L116" i="69"/>
  <c r="B377" i="71" l="1"/>
  <c r="E377" i="71" s="1"/>
  <c r="A378" i="71"/>
  <c r="N377" i="71"/>
  <c r="C377" i="71"/>
  <c r="D377" i="71" s="1"/>
  <c r="K377" i="71"/>
  <c r="R375" i="71"/>
  <c r="U375" i="71" s="1"/>
  <c r="V375" i="71" s="1"/>
  <c r="AB375" i="71"/>
  <c r="T375" i="71"/>
  <c r="Z375" i="71"/>
  <c r="P376" i="71"/>
  <c r="S376" i="71"/>
  <c r="Y376" i="71"/>
  <c r="Q376" i="71" s="1"/>
  <c r="C164" i="71"/>
  <c r="D164" i="71" s="1"/>
  <c r="P119" i="69"/>
  <c r="D120" i="69"/>
  <c r="R376" i="71" l="1"/>
  <c r="AB376" i="71"/>
  <c r="T376" i="71"/>
  <c r="Z376" i="71"/>
  <c r="H377" i="71"/>
  <c r="P377" i="71"/>
  <c r="Y377" i="71"/>
  <c r="Q377" i="71" s="1"/>
  <c r="S377" i="71"/>
  <c r="N378" i="71"/>
  <c r="B378" i="71"/>
  <c r="C378" i="71"/>
  <c r="D378" i="71" s="1"/>
  <c r="K378" i="71"/>
  <c r="A379" i="71"/>
  <c r="E378" i="71"/>
  <c r="H164" i="71"/>
  <c r="I164" i="71"/>
  <c r="K164" i="71"/>
  <c r="B165" i="71" s="1"/>
  <c r="I120" i="69"/>
  <c r="H120" i="69"/>
  <c r="K120" i="69"/>
  <c r="Z377" i="71" l="1"/>
  <c r="R377" i="71"/>
  <c r="U377" i="71" s="1"/>
  <c r="V377" i="71" s="1"/>
  <c r="T377" i="71"/>
  <c r="AB377" i="71"/>
  <c r="K379" i="71"/>
  <c r="B379" i="71"/>
  <c r="E379" i="71" s="1"/>
  <c r="N379" i="71"/>
  <c r="C379" i="71"/>
  <c r="D379" i="71" s="1"/>
  <c r="H379" i="71" s="1"/>
  <c r="A380" i="71"/>
  <c r="H378" i="71"/>
  <c r="P378" i="71"/>
  <c r="Y378" i="71"/>
  <c r="Q378" i="71" s="1"/>
  <c r="S378" i="71"/>
  <c r="U376" i="71"/>
  <c r="V376" i="71"/>
  <c r="E165" i="71"/>
  <c r="J165" i="71" s="1"/>
  <c r="C165" i="71"/>
  <c r="D165" i="71" s="1"/>
  <c r="K165" i="71" s="1"/>
  <c r="B166" i="71" s="1"/>
  <c r="C121" i="69"/>
  <c r="A120" i="69"/>
  <c r="B121" i="69"/>
  <c r="L117" i="69"/>
  <c r="P379" i="71" l="1"/>
  <c r="S379" i="71"/>
  <c r="Y379" i="71"/>
  <c r="Q379" i="71" s="1"/>
  <c r="Z378" i="71"/>
  <c r="R378" i="71"/>
  <c r="T378" i="71"/>
  <c r="AB378" i="71"/>
  <c r="K380" i="71"/>
  <c r="A381" i="71"/>
  <c r="N380" i="71"/>
  <c r="C380" i="71"/>
  <c r="D380" i="71" s="1"/>
  <c r="B380" i="71"/>
  <c r="E380" i="71" s="1"/>
  <c r="E166" i="71"/>
  <c r="J166" i="71" s="1"/>
  <c r="C166" i="71"/>
  <c r="D166" i="71" s="1"/>
  <c r="K166" i="71"/>
  <c r="B167" i="71" s="1"/>
  <c r="I165" i="71"/>
  <c r="H165" i="71"/>
  <c r="M128" i="71"/>
  <c r="L128" i="71" s="1"/>
  <c r="N120" i="69"/>
  <c r="Z120" i="69" s="1"/>
  <c r="M120" i="69"/>
  <c r="E121" i="69"/>
  <c r="J121" i="69" s="1"/>
  <c r="V378" i="71" l="1"/>
  <c r="U378" i="71"/>
  <c r="H380" i="71"/>
  <c r="AB379" i="71"/>
  <c r="R379" i="71"/>
  <c r="Z379" i="71"/>
  <c r="T379" i="71"/>
  <c r="S380" i="71"/>
  <c r="P380" i="71"/>
  <c r="Y380" i="71"/>
  <c r="Q380" i="71" s="1"/>
  <c r="A382" i="71"/>
  <c r="B381" i="71"/>
  <c r="E381" i="71" s="1"/>
  <c r="C381" i="71"/>
  <c r="D381" i="71" s="1"/>
  <c r="H381" i="71" s="1"/>
  <c r="K381" i="71"/>
  <c r="N381" i="71"/>
  <c r="H166" i="71"/>
  <c r="I166" i="71"/>
  <c r="E167" i="71"/>
  <c r="J167" i="71" s="1"/>
  <c r="P120" i="69"/>
  <c r="D121" i="69"/>
  <c r="I121" i="69" s="1"/>
  <c r="R380" i="71" l="1"/>
  <c r="T380" i="71"/>
  <c r="AB380" i="71"/>
  <c r="Z380" i="71"/>
  <c r="S381" i="71"/>
  <c r="Y381" i="71"/>
  <c r="P381" i="71"/>
  <c r="Q381" i="71"/>
  <c r="U379" i="71"/>
  <c r="V379" i="71"/>
  <c r="K382" i="71"/>
  <c r="N382" i="71"/>
  <c r="B382" i="71"/>
  <c r="E382" i="71" s="1"/>
  <c r="A383" i="71"/>
  <c r="C382" i="71"/>
  <c r="D382" i="71" s="1"/>
  <c r="H382" i="71" s="1"/>
  <c r="C167" i="71"/>
  <c r="D167" i="71" s="1"/>
  <c r="K121" i="69"/>
  <c r="C122" i="69" s="1"/>
  <c r="H121" i="69"/>
  <c r="Z381" i="71" l="1"/>
  <c r="R381" i="71"/>
  <c r="AB381" i="71"/>
  <c r="T381" i="71"/>
  <c r="Y382" i="71"/>
  <c r="Q382" i="71" s="1"/>
  <c r="S382" i="71"/>
  <c r="P382" i="71"/>
  <c r="C383" i="71"/>
  <c r="D383" i="71" s="1"/>
  <c r="H383" i="71" s="1"/>
  <c r="N383" i="71"/>
  <c r="A384" i="71"/>
  <c r="K383" i="71"/>
  <c r="B383" i="71"/>
  <c r="E383" i="71" s="1"/>
  <c r="U380" i="71"/>
  <c r="V380" i="71"/>
  <c r="I167" i="71"/>
  <c r="H167" i="71"/>
  <c r="K167" i="71"/>
  <c r="B168" i="71" s="1"/>
  <c r="B122" i="69"/>
  <c r="E122" i="69" s="1"/>
  <c r="J122" i="69" s="1"/>
  <c r="A121" i="69"/>
  <c r="L118" i="69"/>
  <c r="Z382" i="71" l="1"/>
  <c r="T382" i="71"/>
  <c r="R382" i="71"/>
  <c r="AB382" i="71"/>
  <c r="K384" i="71"/>
  <c r="N384" i="71"/>
  <c r="A385" i="71"/>
  <c r="B384" i="71"/>
  <c r="E384" i="71" s="1"/>
  <c r="C384" i="71"/>
  <c r="D384" i="71" s="1"/>
  <c r="U381" i="71"/>
  <c r="V381" i="71" s="1"/>
  <c r="S383" i="71"/>
  <c r="P383" i="71"/>
  <c r="Y383" i="71"/>
  <c r="Q383" i="71" s="1"/>
  <c r="E168" i="71"/>
  <c r="J168" i="71" s="1"/>
  <c r="C168" i="71"/>
  <c r="D168" i="71" s="1"/>
  <c r="K168" i="71" s="1"/>
  <c r="B169" i="71" s="1"/>
  <c r="M129" i="71"/>
  <c r="L129" i="71" s="1"/>
  <c r="N121" i="69"/>
  <c r="Z121" i="69" s="1"/>
  <c r="M121" i="69"/>
  <c r="D122" i="69"/>
  <c r="T383" i="71" l="1"/>
  <c r="Z383" i="71"/>
  <c r="R383" i="71"/>
  <c r="AB383" i="71"/>
  <c r="N385" i="71"/>
  <c r="C385" i="71"/>
  <c r="D385" i="71" s="1"/>
  <c r="A386" i="71"/>
  <c r="B385" i="71"/>
  <c r="E385" i="71" s="1"/>
  <c r="K385" i="71"/>
  <c r="U382" i="71"/>
  <c r="V382" i="71"/>
  <c r="H384" i="71"/>
  <c r="Y384" i="71"/>
  <c r="Q384" i="71" s="1"/>
  <c r="P384" i="71"/>
  <c r="S384" i="71"/>
  <c r="E169" i="71"/>
  <c r="J169" i="71" s="1"/>
  <c r="I168" i="71"/>
  <c r="H168" i="71"/>
  <c r="P121" i="69"/>
  <c r="I122" i="69"/>
  <c r="H122" i="69"/>
  <c r="K122" i="69"/>
  <c r="L119" i="69"/>
  <c r="Z384" i="71" l="1"/>
  <c r="T384" i="71"/>
  <c r="R384" i="71"/>
  <c r="U384" i="71" s="1"/>
  <c r="V384" i="71" s="1"/>
  <c r="AB384" i="71"/>
  <c r="H385" i="71"/>
  <c r="B386" i="71"/>
  <c r="E386" i="71" s="1"/>
  <c r="N386" i="71"/>
  <c r="K386" i="71"/>
  <c r="A387" i="71"/>
  <c r="C386" i="71"/>
  <c r="D386" i="71" s="1"/>
  <c r="P385" i="71"/>
  <c r="Y385" i="71"/>
  <c r="Q385" i="71" s="1"/>
  <c r="S385" i="71"/>
  <c r="U383" i="71"/>
  <c r="V383" i="71"/>
  <c r="C169" i="71"/>
  <c r="D169" i="71" s="1"/>
  <c r="C123" i="69"/>
  <c r="A122" i="69"/>
  <c r="B123" i="69"/>
  <c r="P386" i="71" l="1"/>
  <c r="S386" i="71"/>
  <c r="Y386" i="71"/>
  <c r="Q386" i="71"/>
  <c r="Z385" i="71"/>
  <c r="R385" i="71"/>
  <c r="U385" i="71" s="1"/>
  <c r="V385" i="71" s="1"/>
  <c r="AB385" i="71"/>
  <c r="T385" i="71"/>
  <c r="H386" i="71"/>
  <c r="A388" i="71"/>
  <c r="K387" i="71"/>
  <c r="N387" i="71"/>
  <c r="C387" i="71"/>
  <c r="D387" i="71" s="1"/>
  <c r="B387" i="71"/>
  <c r="E387" i="71" s="1"/>
  <c r="I169" i="71"/>
  <c r="H169" i="71"/>
  <c r="K169" i="71"/>
  <c r="B170" i="71" s="1"/>
  <c r="N122" i="69"/>
  <c r="Z122" i="69" s="1"/>
  <c r="M122" i="69"/>
  <c r="L120" i="69"/>
  <c r="E123" i="69"/>
  <c r="J123" i="69" s="1"/>
  <c r="H387" i="71" l="1"/>
  <c r="S387" i="71"/>
  <c r="Y387" i="71"/>
  <c r="Q387" i="71" s="1"/>
  <c r="P387" i="71"/>
  <c r="T386" i="71"/>
  <c r="AB386" i="71"/>
  <c r="Z386" i="71"/>
  <c r="R386" i="71"/>
  <c r="K388" i="71"/>
  <c r="C388" i="71"/>
  <c r="D388" i="71" s="1"/>
  <c r="N388" i="71"/>
  <c r="A389" i="71"/>
  <c r="B388" i="71"/>
  <c r="E388" i="71"/>
  <c r="E170" i="71"/>
  <c r="J170" i="71" s="1"/>
  <c r="M130" i="71"/>
  <c r="L130" i="71" s="1"/>
  <c r="P122" i="69"/>
  <c r="D123" i="69"/>
  <c r="A390" i="71" l="1"/>
  <c r="B389" i="71"/>
  <c r="E389" i="71" s="1"/>
  <c r="K389" i="71"/>
  <c r="N389" i="71"/>
  <c r="C389" i="71"/>
  <c r="D389" i="71" s="1"/>
  <c r="H389" i="71" s="1"/>
  <c r="P388" i="71"/>
  <c r="Y388" i="71"/>
  <c r="Q388" i="71" s="1"/>
  <c r="S388" i="71"/>
  <c r="R387" i="71"/>
  <c r="U387" i="71" s="1"/>
  <c r="AB387" i="71"/>
  <c r="Z387" i="71"/>
  <c r="T387" i="71"/>
  <c r="U386" i="71"/>
  <c r="V386" i="71"/>
  <c r="C170" i="71"/>
  <c r="D170" i="71" s="1"/>
  <c r="K170" i="71" s="1"/>
  <c r="B171" i="71" s="1"/>
  <c r="E171" i="71" s="1"/>
  <c r="J171" i="71" s="1"/>
  <c r="H388" i="71"/>
  <c r="H170" i="71"/>
  <c r="H123" i="69"/>
  <c r="I123" i="69"/>
  <c r="K123" i="69"/>
  <c r="AB388" i="71" l="1"/>
  <c r="R388" i="71"/>
  <c r="Z388" i="71"/>
  <c r="T388" i="71"/>
  <c r="S389" i="71"/>
  <c r="Y389" i="71"/>
  <c r="Q389" i="71" s="1"/>
  <c r="P389" i="71"/>
  <c r="I170" i="71"/>
  <c r="C171" i="71"/>
  <c r="D171" i="71" s="1"/>
  <c r="I171" i="71" s="1"/>
  <c r="V387" i="71"/>
  <c r="K390" i="71"/>
  <c r="C390" i="71"/>
  <c r="D390" i="71" s="1"/>
  <c r="N390" i="71"/>
  <c r="B390" i="71"/>
  <c r="E390" i="71" s="1"/>
  <c r="A391" i="71"/>
  <c r="H171" i="71"/>
  <c r="K171" i="71"/>
  <c r="B172" i="71" s="1"/>
  <c r="M131" i="71"/>
  <c r="L131" i="71" s="1"/>
  <c r="C124" i="69"/>
  <c r="B124" i="69"/>
  <c r="A123" i="69"/>
  <c r="R389" i="71" l="1"/>
  <c r="U389" i="71" s="1"/>
  <c r="AB389" i="71"/>
  <c r="Z389" i="71"/>
  <c r="T389" i="71"/>
  <c r="H390" i="71"/>
  <c r="S390" i="71"/>
  <c r="P390" i="71"/>
  <c r="Y390" i="71"/>
  <c r="Q390" i="71" s="1"/>
  <c r="U388" i="71"/>
  <c r="V388" i="71" s="1"/>
  <c r="N391" i="71"/>
  <c r="A392" i="71"/>
  <c r="K391" i="71"/>
  <c r="C391" i="71"/>
  <c r="D391" i="71" s="1"/>
  <c r="B391" i="71"/>
  <c r="E391" i="71" s="1"/>
  <c r="E172" i="71"/>
  <c r="J172" i="71" s="1"/>
  <c r="N123" i="69"/>
  <c r="Z123" i="69" s="1"/>
  <c r="M123" i="69"/>
  <c r="E124" i="69"/>
  <c r="J124" i="69" s="1"/>
  <c r="L121" i="69"/>
  <c r="T390" i="71" l="1"/>
  <c r="AB390" i="71"/>
  <c r="R390" i="71"/>
  <c r="Z390" i="71"/>
  <c r="H391" i="71"/>
  <c r="C392" i="71"/>
  <c r="D392" i="71" s="1"/>
  <c r="H392" i="71" s="1"/>
  <c r="N392" i="71"/>
  <c r="A393" i="71"/>
  <c r="B392" i="71"/>
  <c r="K392" i="71"/>
  <c r="E392" i="71"/>
  <c r="S391" i="71"/>
  <c r="P391" i="71"/>
  <c r="Y391" i="71"/>
  <c r="Q391" i="71" s="1"/>
  <c r="C172" i="71"/>
  <c r="D172" i="71" s="1"/>
  <c r="K172" i="71" s="1"/>
  <c r="B173" i="71" s="1"/>
  <c r="E173" i="71" s="1"/>
  <c r="J173" i="71" s="1"/>
  <c r="V389" i="71"/>
  <c r="P123" i="69"/>
  <c r="D124" i="69"/>
  <c r="I124" i="69" s="1"/>
  <c r="R391" i="71" l="1"/>
  <c r="AB391" i="71"/>
  <c r="Z391" i="71"/>
  <c r="T391" i="71"/>
  <c r="Y392" i="71"/>
  <c r="Q392" i="71" s="1"/>
  <c r="S392" i="71"/>
  <c r="P392" i="71"/>
  <c r="U390" i="71"/>
  <c r="V390" i="71" s="1"/>
  <c r="N393" i="71"/>
  <c r="K393" i="71"/>
  <c r="C393" i="71"/>
  <c r="D393" i="71" s="1"/>
  <c r="B393" i="71"/>
  <c r="E393" i="71" s="1"/>
  <c r="A394" i="71"/>
  <c r="I172" i="71"/>
  <c r="H172" i="71"/>
  <c r="C173" i="71"/>
  <c r="D173" i="71" s="1"/>
  <c r="H124" i="69"/>
  <c r="K124" i="69"/>
  <c r="A124" i="69" s="1"/>
  <c r="Z392" i="71" l="1"/>
  <c r="R392" i="71"/>
  <c r="AB392" i="71"/>
  <c r="T392" i="71"/>
  <c r="H393" i="71"/>
  <c r="E394" i="71"/>
  <c r="N394" i="71"/>
  <c r="K394" i="71"/>
  <c r="B394" i="71"/>
  <c r="A395" i="71"/>
  <c r="C394" i="71"/>
  <c r="D394" i="71" s="1"/>
  <c r="S393" i="71"/>
  <c r="Y393" i="71"/>
  <c r="Q393" i="71" s="1"/>
  <c r="P393" i="71"/>
  <c r="U391" i="71"/>
  <c r="V391" i="71"/>
  <c r="H173" i="71"/>
  <c r="I173" i="71"/>
  <c r="K173" i="71"/>
  <c r="B174" i="71" s="1"/>
  <c r="M132" i="71"/>
  <c r="L132" i="71" s="1"/>
  <c r="C125" i="69"/>
  <c r="B125" i="69"/>
  <c r="E125" i="69" s="1"/>
  <c r="J125" i="69" s="1"/>
  <c r="N124" i="69"/>
  <c r="Z124" i="69" s="1"/>
  <c r="M124" i="69"/>
  <c r="S394" i="71" l="1"/>
  <c r="P394" i="71"/>
  <c r="Y394" i="71"/>
  <c r="Q394" i="71" s="1"/>
  <c r="AB393" i="71"/>
  <c r="T393" i="71"/>
  <c r="Z393" i="71"/>
  <c r="R393" i="71"/>
  <c r="H394" i="71"/>
  <c r="N395" i="71"/>
  <c r="A396" i="71"/>
  <c r="C395" i="71"/>
  <c r="D395" i="71" s="1"/>
  <c r="K395" i="71"/>
  <c r="B395" i="71"/>
  <c r="E395" i="71" s="1"/>
  <c r="U392" i="71"/>
  <c r="V392" i="71"/>
  <c r="E174" i="71"/>
  <c r="J174" i="71" s="1"/>
  <c r="P124" i="69"/>
  <c r="L122" i="69"/>
  <c r="D125" i="69"/>
  <c r="Z394" i="71" l="1"/>
  <c r="R394" i="71"/>
  <c r="AB394" i="71"/>
  <c r="T394" i="71"/>
  <c r="U393" i="71"/>
  <c r="V393" i="71" s="1"/>
  <c r="H395" i="71"/>
  <c r="K396" i="71"/>
  <c r="B396" i="71"/>
  <c r="E396" i="71" s="1"/>
  <c r="C396" i="71"/>
  <c r="D396" i="71" s="1"/>
  <c r="H396" i="71" s="1"/>
  <c r="N396" i="71"/>
  <c r="A397" i="71"/>
  <c r="P395" i="71"/>
  <c r="S395" i="71"/>
  <c r="Y395" i="71"/>
  <c r="Q395" i="71" s="1"/>
  <c r="C174" i="71"/>
  <c r="D174" i="71" s="1"/>
  <c r="I125" i="69"/>
  <c r="H125" i="69"/>
  <c r="K125" i="69"/>
  <c r="AB395" i="71" l="1"/>
  <c r="R395" i="71"/>
  <c r="Z395" i="71"/>
  <c r="T395" i="71"/>
  <c r="N397" i="71"/>
  <c r="B397" i="71"/>
  <c r="E397" i="71" s="1"/>
  <c r="K397" i="71"/>
  <c r="C397" i="71"/>
  <c r="D397" i="71" s="1"/>
  <c r="H397" i="71" s="1"/>
  <c r="A398" i="71"/>
  <c r="U394" i="71"/>
  <c r="V394" i="71" s="1"/>
  <c r="Y396" i="71"/>
  <c r="S396" i="71"/>
  <c r="Q396" i="71"/>
  <c r="P396" i="71"/>
  <c r="H174" i="71"/>
  <c r="I174" i="71"/>
  <c r="K174" i="71"/>
  <c r="B175" i="71" s="1"/>
  <c r="C126" i="69"/>
  <c r="A125" i="69"/>
  <c r="B126" i="69"/>
  <c r="L123" i="69"/>
  <c r="P397" i="71" l="1"/>
  <c r="S397" i="71"/>
  <c r="Y397" i="71"/>
  <c r="Q397" i="71" s="1"/>
  <c r="T396" i="71"/>
  <c r="R396" i="71"/>
  <c r="AB396" i="71"/>
  <c r="Z396" i="71"/>
  <c r="U395" i="71"/>
  <c r="V395" i="71" s="1"/>
  <c r="N398" i="71"/>
  <c r="B398" i="71"/>
  <c r="E398" i="71" s="1"/>
  <c r="A399" i="71"/>
  <c r="K398" i="71"/>
  <c r="C398" i="71"/>
  <c r="D398" i="71" s="1"/>
  <c r="H398" i="71" s="1"/>
  <c r="E175" i="71"/>
  <c r="J175" i="71" s="1"/>
  <c r="M133" i="71"/>
  <c r="L133" i="71" s="1"/>
  <c r="N125" i="69"/>
  <c r="Z125" i="69" s="1"/>
  <c r="M125" i="69"/>
  <c r="E126" i="69"/>
  <c r="J126" i="69" s="1"/>
  <c r="C175" i="71" l="1"/>
  <c r="D175" i="71" s="1"/>
  <c r="U396" i="71"/>
  <c r="V396" i="71" s="1"/>
  <c r="K399" i="71"/>
  <c r="C399" i="71"/>
  <c r="D399" i="71" s="1"/>
  <c r="B399" i="71"/>
  <c r="E399" i="71" s="1"/>
  <c r="A400" i="71"/>
  <c r="N399" i="71"/>
  <c r="T397" i="71"/>
  <c r="R397" i="71"/>
  <c r="U397" i="71" s="1"/>
  <c r="V397" i="71" s="1"/>
  <c r="AB397" i="71"/>
  <c r="Z397" i="71"/>
  <c r="S398" i="71"/>
  <c r="Y398" i="71"/>
  <c r="Q398" i="71" s="1"/>
  <c r="P398" i="71"/>
  <c r="I175" i="71"/>
  <c r="H175" i="71"/>
  <c r="K175" i="71"/>
  <c r="B176" i="71" s="1"/>
  <c r="P125" i="69"/>
  <c r="D126" i="69"/>
  <c r="L124" i="69"/>
  <c r="R398" i="71" l="1"/>
  <c r="AB398" i="71"/>
  <c r="T398" i="71"/>
  <c r="Z398" i="71"/>
  <c r="P399" i="71"/>
  <c r="Y399" i="71"/>
  <c r="Q399" i="71" s="1"/>
  <c r="S399" i="71"/>
  <c r="N400" i="71"/>
  <c r="B400" i="71"/>
  <c r="E400" i="71" s="1"/>
  <c r="K400" i="71"/>
  <c r="A401" i="71"/>
  <c r="C400" i="71"/>
  <c r="D400" i="71" s="1"/>
  <c r="H400" i="71" s="1"/>
  <c r="H399" i="71"/>
  <c r="E176" i="71"/>
  <c r="J176" i="71" s="1"/>
  <c r="I126" i="69"/>
  <c r="H126" i="69"/>
  <c r="K126" i="69"/>
  <c r="R399" i="71" l="1"/>
  <c r="AB399" i="71"/>
  <c r="Z399" i="71"/>
  <c r="T399" i="71"/>
  <c r="B401" i="71"/>
  <c r="E401" i="71" s="1"/>
  <c r="C401" i="71"/>
  <c r="D401" i="71" s="1"/>
  <c r="H401" i="71" s="1"/>
  <c r="A402" i="71"/>
  <c r="N401" i="71"/>
  <c r="K401" i="71"/>
  <c r="S400" i="71"/>
  <c r="P400" i="71"/>
  <c r="Y400" i="71"/>
  <c r="Q400" i="71" s="1"/>
  <c r="U398" i="71"/>
  <c r="V398" i="71"/>
  <c r="C176" i="71"/>
  <c r="D176" i="71" s="1"/>
  <c r="M134" i="71"/>
  <c r="L134" i="71" s="1"/>
  <c r="C127" i="69"/>
  <c r="A126" i="69"/>
  <c r="B127" i="69"/>
  <c r="AB400" i="71" l="1"/>
  <c r="T400" i="71"/>
  <c r="R400" i="71"/>
  <c r="Z400" i="71"/>
  <c r="B402" i="71"/>
  <c r="E402" i="71"/>
  <c r="N402" i="71"/>
  <c r="K402" i="71"/>
  <c r="A403" i="71"/>
  <c r="C402" i="71"/>
  <c r="D402" i="71" s="1"/>
  <c r="S401" i="71"/>
  <c r="Y401" i="71"/>
  <c r="Q401" i="71" s="1"/>
  <c r="P401" i="71"/>
  <c r="U399" i="71"/>
  <c r="V399" i="71" s="1"/>
  <c r="I176" i="71"/>
  <c r="H176" i="71"/>
  <c r="K176" i="71"/>
  <c r="B177" i="71" s="1"/>
  <c r="N126" i="69"/>
  <c r="Z126" i="69" s="1"/>
  <c r="M126" i="69"/>
  <c r="E127" i="69"/>
  <c r="J127" i="69" s="1"/>
  <c r="T401" i="71" l="1"/>
  <c r="Z401" i="71"/>
  <c r="R401" i="71"/>
  <c r="AB401" i="71"/>
  <c r="Y402" i="71"/>
  <c r="Q402" i="71" s="1"/>
  <c r="S402" i="71"/>
  <c r="P402" i="71"/>
  <c r="U400" i="71"/>
  <c r="V400" i="71" s="1"/>
  <c r="H402" i="71"/>
  <c r="N403" i="71"/>
  <c r="A404" i="71"/>
  <c r="C403" i="71"/>
  <c r="D403" i="71" s="1"/>
  <c r="B403" i="71"/>
  <c r="E403" i="71" s="1"/>
  <c r="K403" i="71"/>
  <c r="C177" i="71"/>
  <c r="D177" i="71" s="1"/>
  <c r="K177" i="71" s="1"/>
  <c r="B178" i="71" s="1"/>
  <c r="E177" i="71"/>
  <c r="J177" i="71" s="1"/>
  <c r="P126" i="69"/>
  <c r="D127" i="69"/>
  <c r="H127" i="69" s="1"/>
  <c r="L125" i="69"/>
  <c r="H403" i="71" l="1"/>
  <c r="A405" i="71"/>
  <c r="N404" i="71"/>
  <c r="B404" i="71"/>
  <c r="E404" i="71"/>
  <c r="C404" i="71"/>
  <c r="D404" i="71" s="1"/>
  <c r="H404" i="71" s="1"/>
  <c r="K404" i="71"/>
  <c r="S403" i="71"/>
  <c r="Y403" i="71"/>
  <c r="Q403" i="71" s="1"/>
  <c r="P403" i="71"/>
  <c r="V401" i="71"/>
  <c r="U401" i="71"/>
  <c r="Z402" i="71"/>
  <c r="AB402" i="71"/>
  <c r="R402" i="71"/>
  <c r="T402" i="71"/>
  <c r="E178" i="71"/>
  <c r="J178" i="71" s="1"/>
  <c r="C178" i="71"/>
  <c r="D178" i="71" s="1"/>
  <c r="I177" i="71"/>
  <c r="H177" i="71"/>
  <c r="K127" i="69"/>
  <c r="B128" i="69" s="1"/>
  <c r="I127" i="69"/>
  <c r="U402" i="71" l="1"/>
  <c r="V402" i="71" s="1"/>
  <c r="P404" i="71"/>
  <c r="Y404" i="71"/>
  <c r="Q404" i="71" s="1"/>
  <c r="S404" i="71"/>
  <c r="B405" i="71"/>
  <c r="E405" i="71" s="1"/>
  <c r="C405" i="71"/>
  <c r="D405" i="71" s="1"/>
  <c r="K405" i="71"/>
  <c r="A406" i="71"/>
  <c r="N405" i="71"/>
  <c r="Z403" i="71"/>
  <c r="AB403" i="71"/>
  <c r="R403" i="71"/>
  <c r="U403" i="71" s="1"/>
  <c r="T403" i="71"/>
  <c r="H178" i="71"/>
  <c r="I178" i="71"/>
  <c r="K178" i="71"/>
  <c r="B179" i="71" s="1"/>
  <c r="M135" i="71"/>
  <c r="L135" i="71" s="1"/>
  <c r="C128" i="69"/>
  <c r="A127" i="69"/>
  <c r="L126" i="69"/>
  <c r="E128" i="69"/>
  <c r="J128" i="69" s="1"/>
  <c r="AB404" i="71" l="1"/>
  <c r="R404" i="71"/>
  <c r="Z404" i="71"/>
  <c r="T404" i="71"/>
  <c r="H405" i="71"/>
  <c r="E406" i="71"/>
  <c r="A407" i="71"/>
  <c r="K406" i="71"/>
  <c r="C406" i="71"/>
  <c r="D406" i="71" s="1"/>
  <c r="N406" i="71"/>
  <c r="B406" i="71"/>
  <c r="Y405" i="71"/>
  <c r="P405" i="71"/>
  <c r="Q405" i="71"/>
  <c r="S405" i="71"/>
  <c r="V403" i="71"/>
  <c r="E179" i="71"/>
  <c r="J179" i="71" s="1"/>
  <c r="N127" i="69"/>
  <c r="Z127" i="69" s="1"/>
  <c r="M127" i="69"/>
  <c r="D128" i="69"/>
  <c r="N407" i="71" l="1"/>
  <c r="C407" i="71"/>
  <c r="D407" i="71" s="1"/>
  <c r="K407" i="71"/>
  <c r="A408" i="71"/>
  <c r="B407" i="71"/>
  <c r="E407" i="71" s="1"/>
  <c r="T405" i="71"/>
  <c r="AB405" i="71"/>
  <c r="Z405" i="71"/>
  <c r="R405" i="71"/>
  <c r="U405" i="71" s="1"/>
  <c r="S406" i="71"/>
  <c r="P406" i="71"/>
  <c r="Y406" i="71"/>
  <c r="Q406" i="71" s="1"/>
  <c r="U404" i="71"/>
  <c r="V404" i="71" s="1"/>
  <c r="H406" i="71"/>
  <c r="C179" i="71"/>
  <c r="D179" i="71" s="1"/>
  <c r="P127" i="69"/>
  <c r="I128" i="69"/>
  <c r="H128" i="69"/>
  <c r="K128" i="69"/>
  <c r="Z406" i="71" l="1"/>
  <c r="T406" i="71"/>
  <c r="AB406" i="71"/>
  <c r="R406" i="71"/>
  <c r="B408" i="71"/>
  <c r="E408" i="71" s="1"/>
  <c r="A409" i="71"/>
  <c r="K408" i="71"/>
  <c r="N408" i="71"/>
  <c r="C408" i="71"/>
  <c r="D408" i="71" s="1"/>
  <c r="H407" i="71"/>
  <c r="V405" i="71"/>
  <c r="S407" i="71"/>
  <c r="Y407" i="71"/>
  <c r="Q407" i="71" s="1"/>
  <c r="P407" i="71"/>
  <c r="H179" i="71"/>
  <c r="I179" i="71"/>
  <c r="K179" i="71"/>
  <c r="B180" i="71" s="1"/>
  <c r="C129" i="69"/>
  <c r="A128" i="69"/>
  <c r="B129" i="69"/>
  <c r="T407" i="71" l="1"/>
  <c r="AB407" i="71"/>
  <c r="R407" i="71"/>
  <c r="Z407" i="71"/>
  <c r="P408" i="71"/>
  <c r="Q408" i="71"/>
  <c r="Y408" i="71"/>
  <c r="S408" i="71"/>
  <c r="B409" i="71"/>
  <c r="E409" i="71" s="1"/>
  <c r="A410" i="71"/>
  <c r="N409" i="71"/>
  <c r="C409" i="71"/>
  <c r="D409" i="71" s="1"/>
  <c r="H409" i="71" s="1"/>
  <c r="K409" i="71"/>
  <c r="U406" i="71"/>
  <c r="V406" i="71" s="1"/>
  <c r="H408" i="71"/>
  <c r="E180" i="71"/>
  <c r="J180" i="71" s="1"/>
  <c r="M136" i="71"/>
  <c r="L136" i="71" s="1"/>
  <c r="N128" i="69"/>
  <c r="Z128" i="69" s="1"/>
  <c r="M128" i="69"/>
  <c r="L127" i="69"/>
  <c r="E129" i="69"/>
  <c r="J129" i="69" s="1"/>
  <c r="P409" i="71" l="1"/>
  <c r="S409" i="71"/>
  <c r="Y409" i="71"/>
  <c r="Q409" i="71" s="1"/>
  <c r="U407" i="71"/>
  <c r="V407" i="71"/>
  <c r="R408" i="71"/>
  <c r="U408" i="71" s="1"/>
  <c r="V408" i="71" s="1"/>
  <c r="Z408" i="71"/>
  <c r="AB408" i="71"/>
  <c r="T408" i="71"/>
  <c r="B410" i="71"/>
  <c r="E410" i="71" s="1"/>
  <c r="K410" i="71"/>
  <c r="A411" i="71"/>
  <c r="N410" i="71"/>
  <c r="C410" i="71"/>
  <c r="D410" i="71" s="1"/>
  <c r="C180" i="71"/>
  <c r="D180" i="71" s="1"/>
  <c r="H180" i="71"/>
  <c r="I180" i="71"/>
  <c r="K180" i="71"/>
  <c r="B181" i="71" s="1"/>
  <c r="P128" i="69"/>
  <c r="D129" i="69"/>
  <c r="I129" i="69" s="1"/>
  <c r="AB409" i="71" l="1"/>
  <c r="T409" i="71"/>
  <c r="R409" i="71"/>
  <c r="Z409" i="71"/>
  <c r="N411" i="71"/>
  <c r="B411" i="71"/>
  <c r="E411" i="71" s="1"/>
  <c r="K411" i="71"/>
  <c r="A412" i="71"/>
  <c r="C411" i="71"/>
  <c r="D411" i="71" s="1"/>
  <c r="Q410" i="71"/>
  <c r="S410" i="71"/>
  <c r="P410" i="71"/>
  <c r="Y410" i="71"/>
  <c r="H410" i="71"/>
  <c r="E181" i="71"/>
  <c r="J181" i="71" s="1"/>
  <c r="K129" i="69"/>
  <c r="C130" i="69" s="1"/>
  <c r="H129" i="69"/>
  <c r="K412" i="71" l="1"/>
  <c r="A413" i="71"/>
  <c r="C412" i="71"/>
  <c r="D412" i="71" s="1"/>
  <c r="N412" i="71"/>
  <c r="B412" i="71"/>
  <c r="E412" i="71" s="1"/>
  <c r="P411" i="71"/>
  <c r="Y411" i="71"/>
  <c r="Q411" i="71" s="1"/>
  <c r="S411" i="71"/>
  <c r="U409" i="71"/>
  <c r="V409" i="71"/>
  <c r="Z410" i="71"/>
  <c r="T410" i="71"/>
  <c r="AB410" i="71"/>
  <c r="R410" i="71"/>
  <c r="H411" i="71"/>
  <c r="C181" i="71"/>
  <c r="D181" i="71" s="1"/>
  <c r="B130" i="69"/>
  <c r="E130" i="69" s="1"/>
  <c r="J130" i="69" s="1"/>
  <c r="A129" i="69"/>
  <c r="Z411" i="71" l="1"/>
  <c r="AB411" i="71"/>
  <c r="R411" i="71"/>
  <c r="U411" i="71" s="1"/>
  <c r="T411" i="71"/>
  <c r="B413" i="71"/>
  <c r="E413" i="71" s="1"/>
  <c r="C413" i="71"/>
  <c r="D413" i="71" s="1"/>
  <c r="K413" i="71"/>
  <c r="A414" i="71"/>
  <c r="N413" i="71"/>
  <c r="V410" i="71"/>
  <c r="U410" i="71"/>
  <c r="S412" i="71"/>
  <c r="Y412" i="71"/>
  <c r="Q412" i="71" s="1"/>
  <c r="P412" i="71"/>
  <c r="H412" i="71"/>
  <c r="I181" i="71"/>
  <c r="H181" i="71"/>
  <c r="K181" i="71"/>
  <c r="B182" i="71" s="1"/>
  <c r="M137" i="71"/>
  <c r="L137" i="71" s="1"/>
  <c r="N129" i="69"/>
  <c r="Z129" i="69" s="1"/>
  <c r="M129" i="69"/>
  <c r="D130" i="69"/>
  <c r="I130" i="69" s="1"/>
  <c r="L128" i="69"/>
  <c r="R412" i="71" l="1"/>
  <c r="T412" i="71"/>
  <c r="AB412" i="71"/>
  <c r="Z412" i="71"/>
  <c r="E414" i="71"/>
  <c r="K414" i="71"/>
  <c r="N414" i="71"/>
  <c r="C414" i="71"/>
  <c r="D414" i="71" s="1"/>
  <c r="H414" i="71" s="1"/>
  <c r="A415" i="71"/>
  <c r="B414" i="71"/>
  <c r="H413" i="71"/>
  <c r="V411" i="71"/>
  <c r="S413" i="71"/>
  <c r="Y413" i="71"/>
  <c r="Q413" i="71" s="1"/>
  <c r="P413" i="71"/>
  <c r="E182" i="71"/>
  <c r="J182" i="71" s="1"/>
  <c r="P129" i="69"/>
  <c r="K130" i="69"/>
  <c r="C131" i="69" s="1"/>
  <c r="H130" i="69"/>
  <c r="S414" i="71" l="1"/>
  <c r="Y414" i="71"/>
  <c r="Q414" i="71"/>
  <c r="P414" i="71"/>
  <c r="AB413" i="71"/>
  <c r="R413" i="71"/>
  <c r="Z413" i="71"/>
  <c r="T413" i="71"/>
  <c r="C415" i="71"/>
  <c r="D415" i="71" s="1"/>
  <c r="K415" i="71"/>
  <c r="B415" i="71"/>
  <c r="E415" i="71" s="1"/>
  <c r="N415" i="71"/>
  <c r="A416" i="71"/>
  <c r="U412" i="71"/>
  <c r="V412" i="71"/>
  <c r="C182" i="71"/>
  <c r="D182" i="71" s="1"/>
  <c r="B131" i="69"/>
  <c r="E131" i="69" s="1"/>
  <c r="J131" i="69" s="1"/>
  <c r="A130" i="69"/>
  <c r="V413" i="71" l="1"/>
  <c r="U413" i="71"/>
  <c r="B416" i="71"/>
  <c r="E416" i="71" s="1"/>
  <c r="C416" i="71"/>
  <c r="D416" i="71" s="1"/>
  <c r="A417" i="71"/>
  <c r="N416" i="71"/>
  <c r="K416" i="71"/>
  <c r="S415" i="71"/>
  <c r="Y415" i="71"/>
  <c r="P415" i="71"/>
  <c r="Q415" i="71"/>
  <c r="R414" i="71"/>
  <c r="T414" i="71"/>
  <c r="AB414" i="71"/>
  <c r="Z414" i="71"/>
  <c r="H415" i="71"/>
  <c r="H182" i="71"/>
  <c r="I182" i="71"/>
  <c r="K182" i="71"/>
  <c r="B183" i="71" s="1"/>
  <c r="M130" i="69"/>
  <c r="N130" i="69"/>
  <c r="Z130" i="69" s="1"/>
  <c r="D131" i="69"/>
  <c r="S416" i="71" l="1"/>
  <c r="P416" i="71"/>
  <c r="Y416" i="71"/>
  <c r="Q416" i="71" s="1"/>
  <c r="U414" i="71"/>
  <c r="V414" i="71"/>
  <c r="H416" i="71"/>
  <c r="N417" i="71"/>
  <c r="K417" i="71"/>
  <c r="C417" i="71"/>
  <c r="D417" i="71" s="1"/>
  <c r="H417" i="71" s="1"/>
  <c r="B417" i="71"/>
  <c r="E417" i="71" s="1"/>
  <c r="A418" i="71"/>
  <c r="AB415" i="71"/>
  <c r="T415" i="71"/>
  <c r="R415" i="71"/>
  <c r="Z415" i="71"/>
  <c r="E183" i="71"/>
  <c r="J183" i="71" s="1"/>
  <c r="M138" i="71"/>
  <c r="L138" i="71" s="1"/>
  <c r="P130" i="69"/>
  <c r="L129" i="69"/>
  <c r="I131" i="69"/>
  <c r="H131" i="69"/>
  <c r="K131" i="69"/>
  <c r="S417" i="71" l="1"/>
  <c r="P417" i="71"/>
  <c r="Y417" i="71"/>
  <c r="Q417" i="71" s="1"/>
  <c r="U415" i="71"/>
  <c r="V415" i="71"/>
  <c r="N418" i="71"/>
  <c r="C418" i="71"/>
  <c r="D418" i="71" s="1"/>
  <c r="H418" i="71" s="1"/>
  <c r="K418" i="71"/>
  <c r="B418" i="71"/>
  <c r="E418" i="71" s="1"/>
  <c r="A419" i="71"/>
  <c r="AB416" i="71"/>
  <c r="T416" i="71"/>
  <c r="R416" i="71"/>
  <c r="Z416" i="71"/>
  <c r="C183" i="71"/>
  <c r="D183" i="71" s="1"/>
  <c r="C132" i="69"/>
  <c r="A131" i="69"/>
  <c r="B132" i="69"/>
  <c r="AB417" i="71" l="1"/>
  <c r="Z417" i="71"/>
  <c r="T417" i="71"/>
  <c r="R417" i="71"/>
  <c r="P418" i="71"/>
  <c r="Y418" i="71"/>
  <c r="Q418" i="71" s="1"/>
  <c r="S418" i="71"/>
  <c r="V416" i="71"/>
  <c r="U416" i="71"/>
  <c r="K419" i="71"/>
  <c r="A420" i="71"/>
  <c r="B419" i="71"/>
  <c r="E419" i="71" s="1"/>
  <c r="N419" i="71"/>
  <c r="C419" i="71"/>
  <c r="D419" i="71" s="1"/>
  <c r="H419" i="71" s="1"/>
  <c r="I183" i="71"/>
  <c r="H183" i="71"/>
  <c r="K183" i="71"/>
  <c r="B184" i="71" s="1"/>
  <c r="N131" i="69"/>
  <c r="Z131" i="69" s="1"/>
  <c r="M131" i="69"/>
  <c r="E132" i="69"/>
  <c r="J132" i="69" s="1"/>
  <c r="U417" i="71" l="1"/>
  <c r="V417" i="71" s="1"/>
  <c r="Z418" i="71"/>
  <c r="AB418" i="71"/>
  <c r="R418" i="71"/>
  <c r="U418" i="71" s="1"/>
  <c r="T418" i="71"/>
  <c r="N420" i="71"/>
  <c r="C420" i="71"/>
  <c r="D420" i="71" s="1"/>
  <c r="H420" i="71" s="1"/>
  <c r="B420" i="71"/>
  <c r="E420" i="71"/>
  <c r="A421" i="71"/>
  <c r="K420" i="71"/>
  <c r="Y419" i="71"/>
  <c r="Q419" i="71"/>
  <c r="S419" i="71"/>
  <c r="P419" i="71"/>
  <c r="E184" i="71"/>
  <c r="J184" i="71" s="1"/>
  <c r="C184" i="71"/>
  <c r="D184" i="71" s="1"/>
  <c r="M139" i="71"/>
  <c r="L139" i="71" s="1"/>
  <c r="P131" i="69"/>
  <c r="D132" i="69"/>
  <c r="S420" i="71" l="1"/>
  <c r="P420" i="71"/>
  <c r="Y420" i="71"/>
  <c r="Q420" i="71" s="1"/>
  <c r="V418" i="71"/>
  <c r="N421" i="71"/>
  <c r="B421" i="71"/>
  <c r="E421" i="71" s="1"/>
  <c r="C421" i="71"/>
  <c r="D421" i="71" s="1"/>
  <c r="K421" i="71"/>
  <c r="A422" i="71"/>
  <c r="Z419" i="71"/>
  <c r="T419" i="71"/>
  <c r="AB419" i="71"/>
  <c r="R419" i="71"/>
  <c r="U419" i="71" s="1"/>
  <c r="V419" i="71" s="1"/>
  <c r="I184" i="71"/>
  <c r="H184" i="71"/>
  <c r="K184" i="71"/>
  <c r="B185" i="71" s="1"/>
  <c r="I132" i="69"/>
  <c r="H132" i="69"/>
  <c r="K132" i="69"/>
  <c r="L130" i="69"/>
  <c r="H421" i="71" l="1"/>
  <c r="T420" i="71"/>
  <c r="AB420" i="71"/>
  <c r="Z420" i="71"/>
  <c r="R420" i="71"/>
  <c r="U420" i="71" s="1"/>
  <c r="V420" i="71" s="1"/>
  <c r="Y421" i="71"/>
  <c r="Q421" i="71" s="1"/>
  <c r="P421" i="71"/>
  <c r="S421" i="71"/>
  <c r="K422" i="71"/>
  <c r="B422" i="71"/>
  <c r="N422" i="71"/>
  <c r="A423" i="71"/>
  <c r="C422" i="71"/>
  <c r="D422" i="71" s="1"/>
  <c r="E422" i="71"/>
  <c r="E185" i="71"/>
  <c r="J185" i="71" s="1"/>
  <c r="C185" i="71"/>
  <c r="D185" i="71" s="1"/>
  <c r="C133" i="69"/>
  <c r="A132" i="69"/>
  <c r="B133" i="69"/>
  <c r="Z421" i="71" l="1"/>
  <c r="AB421" i="71"/>
  <c r="R421" i="71"/>
  <c r="U421" i="71" s="1"/>
  <c r="V421" i="71" s="1"/>
  <c r="T421" i="71"/>
  <c r="B423" i="71"/>
  <c r="E423" i="71" s="1"/>
  <c r="N423" i="71"/>
  <c r="A424" i="71"/>
  <c r="K423" i="71"/>
  <c r="C423" i="71"/>
  <c r="D423" i="71" s="1"/>
  <c r="H422" i="71"/>
  <c r="P422" i="71"/>
  <c r="Y422" i="71"/>
  <c r="Q422" i="71" s="1"/>
  <c r="S422" i="71"/>
  <c r="I185" i="71"/>
  <c r="H185" i="71"/>
  <c r="K185" i="71"/>
  <c r="B186" i="71" s="1"/>
  <c r="N132" i="69"/>
  <c r="Z132" i="69" s="1"/>
  <c r="M132" i="69"/>
  <c r="E133" i="69"/>
  <c r="J133" i="69" s="1"/>
  <c r="R422" i="71" l="1"/>
  <c r="U422" i="71" s="1"/>
  <c r="T422" i="71"/>
  <c r="Z422" i="71"/>
  <c r="AB422" i="71"/>
  <c r="K424" i="71"/>
  <c r="C424" i="71"/>
  <c r="D424" i="71" s="1"/>
  <c r="H424" i="71" s="1"/>
  <c r="A425" i="71"/>
  <c r="N424" i="71"/>
  <c r="B424" i="71"/>
  <c r="E424" i="71"/>
  <c r="S423" i="71"/>
  <c r="P423" i="71"/>
  <c r="Y423" i="71"/>
  <c r="Q423" i="71" s="1"/>
  <c r="H423" i="71"/>
  <c r="E186" i="71"/>
  <c r="J186" i="71" s="1"/>
  <c r="M140" i="71"/>
  <c r="L140" i="71" s="1"/>
  <c r="P132" i="69"/>
  <c r="D133" i="69"/>
  <c r="I133" i="69" s="1"/>
  <c r="S424" i="71" l="1"/>
  <c r="Y424" i="71"/>
  <c r="Q424" i="71" s="1"/>
  <c r="P424" i="71"/>
  <c r="C425" i="71"/>
  <c r="D425" i="71" s="1"/>
  <c r="K425" i="71"/>
  <c r="B425" i="71"/>
  <c r="A426" i="71"/>
  <c r="E425" i="71"/>
  <c r="N425" i="71"/>
  <c r="T423" i="71"/>
  <c r="R423" i="71"/>
  <c r="U423" i="71" s="1"/>
  <c r="V423" i="71" s="1"/>
  <c r="AB423" i="71"/>
  <c r="Z423" i="71"/>
  <c r="V422" i="71"/>
  <c r="C186" i="71"/>
  <c r="D186" i="71" s="1"/>
  <c r="K133" i="69"/>
  <c r="C134" i="69" s="1"/>
  <c r="H133" i="69"/>
  <c r="L131" i="69"/>
  <c r="N426" i="71" l="1"/>
  <c r="C426" i="71"/>
  <c r="D426" i="71" s="1"/>
  <c r="K426" i="71"/>
  <c r="A427" i="71"/>
  <c r="B426" i="71"/>
  <c r="E426" i="71"/>
  <c r="H425" i="71"/>
  <c r="T424" i="71"/>
  <c r="AB424" i="71"/>
  <c r="Z424" i="71"/>
  <c r="R424" i="71"/>
  <c r="Y425" i="71"/>
  <c r="Q425" i="71"/>
  <c r="S425" i="71"/>
  <c r="P425" i="71"/>
  <c r="H186" i="71"/>
  <c r="I186" i="71"/>
  <c r="K186" i="71"/>
  <c r="B187" i="71" s="1"/>
  <c r="M141" i="71"/>
  <c r="L141" i="71" s="1"/>
  <c r="A133" i="69"/>
  <c r="B134" i="69"/>
  <c r="E134" i="69" s="1"/>
  <c r="J134" i="69" s="1"/>
  <c r="B427" i="71" l="1"/>
  <c r="E427" i="71" s="1"/>
  <c r="C427" i="71"/>
  <c r="D427" i="71" s="1"/>
  <c r="H427" i="71" s="1"/>
  <c r="N427" i="71"/>
  <c r="K427" i="71"/>
  <c r="A428" i="71"/>
  <c r="U424" i="71"/>
  <c r="V424" i="71" s="1"/>
  <c r="H426" i="71"/>
  <c r="R425" i="71"/>
  <c r="AB425" i="71"/>
  <c r="Z425" i="71"/>
  <c r="T425" i="71"/>
  <c r="S426" i="71"/>
  <c r="P426" i="71"/>
  <c r="Y426" i="71"/>
  <c r="Q426" i="71" s="1"/>
  <c r="E187" i="71"/>
  <c r="J187" i="71" s="1"/>
  <c r="N133" i="69"/>
  <c r="Z133" i="69" s="1"/>
  <c r="M133" i="69"/>
  <c r="D134" i="69"/>
  <c r="I134" i="69" s="1"/>
  <c r="Z426" i="71" l="1"/>
  <c r="AB426" i="71"/>
  <c r="R426" i="71"/>
  <c r="T426" i="71"/>
  <c r="K428" i="71"/>
  <c r="C428" i="71"/>
  <c r="D428" i="71" s="1"/>
  <c r="N428" i="71"/>
  <c r="B428" i="71"/>
  <c r="E428" i="71" s="1"/>
  <c r="A429" i="71"/>
  <c r="Y427" i="71"/>
  <c r="Q427" i="71" s="1"/>
  <c r="S427" i="71"/>
  <c r="P427" i="71"/>
  <c r="C187" i="71"/>
  <c r="D187" i="71" s="1"/>
  <c r="I187" i="71" s="1"/>
  <c r="U425" i="71"/>
  <c r="V425" i="71"/>
  <c r="K187" i="71"/>
  <c r="B188" i="71" s="1"/>
  <c r="P133" i="69"/>
  <c r="K134" i="69"/>
  <c r="C135" i="69" s="1"/>
  <c r="H134" i="69"/>
  <c r="L132" i="69"/>
  <c r="P428" i="71" l="1"/>
  <c r="Y428" i="71"/>
  <c r="Q428" i="71" s="1"/>
  <c r="S428" i="71"/>
  <c r="H428" i="71"/>
  <c r="H187" i="71"/>
  <c r="U426" i="71"/>
  <c r="V426" i="71" s="1"/>
  <c r="AB427" i="71"/>
  <c r="R427" i="71"/>
  <c r="Z427" i="71"/>
  <c r="T427" i="71"/>
  <c r="N429" i="71"/>
  <c r="B429" i="71"/>
  <c r="E429" i="71" s="1"/>
  <c r="C429" i="71"/>
  <c r="D429" i="71" s="1"/>
  <c r="K429" i="71"/>
  <c r="A430" i="71"/>
  <c r="E188" i="71"/>
  <c r="J188" i="71" s="1"/>
  <c r="B135" i="69"/>
  <c r="E135" i="69" s="1"/>
  <c r="J135" i="69" s="1"/>
  <c r="A134" i="69"/>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N134" i="69"/>
  <c r="Z134" i="69" s="1"/>
  <c r="M134" i="69"/>
  <c r="D135" i="69"/>
  <c r="I135" i="69" s="1"/>
  <c r="L133" i="69"/>
  <c r="H430" i="71" l="1"/>
  <c r="B431" i="71"/>
  <c r="K431" i="71"/>
  <c r="A432" i="71"/>
  <c r="C431" i="71"/>
  <c r="D431" i="71" s="1"/>
  <c r="N431" i="71"/>
  <c r="E431" i="71"/>
  <c r="U428" i="71"/>
  <c r="V428" i="71" s="1"/>
  <c r="T429" i="71"/>
  <c r="R429" i="71"/>
  <c r="Z429" i="71"/>
  <c r="AB429" i="71"/>
  <c r="Y430" i="71"/>
  <c r="Q430" i="71" s="1"/>
  <c r="P430" i="71"/>
  <c r="S430" i="71"/>
  <c r="H188" i="71"/>
  <c r="I188" i="71"/>
  <c r="K188" i="71"/>
  <c r="B189" i="71" s="1"/>
  <c r="P134" i="69"/>
  <c r="K135" i="69"/>
  <c r="B136" i="69" s="1"/>
  <c r="H135" i="69"/>
  <c r="P431" i="71" l="1"/>
  <c r="Y431" i="71"/>
  <c r="Q431" i="71" s="1"/>
  <c r="S431" i="71"/>
  <c r="H431" i="71"/>
  <c r="R430" i="71"/>
  <c r="T430" i="71"/>
  <c r="Z430" i="71"/>
  <c r="AB430" i="71"/>
  <c r="N432" i="71"/>
  <c r="B432" i="71"/>
  <c r="E432" i="71" s="1"/>
  <c r="K432" i="71"/>
  <c r="A433" i="71"/>
  <c r="C432" i="71"/>
  <c r="D432" i="71" s="1"/>
  <c r="H432" i="71" s="1"/>
  <c r="U429" i="71"/>
  <c r="V429" i="71"/>
  <c r="E189" i="71"/>
  <c r="J189" i="71" s="1"/>
  <c r="A135" i="69"/>
  <c r="C136" i="69"/>
  <c r="E136" i="69"/>
  <c r="J136" i="69" s="1"/>
  <c r="AB431" i="71" l="1"/>
  <c r="Z431" i="71"/>
  <c r="T431" i="71"/>
  <c r="R431" i="71"/>
  <c r="U430" i="71"/>
  <c r="V430" i="71" s="1"/>
  <c r="C433" i="71"/>
  <c r="D433" i="71" s="1"/>
  <c r="H433" i="71" s="1"/>
  <c r="K433" i="71"/>
  <c r="B433" i="71"/>
  <c r="E433" i="71" s="1"/>
  <c r="A434" i="71"/>
  <c r="N433" i="71"/>
  <c r="S432" i="71"/>
  <c r="Y432" i="71"/>
  <c r="Q432" i="71" s="1"/>
  <c r="P432" i="71"/>
  <c r="C189" i="71"/>
  <c r="D189" i="71" s="1"/>
  <c r="M143" i="71"/>
  <c r="L143" i="71" s="1"/>
  <c r="N135" i="69"/>
  <c r="Z135" i="69" s="1"/>
  <c r="M135" i="69"/>
  <c r="D136" i="69"/>
  <c r="AB432" i="71" l="1"/>
  <c r="R432" i="71"/>
  <c r="Z432" i="71"/>
  <c r="T432" i="71"/>
  <c r="V431" i="71"/>
  <c r="U431" i="71"/>
  <c r="P433" i="71"/>
  <c r="Y433" i="71"/>
  <c r="Q433" i="71" s="1"/>
  <c r="S433" i="71"/>
  <c r="N434" i="71"/>
  <c r="K434" i="71"/>
  <c r="C434" i="71"/>
  <c r="D434" i="71" s="1"/>
  <c r="A435" i="71"/>
  <c r="B434" i="71"/>
  <c r="E434" i="71" s="1"/>
  <c r="H189" i="71"/>
  <c r="I189" i="71"/>
  <c r="K189" i="71"/>
  <c r="B190" i="71" s="1"/>
  <c r="P135" i="69"/>
  <c r="L134" i="69"/>
  <c r="I136" i="69"/>
  <c r="H136" i="69"/>
  <c r="K136" i="69"/>
  <c r="T433" i="71" l="1"/>
  <c r="R433" i="71"/>
  <c r="U433" i="71" s="1"/>
  <c r="V433" i="71" s="1"/>
  <c r="AB433" i="71"/>
  <c r="Z433" i="71"/>
  <c r="N435" i="71"/>
  <c r="E435" i="71"/>
  <c r="C435" i="71"/>
  <c r="D435" i="71" s="1"/>
  <c r="H435" i="71" s="1"/>
  <c r="K435" i="71"/>
  <c r="A436" i="71"/>
  <c r="B435" i="71"/>
  <c r="H434" i="71"/>
  <c r="P434" i="71"/>
  <c r="Y434" i="71"/>
  <c r="Q434" i="71" s="1"/>
  <c r="S434" i="71"/>
  <c r="U432" i="71"/>
  <c r="V432" i="71"/>
  <c r="E190" i="71"/>
  <c r="J190" i="71" s="1"/>
  <c r="C190" i="71"/>
  <c r="D190" i="71" s="1"/>
  <c r="C137" i="69"/>
  <c r="A136" i="69"/>
  <c r="B137" i="69"/>
  <c r="P435" i="71" l="1"/>
  <c r="S435" i="71"/>
  <c r="Y435" i="71"/>
  <c r="Q435" i="71" s="1"/>
  <c r="T434" i="71"/>
  <c r="AB434" i="71"/>
  <c r="Z434" i="71"/>
  <c r="R434" i="71"/>
  <c r="U434" i="71" s="1"/>
  <c r="V434" i="71" s="1"/>
  <c r="A437" i="71"/>
  <c r="B436" i="71"/>
  <c r="N436" i="71"/>
  <c r="E436" i="71"/>
  <c r="C436" i="71"/>
  <c r="D436" i="71" s="1"/>
  <c r="H436" i="71" s="1"/>
  <c r="K436" i="71"/>
  <c r="H190" i="71"/>
  <c r="I190" i="71"/>
  <c r="K190" i="71"/>
  <c r="B191" i="71" s="1"/>
  <c r="N136" i="69"/>
  <c r="Z136" i="69" s="1"/>
  <c r="M136" i="69"/>
  <c r="E137" i="69"/>
  <c r="J137" i="69" s="1"/>
  <c r="Z435" i="71" l="1"/>
  <c r="T435" i="71"/>
  <c r="AB435" i="71"/>
  <c r="R435" i="71"/>
  <c r="S436" i="71"/>
  <c r="Y436" i="71"/>
  <c r="Q436" i="71"/>
  <c r="P436" i="71"/>
  <c r="C437" i="71"/>
  <c r="D437" i="71" s="1"/>
  <c r="K437" i="71"/>
  <c r="B437" i="71"/>
  <c r="E437" i="71"/>
  <c r="A438" i="71"/>
  <c r="N437" i="71"/>
  <c r="E191" i="71"/>
  <c r="J191" i="71" s="1"/>
  <c r="M144" i="71"/>
  <c r="L144" i="71" s="1"/>
  <c r="P136" i="69"/>
  <c r="D137" i="69"/>
  <c r="Z436" i="71" l="1"/>
  <c r="AB436" i="71"/>
  <c r="R436" i="71"/>
  <c r="T436" i="71"/>
  <c r="P437" i="71"/>
  <c r="S437" i="71"/>
  <c r="Y437" i="71"/>
  <c r="Q437" i="71" s="1"/>
  <c r="V435" i="71"/>
  <c r="U435" i="71"/>
  <c r="N438" i="71"/>
  <c r="B438" i="71"/>
  <c r="K438" i="71"/>
  <c r="A439" i="71"/>
  <c r="E438" i="71"/>
  <c r="C438" i="71"/>
  <c r="D438" i="71" s="1"/>
  <c r="H438" i="71" s="1"/>
  <c r="H437" i="71"/>
  <c r="C191" i="71"/>
  <c r="D191" i="71" s="1"/>
  <c r="L135" i="69"/>
  <c r="I137" i="69"/>
  <c r="H137" i="69"/>
  <c r="K137" i="69"/>
  <c r="K439" i="71" l="1"/>
  <c r="C439" i="71"/>
  <c r="D439" i="71" s="1"/>
  <c r="B439" i="71"/>
  <c r="E439" i="71" s="1"/>
  <c r="N439" i="71"/>
  <c r="A440" i="71"/>
  <c r="R437" i="71"/>
  <c r="Z437" i="71"/>
  <c r="T437" i="71"/>
  <c r="AB437" i="71"/>
  <c r="U436" i="71"/>
  <c r="V436" i="71"/>
  <c r="S438" i="71"/>
  <c r="Y438" i="71"/>
  <c r="Q438" i="71" s="1"/>
  <c r="P438" i="71"/>
  <c r="I191" i="71"/>
  <c r="H191" i="71"/>
  <c r="K191" i="71"/>
  <c r="B192" i="71" s="1"/>
  <c r="C138" i="69"/>
  <c r="A137" i="69"/>
  <c r="B138" i="69"/>
  <c r="P439" i="71" l="1"/>
  <c r="Y439" i="71"/>
  <c r="Q439" i="71" s="1"/>
  <c r="S439" i="71"/>
  <c r="K440" i="71"/>
  <c r="A441" i="71"/>
  <c r="B440" i="71"/>
  <c r="E440" i="71" s="1"/>
  <c r="N440" i="71"/>
  <c r="C440" i="71"/>
  <c r="D440" i="71" s="1"/>
  <c r="H440" i="71" s="1"/>
  <c r="H439" i="71"/>
  <c r="V437" i="71"/>
  <c r="U437" i="71"/>
  <c r="T438" i="71"/>
  <c r="AB438" i="71"/>
  <c r="R438" i="71"/>
  <c r="Z438" i="71"/>
  <c r="E192" i="71"/>
  <c r="J192" i="71" s="1"/>
  <c r="M145" i="71"/>
  <c r="L145" i="71" s="1"/>
  <c r="N137" i="69"/>
  <c r="Z137" i="69" s="1"/>
  <c r="M137" i="69"/>
  <c r="E138" i="69"/>
  <c r="J138" i="69" s="1"/>
  <c r="Y440" i="71" l="1"/>
  <c r="Q440" i="71" s="1"/>
  <c r="S440" i="71"/>
  <c r="P440" i="71"/>
  <c r="A442" i="71"/>
  <c r="B441" i="71"/>
  <c r="E441" i="71"/>
  <c r="N441" i="71"/>
  <c r="C441" i="71"/>
  <c r="D441" i="71" s="1"/>
  <c r="K441" i="71"/>
  <c r="U438" i="71"/>
  <c r="V438" i="71"/>
  <c r="R439" i="71"/>
  <c r="U439" i="71" s="1"/>
  <c r="V439" i="71" s="1"/>
  <c r="T439" i="71"/>
  <c r="AB439" i="71"/>
  <c r="Z439" i="71"/>
  <c r="C192" i="71"/>
  <c r="D192" i="71" s="1"/>
  <c r="P137" i="69"/>
  <c r="D138" i="69"/>
  <c r="I138" i="69" s="1"/>
  <c r="L136" i="69"/>
  <c r="Z440" i="71" l="1"/>
  <c r="AB440" i="71"/>
  <c r="T440" i="71"/>
  <c r="R440" i="71"/>
  <c r="S441" i="71"/>
  <c r="P441" i="71"/>
  <c r="Y441" i="71"/>
  <c r="Q441" i="71" s="1"/>
  <c r="N442" i="71"/>
  <c r="C442" i="71"/>
  <c r="D442" i="71" s="1"/>
  <c r="K442" i="71"/>
  <c r="A443" i="71"/>
  <c r="B442" i="71"/>
  <c r="E442" i="71" s="1"/>
  <c r="H441" i="71"/>
  <c r="I192" i="71"/>
  <c r="H192" i="71"/>
  <c r="K192" i="71"/>
  <c r="B193" i="71" s="1"/>
  <c r="M146" i="71"/>
  <c r="L146" i="71" s="1"/>
  <c r="H138" i="69"/>
  <c r="K138" i="69"/>
  <c r="C139" i="69" s="1"/>
  <c r="U440" i="71" l="1"/>
  <c r="V440" i="71"/>
  <c r="K443" i="71"/>
  <c r="A444" i="71"/>
  <c r="N443" i="71"/>
  <c r="C443" i="71"/>
  <c r="D443" i="71" s="1"/>
  <c r="B443" i="71"/>
  <c r="E443" i="71" s="1"/>
  <c r="S442" i="71"/>
  <c r="Y442" i="71"/>
  <c r="Q442" i="71" s="1"/>
  <c r="P442" i="71"/>
  <c r="AB441" i="71"/>
  <c r="R441" i="71"/>
  <c r="U441" i="71" s="1"/>
  <c r="T441" i="71"/>
  <c r="Z441" i="71"/>
  <c r="H442" i="71"/>
  <c r="E193" i="71"/>
  <c r="J193" i="71" s="1"/>
  <c r="B139" i="69"/>
  <c r="E139" i="69" s="1"/>
  <c r="J139" i="69" s="1"/>
  <c r="A138" i="69"/>
  <c r="Y443" i="71" l="1"/>
  <c r="Q443" i="71" s="1"/>
  <c r="P443" i="71"/>
  <c r="S443" i="71"/>
  <c r="V441" i="71"/>
  <c r="A445" i="71"/>
  <c r="K444" i="71"/>
  <c r="B444" i="71"/>
  <c r="E444" i="71" s="1"/>
  <c r="N444" i="71"/>
  <c r="C444" i="71"/>
  <c r="D444" i="71" s="1"/>
  <c r="H443" i="71"/>
  <c r="Z442" i="71"/>
  <c r="T442" i="71"/>
  <c r="R442" i="71"/>
  <c r="AB442" i="71"/>
  <c r="C193" i="71"/>
  <c r="D193" i="71" s="1"/>
  <c r="M138" i="69"/>
  <c r="N138" i="69"/>
  <c r="Z138" i="69" s="1"/>
  <c r="L137" i="69"/>
  <c r="D139" i="69"/>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P138" i="69"/>
  <c r="H139" i="69"/>
  <c r="I139" i="69"/>
  <c r="K139" i="69"/>
  <c r="R444" i="71" l="1"/>
  <c r="AB444" i="71"/>
  <c r="T444" i="71"/>
  <c r="Z444" i="71"/>
  <c r="V443" i="71"/>
  <c r="H445" i="71"/>
  <c r="B446" i="71"/>
  <c r="E446" i="71" s="1"/>
  <c r="N446" i="71"/>
  <c r="C446" i="71"/>
  <c r="D446" i="71" s="1"/>
  <c r="A447" i="71"/>
  <c r="K446" i="71"/>
  <c r="S445" i="71"/>
  <c r="P445" i="71"/>
  <c r="Y445" i="71"/>
  <c r="Q445" i="71" s="1"/>
  <c r="E194" i="71"/>
  <c r="J194" i="71" s="1"/>
  <c r="A139" i="69"/>
  <c r="C140" i="69"/>
  <c r="B140" i="69"/>
  <c r="T445" i="71" l="1"/>
  <c r="AB445" i="71"/>
  <c r="R445" i="71"/>
  <c r="U445" i="71" s="1"/>
  <c r="V445" i="71" s="1"/>
  <c r="Z445" i="71"/>
  <c r="Y446" i="71"/>
  <c r="Q446" i="71" s="1"/>
  <c r="S446" i="71"/>
  <c r="P446" i="71"/>
  <c r="A448" i="71"/>
  <c r="K447" i="71"/>
  <c r="N447" i="71"/>
  <c r="B447" i="71"/>
  <c r="E447" i="71" s="1"/>
  <c r="C447" i="71"/>
  <c r="D447" i="71" s="1"/>
  <c r="H446" i="71"/>
  <c r="U444" i="71"/>
  <c r="V444" i="71" s="1"/>
  <c r="C194" i="71"/>
  <c r="D194" i="71" s="1"/>
  <c r="N139" i="69"/>
  <c r="Z139" i="69" s="1"/>
  <c r="M139" i="69"/>
  <c r="L138" i="69"/>
  <c r="E140" i="69"/>
  <c r="J140" i="69" s="1"/>
  <c r="B448" i="71" l="1"/>
  <c r="E448" i="71" s="1"/>
  <c r="K448" i="71"/>
  <c r="A449" i="71"/>
  <c r="C448" i="71"/>
  <c r="D448" i="71" s="1"/>
  <c r="H448" i="71" s="1"/>
  <c r="N448" i="71"/>
  <c r="Z446" i="71"/>
  <c r="T446" i="71"/>
  <c r="AB446" i="71"/>
  <c r="R446" i="71"/>
  <c r="H447" i="71"/>
  <c r="S447" i="71"/>
  <c r="P447" i="71"/>
  <c r="Y447" i="71"/>
  <c r="Q447" i="71" s="1"/>
  <c r="H194" i="71"/>
  <c r="I194" i="71"/>
  <c r="K194" i="71"/>
  <c r="B195" i="71" s="1"/>
  <c r="M148" i="71"/>
  <c r="L148" i="71" s="1"/>
  <c r="P139" i="69"/>
  <c r="D140" i="69"/>
  <c r="P448" i="71" l="1"/>
  <c r="Y448" i="71"/>
  <c r="Q448" i="71" s="1"/>
  <c r="S448" i="71"/>
  <c r="A450" i="71"/>
  <c r="N449" i="71"/>
  <c r="B449" i="71"/>
  <c r="E449" i="71" s="1"/>
  <c r="C449" i="71"/>
  <c r="D449" i="71" s="1"/>
  <c r="K449" i="71"/>
  <c r="R447" i="71"/>
  <c r="AB447" i="71"/>
  <c r="T447" i="71"/>
  <c r="Z447" i="71"/>
  <c r="U446" i="71"/>
  <c r="V446" i="71"/>
  <c r="E195" i="71"/>
  <c r="J195" i="71" s="1"/>
  <c r="I140" i="69"/>
  <c r="H140" i="69"/>
  <c r="K140" i="69"/>
  <c r="R448" i="71" l="1"/>
  <c r="U448" i="71" s="1"/>
  <c r="AB448" i="71"/>
  <c r="Z448" i="71"/>
  <c r="T448" i="71"/>
  <c r="B450" i="71"/>
  <c r="K450" i="71"/>
  <c r="E450" i="71"/>
  <c r="A451" i="71"/>
  <c r="N450" i="71"/>
  <c r="C450" i="71"/>
  <c r="D450" i="71" s="1"/>
  <c r="S449" i="71"/>
  <c r="Y449" i="71"/>
  <c r="Q449" i="71" s="1"/>
  <c r="P449" i="71"/>
  <c r="C195" i="71"/>
  <c r="D195" i="71" s="1"/>
  <c r="K195" i="71" s="1"/>
  <c r="B196" i="71" s="1"/>
  <c r="E196" i="71" s="1"/>
  <c r="J196" i="71" s="1"/>
  <c r="V447" i="71"/>
  <c r="U447" i="71"/>
  <c r="H449" i="71"/>
  <c r="C141" i="69"/>
  <c r="A140" i="69"/>
  <c r="B141" i="69"/>
  <c r="L139" i="69"/>
  <c r="AB449" i="71" l="1"/>
  <c r="R449" i="71"/>
  <c r="U449" i="71" s="1"/>
  <c r="V449" i="71" s="1"/>
  <c r="T449" i="71"/>
  <c r="Z449" i="71"/>
  <c r="K451" i="71"/>
  <c r="B451" i="71"/>
  <c r="E451" i="71" s="1"/>
  <c r="C451" i="71"/>
  <c r="D451" i="71" s="1"/>
  <c r="H451" i="71" s="1"/>
  <c r="A452" i="71"/>
  <c r="N451" i="71"/>
  <c r="C196" i="71"/>
  <c r="D196" i="71" s="1"/>
  <c r="K196" i="71" s="1"/>
  <c r="B197" i="71" s="1"/>
  <c r="I195" i="71"/>
  <c r="H195" i="71"/>
  <c r="H450" i="71"/>
  <c r="Y450" i="71"/>
  <c r="Q450" i="71" s="1"/>
  <c r="S450" i="71"/>
  <c r="P450" i="71"/>
  <c r="V448" i="71"/>
  <c r="E197" i="71"/>
  <c r="J197" i="71" s="1"/>
  <c r="C197" i="71"/>
  <c r="D197" i="71" s="1"/>
  <c r="K197" i="71" s="1"/>
  <c r="B198" i="71" s="1"/>
  <c r="H196" i="71"/>
  <c r="I196" i="71"/>
  <c r="N140" i="69"/>
  <c r="Z140" i="69" s="1"/>
  <c r="M140" i="69"/>
  <c r="E141" i="69"/>
  <c r="J141" i="69" s="1"/>
  <c r="Z450" i="71" l="1"/>
  <c r="AB450" i="71"/>
  <c r="T450" i="71"/>
  <c r="R450" i="71"/>
  <c r="U450" i="71" s="1"/>
  <c r="V450" i="71" s="1"/>
  <c r="B452" i="71"/>
  <c r="E452" i="71" s="1"/>
  <c r="N452" i="71"/>
  <c r="C452" i="71"/>
  <c r="D452" i="71" s="1"/>
  <c r="H452" i="71" s="1"/>
  <c r="K452" i="71"/>
  <c r="A453" i="71"/>
  <c r="Y451" i="71"/>
  <c r="S451" i="71"/>
  <c r="P451" i="71"/>
  <c r="Q451" i="71"/>
  <c r="E198" i="71"/>
  <c r="J198" i="71" s="1"/>
  <c r="I197" i="71"/>
  <c r="H197" i="71"/>
  <c r="M149" i="71"/>
  <c r="L149" i="71" s="1"/>
  <c r="P140" i="69"/>
  <c r="D141" i="69"/>
  <c r="S452" i="71" l="1"/>
  <c r="Y452" i="71"/>
  <c r="Q452" i="71" s="1"/>
  <c r="P452" i="71"/>
  <c r="AB451" i="71"/>
  <c r="T451" i="71"/>
  <c r="Z451" i="71"/>
  <c r="R451" i="71"/>
  <c r="N453" i="71"/>
  <c r="B453" i="71"/>
  <c r="E453" i="71" s="1"/>
  <c r="A454" i="71"/>
  <c r="C453" i="71"/>
  <c r="D453" i="71" s="1"/>
  <c r="H453" i="71" s="1"/>
  <c r="K453" i="71"/>
  <c r="C198" i="71"/>
  <c r="D198" i="71" s="1"/>
  <c r="I141" i="69"/>
  <c r="H141" i="69"/>
  <c r="K141" i="69"/>
  <c r="R452" i="71" l="1"/>
  <c r="AB452" i="71"/>
  <c r="T452" i="71"/>
  <c r="Z452" i="71"/>
  <c r="U451" i="71"/>
  <c r="V451" i="71"/>
  <c r="A455" i="71"/>
  <c r="K454" i="71"/>
  <c r="N454" i="71"/>
  <c r="B454" i="71"/>
  <c r="E454" i="71" s="1"/>
  <c r="C454" i="71"/>
  <c r="D454" i="71" s="1"/>
  <c r="H454" i="71" s="1"/>
  <c r="S453" i="71"/>
  <c r="P453" i="71"/>
  <c r="Y453" i="71"/>
  <c r="Q453" i="71" s="1"/>
  <c r="H198" i="71"/>
  <c r="I198" i="71"/>
  <c r="K198" i="71"/>
  <c r="B199" i="71" s="1"/>
  <c r="C142" i="69"/>
  <c r="A141" i="69"/>
  <c r="B142" i="69"/>
  <c r="L140" i="69"/>
  <c r="T453" i="71" l="1"/>
  <c r="R453" i="71"/>
  <c r="AB453" i="71"/>
  <c r="Z453" i="71"/>
  <c r="K455" i="71"/>
  <c r="B455" i="71"/>
  <c r="E455" i="71" s="1"/>
  <c r="C455" i="71"/>
  <c r="D455" i="71" s="1"/>
  <c r="H455" i="71" s="1"/>
  <c r="N455" i="71"/>
  <c r="A456" i="71"/>
  <c r="Y454" i="71"/>
  <c r="Q454" i="71" s="1"/>
  <c r="S454" i="71"/>
  <c r="P454" i="71"/>
  <c r="U452" i="71"/>
  <c r="V452" i="71"/>
  <c r="E199" i="71"/>
  <c r="J199" i="71" s="1"/>
  <c r="N141" i="69"/>
  <c r="Z141" i="69" s="1"/>
  <c r="M141" i="69"/>
  <c r="E142" i="69"/>
  <c r="J142" i="69" s="1"/>
  <c r="Y455" i="71" l="1"/>
  <c r="Q455" i="71" s="1"/>
  <c r="S455" i="71"/>
  <c r="P455" i="71"/>
  <c r="C199" i="71"/>
  <c r="D199" i="71" s="1"/>
  <c r="K199" i="71" s="1"/>
  <c r="B200" i="71" s="1"/>
  <c r="E200" i="71" s="1"/>
  <c r="J200" i="71" s="1"/>
  <c r="R454" i="71"/>
  <c r="AB454" i="71"/>
  <c r="T454" i="71"/>
  <c r="Z454" i="71"/>
  <c r="V453" i="71"/>
  <c r="U453" i="71"/>
  <c r="N456" i="71"/>
  <c r="B456" i="71"/>
  <c r="A457" i="71"/>
  <c r="E456" i="71"/>
  <c r="C456" i="71"/>
  <c r="D456" i="71" s="1"/>
  <c r="H456" i="71" s="1"/>
  <c r="K456" i="71"/>
  <c r="I199" i="71"/>
  <c r="H199" i="71"/>
  <c r="M150" i="71"/>
  <c r="L150" i="71" s="1"/>
  <c r="P141" i="69"/>
  <c r="D142" i="69"/>
  <c r="K142" i="69" s="1"/>
  <c r="C143" i="69" s="1"/>
  <c r="C457" i="71" l="1"/>
  <c r="D457" i="71" s="1"/>
  <c r="K457" i="71"/>
  <c r="B457" i="71"/>
  <c r="E457" i="71" s="1"/>
  <c r="A458" i="71"/>
  <c r="N457" i="71"/>
  <c r="U454" i="71"/>
  <c r="V454" i="71" s="1"/>
  <c r="P456" i="71"/>
  <c r="Y456" i="71"/>
  <c r="Q456" i="71"/>
  <c r="S456" i="71"/>
  <c r="C200" i="71"/>
  <c r="D200" i="71" s="1"/>
  <c r="K200" i="71" s="1"/>
  <c r="B201" i="71" s="1"/>
  <c r="AB455" i="71"/>
  <c r="T455" i="71"/>
  <c r="Z455" i="71"/>
  <c r="R455" i="71"/>
  <c r="U455" i="71" s="1"/>
  <c r="V455" i="71" s="1"/>
  <c r="I200" i="71"/>
  <c r="H200" i="71"/>
  <c r="H142" i="69"/>
  <c r="I142" i="69"/>
  <c r="B143" i="69"/>
  <c r="E143" i="69" s="1"/>
  <c r="J143" i="69" s="1"/>
  <c r="A142" i="69"/>
  <c r="Y457" i="71" l="1"/>
  <c r="Q457" i="71"/>
  <c r="P457" i="71"/>
  <c r="S457" i="71"/>
  <c r="N458" i="71"/>
  <c r="C458" i="71"/>
  <c r="D458" i="71" s="1"/>
  <c r="H458" i="71" s="1"/>
  <c r="K458" i="71"/>
  <c r="A459" i="71"/>
  <c r="B458" i="71"/>
  <c r="E458" i="71"/>
  <c r="AB456" i="71"/>
  <c r="R456" i="71"/>
  <c r="T456" i="71"/>
  <c r="Z456" i="71"/>
  <c r="H457" i="71"/>
  <c r="E201" i="71"/>
  <c r="J201" i="71" s="1"/>
  <c r="N142" i="69"/>
  <c r="Z142" i="69" s="1"/>
  <c r="M142" i="69"/>
  <c r="L141" i="69"/>
  <c r="D143" i="69"/>
  <c r="S458" i="71" l="1"/>
  <c r="Y458" i="71"/>
  <c r="Q458" i="71"/>
  <c r="P458" i="71"/>
  <c r="V456" i="71"/>
  <c r="U456" i="71"/>
  <c r="R457" i="71"/>
  <c r="Z457" i="71"/>
  <c r="T457" i="71"/>
  <c r="AB457" i="71"/>
  <c r="N459" i="71"/>
  <c r="B459" i="71"/>
  <c r="E459" i="71" s="1"/>
  <c r="A460" i="71"/>
  <c r="C459" i="71"/>
  <c r="D459" i="71" s="1"/>
  <c r="H459" i="71" s="1"/>
  <c r="K459" i="71"/>
  <c r="C201" i="71"/>
  <c r="D201" i="71" s="1"/>
  <c r="M151" i="71"/>
  <c r="L151" i="71" s="1"/>
  <c r="P142" i="69"/>
  <c r="I143" i="69"/>
  <c r="H143" i="69"/>
  <c r="K143" i="69"/>
  <c r="U457" i="71" l="1"/>
  <c r="V457" i="71"/>
  <c r="Y459" i="71"/>
  <c r="Q459" i="71" s="1"/>
  <c r="S459" i="71"/>
  <c r="P459" i="71"/>
  <c r="Z458" i="71"/>
  <c r="T458" i="71"/>
  <c r="AB458" i="71"/>
  <c r="R458" i="71"/>
  <c r="U458" i="71" s="1"/>
  <c r="A461" i="71"/>
  <c r="K460" i="71"/>
  <c r="N460" i="71"/>
  <c r="B460" i="71"/>
  <c r="E460" i="71" s="1"/>
  <c r="C460" i="71"/>
  <c r="D460" i="71" s="1"/>
  <c r="I201" i="71"/>
  <c r="H201" i="71"/>
  <c r="K201" i="71"/>
  <c r="B202" i="71" s="1"/>
  <c r="B144" i="69"/>
  <c r="A143" i="69"/>
  <c r="C144" i="69"/>
  <c r="L142" i="69"/>
  <c r="H460" i="71" l="1"/>
  <c r="P460" i="71"/>
  <c r="Y460" i="71"/>
  <c r="Q460" i="71" s="1"/>
  <c r="S460" i="71"/>
  <c r="T459" i="71"/>
  <c r="AB459" i="71"/>
  <c r="Z459" i="71"/>
  <c r="R459" i="71"/>
  <c r="N461" i="71"/>
  <c r="B461" i="71"/>
  <c r="C461" i="71"/>
  <c r="D461" i="71" s="1"/>
  <c r="H461" i="71" s="1"/>
  <c r="K461" i="71"/>
  <c r="E461" i="71"/>
  <c r="A462" i="71"/>
  <c r="V458" i="71"/>
  <c r="E202" i="71"/>
  <c r="J202" i="71" s="1"/>
  <c r="C202" i="71"/>
  <c r="D202" i="71" s="1"/>
  <c r="K202" i="71" s="1"/>
  <c r="B203" i="71" s="1"/>
  <c r="N143" i="69"/>
  <c r="Z143" i="69" s="1"/>
  <c r="M143" i="69"/>
  <c r="E144" i="69"/>
  <c r="J144" i="69" s="1"/>
  <c r="U459" i="71" l="1"/>
  <c r="V459" i="71" s="1"/>
  <c r="N462" i="71"/>
  <c r="B462" i="71"/>
  <c r="E462" i="71" s="1"/>
  <c r="A463" i="71"/>
  <c r="K462" i="71"/>
  <c r="C462" i="71"/>
  <c r="D462" i="71" s="1"/>
  <c r="R460" i="71"/>
  <c r="Z460" i="71"/>
  <c r="AB460" i="71"/>
  <c r="T460" i="71"/>
  <c r="S461" i="71"/>
  <c r="Y461" i="71"/>
  <c r="P461" i="71"/>
  <c r="Q461" i="71"/>
  <c r="E203" i="71"/>
  <c r="J203" i="71" s="1"/>
  <c r="H202" i="71"/>
  <c r="I202" i="71"/>
  <c r="M152" i="71"/>
  <c r="L152" i="71" s="1"/>
  <c r="P143" i="69"/>
  <c r="D144" i="69"/>
  <c r="H462" i="71" l="1"/>
  <c r="Z461" i="71"/>
  <c r="T461" i="71"/>
  <c r="AB461" i="71"/>
  <c r="R461" i="71"/>
  <c r="B463" i="71"/>
  <c r="E463" i="71" s="1"/>
  <c r="N463" i="71"/>
  <c r="C463" i="71"/>
  <c r="D463" i="71" s="1"/>
  <c r="H463" i="71" s="1"/>
  <c r="A464" i="71"/>
  <c r="K463" i="71"/>
  <c r="S462" i="71"/>
  <c r="P462" i="71"/>
  <c r="Y462" i="71"/>
  <c r="Q462" i="71"/>
  <c r="U460" i="71"/>
  <c r="V460" i="71" s="1"/>
  <c r="C203" i="71"/>
  <c r="D203" i="71" s="1"/>
  <c r="I144" i="69"/>
  <c r="H144" i="69"/>
  <c r="K144" i="69"/>
  <c r="S463" i="71" l="1"/>
  <c r="Y463" i="71"/>
  <c r="Q463" i="71" s="1"/>
  <c r="P463" i="71"/>
  <c r="U461" i="71"/>
  <c r="V461" i="71"/>
  <c r="AB462" i="71"/>
  <c r="T462" i="71"/>
  <c r="R462" i="71"/>
  <c r="U462" i="71" s="1"/>
  <c r="V462" i="71" s="1"/>
  <c r="Z462" i="71"/>
  <c r="N464" i="71"/>
  <c r="B464" i="71"/>
  <c r="E464" i="71" s="1"/>
  <c r="C464" i="71"/>
  <c r="D464" i="71" s="1"/>
  <c r="K464" i="71"/>
  <c r="A465" i="71"/>
  <c r="H203" i="71"/>
  <c r="I203" i="71"/>
  <c r="K203" i="71"/>
  <c r="B204" i="71" s="1"/>
  <c r="M153" i="71"/>
  <c r="L153" i="71" s="1"/>
  <c r="C145" i="69"/>
  <c r="A144" i="69"/>
  <c r="B145" i="69"/>
  <c r="L143" i="69"/>
  <c r="H464" i="71" l="1"/>
  <c r="C465" i="71"/>
  <c r="D465" i="71" s="1"/>
  <c r="K465" i="71"/>
  <c r="B465" i="71"/>
  <c r="E465" i="71"/>
  <c r="A466" i="71"/>
  <c r="N465" i="71"/>
  <c r="Y464" i="71"/>
  <c r="Q464" i="71" s="1"/>
  <c r="S464" i="71"/>
  <c r="P464" i="71"/>
  <c r="Z463" i="71"/>
  <c r="T463" i="71"/>
  <c r="R463" i="71"/>
  <c r="AB463" i="71"/>
  <c r="E204" i="71"/>
  <c r="J204" i="71" s="1"/>
  <c r="C204" i="71"/>
  <c r="D204" i="71" s="1"/>
  <c r="K204" i="71" s="1"/>
  <c r="B205" i="71" s="1"/>
  <c r="N144" i="69"/>
  <c r="Z144" i="69" s="1"/>
  <c r="M144" i="69"/>
  <c r="E145" i="69"/>
  <c r="J145" i="69" s="1"/>
  <c r="S465" i="71" l="1"/>
  <c r="P465" i="71"/>
  <c r="Y465" i="71"/>
  <c r="Q465" i="71" s="1"/>
  <c r="B466" i="71"/>
  <c r="E466" i="71" s="1"/>
  <c r="N466" i="71"/>
  <c r="C466" i="71"/>
  <c r="D466" i="71" s="1"/>
  <c r="A467" i="71"/>
  <c r="K466" i="71"/>
  <c r="U463" i="71"/>
  <c r="V463" i="71"/>
  <c r="Z464" i="71"/>
  <c r="R464" i="71"/>
  <c r="U464" i="71" s="1"/>
  <c r="T464" i="71"/>
  <c r="AB464" i="71"/>
  <c r="H465" i="71"/>
  <c r="E205" i="71"/>
  <c r="J205" i="71" s="1"/>
  <c r="H204" i="71"/>
  <c r="I204" i="71"/>
  <c r="P144" i="69"/>
  <c r="D145" i="69"/>
  <c r="I145" i="69" s="1"/>
  <c r="T465" i="71" l="1"/>
  <c r="Z465" i="71"/>
  <c r="AB465" i="71"/>
  <c r="R465" i="71"/>
  <c r="U465" i="71" s="1"/>
  <c r="Y466" i="71"/>
  <c r="Q466" i="71" s="1"/>
  <c r="S466" i="71"/>
  <c r="P466" i="71"/>
  <c r="K467" i="71"/>
  <c r="N467" i="71"/>
  <c r="C467" i="71"/>
  <c r="D467" i="71" s="1"/>
  <c r="A468" i="71"/>
  <c r="B467" i="71"/>
  <c r="E467" i="71"/>
  <c r="V464" i="71"/>
  <c r="C205" i="71"/>
  <c r="D205" i="71" s="1"/>
  <c r="K205" i="71" s="1"/>
  <c r="B206" i="71" s="1"/>
  <c r="H466" i="71"/>
  <c r="K145" i="69"/>
  <c r="A145" i="69" s="1"/>
  <c r="H145" i="69"/>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146" i="69"/>
  <c r="B146" i="69"/>
  <c r="E146" i="69" s="1"/>
  <c r="J146" i="69" s="1"/>
  <c r="N145" i="69"/>
  <c r="Z145" i="69" s="1"/>
  <c r="M145" i="69"/>
  <c r="L144" i="69"/>
  <c r="C206" i="71" l="1"/>
  <c r="D206" i="71" s="1"/>
  <c r="P468" i="71"/>
  <c r="S468" i="71"/>
  <c r="Y468" i="71"/>
  <c r="Q468" i="71" s="1"/>
  <c r="H468" i="71"/>
  <c r="AB467" i="71"/>
  <c r="R467" i="71"/>
  <c r="Z467" i="71"/>
  <c r="T467" i="71"/>
  <c r="E469" i="71"/>
  <c r="B469" i="71"/>
  <c r="C469" i="71"/>
  <c r="D469" i="71" s="1"/>
  <c r="H469" i="71" s="1"/>
  <c r="N469" i="71"/>
  <c r="K469" i="71"/>
  <c r="A470" i="71"/>
  <c r="V466" i="71"/>
  <c r="P145" i="69"/>
  <c r="D146" i="69"/>
  <c r="K146" i="69" s="1"/>
  <c r="A146" i="69" s="1"/>
  <c r="U467" i="71" l="1"/>
  <c r="V467" i="71"/>
  <c r="S469" i="71"/>
  <c r="P469" i="71"/>
  <c r="Y469" i="71"/>
  <c r="Q469" i="71" s="1"/>
  <c r="N470" i="71"/>
  <c r="A471" i="71"/>
  <c r="K470" i="71"/>
  <c r="B470" i="71"/>
  <c r="C470" i="71"/>
  <c r="D470" i="71" s="1"/>
  <c r="E470" i="71"/>
  <c r="R468" i="71"/>
  <c r="AB468" i="71"/>
  <c r="Z468" i="71"/>
  <c r="T468" i="71"/>
  <c r="K206" i="71"/>
  <c r="B207" i="71" s="1"/>
  <c r="H206" i="71"/>
  <c r="I206" i="71"/>
  <c r="N146" i="69"/>
  <c r="Z146" i="69" s="1"/>
  <c r="C147" i="69"/>
  <c r="H146" i="69"/>
  <c r="I146" i="69"/>
  <c r="B147" i="69"/>
  <c r="E147" i="69" s="1"/>
  <c r="J147" i="69" s="1"/>
  <c r="M146" i="69"/>
  <c r="B471" i="71" l="1"/>
  <c r="E471" i="71" s="1"/>
  <c r="C471" i="71"/>
  <c r="D471" i="71" s="1"/>
  <c r="H471" i="71" s="1"/>
  <c r="K471" i="71"/>
  <c r="N471" i="71"/>
  <c r="A472" i="71"/>
  <c r="E207" i="71"/>
  <c r="J207" i="71" s="1"/>
  <c r="C207" i="71"/>
  <c r="D207" i="71" s="1"/>
  <c r="Y470" i="71"/>
  <c r="Q470" i="71" s="1"/>
  <c r="S470" i="71"/>
  <c r="P470" i="71"/>
  <c r="T469" i="71"/>
  <c r="R469" i="71"/>
  <c r="Z469" i="71"/>
  <c r="AB469" i="71"/>
  <c r="V468" i="71"/>
  <c r="U468" i="71"/>
  <c r="H470" i="71"/>
  <c r="P146" i="69"/>
  <c r="D147" i="69"/>
  <c r="H147" i="69" s="1"/>
  <c r="R470" i="71" l="1"/>
  <c r="U470" i="71" s="1"/>
  <c r="AB470" i="71"/>
  <c r="Z470" i="71"/>
  <c r="T470" i="71"/>
  <c r="K207" i="71"/>
  <c r="B208" i="71" s="1"/>
  <c r="H207" i="71"/>
  <c r="I207" i="71"/>
  <c r="K472" i="71"/>
  <c r="N472" i="71"/>
  <c r="A473" i="71"/>
  <c r="B472" i="71"/>
  <c r="E472" i="71" s="1"/>
  <c r="C472" i="71"/>
  <c r="D472" i="71" s="1"/>
  <c r="S471" i="71"/>
  <c r="Y471" i="71"/>
  <c r="Q471" i="71" s="1"/>
  <c r="P471" i="71"/>
  <c r="U469" i="71"/>
  <c r="V469" i="71" s="1"/>
  <c r="M155" i="71"/>
  <c r="L155" i="71" s="1"/>
  <c r="K147" i="69"/>
  <c r="C148" i="69" s="1"/>
  <c r="I147" i="69"/>
  <c r="L145" i="69"/>
  <c r="R471" i="71" l="1"/>
  <c r="U471" i="71" s="1"/>
  <c r="AB471" i="71"/>
  <c r="T471" i="71"/>
  <c r="Z471" i="71"/>
  <c r="E208" i="71"/>
  <c r="J208" i="71" s="1"/>
  <c r="C208" i="71"/>
  <c r="D208" i="71" s="1"/>
  <c r="H472" i="71"/>
  <c r="N473" i="71"/>
  <c r="C473" i="71"/>
  <c r="D473" i="71" s="1"/>
  <c r="K473" i="71"/>
  <c r="A474" i="71"/>
  <c r="B473" i="71"/>
  <c r="E473" i="71" s="1"/>
  <c r="Y472" i="71"/>
  <c r="Q472" i="71" s="1"/>
  <c r="P472" i="71"/>
  <c r="S472" i="71"/>
  <c r="V470" i="71"/>
  <c r="A147" i="69"/>
  <c r="B148" i="69"/>
  <c r="E148" i="69" s="1"/>
  <c r="J148" i="69" s="1"/>
  <c r="T472" i="71" l="1"/>
  <c r="R472" i="71"/>
  <c r="AB472" i="71"/>
  <c r="Z472" i="71"/>
  <c r="H208" i="71"/>
  <c r="I208" i="71"/>
  <c r="K208" i="71"/>
  <c r="B209" i="71" s="1"/>
  <c r="E209" i="71" s="1"/>
  <c r="J209" i="71" s="1"/>
  <c r="P473" i="71"/>
  <c r="S473" i="71"/>
  <c r="Y473" i="71"/>
  <c r="Q473" i="71" s="1"/>
  <c r="B474" i="71"/>
  <c r="E474" i="71" s="1"/>
  <c r="N474" i="71"/>
  <c r="C474" i="71"/>
  <c r="D474" i="71" s="1"/>
  <c r="K474" i="71"/>
  <c r="A475" i="71"/>
  <c r="H473" i="71"/>
  <c r="V471" i="71"/>
  <c r="N147" i="69"/>
  <c r="Z147" i="69" s="1"/>
  <c r="M147" i="69"/>
  <c r="D148" i="69"/>
  <c r="I148" i="69" s="1"/>
  <c r="H474" i="71" l="1"/>
  <c r="S474" i="71"/>
  <c r="Y474" i="71"/>
  <c r="Q474" i="71"/>
  <c r="P474" i="71"/>
  <c r="C475" i="71"/>
  <c r="D475" i="71" s="1"/>
  <c r="K475" i="71"/>
  <c r="N475" i="71"/>
  <c r="A476" i="71"/>
  <c r="B475" i="71"/>
  <c r="E475" i="71" s="1"/>
  <c r="T473" i="71"/>
  <c r="R473" i="71"/>
  <c r="Z473" i="71"/>
  <c r="AB473" i="71"/>
  <c r="U472" i="71"/>
  <c r="V472" i="71" s="1"/>
  <c r="C209" i="71"/>
  <c r="D209" i="71" s="1"/>
  <c r="I209" i="71" s="1"/>
  <c r="P147" i="69"/>
  <c r="K148" i="69"/>
  <c r="C149" i="69" s="1"/>
  <c r="H148" i="69"/>
  <c r="L146" i="69"/>
  <c r="H475" i="71" l="1"/>
  <c r="U473" i="71"/>
  <c r="V473" i="71" s="1"/>
  <c r="P475" i="71"/>
  <c r="Y475" i="71"/>
  <c r="Q475" i="71" s="1"/>
  <c r="S475" i="71"/>
  <c r="R474" i="71"/>
  <c r="U474" i="71" s="1"/>
  <c r="V474" i="71" s="1"/>
  <c r="T474" i="71"/>
  <c r="AB474" i="71"/>
  <c r="Z474" i="71"/>
  <c r="K209" i="71"/>
  <c r="B210" i="71" s="1"/>
  <c r="N476" i="71"/>
  <c r="B476" i="71"/>
  <c r="E476" i="71" s="1"/>
  <c r="K476" i="71"/>
  <c r="A477" i="71"/>
  <c r="C476" i="71"/>
  <c r="D476" i="71" s="1"/>
  <c r="H476" i="71" s="1"/>
  <c r="H209" i="71"/>
  <c r="E210" i="71"/>
  <c r="J210" i="71" s="1"/>
  <c r="M156" i="71"/>
  <c r="L156" i="71" s="1"/>
  <c r="B149" i="69"/>
  <c r="E149" i="69" s="1"/>
  <c r="J149" i="69" s="1"/>
  <c r="A148" i="69"/>
  <c r="K477" i="71" l="1"/>
  <c r="N477" i="71"/>
  <c r="B477" i="71"/>
  <c r="A478" i="71"/>
  <c r="E477" i="71"/>
  <c r="C477" i="71"/>
  <c r="D477" i="71" s="1"/>
  <c r="H477" i="71" s="1"/>
  <c r="R475" i="71"/>
  <c r="T475" i="71"/>
  <c r="Z475" i="71"/>
  <c r="AB475" i="71"/>
  <c r="S476" i="71"/>
  <c r="Y476" i="71"/>
  <c r="Q476" i="71" s="1"/>
  <c r="P476" i="71"/>
  <c r="C210" i="71"/>
  <c r="D210" i="71" s="1"/>
  <c r="M157" i="71"/>
  <c r="L157" i="71" s="1"/>
  <c r="N148" i="69"/>
  <c r="Z148" i="69" s="1"/>
  <c r="M148" i="69"/>
  <c r="D149" i="69"/>
  <c r="I149" i="69" s="1"/>
  <c r="U475" i="71" l="1"/>
  <c r="V475" i="71"/>
  <c r="T476" i="71"/>
  <c r="AB476" i="71"/>
  <c r="Z476" i="71"/>
  <c r="R476" i="71"/>
  <c r="N478" i="71"/>
  <c r="A479" i="71"/>
  <c r="B478" i="71"/>
  <c r="E478" i="71"/>
  <c r="K478" i="71"/>
  <c r="C478" i="71"/>
  <c r="D478" i="71" s="1"/>
  <c r="H478" i="71" s="1"/>
  <c r="Y477" i="71"/>
  <c r="P477" i="71"/>
  <c r="Q477" i="71"/>
  <c r="S477" i="71"/>
  <c r="H210" i="71"/>
  <c r="I210" i="71"/>
  <c r="K210" i="71"/>
  <c r="B211" i="71" s="1"/>
  <c r="P148" i="69"/>
  <c r="K149" i="69"/>
  <c r="A149" i="69" s="1"/>
  <c r="H149" i="69"/>
  <c r="R477" i="71" l="1"/>
  <c r="U477" i="71" s="1"/>
  <c r="T477" i="71"/>
  <c r="AB477" i="71"/>
  <c r="Z477" i="71"/>
  <c r="S478" i="71"/>
  <c r="P478" i="71"/>
  <c r="Y478" i="71"/>
  <c r="Q478" i="71" s="1"/>
  <c r="U476" i="71"/>
  <c r="V476" i="71"/>
  <c r="B479" i="71"/>
  <c r="E479" i="71" s="1"/>
  <c r="C479" i="71"/>
  <c r="D479" i="71" s="1"/>
  <c r="H479" i="71" s="1"/>
  <c r="A480" i="71"/>
  <c r="K479" i="71"/>
  <c r="N479" i="71"/>
  <c r="E211" i="71"/>
  <c r="J211" i="71" s="1"/>
  <c r="C150" i="69"/>
  <c r="B150" i="69"/>
  <c r="E150" i="69" s="1"/>
  <c r="J150" i="69" s="1"/>
  <c r="N149" i="69"/>
  <c r="Z149" i="69" s="1"/>
  <c r="M149" i="69"/>
  <c r="L147" i="69"/>
  <c r="Z478" i="71" l="1"/>
  <c r="R478" i="71"/>
  <c r="AB478" i="71"/>
  <c r="T478" i="71"/>
  <c r="C480" i="71"/>
  <c r="D480" i="71" s="1"/>
  <c r="B480" i="71"/>
  <c r="E480" i="71" s="1"/>
  <c r="K480" i="71"/>
  <c r="A481" i="71"/>
  <c r="N480" i="71"/>
  <c r="P479" i="71"/>
  <c r="S479" i="71"/>
  <c r="Y479" i="71"/>
  <c r="Q479" i="71" s="1"/>
  <c r="C211" i="71"/>
  <c r="D211" i="71" s="1"/>
  <c r="I211" i="71" s="1"/>
  <c r="V477" i="71"/>
  <c r="P149" i="69"/>
  <c r="D150" i="69"/>
  <c r="H480" i="71" l="1"/>
  <c r="R479" i="71"/>
  <c r="U479" i="71" s="1"/>
  <c r="V479" i="71" s="1"/>
  <c r="T479" i="71"/>
  <c r="Z479" i="71"/>
  <c r="AB479" i="71"/>
  <c r="H211" i="71"/>
  <c r="S480" i="71"/>
  <c r="P480" i="71"/>
  <c r="Y480" i="71"/>
  <c r="Q480" i="71" s="1"/>
  <c r="V478" i="71"/>
  <c r="U478" i="71"/>
  <c r="K211" i="71"/>
  <c r="B212" i="71" s="1"/>
  <c r="E212" i="71" s="1"/>
  <c r="J212" i="71" s="1"/>
  <c r="A482" i="71"/>
  <c r="N481" i="71"/>
  <c r="C481" i="71"/>
  <c r="D481" i="71" s="1"/>
  <c r="H481" i="71" s="1"/>
  <c r="K481" i="71"/>
  <c r="B481" i="71"/>
  <c r="E481" i="71" s="1"/>
  <c r="M158" i="71"/>
  <c r="L158" i="71" s="1"/>
  <c r="I150" i="69"/>
  <c r="H150" i="69"/>
  <c r="K150" i="69"/>
  <c r="L148" i="69"/>
  <c r="S481" i="71" l="1"/>
  <c r="Y481" i="71"/>
  <c r="Q481" i="71" s="1"/>
  <c r="P481" i="71"/>
  <c r="C482" i="71"/>
  <c r="D482" i="71" s="1"/>
  <c r="H482" i="71" s="1"/>
  <c r="N482" i="71"/>
  <c r="K482" i="71"/>
  <c r="A483" i="71"/>
  <c r="B482" i="71"/>
  <c r="E482" i="71" s="1"/>
  <c r="Z480" i="71"/>
  <c r="R480" i="71"/>
  <c r="U480" i="71" s="1"/>
  <c r="V480" i="71" s="1"/>
  <c r="T480" i="71"/>
  <c r="AB480" i="71"/>
  <c r="C212" i="71"/>
  <c r="D212" i="71" s="1"/>
  <c r="C151" i="69"/>
  <c r="A150" i="69"/>
  <c r="B151" i="69"/>
  <c r="R481" i="71" l="1"/>
  <c r="AB481" i="71"/>
  <c r="T481" i="71"/>
  <c r="Z481" i="71"/>
  <c r="B483" i="71"/>
  <c r="E483" i="71" s="1"/>
  <c r="C483" i="71"/>
  <c r="D483" i="71" s="1"/>
  <c r="H483" i="71" s="1"/>
  <c r="A484" i="71"/>
  <c r="N483" i="71"/>
  <c r="K483" i="71"/>
  <c r="P482" i="71"/>
  <c r="Y482" i="71"/>
  <c r="Q482" i="71"/>
  <c r="S482" i="71"/>
  <c r="H212" i="71"/>
  <c r="I212" i="71"/>
  <c r="K212" i="71"/>
  <c r="B213" i="71" s="1"/>
  <c r="N150" i="69"/>
  <c r="Z150" i="69" s="1"/>
  <c r="M150" i="69"/>
  <c r="E151" i="69"/>
  <c r="J151" i="69" s="1"/>
  <c r="B484" i="71" l="1"/>
  <c r="E484" i="71"/>
  <c r="N484" i="71"/>
  <c r="K484" i="71"/>
  <c r="C484" i="71"/>
  <c r="D484" i="71" s="1"/>
  <c r="H484" i="71" s="1"/>
  <c r="A485" i="71"/>
  <c r="Y483" i="71"/>
  <c r="Q483" i="71" s="1"/>
  <c r="S483" i="71"/>
  <c r="P483" i="71"/>
  <c r="R482" i="71"/>
  <c r="Z482" i="71"/>
  <c r="T482" i="71"/>
  <c r="AB482" i="71"/>
  <c r="U481" i="71"/>
  <c r="V481" i="71"/>
  <c r="E213" i="71"/>
  <c r="J213" i="71" s="1"/>
  <c r="P150" i="69"/>
  <c r="D151" i="69"/>
  <c r="AB483" i="71" l="1"/>
  <c r="Z483" i="71"/>
  <c r="T483" i="71"/>
  <c r="R483" i="71"/>
  <c r="C485" i="71"/>
  <c r="D485" i="71" s="1"/>
  <c r="N485" i="71"/>
  <c r="K485" i="71"/>
  <c r="E485" i="71"/>
  <c r="A486" i="71"/>
  <c r="B485" i="71"/>
  <c r="P484" i="71"/>
  <c r="S484" i="71"/>
  <c r="Y484" i="71"/>
  <c r="Q484" i="71"/>
  <c r="U482" i="71"/>
  <c r="V482" i="71"/>
  <c r="C213" i="71"/>
  <c r="D213" i="71" s="1"/>
  <c r="K213" i="71" s="1"/>
  <c r="B214" i="71" s="1"/>
  <c r="I213" i="71"/>
  <c r="H213" i="71"/>
  <c r="M159" i="71"/>
  <c r="L159" i="71" s="1"/>
  <c r="I151" i="69"/>
  <c r="H151" i="69"/>
  <c r="K151" i="69"/>
  <c r="L149" i="69"/>
  <c r="P485" i="71" l="1"/>
  <c r="S485" i="71"/>
  <c r="Y485" i="71"/>
  <c r="Q485" i="71" s="1"/>
  <c r="H485" i="71"/>
  <c r="U483" i="71"/>
  <c r="V483" i="71"/>
  <c r="E214" i="71"/>
  <c r="J214" i="71" s="1"/>
  <c r="Z484" i="71"/>
  <c r="T484" i="71"/>
  <c r="AB484" i="71"/>
  <c r="R484" i="71"/>
  <c r="U484" i="71" s="1"/>
  <c r="V484" i="71" s="1"/>
  <c r="C486" i="71"/>
  <c r="D486" i="71" s="1"/>
  <c r="B486" i="71"/>
  <c r="E486" i="71" s="1"/>
  <c r="K486" i="71"/>
  <c r="N486" i="71"/>
  <c r="A487" i="71"/>
  <c r="B152" i="69"/>
  <c r="C152" i="69"/>
  <c r="A151" i="69"/>
  <c r="S486" i="71" l="1"/>
  <c r="P486" i="71"/>
  <c r="Y486" i="71"/>
  <c r="Q486" i="71" s="1"/>
  <c r="H486" i="71"/>
  <c r="T485" i="71"/>
  <c r="R485" i="71"/>
  <c r="Z485" i="71"/>
  <c r="AB485" i="71"/>
  <c r="C487" i="71"/>
  <c r="D487" i="71" s="1"/>
  <c r="B487" i="71"/>
  <c r="N487" i="71"/>
  <c r="K487" i="71"/>
  <c r="A488" i="71"/>
  <c r="E487" i="71"/>
  <c r="C214" i="71"/>
  <c r="D214" i="71" s="1"/>
  <c r="N151" i="69"/>
  <c r="Z151" i="69" s="1"/>
  <c r="M151" i="69"/>
  <c r="E152" i="69"/>
  <c r="J152" i="69" s="1"/>
  <c r="R486" i="71" l="1"/>
  <c r="U486" i="71" s="1"/>
  <c r="Z486" i="71"/>
  <c r="AB486" i="71"/>
  <c r="T486" i="71"/>
  <c r="Y487" i="71"/>
  <c r="Q487" i="71"/>
  <c r="P487" i="71"/>
  <c r="S487" i="71"/>
  <c r="K214" i="71"/>
  <c r="B215" i="71" s="1"/>
  <c r="H214" i="71"/>
  <c r="I214" i="71"/>
  <c r="U485" i="71"/>
  <c r="V485" i="71"/>
  <c r="K488" i="71"/>
  <c r="C488" i="71"/>
  <c r="D488" i="71" s="1"/>
  <c r="A489" i="71"/>
  <c r="N488" i="71"/>
  <c r="B488" i="71"/>
  <c r="E488" i="71" s="1"/>
  <c r="H487" i="71"/>
  <c r="P151" i="69"/>
  <c r="D152" i="69"/>
  <c r="H152" i="69" s="1"/>
  <c r="L150" i="69"/>
  <c r="H488" i="71" l="1"/>
  <c r="AB487" i="71"/>
  <c r="T487" i="71"/>
  <c r="Z487" i="71"/>
  <c r="R487" i="71"/>
  <c r="S488" i="71"/>
  <c r="Y488" i="71"/>
  <c r="Q488" i="71"/>
  <c r="P488" i="71"/>
  <c r="C489" i="71"/>
  <c r="D489" i="71" s="1"/>
  <c r="K489" i="71"/>
  <c r="A490" i="71"/>
  <c r="B489" i="71"/>
  <c r="E489" i="71" s="1"/>
  <c r="N489" i="71"/>
  <c r="E215" i="71"/>
  <c r="J215" i="71" s="1"/>
  <c r="C215" i="71"/>
  <c r="D215" i="71" s="1"/>
  <c r="V486" i="71"/>
  <c r="M160" i="71"/>
  <c r="L160" i="71" s="1"/>
  <c r="I152" i="69"/>
  <c r="K152" i="69"/>
  <c r="C153" i="69" s="1"/>
  <c r="K215" i="71" l="1"/>
  <c r="B216" i="71" s="1"/>
  <c r="I215" i="71"/>
  <c r="H215" i="71"/>
  <c r="U487" i="71"/>
  <c r="V487" i="71"/>
  <c r="E490" i="71"/>
  <c r="N490" i="71"/>
  <c r="C490" i="71"/>
  <c r="D490" i="71" s="1"/>
  <c r="H490" i="71" s="1"/>
  <c r="B490" i="71"/>
  <c r="K490" i="71"/>
  <c r="A491" i="71"/>
  <c r="P489" i="71"/>
  <c r="Y489" i="71"/>
  <c r="S489" i="71"/>
  <c r="Q489" i="71"/>
  <c r="H489" i="71"/>
  <c r="AB488" i="71"/>
  <c r="R488" i="71"/>
  <c r="Z488" i="71"/>
  <c r="T488" i="71"/>
  <c r="B153" i="69"/>
  <c r="E153" i="69" s="1"/>
  <c r="J153" i="69" s="1"/>
  <c r="A152" i="69"/>
  <c r="Y490" i="71" l="1"/>
  <c r="P490" i="71"/>
  <c r="Q490" i="71"/>
  <c r="S490" i="71"/>
  <c r="B491" i="71"/>
  <c r="E491" i="71" s="1"/>
  <c r="C491" i="71"/>
  <c r="D491" i="71" s="1"/>
  <c r="H491" i="71" s="1"/>
  <c r="N491" i="71"/>
  <c r="K491" i="71"/>
  <c r="A492" i="71"/>
  <c r="U488" i="71"/>
  <c r="V488" i="71"/>
  <c r="T489" i="71"/>
  <c r="Z489" i="71"/>
  <c r="AB489" i="71"/>
  <c r="R489" i="71"/>
  <c r="U489" i="71" s="1"/>
  <c r="V489" i="71" s="1"/>
  <c r="C216" i="71"/>
  <c r="D216" i="71" s="1"/>
  <c r="E216" i="71"/>
  <c r="J216" i="71" s="1"/>
  <c r="M152" i="69"/>
  <c r="N152" i="69"/>
  <c r="Z152" i="69" s="1"/>
  <c r="D153" i="69"/>
  <c r="H153" i="69" s="1"/>
  <c r="L151" i="69"/>
  <c r="P491" i="71" l="1"/>
  <c r="Y491" i="71"/>
  <c r="Q491" i="71" s="1"/>
  <c r="S491" i="71"/>
  <c r="I216" i="71"/>
  <c r="H216" i="71"/>
  <c r="Z490" i="71"/>
  <c r="T490" i="71"/>
  <c r="R490" i="71"/>
  <c r="AB490" i="71"/>
  <c r="K216" i="71"/>
  <c r="B217" i="71" s="1"/>
  <c r="A493" i="71"/>
  <c r="B492" i="71"/>
  <c r="C492" i="71"/>
  <c r="D492" i="71" s="1"/>
  <c r="K492" i="71"/>
  <c r="N492" i="71"/>
  <c r="E492" i="71"/>
  <c r="M161" i="71"/>
  <c r="L161" i="71" s="1"/>
  <c r="P152" i="69"/>
  <c r="I153" i="69"/>
  <c r="K153" i="69"/>
  <c r="C154" i="69" s="1"/>
  <c r="V490" i="71" l="1"/>
  <c r="U490" i="71"/>
  <c r="S492" i="71"/>
  <c r="P492" i="71"/>
  <c r="Y492" i="71"/>
  <c r="Q492" i="71" s="1"/>
  <c r="H492" i="71"/>
  <c r="K493" i="71"/>
  <c r="E493" i="71"/>
  <c r="B493" i="71"/>
  <c r="A494" i="71"/>
  <c r="N493" i="71"/>
  <c r="C493" i="71"/>
  <c r="D493" i="71" s="1"/>
  <c r="H493" i="71" s="1"/>
  <c r="R491" i="71"/>
  <c r="T491" i="71"/>
  <c r="AB491" i="71"/>
  <c r="Z491" i="71"/>
  <c r="E217" i="71"/>
  <c r="J217" i="71" s="1"/>
  <c r="C217" i="71"/>
  <c r="D217" i="71" s="1"/>
  <c r="B154" i="69"/>
  <c r="E154" i="69" s="1"/>
  <c r="J154" i="69" s="1"/>
  <c r="A153" i="69"/>
  <c r="T492" i="71" l="1"/>
  <c r="AB492" i="71"/>
  <c r="R492" i="71"/>
  <c r="Z492" i="71"/>
  <c r="U491" i="71"/>
  <c r="V491" i="71" s="1"/>
  <c r="S493" i="71"/>
  <c r="Y493" i="71"/>
  <c r="Q493" i="71" s="1"/>
  <c r="P493" i="71"/>
  <c r="A495" i="71"/>
  <c r="C494" i="71"/>
  <c r="D494" i="71" s="1"/>
  <c r="B494" i="71"/>
  <c r="E494" i="71" s="1"/>
  <c r="K494" i="71"/>
  <c r="N494" i="71"/>
  <c r="K217" i="71"/>
  <c r="B218" i="71" s="1"/>
  <c r="I217" i="71"/>
  <c r="H217" i="71"/>
  <c r="M162" i="71"/>
  <c r="L162" i="71" s="1"/>
  <c r="N153" i="69"/>
  <c r="Z153" i="69" s="1"/>
  <c r="M153" i="69"/>
  <c r="D154" i="69"/>
  <c r="L152" i="69"/>
  <c r="Y494" i="71" l="1"/>
  <c r="S494" i="71"/>
  <c r="Q494" i="71"/>
  <c r="P494" i="71"/>
  <c r="AB493" i="71"/>
  <c r="R493" i="71"/>
  <c r="U493" i="71" s="1"/>
  <c r="V493" i="71" s="1"/>
  <c r="Z493" i="71"/>
  <c r="T493" i="71"/>
  <c r="H494" i="71"/>
  <c r="U492" i="71"/>
  <c r="V492" i="71" s="1"/>
  <c r="E218" i="71"/>
  <c r="J218" i="71" s="1"/>
  <c r="C218" i="71"/>
  <c r="D218" i="71" s="1"/>
  <c r="A496" i="71"/>
  <c r="C495" i="71"/>
  <c r="D495" i="71" s="1"/>
  <c r="H495" i="71" s="1"/>
  <c r="K495" i="71"/>
  <c r="N495" i="71"/>
  <c r="B495" i="71"/>
  <c r="E495" i="71"/>
  <c r="P153" i="69"/>
  <c r="I154" i="69"/>
  <c r="H154" i="69"/>
  <c r="K154" i="69"/>
  <c r="I218" i="71" l="1"/>
  <c r="H218" i="71"/>
  <c r="K218" i="71"/>
  <c r="B219" i="71" s="1"/>
  <c r="R494" i="71"/>
  <c r="AB494" i="71"/>
  <c r="T494" i="71"/>
  <c r="Z494" i="71"/>
  <c r="C496" i="71"/>
  <c r="D496" i="71" s="1"/>
  <c r="N496" i="71"/>
  <c r="K496" i="71"/>
  <c r="B496" i="71"/>
  <c r="E496" i="71" s="1"/>
  <c r="A497" i="71"/>
  <c r="P495" i="71"/>
  <c r="S495" i="71"/>
  <c r="Y495" i="71"/>
  <c r="Q495" i="71" s="1"/>
  <c r="C155" i="69"/>
  <c r="A154" i="69"/>
  <c r="B155" i="69"/>
  <c r="U494" i="71" l="1"/>
  <c r="V494" i="71" s="1"/>
  <c r="T495" i="71"/>
  <c r="Z495" i="71"/>
  <c r="AB495" i="71"/>
  <c r="R495" i="71"/>
  <c r="E219" i="71"/>
  <c r="J219" i="71" s="1"/>
  <c r="N497" i="71"/>
  <c r="A498" i="71"/>
  <c r="C497" i="71"/>
  <c r="D497" i="71" s="1"/>
  <c r="K497" i="71"/>
  <c r="B497" i="71"/>
  <c r="E497" i="71" s="1"/>
  <c r="Y496" i="71"/>
  <c r="Q496" i="71" s="1"/>
  <c r="S496" i="71"/>
  <c r="P496" i="71"/>
  <c r="M163" i="71"/>
  <c r="L163" i="71" s="1"/>
  <c r="N154" i="69"/>
  <c r="Z154" i="69" s="1"/>
  <c r="M154" i="69"/>
  <c r="E155" i="69"/>
  <c r="J155" i="69" s="1"/>
  <c r="C219" i="71" l="1"/>
  <c r="D219" i="71" s="1"/>
  <c r="U495" i="71"/>
  <c r="V495" i="71"/>
  <c r="N498" i="71"/>
  <c r="B498" i="71"/>
  <c r="E498" i="71" s="1"/>
  <c r="K498" i="71"/>
  <c r="A499" i="71"/>
  <c r="C498" i="71"/>
  <c r="D498" i="71" s="1"/>
  <c r="P497" i="71"/>
  <c r="Y497" i="71"/>
  <c r="Q497" i="71"/>
  <c r="S497" i="71"/>
  <c r="R496" i="71"/>
  <c r="Z496" i="71"/>
  <c r="T496" i="71"/>
  <c r="AB496" i="71"/>
  <c r="P154" i="69"/>
  <c r="L153" i="69"/>
  <c r="D155" i="69"/>
  <c r="N499" i="71" l="1"/>
  <c r="B499" i="71"/>
  <c r="E499" i="71" s="1"/>
  <c r="A500" i="71"/>
  <c r="K499" i="71"/>
  <c r="C499" i="71"/>
  <c r="D499" i="71" s="1"/>
  <c r="U496" i="71"/>
  <c r="V496" i="71"/>
  <c r="S498" i="71"/>
  <c r="P498" i="71"/>
  <c r="Y498" i="71"/>
  <c r="Q498" i="71" s="1"/>
  <c r="Z497" i="71"/>
  <c r="R497" i="71"/>
  <c r="T497" i="71"/>
  <c r="AB497" i="71"/>
  <c r="I219" i="71"/>
  <c r="H219" i="71"/>
  <c r="K219" i="71"/>
  <c r="B220" i="71" s="1"/>
  <c r="H155" i="69"/>
  <c r="I155" i="69"/>
  <c r="K155" i="69"/>
  <c r="U497" i="71" l="1"/>
  <c r="V497" i="71"/>
  <c r="N500" i="71"/>
  <c r="C500" i="71"/>
  <c r="D500" i="71" s="1"/>
  <c r="K500" i="71"/>
  <c r="B500" i="71"/>
  <c r="E500" i="71" s="1"/>
  <c r="A501" i="71"/>
  <c r="AB498" i="71"/>
  <c r="Z498" i="71"/>
  <c r="T498" i="71"/>
  <c r="R498" i="71"/>
  <c r="U498" i="71" s="1"/>
  <c r="E220" i="71"/>
  <c r="J220" i="71" s="1"/>
  <c r="C220" i="71"/>
  <c r="D220" i="71" s="1"/>
  <c r="S499" i="71"/>
  <c r="P499" i="71"/>
  <c r="Y499" i="71"/>
  <c r="Q499" i="71" s="1"/>
  <c r="M164" i="71"/>
  <c r="L164" i="71" s="1"/>
  <c r="A155" i="69"/>
  <c r="C156" i="69"/>
  <c r="B156" i="69"/>
  <c r="I220" i="71" l="1"/>
  <c r="H220" i="71"/>
  <c r="A502" i="71"/>
  <c r="K501" i="71"/>
  <c r="N501" i="71"/>
  <c r="B501" i="71"/>
  <c r="C501" i="71"/>
  <c r="D501" i="71" s="1"/>
  <c r="E501" i="71"/>
  <c r="V498" i="71"/>
  <c r="Y500" i="71"/>
  <c r="P500" i="71"/>
  <c r="Q500" i="71"/>
  <c r="S500" i="71"/>
  <c r="K220" i="71"/>
  <c r="B221" i="71" s="1"/>
  <c r="T499" i="71"/>
  <c r="Z499" i="71"/>
  <c r="R499" i="71"/>
  <c r="AB499" i="71"/>
  <c r="N155" i="69"/>
  <c r="Z155" i="69" s="1"/>
  <c r="M155" i="69"/>
  <c r="E156" i="69"/>
  <c r="J156" i="69" s="1"/>
  <c r="L154" i="69"/>
  <c r="C221" i="71" l="1"/>
  <c r="D221" i="71" s="1"/>
  <c r="K221" i="71" s="1"/>
  <c r="B222" i="71" s="1"/>
  <c r="E221" i="71"/>
  <c r="J221" i="71" s="1"/>
  <c r="P501" i="71"/>
  <c r="Y501" i="71"/>
  <c r="Q501" i="71" s="1"/>
  <c r="S501" i="71"/>
  <c r="N502" i="71"/>
  <c r="K502" i="71"/>
  <c r="A503" i="71"/>
  <c r="B502" i="71"/>
  <c r="E502" i="71"/>
  <c r="C502" i="71"/>
  <c r="D502" i="71" s="1"/>
  <c r="T500" i="71"/>
  <c r="Z500" i="71"/>
  <c r="R500" i="71"/>
  <c r="AB500" i="71"/>
  <c r="U499" i="71"/>
  <c r="V499" i="71" s="1"/>
  <c r="P155" i="69"/>
  <c r="D156" i="69"/>
  <c r="E222" i="71" l="1"/>
  <c r="J222" i="71" s="1"/>
  <c r="P502" i="71"/>
  <c r="S502" i="71"/>
  <c r="Y502" i="71"/>
  <c r="Q502" i="71" s="1"/>
  <c r="U500" i="71"/>
  <c r="V500" i="71" s="1"/>
  <c r="AB501" i="71"/>
  <c r="Z501" i="71"/>
  <c r="T501" i="71"/>
  <c r="R501" i="71"/>
  <c r="U501" i="71" s="1"/>
  <c r="V501" i="71" s="1"/>
  <c r="A504" i="71"/>
  <c r="N503" i="71"/>
  <c r="B503" i="71"/>
  <c r="E503" i="71" s="1"/>
  <c r="C503" i="71"/>
  <c r="D503" i="71" s="1"/>
  <c r="K503" i="71"/>
  <c r="I221" i="71"/>
  <c r="H221" i="71"/>
  <c r="I156" i="69"/>
  <c r="H156" i="69"/>
  <c r="K156" i="69"/>
  <c r="Z502" i="71" l="1"/>
  <c r="R502" i="71"/>
  <c r="AB502" i="71"/>
  <c r="T502" i="71"/>
  <c r="B504" i="71"/>
  <c r="E504" i="71" s="1"/>
  <c r="A505" i="71"/>
  <c r="K504" i="71"/>
  <c r="N504" i="71"/>
  <c r="C504" i="71"/>
  <c r="D504" i="71" s="1"/>
  <c r="C222" i="71"/>
  <c r="D222" i="71" s="1"/>
  <c r="S503" i="71"/>
  <c r="Y503" i="71"/>
  <c r="Q503" i="71" s="1"/>
  <c r="P503" i="71"/>
  <c r="M165" i="71"/>
  <c r="L165" i="71" s="1"/>
  <c r="L155" i="69"/>
  <c r="C157" i="69"/>
  <c r="A156" i="69"/>
  <c r="B157" i="69"/>
  <c r="Y504" i="71" l="1"/>
  <c r="Q504" i="71" s="1"/>
  <c r="S504" i="71"/>
  <c r="P504" i="71"/>
  <c r="N505" i="71"/>
  <c r="K505" i="71"/>
  <c r="C505" i="71"/>
  <c r="D505" i="71" s="1"/>
  <c r="B505" i="71"/>
  <c r="E505" i="71" s="1"/>
  <c r="A506" i="71"/>
  <c r="R503" i="71"/>
  <c r="U503" i="71" s="1"/>
  <c r="V503" i="71" s="1"/>
  <c r="Z503" i="71"/>
  <c r="AB503" i="71"/>
  <c r="T503" i="71"/>
  <c r="H222" i="71"/>
  <c r="I222" i="71"/>
  <c r="K222" i="71"/>
  <c r="B223" i="71" s="1"/>
  <c r="V502" i="71"/>
  <c r="U502" i="71"/>
  <c r="N156" i="69"/>
  <c r="Z156" i="69" s="1"/>
  <c r="M156" i="69"/>
  <c r="E157" i="69"/>
  <c r="J157" i="69" s="1"/>
  <c r="E223" i="71" l="1"/>
  <c r="J223" i="71" s="1"/>
  <c r="C223" i="71"/>
  <c r="D223" i="71" s="1"/>
  <c r="K223" i="71" s="1"/>
  <c r="B224" i="71" s="1"/>
  <c r="S505" i="71"/>
  <c r="P505" i="71"/>
  <c r="Y505" i="71"/>
  <c r="Q505" i="71" s="1"/>
  <c r="E506" i="71"/>
  <c r="K506" i="71"/>
  <c r="C506" i="71"/>
  <c r="D506" i="71" s="1"/>
  <c r="A507" i="71"/>
  <c r="N506" i="71"/>
  <c r="B506" i="71"/>
  <c r="Z504" i="71"/>
  <c r="R504" i="71"/>
  <c r="T504" i="71"/>
  <c r="AB504" i="71"/>
  <c r="P156" i="69"/>
  <c r="D157" i="69"/>
  <c r="E224" i="71" l="1"/>
  <c r="J224" i="71" s="1"/>
  <c r="U504" i="71"/>
  <c r="V504" i="71"/>
  <c r="AB505" i="71"/>
  <c r="Z505" i="71"/>
  <c r="R505" i="71"/>
  <c r="U505" i="71" s="1"/>
  <c r="V505" i="71" s="1"/>
  <c r="T505" i="71"/>
  <c r="S506" i="71"/>
  <c r="P506" i="71"/>
  <c r="Y506" i="71"/>
  <c r="Q506" i="71" s="1"/>
  <c r="I223" i="71"/>
  <c r="H223" i="71"/>
  <c r="N507" i="71"/>
  <c r="A508" i="71"/>
  <c r="C507" i="71"/>
  <c r="D507" i="71" s="1"/>
  <c r="K507" i="71"/>
  <c r="B507" i="71"/>
  <c r="E507" i="71" s="1"/>
  <c r="M166" i="71"/>
  <c r="L166" i="71" s="1"/>
  <c r="I157" i="69"/>
  <c r="H157" i="69"/>
  <c r="K157" i="69"/>
  <c r="Y507" i="71" l="1"/>
  <c r="S507" i="71"/>
  <c r="Q507" i="71"/>
  <c r="P507" i="71"/>
  <c r="T506" i="71"/>
  <c r="AB506" i="71"/>
  <c r="R506" i="71"/>
  <c r="U506" i="71" s="1"/>
  <c r="V506" i="71" s="1"/>
  <c r="Z506" i="71"/>
  <c r="K508" i="71"/>
  <c r="B508" i="71"/>
  <c r="E508" i="71" s="1"/>
  <c r="C508" i="71"/>
  <c r="D508" i="71" s="1"/>
  <c r="A509" i="71"/>
  <c r="N508" i="71"/>
  <c r="C224" i="71"/>
  <c r="D224" i="71" s="1"/>
  <c r="L156" i="69"/>
  <c r="C158" i="69"/>
  <c r="A157" i="69"/>
  <c r="B158" i="69"/>
  <c r="I224" i="71" l="1"/>
  <c r="H224" i="71"/>
  <c r="K224" i="71"/>
  <c r="B225" i="71" s="1"/>
  <c r="Y508" i="71"/>
  <c r="Q508" i="71" s="1"/>
  <c r="P508" i="71"/>
  <c r="S508" i="71"/>
  <c r="T507" i="71"/>
  <c r="Z507" i="71"/>
  <c r="AB507" i="71"/>
  <c r="R507" i="71"/>
  <c r="C509" i="71"/>
  <c r="D509" i="71" s="1"/>
  <c r="K509" i="71"/>
  <c r="A510" i="71"/>
  <c r="B509" i="71"/>
  <c r="E509" i="71"/>
  <c r="N509" i="71"/>
  <c r="N157" i="69"/>
  <c r="Z157" i="69" s="1"/>
  <c r="M157" i="69"/>
  <c r="E158" i="69"/>
  <c r="J158" i="69" s="1"/>
  <c r="Z508" i="71" l="1"/>
  <c r="AB508" i="71"/>
  <c r="R508" i="71"/>
  <c r="T508" i="71"/>
  <c r="N510" i="71"/>
  <c r="B510" i="71"/>
  <c r="E510" i="71" s="1"/>
  <c r="C510" i="71"/>
  <c r="D510" i="71" s="1"/>
  <c r="A511" i="71"/>
  <c r="K510" i="71"/>
  <c r="U507" i="71"/>
  <c r="V507" i="71"/>
  <c r="E225" i="71"/>
  <c r="J225" i="71" s="1"/>
  <c r="C225" i="71"/>
  <c r="D225" i="71" s="1"/>
  <c r="S509" i="71"/>
  <c r="P509" i="71"/>
  <c r="Y509" i="71"/>
  <c r="Q509" i="71" s="1"/>
  <c r="M167" i="71"/>
  <c r="L167" i="71" s="1"/>
  <c r="P157" i="69"/>
  <c r="D158" i="69"/>
  <c r="B511" i="71" l="1"/>
  <c r="N511" i="71"/>
  <c r="A512" i="71"/>
  <c r="K511" i="71"/>
  <c r="C511" i="71"/>
  <c r="D511" i="71" s="1"/>
  <c r="E511" i="71"/>
  <c r="H225" i="71"/>
  <c r="K225" i="71"/>
  <c r="B226" i="71" s="1"/>
  <c r="I225" i="71"/>
  <c r="S510" i="71"/>
  <c r="Y510" i="71"/>
  <c r="Q510" i="71" s="1"/>
  <c r="P510" i="71"/>
  <c r="V508" i="71"/>
  <c r="U508" i="71"/>
  <c r="T509" i="71"/>
  <c r="Z509" i="71"/>
  <c r="R509" i="71"/>
  <c r="AB509" i="71"/>
  <c r="L157" i="69"/>
  <c r="I158" i="69"/>
  <c r="H158" i="69"/>
  <c r="K158" i="69"/>
  <c r="E226" i="71" l="1"/>
  <c r="J226" i="71" s="1"/>
  <c r="R510" i="71"/>
  <c r="T510" i="71"/>
  <c r="AB510" i="71"/>
  <c r="Z510" i="71"/>
  <c r="C512" i="71"/>
  <c r="D512" i="71" s="1"/>
  <c r="A513" i="71"/>
  <c r="N512" i="71"/>
  <c r="K512" i="71"/>
  <c r="B512" i="71"/>
  <c r="E512" i="71" s="1"/>
  <c r="P511" i="71"/>
  <c r="Y511" i="71"/>
  <c r="Q511" i="71" s="1"/>
  <c r="S511" i="71"/>
  <c r="U509" i="71"/>
  <c r="V509" i="71" s="1"/>
  <c r="C159" i="69"/>
  <c r="A158" i="69"/>
  <c r="B159" i="69"/>
  <c r="Z511" i="71" l="1"/>
  <c r="R511" i="71"/>
  <c r="AB511" i="71"/>
  <c r="T511" i="71"/>
  <c r="U510" i="71"/>
  <c r="V510" i="71" s="1"/>
  <c r="C513" i="71"/>
  <c r="D513" i="71" s="1"/>
  <c r="B513" i="71"/>
  <c r="E513" i="71" s="1"/>
  <c r="A514" i="71"/>
  <c r="K513" i="71"/>
  <c r="N513" i="71"/>
  <c r="S512" i="71"/>
  <c r="Y512" i="71"/>
  <c r="Q512" i="71" s="1"/>
  <c r="P512" i="71"/>
  <c r="C226" i="71"/>
  <c r="D226" i="71" s="1"/>
  <c r="N158" i="69"/>
  <c r="Z158" i="69" s="1"/>
  <c r="M158" i="69"/>
  <c r="E159" i="69"/>
  <c r="J159" i="69" s="1"/>
  <c r="I226" i="71" l="1"/>
  <c r="H226" i="71"/>
  <c r="K226" i="71"/>
  <c r="B227" i="71" s="1"/>
  <c r="Z512" i="71"/>
  <c r="R512" i="71"/>
  <c r="T512" i="71"/>
  <c r="AB512" i="71"/>
  <c r="U511" i="71"/>
  <c r="V511" i="71" s="1"/>
  <c r="Y513" i="71"/>
  <c r="Q513" i="71" s="1"/>
  <c r="S513" i="71"/>
  <c r="P513" i="71"/>
  <c r="E514" i="71"/>
  <c r="C514" i="71"/>
  <c r="D514" i="71" s="1"/>
  <c r="K514" i="71"/>
  <c r="N514" i="71"/>
  <c r="A515" i="71"/>
  <c r="B514" i="71"/>
  <c r="M168" i="71"/>
  <c r="L168" i="71" s="1"/>
  <c r="P158" i="69"/>
  <c r="D159" i="69"/>
  <c r="U512" i="71" l="1"/>
  <c r="V512" i="71" s="1"/>
  <c r="E227" i="71"/>
  <c r="J227" i="71" s="1"/>
  <c r="P514" i="71"/>
  <c r="S514" i="71"/>
  <c r="Y514" i="71"/>
  <c r="Q514" i="71" s="1"/>
  <c r="T513" i="71"/>
  <c r="R513" i="71"/>
  <c r="Z513" i="71"/>
  <c r="AB513" i="71"/>
  <c r="A516" i="71"/>
  <c r="B515" i="71"/>
  <c r="E515" i="71" s="1"/>
  <c r="C515" i="71"/>
  <c r="D515" i="71" s="1"/>
  <c r="N515" i="71"/>
  <c r="K515" i="71"/>
  <c r="M169" i="71"/>
  <c r="L169" i="71" s="1"/>
  <c r="I159" i="69"/>
  <c r="H159" i="69"/>
  <c r="K159" i="69"/>
  <c r="L158" i="69"/>
  <c r="R514" i="71" l="1"/>
  <c r="U514" i="71" s="1"/>
  <c r="V514" i="71" s="1"/>
  <c r="T514" i="71"/>
  <c r="Z514" i="71"/>
  <c r="AB514" i="71"/>
  <c r="Y515" i="71"/>
  <c r="Q515" i="71" s="1"/>
  <c r="P515" i="71"/>
  <c r="S515" i="71"/>
  <c r="K516" i="71"/>
  <c r="B516" i="71"/>
  <c r="E516" i="71" s="1"/>
  <c r="C516" i="71"/>
  <c r="D516" i="71" s="1"/>
  <c r="A517" i="71"/>
  <c r="N516" i="71"/>
  <c r="C227" i="71"/>
  <c r="D227" i="71" s="1"/>
  <c r="U513" i="71"/>
  <c r="V513" i="71" s="1"/>
  <c r="B160" i="69"/>
  <c r="C160" i="69"/>
  <c r="A159" i="69"/>
  <c r="T515" i="71" l="1"/>
  <c r="Z515" i="71"/>
  <c r="R515" i="71"/>
  <c r="AB515" i="71"/>
  <c r="P516" i="71"/>
  <c r="Y516" i="71"/>
  <c r="Q516" i="71"/>
  <c r="S516" i="71"/>
  <c r="H227" i="71"/>
  <c r="I227" i="71"/>
  <c r="K227" i="71"/>
  <c r="B228" i="71" s="1"/>
  <c r="K517" i="71"/>
  <c r="N517" i="71"/>
  <c r="A518" i="71"/>
  <c r="C517" i="71"/>
  <c r="D517" i="71" s="1"/>
  <c r="B517" i="71"/>
  <c r="E517" i="71" s="1"/>
  <c r="N159" i="69"/>
  <c r="Z159" i="69" s="1"/>
  <c r="M159" i="69"/>
  <c r="E160" i="69"/>
  <c r="J160" i="69" s="1"/>
  <c r="C518" i="71" l="1"/>
  <c r="D518" i="71" s="1"/>
  <c r="B518" i="71"/>
  <c r="A519" i="71"/>
  <c r="E518" i="71"/>
  <c r="N518" i="71"/>
  <c r="K518" i="71"/>
  <c r="P517" i="71"/>
  <c r="Y517" i="71"/>
  <c r="Q517" i="71" s="1"/>
  <c r="S517" i="71"/>
  <c r="E228" i="71"/>
  <c r="J228" i="71" s="1"/>
  <c r="U515" i="71"/>
  <c r="V515" i="71" s="1"/>
  <c r="Z516" i="71"/>
  <c r="T516" i="71"/>
  <c r="R516" i="71"/>
  <c r="U516" i="71" s="1"/>
  <c r="AB516" i="71"/>
  <c r="P159" i="69"/>
  <c r="D160" i="69"/>
  <c r="Z517" i="71" l="1"/>
  <c r="AB517" i="71"/>
  <c r="T517" i="71"/>
  <c r="R517" i="71"/>
  <c r="P518" i="71"/>
  <c r="Y518" i="71"/>
  <c r="Q518" i="71" s="1"/>
  <c r="S518" i="71"/>
  <c r="C228" i="71"/>
  <c r="D228" i="71" s="1"/>
  <c r="A520" i="71"/>
  <c r="B519" i="71"/>
  <c r="K519" i="71"/>
  <c r="C519" i="71"/>
  <c r="D519" i="71" s="1"/>
  <c r="E519" i="71"/>
  <c r="N519" i="71"/>
  <c r="V516" i="71"/>
  <c r="M170" i="71"/>
  <c r="L170" i="71" s="1"/>
  <c r="I160" i="69"/>
  <c r="H160" i="69"/>
  <c r="K160" i="69"/>
  <c r="L159" i="69"/>
  <c r="H228" i="71" l="1"/>
  <c r="I228" i="71"/>
  <c r="K228" i="71"/>
  <c r="B229" i="71" s="1"/>
  <c r="Y519" i="71"/>
  <c r="Q519" i="71" s="1"/>
  <c r="P519" i="71"/>
  <c r="S519" i="71"/>
  <c r="Z518" i="71"/>
  <c r="T518" i="71"/>
  <c r="R518" i="71"/>
  <c r="U518" i="71" s="1"/>
  <c r="AB518" i="71"/>
  <c r="U517" i="71"/>
  <c r="V517" i="71"/>
  <c r="A521" i="71"/>
  <c r="C520" i="71"/>
  <c r="D520" i="71" s="1"/>
  <c r="K520" i="71"/>
  <c r="N520" i="71"/>
  <c r="B520" i="71"/>
  <c r="E520" i="71" s="1"/>
  <c r="C161" i="69"/>
  <c r="A160" i="69"/>
  <c r="B161" i="69"/>
  <c r="K521" i="71" l="1"/>
  <c r="A522" i="71"/>
  <c r="N521" i="71"/>
  <c r="C521" i="71"/>
  <c r="D521" i="71" s="1"/>
  <c r="B521" i="71"/>
  <c r="E521" i="71" s="1"/>
  <c r="Y520" i="71"/>
  <c r="Q520" i="71" s="1"/>
  <c r="P520" i="71"/>
  <c r="S520" i="71"/>
  <c r="Z519" i="71"/>
  <c r="R519" i="71"/>
  <c r="T519" i="71"/>
  <c r="AB519" i="71"/>
  <c r="E229" i="71"/>
  <c r="J229" i="71" s="1"/>
  <c r="C229" i="71"/>
  <c r="D229" i="71" s="1"/>
  <c r="V518" i="71"/>
  <c r="N160" i="69"/>
  <c r="Z160" i="69" s="1"/>
  <c r="M160" i="69"/>
  <c r="E161" i="69"/>
  <c r="J161" i="69" s="1"/>
  <c r="T520" i="71" l="1"/>
  <c r="R520" i="71"/>
  <c r="AB520" i="71"/>
  <c r="Z520" i="71"/>
  <c r="I229" i="71"/>
  <c r="H229" i="71"/>
  <c r="K229" i="71"/>
  <c r="B230" i="71" s="1"/>
  <c r="V519" i="71"/>
  <c r="U519" i="71"/>
  <c r="Y521" i="71"/>
  <c r="Q521" i="71" s="1"/>
  <c r="S521" i="71"/>
  <c r="P521" i="71"/>
  <c r="B522" i="71"/>
  <c r="E522" i="71" s="1"/>
  <c r="A523" i="71"/>
  <c r="K522" i="71"/>
  <c r="C522" i="71"/>
  <c r="D522" i="71" s="1"/>
  <c r="N522" i="71"/>
  <c r="P160" i="69"/>
  <c r="D161" i="69"/>
  <c r="I161" i="69" s="1"/>
  <c r="R521" i="71" l="1"/>
  <c r="Z521" i="71"/>
  <c r="AB521" i="71"/>
  <c r="T521" i="71"/>
  <c r="E230" i="71"/>
  <c r="J230" i="71" s="1"/>
  <c r="C230" i="71"/>
  <c r="D230" i="71" s="1"/>
  <c r="K230" i="71"/>
  <c r="B231" i="71" s="1"/>
  <c r="E231" i="71" s="1"/>
  <c r="J231" i="71" s="1"/>
  <c r="U520" i="71"/>
  <c r="V520" i="71" s="1"/>
  <c r="A524" i="71"/>
  <c r="B523" i="71"/>
  <c r="N523" i="71"/>
  <c r="C523" i="71"/>
  <c r="D523" i="71" s="1"/>
  <c r="E523" i="71"/>
  <c r="K523" i="71"/>
  <c r="Y522" i="71"/>
  <c r="Q522" i="71" s="1"/>
  <c r="S522" i="71"/>
  <c r="P522" i="71"/>
  <c r="M171" i="71"/>
  <c r="L171" i="71" s="1"/>
  <c r="K161" i="69"/>
  <c r="C162" i="69" s="1"/>
  <c r="H161" i="69"/>
  <c r="L160" i="69"/>
  <c r="AB522" i="71" l="1"/>
  <c r="R522" i="71"/>
  <c r="U522" i="71" s="1"/>
  <c r="V522" i="71" s="1"/>
  <c r="T522" i="71"/>
  <c r="Z522" i="71"/>
  <c r="H230" i="71"/>
  <c r="I230" i="71"/>
  <c r="Y523" i="71"/>
  <c r="Q523" i="71" s="1"/>
  <c r="S523" i="71"/>
  <c r="P523" i="71"/>
  <c r="A525" i="71"/>
  <c r="N524" i="71"/>
  <c r="B524" i="71"/>
  <c r="E524" i="71" s="1"/>
  <c r="C524" i="71"/>
  <c r="D524" i="71" s="1"/>
  <c r="K524" i="71"/>
  <c r="U521" i="71"/>
  <c r="V521" i="71"/>
  <c r="C231" i="71"/>
  <c r="D231" i="71" s="1"/>
  <c r="B162" i="69"/>
  <c r="E162" i="69" s="1"/>
  <c r="J162" i="69" s="1"/>
  <c r="A161" i="69"/>
  <c r="Z523" i="71" l="1"/>
  <c r="R523" i="71"/>
  <c r="AB523" i="71"/>
  <c r="T523" i="71"/>
  <c r="S524" i="71"/>
  <c r="P524" i="71"/>
  <c r="Y524" i="71"/>
  <c r="Q524" i="71" s="1"/>
  <c r="N525" i="71"/>
  <c r="C525" i="71"/>
  <c r="D525" i="71" s="1"/>
  <c r="K525" i="71"/>
  <c r="B525" i="71"/>
  <c r="E525" i="71" s="1"/>
  <c r="A526" i="71"/>
  <c r="I231" i="71"/>
  <c r="H231" i="71"/>
  <c r="K231" i="71"/>
  <c r="B232" i="71" s="1"/>
  <c r="N161" i="69"/>
  <c r="Z161" i="69" s="1"/>
  <c r="M161" i="69"/>
  <c r="D162" i="69"/>
  <c r="S525" i="71" l="1"/>
  <c r="P525" i="71"/>
  <c r="Y525" i="71"/>
  <c r="Q525" i="71" s="1"/>
  <c r="Z524" i="71"/>
  <c r="AB524" i="71"/>
  <c r="R524" i="71"/>
  <c r="T524" i="71"/>
  <c r="N526" i="71"/>
  <c r="B526" i="71"/>
  <c r="K526" i="71"/>
  <c r="E526" i="71"/>
  <c r="C526" i="71"/>
  <c r="D526" i="71" s="1"/>
  <c r="A527" i="71"/>
  <c r="U523" i="71"/>
  <c r="V523" i="7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c r="D232" i="71" s="1"/>
  <c r="P161" i="69"/>
  <c r="I162" i="69"/>
  <c r="H162" i="69"/>
  <c r="K162" i="69"/>
  <c r="S526" i="71" l="1"/>
  <c r="P526" i="71"/>
  <c r="Y526" i="71"/>
  <c r="Q526" i="71" s="1"/>
  <c r="U524" i="71"/>
  <c r="V524" i="71"/>
  <c r="Z525" i="71"/>
  <c r="AB525" i="71"/>
  <c r="R525" i="71"/>
  <c r="U525" i="71" s="1"/>
  <c r="T525" i="71"/>
  <c r="N527" i="71"/>
  <c r="A528" i="71"/>
  <c r="B527" i="71"/>
  <c r="C527" i="71"/>
  <c r="D527" i="71" s="1"/>
  <c r="E527" i="71"/>
  <c r="K527" i="71"/>
  <c r="I232" i="7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H232" i="71"/>
  <c r="K232" i="71"/>
  <c r="M172" i="71"/>
  <c r="L172" i="71" s="1"/>
  <c r="C163" i="69"/>
  <c r="A162" i="69"/>
  <c r="B163" i="69"/>
  <c r="L161" i="69"/>
  <c r="AB526" i="71" l="1"/>
  <c r="R526" i="71"/>
  <c r="U526" i="71" s="1"/>
  <c r="Z526" i="71"/>
  <c r="T526" i="71"/>
  <c r="K528" i="71"/>
  <c r="C528" i="71"/>
  <c r="D528" i="71" s="1"/>
  <c r="N528" i="71"/>
  <c r="A529" i="71"/>
  <c r="B528" i="71"/>
  <c r="E528" i="71" s="1"/>
  <c r="Y527" i="71"/>
  <c r="Q527" i="71" s="1"/>
  <c r="S527" i="71"/>
  <c r="P527" i="71"/>
  <c r="V525" i="71"/>
  <c r="N162" i="69"/>
  <c r="Z162" i="69" s="1"/>
  <c r="M162" i="69"/>
  <c r="E163" i="69"/>
  <c r="J163" i="69" s="1"/>
  <c r="S528" i="71" l="1"/>
  <c r="Y528" i="71"/>
  <c r="Q528" i="71" s="1"/>
  <c r="P528" i="71"/>
  <c r="B529" i="71"/>
  <c r="E529" i="71"/>
  <c r="K529" i="71"/>
  <c r="A530" i="71"/>
  <c r="N529" i="71"/>
  <c r="C529" i="71"/>
  <c r="D529" i="71" s="1"/>
  <c r="Z527" i="71"/>
  <c r="T527" i="71"/>
  <c r="AB527" i="71"/>
  <c r="R527" i="71"/>
  <c r="V526" i="71"/>
  <c r="M173" i="71"/>
  <c r="L173" i="71" s="1"/>
  <c r="P162" i="69"/>
  <c r="D163" i="69"/>
  <c r="Z528" i="71" l="1"/>
  <c r="R528" i="71"/>
  <c r="T528" i="71"/>
  <c r="AB528" i="71"/>
  <c r="A531" i="71"/>
  <c r="C530" i="71"/>
  <c r="D530" i="71" s="1"/>
  <c r="N530" i="71"/>
  <c r="B530" i="71"/>
  <c r="E530" i="71" s="1"/>
  <c r="K530" i="71"/>
  <c r="U527" i="71"/>
  <c r="V527" i="71"/>
  <c r="S529" i="71"/>
  <c r="P529" i="71"/>
  <c r="Y529" i="71"/>
  <c r="Q529" i="71" s="1"/>
  <c r="H163" i="69"/>
  <c r="I163" i="69"/>
  <c r="K163" i="69"/>
  <c r="R529" i="71" l="1"/>
  <c r="T529" i="71"/>
  <c r="Z529" i="71"/>
  <c r="AB529" i="71"/>
  <c r="C531" i="71"/>
  <c r="D531" i="71" s="1"/>
  <c r="N531" i="71"/>
  <c r="B531" i="71"/>
  <c r="E531" i="71" s="1"/>
  <c r="K531" i="71"/>
  <c r="A532" i="71"/>
  <c r="S530" i="71"/>
  <c r="P530" i="71"/>
  <c r="Y530" i="71"/>
  <c r="Q530" i="71" s="1"/>
  <c r="U528" i="71"/>
  <c r="V528" i="71"/>
  <c r="L162" i="69"/>
  <c r="C164" i="69"/>
  <c r="B164" i="69"/>
  <c r="A163" i="69"/>
  <c r="T530" i="71" l="1"/>
  <c r="Z530" i="71"/>
  <c r="R530" i="71"/>
  <c r="U530" i="71" s="1"/>
  <c r="V530" i="71" s="1"/>
  <c r="AB530" i="71"/>
  <c r="S531" i="71"/>
  <c r="Y531" i="71"/>
  <c r="Q531" i="71" s="1"/>
  <c r="P531" i="71"/>
  <c r="N532" i="71"/>
  <c r="K532" i="71"/>
  <c r="B532" i="71"/>
  <c r="E532" i="71"/>
  <c r="A533" i="71"/>
  <c r="C532" i="71"/>
  <c r="D532" i="71" s="1"/>
  <c r="U529" i="71"/>
  <c r="V529" i="71"/>
  <c r="N163" i="69"/>
  <c r="Z163" i="69" s="1"/>
  <c r="M163" i="69"/>
  <c r="E164" i="69"/>
  <c r="J164" i="69" s="1"/>
  <c r="AB531" i="71" l="1"/>
  <c r="Z531" i="71"/>
  <c r="R531" i="71"/>
  <c r="T531" i="71"/>
  <c r="P532" i="71"/>
  <c r="Y532" i="71"/>
  <c r="Q532" i="71" s="1"/>
  <c r="S532" i="71"/>
  <c r="C533" i="71"/>
  <c r="D533" i="71" s="1"/>
  <c r="B533" i="71"/>
  <c r="E533" i="71"/>
  <c r="K533" i="71"/>
  <c r="N533" i="71"/>
  <c r="A534" i="71"/>
  <c r="M174" i="71"/>
  <c r="L174" i="71" s="1"/>
  <c r="P163" i="69"/>
  <c r="D164" i="69"/>
  <c r="I164" i="69" s="1"/>
  <c r="R532" i="71" l="1"/>
  <c r="AB532" i="71"/>
  <c r="T532" i="71"/>
  <c r="Z532" i="71"/>
  <c r="C534" i="71"/>
  <c r="D534" i="71" s="1"/>
  <c r="B534" i="71"/>
  <c r="E534" i="71" s="1"/>
  <c r="A535" i="71"/>
  <c r="N534" i="71"/>
  <c r="K534" i="71"/>
  <c r="Y533" i="71"/>
  <c r="Q533" i="71"/>
  <c r="S533" i="71"/>
  <c r="P533" i="71"/>
  <c r="U531" i="71"/>
  <c r="V531" i="71"/>
  <c r="K164" i="69"/>
  <c r="C165" i="69" s="1"/>
  <c r="H164" i="69"/>
  <c r="Y534" i="71" l="1"/>
  <c r="Q534" i="71" s="1"/>
  <c r="S534" i="71"/>
  <c r="P534" i="71"/>
  <c r="N535" i="71"/>
  <c r="A536" i="71"/>
  <c r="C535" i="71"/>
  <c r="D535" i="71" s="1"/>
  <c r="K535" i="71"/>
  <c r="B535" i="71"/>
  <c r="E535" i="71" s="1"/>
  <c r="Z533" i="71"/>
  <c r="R533" i="71"/>
  <c r="T533" i="71"/>
  <c r="AB533" i="71"/>
  <c r="V532" i="71"/>
  <c r="U532" i="71"/>
  <c r="B165" i="69"/>
  <c r="E165" i="69" s="1"/>
  <c r="J165" i="69" s="1"/>
  <c r="A164" i="69"/>
  <c r="L163" i="69"/>
  <c r="C536" i="71" l="1"/>
  <c r="D536" i="71" s="1"/>
  <c r="N536" i="71"/>
  <c r="K536" i="71"/>
  <c r="B536" i="71"/>
  <c r="A537" i="71"/>
  <c r="E536" i="71"/>
  <c r="Y535" i="71"/>
  <c r="Q535" i="71" s="1"/>
  <c r="S535" i="71"/>
  <c r="P535" i="71"/>
  <c r="V533" i="71"/>
  <c r="U533" i="71"/>
  <c r="AB534" i="71"/>
  <c r="R534" i="71"/>
  <c r="U534" i="71" s="1"/>
  <c r="T534" i="71"/>
  <c r="Z534" i="71"/>
  <c r="M175" i="71"/>
  <c r="L175" i="71" s="1"/>
  <c r="N164" i="69"/>
  <c r="Z164" i="69" s="1"/>
  <c r="M164" i="69"/>
  <c r="D165" i="69"/>
  <c r="K165" i="69" s="1"/>
  <c r="C166" i="69" s="1"/>
  <c r="V534" i="71" l="1"/>
  <c r="A538" i="71"/>
  <c r="B537" i="71"/>
  <c r="E537" i="71" s="1"/>
  <c r="K537" i="71"/>
  <c r="N537" i="71"/>
  <c r="C537" i="71"/>
  <c r="D537" i="71" s="1"/>
  <c r="R535" i="71"/>
  <c r="AB535" i="71"/>
  <c r="Z535" i="71"/>
  <c r="T535" i="71"/>
  <c r="P536" i="71"/>
  <c r="S536" i="71"/>
  <c r="Y536" i="71"/>
  <c r="Q536" i="71" s="1"/>
  <c r="P164" i="69"/>
  <c r="I165" i="69"/>
  <c r="A165" i="69"/>
  <c r="B166" i="69"/>
  <c r="E166" i="69" s="1"/>
  <c r="J166" i="69" s="1"/>
  <c r="H165" i="69"/>
  <c r="AB536" i="71" l="1"/>
  <c r="T536" i="71"/>
  <c r="R536" i="71"/>
  <c r="U536" i="71" s="1"/>
  <c r="V536" i="71" s="1"/>
  <c r="Z536" i="71"/>
  <c r="Y537" i="71"/>
  <c r="Q537" i="71" s="1"/>
  <c r="P537" i="71"/>
  <c r="S537" i="71"/>
  <c r="N538" i="71"/>
  <c r="C538" i="71"/>
  <c r="D538" i="71" s="1"/>
  <c r="A539" i="71"/>
  <c r="B538" i="71"/>
  <c r="E538" i="71" s="1"/>
  <c r="K538" i="71"/>
  <c r="U535" i="71"/>
  <c r="V535" i="71"/>
  <c r="N165" i="69"/>
  <c r="Z165" i="69" s="1"/>
  <c r="M165" i="69"/>
  <c r="D166" i="69"/>
  <c r="Y538" i="71" l="1"/>
  <c r="Q538" i="71" s="1"/>
  <c r="P538" i="71"/>
  <c r="S538" i="71"/>
  <c r="T537" i="71"/>
  <c r="Z537" i="71"/>
  <c r="AB537" i="71"/>
  <c r="R537" i="71"/>
  <c r="N539" i="71"/>
  <c r="A540" i="71"/>
  <c r="K539" i="71"/>
  <c r="B539" i="71"/>
  <c r="E539" i="71" s="1"/>
  <c r="C539" i="71"/>
  <c r="D539" i="71" s="1"/>
  <c r="P165" i="69"/>
  <c r="L164" i="69"/>
  <c r="I166" i="69"/>
  <c r="H166" i="69"/>
  <c r="K166" i="69"/>
  <c r="S539" i="71" l="1"/>
  <c r="P539" i="71"/>
  <c r="Y539" i="71"/>
  <c r="Q539" i="71" s="1"/>
  <c r="U537" i="71"/>
  <c r="V537" i="71"/>
  <c r="N540" i="71"/>
  <c r="K540" i="71"/>
  <c r="C540" i="71"/>
  <c r="D540" i="71" s="1"/>
  <c r="B540" i="71"/>
  <c r="A541" i="71"/>
  <c r="E540" i="71"/>
  <c r="Z538" i="71"/>
  <c r="R538" i="71"/>
  <c r="AB538" i="71"/>
  <c r="T538" i="71"/>
  <c r="M176" i="71"/>
  <c r="L176" i="71" s="1"/>
  <c r="C167" i="69"/>
  <c r="A166" i="69"/>
  <c r="B167" i="69"/>
  <c r="R539" i="71" l="1"/>
  <c r="U539" i="71" s="1"/>
  <c r="T539" i="71"/>
  <c r="Z539" i="71"/>
  <c r="AB539" i="71"/>
  <c r="U538" i="71"/>
  <c r="V538" i="71"/>
  <c r="A542" i="71"/>
  <c r="B541" i="71"/>
  <c r="E541" i="71" s="1"/>
  <c r="C541" i="71"/>
  <c r="D541" i="71" s="1"/>
  <c r="N541" i="71"/>
  <c r="K541" i="71"/>
  <c r="S540" i="71"/>
  <c r="P540" i="71"/>
  <c r="Y540" i="71"/>
  <c r="Q540" i="71" s="1"/>
  <c r="M177" i="71"/>
  <c r="L177" i="71" s="1"/>
  <c r="N166" i="69"/>
  <c r="Z166" i="69" s="1"/>
  <c r="M166" i="69"/>
  <c r="E167" i="69"/>
  <c r="J167" i="69" s="1"/>
  <c r="R540" i="71" l="1"/>
  <c r="AB540" i="71"/>
  <c r="Z540" i="71"/>
  <c r="T540" i="71"/>
  <c r="N542" i="71"/>
  <c r="A543" i="71"/>
  <c r="C542" i="71"/>
  <c r="D542" i="71" s="1"/>
  <c r="B542" i="71"/>
  <c r="E542" i="71" s="1"/>
  <c r="K542" i="71"/>
  <c r="Y541" i="71"/>
  <c r="P541" i="71"/>
  <c r="Q541" i="71"/>
  <c r="S541" i="71"/>
  <c r="V539" i="71"/>
  <c r="P166" i="69"/>
  <c r="D167" i="69"/>
  <c r="P542" i="71" l="1"/>
  <c r="Y542" i="71"/>
  <c r="Q542" i="71" s="1"/>
  <c r="S542" i="71"/>
  <c r="C543" i="71"/>
  <c r="D543" i="71" s="1"/>
  <c r="B543" i="71"/>
  <c r="E543" i="71" s="1"/>
  <c r="N543" i="71"/>
  <c r="A544" i="71"/>
  <c r="K543" i="71"/>
  <c r="T541" i="71"/>
  <c r="AB541" i="71"/>
  <c r="Z541" i="71"/>
  <c r="R541" i="71"/>
  <c r="V540" i="71"/>
  <c r="U540" i="71"/>
  <c r="L165" i="69"/>
  <c r="I167" i="69"/>
  <c r="H167" i="69"/>
  <c r="K167" i="69"/>
  <c r="R542" i="71" l="1"/>
  <c r="U542" i="71" s="1"/>
  <c r="T542" i="71"/>
  <c r="AB542" i="71"/>
  <c r="Z542" i="71"/>
  <c r="P543" i="71"/>
  <c r="Y543" i="71"/>
  <c r="Q543" i="71" s="1"/>
  <c r="S543" i="71"/>
  <c r="V541" i="71"/>
  <c r="U541" i="71"/>
  <c r="C544" i="71"/>
  <c r="D544" i="71" s="1"/>
  <c r="A545" i="71"/>
  <c r="B544" i="71"/>
  <c r="E544" i="71" s="1"/>
  <c r="N544" i="71"/>
  <c r="K544" i="71"/>
  <c r="B168" i="69"/>
  <c r="A167" i="69"/>
  <c r="C168" i="69"/>
  <c r="AB543" i="71" l="1"/>
  <c r="R543" i="71"/>
  <c r="T543" i="71"/>
  <c r="Z543" i="71"/>
  <c r="N545" i="71"/>
  <c r="A546" i="71"/>
  <c r="B545" i="71"/>
  <c r="E545" i="71" s="1"/>
  <c r="K545" i="71"/>
  <c r="C545" i="71"/>
  <c r="D545" i="71" s="1"/>
  <c r="Y544" i="71"/>
  <c r="P544" i="71"/>
  <c r="Q544" i="71"/>
  <c r="S544" i="71"/>
  <c r="V542" i="71"/>
  <c r="M178" i="71"/>
  <c r="L178" i="71" s="1"/>
  <c r="N167" i="69"/>
  <c r="Z167" i="69" s="1"/>
  <c r="M167" i="69"/>
  <c r="E168" i="69"/>
  <c r="J168" i="69" s="1"/>
  <c r="B546" i="71" l="1"/>
  <c r="K546" i="71"/>
  <c r="C546" i="71"/>
  <c r="D546" i="71" s="1"/>
  <c r="N546" i="71"/>
  <c r="A547" i="71"/>
  <c r="E546" i="71"/>
  <c r="Y545" i="71"/>
  <c r="Q545" i="71" s="1"/>
  <c r="S545" i="71"/>
  <c r="P545" i="71"/>
  <c r="T544" i="71"/>
  <c r="R544" i="71"/>
  <c r="U544" i="71" s="1"/>
  <c r="V544" i="71" s="1"/>
  <c r="Z544" i="71"/>
  <c r="AB544" i="71"/>
  <c r="U543" i="71"/>
  <c r="V543" i="71"/>
  <c r="P167" i="69"/>
  <c r="D168" i="69"/>
  <c r="I168" i="69" s="1"/>
  <c r="L166" i="69"/>
  <c r="B547" i="71" l="1"/>
  <c r="E547" i="71" s="1"/>
  <c r="K547" i="71"/>
  <c r="N547" i="71"/>
  <c r="A548" i="71"/>
  <c r="C547" i="71"/>
  <c r="D547" i="71" s="1"/>
  <c r="S546" i="71"/>
  <c r="Y546" i="71"/>
  <c r="Q546" i="71" s="1"/>
  <c r="P546" i="71"/>
  <c r="Z545" i="71"/>
  <c r="R545" i="71"/>
  <c r="AB545" i="71"/>
  <c r="T545" i="71"/>
  <c r="K168" i="69"/>
  <c r="C169" i="69" s="1"/>
  <c r="H168" i="69"/>
  <c r="R546" i="71" l="1"/>
  <c r="U546" i="71" s="1"/>
  <c r="Z546" i="71"/>
  <c r="AB546" i="71"/>
  <c r="T546" i="71"/>
  <c r="A549" i="71"/>
  <c r="K548" i="71"/>
  <c r="B548" i="71"/>
  <c r="E548" i="71" s="1"/>
  <c r="C548" i="71"/>
  <c r="D548" i="71" s="1"/>
  <c r="N548" i="71"/>
  <c r="P547" i="71"/>
  <c r="Y547" i="71"/>
  <c r="Q547" i="71" s="1"/>
  <c r="S547" i="71"/>
  <c r="U545" i="71"/>
  <c r="V545" i="71"/>
  <c r="M179" i="71"/>
  <c r="L179" i="71" s="1"/>
  <c r="B169" i="69"/>
  <c r="E169" i="69" s="1"/>
  <c r="J169" i="69" s="1"/>
  <c r="A168" i="69"/>
  <c r="N549" i="71" l="1"/>
  <c r="C549" i="71"/>
  <c r="D549" i="71" s="1"/>
  <c r="A550" i="71"/>
  <c r="K549" i="71"/>
  <c r="B549" i="71"/>
  <c r="E549" i="71" s="1"/>
  <c r="R547" i="71"/>
  <c r="U547" i="71" s="1"/>
  <c r="AB547" i="71"/>
  <c r="T547" i="71"/>
  <c r="Z547" i="71"/>
  <c r="P548" i="71"/>
  <c r="Y548" i="71"/>
  <c r="S548" i="71"/>
  <c r="Q548" i="71"/>
  <c r="V546" i="71"/>
  <c r="N168" i="69"/>
  <c r="Z168" i="69" s="1"/>
  <c r="M168" i="69"/>
  <c r="D169" i="69"/>
  <c r="V547" i="71" l="1"/>
  <c r="C550" i="71"/>
  <c r="D550" i="71" s="1"/>
  <c r="B550" i="71"/>
  <c r="E550" i="71" s="1"/>
  <c r="K550" i="71"/>
  <c r="N550" i="71"/>
  <c r="A551" i="71"/>
  <c r="AB548" i="71"/>
  <c r="T548" i="71"/>
  <c r="R548" i="71"/>
  <c r="U548" i="71" s="1"/>
  <c r="Z548" i="71"/>
  <c r="P549" i="71"/>
  <c r="S549" i="71"/>
  <c r="Y549" i="71"/>
  <c r="Q549" i="71" s="1"/>
  <c r="P168" i="69"/>
  <c r="I169" i="69"/>
  <c r="H169" i="69"/>
  <c r="K169" i="69"/>
  <c r="L167" i="69"/>
  <c r="P550" i="71" l="1"/>
  <c r="Y550" i="71"/>
  <c r="Q550" i="71"/>
  <c r="S550" i="71"/>
  <c r="R549" i="71"/>
  <c r="T549" i="71"/>
  <c r="Z549" i="71"/>
  <c r="AB549" i="71"/>
  <c r="N551" i="71"/>
  <c r="B551" i="71"/>
  <c r="E551" i="71" s="1"/>
  <c r="C551" i="71"/>
  <c r="D551" i="71" s="1"/>
  <c r="A552" i="71"/>
  <c r="K551" i="71"/>
  <c r="V548" i="71"/>
  <c r="C170" i="69"/>
  <c r="A169" i="69"/>
  <c r="B170" i="69"/>
  <c r="C552" i="71" l="1"/>
  <c r="D552" i="71" s="1"/>
  <c r="A553" i="71"/>
  <c r="N552" i="71"/>
  <c r="K552" i="71"/>
  <c r="B552" i="71"/>
  <c r="E552" i="71" s="1"/>
  <c r="R550" i="71"/>
  <c r="AB550" i="71"/>
  <c r="T550" i="71"/>
  <c r="Z550" i="71"/>
  <c r="U549" i="71"/>
  <c r="V549" i="71"/>
  <c r="S551" i="71"/>
  <c r="P551" i="71"/>
  <c r="Y551" i="71"/>
  <c r="Q551" i="71" s="1"/>
  <c r="M180" i="71"/>
  <c r="L180" i="71" s="1"/>
  <c r="N169" i="69"/>
  <c r="Z169" i="69" s="1"/>
  <c r="M169" i="69"/>
  <c r="E170" i="69"/>
  <c r="J170" i="69" s="1"/>
  <c r="R551" i="71" l="1"/>
  <c r="AB551" i="71"/>
  <c r="T551" i="71"/>
  <c r="Z551" i="71"/>
  <c r="Y552" i="71"/>
  <c r="Q552" i="71" s="1"/>
  <c r="P552" i="71"/>
  <c r="S552" i="71"/>
  <c r="U550" i="71"/>
  <c r="V550" i="71"/>
  <c r="A554" i="71"/>
  <c r="B553" i="71"/>
  <c r="E553" i="71" s="1"/>
  <c r="N553" i="71"/>
  <c r="K553" i="71"/>
  <c r="C553" i="71"/>
  <c r="D553" i="71" s="1"/>
  <c r="P169" i="69"/>
  <c r="D170" i="69"/>
  <c r="I170" i="69" s="1"/>
  <c r="R552" i="71" l="1"/>
  <c r="AB552" i="71"/>
  <c r="T552" i="71"/>
  <c r="Z552" i="71"/>
  <c r="S553" i="71"/>
  <c r="P553" i="71"/>
  <c r="Y553" i="71"/>
  <c r="Q553" i="71" s="1"/>
  <c r="N554" i="71"/>
  <c r="K554" i="71"/>
  <c r="A555" i="71"/>
  <c r="B554" i="71"/>
  <c r="E554" i="71" s="1"/>
  <c r="C554" i="71"/>
  <c r="D554" i="71" s="1"/>
  <c r="U551" i="71"/>
  <c r="V551" i="71"/>
  <c r="K170" i="69"/>
  <c r="B171" i="69" s="1"/>
  <c r="H170" i="69"/>
  <c r="L168" i="69"/>
  <c r="T553" i="71" l="1"/>
  <c r="R553" i="71"/>
  <c r="AB553" i="71"/>
  <c r="Z553" i="71"/>
  <c r="S554" i="71"/>
  <c r="Y554" i="71"/>
  <c r="Q554" i="71" s="1"/>
  <c r="P554" i="71"/>
  <c r="A556" i="71"/>
  <c r="B555" i="71"/>
  <c r="E555" i="71"/>
  <c r="K555" i="71"/>
  <c r="N555" i="71"/>
  <c r="C555" i="71"/>
  <c r="D555" i="71" s="1"/>
  <c r="U552" i="71"/>
  <c r="V552" i="71" s="1"/>
  <c r="M181" i="71"/>
  <c r="L181" i="71" s="1"/>
  <c r="C171" i="69"/>
  <c r="A170" i="69"/>
  <c r="E171" i="69"/>
  <c r="J171" i="69" s="1"/>
  <c r="R554" i="71" l="1"/>
  <c r="AB554" i="71"/>
  <c r="T554" i="71"/>
  <c r="Z554" i="71"/>
  <c r="Y555" i="71"/>
  <c r="Q555" i="71" s="1"/>
  <c r="P555" i="71"/>
  <c r="S555" i="71"/>
  <c r="U553" i="71"/>
  <c r="V553" i="71"/>
  <c r="N556" i="71"/>
  <c r="K556" i="71"/>
  <c r="B556" i="71"/>
  <c r="C556" i="71"/>
  <c r="D556" i="71" s="1"/>
  <c r="E556" i="71"/>
  <c r="A557" i="71"/>
  <c r="N170" i="69"/>
  <c r="Z170" i="69" s="1"/>
  <c r="M170" i="69"/>
  <c r="D171" i="69"/>
  <c r="K171" i="69" s="1"/>
  <c r="R555" i="71" l="1"/>
  <c r="U555" i="71" s="1"/>
  <c r="AB555" i="71"/>
  <c r="T555" i="71"/>
  <c r="Z555" i="71"/>
  <c r="A558" i="71"/>
  <c r="C557" i="71"/>
  <c r="D557" i="71" s="1"/>
  <c r="E557" i="71"/>
  <c r="K557" i="71"/>
  <c r="B557" i="71"/>
  <c r="N557" i="71"/>
  <c r="S556" i="71"/>
  <c r="P556" i="71"/>
  <c r="Y556" i="71"/>
  <c r="Q556" i="71"/>
  <c r="V554" i="71"/>
  <c r="U554" i="71"/>
  <c r="M182" i="71"/>
  <c r="L182" i="71" s="1"/>
  <c r="P170" i="69"/>
  <c r="H171" i="69"/>
  <c r="I171" i="69"/>
  <c r="C172" i="69"/>
  <c r="A171" i="69"/>
  <c r="B172" i="69"/>
  <c r="N558" i="71" l="1"/>
  <c r="K558" i="71"/>
  <c r="A559" i="71"/>
  <c r="C558" i="71"/>
  <c r="D558" i="71" s="1"/>
  <c r="B558" i="71"/>
  <c r="E558" i="71" s="1"/>
  <c r="Z556" i="71"/>
  <c r="R556" i="71"/>
  <c r="U556" i="71" s="1"/>
  <c r="V556" i="71" s="1"/>
  <c r="AB556" i="71"/>
  <c r="T556" i="71"/>
  <c r="P557" i="71"/>
  <c r="Y557" i="71"/>
  <c r="Q557" i="71" s="1"/>
  <c r="S557" i="71"/>
  <c r="V555" i="71"/>
  <c r="N171" i="69"/>
  <c r="Z171" i="69" s="1"/>
  <c r="M171" i="69"/>
  <c r="E172" i="69"/>
  <c r="J172" i="69" s="1"/>
  <c r="L169" i="69"/>
  <c r="AB557" i="71" l="1"/>
  <c r="Z557" i="71"/>
  <c r="R557" i="71"/>
  <c r="T557" i="71"/>
  <c r="N559" i="71"/>
  <c r="C559" i="71"/>
  <c r="D559" i="71" s="1"/>
  <c r="K559" i="71"/>
  <c r="A560" i="71"/>
  <c r="B559" i="71"/>
  <c r="E559" i="71" s="1"/>
  <c r="P558" i="71"/>
  <c r="Y558" i="71"/>
  <c r="Q558" i="71"/>
  <c r="S558" i="71"/>
  <c r="P171" i="69"/>
  <c r="D172" i="69"/>
  <c r="C560" i="71" l="1"/>
  <c r="D560" i="71" s="1"/>
  <c r="B560" i="71"/>
  <c r="A561" i="71"/>
  <c r="K560" i="71"/>
  <c r="E560" i="71"/>
  <c r="N560" i="71"/>
  <c r="P559" i="71"/>
  <c r="Y559" i="71"/>
  <c r="Q559" i="71" s="1"/>
  <c r="S559" i="71"/>
  <c r="U557" i="71"/>
  <c r="V557" i="71"/>
  <c r="AB558" i="71"/>
  <c r="R558" i="71"/>
  <c r="T558" i="71"/>
  <c r="Z558" i="71"/>
  <c r="H172" i="69"/>
  <c r="I172" i="69"/>
  <c r="K172" i="69"/>
  <c r="Y560" i="71" l="1"/>
  <c r="Q560" i="71" s="1"/>
  <c r="P560" i="71"/>
  <c r="S560" i="71"/>
  <c r="V558" i="71"/>
  <c r="U558" i="71"/>
  <c r="AB559" i="71"/>
  <c r="R559" i="71"/>
  <c r="T559" i="71"/>
  <c r="Z559" i="71"/>
  <c r="B561" i="71"/>
  <c r="E561" i="71" s="1"/>
  <c r="A562" i="71"/>
  <c r="N561" i="71"/>
  <c r="C561" i="71"/>
  <c r="D561" i="71" s="1"/>
  <c r="K561" i="71"/>
  <c r="M183" i="71"/>
  <c r="L183" i="71" s="1"/>
  <c r="B173" i="69"/>
  <c r="C173" i="69"/>
  <c r="A172" i="69"/>
  <c r="U559" i="71" l="1"/>
  <c r="V559" i="71" s="1"/>
  <c r="P561" i="71"/>
  <c r="Y561" i="71"/>
  <c r="Q561" i="71" s="1"/>
  <c r="S561" i="71"/>
  <c r="A563" i="71"/>
  <c r="K562" i="71"/>
  <c r="C562" i="71"/>
  <c r="D562" i="71" s="1"/>
  <c r="B562" i="71"/>
  <c r="E562" i="71" s="1"/>
  <c r="N562" i="71"/>
  <c r="Z560" i="71"/>
  <c r="R560" i="71"/>
  <c r="T560" i="71"/>
  <c r="AB560" i="71"/>
  <c r="N172" i="69"/>
  <c r="Z172" i="69" s="1"/>
  <c r="M172" i="69"/>
  <c r="L170" i="69"/>
  <c r="E173" i="69"/>
  <c r="J173" i="69" s="1"/>
  <c r="U560" i="71" l="1"/>
  <c r="V560" i="71"/>
  <c r="S562" i="71"/>
  <c r="P562" i="71"/>
  <c r="Y562" i="71"/>
  <c r="Q562" i="71" s="1"/>
  <c r="C563" i="71"/>
  <c r="D563" i="71" s="1"/>
  <c r="K563" i="71"/>
  <c r="B563" i="71"/>
  <c r="E563" i="71"/>
  <c r="A564" i="71"/>
  <c r="N563" i="71"/>
  <c r="R561" i="71"/>
  <c r="AB561" i="71"/>
  <c r="Z561" i="71"/>
  <c r="T561" i="71"/>
  <c r="P172" i="69"/>
  <c r="D173" i="69"/>
  <c r="T562" i="71" l="1"/>
  <c r="R562" i="71"/>
  <c r="AB562" i="71"/>
  <c r="Z562" i="71"/>
  <c r="U561" i="71"/>
  <c r="V561" i="71"/>
  <c r="B564" i="71"/>
  <c r="E564" i="71" s="1"/>
  <c r="C564" i="71"/>
  <c r="D564" i="71" s="1"/>
  <c r="A565" i="71"/>
  <c r="K564" i="71"/>
  <c r="N564" i="71"/>
  <c r="P563" i="71"/>
  <c r="S563" i="71"/>
  <c r="Y563" i="71"/>
  <c r="Q563" i="71" s="1"/>
  <c r="I173" i="69"/>
  <c r="H173" i="69"/>
  <c r="K173" i="69"/>
  <c r="T563" i="71" l="1"/>
  <c r="R563" i="71"/>
  <c r="U563" i="71" s="1"/>
  <c r="V563" i="71" s="1"/>
  <c r="Z563" i="71"/>
  <c r="AB563" i="71"/>
  <c r="Y564" i="71"/>
  <c r="Q564" i="71" s="1"/>
  <c r="S564" i="71"/>
  <c r="P564" i="71"/>
  <c r="U562" i="71"/>
  <c r="V562" i="71" s="1"/>
  <c r="N565" i="71"/>
  <c r="K565" i="71"/>
  <c r="A566" i="71"/>
  <c r="C565" i="71"/>
  <c r="D565" i="71" s="1"/>
  <c r="B565" i="71"/>
  <c r="E565" i="71" s="1"/>
  <c r="M184" i="71"/>
  <c r="L184" i="71" s="1"/>
  <c r="C174" i="69"/>
  <c r="A173" i="69"/>
  <c r="B174" i="69"/>
  <c r="AB564" i="71" l="1"/>
  <c r="T564" i="71"/>
  <c r="Z564" i="71"/>
  <c r="R564" i="71"/>
  <c r="P565" i="71"/>
  <c r="Y565" i="71"/>
  <c r="Q565" i="71" s="1"/>
  <c r="S565" i="71"/>
  <c r="C566" i="71"/>
  <c r="D566" i="71" s="1"/>
  <c r="N566" i="71"/>
  <c r="A567" i="71"/>
  <c r="B566" i="71"/>
  <c r="E566" i="71" s="1"/>
  <c r="K566" i="71"/>
  <c r="N173" i="69"/>
  <c r="Z173" i="69" s="1"/>
  <c r="M173" i="69"/>
  <c r="L171" i="69"/>
  <c r="E174" i="69"/>
  <c r="J174" i="69" s="1"/>
  <c r="V564" i="71" l="1"/>
  <c r="U564" i="71"/>
  <c r="Z565" i="71"/>
  <c r="AB565" i="71"/>
  <c r="T565" i="71"/>
  <c r="R565" i="71"/>
  <c r="C567" i="71"/>
  <c r="D567" i="71" s="1"/>
  <c r="A568" i="71"/>
  <c r="K567" i="71"/>
  <c r="N567" i="71"/>
  <c r="B567" i="71"/>
  <c r="E567" i="71" s="1"/>
  <c r="P566" i="71"/>
  <c r="Y566" i="71"/>
  <c r="Q566" i="71"/>
  <c r="S566" i="71"/>
  <c r="P173" i="69"/>
  <c r="D174" i="69"/>
  <c r="H174" i="69" s="1"/>
  <c r="R566" i="71" l="1"/>
  <c r="U566" i="71" s="1"/>
  <c r="T566" i="71"/>
  <c r="Z566" i="71"/>
  <c r="AB566" i="71"/>
  <c r="U565" i="71"/>
  <c r="V565" i="71" s="1"/>
  <c r="S567" i="71"/>
  <c r="Y567" i="71"/>
  <c r="Q567" i="71" s="1"/>
  <c r="P567" i="71"/>
  <c r="B568" i="71"/>
  <c r="C568" i="71"/>
  <c r="D568" i="71" s="1"/>
  <c r="A569" i="71"/>
  <c r="K568" i="71"/>
  <c r="E568" i="71"/>
  <c r="N568" i="71"/>
  <c r="M185" i="71"/>
  <c r="L185" i="71" s="1"/>
  <c r="K174" i="69"/>
  <c r="B175" i="69" s="1"/>
  <c r="I174" i="69"/>
  <c r="A570" i="71" l="1"/>
  <c r="N569" i="71"/>
  <c r="C569" i="71"/>
  <c r="D569" i="71" s="1"/>
  <c r="B569" i="71"/>
  <c r="E569" i="71" s="1"/>
  <c r="K569" i="71"/>
  <c r="Y568" i="71"/>
  <c r="Q568" i="71" s="1"/>
  <c r="S568" i="71"/>
  <c r="P568" i="71"/>
  <c r="R567" i="71"/>
  <c r="T567" i="71"/>
  <c r="AB567" i="71"/>
  <c r="Z567" i="71"/>
  <c r="V566" i="71"/>
  <c r="A174" i="69"/>
  <c r="C175" i="69"/>
  <c r="E175" i="69"/>
  <c r="J175" i="69" s="1"/>
  <c r="R568" i="71" l="1"/>
  <c r="U568" i="71" s="1"/>
  <c r="Z568" i="71"/>
  <c r="AB568" i="71"/>
  <c r="T568" i="71"/>
  <c r="U567" i="71"/>
  <c r="V567" i="71" s="1"/>
  <c r="Y569" i="71"/>
  <c r="Q569" i="71" s="1"/>
  <c r="S569" i="71"/>
  <c r="P569" i="71"/>
  <c r="N570" i="71"/>
  <c r="A571" i="71"/>
  <c r="C570" i="71"/>
  <c r="D570" i="71" s="1"/>
  <c r="K570" i="71"/>
  <c r="B570" i="71"/>
  <c r="E570" i="71" s="1"/>
  <c r="N174" i="69"/>
  <c r="Z174" i="69" s="1"/>
  <c r="M174" i="69"/>
  <c r="L172" i="69"/>
  <c r="D175" i="69"/>
  <c r="T569" i="71" l="1"/>
  <c r="R569" i="71"/>
  <c r="Z569" i="71"/>
  <c r="AB569" i="71"/>
  <c r="A572" i="71"/>
  <c r="B571" i="71"/>
  <c r="E571" i="71" s="1"/>
  <c r="C571" i="71"/>
  <c r="D571" i="71" s="1"/>
  <c r="K571" i="71"/>
  <c r="N571" i="71"/>
  <c r="Y570" i="71"/>
  <c r="Q570" i="71" s="1"/>
  <c r="P570" i="71"/>
  <c r="S570" i="71"/>
  <c r="V568" i="71"/>
  <c r="P174" i="69"/>
  <c r="I175" i="69"/>
  <c r="H175" i="69"/>
  <c r="K175" i="69"/>
  <c r="K572" i="71" l="1"/>
  <c r="B572" i="71"/>
  <c r="E572" i="71" s="1"/>
  <c r="C572" i="71"/>
  <c r="D572" i="71" s="1"/>
  <c r="N572" i="71"/>
  <c r="A573" i="71"/>
  <c r="S571" i="71"/>
  <c r="Y571" i="71"/>
  <c r="Q571" i="71" s="1"/>
  <c r="P571" i="71"/>
  <c r="U569" i="71"/>
  <c r="V569" i="71"/>
  <c r="R570" i="71"/>
  <c r="AB570" i="71"/>
  <c r="T570" i="71"/>
  <c r="Z570" i="71"/>
  <c r="M186" i="71"/>
  <c r="L186" i="71" s="1"/>
  <c r="C176" i="69"/>
  <c r="A175" i="69"/>
  <c r="B176" i="69"/>
  <c r="AB571" i="71" l="1"/>
  <c r="Z571" i="71"/>
  <c r="R571" i="71"/>
  <c r="U571" i="71" s="1"/>
  <c r="V571" i="71" s="1"/>
  <c r="T571" i="71"/>
  <c r="K573" i="71"/>
  <c r="C573" i="71"/>
  <c r="D573" i="71" s="1"/>
  <c r="B573" i="71"/>
  <c r="E573" i="71" s="1"/>
  <c r="A574" i="71"/>
  <c r="N573" i="71"/>
  <c r="U570" i="71"/>
  <c r="V570" i="71" s="1"/>
  <c r="S572" i="71"/>
  <c r="Y572" i="71"/>
  <c r="Q572" i="71"/>
  <c r="P572" i="71"/>
  <c r="N175" i="69"/>
  <c r="Z175" i="69" s="1"/>
  <c r="M175" i="69"/>
  <c r="E176" i="69"/>
  <c r="J176" i="69" s="1"/>
  <c r="B574" i="71" l="1"/>
  <c r="N574" i="71"/>
  <c r="E574" i="71"/>
  <c r="K574" i="71"/>
  <c r="C574" i="71"/>
  <c r="D574" i="71" s="1"/>
  <c r="A575" i="71"/>
  <c r="T572" i="71"/>
  <c r="AB572" i="71"/>
  <c r="R572" i="71"/>
  <c r="Z572" i="71"/>
  <c r="Y573" i="71"/>
  <c r="S573" i="71"/>
  <c r="Q573" i="71"/>
  <c r="P573" i="71"/>
  <c r="P175" i="69"/>
  <c r="D176" i="69"/>
  <c r="H176" i="69" s="1"/>
  <c r="L173" i="69"/>
  <c r="R573" i="71" l="1"/>
  <c r="U573" i="71" s="1"/>
  <c r="T573" i="71"/>
  <c r="Z573" i="71"/>
  <c r="AB573" i="71"/>
  <c r="P574" i="71"/>
  <c r="Y574" i="71"/>
  <c r="Q574" i="71" s="1"/>
  <c r="S574" i="71"/>
  <c r="B575" i="71"/>
  <c r="C575" i="71"/>
  <c r="D575" i="71" s="1"/>
  <c r="N575" i="71"/>
  <c r="A576" i="71"/>
  <c r="K575" i="71"/>
  <c r="E575" i="71"/>
  <c r="V572" i="71"/>
  <c r="U572" i="71"/>
  <c r="K176" i="69"/>
  <c r="B177" i="69" s="1"/>
  <c r="I176" i="69"/>
  <c r="Z574" i="71" l="1"/>
  <c r="R574" i="71"/>
  <c r="U574" i="71" s="1"/>
  <c r="V574" i="71" s="1"/>
  <c r="T574" i="71"/>
  <c r="AB574" i="71"/>
  <c r="C576" i="71"/>
  <c r="D576" i="71" s="1"/>
  <c r="A577" i="71"/>
  <c r="E576" i="71"/>
  <c r="K576" i="71"/>
  <c r="N576" i="71"/>
  <c r="B576" i="71"/>
  <c r="P575" i="71"/>
  <c r="Y575" i="71"/>
  <c r="Q575" i="71" s="1"/>
  <c r="S575" i="71"/>
  <c r="V573" i="71"/>
  <c r="M187" i="71"/>
  <c r="L187" i="71" s="1"/>
  <c r="A176" i="69"/>
  <c r="C177" i="69"/>
  <c r="E177" i="69"/>
  <c r="J177" i="69" s="1"/>
  <c r="C577" i="71" l="1"/>
  <c r="D577" i="71" s="1"/>
  <c r="K577" i="71"/>
  <c r="A578" i="71"/>
  <c r="N577" i="71"/>
  <c r="B577" i="71"/>
  <c r="E577" i="71" s="1"/>
  <c r="R575" i="71"/>
  <c r="Z575" i="71"/>
  <c r="T575" i="71"/>
  <c r="AB575" i="71"/>
  <c r="Y576" i="71"/>
  <c r="P576" i="71"/>
  <c r="Q576" i="71"/>
  <c r="S576" i="71"/>
  <c r="M176" i="69"/>
  <c r="N176" i="69"/>
  <c r="Z176" i="69" s="1"/>
  <c r="D177" i="69"/>
  <c r="U575" i="71" l="1"/>
  <c r="V575" i="71" s="1"/>
  <c r="S577" i="71"/>
  <c r="P577" i="71"/>
  <c r="Y577" i="71"/>
  <c r="Q577" i="71" s="1"/>
  <c r="N578" i="71"/>
  <c r="K578" i="71"/>
  <c r="E578" i="71"/>
  <c r="C578" i="71"/>
  <c r="D578" i="71" s="1"/>
  <c r="A579" i="71"/>
  <c r="B578" i="71"/>
  <c r="R576" i="71"/>
  <c r="U576" i="71" s="1"/>
  <c r="Z576" i="71"/>
  <c r="T576" i="71"/>
  <c r="AB576" i="71"/>
  <c r="P176" i="69"/>
  <c r="L174" i="69"/>
  <c r="I177" i="69"/>
  <c r="H177" i="69"/>
  <c r="K177" i="69"/>
  <c r="Z577" i="71" l="1"/>
  <c r="AB577" i="71"/>
  <c r="R577" i="71"/>
  <c r="T577" i="71"/>
  <c r="S578" i="71"/>
  <c r="Q578" i="71"/>
  <c r="P578" i="71"/>
  <c r="Y578" i="71"/>
  <c r="V576" i="71"/>
  <c r="A580" i="71"/>
  <c r="C579" i="71"/>
  <c r="D579" i="71" s="1"/>
  <c r="B579" i="71"/>
  <c r="E579" i="71" s="1"/>
  <c r="K579" i="71"/>
  <c r="N579" i="71"/>
  <c r="C178" i="69"/>
  <c r="A177" i="69"/>
  <c r="B178" i="69"/>
  <c r="AB578" i="71" l="1"/>
  <c r="T578" i="71"/>
  <c r="R578" i="71"/>
  <c r="Z578" i="71"/>
  <c r="S579" i="71"/>
  <c r="P579" i="71"/>
  <c r="Y579" i="71"/>
  <c r="Q579" i="71" s="1"/>
  <c r="U577" i="71"/>
  <c r="V577" i="71" s="1"/>
  <c r="A581" i="71"/>
  <c r="K580" i="71"/>
  <c r="B580" i="71"/>
  <c r="E580" i="71" s="1"/>
  <c r="C580" i="71"/>
  <c r="D580" i="71" s="1"/>
  <c r="N580" i="71"/>
  <c r="M188" i="71"/>
  <c r="L188" i="71" s="1"/>
  <c r="N177" i="69"/>
  <c r="Z177" i="69" s="1"/>
  <c r="M177" i="69"/>
  <c r="E178" i="69"/>
  <c r="J178" i="69" s="1"/>
  <c r="T579" i="71" l="1"/>
  <c r="R579" i="71"/>
  <c r="AB579" i="71"/>
  <c r="Z579" i="71"/>
  <c r="U578" i="71"/>
  <c r="V578" i="71" s="1"/>
  <c r="C581" i="71"/>
  <c r="D581" i="71" s="1"/>
  <c r="B581" i="71"/>
  <c r="E581" i="71" s="1"/>
  <c r="N581" i="71"/>
  <c r="K581" i="71"/>
  <c r="A582" i="71"/>
  <c r="Y580" i="71"/>
  <c r="Q580" i="71" s="1"/>
  <c r="P580" i="71"/>
  <c r="S580" i="71"/>
  <c r="M189" i="71"/>
  <c r="L189" i="71" s="1"/>
  <c r="P177" i="69"/>
  <c r="D178" i="69"/>
  <c r="K178" i="69" s="1"/>
  <c r="B179" i="69" s="1"/>
  <c r="L175" i="69"/>
  <c r="R580" i="71" l="1"/>
  <c r="AB580" i="71"/>
  <c r="T580" i="71"/>
  <c r="Z580" i="71"/>
  <c r="B582" i="71"/>
  <c r="K582" i="71"/>
  <c r="A583" i="71"/>
  <c r="N582" i="71"/>
  <c r="C582" i="71"/>
  <c r="D582" i="71" s="1"/>
  <c r="E582" i="71"/>
  <c r="U579" i="71"/>
  <c r="V579" i="71"/>
  <c r="P581" i="71"/>
  <c r="Y581" i="71"/>
  <c r="Q581" i="71"/>
  <c r="S581" i="71"/>
  <c r="A178" i="69"/>
  <c r="H178" i="69"/>
  <c r="C179" i="69"/>
  <c r="I178" i="69"/>
  <c r="E179" i="69"/>
  <c r="J179" i="69" s="1"/>
  <c r="P582" i="71" l="1"/>
  <c r="Y582" i="71"/>
  <c r="Q582" i="71" s="1"/>
  <c r="S582" i="71"/>
  <c r="T581" i="71"/>
  <c r="AB581" i="71"/>
  <c r="R581" i="71"/>
  <c r="Z581" i="71"/>
  <c r="N583" i="71"/>
  <c r="A584" i="71"/>
  <c r="E583" i="71"/>
  <c r="K583" i="71"/>
  <c r="B583" i="71"/>
  <c r="C583" i="71"/>
  <c r="D583" i="71" s="1"/>
  <c r="V580" i="71"/>
  <c r="U580" i="71"/>
  <c r="N178" i="69"/>
  <c r="Z178" i="69" s="1"/>
  <c r="M178" i="69"/>
  <c r="D179" i="69"/>
  <c r="P583" i="71" l="1"/>
  <c r="S583" i="71"/>
  <c r="Y583" i="71"/>
  <c r="Q583" i="71" s="1"/>
  <c r="T582" i="71"/>
  <c r="Z582" i="71"/>
  <c r="AB582" i="71"/>
  <c r="R582" i="71"/>
  <c r="U581" i="71"/>
  <c r="V581" i="71" s="1"/>
  <c r="B584" i="71"/>
  <c r="E584" i="71" s="1"/>
  <c r="A585" i="71"/>
  <c r="C584" i="71"/>
  <c r="D584" i="71" s="1"/>
  <c r="N584" i="71"/>
  <c r="K584" i="71"/>
  <c r="P178" i="69"/>
  <c r="I179" i="69"/>
  <c r="H179" i="69"/>
  <c r="K179" i="69"/>
  <c r="T583" i="71" l="1"/>
  <c r="Z583" i="71"/>
  <c r="R583" i="71"/>
  <c r="AB583" i="71"/>
  <c r="U582" i="71"/>
  <c r="V582" i="71"/>
  <c r="N585" i="71"/>
  <c r="C585" i="71"/>
  <c r="D585" i="71" s="1"/>
  <c r="K585" i="71"/>
  <c r="A586" i="71"/>
  <c r="B585" i="71"/>
  <c r="E585" i="71" s="1"/>
  <c r="Y584" i="71"/>
  <c r="S584" i="71"/>
  <c r="Q584" i="71"/>
  <c r="P584" i="71"/>
  <c r="M190" i="71"/>
  <c r="L190" i="71" s="1"/>
  <c r="C180" i="69"/>
  <c r="A179" i="69"/>
  <c r="B180" i="69"/>
  <c r="L176" i="69"/>
  <c r="S585" i="71" l="1"/>
  <c r="Y585" i="71"/>
  <c r="Q585" i="71" s="1"/>
  <c r="P585" i="71"/>
  <c r="T584" i="71"/>
  <c r="R584" i="71"/>
  <c r="Z584" i="71"/>
  <c r="AB584" i="71"/>
  <c r="U583" i="71"/>
  <c r="V583" i="71" s="1"/>
  <c r="A587" i="71"/>
  <c r="C586" i="71"/>
  <c r="D586" i="71" s="1"/>
  <c r="B586" i="71"/>
  <c r="E586" i="71" s="1"/>
  <c r="N586" i="71"/>
  <c r="K586" i="71"/>
  <c r="N179" i="69"/>
  <c r="Z179" i="69" s="1"/>
  <c r="M179" i="69"/>
  <c r="E180" i="69"/>
  <c r="J180" i="69" s="1"/>
  <c r="R585" i="71" l="1"/>
  <c r="Z585" i="71"/>
  <c r="AB585" i="71"/>
  <c r="T585" i="71"/>
  <c r="S586" i="71"/>
  <c r="P586" i="71"/>
  <c r="Y586" i="71"/>
  <c r="Q586" i="71" s="1"/>
  <c r="U584" i="71"/>
  <c r="V584" i="71" s="1"/>
  <c r="A588" i="71"/>
  <c r="B587" i="71"/>
  <c r="N587" i="71"/>
  <c r="E587" i="71"/>
  <c r="K587" i="71"/>
  <c r="C587" i="71"/>
  <c r="D587" i="71" s="1"/>
  <c r="P179" i="69"/>
  <c r="D180" i="69"/>
  <c r="AB586" i="71" l="1"/>
  <c r="T586" i="71"/>
  <c r="Z586" i="71"/>
  <c r="R586" i="71"/>
  <c r="S587" i="71"/>
  <c r="P587" i="71"/>
  <c r="Y587" i="71"/>
  <c r="Q587" i="71" s="1"/>
  <c r="A589" i="71"/>
  <c r="K588" i="71"/>
  <c r="N588" i="71"/>
  <c r="B588" i="71"/>
  <c r="E588" i="71" s="1"/>
  <c r="C588" i="71"/>
  <c r="D588" i="71" s="1"/>
  <c r="U585" i="71"/>
  <c r="V585" i="71"/>
  <c r="H180" i="69"/>
  <c r="I180" i="69"/>
  <c r="K180" i="69"/>
  <c r="AB587" i="71" l="1"/>
  <c r="T587" i="71"/>
  <c r="R587" i="71"/>
  <c r="Z587" i="71"/>
  <c r="U586" i="71"/>
  <c r="V586" i="71"/>
  <c r="P588" i="71"/>
  <c r="Y588" i="71"/>
  <c r="Q588" i="71" s="1"/>
  <c r="S588" i="71"/>
  <c r="N589" i="71"/>
  <c r="B589" i="71"/>
  <c r="E589" i="71" s="1"/>
  <c r="A590" i="71"/>
  <c r="C589" i="71"/>
  <c r="D589" i="71" s="1"/>
  <c r="K589" i="71"/>
  <c r="M191" i="71"/>
  <c r="L191" i="71" s="1"/>
  <c r="L177" i="69"/>
  <c r="B181" i="69"/>
  <c r="A180" i="69"/>
  <c r="C181" i="69"/>
  <c r="Z588" i="71" l="1"/>
  <c r="AB588" i="71"/>
  <c r="R588" i="71"/>
  <c r="U588" i="71" s="1"/>
  <c r="T588" i="71"/>
  <c r="C590" i="71"/>
  <c r="D590" i="71" s="1"/>
  <c r="B590" i="71"/>
  <c r="N590" i="71"/>
  <c r="E590" i="71"/>
  <c r="K590" i="71"/>
  <c r="A591" i="71"/>
  <c r="U587" i="71"/>
  <c r="V587" i="71"/>
  <c r="Y589" i="71"/>
  <c r="S589" i="71"/>
  <c r="P589" i="71"/>
  <c r="Q589" i="71"/>
  <c r="N180" i="69"/>
  <c r="Z180" i="69" s="1"/>
  <c r="M180" i="69"/>
  <c r="E181" i="69"/>
  <c r="J181" i="69" s="1"/>
  <c r="T589" i="71" l="1"/>
  <c r="Z589" i="71"/>
  <c r="AB589" i="71"/>
  <c r="R589" i="71"/>
  <c r="V588" i="71"/>
  <c r="A592" i="71"/>
  <c r="B591" i="71"/>
  <c r="E591" i="71"/>
  <c r="C591" i="71"/>
  <c r="D591" i="71" s="1"/>
  <c r="K591" i="71"/>
  <c r="N591" i="71"/>
  <c r="Y590" i="71"/>
  <c r="Q590" i="71" s="1"/>
  <c r="S590" i="71"/>
  <c r="P590" i="71"/>
  <c r="P180" i="69"/>
  <c r="D181" i="69"/>
  <c r="I181" i="69" s="1"/>
  <c r="L178" i="69"/>
  <c r="R590" i="71" l="1"/>
  <c r="AB590" i="71"/>
  <c r="T590" i="71"/>
  <c r="Z590" i="71"/>
  <c r="B592" i="71"/>
  <c r="E592" i="71" s="1"/>
  <c r="A593" i="71"/>
  <c r="C592" i="71"/>
  <c r="D592" i="71" s="1"/>
  <c r="N592" i="71"/>
  <c r="K592" i="71"/>
  <c r="U589" i="71"/>
  <c r="V589" i="71" s="1"/>
  <c r="S591" i="71"/>
  <c r="Y591" i="71"/>
  <c r="Q591" i="71" s="1"/>
  <c r="P591" i="71"/>
  <c r="M192" i="71"/>
  <c r="L192" i="71" s="1"/>
  <c r="K181" i="69"/>
  <c r="C182" i="69" s="1"/>
  <c r="H181" i="69"/>
  <c r="P592" i="71" l="1"/>
  <c r="S592" i="71"/>
  <c r="Y592" i="71"/>
  <c r="Q592" i="71" s="1"/>
  <c r="AB591" i="71"/>
  <c r="R591" i="71"/>
  <c r="U591" i="71" s="1"/>
  <c r="T591" i="71"/>
  <c r="Z591" i="71"/>
  <c r="A594" i="71"/>
  <c r="N593" i="71"/>
  <c r="C593" i="71"/>
  <c r="D593" i="71" s="1"/>
  <c r="B593" i="71"/>
  <c r="E593" i="71" s="1"/>
  <c r="K593" i="71"/>
  <c r="U590" i="71"/>
  <c r="V590" i="71"/>
  <c r="B182" i="69"/>
  <c r="E182" i="69" s="1"/>
  <c r="J182" i="69" s="1"/>
  <c r="A181" i="69"/>
  <c r="Z592" i="71" l="1"/>
  <c r="R592" i="71"/>
  <c r="T592" i="71"/>
  <c r="AB592" i="71"/>
  <c r="V591" i="71"/>
  <c r="Q593" i="71"/>
  <c r="S593" i="71"/>
  <c r="P593" i="71"/>
  <c r="Y593" i="71"/>
  <c r="N594" i="71"/>
  <c r="K594" i="71"/>
  <c r="B594" i="71"/>
  <c r="E594" i="71" s="1"/>
  <c r="A595" i="71"/>
  <c r="C594" i="71"/>
  <c r="D594" i="71" s="1"/>
  <c r="N181" i="69"/>
  <c r="Z181" i="69" s="1"/>
  <c r="M181" i="69"/>
  <c r="D182" i="69"/>
  <c r="H182" i="69" s="1"/>
  <c r="Z593" i="71" l="1"/>
  <c r="T593" i="71"/>
  <c r="R593" i="71"/>
  <c r="AB593" i="71"/>
  <c r="P594" i="71"/>
  <c r="Y594" i="71"/>
  <c r="Q594" i="71" s="1"/>
  <c r="S594" i="71"/>
  <c r="U592" i="71"/>
  <c r="V592" i="71"/>
  <c r="A596" i="71"/>
  <c r="B595" i="71"/>
  <c r="E595" i="71" s="1"/>
  <c r="C595" i="71"/>
  <c r="D595" i="71" s="1"/>
  <c r="K595" i="71"/>
  <c r="N595" i="71"/>
  <c r="P181" i="69"/>
  <c r="I182" i="69"/>
  <c r="K182" i="69"/>
  <c r="B183" i="69" s="1"/>
  <c r="L179" i="69"/>
  <c r="Z594" i="71" l="1"/>
  <c r="AB594" i="71"/>
  <c r="T594" i="71"/>
  <c r="R594" i="71"/>
  <c r="U593" i="71"/>
  <c r="V593" i="71" s="1"/>
  <c r="Y595" i="71"/>
  <c r="Q595" i="71" s="1"/>
  <c r="S595" i="71"/>
  <c r="P595" i="71"/>
  <c r="N596" i="71"/>
  <c r="K596" i="71"/>
  <c r="A597" i="71"/>
  <c r="B596" i="71"/>
  <c r="E596" i="71" s="1"/>
  <c r="C596" i="71"/>
  <c r="D596" i="71" s="1"/>
  <c r="M193" i="71"/>
  <c r="L193" i="71" s="1"/>
  <c r="A182" i="69"/>
  <c r="C183" i="69"/>
  <c r="E183" i="69"/>
  <c r="J183" i="69" s="1"/>
  <c r="R595" i="71" l="1"/>
  <c r="AB595" i="71"/>
  <c r="Z595" i="71"/>
  <c r="T595" i="71"/>
  <c r="N597" i="71"/>
  <c r="A598" i="71"/>
  <c r="C597" i="71"/>
  <c r="D597" i="71" s="1"/>
  <c r="K597" i="71"/>
  <c r="B597" i="71"/>
  <c r="E597" i="71" s="1"/>
  <c r="U594" i="71"/>
  <c r="V594" i="71"/>
  <c r="Y596" i="71"/>
  <c r="S596" i="71"/>
  <c r="P596" i="71"/>
  <c r="Q596" i="71"/>
  <c r="N182" i="69"/>
  <c r="Z182" i="69" s="1"/>
  <c r="M182" i="69"/>
  <c r="D183" i="69"/>
  <c r="I183" i="69" s="1"/>
  <c r="R596" i="71" l="1"/>
  <c r="U596" i="71" s="1"/>
  <c r="AB596" i="71"/>
  <c r="T596" i="71"/>
  <c r="Z596" i="71"/>
  <c r="A599" i="71"/>
  <c r="C598" i="71"/>
  <c r="D598" i="71" s="1"/>
  <c r="K598" i="71"/>
  <c r="B598" i="71"/>
  <c r="E598" i="71" s="1"/>
  <c r="N598" i="71"/>
  <c r="Y597" i="71"/>
  <c r="Q597" i="71" s="1"/>
  <c r="S597" i="71"/>
  <c r="P597" i="71"/>
  <c r="U595" i="71"/>
  <c r="V595" i="71" s="1"/>
  <c r="P182" i="69"/>
  <c r="K183" i="69"/>
  <c r="C184" i="69" s="1"/>
  <c r="H183" i="69"/>
  <c r="C599" i="71" l="1"/>
  <c r="D599" i="71" s="1"/>
  <c r="A600" i="71"/>
  <c r="B599" i="71"/>
  <c r="E599" i="71" s="1"/>
  <c r="N599" i="71"/>
  <c r="K599" i="71"/>
  <c r="T597" i="71"/>
  <c r="AB597" i="71"/>
  <c r="R597" i="71"/>
  <c r="Z597" i="71"/>
  <c r="Y598" i="71"/>
  <c r="S598" i="71"/>
  <c r="P598" i="71"/>
  <c r="Q598" i="71"/>
  <c r="V596" i="71"/>
  <c r="M194" i="71"/>
  <c r="L194" i="71" s="1"/>
  <c r="B184" i="69"/>
  <c r="E184" i="69" s="1"/>
  <c r="J184" i="69" s="1"/>
  <c r="A183" i="69"/>
  <c r="L180" i="69"/>
  <c r="U597" i="71" l="1"/>
  <c r="V597" i="71"/>
  <c r="Y599" i="71"/>
  <c r="Q599" i="71" s="1"/>
  <c r="P599" i="71"/>
  <c r="S599" i="71"/>
  <c r="K600" i="71"/>
  <c r="B600" i="71"/>
  <c r="E600" i="71" s="1"/>
  <c r="C600" i="71"/>
  <c r="D600" i="71" s="1"/>
  <c r="A601" i="71"/>
  <c r="N600" i="71"/>
  <c r="T598" i="71"/>
  <c r="R598" i="71"/>
  <c r="Z598" i="71"/>
  <c r="AB598" i="71"/>
  <c r="N183" i="69"/>
  <c r="Z183" i="69" s="1"/>
  <c r="M183" i="69"/>
  <c r="D184" i="69"/>
  <c r="H184" i="69" s="1"/>
  <c r="U598" i="71" l="1"/>
  <c r="V598" i="71"/>
  <c r="AB599" i="71"/>
  <c r="R599" i="71"/>
  <c r="Z599" i="71"/>
  <c r="T599" i="71"/>
  <c r="P600" i="71"/>
  <c r="S600" i="71"/>
  <c r="Y600" i="71"/>
  <c r="Q600" i="71" s="1"/>
  <c r="N601" i="71"/>
  <c r="C601" i="71"/>
  <c r="D601" i="71" s="1"/>
  <c r="K601" i="71"/>
  <c r="B601" i="71"/>
  <c r="E601" i="71" s="1"/>
  <c r="A602" i="71"/>
  <c r="P183" i="69"/>
  <c r="K184" i="69"/>
  <c r="B185" i="69" s="1"/>
  <c r="I184" i="69"/>
  <c r="U599" i="71" l="1"/>
  <c r="V599" i="71" s="1"/>
  <c r="N602" i="71"/>
  <c r="A603" i="71"/>
  <c r="C602" i="71"/>
  <c r="D602" i="71" s="1"/>
  <c r="K602" i="71"/>
  <c r="B602" i="71"/>
  <c r="E602" i="71" s="1"/>
  <c r="P601" i="71"/>
  <c r="S601" i="71"/>
  <c r="Y601" i="71"/>
  <c r="Q601" i="71" s="1"/>
  <c r="AB600" i="71"/>
  <c r="R600" i="71"/>
  <c r="T600" i="71"/>
  <c r="Z600" i="71"/>
  <c r="M195" i="71"/>
  <c r="L195" i="71" s="1"/>
  <c r="C185" i="69"/>
  <c r="A184" i="69"/>
  <c r="E185" i="69"/>
  <c r="J185" i="69" s="1"/>
  <c r="U600" i="71" l="1"/>
  <c r="V600" i="71" s="1"/>
  <c r="C603" i="71"/>
  <c r="D603" i="71" s="1"/>
  <c r="A604" i="71"/>
  <c r="B603" i="71"/>
  <c r="E603" i="71" s="1"/>
  <c r="K603" i="71"/>
  <c r="N603" i="71"/>
  <c r="Y602" i="71"/>
  <c r="Q602" i="71" s="1"/>
  <c r="S602" i="71"/>
  <c r="P602" i="71"/>
  <c r="Z601" i="71"/>
  <c r="AB601" i="71"/>
  <c r="R601" i="71"/>
  <c r="U601" i="71" s="1"/>
  <c r="T601" i="71"/>
  <c r="N184" i="69"/>
  <c r="Z184" i="69" s="1"/>
  <c r="M184" i="69"/>
  <c r="D185" i="69"/>
  <c r="L181" i="69"/>
  <c r="P603" i="71" l="1"/>
  <c r="Y603" i="71"/>
  <c r="S603" i="71"/>
  <c r="Q603" i="71"/>
  <c r="V601" i="71"/>
  <c r="B604" i="71"/>
  <c r="E604" i="71" s="1"/>
  <c r="N604" i="71"/>
  <c r="C604" i="71"/>
  <c r="D604" i="71" s="1"/>
  <c r="A605" i="71"/>
  <c r="K604" i="71"/>
  <c r="R602" i="71"/>
  <c r="U602" i="71" s="1"/>
  <c r="AB602" i="71"/>
  <c r="T602" i="71"/>
  <c r="Z602" i="71"/>
  <c r="P184" i="69"/>
  <c r="I185" i="69"/>
  <c r="H185" i="69"/>
  <c r="K185" i="69"/>
  <c r="P604" i="71" l="1"/>
  <c r="Y604" i="71"/>
  <c r="Q604" i="71"/>
  <c r="S604" i="71"/>
  <c r="V602" i="71"/>
  <c r="T603" i="71"/>
  <c r="R603" i="71"/>
  <c r="AB603" i="71"/>
  <c r="Z603" i="71"/>
  <c r="N605" i="71"/>
  <c r="C605" i="71"/>
  <c r="D605" i="71" s="1"/>
  <c r="K605" i="71"/>
  <c r="B605" i="71"/>
  <c r="E605" i="71" s="1"/>
  <c r="A606" i="71"/>
  <c r="C186" i="69"/>
  <c r="A185" i="69"/>
  <c r="B186" i="69"/>
  <c r="U603" i="71" l="1"/>
  <c r="V603" i="71"/>
  <c r="K606" i="71"/>
  <c r="A607" i="71"/>
  <c r="C606" i="71"/>
  <c r="D606" i="71" s="1"/>
  <c r="B606" i="71"/>
  <c r="E606" i="71" s="1"/>
  <c r="N606" i="71"/>
  <c r="AB604" i="71"/>
  <c r="T604" i="71"/>
  <c r="Z604" i="71"/>
  <c r="R604" i="71"/>
  <c r="U604" i="71" s="1"/>
  <c r="V604" i="71" s="1"/>
  <c r="P605" i="71"/>
  <c r="Y605" i="71"/>
  <c r="Q605" i="71" s="1"/>
  <c r="S605" i="71"/>
  <c r="M196" i="71"/>
  <c r="L196" i="71" s="1"/>
  <c r="N185" i="69"/>
  <c r="Z185" i="69" s="1"/>
  <c r="M185" i="69"/>
  <c r="L182" i="69"/>
  <c r="E186" i="69"/>
  <c r="J186" i="69" s="1"/>
  <c r="P606" i="71" l="1"/>
  <c r="Y606" i="71"/>
  <c r="Q606" i="71" s="1"/>
  <c r="S606" i="71"/>
  <c r="R605" i="71"/>
  <c r="T605" i="71"/>
  <c r="AB605" i="71"/>
  <c r="Z605" i="71"/>
  <c r="A608" i="71"/>
  <c r="K607" i="71"/>
  <c r="N607" i="71"/>
  <c r="B607" i="71"/>
  <c r="E607" i="71" s="1"/>
  <c r="C607" i="71"/>
  <c r="D607" i="71" s="1"/>
  <c r="P185" i="69"/>
  <c r="D186" i="69"/>
  <c r="H186" i="69" s="1"/>
  <c r="T606" i="71" l="1"/>
  <c r="R606" i="71"/>
  <c r="Z606" i="71"/>
  <c r="AB606" i="71"/>
  <c r="U605" i="71"/>
  <c r="V605" i="71"/>
  <c r="S607" i="71"/>
  <c r="P607" i="71"/>
  <c r="Y607" i="71"/>
  <c r="Q607" i="71" s="1"/>
  <c r="K608" i="71"/>
  <c r="N608" i="71"/>
  <c r="B608" i="71"/>
  <c r="E608" i="71" s="1"/>
  <c r="C608" i="71"/>
  <c r="D608" i="71" s="1"/>
  <c r="A609" i="71"/>
  <c r="K186" i="69"/>
  <c r="B187" i="69" s="1"/>
  <c r="I186" i="69"/>
  <c r="S608" i="71" l="1"/>
  <c r="P608" i="71"/>
  <c r="Y608" i="71"/>
  <c r="Q608" i="71" s="1"/>
  <c r="V606" i="71"/>
  <c r="U606" i="71"/>
  <c r="C609" i="71"/>
  <c r="D609" i="71" s="1"/>
  <c r="N609" i="71"/>
  <c r="K609" i="71"/>
  <c r="A610" i="71"/>
  <c r="B609" i="71"/>
  <c r="E609" i="71" s="1"/>
  <c r="R607" i="71"/>
  <c r="Z607" i="71"/>
  <c r="AB607" i="71"/>
  <c r="T607" i="71"/>
  <c r="M197" i="71"/>
  <c r="L197" i="71" s="1"/>
  <c r="C187" i="69"/>
  <c r="A186" i="69"/>
  <c r="E187" i="69"/>
  <c r="J187" i="69" s="1"/>
  <c r="AB608" i="71" l="1"/>
  <c r="T608" i="71"/>
  <c r="R608" i="71"/>
  <c r="U608" i="71" s="1"/>
  <c r="V608" i="71" s="1"/>
  <c r="Z608" i="71"/>
  <c r="Y609" i="71"/>
  <c r="Q609" i="71" s="1"/>
  <c r="S609" i="71"/>
  <c r="P609" i="71"/>
  <c r="U607" i="71"/>
  <c r="V607" i="71" s="1"/>
  <c r="N610" i="71"/>
  <c r="K610" i="71"/>
  <c r="A611" i="71"/>
  <c r="C610" i="71"/>
  <c r="D610" i="71" s="1"/>
  <c r="B610" i="71"/>
  <c r="E610" i="71" s="1"/>
  <c r="N186" i="69"/>
  <c r="Z186" i="69" s="1"/>
  <c r="M186" i="69"/>
  <c r="L183" i="69"/>
  <c r="D187" i="69"/>
  <c r="AB609" i="71" l="1"/>
  <c r="T609" i="71"/>
  <c r="Z609" i="71"/>
  <c r="R609" i="71"/>
  <c r="A612" i="71"/>
  <c r="N611" i="71"/>
  <c r="K611" i="71"/>
  <c r="B611" i="71"/>
  <c r="E611" i="71" s="1"/>
  <c r="C611" i="71"/>
  <c r="D611" i="71" s="1"/>
  <c r="S610" i="71"/>
  <c r="P610" i="71"/>
  <c r="Y610" i="71"/>
  <c r="Q610" i="71" s="1"/>
  <c r="P186" i="69"/>
  <c r="I187" i="69"/>
  <c r="H187" i="69"/>
  <c r="K187" i="69"/>
  <c r="P611" i="71" l="1"/>
  <c r="Y611" i="71"/>
  <c r="Q611" i="71" s="1"/>
  <c r="S611" i="71"/>
  <c r="A613" i="71"/>
  <c r="N612" i="71"/>
  <c r="C612" i="71"/>
  <c r="D612" i="71" s="1"/>
  <c r="K612" i="71"/>
  <c r="B612" i="71"/>
  <c r="E612" i="71" s="1"/>
  <c r="R610" i="71"/>
  <c r="AB610" i="71"/>
  <c r="T610" i="71"/>
  <c r="Z610" i="71"/>
  <c r="U609" i="71"/>
  <c r="V609" i="71"/>
  <c r="C188" i="69"/>
  <c r="A187" i="69"/>
  <c r="B188" i="69"/>
  <c r="Z611" i="71" l="1"/>
  <c r="T611" i="71"/>
  <c r="R611" i="71"/>
  <c r="AB611" i="71"/>
  <c r="S612" i="71"/>
  <c r="Y612" i="71"/>
  <c r="Q612" i="71" s="1"/>
  <c r="P612" i="71"/>
  <c r="C613" i="71"/>
  <c r="D613" i="71" s="1"/>
  <c r="K613" i="71"/>
  <c r="B613" i="71"/>
  <c r="E613" i="71" s="1"/>
  <c r="A614" i="71"/>
  <c r="N613" i="71"/>
  <c r="U610" i="71"/>
  <c r="V610" i="71"/>
  <c r="M198" i="71"/>
  <c r="L198" i="71" s="1"/>
  <c r="N187" i="69"/>
  <c r="Z187" i="69" s="1"/>
  <c r="M187" i="69"/>
  <c r="E188" i="69"/>
  <c r="J188" i="69" s="1"/>
  <c r="Y613" i="71" l="1"/>
  <c r="Q613" i="71" s="1"/>
  <c r="S613" i="71"/>
  <c r="P613" i="71"/>
  <c r="K614" i="71"/>
  <c r="A615" i="71"/>
  <c r="C614" i="71"/>
  <c r="D614" i="71" s="1"/>
  <c r="B614" i="71"/>
  <c r="E614" i="71" s="1"/>
  <c r="N614" i="71"/>
  <c r="U611" i="71"/>
  <c r="V611" i="71"/>
  <c r="AB612" i="71"/>
  <c r="R612" i="71"/>
  <c r="T612" i="71"/>
  <c r="Z612" i="71"/>
  <c r="P187" i="69"/>
  <c r="D188" i="69"/>
  <c r="L184" i="69"/>
  <c r="C615" i="71" l="1"/>
  <c r="D615" i="71" s="1"/>
  <c r="N615" i="71"/>
  <c r="A616" i="71"/>
  <c r="K615" i="71"/>
  <c r="B615" i="71"/>
  <c r="E615" i="71" s="1"/>
  <c r="V612" i="71"/>
  <c r="U612" i="71"/>
  <c r="P614" i="71"/>
  <c r="Y614" i="71"/>
  <c r="Q614" i="71"/>
  <c r="S614" i="71"/>
  <c r="AB613" i="71"/>
  <c r="R613" i="71"/>
  <c r="T613" i="71"/>
  <c r="Z613" i="71"/>
  <c r="H188" i="69"/>
  <c r="I188" i="69"/>
  <c r="K188" i="69"/>
  <c r="U613" i="71" l="1"/>
  <c r="V613" i="71"/>
  <c r="C616" i="71"/>
  <c r="D616" i="71" s="1"/>
  <c r="A617" i="71"/>
  <c r="K616" i="71"/>
  <c r="N616" i="71"/>
  <c r="B616" i="71"/>
  <c r="E616" i="71" s="1"/>
  <c r="S615" i="71"/>
  <c r="Y615" i="71"/>
  <c r="Q615" i="71" s="1"/>
  <c r="P615" i="71"/>
  <c r="Z614" i="71"/>
  <c r="R614" i="71"/>
  <c r="T614" i="71"/>
  <c r="AB614" i="71"/>
  <c r="M199" i="71"/>
  <c r="L199" i="71" s="1"/>
  <c r="B189" i="69"/>
  <c r="C189" i="69"/>
  <c r="A188" i="69"/>
  <c r="U614" i="71" l="1"/>
  <c r="V614" i="71"/>
  <c r="N617" i="71"/>
  <c r="C617" i="71"/>
  <c r="D617" i="71" s="1"/>
  <c r="A618" i="71"/>
  <c r="B617" i="71"/>
  <c r="E617" i="71"/>
  <c r="K617" i="71"/>
  <c r="R615" i="71"/>
  <c r="Z615" i="71"/>
  <c r="T615" i="71"/>
  <c r="AB615" i="71"/>
  <c r="S616" i="71"/>
  <c r="P616" i="71"/>
  <c r="Y616" i="71"/>
  <c r="Q616" i="71" s="1"/>
  <c r="N188" i="69"/>
  <c r="Z188" i="69" s="1"/>
  <c r="M188" i="69"/>
  <c r="L185" i="69"/>
  <c r="E189" i="69"/>
  <c r="J189" i="69" s="1"/>
  <c r="N618" i="71" l="1"/>
  <c r="K618" i="71"/>
  <c r="C618" i="71"/>
  <c r="D618" i="71" s="1"/>
  <c r="A619" i="71"/>
  <c r="B618" i="71"/>
  <c r="E618" i="71" s="1"/>
  <c r="T616" i="71"/>
  <c r="Z616" i="71"/>
  <c r="AB616" i="71"/>
  <c r="R616" i="71"/>
  <c r="P617" i="71"/>
  <c r="Y617" i="71"/>
  <c r="Q617" i="71" s="1"/>
  <c r="S617" i="71"/>
  <c r="U615" i="71"/>
  <c r="V615" i="71" s="1"/>
  <c r="P188" i="69"/>
  <c r="D189" i="69"/>
  <c r="I189" i="69" s="1"/>
  <c r="R617" i="71" l="1"/>
  <c r="Z617" i="71"/>
  <c r="AB617" i="71"/>
  <c r="T617" i="71"/>
  <c r="B619" i="71"/>
  <c r="E619" i="71" s="1"/>
  <c r="C619" i="71"/>
  <c r="D619" i="71" s="1"/>
  <c r="K619" i="71"/>
  <c r="N619" i="71"/>
  <c r="A620" i="71"/>
  <c r="U616" i="71"/>
  <c r="V616" i="71" s="1"/>
  <c r="S618" i="71"/>
  <c r="P618" i="71"/>
  <c r="Y618" i="71"/>
  <c r="Q618" i="71" s="1"/>
  <c r="H189" i="69"/>
  <c r="K189" i="69"/>
  <c r="C190" i="69" s="1"/>
  <c r="Y619" i="71" l="1"/>
  <c r="Q619" i="71" s="1"/>
  <c r="P619" i="71"/>
  <c r="S619" i="71"/>
  <c r="AB618" i="71"/>
  <c r="Z618" i="71"/>
  <c r="T618" i="71"/>
  <c r="R618" i="71"/>
  <c r="U618" i="71" s="1"/>
  <c r="V618" i="71" s="1"/>
  <c r="K620" i="71"/>
  <c r="B620" i="71"/>
  <c r="E620" i="71" s="1"/>
  <c r="A621" i="71"/>
  <c r="N620" i="71"/>
  <c r="C620" i="71"/>
  <c r="D620" i="71" s="1"/>
  <c r="U617" i="71"/>
  <c r="V617" i="71"/>
  <c r="M200" i="71"/>
  <c r="L200" i="71" s="1"/>
  <c r="B190" i="69"/>
  <c r="E190" i="69" s="1"/>
  <c r="J190" i="69" s="1"/>
  <c r="A189" i="69"/>
  <c r="P620" i="71" l="1"/>
  <c r="Y620" i="71"/>
  <c r="Q620" i="71"/>
  <c r="S620" i="71"/>
  <c r="K621" i="71"/>
  <c r="N621" i="71"/>
  <c r="B621" i="71"/>
  <c r="E621" i="71" s="1"/>
  <c r="A622" i="71"/>
  <c r="C621" i="71"/>
  <c r="D621" i="71" s="1"/>
  <c r="AB619" i="71"/>
  <c r="T619" i="71"/>
  <c r="Z619" i="71"/>
  <c r="R619" i="71"/>
  <c r="U619" i="71" s="1"/>
  <c r="V619" i="71" s="1"/>
  <c r="N189" i="69"/>
  <c r="Z189" i="69" s="1"/>
  <c r="M189" i="69"/>
  <c r="D190" i="69"/>
  <c r="H190" i="69" s="1"/>
  <c r="L186" i="69"/>
  <c r="P621" i="71" l="1"/>
  <c r="S621" i="71"/>
  <c r="Y621" i="71"/>
  <c r="Q621" i="71" s="1"/>
  <c r="T620" i="71"/>
  <c r="AB620" i="71"/>
  <c r="Z620" i="71"/>
  <c r="R620" i="71"/>
  <c r="C622" i="71"/>
  <c r="D622" i="71" s="1"/>
  <c r="B622" i="71"/>
  <c r="E622" i="71" s="1"/>
  <c r="K622" i="71"/>
  <c r="N622" i="71"/>
  <c r="A623" i="71"/>
  <c r="M201" i="71"/>
  <c r="L201" i="71" s="1"/>
  <c r="P189" i="69"/>
  <c r="K190" i="69"/>
  <c r="A190" i="69" s="1"/>
  <c r="I190" i="69"/>
  <c r="U620" i="71" l="1"/>
  <c r="V620" i="71" s="1"/>
  <c r="N623" i="71"/>
  <c r="K623" i="71"/>
  <c r="A624" i="71"/>
  <c r="C623" i="71"/>
  <c r="D623" i="71" s="1"/>
  <c r="B623" i="71"/>
  <c r="E623" i="71" s="1"/>
  <c r="T621" i="71"/>
  <c r="R621" i="71"/>
  <c r="U621" i="71" s="1"/>
  <c r="AB621" i="71"/>
  <c r="Z621" i="71"/>
  <c r="Y622" i="71"/>
  <c r="Q622" i="71" s="1"/>
  <c r="P622" i="71"/>
  <c r="S622" i="71"/>
  <c r="C191" i="69"/>
  <c r="B191" i="69"/>
  <c r="E191" i="69" s="1"/>
  <c r="J191" i="69" s="1"/>
  <c r="N190" i="69"/>
  <c r="Z190" i="69" s="1"/>
  <c r="M190" i="69"/>
  <c r="R622" i="71" l="1"/>
  <c r="Z622" i="71"/>
  <c r="AB622" i="71"/>
  <c r="T622" i="71"/>
  <c r="C624" i="71"/>
  <c r="D624" i="71" s="1"/>
  <c r="N624" i="71"/>
  <c r="K624" i="71"/>
  <c r="B624" i="71"/>
  <c r="E624" i="71" s="1"/>
  <c r="A625" i="71"/>
  <c r="S623" i="71"/>
  <c r="Y623" i="71"/>
  <c r="Q623" i="71" s="1"/>
  <c r="P623" i="71"/>
  <c r="V621" i="71"/>
  <c r="P190" i="69"/>
  <c r="D191" i="69"/>
  <c r="P624" i="71" l="1"/>
  <c r="Y624" i="71"/>
  <c r="Q624" i="71" s="1"/>
  <c r="S624" i="71"/>
  <c r="R623" i="71"/>
  <c r="U623" i="71" s="1"/>
  <c r="Z623" i="71"/>
  <c r="AB623" i="71"/>
  <c r="T623" i="71"/>
  <c r="N625" i="71"/>
  <c r="C625" i="71"/>
  <c r="D625" i="71" s="1"/>
  <c r="A626" i="71"/>
  <c r="K625" i="71"/>
  <c r="B625" i="71"/>
  <c r="E625" i="71" s="1"/>
  <c r="U622" i="71"/>
  <c r="V622" i="71"/>
  <c r="L187" i="69"/>
  <c r="I191" i="69"/>
  <c r="H191" i="69"/>
  <c r="K191" i="69"/>
  <c r="V623" i="71" l="1"/>
  <c r="Y625" i="71"/>
  <c r="Q625" i="71" s="1"/>
  <c r="S625" i="71"/>
  <c r="P625" i="71"/>
  <c r="Z624" i="71"/>
  <c r="R624" i="71"/>
  <c r="U624" i="71" s="1"/>
  <c r="V624" i="71" s="1"/>
  <c r="AB624" i="71"/>
  <c r="T624" i="71"/>
  <c r="N626" i="71"/>
  <c r="K626" i="71"/>
  <c r="A627" i="71"/>
  <c r="C626" i="71"/>
  <c r="D626" i="71" s="1"/>
  <c r="B626" i="71"/>
  <c r="E626" i="71" s="1"/>
  <c r="M202" i="71"/>
  <c r="L202" i="71" s="1"/>
  <c r="C192" i="69"/>
  <c r="A191" i="69"/>
  <c r="B192" i="69"/>
  <c r="B627" i="71" l="1"/>
  <c r="E627" i="71" s="1"/>
  <c r="C627" i="71"/>
  <c r="D627" i="71" s="1"/>
  <c r="A628" i="71"/>
  <c r="K627" i="71"/>
  <c r="N627" i="71"/>
  <c r="R625" i="71"/>
  <c r="U625" i="71" s="1"/>
  <c r="V625" i="71" s="1"/>
  <c r="T625" i="71"/>
  <c r="AB625" i="71"/>
  <c r="Z625" i="71"/>
  <c r="Y626" i="71"/>
  <c r="Q626" i="71" s="1"/>
  <c r="S626" i="71"/>
  <c r="P626" i="71"/>
  <c r="N191" i="69"/>
  <c r="Z191" i="69" s="1"/>
  <c r="M191" i="69"/>
  <c r="E192" i="69"/>
  <c r="J192" i="69" s="1"/>
  <c r="N628" i="71" l="1"/>
  <c r="A629" i="71"/>
  <c r="K628" i="71"/>
  <c r="B628" i="71"/>
  <c r="E628" i="71" s="1"/>
  <c r="C628" i="71"/>
  <c r="D628" i="71" s="1"/>
  <c r="Y627" i="71"/>
  <c r="Q627" i="71" s="1"/>
  <c r="S627" i="71"/>
  <c r="P627" i="71"/>
  <c r="AB626" i="71"/>
  <c r="T626" i="71"/>
  <c r="R626" i="71"/>
  <c r="Z626" i="71"/>
  <c r="P191" i="69"/>
  <c r="D192" i="69"/>
  <c r="R627" i="71" l="1"/>
  <c r="AB627" i="71"/>
  <c r="T627" i="71"/>
  <c r="Z627" i="71"/>
  <c r="U626" i="71"/>
  <c r="V626" i="71"/>
  <c r="N629" i="71"/>
  <c r="B629" i="71"/>
  <c r="E629" i="71" s="1"/>
  <c r="C629" i="71"/>
  <c r="D629" i="71" s="1"/>
  <c r="K629" i="71"/>
  <c r="A630" i="71"/>
  <c r="S628" i="71"/>
  <c r="P628" i="71"/>
  <c r="Y628" i="71"/>
  <c r="Q628" i="71" s="1"/>
  <c r="L188" i="69"/>
  <c r="H192" i="69"/>
  <c r="I192" i="69"/>
  <c r="K192" i="69"/>
  <c r="Z628" i="71" l="1"/>
  <c r="R628" i="71"/>
  <c r="U628" i="71" s="1"/>
  <c r="V628" i="71" s="1"/>
  <c r="AB628" i="71"/>
  <c r="T628" i="71"/>
  <c r="P629" i="71"/>
  <c r="Y629" i="71"/>
  <c r="Q629" i="71" s="1"/>
  <c r="S629" i="71"/>
  <c r="N630" i="71"/>
  <c r="K630" i="71"/>
  <c r="C630" i="71"/>
  <c r="D630" i="71" s="1"/>
  <c r="B630" i="71"/>
  <c r="E630" i="71" s="1"/>
  <c r="A631" i="71"/>
  <c r="U627" i="71"/>
  <c r="V627" i="71"/>
  <c r="M203" i="71"/>
  <c r="L203" i="71" s="1"/>
  <c r="B193" i="69"/>
  <c r="A192" i="69"/>
  <c r="C193" i="69"/>
  <c r="T629" i="71" l="1"/>
  <c r="Z629" i="71"/>
  <c r="R629" i="71"/>
  <c r="AB629" i="71"/>
  <c r="A632" i="71"/>
  <c r="B631" i="71"/>
  <c r="E631" i="71"/>
  <c r="K631" i="71"/>
  <c r="C631" i="71"/>
  <c r="D631" i="71" s="1"/>
  <c r="N631" i="71"/>
  <c r="P630" i="71"/>
  <c r="Y630" i="71"/>
  <c r="Q630" i="71"/>
  <c r="S630" i="71"/>
  <c r="N192" i="69"/>
  <c r="Z192" i="69" s="1"/>
  <c r="M192" i="69"/>
  <c r="E193" i="69"/>
  <c r="J193" i="69" s="1"/>
  <c r="R630" i="71" l="1"/>
  <c r="U630" i="71" s="1"/>
  <c r="AB630" i="71"/>
  <c r="Z630" i="71"/>
  <c r="T630" i="71"/>
  <c r="A633" i="71"/>
  <c r="E632" i="71"/>
  <c r="N632" i="71"/>
  <c r="K632" i="71"/>
  <c r="C632" i="71"/>
  <c r="D632" i="71" s="1"/>
  <c r="B632" i="71"/>
  <c r="P631" i="71"/>
  <c r="Y631" i="71"/>
  <c r="Q631" i="71"/>
  <c r="S631" i="71"/>
  <c r="U629" i="71"/>
  <c r="V629" i="71"/>
  <c r="P192" i="69"/>
  <c r="D193" i="69"/>
  <c r="K193" i="69" s="1"/>
  <c r="C194" i="69" s="1"/>
  <c r="S632" i="71" l="1"/>
  <c r="P632" i="71"/>
  <c r="Y632" i="71"/>
  <c r="Q632" i="71" s="1"/>
  <c r="C633" i="71"/>
  <c r="D633" i="71" s="1"/>
  <c r="K633" i="71"/>
  <c r="B633" i="71"/>
  <c r="E633" i="71" s="1"/>
  <c r="A634" i="71"/>
  <c r="N633" i="71"/>
  <c r="T631" i="71"/>
  <c r="R631" i="71"/>
  <c r="Z631" i="71"/>
  <c r="AB631" i="71"/>
  <c r="V630" i="71"/>
  <c r="M204" i="71"/>
  <c r="L204" i="71" s="1"/>
  <c r="H193" i="69"/>
  <c r="I193" i="69"/>
  <c r="B194" i="69"/>
  <c r="E194" i="69" s="1"/>
  <c r="J194" i="69" s="1"/>
  <c r="A193" i="69"/>
  <c r="L189" i="69"/>
  <c r="K634" i="71" l="1"/>
  <c r="N634" i="71"/>
  <c r="E634" i="71"/>
  <c r="A635" i="71"/>
  <c r="C634" i="71"/>
  <c r="D634" i="71" s="1"/>
  <c r="B634" i="71"/>
  <c r="R632" i="71"/>
  <c r="Z632" i="71"/>
  <c r="T632" i="71"/>
  <c r="AB632" i="71"/>
  <c r="U631" i="71"/>
  <c r="V631" i="71"/>
  <c r="S633" i="71"/>
  <c r="P633" i="71"/>
  <c r="Y633" i="71"/>
  <c r="Q633" i="71" s="1"/>
  <c r="N193" i="69"/>
  <c r="Z193" i="69" s="1"/>
  <c r="M193" i="69"/>
  <c r="D194" i="69"/>
  <c r="T633" i="71" l="1"/>
  <c r="Z633" i="71"/>
  <c r="R633" i="71"/>
  <c r="U633" i="71" s="1"/>
  <c r="V633" i="71" s="1"/>
  <c r="AB633" i="71"/>
  <c r="U632" i="71"/>
  <c r="V632" i="71"/>
  <c r="N635" i="71"/>
  <c r="B635" i="71"/>
  <c r="E635" i="71" s="1"/>
  <c r="K635" i="71"/>
  <c r="C635" i="71"/>
  <c r="D635" i="71" s="1"/>
  <c r="A636" i="71"/>
  <c r="P634" i="71"/>
  <c r="Y634" i="71"/>
  <c r="S634" i="71"/>
  <c r="Q634" i="71"/>
  <c r="P193" i="69"/>
  <c r="H194" i="69"/>
  <c r="I194" i="69"/>
  <c r="K194" i="69"/>
  <c r="P635" i="71" l="1"/>
  <c r="S635" i="71"/>
  <c r="Y635" i="71"/>
  <c r="Q635" i="71" s="1"/>
  <c r="A637" i="71"/>
  <c r="E636" i="71"/>
  <c r="B636" i="71"/>
  <c r="K636" i="71"/>
  <c r="N636" i="71"/>
  <c r="C636" i="71"/>
  <c r="D636" i="71" s="1"/>
  <c r="Z634" i="71"/>
  <c r="T634" i="71"/>
  <c r="AB634" i="71"/>
  <c r="R634" i="71"/>
  <c r="M205" i="71"/>
  <c r="L205" i="71" s="1"/>
  <c r="B195" i="69"/>
  <c r="C195" i="69"/>
  <c r="A194" i="69"/>
  <c r="L190" i="69"/>
  <c r="AB635" i="71" l="1"/>
  <c r="T635" i="71"/>
  <c r="Z635" i="71"/>
  <c r="R635" i="71"/>
  <c r="U635" i="71" s="1"/>
  <c r="V635" i="71" s="1"/>
  <c r="A638" i="71"/>
  <c r="E637" i="71"/>
  <c r="N637" i="71"/>
  <c r="C637" i="71"/>
  <c r="D637" i="71" s="1"/>
  <c r="K637" i="71"/>
  <c r="B637" i="71"/>
  <c r="U634" i="71"/>
  <c r="V634" i="71"/>
  <c r="P636" i="71"/>
  <c r="Y636" i="71"/>
  <c r="Q636" i="71" s="1"/>
  <c r="S636" i="71"/>
  <c r="N194" i="69"/>
  <c r="Z194" i="69" s="1"/>
  <c r="M194" i="69"/>
  <c r="E195" i="69"/>
  <c r="J195" i="69" s="1"/>
  <c r="Z636" i="71" l="1"/>
  <c r="R636" i="71"/>
  <c r="AB636" i="71"/>
  <c r="T636" i="71"/>
  <c r="S637" i="71"/>
  <c r="P637" i="71"/>
  <c r="Y637" i="71"/>
  <c r="Q637" i="71" s="1"/>
  <c r="N638" i="71"/>
  <c r="K638" i="71"/>
  <c r="C638" i="71"/>
  <c r="D638" i="71" s="1"/>
  <c r="A639" i="71"/>
  <c r="B638" i="71"/>
  <c r="E638" i="71" s="1"/>
  <c r="P194" i="69"/>
  <c r="D195" i="69"/>
  <c r="T637" i="71" l="1"/>
  <c r="Z637" i="71"/>
  <c r="R637" i="71"/>
  <c r="AB637" i="71"/>
  <c r="N639" i="71"/>
  <c r="A640" i="71"/>
  <c r="B639" i="71"/>
  <c r="E639" i="71"/>
  <c r="K639" i="71"/>
  <c r="C639" i="71"/>
  <c r="D639" i="71" s="1"/>
  <c r="S638" i="71"/>
  <c r="P638" i="71"/>
  <c r="Y638" i="71"/>
  <c r="Q638" i="71" s="1"/>
  <c r="U636" i="71"/>
  <c r="V636" i="71" s="1"/>
  <c r="M206" i="71"/>
  <c r="L206" i="71" s="1"/>
  <c r="I195" i="69"/>
  <c r="H195" i="69"/>
  <c r="K195" i="69"/>
  <c r="T638" i="71" l="1"/>
  <c r="Z638" i="71"/>
  <c r="R638" i="71"/>
  <c r="AB638" i="71"/>
  <c r="V637" i="71"/>
  <c r="U637" i="71"/>
  <c r="N640" i="71"/>
  <c r="B640" i="71"/>
  <c r="E640" i="71" s="1"/>
  <c r="C640" i="71"/>
  <c r="D640" i="71" s="1"/>
  <c r="A641" i="71"/>
  <c r="K640" i="71"/>
  <c r="Y639" i="71"/>
  <c r="Q639" i="71" s="1"/>
  <c r="P639" i="71"/>
  <c r="S639" i="71"/>
  <c r="C196" i="69"/>
  <c r="A195" i="69"/>
  <c r="B196" i="69"/>
  <c r="L191" i="69"/>
  <c r="T639" i="71" l="1"/>
  <c r="Z639" i="71"/>
  <c r="AB639" i="71"/>
  <c r="R639" i="71"/>
  <c r="U639" i="71" s="1"/>
  <c r="V639" i="71" s="1"/>
  <c r="U638" i="71"/>
  <c r="V638" i="71"/>
  <c r="Q640" i="71"/>
  <c r="P640" i="71"/>
  <c r="Y640" i="71"/>
  <c r="S640" i="71"/>
  <c r="C641" i="71"/>
  <c r="D641" i="71" s="1"/>
  <c r="K641" i="71"/>
  <c r="A642" i="71"/>
  <c r="N641" i="71"/>
  <c r="B641" i="71"/>
  <c r="E641" i="71" s="1"/>
  <c r="N195" i="69"/>
  <c r="Z195" i="69" s="1"/>
  <c r="M195" i="69"/>
  <c r="E196" i="69"/>
  <c r="J196" i="69" s="1"/>
  <c r="Z640" i="71" l="1"/>
  <c r="R640" i="71"/>
  <c r="AB640" i="71"/>
  <c r="T640" i="71"/>
  <c r="B642" i="71"/>
  <c r="E642" i="71" s="1"/>
  <c r="K642" i="71"/>
  <c r="N642" i="71"/>
  <c r="A643" i="71"/>
  <c r="C642" i="71"/>
  <c r="D642" i="71" s="1"/>
  <c r="Y641" i="71"/>
  <c r="Q641" i="71" s="1"/>
  <c r="S641" i="71"/>
  <c r="P641" i="71"/>
  <c r="M207" i="71"/>
  <c r="L207" i="71" s="1"/>
  <c r="P195" i="69"/>
  <c r="D196" i="69"/>
  <c r="P642" i="71" l="1"/>
  <c r="S642" i="71"/>
  <c r="Y642" i="71"/>
  <c r="Q642" i="71" s="1"/>
  <c r="C643" i="71"/>
  <c r="D643" i="71" s="1"/>
  <c r="K643" i="71"/>
  <c r="N643" i="71"/>
  <c r="A644" i="71"/>
  <c r="B643" i="71"/>
  <c r="E643" i="71" s="1"/>
  <c r="R641" i="71"/>
  <c r="U641" i="71" s="1"/>
  <c r="V641" i="71" s="1"/>
  <c r="Z641" i="71"/>
  <c r="AB641" i="71"/>
  <c r="T641" i="71"/>
  <c r="U640" i="71"/>
  <c r="V640" i="71" s="1"/>
  <c r="H196" i="69"/>
  <c r="I196" i="69"/>
  <c r="K196" i="69"/>
  <c r="L192" i="69"/>
  <c r="C644" i="71" l="1"/>
  <c r="D644" i="71" s="1"/>
  <c r="A645" i="71"/>
  <c r="B644" i="71"/>
  <c r="E644" i="71" s="1"/>
  <c r="K644" i="71"/>
  <c r="N644" i="71"/>
  <c r="P643" i="71"/>
  <c r="S643" i="71"/>
  <c r="Y643" i="71"/>
  <c r="Q643" i="71" s="1"/>
  <c r="AB642" i="71"/>
  <c r="R642" i="71"/>
  <c r="U642" i="71" s="1"/>
  <c r="V642" i="71" s="1"/>
  <c r="T642" i="71"/>
  <c r="Z642" i="71"/>
  <c r="B197" i="69"/>
  <c r="C197" i="69"/>
  <c r="A196" i="69"/>
  <c r="B645" i="71" l="1"/>
  <c r="E645" i="71"/>
  <c r="A646" i="71"/>
  <c r="K645" i="71"/>
  <c r="N645" i="71"/>
  <c r="C645" i="71"/>
  <c r="D645" i="71" s="1"/>
  <c r="P644" i="71"/>
  <c r="S644" i="71"/>
  <c r="Y644" i="71"/>
  <c r="Q644" i="71"/>
  <c r="Z643" i="71"/>
  <c r="R643" i="71"/>
  <c r="AB643" i="71"/>
  <c r="T643" i="71"/>
  <c r="N196" i="69"/>
  <c r="Z196" i="69" s="1"/>
  <c r="M196" i="69"/>
  <c r="E197" i="69"/>
  <c r="J197" i="69" s="1"/>
  <c r="S645" i="71" l="1"/>
  <c r="P645" i="71"/>
  <c r="Y645" i="71"/>
  <c r="Q645" i="71" s="1"/>
  <c r="C646" i="71"/>
  <c r="D646" i="71" s="1"/>
  <c r="B646" i="71"/>
  <c r="E646" i="71" s="1"/>
  <c r="K646" i="71"/>
  <c r="A647" i="71"/>
  <c r="N646" i="71"/>
  <c r="U643" i="71"/>
  <c r="V643" i="71"/>
  <c r="Z644" i="71"/>
  <c r="R644" i="71"/>
  <c r="T644" i="71"/>
  <c r="AB644" i="71"/>
  <c r="M208" i="71"/>
  <c r="L208" i="71" s="1"/>
  <c r="P196" i="69"/>
  <c r="D197" i="69"/>
  <c r="I197" i="69" s="1"/>
  <c r="L193" i="69"/>
  <c r="S646" i="71" l="1"/>
  <c r="P646" i="71"/>
  <c r="Y646" i="71"/>
  <c r="Q646" i="71" s="1"/>
  <c r="K647" i="71"/>
  <c r="B647" i="71"/>
  <c r="E647" i="71" s="1"/>
  <c r="N647" i="71"/>
  <c r="C647" i="71"/>
  <c r="D647" i="71" s="1"/>
  <c r="A648" i="71"/>
  <c r="U644" i="71"/>
  <c r="V644" i="71"/>
  <c r="T645" i="71"/>
  <c r="Z645" i="71"/>
  <c r="R645" i="71"/>
  <c r="AB645" i="71"/>
  <c r="H197" i="69"/>
  <c r="K197" i="69"/>
  <c r="C198" i="69" s="1"/>
  <c r="AB646" i="71" l="1"/>
  <c r="Z646" i="71"/>
  <c r="R646" i="71"/>
  <c r="T646" i="71"/>
  <c r="Y647" i="71"/>
  <c r="Q647" i="71" s="1"/>
  <c r="P647" i="71"/>
  <c r="S647" i="71"/>
  <c r="U645" i="71"/>
  <c r="V645" i="71" s="1"/>
  <c r="C648" i="71"/>
  <c r="D648" i="71" s="1"/>
  <c r="A649" i="71"/>
  <c r="K648" i="71"/>
  <c r="B648" i="71"/>
  <c r="E648" i="71" s="1"/>
  <c r="N648" i="71"/>
  <c r="A197" i="69"/>
  <c r="B198" i="69"/>
  <c r="E198" i="69" s="1"/>
  <c r="J198" i="69" s="1"/>
  <c r="AB647" i="71" l="1"/>
  <c r="T647" i="71"/>
  <c r="R647" i="71"/>
  <c r="U647" i="71" s="1"/>
  <c r="V647" i="71" s="1"/>
  <c r="Z647" i="71"/>
  <c r="S648" i="71"/>
  <c r="P648" i="71"/>
  <c r="Y648" i="71"/>
  <c r="Q648" i="71" s="1"/>
  <c r="B649" i="71"/>
  <c r="E649" i="71" s="1"/>
  <c r="A650" i="71"/>
  <c r="N649" i="71"/>
  <c r="C649" i="71"/>
  <c r="D649" i="71" s="1"/>
  <c r="K649" i="71"/>
  <c r="U646" i="71"/>
  <c r="V646" i="71"/>
  <c r="N197" i="69"/>
  <c r="Z197" i="69" s="1"/>
  <c r="M197" i="69"/>
  <c r="D198" i="69"/>
  <c r="I198" i="69" s="1"/>
  <c r="L194" i="69"/>
  <c r="Z648" i="71" l="1"/>
  <c r="AB648" i="71"/>
  <c r="R648" i="71"/>
  <c r="T648" i="71"/>
  <c r="S649" i="71"/>
  <c r="P649" i="71"/>
  <c r="Y649" i="71"/>
  <c r="Q649" i="71" s="1"/>
  <c r="N650" i="71"/>
  <c r="K650" i="71"/>
  <c r="A651" i="71"/>
  <c r="C650" i="71"/>
  <c r="D650" i="71" s="1"/>
  <c r="B650" i="71"/>
  <c r="E650" i="71" s="1"/>
  <c r="M209" i="71"/>
  <c r="L209" i="71" s="1"/>
  <c r="P197" i="69"/>
  <c r="K198" i="69"/>
  <c r="B199" i="69" s="1"/>
  <c r="H198" i="69"/>
  <c r="Z649" i="71" l="1"/>
  <c r="R649" i="71"/>
  <c r="U649" i="71" s="1"/>
  <c r="T649" i="71"/>
  <c r="AB649" i="71"/>
  <c r="B651" i="71"/>
  <c r="C651" i="71"/>
  <c r="D651" i="71" s="1"/>
  <c r="E651" i="71"/>
  <c r="A652" i="71"/>
  <c r="K651" i="71"/>
  <c r="N651" i="71"/>
  <c r="U648" i="71"/>
  <c r="V648" i="71" s="1"/>
  <c r="P650" i="71"/>
  <c r="S650" i="71"/>
  <c r="Y650" i="71"/>
  <c r="Q650" i="71" s="1"/>
  <c r="A198" i="69"/>
  <c r="C199" i="69"/>
  <c r="E199" i="69"/>
  <c r="J199" i="69" s="1"/>
  <c r="Z650" i="71" l="1"/>
  <c r="T650" i="71"/>
  <c r="R650" i="71"/>
  <c r="AB650" i="71"/>
  <c r="P651" i="71"/>
  <c r="S651" i="71"/>
  <c r="Y651" i="71"/>
  <c r="Q651" i="71" s="1"/>
  <c r="V649" i="71"/>
  <c r="A653" i="71"/>
  <c r="K652" i="71"/>
  <c r="N652" i="71"/>
  <c r="B652" i="71"/>
  <c r="E652" i="71" s="1"/>
  <c r="C652" i="71"/>
  <c r="D652" i="71" s="1"/>
  <c r="N198" i="69"/>
  <c r="Z198" i="69" s="1"/>
  <c r="M198" i="69"/>
  <c r="D199" i="69"/>
  <c r="AB651" i="71" l="1"/>
  <c r="Z651" i="71"/>
  <c r="T651" i="71"/>
  <c r="R651" i="71"/>
  <c r="U651" i="71" s="1"/>
  <c r="V651" i="71" s="1"/>
  <c r="U650" i="71"/>
  <c r="V650" i="71"/>
  <c r="C653" i="71"/>
  <c r="D653" i="71" s="1"/>
  <c r="A654" i="71"/>
  <c r="N653" i="71"/>
  <c r="K653" i="71"/>
  <c r="B653" i="71"/>
  <c r="E653" i="71" s="1"/>
  <c r="S652" i="71"/>
  <c r="P652" i="71"/>
  <c r="Y652" i="71"/>
  <c r="Q652" i="71"/>
  <c r="M210" i="71"/>
  <c r="L210" i="71" s="1"/>
  <c r="P198" i="69"/>
  <c r="L195" i="69"/>
  <c r="I199" i="69"/>
  <c r="H199" i="69"/>
  <c r="K199" i="69"/>
  <c r="K654" i="71" l="1"/>
  <c r="A655" i="71"/>
  <c r="B654" i="71"/>
  <c r="E654" i="71" s="1"/>
  <c r="C654" i="71"/>
  <c r="D654" i="71" s="1"/>
  <c r="N654" i="71"/>
  <c r="T652" i="71"/>
  <c r="AB652" i="71"/>
  <c r="Z652" i="71"/>
  <c r="R652" i="71"/>
  <c r="Y653" i="71"/>
  <c r="Q653" i="71" s="1"/>
  <c r="P653" i="71"/>
  <c r="S653" i="71"/>
  <c r="C200" i="69"/>
  <c r="A199" i="69"/>
  <c r="B200" i="69"/>
  <c r="S654" i="71" l="1"/>
  <c r="P654" i="71"/>
  <c r="Y654" i="71"/>
  <c r="Q654" i="71" s="1"/>
  <c r="AB653" i="71"/>
  <c r="T653" i="71"/>
  <c r="R653" i="71"/>
  <c r="Z653" i="71"/>
  <c r="K655" i="71"/>
  <c r="A656" i="71"/>
  <c r="N655" i="71"/>
  <c r="B655" i="71"/>
  <c r="E655" i="71" s="1"/>
  <c r="C655" i="71"/>
  <c r="D655" i="71" s="1"/>
  <c r="U652" i="71"/>
  <c r="V652" i="71" s="1"/>
  <c r="N199" i="69"/>
  <c r="Z199" i="69" s="1"/>
  <c r="M199" i="69"/>
  <c r="E200" i="69"/>
  <c r="J200" i="69" s="1"/>
  <c r="Z654" i="71" l="1"/>
  <c r="R654" i="71"/>
  <c r="AB654" i="71"/>
  <c r="T654" i="71"/>
  <c r="U653" i="71"/>
  <c r="V653" i="71"/>
  <c r="N656" i="71"/>
  <c r="B656" i="71"/>
  <c r="E656" i="71" s="1"/>
  <c r="C656" i="71"/>
  <c r="D656" i="71" s="1"/>
  <c r="K656" i="71"/>
  <c r="A657" i="71"/>
  <c r="S655" i="71"/>
  <c r="Y655" i="71"/>
  <c r="Q655" i="71" s="1"/>
  <c r="P655" i="71"/>
  <c r="M211" i="71"/>
  <c r="L211" i="71" s="1"/>
  <c r="P199" i="69"/>
  <c r="D200" i="69"/>
  <c r="H200" i="69" s="1"/>
  <c r="T655" i="71" l="1"/>
  <c r="Z655" i="71"/>
  <c r="R655" i="71"/>
  <c r="U655" i="71" s="1"/>
  <c r="V655" i="71" s="1"/>
  <c r="AB655" i="71"/>
  <c r="S656" i="71"/>
  <c r="P656" i="71"/>
  <c r="Y656" i="71"/>
  <c r="Q656" i="71" s="1"/>
  <c r="U654" i="71"/>
  <c r="V654" i="71"/>
  <c r="E657" i="71"/>
  <c r="B657" i="71"/>
  <c r="N657" i="71"/>
  <c r="K657" i="71"/>
  <c r="A658" i="71"/>
  <c r="C657" i="71"/>
  <c r="D657" i="71" s="1"/>
  <c r="I200" i="69"/>
  <c r="K200" i="69"/>
  <c r="A200" i="69" s="1"/>
  <c r="L196" i="69"/>
  <c r="AB656" i="71" l="1"/>
  <c r="Z656" i="71"/>
  <c r="T656" i="71"/>
  <c r="R656" i="71"/>
  <c r="U656" i="71" s="1"/>
  <c r="K658" i="71"/>
  <c r="A659" i="71"/>
  <c r="B658" i="71"/>
  <c r="E658" i="71" s="1"/>
  <c r="C658" i="71"/>
  <c r="D658" i="71" s="1"/>
  <c r="N658" i="71"/>
  <c r="P657" i="71"/>
  <c r="S657" i="71"/>
  <c r="Y657" i="71"/>
  <c r="Q657" i="71" s="1"/>
  <c r="C201" i="69"/>
  <c r="B201" i="69"/>
  <c r="E201" i="69" s="1"/>
  <c r="J201" i="69" s="1"/>
  <c r="N200" i="69"/>
  <c r="Z200" i="69" s="1"/>
  <c r="M200" i="69"/>
  <c r="Z657" i="71" l="1"/>
  <c r="R657" i="71"/>
  <c r="U657" i="71" s="1"/>
  <c r="V657" i="71" s="1"/>
  <c r="AB657" i="71"/>
  <c r="T657" i="71"/>
  <c r="B659" i="71"/>
  <c r="E659" i="71"/>
  <c r="K659" i="71"/>
  <c r="C659" i="71"/>
  <c r="D659" i="71" s="1"/>
  <c r="A660" i="71"/>
  <c r="N659" i="71"/>
  <c r="V656" i="71"/>
  <c r="P658" i="71"/>
  <c r="Y658" i="71"/>
  <c r="Q658" i="71" s="1"/>
  <c r="S658" i="71"/>
  <c r="P200" i="69"/>
  <c r="D201" i="69"/>
  <c r="L197" i="69"/>
  <c r="Z658" i="71" l="1"/>
  <c r="T658" i="71"/>
  <c r="R658" i="71"/>
  <c r="AB658" i="71"/>
  <c r="S659" i="71"/>
  <c r="P659" i="71"/>
  <c r="Y659" i="71"/>
  <c r="Q659" i="71" s="1"/>
  <c r="C660" i="71"/>
  <c r="D660" i="71" s="1"/>
  <c r="A661" i="71"/>
  <c r="B660" i="71"/>
  <c r="E660" i="71" s="1"/>
  <c r="K660" i="71"/>
  <c r="N660" i="71"/>
  <c r="M212" i="71"/>
  <c r="L212" i="71" s="1"/>
  <c r="I201" i="69"/>
  <c r="H201" i="69"/>
  <c r="K201" i="69"/>
  <c r="AB659" i="71" l="1"/>
  <c r="T659" i="71"/>
  <c r="R659" i="71"/>
  <c r="Z659" i="71"/>
  <c r="P660" i="71"/>
  <c r="Y660" i="71"/>
  <c r="Q660" i="71" s="1"/>
  <c r="S660" i="71"/>
  <c r="N661" i="71"/>
  <c r="A662" i="71"/>
  <c r="B661" i="71"/>
  <c r="C661" i="71"/>
  <c r="D661" i="71" s="1"/>
  <c r="K661" i="71"/>
  <c r="E661" i="71"/>
  <c r="U658" i="71"/>
  <c r="V658" i="71"/>
  <c r="C202" i="69"/>
  <c r="A201" i="69"/>
  <c r="B202" i="69"/>
  <c r="Z660" i="71" l="1"/>
  <c r="R660" i="71"/>
  <c r="AB660" i="71"/>
  <c r="T660" i="71"/>
  <c r="V659" i="71"/>
  <c r="U659" i="71"/>
  <c r="C662" i="71"/>
  <c r="D662" i="71" s="1"/>
  <c r="E662" i="71"/>
  <c r="N662" i="71"/>
  <c r="B662" i="71"/>
  <c r="K662" i="71"/>
  <c r="A663" i="71"/>
  <c r="Y661" i="71"/>
  <c r="Q661" i="71" s="1"/>
  <c r="S661" i="71"/>
  <c r="P661" i="71"/>
  <c r="N201" i="69"/>
  <c r="Z201" i="69" s="1"/>
  <c r="M201" i="69"/>
  <c r="E202" i="69"/>
  <c r="J202" i="69" s="1"/>
  <c r="R661" i="71" l="1"/>
  <c r="AB661" i="71"/>
  <c r="T661" i="71"/>
  <c r="Z661" i="71"/>
  <c r="C663" i="71"/>
  <c r="D663" i="71" s="1"/>
  <c r="E663" i="71"/>
  <c r="K663" i="71"/>
  <c r="A664" i="71"/>
  <c r="B663" i="71"/>
  <c r="N663" i="71"/>
  <c r="U660" i="71"/>
  <c r="V660" i="71"/>
  <c r="S662" i="71"/>
  <c r="P662" i="71"/>
  <c r="Y662" i="71"/>
  <c r="Q662" i="71" s="1"/>
  <c r="M213" i="71"/>
  <c r="L213" i="71" s="1"/>
  <c r="P201" i="69"/>
  <c r="L198" i="69"/>
  <c r="D202" i="69"/>
  <c r="Z662" i="71" l="1"/>
  <c r="AB662" i="71"/>
  <c r="R662" i="71"/>
  <c r="T662" i="71"/>
  <c r="S663" i="71"/>
  <c r="Y663" i="71"/>
  <c r="Q663" i="71" s="1"/>
  <c r="P663" i="71"/>
  <c r="N664" i="71"/>
  <c r="B664" i="71"/>
  <c r="C664" i="71"/>
  <c r="D664" i="71" s="1"/>
  <c r="K664" i="71"/>
  <c r="A665" i="71"/>
  <c r="E664" i="71"/>
  <c r="V661" i="71"/>
  <c r="U661" i="71"/>
  <c r="H202" i="69"/>
  <c r="I202" i="69"/>
  <c r="K202" i="69"/>
  <c r="Z663" i="71" l="1"/>
  <c r="AB663" i="71"/>
  <c r="R663" i="71"/>
  <c r="U663" i="71" s="1"/>
  <c r="V663" i="71" s="1"/>
  <c r="T663" i="71"/>
  <c r="N665" i="71"/>
  <c r="C665" i="71"/>
  <c r="D665" i="71" s="1"/>
  <c r="E665" i="71"/>
  <c r="K665" i="71"/>
  <c r="B665" i="71"/>
  <c r="A666" i="71"/>
  <c r="V662" i="71"/>
  <c r="U662" i="71"/>
  <c r="S664" i="71"/>
  <c r="P664" i="71"/>
  <c r="Y664" i="71"/>
  <c r="Q664" i="71" s="1"/>
  <c r="B203" i="69"/>
  <c r="C203" i="69"/>
  <c r="A202" i="69"/>
  <c r="R664" i="71" l="1"/>
  <c r="AB664" i="71"/>
  <c r="T664" i="71"/>
  <c r="Z664" i="71"/>
  <c r="Y665" i="71"/>
  <c r="Q665" i="71" s="1"/>
  <c r="S665" i="71"/>
  <c r="P665" i="71"/>
  <c r="A667" i="71"/>
  <c r="B666" i="71"/>
  <c r="E666" i="71" s="1"/>
  <c r="C666" i="71"/>
  <c r="D666" i="71" s="1"/>
  <c r="N666" i="71"/>
  <c r="K666" i="71"/>
  <c r="N202" i="69"/>
  <c r="Z202" i="69" s="1"/>
  <c r="M202" i="69"/>
  <c r="L199" i="69"/>
  <c r="E203" i="69"/>
  <c r="J203" i="69" s="1"/>
  <c r="R665" i="71" l="1"/>
  <c r="AB665" i="71"/>
  <c r="T665" i="71"/>
  <c r="Z665" i="71"/>
  <c r="N667" i="71"/>
  <c r="A668" i="71"/>
  <c r="B667" i="71"/>
  <c r="E667" i="71"/>
  <c r="K667" i="71"/>
  <c r="C667" i="71"/>
  <c r="D667" i="71" s="1"/>
  <c r="P666" i="71"/>
  <c r="Y666" i="71"/>
  <c r="Q666" i="71" s="1"/>
  <c r="S666" i="71"/>
  <c r="U664" i="71"/>
  <c r="V664" i="71" s="1"/>
  <c r="M214" i="71"/>
  <c r="L214" i="71" s="1"/>
  <c r="P202" i="69"/>
  <c r="D203" i="69"/>
  <c r="K203" i="69" s="1"/>
  <c r="C204" i="69" s="1"/>
  <c r="P667" i="71" l="1"/>
  <c r="Y667" i="71"/>
  <c r="Q667" i="71" s="1"/>
  <c r="S667" i="71"/>
  <c r="C668" i="71"/>
  <c r="D668" i="71" s="1"/>
  <c r="A669" i="71"/>
  <c r="N668" i="71"/>
  <c r="B668" i="71"/>
  <c r="E668" i="71" s="1"/>
  <c r="K668" i="71"/>
  <c r="R666" i="71"/>
  <c r="AB666" i="71"/>
  <c r="T666" i="71"/>
  <c r="Z666" i="71"/>
  <c r="U665" i="71"/>
  <c r="V665" i="71"/>
  <c r="H203" i="69"/>
  <c r="I203" i="69"/>
  <c r="B204" i="69"/>
  <c r="E204" i="69" s="1"/>
  <c r="J204" i="69" s="1"/>
  <c r="A203" i="69"/>
  <c r="Z667" i="71" l="1"/>
  <c r="T667" i="71"/>
  <c r="R667" i="71"/>
  <c r="U667" i="71" s="1"/>
  <c r="V667" i="71" s="1"/>
  <c r="AB667" i="71"/>
  <c r="S668" i="71"/>
  <c r="P668" i="71"/>
  <c r="Y668" i="71"/>
  <c r="Q668" i="71" s="1"/>
  <c r="A670" i="71"/>
  <c r="C669" i="71"/>
  <c r="D669" i="71" s="1"/>
  <c r="N669" i="71"/>
  <c r="B669" i="71"/>
  <c r="E669" i="71" s="1"/>
  <c r="K669" i="71"/>
  <c r="U666" i="71"/>
  <c r="V666" i="71"/>
  <c r="N203" i="69"/>
  <c r="Z203" i="69" s="1"/>
  <c r="M203" i="69"/>
  <c r="D204" i="69"/>
  <c r="K204" i="69" s="1"/>
  <c r="L200" i="69"/>
  <c r="R668" i="71" l="1"/>
  <c r="Z668" i="71"/>
  <c r="AB668" i="71"/>
  <c r="T668" i="71"/>
  <c r="P669" i="71"/>
  <c r="S669" i="71"/>
  <c r="Y669" i="71"/>
  <c r="Q669" i="71" s="1"/>
  <c r="K670" i="71"/>
  <c r="A671" i="71"/>
  <c r="N670" i="71"/>
  <c r="B670" i="71"/>
  <c r="E670" i="71" s="1"/>
  <c r="C670" i="71"/>
  <c r="D670" i="71" s="1"/>
  <c r="P203" i="69"/>
  <c r="H204" i="69"/>
  <c r="I204" i="69"/>
  <c r="B205" i="69"/>
  <c r="C205" i="69"/>
  <c r="A204" i="69"/>
  <c r="AB669" i="71" l="1"/>
  <c r="R669" i="71"/>
  <c r="U669" i="71" s="1"/>
  <c r="Z669" i="71"/>
  <c r="T669" i="71"/>
  <c r="P670" i="71"/>
  <c r="Y670" i="71"/>
  <c r="Q670" i="71" s="1"/>
  <c r="S670" i="71"/>
  <c r="C671" i="71"/>
  <c r="D671" i="71" s="1"/>
  <c r="N671" i="71"/>
  <c r="B671" i="71"/>
  <c r="E671" i="71" s="1"/>
  <c r="A672" i="71"/>
  <c r="K671" i="71"/>
  <c r="U668" i="71"/>
  <c r="V668" i="71" s="1"/>
  <c r="M215" i="71"/>
  <c r="L215" i="71" s="1"/>
  <c r="N204" i="69"/>
  <c r="Z204" i="69" s="1"/>
  <c r="M204" i="69"/>
  <c r="E205" i="69"/>
  <c r="J205" i="69" s="1"/>
  <c r="Z670" i="71" l="1"/>
  <c r="T670" i="71"/>
  <c r="R670" i="71"/>
  <c r="U670" i="71" s="1"/>
  <c r="V670" i="71" s="1"/>
  <c r="AB670" i="71"/>
  <c r="N672" i="71"/>
  <c r="B672" i="71"/>
  <c r="C672" i="71"/>
  <c r="D672" i="71" s="1"/>
  <c r="E672" i="71"/>
  <c r="K672" i="71"/>
  <c r="A673" i="71"/>
  <c r="S671" i="71"/>
  <c r="Y671" i="71"/>
  <c r="Q671" i="71"/>
  <c r="P671" i="71"/>
  <c r="V669" i="71"/>
  <c r="P204" i="69"/>
  <c r="L201" i="69"/>
  <c r="D205" i="69"/>
  <c r="Y672" i="71" l="1"/>
  <c r="Q672" i="71" s="1"/>
  <c r="P672" i="71"/>
  <c r="S672" i="71"/>
  <c r="B673" i="71"/>
  <c r="E673" i="71" s="1"/>
  <c r="A674" i="71"/>
  <c r="N673" i="71"/>
  <c r="C673" i="71"/>
  <c r="D673" i="71" s="1"/>
  <c r="K673" i="71"/>
  <c r="R671" i="71"/>
  <c r="T671" i="71"/>
  <c r="AB671" i="71"/>
  <c r="Z671" i="71"/>
  <c r="I205" i="69"/>
  <c r="H205" i="69"/>
  <c r="K205" i="69"/>
  <c r="B674" i="71" l="1"/>
  <c r="E674" i="71" s="1"/>
  <c r="C674" i="71"/>
  <c r="D674" i="71" s="1"/>
  <c r="A675" i="71"/>
  <c r="K674" i="71"/>
  <c r="N674" i="71"/>
  <c r="Y673" i="71"/>
  <c r="Q673" i="71"/>
  <c r="S673" i="71"/>
  <c r="P673" i="71"/>
  <c r="U671" i="71"/>
  <c r="V671" i="71"/>
  <c r="R672" i="71"/>
  <c r="U672" i="71" s="1"/>
  <c r="AB672" i="71"/>
  <c r="T672" i="71"/>
  <c r="Z672" i="71"/>
  <c r="C206" i="69"/>
  <c r="A205" i="69"/>
  <c r="B206" i="69"/>
  <c r="T673" i="71" l="1"/>
  <c r="R673" i="71"/>
  <c r="Z673" i="71"/>
  <c r="AB673" i="71"/>
  <c r="P674" i="71"/>
  <c r="Y674" i="71"/>
  <c r="Q674" i="71" s="1"/>
  <c r="S674" i="71"/>
  <c r="V672" i="71"/>
  <c r="C675" i="71"/>
  <c r="D675" i="71" s="1"/>
  <c r="N675" i="71"/>
  <c r="K675" i="71"/>
  <c r="A676" i="71"/>
  <c r="B675" i="71"/>
  <c r="E675" i="71" s="1"/>
  <c r="M216" i="71"/>
  <c r="L216" i="71" s="1"/>
  <c r="N205" i="69"/>
  <c r="Z205" i="69" s="1"/>
  <c r="M205" i="69"/>
  <c r="E206" i="69"/>
  <c r="J206" i="69" s="1"/>
  <c r="Z674" i="71" l="1"/>
  <c r="R674" i="71"/>
  <c r="U674" i="71" s="1"/>
  <c r="V674" i="71" s="1"/>
  <c r="AB674" i="71"/>
  <c r="T674" i="71"/>
  <c r="A677" i="71"/>
  <c r="C676" i="71"/>
  <c r="D676" i="71" s="1"/>
  <c r="B676" i="71"/>
  <c r="E676" i="71" s="1"/>
  <c r="N676" i="71"/>
  <c r="K676" i="71"/>
  <c r="P675" i="71"/>
  <c r="Y675" i="71"/>
  <c r="Q675" i="71" s="1"/>
  <c r="S675" i="71"/>
  <c r="U673" i="71"/>
  <c r="V673" i="71" s="1"/>
  <c r="P205" i="69"/>
  <c r="L202" i="69"/>
  <c r="D206" i="69"/>
  <c r="N677" i="71" l="1"/>
  <c r="C677" i="71"/>
  <c r="D677" i="71" s="1"/>
  <c r="K677" i="71"/>
  <c r="A678" i="71"/>
  <c r="B677" i="71"/>
  <c r="E677" i="71" s="1"/>
  <c r="P676" i="71"/>
  <c r="Q676" i="71"/>
  <c r="S676" i="71"/>
  <c r="Y676" i="71"/>
  <c r="Z675" i="71"/>
  <c r="R675" i="71"/>
  <c r="AB675" i="71"/>
  <c r="T675" i="71"/>
  <c r="H206" i="69"/>
  <c r="I206" i="69"/>
  <c r="K206" i="69"/>
  <c r="T676" i="71" l="1"/>
  <c r="Z676" i="71"/>
  <c r="R676" i="71"/>
  <c r="AB676" i="71"/>
  <c r="N678" i="71"/>
  <c r="K678" i="71"/>
  <c r="A679" i="71"/>
  <c r="B678" i="71"/>
  <c r="E678" i="71" s="1"/>
  <c r="C678" i="71"/>
  <c r="D678" i="71" s="1"/>
  <c r="U675" i="71"/>
  <c r="V675" i="71"/>
  <c r="P677" i="71"/>
  <c r="Y677" i="71"/>
  <c r="Q677" i="71" s="1"/>
  <c r="S677" i="71"/>
  <c r="M217" i="71"/>
  <c r="L217" i="71" s="1"/>
  <c r="B207" i="69"/>
  <c r="A206" i="69"/>
  <c r="C207" i="69"/>
  <c r="Z677" i="71" l="1"/>
  <c r="R677" i="71"/>
  <c r="AB677" i="71"/>
  <c r="T677" i="71"/>
  <c r="C679" i="71"/>
  <c r="D679" i="71" s="1"/>
  <c r="N679" i="71"/>
  <c r="K679" i="71"/>
  <c r="E679" i="71"/>
  <c r="A680" i="71"/>
  <c r="B679" i="71"/>
  <c r="Y678" i="71"/>
  <c r="Q678" i="71" s="1"/>
  <c r="S678" i="71"/>
  <c r="P678" i="71"/>
  <c r="U676" i="71"/>
  <c r="V676" i="71"/>
  <c r="N206" i="69"/>
  <c r="Z206" i="69" s="1"/>
  <c r="M206" i="69"/>
  <c r="E207" i="69"/>
  <c r="J207" i="69" s="1"/>
  <c r="P679" i="71" l="1"/>
  <c r="Y679" i="71"/>
  <c r="Q679" i="71" s="1"/>
  <c r="S679" i="71"/>
  <c r="T678" i="71"/>
  <c r="Z678" i="71"/>
  <c r="AB678" i="71"/>
  <c r="R678" i="71"/>
  <c r="U678" i="71" s="1"/>
  <c r="V678" i="71" s="1"/>
  <c r="U677" i="71"/>
  <c r="V677" i="71" s="1"/>
  <c r="N680" i="71"/>
  <c r="B680" i="71"/>
  <c r="E680" i="71" s="1"/>
  <c r="A681" i="71"/>
  <c r="C680" i="71"/>
  <c r="D680" i="71" s="1"/>
  <c r="K680" i="71"/>
  <c r="P206" i="69"/>
  <c r="L203" i="69"/>
  <c r="D207" i="69"/>
  <c r="B681" i="71" l="1"/>
  <c r="E681" i="71" s="1"/>
  <c r="A682" i="71"/>
  <c r="C681" i="71"/>
  <c r="D681" i="71" s="1"/>
  <c r="N681" i="71"/>
  <c r="K681" i="71"/>
  <c r="Q680" i="71"/>
  <c r="P680" i="71"/>
  <c r="S680" i="71"/>
  <c r="Y680" i="71"/>
  <c r="T679" i="71"/>
  <c r="R679" i="71"/>
  <c r="U679" i="71" s="1"/>
  <c r="AB679" i="71"/>
  <c r="Z679" i="71"/>
  <c r="I207" i="69"/>
  <c r="H207" i="69"/>
  <c r="K207" i="69"/>
  <c r="S681" i="71" l="1"/>
  <c r="Y681" i="71"/>
  <c r="Q681" i="71" s="1"/>
  <c r="P681" i="71"/>
  <c r="V679" i="71"/>
  <c r="Z680" i="71"/>
  <c r="T680" i="71"/>
  <c r="R680" i="71"/>
  <c r="AB680" i="71"/>
  <c r="A683" i="71"/>
  <c r="B682" i="71"/>
  <c r="E682" i="71" s="1"/>
  <c r="K682" i="71"/>
  <c r="N682" i="71"/>
  <c r="C682" i="71"/>
  <c r="D682" i="71" s="1"/>
  <c r="M218" i="71"/>
  <c r="L218" i="71" s="1"/>
  <c r="C208" i="69"/>
  <c r="A207" i="69"/>
  <c r="B208" i="69"/>
  <c r="U680" i="71" l="1"/>
  <c r="V680" i="71" s="1"/>
  <c r="Y682" i="71"/>
  <c r="Q682" i="71" s="1"/>
  <c r="P682" i="71"/>
  <c r="S682" i="71"/>
  <c r="R681" i="71"/>
  <c r="U681" i="71" s="1"/>
  <c r="AB681" i="71"/>
  <c r="T681" i="71"/>
  <c r="Z681" i="71"/>
  <c r="A684" i="71"/>
  <c r="B683" i="71"/>
  <c r="E683" i="71" s="1"/>
  <c r="K683" i="71"/>
  <c r="C683" i="71"/>
  <c r="D683" i="71" s="1"/>
  <c r="N683" i="71"/>
  <c r="N207" i="69"/>
  <c r="Z207" i="69" s="1"/>
  <c r="M207" i="69"/>
  <c r="E208" i="69"/>
  <c r="J208" i="69" s="1"/>
  <c r="P683" i="71" l="1"/>
  <c r="Y683" i="71"/>
  <c r="Q683" i="71" s="1"/>
  <c r="S683" i="71"/>
  <c r="R682" i="71"/>
  <c r="T682" i="71"/>
  <c r="AB682" i="71"/>
  <c r="Z682" i="71"/>
  <c r="V681" i="71"/>
  <c r="C684" i="71"/>
  <c r="D684" i="71" s="1"/>
  <c r="A685" i="71"/>
  <c r="K684" i="71"/>
  <c r="N684" i="71"/>
  <c r="B684" i="71"/>
  <c r="E684" i="71" s="1"/>
  <c r="P207" i="69"/>
  <c r="L204" i="69"/>
  <c r="D208" i="69"/>
  <c r="U682" i="71" l="1"/>
  <c r="V682" i="71"/>
  <c r="K685" i="71"/>
  <c r="B685" i="71"/>
  <c r="E685" i="71" s="1"/>
  <c r="C685" i="71"/>
  <c r="D685" i="71" s="1"/>
  <c r="A686" i="71"/>
  <c r="N685" i="71"/>
  <c r="T683" i="71"/>
  <c r="AB683" i="71"/>
  <c r="Z683" i="71"/>
  <c r="R683" i="71"/>
  <c r="U683" i="71" s="1"/>
  <c r="P684" i="71"/>
  <c r="Y684" i="71"/>
  <c r="Q684" i="71"/>
  <c r="S684" i="71"/>
  <c r="H208" i="69"/>
  <c r="I208" i="69"/>
  <c r="K208" i="69"/>
  <c r="P685" i="71" l="1"/>
  <c r="Y685" i="71"/>
  <c r="Q685" i="71" s="1"/>
  <c r="S685" i="71"/>
  <c r="R684" i="71"/>
  <c r="AB684" i="71"/>
  <c r="T684" i="71"/>
  <c r="Z684" i="71"/>
  <c r="V683" i="71"/>
  <c r="N686" i="71"/>
  <c r="K686" i="71"/>
  <c r="A687" i="71"/>
  <c r="B686" i="71"/>
  <c r="E686" i="71" s="1"/>
  <c r="C686" i="71"/>
  <c r="D686" i="71" s="1"/>
  <c r="M219" i="71"/>
  <c r="L219" i="71" s="1"/>
  <c r="B209" i="69"/>
  <c r="C209" i="69"/>
  <c r="A208" i="69"/>
  <c r="AB685" i="71" l="1"/>
  <c r="T685" i="71"/>
  <c r="R685" i="71"/>
  <c r="Z685" i="71"/>
  <c r="U684" i="71"/>
  <c r="V684" i="71"/>
  <c r="A688" i="71"/>
  <c r="K687" i="71"/>
  <c r="N687" i="71"/>
  <c r="B687" i="71"/>
  <c r="C687" i="71"/>
  <c r="D687" i="71" s="1"/>
  <c r="E687" i="71"/>
  <c r="S686" i="71"/>
  <c r="P686" i="71"/>
  <c r="Y686" i="71"/>
  <c r="Q686" i="71" s="1"/>
  <c r="N208" i="69"/>
  <c r="Z208" i="69" s="1"/>
  <c r="M208" i="69"/>
  <c r="E209" i="69"/>
  <c r="J209" i="69" s="1"/>
  <c r="K688" i="71" l="1"/>
  <c r="C688" i="71"/>
  <c r="D688" i="71" s="1"/>
  <c r="A689" i="71"/>
  <c r="N688" i="71"/>
  <c r="B688" i="71"/>
  <c r="E688" i="71" s="1"/>
  <c r="U685" i="71"/>
  <c r="V685" i="71"/>
  <c r="T686" i="71"/>
  <c r="Z686" i="71"/>
  <c r="R686" i="71"/>
  <c r="AB686" i="71"/>
  <c r="S687" i="71"/>
  <c r="Y687" i="71"/>
  <c r="Q687" i="71" s="1"/>
  <c r="P687" i="71"/>
  <c r="P208" i="69"/>
  <c r="D209" i="69"/>
  <c r="L205" i="69"/>
  <c r="S688" i="71" l="1"/>
  <c r="P688" i="71"/>
  <c r="Q688" i="71"/>
  <c r="Y688" i="71"/>
  <c r="AB687" i="71"/>
  <c r="Z687" i="71"/>
  <c r="T687" i="71"/>
  <c r="R687" i="71"/>
  <c r="U687" i="71" s="1"/>
  <c r="V687" i="71" s="1"/>
  <c r="A690" i="71"/>
  <c r="K689" i="71"/>
  <c r="C689" i="71"/>
  <c r="D689" i="71" s="1"/>
  <c r="B689" i="71"/>
  <c r="N689" i="71"/>
  <c r="E689" i="71"/>
  <c r="U686" i="71"/>
  <c r="V686" i="71"/>
  <c r="I209" i="69"/>
  <c r="H209" i="69"/>
  <c r="K209" i="69"/>
  <c r="Y689" i="71" l="1"/>
  <c r="Q689" i="71" s="1"/>
  <c r="S689" i="71"/>
  <c r="P689" i="71"/>
  <c r="AB688" i="71"/>
  <c r="T688" i="71"/>
  <c r="R688" i="71"/>
  <c r="U688" i="71" s="1"/>
  <c r="V688" i="71" s="1"/>
  <c r="Z688" i="71"/>
  <c r="N690" i="71"/>
  <c r="K690" i="71"/>
  <c r="C690" i="71"/>
  <c r="D690" i="71" s="1"/>
  <c r="B690" i="71"/>
  <c r="E690" i="71" s="1"/>
  <c r="A691" i="71"/>
  <c r="M220" i="71"/>
  <c r="L220" i="71" s="1"/>
  <c r="C210" i="69"/>
  <c r="A209" i="69"/>
  <c r="B210" i="69"/>
  <c r="Y690" i="71" l="1"/>
  <c r="Q690" i="71"/>
  <c r="S690" i="71"/>
  <c r="P690" i="71"/>
  <c r="N691" i="71"/>
  <c r="K691" i="71"/>
  <c r="A692" i="71"/>
  <c r="C691" i="71"/>
  <c r="D691" i="71" s="1"/>
  <c r="B691" i="71"/>
  <c r="E691" i="71" s="1"/>
  <c r="AB689" i="71"/>
  <c r="T689" i="71"/>
  <c r="R689" i="71"/>
  <c r="U689" i="71" s="1"/>
  <c r="Z689" i="71"/>
  <c r="N209" i="69"/>
  <c r="Z209" i="69" s="1"/>
  <c r="M209" i="69"/>
  <c r="E210" i="69"/>
  <c r="J210" i="69" s="1"/>
  <c r="N692" i="71" l="1"/>
  <c r="B692" i="71"/>
  <c r="C692" i="71"/>
  <c r="D692" i="71" s="1"/>
  <c r="E692" i="71"/>
  <c r="K692" i="71"/>
  <c r="A693" i="71"/>
  <c r="Y691" i="71"/>
  <c r="Q691" i="71" s="1"/>
  <c r="P691" i="71"/>
  <c r="S691" i="71"/>
  <c r="V689" i="71"/>
  <c r="AB690" i="71"/>
  <c r="R690" i="71"/>
  <c r="U690" i="71" s="1"/>
  <c r="V690" i="71" s="1"/>
  <c r="T690" i="71"/>
  <c r="Z690" i="71"/>
  <c r="P209" i="69"/>
  <c r="L206" i="69"/>
  <c r="D210" i="69"/>
  <c r="R691" i="71" l="1"/>
  <c r="AB691" i="71"/>
  <c r="T691" i="71"/>
  <c r="Z691" i="71"/>
  <c r="K693" i="71"/>
  <c r="N693" i="71"/>
  <c r="B693" i="71"/>
  <c r="E693" i="71" s="1"/>
  <c r="A694" i="71"/>
  <c r="C693" i="71"/>
  <c r="D693" i="71" s="1"/>
  <c r="P692" i="71"/>
  <c r="Y692" i="71"/>
  <c r="Q692" i="71" s="1"/>
  <c r="S692" i="71"/>
  <c r="M221" i="71"/>
  <c r="L221" i="71" s="1"/>
  <c r="H210" i="69"/>
  <c r="I210" i="69"/>
  <c r="K210" i="69"/>
  <c r="C694" i="71" l="1"/>
  <c r="D694" i="71" s="1"/>
  <c r="K694" i="71"/>
  <c r="B694" i="71"/>
  <c r="A695" i="71"/>
  <c r="N694" i="71"/>
  <c r="E694" i="71"/>
  <c r="Y693" i="71"/>
  <c r="Q693" i="71" s="1"/>
  <c r="P693" i="71"/>
  <c r="S693" i="71"/>
  <c r="T692" i="71"/>
  <c r="Z692" i="71"/>
  <c r="AB692" i="71"/>
  <c r="R692" i="71"/>
  <c r="U691" i="71"/>
  <c r="V691" i="71"/>
  <c r="B211" i="69"/>
  <c r="C211" i="69"/>
  <c r="A210" i="69"/>
  <c r="Z693" i="71" l="1"/>
  <c r="T693" i="71"/>
  <c r="AB693" i="71"/>
  <c r="R693" i="71"/>
  <c r="U693" i="71" s="1"/>
  <c r="V693" i="71" s="1"/>
  <c r="S694" i="71"/>
  <c r="P694" i="71"/>
  <c r="Y694" i="71"/>
  <c r="Q694" i="71" s="1"/>
  <c r="A696" i="71"/>
  <c r="B695" i="71"/>
  <c r="E695" i="71" s="1"/>
  <c r="N695" i="71"/>
  <c r="C695" i="71"/>
  <c r="D695" i="71" s="1"/>
  <c r="K695" i="71"/>
  <c r="U692" i="71"/>
  <c r="V692" i="71"/>
  <c r="N210" i="69"/>
  <c r="Z210" i="69" s="1"/>
  <c r="M210" i="69"/>
  <c r="E211" i="69"/>
  <c r="J211" i="69" s="1"/>
  <c r="N696" i="71" l="1"/>
  <c r="B696" i="71"/>
  <c r="E696" i="71" s="1"/>
  <c r="K696" i="71"/>
  <c r="A697" i="71"/>
  <c r="C696" i="71"/>
  <c r="D696" i="71" s="1"/>
  <c r="AB694" i="71"/>
  <c r="T694" i="71"/>
  <c r="R694" i="71"/>
  <c r="Z694" i="71"/>
  <c r="Y695" i="71"/>
  <c r="Q695" i="71"/>
  <c r="P695" i="71"/>
  <c r="S695" i="71"/>
  <c r="P210" i="69"/>
  <c r="D211" i="69"/>
  <c r="L207" i="69"/>
  <c r="K697" i="71" l="1"/>
  <c r="B697" i="71"/>
  <c r="E697" i="71" s="1"/>
  <c r="A698" i="71"/>
  <c r="N697" i="71"/>
  <c r="C697" i="71"/>
  <c r="D697" i="71" s="1"/>
  <c r="R695" i="71"/>
  <c r="AB695" i="71"/>
  <c r="T695" i="71"/>
  <c r="Z695" i="71"/>
  <c r="U694" i="71"/>
  <c r="V694" i="71"/>
  <c r="S696" i="71"/>
  <c r="Y696" i="71"/>
  <c r="Q696" i="71" s="1"/>
  <c r="P696" i="71"/>
  <c r="M222" i="71"/>
  <c r="L222" i="71" s="1"/>
  <c r="I211" i="69"/>
  <c r="H211" i="69"/>
  <c r="K211" i="69"/>
  <c r="AB696" i="71" l="1"/>
  <c r="R696" i="71"/>
  <c r="U696" i="71" s="1"/>
  <c r="T696" i="71"/>
  <c r="Z696" i="71"/>
  <c r="S697" i="71"/>
  <c r="Y697" i="71"/>
  <c r="Q697" i="71" s="1"/>
  <c r="P697" i="71"/>
  <c r="K698" i="71"/>
  <c r="A699" i="71"/>
  <c r="C698" i="71"/>
  <c r="D698" i="71" s="1"/>
  <c r="B698" i="71"/>
  <c r="E698" i="71" s="1"/>
  <c r="N698" i="71"/>
  <c r="U695" i="71"/>
  <c r="V695" i="71"/>
  <c r="C212" i="69"/>
  <c r="A211" i="69"/>
  <c r="B212" i="69"/>
  <c r="Y698" i="71" l="1"/>
  <c r="S698" i="71"/>
  <c r="Q698" i="71"/>
  <c r="P698" i="71"/>
  <c r="AB697" i="71"/>
  <c r="Z697" i="71"/>
  <c r="R697" i="71"/>
  <c r="T697" i="71"/>
  <c r="V696" i="71"/>
  <c r="C699" i="71"/>
  <c r="D699" i="71" s="1"/>
  <c r="N699" i="71"/>
  <c r="K699" i="71"/>
  <c r="A700" i="71"/>
  <c r="B699" i="71"/>
  <c r="E699" i="71" s="1"/>
  <c r="N211" i="69"/>
  <c r="Z211" i="69" s="1"/>
  <c r="M211" i="69"/>
  <c r="E212" i="69"/>
  <c r="J212" i="69" s="1"/>
  <c r="V697" i="71" l="1"/>
  <c r="U697" i="71"/>
  <c r="R698" i="71"/>
  <c r="U698" i="71" s="1"/>
  <c r="AB698" i="71"/>
  <c r="T698" i="71"/>
  <c r="Z698" i="71"/>
  <c r="S699" i="71"/>
  <c r="P699" i="71"/>
  <c r="Y699" i="71"/>
  <c r="Q699" i="71" s="1"/>
  <c r="C700" i="71"/>
  <c r="D700" i="71" s="1"/>
  <c r="B700" i="71"/>
  <c r="E700" i="71" s="1"/>
  <c r="N700" i="71"/>
  <c r="K700" i="71"/>
  <c r="A701" i="71"/>
  <c r="P211" i="69"/>
  <c r="L208" i="69"/>
  <c r="D212" i="69"/>
  <c r="AB699" i="71" l="1"/>
  <c r="Z699" i="71"/>
  <c r="T699" i="71"/>
  <c r="R699" i="71"/>
  <c r="B701" i="71"/>
  <c r="E701" i="71" s="1"/>
  <c r="K701" i="71"/>
  <c r="N701" i="71"/>
  <c r="A702" i="71"/>
  <c r="C701" i="71"/>
  <c r="D701" i="71" s="1"/>
  <c r="P700" i="71"/>
  <c r="Y700" i="71"/>
  <c r="Q700" i="71" s="1"/>
  <c r="S700" i="71"/>
  <c r="V698" i="71"/>
  <c r="M223" i="71"/>
  <c r="L223" i="71" s="1"/>
  <c r="H212" i="69"/>
  <c r="I212" i="69"/>
  <c r="K212" i="69"/>
  <c r="R700" i="71" l="1"/>
  <c r="T700" i="71"/>
  <c r="Z700" i="71"/>
  <c r="AB700" i="71"/>
  <c r="U699" i="71"/>
  <c r="V699" i="71"/>
  <c r="P701" i="71"/>
  <c r="Y701" i="71"/>
  <c r="Q701" i="71" s="1"/>
  <c r="S701" i="71"/>
  <c r="K702" i="71"/>
  <c r="A703" i="71"/>
  <c r="B702" i="71"/>
  <c r="E702" i="71" s="1"/>
  <c r="N702" i="71"/>
  <c r="C702" i="71"/>
  <c r="D702" i="71" s="1"/>
  <c r="B213" i="69"/>
  <c r="A212" i="69"/>
  <c r="C213" i="69"/>
  <c r="AB701" i="71" l="1"/>
  <c r="T701" i="71"/>
  <c r="R701" i="71"/>
  <c r="Z701" i="71"/>
  <c r="B703" i="71"/>
  <c r="E703" i="71" s="1"/>
  <c r="C703" i="71"/>
  <c r="D703" i="71" s="1"/>
  <c r="A704" i="71"/>
  <c r="K703" i="71"/>
  <c r="N703" i="71"/>
  <c r="Y702" i="71"/>
  <c r="Q702" i="71" s="1"/>
  <c r="S702" i="71"/>
  <c r="P702" i="71"/>
  <c r="U700" i="71"/>
  <c r="V700" i="71"/>
  <c r="N212" i="69"/>
  <c r="Z212" i="69" s="1"/>
  <c r="M212" i="69"/>
  <c r="E213" i="69"/>
  <c r="J213" i="69" s="1"/>
  <c r="T702" i="71" l="1"/>
  <c r="R702" i="71"/>
  <c r="U702" i="71" s="1"/>
  <c r="V702" i="71" s="1"/>
  <c r="Z702" i="71"/>
  <c r="AB702" i="71"/>
  <c r="U701" i="71"/>
  <c r="V701" i="71"/>
  <c r="C704" i="71"/>
  <c r="D704" i="71" s="1"/>
  <c r="K704" i="71"/>
  <c r="B704" i="71"/>
  <c r="A705" i="71"/>
  <c r="N704" i="71"/>
  <c r="E704" i="71"/>
  <c r="P703" i="71"/>
  <c r="Y703" i="71"/>
  <c r="Q703" i="71" s="1"/>
  <c r="S703" i="71"/>
  <c r="P212" i="69"/>
  <c r="L209" i="69"/>
  <c r="D213" i="69"/>
  <c r="S704" i="71" l="1"/>
  <c r="P704" i="71"/>
  <c r="Y704" i="71"/>
  <c r="Q704" i="71" s="1"/>
  <c r="Z703" i="71"/>
  <c r="R703" i="71"/>
  <c r="U703" i="71" s="1"/>
  <c r="T703" i="71"/>
  <c r="AB703" i="71"/>
  <c r="A706" i="71"/>
  <c r="K705" i="71"/>
  <c r="B705" i="71"/>
  <c r="E705" i="71" s="1"/>
  <c r="C705" i="71"/>
  <c r="D705" i="71" s="1"/>
  <c r="N705" i="71"/>
  <c r="M224" i="71"/>
  <c r="L224" i="71" s="1"/>
  <c r="I213" i="69"/>
  <c r="H213" i="69"/>
  <c r="K213" i="69"/>
  <c r="V703" i="71" l="1"/>
  <c r="Y705" i="71"/>
  <c r="Q705" i="71" s="1"/>
  <c r="S705" i="71"/>
  <c r="P705" i="71"/>
  <c r="T704" i="71"/>
  <c r="R704" i="71"/>
  <c r="AB704" i="71"/>
  <c r="Z704" i="71"/>
  <c r="N706" i="71"/>
  <c r="A707" i="71"/>
  <c r="B706" i="71"/>
  <c r="E706" i="71" s="1"/>
  <c r="C706" i="71"/>
  <c r="D706" i="71" s="1"/>
  <c r="K706" i="71"/>
  <c r="C214" i="69"/>
  <c r="A213" i="69"/>
  <c r="B214" i="69"/>
  <c r="Z705" i="71" l="1"/>
  <c r="T705" i="71"/>
  <c r="R705" i="71"/>
  <c r="U705" i="71" s="1"/>
  <c r="V705" i="71" s="1"/>
  <c r="AB705" i="71"/>
  <c r="U704" i="71"/>
  <c r="V704" i="71"/>
  <c r="A708" i="71"/>
  <c r="B707" i="71"/>
  <c r="E707" i="71" s="1"/>
  <c r="K707" i="71"/>
  <c r="C707" i="71"/>
  <c r="D707" i="71" s="1"/>
  <c r="N707" i="71"/>
  <c r="S706" i="71"/>
  <c r="P706" i="71"/>
  <c r="Y706" i="71"/>
  <c r="Q706" i="71" s="1"/>
  <c r="N213" i="69"/>
  <c r="Z213" i="69" s="1"/>
  <c r="M213" i="69"/>
  <c r="E214" i="69"/>
  <c r="J214" i="69" s="1"/>
  <c r="B708" i="71" l="1"/>
  <c r="E708" i="71" s="1"/>
  <c r="C708" i="71"/>
  <c r="D708" i="71" s="1"/>
  <c r="K708" i="71"/>
  <c r="N708" i="71"/>
  <c r="A709" i="71"/>
  <c r="P707" i="71"/>
  <c r="Y707" i="71"/>
  <c r="Q707" i="71" s="1"/>
  <c r="S707" i="71"/>
  <c r="R706" i="71"/>
  <c r="T706" i="71"/>
  <c r="Z706" i="71"/>
  <c r="AB706" i="71"/>
  <c r="M225" i="71"/>
  <c r="L225" i="71" s="1"/>
  <c r="P213" i="69"/>
  <c r="D214" i="69"/>
  <c r="L210" i="69"/>
  <c r="R707" i="71" l="1"/>
  <c r="U707" i="71" s="1"/>
  <c r="AB707" i="71"/>
  <c r="T707" i="71"/>
  <c r="Z707" i="71"/>
  <c r="K709" i="71"/>
  <c r="B709" i="71"/>
  <c r="E709" i="71" s="1"/>
  <c r="N709" i="71"/>
  <c r="C709" i="71"/>
  <c r="D709" i="71" s="1"/>
  <c r="A710" i="71"/>
  <c r="P708" i="71"/>
  <c r="Y708" i="71"/>
  <c r="Q708" i="71" s="1"/>
  <c r="S708" i="71"/>
  <c r="V706" i="71"/>
  <c r="U706" i="71"/>
  <c r="H214" i="69"/>
  <c r="I214" i="69"/>
  <c r="K214" i="69"/>
  <c r="Y709" i="71" l="1"/>
  <c r="P709" i="71"/>
  <c r="S709" i="71"/>
  <c r="Q709" i="71"/>
  <c r="T708" i="71"/>
  <c r="AB708" i="71"/>
  <c r="R708" i="71"/>
  <c r="Z708" i="71"/>
  <c r="K710" i="71"/>
  <c r="A711" i="71"/>
  <c r="B710" i="71"/>
  <c r="E710" i="71" s="1"/>
  <c r="C710" i="71"/>
  <c r="D710" i="71" s="1"/>
  <c r="N710" i="71"/>
  <c r="V707" i="71"/>
  <c r="B215" i="69"/>
  <c r="C215" i="69"/>
  <c r="A214" i="69"/>
  <c r="U708" i="71" l="1"/>
  <c r="V708" i="71" s="1"/>
  <c r="S710" i="71"/>
  <c r="P710" i="71"/>
  <c r="Y710" i="71"/>
  <c r="Q710" i="71" s="1"/>
  <c r="Z709" i="71"/>
  <c r="T709" i="71"/>
  <c r="R709" i="71"/>
  <c r="U709" i="71" s="1"/>
  <c r="V709" i="71" s="1"/>
  <c r="AB709" i="71"/>
  <c r="A712" i="71"/>
  <c r="B711" i="71"/>
  <c r="E711" i="71" s="1"/>
  <c r="N711" i="71"/>
  <c r="C711" i="71"/>
  <c r="D711" i="71" s="1"/>
  <c r="K711" i="71"/>
  <c r="M226" i="71"/>
  <c r="L226" i="71" s="1"/>
  <c r="N214" i="69"/>
  <c r="Z214" i="69" s="1"/>
  <c r="M214" i="69"/>
  <c r="E215" i="69"/>
  <c r="J215" i="69" s="1"/>
  <c r="R710" i="71" l="1"/>
  <c r="AB710" i="71"/>
  <c r="Z710" i="71"/>
  <c r="T710" i="71"/>
  <c r="B712" i="71"/>
  <c r="E712" i="71" s="1"/>
  <c r="K712" i="71"/>
  <c r="C712" i="71"/>
  <c r="D712" i="71" s="1"/>
  <c r="A713" i="71"/>
  <c r="N712" i="71"/>
  <c r="S711" i="71"/>
  <c r="P711" i="71"/>
  <c r="Y711" i="71"/>
  <c r="Q711" i="71"/>
  <c r="P214" i="69"/>
  <c r="D215" i="69"/>
  <c r="L211" i="69"/>
  <c r="C713" i="71" l="1"/>
  <c r="D713" i="71" s="1"/>
  <c r="K713" i="71"/>
  <c r="A714" i="71"/>
  <c r="B713" i="71"/>
  <c r="E713" i="71" s="1"/>
  <c r="N713" i="71"/>
  <c r="T711" i="71"/>
  <c r="Z711" i="71"/>
  <c r="R711" i="71"/>
  <c r="U711" i="71" s="1"/>
  <c r="V711" i="71" s="1"/>
  <c r="AB711" i="71"/>
  <c r="Y712" i="71"/>
  <c r="Q712" i="71" s="1"/>
  <c r="P712" i="71"/>
  <c r="S712" i="71"/>
  <c r="V710" i="71"/>
  <c r="U710" i="71"/>
  <c r="I215" i="69"/>
  <c r="H215" i="69"/>
  <c r="K215" i="69"/>
  <c r="Y713" i="71" l="1"/>
  <c r="Q713" i="71"/>
  <c r="S713" i="71"/>
  <c r="P713" i="71"/>
  <c r="A715" i="71"/>
  <c r="C714" i="71"/>
  <c r="D714" i="71" s="1"/>
  <c r="B714" i="71"/>
  <c r="E714" i="71" s="1"/>
  <c r="N714" i="71"/>
  <c r="K714" i="71"/>
  <c r="AB712" i="71"/>
  <c r="T712" i="71"/>
  <c r="R712" i="71"/>
  <c r="Z712" i="71"/>
  <c r="M227" i="71"/>
  <c r="L227" i="71" s="1"/>
  <c r="C216" i="69"/>
  <c r="A215" i="69"/>
  <c r="B216" i="69"/>
  <c r="N715" i="71" l="1"/>
  <c r="A716" i="71"/>
  <c r="B715" i="71"/>
  <c r="E715" i="71"/>
  <c r="C715" i="71"/>
  <c r="D715" i="71" s="1"/>
  <c r="K715" i="71"/>
  <c r="Y714" i="71"/>
  <c r="Q714" i="71" s="1"/>
  <c r="S714" i="71"/>
  <c r="P714" i="71"/>
  <c r="U712" i="71"/>
  <c r="V712" i="71"/>
  <c r="Z713" i="71"/>
  <c r="R713" i="71"/>
  <c r="U713" i="71" s="1"/>
  <c r="T713" i="71"/>
  <c r="AB713" i="71"/>
  <c r="N215" i="69"/>
  <c r="Z215" i="69" s="1"/>
  <c r="M215" i="69"/>
  <c r="E216" i="69"/>
  <c r="J216" i="69" s="1"/>
  <c r="R714" i="71" l="1"/>
  <c r="AB714" i="71"/>
  <c r="T714" i="71"/>
  <c r="Z714" i="71"/>
  <c r="B716" i="71"/>
  <c r="C716" i="71"/>
  <c r="D716" i="71" s="1"/>
  <c r="K716" i="71"/>
  <c r="E716" i="71"/>
  <c r="A717" i="71"/>
  <c r="N716" i="71"/>
  <c r="V713" i="71"/>
  <c r="Y715" i="71"/>
  <c r="Q715" i="71" s="1"/>
  <c r="S715" i="71"/>
  <c r="P715" i="71"/>
  <c r="P215" i="69"/>
  <c r="D216" i="69"/>
  <c r="L212" i="69"/>
  <c r="R715" i="71" l="1"/>
  <c r="U715" i="71" s="1"/>
  <c r="AB715" i="71"/>
  <c r="T715" i="71"/>
  <c r="Z715" i="71"/>
  <c r="S716" i="71"/>
  <c r="P716" i="71"/>
  <c r="Y716" i="71"/>
  <c r="Q716" i="71" s="1"/>
  <c r="N717" i="71"/>
  <c r="B717" i="71"/>
  <c r="E717" i="71" s="1"/>
  <c r="A718" i="71"/>
  <c r="C717" i="71"/>
  <c r="D717" i="71" s="1"/>
  <c r="K717" i="71"/>
  <c r="U714" i="71"/>
  <c r="V714" i="71"/>
  <c r="H216" i="69"/>
  <c r="I216" i="69"/>
  <c r="K216" i="69"/>
  <c r="T716" i="71" l="1"/>
  <c r="R716" i="71"/>
  <c r="U716" i="71" s="1"/>
  <c r="V716" i="71" s="1"/>
  <c r="AB716" i="71"/>
  <c r="Z716" i="71"/>
  <c r="P717" i="71"/>
  <c r="S717" i="71"/>
  <c r="Y717" i="71"/>
  <c r="Q717" i="71" s="1"/>
  <c r="K718" i="71"/>
  <c r="A719" i="71"/>
  <c r="C718" i="71"/>
  <c r="D718" i="71" s="1"/>
  <c r="B718" i="71"/>
  <c r="E718" i="71" s="1"/>
  <c r="N718" i="71"/>
  <c r="V715" i="71"/>
  <c r="M228" i="71"/>
  <c r="L228" i="71" s="1"/>
  <c r="C217" i="69"/>
  <c r="B217" i="69"/>
  <c r="A216" i="69"/>
  <c r="Z717" i="71" l="1"/>
  <c r="AB717" i="71"/>
  <c r="R717" i="71"/>
  <c r="U717" i="71" s="1"/>
  <c r="V717" i="71" s="1"/>
  <c r="T717" i="71"/>
  <c r="S718" i="71"/>
  <c r="P718" i="71"/>
  <c r="Y718" i="71"/>
  <c r="Q718" i="71" s="1"/>
  <c r="N719" i="71"/>
  <c r="K719" i="71"/>
  <c r="A720" i="71"/>
  <c r="C719" i="71"/>
  <c r="D719" i="71" s="1"/>
  <c r="B719" i="71"/>
  <c r="E719" i="71" s="1"/>
  <c r="N216" i="69"/>
  <c r="Z216" i="69" s="1"/>
  <c r="M216" i="69"/>
  <c r="E217" i="69"/>
  <c r="J217" i="69" s="1"/>
  <c r="L213" i="69"/>
  <c r="R718" i="71" l="1"/>
  <c r="T718" i="71"/>
  <c r="AB718" i="71"/>
  <c r="Z718" i="71"/>
  <c r="A721" i="71"/>
  <c r="N720" i="71"/>
  <c r="B720" i="71"/>
  <c r="E720" i="71" s="1"/>
  <c r="C720" i="71"/>
  <c r="D720" i="71" s="1"/>
  <c r="K720" i="71"/>
  <c r="P719" i="71"/>
  <c r="S719" i="71"/>
  <c r="Y719" i="71"/>
  <c r="Q719" i="71" s="1"/>
  <c r="P216" i="69"/>
  <c r="D217" i="69"/>
  <c r="S720" i="71" l="1"/>
  <c r="P720" i="71"/>
  <c r="Y720" i="71"/>
  <c r="Q720" i="71" s="1"/>
  <c r="AB719" i="71"/>
  <c r="T719" i="71"/>
  <c r="Z719" i="71"/>
  <c r="R719" i="71"/>
  <c r="U719" i="71" s="1"/>
  <c r="V719" i="71" s="1"/>
  <c r="A722" i="71"/>
  <c r="B721" i="71"/>
  <c r="C721" i="71"/>
  <c r="D721" i="71" s="1"/>
  <c r="E721" i="71"/>
  <c r="K721" i="71"/>
  <c r="N721" i="71"/>
  <c r="U718" i="71"/>
  <c r="V718" i="71"/>
  <c r="M229" i="71"/>
  <c r="L229" i="71" s="1"/>
  <c r="H217" i="69"/>
  <c r="I217" i="69"/>
  <c r="K217" i="69"/>
  <c r="R720" i="71" l="1"/>
  <c r="AB720" i="71"/>
  <c r="T720" i="71"/>
  <c r="Z720" i="71"/>
  <c r="Y721" i="71"/>
  <c r="Q721" i="71"/>
  <c r="S721" i="71"/>
  <c r="P721" i="71"/>
  <c r="C722" i="71"/>
  <c r="D722" i="71" s="1"/>
  <c r="N722" i="71"/>
  <c r="A723" i="71"/>
  <c r="B722" i="71"/>
  <c r="K722" i="71"/>
  <c r="E722" i="71"/>
  <c r="B218" i="69"/>
  <c r="C218" i="69"/>
  <c r="A217" i="69"/>
  <c r="AB721" i="71" l="1"/>
  <c r="R721" i="71"/>
  <c r="Z721" i="71"/>
  <c r="T721" i="71"/>
  <c r="A724" i="71"/>
  <c r="B723" i="71"/>
  <c r="E723" i="71" s="1"/>
  <c r="C723" i="71"/>
  <c r="D723" i="71" s="1"/>
  <c r="N723" i="71"/>
  <c r="K723" i="71"/>
  <c r="S722" i="71"/>
  <c r="P722" i="71"/>
  <c r="Y722" i="71"/>
  <c r="Q722" i="71" s="1"/>
  <c r="U720" i="71"/>
  <c r="V720" i="71"/>
  <c r="N217" i="69"/>
  <c r="Z217" i="69" s="1"/>
  <c r="M217" i="69"/>
  <c r="L214" i="69"/>
  <c r="E218" i="69"/>
  <c r="J218" i="69" s="1"/>
  <c r="P723" i="71" l="1"/>
  <c r="Y723" i="71"/>
  <c r="Q723" i="71" s="1"/>
  <c r="S723" i="71"/>
  <c r="B724" i="71"/>
  <c r="C724" i="71"/>
  <c r="D724" i="71" s="1"/>
  <c r="A725" i="71"/>
  <c r="N724" i="71"/>
  <c r="E724" i="71"/>
  <c r="K724" i="71"/>
  <c r="AB722" i="71"/>
  <c r="T722" i="71"/>
  <c r="R722" i="71"/>
  <c r="U722" i="71" s="1"/>
  <c r="V722" i="71" s="1"/>
  <c r="Z722" i="71"/>
  <c r="V721" i="71"/>
  <c r="U721" i="71"/>
  <c r="P217" i="69"/>
  <c r="D218" i="69"/>
  <c r="K725" i="71" l="1"/>
  <c r="B725" i="71"/>
  <c r="E725" i="71" s="1"/>
  <c r="N725" i="71"/>
  <c r="A726" i="71"/>
  <c r="C725" i="71"/>
  <c r="D725" i="71" s="1"/>
  <c r="Y724" i="71"/>
  <c r="Q724" i="71" s="1"/>
  <c r="S724" i="71"/>
  <c r="P724" i="71"/>
  <c r="AB723" i="71"/>
  <c r="T723" i="71"/>
  <c r="R723" i="71"/>
  <c r="U723" i="71" s="1"/>
  <c r="V723" i="71" s="1"/>
  <c r="Z723" i="71"/>
  <c r="M230" i="71"/>
  <c r="L230" i="71" s="1"/>
  <c r="I218" i="69"/>
  <c r="H218" i="69"/>
  <c r="K218" i="69"/>
  <c r="T724" i="71" l="1"/>
  <c r="AB724" i="71"/>
  <c r="Z724" i="71"/>
  <c r="R724" i="71"/>
  <c r="P725" i="71"/>
  <c r="S725" i="71"/>
  <c r="Y725" i="71"/>
  <c r="Q725" i="71" s="1"/>
  <c r="N726" i="71"/>
  <c r="K726" i="71"/>
  <c r="A727" i="71"/>
  <c r="B726" i="71"/>
  <c r="E726" i="71" s="1"/>
  <c r="C726" i="71"/>
  <c r="D726" i="71" s="1"/>
  <c r="C219" i="69"/>
  <c r="A218" i="69"/>
  <c r="B219" i="69"/>
  <c r="L215" i="69"/>
  <c r="T725" i="71" l="1"/>
  <c r="R725" i="71"/>
  <c r="AB725" i="71"/>
  <c r="Z725" i="71"/>
  <c r="C727" i="71"/>
  <c r="D727" i="71" s="1"/>
  <c r="K727" i="71"/>
  <c r="N727" i="71"/>
  <c r="A728" i="71"/>
  <c r="B727" i="71"/>
  <c r="E727" i="71" s="1"/>
  <c r="U724" i="71"/>
  <c r="V724" i="71"/>
  <c r="S726" i="71"/>
  <c r="Y726" i="71"/>
  <c r="Q726" i="71" s="1"/>
  <c r="P726" i="71"/>
  <c r="N218" i="69"/>
  <c r="Z218" i="69" s="1"/>
  <c r="M218" i="69"/>
  <c r="E219" i="69"/>
  <c r="J219" i="69" s="1"/>
  <c r="T726" i="71" l="1"/>
  <c r="R726" i="71"/>
  <c r="Z726" i="71"/>
  <c r="AB726" i="71"/>
  <c r="A729" i="71"/>
  <c r="E728" i="71"/>
  <c r="C728" i="71"/>
  <c r="D728" i="71" s="1"/>
  <c r="N728" i="71"/>
  <c r="K728" i="71"/>
  <c r="B728" i="71"/>
  <c r="S727" i="71"/>
  <c r="P727" i="71"/>
  <c r="Y727" i="71"/>
  <c r="Q727" i="71" s="1"/>
  <c r="U725" i="71"/>
  <c r="V725" i="71"/>
  <c r="M231" i="71"/>
  <c r="L231" i="71" s="1"/>
  <c r="P218" i="69"/>
  <c r="D219" i="69"/>
  <c r="AB727" i="71" l="1"/>
  <c r="T727" i="71"/>
  <c r="Z727" i="71"/>
  <c r="R727" i="71"/>
  <c r="S728" i="71"/>
  <c r="Y728" i="71"/>
  <c r="Q728" i="71" s="1"/>
  <c r="P728" i="71"/>
  <c r="C729" i="71"/>
  <c r="D729" i="71" s="1"/>
  <c r="K729" i="71"/>
  <c r="A730" i="71"/>
  <c r="B729" i="71"/>
  <c r="E729" i="71" s="1"/>
  <c r="N729" i="71"/>
  <c r="U726" i="71"/>
  <c r="V726" i="71"/>
  <c r="I219" i="69"/>
  <c r="H219" i="69"/>
  <c r="K219" i="69"/>
  <c r="Z728" i="71" l="1"/>
  <c r="R728" i="71"/>
  <c r="AB728" i="71"/>
  <c r="T728" i="71"/>
  <c r="P729" i="71"/>
  <c r="S729" i="71"/>
  <c r="Y729" i="71"/>
  <c r="Q729" i="71" s="1"/>
  <c r="U727" i="71"/>
  <c r="V727" i="71" s="1"/>
  <c r="K730" i="71"/>
  <c r="A731" i="71"/>
  <c r="C730" i="71"/>
  <c r="D730" i="71" s="1"/>
  <c r="B730" i="71"/>
  <c r="E730" i="71" s="1"/>
  <c r="N730" i="71"/>
  <c r="L216" i="69"/>
  <c r="C220" i="69"/>
  <c r="A219" i="69"/>
  <c r="B220" i="69"/>
  <c r="P730" i="71" l="1"/>
  <c r="Y730" i="71"/>
  <c r="Q730" i="71" s="1"/>
  <c r="S730" i="71"/>
  <c r="AB729" i="71"/>
  <c r="T729" i="71"/>
  <c r="Z729" i="71"/>
  <c r="R729" i="71"/>
  <c r="K731" i="71"/>
  <c r="C731" i="71"/>
  <c r="D731" i="71" s="1"/>
  <c r="A732" i="71"/>
  <c r="B731" i="71"/>
  <c r="N731" i="71"/>
  <c r="E731" i="71"/>
  <c r="U728" i="71"/>
  <c r="V728" i="71"/>
  <c r="N219" i="69"/>
  <c r="Z219" i="69" s="1"/>
  <c r="M219" i="69"/>
  <c r="E220" i="69"/>
  <c r="J220" i="69" s="1"/>
  <c r="AB730" i="71" l="1"/>
  <c r="Z730" i="71"/>
  <c r="T730" i="71"/>
  <c r="R730" i="71"/>
  <c r="U730" i="71" s="1"/>
  <c r="V730" i="71" s="1"/>
  <c r="U729" i="71"/>
  <c r="V729" i="71"/>
  <c r="P731" i="71"/>
  <c r="Y731" i="71"/>
  <c r="Q731" i="71" s="1"/>
  <c r="S731" i="71"/>
  <c r="B732" i="71"/>
  <c r="N732" i="71"/>
  <c r="C732" i="71"/>
  <c r="D732" i="71" s="1"/>
  <c r="E732" i="71"/>
  <c r="K732" i="71"/>
  <c r="A733" i="71"/>
  <c r="M232" i="71"/>
  <c r="L232" i="71" s="1"/>
  <c r="P219" i="69"/>
  <c r="D220" i="69"/>
  <c r="T731" i="71" l="1"/>
  <c r="AB731" i="71"/>
  <c r="Z731" i="71"/>
  <c r="R731" i="71"/>
  <c r="U731" i="71" s="1"/>
  <c r="V731" i="71" s="1"/>
  <c r="B733" i="71"/>
  <c r="E733" i="71" s="1"/>
  <c r="A734" i="71"/>
  <c r="C733" i="71"/>
  <c r="D733" i="71" s="1"/>
  <c r="N733" i="71"/>
  <c r="K733" i="71"/>
  <c r="P732" i="71"/>
  <c r="S732" i="71"/>
  <c r="Y732" i="71"/>
  <c r="Q732" i="71" s="1"/>
  <c r="I220" i="69"/>
  <c r="H220" i="69"/>
  <c r="K220" i="69"/>
  <c r="A735" i="71" l="1"/>
  <c r="B734" i="71"/>
  <c r="E734" i="71" s="1"/>
  <c r="N734" i="71"/>
  <c r="C734" i="71"/>
  <c r="D734" i="71" s="1"/>
  <c r="K734" i="71"/>
  <c r="S733" i="71"/>
  <c r="P733" i="71"/>
  <c r="Y733" i="71"/>
  <c r="Q733" i="71" s="1"/>
  <c r="R732" i="71"/>
  <c r="Z732" i="71"/>
  <c r="AB732" i="71"/>
  <c r="T732" i="71"/>
  <c r="L217" i="69"/>
  <c r="C221" i="69"/>
  <c r="A220" i="69"/>
  <c r="B221" i="69"/>
  <c r="AB733" i="71" l="1"/>
  <c r="T733" i="71"/>
  <c r="R733" i="71"/>
  <c r="U733" i="71" s="1"/>
  <c r="V733" i="71" s="1"/>
  <c r="Z733" i="71"/>
  <c r="S734" i="71"/>
  <c r="P734" i="71"/>
  <c r="Y734" i="71"/>
  <c r="Q734" i="71" s="1"/>
  <c r="U732" i="71"/>
  <c r="V732" i="71" s="1"/>
  <c r="A736" i="71"/>
  <c r="C735" i="71"/>
  <c r="D735" i="71" s="1"/>
  <c r="N735" i="71"/>
  <c r="K735" i="71"/>
  <c r="B735" i="71"/>
  <c r="E735" i="71" s="1"/>
  <c r="M233" i="71"/>
  <c r="L233" i="71" s="1"/>
  <c r="N220" i="69"/>
  <c r="Z220" i="69" s="1"/>
  <c r="M220" i="69"/>
  <c r="E221" i="69"/>
  <c r="J221" i="69" s="1"/>
  <c r="T734" i="71" l="1"/>
  <c r="AB734" i="71"/>
  <c r="R734" i="71"/>
  <c r="Z734" i="71"/>
  <c r="S735" i="71"/>
  <c r="Y735" i="71"/>
  <c r="Q735" i="71" s="1"/>
  <c r="P735" i="71"/>
  <c r="N736" i="71"/>
  <c r="A737" i="71"/>
  <c r="B736" i="71"/>
  <c r="E736" i="71" s="1"/>
  <c r="C736" i="71"/>
  <c r="D736" i="71" s="1"/>
  <c r="K736" i="71"/>
  <c r="P220" i="69"/>
  <c r="D221" i="69"/>
  <c r="R735" i="71" l="1"/>
  <c r="Z735" i="71"/>
  <c r="T735" i="71"/>
  <c r="AB735" i="71"/>
  <c r="U734" i="71"/>
  <c r="V734" i="71" s="1"/>
  <c r="K737" i="71"/>
  <c r="A738" i="71"/>
  <c r="B737" i="71"/>
  <c r="E737" i="71" s="1"/>
  <c r="C737" i="71"/>
  <c r="D737" i="71" s="1"/>
  <c r="N737" i="71"/>
  <c r="P736" i="71"/>
  <c r="S736" i="71"/>
  <c r="Y736" i="71"/>
  <c r="Q736" i="71" s="1"/>
  <c r="L218" i="69"/>
  <c r="H221" i="69"/>
  <c r="I221" i="69"/>
  <c r="K221" i="69"/>
  <c r="P737" i="71" l="1"/>
  <c r="Y737" i="71"/>
  <c r="Q737" i="71" s="1"/>
  <c r="S737" i="71"/>
  <c r="R736" i="71"/>
  <c r="U736" i="71" s="1"/>
  <c r="Z736" i="71"/>
  <c r="AB736" i="71"/>
  <c r="T736" i="71"/>
  <c r="N738" i="71"/>
  <c r="K738" i="71"/>
  <c r="B738" i="71"/>
  <c r="A739" i="71"/>
  <c r="C738" i="71"/>
  <c r="D738" i="71" s="1"/>
  <c r="E738" i="71"/>
  <c r="V735" i="71"/>
  <c r="U735" i="71"/>
  <c r="B222" i="69"/>
  <c r="C222" i="69"/>
  <c r="A221" i="69"/>
  <c r="P738" i="71" l="1"/>
  <c r="Y738" i="71"/>
  <c r="Q738" i="71" s="1"/>
  <c r="S738" i="71"/>
  <c r="V736" i="71"/>
  <c r="A740" i="71"/>
  <c r="B739" i="71"/>
  <c r="E739" i="71" s="1"/>
  <c r="C739" i="71"/>
  <c r="D739" i="71" s="1"/>
  <c r="K739" i="71"/>
  <c r="N739" i="71"/>
  <c r="R737" i="71"/>
  <c r="U737" i="71" s="1"/>
  <c r="AB737" i="71"/>
  <c r="Z737" i="71"/>
  <c r="T737" i="71"/>
  <c r="M234" i="71"/>
  <c r="L234" i="71" s="1"/>
  <c r="N221" i="69"/>
  <c r="Z221" i="69" s="1"/>
  <c r="M221" i="69"/>
  <c r="E222" i="69"/>
  <c r="J222" i="69" s="1"/>
  <c r="R738" i="71" l="1"/>
  <c r="T738" i="71"/>
  <c r="AB738" i="71"/>
  <c r="Z738" i="71"/>
  <c r="N740" i="71"/>
  <c r="B740" i="71"/>
  <c r="E740" i="71" s="1"/>
  <c r="C740" i="71"/>
  <c r="D740" i="71" s="1"/>
  <c r="K740" i="71"/>
  <c r="A741" i="71"/>
  <c r="S739" i="71"/>
  <c r="P739" i="71"/>
  <c r="Y739" i="71"/>
  <c r="Q739" i="71"/>
  <c r="V737" i="71"/>
  <c r="P221" i="69"/>
  <c r="D222" i="69"/>
  <c r="K222" i="69" s="1"/>
  <c r="L219" i="69"/>
  <c r="Z739" i="71" l="1"/>
  <c r="R739" i="71"/>
  <c r="U739" i="71" s="1"/>
  <c r="AB739" i="71"/>
  <c r="T739" i="71"/>
  <c r="S740" i="71"/>
  <c r="Y740" i="71"/>
  <c r="Q740" i="71"/>
  <c r="P740" i="71"/>
  <c r="B741" i="71"/>
  <c r="E741" i="71" s="1"/>
  <c r="A742" i="71"/>
  <c r="C741" i="71"/>
  <c r="D741" i="71" s="1"/>
  <c r="N741" i="71"/>
  <c r="K741" i="71"/>
  <c r="U738" i="71"/>
  <c r="V738" i="71"/>
  <c r="H222" i="69"/>
  <c r="I222" i="69"/>
  <c r="C223" i="69"/>
  <c r="A222" i="69"/>
  <c r="B223" i="69"/>
  <c r="T740" i="71" l="1"/>
  <c r="R740" i="71"/>
  <c r="AB740" i="71"/>
  <c r="Z740" i="71"/>
  <c r="V739" i="71"/>
  <c r="P741" i="71"/>
  <c r="Y741" i="71"/>
  <c r="Q741" i="71" s="1"/>
  <c r="S741" i="71"/>
  <c r="K742" i="71"/>
  <c r="A743" i="71"/>
  <c r="B742" i="71"/>
  <c r="E742" i="71" s="1"/>
  <c r="C742" i="71"/>
  <c r="D742" i="71" s="1"/>
  <c r="N742" i="71"/>
  <c r="N222" i="69"/>
  <c r="Z222" i="69" s="1"/>
  <c r="M222" i="69"/>
  <c r="E223" i="69"/>
  <c r="J223" i="69" s="1"/>
  <c r="T741" i="71" l="1"/>
  <c r="Z741" i="71"/>
  <c r="AB741" i="71"/>
  <c r="R741" i="71"/>
  <c r="S742" i="71"/>
  <c r="P742" i="71"/>
  <c r="Y742" i="71"/>
  <c r="Q742" i="71" s="1"/>
  <c r="B743" i="71"/>
  <c r="E743" i="71" s="1"/>
  <c r="K743" i="71"/>
  <c r="N743" i="71"/>
  <c r="C743" i="71"/>
  <c r="D743" i="71" s="1"/>
  <c r="A744" i="71"/>
  <c r="U740" i="71"/>
  <c r="V740" i="71"/>
  <c r="M235" i="71"/>
  <c r="L235" i="71" s="1"/>
  <c r="P222" i="69"/>
  <c r="L220" i="69"/>
  <c r="D223" i="69"/>
  <c r="Z742" i="71" l="1"/>
  <c r="AB742" i="71"/>
  <c r="R742" i="71"/>
  <c r="T742" i="71"/>
  <c r="N744" i="71"/>
  <c r="B744" i="71"/>
  <c r="E744" i="71" s="1"/>
  <c r="A745" i="71"/>
  <c r="C744" i="71"/>
  <c r="D744" i="71" s="1"/>
  <c r="K744" i="71"/>
  <c r="S743" i="71"/>
  <c r="Y743" i="71"/>
  <c r="Q743" i="71" s="1"/>
  <c r="P743" i="71"/>
  <c r="U741" i="71"/>
  <c r="V741" i="71" s="1"/>
  <c r="I223" i="69"/>
  <c r="H223" i="69"/>
  <c r="K223" i="69"/>
  <c r="P744" i="71" l="1"/>
  <c r="Y744" i="71"/>
  <c r="Q744" i="71" s="1"/>
  <c r="S744" i="71"/>
  <c r="T743" i="71"/>
  <c r="AB743" i="71"/>
  <c r="Z743" i="71"/>
  <c r="R743" i="71"/>
  <c r="U743" i="71" s="1"/>
  <c r="V743" i="71" s="1"/>
  <c r="U742" i="71"/>
  <c r="V742" i="71"/>
  <c r="A746" i="71"/>
  <c r="C745" i="71"/>
  <c r="D745" i="71" s="1"/>
  <c r="K745" i="71"/>
  <c r="B745" i="71"/>
  <c r="E745" i="71" s="1"/>
  <c r="N745" i="71"/>
  <c r="C224" i="69"/>
  <c r="A223" i="69"/>
  <c r="B224" i="69"/>
  <c r="Z744" i="71" l="1"/>
  <c r="T744" i="71"/>
  <c r="R744" i="71"/>
  <c r="AB744" i="71"/>
  <c r="Y745" i="71"/>
  <c r="Q745" i="71" s="1"/>
  <c r="S745" i="71"/>
  <c r="P745" i="71"/>
  <c r="K746" i="71"/>
  <c r="A747" i="71"/>
  <c r="B746" i="71"/>
  <c r="E746" i="71" s="1"/>
  <c r="N746" i="71"/>
  <c r="C746" i="71"/>
  <c r="D746" i="71" s="1"/>
  <c r="M236" i="71"/>
  <c r="L236" i="71" s="1"/>
  <c r="N223" i="69"/>
  <c r="Z223" i="69" s="1"/>
  <c r="M223" i="69"/>
  <c r="L221" i="69"/>
  <c r="E224" i="69"/>
  <c r="J224" i="69" s="1"/>
  <c r="R745" i="71" l="1"/>
  <c r="Z745" i="71"/>
  <c r="AB745" i="71"/>
  <c r="T745" i="71"/>
  <c r="Y746" i="71"/>
  <c r="Q746" i="71" s="1"/>
  <c r="P746" i="71"/>
  <c r="S746" i="71"/>
  <c r="V744" i="71"/>
  <c r="U744" i="71"/>
  <c r="K747" i="71"/>
  <c r="C747" i="71"/>
  <c r="D747" i="71" s="1"/>
  <c r="B747" i="71"/>
  <c r="E747" i="71" s="1"/>
  <c r="N747" i="71"/>
  <c r="A748" i="71"/>
  <c r="M237" i="71"/>
  <c r="L237" i="71" s="1"/>
  <c r="P223" i="69"/>
  <c r="D224" i="69"/>
  <c r="K748" i="71" l="1"/>
  <c r="A749" i="71"/>
  <c r="C748" i="71"/>
  <c r="D748" i="71" s="1"/>
  <c r="N748" i="71"/>
  <c r="B748" i="71"/>
  <c r="E748" i="71" s="1"/>
  <c r="Z746" i="71"/>
  <c r="AB746" i="71"/>
  <c r="R746" i="71"/>
  <c r="T746" i="71"/>
  <c r="P747" i="71"/>
  <c r="Y747" i="71"/>
  <c r="Q747" i="71" s="1"/>
  <c r="S747" i="71"/>
  <c r="V745" i="71"/>
  <c r="U745" i="71"/>
  <c r="I224" i="69"/>
  <c r="H224" i="69"/>
  <c r="K224" i="69"/>
  <c r="P748" i="71" l="1"/>
  <c r="Y748" i="71"/>
  <c r="Q748" i="71"/>
  <c r="S748" i="71"/>
  <c r="C749" i="71"/>
  <c r="D749" i="71" s="1"/>
  <c r="K749" i="71"/>
  <c r="B749" i="71"/>
  <c r="E749" i="71" s="1"/>
  <c r="N749" i="71"/>
  <c r="A750" i="71"/>
  <c r="T747" i="71"/>
  <c r="Z747" i="71"/>
  <c r="AB747" i="71"/>
  <c r="R747" i="71"/>
  <c r="U746" i="71"/>
  <c r="V746" i="71"/>
  <c r="L222" i="69"/>
  <c r="C225" i="69"/>
  <c r="A224" i="69"/>
  <c r="B225" i="69"/>
  <c r="U747" i="71" l="1"/>
  <c r="V747" i="71"/>
  <c r="P749" i="71"/>
  <c r="Y749" i="71"/>
  <c r="Q749" i="71" s="1"/>
  <c r="S749" i="71"/>
  <c r="AB748" i="71"/>
  <c r="T748" i="71"/>
  <c r="R748" i="71"/>
  <c r="Z748" i="71"/>
  <c r="K750" i="71"/>
  <c r="N750" i="71"/>
  <c r="A751" i="71"/>
  <c r="B750" i="71"/>
  <c r="E750" i="71" s="1"/>
  <c r="C750" i="71"/>
  <c r="D750" i="71" s="1"/>
  <c r="M238" i="71"/>
  <c r="L238" i="71" s="1"/>
  <c r="N224" i="69"/>
  <c r="Z224" i="69" s="1"/>
  <c r="M224" i="69"/>
  <c r="E225" i="69"/>
  <c r="J225" i="69" s="1"/>
  <c r="U748" i="71" l="1"/>
  <c r="V748" i="71"/>
  <c r="N751" i="71"/>
  <c r="B751" i="71"/>
  <c r="E751" i="71" s="1"/>
  <c r="C751" i="71"/>
  <c r="D751" i="71" s="1"/>
  <c r="A752" i="71"/>
  <c r="K751" i="71"/>
  <c r="R749" i="71"/>
  <c r="AB749" i="71"/>
  <c r="Z749" i="71"/>
  <c r="T749" i="71"/>
  <c r="S750" i="71"/>
  <c r="P750" i="71"/>
  <c r="Y750" i="71"/>
  <c r="Q750" i="71" s="1"/>
  <c r="P224" i="69"/>
  <c r="D225" i="69"/>
  <c r="H225" i="69" s="1"/>
  <c r="T750" i="71" l="1"/>
  <c r="R750" i="71"/>
  <c r="U750" i="71" s="1"/>
  <c r="V750" i="71" s="1"/>
  <c r="AB750" i="71"/>
  <c r="Z750" i="71"/>
  <c r="N752" i="71"/>
  <c r="C752" i="71"/>
  <c r="D752" i="71" s="1"/>
  <c r="A753" i="71"/>
  <c r="B752" i="71"/>
  <c r="E752" i="71" s="1"/>
  <c r="K752" i="71"/>
  <c r="S751" i="71"/>
  <c r="Y751" i="71"/>
  <c r="Q751" i="71" s="1"/>
  <c r="P751" i="71"/>
  <c r="U749" i="71"/>
  <c r="V749" i="71" s="1"/>
  <c r="K225" i="69"/>
  <c r="C226" i="69" s="1"/>
  <c r="I225" i="69"/>
  <c r="R751" i="71" l="1"/>
  <c r="AB751" i="71"/>
  <c r="T751" i="71"/>
  <c r="Z751" i="71"/>
  <c r="C753" i="71"/>
  <c r="D753" i="71" s="1"/>
  <c r="K753" i="71"/>
  <c r="B753" i="71"/>
  <c r="E753" i="71" s="1"/>
  <c r="A754" i="71"/>
  <c r="N753" i="71"/>
  <c r="Y752" i="71"/>
  <c r="Q752" i="71"/>
  <c r="S752" i="71"/>
  <c r="P752" i="71"/>
  <c r="M239" i="71"/>
  <c r="L239" i="71" s="1"/>
  <c r="B226" i="69"/>
  <c r="E226" i="69" s="1"/>
  <c r="J226" i="69" s="1"/>
  <c r="A225" i="69"/>
  <c r="L223" i="69"/>
  <c r="B754" i="71" l="1"/>
  <c r="E754" i="71" s="1"/>
  <c r="C754" i="71"/>
  <c r="D754" i="71" s="1"/>
  <c r="A755" i="71"/>
  <c r="N754" i="71"/>
  <c r="K754" i="71"/>
  <c r="R752" i="71"/>
  <c r="U752" i="71" s="1"/>
  <c r="V752" i="71" s="1"/>
  <c r="T752" i="71"/>
  <c r="AB752" i="71"/>
  <c r="Z752" i="71"/>
  <c r="Y753" i="71"/>
  <c r="Q753" i="71"/>
  <c r="P753" i="71"/>
  <c r="S753" i="71"/>
  <c r="U751" i="71"/>
  <c r="V751" i="71"/>
  <c r="N225" i="69"/>
  <c r="Z225" i="69" s="1"/>
  <c r="M225" i="69"/>
  <c r="D226" i="69"/>
  <c r="I226" i="69" s="1"/>
  <c r="P754" i="71" l="1"/>
  <c r="Y754" i="71"/>
  <c r="Q754" i="71" s="1"/>
  <c r="S754" i="71"/>
  <c r="A756" i="71"/>
  <c r="B755" i="71"/>
  <c r="E755" i="71" s="1"/>
  <c r="N755" i="71"/>
  <c r="C755" i="71"/>
  <c r="D755" i="71" s="1"/>
  <c r="K755" i="71"/>
  <c r="AB753" i="71"/>
  <c r="T753" i="71"/>
  <c r="Z753" i="71"/>
  <c r="R753" i="71"/>
  <c r="U753" i="71" s="1"/>
  <c r="V753" i="71" s="1"/>
  <c r="P225" i="69"/>
  <c r="K226" i="69"/>
  <c r="C227" i="69" s="1"/>
  <c r="H226" i="69"/>
  <c r="R754" i="71" l="1"/>
  <c r="AB754" i="71"/>
  <c r="T754" i="71"/>
  <c r="Z754" i="71"/>
  <c r="A757" i="71"/>
  <c r="N756" i="71"/>
  <c r="B756" i="71"/>
  <c r="E756" i="71" s="1"/>
  <c r="K756" i="71"/>
  <c r="C756" i="71"/>
  <c r="D756" i="71" s="1"/>
  <c r="P755" i="71"/>
  <c r="Y755" i="71"/>
  <c r="Q755" i="71"/>
  <c r="S755" i="71"/>
  <c r="B227" i="69"/>
  <c r="E227" i="69" s="1"/>
  <c r="J227" i="69" s="1"/>
  <c r="A226" i="69"/>
  <c r="P756" i="71" l="1"/>
  <c r="Y756" i="71"/>
  <c r="Q756" i="71" s="1"/>
  <c r="S756" i="71"/>
  <c r="C757" i="71"/>
  <c r="D757" i="71" s="1"/>
  <c r="K757" i="71"/>
  <c r="B757" i="71"/>
  <c r="E757" i="71" s="1"/>
  <c r="A758" i="71"/>
  <c r="N757" i="71"/>
  <c r="T755" i="71"/>
  <c r="R755" i="71"/>
  <c r="U755" i="71" s="1"/>
  <c r="V755" i="71" s="1"/>
  <c r="AB755" i="71"/>
  <c r="Z755" i="71"/>
  <c r="V754" i="71"/>
  <c r="U754" i="71"/>
  <c r="M240" i="71"/>
  <c r="L240" i="71" s="1"/>
  <c r="N226" i="69"/>
  <c r="Z226" i="69" s="1"/>
  <c r="M226" i="69"/>
  <c r="L224" i="69"/>
  <c r="D227" i="69"/>
  <c r="T756" i="71" l="1"/>
  <c r="AB756" i="71"/>
  <c r="R756" i="71"/>
  <c r="U756" i="71" s="1"/>
  <c r="V756" i="71" s="1"/>
  <c r="Z756" i="71"/>
  <c r="N758" i="71"/>
  <c r="K758" i="71"/>
  <c r="A759" i="71"/>
  <c r="B758" i="71"/>
  <c r="E758" i="71" s="1"/>
  <c r="C758" i="71"/>
  <c r="D758" i="71" s="1"/>
  <c r="P757" i="71"/>
  <c r="Y757" i="71"/>
  <c r="S757" i="71"/>
  <c r="Q757" i="71"/>
  <c r="P226" i="69"/>
  <c r="I227" i="69"/>
  <c r="H227" i="69"/>
  <c r="K227" i="69"/>
  <c r="N759" i="71" l="1"/>
  <c r="A760" i="71"/>
  <c r="K759" i="71"/>
  <c r="B759" i="71"/>
  <c r="E759" i="71" s="1"/>
  <c r="C759" i="71"/>
  <c r="D759" i="71" s="1"/>
  <c r="P758" i="71"/>
  <c r="Y758" i="71"/>
  <c r="Q758" i="71" s="1"/>
  <c r="S758" i="71"/>
  <c r="Z757" i="71"/>
  <c r="R757" i="71"/>
  <c r="AB757" i="71"/>
  <c r="T757" i="71"/>
  <c r="M241" i="71"/>
  <c r="L241" i="71" s="1"/>
  <c r="C228" i="69"/>
  <c r="B228" i="69"/>
  <c r="A227" i="69"/>
  <c r="U757" i="71" l="1"/>
  <c r="V757" i="71"/>
  <c r="N760" i="71"/>
  <c r="A761" i="71"/>
  <c r="B760" i="71"/>
  <c r="E760" i="71" s="1"/>
  <c r="K760" i="71"/>
  <c r="C760" i="71"/>
  <c r="D760" i="71" s="1"/>
  <c r="R758" i="71"/>
  <c r="T758" i="71"/>
  <c r="Z758" i="71"/>
  <c r="AB758" i="71"/>
  <c r="S759" i="71"/>
  <c r="P759" i="71"/>
  <c r="Y759" i="71"/>
  <c r="Q759" i="71" s="1"/>
  <c r="N227" i="69"/>
  <c r="Z227" i="69" s="1"/>
  <c r="M227" i="69"/>
  <c r="E228" i="69"/>
  <c r="J228" i="69" s="1"/>
  <c r="R759" i="71" l="1"/>
  <c r="U759" i="71" s="1"/>
  <c r="AB759" i="71"/>
  <c r="Z759" i="71"/>
  <c r="T759" i="71"/>
  <c r="U758" i="71"/>
  <c r="V758" i="71"/>
  <c r="B761" i="71"/>
  <c r="E761" i="71" s="1"/>
  <c r="A762" i="71"/>
  <c r="N761" i="71"/>
  <c r="C761" i="71"/>
  <c r="D761" i="71" s="1"/>
  <c r="K761" i="71"/>
  <c r="S760" i="71"/>
  <c r="P760" i="71"/>
  <c r="Y760" i="71"/>
  <c r="Q760" i="71" s="1"/>
  <c r="P227" i="69"/>
  <c r="L225" i="69"/>
  <c r="D228" i="69"/>
  <c r="AB760" i="71" l="1"/>
  <c r="T760" i="71"/>
  <c r="R760" i="71"/>
  <c r="U760" i="71" s="1"/>
  <c r="V760" i="71" s="1"/>
  <c r="Z760" i="71"/>
  <c r="B762" i="71"/>
  <c r="E762" i="71" s="1"/>
  <c r="C762" i="71"/>
  <c r="D762" i="71" s="1"/>
  <c r="N762" i="71"/>
  <c r="K762" i="71"/>
  <c r="A763" i="71"/>
  <c r="S761" i="71"/>
  <c r="Y761" i="71"/>
  <c r="Q761" i="71" s="1"/>
  <c r="P761" i="71"/>
  <c r="V759" i="71"/>
  <c r="I228" i="69"/>
  <c r="H228" i="69"/>
  <c r="K228" i="69"/>
  <c r="P762" i="71" l="1"/>
  <c r="S762" i="71"/>
  <c r="Y762" i="71"/>
  <c r="Q762" i="71" s="1"/>
  <c r="R761" i="71"/>
  <c r="U761" i="71" s="1"/>
  <c r="AB761" i="71"/>
  <c r="T761" i="71"/>
  <c r="Z761" i="71"/>
  <c r="K763" i="71"/>
  <c r="N763" i="71"/>
  <c r="A764" i="71"/>
  <c r="B763" i="71"/>
  <c r="E763" i="71" s="1"/>
  <c r="C763" i="71"/>
  <c r="D763" i="71" s="1"/>
  <c r="M242" i="71"/>
  <c r="L242" i="71" s="1"/>
  <c r="C229" i="69"/>
  <c r="A228" i="69"/>
  <c r="B229" i="69"/>
  <c r="L226" i="69"/>
  <c r="V761" i="71" l="1"/>
  <c r="R762" i="71"/>
  <c r="AB762" i="71"/>
  <c r="T762" i="71"/>
  <c r="Z762" i="71"/>
  <c r="B764" i="71"/>
  <c r="E764" i="71" s="1"/>
  <c r="C764" i="71"/>
  <c r="D764" i="71" s="1"/>
  <c r="A765" i="71"/>
  <c r="N764" i="71"/>
  <c r="K764" i="71"/>
  <c r="P763" i="71"/>
  <c r="Y763" i="71"/>
  <c r="Q763" i="71" s="1"/>
  <c r="S763" i="71"/>
  <c r="N228" i="69"/>
  <c r="Z228" i="69" s="1"/>
  <c r="M228" i="69"/>
  <c r="E229" i="69"/>
  <c r="J229" i="69" s="1"/>
  <c r="C765" i="71" l="1"/>
  <c r="D765" i="71" s="1"/>
  <c r="K765" i="71"/>
  <c r="A766" i="71"/>
  <c r="B765" i="71"/>
  <c r="E765" i="71" s="1"/>
  <c r="N765" i="71"/>
  <c r="AB763" i="71"/>
  <c r="T763" i="71"/>
  <c r="R763" i="71"/>
  <c r="U763" i="71" s="1"/>
  <c r="V763" i="71" s="1"/>
  <c r="Z763" i="71"/>
  <c r="U762" i="71"/>
  <c r="V762" i="71"/>
  <c r="P764" i="71"/>
  <c r="S764" i="71"/>
  <c r="Y764" i="71"/>
  <c r="Q764" i="71" s="1"/>
  <c r="P228" i="69"/>
  <c r="D229" i="69"/>
  <c r="I229" i="69" s="1"/>
  <c r="Z764" i="71" l="1"/>
  <c r="T764" i="71"/>
  <c r="AB764" i="71"/>
  <c r="R764" i="71"/>
  <c r="Y765" i="71"/>
  <c r="Q765" i="71" s="1"/>
  <c r="S765" i="71"/>
  <c r="P765" i="71"/>
  <c r="N766" i="71"/>
  <c r="K766" i="71"/>
  <c r="A767" i="71"/>
  <c r="B766" i="71"/>
  <c r="E766" i="71" s="1"/>
  <c r="C766" i="71"/>
  <c r="D766" i="71" s="1"/>
  <c r="K229" i="69"/>
  <c r="C230" i="69" s="1"/>
  <c r="H229" i="69"/>
  <c r="P766" i="71" l="1"/>
  <c r="S766" i="71"/>
  <c r="Y766" i="71"/>
  <c r="Q766" i="71" s="1"/>
  <c r="R765" i="71"/>
  <c r="U765" i="71" s="1"/>
  <c r="AB765" i="71"/>
  <c r="Z765" i="71"/>
  <c r="T765" i="71"/>
  <c r="U764" i="71"/>
  <c r="V764" i="71" s="1"/>
  <c r="C767" i="71"/>
  <c r="D767" i="71" s="1"/>
  <c r="A768" i="71"/>
  <c r="K767" i="71"/>
  <c r="B767" i="71"/>
  <c r="E767" i="71" s="1"/>
  <c r="N767" i="71"/>
  <c r="M243" i="71"/>
  <c r="L243" i="71" s="1"/>
  <c r="B230" i="69"/>
  <c r="E230" i="69" s="1"/>
  <c r="J230" i="69" s="1"/>
  <c r="A229" i="69"/>
  <c r="L227" i="69"/>
  <c r="V765" i="71" l="1"/>
  <c r="AB766" i="71"/>
  <c r="Z766" i="71"/>
  <c r="R766" i="71"/>
  <c r="T766" i="71"/>
  <c r="Y767" i="71"/>
  <c r="Q767" i="71"/>
  <c r="P767" i="71"/>
  <c r="S767" i="71"/>
  <c r="N768" i="71"/>
  <c r="B768" i="71"/>
  <c r="E768" i="71" s="1"/>
  <c r="C768" i="71"/>
  <c r="D768" i="71" s="1"/>
  <c r="K768" i="71"/>
  <c r="A769" i="71"/>
  <c r="N229" i="69"/>
  <c r="Z229" i="69" s="1"/>
  <c r="M229" i="69"/>
  <c r="D230" i="69"/>
  <c r="R767" i="71" l="1"/>
  <c r="AB767" i="71"/>
  <c r="T767" i="71"/>
  <c r="Z767" i="71"/>
  <c r="N769" i="71"/>
  <c r="K769" i="71"/>
  <c r="B769" i="71"/>
  <c r="E769" i="71" s="1"/>
  <c r="A770" i="71"/>
  <c r="C769" i="71"/>
  <c r="D769" i="71" s="1"/>
  <c r="V766" i="71"/>
  <c r="U766" i="71"/>
  <c r="Y768" i="71"/>
  <c r="Q768" i="71" s="1"/>
  <c r="S768" i="71"/>
  <c r="P768" i="71"/>
  <c r="P229" i="69"/>
  <c r="I230" i="69"/>
  <c r="H230" i="69"/>
  <c r="K230" i="69"/>
  <c r="L228" i="69"/>
  <c r="A771" i="71" l="1"/>
  <c r="B770" i="71"/>
  <c r="E770" i="71" s="1"/>
  <c r="C770" i="71"/>
  <c r="D770" i="71" s="1"/>
  <c r="N770" i="71"/>
  <c r="K770" i="71"/>
  <c r="Y769" i="71"/>
  <c r="Q769" i="71" s="1"/>
  <c r="S769" i="71"/>
  <c r="P769" i="71"/>
  <c r="T768" i="71"/>
  <c r="R768" i="71"/>
  <c r="U768" i="71" s="1"/>
  <c r="V768" i="71" s="1"/>
  <c r="AB768" i="71"/>
  <c r="Z768" i="71"/>
  <c r="U767" i="71"/>
  <c r="V767" i="71"/>
  <c r="C231" i="69"/>
  <c r="A230" i="69"/>
  <c r="B231" i="69"/>
  <c r="T769" i="71" l="1"/>
  <c r="Z769" i="71"/>
  <c r="AB769" i="71"/>
  <c r="R769" i="71"/>
  <c r="Y770" i="71"/>
  <c r="Q770" i="71" s="1"/>
  <c r="S770" i="71"/>
  <c r="P770" i="71"/>
  <c r="N771" i="71"/>
  <c r="A772" i="71"/>
  <c r="B771" i="71"/>
  <c r="E771" i="71" s="1"/>
  <c r="C771" i="71"/>
  <c r="D771" i="71" s="1"/>
  <c r="K771" i="71"/>
  <c r="M244" i="71"/>
  <c r="L244" i="71" s="1"/>
  <c r="N230" i="69"/>
  <c r="Z230" i="69" s="1"/>
  <c r="M230" i="69"/>
  <c r="E231" i="69"/>
  <c r="J231" i="69" s="1"/>
  <c r="Z770" i="71" l="1"/>
  <c r="R770" i="71"/>
  <c r="T770" i="71"/>
  <c r="AB770" i="71"/>
  <c r="U769" i="71"/>
  <c r="V769" i="71"/>
  <c r="B772" i="71"/>
  <c r="E772" i="71" s="1"/>
  <c r="A773" i="71"/>
  <c r="C772" i="71"/>
  <c r="D772" i="71" s="1"/>
  <c r="N772" i="71"/>
  <c r="K772" i="71"/>
  <c r="P771" i="71"/>
  <c r="Y771" i="71"/>
  <c r="Q771" i="71" s="1"/>
  <c r="S771" i="71"/>
  <c r="P230" i="69"/>
  <c r="D231" i="69"/>
  <c r="K231" i="69" s="1"/>
  <c r="C232" i="69" s="1"/>
  <c r="Z771" i="71" l="1"/>
  <c r="T771" i="71"/>
  <c r="AB771" i="71"/>
  <c r="R771" i="71"/>
  <c r="N773" i="71"/>
  <c r="C773" i="71"/>
  <c r="D773" i="71" s="1"/>
  <c r="B773" i="71"/>
  <c r="E773" i="71" s="1"/>
  <c r="K773" i="71"/>
  <c r="A774" i="71"/>
  <c r="P772" i="71"/>
  <c r="S772" i="71"/>
  <c r="Y772" i="71"/>
  <c r="Q772" i="71" s="1"/>
  <c r="U770" i="71"/>
  <c r="V770" i="71" s="1"/>
  <c r="B232" i="69"/>
  <c r="E232" i="69" s="1"/>
  <c r="J232" i="69" s="1"/>
  <c r="H231" i="69"/>
  <c r="I231" i="69"/>
  <c r="A231" i="69"/>
  <c r="L229" i="69"/>
  <c r="P773" i="71" l="1"/>
  <c r="Y773" i="71"/>
  <c r="Q773" i="71" s="1"/>
  <c r="S773" i="71"/>
  <c r="V771" i="71"/>
  <c r="U771" i="71"/>
  <c r="R772" i="71"/>
  <c r="U772" i="71" s="1"/>
  <c r="V772" i="71" s="1"/>
  <c r="T772" i="71"/>
  <c r="AB772" i="71"/>
  <c r="Z772" i="71"/>
  <c r="B774" i="71"/>
  <c r="E774" i="71" s="1"/>
  <c r="C774" i="71"/>
  <c r="D774" i="71" s="1"/>
  <c r="N774" i="71"/>
  <c r="A775" i="71"/>
  <c r="K774" i="71"/>
  <c r="N231" i="69"/>
  <c r="Z231" i="69" s="1"/>
  <c r="M231" i="69"/>
  <c r="D232" i="69"/>
  <c r="C775" i="71" l="1"/>
  <c r="D775" i="71" s="1"/>
  <c r="N775" i="71"/>
  <c r="K775" i="71"/>
  <c r="B775" i="71"/>
  <c r="E775" i="71" s="1"/>
  <c r="A776" i="71"/>
  <c r="Y774" i="71"/>
  <c r="Q774" i="71" s="1"/>
  <c r="P774" i="71"/>
  <c r="S774" i="71"/>
  <c r="T773" i="71"/>
  <c r="Z773" i="71"/>
  <c r="R773" i="71"/>
  <c r="AB773" i="71"/>
  <c r="M245" i="71"/>
  <c r="L245" i="71" s="1"/>
  <c r="P231" i="69"/>
  <c r="I232" i="69"/>
  <c r="H232" i="69"/>
  <c r="K232" i="69"/>
  <c r="L230" i="69"/>
  <c r="N776" i="71" l="1"/>
  <c r="B776" i="71"/>
  <c r="E776" i="71" s="1"/>
  <c r="C776" i="71"/>
  <c r="D776" i="71" s="1"/>
  <c r="K776" i="71"/>
  <c r="A777" i="71"/>
  <c r="U773" i="71"/>
  <c r="V773" i="71"/>
  <c r="R774" i="71"/>
  <c r="AB774" i="71"/>
  <c r="T774" i="71"/>
  <c r="Z774" i="71"/>
  <c r="S775" i="71"/>
  <c r="Y775" i="71"/>
  <c r="Q775" i="71"/>
  <c r="P775" i="71"/>
  <c r="C233" i="69"/>
  <c r="A232" i="69"/>
  <c r="B233" i="69"/>
  <c r="U774" i="71" l="1"/>
  <c r="V774" i="71" s="1"/>
  <c r="B777" i="71"/>
  <c r="E777" i="71" s="1"/>
  <c r="A778" i="71"/>
  <c r="C777" i="71"/>
  <c r="D777" i="71" s="1"/>
  <c r="K777" i="71"/>
  <c r="N777" i="71"/>
  <c r="Z775" i="71"/>
  <c r="AB775" i="71"/>
  <c r="T775" i="71"/>
  <c r="R775" i="71"/>
  <c r="Y776" i="71"/>
  <c r="Q776" i="71" s="1"/>
  <c r="S776" i="71"/>
  <c r="P776" i="71"/>
  <c r="N232" i="69"/>
  <c r="Z232" i="69" s="1"/>
  <c r="M232" i="69"/>
  <c r="E233" i="69"/>
  <c r="J233" i="69" s="1"/>
  <c r="S777" i="71" l="1"/>
  <c r="Y777" i="71"/>
  <c r="Q777" i="71" s="1"/>
  <c r="P777" i="71"/>
  <c r="R776" i="71"/>
  <c r="U776" i="71" s="1"/>
  <c r="Z776" i="71"/>
  <c r="AB776" i="71"/>
  <c r="T776" i="71"/>
  <c r="N778" i="71"/>
  <c r="A779" i="71"/>
  <c r="K778" i="71"/>
  <c r="B778" i="71"/>
  <c r="E778" i="71" s="1"/>
  <c r="C778" i="71"/>
  <c r="D778" i="71" s="1"/>
  <c r="U775" i="71"/>
  <c r="V775" i="71"/>
  <c r="P232" i="69"/>
  <c r="L231" i="69"/>
  <c r="D233" i="69"/>
  <c r="V776" i="71" l="1"/>
  <c r="B779" i="71"/>
  <c r="E779" i="71" s="1"/>
  <c r="K779" i="71"/>
  <c r="A780" i="71"/>
  <c r="C779" i="71"/>
  <c r="D779" i="71" s="1"/>
  <c r="N779" i="71"/>
  <c r="AB777" i="71"/>
  <c r="R777" i="71"/>
  <c r="T777" i="71"/>
  <c r="Z777" i="71"/>
  <c r="Y778" i="71"/>
  <c r="Q778" i="71" s="1"/>
  <c r="P778" i="71"/>
  <c r="S778" i="71"/>
  <c r="M246" i="71"/>
  <c r="L246" i="71" s="1"/>
  <c r="I233" i="69"/>
  <c r="H233" i="69"/>
  <c r="K233" i="69"/>
  <c r="R778" i="71" l="1"/>
  <c r="AB778" i="71"/>
  <c r="T778" i="71"/>
  <c r="Z778" i="71"/>
  <c r="S779" i="71"/>
  <c r="Y779" i="71"/>
  <c r="Q779" i="71" s="1"/>
  <c r="P779" i="71"/>
  <c r="A781" i="71"/>
  <c r="N780" i="71"/>
  <c r="B780" i="71"/>
  <c r="E780" i="71" s="1"/>
  <c r="C780" i="71"/>
  <c r="D780" i="71" s="1"/>
  <c r="K780" i="71"/>
  <c r="U777" i="71"/>
  <c r="V777" i="71" s="1"/>
  <c r="C234" i="69"/>
  <c r="A233" i="69"/>
  <c r="B234" i="69"/>
  <c r="Z779" i="71" l="1"/>
  <c r="T779" i="71"/>
  <c r="R779" i="71"/>
  <c r="U779" i="71" s="1"/>
  <c r="V779" i="71" s="1"/>
  <c r="AB779" i="71"/>
  <c r="N781" i="71"/>
  <c r="C781" i="71"/>
  <c r="D781" i="71" s="1"/>
  <c r="B781" i="71"/>
  <c r="E781" i="71" s="1"/>
  <c r="K781" i="71"/>
  <c r="A782" i="71"/>
  <c r="Y780" i="71"/>
  <c r="Q780" i="71" s="1"/>
  <c r="S780" i="71"/>
  <c r="P780" i="71"/>
  <c r="V778" i="71"/>
  <c r="U778" i="71"/>
  <c r="N233" i="69"/>
  <c r="Z233" i="69" s="1"/>
  <c r="M233" i="69"/>
  <c r="E234" i="69"/>
  <c r="J234" i="69" s="1"/>
  <c r="Y781" i="71" l="1"/>
  <c r="Q781" i="71" s="1"/>
  <c r="S781" i="71"/>
  <c r="P781" i="71"/>
  <c r="R780" i="71"/>
  <c r="U780" i="71" s="1"/>
  <c r="AB780" i="71"/>
  <c r="Z780" i="71"/>
  <c r="T780" i="71"/>
  <c r="A783" i="71"/>
  <c r="B782" i="71"/>
  <c r="E782" i="71" s="1"/>
  <c r="C782" i="71"/>
  <c r="D782" i="71" s="1"/>
  <c r="N782" i="71"/>
  <c r="K782" i="71"/>
  <c r="M247" i="71"/>
  <c r="L247" i="71" s="1"/>
  <c r="P233" i="69"/>
  <c r="L232" i="69"/>
  <c r="D234" i="69"/>
  <c r="V780" i="71" l="1"/>
  <c r="N783" i="71"/>
  <c r="K783" i="71"/>
  <c r="A784" i="71"/>
  <c r="B783" i="71"/>
  <c r="E783" i="71" s="1"/>
  <c r="C783" i="71"/>
  <c r="D783" i="71" s="1"/>
  <c r="Y782" i="71"/>
  <c r="Q782" i="71" s="1"/>
  <c r="S782" i="71"/>
  <c r="P782" i="71"/>
  <c r="R781" i="71"/>
  <c r="U781" i="71" s="1"/>
  <c r="AB781" i="71"/>
  <c r="Z781" i="71"/>
  <c r="T781" i="71"/>
  <c r="I234" i="69"/>
  <c r="H234" i="69"/>
  <c r="K234" i="69"/>
  <c r="R782" i="71" l="1"/>
  <c r="T782" i="71"/>
  <c r="Z782" i="71"/>
  <c r="AB782" i="71"/>
  <c r="C784" i="71"/>
  <c r="D784" i="71" s="1"/>
  <c r="K784" i="71"/>
  <c r="E784" i="71"/>
  <c r="A785" i="71"/>
  <c r="N784" i="71"/>
  <c r="B784" i="71"/>
  <c r="V781" i="71"/>
  <c r="P783" i="71"/>
  <c r="Y783" i="71"/>
  <c r="Q783" i="71" s="1"/>
  <c r="S783" i="71"/>
  <c r="C235" i="69"/>
  <c r="A234" i="69"/>
  <c r="B235" i="69"/>
  <c r="AB783" i="71" l="1"/>
  <c r="T783" i="71"/>
  <c r="Z783" i="71"/>
  <c r="R783" i="71"/>
  <c r="A786" i="71"/>
  <c r="K785" i="71"/>
  <c r="N785" i="71"/>
  <c r="C785" i="71"/>
  <c r="D785" i="71" s="1"/>
  <c r="B785" i="71"/>
  <c r="E785" i="71"/>
  <c r="Y784" i="71"/>
  <c r="Q784" i="71" s="1"/>
  <c r="P784" i="71"/>
  <c r="S784" i="71"/>
  <c r="U782" i="71"/>
  <c r="V782" i="71"/>
  <c r="N234" i="69"/>
  <c r="Z234" i="69" s="1"/>
  <c r="M234" i="69"/>
  <c r="L233" i="69"/>
  <c r="E235" i="69"/>
  <c r="J235" i="69" s="1"/>
  <c r="Z784" i="71" l="1"/>
  <c r="T784" i="71"/>
  <c r="R784" i="71"/>
  <c r="AB784" i="71"/>
  <c r="B786" i="71"/>
  <c r="E786" i="71" s="1"/>
  <c r="C786" i="71"/>
  <c r="D786" i="71" s="1"/>
  <c r="A787" i="71"/>
  <c r="K786" i="71"/>
  <c r="N786" i="71"/>
  <c r="P785" i="71"/>
  <c r="S785" i="71"/>
  <c r="Y785" i="71"/>
  <c r="Q785" i="71" s="1"/>
  <c r="V783" i="71"/>
  <c r="U783" i="71"/>
  <c r="M248" i="71"/>
  <c r="L248" i="71" s="1"/>
  <c r="P234" i="69"/>
  <c r="D235" i="69"/>
  <c r="Z785" i="71" l="1"/>
  <c r="AB785" i="71"/>
  <c r="T785" i="71"/>
  <c r="R785" i="71"/>
  <c r="A788" i="71"/>
  <c r="B787" i="71"/>
  <c r="E787" i="71" s="1"/>
  <c r="K787" i="71"/>
  <c r="C787" i="71"/>
  <c r="D787" i="71" s="1"/>
  <c r="N787" i="71"/>
  <c r="U784" i="71"/>
  <c r="V784" i="71"/>
  <c r="S786" i="71"/>
  <c r="Y786" i="71"/>
  <c r="Q786" i="71" s="1"/>
  <c r="P786" i="71"/>
  <c r="I235" i="69"/>
  <c r="H235" i="69"/>
  <c r="K235" i="69"/>
  <c r="Z786" i="71" l="1"/>
  <c r="AB786" i="71"/>
  <c r="R786" i="71"/>
  <c r="U786" i="71" s="1"/>
  <c r="V786" i="71" s="1"/>
  <c r="T786" i="71"/>
  <c r="K788" i="71"/>
  <c r="A789" i="71"/>
  <c r="B788" i="71"/>
  <c r="E788" i="71" s="1"/>
  <c r="N788" i="71"/>
  <c r="C788" i="71"/>
  <c r="D788" i="71" s="1"/>
  <c r="U785" i="71"/>
  <c r="V785" i="71"/>
  <c r="P787" i="71"/>
  <c r="S787" i="71"/>
  <c r="Y787" i="71"/>
  <c r="Q787" i="71" s="1"/>
  <c r="A235" i="69"/>
  <c r="C236" i="69"/>
  <c r="B236" i="69"/>
  <c r="R787" i="71" l="1"/>
  <c r="Z787" i="71"/>
  <c r="AB787" i="71"/>
  <c r="T787" i="71"/>
  <c r="S788" i="71"/>
  <c r="P788" i="71"/>
  <c r="Y788" i="71"/>
  <c r="Q788" i="71" s="1"/>
  <c r="B789" i="71"/>
  <c r="E789" i="71" s="1"/>
  <c r="A790" i="71"/>
  <c r="C789" i="71"/>
  <c r="D789" i="71" s="1"/>
  <c r="K789" i="71"/>
  <c r="N789" i="71"/>
  <c r="M249" i="71"/>
  <c r="L249" i="71" s="1"/>
  <c r="N235" i="69"/>
  <c r="Z235" i="69" s="1"/>
  <c r="M235" i="69"/>
  <c r="E236" i="69"/>
  <c r="J236" i="69" s="1"/>
  <c r="L234" i="69"/>
  <c r="T788" i="71" l="1"/>
  <c r="Z788" i="71"/>
  <c r="AB788" i="71"/>
  <c r="R788" i="71"/>
  <c r="U788" i="71" s="1"/>
  <c r="V788" i="71" s="1"/>
  <c r="Y789" i="71"/>
  <c r="Q789" i="71" s="1"/>
  <c r="P789" i="71"/>
  <c r="S789" i="71"/>
  <c r="K790" i="71"/>
  <c r="A791" i="71"/>
  <c r="B790" i="71"/>
  <c r="E790" i="71" s="1"/>
  <c r="C790" i="71"/>
  <c r="D790" i="71" s="1"/>
  <c r="N790" i="71"/>
  <c r="U787" i="71"/>
  <c r="V787" i="71" s="1"/>
  <c r="P235" i="69"/>
  <c r="D236" i="69"/>
  <c r="I236" i="69" s="1"/>
  <c r="T789" i="71" l="1"/>
  <c r="Z789" i="71"/>
  <c r="R789" i="71"/>
  <c r="U789" i="71" s="1"/>
  <c r="V789" i="71" s="1"/>
  <c r="AB789" i="71"/>
  <c r="P790" i="71"/>
  <c r="S790" i="71"/>
  <c r="Y790" i="71"/>
  <c r="Q790" i="71" s="1"/>
  <c r="A792" i="71"/>
  <c r="N791" i="71"/>
  <c r="B791" i="71"/>
  <c r="E791" i="71" s="1"/>
  <c r="K791" i="71"/>
  <c r="C791" i="71"/>
  <c r="D791" i="71" s="1"/>
  <c r="K236" i="69"/>
  <c r="C237" i="69" s="1"/>
  <c r="H236" i="69"/>
  <c r="AB790" i="71" l="1"/>
  <c r="R790" i="71"/>
  <c r="T790" i="71"/>
  <c r="Z790" i="71"/>
  <c r="S791" i="71"/>
  <c r="P791" i="71"/>
  <c r="Y791" i="71"/>
  <c r="Q791" i="71" s="1"/>
  <c r="C792" i="71"/>
  <c r="D792" i="71" s="1"/>
  <c r="K792" i="71"/>
  <c r="N792" i="71"/>
  <c r="B792" i="71"/>
  <c r="E792" i="71" s="1"/>
  <c r="A793" i="71"/>
  <c r="M250" i="71"/>
  <c r="L250" i="71" s="1"/>
  <c r="A236" i="69"/>
  <c r="B237" i="69"/>
  <c r="E237" i="69" s="1"/>
  <c r="J237" i="69" s="1"/>
  <c r="R791" i="71" l="1"/>
  <c r="AB791" i="71"/>
  <c r="T791" i="71"/>
  <c r="Z791" i="71"/>
  <c r="S792" i="71"/>
  <c r="P792" i="71"/>
  <c r="Y792" i="71"/>
  <c r="Q792" i="71" s="1"/>
  <c r="U790" i="71"/>
  <c r="V790" i="71" s="1"/>
  <c r="N793" i="71"/>
  <c r="C793" i="71"/>
  <c r="D793" i="71" s="1"/>
  <c r="K793" i="71"/>
  <c r="B793" i="71"/>
  <c r="E793" i="71" s="1"/>
  <c r="A794" i="71"/>
  <c r="N236" i="69"/>
  <c r="Z236" i="69" s="1"/>
  <c r="M236" i="69"/>
  <c r="L235" i="69"/>
  <c r="D237" i="69"/>
  <c r="T792" i="71" l="1"/>
  <c r="R792" i="71"/>
  <c r="AB792" i="71"/>
  <c r="Z792" i="71"/>
  <c r="K794" i="71"/>
  <c r="A795" i="71"/>
  <c r="N794" i="71"/>
  <c r="C794" i="71"/>
  <c r="D794" i="71" s="1"/>
  <c r="B794" i="71"/>
  <c r="E794" i="71" s="1"/>
  <c r="S793" i="71"/>
  <c r="P793" i="71"/>
  <c r="Y793" i="71"/>
  <c r="Q793" i="71" s="1"/>
  <c r="U791" i="71"/>
  <c r="V791" i="71"/>
  <c r="P236" i="69"/>
  <c r="I237" i="69"/>
  <c r="H237" i="69"/>
  <c r="K237" i="69"/>
  <c r="S794" i="71" l="1"/>
  <c r="P794" i="71"/>
  <c r="Y794" i="71"/>
  <c r="Q794" i="71" s="1"/>
  <c r="AB793" i="71"/>
  <c r="Z793" i="71"/>
  <c r="T793" i="71"/>
  <c r="R793" i="71"/>
  <c r="U792" i="71"/>
  <c r="V792" i="71"/>
  <c r="K795" i="71"/>
  <c r="C795" i="71"/>
  <c r="D795" i="71" s="1"/>
  <c r="A796" i="71"/>
  <c r="N795" i="71"/>
  <c r="B795" i="71"/>
  <c r="E795" i="71" s="1"/>
  <c r="C238" i="69"/>
  <c r="A237" i="69"/>
  <c r="B238" i="69"/>
  <c r="T794" i="71" l="1"/>
  <c r="Z794" i="71"/>
  <c r="R794" i="71"/>
  <c r="AB794" i="71"/>
  <c r="U793" i="71"/>
  <c r="V793" i="71"/>
  <c r="B796" i="71"/>
  <c r="E796" i="71" s="1"/>
  <c r="C796" i="71"/>
  <c r="D796" i="71" s="1"/>
  <c r="K796" i="71"/>
  <c r="A797" i="71"/>
  <c r="N796" i="71"/>
  <c r="P795" i="71"/>
  <c r="Y795" i="71"/>
  <c r="Q795" i="71" s="1"/>
  <c r="S795" i="71"/>
  <c r="M251" i="71"/>
  <c r="L251" i="71" s="1"/>
  <c r="N237" i="69"/>
  <c r="Z237" i="69" s="1"/>
  <c r="M237" i="69"/>
  <c r="E238" i="69"/>
  <c r="J238" i="69" s="1"/>
  <c r="L236" i="69"/>
  <c r="R795" i="71" l="1"/>
  <c r="U795" i="71" s="1"/>
  <c r="AB795" i="71"/>
  <c r="T795" i="71"/>
  <c r="Z795" i="71"/>
  <c r="P796" i="71"/>
  <c r="Y796" i="71"/>
  <c r="Q796" i="71" s="1"/>
  <c r="S796" i="71"/>
  <c r="N797" i="71"/>
  <c r="K797" i="71"/>
  <c r="B797" i="71"/>
  <c r="E797" i="71" s="1"/>
  <c r="A798" i="71"/>
  <c r="C797" i="71"/>
  <c r="D797" i="71" s="1"/>
  <c r="V794" i="71"/>
  <c r="U794" i="71"/>
  <c r="P237" i="69"/>
  <c r="D238" i="69"/>
  <c r="AB796" i="71" l="1"/>
  <c r="T796" i="71"/>
  <c r="R796" i="71"/>
  <c r="U796" i="71" s="1"/>
  <c r="V796" i="71" s="1"/>
  <c r="Z796" i="71"/>
  <c r="B798" i="71"/>
  <c r="E798" i="71" s="1"/>
  <c r="C798" i="71"/>
  <c r="D798" i="71" s="1"/>
  <c r="K798" i="71"/>
  <c r="A799" i="71"/>
  <c r="N798" i="71"/>
  <c r="Y797" i="71"/>
  <c r="Q797" i="71" s="1"/>
  <c r="S797" i="71"/>
  <c r="P797" i="71"/>
  <c r="V795" i="71"/>
  <c r="I238" i="69"/>
  <c r="H238" i="69"/>
  <c r="K238" i="69"/>
  <c r="B799" i="71" l="1"/>
  <c r="E799" i="71" s="1"/>
  <c r="N799" i="71"/>
  <c r="K799" i="71"/>
  <c r="A800" i="71"/>
  <c r="C799" i="71"/>
  <c r="D799" i="71" s="1"/>
  <c r="T797" i="71"/>
  <c r="AB797" i="71"/>
  <c r="R797" i="71"/>
  <c r="Z797" i="71"/>
  <c r="P798" i="71"/>
  <c r="Y798" i="71"/>
  <c r="Q798" i="71" s="1"/>
  <c r="S798" i="71"/>
  <c r="C239" i="69"/>
  <c r="A238" i="69"/>
  <c r="B239" i="69"/>
  <c r="U797" i="71" l="1"/>
  <c r="V797" i="71"/>
  <c r="A801" i="71"/>
  <c r="K800" i="71"/>
  <c r="C800" i="71"/>
  <c r="D800" i="71" s="1"/>
  <c r="N800" i="71"/>
  <c r="B800" i="71"/>
  <c r="E800" i="71" s="1"/>
  <c r="R798" i="71"/>
  <c r="U798" i="71" s="1"/>
  <c r="V798" i="71" s="1"/>
  <c r="Z798" i="71"/>
  <c r="AB798" i="71"/>
  <c r="T798" i="71"/>
  <c r="P799" i="71"/>
  <c r="S799" i="71"/>
  <c r="Y799" i="71"/>
  <c r="Q799" i="71" s="1"/>
  <c r="M252" i="71"/>
  <c r="L252" i="71" s="1"/>
  <c r="N238" i="69"/>
  <c r="Z238" i="69" s="1"/>
  <c r="M238" i="69"/>
  <c r="E239" i="69"/>
  <c r="J239" i="69" s="1"/>
  <c r="L237" i="69"/>
  <c r="Y800" i="71" l="1"/>
  <c r="Q800" i="71" s="1"/>
  <c r="S800" i="71"/>
  <c r="P800" i="71"/>
  <c r="R799" i="71"/>
  <c r="T799" i="71"/>
  <c r="AB799" i="71"/>
  <c r="Z799" i="71"/>
  <c r="K801" i="71"/>
  <c r="B801" i="71"/>
  <c r="E801" i="71" s="1"/>
  <c r="A802" i="71"/>
  <c r="N801" i="71"/>
  <c r="C801" i="71"/>
  <c r="D801" i="71" s="1"/>
  <c r="P238" i="69"/>
  <c r="D239" i="69"/>
  <c r="I239" i="69" s="1"/>
  <c r="U799" i="71" l="1"/>
  <c r="V799" i="71"/>
  <c r="P801" i="71"/>
  <c r="Y801" i="71"/>
  <c r="S801" i="71"/>
  <c r="Q801" i="71"/>
  <c r="N802" i="71"/>
  <c r="C802" i="71"/>
  <c r="D802" i="71" s="1"/>
  <c r="K802" i="71"/>
  <c r="B802" i="71"/>
  <c r="E802" i="71"/>
  <c r="A803" i="71"/>
  <c r="Z800" i="71"/>
  <c r="T800" i="71"/>
  <c r="AB800" i="71"/>
  <c r="R800" i="71"/>
  <c r="U800" i="71" s="1"/>
  <c r="V800" i="71" s="1"/>
  <c r="M253" i="71"/>
  <c r="L253" i="71" s="1"/>
  <c r="K239" i="69"/>
  <c r="C240" i="69" s="1"/>
  <c r="H239" i="69"/>
  <c r="L238" i="69"/>
  <c r="Z801" i="71" l="1"/>
  <c r="R801" i="71"/>
  <c r="U801" i="71" s="1"/>
  <c r="V801" i="71" s="1"/>
  <c r="AB801" i="71"/>
  <c r="T801" i="71"/>
  <c r="A804" i="71"/>
  <c r="N803" i="71"/>
  <c r="B803" i="71"/>
  <c r="E803" i="71"/>
  <c r="K803" i="71"/>
  <c r="C803" i="71"/>
  <c r="D803" i="71" s="1"/>
  <c r="S802" i="71"/>
  <c r="Y802" i="71"/>
  <c r="Q802" i="71" s="1"/>
  <c r="P802" i="71"/>
  <c r="A239" i="69"/>
  <c r="B240" i="69"/>
  <c r="E240" i="69" s="1"/>
  <c r="J240" i="69" s="1"/>
  <c r="R802" i="71" l="1"/>
  <c r="Z802" i="71"/>
  <c r="T802" i="71"/>
  <c r="AB802" i="71"/>
  <c r="S803" i="71"/>
  <c r="Y803" i="71"/>
  <c r="Q803" i="71"/>
  <c r="P803" i="71"/>
  <c r="K804" i="71"/>
  <c r="A805" i="71"/>
  <c r="B804" i="71"/>
  <c r="E804" i="71" s="1"/>
  <c r="N804" i="71"/>
  <c r="C804" i="71"/>
  <c r="D804" i="71" s="1"/>
  <c r="M254" i="71"/>
  <c r="L254" i="71" s="1"/>
  <c r="N239" i="69"/>
  <c r="Z239" i="69" s="1"/>
  <c r="M239" i="69"/>
  <c r="D240" i="69"/>
  <c r="H240" i="69" s="1"/>
  <c r="P804" i="71" l="1"/>
  <c r="Y804" i="71"/>
  <c r="Q804" i="71" s="1"/>
  <c r="S804" i="71"/>
  <c r="A806" i="71"/>
  <c r="C805" i="71"/>
  <c r="D805" i="71" s="1"/>
  <c r="B805" i="71"/>
  <c r="E805" i="71" s="1"/>
  <c r="N805" i="71"/>
  <c r="K805" i="71"/>
  <c r="AB803" i="71"/>
  <c r="Z803" i="71"/>
  <c r="T803" i="71"/>
  <c r="R803" i="71"/>
  <c r="U803" i="71" s="1"/>
  <c r="U802" i="71"/>
  <c r="V802" i="71" s="1"/>
  <c r="P239" i="69"/>
  <c r="K240" i="69"/>
  <c r="A240" i="69" s="1"/>
  <c r="I240" i="69"/>
  <c r="Y805" i="71" l="1"/>
  <c r="Q805" i="71" s="1"/>
  <c r="S805" i="71"/>
  <c r="P805" i="71"/>
  <c r="V803" i="71"/>
  <c r="C806" i="71"/>
  <c r="D806" i="71" s="1"/>
  <c r="K806" i="71"/>
  <c r="A807" i="71"/>
  <c r="B806" i="71"/>
  <c r="E806" i="71" s="1"/>
  <c r="N806" i="71"/>
  <c r="T804" i="71"/>
  <c r="Z804" i="71"/>
  <c r="R804" i="71"/>
  <c r="U804" i="71" s="1"/>
  <c r="V804" i="71" s="1"/>
  <c r="AB804" i="71"/>
  <c r="C241" i="69"/>
  <c r="B241" i="69"/>
  <c r="E241" i="69" s="1"/>
  <c r="J241" i="69" s="1"/>
  <c r="N240" i="69"/>
  <c r="Z240" i="69" s="1"/>
  <c r="M240" i="69"/>
  <c r="L239" i="69"/>
  <c r="N807" i="71" l="1"/>
  <c r="A808" i="71"/>
  <c r="B807" i="71"/>
  <c r="E807" i="71" s="1"/>
  <c r="C807" i="71"/>
  <c r="D807" i="71" s="1"/>
  <c r="K807" i="71"/>
  <c r="P806" i="71"/>
  <c r="Y806" i="71"/>
  <c r="Q806" i="71" s="1"/>
  <c r="S806" i="71"/>
  <c r="T805" i="71"/>
  <c r="R805" i="71"/>
  <c r="U805" i="71" s="1"/>
  <c r="V805" i="71" s="1"/>
  <c r="AB805" i="71"/>
  <c r="Z805" i="71"/>
  <c r="M255" i="71"/>
  <c r="L255" i="71" s="1"/>
  <c r="P240" i="69"/>
  <c r="D241" i="69"/>
  <c r="R806" i="71" l="1"/>
  <c r="AB806" i="71"/>
  <c r="Z806" i="71"/>
  <c r="T806" i="71"/>
  <c r="C808" i="71"/>
  <c r="D808" i="71" s="1"/>
  <c r="K808" i="71"/>
  <c r="A809" i="71"/>
  <c r="E808" i="71"/>
  <c r="N808" i="71"/>
  <c r="B808" i="71"/>
  <c r="P807" i="71"/>
  <c r="S807" i="71"/>
  <c r="Y807" i="71"/>
  <c r="Q807" i="71" s="1"/>
  <c r="L240" i="69"/>
  <c r="I241" i="69"/>
  <c r="H241" i="69"/>
  <c r="K241" i="69"/>
  <c r="AB807" i="71" l="1"/>
  <c r="T807" i="71"/>
  <c r="Z807" i="71"/>
  <c r="R807" i="71"/>
  <c r="A810" i="71"/>
  <c r="C809" i="71"/>
  <c r="D809" i="71" s="1"/>
  <c r="N809" i="71"/>
  <c r="B809" i="71"/>
  <c r="E809" i="71" s="1"/>
  <c r="K809" i="71"/>
  <c r="Y808" i="71"/>
  <c r="Q808" i="71" s="1"/>
  <c r="S808" i="71"/>
  <c r="P808" i="71"/>
  <c r="U806" i="71"/>
  <c r="V806" i="71"/>
  <c r="C242" i="69"/>
  <c r="A241" i="69"/>
  <c r="B242" i="69"/>
  <c r="B810" i="71" l="1"/>
  <c r="C810" i="71"/>
  <c r="D810" i="71" s="1"/>
  <c r="A811" i="71"/>
  <c r="K810" i="71"/>
  <c r="N810" i="71"/>
  <c r="E810" i="71"/>
  <c r="P809" i="71"/>
  <c r="Y809" i="71"/>
  <c r="Q809" i="71" s="1"/>
  <c r="S809" i="71"/>
  <c r="Z808" i="71"/>
  <c r="T808" i="71"/>
  <c r="AB808" i="71"/>
  <c r="R808" i="71"/>
  <c r="U807" i="71"/>
  <c r="V807" i="71" s="1"/>
  <c r="N241" i="69"/>
  <c r="Z241" i="69" s="1"/>
  <c r="M241" i="69"/>
  <c r="E242" i="69"/>
  <c r="J242" i="69" s="1"/>
  <c r="Y810" i="71" l="1"/>
  <c r="Q810" i="71" s="1"/>
  <c r="S810" i="71"/>
  <c r="P810" i="71"/>
  <c r="R809" i="71"/>
  <c r="U809" i="71" s="1"/>
  <c r="AB809" i="71"/>
  <c r="Z809" i="71"/>
  <c r="T809" i="71"/>
  <c r="N811" i="71"/>
  <c r="A812" i="71"/>
  <c r="K811" i="71"/>
  <c r="B811" i="71"/>
  <c r="E811" i="71"/>
  <c r="C811" i="71"/>
  <c r="D811" i="71" s="1"/>
  <c r="U808" i="71"/>
  <c r="V808" i="71" s="1"/>
  <c r="M256" i="71"/>
  <c r="L256" i="71" s="1"/>
  <c r="P241" i="69"/>
  <c r="D242" i="69"/>
  <c r="T810" i="71" l="1"/>
  <c r="Z810" i="71"/>
  <c r="R810" i="71"/>
  <c r="U810" i="71" s="1"/>
  <c r="V810" i="71" s="1"/>
  <c r="AB810" i="71"/>
  <c r="V809" i="71"/>
  <c r="A813" i="71"/>
  <c r="N812" i="71"/>
  <c r="B812" i="71"/>
  <c r="E812" i="71" s="1"/>
  <c r="C812" i="71"/>
  <c r="D812" i="71" s="1"/>
  <c r="K812" i="71"/>
  <c r="S811" i="71"/>
  <c r="Y811" i="71"/>
  <c r="Q811" i="71" s="1"/>
  <c r="P811" i="71"/>
  <c r="L241" i="69"/>
  <c r="I242" i="69"/>
  <c r="H242" i="69"/>
  <c r="K242" i="69"/>
  <c r="P812" i="71" l="1"/>
  <c r="Y812" i="71"/>
  <c r="Q812" i="71" s="1"/>
  <c r="S812" i="71"/>
  <c r="K813" i="71"/>
  <c r="A814" i="71"/>
  <c r="N813" i="71"/>
  <c r="B813" i="71"/>
  <c r="E813" i="71" s="1"/>
  <c r="C813" i="71"/>
  <c r="D813" i="71" s="1"/>
  <c r="T811" i="71"/>
  <c r="Z811" i="71"/>
  <c r="R811" i="71"/>
  <c r="U811" i="71" s="1"/>
  <c r="V811" i="71" s="1"/>
  <c r="AB811" i="71"/>
  <c r="C243" i="69"/>
  <c r="A242" i="69"/>
  <c r="B243" i="69"/>
  <c r="R812" i="71" l="1"/>
  <c r="U812" i="71" s="1"/>
  <c r="AB812" i="71"/>
  <c r="Z812" i="71"/>
  <c r="T812" i="71"/>
  <c r="K814" i="71"/>
  <c r="A815" i="71"/>
  <c r="B814" i="71"/>
  <c r="E814" i="71" s="1"/>
  <c r="N814" i="71"/>
  <c r="C814" i="71"/>
  <c r="D814" i="71" s="1"/>
  <c r="Y813" i="71"/>
  <c r="Q813" i="71" s="1"/>
  <c r="S813" i="71"/>
  <c r="P813" i="71"/>
  <c r="M257" i="71"/>
  <c r="L257" i="71" s="1"/>
  <c r="N242" i="69"/>
  <c r="Z242" i="69" s="1"/>
  <c r="M242" i="69"/>
  <c r="E243" i="69"/>
  <c r="J243" i="69" s="1"/>
  <c r="P814" i="71" l="1"/>
  <c r="Y814" i="71"/>
  <c r="Q814" i="71" s="1"/>
  <c r="S814" i="71"/>
  <c r="B815" i="71"/>
  <c r="E815" i="71" s="1"/>
  <c r="K815" i="71"/>
  <c r="C815" i="71"/>
  <c r="D815" i="71" s="1"/>
  <c r="N815" i="71"/>
  <c r="A816" i="71"/>
  <c r="AB813" i="71"/>
  <c r="R813" i="71"/>
  <c r="U813" i="71" s="1"/>
  <c r="Z813" i="71"/>
  <c r="T813" i="71"/>
  <c r="V812" i="71"/>
  <c r="P242" i="69"/>
  <c r="D243" i="69"/>
  <c r="N816" i="71" l="1"/>
  <c r="B816" i="71"/>
  <c r="C816" i="71"/>
  <c r="D816" i="71" s="1"/>
  <c r="K816" i="71"/>
  <c r="A817" i="71"/>
  <c r="E816" i="71"/>
  <c r="V813" i="71"/>
  <c r="Z814" i="71"/>
  <c r="AB814" i="71"/>
  <c r="R814" i="71"/>
  <c r="U814" i="71" s="1"/>
  <c r="V814" i="71" s="1"/>
  <c r="T814" i="71"/>
  <c r="Y815" i="71"/>
  <c r="Q815" i="71" s="1"/>
  <c r="S815" i="71"/>
  <c r="P815" i="71"/>
  <c r="M258" i="71"/>
  <c r="L258" i="71" s="1"/>
  <c r="I243" i="69"/>
  <c r="H243" i="69"/>
  <c r="K243" i="69"/>
  <c r="L242" i="69"/>
  <c r="C817" i="71" l="1"/>
  <c r="D817" i="71" s="1"/>
  <c r="K817" i="71"/>
  <c r="B817" i="71"/>
  <c r="E817" i="71" s="1"/>
  <c r="A818" i="71"/>
  <c r="N817" i="71"/>
  <c r="Z815" i="71"/>
  <c r="R815" i="71"/>
  <c r="U815" i="71" s="1"/>
  <c r="V815" i="71" s="1"/>
  <c r="AB815" i="71"/>
  <c r="T815" i="71"/>
  <c r="Y816" i="71"/>
  <c r="Q816" i="71" s="1"/>
  <c r="S816" i="71"/>
  <c r="P816" i="71"/>
  <c r="C244" i="69"/>
  <c r="B244" i="69"/>
  <c r="A243" i="69"/>
  <c r="Y817" i="71" l="1"/>
  <c r="Q817" i="71" s="1"/>
  <c r="S817" i="71"/>
  <c r="P817" i="71"/>
  <c r="K818" i="71"/>
  <c r="A819" i="71"/>
  <c r="B818" i="71"/>
  <c r="E818" i="71" s="1"/>
  <c r="N818" i="71"/>
  <c r="C818" i="71"/>
  <c r="D818" i="71" s="1"/>
  <c r="R816" i="71"/>
  <c r="AB816" i="71"/>
  <c r="Z816" i="71"/>
  <c r="T816" i="71"/>
  <c r="N243" i="69"/>
  <c r="Z243" i="69" s="1"/>
  <c r="M243" i="69"/>
  <c r="E244" i="69"/>
  <c r="J244" i="69" s="1"/>
  <c r="B819" i="71" l="1"/>
  <c r="E819" i="71" s="1"/>
  <c r="K819" i="71"/>
  <c r="N819" i="71"/>
  <c r="A820" i="71"/>
  <c r="C819" i="71"/>
  <c r="D819" i="71" s="1"/>
  <c r="S818" i="71"/>
  <c r="P818" i="71"/>
  <c r="Q818" i="71"/>
  <c r="Y818" i="71"/>
  <c r="V816" i="71"/>
  <c r="U816" i="71"/>
  <c r="AB817" i="71"/>
  <c r="Z817" i="71"/>
  <c r="T817" i="71"/>
  <c r="R817" i="71"/>
  <c r="U817" i="71" s="1"/>
  <c r="V817" i="71" s="1"/>
  <c r="M259" i="71"/>
  <c r="L259" i="71" s="1"/>
  <c r="P243" i="69"/>
  <c r="D244" i="69"/>
  <c r="K244" i="69" s="1"/>
  <c r="S819" i="71" l="1"/>
  <c r="Y819" i="71"/>
  <c r="Q819" i="71" s="1"/>
  <c r="P819" i="71"/>
  <c r="Z818" i="71"/>
  <c r="R818" i="71"/>
  <c r="AB818" i="71"/>
  <c r="T818" i="71"/>
  <c r="B820" i="71"/>
  <c r="E820" i="71" s="1"/>
  <c r="N820" i="71"/>
  <c r="C820" i="71"/>
  <c r="D820" i="71" s="1"/>
  <c r="K820" i="71"/>
  <c r="A821" i="71"/>
  <c r="H244" i="69"/>
  <c r="I244" i="69"/>
  <c r="C245" i="69"/>
  <c r="A244" i="69"/>
  <c r="B245" i="69"/>
  <c r="L243" i="69"/>
  <c r="U818" i="71" l="1"/>
  <c r="V818" i="71" s="1"/>
  <c r="B821" i="71"/>
  <c r="E821" i="71" s="1"/>
  <c r="A822" i="71"/>
  <c r="C821" i="71"/>
  <c r="D821" i="71" s="1"/>
  <c r="K821" i="71"/>
  <c r="N821" i="71"/>
  <c r="T819" i="71"/>
  <c r="AB819" i="71"/>
  <c r="R819" i="71"/>
  <c r="U819" i="71" s="1"/>
  <c r="Z819" i="71"/>
  <c r="P820" i="71"/>
  <c r="Y820" i="71"/>
  <c r="Q820" i="71" s="1"/>
  <c r="S820" i="71"/>
  <c r="N244" i="69"/>
  <c r="Z244" i="69" s="1"/>
  <c r="M244" i="69"/>
  <c r="E245" i="69"/>
  <c r="J245" i="69" s="1"/>
  <c r="T820" i="71" l="1"/>
  <c r="Z820" i="71"/>
  <c r="R820" i="71"/>
  <c r="U820" i="71" s="1"/>
  <c r="V820" i="71" s="1"/>
  <c r="AB820" i="71"/>
  <c r="N822" i="71"/>
  <c r="B822" i="71"/>
  <c r="E822" i="71"/>
  <c r="K822" i="71"/>
  <c r="A823" i="71"/>
  <c r="C822" i="71"/>
  <c r="D822" i="71" s="1"/>
  <c r="P821" i="71"/>
  <c r="S821" i="71"/>
  <c r="Y821" i="71"/>
  <c r="Q821" i="71" s="1"/>
  <c r="V819" i="71"/>
  <c r="P244" i="69"/>
  <c r="D245" i="69"/>
  <c r="R821" i="71" l="1"/>
  <c r="U821" i="71" s="1"/>
  <c r="AB821" i="71"/>
  <c r="T821" i="71"/>
  <c r="Z821" i="71"/>
  <c r="Y822" i="71"/>
  <c r="Q822" i="71" s="1"/>
  <c r="S822" i="71"/>
  <c r="P822" i="71"/>
  <c r="B823" i="71"/>
  <c r="E823" i="71" s="1"/>
  <c r="C823" i="71"/>
  <c r="D823" i="71" s="1"/>
  <c r="K823" i="71"/>
  <c r="A824" i="71"/>
  <c r="N823" i="71"/>
  <c r="M260" i="71"/>
  <c r="L260" i="71" s="1"/>
  <c r="I245" i="69"/>
  <c r="H245" i="69"/>
  <c r="K245" i="69"/>
  <c r="T822" i="71" l="1"/>
  <c r="Z822" i="71"/>
  <c r="R822" i="71"/>
  <c r="AB822" i="71"/>
  <c r="C824" i="71"/>
  <c r="D824" i="71" s="1"/>
  <c r="K824" i="71"/>
  <c r="A825" i="71"/>
  <c r="B824" i="71"/>
  <c r="E824" i="71" s="1"/>
  <c r="N824" i="71"/>
  <c r="Y823" i="71"/>
  <c r="Q823" i="71" s="1"/>
  <c r="P823" i="71"/>
  <c r="S823" i="71"/>
  <c r="V821" i="71"/>
  <c r="C246" i="69"/>
  <c r="A245" i="69"/>
  <c r="B246" i="69"/>
  <c r="L244" i="69"/>
  <c r="A826" i="71" l="1"/>
  <c r="C825" i="71"/>
  <c r="D825" i="71" s="1"/>
  <c r="N825" i="71"/>
  <c r="B825" i="71"/>
  <c r="E825" i="71" s="1"/>
  <c r="K825" i="71"/>
  <c r="U822" i="71"/>
  <c r="V822" i="71"/>
  <c r="R823" i="71"/>
  <c r="AB823" i="71"/>
  <c r="Z823" i="71"/>
  <c r="T823" i="71"/>
  <c r="Y824" i="71"/>
  <c r="Q824" i="71"/>
  <c r="S824" i="71"/>
  <c r="P824" i="71"/>
  <c r="N245" i="69"/>
  <c r="Z245" i="69" s="1"/>
  <c r="M245" i="69"/>
  <c r="E246" i="69"/>
  <c r="J246" i="69" s="1"/>
  <c r="Z824" i="71" l="1"/>
  <c r="T824" i="71"/>
  <c r="R824" i="71"/>
  <c r="AB824" i="71"/>
  <c r="P825" i="71"/>
  <c r="Y825" i="71"/>
  <c r="Q825" i="71" s="1"/>
  <c r="S825" i="71"/>
  <c r="U823" i="71"/>
  <c r="V823" i="71" s="1"/>
  <c r="K826" i="71"/>
  <c r="A827" i="71"/>
  <c r="B826" i="71"/>
  <c r="E826" i="71" s="1"/>
  <c r="C826" i="71"/>
  <c r="D826" i="71" s="1"/>
  <c r="N826" i="71"/>
  <c r="M261" i="71"/>
  <c r="L261" i="71" s="1"/>
  <c r="P245" i="69"/>
  <c r="D246" i="69"/>
  <c r="S826" i="71" l="1"/>
  <c r="P826" i="71"/>
  <c r="Y826" i="71"/>
  <c r="Q826" i="71" s="1"/>
  <c r="Z825" i="71"/>
  <c r="AB825" i="71"/>
  <c r="T825" i="71"/>
  <c r="R825" i="71"/>
  <c r="C827" i="71"/>
  <c r="D827" i="71" s="1"/>
  <c r="B827" i="71"/>
  <c r="E827" i="71" s="1"/>
  <c r="N827" i="71"/>
  <c r="A828" i="71"/>
  <c r="K827" i="71"/>
  <c r="U824" i="71"/>
  <c r="V824" i="71"/>
  <c r="I246" i="69"/>
  <c r="H246" i="69"/>
  <c r="K246" i="69"/>
  <c r="AB826" i="71" l="1"/>
  <c r="T826" i="71"/>
  <c r="Z826" i="71"/>
  <c r="R826" i="71"/>
  <c r="U826" i="71" s="1"/>
  <c r="V826" i="71" s="1"/>
  <c r="C828" i="71"/>
  <c r="D828" i="71" s="1"/>
  <c r="E828" i="71"/>
  <c r="K828" i="71"/>
  <c r="N828" i="71"/>
  <c r="A829" i="71"/>
  <c r="B828" i="71"/>
  <c r="U825" i="71"/>
  <c r="V825" i="71"/>
  <c r="S827" i="71"/>
  <c r="Y827" i="71"/>
  <c r="Q827" i="71" s="1"/>
  <c r="P827" i="71"/>
  <c r="C247" i="69"/>
  <c r="A246" i="69"/>
  <c r="B247" i="69"/>
  <c r="L245" i="69"/>
  <c r="P828" i="71" l="1"/>
  <c r="Y828" i="71"/>
  <c r="Q828" i="71" s="1"/>
  <c r="S828" i="71"/>
  <c r="Z827" i="71"/>
  <c r="T827" i="71"/>
  <c r="R827" i="71"/>
  <c r="U827" i="71" s="1"/>
  <c r="V827" i="71" s="1"/>
  <c r="AB827" i="71"/>
  <c r="A830" i="71"/>
  <c r="N829" i="71"/>
  <c r="C829" i="71"/>
  <c r="D829" i="71" s="1"/>
  <c r="K829" i="71"/>
  <c r="B829" i="71"/>
  <c r="E829" i="71" s="1"/>
  <c r="M262" i="71"/>
  <c r="L262" i="71" s="1"/>
  <c r="N246" i="69"/>
  <c r="Z246" i="69" s="1"/>
  <c r="M246" i="69"/>
  <c r="E247" i="69"/>
  <c r="J247" i="69" s="1"/>
  <c r="C830" i="71" l="1"/>
  <c r="D830" i="71" s="1"/>
  <c r="A831" i="71"/>
  <c r="B830" i="71"/>
  <c r="E830" i="71" s="1"/>
  <c r="N830" i="71"/>
  <c r="K830" i="71"/>
  <c r="T828" i="71"/>
  <c r="R828" i="71"/>
  <c r="U828" i="71" s="1"/>
  <c r="V828" i="71" s="1"/>
  <c r="AB828" i="71"/>
  <c r="Z828" i="71"/>
  <c r="Y829" i="71"/>
  <c r="Q829" i="71" s="1"/>
  <c r="P829" i="71"/>
  <c r="S829" i="71"/>
  <c r="P246" i="69"/>
  <c r="D247" i="69"/>
  <c r="I247" i="69" s="1"/>
  <c r="AB829" i="71" l="1"/>
  <c r="R829" i="71"/>
  <c r="U829" i="71" s="1"/>
  <c r="T829" i="71"/>
  <c r="Z829" i="71"/>
  <c r="A832" i="71"/>
  <c r="C831" i="71"/>
  <c r="D831" i="71" s="1"/>
  <c r="N831" i="71"/>
  <c r="K831" i="71"/>
  <c r="B831" i="71"/>
  <c r="E831" i="71" s="1"/>
  <c r="Y830" i="71"/>
  <c r="P830" i="71"/>
  <c r="S830" i="71"/>
  <c r="Q830" i="71"/>
  <c r="K247" i="69"/>
  <c r="C248" i="69" s="1"/>
  <c r="H247" i="69"/>
  <c r="L246" i="69"/>
  <c r="N832" i="71" l="1"/>
  <c r="B832" i="71"/>
  <c r="E832" i="71" s="1"/>
  <c r="K832" i="71"/>
  <c r="C832" i="71"/>
  <c r="D832" i="71" s="1"/>
  <c r="A833" i="71"/>
  <c r="T830" i="71"/>
  <c r="R830" i="71"/>
  <c r="AB830" i="71"/>
  <c r="Z830" i="71"/>
  <c r="V829" i="71"/>
  <c r="P831" i="71"/>
  <c r="Y831" i="71"/>
  <c r="Q831" i="71" s="1"/>
  <c r="S831" i="71"/>
  <c r="M263" i="71"/>
  <c r="L263" i="71" s="1"/>
  <c r="A247" i="69"/>
  <c r="B248" i="69"/>
  <c r="E248" i="69" s="1"/>
  <c r="J248" i="69" s="1"/>
  <c r="U830" i="71" l="1"/>
  <c r="V830" i="71"/>
  <c r="N833" i="71"/>
  <c r="C833" i="71"/>
  <c r="D833" i="71" s="1"/>
  <c r="K833" i="71"/>
  <c r="B833" i="71"/>
  <c r="E833" i="71" s="1"/>
  <c r="R831" i="71"/>
  <c r="AB831" i="71"/>
  <c r="T831" i="71"/>
  <c r="Z831" i="71"/>
  <c r="Y832" i="71"/>
  <c r="Q832" i="71" s="1"/>
  <c r="S832" i="71"/>
  <c r="P832" i="71"/>
  <c r="N247" i="69"/>
  <c r="Z247" i="69" s="1"/>
  <c r="M247" i="69"/>
  <c r="D248" i="69"/>
  <c r="T832" i="71" l="1"/>
  <c r="AB832" i="71"/>
  <c r="R832" i="71"/>
  <c r="Z832" i="71"/>
  <c r="V831" i="71"/>
  <c r="U831" i="71"/>
  <c r="Y833" i="71"/>
  <c r="Q833" i="71" s="1"/>
  <c r="P833" i="71"/>
  <c r="S833" i="71"/>
  <c r="P247" i="69"/>
  <c r="L247" i="69"/>
  <c r="I248" i="69"/>
  <c r="H248" i="69"/>
  <c r="K248" i="69"/>
  <c r="AB833" i="71" l="1"/>
  <c r="Z833" i="71"/>
  <c r="T833" i="71"/>
  <c r="R833" i="71"/>
  <c r="V832" i="71"/>
  <c r="U832" i="71"/>
  <c r="C249" i="69"/>
  <c r="A248" i="69"/>
  <c r="B249" i="69"/>
  <c r="U833" i="71" l="1"/>
  <c r="V833" i="71" s="1"/>
  <c r="M264" i="71"/>
  <c r="L264" i="71" s="1"/>
  <c r="N248" i="69"/>
  <c r="Z248" i="69" s="1"/>
  <c r="M248" i="69"/>
  <c r="E249" i="69"/>
  <c r="J249" i="69" s="1"/>
  <c r="P248" i="69" l="1"/>
  <c r="D249" i="69"/>
  <c r="I249" i="69" l="1"/>
  <c r="H249" i="69"/>
  <c r="K249" i="69"/>
  <c r="L248" i="69"/>
  <c r="M265" i="71" l="1"/>
  <c r="L265" i="71" s="1"/>
  <c r="C250" i="69"/>
  <c r="A249" i="69"/>
  <c r="B250" i="69"/>
  <c r="N249" i="69" l="1"/>
  <c r="Z249" i="69" s="1"/>
  <c r="M249" i="69"/>
  <c r="E250" i="69"/>
  <c r="J250" i="69" s="1"/>
  <c r="P249" i="69" l="1"/>
  <c r="D250" i="69"/>
  <c r="I250" i="69" s="1"/>
  <c r="K250" i="69" l="1"/>
  <c r="C251" i="69" s="1"/>
  <c r="H250" i="69"/>
  <c r="L249" i="69"/>
  <c r="M266" i="71" l="1"/>
  <c r="L266" i="71" s="1"/>
  <c r="A250" i="69"/>
  <c r="B251" i="69"/>
  <c r="E251" i="69" s="1"/>
  <c r="J251" i="69" s="1"/>
  <c r="N250" i="69" l="1"/>
  <c r="Z250" i="69" s="1"/>
  <c r="M250" i="69"/>
  <c r="D251" i="69"/>
  <c r="H251" i="69" s="1"/>
  <c r="P250" i="69" l="1"/>
  <c r="K251" i="69"/>
  <c r="C252" i="69" s="1"/>
  <c r="I251" i="69"/>
  <c r="L250" i="69"/>
  <c r="M267" i="71" l="1"/>
  <c r="L267" i="71" s="1"/>
  <c r="A251" i="69"/>
  <c r="B252" i="69"/>
  <c r="E252" i="69" s="1"/>
  <c r="J252" i="69" s="1"/>
  <c r="N251" i="69" l="1"/>
  <c r="Z251" i="69" s="1"/>
  <c r="M251" i="69"/>
  <c r="D252" i="69"/>
  <c r="P251" i="69" l="1"/>
  <c r="H252" i="69"/>
  <c r="I252" i="69"/>
  <c r="K252" i="69"/>
  <c r="M268" i="71" l="1"/>
  <c r="L268" i="71" s="1"/>
  <c r="B253" i="69"/>
  <c r="C253" i="69"/>
  <c r="A252" i="69"/>
  <c r="L251" i="69"/>
  <c r="N252" i="69" l="1"/>
  <c r="Z252" i="69" s="1"/>
  <c r="M252" i="69"/>
  <c r="E253" i="69"/>
  <c r="J253" i="69" s="1"/>
  <c r="P252" i="69" l="1"/>
  <c r="D253" i="69"/>
  <c r="H253" i="69" s="1"/>
  <c r="M269" i="71" l="1"/>
  <c r="L269" i="71" s="1"/>
  <c r="I253" i="69"/>
  <c r="K253" i="69"/>
  <c r="C254" i="69" s="1"/>
  <c r="B254" i="69" l="1"/>
  <c r="E254" i="69" s="1"/>
  <c r="J254" i="69" s="1"/>
  <c r="A253" i="69"/>
  <c r="L252" i="69"/>
  <c r="N253" i="69" l="1"/>
  <c r="Z253" i="69" s="1"/>
  <c r="M253" i="69"/>
  <c r="D254" i="69"/>
  <c r="K254" i="69" s="1"/>
  <c r="B255" i="69" s="1"/>
  <c r="P253" i="69" l="1"/>
  <c r="I254" i="69"/>
  <c r="C255" i="69"/>
  <c r="H254" i="69"/>
  <c r="A254" i="69"/>
  <c r="E255" i="69"/>
  <c r="J255" i="69" s="1"/>
  <c r="M270" i="71" l="1"/>
  <c r="L270" i="71" s="1"/>
  <c r="N254" i="69"/>
  <c r="Z254" i="69" s="1"/>
  <c r="M254" i="69"/>
  <c r="D255" i="69"/>
  <c r="I255" i="69" s="1"/>
  <c r="L253" i="69"/>
  <c r="P254" i="69" l="1"/>
  <c r="K255" i="69"/>
  <c r="A255" i="69" s="1"/>
  <c r="H255" i="69"/>
  <c r="C256" i="69" l="1"/>
  <c r="B256" i="69"/>
  <c r="E256" i="69" s="1"/>
  <c r="J256" i="69" s="1"/>
  <c r="N255" i="69"/>
  <c r="Z255" i="69" s="1"/>
  <c r="M255" i="69"/>
  <c r="P255" i="69" l="1"/>
  <c r="D256" i="69"/>
  <c r="M271" i="71" l="1"/>
  <c r="L271" i="71" s="1"/>
  <c r="H256" i="69"/>
  <c r="I256" i="69"/>
  <c r="K256" i="69"/>
  <c r="L254" i="69"/>
  <c r="B257" i="69" l="1"/>
  <c r="C257" i="69"/>
  <c r="A256" i="69"/>
  <c r="N256" i="69" l="1"/>
  <c r="Z256" i="69" s="1"/>
  <c r="M256" i="69"/>
  <c r="E257" i="69"/>
  <c r="J257" i="69" s="1"/>
  <c r="P256" i="69" l="1"/>
  <c r="D257" i="69"/>
  <c r="M272" i="71" l="1"/>
  <c r="L272" i="71" s="1"/>
  <c r="L255" i="69"/>
  <c r="I257" i="69"/>
  <c r="H257" i="69"/>
  <c r="K257" i="69"/>
  <c r="C258" i="69" l="1"/>
  <c r="A257" i="69"/>
  <c r="B258" i="69"/>
  <c r="N257" i="69" l="1"/>
  <c r="Z257" i="69" s="1"/>
  <c r="M257" i="69"/>
  <c r="E258" i="69"/>
  <c r="J258" i="69" s="1"/>
  <c r="M273" i="71" l="1"/>
  <c r="L273" i="71" s="1"/>
  <c r="P257" i="69"/>
  <c r="D258" i="69"/>
  <c r="H258" i="69" s="1"/>
  <c r="I258" i="69" l="1"/>
  <c r="K258" i="69"/>
  <c r="B259" i="69" s="1"/>
  <c r="L256" i="69"/>
  <c r="C259" i="69" l="1"/>
  <c r="A258" i="69"/>
  <c r="E259" i="69"/>
  <c r="J259" i="69" s="1"/>
  <c r="M274" i="71" l="1"/>
  <c r="L274" i="71" s="1"/>
  <c r="N258" i="69"/>
  <c r="Z258" i="69" s="1"/>
  <c r="M258" i="69"/>
  <c r="D259" i="69"/>
  <c r="P258" i="69" l="1"/>
  <c r="I259" i="69"/>
  <c r="H259" i="69"/>
  <c r="K259" i="69"/>
  <c r="L257" i="69"/>
  <c r="C260" i="69" l="1"/>
  <c r="A259" i="69"/>
  <c r="B260" i="69"/>
  <c r="N259" i="69" l="1"/>
  <c r="Z259" i="69" s="1"/>
  <c r="M259" i="69"/>
  <c r="E260" i="69"/>
  <c r="J260" i="69" s="1"/>
  <c r="M275" i="71" l="1"/>
  <c r="L275" i="71" s="1"/>
  <c r="P259" i="69"/>
  <c r="D260" i="69"/>
  <c r="L258" i="69" l="1"/>
  <c r="H260" i="69"/>
  <c r="I260" i="69"/>
  <c r="K260" i="69"/>
  <c r="B261" i="69" l="1"/>
  <c r="C261" i="69"/>
  <c r="A260" i="69"/>
  <c r="M276" i="71" l="1"/>
  <c r="L276" i="71" s="1"/>
  <c r="N260" i="69"/>
  <c r="Z260" i="69" s="1"/>
  <c r="M260" i="69"/>
  <c r="E261" i="69"/>
  <c r="J261" i="69" s="1"/>
  <c r="P260" i="69" l="1"/>
  <c r="L259" i="69"/>
  <c r="D261" i="69"/>
  <c r="I261" i="69" l="1"/>
  <c r="H261" i="69"/>
  <c r="K261" i="69"/>
  <c r="M277" i="71" l="1"/>
  <c r="L277" i="71" s="1"/>
  <c r="C262" i="69"/>
  <c r="A261" i="69"/>
  <c r="B262" i="69"/>
  <c r="N261" i="69" l="1"/>
  <c r="Z261" i="69" s="1"/>
  <c r="M261" i="69"/>
  <c r="E262" i="69"/>
  <c r="J262" i="69" s="1"/>
  <c r="L260" i="69"/>
  <c r="P261" i="69" l="1"/>
  <c r="D262" i="69"/>
  <c r="H262" i="69" s="1"/>
  <c r="I262" i="69" l="1"/>
  <c r="K262" i="69"/>
  <c r="C263" i="69" s="1"/>
  <c r="L261" i="69"/>
  <c r="M278" i="71" l="1"/>
  <c r="L278" i="71" s="1"/>
  <c r="B263" i="69"/>
  <c r="E263" i="69" s="1"/>
  <c r="J263" i="69" s="1"/>
  <c r="A262" i="69"/>
  <c r="N262" i="69" l="1"/>
  <c r="Z262" i="69" s="1"/>
  <c r="M262" i="69"/>
  <c r="D263" i="69"/>
  <c r="I263" i="69" s="1"/>
  <c r="P262" i="69" l="1"/>
  <c r="K263" i="69"/>
  <c r="C264" i="69" s="1"/>
  <c r="H263" i="69"/>
  <c r="M279" i="71" l="1"/>
  <c r="L279" i="71" s="1"/>
  <c r="B264" i="69"/>
  <c r="E264" i="69" s="1"/>
  <c r="J264" i="69" s="1"/>
  <c r="A263" i="69"/>
  <c r="L262" i="69"/>
  <c r="N263" i="69" l="1"/>
  <c r="Z263" i="69" s="1"/>
  <c r="M263" i="69"/>
  <c r="D264" i="69"/>
  <c r="P263" i="69" l="1"/>
  <c r="H264" i="69"/>
  <c r="I264" i="69"/>
  <c r="K264" i="69"/>
  <c r="B265" i="69" l="1"/>
  <c r="C265" i="69"/>
  <c r="A264" i="69"/>
  <c r="M280" i="71" l="1"/>
  <c r="L280" i="71" s="1"/>
  <c r="N264" i="69"/>
  <c r="Z264" i="69" s="1"/>
  <c r="M264" i="69"/>
  <c r="L263" i="69"/>
  <c r="E265" i="69"/>
  <c r="J265" i="69" s="1"/>
  <c r="P264" i="69" l="1"/>
  <c r="D265" i="69"/>
  <c r="I265" i="69" l="1"/>
  <c r="H265" i="69"/>
  <c r="K265" i="69"/>
  <c r="M281" i="71" l="1"/>
  <c r="L281" i="71" s="1"/>
  <c r="C266" i="69"/>
  <c r="A265" i="69"/>
  <c r="B266" i="69"/>
  <c r="L264" i="69"/>
  <c r="N265" i="69" l="1"/>
  <c r="Z265" i="69" s="1"/>
  <c r="M265" i="69"/>
  <c r="E266" i="69"/>
  <c r="J266" i="69" s="1"/>
  <c r="P265" i="69" l="1"/>
  <c r="D266" i="69"/>
  <c r="L265" i="69"/>
  <c r="H266" i="69" l="1"/>
  <c r="I266" i="69"/>
  <c r="K266" i="69"/>
  <c r="M282" i="71" l="1"/>
  <c r="L282" i="71" s="1"/>
  <c r="B267" i="69"/>
  <c r="A266" i="69"/>
  <c r="C267" i="69"/>
  <c r="N266" i="69" l="1"/>
  <c r="Z266" i="69" s="1"/>
  <c r="M266" i="69"/>
  <c r="E267" i="69"/>
  <c r="J267" i="69" s="1"/>
  <c r="P266" i="69" l="1"/>
  <c r="L266" i="69"/>
  <c r="D267" i="69"/>
  <c r="I267" i="69" l="1"/>
  <c r="H267" i="69"/>
  <c r="K267" i="69"/>
  <c r="M283" i="71" l="1"/>
  <c r="L283" i="71" s="1"/>
  <c r="C268" i="69"/>
  <c r="A267" i="69"/>
  <c r="B268" i="69"/>
  <c r="N267" i="69" l="1"/>
  <c r="Z267" i="69" s="1"/>
  <c r="M267" i="69"/>
  <c r="E268" i="69"/>
  <c r="J268" i="69" s="1"/>
  <c r="P267" i="69" l="1"/>
  <c r="L267" i="69"/>
  <c r="D268" i="69"/>
  <c r="H268" i="69" l="1"/>
  <c r="I268" i="69"/>
  <c r="K268" i="69"/>
  <c r="M284" i="71" l="1"/>
  <c r="L284" i="71" s="1"/>
  <c r="B269" i="69"/>
  <c r="C269" i="69"/>
  <c r="A268" i="69"/>
  <c r="N268" i="69" l="1"/>
  <c r="Z268" i="69" s="1"/>
  <c r="M268" i="69"/>
  <c r="E269" i="69"/>
  <c r="J269" i="69" s="1"/>
  <c r="P268" i="69" l="1"/>
  <c r="L268" i="69"/>
  <c r="D269" i="69"/>
  <c r="M285" i="71" l="1"/>
  <c r="L285" i="71" s="1"/>
  <c r="I269" i="69"/>
  <c r="H269" i="69"/>
  <c r="K269" i="69"/>
  <c r="C270" i="69" l="1"/>
  <c r="A269" i="69"/>
  <c r="B270" i="69"/>
  <c r="N269" i="69" l="1"/>
  <c r="Z269" i="69" s="1"/>
  <c r="M269" i="69"/>
  <c r="E270" i="69"/>
  <c r="J270" i="69" s="1"/>
  <c r="P269" i="69" l="1"/>
  <c r="L269" i="69"/>
  <c r="D270" i="69"/>
  <c r="I270" i="69" s="1"/>
  <c r="M286" i="71" l="1"/>
  <c r="L286" i="71" s="1"/>
  <c r="H270" i="69"/>
  <c r="K270" i="69"/>
  <c r="B271" i="69" s="1"/>
  <c r="A270" i="69" l="1"/>
  <c r="C271" i="69"/>
  <c r="E271" i="69"/>
  <c r="J271" i="69" s="1"/>
  <c r="N270" i="69" l="1"/>
  <c r="Z270" i="69" s="1"/>
  <c r="M270" i="69"/>
  <c r="D271" i="69"/>
  <c r="P270" i="69" l="1"/>
  <c r="L270" i="69"/>
  <c r="I271" i="69"/>
  <c r="H271" i="69"/>
  <c r="K271" i="69"/>
  <c r="M287" i="71" l="1"/>
  <c r="L287" i="71" s="1"/>
  <c r="C272" i="69"/>
  <c r="A271" i="69"/>
  <c r="B272" i="69"/>
  <c r="N271" i="69" l="1"/>
  <c r="Z271" i="69" s="1"/>
  <c r="M271" i="69"/>
  <c r="E272" i="69"/>
  <c r="J272" i="69" s="1"/>
  <c r="P271" i="69" l="1"/>
  <c r="L271" i="69"/>
  <c r="D272" i="69"/>
  <c r="K272" i="69" s="1"/>
  <c r="C273" i="69" s="1"/>
  <c r="A272" i="69" l="1"/>
  <c r="I272" i="69"/>
  <c r="B273" i="69"/>
  <c r="E273" i="69" s="1"/>
  <c r="J273" i="69" s="1"/>
  <c r="H272" i="69"/>
  <c r="M288" i="71" l="1"/>
  <c r="L288" i="71" s="1"/>
  <c r="N272" i="69"/>
  <c r="Z272" i="69" s="1"/>
  <c r="M272" i="69"/>
  <c r="D273" i="69"/>
  <c r="P272" i="69" l="1"/>
  <c r="I273" i="69"/>
  <c r="H273" i="69"/>
  <c r="K273" i="69"/>
  <c r="L272" i="69"/>
  <c r="C274" i="69" l="1"/>
  <c r="A273" i="69"/>
  <c r="B274" i="69"/>
  <c r="M289" i="71" l="1"/>
  <c r="L289" i="71" s="1"/>
  <c r="N273" i="69"/>
  <c r="Z273" i="69" s="1"/>
  <c r="M273" i="69"/>
  <c r="E274" i="69"/>
  <c r="J274" i="69" s="1"/>
  <c r="P273" i="69" l="1"/>
  <c r="D274" i="69"/>
  <c r="H274" i="69" l="1"/>
  <c r="I274" i="69"/>
  <c r="K274" i="69"/>
  <c r="L273" i="69"/>
  <c r="B275" i="69" l="1"/>
  <c r="A274" i="69"/>
  <c r="C275" i="69"/>
  <c r="M290" i="71" l="1"/>
  <c r="L290" i="71" s="1"/>
  <c r="N274" i="69"/>
  <c r="Z274" i="69" s="1"/>
  <c r="M274" i="69"/>
  <c r="E275" i="69"/>
  <c r="J275" i="69" s="1"/>
  <c r="P274" i="69" l="1"/>
  <c r="D275" i="69"/>
  <c r="L274" i="69" l="1"/>
  <c r="I275" i="69"/>
  <c r="H275" i="69"/>
  <c r="K275" i="69"/>
  <c r="C276" i="69" l="1"/>
  <c r="A275" i="69"/>
  <c r="B276" i="69"/>
  <c r="M291" i="71" l="1"/>
  <c r="L291" i="71" s="1"/>
  <c r="N275" i="69"/>
  <c r="Z275" i="69" s="1"/>
  <c r="M275" i="69"/>
  <c r="E276" i="69"/>
  <c r="J276" i="69" s="1"/>
  <c r="P275" i="69" l="1"/>
  <c r="L275" i="69"/>
  <c r="D276" i="69"/>
  <c r="H276" i="69" l="1"/>
  <c r="I276" i="69"/>
  <c r="K276" i="69"/>
  <c r="B277" i="69" l="1"/>
  <c r="A276" i="69"/>
  <c r="C277" i="69"/>
  <c r="M292" i="71" l="1"/>
  <c r="L292" i="71" s="1"/>
  <c r="N276" i="69"/>
  <c r="Z276" i="69" s="1"/>
  <c r="M276" i="69"/>
  <c r="E277" i="69"/>
  <c r="J277" i="69" s="1"/>
  <c r="P276" i="69" l="1"/>
  <c r="L276" i="69"/>
  <c r="D277" i="69"/>
  <c r="I277" i="69" l="1"/>
  <c r="H277" i="69"/>
  <c r="K277" i="69"/>
  <c r="M293" i="71" l="1"/>
  <c r="L293" i="71" s="1"/>
  <c r="C278" i="69"/>
  <c r="A277" i="69"/>
  <c r="B278" i="69"/>
  <c r="N277" i="69" l="1"/>
  <c r="Z277" i="69" s="1"/>
  <c r="M277" i="69"/>
  <c r="E278" i="69"/>
  <c r="J278" i="69" s="1"/>
  <c r="P277" i="69" l="1"/>
  <c r="L277" i="69"/>
  <c r="D278" i="69"/>
  <c r="H278" i="69" l="1"/>
  <c r="I278" i="69"/>
  <c r="K278" i="69"/>
  <c r="M294" i="71" l="1"/>
  <c r="L294" i="71" s="1"/>
  <c r="B279" i="69"/>
  <c r="C279" i="69"/>
  <c r="A278" i="69"/>
  <c r="N278" i="69" l="1"/>
  <c r="Z278" i="69" s="1"/>
  <c r="M278" i="69"/>
  <c r="E279" i="69"/>
  <c r="J279" i="69" s="1"/>
  <c r="P278" i="69" l="1"/>
  <c r="L278" i="69"/>
  <c r="D279" i="69"/>
  <c r="M295" i="71" l="1"/>
  <c r="L295" i="71" s="1"/>
  <c r="I279" i="69"/>
  <c r="H279" i="69"/>
  <c r="K279" i="69"/>
  <c r="C280" i="69" l="1"/>
  <c r="A279" i="69"/>
  <c r="B280" i="69"/>
  <c r="N279" i="69" l="1"/>
  <c r="Z279" i="69" s="1"/>
  <c r="M279" i="69"/>
  <c r="E280" i="69"/>
  <c r="J280" i="69" s="1"/>
  <c r="P279" i="69" l="1"/>
  <c r="L279" i="69"/>
  <c r="D280" i="69"/>
  <c r="M296" i="71" l="1"/>
  <c r="L296" i="71" s="1"/>
  <c r="H280" i="69"/>
  <c r="I280" i="69"/>
  <c r="K280" i="69"/>
  <c r="B281" i="69" l="1"/>
  <c r="C281" i="69"/>
  <c r="A280" i="69"/>
  <c r="N280" i="69" l="1"/>
  <c r="Z280" i="69" s="1"/>
  <c r="M280" i="69"/>
  <c r="E281" i="69"/>
  <c r="J281" i="69" s="1"/>
  <c r="P280" i="69" l="1"/>
  <c r="L280" i="69"/>
  <c r="D281" i="69"/>
  <c r="I281" i="69" s="1"/>
  <c r="M297" i="71" l="1"/>
  <c r="L297" i="71" s="1"/>
  <c r="K281" i="69"/>
  <c r="C282" i="69" s="1"/>
  <c r="H281" i="69"/>
  <c r="B282" i="69" l="1"/>
  <c r="E282" i="69" s="1"/>
  <c r="J282" i="69" s="1"/>
  <c r="A281" i="69"/>
  <c r="M281" i="69" l="1"/>
  <c r="N281" i="69"/>
  <c r="Z281" i="69" s="1"/>
  <c r="D282" i="69"/>
  <c r="M298" i="71" l="1"/>
  <c r="L298" i="71" s="1"/>
  <c r="P281" i="69"/>
  <c r="L281" i="69"/>
  <c r="H282" i="69"/>
  <c r="I282" i="69"/>
  <c r="K282" i="69"/>
  <c r="B283" i="69" l="1"/>
  <c r="A282" i="69"/>
  <c r="C283" i="69"/>
  <c r="N282" i="69" l="1"/>
  <c r="Z282" i="69" s="1"/>
  <c r="M282" i="69"/>
  <c r="E283" i="69"/>
  <c r="J283" i="69" s="1"/>
  <c r="M299" i="71" l="1"/>
  <c r="L299" i="71" s="1"/>
  <c r="P282" i="69"/>
  <c r="D283" i="69"/>
  <c r="K283" i="69" s="1"/>
  <c r="C284" i="69" s="1"/>
  <c r="L282" i="69"/>
  <c r="B284" i="69" l="1"/>
  <c r="E284" i="69" s="1"/>
  <c r="J284" i="69" s="1"/>
  <c r="A283" i="69"/>
  <c r="H283" i="69"/>
  <c r="I283" i="69"/>
  <c r="N283" i="69" l="1"/>
  <c r="Z283" i="69" s="1"/>
  <c r="M283" i="69"/>
  <c r="D284" i="69"/>
  <c r="M300" i="71" l="1"/>
  <c r="L300" i="71" s="1"/>
  <c r="P283" i="69"/>
  <c r="L283" i="69"/>
  <c r="H284" i="69"/>
  <c r="I284" i="69"/>
  <c r="K284" i="69"/>
  <c r="B285" i="69" l="1"/>
  <c r="C285" i="69"/>
  <c r="A284" i="69"/>
  <c r="N284" i="69" l="1"/>
  <c r="Z284" i="69" s="1"/>
  <c r="M284" i="69"/>
  <c r="E285" i="69"/>
  <c r="J285" i="69" s="1"/>
  <c r="M301" i="71" l="1"/>
  <c r="L301" i="71" s="1"/>
  <c r="P284" i="69"/>
  <c r="D285" i="69"/>
  <c r="I285" i="69" l="1"/>
  <c r="H285" i="69"/>
  <c r="K285" i="69"/>
  <c r="L284" i="69"/>
  <c r="C286" i="69" l="1"/>
  <c r="A285" i="69"/>
  <c r="B286" i="69"/>
  <c r="M302" i="71" l="1"/>
  <c r="L302" i="71" s="1"/>
  <c r="N285" i="69"/>
  <c r="Z285" i="69" s="1"/>
  <c r="M285" i="69"/>
  <c r="E286" i="69"/>
  <c r="J286" i="69" s="1"/>
  <c r="P285" i="69" l="1"/>
  <c r="D286" i="69"/>
  <c r="L285" i="69" l="1"/>
  <c r="H286" i="69"/>
  <c r="I286" i="69"/>
  <c r="K286" i="69"/>
  <c r="M303" i="71" l="1"/>
  <c r="L303" i="71" s="1"/>
  <c r="B287" i="69"/>
  <c r="C287" i="69"/>
  <c r="A286" i="69"/>
  <c r="N286" i="69" l="1"/>
  <c r="Z286" i="69" s="1"/>
  <c r="M286" i="69"/>
  <c r="E287" i="69"/>
  <c r="J287" i="69" s="1"/>
  <c r="P286" i="69" l="1"/>
  <c r="D287" i="69"/>
  <c r="M304" i="71" l="1"/>
  <c r="L304" i="71" s="1"/>
  <c r="I287" i="69"/>
  <c r="H287" i="69"/>
  <c r="K287" i="69"/>
  <c r="L286" i="69"/>
  <c r="C288" i="69" l="1"/>
  <c r="A287" i="69"/>
  <c r="B288" i="69"/>
  <c r="N287" i="69" l="1"/>
  <c r="Z287" i="69" s="1"/>
  <c r="M287" i="69"/>
  <c r="E288" i="69"/>
  <c r="J288" i="69" s="1"/>
  <c r="M305" i="71" l="1"/>
  <c r="L305" i="71" s="1"/>
  <c r="P287" i="69"/>
  <c r="D288" i="69"/>
  <c r="H288" i="69" l="1"/>
  <c r="I288" i="69"/>
  <c r="K288" i="69"/>
  <c r="L287" i="69"/>
  <c r="B289" i="69" l="1"/>
  <c r="A288" i="69"/>
  <c r="C289" i="69"/>
  <c r="N288" i="69" l="1"/>
  <c r="Z288" i="69" s="1"/>
  <c r="M288" i="69"/>
  <c r="E289" i="69"/>
  <c r="J289" i="69" s="1"/>
  <c r="M306" i="71" l="1"/>
  <c r="L306" i="71" s="1"/>
  <c r="P288" i="69"/>
  <c r="D289" i="69"/>
  <c r="L288" i="69" l="1"/>
  <c r="I289" i="69"/>
  <c r="H289" i="69"/>
  <c r="K289" i="69"/>
  <c r="C290" i="69" l="1"/>
  <c r="A289" i="69"/>
  <c r="B290" i="69"/>
  <c r="M307" i="71" l="1"/>
  <c r="L307" i="71" s="1"/>
  <c r="N289" i="69"/>
  <c r="Z289" i="69" s="1"/>
  <c r="M289" i="69"/>
  <c r="E290" i="69"/>
  <c r="J290" i="69" s="1"/>
  <c r="P289" i="69" l="1"/>
  <c r="L289" i="69"/>
  <c r="D290" i="69"/>
  <c r="I290" i="69" s="1"/>
  <c r="H290" i="69" l="1"/>
  <c r="K290" i="69"/>
  <c r="C291" i="69" s="1"/>
  <c r="B291" i="69" l="1"/>
  <c r="E291" i="69" s="1"/>
  <c r="J291" i="69" s="1"/>
  <c r="A290" i="69"/>
  <c r="M308" i="71" l="1"/>
  <c r="L308" i="71" s="1"/>
  <c r="N290" i="69"/>
  <c r="Z290" i="69" s="1"/>
  <c r="M290" i="69"/>
  <c r="D291" i="69"/>
  <c r="K291" i="69" s="1"/>
  <c r="C292" i="69" s="1"/>
  <c r="P290" i="69" l="1"/>
  <c r="H291" i="69"/>
  <c r="L290" i="69"/>
  <c r="B292" i="69"/>
  <c r="E292" i="69" s="1"/>
  <c r="J292" i="69" s="1"/>
  <c r="I291" i="69"/>
  <c r="A291" i="69"/>
  <c r="N291" i="69" l="1"/>
  <c r="Z291" i="69" s="1"/>
  <c r="M291" i="69"/>
  <c r="D292" i="69"/>
  <c r="M309" i="71" l="1"/>
  <c r="L309" i="71" s="1"/>
  <c r="P291" i="69"/>
  <c r="L291" i="69"/>
  <c r="H292" i="69"/>
  <c r="I292" i="69"/>
  <c r="K292" i="69"/>
  <c r="B293" i="69" l="1"/>
  <c r="C293" i="69"/>
  <c r="A292" i="69"/>
  <c r="N292" i="69" l="1"/>
  <c r="Z292" i="69" s="1"/>
  <c r="M292" i="69"/>
  <c r="E293" i="69"/>
  <c r="J293" i="69" s="1"/>
  <c r="M310" i="71" l="1"/>
  <c r="L310" i="71" s="1"/>
  <c r="P292" i="69"/>
  <c r="D293" i="69"/>
  <c r="I293" i="69" s="1"/>
  <c r="K293" i="69" l="1"/>
  <c r="C294" i="69" s="1"/>
  <c r="H293" i="69"/>
  <c r="L292" i="69"/>
  <c r="A293" i="69" l="1"/>
  <c r="B294" i="69"/>
  <c r="E294" i="69" s="1"/>
  <c r="J294" i="69" s="1"/>
  <c r="N293" i="69" l="1"/>
  <c r="Z293" i="69" s="1"/>
  <c r="M293" i="69"/>
  <c r="D294" i="69"/>
  <c r="I294" i="69" s="1"/>
  <c r="M311" i="71" l="1"/>
  <c r="L311" i="71" s="1"/>
  <c r="P293" i="69"/>
  <c r="K294" i="69"/>
  <c r="A294" i="69" s="1"/>
  <c r="H294" i="69"/>
  <c r="B295" i="69" l="1"/>
  <c r="E295" i="69" s="1"/>
  <c r="J295" i="69" s="1"/>
  <c r="C295" i="69"/>
  <c r="N294" i="69"/>
  <c r="Z294" i="69" s="1"/>
  <c r="M294" i="69"/>
  <c r="L293" i="69"/>
  <c r="M312" i="71" l="1"/>
  <c r="L312" i="71" s="1"/>
  <c r="P294" i="69"/>
  <c r="D295" i="69"/>
  <c r="I295" i="69" s="1"/>
  <c r="H295" i="69" l="1"/>
  <c r="K295" i="69"/>
  <c r="A295" i="69" s="1"/>
  <c r="C296" i="69" l="1"/>
  <c r="B296" i="69"/>
  <c r="E296" i="69" s="1"/>
  <c r="J296" i="69" s="1"/>
  <c r="N295" i="69"/>
  <c r="Z295" i="69" s="1"/>
  <c r="M295" i="69"/>
  <c r="L294" i="69"/>
  <c r="M313" i="71" l="1"/>
  <c r="L313" i="71" s="1"/>
  <c r="P295" i="69"/>
  <c r="D296" i="69"/>
  <c r="H296" i="69" s="1"/>
  <c r="K296" i="69" l="1"/>
  <c r="C297" i="69" s="1"/>
  <c r="I296" i="69"/>
  <c r="A296" i="69" l="1"/>
  <c r="B297" i="69"/>
  <c r="E297" i="69" s="1"/>
  <c r="J297" i="69" s="1"/>
  <c r="N296" i="69" l="1"/>
  <c r="Z296" i="69" s="1"/>
  <c r="M296" i="69"/>
  <c r="D297" i="69"/>
  <c r="K297" i="69" s="1"/>
  <c r="C298" i="69" s="1"/>
  <c r="L295" i="69"/>
  <c r="M314" i="71" l="1"/>
  <c r="L314" i="71" s="1"/>
  <c r="P296" i="69"/>
  <c r="H297" i="69"/>
  <c r="I297" i="69"/>
  <c r="B298" i="69"/>
  <c r="E298" i="69" s="1"/>
  <c r="J298" i="69" s="1"/>
  <c r="A297" i="69"/>
  <c r="N297" i="69" l="1"/>
  <c r="Z297" i="69" s="1"/>
  <c r="M297" i="69"/>
  <c r="D298" i="69"/>
  <c r="P297" i="69" l="1"/>
  <c r="I298" i="69"/>
  <c r="H298" i="69"/>
  <c r="K298" i="69"/>
  <c r="M315" i="71" l="1"/>
  <c r="L315" i="71" s="1"/>
  <c r="L296" i="69"/>
  <c r="A298" i="69"/>
  <c r="C299" i="69"/>
  <c r="B299" i="69"/>
  <c r="N298" i="69" l="1"/>
  <c r="Z298" i="69" s="1"/>
  <c r="M298" i="69"/>
  <c r="E299" i="69"/>
  <c r="J299" i="69" s="1"/>
  <c r="P298" i="69" l="1"/>
  <c r="D299" i="69"/>
  <c r="K299" i="69" s="1"/>
  <c r="C300" i="69" s="1"/>
  <c r="H299" i="69" l="1"/>
  <c r="I299" i="69"/>
  <c r="B300" i="69"/>
  <c r="E300" i="69" s="1"/>
  <c r="J300" i="69" s="1"/>
  <c r="A299" i="69"/>
  <c r="L297" i="69"/>
  <c r="M316" i="71" l="1"/>
  <c r="L316" i="71" s="1"/>
  <c r="N299" i="69"/>
  <c r="Z299" i="69" s="1"/>
  <c r="M299" i="69"/>
  <c r="D300" i="69"/>
  <c r="I300" i="69" s="1"/>
  <c r="P299" i="69" l="1"/>
  <c r="K300" i="69"/>
  <c r="C301" i="69" s="1"/>
  <c r="H300" i="69"/>
  <c r="B301" i="69" l="1"/>
  <c r="E301" i="69" s="1"/>
  <c r="J301" i="69" s="1"/>
  <c r="A300" i="69"/>
  <c r="M317" i="71" l="1"/>
  <c r="L317" i="71" s="1"/>
  <c r="M300" i="69"/>
  <c r="N300" i="69"/>
  <c r="Z300" i="69" s="1"/>
  <c r="D301" i="69"/>
  <c r="K301" i="69" s="1"/>
  <c r="A301" i="69" s="1"/>
  <c r="L298" i="69"/>
  <c r="P300" i="69" l="1"/>
  <c r="N301" i="69"/>
  <c r="Z301" i="69" s="1"/>
  <c r="B302" i="69"/>
  <c r="E302" i="69" s="1"/>
  <c r="J302" i="69" s="1"/>
  <c r="C302" i="69"/>
  <c r="H301" i="69"/>
  <c r="I301" i="69"/>
  <c r="M301" i="69"/>
  <c r="P301" i="69" l="1"/>
  <c r="D302" i="69"/>
  <c r="I302" i="69" l="1"/>
  <c r="H302" i="69"/>
  <c r="K302" i="69"/>
  <c r="M318" i="71" l="1"/>
  <c r="L318" i="71" s="1"/>
  <c r="L299" i="69"/>
  <c r="B303" i="69"/>
  <c r="A302" i="69"/>
  <c r="C303" i="69"/>
  <c r="N302" i="69" l="1"/>
  <c r="Z302" i="69" s="1"/>
  <c r="M302" i="69"/>
  <c r="E303" i="69"/>
  <c r="J303" i="69" s="1"/>
  <c r="P302" i="69" l="1"/>
  <c r="D303" i="69"/>
  <c r="I303" i="69" s="1"/>
  <c r="K303" i="69" l="1"/>
  <c r="C304" i="69" s="1"/>
  <c r="H303" i="69"/>
  <c r="M319" i="71" l="1"/>
  <c r="L319" i="71" s="1"/>
  <c r="B304" i="69"/>
  <c r="E304" i="69" s="1"/>
  <c r="J304" i="69" s="1"/>
  <c r="A303" i="69"/>
  <c r="L300" i="69"/>
  <c r="M303" i="69" l="1"/>
  <c r="N303" i="69"/>
  <c r="Z303" i="69" s="1"/>
  <c r="D304" i="69"/>
  <c r="P303" i="69" l="1"/>
  <c r="L301" i="69"/>
  <c r="I304" i="69"/>
  <c r="H304" i="69"/>
  <c r="K304" i="69"/>
  <c r="M320" i="71" l="1"/>
  <c r="L320" i="71" s="1"/>
  <c r="C305" i="69"/>
  <c r="B305" i="69"/>
  <c r="A304" i="69"/>
  <c r="N304" i="69" l="1"/>
  <c r="Z304" i="69" s="1"/>
  <c r="M304" i="69"/>
  <c r="E305" i="69"/>
  <c r="J305" i="69" s="1"/>
  <c r="P304" i="69" l="1"/>
  <c r="D305" i="69"/>
  <c r="H305" i="69" s="1"/>
  <c r="M321" i="71" l="1"/>
  <c r="L321" i="71" s="1"/>
  <c r="K305" i="69"/>
  <c r="B306" i="69" s="1"/>
  <c r="I305" i="69"/>
  <c r="L302" i="69"/>
  <c r="C306" i="69" l="1"/>
  <c r="A305" i="69"/>
  <c r="E306" i="69"/>
  <c r="J306" i="69" s="1"/>
  <c r="N305" i="69" l="1"/>
  <c r="Z305" i="69" s="1"/>
  <c r="M305" i="69"/>
  <c r="D306" i="69"/>
  <c r="M322" i="71" l="1"/>
  <c r="L322" i="71" s="1"/>
  <c r="P305" i="69"/>
  <c r="L303" i="69"/>
  <c r="I306" i="69"/>
  <c r="H306" i="69"/>
  <c r="K306" i="69"/>
  <c r="C307" i="69" l="1"/>
  <c r="A306" i="69"/>
  <c r="B307" i="69"/>
  <c r="N306" i="69" l="1"/>
  <c r="Z306" i="69" s="1"/>
  <c r="M306" i="69"/>
  <c r="E307" i="69"/>
  <c r="J307" i="69" s="1"/>
  <c r="M323" i="71" l="1"/>
  <c r="L323" i="71" s="1"/>
  <c r="P306" i="69"/>
  <c r="D307" i="69"/>
  <c r="H307" i="69" s="1"/>
  <c r="K307" i="69" l="1"/>
  <c r="C308" i="69" s="1"/>
  <c r="I307" i="69"/>
  <c r="L304" i="69"/>
  <c r="B308" i="69" l="1"/>
  <c r="E308" i="69" s="1"/>
  <c r="J308" i="69" s="1"/>
  <c r="A307" i="69"/>
  <c r="N307" i="69" l="1"/>
  <c r="Z307" i="69" s="1"/>
  <c r="M307" i="69"/>
  <c r="L305" i="69"/>
  <c r="D308" i="69"/>
  <c r="M324" i="71" l="1"/>
  <c r="L324" i="71" s="1"/>
  <c r="P307" i="69"/>
  <c r="I308" i="69"/>
  <c r="H308" i="69"/>
  <c r="K308" i="69"/>
  <c r="C309" i="69" l="1"/>
  <c r="A308" i="69"/>
  <c r="B309" i="69"/>
  <c r="N308" i="69" l="1"/>
  <c r="Z308" i="69" s="1"/>
  <c r="M308" i="69"/>
  <c r="E309" i="69"/>
  <c r="J309" i="69" s="1"/>
  <c r="M325" i="71" l="1"/>
  <c r="L325" i="71" s="1"/>
  <c r="P308" i="69"/>
  <c r="D309" i="69"/>
  <c r="H309" i="69" s="1"/>
  <c r="L306" i="69"/>
  <c r="K309" i="69" l="1"/>
  <c r="B310" i="69" s="1"/>
  <c r="I309" i="69"/>
  <c r="A309" i="69" l="1"/>
  <c r="C310" i="69"/>
  <c r="E310" i="69"/>
  <c r="J310" i="69" s="1"/>
  <c r="N309" i="69" l="1"/>
  <c r="Z309" i="69" s="1"/>
  <c r="M309" i="69"/>
  <c r="D310" i="69"/>
  <c r="I310" i="69" s="1"/>
  <c r="M326" i="71" l="1"/>
  <c r="L326" i="71" s="1"/>
  <c r="P309" i="69"/>
  <c r="K310" i="69"/>
  <c r="C311" i="69" s="1"/>
  <c r="H310" i="69"/>
  <c r="L307" i="69"/>
  <c r="A310" i="69" l="1"/>
  <c r="B311" i="69"/>
  <c r="E311" i="69" s="1"/>
  <c r="J311" i="69" s="1"/>
  <c r="M310" i="69" l="1"/>
  <c r="N310" i="69"/>
  <c r="Z310" i="69" s="1"/>
  <c r="D311" i="69"/>
  <c r="M327" i="71" l="1"/>
  <c r="L327" i="71" s="1"/>
  <c r="P310" i="69"/>
  <c r="H311" i="69"/>
  <c r="I311" i="69"/>
  <c r="K311" i="69"/>
  <c r="B312" i="69" l="1"/>
  <c r="C312" i="69"/>
  <c r="A311" i="69"/>
  <c r="L308" i="69"/>
  <c r="N311" i="69" l="1"/>
  <c r="Z311" i="69" s="1"/>
  <c r="M311" i="69"/>
  <c r="E312" i="69"/>
  <c r="J312" i="69" s="1"/>
  <c r="P311" i="69" l="1"/>
  <c r="D312" i="69"/>
  <c r="M328" i="71" l="1"/>
  <c r="L328" i="71" s="1"/>
  <c r="I312" i="69"/>
  <c r="H312" i="69"/>
  <c r="K312" i="69"/>
  <c r="C313" i="69" l="1"/>
  <c r="A312" i="69"/>
  <c r="B313" i="69"/>
  <c r="L309" i="69"/>
  <c r="N312" i="69" l="1"/>
  <c r="Z312" i="69" s="1"/>
  <c r="M312" i="69"/>
  <c r="E313" i="69"/>
  <c r="J313" i="69" s="1"/>
  <c r="M329" i="71" l="1"/>
  <c r="L329" i="71" s="1"/>
  <c r="P312" i="69"/>
  <c r="D313" i="69"/>
  <c r="H313" i="69" l="1"/>
  <c r="I313" i="69"/>
  <c r="K313" i="69"/>
  <c r="L310" i="69" l="1"/>
  <c r="B314" i="69"/>
  <c r="C314" i="69"/>
  <c r="A313" i="69"/>
  <c r="M330" i="71" l="1"/>
  <c r="L330" i="71" s="1"/>
  <c r="N313" i="69"/>
  <c r="Z313" i="69" s="1"/>
  <c r="M313" i="69"/>
  <c r="E314" i="69"/>
  <c r="J314" i="69" s="1"/>
  <c r="P313" i="69" l="1"/>
  <c r="D314" i="69"/>
  <c r="I314" i="69" l="1"/>
  <c r="H314" i="69"/>
  <c r="K314" i="69"/>
  <c r="C315" i="69" l="1"/>
  <c r="A314" i="69"/>
  <c r="B315" i="69"/>
  <c r="L311" i="69"/>
  <c r="M331" i="71" l="1"/>
  <c r="L331" i="71" s="1"/>
  <c r="N314" i="69"/>
  <c r="Z314" i="69" s="1"/>
  <c r="M314" i="69"/>
  <c r="E315" i="69"/>
  <c r="J315" i="69" s="1"/>
  <c r="P314" i="69" l="1"/>
  <c r="D315" i="69"/>
  <c r="H315" i="69" l="1"/>
  <c r="I315" i="69"/>
  <c r="K315" i="69"/>
  <c r="L312" i="69" l="1"/>
  <c r="B316" i="69"/>
  <c r="C316" i="69"/>
  <c r="A315" i="69"/>
  <c r="M332" i="71" l="1"/>
  <c r="L332" i="71" s="1"/>
  <c r="N315" i="69"/>
  <c r="Z315" i="69" s="1"/>
  <c r="M315" i="69"/>
  <c r="E316" i="69"/>
  <c r="J316" i="69" s="1"/>
  <c r="P315" i="69" l="1"/>
  <c r="D316" i="69"/>
  <c r="I316" i="69" l="1"/>
  <c r="H316" i="69"/>
  <c r="K316" i="69"/>
  <c r="L313" i="69"/>
  <c r="M333" i="71" l="1"/>
  <c r="L333" i="71" s="1"/>
  <c r="C317" i="69"/>
  <c r="A316" i="69"/>
  <c r="B317" i="69"/>
  <c r="N316" i="69" l="1"/>
  <c r="Z316" i="69" s="1"/>
  <c r="M316" i="69"/>
  <c r="E317" i="69"/>
  <c r="J317" i="69" s="1"/>
  <c r="P316" i="69" l="1"/>
  <c r="D317" i="69"/>
  <c r="H317" i="69" l="1"/>
  <c r="I317" i="69"/>
  <c r="K317" i="69"/>
  <c r="L314" i="69"/>
  <c r="M334" i="71" l="1"/>
  <c r="L334" i="71" s="1"/>
  <c r="B318" i="69"/>
  <c r="C318" i="69"/>
  <c r="A317" i="69"/>
  <c r="N317" i="69" l="1"/>
  <c r="Z317" i="69" s="1"/>
  <c r="M317" i="69"/>
  <c r="E318" i="69"/>
  <c r="J318" i="69" s="1"/>
  <c r="P317" i="69" l="1"/>
  <c r="D318" i="69"/>
  <c r="K318" i="69" s="1"/>
  <c r="C319" i="69" s="1"/>
  <c r="M335" i="71" l="1"/>
  <c r="L335" i="71" s="1"/>
  <c r="I318" i="69"/>
  <c r="H318" i="69"/>
  <c r="B319" i="69"/>
  <c r="E319" i="69" s="1"/>
  <c r="J319" i="69" s="1"/>
  <c r="A318" i="69"/>
  <c r="L315" i="69"/>
  <c r="N318" i="69" l="1"/>
  <c r="Z318" i="69" s="1"/>
  <c r="M318" i="69"/>
  <c r="D319" i="69"/>
  <c r="K319" i="69" s="1"/>
  <c r="B320" i="69" s="1"/>
  <c r="M336" i="71" l="1"/>
  <c r="L336" i="71" s="1"/>
  <c r="P318" i="69"/>
  <c r="H319" i="69"/>
  <c r="A319" i="69"/>
  <c r="C320" i="69"/>
  <c r="I319" i="69"/>
  <c r="E320" i="69"/>
  <c r="J320" i="69" s="1"/>
  <c r="N319" i="69" l="1"/>
  <c r="Z319" i="69" s="1"/>
  <c r="M319" i="69"/>
  <c r="D320" i="69"/>
  <c r="P319" i="69" l="1"/>
  <c r="L316" i="69"/>
  <c r="I320" i="69"/>
  <c r="H320" i="69"/>
  <c r="K320" i="69"/>
  <c r="C321" i="69" l="1"/>
  <c r="A320" i="69"/>
  <c r="B321" i="69"/>
  <c r="M337" i="71" l="1"/>
  <c r="L337" i="71" s="1"/>
  <c r="N320" i="69"/>
  <c r="Z320" i="69" s="1"/>
  <c r="M320" i="69"/>
  <c r="E321" i="69"/>
  <c r="J321" i="69" s="1"/>
  <c r="P320" i="69" l="1"/>
  <c r="L317" i="69"/>
  <c r="D321" i="69"/>
  <c r="H321" i="69" l="1"/>
  <c r="I321" i="69"/>
  <c r="K321" i="69"/>
  <c r="B322" i="69" l="1"/>
  <c r="A321" i="69"/>
  <c r="C322" i="69"/>
  <c r="M338" i="71" l="1"/>
  <c r="L338" i="71" s="1"/>
  <c r="N321" i="69"/>
  <c r="Z321" i="69" s="1"/>
  <c r="M321" i="69"/>
  <c r="E322" i="69"/>
  <c r="J322" i="69" s="1"/>
  <c r="L318" i="69"/>
  <c r="P321" i="69" l="1"/>
  <c r="D322" i="69"/>
  <c r="I322" i="69" s="1"/>
  <c r="H322" i="69" l="1"/>
  <c r="K322" i="69"/>
  <c r="C323" i="69" s="1"/>
  <c r="M339" i="71" l="1"/>
  <c r="L339" i="71" s="1"/>
  <c r="A322" i="69"/>
  <c r="B323" i="69"/>
  <c r="E323" i="69" s="1"/>
  <c r="J323" i="69" s="1"/>
  <c r="M322" i="69" l="1"/>
  <c r="N322" i="69"/>
  <c r="Z322" i="69" s="1"/>
  <c r="L319" i="69"/>
  <c r="D323" i="69"/>
  <c r="P322" i="69" l="1"/>
  <c r="H323" i="69"/>
  <c r="I323" i="69"/>
  <c r="K323" i="69"/>
  <c r="B324" i="69" l="1"/>
  <c r="C324" i="69"/>
  <c r="A323" i="69"/>
  <c r="L320" i="69"/>
  <c r="M340" i="71" l="1"/>
  <c r="L340" i="71" s="1"/>
  <c r="N323" i="69"/>
  <c r="Z323" i="69" s="1"/>
  <c r="M323" i="69"/>
  <c r="E324" i="69"/>
  <c r="J324" i="69" s="1"/>
  <c r="P323" i="69" l="1"/>
  <c r="D324" i="69"/>
  <c r="M341" i="71" l="1"/>
  <c r="L341" i="71" s="1"/>
  <c r="I324" i="69"/>
  <c r="H324" i="69"/>
  <c r="K324" i="69"/>
  <c r="C325" i="69" l="1"/>
  <c r="A324" i="69"/>
  <c r="B325" i="69"/>
  <c r="L321" i="69"/>
  <c r="M342" i="71" l="1"/>
  <c r="L342" i="71" s="1"/>
  <c r="N324" i="69"/>
  <c r="Z324" i="69" s="1"/>
  <c r="M324" i="69"/>
  <c r="E325" i="69"/>
  <c r="J325" i="69" s="1"/>
  <c r="P324" i="69" l="1"/>
  <c r="D325" i="69"/>
  <c r="H325" i="69" s="1"/>
  <c r="K325" i="69" l="1"/>
  <c r="B326" i="69" s="1"/>
  <c r="I325" i="69"/>
  <c r="L322" i="69"/>
  <c r="C326" i="69" l="1"/>
  <c r="A325" i="69"/>
  <c r="E326" i="69"/>
  <c r="J326" i="69" s="1"/>
  <c r="M343" i="71" l="1"/>
  <c r="L343" i="71" s="1"/>
  <c r="N325" i="69"/>
  <c r="Z325" i="69" s="1"/>
  <c r="M325" i="69"/>
  <c r="L323" i="69"/>
  <c r="D326" i="69"/>
  <c r="P325" i="69" l="1"/>
  <c r="I326" i="69"/>
  <c r="H326" i="69"/>
  <c r="K326" i="69"/>
  <c r="C327" i="69" l="1"/>
  <c r="A326" i="69"/>
  <c r="B327" i="69"/>
  <c r="L324" i="69"/>
  <c r="M344" i="71" l="1"/>
  <c r="L344" i="71" s="1"/>
  <c r="N326" i="69"/>
  <c r="Z326" i="69" s="1"/>
  <c r="M326" i="69"/>
  <c r="E327" i="69"/>
  <c r="J327" i="69" s="1"/>
  <c r="P326" i="69" l="1"/>
  <c r="D327" i="69"/>
  <c r="H327" i="69" s="1"/>
  <c r="I327" i="69" l="1"/>
  <c r="K327" i="69"/>
  <c r="C328" i="69" s="1"/>
  <c r="M345" i="71" l="1"/>
  <c r="L345" i="71" s="1"/>
  <c r="A327" i="69"/>
  <c r="B328" i="69"/>
  <c r="E328" i="69" s="1"/>
  <c r="J328" i="69" s="1"/>
  <c r="L325" i="69"/>
  <c r="N327" i="69" l="1"/>
  <c r="Z327" i="69" s="1"/>
  <c r="M327" i="69"/>
  <c r="D328" i="69"/>
  <c r="P327" i="69" l="1"/>
  <c r="I328" i="69"/>
  <c r="H328" i="69"/>
  <c r="K328" i="69"/>
  <c r="M346" i="71" l="1"/>
  <c r="L346" i="71" s="1"/>
  <c r="L326" i="69"/>
  <c r="C329" i="69"/>
  <c r="A328" i="69"/>
  <c r="B329" i="69"/>
  <c r="N328" i="69" l="1"/>
  <c r="Z328" i="69" s="1"/>
  <c r="M328" i="69"/>
  <c r="E329" i="69"/>
  <c r="J329" i="69" s="1"/>
  <c r="P328" i="69" l="1"/>
  <c r="D329" i="69"/>
  <c r="M347" i="71" l="1"/>
  <c r="L347" i="71" s="1"/>
  <c r="L327" i="69"/>
  <c r="H329" i="69"/>
  <c r="I329" i="69"/>
  <c r="K329" i="69"/>
  <c r="B330" i="69" l="1"/>
  <c r="A329" i="69"/>
  <c r="C330" i="69"/>
  <c r="N329" i="69" l="1"/>
  <c r="Z329" i="69" s="1"/>
  <c r="M329" i="69"/>
  <c r="E330" i="69"/>
  <c r="J330" i="69" s="1"/>
  <c r="P329" i="69" l="1"/>
  <c r="D330" i="69"/>
  <c r="I330" i="69" s="1"/>
  <c r="L328" i="69"/>
  <c r="M348" i="71" l="1"/>
  <c r="L348" i="71" s="1"/>
  <c r="K330" i="69"/>
  <c r="C331" i="69" s="1"/>
  <c r="H330" i="69"/>
  <c r="B331" i="69" l="1"/>
  <c r="E331" i="69" s="1"/>
  <c r="J331" i="69" s="1"/>
  <c r="A330" i="69"/>
  <c r="N330" i="69" l="1"/>
  <c r="Z330" i="69" s="1"/>
  <c r="M330" i="69"/>
  <c r="D331" i="69"/>
  <c r="M349" i="71" l="1"/>
  <c r="L349" i="71" s="1"/>
  <c r="P330" i="69"/>
  <c r="H331" i="69"/>
  <c r="I331" i="69"/>
  <c r="K331" i="69"/>
  <c r="L329" i="69"/>
  <c r="B332" i="69" l="1"/>
  <c r="C332" i="69"/>
  <c r="A331" i="69"/>
  <c r="N331" i="69" l="1"/>
  <c r="Z331" i="69" s="1"/>
  <c r="M331" i="69"/>
  <c r="E332" i="69"/>
  <c r="J332" i="69" s="1"/>
  <c r="M350" i="71" l="1"/>
  <c r="L350" i="71" s="1"/>
  <c r="P331" i="69"/>
  <c r="D332" i="69"/>
  <c r="L330" i="69" l="1"/>
  <c r="I332" i="69"/>
  <c r="H332" i="69"/>
  <c r="K332" i="69"/>
  <c r="C333" i="69" l="1"/>
  <c r="A332" i="69"/>
  <c r="B333" i="69"/>
  <c r="N332" i="69" l="1"/>
  <c r="Z332" i="69" s="1"/>
  <c r="M332" i="69"/>
  <c r="E333" i="69"/>
  <c r="J333" i="69" s="1"/>
  <c r="M351" i="71" l="1"/>
  <c r="L351" i="71" s="1"/>
  <c r="P332" i="69"/>
  <c r="D333" i="69"/>
  <c r="L331" i="69"/>
  <c r="H333" i="69" l="1"/>
  <c r="I333" i="69"/>
  <c r="K333" i="69"/>
  <c r="B334" i="69" l="1"/>
  <c r="C334" i="69"/>
  <c r="A333" i="69"/>
  <c r="M352" i="71" l="1"/>
  <c r="L352" i="71" s="1"/>
  <c r="N333" i="69"/>
  <c r="Z333" i="69" s="1"/>
  <c r="M333" i="69"/>
  <c r="E334" i="69"/>
  <c r="J334" i="69" s="1"/>
  <c r="P333" i="69" l="1"/>
  <c r="L332" i="69"/>
  <c r="D334" i="69"/>
  <c r="I334" i="69" l="1"/>
  <c r="H334" i="69"/>
  <c r="K334" i="69"/>
  <c r="M353" i="71" l="1"/>
  <c r="L353" i="71" s="1"/>
  <c r="C335" i="69"/>
  <c r="A334" i="69"/>
  <c r="B335" i="69"/>
  <c r="N334" i="69" l="1"/>
  <c r="Z334" i="69" s="1"/>
  <c r="M334" i="69"/>
  <c r="E335" i="69"/>
  <c r="J335" i="69" s="1"/>
  <c r="P334" i="69" l="1"/>
  <c r="D335" i="69"/>
  <c r="K335" i="69" s="1"/>
  <c r="B336" i="69" s="1"/>
  <c r="L333" i="69"/>
  <c r="I335" i="69" l="1"/>
  <c r="C336" i="69"/>
  <c r="H335" i="69"/>
  <c r="A335" i="69"/>
  <c r="E336" i="69"/>
  <c r="J336" i="69" s="1"/>
  <c r="M354" i="71" l="1"/>
  <c r="L354" i="71" s="1"/>
  <c r="N335" i="69"/>
  <c r="Z335" i="69" s="1"/>
  <c r="M335" i="69"/>
  <c r="D336" i="69"/>
  <c r="P335" i="69" l="1"/>
  <c r="I336" i="69"/>
  <c r="H336" i="69"/>
  <c r="K336" i="69"/>
  <c r="L334" i="69" l="1"/>
  <c r="C337" i="69"/>
  <c r="A336" i="69"/>
  <c r="B337" i="69"/>
  <c r="M355" i="71" l="1"/>
  <c r="L355" i="71" s="1"/>
  <c r="N336" i="69"/>
  <c r="Z336" i="69" s="1"/>
  <c r="M336" i="69"/>
  <c r="E337" i="69"/>
  <c r="J337" i="69" s="1"/>
  <c r="P336" i="69" l="1"/>
  <c r="D337" i="69"/>
  <c r="H337" i="69" l="1"/>
  <c r="I337" i="69"/>
  <c r="K337" i="69"/>
  <c r="L335" i="69" l="1"/>
  <c r="B338" i="69"/>
  <c r="C338" i="69"/>
  <c r="A337" i="69"/>
  <c r="M356" i="71" l="1"/>
  <c r="L356" i="71" s="1"/>
  <c r="N337" i="69"/>
  <c r="Z337" i="69" s="1"/>
  <c r="M337" i="69"/>
  <c r="E338" i="69"/>
  <c r="J338" i="69" s="1"/>
  <c r="P337" i="69" l="1"/>
  <c r="D338" i="69"/>
  <c r="I338" i="69" l="1"/>
  <c r="H338" i="69"/>
  <c r="K338" i="69"/>
  <c r="M357" i="71" l="1"/>
  <c r="L357" i="71" s="1"/>
  <c r="L336" i="69"/>
  <c r="C339" i="69"/>
  <c r="A338" i="69"/>
  <c r="B339" i="69"/>
  <c r="N338" i="69" l="1"/>
  <c r="Z338" i="69" s="1"/>
  <c r="M338" i="69"/>
  <c r="E339" i="69"/>
  <c r="J339" i="69" s="1"/>
  <c r="M358" i="71" l="1"/>
  <c r="L358" i="71" s="1"/>
  <c r="P338" i="69"/>
  <c r="D339" i="69"/>
  <c r="H339" i="69" l="1"/>
  <c r="I339" i="69"/>
  <c r="K339" i="69"/>
  <c r="L337" i="69" l="1"/>
  <c r="B340" i="69"/>
  <c r="C340" i="69"/>
  <c r="A339" i="69"/>
  <c r="M359" i="71" l="1"/>
  <c r="L359" i="71" s="1"/>
  <c r="N339" i="69"/>
  <c r="Z339" i="69" s="1"/>
  <c r="M339" i="69"/>
  <c r="E340" i="69"/>
  <c r="J340" i="69" s="1"/>
  <c r="P339" i="69" l="1"/>
  <c r="D340" i="69"/>
  <c r="I340" i="69" l="1"/>
  <c r="H340" i="69"/>
  <c r="K340" i="69"/>
  <c r="M360" i="71" l="1"/>
  <c r="L360" i="71" s="1"/>
  <c r="C341" i="69"/>
  <c r="A340" i="69"/>
  <c r="B341" i="69"/>
  <c r="L338" i="69"/>
  <c r="N340" i="69" l="1"/>
  <c r="Z340" i="69" s="1"/>
  <c r="M340" i="69"/>
  <c r="E341" i="69"/>
  <c r="J341" i="69" s="1"/>
  <c r="M361" i="71" l="1"/>
  <c r="L361" i="71" s="1"/>
  <c r="P340" i="69"/>
  <c r="D341" i="69"/>
  <c r="K341" i="69" s="1"/>
  <c r="C342" i="69" s="1"/>
  <c r="I341" i="69" l="1"/>
  <c r="H341" i="69"/>
  <c r="A341" i="69"/>
  <c r="B342" i="69"/>
  <c r="E342" i="69" s="1"/>
  <c r="J342" i="69" s="1"/>
  <c r="N341" i="69" l="1"/>
  <c r="Z341" i="69" s="1"/>
  <c r="M341" i="69"/>
  <c r="D342" i="69"/>
  <c r="I342" i="69" s="1"/>
  <c r="L339" i="69"/>
  <c r="M362" i="71" l="1"/>
  <c r="L362" i="71" s="1"/>
  <c r="P341" i="69"/>
  <c r="H342" i="69"/>
  <c r="K342" i="69"/>
  <c r="C343" i="69" s="1"/>
  <c r="B343" i="69" l="1"/>
  <c r="E343" i="69" s="1"/>
  <c r="J343" i="69" s="1"/>
  <c r="A342" i="69"/>
  <c r="N342" i="69" l="1"/>
  <c r="Z342" i="69" s="1"/>
  <c r="M342" i="69"/>
  <c r="D343" i="69"/>
  <c r="M363" i="71" l="1"/>
  <c r="L363" i="71" s="1"/>
  <c r="P342" i="69"/>
  <c r="H343" i="69"/>
  <c r="I343" i="69"/>
  <c r="K343" i="69"/>
  <c r="L340" i="69"/>
  <c r="B344" i="69" l="1"/>
  <c r="C344" i="69"/>
  <c r="A343" i="69"/>
  <c r="N343" i="69" l="1"/>
  <c r="Z343" i="69" s="1"/>
  <c r="M343" i="69"/>
  <c r="E344" i="69"/>
  <c r="J344" i="69" s="1"/>
  <c r="M364" i="71" l="1"/>
  <c r="L364" i="71" s="1"/>
  <c r="P343" i="69"/>
  <c r="D344" i="69"/>
  <c r="I344" i="69" s="1"/>
  <c r="K344" i="69" l="1"/>
  <c r="C345" i="69" s="1"/>
  <c r="H344" i="69"/>
  <c r="L341" i="69"/>
  <c r="B345" i="69" l="1"/>
  <c r="E345" i="69" s="1"/>
  <c r="J345" i="69" s="1"/>
  <c r="A344" i="69"/>
  <c r="M365" i="71" l="1"/>
  <c r="L365" i="71" s="1"/>
  <c r="N344" i="69"/>
  <c r="Z344" i="69" s="1"/>
  <c r="M344" i="69"/>
  <c r="D345" i="69"/>
  <c r="K345" i="69" s="1"/>
  <c r="B346" i="69" s="1"/>
  <c r="P344" i="69" l="1"/>
  <c r="H345" i="69"/>
  <c r="A345" i="69"/>
  <c r="C346" i="69"/>
  <c r="I345" i="69"/>
  <c r="E346" i="69"/>
  <c r="J346" i="69" s="1"/>
  <c r="N345" i="69" l="1"/>
  <c r="Z345" i="69" s="1"/>
  <c r="M345" i="69"/>
  <c r="D346" i="69"/>
  <c r="I346" i="69" s="1"/>
  <c r="L342" i="69"/>
  <c r="P345" i="69" l="1"/>
  <c r="K346" i="69"/>
  <c r="C347" i="69" s="1"/>
  <c r="H346" i="69"/>
  <c r="M366" i="71" l="1"/>
  <c r="L366" i="71" s="1"/>
  <c r="B347" i="69"/>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M367" i="71" l="1"/>
  <c r="L367" i="71" s="1"/>
  <c r="K348" i="69"/>
  <c r="A348" i="69" s="1"/>
  <c r="H348" i="69"/>
  <c r="L344" i="69"/>
  <c r="C349" i="69" l="1"/>
  <c r="B349" i="69"/>
  <c r="E349" i="69" s="1"/>
  <c r="J349" i="69" s="1"/>
  <c r="N348" i="69"/>
  <c r="Z348" i="69" s="1"/>
  <c r="M348" i="69"/>
  <c r="P348" i="69" l="1"/>
  <c r="D349" i="69"/>
  <c r="M368" i="71" l="1"/>
  <c r="L368" i="71" s="1"/>
  <c r="H349" i="69"/>
  <c r="I349" i="69"/>
  <c r="K349" i="69"/>
  <c r="L345" i="69"/>
  <c r="B350" i="69" l="1"/>
  <c r="C350" i="69"/>
  <c r="A349" i="69"/>
  <c r="M369" i="71" l="1"/>
  <c r="L369" i="71" s="1"/>
  <c r="N349" i="69"/>
  <c r="Z349" i="69" s="1"/>
  <c r="M349" i="69"/>
  <c r="E350" i="69"/>
  <c r="J350" i="69" s="1"/>
  <c r="P349" i="69" l="1"/>
  <c r="D350" i="69"/>
  <c r="L346" i="69" l="1"/>
  <c r="I350" i="69"/>
  <c r="H350" i="69"/>
  <c r="K350" i="69"/>
  <c r="M370" i="71" l="1"/>
  <c r="L370" i="71" s="1"/>
  <c r="C351" i="69"/>
  <c r="A350" i="69"/>
  <c r="B351" i="69"/>
  <c r="N350" i="69" l="1"/>
  <c r="Z350" i="69" s="1"/>
  <c r="M350" i="69"/>
  <c r="E351" i="69"/>
  <c r="J351" i="69" s="1"/>
  <c r="M371" i="71" l="1"/>
  <c r="L371" i="71" s="1"/>
  <c r="P350" i="69"/>
  <c r="D351" i="69"/>
  <c r="L347" i="69" l="1"/>
  <c r="H351" i="69"/>
  <c r="I351" i="69"/>
  <c r="K351" i="69"/>
  <c r="B352" i="69" l="1"/>
  <c r="C352" i="69"/>
  <c r="A351" i="69"/>
  <c r="N351" i="69" l="1"/>
  <c r="Z351" i="69" s="1"/>
  <c r="M351" i="69"/>
  <c r="E352" i="69"/>
  <c r="J352" i="69" s="1"/>
  <c r="M372" i="71" l="1"/>
  <c r="L372" i="71" s="1"/>
  <c r="P351" i="69"/>
  <c r="D352" i="69"/>
  <c r="L348" i="69" l="1"/>
  <c r="I352" i="69"/>
  <c r="H352" i="69"/>
  <c r="K352" i="69"/>
  <c r="C353" i="69" l="1"/>
  <c r="A352" i="69"/>
  <c r="B353" i="69"/>
  <c r="M373" i="71" l="1"/>
  <c r="L373" i="71" s="1"/>
  <c r="N352" i="69"/>
  <c r="Z352" i="69" s="1"/>
  <c r="M352" i="69"/>
  <c r="E353" i="69"/>
  <c r="J353" i="69" s="1"/>
  <c r="P352" i="69" l="1"/>
  <c r="D353" i="69"/>
  <c r="H353" i="69" l="1"/>
  <c r="I353" i="69"/>
  <c r="K353" i="69"/>
  <c r="L349" i="69"/>
  <c r="M374" i="71" l="1"/>
  <c r="L374" i="71" s="1"/>
  <c r="B354" i="69"/>
  <c r="A353" i="69"/>
  <c r="C354" i="69"/>
  <c r="N353" i="69" l="1"/>
  <c r="Z353" i="69" s="1"/>
  <c r="M353" i="69"/>
  <c r="E354" i="69"/>
  <c r="J354" i="69" s="1"/>
  <c r="P353" i="69" l="1"/>
  <c r="D354" i="69"/>
  <c r="I354" i="69" s="1"/>
  <c r="K354" i="69" l="1"/>
  <c r="C355" i="69" s="1"/>
  <c r="H354" i="69"/>
  <c r="L350" i="69"/>
  <c r="M375" i="71" l="1"/>
  <c r="L375" i="71" s="1"/>
  <c r="B355" i="69"/>
  <c r="E355" i="69" s="1"/>
  <c r="J355" i="69" s="1"/>
  <c r="A354" i="69"/>
  <c r="M354" i="69" l="1"/>
  <c r="N354" i="69"/>
  <c r="Z354" i="69" s="1"/>
  <c r="D355" i="69"/>
  <c r="P354" i="69" l="1"/>
  <c r="H355" i="69"/>
  <c r="I355" i="69"/>
  <c r="K355" i="69"/>
  <c r="M376" i="71" l="1"/>
  <c r="L376" i="71" s="1"/>
  <c r="B356" i="69"/>
  <c r="C356" i="69"/>
  <c r="A355" i="69"/>
  <c r="L351" i="69"/>
  <c r="N355" i="69" l="1"/>
  <c r="Z355" i="69" s="1"/>
  <c r="M355" i="69"/>
  <c r="E356" i="69"/>
  <c r="J356" i="69" s="1"/>
  <c r="M377" i="71" l="1"/>
  <c r="L377" i="71" s="1"/>
  <c r="P355" i="69"/>
  <c r="D356" i="69"/>
  <c r="H356" i="69" l="1"/>
  <c r="I356" i="69"/>
  <c r="K356" i="69"/>
  <c r="L352" i="69"/>
  <c r="C357" i="69" l="1"/>
  <c r="B357" i="69"/>
  <c r="A356" i="69"/>
  <c r="M378" i="71" l="1"/>
  <c r="L378" i="71" s="1"/>
  <c r="N356" i="69"/>
  <c r="Z356" i="69" s="1"/>
  <c r="M356" i="69"/>
  <c r="E357" i="69"/>
  <c r="J357" i="69" s="1"/>
  <c r="P356" i="69" l="1"/>
  <c r="D357" i="69"/>
  <c r="M379" i="71" l="1"/>
  <c r="L379" i="71" s="1"/>
  <c r="L353" i="69"/>
  <c r="H357" i="69"/>
  <c r="I357" i="69"/>
  <c r="K357" i="69"/>
  <c r="C358" i="69" l="1"/>
  <c r="B358" i="69"/>
  <c r="A357" i="69"/>
  <c r="M380" i="71" l="1"/>
  <c r="L380" i="71" s="1"/>
  <c r="N357" i="69"/>
  <c r="Z357" i="69" s="1"/>
  <c r="M357" i="69"/>
  <c r="E358" i="69"/>
  <c r="J358" i="69" s="1"/>
  <c r="P357" i="69" l="1"/>
  <c r="D358" i="69"/>
  <c r="K358" i="69" s="1"/>
  <c r="C359" i="69" s="1"/>
  <c r="L354" i="69"/>
  <c r="H358" i="69" l="1"/>
  <c r="I358" i="69"/>
  <c r="B359" i="69"/>
  <c r="E359" i="69" s="1"/>
  <c r="J359" i="69" s="1"/>
  <c r="A358" i="69"/>
  <c r="M381" i="71" l="1"/>
  <c r="L381" i="71" s="1"/>
  <c r="N358" i="69"/>
  <c r="Z358" i="69" s="1"/>
  <c r="M358" i="69"/>
  <c r="D359" i="69"/>
  <c r="H359" i="69" s="1"/>
  <c r="P358" i="69" l="1"/>
  <c r="K359" i="69"/>
  <c r="B360" i="69" s="1"/>
  <c r="I359" i="69"/>
  <c r="A359" i="69" l="1"/>
  <c r="C360" i="69"/>
  <c r="L355" i="69"/>
  <c r="E360" i="69"/>
  <c r="J360" i="69" s="1"/>
  <c r="M382" i="71" l="1"/>
  <c r="L382" i="71" s="1"/>
  <c r="N359" i="69"/>
  <c r="Z359" i="69" s="1"/>
  <c r="M359" i="69"/>
  <c r="D360" i="69"/>
  <c r="P359" i="69" l="1"/>
  <c r="I360" i="69"/>
  <c r="H360" i="69"/>
  <c r="K360" i="69"/>
  <c r="C361" i="69" l="1"/>
  <c r="A360" i="69"/>
  <c r="B361" i="69"/>
  <c r="L356" i="69"/>
  <c r="N360" i="69" l="1"/>
  <c r="Z360" i="69" s="1"/>
  <c r="M360" i="69"/>
  <c r="E361" i="69"/>
  <c r="J361" i="69" s="1"/>
  <c r="M383" i="71" l="1"/>
  <c r="L383" i="71" s="1"/>
  <c r="P360" i="69"/>
  <c r="D361" i="69"/>
  <c r="I361" i="69" s="1"/>
  <c r="K361" i="69" l="1"/>
  <c r="C362" i="69" s="1"/>
  <c r="H361" i="69"/>
  <c r="M384" i="71" l="1"/>
  <c r="L384" i="71" s="1"/>
  <c r="B362" i="69"/>
  <c r="E362" i="69" s="1"/>
  <c r="J362" i="69" s="1"/>
  <c r="A361" i="69"/>
  <c r="L357" i="69"/>
  <c r="M361" i="69" l="1"/>
  <c r="N361" i="69"/>
  <c r="Z361" i="69" s="1"/>
  <c r="D362" i="69"/>
  <c r="I362" i="69" s="1"/>
  <c r="M385" i="71" l="1"/>
  <c r="L385" i="71" s="1"/>
  <c r="P361" i="69"/>
  <c r="K362" i="69"/>
  <c r="C363" i="69" s="1"/>
  <c r="H362" i="69"/>
  <c r="B363" i="69" l="1"/>
  <c r="E363" i="69" s="1"/>
  <c r="J363" i="69" s="1"/>
  <c r="A362" i="69"/>
  <c r="M362" i="69" l="1"/>
  <c r="N362" i="69"/>
  <c r="Z362" i="69" s="1"/>
  <c r="D363" i="69"/>
  <c r="L358" i="69"/>
  <c r="P362" i="69" l="1"/>
  <c r="H363" i="69"/>
  <c r="I363" i="69"/>
  <c r="K363" i="69"/>
  <c r="M386" i="71" l="1"/>
  <c r="L386" i="71" s="1"/>
  <c r="B364" i="69"/>
  <c r="A363" i="69"/>
  <c r="C364" i="69"/>
  <c r="N363" i="69" l="1"/>
  <c r="Z363" i="69" s="1"/>
  <c r="M363" i="69"/>
  <c r="E364" i="69"/>
  <c r="J364" i="69" s="1"/>
  <c r="P363" i="69" l="1"/>
  <c r="L359" i="69"/>
  <c r="D364" i="69"/>
  <c r="M387" i="71" l="1"/>
  <c r="L387" i="71" s="1"/>
  <c r="I364" i="69"/>
  <c r="H364" i="69"/>
  <c r="K364" i="69"/>
  <c r="L360" i="69" l="1"/>
  <c r="C365" i="69"/>
  <c r="A364" i="69"/>
  <c r="B365" i="69"/>
  <c r="M388" i="71" l="1"/>
  <c r="L388" i="71" s="1"/>
  <c r="N364" i="69"/>
  <c r="Z364" i="69" s="1"/>
  <c r="M364" i="69"/>
  <c r="E365" i="69"/>
  <c r="J365" i="69" s="1"/>
  <c r="P364" i="69" l="1"/>
  <c r="D365" i="69"/>
  <c r="I365" i="69" s="1"/>
  <c r="K365" i="69" l="1"/>
  <c r="C366" i="69" s="1"/>
  <c r="H365" i="69"/>
  <c r="L361" i="69"/>
  <c r="M389" i="71" l="1"/>
  <c r="L389" i="71" s="1"/>
  <c r="B366" i="69"/>
  <c r="E366" i="69" s="1"/>
  <c r="J366" i="69" s="1"/>
  <c r="A365" i="69"/>
  <c r="M365" i="69" l="1"/>
  <c r="N365" i="69"/>
  <c r="Z365" i="69" s="1"/>
  <c r="D366" i="69"/>
  <c r="I366" i="69" s="1"/>
  <c r="L362" i="69"/>
  <c r="P365" i="69" l="1"/>
  <c r="K366" i="69"/>
  <c r="C367" i="69" s="1"/>
  <c r="H366" i="69"/>
  <c r="M390" i="71" l="1"/>
  <c r="L390" i="71" s="1"/>
  <c r="A366" i="69"/>
  <c r="B367" i="69"/>
  <c r="E367" i="69" s="1"/>
  <c r="J367" i="69" s="1"/>
  <c r="N366" i="69" l="1"/>
  <c r="Z366" i="69" s="1"/>
  <c r="M366" i="69"/>
  <c r="D367" i="69"/>
  <c r="H367" i="69" s="1"/>
  <c r="M391" i="71" l="1"/>
  <c r="L391" i="71" s="1"/>
  <c r="P366" i="69"/>
  <c r="I367" i="69"/>
  <c r="K367" i="69"/>
  <c r="B368" i="69" s="1"/>
  <c r="L363" i="69"/>
  <c r="C368" i="69" l="1"/>
  <c r="A367" i="69"/>
  <c r="E368" i="69"/>
  <c r="J368" i="69" s="1"/>
  <c r="N367" i="69" l="1"/>
  <c r="Z367" i="69" s="1"/>
  <c r="M367" i="69"/>
  <c r="D368" i="69"/>
  <c r="M392" i="71" l="1"/>
  <c r="L392" i="71" s="1"/>
  <c r="P367" i="69"/>
  <c r="L364" i="69"/>
  <c r="I368" i="69"/>
  <c r="H368" i="69"/>
  <c r="K368" i="69"/>
  <c r="C369" i="69" l="1"/>
  <c r="A368" i="69"/>
  <c r="B369" i="69"/>
  <c r="N368" i="69" l="1"/>
  <c r="Z368" i="69" s="1"/>
  <c r="M368" i="69"/>
  <c r="E369" i="69"/>
  <c r="J369" i="69" s="1"/>
  <c r="P368" i="69" l="1"/>
  <c r="D369" i="69"/>
  <c r="I369" i="69" s="1"/>
  <c r="M393" i="71" l="1"/>
  <c r="L393" i="71" s="1"/>
  <c r="K369" i="69"/>
  <c r="C370" i="69" s="1"/>
  <c r="H369" i="69"/>
  <c r="L365" i="69"/>
  <c r="B370" i="69" l="1"/>
  <c r="E370" i="69" s="1"/>
  <c r="J370" i="69" s="1"/>
  <c r="A369" i="69"/>
  <c r="N369" i="69" l="1"/>
  <c r="Z369" i="69" s="1"/>
  <c r="M369" i="69"/>
  <c r="D370" i="69"/>
  <c r="I370" i="69" s="1"/>
  <c r="P369" i="69" l="1"/>
  <c r="H370" i="69"/>
  <c r="K370" i="69"/>
  <c r="B371" i="69" s="1"/>
  <c r="L366" i="69"/>
  <c r="M394" i="71" l="1"/>
  <c r="L394" i="71" s="1"/>
  <c r="A370" i="69"/>
  <c r="C371" i="69"/>
  <c r="E371" i="69"/>
  <c r="J371" i="69" s="1"/>
  <c r="N370" i="69" l="1"/>
  <c r="Z370" i="69" s="1"/>
  <c r="M370" i="69"/>
  <c r="D371" i="69"/>
  <c r="P370" i="69" l="1"/>
  <c r="H371" i="69"/>
  <c r="I371" i="69"/>
  <c r="K371" i="69"/>
  <c r="M395" i="71" l="1"/>
  <c r="L395" i="71" s="1"/>
  <c r="B372" i="69"/>
  <c r="C372" i="69"/>
  <c r="A371" i="69"/>
  <c r="L367" i="69"/>
  <c r="N371" i="69" l="1"/>
  <c r="Z371" i="69" s="1"/>
  <c r="M371" i="69"/>
  <c r="E372" i="69"/>
  <c r="J372" i="69" s="1"/>
  <c r="P371" i="69" l="1"/>
  <c r="D372" i="69"/>
  <c r="M396" i="71" l="1"/>
  <c r="L396" i="71" s="1"/>
  <c r="I372" i="69"/>
  <c r="H372" i="69"/>
  <c r="K372" i="69"/>
  <c r="L368" i="69" l="1"/>
  <c r="C373" i="69"/>
  <c r="A372" i="69"/>
  <c r="B373" i="69"/>
  <c r="N372" i="69" l="1"/>
  <c r="Z372" i="69" s="1"/>
  <c r="M372" i="69"/>
  <c r="E373" i="69"/>
  <c r="J373" i="69" s="1"/>
  <c r="P372" i="69" l="1"/>
  <c r="D373" i="69"/>
  <c r="M397" i="71" l="1"/>
  <c r="L397" i="71" s="1"/>
  <c r="I373" i="69"/>
  <c r="H373" i="69"/>
  <c r="K373" i="69"/>
  <c r="B374" i="69" l="1"/>
  <c r="A373" i="69"/>
  <c r="C374" i="69"/>
  <c r="L369" i="69"/>
  <c r="N373" i="69" l="1"/>
  <c r="Z373" i="69" s="1"/>
  <c r="M373" i="69"/>
  <c r="E374" i="69"/>
  <c r="J374" i="69" s="1"/>
  <c r="M398" i="71" l="1"/>
  <c r="L398" i="71" s="1"/>
  <c r="P373" i="69"/>
  <c r="D374" i="69"/>
  <c r="K374" i="69" s="1"/>
  <c r="C375" i="69" s="1"/>
  <c r="A374" i="69" l="1"/>
  <c r="B375" i="69"/>
  <c r="E375" i="69" s="1"/>
  <c r="J375" i="69" s="1"/>
  <c r="H374" i="69"/>
  <c r="I374" i="69"/>
  <c r="N374" i="69" l="1"/>
  <c r="Z374" i="69" s="1"/>
  <c r="M374" i="69"/>
  <c r="L370" i="69"/>
  <c r="D375" i="69"/>
  <c r="M399" i="71" l="1"/>
  <c r="L399" i="71" s="1"/>
  <c r="P374" i="69"/>
  <c r="H375" i="69"/>
  <c r="I375" i="69"/>
  <c r="K375" i="69"/>
  <c r="C376" i="69" l="1"/>
  <c r="B376" i="69"/>
  <c r="A375" i="69"/>
  <c r="M400" i="71" l="1"/>
  <c r="L400" i="71" s="1"/>
  <c r="N375" i="69"/>
  <c r="Z375" i="69" s="1"/>
  <c r="M375" i="69"/>
  <c r="E376" i="69"/>
  <c r="J376" i="69" s="1"/>
  <c r="P375" i="69" l="1"/>
  <c r="L371" i="69"/>
  <c r="D376" i="69"/>
  <c r="I376" i="69" l="1"/>
  <c r="H376" i="69"/>
  <c r="K376" i="69"/>
  <c r="C377" i="69" l="1"/>
  <c r="B377" i="69"/>
  <c r="A376" i="69"/>
  <c r="M401" i="71" l="1"/>
  <c r="L401" i="71" s="1"/>
  <c r="N376" i="69"/>
  <c r="Z376" i="69" s="1"/>
  <c r="M376" i="69"/>
  <c r="L372" i="69"/>
  <c r="E377" i="69"/>
  <c r="J377" i="69" s="1"/>
  <c r="P376" i="69" l="1"/>
  <c r="D377" i="69"/>
  <c r="M402" i="71" l="1"/>
  <c r="L402" i="71" s="1"/>
  <c r="I377" i="69"/>
  <c r="H377" i="69"/>
  <c r="K377" i="69"/>
  <c r="C378" i="69" l="1"/>
  <c r="A377" i="69"/>
  <c r="B378" i="69"/>
  <c r="N377" i="69" l="1"/>
  <c r="Z377" i="69" s="1"/>
  <c r="M377" i="69"/>
  <c r="L373" i="69"/>
  <c r="E378" i="69"/>
  <c r="J378" i="69" s="1"/>
  <c r="M403" i="71" l="1"/>
  <c r="L403" i="71" s="1"/>
  <c r="P377" i="69"/>
  <c r="D378" i="69"/>
  <c r="I378" i="69" l="1"/>
  <c r="H378" i="69"/>
  <c r="K378" i="69"/>
  <c r="C379" i="69" l="1"/>
  <c r="A378" i="69"/>
  <c r="B379" i="69"/>
  <c r="L374" i="69"/>
  <c r="M404" i="71" l="1"/>
  <c r="L404" i="71" s="1"/>
  <c r="N378" i="69"/>
  <c r="Z378" i="69" s="1"/>
  <c r="M378" i="69"/>
  <c r="E379" i="69"/>
  <c r="J379" i="69" s="1"/>
  <c r="P378" i="69" l="1"/>
  <c r="D379" i="69"/>
  <c r="I379" i="69" l="1"/>
  <c r="H379" i="69"/>
  <c r="K379" i="69"/>
  <c r="C380" i="69" l="1"/>
  <c r="A379" i="69"/>
  <c r="B380" i="69"/>
  <c r="L375" i="69"/>
  <c r="M405" i="71" l="1"/>
  <c r="L405" i="71" s="1"/>
  <c r="N379" i="69"/>
  <c r="Z379" i="69" s="1"/>
  <c r="M379" i="69"/>
  <c r="E380" i="69"/>
  <c r="J380" i="69" s="1"/>
  <c r="M406" i="71" l="1"/>
  <c r="L406" i="71" s="1"/>
  <c r="P379" i="69"/>
  <c r="D380" i="69"/>
  <c r="H380" i="69" s="1"/>
  <c r="K380" i="69" l="1"/>
  <c r="A380" i="69" s="1"/>
  <c r="I380" i="69"/>
  <c r="C381" i="69" l="1"/>
  <c r="B381" i="69"/>
  <c r="E381" i="69" s="1"/>
  <c r="J381" i="69" s="1"/>
  <c r="N380" i="69"/>
  <c r="Z380" i="69" s="1"/>
  <c r="M380" i="69"/>
  <c r="L376" i="69"/>
  <c r="P380" i="69" l="1"/>
  <c r="D381" i="69"/>
  <c r="M407" i="71" l="1"/>
  <c r="L407" i="71" s="1"/>
  <c r="I381" i="69"/>
  <c r="H381" i="69"/>
  <c r="K381" i="69"/>
  <c r="C382" i="69" l="1"/>
  <c r="A381" i="69"/>
  <c r="B382" i="69"/>
  <c r="L377" i="69"/>
  <c r="N381" i="69" l="1"/>
  <c r="Z381" i="69" s="1"/>
  <c r="M381" i="69"/>
  <c r="E382" i="69"/>
  <c r="J382" i="69" s="1"/>
  <c r="P381" i="69" l="1"/>
  <c r="D382" i="69"/>
  <c r="K382" i="69" s="1"/>
  <c r="M408" i="71" l="1"/>
  <c r="L408" i="71" s="1"/>
  <c r="H382" i="69"/>
  <c r="I382" i="69"/>
  <c r="C383" i="69"/>
  <c r="A382" i="69"/>
  <c r="B383" i="69"/>
  <c r="N382" i="69" l="1"/>
  <c r="Z382" i="69" s="1"/>
  <c r="M382" i="69"/>
  <c r="E383" i="69"/>
  <c r="J383" i="69" s="1"/>
  <c r="L378" i="69"/>
  <c r="M409" i="71" l="1"/>
  <c r="L409" i="71" s="1"/>
  <c r="P382" i="69"/>
  <c r="D383" i="69"/>
  <c r="I383" i="69" l="1"/>
  <c r="H383" i="69"/>
  <c r="K383" i="69"/>
  <c r="C384" i="69" l="1"/>
  <c r="A383" i="69"/>
  <c r="B384" i="69"/>
  <c r="M410" i="71" l="1"/>
  <c r="L410" i="71" s="1"/>
  <c r="N383" i="69"/>
  <c r="Z383" i="69" s="1"/>
  <c r="M383" i="69"/>
  <c r="L379" i="69"/>
  <c r="E384" i="69"/>
  <c r="J384" i="69" s="1"/>
  <c r="P383" i="69" l="1"/>
  <c r="D384" i="69"/>
  <c r="H384" i="69" s="1"/>
  <c r="K384" i="69" l="1"/>
  <c r="C385" i="69" s="1"/>
  <c r="I384" i="69"/>
  <c r="M411" i="71" l="1"/>
  <c r="L411" i="71" s="1"/>
  <c r="A384" i="69"/>
  <c r="B385" i="69"/>
  <c r="E385" i="69" s="1"/>
  <c r="J385" i="69" s="1"/>
  <c r="N384" i="69" l="1"/>
  <c r="Z384" i="69" s="1"/>
  <c r="M384" i="69"/>
  <c r="L380" i="69"/>
  <c r="D385" i="69"/>
  <c r="P384" i="69" l="1"/>
  <c r="I385" i="69"/>
  <c r="H385" i="69"/>
  <c r="K385" i="69"/>
  <c r="C386" i="69" l="1"/>
  <c r="A385" i="69"/>
  <c r="B386" i="69"/>
  <c r="M412" i="71" l="1"/>
  <c r="L412" i="71" s="1"/>
  <c r="N385" i="69"/>
  <c r="Z385" i="69" s="1"/>
  <c r="M385" i="69"/>
  <c r="E386" i="69"/>
  <c r="J386" i="69" s="1"/>
  <c r="P385" i="69" l="1"/>
  <c r="L381" i="69"/>
  <c r="D386" i="69"/>
  <c r="I386" i="69" l="1"/>
  <c r="H386" i="69"/>
  <c r="K386" i="69"/>
  <c r="C387" i="69" l="1"/>
  <c r="A386" i="69"/>
  <c r="B387" i="69"/>
  <c r="M413" i="71" l="1"/>
  <c r="L413" i="71" s="1"/>
  <c r="N386" i="69"/>
  <c r="Z386" i="69" s="1"/>
  <c r="M386" i="69"/>
  <c r="E387" i="69"/>
  <c r="J387" i="69" s="1"/>
  <c r="P386" i="69" l="1"/>
  <c r="L382" i="69"/>
  <c r="D387" i="69"/>
  <c r="M414" i="71" l="1"/>
  <c r="L414" i="71" s="1"/>
  <c r="I387" i="69"/>
  <c r="H387" i="69"/>
  <c r="K387" i="69"/>
  <c r="C388" i="69" l="1"/>
  <c r="A387" i="69"/>
  <c r="B388" i="69"/>
  <c r="N387" i="69" l="1"/>
  <c r="Z387" i="69" s="1"/>
  <c r="M387" i="69"/>
  <c r="E388" i="69"/>
  <c r="J388" i="69" s="1"/>
  <c r="M415" i="71" l="1"/>
  <c r="L415" i="71" s="1"/>
  <c r="P387" i="69"/>
  <c r="D388" i="69"/>
  <c r="K388" i="69" s="1"/>
  <c r="C389" i="69" s="1"/>
  <c r="L383" i="69"/>
  <c r="H388" i="69" l="1"/>
  <c r="I388" i="69"/>
  <c r="A388" i="69"/>
  <c r="B389" i="69"/>
  <c r="E389" i="69" s="1"/>
  <c r="J389" i="69" s="1"/>
  <c r="N388" i="69" l="1"/>
  <c r="Z388" i="69" s="1"/>
  <c r="M388" i="69"/>
  <c r="D389" i="69"/>
  <c r="M416" i="71" l="1"/>
  <c r="L416" i="71" s="1"/>
  <c r="P388" i="69"/>
  <c r="I389" i="69"/>
  <c r="H389" i="69"/>
  <c r="K389" i="69"/>
  <c r="L384" i="69"/>
  <c r="C390" i="69" l="1"/>
  <c r="A389" i="69"/>
  <c r="B390" i="69"/>
  <c r="N389" i="69" l="1"/>
  <c r="Z389" i="69" s="1"/>
  <c r="M389" i="69"/>
  <c r="L385" i="69"/>
  <c r="E390" i="69"/>
  <c r="J390" i="69" s="1"/>
  <c r="P389" i="69" l="1"/>
  <c r="D390" i="69"/>
  <c r="M417" i="71" l="1"/>
  <c r="L417" i="71" s="1"/>
  <c r="I390" i="69"/>
  <c r="H390" i="69"/>
  <c r="K390" i="69"/>
  <c r="C391" i="69" l="1"/>
  <c r="A390" i="69"/>
  <c r="B391" i="69"/>
  <c r="N390" i="69" l="1"/>
  <c r="Z390" i="69" s="1"/>
  <c r="M390" i="69"/>
  <c r="L386" i="69"/>
  <c r="E391" i="69"/>
  <c r="J391" i="69" s="1"/>
  <c r="M418" i="71" l="1"/>
  <c r="L418" i="71" s="1"/>
  <c r="P390" i="69"/>
  <c r="D391" i="69"/>
  <c r="I391" i="69" s="1"/>
  <c r="K391" i="69" l="1"/>
  <c r="A391" i="69" s="1"/>
  <c r="H391" i="69"/>
  <c r="C392" i="69" l="1"/>
  <c r="B392" i="69"/>
  <c r="E392" i="69" s="1"/>
  <c r="J392" i="69" s="1"/>
  <c r="N391" i="69"/>
  <c r="Z391" i="69" s="1"/>
  <c r="M391" i="69"/>
  <c r="P391" i="69" l="1"/>
  <c r="L387" i="69"/>
  <c r="D392" i="69"/>
  <c r="M419" i="71" l="1"/>
  <c r="L419" i="71" s="1"/>
  <c r="I392" i="69"/>
  <c r="H392" i="69"/>
  <c r="K392" i="69"/>
  <c r="C393" i="69" l="1"/>
  <c r="A392" i="69"/>
  <c r="B393" i="69"/>
  <c r="N392" i="69" l="1"/>
  <c r="Z392" i="69" s="1"/>
  <c r="M392" i="69"/>
  <c r="E393" i="69"/>
  <c r="J393" i="69" s="1"/>
  <c r="L388" i="69"/>
  <c r="M420" i="71" l="1"/>
  <c r="L420" i="71" s="1"/>
  <c r="P392" i="69"/>
  <c r="D393" i="69"/>
  <c r="H393" i="69" s="1"/>
  <c r="K393" i="69" l="1"/>
  <c r="B394" i="69" s="1"/>
  <c r="I393" i="69"/>
  <c r="L389" i="69"/>
  <c r="A393" i="69" l="1"/>
  <c r="C394" i="69"/>
  <c r="E394" i="69"/>
  <c r="J394" i="69" s="1"/>
  <c r="N393" i="69" l="1"/>
  <c r="Z393" i="69" s="1"/>
  <c r="M393" i="69"/>
  <c r="D394" i="69"/>
  <c r="K394" i="69" s="1"/>
  <c r="B395" i="69" s="1"/>
  <c r="M421" i="71" l="1"/>
  <c r="L421" i="71" s="1"/>
  <c r="P393" i="69"/>
  <c r="I394" i="69"/>
  <c r="H394" i="69"/>
  <c r="A394" i="69"/>
  <c r="C395" i="69"/>
  <c r="L390" i="69"/>
  <c r="E395" i="69"/>
  <c r="J395" i="69" s="1"/>
  <c r="N394" i="69" l="1"/>
  <c r="Z394" i="69" s="1"/>
  <c r="M394" i="69"/>
  <c r="D395" i="69"/>
  <c r="I395" i="69" s="1"/>
  <c r="P394" i="69" l="1"/>
  <c r="K395" i="69"/>
  <c r="A395" i="69" s="1"/>
  <c r="H395" i="69"/>
  <c r="M422" i="71" l="1"/>
  <c r="L422" i="71" s="1"/>
  <c r="B396" i="69"/>
  <c r="E396" i="69" s="1"/>
  <c r="J396" i="69" s="1"/>
  <c r="C396" i="69"/>
  <c r="N395" i="69"/>
  <c r="Z395" i="69" s="1"/>
  <c r="M395" i="69"/>
  <c r="L391" i="69"/>
  <c r="P395" i="69" l="1"/>
  <c r="D396" i="69"/>
  <c r="I396" i="69" l="1"/>
  <c r="H396" i="69"/>
  <c r="K396" i="69"/>
  <c r="C397" i="69" l="1"/>
  <c r="A396" i="69"/>
  <c r="B397" i="69"/>
  <c r="M423" i="71" l="1"/>
  <c r="L423" i="71" s="1"/>
  <c r="N396" i="69"/>
  <c r="Z396" i="69" s="1"/>
  <c r="M396" i="69"/>
  <c r="L392" i="69"/>
  <c r="E397" i="69"/>
  <c r="J397" i="69" s="1"/>
  <c r="P396" i="69" l="1"/>
  <c r="D397" i="69"/>
  <c r="M424" i="71" l="1"/>
  <c r="L424" i="71" s="1"/>
  <c r="H397" i="69"/>
  <c r="I397" i="69"/>
  <c r="K397" i="69"/>
  <c r="B398" i="69" l="1"/>
  <c r="C398" i="69"/>
  <c r="A397" i="69"/>
  <c r="L393" i="69"/>
  <c r="M425" i="71" l="1"/>
  <c r="L425" i="71" s="1"/>
  <c r="N397" i="69"/>
  <c r="Z397" i="69" s="1"/>
  <c r="M397" i="69"/>
  <c r="E398" i="69"/>
  <c r="J398" i="69" s="1"/>
  <c r="P397" i="69" l="1"/>
  <c r="D398" i="69"/>
  <c r="K398" i="69" s="1"/>
  <c r="B399" i="69" s="1"/>
  <c r="H398" i="69" l="1"/>
  <c r="A398" i="69"/>
  <c r="C399" i="69"/>
  <c r="I398" i="69"/>
  <c r="L394" i="69"/>
  <c r="E399" i="69"/>
  <c r="J399" i="69" s="1"/>
  <c r="N398" i="69" l="1"/>
  <c r="Z398" i="69" s="1"/>
  <c r="M398" i="69"/>
  <c r="D399" i="69"/>
  <c r="I399" i="69" s="1"/>
  <c r="M426" i="71" l="1"/>
  <c r="L426" i="71" s="1"/>
  <c r="P398" i="69"/>
  <c r="K399" i="69"/>
  <c r="B400" i="69" s="1"/>
  <c r="H399" i="69"/>
  <c r="L395" i="69"/>
  <c r="A399" i="69" l="1"/>
  <c r="C400" i="69"/>
  <c r="E400" i="69"/>
  <c r="J400" i="69" s="1"/>
  <c r="N399" i="69" l="1"/>
  <c r="Z399" i="69" s="1"/>
  <c r="M399" i="69"/>
  <c r="D400" i="69"/>
  <c r="M427" i="71" l="1"/>
  <c r="L427" i="71" s="1"/>
  <c r="P399" i="69"/>
  <c r="I400" i="69"/>
  <c r="H400" i="69"/>
  <c r="K400" i="69"/>
  <c r="C401" i="69" l="1"/>
  <c r="A400" i="69"/>
  <c r="B401" i="69"/>
  <c r="L396" i="69"/>
  <c r="N400" i="69" l="1"/>
  <c r="Z400" i="69" s="1"/>
  <c r="M400" i="69"/>
  <c r="E401" i="69"/>
  <c r="J401" i="69" s="1"/>
  <c r="M428" i="71" l="1"/>
  <c r="L428" i="71" s="1"/>
  <c r="P400" i="69"/>
  <c r="D401" i="69"/>
  <c r="H401" i="69" l="1"/>
  <c r="I401" i="69"/>
  <c r="K401" i="69"/>
  <c r="B402" i="69" l="1"/>
  <c r="C402" i="69"/>
  <c r="A401" i="69"/>
  <c r="L397" i="69"/>
  <c r="N401" i="69" l="1"/>
  <c r="Z401" i="69" s="1"/>
  <c r="M401" i="69"/>
  <c r="E402" i="69"/>
  <c r="J402" i="69" s="1"/>
  <c r="M429" i="71" l="1"/>
  <c r="L429" i="71" s="1"/>
  <c r="P401" i="69"/>
  <c r="D402" i="69"/>
  <c r="H402" i="69" s="1"/>
  <c r="K402" i="69" l="1"/>
  <c r="B403" i="69" s="1"/>
  <c r="I402" i="69"/>
  <c r="A402" i="69" l="1"/>
  <c r="C403" i="69"/>
  <c r="E403" i="69"/>
  <c r="J403" i="69" s="1"/>
  <c r="L398" i="69"/>
  <c r="M430" i="71" l="1"/>
  <c r="L430" i="71" s="1"/>
  <c r="N402" i="69"/>
  <c r="Z402" i="69" s="1"/>
  <c r="M402" i="69"/>
  <c r="D403" i="69"/>
  <c r="H403" i="69" s="1"/>
  <c r="P402" i="69" l="1"/>
  <c r="K403" i="69"/>
  <c r="B404" i="69" s="1"/>
  <c r="I403" i="69"/>
  <c r="M431" i="71" l="1"/>
  <c r="L431" i="71" s="1"/>
  <c r="A403" i="69"/>
  <c r="C404" i="69"/>
  <c r="E404" i="69"/>
  <c r="J404" i="69" s="1"/>
  <c r="M403" i="69" l="1"/>
  <c r="N403" i="69"/>
  <c r="Z403" i="69" s="1"/>
  <c r="L399" i="69"/>
  <c r="D404" i="69"/>
  <c r="P403" i="69" l="1"/>
  <c r="I404" i="69"/>
  <c r="H404" i="69"/>
  <c r="K404" i="69"/>
  <c r="M432" i="71" l="1"/>
  <c r="L432" i="71" s="1"/>
  <c r="A404" i="69"/>
  <c r="C405" i="69"/>
  <c r="B405" i="69"/>
  <c r="N404" i="69" l="1"/>
  <c r="Z404" i="69" s="1"/>
  <c r="M404" i="69"/>
  <c r="L400" i="69"/>
  <c r="E405" i="69"/>
  <c r="J405" i="69" s="1"/>
  <c r="P404" i="69" l="1"/>
  <c r="D405" i="69"/>
  <c r="I405" i="69" s="1"/>
  <c r="M433" i="71" l="1"/>
  <c r="L433" i="71" s="1"/>
  <c r="K405" i="69"/>
  <c r="B406" i="69" s="1"/>
  <c r="H405" i="69"/>
  <c r="A405" i="69" l="1"/>
  <c r="C406" i="69"/>
  <c r="L401" i="69"/>
  <c r="E406" i="69"/>
  <c r="J406" i="69" s="1"/>
  <c r="N405" i="69" l="1"/>
  <c r="Z405" i="69" s="1"/>
  <c r="M405" i="69"/>
  <c r="D406" i="69"/>
  <c r="P405" i="69" l="1"/>
  <c r="I406" i="69"/>
  <c r="H406" i="69"/>
  <c r="K406" i="69"/>
  <c r="M434" i="71" l="1"/>
  <c r="L434" i="71" s="1"/>
  <c r="C407" i="69"/>
  <c r="B407" i="69"/>
  <c r="A406" i="69"/>
  <c r="N406" i="69" l="1"/>
  <c r="Z406" i="69" s="1"/>
  <c r="M406" i="69"/>
  <c r="L402" i="69"/>
  <c r="E407" i="69"/>
  <c r="J407" i="69" s="1"/>
  <c r="M435" i="71" l="1"/>
  <c r="L435" i="71" s="1"/>
  <c r="P406" i="69"/>
  <c r="D407" i="69"/>
  <c r="I407" i="69" s="1"/>
  <c r="H407" i="69" l="1"/>
  <c r="K407" i="69"/>
  <c r="C408" i="69" s="1"/>
  <c r="L403" i="69"/>
  <c r="B408" i="69" l="1"/>
  <c r="E408" i="69" s="1"/>
  <c r="J408" i="69" s="1"/>
  <c r="A407" i="69"/>
  <c r="N407" i="69" l="1"/>
  <c r="Z407" i="69" s="1"/>
  <c r="M407" i="69"/>
  <c r="D408" i="69"/>
  <c r="M436" i="71" l="1"/>
  <c r="L436" i="71" s="1"/>
  <c r="P407" i="69"/>
  <c r="H408" i="69"/>
  <c r="I408" i="69"/>
  <c r="K408" i="69"/>
  <c r="L404" i="69" l="1"/>
  <c r="C409" i="69"/>
  <c r="B409" i="69"/>
  <c r="A408" i="69"/>
  <c r="N408" i="69" l="1"/>
  <c r="Z408" i="69" s="1"/>
  <c r="M408" i="69"/>
  <c r="E409" i="69"/>
  <c r="J409" i="69" s="1"/>
  <c r="P408" i="69" l="1"/>
  <c r="D409" i="69"/>
  <c r="H409" i="69" s="1"/>
  <c r="M437" i="71" l="1"/>
  <c r="L437" i="71" s="1"/>
  <c r="I409" i="69"/>
  <c r="K409" i="69"/>
  <c r="C410" i="69" s="1"/>
  <c r="A409" i="69" l="1"/>
  <c r="B410" i="69"/>
  <c r="E410" i="69" s="1"/>
  <c r="J410" i="69" s="1"/>
  <c r="L405" i="69"/>
  <c r="N409" i="69" l="1"/>
  <c r="Z409" i="69" s="1"/>
  <c r="M409" i="69"/>
  <c r="D410" i="69"/>
  <c r="M438" i="71" l="1"/>
  <c r="L438" i="71" s="1"/>
  <c r="P409" i="69"/>
  <c r="L406" i="69"/>
  <c r="I410" i="69"/>
  <c r="H410" i="69"/>
  <c r="K410" i="69"/>
  <c r="C411" i="69" l="1"/>
  <c r="B411" i="69"/>
  <c r="A410" i="69"/>
  <c r="N410" i="69" l="1"/>
  <c r="Z410" i="69" s="1"/>
  <c r="M410" i="69"/>
  <c r="E411" i="69"/>
  <c r="J411" i="69" s="1"/>
  <c r="M439" i="71" l="1"/>
  <c r="L439" i="71" s="1"/>
  <c r="P410" i="69"/>
  <c r="D411" i="69"/>
  <c r="I411" i="69" s="1"/>
  <c r="L407" i="69"/>
  <c r="K411" i="69" l="1"/>
  <c r="A411" i="69" s="1"/>
  <c r="H411" i="69"/>
  <c r="C412" i="69" l="1"/>
  <c r="B412" i="69"/>
  <c r="E412" i="69" s="1"/>
  <c r="J412" i="69" s="1"/>
  <c r="N411" i="69"/>
  <c r="Z411" i="69" s="1"/>
  <c r="M411" i="69"/>
  <c r="M440" i="71" l="1"/>
  <c r="L440" i="71" s="1"/>
  <c r="P411" i="69"/>
  <c r="D412" i="69"/>
  <c r="L408" i="69" l="1"/>
  <c r="I412" i="69"/>
  <c r="H412" i="69"/>
  <c r="K412" i="69"/>
  <c r="C413" i="69" l="1"/>
  <c r="A412" i="69"/>
  <c r="B413" i="69"/>
  <c r="N412" i="69" l="1"/>
  <c r="Z412" i="69" s="1"/>
  <c r="M412" i="69"/>
  <c r="E413" i="69"/>
  <c r="J413" i="69" s="1"/>
  <c r="M441" i="71" l="1"/>
  <c r="L441" i="71" s="1"/>
  <c r="P412" i="69"/>
  <c r="D413" i="69"/>
  <c r="K413" i="69" s="1"/>
  <c r="C414" i="69" s="1"/>
  <c r="L409" i="69"/>
  <c r="B414" i="69" l="1"/>
  <c r="E414" i="69" s="1"/>
  <c r="J414" i="69" s="1"/>
  <c r="A413" i="69"/>
  <c r="H413" i="69"/>
  <c r="I413" i="69"/>
  <c r="M442" i="71" l="1"/>
  <c r="L442" i="71" s="1"/>
  <c r="N413" i="69"/>
  <c r="Z413" i="69" s="1"/>
  <c r="M413" i="69"/>
  <c r="D414" i="69"/>
  <c r="I414" i="69" s="1"/>
  <c r="L410" i="69"/>
  <c r="P413" i="69" l="1"/>
  <c r="K414" i="69"/>
  <c r="B415" i="69" s="1"/>
  <c r="H414" i="69"/>
  <c r="M443" i="71" l="1"/>
  <c r="L443" i="71" s="1"/>
  <c r="C415" i="69"/>
  <c r="A414" i="69"/>
  <c r="E415" i="69"/>
  <c r="J415" i="69" s="1"/>
  <c r="M414" i="69" l="1"/>
  <c r="N414" i="69"/>
  <c r="Z414" i="69" s="1"/>
  <c r="L411" i="69"/>
  <c r="D415" i="69"/>
  <c r="P414" i="69" l="1"/>
  <c r="I415" i="69"/>
  <c r="H415" i="69"/>
  <c r="K415" i="69"/>
  <c r="C416" i="69" l="1"/>
  <c r="A415" i="69"/>
  <c r="B416" i="69"/>
  <c r="M444" i="71" l="1"/>
  <c r="L444" i="71" s="1"/>
  <c r="N415" i="69"/>
  <c r="Z415" i="69" s="1"/>
  <c r="M415" i="69"/>
  <c r="E416" i="69"/>
  <c r="J416" i="69" s="1"/>
  <c r="L412" i="69"/>
  <c r="P415" i="69" l="1"/>
  <c r="D416" i="69"/>
  <c r="I416" i="69" l="1"/>
  <c r="H416" i="69"/>
  <c r="K416" i="69"/>
  <c r="M445" i="71" l="1"/>
  <c r="L445" i="71" s="1"/>
  <c r="C417" i="69"/>
  <c r="A416" i="69"/>
  <c r="B417" i="69"/>
  <c r="N416" i="69" l="1"/>
  <c r="Z416" i="69" s="1"/>
  <c r="M416" i="69"/>
  <c r="L413" i="69"/>
  <c r="E417" i="69"/>
  <c r="J417" i="69" s="1"/>
  <c r="P416" i="69" l="1"/>
  <c r="D417" i="69"/>
  <c r="M446" i="71" l="1"/>
  <c r="L446" i="71" s="1"/>
  <c r="I417" i="69"/>
  <c r="H417" i="69"/>
  <c r="K417" i="69"/>
  <c r="C418" i="69" l="1"/>
  <c r="A417" i="69"/>
  <c r="B418" i="69"/>
  <c r="N417" i="69" l="1"/>
  <c r="Z417" i="69" s="1"/>
  <c r="M417" i="69"/>
  <c r="E418" i="69"/>
  <c r="J418" i="69" s="1"/>
  <c r="L414" i="69"/>
  <c r="M447" i="71" l="1"/>
  <c r="L447" i="71" s="1"/>
  <c r="P417" i="69"/>
  <c r="D418" i="69"/>
  <c r="I418" i="69" l="1"/>
  <c r="H418" i="69"/>
  <c r="K418" i="69"/>
  <c r="C419" i="69" l="1"/>
  <c r="B419" i="69"/>
  <c r="A418" i="69"/>
  <c r="N418" i="69" l="1"/>
  <c r="Z418" i="69" s="1"/>
  <c r="M418" i="69"/>
  <c r="E419" i="69"/>
  <c r="J419" i="69" s="1"/>
  <c r="L415" i="69"/>
  <c r="M448" i="71" l="1"/>
  <c r="L448" i="71" s="1"/>
  <c r="P418" i="69"/>
  <c r="D419" i="69"/>
  <c r="K419" i="69" s="1"/>
  <c r="C420" i="69" s="1"/>
  <c r="A419" i="69" l="1"/>
  <c r="H419" i="69"/>
  <c r="I419" i="69"/>
  <c r="B420" i="69"/>
  <c r="E420" i="69" s="1"/>
  <c r="J420" i="69" s="1"/>
  <c r="L416" i="69"/>
  <c r="N419" i="69" l="1"/>
  <c r="Z419" i="69" s="1"/>
  <c r="M419" i="69"/>
  <c r="D420" i="69"/>
  <c r="P419" i="69" l="1"/>
  <c r="I420" i="69"/>
  <c r="H420" i="69"/>
  <c r="K420" i="69"/>
  <c r="M449" i="71" l="1"/>
  <c r="L449" i="71" s="1"/>
  <c r="C421" i="69"/>
  <c r="A420" i="69"/>
  <c r="B421" i="69"/>
  <c r="N420" i="69" l="1"/>
  <c r="Z420" i="69" s="1"/>
  <c r="M420" i="69"/>
  <c r="L417" i="69"/>
  <c r="E421" i="69"/>
  <c r="J421" i="69" s="1"/>
  <c r="P420" i="69" l="1"/>
  <c r="D421" i="69"/>
  <c r="M450" i="71" l="1"/>
  <c r="L450" i="71" s="1"/>
  <c r="I421" i="69"/>
  <c r="H421" i="69"/>
  <c r="K421" i="69"/>
  <c r="L418" i="69" l="1"/>
  <c r="C422" i="69"/>
  <c r="A421" i="69"/>
  <c r="B422" i="69"/>
  <c r="N421" i="69" l="1"/>
  <c r="Z421" i="69" s="1"/>
  <c r="M421" i="69"/>
  <c r="E422" i="69"/>
  <c r="J422" i="69" s="1"/>
  <c r="M451" i="71" l="1"/>
  <c r="L451" i="71" s="1"/>
  <c r="P421" i="69"/>
  <c r="D422" i="69"/>
  <c r="L419" i="69" l="1"/>
  <c r="I422" i="69"/>
  <c r="H422" i="69"/>
  <c r="K422" i="69"/>
  <c r="C423" i="69" l="1"/>
  <c r="A422" i="69"/>
  <c r="B423" i="69"/>
  <c r="M452" i="71" l="1"/>
  <c r="L452" i="71" s="1"/>
  <c r="N422" i="69"/>
  <c r="Z422" i="69" s="1"/>
  <c r="M422" i="69"/>
  <c r="E423" i="69"/>
  <c r="J423" i="69" s="1"/>
  <c r="P422" i="69" l="1"/>
  <c r="D423" i="69"/>
  <c r="L420" i="69" l="1"/>
  <c r="I423" i="69"/>
  <c r="H423" i="69"/>
  <c r="K423" i="69"/>
  <c r="C424" i="69" l="1"/>
  <c r="A423" i="69"/>
  <c r="B424" i="69"/>
  <c r="M453" i="71" l="1"/>
  <c r="L453" i="71" s="1"/>
  <c r="N423" i="69"/>
  <c r="Z423" i="69" s="1"/>
  <c r="M423" i="69"/>
  <c r="E424" i="69"/>
  <c r="J424" i="69" s="1"/>
  <c r="P423" i="69" l="1"/>
  <c r="L421" i="69"/>
  <c r="D424" i="69"/>
  <c r="H424" i="69" l="1"/>
  <c r="I424" i="69"/>
  <c r="K424" i="69"/>
  <c r="L422" i="69" l="1"/>
  <c r="B425" i="69"/>
  <c r="C425" i="69"/>
  <c r="A424" i="69"/>
  <c r="M454" i="71" l="1"/>
  <c r="L454" i="71" s="1"/>
  <c r="N424" i="69"/>
  <c r="Z424" i="69" s="1"/>
  <c r="M424" i="69"/>
  <c r="E425" i="69"/>
  <c r="J425" i="69" s="1"/>
  <c r="P424" i="69" l="1"/>
  <c r="D425" i="69"/>
  <c r="M455" i="71" l="1"/>
  <c r="L455" i="71" s="1"/>
  <c r="I425" i="69"/>
  <c r="H425" i="69"/>
  <c r="K425" i="69"/>
  <c r="C426" i="69" l="1"/>
  <c r="A425" i="69"/>
  <c r="B426" i="69"/>
  <c r="L423" i="69"/>
  <c r="N425" i="69" l="1"/>
  <c r="Z425" i="69" s="1"/>
  <c r="M425" i="69"/>
  <c r="E426" i="69"/>
  <c r="J426" i="69" s="1"/>
  <c r="M456" i="71" l="1"/>
  <c r="L456" i="71" s="1"/>
  <c r="P425" i="69"/>
  <c r="D426" i="69"/>
  <c r="H426" i="69" l="1"/>
  <c r="I426" i="69"/>
  <c r="K426" i="69"/>
  <c r="B427" i="69" l="1"/>
  <c r="C427" i="69"/>
  <c r="A426" i="69"/>
  <c r="L424" i="69"/>
  <c r="M457" i="71" l="1"/>
  <c r="L457" i="71" s="1"/>
  <c r="N426" i="69"/>
  <c r="Z426" i="69" s="1"/>
  <c r="M426" i="69"/>
  <c r="E427" i="69"/>
  <c r="J427" i="69" s="1"/>
  <c r="P426" i="69" l="1"/>
  <c r="D427" i="69"/>
  <c r="I427" i="69" l="1"/>
  <c r="H427" i="69"/>
  <c r="K427" i="69"/>
  <c r="C428" i="69" l="1"/>
  <c r="A427" i="69"/>
  <c r="B428" i="69"/>
  <c r="L425" i="69"/>
  <c r="M458" i="71" l="1"/>
  <c r="L458" i="71" s="1"/>
  <c r="N427" i="69"/>
  <c r="Z427" i="69" s="1"/>
  <c r="M427" i="69"/>
  <c r="E428" i="69"/>
  <c r="J428" i="69" s="1"/>
  <c r="P427" i="69" l="1"/>
  <c r="D428" i="69"/>
  <c r="H428" i="69" l="1"/>
  <c r="I428" i="69"/>
  <c r="K428" i="69"/>
  <c r="L426" i="69"/>
  <c r="M459" i="71" l="1"/>
  <c r="L459" i="71" s="1"/>
  <c r="B429" i="69"/>
  <c r="A428" i="69"/>
  <c r="C429" i="69"/>
  <c r="N428" i="69" l="1"/>
  <c r="Z428" i="69" s="1"/>
  <c r="M428" i="69"/>
  <c r="E429" i="69"/>
  <c r="J429" i="69" s="1"/>
  <c r="P428" i="69" l="1"/>
  <c r="D429" i="69"/>
  <c r="M460" i="71" l="1"/>
  <c r="L460" i="71" s="1"/>
  <c r="L427" i="69"/>
  <c r="I429" i="69"/>
  <c r="H429" i="69"/>
  <c r="K429" i="69"/>
  <c r="C430" i="69" l="1"/>
  <c r="A429" i="69"/>
  <c r="B430" i="69"/>
  <c r="N429" i="69" l="1"/>
  <c r="Z429" i="69" s="1"/>
  <c r="M429" i="69"/>
  <c r="E430" i="69"/>
  <c r="J430" i="69" s="1"/>
  <c r="P429" i="69" l="1"/>
  <c r="D430" i="69"/>
  <c r="H430" i="69" s="1"/>
  <c r="M461" i="71" l="1"/>
  <c r="L461" i="71" s="1"/>
  <c r="K430" i="69"/>
  <c r="B431" i="69" s="1"/>
  <c r="I430" i="69"/>
  <c r="L428" i="69"/>
  <c r="A430" i="69" l="1"/>
  <c r="C431" i="69"/>
  <c r="E431" i="69"/>
  <c r="J431" i="69" s="1"/>
  <c r="M462" i="71" l="1"/>
  <c r="L462" i="71" s="1"/>
  <c r="N430" i="69"/>
  <c r="Z430" i="69" s="1"/>
  <c r="M430" i="69"/>
  <c r="D431" i="69"/>
  <c r="L429" i="69"/>
  <c r="P430" i="69" l="1"/>
  <c r="I431" i="69"/>
  <c r="H431" i="69"/>
  <c r="K431" i="69"/>
  <c r="C432" i="69" l="1"/>
  <c r="A431" i="69"/>
  <c r="B432" i="69"/>
  <c r="M463" i="71" l="1"/>
  <c r="L463" i="71" s="1"/>
  <c r="N431" i="69"/>
  <c r="Z431" i="69" s="1"/>
  <c r="M431" i="69"/>
  <c r="E432" i="69"/>
  <c r="J432" i="69" s="1"/>
  <c r="P431" i="69" l="1"/>
  <c r="L430" i="69"/>
  <c r="D432" i="69"/>
  <c r="H432" i="69" l="1"/>
  <c r="I432" i="69"/>
  <c r="K432" i="69"/>
  <c r="M464" i="71" l="1"/>
  <c r="L464" i="71" s="1"/>
  <c r="B433" i="69"/>
  <c r="C433" i="69"/>
  <c r="A432" i="69"/>
  <c r="N432" i="69" l="1"/>
  <c r="Z432" i="69" s="1"/>
  <c r="M432" i="69"/>
  <c r="E433" i="69"/>
  <c r="J433" i="69" s="1"/>
  <c r="P432" i="69" l="1"/>
  <c r="L431" i="69"/>
  <c r="D433" i="69"/>
  <c r="I433" i="69" l="1"/>
  <c r="H433" i="69"/>
  <c r="K433" i="69"/>
  <c r="M465" i="71" l="1"/>
  <c r="L465" i="71" s="1"/>
  <c r="C434" i="69"/>
  <c r="A433" i="69"/>
  <c r="B434" i="69"/>
  <c r="N433" i="69" l="1"/>
  <c r="Z433" i="69" s="1"/>
  <c r="M433" i="69"/>
  <c r="E434" i="69"/>
  <c r="J434" i="69" s="1"/>
  <c r="P433" i="69" l="1"/>
  <c r="D434" i="69"/>
  <c r="H434" i="69" s="1"/>
  <c r="L432" i="69"/>
  <c r="M466" i="71" l="1"/>
  <c r="L466" i="71" s="1"/>
  <c r="I434" i="69"/>
  <c r="K434" i="69"/>
  <c r="B435" i="69" s="1"/>
  <c r="A434" i="69" l="1"/>
  <c r="C435" i="69"/>
  <c r="E435" i="69"/>
  <c r="J435" i="69" s="1"/>
  <c r="N434" i="69" l="1"/>
  <c r="Z434" i="69" s="1"/>
  <c r="M434" i="69"/>
  <c r="L433" i="69"/>
  <c r="D435" i="69"/>
  <c r="P434" i="69" l="1"/>
  <c r="I435" i="69"/>
  <c r="H435" i="69"/>
  <c r="K435" i="69"/>
  <c r="M467" i="71" l="1"/>
  <c r="L467" i="71" s="1"/>
  <c r="C436" i="69"/>
  <c r="A435" i="69"/>
  <c r="B436" i="69"/>
  <c r="N435" i="69" l="1"/>
  <c r="Z435" i="69" s="1"/>
  <c r="M435" i="69"/>
  <c r="E436" i="69"/>
  <c r="J436" i="69" s="1"/>
  <c r="P435" i="69" l="1"/>
  <c r="D436" i="69"/>
  <c r="L434" i="69"/>
  <c r="M468" i="71" l="1"/>
  <c r="L468" i="71" s="1"/>
  <c r="H436" i="69"/>
  <c r="I436" i="69"/>
  <c r="K436" i="69"/>
  <c r="B437" i="69" l="1"/>
  <c r="C437" i="69"/>
  <c r="A436" i="69"/>
  <c r="N436" i="69" l="1"/>
  <c r="Z436" i="69" s="1"/>
  <c r="M436" i="69"/>
  <c r="E437" i="69"/>
  <c r="J437" i="69" s="1"/>
  <c r="M469" i="71" l="1"/>
  <c r="L469" i="71" s="1"/>
  <c r="P436" i="69"/>
  <c r="L435" i="69"/>
  <c r="D437" i="69"/>
  <c r="I437" i="69" l="1"/>
  <c r="H437" i="69"/>
  <c r="K437" i="69"/>
  <c r="M470" i="71" l="1"/>
  <c r="L470" i="71" s="1"/>
  <c r="C438" i="69"/>
  <c r="A437" i="69"/>
  <c r="B438" i="69"/>
  <c r="N437" i="69" l="1"/>
  <c r="Z437" i="69" s="1"/>
  <c r="M437" i="69"/>
  <c r="E438" i="69"/>
  <c r="J438" i="69" s="1"/>
  <c r="P437" i="69" l="1"/>
  <c r="L436" i="69"/>
  <c r="D438" i="69"/>
  <c r="M471" i="71" l="1"/>
  <c r="L471" i="71" s="1"/>
  <c r="H438" i="69"/>
  <c r="I438" i="69"/>
  <c r="K438" i="69"/>
  <c r="B439" i="69" l="1"/>
  <c r="A438" i="69"/>
  <c r="C439" i="69"/>
  <c r="N438" i="69" l="1"/>
  <c r="Z438" i="69" s="1"/>
  <c r="M438" i="69"/>
  <c r="E439" i="69"/>
  <c r="J439" i="69" s="1"/>
  <c r="L437" i="69"/>
  <c r="M472" i="71" l="1"/>
  <c r="L472" i="71" s="1"/>
  <c r="P438" i="69"/>
  <c r="D439" i="69"/>
  <c r="I439" i="69" l="1"/>
  <c r="H439" i="69"/>
  <c r="K439" i="69"/>
  <c r="C440" i="69" l="1"/>
  <c r="A439" i="69"/>
  <c r="B440" i="69"/>
  <c r="M473" i="71" l="1"/>
  <c r="L473" i="71" s="1"/>
  <c r="N439" i="69"/>
  <c r="Z439" i="69" s="1"/>
  <c r="M439" i="69"/>
  <c r="E440" i="69"/>
  <c r="J440" i="69" s="1"/>
  <c r="L438" i="69"/>
  <c r="P439" i="69" l="1"/>
  <c r="D440" i="69"/>
  <c r="M474" i="71" l="1"/>
  <c r="L474" i="71" s="1"/>
  <c r="H440" i="69"/>
  <c r="I440" i="69"/>
  <c r="K440" i="69"/>
  <c r="B441" i="69" l="1"/>
  <c r="C441" i="69"/>
  <c r="A440" i="69"/>
  <c r="N440" i="69" l="1"/>
  <c r="Z440" i="69" s="1"/>
  <c r="M440" i="69"/>
  <c r="L439" i="69"/>
  <c r="E441" i="69"/>
  <c r="J441" i="69" s="1"/>
  <c r="M475" i="71" l="1"/>
  <c r="L475" i="71" s="1"/>
  <c r="P440" i="69"/>
  <c r="D441" i="69"/>
  <c r="I441" i="69" l="1"/>
  <c r="H441" i="69"/>
  <c r="K441" i="69"/>
  <c r="L440" i="69" l="1"/>
  <c r="B442" i="69"/>
  <c r="C442" i="69"/>
  <c r="A441" i="69"/>
  <c r="M476" i="71" l="1"/>
  <c r="L476" i="71" s="1"/>
  <c r="N441" i="69"/>
  <c r="Z441" i="69" s="1"/>
  <c r="M441" i="69"/>
  <c r="E442" i="69"/>
  <c r="J442" i="69" s="1"/>
  <c r="P441" i="69" l="1"/>
  <c r="D442" i="69"/>
  <c r="L441" i="69" l="1"/>
  <c r="H442" i="69"/>
  <c r="I442" i="69"/>
  <c r="K442" i="69"/>
  <c r="C443" i="69" l="1"/>
  <c r="A442" i="69"/>
  <c r="B443" i="69"/>
  <c r="M477" i="71" l="1"/>
  <c r="L477" i="71" s="1"/>
  <c r="N442" i="69"/>
  <c r="Z442" i="69" s="1"/>
  <c r="M442" i="69"/>
  <c r="E443" i="69"/>
  <c r="J443" i="69" s="1"/>
  <c r="P442" i="69" l="1"/>
  <c r="D443" i="69"/>
  <c r="H443" i="69" l="1"/>
  <c r="I443" i="69"/>
  <c r="K443" i="69"/>
  <c r="L442" i="69"/>
  <c r="B444" i="69" l="1"/>
  <c r="C444" i="69"/>
  <c r="A443" i="69"/>
  <c r="M478" i="71" l="1"/>
  <c r="L478" i="71" s="1"/>
  <c r="N443" i="69"/>
  <c r="Z443" i="69" s="1"/>
  <c r="M443" i="69"/>
  <c r="E444" i="69"/>
  <c r="J444" i="69" s="1"/>
  <c r="P443" i="69" l="1"/>
  <c r="D444" i="69"/>
  <c r="I444" i="69" l="1"/>
  <c r="H444" i="69"/>
  <c r="K444" i="69"/>
  <c r="L443" i="69"/>
  <c r="M479" i="71" l="1"/>
  <c r="L479" i="71" s="1"/>
  <c r="C445" i="69"/>
  <c r="A444" i="69"/>
  <c r="B445" i="69"/>
  <c r="N444" i="69" l="1"/>
  <c r="Z444" i="69" s="1"/>
  <c r="M444" i="69"/>
  <c r="E445" i="69"/>
  <c r="J445" i="69" s="1"/>
  <c r="P444" i="69" l="1"/>
  <c r="D445" i="69"/>
  <c r="H445" i="69" s="1"/>
  <c r="I445" i="69" l="1"/>
  <c r="K445" i="69"/>
  <c r="B446" i="69" s="1"/>
  <c r="L444" i="69"/>
  <c r="M480" i="71" l="1"/>
  <c r="L480" i="71" s="1"/>
  <c r="C446" i="69"/>
  <c r="A445" i="69"/>
  <c r="E446" i="69"/>
  <c r="J446" i="69" s="1"/>
  <c r="N445" i="69" l="1"/>
  <c r="Z445" i="69" s="1"/>
  <c r="M445" i="69"/>
  <c r="D446" i="69"/>
  <c r="P445" i="69" l="1"/>
  <c r="I446" i="69"/>
  <c r="H446" i="69"/>
  <c r="K446" i="69"/>
  <c r="M481" i="71" l="1"/>
  <c r="L481" i="71" s="1"/>
  <c r="L445" i="69"/>
  <c r="C447" i="69"/>
  <c r="A446" i="69"/>
  <c r="B447" i="69"/>
  <c r="N446" i="69" l="1"/>
  <c r="Z446" i="69" s="1"/>
  <c r="M446" i="69"/>
  <c r="E447" i="69"/>
  <c r="J447" i="69" s="1"/>
  <c r="P446" i="69" l="1"/>
  <c r="D447" i="69"/>
  <c r="H447" i="69" l="1"/>
  <c r="I447" i="69"/>
  <c r="K447" i="69"/>
  <c r="L446" i="69"/>
  <c r="M482" i="71" l="1"/>
  <c r="L482" i="71" s="1"/>
  <c r="B448" i="69"/>
  <c r="C448" i="69"/>
  <c r="A447" i="69"/>
  <c r="N447" i="69" l="1"/>
  <c r="Z447" i="69" s="1"/>
  <c r="M447" i="69"/>
  <c r="E448" i="69"/>
  <c r="J448" i="69" s="1"/>
  <c r="M483" i="71" l="1"/>
  <c r="L483" i="71" s="1"/>
  <c r="P447" i="69"/>
  <c r="D448" i="69"/>
  <c r="L447" i="69" l="1"/>
  <c r="I448" i="69"/>
  <c r="H448" i="69"/>
  <c r="K448" i="69"/>
  <c r="M484" i="71" l="1"/>
  <c r="L484" i="71" s="1"/>
  <c r="C449" i="69"/>
  <c r="A448" i="69"/>
  <c r="B449" i="69"/>
  <c r="N448" i="69" l="1"/>
  <c r="Z448" i="69" s="1"/>
  <c r="M448" i="69"/>
  <c r="E449" i="69"/>
  <c r="J449" i="69" s="1"/>
  <c r="P448" i="69" l="1"/>
  <c r="D449" i="69"/>
  <c r="L448" i="69"/>
  <c r="M485" i="71" l="1"/>
  <c r="L485" i="71" s="1"/>
  <c r="H449" i="69"/>
  <c r="I449" i="69"/>
  <c r="K449" i="69"/>
  <c r="B450" i="69" l="1"/>
  <c r="C450" i="69"/>
  <c r="A449" i="69"/>
  <c r="M486" i="71" l="1"/>
  <c r="L486" i="71" s="1"/>
  <c r="N449" i="69"/>
  <c r="Z449" i="69" s="1"/>
  <c r="M449" i="69"/>
  <c r="E450" i="69"/>
  <c r="J450" i="69" s="1"/>
  <c r="P449" i="69" l="1"/>
  <c r="L449" i="69"/>
  <c r="D450" i="69"/>
  <c r="M487" i="71" l="1"/>
  <c r="L487" i="71" s="1"/>
  <c r="I450" i="69"/>
  <c r="H450" i="69"/>
  <c r="K450" i="69"/>
  <c r="C451" i="69" l="1"/>
  <c r="A450" i="69"/>
  <c r="B451" i="69"/>
  <c r="N450" i="69" l="1"/>
  <c r="Z450" i="69" s="1"/>
  <c r="M450" i="69"/>
  <c r="E451" i="69"/>
  <c r="J451" i="69" s="1"/>
  <c r="P450" i="69" l="1"/>
  <c r="L450" i="69"/>
  <c r="D451" i="69"/>
  <c r="M488" i="71" l="1"/>
  <c r="L488" i="71" s="1"/>
  <c r="H451" i="69"/>
  <c r="I451" i="69"/>
  <c r="K451" i="69"/>
  <c r="B452" i="69" l="1"/>
  <c r="C452" i="69"/>
  <c r="A451" i="69"/>
  <c r="N451" i="69" l="1"/>
  <c r="Z451" i="69" s="1"/>
  <c r="M451" i="69"/>
  <c r="E452" i="69"/>
  <c r="J452" i="69" s="1"/>
  <c r="M489" i="71" l="1"/>
  <c r="L489" i="71" s="1"/>
  <c r="P451" i="69"/>
  <c r="L451" i="69"/>
  <c r="D452" i="69"/>
  <c r="I452" i="69" l="1"/>
  <c r="H452" i="69"/>
  <c r="K452" i="69"/>
  <c r="C453" i="69" l="1"/>
  <c r="A452" i="69"/>
  <c r="B453" i="69"/>
  <c r="M490" i="71" l="1"/>
  <c r="L490" i="71" s="1"/>
  <c r="N452" i="69"/>
  <c r="Z452" i="69" s="1"/>
  <c r="M452" i="69"/>
  <c r="E453" i="69"/>
  <c r="J453" i="69" s="1"/>
  <c r="P452" i="69" l="1"/>
  <c r="L452" i="69"/>
  <c r="D453" i="69"/>
  <c r="H453" i="69" l="1"/>
  <c r="I453" i="69"/>
  <c r="K453" i="69"/>
  <c r="M491" i="71" l="1"/>
  <c r="L491" i="71" s="1"/>
  <c r="B454" i="69"/>
  <c r="C454" i="69"/>
  <c r="A453" i="69"/>
  <c r="N453" i="69" l="1"/>
  <c r="Z453" i="69" s="1"/>
  <c r="M453" i="69"/>
  <c r="E454" i="69"/>
  <c r="J454" i="69" s="1"/>
  <c r="M492" i="71" l="1"/>
  <c r="L492" i="71" s="1"/>
  <c r="P453" i="69"/>
  <c r="L453" i="69"/>
  <c r="D454" i="69"/>
  <c r="I454" i="69" s="1"/>
  <c r="H454" i="69" l="1"/>
  <c r="K454" i="69"/>
  <c r="C455" i="69" s="1"/>
  <c r="B455" i="69" l="1"/>
  <c r="E455" i="69" s="1"/>
  <c r="J455" i="69" s="1"/>
  <c r="A454" i="69"/>
  <c r="N454" i="69" l="1"/>
  <c r="Z454" i="69" s="1"/>
  <c r="M454" i="69"/>
  <c r="D455" i="69"/>
  <c r="H455" i="69" s="1"/>
  <c r="M493" i="71" l="1"/>
  <c r="L493" i="71" s="1"/>
  <c r="P454" i="69"/>
  <c r="K455" i="69"/>
  <c r="B456" i="69" s="1"/>
  <c r="I455" i="69"/>
  <c r="L454" i="69"/>
  <c r="C456" i="69" l="1"/>
  <c r="A455" i="69"/>
  <c r="E456" i="69"/>
  <c r="J456" i="69" s="1"/>
  <c r="M455" i="69" l="1"/>
  <c r="N455" i="69"/>
  <c r="Z455" i="69" s="1"/>
  <c r="D456" i="69"/>
  <c r="I456" i="69" s="1"/>
  <c r="M494" i="71" l="1"/>
  <c r="L494" i="71" s="1"/>
  <c r="P455" i="69"/>
  <c r="K456" i="69"/>
  <c r="C457" i="69" s="1"/>
  <c r="H456" i="69"/>
  <c r="L455" i="69"/>
  <c r="B457" i="69" l="1"/>
  <c r="E457" i="69" s="1"/>
  <c r="J457" i="69" s="1"/>
  <c r="A456" i="69"/>
  <c r="M495" i="71" l="1"/>
  <c r="M496" i="71" s="1"/>
  <c r="N456" i="69"/>
  <c r="Z456" i="69" s="1"/>
  <c r="M456" i="69"/>
  <c r="D457" i="69"/>
  <c r="K457" i="69" s="1"/>
  <c r="B458" i="69" s="1"/>
  <c r="M497" i="71" l="1"/>
  <c r="L495" i="71"/>
  <c r="L496" i="71" s="1"/>
  <c r="P456" i="69"/>
  <c r="C458" i="69"/>
  <c r="A457" i="69"/>
  <c r="H457" i="69"/>
  <c r="I457" i="69"/>
  <c r="E458" i="69"/>
  <c r="J458" i="69" s="1"/>
  <c r="L497" i="71" l="1"/>
  <c r="M498" i="71"/>
  <c r="N457" i="69"/>
  <c r="Z457" i="69" s="1"/>
  <c r="M457" i="69"/>
  <c r="L456" i="69"/>
  <c r="D458" i="69"/>
  <c r="L498" i="71" l="1"/>
  <c r="M499" i="71"/>
  <c r="P457" i="69"/>
  <c r="I458" i="69"/>
  <c r="H458" i="69"/>
  <c r="K458" i="69"/>
  <c r="L499" i="71" l="1"/>
  <c r="M500" i="71"/>
  <c r="C459" i="69"/>
  <c r="A458" i="69"/>
  <c r="B459" i="69"/>
  <c r="L500" i="71" l="1"/>
  <c r="M501" i="71"/>
  <c r="N458" i="69"/>
  <c r="Z458" i="69" s="1"/>
  <c r="M458" i="69"/>
  <c r="E459" i="69"/>
  <c r="J459" i="69" s="1"/>
  <c r="L501" i="71" l="1"/>
  <c r="M502" i="71"/>
  <c r="P458" i="69"/>
  <c r="D459" i="69"/>
  <c r="K459" i="69" s="1"/>
  <c r="A459" i="69" s="1"/>
  <c r="L457" i="69"/>
  <c r="L502" i="71" l="1"/>
  <c r="M503" i="71"/>
  <c r="N459" i="69"/>
  <c r="Z459" i="69" s="1"/>
  <c r="I459" i="69"/>
  <c r="B460" i="69"/>
  <c r="E460" i="69" s="1"/>
  <c r="J460" i="69" s="1"/>
  <c r="H459" i="69"/>
  <c r="C460" i="69"/>
  <c r="M459" i="69"/>
  <c r="L503" i="71" l="1"/>
  <c r="M504" i="71"/>
  <c r="P459" i="69"/>
  <c r="D460" i="69"/>
  <c r="K460" i="69" s="1"/>
  <c r="C461" i="69" s="1"/>
  <c r="L504" i="71" l="1"/>
  <c r="M505" i="71"/>
  <c r="I460" i="69"/>
  <c r="B461" i="69"/>
  <c r="E461" i="69" s="1"/>
  <c r="J461" i="69" s="1"/>
  <c r="A460" i="69"/>
  <c r="H460" i="69"/>
  <c r="L505" i="71" l="1"/>
  <c r="M506" i="71"/>
  <c r="N460" i="69"/>
  <c r="Z460" i="69" s="1"/>
  <c r="M460" i="69"/>
  <c r="L458" i="69"/>
  <c r="D461" i="69"/>
  <c r="L506" i="71" l="1"/>
  <c r="M507" i="71"/>
  <c r="P460" i="69"/>
  <c r="I461" i="69"/>
  <c r="H461" i="69"/>
  <c r="K461" i="69"/>
  <c r="L507" i="71" l="1"/>
  <c r="M508" i="71"/>
  <c r="C462" i="69"/>
  <c r="A461" i="69"/>
  <c r="B462" i="69"/>
  <c r="L508" i="71" l="1"/>
  <c r="M509" i="71"/>
  <c r="N461" i="69"/>
  <c r="Z461" i="69" s="1"/>
  <c r="M461" i="69"/>
  <c r="E462" i="69"/>
  <c r="J462" i="69" s="1"/>
  <c r="L509" i="71" l="1"/>
  <c r="M510" i="71"/>
  <c r="P461" i="69"/>
  <c r="L459" i="69"/>
  <c r="D462" i="69"/>
  <c r="L510" i="71" l="1"/>
  <c r="M511" i="71"/>
  <c r="I462" i="69"/>
  <c r="H462" i="69"/>
  <c r="K462" i="69"/>
  <c r="L511" i="71" l="1"/>
  <c r="M512" i="71"/>
  <c r="C463" i="69"/>
  <c r="A462" i="69"/>
  <c r="B463" i="69"/>
  <c r="L512" i="71" l="1"/>
  <c r="M513" i="71"/>
  <c r="N462" i="69"/>
  <c r="Z462" i="69" s="1"/>
  <c r="M462" i="69"/>
  <c r="E463" i="69"/>
  <c r="J463" i="69" s="1"/>
  <c r="L513" i="71" l="1"/>
  <c r="M514" i="71"/>
  <c r="P462" i="69"/>
  <c r="D463" i="69"/>
  <c r="H463" i="69" s="1"/>
  <c r="L460" i="69"/>
  <c r="L514" i="71" l="1"/>
  <c r="M515" i="71"/>
  <c r="K463" i="69"/>
  <c r="B464" i="69" s="1"/>
  <c r="I463" i="69"/>
  <c r="L515" i="71" l="1"/>
  <c r="M516" i="71"/>
  <c r="A463" i="69"/>
  <c r="C464" i="69"/>
  <c r="E464" i="69"/>
  <c r="J464" i="69" s="1"/>
  <c r="L516" i="71" l="1"/>
  <c r="M517" i="71"/>
  <c r="M463" i="69"/>
  <c r="N463" i="69"/>
  <c r="Z463" i="69" s="1"/>
  <c r="D464" i="69"/>
  <c r="L517" i="71" l="1"/>
  <c r="M518" i="71"/>
  <c r="P463" i="69"/>
  <c r="L461" i="69"/>
  <c r="I464" i="69"/>
  <c r="H464" i="69"/>
  <c r="K464" i="69"/>
  <c r="L518" i="71" l="1"/>
  <c r="M519" i="71"/>
  <c r="C465" i="69"/>
  <c r="A464" i="69"/>
  <c r="B465" i="69"/>
  <c r="L519" i="71" l="1"/>
  <c r="M520" i="71"/>
  <c r="N464" i="69"/>
  <c r="Z464" i="69" s="1"/>
  <c r="M464" i="69"/>
  <c r="E465" i="69"/>
  <c r="J465" i="69" s="1"/>
  <c r="L462" i="69"/>
  <c r="L520" i="71" l="1"/>
  <c r="M521" i="71"/>
  <c r="P464" i="69"/>
  <c r="D465" i="69"/>
  <c r="L521" i="71" l="1"/>
  <c r="M522" i="71"/>
  <c r="I465" i="69"/>
  <c r="H465" i="69"/>
  <c r="K465" i="69"/>
  <c r="L522" i="71" l="1"/>
  <c r="M523" i="71"/>
  <c r="C466" i="69"/>
  <c r="A465" i="69"/>
  <c r="B466" i="69"/>
  <c r="L523" i="71" l="1"/>
  <c r="M524" i="71"/>
  <c r="N465" i="69"/>
  <c r="Z465" i="69" s="1"/>
  <c r="M465" i="69"/>
  <c r="L463" i="69"/>
  <c r="E466" i="69"/>
  <c r="J466" i="69" s="1"/>
  <c r="L524" i="71" l="1"/>
  <c r="M525" i="71"/>
  <c r="P465" i="69"/>
  <c r="D466" i="69"/>
  <c r="L525" i="71" l="1"/>
  <c r="M526" i="71"/>
  <c r="I466" i="69"/>
  <c r="H466" i="69"/>
  <c r="K466" i="69"/>
  <c r="L526" i="71" l="1"/>
  <c r="M527" i="71"/>
  <c r="C467" i="69"/>
  <c r="B467" i="69"/>
  <c r="A466" i="69"/>
  <c r="L464" i="69"/>
  <c r="L527" i="71" l="1"/>
  <c r="M528" i="71"/>
  <c r="N466" i="69"/>
  <c r="Z466" i="69" s="1"/>
  <c r="M466" i="69"/>
  <c r="E467" i="69"/>
  <c r="J467" i="69" s="1"/>
  <c r="L528" i="71" l="1"/>
  <c r="M529" i="71"/>
  <c r="P466" i="69"/>
  <c r="D467" i="69"/>
  <c r="L529" i="71" l="1"/>
  <c r="M530" i="71"/>
  <c r="I467" i="69"/>
  <c r="H467" i="69"/>
  <c r="K467" i="69"/>
  <c r="L530" i="71" l="1"/>
  <c r="M531" i="71"/>
  <c r="L465" i="69"/>
  <c r="C468" i="69"/>
  <c r="A467" i="69"/>
  <c r="B468" i="69"/>
  <c r="L531" i="71" l="1"/>
  <c r="M532" i="71"/>
  <c r="N467" i="69"/>
  <c r="Z467" i="69" s="1"/>
  <c r="M467" i="69"/>
  <c r="E468" i="69"/>
  <c r="J468" i="69" s="1"/>
  <c r="L532" i="71" l="1"/>
  <c r="M533" i="71"/>
  <c r="P467" i="69"/>
  <c r="D468" i="69"/>
  <c r="L533" i="71" l="1"/>
  <c r="M534" i="71"/>
  <c r="I468" i="69"/>
  <c r="H468" i="69"/>
  <c r="K468" i="69"/>
  <c r="L466" i="69"/>
  <c r="L534" i="71" l="1"/>
  <c r="M535" i="71"/>
  <c r="C469" i="69"/>
  <c r="A468" i="69"/>
  <c r="B469" i="69"/>
  <c r="L535" i="71" l="1"/>
  <c r="M536" i="71"/>
  <c r="N468" i="69"/>
  <c r="Z468" i="69" s="1"/>
  <c r="M468" i="69"/>
  <c r="E469" i="69"/>
  <c r="J469" i="69" s="1"/>
  <c r="L536" i="71" l="1"/>
  <c r="M537" i="71"/>
  <c r="P468" i="69"/>
  <c r="D469" i="69"/>
  <c r="I469" i="69" s="1"/>
  <c r="L537" i="71" l="1"/>
  <c r="M538" i="71"/>
  <c r="K469" i="69"/>
  <c r="C470" i="69" s="1"/>
  <c r="H469" i="69"/>
  <c r="L467" i="69"/>
  <c r="L538" i="71" l="1"/>
  <c r="M539" i="71"/>
  <c r="B470" i="69"/>
  <c r="E470" i="69" s="1"/>
  <c r="J470" i="69" s="1"/>
  <c r="A469" i="69"/>
  <c r="L539" i="71" l="1"/>
  <c r="M540" i="71"/>
  <c r="M469" i="69"/>
  <c r="N469" i="69"/>
  <c r="Z469" i="69" s="1"/>
  <c r="D470" i="69"/>
  <c r="L540" i="71" l="1"/>
  <c r="M541" i="71"/>
  <c r="P469" i="69"/>
  <c r="I470" i="69"/>
  <c r="H470" i="69"/>
  <c r="K470" i="69"/>
  <c r="L541" i="71" l="1"/>
  <c r="M542" i="71"/>
  <c r="C471" i="69"/>
  <c r="A470" i="69"/>
  <c r="B471" i="69"/>
  <c r="L468" i="69"/>
  <c r="L542" i="71" l="1"/>
  <c r="M543" i="71"/>
  <c r="N470" i="69"/>
  <c r="Z470" i="69" s="1"/>
  <c r="M470" i="69"/>
  <c r="E471" i="69"/>
  <c r="J471" i="69" s="1"/>
  <c r="L543" i="71" l="1"/>
  <c r="M544" i="71"/>
  <c r="P470" i="69"/>
  <c r="D471" i="69"/>
  <c r="I471" i="69" s="1"/>
  <c r="L544" i="71" l="1"/>
  <c r="M545" i="71"/>
  <c r="H471" i="69"/>
  <c r="K471" i="69"/>
  <c r="C472" i="69" s="1"/>
  <c r="L545" i="71" l="1"/>
  <c r="M546" i="71"/>
  <c r="A471" i="69"/>
  <c r="B472" i="69"/>
  <c r="E472" i="69" s="1"/>
  <c r="J472" i="69" s="1"/>
  <c r="L469" i="69"/>
  <c r="L546" i="71" l="1"/>
  <c r="M547" i="71"/>
  <c r="N471" i="69"/>
  <c r="Z471" i="69" s="1"/>
  <c r="M471" i="69"/>
  <c r="D472" i="69"/>
  <c r="K472" i="69" s="1"/>
  <c r="C473" i="69" s="1"/>
  <c r="L547" i="71" l="1"/>
  <c r="M548" i="71"/>
  <c r="P471" i="69"/>
  <c r="A472" i="69"/>
  <c r="H472" i="69"/>
  <c r="I472" i="69"/>
  <c r="B473" i="69"/>
  <c r="E473" i="69" s="1"/>
  <c r="J473" i="69" s="1"/>
  <c r="L470" i="69"/>
  <c r="L548" i="71" l="1"/>
  <c r="M549" i="71"/>
  <c r="N472" i="69"/>
  <c r="Z472" i="69" s="1"/>
  <c r="M472" i="69"/>
  <c r="D473" i="69"/>
  <c r="L549" i="71" l="1"/>
  <c r="M550" i="71"/>
  <c r="P472" i="69"/>
  <c r="I473" i="69"/>
  <c r="H473" i="69"/>
  <c r="K473" i="69"/>
  <c r="L550" i="71" l="1"/>
  <c r="M551" i="71"/>
  <c r="C474" i="69"/>
  <c r="A473" i="69"/>
  <c r="B474" i="69"/>
  <c r="L551" i="71" l="1"/>
  <c r="M552" i="71"/>
  <c r="N473" i="69"/>
  <c r="Z473" i="69" s="1"/>
  <c r="M473" i="69"/>
  <c r="L471" i="69"/>
  <c r="E474" i="69"/>
  <c r="J474" i="69" s="1"/>
  <c r="L552" i="71" l="1"/>
  <c r="M553" i="71"/>
  <c r="P473" i="69"/>
  <c r="D474" i="69"/>
  <c r="K474" i="69" s="1"/>
  <c r="C475" i="69" s="1"/>
  <c r="L553" i="71" l="1"/>
  <c r="M554" i="71"/>
  <c r="A474" i="69"/>
  <c r="I474" i="69"/>
  <c r="B475" i="69"/>
  <c r="E475" i="69" s="1"/>
  <c r="J475" i="69" s="1"/>
  <c r="H474" i="69"/>
  <c r="L554" i="71" l="1"/>
  <c r="M555" i="71"/>
  <c r="N474" i="69"/>
  <c r="Z474" i="69" s="1"/>
  <c r="M474" i="69"/>
  <c r="D475" i="69"/>
  <c r="L555" i="71" l="1"/>
  <c r="M556" i="71"/>
  <c r="P474" i="69"/>
  <c r="L472" i="69"/>
  <c r="I475" i="69"/>
  <c r="H475" i="69"/>
  <c r="K475" i="69"/>
  <c r="L556" i="71" l="1"/>
  <c r="M557" i="71"/>
  <c r="C476" i="69"/>
  <c r="B476" i="69"/>
  <c r="A475" i="69"/>
  <c r="L557" i="71" l="1"/>
  <c r="M558" i="71"/>
  <c r="N475" i="69"/>
  <c r="Z475" i="69" s="1"/>
  <c r="M475" i="69"/>
  <c r="E476" i="69"/>
  <c r="J476" i="69" s="1"/>
  <c r="L558" i="71" l="1"/>
  <c r="M559" i="71"/>
  <c r="P475" i="69"/>
  <c r="D476" i="69"/>
  <c r="L473" i="69"/>
  <c r="L559" i="71" l="1"/>
  <c r="M560" i="71"/>
  <c r="I476" i="69"/>
  <c r="H476" i="69"/>
  <c r="K476" i="69"/>
  <c r="L560" i="71" l="1"/>
  <c r="M561" i="71"/>
  <c r="C477" i="69"/>
  <c r="A476" i="69"/>
  <c r="B477" i="69"/>
  <c r="L561" i="71" l="1"/>
  <c r="M562" i="71"/>
  <c r="N476" i="69"/>
  <c r="Z476" i="69" s="1"/>
  <c r="M476" i="69"/>
  <c r="E477" i="69"/>
  <c r="J477" i="69" s="1"/>
  <c r="L562" i="71" l="1"/>
  <c r="M563" i="71"/>
  <c r="P476" i="69"/>
  <c r="D477" i="69"/>
  <c r="L474" i="69"/>
  <c r="L563" i="71" l="1"/>
  <c r="M564" i="71"/>
  <c r="I477" i="69"/>
  <c r="H477" i="69"/>
  <c r="K477" i="69"/>
  <c r="L564" i="71" l="1"/>
  <c r="M565" i="71"/>
  <c r="C478" i="69"/>
  <c r="A477" i="69"/>
  <c r="B478" i="69"/>
  <c r="L565" i="71" l="1"/>
  <c r="M566" i="71"/>
  <c r="N477" i="69"/>
  <c r="Z477" i="69" s="1"/>
  <c r="M477" i="69"/>
  <c r="E478" i="69"/>
  <c r="J478" i="69" s="1"/>
  <c r="L566" i="71" l="1"/>
  <c r="M567" i="71"/>
  <c r="P477" i="69"/>
  <c r="L475" i="69"/>
  <c r="D478" i="69"/>
  <c r="L567" i="71" l="1"/>
  <c r="M568" i="71"/>
  <c r="I478" i="69"/>
  <c r="H478" i="69"/>
  <c r="K478" i="69"/>
  <c r="L568" i="71" l="1"/>
  <c r="M569" i="71"/>
  <c r="B479" i="69"/>
  <c r="A478" i="69"/>
  <c r="C479" i="69"/>
  <c r="L476" i="69"/>
  <c r="L569" i="71" l="1"/>
  <c r="M570" i="71"/>
  <c r="N478" i="69"/>
  <c r="Z478" i="69" s="1"/>
  <c r="M478" i="69"/>
  <c r="E479" i="69"/>
  <c r="J479" i="69" s="1"/>
  <c r="L570" i="71" l="1"/>
  <c r="M571" i="71"/>
  <c r="P478" i="69"/>
  <c r="D479" i="69"/>
  <c r="I479" i="69" s="1"/>
  <c r="L477" i="69"/>
  <c r="L571" i="71" l="1"/>
  <c r="M572" i="71"/>
  <c r="K479" i="69"/>
  <c r="C480" i="69" s="1"/>
  <c r="H479" i="69"/>
  <c r="L572" i="71" l="1"/>
  <c r="M573" i="71"/>
  <c r="A479" i="69"/>
  <c r="B480" i="69"/>
  <c r="E480" i="69" s="1"/>
  <c r="J480" i="69" s="1"/>
  <c r="L573" i="71" l="1"/>
  <c r="M574" i="71"/>
  <c r="N479" i="69"/>
  <c r="Z479" i="69" s="1"/>
  <c r="M479" i="69"/>
  <c r="D480" i="69"/>
  <c r="K480" i="69" s="1"/>
  <c r="L574" i="71" l="1"/>
  <c r="M575" i="71"/>
  <c r="P479" i="69"/>
  <c r="H480" i="69"/>
  <c r="I480" i="69"/>
  <c r="L478" i="69"/>
  <c r="C481" i="69"/>
  <c r="A480" i="69"/>
  <c r="B481" i="69"/>
  <c r="L575" i="71" l="1"/>
  <c r="M576" i="71"/>
  <c r="N480" i="69"/>
  <c r="Z480" i="69" s="1"/>
  <c r="M480" i="69"/>
  <c r="E481" i="69"/>
  <c r="J481" i="69" s="1"/>
  <c r="L576" i="71" l="1"/>
  <c r="M577" i="71"/>
  <c r="P480" i="69"/>
  <c r="D481" i="69"/>
  <c r="L577" i="71" l="1"/>
  <c r="M578" i="71"/>
  <c r="I481" i="69"/>
  <c r="H481" i="69"/>
  <c r="K481" i="69"/>
  <c r="L578" i="71" l="1"/>
  <c r="M579" i="71"/>
  <c r="L479" i="69"/>
  <c r="C482" i="69"/>
  <c r="A481" i="69"/>
  <c r="B482" i="69"/>
  <c r="L579" i="71" l="1"/>
  <c r="M580" i="71"/>
  <c r="N481" i="69"/>
  <c r="Z481" i="69" s="1"/>
  <c r="M481" i="69"/>
  <c r="E482" i="69"/>
  <c r="J482" i="69" s="1"/>
  <c r="L580" i="71" l="1"/>
  <c r="M581" i="71"/>
  <c r="P481" i="69"/>
  <c r="D482" i="69"/>
  <c r="L581" i="71" l="1"/>
  <c r="M582" i="71"/>
  <c r="I482" i="69"/>
  <c r="H482" i="69"/>
  <c r="K482" i="69"/>
  <c r="L582" i="71" l="1"/>
  <c r="M583" i="71"/>
  <c r="C483" i="69"/>
  <c r="B483" i="69"/>
  <c r="A482" i="69"/>
  <c r="L480" i="69"/>
  <c r="L583" i="71" l="1"/>
  <c r="M584" i="71"/>
  <c r="N482" i="69"/>
  <c r="Z482" i="69" s="1"/>
  <c r="M482" i="69"/>
  <c r="E483" i="69"/>
  <c r="J483" i="69" s="1"/>
  <c r="L584" i="71" l="1"/>
  <c r="M585" i="71"/>
  <c r="P482" i="69"/>
  <c r="D483" i="69"/>
  <c r="I483" i="69" s="1"/>
  <c r="L585" i="71" l="1"/>
  <c r="M586" i="71"/>
  <c r="K483" i="69"/>
  <c r="A483" i="69" s="1"/>
  <c r="H483" i="69"/>
  <c r="L586" i="71" l="1"/>
  <c r="M587" i="71"/>
  <c r="C484" i="69"/>
  <c r="B484" i="69"/>
  <c r="E484" i="69" s="1"/>
  <c r="J484" i="69" s="1"/>
  <c r="N483" i="69"/>
  <c r="Z483" i="69" s="1"/>
  <c r="M483" i="69"/>
  <c r="L481" i="69"/>
  <c r="L587" i="71" l="1"/>
  <c r="M588" i="71"/>
  <c r="P483" i="69"/>
  <c r="D484" i="69"/>
  <c r="L588" i="71" l="1"/>
  <c r="M589" i="71"/>
  <c r="I484" i="69"/>
  <c r="H484" i="69"/>
  <c r="K484" i="69"/>
  <c r="L589" i="71" l="1"/>
  <c r="M590" i="71"/>
  <c r="C485" i="69"/>
  <c r="A484" i="69"/>
  <c r="B485" i="69"/>
  <c r="L590" i="71" l="1"/>
  <c r="M591" i="71"/>
  <c r="N484" i="69"/>
  <c r="Z484" i="69" s="1"/>
  <c r="M484" i="69"/>
  <c r="E485" i="69"/>
  <c r="J485" i="69" s="1"/>
  <c r="L482" i="69"/>
  <c r="L591" i="71" l="1"/>
  <c r="M592" i="71"/>
  <c r="P484" i="69"/>
  <c r="D485" i="69"/>
  <c r="L592" i="71" l="1"/>
  <c r="M593" i="71"/>
  <c r="I485" i="69"/>
  <c r="H485" i="69"/>
  <c r="K485" i="69"/>
  <c r="L593" i="71" l="1"/>
  <c r="M594" i="71"/>
  <c r="C486" i="69"/>
  <c r="A485" i="69"/>
  <c r="B486" i="69"/>
  <c r="L594" i="71" l="1"/>
  <c r="M595" i="71"/>
  <c r="N485" i="69"/>
  <c r="Z485" i="69" s="1"/>
  <c r="M485" i="69"/>
  <c r="L483" i="69"/>
  <c r="E486" i="69"/>
  <c r="J486" i="69" s="1"/>
  <c r="L595" i="71" l="1"/>
  <c r="M596" i="71"/>
  <c r="P485" i="69"/>
  <c r="D486" i="69"/>
  <c r="L596" i="71" l="1"/>
  <c r="M597" i="71"/>
  <c r="I486" i="69"/>
  <c r="H486" i="69"/>
  <c r="K486" i="69"/>
  <c r="L597" i="71" l="1"/>
  <c r="M598" i="71"/>
  <c r="C487" i="69"/>
  <c r="A486" i="69"/>
  <c r="B487" i="69"/>
  <c r="L598" i="71" l="1"/>
  <c r="M599" i="71"/>
  <c r="N486" i="69"/>
  <c r="Z486" i="69" s="1"/>
  <c r="M486" i="69"/>
  <c r="E487" i="69"/>
  <c r="J487" i="69" s="1"/>
  <c r="L484" i="69"/>
  <c r="L599" i="71" l="1"/>
  <c r="M600" i="71"/>
  <c r="P486" i="69"/>
  <c r="D487" i="69"/>
  <c r="L600" i="71" l="1"/>
  <c r="M601" i="71"/>
  <c r="I487" i="69"/>
  <c r="H487" i="69"/>
  <c r="K487" i="69"/>
  <c r="L485" i="69"/>
  <c r="L601" i="71" l="1"/>
  <c r="M602" i="71"/>
  <c r="C488" i="69"/>
  <c r="A487" i="69"/>
  <c r="B488" i="69"/>
  <c r="L602" i="71" l="1"/>
  <c r="M603" i="71"/>
  <c r="N487" i="69"/>
  <c r="Z487" i="69" s="1"/>
  <c r="M487" i="69"/>
  <c r="L486" i="69"/>
  <c r="E488" i="69"/>
  <c r="J488" i="69" s="1"/>
  <c r="L603" i="71" l="1"/>
  <c r="M604" i="71"/>
  <c r="P487" i="69"/>
  <c r="D488" i="69"/>
  <c r="L604" i="71" l="1"/>
  <c r="M605" i="71"/>
  <c r="I488" i="69"/>
  <c r="H488" i="69"/>
  <c r="K488" i="69"/>
  <c r="L605" i="71" l="1"/>
  <c r="M606" i="71"/>
  <c r="C489" i="69"/>
  <c r="A488" i="69"/>
  <c r="B489" i="69"/>
  <c r="L487" i="69"/>
  <c r="L606" i="71" l="1"/>
  <c r="M607" i="71"/>
  <c r="N488" i="69"/>
  <c r="Z488" i="69" s="1"/>
  <c r="M488" i="69"/>
  <c r="E489" i="69"/>
  <c r="J489" i="69" s="1"/>
  <c r="L607" i="71" l="1"/>
  <c r="M608" i="71"/>
  <c r="P488" i="69"/>
  <c r="D489" i="69"/>
  <c r="L608" i="71" l="1"/>
  <c r="M609" i="71"/>
  <c r="I489" i="69"/>
  <c r="H489" i="69"/>
  <c r="K489" i="69"/>
  <c r="L609" i="71" l="1"/>
  <c r="M610" i="71"/>
  <c r="C490" i="69"/>
  <c r="A489" i="69"/>
  <c r="B490" i="69"/>
  <c r="L488" i="69"/>
  <c r="L610" i="71" l="1"/>
  <c r="M611" i="71"/>
  <c r="N489" i="69"/>
  <c r="Z489" i="69" s="1"/>
  <c r="M489" i="69"/>
  <c r="E490" i="69"/>
  <c r="J490" i="69" s="1"/>
  <c r="L611" i="71" l="1"/>
  <c r="M612" i="71"/>
  <c r="P489" i="69"/>
  <c r="D490" i="69"/>
  <c r="K490" i="69" s="1"/>
  <c r="A490" i="69" s="1"/>
  <c r="L612" i="71" l="1"/>
  <c r="M613" i="71"/>
  <c r="N490" i="69"/>
  <c r="Z490" i="69" s="1"/>
  <c r="C491" i="69"/>
  <c r="H490" i="69"/>
  <c r="I490" i="69"/>
  <c r="B491" i="69"/>
  <c r="E491" i="69" s="1"/>
  <c r="J491" i="69" s="1"/>
  <c r="M490" i="69"/>
  <c r="L613" i="71" l="1"/>
  <c r="M614" i="71"/>
  <c r="P490" i="69"/>
  <c r="L489" i="69"/>
  <c r="D491" i="69"/>
  <c r="L614" i="71" l="1"/>
  <c r="M615" i="71"/>
  <c r="I491" i="69"/>
  <c r="H491" i="69"/>
  <c r="K491" i="69"/>
  <c r="L615" i="71" l="1"/>
  <c r="M616" i="71"/>
  <c r="B492" i="69"/>
  <c r="C492" i="69"/>
  <c r="A491" i="69"/>
  <c r="L616" i="71" l="1"/>
  <c r="M617" i="71"/>
  <c r="N491" i="69"/>
  <c r="Z491" i="69" s="1"/>
  <c r="M491" i="69"/>
  <c r="E492" i="69"/>
  <c r="J492" i="69" s="1"/>
  <c r="L490" i="69"/>
  <c r="L617" i="71" l="1"/>
  <c r="M618" i="71"/>
  <c r="P491" i="69"/>
  <c r="D492" i="69"/>
  <c r="L618" i="71" l="1"/>
  <c r="M619" i="71"/>
  <c r="I492" i="69"/>
  <c r="H492" i="69"/>
  <c r="K492" i="69"/>
  <c r="L619" i="71" l="1"/>
  <c r="M620" i="71"/>
  <c r="C493" i="69"/>
  <c r="A492" i="69"/>
  <c r="B493" i="69"/>
  <c r="L620" i="71" l="1"/>
  <c r="M621" i="71"/>
  <c r="N492" i="69"/>
  <c r="Z492" i="69" s="1"/>
  <c r="M492" i="69"/>
  <c r="E493" i="69"/>
  <c r="J493" i="69" s="1"/>
  <c r="L491" i="69"/>
  <c r="L621" i="71" l="1"/>
  <c r="M622" i="71"/>
  <c r="P492" i="69"/>
  <c r="D493" i="69"/>
  <c r="L622" i="71" l="1"/>
  <c r="M623" i="71"/>
  <c r="H493" i="69"/>
  <c r="I493" i="69"/>
  <c r="K493" i="69"/>
  <c r="L492" i="69"/>
  <c r="L623" i="71" l="1"/>
  <c r="M624" i="71"/>
  <c r="B494" i="69"/>
  <c r="A493" i="69"/>
  <c r="C494" i="69"/>
  <c r="L624" i="71" l="1"/>
  <c r="M625" i="71"/>
  <c r="N493" i="69"/>
  <c r="Z493" i="69" s="1"/>
  <c r="M493" i="69"/>
  <c r="E494" i="69"/>
  <c r="J494" i="69" s="1"/>
  <c r="L625" i="71" l="1"/>
  <c r="M626" i="71"/>
  <c r="P493" i="69"/>
  <c r="D494" i="69"/>
  <c r="L626" i="71" l="1"/>
  <c r="M627" i="71"/>
  <c r="L493" i="69"/>
  <c r="I494" i="69"/>
  <c r="H494" i="69"/>
  <c r="K494" i="69"/>
  <c r="A494" i="69" s="1"/>
  <c r="L627" i="71" l="1"/>
  <c r="M628" i="71"/>
  <c r="N494" i="69"/>
  <c r="Z494" i="69" s="1"/>
  <c r="M494" i="69"/>
  <c r="L628" i="71" l="1"/>
  <c r="M629" i="71"/>
  <c r="P494" i="69"/>
  <c r="L494" i="69"/>
  <c r="L495" i="69" s="1"/>
  <c r="L496" i="69" s="1"/>
  <c r="L497" i="69" s="1"/>
  <c r="L498" i="69" s="1"/>
  <c r="L499" i="69" s="1"/>
  <c r="L500" i="69" s="1"/>
  <c r="L501" i="69" s="1"/>
  <c r="L502" i="69" s="1"/>
  <c r="L503" i="69" s="1"/>
  <c r="L504" i="69" s="1"/>
  <c r="L505" i="69" s="1"/>
  <c r="L629" i="71" l="1"/>
  <c r="M630" i="71"/>
  <c r="R18" i="67"/>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9" i="67"/>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L631" i="71" l="1"/>
  <c r="M632" i="71"/>
  <c r="I6" i="67"/>
  <c r="K6" i="67" s="1"/>
  <c r="K9" i="67" s="1"/>
  <c r="G9" i="67"/>
  <c r="M19" i="67"/>
  <c r="L19" i="67"/>
  <c r="K19" i="67"/>
  <c r="J19" i="67"/>
  <c r="F9" i="67"/>
  <c r="R16" i="67"/>
  <c r="R14" i="67"/>
  <c r="J15" i="4"/>
  <c r="K15" i="4" s="1"/>
  <c r="R15" i="1"/>
  <c r="L632" i="71" l="1"/>
  <c r="M633" i="71"/>
  <c r="I9" i="67"/>
  <c r="R6" i="67"/>
  <c r="H41" i="65"/>
  <c r="E26" i="37"/>
  <c r="F4" i="13"/>
  <c r="F29" i="20"/>
  <c r="G29" i="20" s="1"/>
  <c r="M16" i="16"/>
  <c r="N16" i="16" s="1"/>
  <c r="E12" i="16"/>
  <c r="E11" i="16"/>
  <c r="E10" i="16"/>
  <c r="E8" i="16"/>
  <c r="G7" i="18"/>
  <c r="G6" i="18"/>
  <c r="R11" i="1"/>
  <c r="R12" i="1"/>
  <c r="L633" i="71" l="1"/>
  <c r="M634" i="71"/>
  <c r="R8" i="67"/>
  <c r="O5" i="71" s="1"/>
  <c r="F17" i="1"/>
  <c r="E17" i="1"/>
  <c r="D17" i="1"/>
  <c r="L634" i="71" l="1"/>
  <c r="M635" i="71"/>
  <c r="R5" i="7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L635" i="71" l="1"/>
  <c r="M636" i="71"/>
  <c r="O6" i="71"/>
  <c r="O20" i="71" s="1"/>
  <c r="X20" i="71" s="1"/>
  <c r="R5" i="69"/>
  <c r="P5" i="69"/>
  <c r="Q5" i="69"/>
  <c r="Q6" i="69"/>
  <c r="Q9" i="69" s="1"/>
  <c r="R6" i="69"/>
  <c r="R9" i="69" s="1"/>
  <c r="P6" i="69"/>
  <c r="J58" i="1"/>
  <c r="M65" i="1" s="1"/>
  <c r="AE20" i="71" l="1"/>
  <c r="O21" i="71"/>
  <c r="X21" i="71" s="1"/>
  <c r="AD20" i="71"/>
  <c r="L636" i="71"/>
  <c r="M637" i="71"/>
  <c r="O9" i="71"/>
  <c r="V8" i="71"/>
  <c r="AC3" i="71" s="1"/>
  <c r="P9" i="69"/>
  <c r="O6" i="69"/>
  <c r="D14" i="1"/>
  <c r="I52" i="33"/>
  <c r="B37" i="33"/>
  <c r="C37" i="33" s="1"/>
  <c r="B24" i="33"/>
  <c r="Q15" i="1"/>
  <c r="Q12" i="1"/>
  <c r="Q11" i="1"/>
  <c r="F5" i="58"/>
  <c r="F12" i="58"/>
  <c r="F11" i="58"/>
  <c r="F10" i="58"/>
  <c r="F9" i="58"/>
  <c r="J2" i="58"/>
  <c r="G8" i="58" s="1"/>
  <c r="AD21" i="71" l="1"/>
  <c r="AE21" i="71" s="1"/>
  <c r="O22" i="71"/>
  <c r="X22" i="71" s="1"/>
  <c r="L637" i="71"/>
  <c r="M638" i="7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AA6" i="69"/>
  <c r="B12" i="66"/>
  <c r="B11" i="66" s="1"/>
  <c r="O20" i="69"/>
  <c r="X20" i="69" s="1"/>
  <c r="AD19" i="69"/>
  <c r="AE19" i="69" s="1"/>
  <c r="Q16" i="1"/>
  <c r="R16" i="1"/>
  <c r="AD23" i="71" l="1"/>
  <c r="O24" i="71"/>
  <c r="X24" i="71" s="1"/>
  <c r="AE23" i="71"/>
  <c r="L639" i="71"/>
  <c r="M640" i="71"/>
  <c r="O21" i="69"/>
  <c r="X21" i="69" s="1"/>
  <c r="AD20" i="69"/>
  <c r="AE20" i="69" s="1"/>
  <c r="E3" i="4"/>
  <c r="F9" i="22"/>
  <c r="G9" i="22" s="1"/>
  <c r="G8" i="22"/>
  <c r="F7" i="22"/>
  <c r="G7" i="22" s="1"/>
  <c r="F6" i="22"/>
  <c r="G6" i="22" s="1"/>
  <c r="F5" i="22"/>
  <c r="G5" i="22" s="1"/>
  <c r="E7" i="15"/>
  <c r="F7" i="15" s="1"/>
  <c r="E6" i="15"/>
  <c r="F6" i="15" s="1"/>
  <c r="E5" i="15"/>
  <c r="F5" i="15" s="1"/>
  <c r="G8" i="15"/>
  <c r="O25" i="71" l="1"/>
  <c r="X25" i="71" s="1"/>
  <c r="AD24" i="71"/>
  <c r="AE24" i="71" s="1"/>
  <c r="L640" i="71"/>
  <c r="M641" i="7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c r="L641" i="71"/>
  <c r="M642" i="71"/>
  <c r="O23" i="69"/>
  <c r="X23" i="69" s="1"/>
  <c r="AD22" i="69"/>
  <c r="AE22" i="69" s="1"/>
  <c r="G5" i="21"/>
  <c r="L9" i="4"/>
  <c r="O27" i="71" l="1"/>
  <c r="X27" i="71" s="1"/>
  <c r="AD26" i="71"/>
  <c r="AE26" i="71" s="1"/>
  <c r="L642" i="71"/>
  <c r="M643" i="71"/>
  <c r="O24" i="69"/>
  <c r="X24" i="69" s="1"/>
  <c r="AD23" i="69"/>
  <c r="AE23" i="69" s="1"/>
  <c r="F47" i="1"/>
  <c r="F16" i="1"/>
  <c r="E15" i="1"/>
  <c r="D15" i="1"/>
  <c r="B1" i="1"/>
  <c r="C1" i="1"/>
  <c r="D1" i="1"/>
  <c r="O28" i="71" l="1"/>
  <c r="X28" i="71" s="1"/>
  <c r="AD27" i="71"/>
  <c r="AE27" i="71" s="1"/>
  <c r="L643" i="71"/>
  <c r="M644" i="71"/>
  <c r="B6" i="1"/>
  <c r="O25" i="69"/>
  <c r="X25" i="69" s="1"/>
  <c r="AD24" i="69"/>
  <c r="AE24" i="69" s="1"/>
  <c r="C22" i="1"/>
  <c r="J22" i="1" s="1"/>
  <c r="G8" i="1"/>
  <c r="F22" i="1"/>
  <c r="B60" i="1"/>
  <c r="O29" i="71" l="1"/>
  <c r="X29" i="71" s="1"/>
  <c r="AD28" i="71"/>
  <c r="AE28" i="71" s="1"/>
  <c r="L644" i="71"/>
  <c r="M645" i="71"/>
  <c r="O26" i="69"/>
  <c r="X26" i="69" s="1"/>
  <c r="AD25" i="69"/>
  <c r="AE25" i="69" s="1"/>
  <c r="C44" i="1"/>
  <c r="E84" i="1"/>
  <c r="G85" i="1"/>
  <c r="D85" i="1"/>
  <c r="B19" i="1"/>
  <c r="AD29" i="71" l="1"/>
  <c r="AE29" i="71" s="1"/>
  <c r="O30" i="71"/>
  <c r="X30" i="71" s="1"/>
  <c r="L645" i="71"/>
  <c r="M646" i="71"/>
  <c r="O27" i="69"/>
  <c r="X27" i="69" s="1"/>
  <c r="AD26" i="69"/>
  <c r="AE26" i="69" s="1"/>
  <c r="I24" i="66"/>
  <c r="I25" i="66"/>
  <c r="G7" i="1"/>
  <c r="E10" i="1" s="1"/>
  <c r="G6" i="1"/>
  <c r="F19" i="1"/>
  <c r="O31" i="71" l="1"/>
  <c r="AD30" i="71"/>
  <c r="AE30" i="71" s="1"/>
  <c r="L646" i="71"/>
  <c r="M647" i="71"/>
  <c r="O28" i="69"/>
  <c r="X28" i="69" s="1"/>
  <c r="AD27" i="69"/>
  <c r="AE27" i="69" s="1"/>
  <c r="C11" i="62"/>
  <c r="C9" i="62"/>
  <c r="C8" i="62"/>
  <c r="C7" i="62"/>
  <c r="C10" i="62"/>
  <c r="C5" i="62"/>
  <c r="C4" i="62"/>
  <c r="C3" i="62"/>
  <c r="S31" i="71" l="1"/>
  <c r="Q31" i="71" s="1"/>
  <c r="L647" i="71"/>
  <c r="M648" i="71"/>
  <c r="O29" i="69"/>
  <c r="X29" i="69" s="1"/>
  <c r="AD28" i="69"/>
  <c r="AE28" i="69" s="1"/>
  <c r="C6" i="62"/>
  <c r="AB31" i="71" l="1"/>
  <c r="AC31" i="71" s="1"/>
  <c r="T31" i="71"/>
  <c r="R31" i="71"/>
  <c r="Z31" i="71"/>
  <c r="L648" i="71"/>
  <c r="M649" i="71"/>
  <c r="O30" i="69"/>
  <c r="X30" i="69" s="1"/>
  <c r="AD29" i="69"/>
  <c r="AE29" i="69" s="1"/>
  <c r="E13" i="59"/>
  <c r="U31" i="71" l="1"/>
  <c r="V31" i="71" s="1"/>
  <c r="W31" i="71"/>
  <c r="X31" i="71"/>
  <c r="L649" i="71"/>
  <c r="M650" i="71"/>
  <c r="O31" i="69"/>
  <c r="AD30" i="69"/>
  <c r="AE30" i="69" s="1"/>
  <c r="H13" i="59"/>
  <c r="AD31" i="71" l="1"/>
  <c r="AE31" i="71" s="1"/>
  <c r="O32" i="71"/>
  <c r="L650" i="71"/>
  <c r="M65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AB31" i="69"/>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AC32" i="71" s="1"/>
  <c r="L652" i="71"/>
  <c r="M653" i="71"/>
  <c r="AC31" i="69"/>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U32" i="71" l="1"/>
  <c r="V32" i="71"/>
  <c r="W32" i="71"/>
  <c r="X32" i="71"/>
  <c r="L653" i="71"/>
  <c r="M654" i="71"/>
  <c r="AD31" i="69"/>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S32" i="69"/>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AB32" i="69"/>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U32" i="69"/>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O34" i="71"/>
  <c r="AE33"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T39" i="71"/>
  <c r="R39" i="71"/>
  <c r="Z39" i="71"/>
  <c r="AC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O40" i="71"/>
  <c r="AE39"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R45" i="71"/>
  <c r="AC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O48" i="71"/>
  <c r="AE47"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T49" i="71"/>
  <c r="R49" i="71"/>
  <c r="Z49" i="71"/>
  <c r="AC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K83" i="1"/>
  <c r="K81" i="1"/>
  <c r="U54" i="71" l="1"/>
  <c r="V54" i="71" s="1"/>
  <c r="W54" i="71"/>
  <c r="X54" i="71"/>
  <c r="L741" i="71"/>
  <c r="M742" i="71"/>
  <c r="K82" i="1"/>
  <c r="O55" i="71" l="1"/>
  <c r="AD54" i="71"/>
  <c r="AE54" i="71" s="1"/>
  <c r="L742" i="71"/>
  <c r="M743" i="71"/>
  <c r="K80" i="1"/>
  <c r="K85" i="1" s="1"/>
  <c r="S55" i="71" l="1"/>
  <c r="Q55" i="71" s="1"/>
  <c r="L743" i="71"/>
  <c r="M744" i="71"/>
  <c r="K1" i="33"/>
  <c r="AB55" i="71" l="1"/>
  <c r="AC55" i="71" s="1"/>
  <c r="T55" i="71"/>
  <c r="Z55" i="71"/>
  <c r="R55" i="71"/>
  <c r="L744" i="71"/>
  <c r="M745" i="71"/>
  <c r="J32" i="1"/>
  <c r="J54" i="1" s="1"/>
  <c r="M41" i="1" s="1"/>
  <c r="U55" i="71" l="1"/>
  <c r="V55" i="71"/>
  <c r="W55" i="71"/>
  <c r="X55" i="71"/>
  <c r="L745" i="71"/>
  <c r="M746" i="71"/>
  <c r="D54" i="1"/>
  <c r="G84" i="1" s="1"/>
  <c r="M49" i="1"/>
  <c r="AD55" i="71" l="1"/>
  <c r="AE55" i="71"/>
  <c r="O56" i="71"/>
  <c r="L746" i="71"/>
  <c r="M747" i="71"/>
  <c r="G14" i="33"/>
  <c r="E17" i="33" s="1"/>
  <c r="G86" i="1"/>
  <c r="H84" i="1" s="1"/>
  <c r="E39" i="33"/>
  <c r="E15" i="33"/>
  <c r="E25" i="33"/>
  <c r="E52" i="33"/>
  <c r="S56" i="71" l="1"/>
  <c r="Q56" i="71"/>
  <c r="L747" i="71"/>
  <c r="M748" i="71"/>
  <c r="E16" i="33"/>
  <c r="H80" i="1"/>
  <c r="H81" i="1"/>
  <c r="H82" i="1"/>
  <c r="H83" i="1"/>
  <c r="Z56" i="71" l="1"/>
  <c r="R56" i="71"/>
  <c r="T56" i="71"/>
  <c r="AB56" i="71"/>
  <c r="AC56" i="71" s="1"/>
  <c r="L748" i="71"/>
  <c r="M749" i="71"/>
  <c r="H85" i="1"/>
  <c r="H86" i="1"/>
  <c r="U56" i="71" l="1"/>
  <c r="V56" i="71"/>
  <c r="W56" i="71"/>
  <c r="X56" i="71"/>
  <c r="L749" i="71"/>
  <c r="M750" i="71"/>
  <c r="I26" i="66"/>
  <c r="O57" i="71" l="1"/>
  <c r="AD56" i="71"/>
  <c r="AE56" i="71" s="1"/>
  <c r="L750" i="71"/>
  <c r="M751" i="71"/>
  <c r="F54" i="1"/>
  <c r="S57" i="71" l="1"/>
  <c r="Q57" i="71"/>
  <c r="L751" i="71"/>
  <c r="M752" i="71"/>
  <c r="AD32" i="69"/>
  <c r="AE32" i="69" s="1"/>
  <c r="AB57" i="71" l="1"/>
  <c r="AC57" i="71" s="1"/>
  <c r="Z57" i="71"/>
  <c r="R57" i="71"/>
  <c r="T57" i="71"/>
  <c r="L752" i="71"/>
  <c r="M753" i="71"/>
  <c r="O33" i="69"/>
  <c r="U57" i="71" l="1"/>
  <c r="V57" i="71" s="1"/>
  <c r="W57" i="71"/>
  <c r="X57" i="71"/>
  <c r="L753" i="71"/>
  <c r="M754" i="71"/>
  <c r="S33" i="69"/>
  <c r="Q33" i="69" s="1"/>
  <c r="O58" i="71" l="1"/>
  <c r="AD57" i="71"/>
  <c r="AE57" i="71"/>
  <c r="L754" i="71"/>
  <c r="M755" i="71"/>
  <c r="AB33" i="69"/>
  <c r="AC33" i="69" s="1"/>
  <c r="Y33" i="69"/>
  <c r="R33" i="69"/>
  <c r="T33" i="69"/>
  <c r="S58" i="71" l="1"/>
  <c r="Q58" i="71"/>
  <c r="L755" i="71"/>
  <c r="M756" i="71"/>
  <c r="U33" i="69"/>
  <c r="V33" i="69" s="1"/>
  <c r="W33" i="69"/>
  <c r="X33" i="69"/>
  <c r="AD33" i="69" s="1"/>
  <c r="AE33" i="69" s="1"/>
  <c r="Z58" i="71" l="1"/>
  <c r="R58" i="71"/>
  <c r="T58" i="71"/>
  <c r="AB58" i="71"/>
  <c r="AC58" i="71" s="1"/>
  <c r="L756" i="71"/>
  <c r="M757" i="71"/>
  <c r="O34" i="69"/>
  <c r="U58" i="71" l="1"/>
  <c r="V58" i="71"/>
  <c r="W58" i="71"/>
  <c r="X58" i="71"/>
  <c r="L757" i="71"/>
  <c r="M758" i="71"/>
  <c r="S34" i="69"/>
  <c r="O59" i="71" l="1"/>
  <c r="AD58" i="71"/>
  <c r="AE58" i="71"/>
  <c r="L758" i="71"/>
  <c r="M759" i="71"/>
  <c r="Q34" i="69"/>
  <c r="S59" i="71" l="1"/>
  <c r="Q59" i="71"/>
  <c r="L759" i="71"/>
  <c r="M760" i="71"/>
  <c r="AB34" i="69"/>
  <c r="AC34" i="69" s="1"/>
  <c r="Y34" i="69"/>
  <c r="T34" i="69"/>
  <c r="R34" i="69"/>
  <c r="R59" i="71" l="1"/>
  <c r="T59" i="71"/>
  <c r="Z59" i="71"/>
  <c r="AB59" i="71"/>
  <c r="AC59" i="71" s="1"/>
  <c r="L760" i="71"/>
  <c r="M761" i="71"/>
  <c r="U34" i="69"/>
  <c r="V34" i="69" s="1"/>
  <c r="X34" i="69"/>
  <c r="W34" i="69"/>
  <c r="U59" i="71" l="1"/>
  <c r="V59" i="71"/>
  <c r="W59" i="71"/>
  <c r="X59" i="71"/>
  <c r="L761" i="71"/>
  <c r="M762" i="71"/>
  <c r="O35" i="69"/>
  <c r="AD34" i="69"/>
  <c r="AE34" i="69" s="1"/>
  <c r="AD59" i="71" l="1"/>
  <c r="AE59" i="71" s="1"/>
  <c r="O60" i="71"/>
  <c r="L762" i="71"/>
  <c r="M763" i="71"/>
  <c r="S35" i="69"/>
  <c r="Q35" i="69" s="1"/>
  <c r="S60" i="71" l="1"/>
  <c r="Q60" i="71" s="1"/>
  <c r="L763" i="71"/>
  <c r="M764" i="71"/>
  <c r="AB35" i="69"/>
  <c r="AC35" i="69" s="1"/>
  <c r="Y35" i="69"/>
  <c r="R35" i="69"/>
  <c r="T35" i="69"/>
  <c r="AB60" i="71" l="1"/>
  <c r="R60" i="71"/>
  <c r="AC60" i="71"/>
  <c r="T60" i="71"/>
  <c r="Z60" i="71"/>
  <c r="L764" i="71"/>
  <c r="M765" i="71"/>
  <c r="U35" i="69"/>
  <c r="V35" i="69" s="1"/>
  <c r="X35" i="69"/>
  <c r="W35" i="69"/>
  <c r="U60" i="71" l="1"/>
  <c r="V60" i="71"/>
  <c r="W60" i="71"/>
  <c r="X60" i="71"/>
  <c r="L765" i="71"/>
  <c r="M766" i="71"/>
  <c r="O36" i="69"/>
  <c r="AD35" i="69"/>
  <c r="AE35" i="69" s="1"/>
  <c r="AD60" i="71" l="1"/>
  <c r="AE60" i="71"/>
  <c r="O61" i="71"/>
  <c r="L766" i="71"/>
  <c r="M767" i="71"/>
  <c r="S36" i="69"/>
  <c r="Q36" i="69" s="1"/>
  <c r="S61" i="71" l="1"/>
  <c r="Q61" i="71"/>
  <c r="L767" i="71"/>
  <c r="M768" i="71"/>
  <c r="AB36" i="69"/>
  <c r="AC36" i="69" s="1"/>
  <c r="T36" i="69"/>
  <c r="Y36" i="69"/>
  <c r="R36" i="69"/>
  <c r="Z61" i="71" l="1"/>
  <c r="AB61" i="71"/>
  <c r="AC61" i="71" s="1"/>
  <c r="R61" i="71"/>
  <c r="T61" i="71"/>
  <c r="L768" i="71"/>
  <c r="M769" i="71"/>
  <c r="X36" i="69"/>
  <c r="U36" i="69"/>
  <c r="V36" i="69" s="1"/>
  <c r="W36" i="69"/>
  <c r="U61" i="71" l="1"/>
  <c r="V61" i="71"/>
  <c r="W61" i="71"/>
  <c r="X61" i="71"/>
  <c r="L769" i="71"/>
  <c r="M770" i="71"/>
  <c r="O37" i="69"/>
  <c r="AD36" i="69"/>
  <c r="AE36" i="69" s="1"/>
  <c r="AD61" i="71" l="1"/>
  <c r="AE61" i="71" s="1"/>
  <c r="O62" i="71"/>
  <c r="L770" i="71"/>
  <c r="M771" i="71"/>
  <c r="S37" i="69"/>
  <c r="Q37" i="69" s="1"/>
  <c r="S62" i="71" l="1"/>
  <c r="Q62" i="71"/>
  <c r="L771" i="71"/>
  <c r="M772" i="71"/>
  <c r="AB37" i="69"/>
  <c r="AC37" i="69" s="1"/>
  <c r="T37" i="69"/>
  <c r="Y37" i="69"/>
  <c r="R37" i="69"/>
  <c r="Z62" i="71" l="1"/>
  <c r="AB62" i="71"/>
  <c r="AC62" i="71" s="1"/>
  <c r="R62" i="71"/>
  <c r="T62" i="71"/>
  <c r="L772" i="71"/>
  <c r="M773" i="71"/>
  <c r="X37" i="69"/>
  <c r="W37" i="69"/>
  <c r="U37" i="69"/>
  <c r="V37" i="69" s="1"/>
  <c r="U62" i="71" l="1"/>
  <c r="V62" i="71" s="1"/>
  <c r="W62" i="71"/>
  <c r="X62" i="71"/>
  <c r="L773" i="71"/>
  <c r="M774" i="71"/>
  <c r="O38" i="69"/>
  <c r="AD37" i="69"/>
  <c r="AE37" i="69" s="1"/>
  <c r="O63" i="71" l="1"/>
  <c r="AD62" i="71"/>
  <c r="AE62" i="71" s="1"/>
  <c r="L774" i="71"/>
  <c r="M775" i="71"/>
  <c r="S38" i="69"/>
  <c r="Q38" i="69" s="1"/>
  <c r="S63" i="71" l="1"/>
  <c r="Q63" i="71"/>
  <c r="L775" i="71"/>
  <c r="M776" i="71"/>
  <c r="AB38" i="69"/>
  <c r="AC38" i="69" s="1"/>
  <c r="T38" i="69"/>
  <c r="R38" i="69"/>
  <c r="Y38" i="69"/>
  <c r="Z63" i="71" l="1"/>
  <c r="AB63" i="71"/>
  <c r="AC63" i="71" s="1"/>
  <c r="R63" i="71"/>
  <c r="T63" i="71"/>
  <c r="L776" i="71"/>
  <c r="M777" i="71"/>
  <c r="X38" i="69"/>
  <c r="U38" i="69"/>
  <c r="V38" i="69" s="1"/>
  <c r="W38" i="69"/>
  <c r="U63" i="71" l="1"/>
  <c r="V63" i="71" s="1"/>
  <c r="W63" i="71"/>
  <c r="X63" i="71"/>
  <c r="L777" i="71"/>
  <c r="M778" i="71"/>
  <c r="O39" i="69"/>
  <c r="AD38" i="69"/>
  <c r="AE38" i="69" s="1"/>
  <c r="AD63" i="71" l="1"/>
  <c r="AE63" i="71"/>
  <c r="O64" i="71"/>
  <c r="L778" i="71"/>
  <c r="M779" i="71"/>
  <c r="S39" i="69"/>
  <c r="Q39" i="69" s="1"/>
  <c r="S64" i="71" l="1"/>
  <c r="Q64" i="71"/>
  <c r="L779" i="71"/>
  <c r="M780" i="71"/>
  <c r="AB39" i="69"/>
  <c r="AC39" i="69" s="1"/>
  <c r="Y39" i="69"/>
  <c r="R39" i="69"/>
  <c r="T39" i="69"/>
  <c r="R64" i="71" l="1"/>
  <c r="T64" i="71"/>
  <c r="AB64" i="71"/>
  <c r="AC64" i="71" s="1"/>
  <c r="Z64" i="71"/>
  <c r="L780" i="71"/>
  <c r="M781" i="71"/>
  <c r="X39" i="69"/>
  <c r="U39" i="69"/>
  <c r="V39" i="69" s="1"/>
  <c r="W39" i="69"/>
  <c r="U64" i="71" l="1"/>
  <c r="V64" i="71" s="1"/>
  <c r="W64" i="71"/>
  <c r="X64" i="71"/>
  <c r="L781" i="71"/>
  <c r="M782" i="71"/>
  <c r="O40" i="69"/>
  <c r="AD39" i="69"/>
  <c r="AE39" i="69" s="1"/>
  <c r="O65" i="71" l="1"/>
  <c r="AD64" i="71"/>
  <c r="AE64" i="71" s="1"/>
  <c r="L782" i="71"/>
  <c r="M783" i="71"/>
  <c r="S40" i="69"/>
  <c r="Q40" i="69" s="1"/>
  <c r="S65" i="71" l="1"/>
  <c r="Q65" i="71"/>
  <c r="L783" i="71"/>
  <c r="M784" i="71"/>
  <c r="AB40" i="69"/>
  <c r="AC40" i="69" s="1"/>
  <c r="Y40" i="69"/>
  <c r="T40" i="69"/>
  <c r="R40" i="69"/>
  <c r="Z65" i="71" l="1"/>
  <c r="AB65" i="71"/>
  <c r="AC65" i="71"/>
  <c r="R65" i="71"/>
  <c r="T65" i="71"/>
  <c r="L784" i="71"/>
  <c r="M785" i="71"/>
  <c r="X40" i="69"/>
  <c r="W40" i="69"/>
  <c r="U40" i="69"/>
  <c r="V40" i="69" s="1"/>
  <c r="U65" i="71" l="1"/>
  <c r="V65" i="71" s="1"/>
  <c r="W65" i="71"/>
  <c r="X65" i="71"/>
  <c r="L785" i="71"/>
  <c r="M786" i="71"/>
  <c r="O41" i="69"/>
  <c r="AD40" i="69"/>
  <c r="AE40" i="69" s="1"/>
  <c r="O66" i="71" l="1"/>
  <c r="AD65" i="71"/>
  <c r="AE65" i="71"/>
  <c r="L786" i="71"/>
  <c r="M787" i="71"/>
  <c r="S41" i="69"/>
  <c r="Q41" i="69" s="1"/>
  <c r="S66" i="71" l="1"/>
  <c r="Q66" i="7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s="1"/>
  <c r="AB41" i="69"/>
  <c r="AC41" i="69" s="1"/>
  <c r="R41" i="69"/>
  <c r="Y41" i="69"/>
  <c r="T41" i="69"/>
  <c r="R66" i="71" l="1"/>
  <c r="Z66" i="71"/>
  <c r="AB66" i="71"/>
  <c r="AC66" i="71" s="1"/>
  <c r="T66" i="71"/>
  <c r="X41" i="69"/>
  <c r="U41" i="69"/>
  <c r="V41" i="69" s="1"/>
  <c r="W41" i="69"/>
  <c r="U66" i="71" l="1"/>
  <c r="V66" i="71"/>
  <c r="W66" i="71"/>
  <c r="X66" i="71"/>
  <c r="AD41" i="69"/>
  <c r="AE41" i="69" s="1"/>
  <c r="O42" i="69"/>
  <c r="AD66" i="71" l="1"/>
  <c r="AE66" i="71" s="1"/>
  <c r="O67" i="71"/>
  <c r="S42" i="69"/>
  <c r="Q42" i="69" s="1"/>
  <c r="S67" i="71" l="1"/>
  <c r="Q67" i="71" s="1"/>
  <c r="AB42" i="69"/>
  <c r="AC42" i="69" s="1"/>
  <c r="R42" i="69"/>
  <c r="Y42" i="69"/>
  <c r="T42" i="69"/>
  <c r="T67" i="71" l="1"/>
  <c r="R67" i="71"/>
  <c r="Z67" i="71"/>
  <c r="AB67" i="71"/>
  <c r="AC67" i="71"/>
  <c r="X42" i="69"/>
  <c r="W42" i="69"/>
  <c r="U42" i="69"/>
  <c r="V42" i="69" s="1"/>
  <c r="U67" i="71" l="1"/>
  <c r="V67" i="71"/>
  <c r="W67" i="71"/>
  <c r="X67" i="71"/>
  <c r="AD42" i="69"/>
  <c r="AE42" i="69" s="1"/>
  <c r="O43" i="69"/>
  <c r="AD67" i="71" l="1"/>
  <c r="AE67" i="71"/>
  <c r="O68" i="71"/>
  <c r="S43" i="69"/>
  <c r="Q43" i="69" s="1"/>
  <c r="S68" i="71" l="1"/>
  <c r="Q68" i="71"/>
  <c r="AB43" i="69"/>
  <c r="AC43" i="69" s="1"/>
  <c r="R43" i="69"/>
  <c r="Y43" i="69"/>
  <c r="T43" i="69"/>
  <c r="R68" i="71" l="1"/>
  <c r="T68" i="71"/>
  <c r="Z68" i="71"/>
  <c r="AB68" i="71"/>
  <c r="AC68" i="71" s="1"/>
  <c r="X43" i="69"/>
  <c r="U43" i="69"/>
  <c r="V43" i="69" s="1"/>
  <c r="W43" i="69"/>
  <c r="U68" i="71" l="1"/>
  <c r="V68" i="71"/>
  <c r="W68" i="71"/>
  <c r="X68" i="71"/>
  <c r="O44" i="69"/>
  <c r="AD43" i="69"/>
  <c r="AE43" i="69" s="1"/>
  <c r="O69" i="71" l="1"/>
  <c r="AD68" i="71"/>
  <c r="AE68" i="71" s="1"/>
  <c r="S44" i="69"/>
  <c r="Q44" i="69" s="1"/>
  <c r="S69" i="71" l="1"/>
  <c r="Q69" i="71"/>
  <c r="AB44" i="69"/>
  <c r="AC44" i="69" s="1"/>
  <c r="R44" i="69"/>
  <c r="Y44" i="69"/>
  <c r="T44" i="69"/>
  <c r="R69" i="71" l="1"/>
  <c r="T69" i="71"/>
  <c r="Z69" i="71"/>
  <c r="AB69" i="71"/>
  <c r="AC69" i="71"/>
  <c r="X44" i="69"/>
  <c r="U44" i="69"/>
  <c r="V44" i="69" s="1"/>
  <c r="W44" i="69"/>
  <c r="U69" i="71" l="1"/>
  <c r="V69" i="71" s="1"/>
  <c r="W69" i="71"/>
  <c r="X69" i="71"/>
  <c r="AD44" i="69"/>
  <c r="AE44" i="69" s="1"/>
  <c r="O45" i="69"/>
  <c r="O70" i="71" l="1"/>
  <c r="AD69" i="71"/>
  <c r="AE69" i="71" s="1"/>
  <c r="S45" i="69"/>
  <c r="Q45" i="69" s="1"/>
  <c r="S70" i="71" l="1"/>
  <c r="Q70" i="71"/>
  <c r="AB45" i="69"/>
  <c r="AC45" i="69" s="1"/>
  <c r="Y45" i="69"/>
  <c r="T45" i="69"/>
  <c r="R45" i="69"/>
  <c r="T70" i="71" l="1"/>
  <c r="Z70" i="71"/>
  <c r="AB70" i="71"/>
  <c r="AC70" i="71" s="1"/>
  <c r="R70" i="71"/>
  <c r="X45" i="69"/>
  <c r="U45" i="69"/>
  <c r="V45" i="69" s="1"/>
  <c r="W45" i="69"/>
  <c r="U70" i="71" l="1"/>
  <c r="V70" i="71"/>
  <c r="W70" i="71"/>
  <c r="X70" i="71"/>
  <c r="AD45" i="69"/>
  <c r="AE45" i="69" s="1"/>
  <c r="O46" i="69"/>
  <c r="O71" i="71" l="1"/>
  <c r="AD70" i="71"/>
  <c r="AE70" i="71" s="1"/>
  <c r="S46" i="69"/>
  <c r="Q46" i="69" s="1"/>
  <c r="S71" i="71" l="1"/>
  <c r="Q71" i="71"/>
  <c r="AB46" i="69"/>
  <c r="AC46" i="69" s="1"/>
  <c r="R46" i="69"/>
  <c r="T46" i="69"/>
  <c r="Y46" i="69"/>
  <c r="T71" i="71" l="1"/>
  <c r="Z71" i="71"/>
  <c r="AB71" i="71"/>
  <c r="AC71" i="71" s="1"/>
  <c r="R71" i="71"/>
  <c r="W46" i="69"/>
  <c r="U46" i="69"/>
  <c r="V46" i="69" s="1"/>
  <c r="X46" i="69"/>
  <c r="U71" i="71" l="1"/>
  <c r="V71" i="71" s="1"/>
  <c r="W71" i="71"/>
  <c r="X71" i="71"/>
  <c r="AD46" i="69"/>
  <c r="AE46" i="69" s="1"/>
  <c r="O47" i="69"/>
  <c r="AD71" i="71" l="1"/>
  <c r="AE71" i="71" s="1"/>
  <c r="O72" i="71"/>
  <c r="S47" i="69"/>
  <c r="Q47" i="69" s="1"/>
  <c r="S72" i="71" l="1"/>
  <c r="Q72" i="71"/>
  <c r="AB47" i="69"/>
  <c r="AC47" i="69" s="1"/>
  <c r="R47" i="69"/>
  <c r="T47" i="69"/>
  <c r="Y47" i="69"/>
  <c r="R72" i="71" l="1"/>
  <c r="T72" i="71"/>
  <c r="AB72" i="71"/>
  <c r="AC72" i="71" s="1"/>
  <c r="Z72" i="71"/>
  <c r="U47" i="69"/>
  <c r="V47" i="69" s="1"/>
  <c r="W47" i="69"/>
  <c r="X47" i="69"/>
  <c r="U72" i="71" l="1"/>
  <c r="V72" i="71"/>
  <c r="W72" i="71"/>
  <c r="X72" i="71"/>
  <c r="AD47" i="69"/>
  <c r="AE47" i="69" s="1"/>
  <c r="O48" i="69"/>
  <c r="AD72" i="71" l="1"/>
  <c r="AE72" i="71"/>
  <c r="O73" i="71"/>
  <c r="S48" i="69"/>
  <c r="Q48" i="69" s="1"/>
  <c r="S73" i="71" l="1"/>
  <c r="Q73" i="71"/>
  <c r="AB48" i="69"/>
  <c r="AC48" i="69" s="1"/>
  <c r="R48" i="69"/>
  <c r="T48" i="69"/>
  <c r="Y48" i="69"/>
  <c r="AB73" i="71" l="1"/>
  <c r="AC73" i="71" s="1"/>
  <c r="R73" i="71"/>
  <c r="T73" i="71"/>
  <c r="Z73" i="71"/>
  <c r="U48" i="69"/>
  <c r="V48" i="69" s="1"/>
  <c r="W48" i="69"/>
  <c r="X48" i="69"/>
  <c r="U73" i="71" l="1"/>
  <c r="V73" i="71"/>
  <c r="W73" i="71"/>
  <c r="X73" i="71"/>
  <c r="AD48" i="69"/>
  <c r="AE48" i="69" s="1"/>
  <c r="O49" i="69"/>
  <c r="AD73" i="71" l="1"/>
  <c r="AE73" i="71" s="1"/>
  <c r="O74" i="71"/>
  <c r="S49" i="69"/>
  <c r="Q49" i="69" s="1"/>
  <c r="S74" i="71" l="1"/>
  <c r="Q74" i="71"/>
  <c r="AB49" i="69"/>
  <c r="AC49" i="69" s="1"/>
  <c r="R49" i="69"/>
  <c r="T49" i="69"/>
  <c r="Y49" i="69"/>
  <c r="Z74" i="71" l="1"/>
  <c r="AB74" i="71"/>
  <c r="R74" i="71"/>
  <c r="AC74" i="71"/>
  <c r="T74" i="71"/>
  <c r="U49" i="69"/>
  <c r="V49" i="69" s="1"/>
  <c r="W49" i="69"/>
  <c r="X49" i="69"/>
  <c r="U74" i="71" l="1"/>
  <c r="V74" i="71"/>
  <c r="W74" i="71"/>
  <c r="X74" i="71"/>
  <c r="AD49" i="69"/>
  <c r="AE49" i="69" s="1"/>
  <c r="O50" i="69"/>
  <c r="AD74" i="71" l="1"/>
  <c r="AE74" i="71" s="1"/>
  <c r="O75" i="71"/>
  <c r="S50" i="69"/>
  <c r="Q50" i="69" s="1"/>
  <c r="S75" i="71" l="1"/>
  <c r="Q75" i="71"/>
  <c r="AB50" i="69"/>
  <c r="AC50" i="69" s="1"/>
  <c r="R50" i="69"/>
  <c r="T50" i="69"/>
  <c r="Y50" i="69"/>
  <c r="Z75" i="71" l="1"/>
  <c r="AB75" i="71"/>
  <c r="AC75" i="71" s="1"/>
  <c r="T75" i="71"/>
  <c r="R75" i="71"/>
  <c r="W50" i="69"/>
  <c r="U50" i="69"/>
  <c r="V50" i="69" s="1"/>
  <c r="X50" i="69"/>
  <c r="U75" i="71" l="1"/>
  <c r="V75" i="71" s="1"/>
  <c r="W75" i="71"/>
  <c r="X75" i="71"/>
  <c r="O51" i="69"/>
  <c r="AD50" i="69"/>
  <c r="AE50" i="69" s="1"/>
  <c r="O76" i="71" l="1"/>
  <c r="AD75" i="71"/>
  <c r="AE75" i="71"/>
  <c r="S51" i="69"/>
  <c r="Q51" i="69" s="1"/>
  <c r="S76" i="71" l="1"/>
  <c r="Q76" i="71" s="1"/>
  <c r="AB51" i="69"/>
  <c r="AC51" i="69" s="1"/>
  <c r="T51" i="69"/>
  <c r="R51" i="69"/>
  <c r="Y51" i="69"/>
  <c r="Z76" i="71" l="1"/>
  <c r="R76" i="71"/>
  <c r="AB76" i="71"/>
  <c r="AC76" i="71" s="1"/>
  <c r="T76" i="71"/>
  <c r="U51" i="69"/>
  <c r="V51" i="69" s="1"/>
  <c r="W51" i="69"/>
  <c r="X51" i="69"/>
  <c r="U76" i="71" l="1"/>
  <c r="V76" i="71" s="1"/>
  <c r="W76" i="71"/>
  <c r="X76" i="71"/>
  <c r="O52" i="69"/>
  <c r="AD51" i="69"/>
  <c r="AE51" i="69" s="1"/>
  <c r="O77" i="71" l="1"/>
  <c r="AD76" i="71"/>
  <c r="AE76" i="71" s="1"/>
  <c r="S52" i="69"/>
  <c r="Q52" i="69" s="1"/>
  <c r="S77" i="71" l="1"/>
  <c r="Q77" i="71"/>
  <c r="AB52" i="69"/>
  <c r="AC52" i="69" s="1"/>
  <c r="R52" i="69"/>
  <c r="T52" i="69"/>
  <c r="Y52" i="69"/>
  <c r="Z77" i="71" l="1"/>
  <c r="AB77" i="71"/>
  <c r="AC77" i="71" s="1"/>
  <c r="T77" i="71"/>
  <c r="R77" i="71"/>
  <c r="W52" i="69"/>
  <c r="U52" i="69"/>
  <c r="V52" i="69" s="1"/>
  <c r="X52" i="69"/>
  <c r="U77" i="71" l="1"/>
  <c r="V77" i="71" s="1"/>
  <c r="W77" i="71"/>
  <c r="X77" i="71"/>
  <c r="AD52" i="69"/>
  <c r="AE52" i="69" s="1"/>
  <c r="O53" i="69"/>
  <c r="O78" i="71" l="1"/>
  <c r="AD77" i="71"/>
  <c r="AE77" i="71" s="1"/>
  <c r="S53" i="69"/>
  <c r="Q53" i="69" s="1"/>
  <c r="S78" i="71" l="1"/>
  <c r="Q78" i="71"/>
  <c r="AB53" i="69"/>
  <c r="AC53" i="69" s="1"/>
  <c r="Y53" i="69"/>
  <c r="T53" i="69"/>
  <c r="R53" i="69"/>
  <c r="R78" i="71" l="1"/>
  <c r="Z78" i="71"/>
  <c r="AB78" i="71"/>
  <c r="AC78" i="71" s="1"/>
  <c r="T78" i="71"/>
  <c r="W53" i="69"/>
  <c r="U53" i="69"/>
  <c r="V53" i="69" s="1"/>
  <c r="X53" i="69"/>
  <c r="U78" i="71" l="1"/>
  <c r="V78" i="71" s="1"/>
  <c r="W78" i="71"/>
  <c r="X78" i="71"/>
  <c r="O54" i="69"/>
  <c r="AD53" i="69"/>
  <c r="AE53" i="69" s="1"/>
  <c r="O79" i="71" l="1"/>
  <c r="AD78" i="71"/>
  <c r="AE78" i="71"/>
  <c r="S54" i="69"/>
  <c r="Q54" i="69" s="1"/>
  <c r="S79" i="71" l="1"/>
  <c r="Q79" i="71"/>
  <c r="AB54" i="69"/>
  <c r="AC54" i="69" s="1"/>
  <c r="R54" i="69"/>
  <c r="T54" i="69"/>
  <c r="Y54" i="69"/>
  <c r="T79" i="71" l="1"/>
  <c r="Z79" i="71"/>
  <c r="AB79" i="71"/>
  <c r="AC79" i="71"/>
  <c r="R79" i="71"/>
  <c r="U54" i="69"/>
  <c r="V54" i="69" s="1"/>
  <c r="W54" i="69"/>
  <c r="X54" i="69"/>
  <c r="U79" i="71" l="1"/>
  <c r="V79" i="71"/>
  <c r="W79" i="71"/>
  <c r="X79" i="71"/>
  <c r="AD54" i="69"/>
  <c r="AE54" i="69" s="1"/>
  <c r="O55" i="69"/>
  <c r="AD79" i="71" l="1"/>
  <c r="AE79" i="71" s="1"/>
  <c r="O80" i="71"/>
  <c r="S55" i="69"/>
  <c r="Q55" i="69" s="1"/>
  <c r="S80" i="71" l="1"/>
  <c r="Q80" i="71"/>
  <c r="AB55" i="69"/>
  <c r="AC55" i="69" s="1"/>
  <c r="R55" i="69"/>
  <c r="T55" i="69"/>
  <c r="Y55" i="69"/>
  <c r="T80" i="71" l="1"/>
  <c r="Z80" i="71"/>
  <c r="AB80" i="71"/>
  <c r="AC80" i="71" s="1"/>
  <c r="R80" i="71"/>
  <c r="W55" i="69"/>
  <c r="U55" i="69"/>
  <c r="V55" i="69" s="1"/>
  <c r="X55" i="69"/>
  <c r="U80" i="71" l="1"/>
  <c r="V80" i="71" s="1"/>
  <c r="W80" i="71"/>
  <c r="X80" i="71"/>
  <c r="AD55" i="69"/>
  <c r="AE55" i="69" s="1"/>
  <c r="O56" i="69"/>
  <c r="AD80" i="71" l="1"/>
  <c r="AE80" i="71" s="1"/>
  <c r="O81" i="71"/>
  <c r="S56" i="69"/>
  <c r="Q56" i="69" s="1"/>
  <c r="S81" i="71" l="1"/>
  <c r="Q81" i="71"/>
  <c r="AB56" i="69"/>
  <c r="AC56" i="69" s="1"/>
  <c r="R56" i="69"/>
  <c r="T56" i="69"/>
  <c r="Y56" i="69"/>
  <c r="R81" i="71" l="1"/>
  <c r="T81" i="71"/>
  <c r="Z81" i="71"/>
  <c r="AB81" i="71"/>
  <c r="AC81" i="71" s="1"/>
  <c r="W56" i="69"/>
  <c r="U56" i="69"/>
  <c r="V56" i="69" s="1"/>
  <c r="X56" i="69"/>
  <c r="U81" i="71" l="1"/>
  <c r="V81" i="71"/>
  <c r="W81" i="71"/>
  <c r="X81" i="71"/>
  <c r="AD56" i="69"/>
  <c r="AE56" i="69" s="1"/>
  <c r="O57" i="69"/>
  <c r="AD81" i="71" l="1"/>
  <c r="O82" i="71"/>
  <c r="AE81" i="71"/>
  <c r="S57" i="69"/>
  <c r="Q57" i="69" s="1"/>
  <c r="S82" i="71" l="1"/>
  <c r="Q82" i="71"/>
  <c r="AB57" i="69"/>
  <c r="AC57" i="69" s="1"/>
  <c r="R57" i="69"/>
  <c r="T57" i="69"/>
  <c r="Y57" i="69"/>
  <c r="AB82" i="71" l="1"/>
  <c r="AC82" i="71" s="1"/>
  <c r="R82" i="71"/>
  <c r="Z82" i="71"/>
  <c r="T82" i="71"/>
  <c r="U57" i="69"/>
  <c r="V57" i="69" s="1"/>
  <c r="W57" i="69"/>
  <c r="X57" i="69"/>
  <c r="U82" i="71" l="1"/>
  <c r="V82" i="71" s="1"/>
  <c r="W82" i="71"/>
  <c r="X82" i="71"/>
  <c r="AD57" i="69"/>
  <c r="AE57" i="69" s="1"/>
  <c r="O58" i="69"/>
  <c r="AD82" i="71" l="1"/>
  <c r="AE82" i="71" s="1"/>
  <c r="O83" i="71"/>
  <c r="S58" i="69"/>
  <c r="Q58" i="69" s="1"/>
  <c r="S83" i="71" l="1"/>
  <c r="Q83" i="71"/>
  <c r="AB58" i="69"/>
  <c r="AC58" i="69" s="1"/>
  <c r="R58" i="69"/>
  <c r="Y58" i="69"/>
  <c r="T58" i="69"/>
  <c r="Z83" i="71" l="1"/>
  <c r="R83" i="71"/>
  <c r="T83" i="71"/>
  <c r="AB83" i="71"/>
  <c r="AC83" i="71" s="1"/>
  <c r="U58" i="69"/>
  <c r="V58" i="69" s="1"/>
  <c r="W58" i="69"/>
  <c r="X58" i="69"/>
  <c r="U83" i="71" l="1"/>
  <c r="V83" i="71"/>
  <c r="W83" i="71"/>
  <c r="X83" i="71"/>
  <c r="AD58" i="69"/>
  <c r="AE58" i="69" s="1"/>
  <c r="O59" i="69"/>
  <c r="AD83" i="71" l="1"/>
  <c r="AE83" i="71"/>
  <c r="O84" i="71"/>
  <c r="S59" i="69"/>
  <c r="Q59" i="69" s="1"/>
  <c r="S84" i="71" l="1"/>
  <c r="Q84" i="71"/>
  <c r="AB59" i="69"/>
  <c r="AC59" i="69" s="1"/>
  <c r="R59" i="69"/>
  <c r="T59" i="69"/>
  <c r="Y59" i="69"/>
  <c r="R84" i="71" l="1"/>
  <c r="T84" i="71"/>
  <c r="Z84" i="71"/>
  <c r="AB84" i="71"/>
  <c r="AC84" i="71" s="1"/>
  <c r="U59" i="69"/>
  <c r="V59" i="69" s="1"/>
  <c r="W59" i="69"/>
  <c r="X59" i="69"/>
  <c r="U84" i="71" l="1"/>
  <c r="V84" i="71" s="1"/>
  <c r="W84" i="71"/>
  <c r="X84" i="71"/>
  <c r="AD59" i="69"/>
  <c r="AE59" i="69" s="1"/>
  <c r="O60" i="69"/>
  <c r="AD84" i="71" l="1"/>
  <c r="AE84" i="71" s="1"/>
  <c r="O85" i="71"/>
  <c r="S60" i="69"/>
  <c r="Q60" i="69" s="1"/>
  <c r="S85" i="71" l="1"/>
  <c r="Q85" i="71" s="1"/>
  <c r="AB60" i="69"/>
  <c r="AC60" i="69" s="1"/>
  <c r="T60" i="69"/>
  <c r="R60" i="69"/>
  <c r="Y60" i="69"/>
  <c r="T85" i="71" l="1"/>
  <c r="R85" i="71"/>
  <c r="Z85" i="71"/>
  <c r="AB85" i="71"/>
  <c r="AC85" i="71" s="1"/>
  <c r="U60" i="69"/>
  <c r="V60" i="69" s="1"/>
  <c r="W60" i="69"/>
  <c r="X60" i="69"/>
  <c r="U85" i="71" l="1"/>
  <c r="V85" i="71" s="1"/>
  <c r="W85" i="71"/>
  <c r="X85" i="71"/>
  <c r="O61" i="69"/>
  <c r="AD60" i="69"/>
  <c r="AE60" i="69" s="1"/>
  <c r="O86" i="71" l="1"/>
  <c r="AD85" i="71"/>
  <c r="AE85" i="71" s="1"/>
  <c r="S61" i="69"/>
  <c r="Q61" i="69" s="1"/>
  <c r="S86" i="71" l="1"/>
  <c r="Q86" i="71"/>
  <c r="AB61" i="69"/>
  <c r="AC61" i="69" s="1"/>
  <c r="T61" i="69"/>
  <c r="Y61" i="69"/>
  <c r="R61" i="69"/>
  <c r="R86" i="71" l="1"/>
  <c r="T86" i="71"/>
  <c r="AB86" i="71"/>
  <c r="AC86" i="71" s="1"/>
  <c r="Z86" i="71"/>
  <c r="U61" i="69"/>
  <c r="V61" i="69" s="1"/>
  <c r="W61" i="69"/>
  <c r="X61" i="69"/>
  <c r="U86" i="71" l="1"/>
  <c r="V86" i="71" s="1"/>
  <c r="W86" i="71"/>
  <c r="X86" i="71"/>
  <c r="O62" i="69"/>
  <c r="AD61" i="69"/>
  <c r="AE61" i="69" s="1"/>
  <c r="O87" i="71" l="1"/>
  <c r="AD86" i="71"/>
  <c r="AE86" i="71" s="1"/>
  <c r="S62" i="69"/>
  <c r="Q62" i="69" s="1"/>
  <c r="S87" i="71" l="1"/>
  <c r="Q87" i="71"/>
  <c r="AB62" i="69"/>
  <c r="AC62" i="69" s="1"/>
  <c r="T62" i="69"/>
  <c r="R62" i="69"/>
  <c r="Y62" i="69"/>
  <c r="Z87" i="71" l="1"/>
  <c r="R87" i="71"/>
  <c r="T87" i="71"/>
  <c r="AB87" i="71"/>
  <c r="AC87" i="71"/>
  <c r="U62" i="69"/>
  <c r="V62" i="69" s="1"/>
  <c r="W62" i="69"/>
  <c r="X62" i="69"/>
  <c r="U87" i="71" l="1"/>
  <c r="V87" i="71" s="1"/>
  <c r="W87" i="71"/>
  <c r="X87" i="71"/>
  <c r="O63" i="69"/>
  <c r="AD62" i="69"/>
  <c r="AE62" i="69" s="1"/>
  <c r="AD87" i="71" l="1"/>
  <c r="AE87" i="71" s="1"/>
  <c r="O88" i="71"/>
  <c r="S63" i="69"/>
  <c r="Q63" i="69" s="1"/>
  <c r="S88" i="71" l="1"/>
  <c r="Q88" i="71"/>
  <c r="AB63" i="69"/>
  <c r="AC63" i="69" s="1"/>
  <c r="R63" i="69"/>
  <c r="T63" i="69"/>
  <c r="Y63" i="69"/>
  <c r="Z88" i="71" l="1"/>
  <c r="AB88" i="71"/>
  <c r="AC88" i="71" s="1"/>
  <c r="R88" i="71"/>
  <c r="T88" i="71"/>
  <c r="W63" i="69"/>
  <c r="U63" i="69"/>
  <c r="V63" i="69" s="1"/>
  <c r="X63" i="69"/>
  <c r="U88" i="71" l="1"/>
  <c r="V88" i="71" s="1"/>
  <c r="W88" i="71"/>
  <c r="X88" i="71"/>
  <c r="AD63" i="69"/>
  <c r="AE63" i="69" s="1"/>
  <c r="O64" i="69"/>
  <c r="O89" i="71" l="1"/>
  <c r="AD88" i="71"/>
  <c r="AE88" i="71" s="1"/>
  <c r="S64" i="69"/>
  <c r="Q64" i="69" s="1"/>
  <c r="S89" i="71" l="1"/>
  <c r="Q89" i="71" s="1"/>
  <c r="AB64" i="69"/>
  <c r="AC64" i="69" s="1"/>
  <c r="R64" i="69"/>
  <c r="T64" i="69"/>
  <c r="Y64" i="69"/>
  <c r="T89" i="71" l="1"/>
  <c r="Z89" i="71"/>
  <c r="AB89" i="71"/>
  <c r="AC89" i="71" s="1"/>
  <c r="R89" i="71"/>
  <c r="U64" i="69"/>
  <c r="V64" i="69" s="1"/>
  <c r="W64" i="69"/>
  <c r="X64" i="69"/>
  <c r="U89" i="71" l="1"/>
  <c r="V89" i="71" s="1"/>
  <c r="W89" i="71"/>
  <c r="X89" i="71"/>
  <c r="O65" i="69"/>
  <c r="AD64" i="69"/>
  <c r="AE64" i="69" s="1"/>
  <c r="O90" i="71" l="1"/>
  <c r="AD89" i="71"/>
  <c r="AE89" i="71" s="1"/>
  <c r="S65" i="69"/>
  <c r="Q65" i="69" s="1"/>
  <c r="S90" i="71" l="1"/>
  <c r="Q90" i="71"/>
  <c r="AB65" i="69"/>
  <c r="AC65" i="69" s="1"/>
  <c r="T65" i="69"/>
  <c r="Y65" i="69"/>
  <c r="R65" i="69"/>
  <c r="R90" i="71" l="1"/>
  <c r="T90" i="71"/>
  <c r="Z90" i="71"/>
  <c r="AB90" i="71"/>
  <c r="AC90" i="71" s="1"/>
  <c r="AC7" i="71" s="1"/>
  <c r="U65" i="69"/>
  <c r="V65" i="69" s="1"/>
  <c r="W65" i="69"/>
  <c r="X65" i="69"/>
  <c r="U90" i="71" l="1"/>
  <c r="V90" i="71" s="1"/>
  <c r="W90" i="71"/>
  <c r="X90" i="71"/>
  <c r="AD65" i="69"/>
  <c r="AE65" i="69" s="1"/>
  <c r="O66" i="69"/>
  <c r="O91" i="71" l="1"/>
  <c r="AD90" i="71"/>
  <c r="AC8" i="71" s="1"/>
  <c r="AC5" i="71"/>
  <c r="S66" i="69"/>
  <c r="Q66" i="69" s="1"/>
  <c r="S91" i="71" l="1"/>
  <c r="AE90" i="71"/>
  <c r="AC9" i="71" s="1"/>
  <c r="AB66" i="69"/>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V11" i="71" l="1"/>
  <c r="AC4" i="71" l="1"/>
  <c r="Q91" i="71"/>
  <c r="T91" i="71" l="1"/>
  <c r="Z91" i="71"/>
  <c r="AB91" i="71"/>
  <c r="AC91" i="71" s="1"/>
  <c r="R91" i="71"/>
  <c r="U91" i="71" l="1"/>
  <c r="V91" i="7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c r="W93" i="71"/>
  <c r="X93" i="71"/>
  <c r="AD93" i="71" l="1"/>
  <c r="O94" i="71"/>
  <c r="AE93" i="71"/>
  <c r="S94" i="71" l="1"/>
  <c r="Q94" i="71" s="1"/>
  <c r="Z94" i="71" l="1"/>
  <c r="AB94" i="71"/>
  <c r="AC94" i="71" s="1"/>
  <c r="R94" i="71"/>
  <c r="T94" i="71"/>
  <c r="U94" i="71" l="1"/>
  <c r="V94" i="71"/>
  <c r="W94" i="71"/>
  <c r="X94" i="71"/>
  <c r="AD94" i="71" l="1"/>
  <c r="AE94" i="71"/>
  <c r="O95" i="71"/>
  <c r="S95" i="71" l="1"/>
  <c r="Q95" i="71" s="1"/>
  <c r="Z95" i="71" l="1"/>
  <c r="AB95" i="71"/>
  <c r="AC95" i="71" s="1"/>
  <c r="R95" i="71"/>
  <c r="T95" i="71"/>
  <c r="U95" i="71" l="1"/>
  <c r="V95" i="71" s="1"/>
  <c r="W95" i="71"/>
  <c r="X95" i="71"/>
  <c r="AD95" i="71" l="1"/>
  <c r="AE95" i="7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c r="T99" i="71" l="1"/>
  <c r="R99" i="71"/>
  <c r="AB99" i="71"/>
  <c r="AC99" i="71" s="1"/>
  <c r="Z99" i="71"/>
  <c r="U99" i="71" l="1"/>
  <c r="V99" i="71"/>
  <c r="W99" i="71"/>
  <c r="X99" i="71"/>
  <c r="AD99" i="71" l="1"/>
  <c r="AE99" i="71"/>
  <c r="O100" i="71"/>
  <c r="S100" i="71" l="1"/>
  <c r="Q100" i="71" s="1"/>
  <c r="R100" i="71" l="1"/>
  <c r="T100" i="71"/>
  <c r="Z100" i="71"/>
  <c r="AB100" i="71"/>
  <c r="AC100" i="71" s="1"/>
  <c r="U100" i="71" l="1"/>
  <c r="V100" i="71"/>
  <c r="W100" i="71"/>
  <c r="X100" i="71"/>
  <c r="AD100" i="71" l="1"/>
  <c r="AE100" i="71"/>
  <c r="O101" i="71"/>
  <c r="S101" i="71" l="1"/>
  <c r="Q101" i="71" s="1"/>
  <c r="AB101" i="71" l="1"/>
  <c r="AC101" i="71" s="1"/>
  <c r="R101" i="71"/>
  <c r="T101" i="71"/>
  <c r="Z101" i="71"/>
  <c r="V101" i="71" l="1"/>
  <c r="U101" i="71"/>
  <c r="W101" i="71"/>
  <c r="X101" i="71"/>
  <c r="AD101" i="71" l="1"/>
  <c r="AE101" i="71" s="1"/>
  <c r="O102" i="71"/>
  <c r="S102" i="71" l="1"/>
  <c r="Q102" i="71" s="1"/>
  <c r="Z102" i="71" l="1"/>
  <c r="AB102" i="71"/>
  <c r="AC102" i="71" s="1"/>
  <c r="R102" i="71"/>
  <c r="T102" i="71"/>
  <c r="U102" i="71" l="1"/>
  <c r="V102" i="71"/>
  <c r="W102" i="71"/>
  <c r="X102" i="71"/>
  <c r="O103" i="71" l="1"/>
  <c r="AD102" i="71"/>
  <c r="AE102" i="71"/>
  <c r="S103" i="71" l="1"/>
  <c r="Q103" i="71" s="1"/>
  <c r="Z103" i="71" l="1"/>
  <c r="AB103" i="71"/>
  <c r="AC103" i="71" s="1"/>
  <c r="R103" i="71"/>
  <c r="T103" i="71"/>
  <c r="U103" i="71" l="1"/>
  <c r="V103" i="71" s="1"/>
  <c r="W103" i="71"/>
  <c r="X103" i="71"/>
  <c r="AD103" i="71" l="1"/>
  <c r="AE103" i="71"/>
  <c r="O104" i="71"/>
  <c r="S104" i="71" l="1"/>
  <c r="Q104" i="71" s="1"/>
  <c r="Z104" i="71" l="1"/>
  <c r="AB104" i="71"/>
  <c r="R104" i="71"/>
  <c r="AC104" i="71"/>
  <c r="T104" i="71"/>
  <c r="U104" i="71" l="1"/>
  <c r="V104" i="71" s="1"/>
  <c r="W104" i="71"/>
  <c r="X104" i="71"/>
  <c r="O105" i="71" l="1"/>
  <c r="AD104" i="71"/>
  <c r="AE104" i="7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c r="W106" i="71"/>
  <c r="X106" i="71"/>
  <c r="O107" i="71" l="1"/>
  <c r="AD106" i="71"/>
  <c r="AE106" i="71" s="1"/>
  <c r="S107" i="71" l="1"/>
  <c r="Q107" i="71" s="1"/>
  <c r="T107" i="71" l="1"/>
  <c r="Z107" i="71"/>
  <c r="AB107" i="71"/>
  <c r="AC107" i="71" s="1"/>
  <c r="R107" i="71"/>
  <c r="U107" i="71" l="1"/>
  <c r="V107" i="71" s="1"/>
  <c r="W107" i="71"/>
  <c r="X107" i="71"/>
  <c r="AD107" i="71" l="1"/>
  <c r="AE107" i="71"/>
  <c r="O108" i="71"/>
  <c r="S108" i="71" l="1"/>
  <c r="Q108" i="71" s="1"/>
  <c r="R108" i="71" l="1"/>
  <c r="T108" i="71"/>
  <c r="AB108" i="71"/>
  <c r="AC108" i="71" s="1"/>
  <c r="Z108" i="71"/>
  <c r="U108" i="71" l="1"/>
  <c r="V108" i="71"/>
  <c r="W108" i="71"/>
  <c r="X108" i="71"/>
  <c r="AD108" i="71" l="1"/>
  <c r="AE108" i="71" s="1"/>
  <c r="O109" i="71"/>
  <c r="S109" i="71" l="1"/>
  <c r="Q109" i="71"/>
  <c r="AB109" i="71" l="1"/>
  <c r="AC109" i="71" s="1"/>
  <c r="R109" i="71"/>
  <c r="T109" i="71"/>
  <c r="Z109" i="71"/>
  <c r="U109" i="71" l="1"/>
  <c r="V109" i="71" s="1"/>
  <c r="W109" i="71"/>
  <c r="X109" i="71"/>
  <c r="AD109" i="71" l="1"/>
  <c r="AE109" i="71" s="1"/>
  <c r="O110" i="71"/>
  <c r="S110" i="71" l="1"/>
  <c r="Q110" i="71"/>
  <c r="Z110" i="71" l="1"/>
  <c r="AB110" i="71"/>
  <c r="R110" i="71"/>
  <c r="AC110" i="71"/>
  <c r="T110" i="71"/>
  <c r="U110" i="71" l="1"/>
  <c r="V110" i="71" s="1"/>
  <c r="W110" i="71"/>
  <c r="X110" i="71"/>
  <c r="O111" i="71" l="1"/>
  <c r="AD110" i="71"/>
  <c r="AE110" i="71"/>
  <c r="S111" i="71" l="1"/>
  <c r="Q111" i="71" s="1"/>
  <c r="Z111" i="71" l="1"/>
  <c r="AB111" i="71"/>
  <c r="AC111" i="71" s="1"/>
  <c r="R111" i="71"/>
  <c r="T111" i="71"/>
  <c r="U111" i="71" l="1"/>
  <c r="V111" i="71" s="1"/>
  <c r="W111" i="71"/>
  <c r="X111" i="71"/>
  <c r="O112" i="71" l="1"/>
  <c r="AD111" i="71"/>
  <c r="AE111" i="71"/>
  <c r="S112" i="71" l="1"/>
  <c r="Q112" i="71" s="1"/>
  <c r="Z112" i="71" l="1"/>
  <c r="AB112" i="71"/>
  <c r="AC112" i="71" s="1"/>
  <c r="T112" i="71"/>
  <c r="R112" i="71"/>
  <c r="U112" i="71" l="1"/>
  <c r="V112" i="71"/>
  <c r="W112" i="71"/>
  <c r="X112" i="71"/>
  <c r="O113" i="71" l="1"/>
  <c r="AD112" i="71"/>
  <c r="AE112" i="71"/>
  <c r="S113" i="71" l="1"/>
  <c r="Q113" i="71"/>
  <c r="Z113" i="71" l="1"/>
  <c r="AB113" i="71"/>
  <c r="AC113" i="71" s="1"/>
  <c r="R113" i="71"/>
  <c r="T113" i="71"/>
  <c r="U113" i="71" l="1"/>
  <c r="V113" i="71" s="1"/>
  <c r="W113" i="71"/>
  <c r="X113" i="71"/>
  <c r="O114" i="71" l="1"/>
  <c r="AD113" i="71"/>
  <c r="AE113" i="71"/>
  <c r="S114" i="71" l="1"/>
  <c r="Q114" i="71"/>
  <c r="R114" i="71" l="1"/>
  <c r="T114" i="71"/>
  <c r="AB114" i="71"/>
  <c r="AC114" i="71" s="1"/>
  <c r="Z114" i="71"/>
  <c r="U114" i="71" l="1"/>
  <c r="V114" i="71"/>
  <c r="W114" i="71"/>
  <c r="X114" i="71"/>
  <c r="O115" i="71" l="1"/>
  <c r="AD114" i="71"/>
  <c r="AE114" i="71" s="1"/>
  <c r="S115" i="71" l="1"/>
  <c r="Q115" i="71" s="1"/>
  <c r="T115" i="71" l="1"/>
  <c r="AB115" i="71"/>
  <c r="AC115" i="71" s="1"/>
  <c r="R115" i="71"/>
  <c r="Z115" i="71"/>
  <c r="U115" i="71" l="1"/>
  <c r="V115" i="71"/>
  <c r="W115" i="71"/>
  <c r="X115" i="71"/>
  <c r="AD115" i="71" l="1"/>
  <c r="AE115" i="71"/>
  <c r="O116" i="71"/>
  <c r="S116" i="71" l="1"/>
  <c r="Q116" i="71"/>
  <c r="R116" i="71" l="1"/>
  <c r="T116" i="71"/>
  <c r="Z116" i="71"/>
  <c r="AB116" i="71"/>
  <c r="AC116" i="71" s="1"/>
  <c r="U116" i="71" l="1"/>
  <c r="V116" i="71"/>
  <c r="W116" i="71"/>
  <c r="X116" i="71"/>
  <c r="AD116" i="71" l="1"/>
  <c r="AE116" i="71" s="1"/>
  <c r="O117" i="71"/>
  <c r="S117" i="71" l="1"/>
  <c r="Q117" i="71"/>
  <c r="AB117" i="71" l="1"/>
  <c r="R117" i="71"/>
  <c r="AC117" i="71"/>
  <c r="T117" i="71"/>
  <c r="Z117" i="71"/>
  <c r="U117" i="71" l="1"/>
  <c r="V117" i="71"/>
  <c r="W117" i="71"/>
  <c r="X117" i="71"/>
  <c r="AD117" i="71" l="1"/>
  <c r="AE117" i="71" s="1"/>
  <c r="O118" i="71"/>
  <c r="S118" i="71" l="1"/>
  <c r="Q118" i="71"/>
  <c r="Z118" i="71" l="1"/>
  <c r="AB118" i="71"/>
  <c r="AC118" i="71" s="1"/>
  <c r="R118" i="71"/>
  <c r="T118" i="71"/>
  <c r="U118" i="71" l="1"/>
  <c r="V118" i="71" s="1"/>
  <c r="W118" i="71"/>
  <c r="X118" i="71"/>
  <c r="AD118" i="71" l="1"/>
  <c r="AE118" i="71" s="1"/>
  <c r="O119" i="71"/>
  <c r="S119" i="71" l="1"/>
  <c r="Q119" i="71"/>
  <c r="Z119" i="71" l="1"/>
  <c r="AB119" i="71"/>
  <c r="AC119" i="71" s="1"/>
  <c r="R119" i="71"/>
  <c r="T119" i="71"/>
  <c r="U119" i="71" l="1"/>
  <c r="V119" i="71" s="1"/>
  <c r="W119" i="71"/>
  <c r="X119" i="71"/>
  <c r="AD119" i="71" l="1"/>
  <c r="AE119" i="71"/>
  <c r="O120" i="71"/>
  <c r="S120" i="71" l="1"/>
  <c r="Q120" i="71" s="1"/>
  <c r="Z120" i="71" l="1"/>
  <c r="R120" i="71"/>
  <c r="T120" i="71"/>
  <c r="AB120" i="71"/>
  <c r="AC120" i="71" s="1"/>
  <c r="U120" i="71" l="1"/>
  <c r="V120" i="71"/>
  <c r="W120" i="71"/>
  <c r="X120" i="71"/>
  <c r="O121" i="71" l="1"/>
  <c r="AD120" i="71"/>
  <c r="AE120" i="71" s="1"/>
  <c r="S121" i="71" l="1"/>
  <c r="Q121" i="71" s="1"/>
  <c r="R121" i="71" l="1"/>
  <c r="T121" i="71"/>
  <c r="AB121" i="71"/>
  <c r="AC121" i="71" s="1"/>
  <c r="Z121" i="71"/>
  <c r="U121" i="71" l="1"/>
  <c r="V121" i="71" s="1"/>
  <c r="W121" i="71"/>
  <c r="X121" i="71"/>
  <c r="O122" i="71" l="1"/>
  <c r="AD121" i="71"/>
  <c r="AE121" i="71"/>
  <c r="S122" i="71" l="1"/>
  <c r="Q122" i="71" s="1"/>
  <c r="Z122" i="71" l="1"/>
  <c r="AB122" i="71"/>
  <c r="AC122" i="71" s="1"/>
  <c r="R122" i="71"/>
  <c r="T122" i="71"/>
  <c r="U122" i="71" l="1"/>
  <c r="V122" i="7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c r="W124" i="71"/>
  <c r="X124" i="71"/>
  <c r="AD124" i="71" l="1"/>
  <c r="AE124" i="71"/>
  <c r="O125" i="71"/>
  <c r="S125" i="71" l="1"/>
  <c r="Q125" i="71" s="1"/>
  <c r="AB125" i="71" l="1"/>
  <c r="AC125" i="71" s="1"/>
  <c r="R125" i="71"/>
  <c r="T125" i="71"/>
  <c r="Z125" i="71"/>
  <c r="U125" i="71" l="1"/>
  <c r="V125" i="71"/>
  <c r="W125" i="71"/>
  <c r="X125" i="71"/>
  <c r="AD125" i="71" l="1"/>
  <c r="AE125" i="71" s="1"/>
  <c r="O126" i="71"/>
  <c r="S126" i="71" l="1"/>
  <c r="Q126" i="71"/>
  <c r="Z126" i="71" l="1"/>
  <c r="AB126" i="71"/>
  <c r="AC126" i="71" s="1"/>
  <c r="R126" i="71"/>
  <c r="T126" i="71"/>
  <c r="U126" i="71" l="1"/>
  <c r="V126" i="71"/>
  <c r="W126" i="71"/>
  <c r="X126" i="71"/>
  <c r="O127" i="71" l="1"/>
  <c r="AD126" i="71"/>
  <c r="AE126" i="71" s="1"/>
  <c r="S127" i="71" l="1"/>
  <c r="Q127" i="71" s="1"/>
  <c r="Z127" i="71" l="1"/>
  <c r="AB127" i="71"/>
  <c r="AC127" i="71" s="1"/>
  <c r="R127" i="71"/>
  <c r="T127" i="71"/>
  <c r="U127" i="71" l="1"/>
  <c r="V127" i="71" s="1"/>
  <c r="W127" i="71"/>
  <c r="X127" i="71"/>
  <c r="AD127" i="71" l="1"/>
  <c r="AE127" i="71"/>
  <c r="O128" i="71"/>
  <c r="S128" i="71" l="1"/>
  <c r="Q128" i="71" s="1"/>
  <c r="Z128" i="71" l="1"/>
  <c r="AB128" i="71"/>
  <c r="AC128" i="71" s="1"/>
  <c r="R128" i="71"/>
  <c r="T128" i="71"/>
  <c r="V128" i="71" l="1"/>
  <c r="U128" i="71"/>
  <c r="W128" i="71"/>
  <c r="X128" i="71"/>
  <c r="O129" i="71" l="1"/>
  <c r="AD128" i="71"/>
  <c r="AE128" i="71"/>
  <c r="S129" i="71" l="1"/>
  <c r="Q129" i="71"/>
  <c r="R129" i="71" l="1"/>
  <c r="T129" i="71"/>
  <c r="Z129" i="71"/>
  <c r="AB129" i="71"/>
  <c r="AC129" i="71" s="1"/>
  <c r="V129" i="71" l="1"/>
  <c r="U129" i="71"/>
  <c r="W129" i="71"/>
  <c r="X129" i="71"/>
  <c r="O130" i="71" l="1"/>
  <c r="AD129" i="71"/>
  <c r="AE129" i="71" s="1"/>
  <c r="S130" i="71" l="1"/>
  <c r="Q130" i="71"/>
  <c r="Z130" i="71" l="1"/>
  <c r="AB130" i="71"/>
  <c r="AC130" i="71" s="1"/>
  <c r="T130" i="71"/>
  <c r="R130" i="71"/>
  <c r="U130" i="71" l="1"/>
  <c r="V130" i="71"/>
  <c r="W130" i="71"/>
  <c r="X130" i="71"/>
  <c r="O131" i="71" l="1"/>
  <c r="AD130" i="71"/>
  <c r="AE130" i="71" s="1"/>
  <c r="S131" i="71" l="1"/>
  <c r="Q131" i="71" s="1"/>
  <c r="T131" i="71" l="1"/>
  <c r="Z131" i="71"/>
  <c r="AB131" i="71"/>
  <c r="AC131" i="71" s="1"/>
  <c r="R131" i="71"/>
  <c r="U131" i="71" l="1"/>
  <c r="V131" i="71"/>
  <c r="W131" i="71"/>
  <c r="X131" i="71"/>
  <c r="AD131" i="71" l="1"/>
  <c r="AE131" i="71" s="1"/>
  <c r="O132" i="71"/>
  <c r="S132" i="71" l="1"/>
  <c r="Q132" i="71" s="1"/>
  <c r="R132" i="71" l="1"/>
  <c r="T132" i="71"/>
  <c r="Z132" i="71"/>
  <c r="AB132" i="71"/>
  <c r="AC132" i="71" s="1"/>
  <c r="U132" i="71" l="1"/>
  <c r="V132" i="71"/>
  <c r="W132" i="71"/>
  <c r="X132" i="71"/>
  <c r="AD132" i="71" l="1"/>
  <c r="AE132" i="71" s="1"/>
  <c r="O133" i="71"/>
  <c r="S133" i="71" l="1"/>
  <c r="Q133" i="71" s="1"/>
  <c r="AB133" i="71" l="1"/>
  <c r="AC133" i="71" s="1"/>
  <c r="R133" i="71"/>
  <c r="Z133" i="71"/>
  <c r="T133" i="71"/>
  <c r="U133" i="71" l="1"/>
  <c r="V133" i="71"/>
  <c r="W133" i="71"/>
  <c r="X133" i="71"/>
  <c r="AD133" i="71" l="1"/>
  <c r="AE133" i="71" s="1"/>
  <c r="O134" i="71"/>
  <c r="S134" i="71" l="1"/>
  <c r="Q134" i="71" s="1"/>
  <c r="Z134" i="71" l="1"/>
  <c r="AB134" i="71"/>
  <c r="T134" i="71"/>
  <c r="R134" i="71"/>
  <c r="AC134" i="71"/>
  <c r="U134" i="71" l="1"/>
  <c r="V134" i="71"/>
  <c r="W134" i="71"/>
  <c r="X134" i="71"/>
  <c r="O135" i="71" l="1"/>
  <c r="AD134" i="71"/>
  <c r="AE134" i="71" s="1"/>
  <c r="S135" i="71" l="1"/>
  <c r="Q135" i="71"/>
  <c r="Z135" i="71" l="1"/>
  <c r="AB135" i="71"/>
  <c r="AC135" i="71" s="1"/>
  <c r="R135" i="71"/>
  <c r="T135" i="71"/>
  <c r="U135" i="71" l="1"/>
  <c r="V135" i="71" s="1"/>
  <c r="W135" i="71"/>
  <c r="X135" i="71"/>
  <c r="O136" i="71" l="1"/>
  <c r="AD135" i="71"/>
  <c r="AE135" i="71" s="1"/>
  <c r="S136" i="71" l="1"/>
  <c r="Q136" i="71"/>
  <c r="Z136" i="71" l="1"/>
  <c r="AB136" i="71"/>
  <c r="AC136" i="71" s="1"/>
  <c r="T136" i="71"/>
  <c r="R136" i="71"/>
  <c r="U136" i="71" l="1"/>
  <c r="V136" i="71" s="1"/>
  <c r="W136" i="71"/>
  <c r="X136" i="71"/>
  <c r="O137" i="71" l="1"/>
  <c r="AD136" i="71"/>
  <c r="AE136" i="71" s="1"/>
  <c r="S137" i="71" l="1"/>
  <c r="Q137" i="71"/>
  <c r="Z137" i="71" l="1"/>
  <c r="AB137" i="71"/>
  <c r="AC137" i="71" s="1"/>
  <c r="R137" i="71"/>
  <c r="T137" i="71"/>
  <c r="V137" i="71" l="1"/>
  <c r="U137" i="71"/>
  <c r="W137" i="71"/>
  <c r="X137" i="71"/>
  <c r="AD137" i="71" l="1"/>
  <c r="AE137" i="71" s="1"/>
  <c r="O138" i="71"/>
  <c r="S138" i="71" l="1"/>
  <c r="Q138" i="7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c r="W142" i="71"/>
  <c r="X142" i="71"/>
  <c r="AE142" i="71" l="1"/>
  <c r="O143" i="71"/>
  <c r="AD142" i="71"/>
  <c r="S143" i="71" l="1"/>
  <c r="Q143" i="71" s="1"/>
  <c r="T143" i="71" l="1"/>
  <c r="Z143" i="71"/>
  <c r="AB143" i="71"/>
  <c r="AC143" i="71" s="1"/>
  <c r="R143" i="71"/>
  <c r="U143" i="71" l="1"/>
  <c r="V143" i="71"/>
  <c r="W143" i="71"/>
  <c r="X143" i="71"/>
  <c r="AD143" i="71" l="1"/>
  <c r="AE143" i="71" s="1"/>
  <c r="O144" i="71"/>
  <c r="S144" i="71" l="1"/>
  <c r="Q144" i="71" s="1"/>
  <c r="R144" i="71" l="1"/>
  <c r="T144" i="71"/>
  <c r="Z144" i="71"/>
  <c r="AB144" i="71"/>
  <c r="AC144" i="71" s="1"/>
  <c r="U144" i="71" l="1"/>
  <c r="V144" i="71"/>
  <c r="W144" i="71"/>
  <c r="X144" i="71"/>
  <c r="AD144" i="71" l="1"/>
  <c r="AE144" i="71" s="1"/>
  <c r="O145" i="71"/>
  <c r="S145" i="71" l="1"/>
  <c r="Q145" i="71" s="1"/>
  <c r="AB145" i="71" l="1"/>
  <c r="AC145" i="71" s="1"/>
  <c r="R145" i="71"/>
  <c r="T145" i="71"/>
  <c r="Z145" i="71"/>
  <c r="U145" i="71" l="1"/>
  <c r="V145" i="71"/>
  <c r="W145" i="71"/>
  <c r="X145" i="71"/>
  <c r="AD145" i="71" l="1"/>
  <c r="AE145" i="71" s="1"/>
  <c r="O146" i="71"/>
  <c r="S146" i="71" l="1"/>
  <c r="Q146" i="71"/>
  <c r="Z146" i="71" l="1"/>
  <c r="AB146" i="71"/>
  <c r="AC146" i="71" s="1"/>
  <c r="R146" i="71"/>
  <c r="T146" i="71"/>
  <c r="U146" i="71" l="1"/>
  <c r="V146" i="71"/>
  <c r="W146" i="71"/>
  <c r="X146" i="71"/>
  <c r="AD146" i="71" l="1"/>
  <c r="AE146" i="71" s="1"/>
  <c r="O147" i="71"/>
  <c r="S147" i="71" l="1"/>
  <c r="Q147" i="71" s="1"/>
  <c r="Z147" i="71" l="1"/>
  <c r="AB147" i="71"/>
  <c r="AC147" i="71" s="1"/>
  <c r="R147" i="71"/>
  <c r="T147" i="71"/>
  <c r="U147" i="71" l="1"/>
  <c r="V147" i="7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c r="S150" i="71" l="1"/>
  <c r="Q150" i="71"/>
  <c r="T150" i="71" l="1"/>
  <c r="Z150" i="71"/>
  <c r="R150" i="71"/>
  <c r="AB150" i="71"/>
  <c r="AC150" i="71" s="1"/>
  <c r="U150" i="71" l="1"/>
  <c r="V150" i="71"/>
  <c r="W150" i="71"/>
  <c r="X150" i="71"/>
  <c r="O151" i="71" l="1"/>
  <c r="AD150" i="71"/>
  <c r="AE150" i="71" s="1"/>
  <c r="S151" i="71" l="1"/>
  <c r="Q151" i="71"/>
  <c r="T151" i="71" l="1"/>
  <c r="R151" i="71"/>
  <c r="Z151" i="71"/>
  <c r="AB151" i="71"/>
  <c r="AC151" i="71" s="1"/>
  <c r="U151" i="71" l="1"/>
  <c r="V151" i="71"/>
  <c r="W151" i="71"/>
  <c r="X151" i="71"/>
  <c r="AD151" i="71" l="1"/>
  <c r="AE151" i="71"/>
  <c r="O152" i="71"/>
  <c r="S152" i="71" l="1"/>
  <c r="Q152" i="71" s="1"/>
  <c r="R152" i="71" l="1"/>
  <c r="T152" i="71"/>
  <c r="Z152" i="71"/>
  <c r="AB152" i="71"/>
  <c r="AC152" i="71" s="1"/>
  <c r="U152" i="71" l="1"/>
  <c r="V152" i="71"/>
  <c r="W152" i="71"/>
  <c r="X152" i="71"/>
  <c r="AD152" i="71" l="1"/>
  <c r="AE152" i="71"/>
  <c r="O153" i="71"/>
  <c r="S153" i="71" l="1"/>
  <c r="Q153" i="71" s="1"/>
  <c r="AB153" i="71" l="1"/>
  <c r="AC153" i="71" s="1"/>
  <c r="R153" i="71"/>
  <c r="T153" i="71"/>
  <c r="Z153" i="71"/>
  <c r="U153" i="71" l="1"/>
  <c r="V153" i="71" s="1"/>
  <c r="W153" i="71"/>
  <c r="X153" i="71"/>
  <c r="AD153" i="71" l="1"/>
  <c r="O154" i="71"/>
  <c r="AE153" i="71"/>
  <c r="S154" i="71" l="1"/>
  <c r="Q154" i="71" s="1"/>
  <c r="Z154" i="71" l="1"/>
  <c r="AB154" i="71"/>
  <c r="AC154" i="71" s="1"/>
  <c r="R154" i="71"/>
  <c r="T154" i="71"/>
  <c r="U154" i="71" l="1"/>
  <c r="V154" i="71"/>
  <c r="W154" i="71"/>
  <c r="X154" i="71"/>
  <c r="O155" i="71" l="1"/>
  <c r="AD154" i="71"/>
  <c r="AE154" i="71" s="1"/>
  <c r="S155" i="71" l="1"/>
  <c r="Q155" i="71"/>
  <c r="Z155" i="71" l="1"/>
  <c r="AB155" i="71"/>
  <c r="AC155" i="71" s="1"/>
  <c r="T155" i="71"/>
  <c r="R155" i="71"/>
  <c r="U155" i="71" l="1"/>
  <c r="V155" i="71" s="1"/>
  <c r="W155" i="71"/>
  <c r="X155" i="71"/>
  <c r="AD155" i="71" l="1"/>
  <c r="AE155" i="71" s="1"/>
  <c r="O156" i="71"/>
  <c r="S156" i="71" l="1"/>
  <c r="Q156" i="71"/>
  <c r="Z156" i="71" l="1"/>
  <c r="T156" i="71"/>
  <c r="R156" i="71"/>
  <c r="AB156" i="71"/>
  <c r="AC156" i="71" s="1"/>
  <c r="U156" i="71" l="1"/>
  <c r="V156" i="71"/>
  <c r="W156" i="71"/>
  <c r="X156" i="71"/>
  <c r="O157" i="71" l="1"/>
  <c r="AD156" i="71"/>
  <c r="AE156" i="71" s="1"/>
  <c r="S157" i="71" l="1"/>
  <c r="Q157" i="71"/>
  <c r="Z157" i="71" l="1"/>
  <c r="AB157" i="71"/>
  <c r="AC157" i="71" s="1"/>
  <c r="T157" i="71"/>
  <c r="R157" i="71"/>
  <c r="U157" i="71" l="1"/>
  <c r="V157" i="71"/>
  <c r="W157" i="71"/>
  <c r="X157" i="71"/>
  <c r="O158" i="71" l="1"/>
  <c r="AD157" i="71"/>
  <c r="AE157" i="71" s="1"/>
  <c r="S158" i="71" l="1"/>
  <c r="Q158" i="71" s="1"/>
  <c r="AB158" i="71" l="1"/>
  <c r="AC158" i="71" s="1"/>
  <c r="R158" i="71"/>
  <c r="T158" i="71"/>
  <c r="Z158" i="71"/>
  <c r="U158" i="71" l="1"/>
  <c r="V158" i="71" s="1"/>
  <c r="W158" i="71"/>
  <c r="X158" i="71"/>
  <c r="AD158" i="71" l="1"/>
  <c r="AE158" i="71"/>
  <c r="O159" i="71"/>
  <c r="S159" i="71" l="1"/>
  <c r="Q159" i="71" s="1"/>
  <c r="R159" i="71" l="1"/>
  <c r="T159" i="71"/>
  <c r="AB159" i="71"/>
  <c r="AC159" i="71" s="1"/>
  <c r="Z159" i="71"/>
  <c r="U159" i="71" l="1"/>
  <c r="V159" i="71" s="1"/>
  <c r="W159" i="71"/>
  <c r="X159" i="71"/>
  <c r="AD159" i="71" l="1"/>
  <c r="AE159" i="71" s="1"/>
  <c r="O160" i="71"/>
  <c r="S160" i="71" l="1"/>
  <c r="Q160" i="71"/>
  <c r="T160" i="71" l="1"/>
  <c r="R160" i="71"/>
  <c r="AB160" i="71"/>
  <c r="AC160" i="71" s="1"/>
  <c r="Z160" i="71"/>
  <c r="U160" i="71" l="1"/>
  <c r="V160" i="71" s="1"/>
  <c r="W160" i="71"/>
  <c r="X160" i="71"/>
  <c r="AD160" i="71" l="1"/>
  <c r="AE160" i="71"/>
  <c r="O161" i="71"/>
  <c r="S161" i="71" l="1"/>
  <c r="Q161" i="71"/>
  <c r="R161" i="71" l="1"/>
  <c r="AB161" i="71"/>
  <c r="AC161" i="71" s="1"/>
  <c r="Z161" i="71"/>
  <c r="T161" i="71"/>
  <c r="U161" i="71" l="1"/>
  <c r="V161" i="71" s="1"/>
  <c r="W161" i="71"/>
  <c r="X161" i="71"/>
  <c r="O162" i="71" l="1"/>
  <c r="AD161" i="71"/>
  <c r="AE161" i="71" s="1"/>
  <c r="S162" i="71" l="1"/>
  <c r="Q162" i="71"/>
  <c r="AB162" i="71" l="1"/>
  <c r="Z162" i="71"/>
  <c r="AC162" i="71"/>
  <c r="R162" i="71"/>
  <c r="T162" i="71"/>
  <c r="U162" i="71" l="1"/>
  <c r="V162" i="71" s="1"/>
  <c r="W162" i="71"/>
  <c r="X162" i="71"/>
  <c r="O163" i="71" l="1"/>
  <c r="AD162" i="71"/>
  <c r="AE162" i="71" s="1"/>
  <c r="S163" i="71" l="1"/>
  <c r="Q163" i="71" s="1"/>
  <c r="Z163" i="71" l="1"/>
  <c r="AB163" i="71"/>
  <c r="AC163" i="71" s="1"/>
  <c r="T163" i="71"/>
  <c r="R163" i="71"/>
  <c r="U163" i="71" l="1"/>
  <c r="V163" i="71"/>
  <c r="W163" i="71"/>
  <c r="X163" i="71"/>
  <c r="AD163" i="71" l="1"/>
  <c r="O164" i="71"/>
  <c r="AE163" i="71"/>
  <c r="S164" i="71" l="1"/>
  <c r="Q164" i="7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c r="W165" i="71"/>
  <c r="X165" i="71"/>
  <c r="O166" i="71" l="1"/>
  <c r="AD165" i="71"/>
  <c r="AE165" i="71" s="1"/>
  <c r="S166" i="71" l="1"/>
  <c r="Q166" i="71"/>
  <c r="R166" i="71" l="1"/>
  <c r="T166" i="71"/>
  <c r="AB166" i="71"/>
  <c r="AC166" i="71" s="1"/>
  <c r="Z166" i="71"/>
  <c r="V166" i="71" l="1"/>
  <c r="U166" i="71"/>
  <c r="W166" i="71"/>
  <c r="X166" i="71"/>
  <c r="AD166" i="71" l="1"/>
  <c r="AE166" i="71" s="1"/>
  <c r="O167" i="71"/>
  <c r="S167" i="71" l="1"/>
  <c r="Q167" i="71" s="1"/>
  <c r="R167" i="71" l="1"/>
  <c r="T167" i="71"/>
  <c r="Z167" i="71"/>
  <c r="AB167" i="71"/>
  <c r="AC167" i="71" s="1"/>
  <c r="U167" i="71" l="1"/>
  <c r="V167" i="71" s="1"/>
  <c r="W167" i="71"/>
  <c r="X167" i="71"/>
  <c r="AD167" i="71" l="1"/>
  <c r="AE167" i="71"/>
  <c r="O168" i="71"/>
  <c r="S168" i="71" l="1"/>
  <c r="Q168" i="71" s="1"/>
  <c r="AB168" i="71" l="1"/>
  <c r="R168" i="71"/>
  <c r="AC168" i="71"/>
  <c r="T168" i="71"/>
  <c r="Z168" i="71"/>
  <c r="U168" i="71" l="1"/>
  <c r="V168" i="71" s="1"/>
  <c r="W168" i="71"/>
  <c r="X168" i="71"/>
  <c r="AD168" i="71" l="1"/>
  <c r="AE168" i="71" s="1"/>
  <c r="O169" i="71"/>
  <c r="S169" i="71" l="1"/>
  <c r="Q169" i="7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c r="W171" i="71"/>
  <c r="X171" i="71"/>
  <c r="O172" i="71" l="1"/>
  <c r="AD171" i="71"/>
  <c r="AE171" i="71" s="1"/>
  <c r="S172" i="71" l="1"/>
  <c r="Q172" i="71"/>
  <c r="R172" i="71" l="1"/>
  <c r="AB172" i="71"/>
  <c r="AC172" i="71" s="1"/>
  <c r="Z172" i="71"/>
  <c r="T172" i="71"/>
  <c r="U172" i="71" l="1"/>
  <c r="V172" i="71" s="1"/>
  <c r="W172" i="71"/>
  <c r="X172" i="71"/>
  <c r="O173" i="71" l="1"/>
  <c r="AD172" i="71"/>
  <c r="AE172" i="71" s="1"/>
  <c r="S173" i="71" l="1"/>
  <c r="Q173" i="7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c r="R175" i="71" l="1"/>
  <c r="T175" i="71"/>
  <c r="Z175" i="71"/>
  <c r="AB175" i="71"/>
  <c r="AC175" i="71" s="1"/>
  <c r="U175" i="71" l="1"/>
  <c r="V175" i="71"/>
  <c r="W175" i="71"/>
  <c r="X175" i="71"/>
  <c r="AD175" i="71" l="1"/>
  <c r="AE175" i="71" s="1"/>
  <c r="O176" i="71"/>
  <c r="S176" i="71" l="1"/>
  <c r="Q176" i="71"/>
  <c r="AB176" i="71" l="1"/>
  <c r="AC176" i="71" s="1"/>
  <c r="R176" i="71"/>
  <c r="T176" i="71"/>
  <c r="Z176" i="71"/>
  <c r="U176" i="71" l="1"/>
  <c r="V176" i="71"/>
  <c r="W176" i="71"/>
  <c r="X176" i="71"/>
  <c r="AD176" i="71" l="1"/>
  <c r="O177" i="71"/>
  <c r="AE176" i="71"/>
  <c r="S177" i="71" l="1"/>
  <c r="Q177" i="71" s="1"/>
  <c r="Z177" i="71" l="1"/>
  <c r="AB177" i="71"/>
  <c r="AC177" i="71" s="1"/>
  <c r="R177" i="71"/>
  <c r="T177" i="71"/>
  <c r="U177" i="71" l="1"/>
  <c r="V177" i="71" s="1"/>
  <c r="W177" i="71"/>
  <c r="X177" i="71"/>
  <c r="O178" i="71" l="1"/>
  <c r="AD177" i="71"/>
  <c r="AE177" i="71" s="1"/>
  <c r="S178" i="71" l="1"/>
  <c r="Q178" i="71" s="1"/>
  <c r="Z178" i="71" l="1"/>
  <c r="AB178" i="71"/>
  <c r="R178" i="71"/>
  <c r="T178" i="71"/>
  <c r="AC178" i="71"/>
  <c r="U178" i="71" l="1"/>
  <c r="V178" i="71"/>
  <c r="W178" i="71"/>
  <c r="X178" i="71"/>
  <c r="O179" i="71" l="1"/>
  <c r="AD178" i="71"/>
  <c r="AE178" i="71" s="1"/>
  <c r="S179" i="71" l="1"/>
  <c r="Q179" i="71" s="1"/>
  <c r="Z179" i="71" l="1"/>
  <c r="AB179" i="71"/>
  <c r="AC179" i="71" s="1"/>
  <c r="R179" i="71"/>
  <c r="T179" i="71"/>
  <c r="U179" i="71" l="1"/>
  <c r="V179" i="71" s="1"/>
  <c r="W179" i="71"/>
  <c r="X179" i="71"/>
  <c r="O180" i="71" l="1"/>
  <c r="AD179" i="71"/>
  <c r="AE179" i="71"/>
  <c r="S180" i="71" l="1"/>
  <c r="Q180" i="71"/>
  <c r="T180" i="71" l="1"/>
  <c r="R180" i="71"/>
  <c r="Z180" i="71"/>
  <c r="AB180" i="71"/>
  <c r="AC180" i="71" s="1"/>
  <c r="V180" i="71" l="1"/>
  <c r="U180" i="71"/>
  <c r="W180" i="71"/>
  <c r="X180" i="71"/>
  <c r="O181" i="71" l="1"/>
  <c r="AD180" i="71"/>
  <c r="AE180" i="71" s="1"/>
  <c r="S181" i="71" l="1"/>
  <c r="Q181" i="71"/>
  <c r="R181" i="71" l="1"/>
  <c r="AB181" i="71"/>
  <c r="AC181" i="71" s="1"/>
  <c r="Z181" i="71"/>
  <c r="T181" i="71"/>
  <c r="U181" i="71" l="1"/>
  <c r="V181" i="71" s="1"/>
  <c r="W181" i="71"/>
  <c r="X181" i="71"/>
  <c r="O182" i="71" l="1"/>
  <c r="AD181" i="71"/>
  <c r="AE181" i="71" s="1"/>
  <c r="S182" i="71" l="1"/>
  <c r="Q182" i="71"/>
  <c r="T182" i="71" l="1"/>
  <c r="AB182" i="71"/>
  <c r="R182" i="71"/>
  <c r="Z182" i="71"/>
  <c r="AC182" i="71"/>
  <c r="U182" i="71" l="1"/>
  <c r="V182" i="71"/>
  <c r="W182" i="71"/>
  <c r="X182" i="71"/>
  <c r="AD182" i="71" l="1"/>
  <c r="AE182" i="71" s="1"/>
  <c r="O183" i="71"/>
  <c r="S183" i="71" l="1"/>
  <c r="Q183" i="71"/>
  <c r="R183" i="71" l="1"/>
  <c r="T183" i="71"/>
  <c r="AB183" i="71"/>
  <c r="AC183" i="71" s="1"/>
  <c r="Z183" i="71"/>
  <c r="U183" i="71" l="1"/>
  <c r="V183" i="7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c r="Z185" i="71" l="1"/>
  <c r="AB185" i="71"/>
  <c r="AC185" i="71" s="1"/>
  <c r="R185" i="71"/>
  <c r="T185" i="71"/>
  <c r="U185" i="71" l="1"/>
  <c r="V185" i="71" s="1"/>
  <c r="W185" i="71"/>
  <c r="X185" i="71"/>
  <c r="AD185" i="71" l="1"/>
  <c r="AE185" i="71"/>
  <c r="O186" i="71"/>
  <c r="S186" i="71" l="1"/>
  <c r="Q186" i="71" s="1"/>
  <c r="Z186" i="71" l="1"/>
  <c r="AB186" i="71"/>
  <c r="AC186" i="71" s="1"/>
  <c r="T186" i="71"/>
  <c r="R186" i="71"/>
  <c r="U186" i="71" l="1"/>
  <c r="V186" i="71" s="1"/>
  <c r="W186" i="71"/>
  <c r="X186" i="71"/>
  <c r="AE186" i="71" l="1"/>
  <c r="AD186" i="71"/>
  <c r="O187" i="71"/>
  <c r="S187" i="71" l="1"/>
  <c r="Q187" i="71" s="1"/>
  <c r="Z187" i="71" l="1"/>
  <c r="R187" i="71"/>
  <c r="AB187" i="71"/>
  <c r="AC187" i="71" s="1"/>
  <c r="T187" i="71"/>
  <c r="U187" i="71" l="1"/>
  <c r="V187" i="71" s="1"/>
  <c r="W187" i="71"/>
  <c r="X187" i="71"/>
  <c r="O188" i="71" l="1"/>
  <c r="AD187" i="71"/>
  <c r="AE187" i="71" s="1"/>
  <c r="S188" i="71" l="1"/>
  <c r="Q188" i="71"/>
  <c r="R188" i="71" l="1"/>
  <c r="T188" i="71"/>
  <c r="AB188" i="71"/>
  <c r="AC188" i="71" s="1"/>
  <c r="Z188" i="71"/>
  <c r="U188" i="71" l="1"/>
  <c r="V188" i="71" s="1"/>
  <c r="W188" i="71"/>
  <c r="X188" i="71"/>
  <c r="O189" i="71" l="1"/>
  <c r="AD188" i="71"/>
  <c r="AE188" i="71" s="1"/>
  <c r="S189" i="71" l="1"/>
  <c r="Q189" i="71"/>
  <c r="AB189" i="71" l="1"/>
  <c r="R189" i="71"/>
  <c r="Z189" i="71"/>
  <c r="AC189" i="71"/>
  <c r="T189" i="71"/>
  <c r="U189" i="71" l="1"/>
  <c r="V189" i="71"/>
  <c r="W189" i="71"/>
  <c r="X189" i="71"/>
  <c r="O190" i="71" l="1"/>
  <c r="AD189" i="71"/>
  <c r="AE189" i="71" s="1"/>
  <c r="S190" i="71" l="1"/>
  <c r="Q190" i="71"/>
  <c r="T190" i="71" l="1"/>
  <c r="Z190" i="71"/>
  <c r="R190" i="71"/>
  <c r="AB190" i="71"/>
  <c r="AC190" i="71" s="1"/>
  <c r="U190" i="71" l="1"/>
  <c r="V190" i="71"/>
  <c r="W190" i="71"/>
  <c r="X190" i="71"/>
  <c r="AD190" i="71" l="1"/>
  <c r="AE190" i="71" s="1"/>
  <c r="O191" i="71"/>
  <c r="S191" i="71" l="1"/>
  <c r="Q191" i="71" s="1"/>
  <c r="R191" i="71" l="1"/>
  <c r="T191" i="71"/>
  <c r="AB191" i="71"/>
  <c r="AC191" i="71" s="1"/>
  <c r="Z191" i="71"/>
  <c r="U191" i="71" l="1"/>
  <c r="V191" i="71"/>
  <c r="W191" i="71"/>
  <c r="X191" i="71"/>
  <c r="AD191" i="71" l="1"/>
  <c r="AE191" i="71"/>
  <c r="O192" i="71"/>
  <c r="S192" i="71" l="1"/>
  <c r="Q192" i="71" s="1"/>
  <c r="AB192" i="71" l="1"/>
  <c r="AC192" i="71" s="1"/>
  <c r="R192" i="71"/>
  <c r="T192" i="71"/>
  <c r="Z192" i="71"/>
  <c r="U192" i="71" l="1"/>
  <c r="V192" i="71"/>
  <c r="W192" i="71"/>
  <c r="X192" i="71"/>
  <c r="AD192" i="71" l="1"/>
  <c r="AE192" i="71"/>
  <c r="O193" i="71"/>
  <c r="S193" i="71" l="1"/>
  <c r="Q193" i="71" s="1"/>
  <c r="Z193" i="71" l="1"/>
  <c r="AB193" i="71"/>
  <c r="AC193" i="71" s="1"/>
  <c r="R193" i="71"/>
  <c r="T193" i="71"/>
  <c r="U193" i="71" l="1"/>
  <c r="V193" i="71" s="1"/>
  <c r="W193" i="71"/>
  <c r="X193" i="71"/>
  <c r="O194" i="71" l="1"/>
  <c r="AD193" i="71"/>
  <c r="AE193" i="71" s="1"/>
  <c r="S194" i="71" l="1"/>
  <c r="Q194" i="7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c r="W195" i="71"/>
  <c r="X195" i="71"/>
  <c r="O196" i="71" l="1"/>
  <c r="AD195" i="71"/>
  <c r="AE195" i="71"/>
  <c r="S196" i="71" l="1"/>
  <c r="Q196" i="71"/>
  <c r="AB196" i="71" l="1"/>
  <c r="AC196" i="71" s="1"/>
  <c r="Z196" i="71"/>
  <c r="T196" i="71"/>
  <c r="R196" i="71"/>
  <c r="U196" i="71" l="1"/>
  <c r="V196" i="71" s="1"/>
  <c r="W196" i="71"/>
  <c r="X196" i="71"/>
  <c r="AD196" i="71" l="1"/>
  <c r="AE196" i="71" s="1"/>
  <c r="O197" i="71"/>
  <c r="S197" i="71" l="1"/>
  <c r="Q197" i="71"/>
  <c r="R197" i="71" l="1"/>
  <c r="Z197" i="71"/>
  <c r="T197" i="71"/>
  <c r="AB197" i="71"/>
  <c r="AC197" i="71" s="1"/>
  <c r="U197" i="71" l="1"/>
  <c r="V197" i="71"/>
  <c r="W197" i="71"/>
  <c r="X197" i="71"/>
  <c r="O198" i="71" l="1"/>
  <c r="AD197" i="71"/>
  <c r="AE197" i="71" s="1"/>
  <c r="S198" i="71" l="1"/>
  <c r="Q198" i="71" s="1"/>
  <c r="R198" i="71" l="1"/>
  <c r="AB198" i="71"/>
  <c r="AC198" i="71" s="1"/>
  <c r="T198" i="71"/>
  <c r="Z198" i="71"/>
  <c r="U198" i="71" l="1"/>
  <c r="V198" i="71"/>
  <c r="W198" i="71"/>
  <c r="X198" i="71"/>
  <c r="O199" i="71" l="1"/>
  <c r="AD198" i="71"/>
  <c r="AE198" i="71" s="1"/>
  <c r="S199" i="71" l="1"/>
  <c r="Q199" i="7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V201" i="71" l="1"/>
  <c r="U201" i="71"/>
  <c r="W201" i="71"/>
  <c r="X201" i="71"/>
  <c r="AD201" i="71" l="1"/>
  <c r="O202" i="71"/>
  <c r="AE201" i="71"/>
  <c r="S202" i="71" l="1"/>
  <c r="Q202" i="71"/>
  <c r="R202" i="71" l="1"/>
  <c r="Z202" i="71"/>
  <c r="AB202" i="71"/>
  <c r="AC202" i="71" s="1"/>
  <c r="T202" i="71"/>
  <c r="U202" i="71" l="1"/>
  <c r="V202" i="71" s="1"/>
  <c r="W202" i="71"/>
  <c r="X202" i="71"/>
  <c r="O203" i="71" l="1"/>
  <c r="AD202" i="71"/>
  <c r="AE202" i="71"/>
  <c r="S203" i="71" l="1"/>
  <c r="Q203" i="71"/>
  <c r="AB203" i="71" l="1"/>
  <c r="Z203" i="71"/>
  <c r="R203" i="71"/>
  <c r="AC203" i="71"/>
  <c r="T203" i="71"/>
  <c r="U203" i="71" l="1"/>
  <c r="V203" i="71" s="1"/>
  <c r="W203" i="71"/>
  <c r="X203" i="71"/>
  <c r="O204" i="71" l="1"/>
  <c r="AE203" i="71"/>
  <c r="AD203" i="7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O206" i="71"/>
  <c r="AE205" i="71"/>
  <c r="S206" i="71" l="1"/>
  <c r="Q206" i="71" s="1"/>
  <c r="R206" i="71" l="1"/>
  <c r="T206" i="71"/>
  <c r="Z206" i="71"/>
  <c r="AB206" i="71"/>
  <c r="AC206" i="71" s="1"/>
  <c r="U206" i="71" l="1"/>
  <c r="V206" i="71" s="1"/>
  <c r="W206" i="71"/>
  <c r="X206" i="71"/>
  <c r="O207" i="71" l="1"/>
  <c r="AD206" i="71"/>
  <c r="AE206" i="71"/>
  <c r="S207" i="71" l="1"/>
  <c r="Q207" i="71" s="1"/>
  <c r="T207" i="71" l="1"/>
  <c r="R207" i="71"/>
  <c r="AB207" i="71"/>
  <c r="AC207" i="71" s="1"/>
  <c r="Z207" i="71"/>
  <c r="U207" i="71" l="1"/>
  <c r="V207" i="71" s="1"/>
  <c r="W207" i="71"/>
  <c r="X207" i="71"/>
  <c r="O208" i="71" l="1"/>
  <c r="AD207" i="71"/>
  <c r="AE207" i="71" s="1"/>
  <c r="S208" i="71" l="1"/>
  <c r="Q208" i="7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O210" i="71"/>
  <c r="AE209"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<sst xmlns="http://schemas.openxmlformats.org/spreadsheetml/2006/main" count="2980" uniqueCount="1199">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</sst>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3" fontId="1" fillId="33" borderId="36" xfId="0" applyNumberFormat="1" applyFont="1" applyFill="1" applyBorder="1" applyAlignment="1">
      <alignment horizontal="center" vertic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04" t="s">
        <v>853</v>
      </c>
      <c r="G1" s="705"/>
      <c r="H1" s="705"/>
      <c r="I1" s="705"/>
      <c r="J1" s="705"/>
      <c r="K1" s="633"/>
      <c r="L1" s="633"/>
      <c r="M1" s="634"/>
      <c r="R1" s="38" t="s">
        <v>634</v>
      </c>
      <c r="S1" s="37" t="b">
        <v>0</v>
      </c>
    </row>
    <row r="2" spans="1:25" ht="16.5" customHeight="1" thickBot="1" x14ac:dyDescent="0.3">
      <c r="A2" s="113"/>
      <c r="B2" s="783" t="s">
        <v>737</v>
      </c>
      <c r="C2" s="784"/>
      <c r="D2" s="784"/>
      <c r="E2" s="782" t="s">
        <v>738</v>
      </c>
      <c r="F2" s="660"/>
      <c r="G2" s="443" t="s">
        <v>739</v>
      </c>
      <c r="H2" s="590"/>
      <c r="I2" s="590"/>
      <c r="J2" s="590"/>
      <c r="K2" s="590"/>
      <c r="L2" s="692" t="s">
        <v>1</v>
      </c>
      <c r="M2" s="777">
        <v>45715</v>
      </c>
      <c r="O2" s="428" t="s">
        <v>2</v>
      </c>
      <c r="P2" s="428"/>
      <c r="R2" s="38" t="s">
        <v>633</v>
      </c>
      <c r="S2" s="37" t="b">
        <v>0</v>
      </c>
    </row>
    <row r="3" spans="1:25" ht="12" customHeight="1" thickBot="1" x14ac:dyDescent="0.25">
      <c r="A3" s="115" t="s">
        <v>4</v>
      </c>
      <c r="B3" s="116"/>
      <c r="D3" s="694" t="s">
        <v>1156</v>
      </c>
      <c r="E3" s="695"/>
      <c r="F3" s="694" t="s">
        <v>1163</v>
      </c>
      <c r="G3" s="695"/>
      <c r="H3" s="694" t="s">
        <v>1164</v>
      </c>
      <c r="I3" s="695"/>
      <c r="J3" s="694" t="s">
        <v>0</v>
      </c>
      <c r="K3" s="695"/>
      <c r="L3" s="693"/>
      <c r="M3" s="778"/>
      <c r="R3" s="131" t="s">
        <v>35</v>
      </c>
      <c r="S3" s="37" t="b">
        <v>0</v>
      </c>
      <c r="T3" s="37">
        <v>3</v>
      </c>
    </row>
    <row r="4" spans="1:25" ht="12" customHeight="1" thickBot="1" x14ac:dyDescent="0.25">
      <c r="A4" s="38" t="s">
        <v>5</v>
      </c>
      <c r="B4" s="696">
        <v>330000</v>
      </c>
      <c r="C4" s="697"/>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98">
        <f>IF(B1="Flip",B4,IF(C1="hold",B4*(1+C5),+Amortization!O3))</f>
        <v>346500</v>
      </c>
      <c r="C6" s="699"/>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92" t="s">
        <v>10</v>
      </c>
      <c r="M7" s="708">
        <v>0.03</v>
      </c>
      <c r="Q7" s="261"/>
      <c r="R7" s="427"/>
    </row>
    <row r="8" spans="1:25" ht="12" customHeight="1" thickBot="1" x14ac:dyDescent="0.25">
      <c r="A8" s="38" t="s">
        <v>1157</v>
      </c>
      <c r="B8" s="327"/>
      <c r="C8" s="391"/>
      <c r="D8" s="361"/>
      <c r="E8" s="336"/>
      <c r="F8" s="340"/>
      <c r="G8" s="341">
        <f>+IF($C$1="hold",$M$7,0)*$C$50/12*B4</f>
        <v>0</v>
      </c>
      <c r="H8" s="595"/>
      <c r="I8" s="600"/>
      <c r="J8" s="374"/>
      <c r="K8" s="375"/>
      <c r="L8" s="693"/>
      <c r="M8" s="709"/>
    </row>
    <row r="9" spans="1:25" ht="12" customHeight="1" thickBot="1" x14ac:dyDescent="0.25">
      <c r="A9" s="130" t="str">
        <f>IF(T3=3,"Delta Mortgages","Monthly Rent:")</f>
        <v>Delta Mortgages</v>
      </c>
      <c r="B9" s="688">
        <v>1800</v>
      </c>
      <c r="C9" s="689"/>
      <c r="D9" s="363"/>
      <c r="E9" s="364"/>
      <c r="F9" s="382"/>
      <c r="G9" s="366"/>
      <c r="H9" s="596"/>
      <c r="I9" s="601"/>
      <c r="J9" s="379"/>
      <c r="K9" s="388">
        <f>IF(OR(C1="Hold",D1="Slow Flip"),IF(C1="hold",+B9,+Amortization!AA9),"")</f>
        <v>835.83</v>
      </c>
      <c r="L9" s="692" t="s">
        <v>12</v>
      </c>
      <c r="M9" s="780">
        <v>1368</v>
      </c>
    </row>
    <row r="10" spans="1:25" ht="12" customHeight="1" thickBot="1" x14ac:dyDescent="0.25">
      <c r="C10" s="702" t="s">
        <v>13</v>
      </c>
      <c r="D10" s="703" t="s">
        <v>13</v>
      </c>
      <c r="E10" s="117">
        <f>SUM(D4:E9)</f>
        <v>0</v>
      </c>
      <c r="F10" s="729">
        <f>+SUM(F4:G9)</f>
        <v>34650</v>
      </c>
      <c r="G10" s="730"/>
      <c r="H10" s="114"/>
      <c r="I10" s="114"/>
      <c r="J10" s="729">
        <f>SUM(J4:K9)</f>
        <v>835.83</v>
      </c>
      <c r="K10" s="730"/>
      <c r="L10" s="693"/>
      <c r="M10" s="781"/>
      <c r="O10" s="476" t="s">
        <v>625</v>
      </c>
      <c r="P10" s="477"/>
      <c r="Q10" s="470"/>
      <c r="R10" s="478"/>
      <c r="U10" s="37" t="s">
        <v>740</v>
      </c>
      <c r="V10" s="37" t="s">
        <v>741</v>
      </c>
      <c r="W10" s="133"/>
    </row>
    <row r="11" spans="1:25" ht="12" customHeight="1" thickBot="1" x14ac:dyDescent="0.3">
      <c r="C11" s="118"/>
      <c r="D11" s="700" t="str">
        <f>IF(T3=3,"Profit calculations based on selling in 5 years","")</f>
        <v>Profit calculations based on selling in 5 years</v>
      </c>
      <c r="E11" s="642"/>
      <c r="F11" s="642"/>
      <c r="G11" s="642"/>
      <c r="H11" s="642"/>
      <c r="I11" s="642"/>
      <c r="J11" s="642"/>
      <c r="K11" s="701"/>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06" t="s">
        <v>16</v>
      </c>
      <c r="I14" s="707"/>
      <c r="J14" s="645"/>
      <c r="K14" s="638"/>
      <c r="L14" s="714" t="s">
        <v>17</v>
      </c>
      <c r="M14" s="715"/>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16"/>
      <c r="M15" s="717"/>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16"/>
      <c r="M16" s="717"/>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18"/>
      <c r="M17" s="719"/>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54">
        <f>-SUM(D14:D20)</f>
        <v>130291.26</v>
      </c>
      <c r="C21" s="640"/>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41" t="s">
        <v>609</v>
      </c>
      <c r="M22" s="742"/>
      <c r="R22" s="427"/>
    </row>
    <row r="23" spans="1:24" ht="12" customHeight="1" thickBot="1" x14ac:dyDescent="0.25">
      <c r="A23" s="38" t="s">
        <v>600</v>
      </c>
      <c r="B23" s="342">
        <v>6.5000000000000002E-2</v>
      </c>
      <c r="C23" s="343">
        <v>30</v>
      </c>
      <c r="D23" s="335"/>
      <c r="E23" s="336"/>
      <c r="F23" s="340"/>
      <c r="G23" s="341"/>
      <c r="H23" s="592"/>
      <c r="I23" s="600"/>
      <c r="J23" s="377"/>
      <c r="K23" s="375"/>
      <c r="L23" s="741" t="s">
        <v>597</v>
      </c>
      <c r="M23" s="742"/>
      <c r="R23" s="427"/>
    </row>
    <row r="24" spans="1:24" ht="12" customHeight="1" thickBot="1" x14ac:dyDescent="0.25">
      <c r="A24" s="38" t="s">
        <v>601</v>
      </c>
      <c r="B24" s="731">
        <v>45566</v>
      </c>
      <c r="C24" s="732"/>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90">
        <v>5000</v>
      </c>
      <c r="C27" s="691">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10" t="s">
        <v>23</v>
      </c>
      <c r="M29" s="711"/>
      <c r="S29" s="133"/>
    </row>
    <row r="30" spans="1:24" ht="12" customHeight="1" thickBot="1" x14ac:dyDescent="0.25">
      <c r="A30" s="130" t="s">
        <v>580</v>
      </c>
      <c r="C30" s="495">
        <f>+B45/C50</f>
        <v>706.85208086111106</v>
      </c>
      <c r="D30" s="361"/>
      <c r="E30" s="336"/>
      <c r="F30" s="340"/>
      <c r="G30" s="341"/>
      <c r="H30" s="592"/>
      <c r="I30" s="600"/>
      <c r="J30" s="376"/>
      <c r="K30" s="375"/>
      <c r="L30" s="712"/>
      <c r="M30" s="713"/>
      <c r="Q30" s="261"/>
      <c r="R30" s="427"/>
    </row>
    <row r="31" spans="1:24" ht="12" customHeight="1" x14ac:dyDescent="0.2">
      <c r="A31" s="130" t="s">
        <v>841</v>
      </c>
      <c r="B31" s="508">
        <f>+Carrying!B25/Profit!$B$28</f>
        <v>14.95234426229508</v>
      </c>
      <c r="C31" s="122"/>
      <c r="D31" s="361"/>
      <c r="E31" s="336"/>
      <c r="F31" s="340"/>
      <c r="G31" s="341"/>
      <c r="H31" s="592"/>
      <c r="I31" s="600"/>
      <c r="J31" s="376"/>
      <c r="K31" s="375"/>
      <c r="L31" s="724" t="s">
        <v>25</v>
      </c>
      <c r="M31" s="636"/>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25"/>
      <c r="M32" s="72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25"/>
      <c r="M33" s="72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27"/>
      <c r="M34" s="728"/>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52" t="s">
        <v>26</v>
      </c>
      <c r="M41" s="720">
        <f>IF(+T3=3,-J54,+B42/B28)</f>
        <v>1478.7032229508197</v>
      </c>
    </row>
    <row r="42" spans="1:13" ht="12" customHeight="1" thickBot="1" x14ac:dyDescent="0.3">
      <c r="A42" s="38" t="s">
        <v>26</v>
      </c>
      <c r="B42" s="751">
        <f>+B28*SUM(B31:B41)</f>
        <v>5503.2800000000007</v>
      </c>
      <c r="C42" s="638"/>
      <c r="D42" s="335">
        <f>-B42</f>
        <v>-5503.2800000000007</v>
      </c>
      <c r="E42" s="336"/>
      <c r="F42" s="340"/>
      <c r="G42" s="341"/>
      <c r="H42" s="592"/>
      <c r="I42" s="600"/>
      <c r="J42" s="376"/>
      <c r="K42" s="375"/>
      <c r="L42" s="753"/>
      <c r="M42" s="721"/>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52" t="s">
        <v>1040</v>
      </c>
      <c r="M44" s="720">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53"/>
      <c r="M45" s="721"/>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2" t="s">
        <v>27</v>
      </c>
      <c r="M47" s="720">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3"/>
      <c r="M48" s="721"/>
    </row>
    <row r="49" spans="1:17" ht="12" customHeight="1" thickBot="1" x14ac:dyDescent="0.25">
      <c r="A49" s="131" t="s">
        <v>37</v>
      </c>
      <c r="B49" s="399"/>
      <c r="C49" s="183">
        <v>2.4E-2</v>
      </c>
      <c r="D49" s="361"/>
      <c r="E49" s="336"/>
      <c r="F49" s="340">
        <f>IF(S5,IF(OR(T3=1,T3=2),-C49*$F$10,0),"")</f>
        <v>0</v>
      </c>
      <c r="G49" s="341"/>
      <c r="H49" s="592"/>
      <c r="I49" s="600"/>
      <c r="J49" s="377"/>
      <c r="K49" s="375"/>
      <c r="L49" s="722" t="s">
        <v>31</v>
      </c>
      <c r="M49" s="720">
        <f>-E55</f>
        <v>-4446.7850890000082</v>
      </c>
    </row>
    <row r="50" spans="1:17" ht="12" customHeight="1" thickBot="1" x14ac:dyDescent="0.25">
      <c r="A50" s="184" t="s">
        <v>38</v>
      </c>
      <c r="B50" s="182"/>
      <c r="C50" s="210">
        <v>36</v>
      </c>
      <c r="D50" s="361"/>
      <c r="E50" s="336"/>
      <c r="F50" s="340"/>
      <c r="G50" s="341"/>
      <c r="H50" s="592"/>
      <c r="I50" s="600"/>
      <c r="J50" s="377"/>
      <c r="K50" s="375"/>
      <c r="L50" s="723"/>
      <c r="M50" s="721"/>
    </row>
    <row r="51" spans="1:17" ht="12" customHeight="1" thickBot="1" x14ac:dyDescent="0.3">
      <c r="A51" s="38" t="s">
        <v>39</v>
      </c>
      <c r="B51" s="688"/>
      <c r="C51" s="740"/>
      <c r="D51" s="362"/>
      <c r="E51" s="336"/>
      <c r="F51" s="340">
        <f>-C51</f>
        <v>0</v>
      </c>
      <c r="G51" s="341"/>
      <c r="H51" s="592"/>
      <c r="I51" s="600"/>
      <c r="J51" s="378"/>
      <c r="K51" s="375"/>
      <c r="L51" s="767" t="s">
        <v>34</v>
      </c>
      <c r="M51" s="768"/>
    </row>
    <row r="52" spans="1:17" ht="12" customHeight="1" thickBot="1" x14ac:dyDescent="0.25">
      <c r="A52" s="38" t="s">
        <v>40</v>
      </c>
      <c r="B52" s="738">
        <f>+D91</f>
        <v>940</v>
      </c>
      <c r="C52" s="739"/>
      <c r="D52" s="361">
        <f>-B52</f>
        <v>-940</v>
      </c>
      <c r="E52" s="336"/>
      <c r="F52" s="340"/>
      <c r="G52" s="341"/>
      <c r="H52" s="592"/>
      <c r="I52" s="600"/>
      <c r="J52" s="378"/>
      <c r="K52" s="375"/>
      <c r="L52" s="769"/>
      <c r="M52" s="770"/>
    </row>
    <row r="53" spans="1:17" ht="12" customHeight="1" thickBot="1" x14ac:dyDescent="0.25">
      <c r="A53" s="38" t="s">
        <v>41</v>
      </c>
      <c r="B53" s="736">
        <f>+D102</f>
        <v>290</v>
      </c>
      <c r="C53" s="737"/>
      <c r="D53" s="363"/>
      <c r="E53" s="364"/>
      <c r="F53" s="365">
        <f>-B53</f>
        <v>-290</v>
      </c>
      <c r="G53" s="366"/>
      <c r="H53" s="591"/>
      <c r="I53" s="601"/>
      <c r="J53" s="379"/>
      <c r="K53" s="380"/>
    </row>
    <row r="54" spans="1:17" ht="12" customHeight="1" thickBot="1" x14ac:dyDescent="0.25">
      <c r="B54" s="735" t="s">
        <v>42</v>
      </c>
      <c r="C54" s="703"/>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49" t="s">
        <v>43</v>
      </c>
      <c r="C55" s="750"/>
      <c r="D55" s="750"/>
      <c r="E55" s="602">
        <f>+SUM(D10:E53)</f>
        <v>4446.7850890000082</v>
      </c>
      <c r="F55" s="779">
        <f>+SUM(F10:G53)</f>
        <v>49968.999999999971</v>
      </c>
      <c r="G55" s="687"/>
      <c r="H55" s="755"/>
      <c r="I55" s="755"/>
      <c r="J55" s="135"/>
      <c r="K55" s="137">
        <f>+SUM(J54:K54)</f>
        <v>210.83000000000015</v>
      </c>
      <c r="Q55" s="112"/>
    </row>
    <row r="56" spans="1:17" ht="12" customHeight="1" thickBot="1" x14ac:dyDescent="0.25">
      <c r="A56" s="39"/>
      <c r="B56" s="39"/>
      <c r="D56" s="39"/>
      <c r="E56" s="685" t="s">
        <v>44</v>
      </c>
      <c r="F56" s="686"/>
      <c r="G56" s="587">
        <f>SUM(E55:G55)</f>
        <v>54415.785088999983</v>
      </c>
      <c r="H56" s="687">
        <f>+SUM(H10:I53)</f>
        <v>-152955.03</v>
      </c>
      <c r="I56" s="687"/>
      <c r="J56" s="135"/>
      <c r="K56" s="137"/>
      <c r="L56" s="799" t="s">
        <v>45</v>
      </c>
      <c r="M56" s="787" t="s">
        <v>46</v>
      </c>
      <c r="Q56" s="112"/>
    </row>
    <row r="57" spans="1:17" ht="12" customHeight="1" x14ac:dyDescent="0.2">
      <c r="A57" s="39"/>
      <c r="B57" s="39"/>
      <c r="D57" s="39"/>
      <c r="E57" s="685" t="s">
        <v>44</v>
      </c>
      <c r="F57" s="686"/>
      <c r="G57" s="134"/>
      <c r="H57" s="134"/>
      <c r="I57" s="134">
        <f>SUM(G56:I56)</f>
        <v>-98539.244911000016</v>
      </c>
      <c r="J57" s="135"/>
      <c r="K57" s="137"/>
      <c r="L57" s="800"/>
      <c r="M57" s="788"/>
      <c r="Q57" s="112"/>
    </row>
    <row r="58" spans="1:17" ht="12" customHeight="1" thickBot="1" x14ac:dyDescent="0.25">
      <c r="A58" s="39"/>
      <c r="B58" s="39"/>
      <c r="E58" s="685" t="s">
        <v>47</v>
      </c>
      <c r="F58" s="686"/>
      <c r="G58" s="686"/>
      <c r="H58" s="135"/>
      <c r="I58" s="604"/>
      <c r="J58" s="606">
        <f>IF(OR(T3=2,T3=3),IF(T3=2,C50,60),0)</f>
        <v>60</v>
      </c>
      <c r="K58" s="605">
        <f>IF(OR(T3=2,T3=3),+J58*K55,0)</f>
        <v>12649.80000000001</v>
      </c>
      <c r="L58" s="801"/>
      <c r="M58" s="788"/>
    </row>
    <row r="59" spans="1:17" ht="12" customHeight="1" thickBot="1" x14ac:dyDescent="0.25">
      <c r="A59" s="39"/>
      <c r="B59" s="39"/>
      <c r="E59" s="136"/>
      <c r="F59" s="802" t="s">
        <v>611</v>
      </c>
      <c r="G59" s="803"/>
      <c r="H59" s="603"/>
      <c r="I59" s="603"/>
      <c r="J59" s="597"/>
      <c r="K59" s="597">
        <f>+K58+I57</f>
        <v>-85889.444910999999</v>
      </c>
      <c r="L59" s="123">
        <f>$B$25*$K$59</f>
        <v>0</v>
      </c>
      <c r="M59" s="124">
        <f>+$K$59-L59</f>
        <v>-85889.444910999999</v>
      </c>
    </row>
    <row r="60" spans="1:17" ht="12" customHeight="1" thickTop="1" thickBot="1" x14ac:dyDescent="0.3">
      <c r="A60" s="125" t="s">
        <v>48</v>
      </c>
      <c r="B60" s="747">
        <f>IF(OR(C1="Hold",D1="slow flip"),0.15,0)</f>
        <v>0.15</v>
      </c>
      <c r="C60" s="748"/>
      <c r="D60" s="125"/>
      <c r="E60" s="125"/>
      <c r="F60" s="802" t="s">
        <v>602</v>
      </c>
      <c r="G60" s="680"/>
      <c r="H60" s="680"/>
      <c r="I60" s="681"/>
      <c r="J60" s="681"/>
      <c r="K60" s="681"/>
      <c r="L60" s="134">
        <f>-I85</f>
        <v>0</v>
      </c>
      <c r="M60" s="168">
        <f>+I85</f>
        <v>0</v>
      </c>
    </row>
    <row r="61" spans="1:17" ht="12" customHeight="1" thickTop="1" thickBot="1" x14ac:dyDescent="0.3">
      <c r="A61" s="38" t="s">
        <v>49</v>
      </c>
      <c r="B61" s="743">
        <v>0.1</v>
      </c>
      <c r="C61" s="744">
        <v>0.15</v>
      </c>
      <c r="D61" s="745">
        <f>+M63*B61</f>
        <v>-7300.6028174349995</v>
      </c>
      <c r="E61" s="746"/>
      <c r="F61" s="679" t="s">
        <v>1158</v>
      </c>
      <c r="G61" s="680"/>
      <c r="H61" s="680"/>
      <c r="I61" s="681"/>
      <c r="J61" s="681"/>
      <c r="K61" s="681"/>
      <c r="L61" s="400" t="s">
        <v>471</v>
      </c>
      <c r="M61" s="168">
        <f>IF(B60="",0,-$B$60*SUM(M59:M60))</f>
        <v>12883.416736649999</v>
      </c>
    </row>
    <row r="62" spans="1:17" ht="12" customHeight="1" x14ac:dyDescent="0.25">
      <c r="F62" s="679" t="s">
        <v>1159</v>
      </c>
      <c r="G62" s="680"/>
      <c r="H62" s="680"/>
      <c r="I62" s="681"/>
      <c r="J62" s="681"/>
      <c r="K62" s="681"/>
      <c r="L62" s="123">
        <f>SUM(L59:L61)</f>
        <v>0</v>
      </c>
      <c r="M62" s="124">
        <f>SUM(M59:M61)</f>
        <v>-73006.028174349995</v>
      </c>
    </row>
    <row r="63" spans="1:17" ht="12" customHeight="1" thickBot="1" x14ac:dyDescent="0.3">
      <c r="A63" s="116"/>
      <c r="C63" s="38"/>
      <c r="D63" s="38"/>
      <c r="E63" s="38"/>
      <c r="F63" s="679" t="s">
        <v>612</v>
      </c>
      <c r="G63" s="680"/>
      <c r="H63" s="680"/>
      <c r="I63" s="681"/>
      <c r="J63" s="681"/>
      <c r="K63" s="681"/>
      <c r="L63" s="128"/>
      <c r="M63" s="320">
        <f>SUM(L62:M62)</f>
        <v>-73006.028174349995</v>
      </c>
    </row>
    <row r="64" spans="1:17" ht="12" customHeight="1" x14ac:dyDescent="0.25">
      <c r="A64" s="116"/>
      <c r="F64" s="679" t="s">
        <v>1160</v>
      </c>
      <c r="G64" s="680"/>
      <c r="H64" s="680"/>
      <c r="I64" s="681"/>
      <c r="J64" s="681"/>
      <c r="K64" s="681"/>
      <c r="L64" s="134"/>
      <c r="M64" s="588">
        <f>IF($T$3=3,Docs!I23,0)</f>
        <v>236592</v>
      </c>
    </row>
    <row r="65" spans="1:13" ht="12" customHeight="1" thickBot="1" x14ac:dyDescent="0.3">
      <c r="A65" s="116"/>
      <c r="C65" s="38"/>
      <c r="F65" s="679" t="s">
        <v>1162</v>
      </c>
      <c r="G65" s="680"/>
      <c r="H65" s="680"/>
      <c r="I65" s="681"/>
      <c r="J65" s="681"/>
      <c r="K65" s="681"/>
      <c r="L65" s="134"/>
      <c r="M65" s="589">
        <f>+'Trade Properties'!R11*J58</f>
        <v>197160</v>
      </c>
    </row>
    <row r="66" spans="1:13" ht="12" customHeight="1" thickBot="1" x14ac:dyDescent="0.3">
      <c r="A66" s="116"/>
      <c r="C66" s="38"/>
      <c r="D66" s="38"/>
      <c r="E66" s="38"/>
      <c r="F66" s="682" t="s">
        <v>1166</v>
      </c>
      <c r="G66" s="683"/>
      <c r="H66" s="683"/>
      <c r="I66" s="684"/>
      <c r="J66" s="684"/>
      <c r="K66" s="684"/>
      <c r="L66" s="587"/>
      <c r="M66" s="589">
        <f>SUM(M63:M65)</f>
        <v>360745.97182565002</v>
      </c>
    </row>
    <row r="67" spans="1:13" ht="12" customHeight="1" thickTop="1" x14ac:dyDescent="0.2">
      <c r="A67" s="119" t="s">
        <v>50</v>
      </c>
    </row>
    <row r="68" spans="1:13" ht="12" customHeight="1" thickBot="1" x14ac:dyDescent="0.25">
      <c r="A68" s="38" t="s">
        <v>51</v>
      </c>
      <c r="B68" s="758">
        <f>+'Gnatt Chart'!J5</f>
        <v>25446.674910999998</v>
      </c>
      <c r="C68" s="758"/>
      <c r="D68" s="758">
        <f>-B68</f>
        <v>-25446.674910999998</v>
      </c>
      <c r="E68" s="758"/>
    </row>
    <row r="69" spans="1:13" ht="12" customHeight="1" thickBot="1" x14ac:dyDescent="0.25">
      <c r="A69" s="38" t="s">
        <v>52</v>
      </c>
      <c r="B69" s="126">
        <v>0.1</v>
      </c>
      <c r="D69" s="758"/>
      <c r="E69" s="758"/>
      <c r="G69" s="714" t="s">
        <v>53</v>
      </c>
      <c r="H69" s="809"/>
      <c r="I69" s="809"/>
      <c r="J69" s="810"/>
      <c r="K69" s="810"/>
      <c r="L69" s="711"/>
    </row>
    <row r="70" spans="1:13" ht="12" customHeight="1" thickBot="1" x14ac:dyDescent="0.25">
      <c r="A70" s="38" t="s">
        <v>54</v>
      </c>
      <c r="B70" s="771">
        <f>IF(M13,0,+B69*SUM(B68:C68))</f>
        <v>0</v>
      </c>
      <c r="C70" s="771"/>
      <c r="D70" s="771">
        <f>-B70</f>
        <v>0</v>
      </c>
      <c r="E70" s="771"/>
      <c r="G70" s="811"/>
      <c r="H70" s="812"/>
      <c r="I70" s="812"/>
      <c r="J70" s="812"/>
      <c r="K70" s="812"/>
      <c r="L70" s="813"/>
    </row>
    <row r="71" spans="1:13" ht="12" customHeight="1" thickBot="1" x14ac:dyDescent="0.25">
      <c r="A71" s="38" t="s">
        <v>55</v>
      </c>
      <c r="D71" s="763">
        <f>+SUM(D68:E70)</f>
        <v>-25446.674910999998</v>
      </c>
      <c r="E71" s="764"/>
      <c r="G71" s="795" t="s">
        <v>1165</v>
      </c>
      <c r="H71" s="796"/>
      <c r="I71" s="796"/>
      <c r="J71" s="797"/>
      <c r="K71" s="797"/>
      <c r="L71" s="798"/>
    </row>
    <row r="72" spans="1:13" ht="12" customHeight="1" thickTop="1" thickBot="1" x14ac:dyDescent="0.25">
      <c r="A72" s="127" t="s">
        <v>56</v>
      </c>
      <c r="B72" s="125"/>
      <c r="C72" s="125"/>
      <c r="D72" s="38"/>
      <c r="E72" s="38"/>
      <c r="G72" s="792"/>
      <c r="H72" s="793"/>
      <c r="I72" s="793"/>
      <c r="J72" s="793"/>
      <c r="K72" s="793"/>
      <c r="L72" s="794"/>
    </row>
    <row r="73" spans="1:13" ht="12" customHeight="1" x14ac:dyDescent="0.2">
      <c r="A73" s="38" t="s">
        <v>57</v>
      </c>
      <c r="B73" s="756">
        <v>350</v>
      </c>
      <c r="C73" s="757"/>
      <c r="D73" s="758"/>
      <c r="E73" s="758"/>
      <c r="J73" s="37"/>
      <c r="K73" s="37"/>
    </row>
    <row r="74" spans="1:13" ht="12" customHeight="1" thickBot="1" x14ac:dyDescent="0.25">
      <c r="A74" s="38" t="s">
        <v>58</v>
      </c>
      <c r="B74" s="733">
        <v>0</v>
      </c>
      <c r="C74" s="734"/>
      <c r="D74" s="758"/>
      <c r="E74" s="758"/>
      <c r="J74" s="37"/>
      <c r="K74" s="37"/>
    </row>
    <row r="75" spans="1:13" ht="12" customHeight="1" thickBot="1" x14ac:dyDescent="0.25">
      <c r="A75" s="38" t="s">
        <v>59</v>
      </c>
      <c r="B75" s="733">
        <v>250</v>
      </c>
      <c r="C75" s="734"/>
      <c r="F75" s="785" t="s">
        <v>480</v>
      </c>
      <c r="G75" s="786"/>
      <c r="H75" s="786" t="s">
        <v>212</v>
      </c>
      <c r="I75" s="786"/>
      <c r="J75" s="303" t="s">
        <v>481</v>
      </c>
      <c r="K75" s="37"/>
    </row>
    <row r="76" spans="1:13" ht="12" customHeight="1" thickBot="1" x14ac:dyDescent="0.3">
      <c r="A76" s="38" t="s">
        <v>59</v>
      </c>
      <c r="B76" s="733"/>
      <c r="C76" s="734"/>
      <c r="F76" s="816">
        <f>_xlfn.DAYS(J76,H76)</f>
        <v>183</v>
      </c>
      <c r="G76" s="817"/>
      <c r="H76" s="818">
        <v>45748</v>
      </c>
      <c r="I76" s="732"/>
      <c r="J76" s="469">
        <v>45931</v>
      </c>
      <c r="K76" s="37"/>
    </row>
    <row r="77" spans="1:13" ht="12" customHeight="1" x14ac:dyDescent="0.2">
      <c r="A77" s="38" t="s">
        <v>60</v>
      </c>
      <c r="B77" s="733"/>
      <c r="C77" s="734"/>
      <c r="D77" s="121"/>
      <c r="E77" s="114"/>
      <c r="F77" s="114"/>
      <c r="G77" s="114"/>
      <c r="H77" s="304"/>
      <c r="I77" s="305"/>
      <c r="J77" s="114"/>
      <c r="K77" s="804" t="s">
        <v>564</v>
      </c>
    </row>
    <row r="78" spans="1:13" ht="12" customHeight="1" x14ac:dyDescent="0.2">
      <c r="A78" s="38" t="s">
        <v>60</v>
      </c>
      <c r="B78" s="733"/>
      <c r="C78" s="734"/>
      <c r="D78" s="306"/>
      <c r="G78" s="807" t="s">
        <v>482</v>
      </c>
      <c r="H78" s="807" t="s">
        <v>483</v>
      </c>
      <c r="I78" s="807" t="s">
        <v>484</v>
      </c>
      <c r="J78" s="807" t="s">
        <v>485</v>
      </c>
      <c r="K78" s="805"/>
    </row>
    <row r="79" spans="1:13" ht="12" customHeight="1" thickBot="1" x14ac:dyDescent="0.25">
      <c r="A79" s="38" t="s">
        <v>61</v>
      </c>
      <c r="B79" s="733"/>
      <c r="C79" s="734"/>
      <c r="D79" s="115" t="s">
        <v>253</v>
      </c>
      <c r="E79" s="772" t="s">
        <v>486</v>
      </c>
      <c r="F79" s="772"/>
      <c r="G79" s="808"/>
      <c r="H79" s="808"/>
      <c r="I79" s="808"/>
      <c r="J79" s="808"/>
      <c r="K79" s="806"/>
    </row>
    <row r="80" spans="1:13" ht="12" customHeight="1" x14ac:dyDescent="0.25">
      <c r="A80" s="38" t="s">
        <v>62</v>
      </c>
      <c r="B80" s="733"/>
      <c r="C80" s="734"/>
      <c r="D80" s="581">
        <v>45397</v>
      </c>
      <c r="E80" s="773" t="s">
        <v>605</v>
      </c>
      <c r="F80" s="774"/>
      <c r="G80" s="369"/>
      <c r="H80" s="370">
        <f>+G80/$G$86</f>
        <v>0</v>
      </c>
      <c r="I80" s="371">
        <f>+$L$59*H80</f>
        <v>0</v>
      </c>
      <c r="J80" s="372">
        <f>+G80+I80</f>
        <v>0</v>
      </c>
      <c r="K80" s="373">
        <f>IF(G80="",0,+I80/G80*365/_xlfn.DAYS($J$76,D80))</f>
        <v>0</v>
      </c>
    </row>
    <row r="81" spans="1:12" ht="12" customHeight="1" x14ac:dyDescent="0.25">
      <c r="A81" s="38" t="s">
        <v>63</v>
      </c>
      <c r="B81" s="733"/>
      <c r="C81" s="734"/>
      <c r="D81" s="581">
        <f>+D80+90</f>
        <v>45487</v>
      </c>
      <c r="E81" s="773" t="str">
        <f>+E80</f>
        <v>unknown</v>
      </c>
      <c r="F81" s="774"/>
      <c r="G81" s="369"/>
      <c r="H81" s="370">
        <f>+G81/$G$86</f>
        <v>0</v>
      </c>
      <c r="I81" s="371">
        <f>+$L$59*H81</f>
        <v>0</v>
      </c>
      <c r="J81" s="372">
        <f>+G81+I81</f>
        <v>0</v>
      </c>
      <c r="K81" s="373">
        <f>IF(G81="",0,+I81/G81*365/_xlfn.DAYS($J$76,D81))</f>
        <v>0</v>
      </c>
    </row>
    <row r="82" spans="1:12" ht="12" customHeight="1" x14ac:dyDescent="0.25">
      <c r="A82" s="38" t="s">
        <v>64</v>
      </c>
      <c r="B82" s="733"/>
      <c r="C82" s="734"/>
      <c r="D82" s="581">
        <f>+D81+270</f>
        <v>45757</v>
      </c>
      <c r="E82" s="773" t="str">
        <f>+E81</f>
        <v>unknown</v>
      </c>
      <c r="F82" s="774"/>
      <c r="G82" s="369"/>
      <c r="H82" s="370">
        <f>+G82/$G$86</f>
        <v>0</v>
      </c>
      <c r="I82" s="371">
        <f>+$L$59*H82</f>
        <v>0</v>
      </c>
      <c r="J82" s="372">
        <f>+G82+I82</f>
        <v>0</v>
      </c>
      <c r="K82" s="373">
        <f>IF(G82="",0,+I82/G82*365/_xlfn.DAYS($J$76,D82))</f>
        <v>0</v>
      </c>
    </row>
    <row r="83" spans="1:12" ht="12" customHeight="1" thickBot="1" x14ac:dyDescent="0.3">
      <c r="A83" s="38" t="s">
        <v>65</v>
      </c>
      <c r="B83" s="733"/>
      <c r="C83" s="734"/>
      <c r="D83" s="581">
        <f>+J76-120</f>
        <v>45811</v>
      </c>
      <c r="E83" s="773" t="str">
        <f>+E82</f>
        <v>unknown</v>
      </c>
      <c r="F83" s="774"/>
      <c r="G83" s="369"/>
      <c r="H83" s="370">
        <f>+G83/$G$86</f>
        <v>0</v>
      </c>
      <c r="I83" s="371">
        <f>+$L$59*H83</f>
        <v>0</v>
      </c>
      <c r="J83" s="372">
        <f>+G83+I83</f>
        <v>0</v>
      </c>
      <c r="K83" s="373">
        <f>IF(G83="",0,+I83/G83*365/_xlfn.DAYS($J$76,D83))</f>
        <v>0</v>
      </c>
    </row>
    <row r="84" spans="1:12" ht="12" customHeight="1" thickBot="1" x14ac:dyDescent="0.3">
      <c r="A84" s="38" t="s">
        <v>66</v>
      </c>
      <c r="B84" s="733">
        <v>200</v>
      </c>
      <c r="C84" s="734"/>
      <c r="D84" s="582">
        <v>45422</v>
      </c>
      <c r="E84" s="775" t="str">
        <f>+F1</f>
        <v>Heritage Management</v>
      </c>
      <c r="F84" s="77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33"/>
      <c r="C85" s="734"/>
      <c r="D85" s="348" t="str">
        <f>+J75</f>
        <v>End Date</v>
      </c>
      <c r="E85" s="814" t="s">
        <v>603</v>
      </c>
      <c r="F85" s="815"/>
      <c r="G85" s="349">
        <f>+SUM(G79:G82)</f>
        <v>0</v>
      </c>
      <c r="H85" s="350">
        <f>+SUM(H79:H82)</f>
        <v>0</v>
      </c>
      <c r="I85" s="349">
        <f>+SUM(I79:I82)</f>
        <v>0</v>
      </c>
      <c r="J85" s="349">
        <f>+SUM(J79:J82)</f>
        <v>0</v>
      </c>
      <c r="K85" s="351">
        <f>AVERAGE(K79:K82)</f>
        <v>0</v>
      </c>
    </row>
    <row r="86" spans="1:12" ht="12" customHeight="1" thickBot="1" x14ac:dyDescent="0.3">
      <c r="A86" s="38" t="s">
        <v>68</v>
      </c>
      <c r="B86" s="733"/>
      <c r="C86" s="734"/>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33">
        <v>90</v>
      </c>
      <c r="C87" s="734"/>
      <c r="D87" s="758"/>
      <c r="E87" s="758"/>
    </row>
    <row r="88" spans="1:12" ht="12" customHeight="1" x14ac:dyDescent="0.2">
      <c r="A88" s="38" t="s">
        <v>565</v>
      </c>
      <c r="B88" s="733">
        <v>20</v>
      </c>
      <c r="C88" s="734"/>
      <c r="D88" s="758"/>
      <c r="E88" s="758"/>
    </row>
    <row r="89" spans="1:12" ht="12" customHeight="1" x14ac:dyDescent="0.2">
      <c r="A89" s="38" t="s">
        <v>70</v>
      </c>
      <c r="B89" s="733">
        <v>30</v>
      </c>
      <c r="C89" s="734"/>
      <c r="D89" s="758"/>
      <c r="E89" s="758"/>
    </row>
    <row r="90" spans="1:12" ht="12" customHeight="1" thickBot="1" x14ac:dyDescent="0.25">
      <c r="A90" s="38" t="s">
        <v>71</v>
      </c>
      <c r="B90" s="759"/>
      <c r="C90" s="760"/>
      <c r="D90" s="761"/>
      <c r="E90" s="762"/>
    </row>
    <row r="91" spans="1:12" ht="12" customHeight="1" thickBot="1" x14ac:dyDescent="0.25">
      <c r="D91" s="763">
        <f>+SUM(B73:C90)</f>
        <v>940</v>
      </c>
      <c r="E91" s="764"/>
      <c r="G91" s="767" t="s">
        <v>72</v>
      </c>
      <c r="H91" s="789"/>
      <c r="I91" s="789"/>
      <c r="J91" s="790"/>
      <c r="K91" s="790"/>
      <c r="L91" s="791"/>
    </row>
    <row r="92" spans="1:12" ht="12" customHeight="1" thickBot="1" x14ac:dyDescent="0.25">
      <c r="G92" s="792"/>
      <c r="H92" s="793"/>
      <c r="I92" s="793"/>
      <c r="J92" s="793"/>
      <c r="K92" s="793"/>
      <c r="L92" s="794"/>
    </row>
    <row r="93" spans="1:12" ht="12" customHeight="1" thickTop="1" thickBot="1" x14ac:dyDescent="0.25">
      <c r="A93" s="127" t="s">
        <v>73</v>
      </c>
      <c r="B93" s="125"/>
      <c r="C93" s="125"/>
      <c r="D93" s="125"/>
      <c r="E93" s="125"/>
    </row>
    <row r="94" spans="1:12" ht="12" customHeight="1" x14ac:dyDescent="0.2">
      <c r="A94" s="38" t="s">
        <v>57</v>
      </c>
      <c r="B94" s="756"/>
      <c r="C94" s="757"/>
      <c r="D94" s="758"/>
      <c r="E94" s="758"/>
    </row>
    <row r="95" spans="1:12" ht="12" customHeight="1" x14ac:dyDescent="0.2">
      <c r="A95" s="38" t="s">
        <v>59</v>
      </c>
      <c r="B95" s="733">
        <v>250</v>
      </c>
      <c r="C95" s="734"/>
      <c r="D95" s="758"/>
      <c r="E95" s="758"/>
    </row>
    <row r="96" spans="1:12" ht="12" customHeight="1" x14ac:dyDescent="0.2">
      <c r="A96" s="38" t="s">
        <v>74</v>
      </c>
      <c r="B96" s="733">
        <v>0</v>
      </c>
      <c r="C96" s="734"/>
      <c r="D96" s="758"/>
      <c r="E96" s="758"/>
    </row>
    <row r="97" spans="1:12" ht="12" customHeight="1" x14ac:dyDescent="0.2">
      <c r="A97" s="38" t="s">
        <v>75</v>
      </c>
      <c r="B97" s="733"/>
      <c r="C97" s="734"/>
      <c r="D97" s="758"/>
      <c r="E97" s="758"/>
    </row>
    <row r="98" spans="1:12" ht="12" customHeight="1" x14ac:dyDescent="0.2">
      <c r="A98" s="38" t="s">
        <v>69</v>
      </c>
      <c r="B98" s="733"/>
      <c r="C98" s="734"/>
      <c r="D98" s="758"/>
      <c r="E98" s="758"/>
    </row>
    <row r="99" spans="1:12" ht="12" customHeight="1" x14ac:dyDescent="0.2">
      <c r="A99" s="38" t="s">
        <v>76</v>
      </c>
      <c r="B99" s="733">
        <v>40</v>
      </c>
      <c r="C99" s="734"/>
      <c r="D99" s="758"/>
      <c r="E99" s="758"/>
    </row>
    <row r="100" spans="1:12" ht="12" customHeight="1" x14ac:dyDescent="0.2">
      <c r="A100" s="38" t="s">
        <v>77</v>
      </c>
      <c r="B100" s="733"/>
      <c r="C100" s="734"/>
      <c r="D100" s="758"/>
      <c r="E100" s="758"/>
    </row>
    <row r="101" spans="1:12" ht="12" customHeight="1" thickBot="1" x14ac:dyDescent="0.25">
      <c r="A101" s="38" t="s">
        <v>71</v>
      </c>
      <c r="B101" s="765"/>
      <c r="C101" s="766"/>
      <c r="D101" s="761"/>
      <c r="E101" s="762"/>
    </row>
    <row r="102" spans="1:12" ht="12" customHeight="1" thickTop="1" thickBot="1" x14ac:dyDescent="0.25">
      <c r="D102" s="763">
        <f>+SUM(B94:C101)</f>
        <v>290</v>
      </c>
      <c r="E102" s="764"/>
      <c r="G102" s="767" t="s">
        <v>78</v>
      </c>
      <c r="H102" s="789"/>
      <c r="I102" s="789"/>
      <c r="J102" s="790"/>
      <c r="K102" s="790"/>
      <c r="L102" s="791"/>
    </row>
    <row r="103" spans="1:12" ht="12" customHeight="1" thickBot="1" x14ac:dyDescent="0.25">
      <c r="G103" s="792"/>
      <c r="H103" s="793"/>
      <c r="I103" s="793"/>
      <c r="J103" s="793"/>
      <c r="K103" s="793"/>
      <c r="L103" s="79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199" activePane="bottomLeft" state="frozen"/>
      <selection pane="bottomLeft" activeCell="AC8" sqref="AC8"/>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1" t="s">
        <v>595</v>
      </c>
      <c r="B1" s="642"/>
      <c r="C1" s="642"/>
      <c r="D1" s="643"/>
      <c r="N1" s="329"/>
      <c r="O1" s="627"/>
      <c r="P1" s="627"/>
      <c r="Q1" s="627"/>
      <c r="R1" s="627"/>
      <c r="S1" s="617">
        <v>1</v>
      </c>
      <c r="T1" s="13"/>
      <c r="Z1" s="329"/>
      <c r="AA1" s="456"/>
      <c r="AD1" s="14"/>
      <c r="AE1" s="13"/>
      <c r="AJ1" s="276"/>
      <c r="AK1" s="276"/>
      <c r="AL1" s="276"/>
      <c r="AM1" s="276"/>
      <c r="AP1"/>
    </row>
    <row r="2" spans="1:42" ht="15.75" thickBot="1" x14ac:dyDescent="0.3">
      <c r="A2" s="635" t="s">
        <v>1196</v>
      </c>
      <c r="B2" s="636"/>
      <c r="C2" s="465">
        <f>+Profit!C15</f>
        <v>97228</v>
      </c>
      <c r="D2" s="631"/>
      <c r="J2" s="2" t="s">
        <v>1139</v>
      </c>
      <c r="K2" s="664">
        <v>0</v>
      </c>
      <c r="L2" s="665"/>
      <c r="N2" s="30" t="s">
        <v>1140</v>
      </c>
      <c r="O2" s="572">
        <f>IF($S$1=1,P2,IF($S$1=2,Q2,IF($S$1=3,R2)))</f>
        <v>0.05</v>
      </c>
      <c r="P2" s="573">
        <v>0.05</v>
      </c>
      <c r="Q2" s="573">
        <v>0.05</v>
      </c>
      <c r="R2" s="573">
        <v>0.05</v>
      </c>
      <c r="U2" s="14"/>
      <c r="V2" s="456" t="s">
        <v>1151</v>
      </c>
      <c r="W2" s="458">
        <v>134.16999999999999</v>
      </c>
      <c r="Z2" s="641" t="s">
        <v>1177</v>
      </c>
      <c r="AA2" s="670"/>
      <c r="AB2" s="671"/>
      <c r="AC2" s="672"/>
      <c r="AJ2" s="276"/>
      <c r="AK2" s="276"/>
      <c r="AL2" s="276"/>
      <c r="AM2" s="276"/>
      <c r="AP2"/>
    </row>
    <row r="3" spans="1:42" ht="15.75" thickBot="1" x14ac:dyDescent="0.3">
      <c r="A3" s="635" t="s">
        <v>591</v>
      </c>
      <c r="B3" s="636"/>
      <c r="C3" s="441">
        <f>+Profit!B15</f>
        <v>3.7499999999999999E-2</v>
      </c>
      <c r="D3" s="31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Z3" s="673" t="s">
        <v>1178</v>
      </c>
      <c r="AA3" s="674"/>
      <c r="AB3" s="675"/>
      <c r="AC3" s="628">
        <f>cfdRate1Payment</f>
        <v>645.28</v>
      </c>
      <c r="AJ3" s="276"/>
      <c r="AK3" s="276"/>
      <c r="AL3" s="276"/>
      <c r="AM3" s="276"/>
      <c r="AP3"/>
    </row>
    <row r="4" spans="1:42" ht="15.75" thickBot="1" x14ac:dyDescent="0.3">
      <c r="A4" s="635" t="s">
        <v>1197</v>
      </c>
      <c r="B4" s="636"/>
      <c r="C4" s="465">
        <f>subjectRemainingMonths/12</f>
        <v>17.75</v>
      </c>
      <c r="D4" s="465">
        <f>DATEDIF(subjectKnownBalanceDate,subjectMortgageEndDate,"m")+1</f>
        <v>213</v>
      </c>
      <c r="J4" s="30" t="s">
        <v>1143</v>
      </c>
      <c r="K4" s="668">
        <f>+Profit!M63</f>
        <v>-73006.028174349995</v>
      </c>
      <c r="L4" s="669"/>
      <c r="N4" s="30" t="s">
        <v>1144</v>
      </c>
      <c r="O4" s="384">
        <f>IF($S$1=1,P4,IF($S$1=2,Q4,IF($S$1=3,R4)))</f>
        <v>34650</v>
      </c>
      <c r="P4" s="574">
        <f>+$O$3*$K$3</f>
        <v>34650</v>
      </c>
      <c r="Q4" s="385">
        <f>+$O$3*$K$3</f>
        <v>34650</v>
      </c>
      <c r="R4" s="386">
        <f>+$O$3*$K$3</f>
        <v>34650</v>
      </c>
      <c r="U4" s="14"/>
      <c r="V4" s="456" t="s">
        <v>1155</v>
      </c>
      <c r="W4" s="457">
        <f>+O9+W2+W3</f>
        <v>968</v>
      </c>
      <c r="Z4" s="673" t="s">
        <v>1179</v>
      </c>
      <c r="AA4" s="674"/>
      <c r="AB4" s="675"/>
      <c r="AC4" s="629">
        <f>cfdRate2Payment</f>
        <v>659.9</v>
      </c>
      <c r="AJ4" s="276"/>
      <c r="AK4" s="276"/>
      <c r="AL4" s="276"/>
      <c r="AM4" s="276"/>
      <c r="AO4" s="460"/>
      <c r="AP4" s="14"/>
    </row>
    <row r="5" spans="1:42" ht="15.75" thickBot="1" x14ac:dyDescent="0.3">
      <c r="A5" s="635" t="s">
        <v>590</v>
      </c>
      <c r="B5" s="636"/>
      <c r="C5" s="457">
        <f>ROUND(PMT(subjectInterestRate/12,subjectRemainingMonths,-subjectKnownBalance,0),2)</f>
        <v>625.80999999999995</v>
      </c>
      <c r="D5" s="315"/>
      <c r="J5" s="30"/>
      <c r="K5" s="30"/>
      <c r="L5" s="30"/>
      <c r="N5" s="30" t="s">
        <v>1161</v>
      </c>
      <c r="O5" s="384">
        <f>+'Trade Properties'!R8</f>
        <v>236592</v>
      </c>
      <c r="P5" s="574">
        <f>+O5</f>
        <v>236592</v>
      </c>
      <c r="Q5" s="385">
        <f>+O5</f>
        <v>236592</v>
      </c>
      <c r="R5" s="386">
        <f>+O5</f>
        <v>236592</v>
      </c>
      <c r="U5" s="460"/>
      <c r="V5" s="460"/>
      <c r="W5" s="460"/>
      <c r="Z5" s="673" t="s">
        <v>1180</v>
      </c>
      <c r="AA5" s="674"/>
      <c r="AB5" s="675"/>
      <c r="AC5" s="629">
        <f>IFERROR(_xlfn.XLOOKUP(cfdFirstRateMonths-1,tblContractForDeed[Period],tblContractForDeed[End Bal]),"")</f>
        <v>57470.46</v>
      </c>
      <c r="AH5" s="22"/>
      <c r="AI5" s="22"/>
      <c r="AJ5" s="22"/>
      <c r="AK5"/>
    </row>
    <row r="6" spans="1:42" ht="15.75" thickBot="1" x14ac:dyDescent="0.3">
      <c r="A6" s="635" t="s">
        <v>1198</v>
      </c>
      <c r="B6" s="636"/>
      <c r="C6" s="576">
        <v>45870</v>
      </c>
      <c r="D6" s="315"/>
      <c r="N6" s="30" t="s">
        <v>1145</v>
      </c>
      <c r="O6" s="384">
        <f>IF($S$1=1,P6,IF($S$1=2,Q6,IF($S$1=3,R6)))</f>
        <v>75258</v>
      </c>
      <c r="P6" s="574">
        <f>+P3-P4-$O$5</f>
        <v>75258</v>
      </c>
      <c r="Q6" s="385">
        <f t="shared" ref="Q6:R6" si="0">+Q3-Q4-$O$5</f>
        <v>75258</v>
      </c>
      <c r="R6" s="386">
        <f t="shared" si="0"/>
        <v>75258</v>
      </c>
      <c r="U6" s="460"/>
      <c r="V6" s="460"/>
      <c r="W6" s="460"/>
      <c r="Z6" s="673" t="s">
        <v>1181</v>
      </c>
      <c r="AA6" s="674"/>
      <c r="AB6" s="675"/>
      <c r="AC6" s="629">
        <f>IFERROR(_xlfn.XLOOKUP(12,tblScheduleIndex[Period],tblBuyerOutputs[Monthly Cash Flow]),"")</f>
        <v>19.470000000000027</v>
      </c>
      <c r="AH6" s="22"/>
      <c r="AI6" s="22"/>
      <c r="AJ6" s="22"/>
      <c r="AK6"/>
    </row>
    <row r="7" spans="1:42" ht="15.75" thickBot="1" x14ac:dyDescent="0.3">
      <c r="A7" s="637" t="s">
        <v>1148</v>
      </c>
      <c r="B7" s="638"/>
      <c r="C7" s="576">
        <v>52322</v>
      </c>
      <c r="D7" s="509"/>
      <c r="N7" s="30" t="s">
        <v>1146</v>
      </c>
      <c r="P7" s="575">
        <v>2.5000000000000001E-2</v>
      </c>
      <c r="Q7" s="575">
        <v>3.5000000000000003E-2</v>
      </c>
      <c r="R7" s="575">
        <v>3.2500000000000001E-2</v>
      </c>
      <c r="U7" s="460"/>
      <c r="V7" s="460"/>
      <c r="W7" s="460"/>
      <c r="Z7" s="673" t="s">
        <v>1182</v>
      </c>
      <c r="AA7" s="674"/>
      <c r="AB7" s="675"/>
      <c r="AC7" s="629">
        <f>IFERROR(_xlfn.XLOOKUP(cfdFirstRateMonths-1,tblContractForDeed[Period],tblBuyerOutputs[Cumul Cash Flow]),"")</f>
        <v>687.64000000000169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73" t="s">
        <v>1183</v>
      </c>
      <c r="AA8" s="674"/>
      <c r="AB8" s="675"/>
      <c r="AC8" s="629">
        <f>IFERROR(_xlfn.XLOOKUP(cfdFirstRateMonths-1,tblContractForDeed[Period],tblBuyerOutputs[Monthly Appr]),"")</f>
        <v>419.51499756505109</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73" t="s">
        <v>1184</v>
      </c>
      <c r="AA9" s="674"/>
      <c r="AB9" s="675"/>
      <c r="AC9" s="629">
        <f>IFERROR(_xlfn.XLOOKUP(cfdFirstRateMonths-1,tblContractForDeed[Period],tblBuyerOutputs[Cumul Appr]),"")</f>
        <v>25845.114413177311</v>
      </c>
      <c r="AH9" s="22"/>
      <c r="AI9" s="22"/>
      <c r="AJ9" s="22"/>
      <c r="AK9"/>
    </row>
    <row r="10" spans="1:42" ht="15.75" thickBot="1" x14ac:dyDescent="0.3">
      <c r="N10" s="30" t="s">
        <v>1189</v>
      </c>
      <c r="P10" s="575">
        <v>0.03</v>
      </c>
      <c r="Q10" s="575">
        <v>3.5000000000000003E-2</v>
      </c>
      <c r="R10" s="575">
        <v>0.04</v>
      </c>
      <c r="Z10" s="676" t="s">
        <v>1185</v>
      </c>
      <c r="AA10" s="677"/>
      <c r="AB10" s="678"/>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4" t="s">
        <v>1153</v>
      </c>
      <c r="I13" s="638"/>
      <c r="J13" s="616">
        <v>46204</v>
      </c>
      <c r="K13" s="644" t="s">
        <v>1187</v>
      </c>
      <c r="L13" s="645"/>
      <c r="M13" s="645"/>
      <c r="N13" s="638"/>
      <c r="O13" s="464">
        <v>5</v>
      </c>
      <c r="P13" s="465">
        <f>+O13*12</f>
        <v>60</v>
      </c>
      <c r="Q13" s="644" t="s">
        <v>1186</v>
      </c>
      <c r="R13" s="638"/>
      <c r="S13" s="639">
        <f>EDATE(J13,P13)</f>
        <v>48030</v>
      </c>
      <c r="T13" s="640"/>
      <c r="AC13"/>
      <c r="AH13" s="22"/>
      <c r="AI13" s="22"/>
      <c r="AJ13" s="22"/>
      <c r="AK13"/>
    </row>
    <row r="14" spans="1:42" ht="15.75" thickBot="1" x14ac:dyDescent="0.3">
      <c r="K14" s="644" t="s">
        <v>1188</v>
      </c>
      <c r="L14" s="645"/>
      <c r="M14" s="645"/>
      <c r="N14" s="638"/>
      <c r="O14" s="464">
        <v>15</v>
      </c>
      <c r="P14" s="465">
        <f>+O14*12</f>
        <v>180</v>
      </c>
      <c r="Q14" s="644" t="s">
        <v>1154</v>
      </c>
      <c r="R14" s="638"/>
      <c r="S14" s="639">
        <f>EDATE(J13,P14-1)</f>
        <v>51653</v>
      </c>
      <c r="T14" s="640"/>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32" t="s">
        <v>1194</v>
      </c>
      <c r="B17" s="633"/>
      <c r="C17" s="633"/>
      <c r="D17" s="633"/>
      <c r="E17" s="633"/>
      <c r="F17" s="633"/>
      <c r="G17" s="633"/>
      <c r="H17" s="633"/>
      <c r="I17" s="633"/>
      <c r="J17" s="633"/>
      <c r="K17" s="634"/>
      <c r="N17" s="460"/>
      <c r="O17" s="632" t="str">
        <f>"Official Contract for Deed Schedule: "&amp;TEXT($O$8,"0.00%")&amp;" for first "&amp;$O$13&amp;" years, then "&amp;TEXT($O$11,"0.00%")</f>
        <v>Official Contract for Deed Schedule: 6.25% for first 5 years, then 6.75%</v>
      </c>
      <c r="P17" s="633"/>
      <c r="Q17" s="633"/>
      <c r="R17" s="633"/>
      <c r="S17" s="633"/>
      <c r="T17" s="633"/>
      <c r="U17" s="633"/>
      <c r="V17" s="633"/>
      <c r="W17" s="633"/>
      <c r="X17" s="633"/>
      <c r="Y17" s="634"/>
      <c r="Z17" s="632" t="s">
        <v>1193</v>
      </c>
      <c r="AA17" s="633"/>
      <c r="AB17" s="633"/>
      <c r="AC17" s="633"/>
      <c r="AD17" s="633"/>
      <c r="AE17" s="634"/>
    </row>
    <row r="18" spans="1:44" ht="15" customHeight="1" thickBot="1" x14ac:dyDescent="0.3">
      <c r="C18" s="646" t="s">
        <v>658</v>
      </c>
      <c r="D18" s="647"/>
      <c r="E18" s="648"/>
      <c r="F18" s="648"/>
      <c r="G18" s="648"/>
      <c r="H18" s="649"/>
      <c r="I18" s="650" t="s">
        <v>655</v>
      </c>
      <c r="J18" s="651"/>
      <c r="L18" s="650" t="s">
        <v>1190</v>
      </c>
      <c r="M18" s="659"/>
      <c r="N18" s="660"/>
      <c r="O18" s="466"/>
      <c r="P18" s="618"/>
      <c r="Q18" s="652" t="s">
        <v>658</v>
      </c>
      <c r="R18" s="653"/>
      <c r="S18" s="654"/>
      <c r="T18" s="654"/>
      <c r="U18" s="654"/>
      <c r="V18" s="655"/>
      <c r="W18" s="652" t="s">
        <v>655</v>
      </c>
      <c r="X18" s="656"/>
      <c r="Y18" s="406"/>
      <c r="Z18" s="657" t="s">
        <v>1175</v>
      </c>
      <c r="AA18" s="658"/>
      <c r="AB18" s="661" t="s">
        <v>1169</v>
      </c>
      <c r="AC18" s="662"/>
      <c r="AD18" s="662"/>
      <c r="AE18" s="662"/>
      <c r="AF18" s="663"/>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1195</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subjectKnownBalanceDate</f>
        <v>45870</v>
      </c>
      <c r="B20" s="276">
        <f>subjectKnownBalance</f>
        <v>97228</v>
      </c>
      <c r="C20" s="14">
        <f>IF(A20="",0,IF(B20&lt;=0,0,IF(A20=subjectMortgageEndDate,B20+E20,MIN(subjectPayment,B20+E20))))</f>
        <v>625.80999999999995</v>
      </c>
      <c r="D20" s="14">
        <f>IF(C20=0,0,MAX(0,MIN(B20,C20-E20)))</f>
        <v>321.96999999999997</v>
      </c>
      <c r="E20" s="14">
        <f>IF(OR(A20="",B20&lt;=0),0,ROUND(B20*(subjectInterestRate/12),2))</f>
        <v>303.83999999999997</v>
      </c>
      <c r="I20" s="276">
        <f>+C20</f>
        <v>625.80999999999995</v>
      </c>
      <c r="J20" s="276">
        <f>+E20</f>
        <v>303.83999999999997</v>
      </c>
      <c r="K20" s="276">
        <f>IF(A20="",0,IF(B20&lt;=0,0,MAX(0,B20-D20)))</f>
        <v>96906.03</v>
      </c>
      <c r="L20" s="394">
        <f t="shared" ref="L20:L83" si="1">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613">
        <f>IF(OR(A20="",A20&gt;=subjectMortgageEndDate),"",EDATE(A20,1))</f>
        <v>45901</v>
      </c>
      <c r="B21" s="276">
        <f t="shared" ref="B21:B84" si="2">IF(A21="",0,MAX(0,K20))</f>
        <v>96906.03</v>
      </c>
      <c r="C21" s="14">
        <f>IF(A21="",0,IF(B21&lt;=0,0,IF(A21=subjectMortgageEndDate,B21+E21,MIN(subjectPayment,B21+E21))))</f>
        <v>625.80999999999995</v>
      </c>
      <c r="D21" s="14">
        <f t="shared" ref="D21:D84" si="3">IF(C21=0,0,MAX(0,MIN(B21,C21-E21)))</f>
        <v>322.97999999999996</v>
      </c>
      <c r="E21" s="14">
        <f>IF(OR(A21="",B21&lt;=0),0,ROUND(B21*(subjectInterestRate/12),2))</f>
        <v>302.83</v>
      </c>
      <c r="I21" s="276">
        <f>$D21+$I20</f>
        <v>948.79</v>
      </c>
      <c r="J21" s="276">
        <f>$E21+$J20</f>
        <v>606.66999999999996</v>
      </c>
      <c r="K21" s="276">
        <f t="shared" ref="K21:K84" si="4">IF(A21="",0,IF(B21&lt;=0,0,MAX(0,B21-D21)))</f>
        <v>96583.05</v>
      </c>
      <c r="L21" s="394">
        <f t="shared" si="1"/>
        <v>0</v>
      </c>
      <c r="M21" s="394">
        <f t="shared" ref="M21:M84" si="5">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613">
        <f>IF(OR(A21="",A21&gt;=subjectMortgageEndDate),"",EDATE(A21,1))</f>
        <v>45931</v>
      </c>
      <c r="B22" s="276">
        <f t="shared" si="2"/>
        <v>96583.05</v>
      </c>
      <c r="C22" s="14">
        <f>IF(A22="",0,IF(B22&lt;=0,0,IF(A22=subjectMortgageEndDate,B22+E22,MIN(subjectPayment,B22+E22))))</f>
        <v>625.80999999999995</v>
      </c>
      <c r="D22" s="14">
        <f t="shared" si="3"/>
        <v>323.98999999999995</v>
      </c>
      <c r="E22" s="14">
        <f>IF(OR(A22="",B22&lt;=0),0,ROUND(B22*(subjectInterestRate/12),2))</f>
        <v>301.82</v>
      </c>
      <c r="I22" s="276">
        <f t="shared" ref="I22:I85" si="6">$D22+$I21</f>
        <v>1272.78</v>
      </c>
      <c r="J22" s="276">
        <f t="shared" ref="J22:J85" si="7">$E22+$J21</f>
        <v>908.49</v>
      </c>
      <c r="K22" s="276">
        <f t="shared" si="4"/>
        <v>96259.06</v>
      </c>
      <c r="L22" s="394">
        <f t="shared" si="1"/>
        <v>0</v>
      </c>
      <c r="M22" s="394">
        <f t="shared" si="5"/>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613">
        <f>IF(OR(A22="",A22&gt;=subjectMortgageEndDate),"",EDATE(A22,1))</f>
        <v>45962</v>
      </c>
      <c r="B23" s="276">
        <f t="shared" si="2"/>
        <v>96259.06</v>
      </c>
      <c r="C23" s="14">
        <f>IF(A23="",0,IF(B23&lt;=0,0,IF(A23=subjectMortgageEndDate,B23+E23,MIN(subjectPayment,B23+E23))))</f>
        <v>625.80999999999995</v>
      </c>
      <c r="D23" s="14">
        <f t="shared" si="3"/>
        <v>324.99999999999994</v>
      </c>
      <c r="E23" s="14">
        <f>IF(OR(A23="",B23&lt;=0),0,ROUND(B23*(subjectInterestRate/12),2))</f>
        <v>300.81</v>
      </c>
      <c r="I23" s="276">
        <f t="shared" si="6"/>
        <v>1597.78</v>
      </c>
      <c r="J23" s="276">
        <f t="shared" si="7"/>
        <v>1209.3</v>
      </c>
      <c r="K23" s="276">
        <f t="shared" si="4"/>
        <v>95934.06</v>
      </c>
      <c r="L23" s="394">
        <f t="shared" si="1"/>
        <v>0</v>
      </c>
      <c r="M23" s="394">
        <f t="shared" si="5"/>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613">
        <f>IF(OR(A23="",A23&gt;=subjectMortgageEndDate),"",EDATE(A23,1))</f>
        <v>45992</v>
      </c>
      <c r="B24" s="276">
        <f t="shared" si="2"/>
        <v>95934.06</v>
      </c>
      <c r="C24" s="14">
        <f>IF(A24="",0,IF(B24&lt;=0,0,IF(A24=subjectMortgageEndDate,B24+E24,MIN(subjectPayment,B24+E24))))</f>
        <v>625.80999999999995</v>
      </c>
      <c r="D24" s="14">
        <f t="shared" si="3"/>
        <v>326.01999999999992</v>
      </c>
      <c r="E24" s="14">
        <f>IF(OR(A24="",B24&lt;=0),0,ROUND(B24*(subjectInterestRate/12),2))</f>
        <v>299.79000000000002</v>
      </c>
      <c r="I24" s="276">
        <f t="shared" si="6"/>
        <v>1923.8</v>
      </c>
      <c r="J24" s="276">
        <f t="shared" si="7"/>
        <v>1509.09</v>
      </c>
      <c r="K24" s="276">
        <f t="shared" si="4"/>
        <v>95608.04</v>
      </c>
      <c r="L24" s="394">
        <f t="shared" si="1"/>
        <v>0</v>
      </c>
      <c r="M24" s="394">
        <f t="shared" si="5"/>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613">
        <f>IF(OR(A24="",A24&gt;=subjectMortgageEndDate),"",EDATE(A24,1))</f>
        <v>46023</v>
      </c>
      <c r="B25" s="276">
        <f t="shared" si="2"/>
        <v>95608.04</v>
      </c>
      <c r="C25" s="14">
        <f>IF(A25="",0,IF(B25&lt;=0,0,IF(A25=subjectMortgageEndDate,B25+E25,MIN(subjectPayment,B25+E25))))</f>
        <v>625.80999999999995</v>
      </c>
      <c r="D25" s="14">
        <f t="shared" si="3"/>
        <v>327.02999999999997</v>
      </c>
      <c r="E25" s="14">
        <f>IF(OR(A25="",B25&lt;=0),0,ROUND(B25*(subjectInterestRate/12),2))</f>
        <v>298.77999999999997</v>
      </c>
      <c r="I25" s="276">
        <f t="shared" si="6"/>
        <v>2250.83</v>
      </c>
      <c r="J25" s="276">
        <f t="shared" si="7"/>
        <v>1807.87</v>
      </c>
      <c r="K25" s="276">
        <f t="shared" si="4"/>
        <v>95281.01</v>
      </c>
      <c r="L25" s="394">
        <f t="shared" si="1"/>
        <v>0</v>
      </c>
      <c r="M25" s="394">
        <f t="shared" si="5"/>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613">
        <f>IF(OR(A25="",A25&gt;=subjectMortgageEndDate),"",EDATE(A25,1))</f>
        <v>46054</v>
      </c>
      <c r="B26" s="276">
        <f t="shared" si="2"/>
        <v>95281.01</v>
      </c>
      <c r="C26" s="14">
        <f>IF(A26="",0,IF(B26&lt;=0,0,IF(A26=subjectMortgageEndDate,B26+E26,MIN(subjectPayment,B26+E26))))</f>
        <v>625.80999999999995</v>
      </c>
      <c r="D26" s="14">
        <f t="shared" si="3"/>
        <v>328.05999999999995</v>
      </c>
      <c r="E26" s="14">
        <f>IF(OR(A26="",B26&lt;=0),0,ROUND(B26*(subjectInterestRate/12),2))</f>
        <v>297.75</v>
      </c>
      <c r="I26" s="276">
        <f t="shared" si="6"/>
        <v>2578.89</v>
      </c>
      <c r="J26" s="276">
        <f t="shared" si="7"/>
        <v>2105.62</v>
      </c>
      <c r="K26" s="276">
        <f t="shared" si="4"/>
        <v>94952.95</v>
      </c>
      <c r="L26" s="394">
        <f t="shared" si="1"/>
        <v>0</v>
      </c>
      <c r="M26" s="394">
        <f t="shared" si="5"/>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613">
        <f>IF(OR(A26="",A26&gt;=subjectMortgageEndDate),"",EDATE(A26,1))</f>
        <v>46082</v>
      </c>
      <c r="B27" s="276">
        <f t="shared" si="2"/>
        <v>94952.95</v>
      </c>
      <c r="C27" s="14">
        <f>IF(A27="",0,IF(B27&lt;=0,0,IF(A27=subjectMortgageEndDate,B27+E27,MIN(subjectPayment,B27+E27))))</f>
        <v>625.80999999999995</v>
      </c>
      <c r="D27" s="14">
        <f t="shared" si="3"/>
        <v>329.07999999999993</v>
      </c>
      <c r="E27" s="14">
        <f>IF(OR(A27="",B27&lt;=0),0,ROUND(B27*(subjectInterestRate/12),2))</f>
        <v>296.73</v>
      </c>
      <c r="I27" s="276">
        <f t="shared" si="6"/>
        <v>2907.97</v>
      </c>
      <c r="J27" s="276">
        <f t="shared" si="7"/>
        <v>2402.35</v>
      </c>
      <c r="K27" s="276">
        <f t="shared" si="4"/>
        <v>94623.87</v>
      </c>
      <c r="L27" s="394">
        <f t="shared" si="1"/>
        <v>0</v>
      </c>
      <c r="M27" s="394">
        <f t="shared" si="5"/>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613">
        <f>IF(OR(A27="",A27&gt;=subjectMortgageEndDate),"",EDATE(A27,1))</f>
        <v>46113</v>
      </c>
      <c r="B28" s="276">
        <f t="shared" si="2"/>
        <v>94623.87</v>
      </c>
      <c r="C28" s="14">
        <f>IF(A28="",0,IF(B28&lt;=0,0,IF(A28=subjectMortgageEndDate,B28+E28,MIN(subjectPayment,B28+E28))))</f>
        <v>625.80999999999995</v>
      </c>
      <c r="D28" s="14">
        <f t="shared" si="3"/>
        <v>330.10999999999996</v>
      </c>
      <c r="E28" s="14">
        <f>IF(OR(A28="",B28&lt;=0),0,ROUND(B28*(subjectInterestRate/12),2))</f>
        <v>295.7</v>
      </c>
      <c r="I28" s="276">
        <f t="shared" si="6"/>
        <v>3238.08</v>
      </c>
      <c r="J28" s="276">
        <f t="shared" si="7"/>
        <v>2698.0499999999997</v>
      </c>
      <c r="K28" s="276">
        <f t="shared" si="4"/>
        <v>94293.759999999995</v>
      </c>
      <c r="L28" s="394">
        <f t="shared" si="1"/>
        <v>0</v>
      </c>
      <c r="M28" s="394">
        <f t="shared" si="5"/>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613">
        <f>IF(OR(A28="",A28&gt;=subjectMortgageEndDate),"",EDATE(A28,1))</f>
        <v>46143</v>
      </c>
      <c r="B29" s="276">
        <f t="shared" si="2"/>
        <v>94293.759999999995</v>
      </c>
      <c r="C29" s="14">
        <f>IF(A29="",0,IF(B29&lt;=0,0,IF(A29=subjectMortgageEndDate,B29+E29,MIN(subjectPayment,B29+E29))))</f>
        <v>625.80999999999995</v>
      </c>
      <c r="D29" s="14">
        <f t="shared" si="3"/>
        <v>331.13999999999993</v>
      </c>
      <c r="E29" s="14">
        <f>IF(OR(A29="",B29&lt;=0),0,ROUND(B29*(subjectInterestRate/12),2))</f>
        <v>294.67</v>
      </c>
      <c r="I29" s="276">
        <f t="shared" si="6"/>
        <v>3569.22</v>
      </c>
      <c r="J29" s="276">
        <f t="shared" si="7"/>
        <v>2992.72</v>
      </c>
      <c r="K29" s="276">
        <f t="shared" si="4"/>
        <v>93962.62</v>
      </c>
      <c r="L29" s="394">
        <f t="shared" si="1"/>
        <v>0</v>
      </c>
      <c r="M29" s="394">
        <f t="shared" si="5"/>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613">
        <f>IF(OR(A29="",A29&gt;=subjectMortgageEndDate),"",EDATE(A29,1))</f>
        <v>46174</v>
      </c>
      <c r="B30" s="276">
        <f t="shared" si="2"/>
        <v>93962.62</v>
      </c>
      <c r="C30" s="14">
        <f>IF(A30="",0,IF(B30&lt;=0,0,IF(A30=subjectMortgageEndDate,B30+E30,MIN(subjectPayment,B30+E30))))</f>
        <v>625.80999999999995</v>
      </c>
      <c r="D30" s="14">
        <f t="shared" si="3"/>
        <v>332.17999999999995</v>
      </c>
      <c r="E30" s="14">
        <f>IF(OR(A30="",B30&lt;=0),0,ROUND(B30*(subjectInterestRate/12),2))</f>
        <v>293.63</v>
      </c>
      <c r="I30" s="276">
        <f t="shared" si="6"/>
        <v>3901.3999999999996</v>
      </c>
      <c r="J30" s="276">
        <f t="shared" si="7"/>
        <v>3286.35</v>
      </c>
      <c r="K30" s="276">
        <f t="shared" si="4"/>
        <v>93630.44</v>
      </c>
      <c r="L30" s="394">
        <f t="shared" si="1"/>
        <v>0</v>
      </c>
      <c r="M30" s="394">
        <f t="shared" si="5"/>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614">
        <f>IF(OR(A30="",A30&gt;=subjectMortgageEndDate),"",EDATE(A30,1))</f>
        <v>46204</v>
      </c>
      <c r="B31" s="332">
        <f t="shared" si="2"/>
        <v>93630.44</v>
      </c>
      <c r="C31" s="21">
        <f>IF(A31="",0,IF(B31&lt;=0,0,IF(A31=subjectMortgageEndDate,B31+E31,MIN(subjectPayment,B31+E31))))</f>
        <v>625.80999999999995</v>
      </c>
      <c r="D31" s="21">
        <f t="shared" si="3"/>
        <v>333.20999999999992</v>
      </c>
      <c r="E31" s="21">
        <f>IF(OR(A31="",B31&lt;=0),0,ROUND(B31*(subjectInterestRate/12),2))</f>
        <v>292.60000000000002</v>
      </c>
      <c r="F31" s="21"/>
      <c r="G31" s="21"/>
      <c r="H31" s="21"/>
      <c r="I31" s="332">
        <f t="shared" si="6"/>
        <v>4234.6099999999997</v>
      </c>
      <c r="J31" s="332">
        <f t="shared" si="7"/>
        <v>3578.95</v>
      </c>
      <c r="K31" s="332">
        <f t="shared" si="4"/>
        <v>93297.23</v>
      </c>
      <c r="L31" s="395">
        <f t="shared" si="1"/>
        <v>0</v>
      </c>
      <c r="M31" s="395">
        <f t="shared" si="5"/>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32">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613">
        <f>IF(OR(A31="",A31&gt;=subjectMortgageEndDate),"",EDATE(A31,1))</f>
        <v>46235</v>
      </c>
      <c r="B32" s="276">
        <f t="shared" si="2"/>
        <v>93297.23</v>
      </c>
      <c r="C32" s="14">
        <f>IF(A32="",0,IF(B32&lt;=0,0,IF(A32=subjectMortgageEndDate,B32+E32,MIN(subjectPayment,B32+E32))))</f>
        <v>625.80999999999995</v>
      </c>
      <c r="D32" s="14">
        <f t="shared" si="3"/>
        <v>334.25999999999993</v>
      </c>
      <c r="E32" s="14">
        <f>IF(OR(A32="",B32&lt;=0),0,ROUND(B32*(subjectInterestRate/12),2))</f>
        <v>291.55</v>
      </c>
      <c r="I32" s="276">
        <f t="shared" si="6"/>
        <v>4568.87</v>
      </c>
      <c r="J32" s="276">
        <f t="shared" si="7"/>
        <v>3870.5</v>
      </c>
      <c r="K32" s="276">
        <f t="shared" si="4"/>
        <v>92962.97</v>
      </c>
      <c r="L32" s="394">
        <f t="shared" si="1"/>
        <v>1</v>
      </c>
      <c r="M32" s="394">
        <f t="shared" si="5"/>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613">
        <f>IF(OR(A32="",A32&gt;=subjectMortgageEndDate),"",EDATE(A32,1))</f>
        <v>46266</v>
      </c>
      <c r="B33" s="276">
        <f t="shared" si="2"/>
        <v>92962.97</v>
      </c>
      <c r="C33" s="14">
        <f>IF(A33="",0,IF(B33&lt;=0,0,IF(A33=subjectMortgageEndDate,B33+E33,MIN(subjectPayment,B33+E33))))</f>
        <v>625.80999999999995</v>
      </c>
      <c r="D33" s="14">
        <f t="shared" si="3"/>
        <v>335.29999999999995</v>
      </c>
      <c r="E33" s="14">
        <f>IF(OR(A33="",B33&lt;=0),0,ROUND(B33*(subjectInterestRate/12),2))</f>
        <v>290.51</v>
      </c>
      <c r="I33" s="276">
        <f t="shared" si="6"/>
        <v>4904.17</v>
      </c>
      <c r="J33" s="276">
        <f t="shared" si="7"/>
        <v>4161.01</v>
      </c>
      <c r="K33" s="276">
        <f t="shared" si="4"/>
        <v>92627.67</v>
      </c>
      <c r="L33" s="394">
        <f t="shared" si="1"/>
        <v>1</v>
      </c>
      <c r="M33" s="394">
        <f t="shared" si="5"/>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613">
        <f>IF(OR(A33="",A33&gt;=subjectMortgageEndDate),"",EDATE(A33,1))</f>
        <v>46296</v>
      </c>
      <c r="B34" s="276">
        <f t="shared" si="2"/>
        <v>92627.67</v>
      </c>
      <c r="C34" s="14">
        <f>IF(A34="",0,IF(B34&lt;=0,0,IF(A34=subjectMortgageEndDate,B34+E34,MIN(subjectPayment,B34+E34))))</f>
        <v>625.80999999999995</v>
      </c>
      <c r="D34" s="14">
        <f t="shared" si="3"/>
        <v>336.34999999999997</v>
      </c>
      <c r="E34" s="14">
        <f>IF(OR(A34="",B34&lt;=0),0,ROUND(B34*(subjectInterestRate/12),2))</f>
        <v>289.45999999999998</v>
      </c>
      <c r="I34" s="276">
        <f t="shared" si="6"/>
        <v>5240.5200000000004</v>
      </c>
      <c r="J34" s="276">
        <f t="shared" si="7"/>
        <v>4450.47</v>
      </c>
      <c r="K34" s="276">
        <f t="shared" si="4"/>
        <v>92291.319999999992</v>
      </c>
      <c r="L34" s="394">
        <f t="shared" si="1"/>
        <v>1</v>
      </c>
      <c r="M34" s="394">
        <f t="shared" si="5"/>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613">
        <f>IF(OR(A34="",A34&gt;=subjectMortgageEndDate),"",EDATE(A34,1))</f>
        <v>46327</v>
      </c>
      <c r="B35" s="276">
        <f t="shared" si="2"/>
        <v>92291.319999999992</v>
      </c>
      <c r="C35" s="14">
        <f>IF(A35="",0,IF(B35&lt;=0,0,IF(A35=subjectMortgageEndDate,B35+E35,MIN(subjectPayment,B35+E35))))</f>
        <v>625.80999999999995</v>
      </c>
      <c r="D35" s="14">
        <f t="shared" si="3"/>
        <v>337.39999999999992</v>
      </c>
      <c r="E35" s="14">
        <f>IF(OR(A35="",B35&lt;=0),0,ROUND(B35*(subjectInterestRate/12),2))</f>
        <v>288.41000000000003</v>
      </c>
      <c r="I35" s="276">
        <f t="shared" si="6"/>
        <v>5577.92</v>
      </c>
      <c r="J35" s="276">
        <f t="shared" si="7"/>
        <v>4738.88</v>
      </c>
      <c r="K35" s="276">
        <f t="shared" si="4"/>
        <v>91953.919999999998</v>
      </c>
      <c r="L35" s="394">
        <f t="shared" si="1"/>
        <v>1</v>
      </c>
      <c r="M35" s="394">
        <f t="shared" si="5"/>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613">
        <f>IF(OR(A35="",A35&gt;=subjectMortgageEndDate),"",EDATE(A35,1))</f>
        <v>46357</v>
      </c>
      <c r="B36" s="276">
        <f t="shared" si="2"/>
        <v>91953.919999999998</v>
      </c>
      <c r="C36" s="14">
        <f>IF(A36="",0,IF(B36&lt;=0,0,IF(A36=subjectMortgageEndDate,B36+E36,MIN(subjectPayment,B36+E36))))</f>
        <v>625.80999999999995</v>
      </c>
      <c r="D36" s="14">
        <f t="shared" si="3"/>
        <v>338.44999999999993</v>
      </c>
      <c r="E36" s="14">
        <f>IF(OR(A36="",B36&lt;=0),0,ROUND(B36*(subjectInterestRate/12),2))</f>
        <v>287.36</v>
      </c>
      <c r="I36" s="276">
        <f t="shared" si="6"/>
        <v>5916.37</v>
      </c>
      <c r="J36" s="276">
        <f t="shared" si="7"/>
        <v>5026.24</v>
      </c>
      <c r="K36" s="276">
        <f t="shared" si="4"/>
        <v>91615.47</v>
      </c>
      <c r="L36" s="394">
        <f t="shared" si="1"/>
        <v>1</v>
      </c>
      <c r="M36" s="394">
        <f t="shared" si="5"/>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613">
        <f>IF(OR(A36="",A36&gt;=subjectMortgageEndDate),"",EDATE(A36,1))</f>
        <v>46388</v>
      </c>
      <c r="B37" s="276">
        <f t="shared" si="2"/>
        <v>91615.47</v>
      </c>
      <c r="C37" s="14">
        <f>IF(A37="",0,IF(B37&lt;=0,0,IF(A37=subjectMortgageEndDate,B37+E37,MIN(subjectPayment,B37+E37))))</f>
        <v>625.80999999999995</v>
      </c>
      <c r="D37" s="14">
        <f t="shared" si="3"/>
        <v>339.50999999999993</v>
      </c>
      <c r="E37" s="14">
        <f>IF(OR(A37="",B37&lt;=0),0,ROUND(B37*(subjectInterestRate/12),2))</f>
        <v>286.3</v>
      </c>
      <c r="I37" s="276">
        <f t="shared" si="6"/>
        <v>6255.88</v>
      </c>
      <c r="J37" s="276">
        <f t="shared" si="7"/>
        <v>5312.54</v>
      </c>
      <c r="K37" s="276">
        <f t="shared" si="4"/>
        <v>91275.96</v>
      </c>
      <c r="L37" s="394">
        <f t="shared" si="1"/>
        <v>1</v>
      </c>
      <c r="M37" s="394">
        <f t="shared" si="5"/>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613">
        <f>IF(OR(A37="",A37&gt;=subjectMortgageEndDate),"",EDATE(A37,1))</f>
        <v>46419</v>
      </c>
      <c r="B38" s="276">
        <f t="shared" si="2"/>
        <v>91275.96</v>
      </c>
      <c r="C38" s="14">
        <f>IF(A38="",0,IF(B38&lt;=0,0,IF(A38=subjectMortgageEndDate,B38+E38,MIN(subjectPayment,B38+E38))))</f>
        <v>625.80999999999995</v>
      </c>
      <c r="D38" s="14">
        <f t="shared" si="3"/>
        <v>340.56999999999994</v>
      </c>
      <c r="E38" s="14">
        <f>IF(OR(A38="",B38&lt;=0),0,ROUND(B38*(subjectInterestRate/12),2))</f>
        <v>285.24</v>
      </c>
      <c r="I38" s="276">
        <f t="shared" si="6"/>
        <v>6596.45</v>
      </c>
      <c r="J38" s="276">
        <f t="shared" si="7"/>
        <v>5597.78</v>
      </c>
      <c r="K38" s="276">
        <f t="shared" si="4"/>
        <v>90935.39</v>
      </c>
      <c r="L38" s="394">
        <f t="shared" si="1"/>
        <v>1</v>
      </c>
      <c r="M38" s="394">
        <f t="shared" si="5"/>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613">
        <f>IF(OR(A38="",A38&gt;=subjectMortgageEndDate),"",EDATE(A38,1))</f>
        <v>46447</v>
      </c>
      <c r="B39" s="276">
        <f t="shared" si="2"/>
        <v>90935.39</v>
      </c>
      <c r="C39" s="14">
        <f>IF(A39="",0,IF(B39&lt;=0,0,IF(A39=subjectMortgageEndDate,B39+E39,MIN(subjectPayment,B39+E39))))</f>
        <v>625.80999999999995</v>
      </c>
      <c r="D39" s="14">
        <f t="shared" si="3"/>
        <v>341.63999999999993</v>
      </c>
      <c r="E39" s="14">
        <f>IF(OR(A39="",B39&lt;=0),0,ROUND(B39*(subjectInterestRate/12),2))</f>
        <v>284.17</v>
      </c>
      <c r="I39" s="276">
        <f t="shared" si="6"/>
        <v>6938.09</v>
      </c>
      <c r="J39" s="276">
        <f t="shared" si="7"/>
        <v>5881.95</v>
      </c>
      <c r="K39" s="276">
        <f t="shared" si="4"/>
        <v>90593.75</v>
      </c>
      <c r="L39" s="394">
        <f t="shared" si="1"/>
        <v>1</v>
      </c>
      <c r="M39" s="394">
        <f t="shared" si="5"/>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613">
        <f>IF(OR(A39="",A39&gt;=subjectMortgageEndDate),"",EDATE(A39,1))</f>
        <v>46478</v>
      </c>
      <c r="B40" s="276">
        <f t="shared" si="2"/>
        <v>90593.75</v>
      </c>
      <c r="C40" s="14">
        <f>IF(A40="",0,IF(B40&lt;=0,0,IF(A40=subjectMortgageEndDate,B40+E40,MIN(subjectPayment,B40+E40))))</f>
        <v>625.80999999999995</v>
      </c>
      <c r="D40" s="14">
        <f t="shared" si="3"/>
        <v>342.69999999999993</v>
      </c>
      <c r="E40" s="14">
        <f>IF(OR(A40="",B40&lt;=0),0,ROUND(B40*(subjectInterestRate/12),2))</f>
        <v>283.11</v>
      </c>
      <c r="I40" s="276">
        <f t="shared" si="6"/>
        <v>7280.79</v>
      </c>
      <c r="J40" s="276">
        <f t="shared" si="7"/>
        <v>6165.0599999999995</v>
      </c>
      <c r="K40" s="276">
        <f t="shared" si="4"/>
        <v>90251.05</v>
      </c>
      <c r="L40" s="394">
        <f t="shared" si="1"/>
        <v>1</v>
      </c>
      <c r="M40" s="394">
        <f t="shared" si="5"/>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613">
        <f>IF(OR(A40="",A40&gt;=subjectMortgageEndDate),"",EDATE(A40,1))</f>
        <v>46508</v>
      </c>
      <c r="B41" s="276">
        <f t="shared" si="2"/>
        <v>90251.05</v>
      </c>
      <c r="C41" s="14">
        <f>IF(A41="",0,IF(B41&lt;=0,0,IF(A41=subjectMortgageEndDate,B41+E41,MIN(subjectPayment,B41+E41))))</f>
        <v>625.80999999999995</v>
      </c>
      <c r="D41" s="14">
        <f t="shared" si="3"/>
        <v>343.78</v>
      </c>
      <c r="E41" s="14">
        <f>IF(OR(A41="",B41&lt;=0),0,ROUND(B41*(subjectInterestRate/12),2))</f>
        <v>282.02999999999997</v>
      </c>
      <c r="I41" s="276">
        <f t="shared" si="6"/>
        <v>7624.57</v>
      </c>
      <c r="J41" s="276">
        <f t="shared" si="7"/>
        <v>6447.0899999999992</v>
      </c>
      <c r="K41" s="276">
        <f t="shared" si="4"/>
        <v>89907.27</v>
      </c>
      <c r="L41" s="394">
        <f t="shared" si="1"/>
        <v>1</v>
      </c>
      <c r="M41" s="394">
        <f t="shared" si="5"/>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613">
        <f>IF(OR(A41="",A41&gt;=subjectMortgageEndDate),"",EDATE(A41,1))</f>
        <v>46539</v>
      </c>
      <c r="B42" s="276">
        <f t="shared" si="2"/>
        <v>89907.27</v>
      </c>
      <c r="C42" s="14">
        <f>IF(A42="",0,IF(B42&lt;=0,0,IF(A42=subjectMortgageEndDate,B42+E42,MIN(subjectPayment,B42+E42))))</f>
        <v>625.80999999999995</v>
      </c>
      <c r="D42" s="14">
        <f t="shared" si="3"/>
        <v>344.84999999999997</v>
      </c>
      <c r="E42" s="14">
        <f>IF(OR(A42="",B42&lt;=0),0,ROUND(B42*(subjectInterestRate/12),2))</f>
        <v>280.95999999999998</v>
      </c>
      <c r="I42" s="276">
        <f t="shared" si="6"/>
        <v>7969.42</v>
      </c>
      <c r="J42" s="276">
        <f t="shared" si="7"/>
        <v>6728.0499999999993</v>
      </c>
      <c r="K42" s="276">
        <f t="shared" si="4"/>
        <v>89562.42</v>
      </c>
      <c r="L42" s="394">
        <f t="shared" si="1"/>
        <v>1</v>
      </c>
      <c r="M42" s="394">
        <f t="shared" si="5"/>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614">
        <f>IF(OR(A42="",A42&gt;=subjectMortgageEndDate),"",EDATE(A42,1))</f>
        <v>46569</v>
      </c>
      <c r="B43" s="332">
        <f t="shared" si="2"/>
        <v>89562.42</v>
      </c>
      <c r="C43" s="21">
        <f>IF(A43="",0,IF(B43&lt;=0,0,IF(A43=subjectMortgageEndDate,B43+E43,MIN(subjectPayment,B43+E43))))</f>
        <v>625.80999999999995</v>
      </c>
      <c r="D43" s="21">
        <f t="shared" si="3"/>
        <v>345.92999999999995</v>
      </c>
      <c r="E43" s="21">
        <f>IF(OR(A43="",B43&lt;=0),0,ROUND(B43*(subjectInterestRate/12),2))</f>
        <v>279.88</v>
      </c>
      <c r="F43" s="21"/>
      <c r="G43" s="21"/>
      <c r="H43" s="21"/>
      <c r="I43" s="332">
        <f t="shared" si="6"/>
        <v>8315.35</v>
      </c>
      <c r="J43" s="332">
        <f t="shared" si="7"/>
        <v>7007.9299999999994</v>
      </c>
      <c r="K43" s="332">
        <f t="shared" si="4"/>
        <v>89216.49</v>
      </c>
      <c r="L43" s="395">
        <f t="shared" si="1"/>
        <v>1</v>
      </c>
      <c r="M43" s="395">
        <f t="shared" si="5"/>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32">
        <f>IF(INDEX(tblContractForDeed[End Bal],ROW()-ROW(tblBuyerOutputs[#Headers]))&lt;=0,0,($O$6+IF(ROW()=ROW(tblBuyerOutputs[#Headers])+1,0,INDEX(tblBuyerOutputs[Cumul Appr],ROW()-ROW(tblBuyerOutputs[#Headers])-1)))*$O$2/12)</f>
        <v>345.04429473630125</v>
      </c>
      <c r="AE43" s="332">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613">
        <f>IF(OR(A43="",A43&gt;=subjectMortgageEndDate),"",EDATE(A43,1))</f>
        <v>46600</v>
      </c>
      <c r="B44" s="276">
        <f t="shared" si="2"/>
        <v>89216.49</v>
      </c>
      <c r="C44" s="14">
        <f>IF(A44="",0,IF(B44&lt;=0,0,IF(A44=subjectMortgageEndDate,B44+E44,MIN(subjectPayment,B44+E44))))</f>
        <v>625.80999999999995</v>
      </c>
      <c r="D44" s="14">
        <f t="shared" si="3"/>
        <v>347.00999999999993</v>
      </c>
      <c r="E44" s="14">
        <f>IF(OR(A44="",B44&lt;=0),0,ROUND(B44*(subjectInterestRate/12),2))</f>
        <v>278.8</v>
      </c>
      <c r="I44" s="276">
        <f t="shared" si="6"/>
        <v>8662.36</v>
      </c>
      <c r="J44" s="276">
        <f t="shared" si="7"/>
        <v>7286.73</v>
      </c>
      <c r="K44" s="276">
        <f t="shared" si="4"/>
        <v>88869.48000000001</v>
      </c>
      <c r="L44" s="394">
        <f t="shared" si="1"/>
        <v>2</v>
      </c>
      <c r="M44" s="394">
        <f t="shared" si="5"/>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613">
        <f>IF(OR(A44="",A44&gt;=subjectMortgageEndDate),"",EDATE(A44,1))</f>
        <v>46631</v>
      </c>
      <c r="B45" s="276">
        <f t="shared" si="2"/>
        <v>88869.48000000001</v>
      </c>
      <c r="C45" s="14">
        <f>IF(A45="",0,IF(B45&lt;=0,0,IF(A45=subjectMortgageEndDate,B45+E45,MIN(subjectPayment,B45+E45))))</f>
        <v>625.80999999999995</v>
      </c>
      <c r="D45" s="14">
        <f t="shared" si="3"/>
        <v>348.08999999999992</v>
      </c>
      <c r="E45" s="14">
        <f>IF(OR(A45="",B45&lt;=0),0,ROUND(B45*(subjectInterestRate/12),2))</f>
        <v>277.72000000000003</v>
      </c>
      <c r="I45" s="276">
        <f t="shared" si="6"/>
        <v>9010.4500000000007</v>
      </c>
      <c r="J45" s="276">
        <f t="shared" si="7"/>
        <v>7564.45</v>
      </c>
      <c r="K45" s="276">
        <f t="shared" si="4"/>
        <v>88521.390000000014</v>
      </c>
      <c r="L45" s="394">
        <f t="shared" si="1"/>
        <v>2</v>
      </c>
      <c r="M45" s="394">
        <f t="shared" si="5"/>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613">
        <f>IF(OR(A45="",A45&gt;=subjectMortgageEndDate),"",EDATE(A45,1))</f>
        <v>46661</v>
      </c>
      <c r="B46" s="276">
        <f t="shared" si="2"/>
        <v>88521.390000000014</v>
      </c>
      <c r="C46" s="14">
        <f>IF(A46="",0,IF(B46&lt;=0,0,IF(A46=subjectMortgageEndDate,B46+E46,MIN(subjectPayment,B46+E46))))</f>
        <v>625.80999999999995</v>
      </c>
      <c r="D46" s="14">
        <f t="shared" si="3"/>
        <v>349.17999999999995</v>
      </c>
      <c r="E46" s="14">
        <f>IF(OR(A46="",B46&lt;=0),0,ROUND(B46*(subjectInterestRate/12),2))</f>
        <v>276.63</v>
      </c>
      <c r="I46" s="276">
        <f t="shared" si="6"/>
        <v>9359.630000000001</v>
      </c>
      <c r="J46" s="276">
        <f t="shared" si="7"/>
        <v>7841.08</v>
      </c>
      <c r="K46" s="276">
        <f t="shared" si="4"/>
        <v>88172.210000000021</v>
      </c>
      <c r="L46" s="394">
        <f t="shared" si="1"/>
        <v>2</v>
      </c>
      <c r="M46" s="394">
        <f t="shared" si="5"/>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613">
        <f>IF(OR(A46="",A46&gt;=subjectMortgageEndDate),"",EDATE(A46,1))</f>
        <v>46692</v>
      </c>
      <c r="B47" s="276">
        <f t="shared" si="2"/>
        <v>88172.210000000021</v>
      </c>
      <c r="C47" s="14">
        <f>IF(A47="",0,IF(B47&lt;=0,0,IF(A47=subjectMortgageEndDate,B47+E47,MIN(subjectPayment,B47+E47))))</f>
        <v>625.80999999999995</v>
      </c>
      <c r="D47" s="14">
        <f t="shared" si="3"/>
        <v>350.26999999999992</v>
      </c>
      <c r="E47" s="14">
        <f>IF(OR(A47="",B47&lt;=0),0,ROUND(B47*(subjectInterestRate/12),2))</f>
        <v>275.54000000000002</v>
      </c>
      <c r="I47" s="276">
        <f t="shared" si="6"/>
        <v>9709.9000000000015</v>
      </c>
      <c r="J47" s="276">
        <f t="shared" si="7"/>
        <v>8116.62</v>
      </c>
      <c r="K47" s="276">
        <f t="shared" si="4"/>
        <v>87821.940000000017</v>
      </c>
      <c r="L47" s="394">
        <f t="shared" si="1"/>
        <v>2</v>
      </c>
      <c r="M47" s="394">
        <f t="shared" si="5"/>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613">
        <f>IF(OR(A47="",A47&gt;=subjectMortgageEndDate),"",EDATE(A47,1))</f>
        <v>46722</v>
      </c>
      <c r="B48" s="276">
        <f t="shared" si="2"/>
        <v>87821.940000000017</v>
      </c>
      <c r="C48" s="14">
        <f>IF(A48="",0,IF(B48&lt;=0,0,IF(A48=subjectMortgageEndDate,B48+E48,MIN(subjectPayment,B48+E48))))</f>
        <v>625.80999999999995</v>
      </c>
      <c r="D48" s="14">
        <f t="shared" si="3"/>
        <v>351.36999999999995</v>
      </c>
      <c r="E48" s="14">
        <f>IF(OR(A48="",B48&lt;=0),0,ROUND(B48*(subjectInterestRate/12),2))</f>
        <v>274.44</v>
      </c>
      <c r="I48" s="276">
        <f t="shared" si="6"/>
        <v>10061.270000000002</v>
      </c>
      <c r="J48" s="276">
        <f t="shared" si="7"/>
        <v>8391.06</v>
      </c>
      <c r="K48" s="276">
        <f t="shared" si="4"/>
        <v>87470.570000000022</v>
      </c>
      <c r="L48" s="394">
        <f t="shared" si="1"/>
        <v>2</v>
      </c>
      <c r="M48" s="394">
        <f t="shared" si="5"/>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613">
        <f>IF(OR(A48="",A48&gt;=subjectMortgageEndDate),"",EDATE(A48,1))</f>
        <v>46753</v>
      </c>
      <c r="B49" s="276">
        <f t="shared" si="2"/>
        <v>87470.570000000022</v>
      </c>
      <c r="C49" s="14">
        <f>IF(A49="",0,IF(B49&lt;=0,0,IF(A49=subjectMortgageEndDate,B49+E49,MIN(subjectPayment,B49+E49))))</f>
        <v>625.80999999999995</v>
      </c>
      <c r="D49" s="14">
        <f t="shared" si="3"/>
        <v>352.45999999999992</v>
      </c>
      <c r="E49" s="14">
        <f>IF(OR(A49="",B49&lt;=0),0,ROUND(B49*(subjectInterestRate/12),2))</f>
        <v>273.35000000000002</v>
      </c>
      <c r="I49" s="276">
        <f t="shared" si="6"/>
        <v>10413.730000000001</v>
      </c>
      <c r="J49" s="276">
        <f t="shared" si="7"/>
        <v>8664.41</v>
      </c>
      <c r="K49" s="276">
        <f t="shared" si="4"/>
        <v>87118.110000000015</v>
      </c>
      <c r="L49" s="394">
        <f t="shared" si="1"/>
        <v>2</v>
      </c>
      <c r="M49" s="394">
        <f t="shared" si="5"/>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613">
        <f>IF(OR(A49="",A49&gt;=subjectMortgageEndDate),"",EDATE(A49,1))</f>
        <v>46784</v>
      </c>
      <c r="B50" s="276">
        <f t="shared" si="2"/>
        <v>87118.110000000015</v>
      </c>
      <c r="C50" s="14">
        <f>IF(A50="",0,IF(B50&lt;=0,0,IF(A50=subjectMortgageEndDate,B50+E50,MIN(subjectPayment,B50+E50))))</f>
        <v>625.80999999999995</v>
      </c>
      <c r="D50" s="14">
        <f t="shared" si="3"/>
        <v>353.56999999999994</v>
      </c>
      <c r="E50" s="14">
        <f>IF(OR(A50="",B50&lt;=0),0,ROUND(B50*(subjectInterestRate/12),2))</f>
        <v>272.24</v>
      </c>
      <c r="I50" s="276">
        <f t="shared" si="6"/>
        <v>10767.300000000001</v>
      </c>
      <c r="J50" s="276">
        <f t="shared" si="7"/>
        <v>8936.65</v>
      </c>
      <c r="K50" s="276">
        <f t="shared" si="4"/>
        <v>86764.540000000008</v>
      </c>
      <c r="L50" s="394">
        <f t="shared" si="1"/>
        <v>2</v>
      </c>
      <c r="M50" s="394">
        <f t="shared" si="5"/>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613">
        <f>IF(OR(A50="",A50&gt;=subjectMortgageEndDate),"",EDATE(A50,1))</f>
        <v>46813</v>
      </c>
      <c r="B51" s="276">
        <f t="shared" si="2"/>
        <v>86764.540000000008</v>
      </c>
      <c r="C51" s="14">
        <f>IF(A51="",0,IF(B51&lt;=0,0,IF(A51=subjectMortgageEndDate,B51+E51,MIN(subjectPayment,B51+E51))))</f>
        <v>625.80999999999995</v>
      </c>
      <c r="D51" s="14">
        <f t="shared" si="3"/>
        <v>354.66999999999996</v>
      </c>
      <c r="E51" s="14">
        <f>IF(OR(A51="",B51&lt;=0),0,ROUND(B51*(subjectInterestRate/12),2))</f>
        <v>271.14</v>
      </c>
      <c r="I51" s="276">
        <f t="shared" si="6"/>
        <v>11121.970000000001</v>
      </c>
      <c r="J51" s="276">
        <f t="shared" si="7"/>
        <v>9207.7899999999991</v>
      </c>
      <c r="K51" s="276">
        <f t="shared" si="4"/>
        <v>86409.87000000001</v>
      </c>
      <c r="L51" s="394">
        <f t="shared" si="1"/>
        <v>2</v>
      </c>
      <c r="M51" s="394">
        <f t="shared" si="5"/>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613">
        <f>IF(OR(A51="",A51&gt;=subjectMortgageEndDate),"",EDATE(A51,1))</f>
        <v>46844</v>
      </c>
      <c r="B52" s="276">
        <f t="shared" si="2"/>
        <v>86409.87000000001</v>
      </c>
      <c r="C52" s="14">
        <f>IF(A52="",0,IF(B52&lt;=0,0,IF(A52=subjectMortgageEndDate,B52+E52,MIN(subjectPayment,B52+E52))))</f>
        <v>625.80999999999995</v>
      </c>
      <c r="D52" s="14">
        <f t="shared" si="3"/>
        <v>355.78</v>
      </c>
      <c r="E52" s="14">
        <f>IF(OR(A52="",B52&lt;=0),0,ROUND(B52*(subjectInterestRate/12),2))</f>
        <v>270.02999999999997</v>
      </c>
      <c r="I52" s="276">
        <f t="shared" si="6"/>
        <v>11477.750000000002</v>
      </c>
      <c r="J52" s="276">
        <f t="shared" si="7"/>
        <v>9477.82</v>
      </c>
      <c r="K52" s="276">
        <f t="shared" si="4"/>
        <v>86054.090000000011</v>
      </c>
      <c r="L52" s="394">
        <f t="shared" si="1"/>
        <v>2</v>
      </c>
      <c r="M52" s="394">
        <f t="shared" si="5"/>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613">
        <f>IF(OR(A52="",A52&gt;=subjectMortgageEndDate),"",EDATE(A52,1))</f>
        <v>46874</v>
      </c>
      <c r="B53" s="276">
        <f t="shared" si="2"/>
        <v>86054.090000000011</v>
      </c>
      <c r="C53" s="14">
        <f>IF(A53="",0,IF(B53&lt;=0,0,IF(A53=subjectMortgageEndDate,B53+E53,MIN(subjectPayment,B53+E53))))</f>
        <v>625.80999999999995</v>
      </c>
      <c r="D53" s="14">
        <f t="shared" si="3"/>
        <v>356.88999999999993</v>
      </c>
      <c r="E53" s="14">
        <f>IF(OR(A53="",B53&lt;=0),0,ROUND(B53*(subjectInterestRate/12),2))</f>
        <v>268.92</v>
      </c>
      <c r="I53" s="276">
        <f t="shared" si="6"/>
        <v>11834.640000000001</v>
      </c>
      <c r="J53" s="276">
        <f t="shared" si="7"/>
        <v>9746.74</v>
      </c>
      <c r="K53" s="276">
        <f t="shared" si="4"/>
        <v>85697.200000000012</v>
      </c>
      <c r="L53" s="394">
        <f t="shared" si="1"/>
        <v>2</v>
      </c>
      <c r="M53" s="394">
        <f t="shared" si="5"/>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613">
        <f>IF(OR(A53="",A53&gt;=subjectMortgageEndDate),"",EDATE(A53,1))</f>
        <v>46905</v>
      </c>
      <c r="B54" s="276">
        <f t="shared" si="2"/>
        <v>85697.200000000012</v>
      </c>
      <c r="C54" s="14">
        <f>IF(A54="",0,IF(B54&lt;=0,0,IF(A54=subjectMortgageEndDate,B54+E54,MIN(subjectPayment,B54+E54))))</f>
        <v>625.80999999999995</v>
      </c>
      <c r="D54" s="14">
        <f t="shared" si="3"/>
        <v>358.00999999999993</v>
      </c>
      <c r="E54" s="14">
        <f>IF(OR(A54="",B54&lt;=0),0,ROUND(B54*(subjectInterestRate/12),2))</f>
        <v>267.8</v>
      </c>
      <c r="I54" s="276">
        <f t="shared" si="6"/>
        <v>12192.650000000001</v>
      </c>
      <c r="J54" s="276">
        <f t="shared" si="7"/>
        <v>10014.539999999999</v>
      </c>
      <c r="K54" s="276">
        <f t="shared" si="4"/>
        <v>85339.190000000017</v>
      </c>
      <c r="L54" s="394">
        <f t="shared" si="1"/>
        <v>2</v>
      </c>
      <c r="M54" s="394">
        <f t="shared" si="5"/>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614">
        <f>IF(OR(A54="",A54&gt;=subjectMortgageEndDate),"",EDATE(A54,1))</f>
        <v>46935</v>
      </c>
      <c r="B55" s="332">
        <f t="shared" si="2"/>
        <v>85339.190000000017</v>
      </c>
      <c r="C55" s="21">
        <f>IF(A55="",0,IF(B55&lt;=0,0,IF(A55=subjectMortgageEndDate,B55+E55,MIN(subjectPayment,B55+E55))))</f>
        <v>625.80999999999995</v>
      </c>
      <c r="D55" s="21">
        <f t="shared" si="3"/>
        <v>359.12999999999994</v>
      </c>
      <c r="E55" s="21">
        <f>IF(OR(A55="",B55&lt;=0),0,ROUND(B55*(subjectInterestRate/12),2))</f>
        <v>266.68</v>
      </c>
      <c r="F55" s="21"/>
      <c r="G55" s="21"/>
      <c r="H55" s="21"/>
      <c r="I55" s="332">
        <f t="shared" si="6"/>
        <v>12551.78</v>
      </c>
      <c r="J55" s="332">
        <f t="shared" si="7"/>
        <v>10281.219999999999</v>
      </c>
      <c r="K55" s="332">
        <f t="shared" si="4"/>
        <v>84980.060000000012</v>
      </c>
      <c r="L55" s="395">
        <f t="shared" si="1"/>
        <v>2</v>
      </c>
      <c r="M55" s="395">
        <f t="shared" si="5"/>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32">
        <f>IF(INDEX(tblContractForDeed[End Bal],ROW()-ROW(tblBuyerOutputs[#Headers]))&lt;=0,0,($O$6+IF(ROW()=ROW(tblBuyerOutputs[#Headers])+1,0,INDEX(tblBuyerOutputs[Cumul Appr],ROW()-ROW(tblBuyerOutputs[#Headers])-1)))*$O$2/12)</f>
        <v>362.69741570827455</v>
      </c>
      <c r="AE55" s="332">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613">
        <f>IF(OR(A55="",A55&gt;=subjectMortgageEndDate),"",EDATE(A55,1))</f>
        <v>46966</v>
      </c>
      <c r="B56" s="276">
        <f t="shared" si="2"/>
        <v>84980.060000000012</v>
      </c>
      <c r="C56" s="14">
        <f>IF(A56="",0,IF(B56&lt;=0,0,IF(A56=subjectMortgageEndDate,B56+E56,MIN(subjectPayment,B56+E56))))</f>
        <v>625.80999999999995</v>
      </c>
      <c r="D56" s="14">
        <f t="shared" si="3"/>
        <v>360.24999999999994</v>
      </c>
      <c r="E56" s="14">
        <f>IF(OR(A56="",B56&lt;=0),0,ROUND(B56*(subjectInterestRate/12),2))</f>
        <v>265.56</v>
      </c>
      <c r="I56" s="276">
        <f t="shared" si="6"/>
        <v>12912.03</v>
      </c>
      <c r="J56" s="276">
        <f t="shared" si="7"/>
        <v>10546.779999999999</v>
      </c>
      <c r="K56" s="276">
        <f t="shared" si="4"/>
        <v>84619.810000000012</v>
      </c>
      <c r="L56" s="394">
        <f t="shared" si="1"/>
        <v>3</v>
      </c>
      <c r="M56" s="394">
        <f t="shared" si="5"/>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613">
        <f>IF(OR(A56="",A56&gt;=subjectMortgageEndDate),"",EDATE(A56,1))</f>
        <v>46997</v>
      </c>
      <c r="B57" s="276">
        <f t="shared" si="2"/>
        <v>84619.810000000012</v>
      </c>
      <c r="C57" s="14">
        <f>IF(A57="",0,IF(B57&lt;=0,0,IF(A57=subjectMortgageEndDate,B57+E57,MIN(subjectPayment,B57+E57))))</f>
        <v>625.80999999999995</v>
      </c>
      <c r="D57" s="14">
        <f t="shared" si="3"/>
        <v>361.36999999999995</v>
      </c>
      <c r="E57" s="14">
        <f>IF(OR(A57="",B57&lt;=0),0,ROUND(B57*(subjectInterestRate/12),2))</f>
        <v>264.44</v>
      </c>
      <c r="I57" s="276">
        <f t="shared" si="6"/>
        <v>13273.400000000001</v>
      </c>
      <c r="J57" s="276">
        <f t="shared" si="7"/>
        <v>10811.22</v>
      </c>
      <c r="K57" s="276">
        <f t="shared" si="4"/>
        <v>84258.440000000017</v>
      </c>
      <c r="L57" s="394">
        <f t="shared" si="1"/>
        <v>3</v>
      </c>
      <c r="M57" s="394">
        <f t="shared" si="5"/>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613">
        <f>IF(OR(A57="",A57&gt;=subjectMortgageEndDate),"",EDATE(A57,1))</f>
        <v>47027</v>
      </c>
      <c r="B58" s="276">
        <f t="shared" si="2"/>
        <v>84258.440000000017</v>
      </c>
      <c r="C58" s="14">
        <f>IF(A58="",0,IF(B58&lt;=0,0,IF(A58=subjectMortgageEndDate,B58+E58,MIN(subjectPayment,B58+E58))))</f>
        <v>625.80999999999995</v>
      </c>
      <c r="D58" s="14">
        <f t="shared" si="3"/>
        <v>362.49999999999994</v>
      </c>
      <c r="E58" s="14">
        <f>IF(OR(A58="",B58&lt;=0),0,ROUND(B58*(subjectInterestRate/12),2))</f>
        <v>263.31</v>
      </c>
      <c r="I58" s="276">
        <f t="shared" si="6"/>
        <v>13635.900000000001</v>
      </c>
      <c r="J58" s="276">
        <f t="shared" si="7"/>
        <v>11074.529999999999</v>
      </c>
      <c r="K58" s="276">
        <f t="shared" si="4"/>
        <v>83895.940000000017</v>
      </c>
      <c r="L58" s="394">
        <f t="shared" si="1"/>
        <v>3</v>
      </c>
      <c r="M58" s="394">
        <f t="shared" si="5"/>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613">
        <f>IF(OR(A58="",A58&gt;=subjectMortgageEndDate),"",EDATE(A58,1))</f>
        <v>47058</v>
      </c>
      <c r="B59" s="276">
        <f t="shared" si="2"/>
        <v>83895.940000000017</v>
      </c>
      <c r="C59" s="14">
        <f>IF(A59="",0,IF(B59&lt;=0,0,IF(A59=subjectMortgageEndDate,B59+E59,MIN(subjectPayment,B59+E59))))</f>
        <v>625.80999999999995</v>
      </c>
      <c r="D59" s="14">
        <f t="shared" si="3"/>
        <v>363.63999999999993</v>
      </c>
      <c r="E59" s="14">
        <f>IF(OR(A59="",B59&lt;=0),0,ROUND(B59*(subjectInterestRate/12),2))</f>
        <v>262.17</v>
      </c>
      <c r="I59" s="276">
        <f t="shared" si="6"/>
        <v>13999.54</v>
      </c>
      <c r="J59" s="276">
        <f t="shared" si="7"/>
        <v>11336.699999999999</v>
      </c>
      <c r="K59" s="276">
        <f t="shared" si="4"/>
        <v>83532.300000000017</v>
      </c>
      <c r="L59" s="394">
        <f t="shared" si="1"/>
        <v>3</v>
      </c>
      <c r="M59" s="394">
        <f t="shared" si="5"/>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613">
        <f>IF(OR(A59="",A59&gt;=subjectMortgageEndDate),"",EDATE(A59,1))</f>
        <v>47088</v>
      </c>
      <c r="B60" s="276">
        <f t="shared" si="2"/>
        <v>83532.300000000017</v>
      </c>
      <c r="C60" s="14">
        <f>IF(A60="",0,IF(B60&lt;=0,0,IF(A60=subjectMortgageEndDate,B60+E60,MIN(subjectPayment,B60+E60))))</f>
        <v>625.80999999999995</v>
      </c>
      <c r="D60" s="14">
        <f t="shared" si="3"/>
        <v>364.76999999999992</v>
      </c>
      <c r="E60" s="14">
        <f>IF(OR(A60="",B60&lt;=0),0,ROUND(B60*(subjectInterestRate/12),2))</f>
        <v>261.04000000000002</v>
      </c>
      <c r="I60" s="276">
        <f t="shared" si="6"/>
        <v>14364.310000000001</v>
      </c>
      <c r="J60" s="276">
        <f t="shared" si="7"/>
        <v>11597.74</v>
      </c>
      <c r="K60" s="276">
        <f t="shared" si="4"/>
        <v>83167.530000000013</v>
      </c>
      <c r="L60" s="394">
        <f t="shared" si="1"/>
        <v>3</v>
      </c>
      <c r="M60" s="394">
        <f t="shared" si="5"/>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613">
        <f>IF(OR(A60="",A60&gt;=subjectMortgageEndDate),"",EDATE(A60,1))</f>
        <v>47119</v>
      </c>
      <c r="B61" s="276">
        <f t="shared" si="2"/>
        <v>83167.530000000013</v>
      </c>
      <c r="C61" s="14">
        <f>IF(A61="",0,IF(B61&lt;=0,0,IF(A61=subjectMortgageEndDate,B61+E61,MIN(subjectPayment,B61+E61))))</f>
        <v>625.80999999999995</v>
      </c>
      <c r="D61" s="14">
        <f t="shared" si="3"/>
        <v>365.90999999999997</v>
      </c>
      <c r="E61" s="14">
        <f>IF(OR(A61="",B61&lt;=0),0,ROUND(B61*(subjectInterestRate/12),2))</f>
        <v>259.89999999999998</v>
      </c>
      <c r="I61" s="276">
        <f t="shared" si="6"/>
        <v>14730.220000000001</v>
      </c>
      <c r="J61" s="276">
        <f t="shared" si="7"/>
        <v>11857.64</v>
      </c>
      <c r="K61" s="276">
        <f t="shared" si="4"/>
        <v>82801.62000000001</v>
      </c>
      <c r="L61" s="394">
        <f t="shared" si="1"/>
        <v>3</v>
      </c>
      <c r="M61" s="394">
        <f t="shared" si="5"/>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613">
        <f>IF(OR(A61="",A61&gt;=subjectMortgageEndDate),"",EDATE(A61,1))</f>
        <v>47150</v>
      </c>
      <c r="B62" s="276">
        <f t="shared" si="2"/>
        <v>82801.62000000001</v>
      </c>
      <c r="C62" s="14">
        <f>IF(A62="",0,IF(B62&lt;=0,0,IF(A62=subjectMortgageEndDate,B62+E62,MIN(subjectPayment,B62+E62))))</f>
        <v>625.80999999999995</v>
      </c>
      <c r="D62" s="14">
        <f t="shared" si="3"/>
        <v>367.04999999999995</v>
      </c>
      <c r="E62" s="14">
        <f>IF(OR(A62="",B62&lt;=0),0,ROUND(B62*(subjectInterestRate/12),2))</f>
        <v>258.76</v>
      </c>
      <c r="F62" s="14">
        <f>IF(C62=0,0,$W$2)</f>
        <v>134.16999999999999</v>
      </c>
      <c r="G62" s="14">
        <f>IF(D62=0,0,$W$3)</f>
        <v>188.55</v>
      </c>
      <c r="H62" s="14">
        <f>SUM(D62:G62)</f>
        <v>948.53</v>
      </c>
      <c r="I62" s="276">
        <f t="shared" si="6"/>
        <v>15097.27</v>
      </c>
      <c r="J62" s="276">
        <f t="shared" si="7"/>
        <v>12116.4</v>
      </c>
      <c r="K62" s="276">
        <f t="shared" si="4"/>
        <v>82434.570000000007</v>
      </c>
      <c r="L62" s="394">
        <f t="shared" si="1"/>
        <v>3</v>
      </c>
      <c r="M62" s="394">
        <f t="shared" si="5"/>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613">
        <f>IF(OR(A62="",A62&gt;=subjectMortgageEndDate),"",EDATE(A62,1))</f>
        <v>47178</v>
      </c>
      <c r="B63" s="276">
        <f t="shared" si="2"/>
        <v>82434.570000000007</v>
      </c>
      <c r="C63" s="14">
        <f>IF(A63="",0,IF(B63&lt;=0,0,IF(A63=subjectMortgageEndDate,B63+E63,MIN(subjectPayment,B63+E63))))</f>
        <v>625.80999999999995</v>
      </c>
      <c r="D63" s="14">
        <f t="shared" si="3"/>
        <v>368.19999999999993</v>
      </c>
      <c r="E63" s="14">
        <f>IF(OR(A63="",B63&lt;=0),0,ROUND(B63*(subjectInterestRate/12),2))</f>
        <v>257.61</v>
      </c>
      <c r="F63" s="14">
        <f t="shared" ref="F63:H78" si="8">+F62</f>
        <v>134.16999999999999</v>
      </c>
      <c r="G63" s="14">
        <f t="shared" si="8"/>
        <v>188.55</v>
      </c>
      <c r="H63" s="14">
        <f t="shared" si="8"/>
        <v>948.53</v>
      </c>
      <c r="I63" s="276">
        <f t="shared" si="6"/>
        <v>15465.470000000001</v>
      </c>
      <c r="J63" s="276">
        <f t="shared" si="7"/>
        <v>12374.01</v>
      </c>
      <c r="K63" s="276">
        <f t="shared" si="4"/>
        <v>82066.37000000001</v>
      </c>
      <c r="L63" s="394">
        <f t="shared" si="1"/>
        <v>3</v>
      </c>
      <c r="M63" s="394">
        <f t="shared" si="5"/>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613">
        <f>IF(OR(A63="",A63&gt;=subjectMortgageEndDate),"",EDATE(A63,1))</f>
        <v>47209</v>
      </c>
      <c r="B64" s="276">
        <f t="shared" si="2"/>
        <v>82066.37000000001</v>
      </c>
      <c r="C64" s="14">
        <f>IF(A64="",0,IF(B64&lt;=0,0,IF(A64=subjectMortgageEndDate,B64+E64,MIN(subjectPayment,B64+E64))))</f>
        <v>625.80999999999995</v>
      </c>
      <c r="D64" s="14">
        <f t="shared" si="3"/>
        <v>369.34999999999997</v>
      </c>
      <c r="E64" s="14">
        <f>IF(OR(A64="",B64&lt;=0),0,ROUND(B64*(subjectInterestRate/12),2))</f>
        <v>256.45999999999998</v>
      </c>
      <c r="F64" s="14">
        <f t="shared" si="8"/>
        <v>134.16999999999999</v>
      </c>
      <c r="G64" s="14">
        <f t="shared" si="8"/>
        <v>188.55</v>
      </c>
      <c r="H64" s="14">
        <f t="shared" ref="H64:H127" si="9">SUM(D64:G64)</f>
        <v>948.53</v>
      </c>
      <c r="I64" s="276">
        <f t="shared" si="6"/>
        <v>15834.820000000002</v>
      </c>
      <c r="J64" s="276">
        <f t="shared" si="7"/>
        <v>12630.47</v>
      </c>
      <c r="K64" s="276">
        <f t="shared" si="4"/>
        <v>81697.02</v>
      </c>
      <c r="L64" s="394">
        <f t="shared" si="1"/>
        <v>3</v>
      </c>
      <c r="M64" s="394">
        <f t="shared" si="5"/>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613">
        <f>IF(OR(A64="",A64&gt;=subjectMortgageEndDate),"",EDATE(A64,1))</f>
        <v>47239</v>
      </c>
      <c r="B65" s="276">
        <f t="shared" si="2"/>
        <v>81697.02</v>
      </c>
      <c r="C65" s="14">
        <f>IF(A65="",0,IF(B65&lt;=0,0,IF(A65=subjectMortgageEndDate,B65+E65,MIN(subjectPayment,B65+E65))))</f>
        <v>625.80999999999995</v>
      </c>
      <c r="D65" s="14">
        <f t="shared" si="3"/>
        <v>370.50999999999993</v>
      </c>
      <c r="E65" s="14">
        <f>IF(OR(A65="",B65&lt;=0),0,ROUND(B65*(subjectInterestRate/12),2))</f>
        <v>255.3</v>
      </c>
      <c r="F65" s="14">
        <f t="shared" si="8"/>
        <v>134.16999999999999</v>
      </c>
      <c r="G65" s="14">
        <f t="shared" si="8"/>
        <v>188.55</v>
      </c>
      <c r="H65" s="14">
        <f t="shared" si="9"/>
        <v>948.53</v>
      </c>
      <c r="I65" s="276">
        <f t="shared" si="6"/>
        <v>16205.330000000002</v>
      </c>
      <c r="J65" s="276">
        <f t="shared" si="7"/>
        <v>12885.769999999999</v>
      </c>
      <c r="K65" s="276">
        <f t="shared" si="4"/>
        <v>81326.510000000009</v>
      </c>
      <c r="L65" s="394">
        <f t="shared" si="1"/>
        <v>3</v>
      </c>
      <c r="M65" s="394">
        <f t="shared" si="5"/>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613">
        <f>IF(OR(A65="",A65&gt;=subjectMortgageEndDate),"",EDATE(A65,1))</f>
        <v>47270</v>
      </c>
      <c r="B66" s="276">
        <f t="shared" si="2"/>
        <v>81326.510000000009</v>
      </c>
      <c r="C66" s="14">
        <f>IF(A66="",0,IF(B66&lt;=0,0,IF(A66=subjectMortgageEndDate,B66+E66,MIN(subjectPayment,B66+E66))))</f>
        <v>625.80999999999995</v>
      </c>
      <c r="D66" s="14">
        <f t="shared" si="3"/>
        <v>371.65999999999997</v>
      </c>
      <c r="E66" s="14">
        <f>IF(OR(A66="",B66&lt;=0),0,ROUND(B66*(subjectInterestRate/12),2))</f>
        <v>254.15</v>
      </c>
      <c r="F66" s="14">
        <f t="shared" si="8"/>
        <v>134.16999999999999</v>
      </c>
      <c r="G66" s="14">
        <f t="shared" si="8"/>
        <v>188.55</v>
      </c>
      <c r="H66" s="14">
        <f t="shared" si="9"/>
        <v>948.53</v>
      </c>
      <c r="I66" s="276">
        <f t="shared" si="6"/>
        <v>16576.990000000002</v>
      </c>
      <c r="J66" s="276">
        <f t="shared" si="7"/>
        <v>13139.919999999998</v>
      </c>
      <c r="K66" s="276">
        <f t="shared" si="4"/>
        <v>80954.850000000006</v>
      </c>
      <c r="L66" s="394">
        <f t="shared" si="1"/>
        <v>3</v>
      </c>
      <c r="M66" s="394">
        <f t="shared" si="5"/>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614">
        <f>IF(OR(A66="",A66&gt;=subjectMortgageEndDate),"",EDATE(A66,1))</f>
        <v>47300</v>
      </c>
      <c r="B67" s="332">
        <f t="shared" si="2"/>
        <v>80954.850000000006</v>
      </c>
      <c r="C67" s="21">
        <f>IF(A67="",0,IF(B67&lt;=0,0,IF(A67=subjectMortgageEndDate,B67+E67,MIN(subjectPayment,B67+E67))))</f>
        <v>625.80999999999995</v>
      </c>
      <c r="D67" s="21">
        <f t="shared" si="3"/>
        <v>372.82999999999993</v>
      </c>
      <c r="E67" s="21">
        <f>IF(OR(A67="",B67&lt;=0),0,ROUND(B67*(subjectInterestRate/12),2))</f>
        <v>252.98</v>
      </c>
      <c r="F67" s="21">
        <f t="shared" si="8"/>
        <v>134.16999999999999</v>
      </c>
      <c r="G67" s="21">
        <f t="shared" si="8"/>
        <v>188.55</v>
      </c>
      <c r="H67" s="21">
        <f t="shared" si="9"/>
        <v>948.53</v>
      </c>
      <c r="I67" s="332">
        <f t="shared" si="6"/>
        <v>16949.82</v>
      </c>
      <c r="J67" s="332">
        <f t="shared" si="7"/>
        <v>13392.899999999998</v>
      </c>
      <c r="K67" s="332">
        <f t="shared" si="4"/>
        <v>80582.02</v>
      </c>
      <c r="L67" s="395">
        <f t="shared" si="1"/>
        <v>3</v>
      </c>
      <c r="M67" s="395">
        <f t="shared" si="5"/>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32">
        <f>IF(INDEX(tblContractForDeed[End Bal],ROW()-ROW(tblBuyerOutputs[#Headers]))&lt;=0,0,($O$6+IF(ROW()=ROW(tblBuyerOutputs[#Headers])+1,0,INDEX(tblBuyerOutputs[Cumul Appr],ROW()-ROW(tblBuyerOutputs[#Headers])-1)))*$O$2/12)</f>
        <v>381.2537038527098</v>
      </c>
      <c r="AE67" s="332">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613">
        <f>IF(OR(A67="",A67&gt;=subjectMortgageEndDate),"",EDATE(A67,1))</f>
        <v>47331</v>
      </c>
      <c r="B68" s="276">
        <f t="shared" si="2"/>
        <v>80582.02</v>
      </c>
      <c r="C68" s="14">
        <f>IF(A68="",0,IF(B68&lt;=0,0,IF(A68=subjectMortgageEndDate,B68+E68,MIN(subjectPayment,B68+E68))))</f>
        <v>625.80999999999995</v>
      </c>
      <c r="D68" s="14">
        <f t="shared" si="3"/>
        <v>373.98999999999995</v>
      </c>
      <c r="E68" s="14">
        <f>IF(OR(A68="",B68&lt;=0),0,ROUND(B68*(subjectInterestRate/12),2))</f>
        <v>251.82</v>
      </c>
      <c r="F68" s="14">
        <f t="shared" si="8"/>
        <v>134.16999999999999</v>
      </c>
      <c r="G68" s="14">
        <f t="shared" si="8"/>
        <v>188.55</v>
      </c>
      <c r="H68" s="14">
        <f t="shared" si="9"/>
        <v>948.53</v>
      </c>
      <c r="I68" s="276">
        <f t="shared" si="6"/>
        <v>17323.810000000001</v>
      </c>
      <c r="J68" s="276">
        <f t="shared" si="7"/>
        <v>13644.719999999998</v>
      </c>
      <c r="K68" s="276">
        <f t="shared" si="4"/>
        <v>80208.03</v>
      </c>
      <c r="L68" s="394">
        <f t="shared" si="1"/>
        <v>4</v>
      </c>
      <c r="M68" s="394">
        <f t="shared" si="5"/>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613">
        <f>IF(OR(A68="",A68&gt;=subjectMortgageEndDate),"",EDATE(A68,1))</f>
        <v>47362</v>
      </c>
      <c r="B69" s="276">
        <f t="shared" si="2"/>
        <v>80208.03</v>
      </c>
      <c r="C69" s="14">
        <f>IF(A69="",0,IF(B69&lt;=0,0,IF(A69=subjectMortgageEndDate,B69+E69,MIN(subjectPayment,B69+E69))))</f>
        <v>625.80999999999995</v>
      </c>
      <c r="D69" s="14">
        <f t="shared" si="3"/>
        <v>375.15999999999997</v>
      </c>
      <c r="E69" s="14">
        <f>IF(OR(A69="",B69&lt;=0),0,ROUND(B69*(subjectInterestRate/12),2))</f>
        <v>250.65</v>
      </c>
      <c r="F69" s="14">
        <f t="shared" si="8"/>
        <v>134.16999999999999</v>
      </c>
      <c r="G69" s="14">
        <f t="shared" si="8"/>
        <v>188.55</v>
      </c>
      <c r="H69" s="14">
        <f t="shared" si="9"/>
        <v>948.53</v>
      </c>
      <c r="I69" s="276">
        <f t="shared" si="6"/>
        <v>17698.97</v>
      </c>
      <c r="J69" s="276">
        <f t="shared" si="7"/>
        <v>13895.369999999997</v>
      </c>
      <c r="K69" s="276">
        <f t="shared" si="4"/>
        <v>79832.87</v>
      </c>
      <c r="L69" s="394">
        <f t="shared" si="1"/>
        <v>4</v>
      </c>
      <c r="M69" s="394">
        <f t="shared" si="5"/>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613">
        <f>IF(OR(A69="",A69&gt;=subjectMortgageEndDate),"",EDATE(A69,1))</f>
        <v>47392</v>
      </c>
      <c r="B70" s="276">
        <f t="shared" si="2"/>
        <v>79832.87</v>
      </c>
      <c r="C70" s="14">
        <f>IF(A70="",0,IF(B70&lt;=0,0,IF(A70=subjectMortgageEndDate,B70+E70,MIN(subjectPayment,B70+E70))))</f>
        <v>625.80999999999995</v>
      </c>
      <c r="D70" s="14">
        <f t="shared" si="3"/>
        <v>376.32999999999993</v>
      </c>
      <c r="E70" s="14">
        <f>IF(OR(A70="",B70&lt;=0),0,ROUND(B70*(subjectInterestRate/12),2))</f>
        <v>249.48</v>
      </c>
      <c r="F70" s="14">
        <f t="shared" si="8"/>
        <v>134.16999999999999</v>
      </c>
      <c r="G70" s="14">
        <f t="shared" si="8"/>
        <v>188.55</v>
      </c>
      <c r="H70" s="14">
        <f t="shared" si="9"/>
        <v>948.53</v>
      </c>
      <c r="I70" s="276">
        <f t="shared" si="6"/>
        <v>18075.300000000003</v>
      </c>
      <c r="J70" s="276">
        <f t="shared" si="7"/>
        <v>14144.849999999997</v>
      </c>
      <c r="K70" s="276">
        <f t="shared" si="4"/>
        <v>79456.539999999994</v>
      </c>
      <c r="L70" s="394">
        <f t="shared" si="1"/>
        <v>4</v>
      </c>
      <c r="M70" s="394">
        <f t="shared" si="5"/>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613">
        <f>IF(OR(A70="",A70&gt;=subjectMortgageEndDate),"",EDATE(A70,1))</f>
        <v>47423</v>
      </c>
      <c r="B71" s="276">
        <f t="shared" si="2"/>
        <v>79456.539999999994</v>
      </c>
      <c r="C71" s="14">
        <f>IF(A71="",0,IF(B71&lt;=0,0,IF(A71=subjectMortgageEndDate,B71+E71,MIN(subjectPayment,B71+E71))))</f>
        <v>625.80999999999995</v>
      </c>
      <c r="D71" s="14">
        <f t="shared" si="3"/>
        <v>377.50999999999993</v>
      </c>
      <c r="E71" s="14">
        <f>IF(OR(A71="",B71&lt;=0),0,ROUND(B71*(subjectInterestRate/12),2))</f>
        <v>248.3</v>
      </c>
      <c r="F71" s="14">
        <f t="shared" si="8"/>
        <v>134.16999999999999</v>
      </c>
      <c r="G71" s="14">
        <f t="shared" si="8"/>
        <v>188.55</v>
      </c>
      <c r="H71" s="14">
        <f t="shared" si="9"/>
        <v>948.53</v>
      </c>
      <c r="I71" s="276">
        <f t="shared" si="6"/>
        <v>18452.810000000001</v>
      </c>
      <c r="J71" s="276">
        <f t="shared" si="7"/>
        <v>14393.149999999996</v>
      </c>
      <c r="K71" s="276">
        <f t="shared" si="4"/>
        <v>79079.03</v>
      </c>
      <c r="L71" s="394">
        <f t="shared" si="1"/>
        <v>4</v>
      </c>
      <c r="M71" s="394">
        <f t="shared" si="5"/>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613">
        <f>IF(OR(A71="",A71&gt;=subjectMortgageEndDate),"",EDATE(A71,1))</f>
        <v>47453</v>
      </c>
      <c r="B72" s="276">
        <f t="shared" si="2"/>
        <v>79079.03</v>
      </c>
      <c r="C72" s="14">
        <f>IF(A72="",0,IF(B72&lt;=0,0,IF(A72=subjectMortgageEndDate,B72+E72,MIN(subjectPayment,B72+E72))))</f>
        <v>625.80999999999995</v>
      </c>
      <c r="D72" s="14">
        <f t="shared" si="3"/>
        <v>378.68999999999994</v>
      </c>
      <c r="E72" s="14">
        <f>IF(OR(A72="",B72&lt;=0),0,ROUND(B72*(subjectInterestRate/12),2))</f>
        <v>247.12</v>
      </c>
      <c r="F72" s="14">
        <f t="shared" si="8"/>
        <v>134.16999999999999</v>
      </c>
      <c r="G72" s="14">
        <f t="shared" si="8"/>
        <v>188.55</v>
      </c>
      <c r="H72" s="14">
        <f t="shared" si="9"/>
        <v>948.53</v>
      </c>
      <c r="I72" s="276">
        <f t="shared" si="6"/>
        <v>18831.5</v>
      </c>
      <c r="J72" s="276">
        <f t="shared" si="7"/>
        <v>14640.269999999997</v>
      </c>
      <c r="K72" s="276">
        <f t="shared" si="4"/>
        <v>78700.34</v>
      </c>
      <c r="L72" s="394">
        <f t="shared" si="1"/>
        <v>4</v>
      </c>
      <c r="M72" s="394">
        <f t="shared" si="5"/>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613">
        <f>IF(OR(A72="",A72&gt;=subjectMortgageEndDate),"",EDATE(A72,1))</f>
        <v>47484</v>
      </c>
      <c r="B73" s="276">
        <f t="shared" si="2"/>
        <v>78700.34</v>
      </c>
      <c r="C73" s="14">
        <f>IF(A73="",0,IF(B73&lt;=0,0,IF(A73=subjectMortgageEndDate,B73+E73,MIN(subjectPayment,B73+E73))))</f>
        <v>625.80999999999995</v>
      </c>
      <c r="D73" s="14">
        <f t="shared" si="3"/>
        <v>379.86999999999995</v>
      </c>
      <c r="E73" s="14">
        <f>IF(OR(A73="",B73&lt;=0),0,ROUND(B73*(subjectInterestRate/12),2))</f>
        <v>245.94</v>
      </c>
      <c r="F73" s="14">
        <f t="shared" si="8"/>
        <v>134.16999999999999</v>
      </c>
      <c r="G73" s="14">
        <f t="shared" si="8"/>
        <v>188.55</v>
      </c>
      <c r="H73" s="14">
        <f t="shared" si="9"/>
        <v>948.53</v>
      </c>
      <c r="I73" s="276">
        <f t="shared" si="6"/>
        <v>19211.37</v>
      </c>
      <c r="J73" s="276">
        <f t="shared" si="7"/>
        <v>14886.209999999997</v>
      </c>
      <c r="K73" s="276">
        <f t="shared" si="4"/>
        <v>78320.47</v>
      </c>
      <c r="L73" s="394">
        <f t="shared" si="1"/>
        <v>4</v>
      </c>
      <c r="M73" s="394">
        <f t="shared" si="5"/>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613">
        <f>IF(OR(A73="",A73&gt;=subjectMortgageEndDate),"",EDATE(A73,1))</f>
        <v>47515</v>
      </c>
      <c r="B74" s="276">
        <f t="shared" si="2"/>
        <v>78320.47</v>
      </c>
      <c r="C74" s="14">
        <f>IF(A74="",0,IF(B74&lt;=0,0,IF(A74=subjectMortgageEndDate,B74+E74,MIN(subjectPayment,B74+E74))))</f>
        <v>625.80999999999995</v>
      </c>
      <c r="D74" s="14">
        <f t="shared" si="3"/>
        <v>381.05999999999995</v>
      </c>
      <c r="E74" s="14">
        <f>IF(OR(A74="",B74&lt;=0),0,ROUND(B74*(subjectInterestRate/12),2))</f>
        <v>244.75</v>
      </c>
      <c r="F74" s="14">
        <f t="shared" si="8"/>
        <v>134.16999999999999</v>
      </c>
      <c r="G74" s="14">
        <f t="shared" si="8"/>
        <v>188.55</v>
      </c>
      <c r="H74" s="14">
        <f t="shared" si="9"/>
        <v>948.53</v>
      </c>
      <c r="I74" s="276">
        <f t="shared" si="6"/>
        <v>19592.43</v>
      </c>
      <c r="J74" s="276">
        <f t="shared" si="7"/>
        <v>15130.959999999997</v>
      </c>
      <c r="K74" s="276">
        <f t="shared" si="4"/>
        <v>77939.41</v>
      </c>
      <c r="L74" s="394">
        <f t="shared" si="1"/>
        <v>4</v>
      </c>
      <c r="M74" s="394">
        <f t="shared" si="5"/>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613">
        <f>IF(OR(A74="",A74&gt;=subjectMortgageEndDate),"",EDATE(A74,1))</f>
        <v>47543</v>
      </c>
      <c r="B75" s="276">
        <f t="shared" si="2"/>
        <v>77939.41</v>
      </c>
      <c r="C75" s="14">
        <f>IF(A75="",0,IF(B75&lt;=0,0,IF(A75=subjectMortgageEndDate,B75+E75,MIN(subjectPayment,B75+E75))))</f>
        <v>625.80999999999995</v>
      </c>
      <c r="D75" s="14">
        <f t="shared" si="3"/>
        <v>382.24999999999994</v>
      </c>
      <c r="E75" s="14">
        <f>IF(OR(A75="",B75&lt;=0),0,ROUND(B75*(subjectInterestRate/12),2))</f>
        <v>243.56</v>
      </c>
      <c r="F75" s="14">
        <f t="shared" si="8"/>
        <v>134.16999999999999</v>
      </c>
      <c r="G75" s="14">
        <f t="shared" si="8"/>
        <v>188.55</v>
      </c>
      <c r="H75" s="14">
        <f t="shared" si="9"/>
        <v>948.53</v>
      </c>
      <c r="I75" s="276">
        <f t="shared" si="6"/>
        <v>19974.68</v>
      </c>
      <c r="J75" s="276">
        <f t="shared" si="7"/>
        <v>15374.519999999997</v>
      </c>
      <c r="K75" s="276">
        <f t="shared" si="4"/>
        <v>77557.16</v>
      </c>
      <c r="L75" s="394">
        <f t="shared" si="1"/>
        <v>4</v>
      </c>
      <c r="M75" s="394">
        <f t="shared" si="5"/>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613">
        <f>IF(OR(A75="",A75&gt;=subjectMortgageEndDate),"",EDATE(A75,1))</f>
        <v>47574</v>
      </c>
      <c r="B76" s="276">
        <f t="shared" si="2"/>
        <v>77557.16</v>
      </c>
      <c r="C76" s="14">
        <f>IF(A76="",0,IF(B76&lt;=0,0,IF(A76=subjectMortgageEndDate,B76+E76,MIN(subjectPayment,B76+E76))))</f>
        <v>625.80999999999995</v>
      </c>
      <c r="D76" s="14">
        <f t="shared" si="3"/>
        <v>383.43999999999994</v>
      </c>
      <c r="E76" s="14">
        <f>IF(OR(A76="",B76&lt;=0),0,ROUND(B76*(subjectInterestRate/12),2))</f>
        <v>242.37</v>
      </c>
      <c r="F76" s="14">
        <f t="shared" si="8"/>
        <v>134.16999999999999</v>
      </c>
      <c r="G76" s="14">
        <f t="shared" si="8"/>
        <v>188.55</v>
      </c>
      <c r="H76" s="14">
        <f t="shared" si="9"/>
        <v>948.53</v>
      </c>
      <c r="I76" s="276">
        <f t="shared" si="6"/>
        <v>20358.12</v>
      </c>
      <c r="J76" s="276">
        <f t="shared" si="7"/>
        <v>15616.889999999998</v>
      </c>
      <c r="K76" s="276">
        <f t="shared" si="4"/>
        <v>77173.72</v>
      </c>
      <c r="L76" s="394">
        <f t="shared" si="1"/>
        <v>4</v>
      </c>
      <c r="M76" s="394">
        <f t="shared" si="5"/>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613">
        <f>IF(OR(A76="",A76&gt;=subjectMortgageEndDate),"",EDATE(A76,1))</f>
        <v>47604</v>
      </c>
      <c r="B77" s="276">
        <f t="shared" si="2"/>
        <v>77173.72</v>
      </c>
      <c r="C77" s="14">
        <f>IF(A77="",0,IF(B77&lt;=0,0,IF(A77=subjectMortgageEndDate,B77+E77,MIN(subjectPayment,B77+E77))))</f>
        <v>625.80999999999995</v>
      </c>
      <c r="D77" s="14">
        <f t="shared" si="3"/>
        <v>384.64</v>
      </c>
      <c r="E77" s="14">
        <f>IF(OR(A77="",B77&lt;=0),0,ROUND(B77*(subjectInterestRate/12),2))</f>
        <v>241.17</v>
      </c>
      <c r="F77" s="14">
        <f t="shared" si="8"/>
        <v>134.16999999999999</v>
      </c>
      <c r="G77" s="14">
        <f t="shared" si="8"/>
        <v>188.55</v>
      </c>
      <c r="H77" s="14">
        <f t="shared" si="9"/>
        <v>948.53</v>
      </c>
      <c r="I77" s="276">
        <f t="shared" si="6"/>
        <v>20742.759999999998</v>
      </c>
      <c r="J77" s="276">
        <f t="shared" si="7"/>
        <v>15858.059999999998</v>
      </c>
      <c r="K77" s="276">
        <f t="shared" si="4"/>
        <v>76789.08</v>
      </c>
      <c r="L77" s="394">
        <f t="shared" si="1"/>
        <v>4</v>
      </c>
      <c r="M77" s="394">
        <f t="shared" si="5"/>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613">
        <f>IF(OR(A77="",A77&gt;=subjectMortgageEndDate),"",EDATE(A77,1))</f>
        <v>47635</v>
      </c>
      <c r="B78" s="276">
        <f t="shared" si="2"/>
        <v>76789.08</v>
      </c>
      <c r="C78" s="14">
        <f>IF(A78="",0,IF(B78&lt;=0,0,IF(A78=subjectMortgageEndDate,B78+E78,MIN(subjectPayment,B78+E78))))</f>
        <v>625.80999999999995</v>
      </c>
      <c r="D78" s="14">
        <f t="shared" si="3"/>
        <v>385.83999999999992</v>
      </c>
      <c r="E78" s="14">
        <f>IF(OR(A78="",B78&lt;=0),0,ROUND(B78*(subjectInterestRate/12),2))</f>
        <v>239.97</v>
      </c>
      <c r="F78" s="14">
        <f t="shared" si="8"/>
        <v>134.16999999999999</v>
      </c>
      <c r="G78" s="14">
        <f t="shared" si="8"/>
        <v>188.55</v>
      </c>
      <c r="H78" s="14">
        <f t="shared" si="9"/>
        <v>948.53</v>
      </c>
      <c r="I78" s="276">
        <f t="shared" si="6"/>
        <v>21128.6</v>
      </c>
      <c r="J78" s="276">
        <f t="shared" si="7"/>
        <v>16098.029999999997</v>
      </c>
      <c r="K78" s="276">
        <f t="shared" si="4"/>
        <v>76403.240000000005</v>
      </c>
      <c r="L78" s="394">
        <f t="shared" si="1"/>
        <v>4</v>
      </c>
      <c r="M78" s="394">
        <f t="shared" si="5"/>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614">
        <f>IF(OR(A78="",A78&gt;=subjectMortgageEndDate),"",EDATE(A78,1))</f>
        <v>47665</v>
      </c>
      <c r="B79" s="332">
        <f t="shared" si="2"/>
        <v>76403.240000000005</v>
      </c>
      <c r="C79" s="21">
        <f>IF(A79="",0,IF(B79&lt;=0,0,IF(A79=subjectMortgageEndDate,B79+E79,MIN(subjectPayment,B79+E79))))</f>
        <v>625.80999999999995</v>
      </c>
      <c r="D79" s="21">
        <f t="shared" si="3"/>
        <v>387.04999999999995</v>
      </c>
      <c r="E79" s="21">
        <f>IF(OR(A79="",B79&lt;=0),0,ROUND(B79*(subjectInterestRate/12),2))</f>
        <v>238.76</v>
      </c>
      <c r="F79" s="21">
        <f t="shared" ref="F79:G94" si="10">+F78</f>
        <v>134.16999999999999</v>
      </c>
      <c r="G79" s="21">
        <f t="shared" si="10"/>
        <v>188.55</v>
      </c>
      <c r="H79" s="21">
        <f t="shared" si="9"/>
        <v>948.53</v>
      </c>
      <c r="I79" s="332">
        <f t="shared" si="6"/>
        <v>21515.649999999998</v>
      </c>
      <c r="J79" s="332">
        <f t="shared" si="7"/>
        <v>16336.789999999997</v>
      </c>
      <c r="K79" s="332">
        <f t="shared" si="4"/>
        <v>76016.19</v>
      </c>
      <c r="L79" s="395">
        <f t="shared" si="1"/>
        <v>4</v>
      </c>
      <c r="M79" s="395">
        <f t="shared" si="5"/>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32">
        <f>IF(INDEX(tblContractForDeed[End Bal],ROW()-ROW(tblBuyerOutputs[#Headers]))&lt;=0,0,($O$6+IF(ROW()=ROW(tblBuyerOutputs[#Headers])+1,0,INDEX(tblBuyerOutputs[Cumul Appr],ROW()-ROW(tblBuyerOutputs[#Headers])-1)))*$O$2/12)</f>
        <v>400.75936691625469</v>
      </c>
      <c r="AE79" s="332">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613">
        <f>IF(OR(A79="",A79&gt;=subjectMortgageEndDate),"",EDATE(A79,1))</f>
        <v>47696</v>
      </c>
      <c r="B80" s="276">
        <f t="shared" si="2"/>
        <v>76016.19</v>
      </c>
      <c r="C80" s="14">
        <f>IF(A80="",0,IF(B80&lt;=0,0,IF(A80=subjectMortgageEndDate,B80+E80,MIN(subjectPayment,B80+E80))))</f>
        <v>625.80999999999995</v>
      </c>
      <c r="D80" s="14">
        <f t="shared" si="3"/>
        <v>388.25999999999993</v>
      </c>
      <c r="E80" s="14">
        <f>IF(OR(A80="",B80&lt;=0),0,ROUND(B80*(subjectInterestRate/12),2))</f>
        <v>237.55</v>
      </c>
      <c r="F80" s="14">
        <f t="shared" si="10"/>
        <v>134.16999999999999</v>
      </c>
      <c r="G80" s="14">
        <f t="shared" si="10"/>
        <v>188.55</v>
      </c>
      <c r="H80" s="14">
        <f t="shared" si="9"/>
        <v>948.53</v>
      </c>
      <c r="I80" s="276">
        <f t="shared" si="6"/>
        <v>21903.909999999996</v>
      </c>
      <c r="J80" s="276">
        <f t="shared" si="7"/>
        <v>16574.339999999997</v>
      </c>
      <c r="K80" s="276">
        <f t="shared" si="4"/>
        <v>75627.930000000008</v>
      </c>
      <c r="L80" s="394">
        <f t="shared" si="1"/>
        <v>5</v>
      </c>
      <c r="M80" s="394">
        <f t="shared" si="5"/>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613">
        <f>IF(OR(A80="",A80&gt;=subjectMortgageEndDate),"",EDATE(A80,1))</f>
        <v>47727</v>
      </c>
      <c r="B81" s="276">
        <f t="shared" si="2"/>
        <v>75627.930000000008</v>
      </c>
      <c r="C81" s="14">
        <f>IF(A81="",0,IF(B81&lt;=0,0,IF(A81=subjectMortgageEndDate,B81+E81,MIN(subjectPayment,B81+E81))))</f>
        <v>625.80999999999995</v>
      </c>
      <c r="D81" s="14">
        <f t="shared" si="3"/>
        <v>389.46999999999991</v>
      </c>
      <c r="E81" s="14">
        <f>IF(OR(A81="",B81&lt;=0),0,ROUND(B81*(subjectInterestRate/12),2))</f>
        <v>236.34</v>
      </c>
      <c r="F81" s="14">
        <f t="shared" si="10"/>
        <v>134.16999999999999</v>
      </c>
      <c r="G81" s="14">
        <f t="shared" si="10"/>
        <v>188.55</v>
      </c>
      <c r="H81" s="14">
        <f t="shared" si="9"/>
        <v>948.53</v>
      </c>
      <c r="I81" s="276">
        <f t="shared" si="6"/>
        <v>22293.379999999997</v>
      </c>
      <c r="J81" s="276">
        <f t="shared" si="7"/>
        <v>16810.679999999997</v>
      </c>
      <c r="K81" s="276">
        <f t="shared" si="4"/>
        <v>75238.460000000006</v>
      </c>
      <c r="L81" s="394">
        <f t="shared" si="1"/>
        <v>5</v>
      </c>
      <c r="M81" s="394">
        <f t="shared" si="5"/>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613">
        <f>IF(OR(A81="",A81&gt;=subjectMortgageEndDate),"",EDATE(A81,1))</f>
        <v>47757</v>
      </c>
      <c r="B82" s="276">
        <f t="shared" si="2"/>
        <v>75238.460000000006</v>
      </c>
      <c r="C82" s="14">
        <f>IF(A82="",0,IF(B82&lt;=0,0,IF(A82=subjectMortgageEndDate,B82+E82,MIN(subjectPayment,B82+E82))))</f>
        <v>625.80999999999995</v>
      </c>
      <c r="D82" s="14">
        <f t="shared" si="3"/>
        <v>390.68999999999994</v>
      </c>
      <c r="E82" s="14">
        <f>IF(OR(A82="",B82&lt;=0),0,ROUND(B82*(subjectInterestRate/12),2))</f>
        <v>235.12</v>
      </c>
      <c r="F82" s="14">
        <f t="shared" si="10"/>
        <v>134.16999999999999</v>
      </c>
      <c r="G82" s="14">
        <f t="shared" si="10"/>
        <v>188.55</v>
      </c>
      <c r="H82" s="14">
        <f t="shared" si="9"/>
        <v>948.53</v>
      </c>
      <c r="I82" s="276">
        <f t="shared" si="6"/>
        <v>22684.069999999996</v>
      </c>
      <c r="J82" s="276">
        <f t="shared" si="7"/>
        <v>17045.799999999996</v>
      </c>
      <c r="K82" s="276">
        <f t="shared" si="4"/>
        <v>74847.77</v>
      </c>
      <c r="L82" s="394">
        <f t="shared" si="1"/>
        <v>5</v>
      </c>
      <c r="M82" s="394">
        <f t="shared" si="5"/>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613">
        <f>IF(OR(A82="",A82&gt;=subjectMortgageEndDate),"",EDATE(A82,1))</f>
        <v>47788</v>
      </c>
      <c r="B83" s="276">
        <f t="shared" si="2"/>
        <v>74847.77</v>
      </c>
      <c r="C83" s="14">
        <f>IF(A83="",0,IF(B83&lt;=0,0,IF(A83=subjectMortgageEndDate,B83+E83,MIN(subjectPayment,B83+E83))))</f>
        <v>625.80999999999995</v>
      </c>
      <c r="D83" s="14">
        <f t="shared" si="3"/>
        <v>391.90999999999997</v>
      </c>
      <c r="E83" s="14">
        <f>IF(OR(A83="",B83&lt;=0),0,ROUND(B83*(subjectInterestRate/12),2))</f>
        <v>233.9</v>
      </c>
      <c r="F83" s="14">
        <f t="shared" si="10"/>
        <v>134.16999999999999</v>
      </c>
      <c r="G83" s="14">
        <f t="shared" si="10"/>
        <v>188.55</v>
      </c>
      <c r="H83" s="14">
        <f t="shared" si="9"/>
        <v>948.53</v>
      </c>
      <c r="I83" s="276">
        <f t="shared" si="6"/>
        <v>23075.979999999996</v>
      </c>
      <c r="J83" s="276">
        <f t="shared" si="7"/>
        <v>17279.699999999997</v>
      </c>
      <c r="K83" s="276">
        <f t="shared" si="4"/>
        <v>74455.86</v>
      </c>
      <c r="L83" s="394">
        <f t="shared" si="1"/>
        <v>5</v>
      </c>
      <c r="M83" s="394">
        <f t="shared" si="5"/>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613">
        <f>IF(OR(A83="",A83&gt;=subjectMortgageEndDate),"",EDATE(A83,1))</f>
        <v>47818</v>
      </c>
      <c r="B84" s="276">
        <f t="shared" si="2"/>
        <v>74455.86</v>
      </c>
      <c r="C84" s="14">
        <f>IF(A84="",0,IF(B84&lt;=0,0,IF(A84=subjectMortgageEndDate,B84+E84,MIN(subjectPayment,B84+E84))))</f>
        <v>625.80999999999995</v>
      </c>
      <c r="D84" s="14">
        <f t="shared" si="3"/>
        <v>393.14</v>
      </c>
      <c r="E84" s="14">
        <f>IF(OR(A84="",B84&lt;=0),0,ROUND(B84*(subjectInterestRate/12),2))</f>
        <v>232.67</v>
      </c>
      <c r="F84" s="14">
        <f t="shared" si="10"/>
        <v>134.16999999999999</v>
      </c>
      <c r="G84" s="14">
        <f t="shared" si="10"/>
        <v>188.55</v>
      </c>
      <c r="H84" s="14">
        <f t="shared" si="9"/>
        <v>948.53</v>
      </c>
      <c r="I84" s="276">
        <f t="shared" si="6"/>
        <v>23469.119999999995</v>
      </c>
      <c r="J84" s="276">
        <f t="shared" si="7"/>
        <v>17512.369999999995</v>
      </c>
      <c r="K84" s="276">
        <f t="shared" si="4"/>
        <v>74062.720000000001</v>
      </c>
      <c r="L84" s="394">
        <f t="shared" ref="L84:L112" si="11">IF(MOD(M84,12)=0,M84/12,L83)</f>
        <v>5</v>
      </c>
      <c r="M84" s="394">
        <f t="shared" si="5"/>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613">
        <f>IF(OR(A84="",A84&gt;=subjectMortgageEndDate),"",EDATE(A84,1))</f>
        <v>47849</v>
      </c>
      <c r="B85" s="276">
        <f t="shared" ref="B85:B148" si="12">IF(A85="",0,MAX(0,K84))</f>
        <v>74062.720000000001</v>
      </c>
      <c r="C85" s="14">
        <f>IF(A85="",0,IF(B85&lt;=0,0,IF(A85=subjectMortgageEndDate,B85+E85,MIN(subjectPayment,B85+E85))))</f>
        <v>625.80999999999995</v>
      </c>
      <c r="D85" s="14">
        <f t="shared" ref="D85:D148" si="13">IF(C85=0,0,MAX(0,MIN(B85,C85-E85)))</f>
        <v>394.35999999999996</v>
      </c>
      <c r="E85" s="14">
        <f>IF(OR(A85="",B85&lt;=0),0,ROUND(B85*(subjectInterestRate/12),2))</f>
        <v>231.45</v>
      </c>
      <c r="F85" s="14">
        <f t="shared" si="10"/>
        <v>134.16999999999999</v>
      </c>
      <c r="G85" s="14">
        <f t="shared" si="10"/>
        <v>188.55</v>
      </c>
      <c r="H85" s="14">
        <f t="shared" si="9"/>
        <v>948.53</v>
      </c>
      <c r="I85" s="276">
        <f t="shared" si="6"/>
        <v>23863.479999999996</v>
      </c>
      <c r="J85" s="276">
        <f t="shared" si="7"/>
        <v>17743.819999999996</v>
      </c>
      <c r="K85" s="276">
        <f t="shared" ref="K85:K148" si="14">IF(A85="",0,IF(B85&lt;=0,0,MAX(0,B85-D85)))</f>
        <v>73668.36</v>
      </c>
      <c r="L85" s="394">
        <f t="shared" si="11"/>
        <v>5</v>
      </c>
      <c r="M85" s="394">
        <f t="shared" ref="M85:M148" si="15">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613">
        <f>IF(OR(A85="",A85&gt;=subjectMortgageEndDate),"",EDATE(A85,1))</f>
        <v>47880</v>
      </c>
      <c r="B86" s="276">
        <f t="shared" si="12"/>
        <v>73668.36</v>
      </c>
      <c r="C86" s="14">
        <f>IF(A86="",0,IF(B86&lt;=0,0,IF(A86=subjectMortgageEndDate,B86+E86,MIN(subjectPayment,B86+E86))))</f>
        <v>625.80999999999995</v>
      </c>
      <c r="D86" s="14">
        <f t="shared" si="13"/>
        <v>395.59999999999991</v>
      </c>
      <c r="E86" s="14">
        <f>IF(OR(A86="",B86&lt;=0),0,ROUND(B86*(subjectInterestRate/12),2))</f>
        <v>230.21</v>
      </c>
      <c r="F86" s="14">
        <f t="shared" si="10"/>
        <v>134.16999999999999</v>
      </c>
      <c r="G86" s="14">
        <f t="shared" si="10"/>
        <v>188.55</v>
      </c>
      <c r="H86" s="14">
        <f t="shared" si="9"/>
        <v>948.53</v>
      </c>
      <c r="I86" s="276">
        <f t="shared" ref="I86:I149" si="16">$D86+$I85</f>
        <v>24259.079999999994</v>
      </c>
      <c r="J86" s="276">
        <f t="shared" ref="J86:J149" si="17">$E86+$J85</f>
        <v>17974.029999999995</v>
      </c>
      <c r="K86" s="276">
        <f t="shared" si="14"/>
        <v>73272.759999999995</v>
      </c>
      <c r="L86" s="394">
        <f t="shared" si="11"/>
        <v>5</v>
      </c>
      <c r="M86" s="394">
        <f t="shared" si="15"/>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613">
        <f>IF(OR(A86="",A86&gt;=subjectMortgageEndDate),"",EDATE(A86,1))</f>
        <v>47908</v>
      </c>
      <c r="B87" s="276">
        <f t="shared" si="12"/>
        <v>73272.759999999995</v>
      </c>
      <c r="C87" s="14">
        <f>IF(A87="",0,IF(B87&lt;=0,0,IF(A87=subjectMortgageEndDate,B87+E87,MIN(subjectPayment,B87+E87))))</f>
        <v>625.80999999999995</v>
      </c>
      <c r="D87" s="14">
        <f t="shared" si="13"/>
        <v>396.82999999999993</v>
      </c>
      <c r="E87" s="14">
        <f>IF(OR(A87="",B87&lt;=0),0,ROUND(B87*(subjectInterestRate/12),2))</f>
        <v>228.98</v>
      </c>
      <c r="F87" s="14">
        <f t="shared" si="10"/>
        <v>134.16999999999999</v>
      </c>
      <c r="G87" s="14">
        <f t="shared" si="10"/>
        <v>188.55</v>
      </c>
      <c r="H87" s="14">
        <f t="shared" si="9"/>
        <v>948.53</v>
      </c>
      <c r="I87" s="276">
        <f t="shared" si="16"/>
        <v>24655.909999999996</v>
      </c>
      <c r="J87" s="276">
        <f t="shared" si="17"/>
        <v>18203.009999999995</v>
      </c>
      <c r="K87" s="276">
        <f t="shared" si="14"/>
        <v>72875.929999999993</v>
      </c>
      <c r="L87" s="394">
        <f t="shared" si="11"/>
        <v>5</v>
      </c>
      <c r="M87" s="394">
        <f t="shared" si="15"/>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613">
        <f>IF(OR(A87="",A87&gt;=subjectMortgageEndDate),"",EDATE(A87,1))</f>
        <v>47939</v>
      </c>
      <c r="B88" s="276">
        <f t="shared" si="12"/>
        <v>72875.929999999993</v>
      </c>
      <c r="C88" s="14">
        <f>IF(A88="",0,IF(B88&lt;=0,0,IF(A88=subjectMortgageEndDate,B88+E88,MIN(subjectPayment,B88+E88))))</f>
        <v>625.80999999999995</v>
      </c>
      <c r="D88" s="14">
        <f t="shared" si="13"/>
        <v>398.06999999999994</v>
      </c>
      <c r="E88" s="14">
        <f>IF(OR(A88="",B88&lt;=0),0,ROUND(B88*(subjectInterestRate/12),2))</f>
        <v>227.74</v>
      </c>
      <c r="F88" s="14">
        <f t="shared" si="10"/>
        <v>134.16999999999999</v>
      </c>
      <c r="G88" s="14">
        <f t="shared" si="10"/>
        <v>188.55</v>
      </c>
      <c r="H88" s="14">
        <f t="shared" si="9"/>
        <v>948.53</v>
      </c>
      <c r="I88" s="276">
        <f t="shared" si="16"/>
        <v>25053.979999999996</v>
      </c>
      <c r="J88" s="276">
        <f t="shared" si="17"/>
        <v>18430.749999999996</v>
      </c>
      <c r="K88" s="276">
        <f t="shared" si="14"/>
        <v>72477.859999999986</v>
      </c>
      <c r="L88" s="394">
        <f t="shared" si="11"/>
        <v>5</v>
      </c>
      <c r="M88" s="394">
        <f t="shared" si="15"/>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613">
        <f>IF(OR(A88="",A88&gt;=subjectMortgageEndDate),"",EDATE(A88,1))</f>
        <v>47969</v>
      </c>
      <c r="B89" s="276">
        <f t="shared" si="12"/>
        <v>72477.859999999986</v>
      </c>
      <c r="C89" s="14">
        <f>IF(A89="",0,IF(B89&lt;=0,0,IF(A89=subjectMortgageEndDate,B89+E89,MIN(subjectPayment,B89+E89))))</f>
        <v>625.80999999999995</v>
      </c>
      <c r="D89" s="14">
        <f t="shared" si="13"/>
        <v>399.31999999999994</v>
      </c>
      <c r="E89" s="14">
        <f>IF(OR(A89="",B89&lt;=0),0,ROUND(B89*(subjectInterestRate/12),2))</f>
        <v>226.49</v>
      </c>
      <c r="F89" s="14">
        <f t="shared" si="10"/>
        <v>134.16999999999999</v>
      </c>
      <c r="G89" s="14">
        <f t="shared" si="10"/>
        <v>188.55</v>
      </c>
      <c r="H89" s="14">
        <f t="shared" si="9"/>
        <v>948.53</v>
      </c>
      <c r="I89" s="276">
        <f t="shared" si="16"/>
        <v>25453.299999999996</v>
      </c>
      <c r="J89" s="276">
        <f t="shared" si="17"/>
        <v>18657.239999999998</v>
      </c>
      <c r="K89" s="276">
        <f t="shared" si="14"/>
        <v>72078.539999999979</v>
      </c>
      <c r="L89" s="394">
        <f t="shared" si="11"/>
        <v>5</v>
      </c>
      <c r="M89" s="394">
        <f t="shared" si="15"/>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613">
        <f>IF(OR(A89="",A89&gt;=subjectMortgageEndDate),"",EDATE(A89,1))</f>
        <v>48000</v>
      </c>
      <c r="B90" s="276">
        <f t="shared" si="12"/>
        <v>72078.539999999979</v>
      </c>
      <c r="C90" s="14">
        <f>IF(A90="",0,IF(B90&lt;=0,0,IF(A90=subjectMortgageEndDate,B90+E90,MIN(subjectPayment,B90+E90))))</f>
        <v>625.80999999999995</v>
      </c>
      <c r="D90" s="14">
        <f t="shared" si="13"/>
        <v>400.55999999999995</v>
      </c>
      <c r="E90" s="14">
        <f>IF(OR(A90="",B90&lt;=0),0,ROUND(B90*(subjectInterestRate/12),2))</f>
        <v>225.25</v>
      </c>
      <c r="F90" s="14">
        <f t="shared" si="10"/>
        <v>134.16999999999999</v>
      </c>
      <c r="G90" s="14">
        <f t="shared" si="10"/>
        <v>188.55</v>
      </c>
      <c r="H90" s="14">
        <f t="shared" si="9"/>
        <v>948.53</v>
      </c>
      <c r="I90" s="276">
        <f t="shared" si="16"/>
        <v>25853.859999999997</v>
      </c>
      <c r="J90" s="276">
        <f t="shared" si="17"/>
        <v>18882.489999999998</v>
      </c>
      <c r="K90" s="276">
        <f t="shared" si="14"/>
        <v>71677.979999999981</v>
      </c>
      <c r="L90" s="394">
        <f t="shared" si="11"/>
        <v>5</v>
      </c>
      <c r="M90" s="394">
        <f t="shared" si="15"/>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614">
        <f>IF(OR(A90="",A90&gt;=subjectMortgageEndDate),"",EDATE(A90,1))</f>
        <v>48030</v>
      </c>
      <c r="B91" s="332">
        <f t="shared" si="12"/>
        <v>71677.979999999981</v>
      </c>
      <c r="C91" s="21">
        <f>IF(A91="",0,IF(B91&lt;=0,0,IF(A91=subjectMortgageEndDate,B91+E91,MIN(subjectPayment,B91+E91))))</f>
        <v>625.80999999999995</v>
      </c>
      <c r="D91" s="21">
        <f t="shared" si="13"/>
        <v>401.81999999999994</v>
      </c>
      <c r="E91" s="21">
        <f>IF(OR(A91="",B91&lt;=0),0,ROUND(B91*(subjectInterestRate/12),2))</f>
        <v>223.99</v>
      </c>
      <c r="F91" s="21">
        <f t="shared" si="10"/>
        <v>134.16999999999999</v>
      </c>
      <c r="G91" s="21">
        <f t="shared" si="10"/>
        <v>188.55</v>
      </c>
      <c r="H91" s="21">
        <f t="shared" si="9"/>
        <v>948.53</v>
      </c>
      <c r="I91" s="332">
        <f t="shared" si="16"/>
        <v>26255.679999999997</v>
      </c>
      <c r="J91" s="332">
        <f t="shared" si="17"/>
        <v>19106.48</v>
      </c>
      <c r="K91" s="332">
        <f t="shared" si="14"/>
        <v>71276.159999999974</v>
      </c>
      <c r="L91" s="395">
        <f t="shared" si="11"/>
        <v>5</v>
      </c>
      <c r="M91" s="395">
        <f t="shared" si="15"/>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32">
        <f>IF(INDEX(tblContractForDeed[End Bal],ROW()-ROW(tblBuyerOutputs[#Headers]))&lt;=0,0,($O$6+IF(ROW()=ROW(tblBuyerOutputs[#Headers])+1,0,INDEX(tblBuyerOutputs[Cumul Appr],ROW()-ROW(tblBuyerOutputs[#Headers])-1)))*$O$2/12)</f>
        <v>421.26297672157216</v>
      </c>
      <c r="AE91" s="332">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613">
        <f>IF(OR(A91="",A91&gt;=subjectMortgageEndDate),"",EDATE(A91,1))</f>
        <v>48061</v>
      </c>
      <c r="B92" s="276">
        <f t="shared" si="12"/>
        <v>71276.159999999974</v>
      </c>
      <c r="C92" s="14">
        <f>IF(A92="",0,IF(B92&lt;=0,0,IF(A92=subjectMortgageEndDate,B92+E92,MIN(subjectPayment,B92+E92))))</f>
        <v>625.80999999999995</v>
      </c>
      <c r="D92" s="14">
        <f t="shared" si="13"/>
        <v>403.06999999999994</v>
      </c>
      <c r="E92" s="14">
        <f>IF(OR(A92="",B92&lt;=0),0,ROUND(B92*(subjectInterestRate/12),2))</f>
        <v>222.74</v>
      </c>
      <c r="F92" s="14">
        <f t="shared" si="10"/>
        <v>134.16999999999999</v>
      </c>
      <c r="G92" s="14">
        <f t="shared" si="10"/>
        <v>188.55</v>
      </c>
      <c r="H92" s="14">
        <f t="shared" si="9"/>
        <v>948.53</v>
      </c>
      <c r="I92" s="276">
        <f t="shared" si="16"/>
        <v>26658.749999999996</v>
      </c>
      <c r="J92" s="276">
        <f t="shared" si="17"/>
        <v>19329.22</v>
      </c>
      <c r="K92" s="276">
        <f t="shared" si="14"/>
        <v>70873.089999999967</v>
      </c>
      <c r="L92" s="394">
        <f t="shared" si="11"/>
        <v>6</v>
      </c>
      <c r="M92" s="394">
        <f t="shared" si="15"/>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613">
        <f>IF(OR(A92="",A92&gt;=subjectMortgageEndDate),"",EDATE(A92,1))</f>
        <v>48092</v>
      </c>
      <c r="B93" s="276">
        <f t="shared" si="12"/>
        <v>70873.089999999967</v>
      </c>
      <c r="C93" s="14">
        <f>IF(A93="",0,IF(B93&lt;=0,0,IF(A93=subjectMortgageEndDate,B93+E93,MIN(subjectPayment,B93+E93))))</f>
        <v>625.80999999999995</v>
      </c>
      <c r="D93" s="14">
        <f t="shared" si="13"/>
        <v>404.32999999999993</v>
      </c>
      <c r="E93" s="14">
        <f>IF(OR(A93="",B93&lt;=0),0,ROUND(B93*(subjectInterestRate/12),2))</f>
        <v>221.48</v>
      </c>
      <c r="F93" s="14">
        <f t="shared" si="10"/>
        <v>134.16999999999999</v>
      </c>
      <c r="G93" s="14">
        <f t="shared" si="10"/>
        <v>188.55</v>
      </c>
      <c r="H93" s="14">
        <f t="shared" si="9"/>
        <v>948.53</v>
      </c>
      <c r="I93" s="276">
        <f t="shared" si="16"/>
        <v>27063.079999999994</v>
      </c>
      <c r="J93" s="276">
        <f t="shared" si="17"/>
        <v>19550.7</v>
      </c>
      <c r="K93" s="276">
        <f t="shared" si="14"/>
        <v>70468.759999999966</v>
      </c>
      <c r="L93" s="394">
        <f t="shared" si="11"/>
        <v>6</v>
      </c>
      <c r="M93" s="394">
        <f t="shared" si="15"/>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613">
        <f>IF(OR(A93="",A93&gt;=subjectMortgageEndDate),"",EDATE(A93,1))</f>
        <v>48122</v>
      </c>
      <c r="B94" s="276">
        <f t="shared" si="12"/>
        <v>70468.759999999966</v>
      </c>
      <c r="C94" s="14">
        <f>IF(A94="",0,IF(B94&lt;=0,0,IF(A94=subjectMortgageEndDate,B94+E94,MIN(subjectPayment,B94+E94))))</f>
        <v>625.80999999999995</v>
      </c>
      <c r="D94" s="14">
        <f t="shared" si="13"/>
        <v>405.59999999999991</v>
      </c>
      <c r="E94" s="14">
        <f>IF(OR(A94="",B94&lt;=0),0,ROUND(B94*(subjectInterestRate/12),2))</f>
        <v>220.21</v>
      </c>
      <c r="F94" s="14">
        <f t="shared" si="10"/>
        <v>134.16999999999999</v>
      </c>
      <c r="G94" s="14">
        <f t="shared" si="10"/>
        <v>188.55</v>
      </c>
      <c r="H94" s="14">
        <f t="shared" si="9"/>
        <v>948.53</v>
      </c>
      <c r="I94" s="276">
        <f t="shared" si="16"/>
        <v>27468.679999999993</v>
      </c>
      <c r="J94" s="276">
        <f t="shared" si="17"/>
        <v>19770.91</v>
      </c>
      <c r="K94" s="276">
        <f t="shared" si="14"/>
        <v>70063.15999999996</v>
      </c>
      <c r="L94" s="394">
        <f t="shared" si="11"/>
        <v>6</v>
      </c>
      <c r="M94" s="394">
        <f t="shared" si="15"/>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613">
        <f>IF(OR(A94="",A94&gt;=subjectMortgageEndDate),"",EDATE(A94,1))</f>
        <v>48153</v>
      </c>
      <c r="B95" s="276">
        <f t="shared" si="12"/>
        <v>70063.15999999996</v>
      </c>
      <c r="C95" s="14">
        <f>IF(A95="",0,IF(B95&lt;=0,0,IF(A95=subjectMortgageEndDate,B95+E95,MIN(subjectPayment,B95+E95))))</f>
        <v>625.80999999999995</v>
      </c>
      <c r="D95" s="14">
        <f t="shared" si="13"/>
        <v>406.85999999999996</v>
      </c>
      <c r="E95" s="14">
        <f>IF(OR(A95="",B95&lt;=0),0,ROUND(B95*(subjectInterestRate/12),2))</f>
        <v>218.95</v>
      </c>
      <c r="F95" s="14">
        <f t="shared" ref="F95:G110" si="18">+F94</f>
        <v>134.16999999999999</v>
      </c>
      <c r="G95" s="14">
        <f t="shared" si="18"/>
        <v>188.55</v>
      </c>
      <c r="H95" s="14">
        <f t="shared" si="9"/>
        <v>948.53</v>
      </c>
      <c r="I95" s="276">
        <f t="shared" si="16"/>
        <v>27875.539999999994</v>
      </c>
      <c r="J95" s="276">
        <f t="shared" si="17"/>
        <v>19989.86</v>
      </c>
      <c r="K95" s="276">
        <f t="shared" si="14"/>
        <v>69656.299999999959</v>
      </c>
      <c r="L95" s="394">
        <f t="shared" si="11"/>
        <v>6</v>
      </c>
      <c r="M95" s="394">
        <f t="shared" si="15"/>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613">
        <f>IF(OR(A95="",A95&gt;=subjectMortgageEndDate),"",EDATE(A95,1))</f>
        <v>48183</v>
      </c>
      <c r="B96" s="276">
        <f t="shared" si="12"/>
        <v>69656.299999999959</v>
      </c>
      <c r="C96" s="14">
        <f>IF(A96="",0,IF(B96&lt;=0,0,IF(A96=subjectMortgageEndDate,B96+E96,MIN(subjectPayment,B96+E96))))</f>
        <v>625.80999999999995</v>
      </c>
      <c r="D96" s="14">
        <f t="shared" si="13"/>
        <v>408.12999999999994</v>
      </c>
      <c r="E96" s="14">
        <f>IF(OR(A96="",B96&lt;=0),0,ROUND(B96*(subjectInterestRate/12),2))</f>
        <v>217.68</v>
      </c>
      <c r="F96" s="14">
        <f t="shared" si="18"/>
        <v>134.16999999999999</v>
      </c>
      <c r="G96" s="14">
        <f t="shared" si="18"/>
        <v>188.55</v>
      </c>
      <c r="H96" s="14">
        <f t="shared" si="9"/>
        <v>948.53</v>
      </c>
      <c r="I96" s="276">
        <f t="shared" si="16"/>
        <v>28283.669999999995</v>
      </c>
      <c r="J96" s="276">
        <f t="shared" si="17"/>
        <v>20207.54</v>
      </c>
      <c r="K96" s="276">
        <f t="shared" si="14"/>
        <v>69248.169999999955</v>
      </c>
      <c r="L96" s="394">
        <f t="shared" si="11"/>
        <v>6</v>
      </c>
      <c r="M96" s="394">
        <f t="shared" si="15"/>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613">
        <f>IF(OR(A96="",A96&gt;=subjectMortgageEndDate),"",EDATE(A96,1))</f>
        <v>48214</v>
      </c>
      <c r="B97" s="276">
        <f t="shared" si="12"/>
        <v>69248.169999999955</v>
      </c>
      <c r="C97" s="14">
        <f>IF(A97="",0,IF(B97&lt;=0,0,IF(A97=subjectMortgageEndDate,B97+E97,MIN(subjectPayment,B97+E97))))</f>
        <v>625.80999999999995</v>
      </c>
      <c r="D97" s="14">
        <f t="shared" si="13"/>
        <v>409.40999999999997</v>
      </c>
      <c r="E97" s="14">
        <f>IF(OR(A97="",B97&lt;=0),0,ROUND(B97*(subjectInterestRate/12),2))</f>
        <v>216.4</v>
      </c>
      <c r="F97" s="14">
        <f t="shared" si="18"/>
        <v>134.16999999999999</v>
      </c>
      <c r="G97" s="14">
        <f t="shared" si="18"/>
        <v>188.55</v>
      </c>
      <c r="H97" s="14">
        <f t="shared" si="9"/>
        <v>948.53</v>
      </c>
      <c r="I97" s="276">
        <f t="shared" si="16"/>
        <v>28693.079999999994</v>
      </c>
      <c r="J97" s="276">
        <f t="shared" si="17"/>
        <v>20423.940000000002</v>
      </c>
      <c r="K97" s="276">
        <f t="shared" si="14"/>
        <v>68838.759999999951</v>
      </c>
      <c r="L97" s="394">
        <f t="shared" si="11"/>
        <v>6</v>
      </c>
      <c r="M97" s="394">
        <f t="shared" si="15"/>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613">
        <f>IF(OR(A97="",A97&gt;=subjectMortgageEndDate),"",EDATE(A97,1))</f>
        <v>48245</v>
      </c>
      <c r="B98" s="276">
        <f t="shared" si="12"/>
        <v>68838.759999999951</v>
      </c>
      <c r="C98" s="14">
        <f>IF(A98="",0,IF(B98&lt;=0,0,IF(A98=subjectMortgageEndDate,B98+E98,MIN(subjectPayment,B98+E98))))</f>
        <v>625.80999999999995</v>
      </c>
      <c r="D98" s="14">
        <f t="shared" si="13"/>
        <v>410.68999999999994</v>
      </c>
      <c r="E98" s="14">
        <f>IF(OR(A98="",B98&lt;=0),0,ROUND(B98*(subjectInterestRate/12),2))</f>
        <v>215.12</v>
      </c>
      <c r="F98" s="14">
        <f t="shared" si="18"/>
        <v>134.16999999999999</v>
      </c>
      <c r="G98" s="14">
        <f t="shared" si="18"/>
        <v>188.55</v>
      </c>
      <c r="H98" s="14">
        <f t="shared" si="9"/>
        <v>948.53</v>
      </c>
      <c r="I98" s="276">
        <f t="shared" si="16"/>
        <v>29103.769999999993</v>
      </c>
      <c r="J98" s="276">
        <f t="shared" si="17"/>
        <v>20639.060000000001</v>
      </c>
      <c r="K98" s="276">
        <f t="shared" si="14"/>
        <v>68428.069999999949</v>
      </c>
      <c r="L98" s="394">
        <f t="shared" si="11"/>
        <v>6</v>
      </c>
      <c r="M98" s="394">
        <f t="shared" si="15"/>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613">
        <f>IF(OR(A98="",A98&gt;=subjectMortgageEndDate),"",EDATE(A98,1))</f>
        <v>48274</v>
      </c>
      <c r="B99" s="276">
        <f t="shared" si="12"/>
        <v>68428.069999999949</v>
      </c>
      <c r="C99" s="14">
        <f>IF(A99="",0,IF(B99&lt;=0,0,IF(A99=subjectMortgageEndDate,B99+E99,MIN(subjectPayment,B99+E99))))</f>
        <v>625.80999999999995</v>
      </c>
      <c r="D99" s="14">
        <f t="shared" si="13"/>
        <v>411.96999999999991</v>
      </c>
      <c r="E99" s="14">
        <f>IF(OR(A99="",B99&lt;=0),0,ROUND(B99*(subjectInterestRate/12),2))</f>
        <v>213.84</v>
      </c>
      <c r="F99" s="14">
        <f t="shared" si="18"/>
        <v>134.16999999999999</v>
      </c>
      <c r="G99" s="14">
        <f t="shared" si="18"/>
        <v>188.55</v>
      </c>
      <c r="H99" s="14">
        <f t="shared" si="9"/>
        <v>948.53</v>
      </c>
      <c r="I99" s="276">
        <f t="shared" si="16"/>
        <v>29515.739999999994</v>
      </c>
      <c r="J99" s="276">
        <f t="shared" si="17"/>
        <v>20852.900000000001</v>
      </c>
      <c r="K99" s="276">
        <f t="shared" si="14"/>
        <v>68016.099999999948</v>
      </c>
      <c r="L99" s="394">
        <f t="shared" si="11"/>
        <v>6</v>
      </c>
      <c r="M99" s="394">
        <f t="shared" si="15"/>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613">
        <f>IF(OR(A99="",A99&gt;=subjectMortgageEndDate),"",EDATE(A99,1))</f>
        <v>48305</v>
      </c>
      <c r="B100" s="276">
        <f t="shared" si="12"/>
        <v>68016.099999999948</v>
      </c>
      <c r="C100" s="14">
        <f>IF(A100="",0,IF(B100&lt;=0,0,IF(A100=subjectMortgageEndDate,B100+E100,MIN(subjectPayment,B100+E100))))</f>
        <v>625.80999999999995</v>
      </c>
      <c r="D100" s="14">
        <f t="shared" si="13"/>
        <v>413.25999999999993</v>
      </c>
      <c r="E100" s="14">
        <f>IF(OR(A100="",B100&lt;=0),0,ROUND(B100*(subjectInterestRate/12),2))</f>
        <v>212.55</v>
      </c>
      <c r="F100" s="14">
        <f t="shared" si="18"/>
        <v>134.16999999999999</v>
      </c>
      <c r="G100" s="14">
        <f t="shared" si="18"/>
        <v>188.55</v>
      </c>
      <c r="H100" s="14">
        <f t="shared" si="9"/>
        <v>948.53</v>
      </c>
      <c r="I100" s="276">
        <f t="shared" si="16"/>
        <v>29928.999999999993</v>
      </c>
      <c r="J100" s="276">
        <f t="shared" si="17"/>
        <v>21065.45</v>
      </c>
      <c r="K100" s="276">
        <f t="shared" si="14"/>
        <v>67602.839999999953</v>
      </c>
      <c r="L100" s="394">
        <f t="shared" si="11"/>
        <v>6</v>
      </c>
      <c r="M100" s="394">
        <f t="shared" si="15"/>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613">
        <f>IF(OR(A100="",A100&gt;=subjectMortgageEndDate),"",EDATE(A100,1))</f>
        <v>48335</v>
      </c>
      <c r="B101" s="276">
        <f t="shared" si="12"/>
        <v>67602.839999999953</v>
      </c>
      <c r="C101" s="14">
        <f>IF(A101="",0,IF(B101&lt;=0,0,IF(A101=subjectMortgageEndDate,B101+E101,MIN(subjectPayment,B101+E101))))</f>
        <v>625.80999999999995</v>
      </c>
      <c r="D101" s="14">
        <f t="shared" si="13"/>
        <v>414.54999999999995</v>
      </c>
      <c r="E101" s="14">
        <f>IF(OR(A101="",B101&lt;=0),0,ROUND(B101*(subjectInterestRate/12),2))</f>
        <v>211.26</v>
      </c>
      <c r="F101" s="14">
        <f t="shared" si="18"/>
        <v>134.16999999999999</v>
      </c>
      <c r="G101" s="14">
        <f t="shared" si="18"/>
        <v>188.55</v>
      </c>
      <c r="H101" s="14">
        <f t="shared" si="9"/>
        <v>948.53</v>
      </c>
      <c r="I101" s="276">
        <f t="shared" si="16"/>
        <v>30343.549999999992</v>
      </c>
      <c r="J101" s="276">
        <f t="shared" si="17"/>
        <v>21276.71</v>
      </c>
      <c r="K101" s="276">
        <f t="shared" si="14"/>
        <v>67188.28999999995</v>
      </c>
      <c r="L101" s="394">
        <f t="shared" si="11"/>
        <v>6</v>
      </c>
      <c r="M101" s="394">
        <f t="shared" si="15"/>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613">
        <f>IF(OR(A101="",A101&gt;=subjectMortgageEndDate),"",EDATE(A101,1))</f>
        <v>48366</v>
      </c>
      <c r="B102" s="276">
        <f t="shared" si="12"/>
        <v>67188.28999999995</v>
      </c>
      <c r="C102" s="14">
        <f>IF(A102="",0,IF(B102&lt;=0,0,IF(A102=subjectMortgageEndDate,B102+E102,MIN(subjectPayment,B102+E102))))</f>
        <v>625.80999999999995</v>
      </c>
      <c r="D102" s="14">
        <f t="shared" si="13"/>
        <v>415.84999999999991</v>
      </c>
      <c r="E102" s="14">
        <f>IF(OR(A102="",B102&lt;=0),0,ROUND(B102*(subjectInterestRate/12),2))</f>
        <v>209.96</v>
      </c>
      <c r="F102" s="14">
        <f t="shared" si="18"/>
        <v>134.16999999999999</v>
      </c>
      <c r="G102" s="14">
        <f t="shared" si="18"/>
        <v>188.55</v>
      </c>
      <c r="H102" s="14">
        <f t="shared" si="9"/>
        <v>948.53</v>
      </c>
      <c r="I102" s="276">
        <f t="shared" si="16"/>
        <v>30759.399999999991</v>
      </c>
      <c r="J102" s="276">
        <f t="shared" si="17"/>
        <v>21486.67</v>
      </c>
      <c r="K102" s="276">
        <f t="shared" si="14"/>
        <v>66772.439999999944</v>
      </c>
      <c r="L102" s="394">
        <f t="shared" si="11"/>
        <v>6</v>
      </c>
      <c r="M102" s="394">
        <f t="shared" si="15"/>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614">
        <f>IF(OR(A102="",A102&gt;=subjectMortgageEndDate),"",EDATE(A102,1))</f>
        <v>48396</v>
      </c>
      <c r="B103" s="332">
        <f t="shared" si="12"/>
        <v>66772.439999999944</v>
      </c>
      <c r="C103" s="21">
        <f>IF(A103="",0,IF(B103&lt;=0,0,IF(A103=subjectMortgageEndDate,B103+E103,MIN(subjectPayment,B103+E103))))</f>
        <v>625.80999999999995</v>
      </c>
      <c r="D103" s="21">
        <f t="shared" si="13"/>
        <v>417.15</v>
      </c>
      <c r="E103" s="21">
        <f>IF(OR(A103="",B103&lt;=0),0,ROUND(B103*(subjectInterestRate/12),2))</f>
        <v>208.66</v>
      </c>
      <c r="F103" s="21">
        <f t="shared" si="18"/>
        <v>134.16999999999999</v>
      </c>
      <c r="G103" s="21">
        <f t="shared" si="18"/>
        <v>188.55</v>
      </c>
      <c r="H103" s="21">
        <f t="shared" si="9"/>
        <v>948.53</v>
      </c>
      <c r="I103" s="332">
        <f t="shared" si="16"/>
        <v>31176.549999999992</v>
      </c>
      <c r="J103" s="332">
        <f t="shared" si="17"/>
        <v>21695.329999999998</v>
      </c>
      <c r="K103" s="332">
        <f t="shared" si="14"/>
        <v>66355.28999999995</v>
      </c>
      <c r="L103" s="395">
        <f t="shared" si="11"/>
        <v>6</v>
      </c>
      <c r="M103" s="395">
        <f t="shared" si="15"/>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32">
        <f>IF(INDEX(tblContractForDeed[End Bal],ROW()-ROW(tblBuyerOutputs[#Headers]))&lt;=0,0,($O$6+IF(ROW()=ROW(tblBuyerOutputs[#Headers])+1,0,INDEX(tblBuyerOutputs[Cumul Appr],ROW()-ROW(tblBuyerOutputs[#Headers])-1)))*$O$2/12)</f>
        <v>442.81559011795616</v>
      </c>
      <c r="AE103" s="332">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613">
        <f>IF(OR(A103="",A103&gt;=subjectMortgageEndDate),"",EDATE(A103,1))</f>
        <v>48427</v>
      </c>
      <c r="B104" s="276">
        <f t="shared" si="12"/>
        <v>66355.28999999995</v>
      </c>
      <c r="C104" s="14">
        <f>IF(A104="",0,IF(B104&lt;=0,0,IF(A104=subjectMortgageEndDate,B104+E104,MIN(subjectPayment,B104+E104))))</f>
        <v>625.80999999999995</v>
      </c>
      <c r="D104" s="14">
        <f t="shared" si="13"/>
        <v>418.44999999999993</v>
      </c>
      <c r="E104" s="14">
        <f>IF(OR(A104="",B104&lt;=0),0,ROUND(B104*(subjectInterestRate/12),2))</f>
        <v>207.36</v>
      </c>
      <c r="F104" s="14">
        <f t="shared" si="18"/>
        <v>134.16999999999999</v>
      </c>
      <c r="G104" s="14">
        <f t="shared" si="18"/>
        <v>188.55</v>
      </c>
      <c r="H104" s="14">
        <f t="shared" si="9"/>
        <v>948.53</v>
      </c>
      <c r="I104" s="276">
        <f t="shared" si="16"/>
        <v>31594.999999999993</v>
      </c>
      <c r="J104" s="276">
        <f t="shared" si="17"/>
        <v>21902.69</v>
      </c>
      <c r="K104" s="276">
        <f t="shared" si="14"/>
        <v>65936.839999999953</v>
      </c>
      <c r="L104" s="394">
        <f t="shared" si="11"/>
        <v>7</v>
      </c>
      <c r="M104" s="394">
        <f t="shared" si="15"/>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613">
        <f>IF(OR(A104="",A104&gt;=subjectMortgageEndDate),"",EDATE(A104,1))</f>
        <v>48458</v>
      </c>
      <c r="B105" s="276">
        <f t="shared" si="12"/>
        <v>65936.839999999953</v>
      </c>
      <c r="C105" s="14">
        <f>IF(A105="",0,IF(B105&lt;=0,0,IF(A105=subjectMortgageEndDate,B105+E105,MIN(subjectPayment,B105+E105))))</f>
        <v>625.80999999999995</v>
      </c>
      <c r="D105" s="14">
        <f t="shared" si="13"/>
        <v>419.75999999999993</v>
      </c>
      <c r="E105" s="14">
        <f>IF(OR(A105="",B105&lt;=0),0,ROUND(B105*(subjectInterestRate/12),2))</f>
        <v>206.05</v>
      </c>
      <c r="F105" s="14">
        <f t="shared" si="18"/>
        <v>134.16999999999999</v>
      </c>
      <c r="G105" s="14">
        <f t="shared" si="18"/>
        <v>188.55</v>
      </c>
      <c r="H105" s="14">
        <f t="shared" si="9"/>
        <v>948.53</v>
      </c>
      <c r="I105" s="276">
        <f t="shared" si="16"/>
        <v>32014.759999999991</v>
      </c>
      <c r="J105" s="276">
        <f t="shared" si="17"/>
        <v>22108.739999999998</v>
      </c>
      <c r="K105" s="276">
        <f t="shared" si="14"/>
        <v>65517.079999999951</v>
      </c>
      <c r="L105" s="394">
        <f t="shared" si="11"/>
        <v>7</v>
      </c>
      <c r="M105" s="394">
        <f t="shared" si="15"/>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613">
        <f>IF(OR(A105="",A105&gt;=subjectMortgageEndDate),"",EDATE(A105,1))</f>
        <v>48488</v>
      </c>
      <c r="B106" s="276">
        <f t="shared" si="12"/>
        <v>65517.079999999951</v>
      </c>
      <c r="C106" s="14">
        <f>IF(A106="",0,IF(B106&lt;=0,0,IF(A106=subjectMortgageEndDate,B106+E106,MIN(subjectPayment,B106+E106))))</f>
        <v>625.80999999999995</v>
      </c>
      <c r="D106" s="14">
        <f t="shared" si="13"/>
        <v>421.06999999999994</v>
      </c>
      <c r="E106" s="14">
        <f>IF(OR(A106="",B106&lt;=0),0,ROUND(B106*(subjectInterestRate/12),2))</f>
        <v>204.74</v>
      </c>
      <c r="F106" s="14">
        <f t="shared" si="18"/>
        <v>134.16999999999999</v>
      </c>
      <c r="G106" s="14">
        <f t="shared" si="18"/>
        <v>188.55</v>
      </c>
      <c r="H106" s="14">
        <f t="shared" si="9"/>
        <v>948.53</v>
      </c>
      <c r="I106" s="276">
        <f t="shared" si="16"/>
        <v>32435.829999999991</v>
      </c>
      <c r="J106" s="276">
        <f t="shared" si="17"/>
        <v>22313.48</v>
      </c>
      <c r="K106" s="276">
        <f t="shared" si="14"/>
        <v>65096.009999999951</v>
      </c>
      <c r="L106" s="394">
        <f t="shared" si="11"/>
        <v>7</v>
      </c>
      <c r="M106" s="394">
        <f t="shared" si="15"/>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613">
        <f>IF(OR(A106="",A106&gt;=subjectMortgageEndDate),"",EDATE(A106,1))</f>
        <v>48519</v>
      </c>
      <c r="B107" s="276">
        <f t="shared" si="12"/>
        <v>65096.009999999951</v>
      </c>
      <c r="C107" s="14">
        <f>IF(A107="",0,IF(B107&lt;=0,0,IF(A107=subjectMortgageEndDate,B107+E107,MIN(subjectPayment,B107+E107))))</f>
        <v>625.80999999999995</v>
      </c>
      <c r="D107" s="14">
        <f t="shared" si="13"/>
        <v>422.37999999999994</v>
      </c>
      <c r="E107" s="14">
        <f>IF(OR(A107="",B107&lt;=0),0,ROUND(B107*(subjectInterestRate/12),2))</f>
        <v>203.43</v>
      </c>
      <c r="F107" s="14">
        <f t="shared" si="18"/>
        <v>134.16999999999999</v>
      </c>
      <c r="G107" s="14">
        <f t="shared" si="18"/>
        <v>188.55</v>
      </c>
      <c r="H107" s="14">
        <f t="shared" si="9"/>
        <v>948.53</v>
      </c>
      <c r="I107" s="276">
        <f t="shared" si="16"/>
        <v>32858.209999999992</v>
      </c>
      <c r="J107" s="276">
        <f t="shared" si="17"/>
        <v>22516.91</v>
      </c>
      <c r="K107" s="276">
        <f t="shared" si="14"/>
        <v>64673.629999999954</v>
      </c>
      <c r="L107" s="394">
        <f t="shared" si="11"/>
        <v>7</v>
      </c>
      <c r="M107" s="394">
        <f t="shared" si="15"/>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613">
        <f>IF(OR(A107="",A107&gt;=subjectMortgageEndDate),"",EDATE(A107,1))</f>
        <v>48549</v>
      </c>
      <c r="B108" s="276">
        <f t="shared" si="12"/>
        <v>64673.629999999954</v>
      </c>
      <c r="C108" s="14">
        <f>IF(A108="",0,IF(B108&lt;=0,0,IF(A108=subjectMortgageEndDate,B108+E108,MIN(subjectPayment,B108+E108))))</f>
        <v>625.80999999999995</v>
      </c>
      <c r="D108" s="14">
        <f t="shared" si="13"/>
        <v>423.69999999999993</v>
      </c>
      <c r="E108" s="14">
        <f>IF(OR(A108="",B108&lt;=0),0,ROUND(B108*(subjectInterestRate/12),2))</f>
        <v>202.11</v>
      </c>
      <c r="F108" s="14">
        <f t="shared" si="18"/>
        <v>134.16999999999999</v>
      </c>
      <c r="G108" s="14">
        <f t="shared" si="18"/>
        <v>188.55</v>
      </c>
      <c r="H108" s="14">
        <f t="shared" si="9"/>
        <v>948.53</v>
      </c>
      <c r="I108" s="276">
        <f t="shared" si="16"/>
        <v>33281.909999999989</v>
      </c>
      <c r="J108" s="276">
        <f t="shared" si="17"/>
        <v>22719.02</v>
      </c>
      <c r="K108" s="276">
        <f t="shared" si="14"/>
        <v>64249.929999999957</v>
      </c>
      <c r="L108" s="394">
        <f t="shared" si="11"/>
        <v>7</v>
      </c>
      <c r="M108" s="394">
        <f t="shared" si="15"/>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613">
        <f>IF(OR(A108="",A108&gt;=subjectMortgageEndDate),"",EDATE(A108,1))</f>
        <v>48580</v>
      </c>
      <c r="B109" s="276">
        <f t="shared" si="12"/>
        <v>64249.929999999957</v>
      </c>
      <c r="C109" s="14">
        <f>IF(A109="",0,IF(B109&lt;=0,0,IF(A109=subjectMortgageEndDate,B109+E109,MIN(subjectPayment,B109+E109))))</f>
        <v>625.80999999999995</v>
      </c>
      <c r="D109" s="14">
        <f t="shared" si="13"/>
        <v>425.03</v>
      </c>
      <c r="E109" s="14">
        <f>IF(OR(A109="",B109&lt;=0),0,ROUND(B109*(subjectInterestRate/12),2))</f>
        <v>200.78</v>
      </c>
      <c r="F109" s="14">
        <f t="shared" si="18"/>
        <v>134.16999999999999</v>
      </c>
      <c r="G109" s="14">
        <f t="shared" si="18"/>
        <v>188.55</v>
      </c>
      <c r="H109" s="14">
        <f t="shared" si="9"/>
        <v>948.53</v>
      </c>
      <c r="I109" s="276">
        <f t="shared" si="16"/>
        <v>33706.939999999988</v>
      </c>
      <c r="J109" s="276">
        <f t="shared" si="17"/>
        <v>22919.8</v>
      </c>
      <c r="K109" s="276">
        <f t="shared" si="14"/>
        <v>63824.899999999958</v>
      </c>
      <c r="L109" s="394">
        <f t="shared" si="11"/>
        <v>7</v>
      </c>
      <c r="M109" s="394">
        <f t="shared" si="15"/>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613">
        <f>IF(OR(A109="",A109&gt;=subjectMortgageEndDate),"",EDATE(A109,1))</f>
        <v>48611</v>
      </c>
      <c r="B110" s="276">
        <f t="shared" si="12"/>
        <v>63824.899999999958</v>
      </c>
      <c r="C110" s="14">
        <f>IF(A110="",0,IF(B110&lt;=0,0,IF(A110=subjectMortgageEndDate,B110+E110,MIN(subjectPayment,B110+E110))))</f>
        <v>625.80999999999995</v>
      </c>
      <c r="D110" s="14">
        <f t="shared" si="13"/>
        <v>426.35999999999996</v>
      </c>
      <c r="E110" s="14">
        <f>IF(OR(A110="",B110&lt;=0),0,ROUND(B110*(subjectInterestRate/12),2))</f>
        <v>199.45</v>
      </c>
      <c r="F110" s="14">
        <f t="shared" si="18"/>
        <v>134.16999999999999</v>
      </c>
      <c r="G110" s="14">
        <f t="shared" si="18"/>
        <v>188.55</v>
      </c>
      <c r="H110" s="14">
        <f t="shared" si="9"/>
        <v>948.53</v>
      </c>
      <c r="I110" s="276">
        <f t="shared" si="16"/>
        <v>34133.299999999988</v>
      </c>
      <c r="J110" s="276">
        <f t="shared" si="17"/>
        <v>23119.25</v>
      </c>
      <c r="K110" s="276">
        <f t="shared" si="14"/>
        <v>63398.539999999957</v>
      </c>
      <c r="L110" s="394">
        <f t="shared" si="11"/>
        <v>7</v>
      </c>
      <c r="M110" s="394">
        <f t="shared" si="15"/>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613">
        <f>IF(OR(A110="",A110&gt;=subjectMortgageEndDate),"",EDATE(A110,1))</f>
        <v>48639</v>
      </c>
      <c r="B111" s="276">
        <f t="shared" si="12"/>
        <v>63398.539999999957</v>
      </c>
      <c r="C111" s="14">
        <f>IF(A111="",0,IF(B111&lt;=0,0,IF(A111=subjectMortgageEndDate,B111+E111,MIN(subjectPayment,B111+E111))))</f>
        <v>625.80999999999995</v>
      </c>
      <c r="D111" s="14">
        <f t="shared" si="13"/>
        <v>427.68999999999994</v>
      </c>
      <c r="E111" s="14">
        <f>IF(OR(A111="",B111&lt;=0),0,ROUND(B111*(subjectInterestRate/12),2))</f>
        <v>198.12</v>
      </c>
      <c r="F111" s="14">
        <f t="shared" ref="F111:G126" si="19">+F110</f>
        <v>134.16999999999999</v>
      </c>
      <c r="G111" s="14">
        <f t="shared" si="19"/>
        <v>188.55</v>
      </c>
      <c r="H111" s="14">
        <f t="shared" si="9"/>
        <v>948.53</v>
      </c>
      <c r="I111" s="276">
        <f t="shared" si="16"/>
        <v>34560.989999999991</v>
      </c>
      <c r="J111" s="276">
        <f t="shared" si="17"/>
        <v>23317.37</v>
      </c>
      <c r="K111" s="276">
        <f t="shared" si="14"/>
        <v>62970.849999999955</v>
      </c>
      <c r="L111" s="394">
        <f t="shared" si="11"/>
        <v>7</v>
      </c>
      <c r="M111" s="394">
        <f t="shared" si="15"/>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613">
        <f>IF(OR(A111="",A111&gt;=subjectMortgageEndDate),"",EDATE(A111,1))</f>
        <v>48670</v>
      </c>
      <c r="B112" s="276">
        <f t="shared" si="12"/>
        <v>62970.849999999955</v>
      </c>
      <c r="C112" s="14">
        <f>IF(A112="",0,IF(B112&lt;=0,0,IF(A112=subjectMortgageEndDate,B112+E112,MIN(subjectPayment,B112+E112))))</f>
        <v>625.80999999999995</v>
      </c>
      <c r="D112" s="14">
        <f t="shared" si="13"/>
        <v>429.03</v>
      </c>
      <c r="E112" s="14">
        <f>IF(OR(A112="",B112&lt;=0),0,ROUND(B112*(subjectInterestRate/12),2))</f>
        <v>196.78</v>
      </c>
      <c r="F112" s="14">
        <f t="shared" si="19"/>
        <v>134.16999999999999</v>
      </c>
      <c r="G112" s="14">
        <f t="shared" si="19"/>
        <v>188.55</v>
      </c>
      <c r="H112" s="14">
        <f t="shared" si="9"/>
        <v>948.53</v>
      </c>
      <c r="I112" s="276">
        <f t="shared" si="16"/>
        <v>34990.01999999999</v>
      </c>
      <c r="J112" s="276">
        <f t="shared" si="17"/>
        <v>23514.149999999998</v>
      </c>
      <c r="K112" s="276">
        <f t="shared" si="14"/>
        <v>62541.819999999956</v>
      </c>
      <c r="L112" s="394">
        <f t="shared" si="11"/>
        <v>7</v>
      </c>
      <c r="M112" s="394">
        <f t="shared" si="15"/>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613">
        <f>IF(OR(A112="",A112&gt;=subjectMortgageEndDate),"",EDATE(A112,1))</f>
        <v>48700</v>
      </c>
      <c r="B113" s="276">
        <f t="shared" si="12"/>
        <v>62541.819999999956</v>
      </c>
      <c r="C113" s="14">
        <f>IF(A113="",0,IF(B113&lt;=0,0,IF(A113=subjectMortgageEndDate,B113+E113,MIN(subjectPayment,B113+E113))))</f>
        <v>625.80999999999995</v>
      </c>
      <c r="D113" s="14">
        <f t="shared" si="13"/>
        <v>430.36999999999995</v>
      </c>
      <c r="E113" s="14">
        <f>IF(OR(A113="",B113&lt;=0),0,ROUND(B113*(subjectInterestRate/12),2))</f>
        <v>195.44</v>
      </c>
      <c r="F113" s="14">
        <f t="shared" si="19"/>
        <v>134.16999999999999</v>
      </c>
      <c r="G113" s="14">
        <f t="shared" si="19"/>
        <v>188.55</v>
      </c>
      <c r="H113" s="14">
        <f t="shared" si="9"/>
        <v>948.53</v>
      </c>
      <c r="I113" s="276">
        <f t="shared" si="16"/>
        <v>35420.389999999992</v>
      </c>
      <c r="J113" s="276">
        <f t="shared" si="17"/>
        <v>23709.589999999997</v>
      </c>
      <c r="K113" s="276">
        <f t="shared" si="14"/>
        <v>62111.449999999953</v>
      </c>
      <c r="L113" s="394">
        <f>IF(MOD(M113,12)=0,M113/12,L112)</f>
        <v>7</v>
      </c>
      <c r="M113" s="394">
        <f t="shared" si="15"/>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613">
        <f>IF(OR(A113="",A113&gt;=subjectMortgageEndDate),"",EDATE(A113,1))</f>
        <v>48731</v>
      </c>
      <c r="B114" s="276">
        <f t="shared" si="12"/>
        <v>62111.449999999953</v>
      </c>
      <c r="C114" s="14">
        <f>IF(A114="",0,IF(B114&lt;=0,0,IF(A114=subjectMortgageEndDate,B114+E114,MIN(subjectPayment,B114+E114))))</f>
        <v>625.80999999999995</v>
      </c>
      <c r="D114" s="14">
        <f t="shared" si="13"/>
        <v>431.70999999999992</v>
      </c>
      <c r="E114" s="14">
        <f>IF(OR(A114="",B114&lt;=0),0,ROUND(B114*(subjectInterestRate/12),2))</f>
        <v>194.1</v>
      </c>
      <c r="F114" s="14">
        <f t="shared" si="19"/>
        <v>134.16999999999999</v>
      </c>
      <c r="G114" s="14">
        <f t="shared" si="19"/>
        <v>188.55</v>
      </c>
      <c r="H114" s="14">
        <f t="shared" si="9"/>
        <v>948.53</v>
      </c>
      <c r="I114" s="276">
        <f t="shared" si="16"/>
        <v>35852.099999999991</v>
      </c>
      <c r="J114" s="276">
        <f t="shared" si="17"/>
        <v>23903.689999999995</v>
      </c>
      <c r="K114" s="276">
        <f t="shared" si="14"/>
        <v>61679.739999999954</v>
      </c>
      <c r="L114" s="394">
        <f>IF(MOD(M114,12)=0,M114/12,L113)</f>
        <v>7</v>
      </c>
      <c r="M114" s="394">
        <f t="shared" si="15"/>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614">
        <f>IF(OR(A114="",A114&gt;=subjectMortgageEndDate),"",EDATE(A114,1))</f>
        <v>48761</v>
      </c>
      <c r="B115" s="332">
        <f t="shared" si="12"/>
        <v>61679.739999999954</v>
      </c>
      <c r="C115" s="21">
        <f>IF(A115="",0,IF(B115&lt;=0,0,IF(A115=subjectMortgageEndDate,B115+E115,MIN(subjectPayment,B115+E115))))</f>
        <v>625.80999999999995</v>
      </c>
      <c r="D115" s="21">
        <f t="shared" si="13"/>
        <v>433.05999999999995</v>
      </c>
      <c r="E115" s="21">
        <f>IF(OR(A115="",B115&lt;=0),0,ROUND(B115*(subjectInterestRate/12),2))</f>
        <v>192.75</v>
      </c>
      <c r="F115" s="21">
        <f t="shared" si="19"/>
        <v>134.16999999999999</v>
      </c>
      <c r="G115" s="21">
        <f t="shared" si="19"/>
        <v>188.55</v>
      </c>
      <c r="H115" s="21">
        <f t="shared" si="9"/>
        <v>948.53</v>
      </c>
      <c r="I115" s="332">
        <f t="shared" si="16"/>
        <v>36285.159999999989</v>
      </c>
      <c r="J115" s="332">
        <f t="shared" si="17"/>
        <v>24096.439999999995</v>
      </c>
      <c r="K115" s="332">
        <f t="shared" si="14"/>
        <v>61246.679999999957</v>
      </c>
      <c r="L115" s="395">
        <f>IF(MOD(M115,12)=0,M115/12,L114)</f>
        <v>7</v>
      </c>
      <c r="M115" s="395">
        <f t="shared" si="15"/>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32">
        <f>IF(INDEX(tblContractForDeed[End Bal],ROW()-ROW(tblBuyerOutputs[#Headers]))&lt;=0,0,($O$6+IF(ROW()=ROW(tblBuyerOutputs[#Headers])+1,0,INDEX(tblBuyerOutputs[Cumul Appr],ROW()-ROW(tblBuyerOutputs[#Headers])-1)))*$O$2/12)</f>
        <v>465.47087612001042</v>
      </c>
      <c r="AE115" s="332">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613">
        <f>IF(OR(A115="",A115&gt;=subjectMortgageEndDate),"",EDATE(A115,1))</f>
        <v>48792</v>
      </c>
      <c r="B116" s="276">
        <f t="shared" si="12"/>
        <v>61246.679999999957</v>
      </c>
      <c r="C116" s="14">
        <f>IF(A116="",0,IF(B116&lt;=0,0,IF(A116=subjectMortgageEndDate,B116+E116,MIN(subjectPayment,B116+E116))))</f>
        <v>625.80999999999995</v>
      </c>
      <c r="D116" s="14">
        <f t="shared" si="13"/>
        <v>434.40999999999997</v>
      </c>
      <c r="E116" s="14">
        <f>IF(OR(A116="",B116&lt;=0),0,ROUND(B116*(subjectInterestRate/12),2))</f>
        <v>191.4</v>
      </c>
      <c r="F116" s="14">
        <f t="shared" si="19"/>
        <v>134.16999999999999</v>
      </c>
      <c r="G116" s="14">
        <f t="shared" si="19"/>
        <v>188.55</v>
      </c>
      <c r="H116" s="14">
        <f t="shared" si="9"/>
        <v>948.53</v>
      </c>
      <c r="I116" s="276">
        <f t="shared" si="16"/>
        <v>36719.569999999992</v>
      </c>
      <c r="J116" s="276">
        <f t="shared" si="17"/>
        <v>24287.839999999997</v>
      </c>
      <c r="K116" s="276">
        <f t="shared" si="14"/>
        <v>60812.269999999953</v>
      </c>
      <c r="L116" s="394">
        <f t="shared" ref="L116:L179" si="20">IF(MOD(M116,12)=0,M116/12,L115)</f>
        <v>8</v>
      </c>
      <c r="M116" s="394">
        <f t="shared" si="15"/>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613">
        <f>IF(OR(A116="",A116&gt;=subjectMortgageEndDate),"",EDATE(A116,1))</f>
        <v>48823</v>
      </c>
      <c r="B117" s="276">
        <f t="shared" si="12"/>
        <v>60812.269999999953</v>
      </c>
      <c r="C117" s="14">
        <f>IF(A117="",0,IF(B117&lt;=0,0,IF(A117=subjectMortgageEndDate,B117+E117,MIN(subjectPayment,B117+E117))))</f>
        <v>625.80999999999995</v>
      </c>
      <c r="D117" s="14">
        <f t="shared" si="13"/>
        <v>435.77</v>
      </c>
      <c r="E117" s="14">
        <f>IF(OR(A117="",B117&lt;=0),0,ROUND(B117*(subjectInterestRate/12),2))</f>
        <v>190.04</v>
      </c>
      <c r="F117" s="14">
        <f t="shared" si="19"/>
        <v>134.16999999999999</v>
      </c>
      <c r="G117" s="14">
        <f t="shared" si="19"/>
        <v>188.55</v>
      </c>
      <c r="H117" s="14">
        <f t="shared" si="9"/>
        <v>948.53</v>
      </c>
      <c r="I117" s="276">
        <f t="shared" si="16"/>
        <v>37155.339999999989</v>
      </c>
      <c r="J117" s="276">
        <f t="shared" si="17"/>
        <v>24477.879999999997</v>
      </c>
      <c r="K117" s="276">
        <f t="shared" si="14"/>
        <v>60376.499999999956</v>
      </c>
      <c r="L117" s="394">
        <f t="shared" si="20"/>
        <v>8</v>
      </c>
      <c r="M117" s="394">
        <f t="shared" si="15"/>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613">
        <f>IF(OR(A117="",A117&gt;=subjectMortgageEndDate),"",EDATE(A117,1))</f>
        <v>48853</v>
      </c>
      <c r="B118" s="276">
        <f t="shared" si="12"/>
        <v>60376.499999999956</v>
      </c>
      <c r="C118" s="14">
        <f>IF(A118="",0,IF(B118&lt;=0,0,IF(A118=subjectMortgageEndDate,B118+E118,MIN(subjectPayment,B118+E118))))</f>
        <v>625.80999999999995</v>
      </c>
      <c r="D118" s="14">
        <f t="shared" si="13"/>
        <v>437.12999999999994</v>
      </c>
      <c r="E118" s="14">
        <f>IF(OR(A118="",B118&lt;=0),0,ROUND(B118*(subjectInterestRate/12),2))</f>
        <v>188.68</v>
      </c>
      <c r="F118" s="14">
        <f t="shared" si="19"/>
        <v>134.16999999999999</v>
      </c>
      <c r="G118" s="14">
        <f t="shared" si="19"/>
        <v>188.55</v>
      </c>
      <c r="H118" s="14">
        <f t="shared" si="9"/>
        <v>948.53</v>
      </c>
      <c r="I118" s="276">
        <f t="shared" si="16"/>
        <v>37592.469999999987</v>
      </c>
      <c r="J118" s="276">
        <f t="shared" si="17"/>
        <v>24666.559999999998</v>
      </c>
      <c r="K118" s="276">
        <f t="shared" si="14"/>
        <v>59939.369999999959</v>
      </c>
      <c r="L118" s="394">
        <f t="shared" si="20"/>
        <v>8</v>
      </c>
      <c r="M118" s="394">
        <f t="shared" si="15"/>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613">
        <f>IF(OR(A118="",A118&gt;=subjectMortgageEndDate),"",EDATE(A118,1))</f>
        <v>48884</v>
      </c>
      <c r="B119" s="276">
        <f t="shared" si="12"/>
        <v>59939.369999999959</v>
      </c>
      <c r="C119" s="14">
        <f>IF(A119="",0,IF(B119&lt;=0,0,IF(A119=subjectMortgageEndDate,B119+E119,MIN(subjectPayment,B119+E119))))</f>
        <v>625.80999999999995</v>
      </c>
      <c r="D119" s="14">
        <f t="shared" si="13"/>
        <v>438.49999999999994</v>
      </c>
      <c r="E119" s="14">
        <f>IF(OR(A119="",B119&lt;=0),0,ROUND(B119*(subjectInterestRate/12),2))</f>
        <v>187.31</v>
      </c>
      <c r="F119" s="14">
        <f t="shared" si="19"/>
        <v>134.16999999999999</v>
      </c>
      <c r="G119" s="14">
        <f t="shared" si="19"/>
        <v>188.55</v>
      </c>
      <c r="H119" s="14">
        <f t="shared" si="9"/>
        <v>948.53</v>
      </c>
      <c r="I119" s="276">
        <f t="shared" si="16"/>
        <v>38030.969999999987</v>
      </c>
      <c r="J119" s="276">
        <f t="shared" si="17"/>
        <v>24853.87</v>
      </c>
      <c r="K119" s="276">
        <f t="shared" si="14"/>
        <v>59500.869999999959</v>
      </c>
      <c r="L119" s="394">
        <f t="shared" si="20"/>
        <v>8</v>
      </c>
      <c r="M119" s="394">
        <f t="shared" si="15"/>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613">
        <f>IF(OR(A119="",A119&gt;=subjectMortgageEndDate),"",EDATE(A119,1))</f>
        <v>48914</v>
      </c>
      <c r="B120" s="276">
        <f t="shared" si="12"/>
        <v>59500.869999999959</v>
      </c>
      <c r="C120" s="14">
        <f>IF(A120="",0,IF(B120&lt;=0,0,IF(A120=subjectMortgageEndDate,B120+E120,MIN(subjectPayment,B120+E120))))</f>
        <v>625.80999999999995</v>
      </c>
      <c r="D120" s="14">
        <f t="shared" si="13"/>
        <v>439.86999999999995</v>
      </c>
      <c r="E120" s="14">
        <f>IF(OR(A120="",B120&lt;=0),0,ROUND(B120*(subjectInterestRate/12),2))</f>
        <v>185.94</v>
      </c>
      <c r="F120" s="14">
        <f t="shared" si="19"/>
        <v>134.16999999999999</v>
      </c>
      <c r="G120" s="14">
        <f t="shared" si="19"/>
        <v>188.55</v>
      </c>
      <c r="H120" s="14">
        <f t="shared" si="9"/>
        <v>948.53</v>
      </c>
      <c r="I120" s="276">
        <f t="shared" si="16"/>
        <v>38470.839999999989</v>
      </c>
      <c r="J120" s="276">
        <f t="shared" si="17"/>
        <v>25039.809999999998</v>
      </c>
      <c r="K120" s="276">
        <f t="shared" si="14"/>
        <v>59060.999999999956</v>
      </c>
      <c r="L120" s="394">
        <f t="shared" si="20"/>
        <v>8</v>
      </c>
      <c r="M120" s="394">
        <f t="shared" si="15"/>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613">
        <f>IF(OR(A120="",A120&gt;=subjectMortgageEndDate),"",EDATE(A120,1))</f>
        <v>48945</v>
      </c>
      <c r="B121" s="276">
        <f t="shared" si="12"/>
        <v>59060.999999999956</v>
      </c>
      <c r="C121" s="14">
        <f>IF(A121="",0,IF(B121&lt;=0,0,IF(A121=subjectMortgageEndDate,B121+E121,MIN(subjectPayment,B121+E121))))</f>
        <v>625.80999999999995</v>
      </c>
      <c r="D121" s="14">
        <f t="shared" si="13"/>
        <v>441.23999999999995</v>
      </c>
      <c r="E121" s="14">
        <f>IF(OR(A121="",B121&lt;=0),0,ROUND(B121*(subjectInterestRate/12),2))</f>
        <v>184.57</v>
      </c>
      <c r="F121" s="14">
        <f t="shared" si="19"/>
        <v>134.16999999999999</v>
      </c>
      <c r="G121" s="14">
        <f t="shared" si="19"/>
        <v>188.55</v>
      </c>
      <c r="H121" s="14">
        <f t="shared" si="9"/>
        <v>948.53</v>
      </c>
      <c r="I121" s="276">
        <f t="shared" si="16"/>
        <v>38912.079999999987</v>
      </c>
      <c r="J121" s="276">
        <f t="shared" si="17"/>
        <v>25224.379999999997</v>
      </c>
      <c r="K121" s="276">
        <f t="shared" si="14"/>
        <v>58619.759999999958</v>
      </c>
      <c r="L121" s="394">
        <f t="shared" si="20"/>
        <v>8</v>
      </c>
      <c r="M121" s="394">
        <f t="shared" si="15"/>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613">
        <f>IF(OR(A121="",A121&gt;=subjectMortgageEndDate),"",EDATE(A121,1))</f>
        <v>48976</v>
      </c>
      <c r="B122" s="276">
        <f t="shared" si="12"/>
        <v>58619.759999999958</v>
      </c>
      <c r="C122" s="14">
        <f>IF(A122="",0,IF(B122&lt;=0,0,IF(A122=subjectMortgageEndDate,B122+E122,MIN(subjectPayment,B122+E122))))</f>
        <v>625.80999999999995</v>
      </c>
      <c r="D122" s="14">
        <f t="shared" si="13"/>
        <v>442.61999999999995</v>
      </c>
      <c r="E122" s="14">
        <f>IF(OR(A122="",B122&lt;=0),0,ROUND(B122*(subjectInterestRate/12),2))</f>
        <v>183.19</v>
      </c>
      <c r="F122" s="14">
        <f t="shared" si="19"/>
        <v>134.16999999999999</v>
      </c>
      <c r="G122" s="14">
        <f t="shared" si="19"/>
        <v>188.55</v>
      </c>
      <c r="H122" s="14">
        <f t="shared" si="9"/>
        <v>948.53</v>
      </c>
      <c r="I122" s="276">
        <f t="shared" si="16"/>
        <v>39354.69999999999</v>
      </c>
      <c r="J122" s="276">
        <f t="shared" si="17"/>
        <v>25407.569999999996</v>
      </c>
      <c r="K122" s="276">
        <f t="shared" si="14"/>
        <v>58177.139999999956</v>
      </c>
      <c r="L122" s="394">
        <f t="shared" si="20"/>
        <v>8</v>
      </c>
      <c r="M122" s="394">
        <f t="shared" si="15"/>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613">
        <f>IF(OR(A122="",A122&gt;=subjectMortgageEndDate),"",EDATE(A122,1))</f>
        <v>49004</v>
      </c>
      <c r="B123" s="276">
        <f t="shared" si="12"/>
        <v>58177.139999999956</v>
      </c>
      <c r="C123" s="14">
        <f>IF(A123="",0,IF(B123&lt;=0,0,IF(A123=subjectMortgageEndDate,B123+E123,MIN(subjectPayment,B123+E123))))</f>
        <v>625.80999999999995</v>
      </c>
      <c r="D123" s="14">
        <f t="shared" si="13"/>
        <v>444.00999999999993</v>
      </c>
      <c r="E123" s="14">
        <f>IF(OR(A123="",B123&lt;=0),0,ROUND(B123*(subjectInterestRate/12),2))</f>
        <v>181.8</v>
      </c>
      <c r="F123" s="14">
        <f t="shared" si="19"/>
        <v>134.16999999999999</v>
      </c>
      <c r="G123" s="14">
        <f t="shared" si="19"/>
        <v>188.55</v>
      </c>
      <c r="H123" s="14">
        <f t="shared" si="9"/>
        <v>948.53</v>
      </c>
      <c r="I123" s="276">
        <f t="shared" si="16"/>
        <v>39798.709999999992</v>
      </c>
      <c r="J123" s="276">
        <f t="shared" si="17"/>
        <v>25589.369999999995</v>
      </c>
      <c r="K123" s="276">
        <f t="shared" si="14"/>
        <v>57733.129999999954</v>
      </c>
      <c r="L123" s="394">
        <f t="shared" si="20"/>
        <v>8</v>
      </c>
      <c r="M123" s="394">
        <f t="shared" si="15"/>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613">
        <f>IF(OR(A123="",A123&gt;=subjectMortgageEndDate),"",EDATE(A123,1))</f>
        <v>49035</v>
      </c>
      <c r="B124" s="276">
        <f t="shared" si="12"/>
        <v>57733.129999999954</v>
      </c>
      <c r="C124" s="14">
        <f>IF(A124="",0,IF(B124&lt;=0,0,IF(A124=subjectMortgageEndDate,B124+E124,MIN(subjectPayment,B124+E124))))</f>
        <v>625.80999999999995</v>
      </c>
      <c r="D124" s="14">
        <f t="shared" si="13"/>
        <v>445.39</v>
      </c>
      <c r="E124" s="14">
        <f>IF(OR(A124="",B124&lt;=0),0,ROUND(B124*(subjectInterestRate/12),2))</f>
        <v>180.42</v>
      </c>
      <c r="F124" s="14">
        <f t="shared" si="19"/>
        <v>134.16999999999999</v>
      </c>
      <c r="G124" s="14">
        <f t="shared" si="19"/>
        <v>188.55</v>
      </c>
      <c r="H124" s="14">
        <f t="shared" si="9"/>
        <v>948.53</v>
      </c>
      <c r="I124" s="276">
        <f t="shared" si="16"/>
        <v>40244.099999999991</v>
      </c>
      <c r="J124" s="276">
        <f t="shared" si="17"/>
        <v>25769.789999999994</v>
      </c>
      <c r="K124" s="276">
        <f t="shared" si="14"/>
        <v>57287.739999999954</v>
      </c>
      <c r="L124" s="394">
        <f t="shared" si="20"/>
        <v>8</v>
      </c>
      <c r="M124" s="394">
        <f t="shared" si="15"/>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613">
        <f>IF(OR(A124="",A124&gt;=subjectMortgageEndDate),"",EDATE(A124,1))</f>
        <v>49065</v>
      </c>
      <c r="B125" s="276">
        <f t="shared" si="12"/>
        <v>57287.739999999954</v>
      </c>
      <c r="C125" s="14">
        <f>IF(A125="",0,IF(B125&lt;=0,0,IF(A125=subjectMortgageEndDate,B125+E125,MIN(subjectPayment,B125+E125))))</f>
        <v>625.80999999999995</v>
      </c>
      <c r="D125" s="14">
        <f t="shared" si="13"/>
        <v>446.78999999999996</v>
      </c>
      <c r="E125" s="14">
        <f>IF(OR(A125="",B125&lt;=0),0,ROUND(B125*(subjectInterestRate/12),2))</f>
        <v>179.02</v>
      </c>
      <c r="F125" s="14">
        <f t="shared" si="19"/>
        <v>134.16999999999999</v>
      </c>
      <c r="G125" s="14">
        <f t="shared" si="19"/>
        <v>188.55</v>
      </c>
      <c r="H125" s="14">
        <f t="shared" si="9"/>
        <v>948.53</v>
      </c>
      <c r="I125" s="276">
        <f t="shared" si="16"/>
        <v>40690.889999999992</v>
      </c>
      <c r="J125" s="276">
        <f t="shared" si="17"/>
        <v>25948.809999999994</v>
      </c>
      <c r="K125" s="276">
        <f t="shared" si="14"/>
        <v>56840.949999999953</v>
      </c>
      <c r="L125" s="394">
        <f t="shared" si="20"/>
        <v>8</v>
      </c>
      <c r="M125" s="394">
        <f t="shared" si="15"/>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613">
        <f>IF(OR(A125="",A125&gt;=subjectMortgageEndDate),"",EDATE(A125,1))</f>
        <v>49096</v>
      </c>
      <c r="B126" s="276">
        <f t="shared" si="12"/>
        <v>56840.949999999953</v>
      </c>
      <c r="C126" s="14">
        <f>IF(A126="",0,IF(B126&lt;=0,0,IF(A126=subjectMortgageEndDate,B126+E126,MIN(subjectPayment,B126+E126))))</f>
        <v>625.80999999999995</v>
      </c>
      <c r="D126" s="14">
        <f t="shared" si="13"/>
        <v>448.17999999999995</v>
      </c>
      <c r="E126" s="14">
        <f>IF(OR(A126="",B126&lt;=0),0,ROUND(B126*(subjectInterestRate/12),2))</f>
        <v>177.63</v>
      </c>
      <c r="F126" s="14">
        <f t="shared" si="19"/>
        <v>134.16999999999999</v>
      </c>
      <c r="G126" s="14">
        <f t="shared" si="19"/>
        <v>188.55</v>
      </c>
      <c r="H126" s="14">
        <f t="shared" si="9"/>
        <v>948.53</v>
      </c>
      <c r="I126" s="276">
        <f t="shared" si="16"/>
        <v>41139.069999999992</v>
      </c>
      <c r="J126" s="276">
        <f t="shared" si="17"/>
        <v>26126.439999999995</v>
      </c>
      <c r="K126" s="276">
        <f t="shared" si="14"/>
        <v>56392.769999999953</v>
      </c>
      <c r="L126" s="394">
        <f t="shared" si="20"/>
        <v>8</v>
      </c>
      <c r="M126" s="394">
        <f t="shared" si="15"/>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614">
        <f>IF(OR(A126="",A126&gt;=subjectMortgageEndDate),"",EDATE(A126,1))</f>
        <v>49126</v>
      </c>
      <c r="B127" s="332">
        <f t="shared" si="12"/>
        <v>56392.769999999953</v>
      </c>
      <c r="C127" s="21">
        <f>IF(A127="",0,IF(B127&lt;=0,0,IF(A127=subjectMortgageEndDate,B127+E127,MIN(subjectPayment,B127+E127))))</f>
        <v>625.80999999999995</v>
      </c>
      <c r="D127" s="21">
        <f t="shared" si="13"/>
        <v>449.57999999999993</v>
      </c>
      <c r="E127" s="21">
        <f>IF(OR(A127="",B127&lt;=0),0,ROUND(B127*(subjectInterestRate/12),2))</f>
        <v>176.23</v>
      </c>
      <c r="F127" s="21">
        <f t="shared" ref="F127:G142" si="21">+F126</f>
        <v>134.16999999999999</v>
      </c>
      <c r="G127" s="21">
        <f t="shared" si="21"/>
        <v>188.55</v>
      </c>
      <c r="H127" s="21">
        <f t="shared" si="9"/>
        <v>948.53</v>
      </c>
      <c r="I127" s="332">
        <f t="shared" si="16"/>
        <v>41588.649999999994</v>
      </c>
      <c r="J127" s="332">
        <f t="shared" si="17"/>
        <v>26302.669999999995</v>
      </c>
      <c r="K127" s="332">
        <f t="shared" si="14"/>
        <v>55943.189999999951</v>
      </c>
      <c r="L127" s="395">
        <f t="shared" si="20"/>
        <v>8</v>
      </c>
      <c r="M127" s="395">
        <f t="shared" si="15"/>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32">
        <f>IF(INDEX(tblContractForDeed[End Bal],ROW()-ROW(tblBuyerOutputs[#Headers]))&lt;=0,0,($O$6+IF(ROW()=ROW(tblBuyerOutputs[#Headers])+1,0,INDEX(tblBuyerOutputs[Cumul Appr],ROW()-ROW(tblBuyerOutputs[#Headers])-1)))*$O$2/12)</f>
        <v>489.28524955098328</v>
      </c>
      <c r="AE127" s="332">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613">
        <f>IF(OR(A127="",A127&gt;=subjectMortgageEndDate),"",EDATE(A127,1))</f>
        <v>49157</v>
      </c>
      <c r="B128" s="276">
        <f t="shared" si="12"/>
        <v>55943.189999999951</v>
      </c>
      <c r="C128" s="14">
        <f>IF(A128="",0,IF(B128&lt;=0,0,IF(A128=subjectMortgageEndDate,B128+E128,MIN(subjectPayment,B128+E128))))</f>
        <v>625.80999999999995</v>
      </c>
      <c r="D128" s="14">
        <f t="shared" si="13"/>
        <v>450.98999999999995</v>
      </c>
      <c r="E128" s="14">
        <f>IF(OR(A128="",B128&lt;=0),0,ROUND(B128*(subjectInterestRate/12),2))</f>
        <v>174.82</v>
      </c>
      <c r="F128" s="14">
        <f t="shared" si="21"/>
        <v>134.16999999999999</v>
      </c>
      <c r="G128" s="14">
        <f t="shared" si="21"/>
        <v>188.55</v>
      </c>
      <c r="H128" s="14">
        <f t="shared" ref="H128:H191" si="22">SUM(D128:G128)</f>
        <v>948.53</v>
      </c>
      <c r="I128" s="276">
        <f t="shared" si="16"/>
        <v>42039.639999999992</v>
      </c>
      <c r="J128" s="276">
        <f t="shared" si="17"/>
        <v>26477.489999999994</v>
      </c>
      <c r="K128" s="276">
        <f t="shared" si="14"/>
        <v>55492.199999999953</v>
      </c>
      <c r="L128" s="394">
        <f t="shared" si="20"/>
        <v>9</v>
      </c>
      <c r="M128" s="394">
        <f t="shared" si="15"/>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613">
        <f>IF(OR(A128="",A128&gt;=subjectMortgageEndDate),"",EDATE(A128,1))</f>
        <v>49188</v>
      </c>
      <c r="B129" s="276">
        <f t="shared" si="12"/>
        <v>55492.199999999953</v>
      </c>
      <c r="C129" s="14">
        <f>IF(A129="",0,IF(B129&lt;=0,0,IF(A129=subjectMortgageEndDate,B129+E129,MIN(subjectPayment,B129+E129))))</f>
        <v>625.80999999999995</v>
      </c>
      <c r="D129" s="14">
        <f t="shared" si="13"/>
        <v>452.4</v>
      </c>
      <c r="E129" s="14">
        <f>IF(OR(A129="",B129&lt;=0),0,ROUND(B129*(subjectInterestRate/12),2))</f>
        <v>173.41</v>
      </c>
      <c r="F129" s="14">
        <f t="shared" si="21"/>
        <v>134.16999999999999</v>
      </c>
      <c r="G129" s="14">
        <f t="shared" si="21"/>
        <v>188.55</v>
      </c>
      <c r="H129" s="14">
        <f t="shared" si="22"/>
        <v>948.53</v>
      </c>
      <c r="I129" s="276">
        <f t="shared" si="16"/>
        <v>42492.039999999994</v>
      </c>
      <c r="J129" s="276">
        <f t="shared" si="17"/>
        <v>26650.899999999994</v>
      </c>
      <c r="K129" s="276">
        <f t="shared" si="14"/>
        <v>55039.799999999952</v>
      </c>
      <c r="L129" s="394">
        <f t="shared" si="20"/>
        <v>9</v>
      </c>
      <c r="M129" s="394">
        <f t="shared" si="15"/>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613">
        <f>IF(OR(A129="",A129&gt;=subjectMortgageEndDate),"",EDATE(A129,1))</f>
        <v>49218</v>
      </c>
      <c r="B130" s="276">
        <f t="shared" si="12"/>
        <v>55039.799999999952</v>
      </c>
      <c r="C130" s="14">
        <f>IF(A130="",0,IF(B130&lt;=0,0,IF(A130=subjectMortgageEndDate,B130+E130,MIN(subjectPayment,B130+E130))))</f>
        <v>625.80999999999995</v>
      </c>
      <c r="D130" s="14">
        <f t="shared" si="13"/>
        <v>453.80999999999995</v>
      </c>
      <c r="E130" s="14">
        <f>IF(OR(A130="",B130&lt;=0),0,ROUND(B130*(subjectInterestRate/12),2))</f>
        <v>172</v>
      </c>
      <c r="F130" s="14">
        <f t="shared" si="21"/>
        <v>134.16999999999999</v>
      </c>
      <c r="G130" s="14">
        <f t="shared" si="21"/>
        <v>188.55</v>
      </c>
      <c r="H130" s="14">
        <f t="shared" si="22"/>
        <v>948.53</v>
      </c>
      <c r="I130" s="276">
        <f t="shared" si="16"/>
        <v>42945.849999999991</v>
      </c>
      <c r="J130" s="276">
        <f t="shared" si="17"/>
        <v>26822.899999999994</v>
      </c>
      <c r="K130" s="276">
        <f t="shared" si="14"/>
        <v>54585.989999999954</v>
      </c>
      <c r="L130" s="394">
        <f t="shared" si="20"/>
        <v>9</v>
      </c>
      <c r="M130" s="394">
        <f t="shared" si="15"/>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613">
        <f>IF(OR(A130="",A130&gt;=subjectMortgageEndDate),"",EDATE(A130,1))</f>
        <v>49249</v>
      </c>
      <c r="B131" s="276">
        <f t="shared" si="12"/>
        <v>54585.989999999954</v>
      </c>
      <c r="C131" s="14">
        <f>IF(A131="",0,IF(B131&lt;=0,0,IF(A131=subjectMortgageEndDate,B131+E131,MIN(subjectPayment,B131+E131))))</f>
        <v>625.80999999999995</v>
      </c>
      <c r="D131" s="14">
        <f t="shared" si="13"/>
        <v>455.2299999999999</v>
      </c>
      <c r="E131" s="14">
        <f>IF(OR(A131="",B131&lt;=0),0,ROUND(B131*(subjectInterestRate/12),2))</f>
        <v>170.58</v>
      </c>
      <c r="F131" s="14">
        <f t="shared" si="21"/>
        <v>134.16999999999999</v>
      </c>
      <c r="G131" s="14">
        <f t="shared" si="21"/>
        <v>188.55</v>
      </c>
      <c r="H131" s="14">
        <f t="shared" si="22"/>
        <v>948.53</v>
      </c>
      <c r="I131" s="276">
        <f t="shared" si="16"/>
        <v>43401.079999999994</v>
      </c>
      <c r="J131" s="276">
        <f t="shared" si="17"/>
        <v>26993.479999999996</v>
      </c>
      <c r="K131" s="276">
        <f t="shared" si="14"/>
        <v>54130.759999999951</v>
      </c>
      <c r="L131" s="394">
        <f t="shared" si="20"/>
        <v>9</v>
      </c>
      <c r="M131" s="394">
        <f t="shared" si="15"/>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613">
        <f>IF(OR(A131="",A131&gt;=subjectMortgageEndDate),"",EDATE(A131,1))</f>
        <v>49279</v>
      </c>
      <c r="B132" s="276">
        <f t="shared" si="12"/>
        <v>54130.759999999951</v>
      </c>
      <c r="C132" s="14">
        <f>IF(A132="",0,IF(B132&lt;=0,0,IF(A132=subjectMortgageEndDate,B132+E132,MIN(subjectPayment,B132+E132))))</f>
        <v>625.80999999999995</v>
      </c>
      <c r="D132" s="14">
        <f t="shared" si="13"/>
        <v>456.65</v>
      </c>
      <c r="E132" s="14">
        <f>IF(OR(A132="",B132&lt;=0),0,ROUND(B132*(subjectInterestRate/12),2))</f>
        <v>169.16</v>
      </c>
      <c r="F132" s="14">
        <f t="shared" si="21"/>
        <v>134.16999999999999</v>
      </c>
      <c r="G132" s="14">
        <f t="shared" si="21"/>
        <v>188.55</v>
      </c>
      <c r="H132" s="14">
        <f t="shared" si="22"/>
        <v>948.53</v>
      </c>
      <c r="I132" s="276">
        <f t="shared" si="16"/>
        <v>43857.729999999996</v>
      </c>
      <c r="J132" s="276">
        <f t="shared" si="17"/>
        <v>27162.639999999996</v>
      </c>
      <c r="K132" s="276">
        <f t="shared" si="14"/>
        <v>53674.10999999995</v>
      </c>
      <c r="L132" s="394">
        <f t="shared" si="20"/>
        <v>9</v>
      </c>
      <c r="M132" s="394">
        <f t="shared" si="15"/>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613">
        <f>IF(OR(A132="",A132&gt;=subjectMortgageEndDate),"",EDATE(A132,1))</f>
        <v>49310</v>
      </c>
      <c r="B133" s="276">
        <f t="shared" si="12"/>
        <v>53674.10999999995</v>
      </c>
      <c r="C133" s="14">
        <f>IF(A133="",0,IF(B133&lt;=0,0,IF(A133=subjectMortgageEndDate,B133+E133,MIN(subjectPayment,B133+E133))))</f>
        <v>625.80999999999995</v>
      </c>
      <c r="D133" s="14">
        <f t="shared" si="13"/>
        <v>458.07999999999993</v>
      </c>
      <c r="E133" s="14">
        <f>IF(OR(A133="",B133&lt;=0),0,ROUND(B133*(subjectInterestRate/12),2))</f>
        <v>167.73</v>
      </c>
      <c r="F133" s="14">
        <f t="shared" si="21"/>
        <v>134.16999999999999</v>
      </c>
      <c r="G133" s="14">
        <f t="shared" si="21"/>
        <v>188.55</v>
      </c>
      <c r="H133" s="14">
        <f t="shared" si="22"/>
        <v>948.53</v>
      </c>
      <c r="I133" s="276">
        <f t="shared" si="16"/>
        <v>44315.81</v>
      </c>
      <c r="J133" s="276">
        <f t="shared" si="17"/>
        <v>27330.369999999995</v>
      </c>
      <c r="K133" s="276">
        <f t="shared" si="14"/>
        <v>53216.029999999948</v>
      </c>
      <c r="L133" s="394">
        <f t="shared" si="20"/>
        <v>9</v>
      </c>
      <c r="M133" s="394">
        <f t="shared" si="15"/>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613">
        <f>IF(OR(A133="",A133&gt;=subjectMortgageEndDate),"",EDATE(A133,1))</f>
        <v>49341</v>
      </c>
      <c r="B134" s="276">
        <f t="shared" si="12"/>
        <v>53216.029999999948</v>
      </c>
      <c r="C134" s="14">
        <f>IF(A134="",0,IF(B134&lt;=0,0,IF(A134=subjectMortgageEndDate,B134+E134,MIN(subjectPayment,B134+E134))))</f>
        <v>625.80999999999995</v>
      </c>
      <c r="D134" s="14">
        <f t="shared" si="13"/>
        <v>459.50999999999993</v>
      </c>
      <c r="E134" s="14">
        <f>IF(OR(A134="",B134&lt;=0),0,ROUND(B134*(subjectInterestRate/12),2))</f>
        <v>166.3</v>
      </c>
      <c r="F134" s="14">
        <f t="shared" si="21"/>
        <v>134.16999999999999</v>
      </c>
      <c r="G134" s="14">
        <f t="shared" si="21"/>
        <v>188.55</v>
      </c>
      <c r="H134" s="14">
        <f t="shared" si="22"/>
        <v>948.53</v>
      </c>
      <c r="I134" s="276">
        <f t="shared" si="16"/>
        <v>44775.32</v>
      </c>
      <c r="J134" s="276">
        <f t="shared" si="17"/>
        <v>27496.669999999995</v>
      </c>
      <c r="K134" s="276">
        <f t="shared" si="14"/>
        <v>52756.519999999946</v>
      </c>
      <c r="L134" s="394">
        <f t="shared" si="20"/>
        <v>9</v>
      </c>
      <c r="M134" s="394">
        <f t="shared" si="15"/>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613">
        <f>IF(OR(A134="",A134&gt;=subjectMortgageEndDate),"",EDATE(A134,1))</f>
        <v>49369</v>
      </c>
      <c r="B135" s="276">
        <f t="shared" si="12"/>
        <v>52756.519999999946</v>
      </c>
      <c r="C135" s="14">
        <f>IF(A135="",0,IF(B135&lt;=0,0,IF(A135=subjectMortgageEndDate,B135+E135,MIN(subjectPayment,B135+E135))))</f>
        <v>625.80999999999995</v>
      </c>
      <c r="D135" s="14">
        <f t="shared" si="13"/>
        <v>460.94999999999993</v>
      </c>
      <c r="E135" s="14">
        <f>IF(OR(A135="",B135&lt;=0),0,ROUND(B135*(subjectInterestRate/12),2))</f>
        <v>164.86</v>
      </c>
      <c r="F135" s="14">
        <f t="shared" si="21"/>
        <v>134.16999999999999</v>
      </c>
      <c r="G135" s="14">
        <f t="shared" si="21"/>
        <v>188.55</v>
      </c>
      <c r="H135" s="14">
        <f t="shared" si="22"/>
        <v>948.53</v>
      </c>
      <c r="I135" s="276">
        <f t="shared" si="16"/>
        <v>45236.27</v>
      </c>
      <c r="J135" s="276">
        <f t="shared" si="17"/>
        <v>27661.529999999995</v>
      </c>
      <c r="K135" s="276">
        <f t="shared" si="14"/>
        <v>52295.569999999949</v>
      </c>
      <c r="L135" s="394">
        <f t="shared" si="20"/>
        <v>9</v>
      </c>
      <c r="M135" s="394">
        <f t="shared" si="15"/>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613">
        <f>IF(OR(A135="",A135&gt;=subjectMortgageEndDate),"",EDATE(A135,1))</f>
        <v>49400</v>
      </c>
      <c r="B136" s="276">
        <f t="shared" si="12"/>
        <v>52295.569999999949</v>
      </c>
      <c r="C136" s="14">
        <f>IF(A136="",0,IF(B136&lt;=0,0,IF(A136=subjectMortgageEndDate,B136+E136,MIN(subjectPayment,B136+E136))))</f>
        <v>625.80999999999995</v>
      </c>
      <c r="D136" s="14">
        <f t="shared" si="13"/>
        <v>462.39</v>
      </c>
      <c r="E136" s="14">
        <f>IF(OR(A136="",B136&lt;=0),0,ROUND(B136*(subjectInterestRate/12),2))</f>
        <v>163.41999999999999</v>
      </c>
      <c r="F136" s="14">
        <f t="shared" si="21"/>
        <v>134.16999999999999</v>
      </c>
      <c r="G136" s="14">
        <f t="shared" si="21"/>
        <v>188.55</v>
      </c>
      <c r="H136" s="14">
        <f t="shared" si="22"/>
        <v>948.53</v>
      </c>
      <c r="I136" s="276">
        <f t="shared" si="16"/>
        <v>45698.659999999996</v>
      </c>
      <c r="J136" s="276">
        <f t="shared" si="17"/>
        <v>27824.949999999993</v>
      </c>
      <c r="K136" s="276">
        <f t="shared" si="14"/>
        <v>51833.179999999949</v>
      </c>
      <c r="L136" s="394">
        <f t="shared" si="20"/>
        <v>9</v>
      </c>
      <c r="M136" s="394">
        <f t="shared" si="15"/>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613">
        <f>IF(OR(A136="",A136&gt;=subjectMortgageEndDate),"",EDATE(A136,1))</f>
        <v>49430</v>
      </c>
      <c r="B137" s="276">
        <f t="shared" si="12"/>
        <v>51833.179999999949</v>
      </c>
      <c r="C137" s="14">
        <f>IF(A137="",0,IF(B137&lt;=0,0,IF(A137=subjectMortgageEndDate,B137+E137,MIN(subjectPayment,B137+E137))))</f>
        <v>625.80999999999995</v>
      </c>
      <c r="D137" s="14">
        <f t="shared" si="13"/>
        <v>463.82999999999993</v>
      </c>
      <c r="E137" s="14">
        <f>IF(OR(A137="",B137&lt;=0),0,ROUND(B137*(subjectInterestRate/12),2))</f>
        <v>161.97999999999999</v>
      </c>
      <c r="F137" s="14">
        <f t="shared" si="21"/>
        <v>134.16999999999999</v>
      </c>
      <c r="G137" s="14">
        <f t="shared" si="21"/>
        <v>188.55</v>
      </c>
      <c r="H137" s="14">
        <f t="shared" si="22"/>
        <v>948.53</v>
      </c>
      <c r="I137" s="276">
        <f t="shared" si="16"/>
        <v>46162.49</v>
      </c>
      <c r="J137" s="276">
        <f t="shared" si="17"/>
        <v>27986.929999999993</v>
      </c>
      <c r="K137" s="276">
        <f t="shared" si="14"/>
        <v>51369.349999999948</v>
      </c>
      <c r="L137" s="394">
        <f t="shared" si="20"/>
        <v>9</v>
      </c>
      <c r="M137" s="394">
        <f t="shared" si="15"/>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613">
        <f>IF(OR(A137="",A137&gt;=subjectMortgageEndDate),"",EDATE(A137,1))</f>
        <v>49461</v>
      </c>
      <c r="B138" s="276">
        <f t="shared" si="12"/>
        <v>51369.349999999948</v>
      </c>
      <c r="C138" s="14">
        <f>IF(A138="",0,IF(B138&lt;=0,0,IF(A138=subjectMortgageEndDate,B138+E138,MIN(subjectPayment,B138+E138))))</f>
        <v>625.80999999999995</v>
      </c>
      <c r="D138" s="14">
        <f t="shared" si="13"/>
        <v>465.28</v>
      </c>
      <c r="E138" s="14">
        <f>IF(OR(A138="",B138&lt;=0),0,ROUND(B138*(subjectInterestRate/12),2))</f>
        <v>160.53</v>
      </c>
      <c r="F138" s="14">
        <f t="shared" si="21"/>
        <v>134.16999999999999</v>
      </c>
      <c r="G138" s="14">
        <f t="shared" si="21"/>
        <v>188.55</v>
      </c>
      <c r="H138" s="14">
        <f t="shared" si="22"/>
        <v>948.53</v>
      </c>
      <c r="I138" s="276">
        <f t="shared" si="16"/>
        <v>46627.77</v>
      </c>
      <c r="J138" s="276">
        <f t="shared" si="17"/>
        <v>28147.459999999992</v>
      </c>
      <c r="K138" s="276">
        <f t="shared" si="14"/>
        <v>50904.069999999949</v>
      </c>
      <c r="L138" s="394">
        <f t="shared" si="20"/>
        <v>9</v>
      </c>
      <c r="M138" s="394">
        <f t="shared" si="15"/>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614">
        <f>IF(OR(A138="",A138&gt;=subjectMortgageEndDate),"",EDATE(A138,1))</f>
        <v>49491</v>
      </c>
      <c r="B139" s="332">
        <f t="shared" si="12"/>
        <v>50904.069999999949</v>
      </c>
      <c r="C139" s="21">
        <f>IF(A139="",0,IF(B139&lt;=0,0,IF(A139=subjectMortgageEndDate,B139+E139,MIN(subjectPayment,B139+E139))))</f>
        <v>625.80999999999995</v>
      </c>
      <c r="D139" s="21">
        <f t="shared" si="13"/>
        <v>466.7299999999999</v>
      </c>
      <c r="E139" s="21">
        <f>IF(OR(A139="",B139&lt;=0),0,ROUND(B139*(subjectInterestRate/12),2))</f>
        <v>159.08000000000001</v>
      </c>
      <c r="F139" s="21">
        <f t="shared" si="21"/>
        <v>134.16999999999999</v>
      </c>
      <c r="G139" s="21">
        <f t="shared" si="21"/>
        <v>188.55</v>
      </c>
      <c r="H139" s="21">
        <f t="shared" si="22"/>
        <v>948.53</v>
      </c>
      <c r="I139" s="332">
        <f t="shared" si="16"/>
        <v>47094.5</v>
      </c>
      <c r="J139" s="332">
        <f t="shared" si="17"/>
        <v>28306.539999999994</v>
      </c>
      <c r="K139" s="332">
        <f t="shared" si="14"/>
        <v>50437.339999999946</v>
      </c>
      <c r="L139" s="395">
        <f t="shared" si="20"/>
        <v>9</v>
      </c>
      <c r="M139" s="395">
        <f t="shared" si="15"/>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32">
        <f>IF(INDEX(tblContractForDeed[End Bal],ROW()-ROW(tblBuyerOutputs[#Headers]))&lt;=0,0,($O$6+IF(ROW()=ROW(tblBuyerOutputs[#Headers])+1,0,INDEX(tblBuyerOutputs[Cumul Appr],ROW()-ROW(tblBuyerOutputs[#Headers])-1)))*$O$2/12)</f>
        <v>514.3180115235491</v>
      </c>
      <c r="AE139" s="332">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613">
        <f>IF(OR(A139="",A139&gt;=subjectMortgageEndDate),"",EDATE(A139,1))</f>
        <v>49522</v>
      </c>
      <c r="B140" s="276">
        <f t="shared" si="12"/>
        <v>50437.339999999946</v>
      </c>
      <c r="C140" s="14">
        <f>IF(A140="",0,IF(B140&lt;=0,0,IF(A140=subjectMortgageEndDate,B140+E140,MIN(subjectPayment,B140+E140))))</f>
        <v>625.80999999999995</v>
      </c>
      <c r="D140" s="14">
        <f t="shared" si="13"/>
        <v>468.18999999999994</v>
      </c>
      <c r="E140" s="14">
        <f>IF(OR(A140="",B140&lt;=0),0,ROUND(B140*(subjectInterestRate/12),2))</f>
        <v>157.62</v>
      </c>
      <c r="F140" s="14">
        <f t="shared" si="21"/>
        <v>134.16999999999999</v>
      </c>
      <c r="G140" s="14">
        <f t="shared" si="21"/>
        <v>188.55</v>
      </c>
      <c r="H140" s="14">
        <f t="shared" si="22"/>
        <v>948.53</v>
      </c>
      <c r="I140" s="276">
        <f t="shared" si="16"/>
        <v>47562.69</v>
      </c>
      <c r="J140" s="276">
        <f t="shared" si="17"/>
        <v>28464.159999999993</v>
      </c>
      <c r="K140" s="276">
        <f t="shared" si="14"/>
        <v>49969.149999999943</v>
      </c>
      <c r="L140" s="394">
        <f t="shared" si="20"/>
        <v>10</v>
      </c>
      <c r="M140" s="394">
        <f t="shared" si="15"/>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613">
        <f>IF(OR(A140="",A140&gt;=subjectMortgageEndDate),"",EDATE(A140,1))</f>
        <v>49553</v>
      </c>
      <c r="B141" s="276">
        <f t="shared" si="12"/>
        <v>49969.149999999943</v>
      </c>
      <c r="C141" s="14">
        <f>IF(A141="",0,IF(B141&lt;=0,0,IF(A141=subjectMortgageEndDate,B141+E141,MIN(subjectPayment,B141+E141))))</f>
        <v>625.80999999999995</v>
      </c>
      <c r="D141" s="14">
        <f t="shared" si="13"/>
        <v>469.65999999999997</v>
      </c>
      <c r="E141" s="14">
        <f>IF(OR(A141="",B141&lt;=0),0,ROUND(B141*(subjectInterestRate/12),2))</f>
        <v>156.15</v>
      </c>
      <c r="F141" s="14">
        <f t="shared" si="21"/>
        <v>134.16999999999999</v>
      </c>
      <c r="G141" s="14">
        <f t="shared" si="21"/>
        <v>188.55</v>
      </c>
      <c r="H141" s="14">
        <f t="shared" si="22"/>
        <v>948.53</v>
      </c>
      <c r="I141" s="276">
        <f t="shared" si="16"/>
        <v>48032.350000000006</v>
      </c>
      <c r="J141" s="276">
        <f t="shared" si="17"/>
        <v>28620.309999999994</v>
      </c>
      <c r="K141" s="276">
        <f t="shared" si="14"/>
        <v>49499.48999999994</v>
      </c>
      <c r="L141" s="394">
        <f t="shared" si="20"/>
        <v>10</v>
      </c>
      <c r="M141" s="394">
        <f t="shared" si="15"/>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613">
        <f>IF(OR(A141="",A141&gt;=subjectMortgageEndDate),"",EDATE(A141,1))</f>
        <v>49583</v>
      </c>
      <c r="B142" s="276">
        <f t="shared" si="12"/>
        <v>49499.48999999994</v>
      </c>
      <c r="C142" s="14">
        <f>IF(A142="",0,IF(B142&lt;=0,0,IF(A142=subjectMortgageEndDate,B142+E142,MIN(subjectPayment,B142+E142))))</f>
        <v>625.80999999999995</v>
      </c>
      <c r="D142" s="14">
        <f t="shared" si="13"/>
        <v>471.11999999999995</v>
      </c>
      <c r="E142" s="14">
        <f>IF(OR(A142="",B142&lt;=0),0,ROUND(B142*(subjectInterestRate/12),2))</f>
        <v>154.69</v>
      </c>
      <c r="F142" s="14">
        <f t="shared" si="21"/>
        <v>134.16999999999999</v>
      </c>
      <c r="G142" s="14">
        <f t="shared" si="21"/>
        <v>188.55</v>
      </c>
      <c r="H142" s="14">
        <f t="shared" si="22"/>
        <v>948.53</v>
      </c>
      <c r="I142" s="276">
        <f t="shared" si="16"/>
        <v>48503.470000000008</v>
      </c>
      <c r="J142" s="276">
        <f t="shared" si="17"/>
        <v>28774.999999999993</v>
      </c>
      <c r="K142" s="276">
        <f t="shared" si="14"/>
        <v>49028.369999999937</v>
      </c>
      <c r="L142" s="394">
        <f t="shared" si="20"/>
        <v>10</v>
      </c>
      <c r="M142" s="394">
        <f t="shared" si="15"/>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613">
        <f>IF(OR(A142="",A142&gt;=subjectMortgageEndDate),"",EDATE(A142,1))</f>
        <v>49614</v>
      </c>
      <c r="B143" s="276">
        <f t="shared" si="12"/>
        <v>49028.369999999937</v>
      </c>
      <c r="C143" s="14">
        <f>IF(A143="",0,IF(B143&lt;=0,0,IF(A143=subjectMortgageEndDate,B143+E143,MIN(subjectPayment,B143+E143))))</f>
        <v>625.80999999999995</v>
      </c>
      <c r="D143" s="14">
        <f t="shared" si="13"/>
        <v>472.59999999999991</v>
      </c>
      <c r="E143" s="14">
        <f>IF(OR(A143="",B143&lt;=0),0,ROUND(B143*(subjectInterestRate/12),2))</f>
        <v>153.21</v>
      </c>
      <c r="F143" s="14">
        <f t="shared" ref="F143:G158" si="23">+F142</f>
        <v>134.16999999999999</v>
      </c>
      <c r="G143" s="14">
        <f t="shared" si="23"/>
        <v>188.55</v>
      </c>
      <c r="H143" s="14">
        <f t="shared" si="22"/>
        <v>948.53</v>
      </c>
      <c r="I143" s="276">
        <f t="shared" si="16"/>
        <v>48976.070000000007</v>
      </c>
      <c r="J143" s="276">
        <f t="shared" si="17"/>
        <v>28928.209999999992</v>
      </c>
      <c r="K143" s="276">
        <f t="shared" si="14"/>
        <v>48555.769999999939</v>
      </c>
      <c r="L143" s="394">
        <f t="shared" si="20"/>
        <v>10</v>
      </c>
      <c r="M143" s="394">
        <f t="shared" si="15"/>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613">
        <f>IF(OR(A143="",A143&gt;=subjectMortgageEndDate),"",EDATE(A143,1))</f>
        <v>49644</v>
      </c>
      <c r="B144" s="276">
        <f t="shared" si="12"/>
        <v>48555.769999999939</v>
      </c>
      <c r="C144" s="14">
        <f>IF(A144="",0,IF(B144&lt;=0,0,IF(A144=subjectMortgageEndDate,B144+E144,MIN(subjectPayment,B144+E144))))</f>
        <v>625.80999999999995</v>
      </c>
      <c r="D144" s="14">
        <f t="shared" si="13"/>
        <v>474.06999999999994</v>
      </c>
      <c r="E144" s="14">
        <f>IF(OR(A144="",B144&lt;=0),0,ROUND(B144*(subjectInterestRate/12),2))</f>
        <v>151.74</v>
      </c>
      <c r="F144" s="14">
        <f t="shared" si="23"/>
        <v>134.16999999999999</v>
      </c>
      <c r="G144" s="14">
        <f t="shared" si="23"/>
        <v>188.55</v>
      </c>
      <c r="H144" s="14">
        <f t="shared" si="22"/>
        <v>948.53</v>
      </c>
      <c r="I144" s="276">
        <f t="shared" si="16"/>
        <v>49450.140000000007</v>
      </c>
      <c r="J144" s="276">
        <f t="shared" si="17"/>
        <v>29079.949999999993</v>
      </c>
      <c r="K144" s="276">
        <f t="shared" si="14"/>
        <v>48081.699999999939</v>
      </c>
      <c r="L144" s="394">
        <f t="shared" si="20"/>
        <v>10</v>
      </c>
      <c r="M144" s="394">
        <f t="shared" si="15"/>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613">
        <f>IF(OR(A144="",A144&gt;=subjectMortgageEndDate),"",EDATE(A144,1))</f>
        <v>49675</v>
      </c>
      <c r="B145" s="276">
        <f t="shared" si="12"/>
        <v>48081.699999999939</v>
      </c>
      <c r="C145" s="14">
        <f>IF(A145="",0,IF(B145&lt;=0,0,IF(A145=subjectMortgageEndDate,B145+E145,MIN(subjectPayment,B145+E145))))</f>
        <v>625.80999999999995</v>
      </c>
      <c r="D145" s="14">
        <f t="shared" si="13"/>
        <v>475.54999999999995</v>
      </c>
      <c r="E145" s="14">
        <f>IF(OR(A145="",B145&lt;=0),0,ROUND(B145*(subjectInterestRate/12),2))</f>
        <v>150.26</v>
      </c>
      <c r="F145" s="14">
        <f t="shared" si="23"/>
        <v>134.16999999999999</v>
      </c>
      <c r="G145" s="14">
        <f t="shared" si="23"/>
        <v>188.55</v>
      </c>
      <c r="H145" s="14">
        <f t="shared" si="22"/>
        <v>948.53</v>
      </c>
      <c r="I145" s="276">
        <f t="shared" si="16"/>
        <v>49925.69000000001</v>
      </c>
      <c r="J145" s="276">
        <f t="shared" si="17"/>
        <v>29230.209999999992</v>
      </c>
      <c r="K145" s="276">
        <f t="shared" si="14"/>
        <v>47606.149999999936</v>
      </c>
      <c r="L145" s="394">
        <f t="shared" si="20"/>
        <v>10</v>
      </c>
      <c r="M145" s="394">
        <f t="shared" si="15"/>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613">
        <f>IF(OR(A145="",A145&gt;=subjectMortgageEndDate),"",EDATE(A145,1))</f>
        <v>49706</v>
      </c>
      <c r="B146" s="276">
        <f t="shared" si="12"/>
        <v>47606.149999999936</v>
      </c>
      <c r="C146" s="14">
        <f>IF(A146="",0,IF(B146&lt;=0,0,IF(A146=subjectMortgageEndDate,B146+E146,MIN(subjectPayment,B146+E146))))</f>
        <v>625.80999999999995</v>
      </c>
      <c r="D146" s="14">
        <f t="shared" si="13"/>
        <v>477.03999999999996</v>
      </c>
      <c r="E146" s="14">
        <f>IF(OR(A146="",B146&lt;=0),0,ROUND(B146*(subjectInterestRate/12),2))</f>
        <v>148.77000000000001</v>
      </c>
      <c r="F146" s="14">
        <f t="shared" si="23"/>
        <v>134.16999999999999</v>
      </c>
      <c r="G146" s="14">
        <f t="shared" si="23"/>
        <v>188.55</v>
      </c>
      <c r="H146" s="14">
        <f t="shared" si="22"/>
        <v>948.53</v>
      </c>
      <c r="I146" s="276">
        <f t="shared" si="16"/>
        <v>50402.73000000001</v>
      </c>
      <c r="J146" s="276">
        <f t="shared" si="17"/>
        <v>29378.979999999992</v>
      </c>
      <c r="K146" s="276">
        <f t="shared" si="14"/>
        <v>47129.109999999935</v>
      </c>
      <c r="L146" s="394">
        <f t="shared" si="20"/>
        <v>10</v>
      </c>
      <c r="M146" s="394">
        <f t="shared" si="15"/>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613">
        <f>IF(OR(A146="",A146&gt;=subjectMortgageEndDate),"",EDATE(A146,1))</f>
        <v>49735</v>
      </c>
      <c r="B147" s="276">
        <f t="shared" si="12"/>
        <v>47129.109999999935</v>
      </c>
      <c r="C147" s="14">
        <f>IF(A147="",0,IF(B147&lt;=0,0,IF(A147=subjectMortgageEndDate,B147+E147,MIN(subjectPayment,B147+E147))))</f>
        <v>625.80999999999995</v>
      </c>
      <c r="D147" s="14">
        <f t="shared" si="13"/>
        <v>478.53</v>
      </c>
      <c r="E147" s="14">
        <f>IF(OR(A147="",B147&lt;=0),0,ROUND(B147*(subjectInterestRate/12),2))</f>
        <v>147.28</v>
      </c>
      <c r="F147" s="14">
        <f t="shared" si="23"/>
        <v>134.16999999999999</v>
      </c>
      <c r="G147" s="14">
        <f t="shared" si="23"/>
        <v>188.55</v>
      </c>
      <c r="H147" s="14">
        <f t="shared" si="22"/>
        <v>948.53</v>
      </c>
      <c r="I147" s="276">
        <f t="shared" si="16"/>
        <v>50881.260000000009</v>
      </c>
      <c r="J147" s="276">
        <f t="shared" si="17"/>
        <v>29526.259999999991</v>
      </c>
      <c r="K147" s="276">
        <f t="shared" si="14"/>
        <v>46650.579999999936</v>
      </c>
      <c r="L147" s="394">
        <f t="shared" si="20"/>
        <v>10</v>
      </c>
      <c r="M147" s="394">
        <f t="shared" si="15"/>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613">
        <f>IF(OR(A147="",A147&gt;=subjectMortgageEndDate),"",EDATE(A147,1))</f>
        <v>49766</v>
      </c>
      <c r="B148" s="276">
        <f t="shared" si="12"/>
        <v>46650.579999999936</v>
      </c>
      <c r="C148" s="14">
        <f>IF(A148="",0,IF(B148&lt;=0,0,IF(A148=subjectMortgageEndDate,B148+E148,MIN(subjectPayment,B148+E148))))</f>
        <v>625.80999999999995</v>
      </c>
      <c r="D148" s="14">
        <f t="shared" si="13"/>
        <v>480.03</v>
      </c>
      <c r="E148" s="14">
        <f>IF(OR(A148="",B148&lt;=0),0,ROUND(B148*(subjectInterestRate/12),2))</f>
        <v>145.78</v>
      </c>
      <c r="F148" s="14">
        <f t="shared" si="23"/>
        <v>134.16999999999999</v>
      </c>
      <c r="G148" s="14">
        <f t="shared" si="23"/>
        <v>188.55</v>
      </c>
      <c r="H148" s="14">
        <f t="shared" si="22"/>
        <v>948.53</v>
      </c>
      <c r="I148" s="276">
        <f t="shared" si="16"/>
        <v>51361.290000000008</v>
      </c>
      <c r="J148" s="276">
        <f t="shared" si="17"/>
        <v>29672.03999999999</v>
      </c>
      <c r="K148" s="276">
        <f t="shared" si="14"/>
        <v>46170.549999999937</v>
      </c>
      <c r="L148" s="394">
        <f t="shared" si="20"/>
        <v>10</v>
      </c>
      <c r="M148" s="394">
        <f t="shared" si="15"/>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613">
        <f>IF(OR(A148="",A148&gt;=subjectMortgageEndDate),"",EDATE(A148,1))</f>
        <v>49796</v>
      </c>
      <c r="B149" s="276">
        <f t="shared" ref="B149:B212" si="24">IF(A149="",0,MAX(0,K148))</f>
        <v>46170.549999999937</v>
      </c>
      <c r="C149" s="14">
        <f>IF(A149="",0,IF(B149&lt;=0,0,IF(A149=subjectMortgageEndDate,B149+E149,MIN(subjectPayment,B149+E149))))</f>
        <v>625.80999999999995</v>
      </c>
      <c r="D149" s="14">
        <f t="shared" ref="D149:D212" si="25">IF(C149=0,0,MAX(0,MIN(B149,C149-E149)))</f>
        <v>481.53</v>
      </c>
      <c r="E149" s="14">
        <f>IF(OR(A149="",B149&lt;=0),0,ROUND(B149*(subjectInterestRate/12),2))</f>
        <v>144.28</v>
      </c>
      <c r="F149" s="14">
        <f t="shared" si="23"/>
        <v>134.16999999999999</v>
      </c>
      <c r="G149" s="14">
        <f t="shared" si="23"/>
        <v>188.55</v>
      </c>
      <c r="H149" s="14">
        <f t="shared" si="22"/>
        <v>948.53</v>
      </c>
      <c r="I149" s="276">
        <f t="shared" si="16"/>
        <v>51842.820000000007</v>
      </c>
      <c r="J149" s="276">
        <f t="shared" si="17"/>
        <v>29816.319999999989</v>
      </c>
      <c r="K149" s="276">
        <f t="shared" ref="K149:K212" si="26">IF(A149="",0,IF(B149&lt;=0,0,MAX(0,B149-D149)))</f>
        <v>45689.019999999939</v>
      </c>
      <c r="L149" s="394">
        <f t="shared" si="20"/>
        <v>10</v>
      </c>
      <c r="M149" s="394">
        <f t="shared" ref="M149:M212" si="27">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613">
        <f>IF(OR(A149="",A149&gt;=subjectMortgageEndDate),"",EDATE(A149,1))</f>
        <v>49827</v>
      </c>
      <c r="B150" s="276">
        <f t="shared" si="24"/>
        <v>45689.019999999939</v>
      </c>
      <c r="C150" s="14">
        <f>IF(A150="",0,IF(B150&lt;=0,0,IF(A150=subjectMortgageEndDate,B150+E150,MIN(subjectPayment,B150+E150))))</f>
        <v>625.80999999999995</v>
      </c>
      <c r="D150" s="14">
        <f t="shared" si="25"/>
        <v>483.03</v>
      </c>
      <c r="E150" s="14">
        <f>IF(OR(A150="",B150&lt;=0),0,ROUND(B150*(subjectInterestRate/12),2))</f>
        <v>142.78</v>
      </c>
      <c r="F150" s="14">
        <f t="shared" si="23"/>
        <v>134.16999999999999</v>
      </c>
      <c r="G150" s="14">
        <f t="shared" si="23"/>
        <v>188.55</v>
      </c>
      <c r="H150" s="14">
        <f t="shared" si="22"/>
        <v>948.53</v>
      </c>
      <c r="I150" s="276">
        <f t="shared" ref="I150:I213" si="28">$D150+$I149</f>
        <v>52325.850000000006</v>
      </c>
      <c r="J150" s="276">
        <f t="shared" ref="J150:J213" si="29">$E150+$J149</f>
        <v>29959.099999999988</v>
      </c>
      <c r="K150" s="276">
        <f t="shared" si="26"/>
        <v>45205.98999999994</v>
      </c>
      <c r="L150" s="394">
        <f t="shared" si="20"/>
        <v>10</v>
      </c>
      <c r="M150" s="394">
        <f t="shared" si="27"/>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614">
        <f>IF(OR(A150="",A150&gt;=subjectMortgageEndDate),"",EDATE(A150,1))</f>
        <v>49857</v>
      </c>
      <c r="B151" s="332">
        <f t="shared" si="24"/>
        <v>45205.98999999994</v>
      </c>
      <c r="C151" s="21">
        <f>IF(A151="",0,IF(B151&lt;=0,0,IF(A151=subjectMortgageEndDate,B151+E151,MIN(subjectPayment,B151+E151))))</f>
        <v>625.80999999999995</v>
      </c>
      <c r="D151" s="21">
        <f t="shared" si="25"/>
        <v>484.53999999999996</v>
      </c>
      <c r="E151" s="21">
        <f>IF(OR(A151="",B151&lt;=0),0,ROUND(B151*(subjectInterestRate/12),2))</f>
        <v>141.27000000000001</v>
      </c>
      <c r="F151" s="21">
        <f t="shared" si="23"/>
        <v>134.16999999999999</v>
      </c>
      <c r="G151" s="21">
        <f t="shared" si="23"/>
        <v>188.55</v>
      </c>
      <c r="H151" s="21">
        <f t="shared" si="22"/>
        <v>948.53</v>
      </c>
      <c r="I151" s="332">
        <f t="shared" si="28"/>
        <v>52810.390000000007</v>
      </c>
      <c r="J151" s="332">
        <f t="shared" si="29"/>
        <v>30100.369999999988</v>
      </c>
      <c r="K151" s="332">
        <f t="shared" si="26"/>
        <v>44721.449999999939</v>
      </c>
      <c r="L151" s="395">
        <f t="shared" si="20"/>
        <v>10</v>
      </c>
      <c r="M151" s="395">
        <f t="shared" si="27"/>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32">
        <f>IF(INDEX(tblContractForDeed[End Bal],ROW()-ROW(tblBuyerOutputs[#Headers]))&lt;=0,0,($O$6+IF(ROW()=ROW(tblBuyerOutputs[#Headers])+1,0,INDEX(tblBuyerOutputs[Cumul Appr],ROW()-ROW(tblBuyerOutputs[#Headers])-1)))*$O$2/12)</f>
        <v>540.63149710785308</v>
      </c>
      <c r="AE151" s="332">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613">
        <f>IF(OR(A151="",A151&gt;=subjectMortgageEndDate),"",EDATE(A151,1))</f>
        <v>49888</v>
      </c>
      <c r="B152" s="276">
        <f t="shared" si="24"/>
        <v>44721.449999999939</v>
      </c>
      <c r="C152" s="14">
        <f>IF(A152="",0,IF(B152&lt;=0,0,IF(A152=subjectMortgageEndDate,B152+E152,MIN(subjectPayment,B152+E152))))</f>
        <v>625.80999999999995</v>
      </c>
      <c r="D152" s="14">
        <f t="shared" si="25"/>
        <v>486.05999999999995</v>
      </c>
      <c r="E152" s="14">
        <f>IF(OR(A152="",B152&lt;=0),0,ROUND(B152*(subjectInterestRate/12),2))</f>
        <v>139.75</v>
      </c>
      <c r="F152" s="14">
        <f t="shared" si="23"/>
        <v>134.16999999999999</v>
      </c>
      <c r="G152" s="14">
        <f t="shared" si="23"/>
        <v>188.55</v>
      </c>
      <c r="H152" s="14">
        <f t="shared" si="22"/>
        <v>948.53</v>
      </c>
      <c r="I152" s="276">
        <f t="shared" si="28"/>
        <v>53296.450000000004</v>
      </c>
      <c r="J152" s="276">
        <f t="shared" si="29"/>
        <v>30240.119999999988</v>
      </c>
      <c r="K152" s="276">
        <f t="shared" si="26"/>
        <v>44235.389999999941</v>
      </c>
      <c r="L152" s="394">
        <f t="shared" si="20"/>
        <v>11</v>
      </c>
      <c r="M152" s="394">
        <f t="shared" si="27"/>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613">
        <f>IF(OR(A152="",A152&gt;=subjectMortgageEndDate),"",EDATE(A152,1))</f>
        <v>49919</v>
      </c>
      <c r="B153" s="276">
        <f t="shared" si="24"/>
        <v>44235.389999999941</v>
      </c>
      <c r="C153" s="14">
        <f>IF(A153="",0,IF(B153&lt;=0,0,IF(A153=subjectMortgageEndDate,B153+E153,MIN(subjectPayment,B153+E153))))</f>
        <v>625.80999999999995</v>
      </c>
      <c r="D153" s="14">
        <f t="shared" si="25"/>
        <v>487.56999999999994</v>
      </c>
      <c r="E153" s="14">
        <f>IF(OR(A153="",B153&lt;=0),0,ROUND(B153*(subjectInterestRate/12),2))</f>
        <v>138.24</v>
      </c>
      <c r="F153" s="14">
        <f t="shared" si="23"/>
        <v>134.16999999999999</v>
      </c>
      <c r="G153" s="14">
        <f t="shared" si="23"/>
        <v>188.55</v>
      </c>
      <c r="H153" s="14">
        <f t="shared" si="22"/>
        <v>948.53</v>
      </c>
      <c r="I153" s="276">
        <f t="shared" si="28"/>
        <v>53784.020000000004</v>
      </c>
      <c r="J153" s="276">
        <f t="shared" si="29"/>
        <v>30378.35999999999</v>
      </c>
      <c r="K153" s="276">
        <f t="shared" si="26"/>
        <v>43747.819999999942</v>
      </c>
      <c r="L153" s="394">
        <f t="shared" si="20"/>
        <v>11</v>
      </c>
      <c r="M153" s="394">
        <f t="shared" si="27"/>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613">
        <f>IF(OR(A153="",A153&gt;=subjectMortgageEndDate),"",EDATE(A153,1))</f>
        <v>49949</v>
      </c>
      <c r="B154" s="276">
        <f t="shared" si="24"/>
        <v>43747.819999999942</v>
      </c>
      <c r="C154" s="14">
        <f>IF(A154="",0,IF(B154&lt;=0,0,IF(A154=subjectMortgageEndDate,B154+E154,MIN(subjectPayment,B154+E154))))</f>
        <v>625.80999999999995</v>
      </c>
      <c r="D154" s="14">
        <f t="shared" si="25"/>
        <v>489.09999999999991</v>
      </c>
      <c r="E154" s="14">
        <f>IF(OR(A154="",B154&lt;=0),0,ROUND(B154*(subjectInterestRate/12),2))</f>
        <v>136.71</v>
      </c>
      <c r="F154" s="14">
        <f t="shared" si="23"/>
        <v>134.16999999999999</v>
      </c>
      <c r="G154" s="14">
        <f t="shared" si="23"/>
        <v>188.55</v>
      </c>
      <c r="H154" s="14">
        <f t="shared" si="22"/>
        <v>948.53</v>
      </c>
      <c r="I154" s="276">
        <f t="shared" si="28"/>
        <v>54273.120000000003</v>
      </c>
      <c r="J154" s="276">
        <f t="shared" si="29"/>
        <v>30515.069999999989</v>
      </c>
      <c r="K154" s="276">
        <f t="shared" si="26"/>
        <v>43258.719999999943</v>
      </c>
      <c r="L154" s="394">
        <f t="shared" si="20"/>
        <v>11</v>
      </c>
      <c r="M154" s="394">
        <f t="shared" si="27"/>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613">
        <f>IF(OR(A154="",A154&gt;=subjectMortgageEndDate),"",EDATE(A154,1))</f>
        <v>49980</v>
      </c>
      <c r="B155" s="276">
        <f t="shared" si="24"/>
        <v>43258.719999999943</v>
      </c>
      <c r="C155" s="14">
        <f>IF(A155="",0,IF(B155&lt;=0,0,IF(A155=subjectMortgageEndDate,B155+E155,MIN(subjectPayment,B155+E155))))</f>
        <v>625.80999999999995</v>
      </c>
      <c r="D155" s="14">
        <f t="shared" si="25"/>
        <v>490.62999999999994</v>
      </c>
      <c r="E155" s="14">
        <f>IF(OR(A155="",B155&lt;=0),0,ROUND(B155*(subjectInterestRate/12),2))</f>
        <v>135.18</v>
      </c>
      <c r="F155" s="14">
        <f t="shared" si="23"/>
        <v>134.16999999999999</v>
      </c>
      <c r="G155" s="14">
        <f t="shared" si="23"/>
        <v>188.55</v>
      </c>
      <c r="H155" s="14">
        <f t="shared" si="22"/>
        <v>948.53</v>
      </c>
      <c r="I155" s="276">
        <f t="shared" si="28"/>
        <v>54763.75</v>
      </c>
      <c r="J155" s="276">
        <f t="shared" si="29"/>
        <v>30650.249999999989</v>
      </c>
      <c r="K155" s="276">
        <f t="shared" si="26"/>
        <v>42768.089999999946</v>
      </c>
      <c r="L155" s="394">
        <f t="shared" si="20"/>
        <v>11</v>
      </c>
      <c r="M155" s="394">
        <f t="shared" si="27"/>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613">
        <f>IF(OR(A155="",A155&gt;=subjectMortgageEndDate),"",EDATE(A155,1))</f>
        <v>50010</v>
      </c>
      <c r="B156" s="276">
        <f t="shared" si="24"/>
        <v>42768.089999999946</v>
      </c>
      <c r="C156" s="14">
        <f>IF(A156="",0,IF(B156&lt;=0,0,IF(A156=subjectMortgageEndDate,B156+E156,MIN(subjectPayment,B156+E156))))</f>
        <v>625.80999999999995</v>
      </c>
      <c r="D156" s="14">
        <f t="shared" si="25"/>
        <v>492.15999999999997</v>
      </c>
      <c r="E156" s="14">
        <f>IF(OR(A156="",B156&lt;=0),0,ROUND(B156*(subjectInterestRate/12),2))</f>
        <v>133.65</v>
      </c>
      <c r="F156" s="14">
        <f t="shared" si="23"/>
        <v>134.16999999999999</v>
      </c>
      <c r="G156" s="14">
        <f t="shared" si="23"/>
        <v>188.55</v>
      </c>
      <c r="H156" s="14">
        <f t="shared" si="22"/>
        <v>948.53</v>
      </c>
      <c r="I156" s="276">
        <f t="shared" si="28"/>
        <v>55255.91</v>
      </c>
      <c r="J156" s="276">
        <f t="shared" si="29"/>
        <v>30783.899999999991</v>
      </c>
      <c r="K156" s="276">
        <f t="shared" si="26"/>
        <v>42275.929999999942</v>
      </c>
      <c r="L156" s="394">
        <f t="shared" si="20"/>
        <v>11</v>
      </c>
      <c r="M156" s="394">
        <f t="shared" si="27"/>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613">
        <f>IF(OR(A156="",A156&gt;=subjectMortgageEndDate),"",EDATE(A156,1))</f>
        <v>50041</v>
      </c>
      <c r="B157" s="276">
        <f t="shared" si="24"/>
        <v>42275.929999999942</v>
      </c>
      <c r="C157" s="14">
        <f>IF(A157="",0,IF(B157&lt;=0,0,IF(A157=subjectMortgageEndDate,B157+E157,MIN(subjectPayment,B157+E157))))</f>
        <v>625.80999999999995</v>
      </c>
      <c r="D157" s="14">
        <f t="shared" si="25"/>
        <v>493.69999999999993</v>
      </c>
      <c r="E157" s="14">
        <f>IF(OR(A157="",B157&lt;=0),0,ROUND(B157*(subjectInterestRate/12),2))</f>
        <v>132.11000000000001</v>
      </c>
      <c r="F157" s="14">
        <f t="shared" si="23"/>
        <v>134.16999999999999</v>
      </c>
      <c r="G157" s="14">
        <f t="shared" si="23"/>
        <v>188.55</v>
      </c>
      <c r="H157" s="14">
        <f t="shared" si="22"/>
        <v>948.53</v>
      </c>
      <c r="I157" s="276">
        <f t="shared" si="28"/>
        <v>55749.61</v>
      </c>
      <c r="J157" s="276">
        <f t="shared" si="29"/>
        <v>30916.009999999991</v>
      </c>
      <c r="K157" s="276">
        <f t="shared" si="26"/>
        <v>41782.229999999945</v>
      </c>
      <c r="L157" s="394">
        <f t="shared" si="20"/>
        <v>11</v>
      </c>
      <c r="M157" s="394">
        <f t="shared" si="27"/>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613">
        <f>IF(OR(A157="",A157&gt;=subjectMortgageEndDate),"",EDATE(A157,1))</f>
        <v>50072</v>
      </c>
      <c r="B158" s="276">
        <f t="shared" si="24"/>
        <v>41782.229999999945</v>
      </c>
      <c r="C158" s="14">
        <f>IF(A158="",0,IF(B158&lt;=0,0,IF(A158=subjectMortgageEndDate,B158+E158,MIN(subjectPayment,B158+E158))))</f>
        <v>625.80999999999995</v>
      </c>
      <c r="D158" s="14">
        <f t="shared" si="25"/>
        <v>495.23999999999995</v>
      </c>
      <c r="E158" s="14">
        <f>IF(OR(A158="",B158&lt;=0),0,ROUND(B158*(subjectInterestRate/12),2))</f>
        <v>130.57</v>
      </c>
      <c r="F158" s="14">
        <f t="shared" si="23"/>
        <v>134.16999999999999</v>
      </c>
      <c r="G158" s="14">
        <f t="shared" si="23"/>
        <v>188.55</v>
      </c>
      <c r="H158" s="14">
        <f t="shared" si="22"/>
        <v>948.53</v>
      </c>
      <c r="I158" s="276">
        <f t="shared" si="28"/>
        <v>56244.85</v>
      </c>
      <c r="J158" s="276">
        <f t="shared" si="29"/>
        <v>31046.579999999991</v>
      </c>
      <c r="K158" s="276">
        <f t="shared" si="26"/>
        <v>41286.989999999947</v>
      </c>
      <c r="L158" s="394">
        <f t="shared" si="20"/>
        <v>11</v>
      </c>
      <c r="M158" s="394">
        <f t="shared" si="27"/>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613">
        <f>IF(OR(A158="",A158&gt;=subjectMortgageEndDate),"",EDATE(A158,1))</f>
        <v>50100</v>
      </c>
      <c r="B159" s="276">
        <f t="shared" si="24"/>
        <v>41286.989999999947</v>
      </c>
      <c r="C159" s="14">
        <f>IF(A159="",0,IF(B159&lt;=0,0,IF(A159=subjectMortgageEndDate,B159+E159,MIN(subjectPayment,B159+E159))))</f>
        <v>625.80999999999995</v>
      </c>
      <c r="D159" s="14">
        <f t="shared" si="25"/>
        <v>496.78999999999996</v>
      </c>
      <c r="E159" s="14">
        <f>IF(OR(A159="",B159&lt;=0),0,ROUND(B159*(subjectInterestRate/12),2))</f>
        <v>129.02000000000001</v>
      </c>
      <c r="F159" s="14">
        <f t="shared" ref="F159:G174" si="30">+F158</f>
        <v>134.16999999999999</v>
      </c>
      <c r="G159" s="14">
        <f t="shared" si="30"/>
        <v>188.55</v>
      </c>
      <c r="H159" s="14">
        <f t="shared" si="22"/>
        <v>948.53</v>
      </c>
      <c r="I159" s="276">
        <f t="shared" si="28"/>
        <v>56741.64</v>
      </c>
      <c r="J159" s="276">
        <f t="shared" si="29"/>
        <v>31175.599999999991</v>
      </c>
      <c r="K159" s="276">
        <f t="shared" si="26"/>
        <v>40790.199999999946</v>
      </c>
      <c r="L159" s="394">
        <f t="shared" si="20"/>
        <v>11</v>
      </c>
      <c r="M159" s="394">
        <f t="shared" si="27"/>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613">
        <f>IF(OR(A159="",A159&gt;=subjectMortgageEndDate),"",EDATE(A159,1))</f>
        <v>50131</v>
      </c>
      <c r="B160" s="276">
        <f t="shared" si="24"/>
        <v>40790.199999999946</v>
      </c>
      <c r="C160" s="14">
        <f>IF(A160="",0,IF(B160&lt;=0,0,IF(A160=subjectMortgageEndDate,B160+E160,MIN(subjectPayment,B160+E160))))</f>
        <v>625.80999999999995</v>
      </c>
      <c r="D160" s="14">
        <f t="shared" si="25"/>
        <v>498.33999999999992</v>
      </c>
      <c r="E160" s="14">
        <f>IF(OR(A160="",B160&lt;=0),0,ROUND(B160*(subjectInterestRate/12),2))</f>
        <v>127.47</v>
      </c>
      <c r="F160" s="14">
        <f t="shared" si="30"/>
        <v>134.16999999999999</v>
      </c>
      <c r="G160" s="14">
        <f t="shared" si="30"/>
        <v>188.55</v>
      </c>
      <c r="H160" s="14">
        <f t="shared" si="22"/>
        <v>948.53</v>
      </c>
      <c r="I160" s="276">
        <f t="shared" si="28"/>
        <v>57239.979999999996</v>
      </c>
      <c r="J160" s="276">
        <f t="shared" si="29"/>
        <v>31303.069999999992</v>
      </c>
      <c r="K160" s="276">
        <f t="shared" si="26"/>
        <v>40291.85999999995</v>
      </c>
      <c r="L160" s="394">
        <f t="shared" si="20"/>
        <v>11</v>
      </c>
      <c r="M160" s="394">
        <f t="shared" si="27"/>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613">
        <f>IF(OR(A160="",A160&gt;=subjectMortgageEndDate),"",EDATE(A160,1))</f>
        <v>50161</v>
      </c>
      <c r="B161" s="276">
        <f t="shared" si="24"/>
        <v>40291.85999999995</v>
      </c>
      <c r="C161" s="14">
        <f>IF(A161="",0,IF(B161&lt;=0,0,IF(A161=subjectMortgageEndDate,B161+E161,MIN(subjectPayment,B161+E161))))</f>
        <v>625.80999999999995</v>
      </c>
      <c r="D161" s="14">
        <f t="shared" si="25"/>
        <v>499.9</v>
      </c>
      <c r="E161" s="14">
        <f>IF(OR(A161="",B161&lt;=0),0,ROUND(B161*(subjectInterestRate/12),2))</f>
        <v>125.91</v>
      </c>
      <c r="F161" s="14">
        <f t="shared" si="30"/>
        <v>134.16999999999999</v>
      </c>
      <c r="G161" s="14">
        <f t="shared" si="30"/>
        <v>188.55</v>
      </c>
      <c r="H161" s="14">
        <f t="shared" si="22"/>
        <v>948.53</v>
      </c>
      <c r="I161" s="276">
        <f t="shared" si="28"/>
        <v>57739.88</v>
      </c>
      <c r="J161" s="276">
        <f t="shared" si="29"/>
        <v>31428.979999999992</v>
      </c>
      <c r="K161" s="276">
        <f t="shared" si="26"/>
        <v>39791.959999999948</v>
      </c>
      <c r="L161" s="394">
        <f t="shared" si="20"/>
        <v>11</v>
      </c>
      <c r="M161" s="394">
        <f t="shared" si="27"/>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613">
        <f>IF(OR(A161="",A161&gt;=subjectMortgageEndDate),"",EDATE(A161,1))</f>
        <v>50192</v>
      </c>
      <c r="B162" s="276">
        <f t="shared" si="24"/>
        <v>39791.959999999948</v>
      </c>
      <c r="C162" s="14">
        <f>IF(A162="",0,IF(B162&lt;=0,0,IF(A162=subjectMortgageEndDate,B162+E162,MIN(subjectPayment,B162+E162))))</f>
        <v>625.80999999999995</v>
      </c>
      <c r="D162" s="14">
        <f t="shared" si="25"/>
        <v>501.45999999999992</v>
      </c>
      <c r="E162" s="14">
        <f>IF(OR(A162="",B162&lt;=0),0,ROUND(B162*(subjectInterestRate/12),2))</f>
        <v>124.35</v>
      </c>
      <c r="F162" s="14">
        <f t="shared" si="30"/>
        <v>134.16999999999999</v>
      </c>
      <c r="G162" s="14">
        <f t="shared" si="30"/>
        <v>188.55</v>
      </c>
      <c r="H162" s="14">
        <f t="shared" si="22"/>
        <v>948.53</v>
      </c>
      <c r="I162" s="276">
        <f t="shared" si="28"/>
        <v>58241.34</v>
      </c>
      <c r="J162" s="276">
        <f t="shared" si="29"/>
        <v>31553.329999999991</v>
      </c>
      <c r="K162" s="276">
        <f t="shared" si="26"/>
        <v>39290.499999999949</v>
      </c>
      <c r="L162" s="394">
        <f t="shared" si="20"/>
        <v>11</v>
      </c>
      <c r="M162" s="394">
        <f t="shared" si="27"/>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614">
        <f>IF(OR(A162="",A162&gt;=subjectMortgageEndDate),"",EDATE(A162,1))</f>
        <v>50222</v>
      </c>
      <c r="B163" s="332">
        <f t="shared" si="24"/>
        <v>39290.499999999949</v>
      </c>
      <c r="C163" s="21">
        <f>IF(A163="",0,IF(B163&lt;=0,0,IF(A163=subjectMortgageEndDate,B163+E163,MIN(subjectPayment,B163+E163))))</f>
        <v>625.80999999999995</v>
      </c>
      <c r="D163" s="21">
        <f t="shared" si="25"/>
        <v>503.03</v>
      </c>
      <c r="E163" s="21">
        <f>IF(OR(A163="",B163&lt;=0),0,ROUND(B163*(subjectInterestRate/12),2))</f>
        <v>122.78</v>
      </c>
      <c r="F163" s="21">
        <f t="shared" si="30"/>
        <v>134.16999999999999</v>
      </c>
      <c r="G163" s="21">
        <f t="shared" si="30"/>
        <v>188.55</v>
      </c>
      <c r="H163" s="21">
        <f t="shared" si="22"/>
        <v>948.53</v>
      </c>
      <c r="I163" s="332">
        <f t="shared" si="28"/>
        <v>58744.369999999995</v>
      </c>
      <c r="J163" s="332">
        <f t="shared" si="29"/>
        <v>31676.10999999999</v>
      </c>
      <c r="K163" s="332">
        <f t="shared" si="26"/>
        <v>38787.46999999995</v>
      </c>
      <c r="L163" s="395">
        <f t="shared" si="20"/>
        <v>11</v>
      </c>
      <c r="M163" s="395">
        <f t="shared" si="27"/>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32">
        <f>IF(INDEX(tblContractForDeed[End Bal],ROW()-ROW(tblBuyerOutputs[#Headers]))&lt;=0,0,($O$6+IF(ROW()=ROW(tblBuyerOutputs[#Headers])+1,0,INDEX(tblBuyerOutputs[Cumul Appr],ROW()-ROW(tblBuyerOutputs[#Headers])-1)))*$O$2/12)</f>
        <v>568.29123055453351</v>
      </c>
      <c r="AE163" s="332">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613">
        <f>IF(OR(A163="",A163&gt;=subjectMortgageEndDate),"",EDATE(A163,1))</f>
        <v>50253</v>
      </c>
      <c r="B164" s="276">
        <f t="shared" si="24"/>
        <v>38787.46999999995</v>
      </c>
      <c r="C164" s="14">
        <f>IF(A164="",0,IF(B164&lt;=0,0,IF(A164=subjectMortgageEndDate,B164+E164,MIN(subjectPayment,B164+E164))))</f>
        <v>625.80999999999995</v>
      </c>
      <c r="D164" s="14">
        <f t="shared" si="25"/>
        <v>504.59999999999997</v>
      </c>
      <c r="E164" s="14">
        <f>IF(OR(A164="",B164&lt;=0),0,ROUND(B164*(subjectInterestRate/12),2))</f>
        <v>121.21</v>
      </c>
      <c r="F164" s="14">
        <f t="shared" si="30"/>
        <v>134.16999999999999</v>
      </c>
      <c r="G164" s="14">
        <f t="shared" si="30"/>
        <v>188.55</v>
      </c>
      <c r="H164" s="14">
        <f t="shared" si="22"/>
        <v>948.53</v>
      </c>
      <c r="I164" s="276">
        <f t="shared" si="28"/>
        <v>59248.969999999994</v>
      </c>
      <c r="J164" s="276">
        <f t="shared" si="29"/>
        <v>31797.319999999989</v>
      </c>
      <c r="K164" s="276">
        <f t="shared" si="26"/>
        <v>38282.869999999952</v>
      </c>
      <c r="L164" s="394">
        <f t="shared" si="20"/>
        <v>12</v>
      </c>
      <c r="M164" s="394">
        <f t="shared" si="27"/>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613">
        <f>IF(OR(A164="",A164&gt;=subjectMortgageEndDate),"",EDATE(A164,1))</f>
        <v>50284</v>
      </c>
      <c r="B165" s="276">
        <f t="shared" si="24"/>
        <v>38282.869999999952</v>
      </c>
      <c r="C165" s="14">
        <f>IF(A165="",0,IF(B165&lt;=0,0,IF(A165=subjectMortgageEndDate,B165+E165,MIN(subjectPayment,B165+E165))))</f>
        <v>625.80999999999995</v>
      </c>
      <c r="D165" s="14">
        <f t="shared" si="25"/>
        <v>506.17999999999995</v>
      </c>
      <c r="E165" s="14">
        <f>IF(OR(A165="",B165&lt;=0),0,ROUND(B165*(subjectInterestRate/12),2))</f>
        <v>119.63</v>
      </c>
      <c r="F165" s="14">
        <f t="shared" si="30"/>
        <v>134.16999999999999</v>
      </c>
      <c r="G165" s="14">
        <f t="shared" si="30"/>
        <v>188.55</v>
      </c>
      <c r="H165" s="14">
        <f t="shared" si="22"/>
        <v>948.53</v>
      </c>
      <c r="I165" s="276">
        <f t="shared" si="28"/>
        <v>59755.149999999994</v>
      </c>
      <c r="J165" s="276">
        <f t="shared" si="29"/>
        <v>31916.94999999999</v>
      </c>
      <c r="K165" s="276">
        <f t="shared" si="26"/>
        <v>37776.689999999951</v>
      </c>
      <c r="L165" s="394">
        <f t="shared" si="20"/>
        <v>12</v>
      </c>
      <c r="M165" s="394">
        <f t="shared" si="27"/>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613">
        <f>IF(OR(A165="",A165&gt;=subjectMortgageEndDate),"",EDATE(A165,1))</f>
        <v>50314</v>
      </c>
      <c r="B166" s="276">
        <f t="shared" si="24"/>
        <v>37776.689999999951</v>
      </c>
      <c r="C166" s="14">
        <f>IF(A166="",0,IF(B166&lt;=0,0,IF(A166=subjectMortgageEndDate,B166+E166,MIN(subjectPayment,B166+E166))))</f>
        <v>625.80999999999995</v>
      </c>
      <c r="D166" s="14">
        <f t="shared" si="25"/>
        <v>507.75999999999993</v>
      </c>
      <c r="E166" s="14">
        <f>IF(OR(A166="",B166&lt;=0),0,ROUND(B166*(subjectInterestRate/12),2))</f>
        <v>118.05</v>
      </c>
      <c r="F166" s="14">
        <f t="shared" si="30"/>
        <v>134.16999999999999</v>
      </c>
      <c r="G166" s="14">
        <f t="shared" si="30"/>
        <v>188.55</v>
      </c>
      <c r="H166" s="14">
        <f t="shared" si="22"/>
        <v>948.53</v>
      </c>
      <c r="I166" s="276">
        <f t="shared" si="28"/>
        <v>60262.909999999996</v>
      </c>
      <c r="J166" s="276">
        <f t="shared" si="29"/>
        <v>32034.999999999989</v>
      </c>
      <c r="K166" s="276">
        <f t="shared" si="26"/>
        <v>37268.929999999949</v>
      </c>
      <c r="L166" s="394">
        <f t="shared" si="20"/>
        <v>12</v>
      </c>
      <c r="M166" s="394">
        <f t="shared" si="27"/>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613">
        <f>IF(OR(A166="",A166&gt;=subjectMortgageEndDate),"",EDATE(A166,1))</f>
        <v>50345</v>
      </c>
      <c r="B167" s="276">
        <f t="shared" si="24"/>
        <v>37268.929999999949</v>
      </c>
      <c r="C167" s="14">
        <f>IF(A167="",0,IF(B167&lt;=0,0,IF(A167=subjectMortgageEndDate,B167+E167,MIN(subjectPayment,B167+E167))))</f>
        <v>625.80999999999995</v>
      </c>
      <c r="D167" s="14">
        <f t="shared" si="25"/>
        <v>509.33999999999992</v>
      </c>
      <c r="E167" s="14">
        <f>IF(OR(A167="",B167&lt;=0),0,ROUND(B167*(subjectInterestRate/12),2))</f>
        <v>116.47</v>
      </c>
      <c r="F167" s="14">
        <f t="shared" si="30"/>
        <v>134.16999999999999</v>
      </c>
      <c r="G167" s="14">
        <f t="shared" si="30"/>
        <v>188.55</v>
      </c>
      <c r="H167" s="14">
        <f t="shared" si="22"/>
        <v>948.53</v>
      </c>
      <c r="I167" s="276">
        <f t="shared" si="28"/>
        <v>60772.249999999993</v>
      </c>
      <c r="J167" s="276">
        <f t="shared" si="29"/>
        <v>32151.46999999999</v>
      </c>
      <c r="K167" s="276">
        <f t="shared" si="26"/>
        <v>36759.589999999953</v>
      </c>
      <c r="L167" s="394">
        <f t="shared" si="20"/>
        <v>12</v>
      </c>
      <c r="M167" s="394">
        <f t="shared" si="27"/>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613">
        <f>IF(OR(A167="",A167&gt;=subjectMortgageEndDate),"",EDATE(A167,1))</f>
        <v>50375</v>
      </c>
      <c r="B168" s="276">
        <f t="shared" si="24"/>
        <v>36759.589999999953</v>
      </c>
      <c r="C168" s="14">
        <f>IF(A168="",0,IF(B168&lt;=0,0,IF(A168=subjectMortgageEndDate,B168+E168,MIN(subjectPayment,B168+E168))))</f>
        <v>625.80999999999995</v>
      </c>
      <c r="D168" s="14">
        <f t="shared" si="25"/>
        <v>510.93999999999994</v>
      </c>
      <c r="E168" s="14">
        <f>IF(OR(A168="",B168&lt;=0),0,ROUND(B168*(subjectInterestRate/12),2))</f>
        <v>114.87</v>
      </c>
      <c r="F168" s="14">
        <f t="shared" si="30"/>
        <v>134.16999999999999</v>
      </c>
      <c r="G168" s="14">
        <f t="shared" si="30"/>
        <v>188.55</v>
      </c>
      <c r="H168" s="14">
        <f t="shared" si="22"/>
        <v>948.53</v>
      </c>
      <c r="I168" s="276">
        <f t="shared" si="28"/>
        <v>61283.189999999995</v>
      </c>
      <c r="J168" s="276">
        <f t="shared" si="29"/>
        <v>32266.339999999989</v>
      </c>
      <c r="K168" s="276">
        <f t="shared" si="26"/>
        <v>36248.649999999951</v>
      </c>
      <c r="L168" s="394">
        <f t="shared" si="20"/>
        <v>12</v>
      </c>
      <c r="M168" s="394">
        <f t="shared" si="27"/>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613">
        <f>IF(OR(A168="",A168&gt;=subjectMortgageEndDate),"",EDATE(A168,1))</f>
        <v>50406</v>
      </c>
      <c r="B169" s="276">
        <f t="shared" si="24"/>
        <v>36248.649999999951</v>
      </c>
      <c r="C169" s="14">
        <f>IF(A169="",0,IF(B169&lt;=0,0,IF(A169=subjectMortgageEndDate,B169+E169,MIN(subjectPayment,B169+E169))))</f>
        <v>625.80999999999995</v>
      </c>
      <c r="D169" s="14">
        <f t="shared" si="25"/>
        <v>512.53</v>
      </c>
      <c r="E169" s="14">
        <f>IF(OR(A169="",B169&lt;=0),0,ROUND(B169*(subjectInterestRate/12),2))</f>
        <v>113.28</v>
      </c>
      <c r="F169" s="14">
        <f t="shared" si="30"/>
        <v>134.16999999999999</v>
      </c>
      <c r="G169" s="14">
        <f t="shared" si="30"/>
        <v>188.55</v>
      </c>
      <c r="H169" s="14">
        <f t="shared" si="22"/>
        <v>948.53</v>
      </c>
      <c r="I169" s="276">
        <f t="shared" si="28"/>
        <v>61795.719999999994</v>
      </c>
      <c r="J169" s="276">
        <f t="shared" si="29"/>
        <v>32379.619999999988</v>
      </c>
      <c r="K169" s="276">
        <f t="shared" si="26"/>
        <v>35736.119999999952</v>
      </c>
      <c r="L169" s="394">
        <f t="shared" si="20"/>
        <v>12</v>
      </c>
      <c r="M169" s="394">
        <f t="shared" si="27"/>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613">
        <f>IF(OR(A169="",A169&gt;=subjectMortgageEndDate),"",EDATE(A169,1))</f>
        <v>50437</v>
      </c>
      <c r="B170" s="276">
        <f t="shared" si="24"/>
        <v>35736.119999999952</v>
      </c>
      <c r="C170" s="14">
        <f>IF(A170="",0,IF(B170&lt;=0,0,IF(A170=subjectMortgageEndDate,B170+E170,MIN(subjectPayment,B170+E170))))</f>
        <v>625.80999999999995</v>
      </c>
      <c r="D170" s="14">
        <f t="shared" si="25"/>
        <v>514.12999999999988</v>
      </c>
      <c r="E170" s="14">
        <f>IF(OR(A170="",B170&lt;=0),0,ROUND(B170*(subjectInterestRate/12),2))</f>
        <v>111.68</v>
      </c>
      <c r="F170" s="14">
        <f t="shared" si="30"/>
        <v>134.16999999999999</v>
      </c>
      <c r="G170" s="14">
        <f t="shared" si="30"/>
        <v>188.55</v>
      </c>
      <c r="H170" s="14">
        <f t="shared" si="22"/>
        <v>948.53</v>
      </c>
      <c r="I170" s="276">
        <f t="shared" si="28"/>
        <v>62309.849999999991</v>
      </c>
      <c r="J170" s="276">
        <f t="shared" si="29"/>
        <v>32491.299999999988</v>
      </c>
      <c r="K170" s="276">
        <f t="shared" si="26"/>
        <v>35221.989999999954</v>
      </c>
      <c r="L170" s="394">
        <f t="shared" si="20"/>
        <v>12</v>
      </c>
      <c r="M170" s="394">
        <f t="shared" si="27"/>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613">
        <f>IF(OR(A170="",A170&gt;=subjectMortgageEndDate),"",EDATE(A170,1))</f>
        <v>50465</v>
      </c>
      <c r="B171" s="276">
        <f t="shared" si="24"/>
        <v>35221.989999999954</v>
      </c>
      <c r="C171" s="14">
        <f>IF(A171="",0,IF(B171&lt;=0,0,IF(A171=subjectMortgageEndDate,B171+E171,MIN(subjectPayment,B171+E171))))</f>
        <v>625.80999999999995</v>
      </c>
      <c r="D171" s="14">
        <f t="shared" si="25"/>
        <v>515.74</v>
      </c>
      <c r="E171" s="14">
        <f>IF(OR(A171="",B171&lt;=0),0,ROUND(B171*(subjectInterestRate/12),2))</f>
        <v>110.07</v>
      </c>
      <c r="F171" s="14">
        <f t="shared" si="30"/>
        <v>134.16999999999999</v>
      </c>
      <c r="G171" s="14">
        <f t="shared" si="30"/>
        <v>188.55</v>
      </c>
      <c r="H171" s="14">
        <f t="shared" si="22"/>
        <v>948.53</v>
      </c>
      <c r="I171" s="276">
        <f t="shared" si="28"/>
        <v>62825.589999999989</v>
      </c>
      <c r="J171" s="276">
        <f t="shared" si="29"/>
        <v>32601.369999999988</v>
      </c>
      <c r="K171" s="276">
        <f t="shared" si="26"/>
        <v>34706.249999999956</v>
      </c>
      <c r="L171" s="394">
        <f t="shared" si="20"/>
        <v>12</v>
      </c>
      <c r="M171" s="394">
        <f t="shared" si="27"/>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613">
        <f>IF(OR(A171="",A171&gt;=subjectMortgageEndDate),"",EDATE(A171,1))</f>
        <v>50496</v>
      </c>
      <c r="B172" s="276">
        <f t="shared" si="24"/>
        <v>34706.249999999956</v>
      </c>
      <c r="C172" s="14">
        <f>IF(A172="",0,IF(B172&lt;=0,0,IF(A172=subjectMortgageEndDate,B172+E172,MIN(subjectPayment,B172+E172))))</f>
        <v>625.80999999999995</v>
      </c>
      <c r="D172" s="14">
        <f t="shared" si="25"/>
        <v>517.34999999999991</v>
      </c>
      <c r="E172" s="14">
        <f>IF(OR(A172="",B172&lt;=0),0,ROUND(B172*(subjectInterestRate/12),2))</f>
        <v>108.46</v>
      </c>
      <c r="F172" s="14">
        <f t="shared" si="30"/>
        <v>134.16999999999999</v>
      </c>
      <c r="G172" s="14">
        <f t="shared" si="30"/>
        <v>188.55</v>
      </c>
      <c r="H172" s="14">
        <f t="shared" si="22"/>
        <v>948.53</v>
      </c>
      <c r="I172" s="276">
        <f t="shared" si="28"/>
        <v>63342.939999999988</v>
      </c>
      <c r="J172" s="276">
        <f t="shared" si="29"/>
        <v>32709.829999999987</v>
      </c>
      <c r="K172" s="276">
        <f t="shared" si="26"/>
        <v>34188.899999999958</v>
      </c>
      <c r="L172" s="394">
        <f t="shared" si="20"/>
        <v>12</v>
      </c>
      <c r="M172" s="394">
        <f t="shared" si="27"/>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613">
        <f>IF(OR(A172="",A172&gt;=subjectMortgageEndDate),"",EDATE(A172,1))</f>
        <v>50526</v>
      </c>
      <c r="B173" s="276">
        <f t="shared" si="24"/>
        <v>34188.899999999958</v>
      </c>
      <c r="C173" s="14">
        <f>IF(A173="",0,IF(B173&lt;=0,0,IF(A173=subjectMortgageEndDate,B173+E173,MIN(subjectPayment,B173+E173))))</f>
        <v>625.80999999999995</v>
      </c>
      <c r="D173" s="14">
        <f t="shared" si="25"/>
        <v>518.96999999999991</v>
      </c>
      <c r="E173" s="14">
        <f>IF(OR(A173="",B173&lt;=0),0,ROUND(B173*(subjectInterestRate/12),2))</f>
        <v>106.84</v>
      </c>
      <c r="F173" s="14">
        <f t="shared" si="30"/>
        <v>134.16999999999999</v>
      </c>
      <c r="G173" s="14">
        <f t="shared" si="30"/>
        <v>188.55</v>
      </c>
      <c r="H173" s="14">
        <f t="shared" si="22"/>
        <v>948.53</v>
      </c>
      <c r="I173" s="276">
        <f t="shared" si="28"/>
        <v>63861.909999999989</v>
      </c>
      <c r="J173" s="276">
        <f t="shared" si="29"/>
        <v>32816.669999999984</v>
      </c>
      <c r="K173" s="276">
        <f t="shared" si="26"/>
        <v>33669.929999999957</v>
      </c>
      <c r="L173" s="394">
        <f t="shared" si="20"/>
        <v>12</v>
      </c>
      <c r="M173" s="394">
        <f t="shared" si="27"/>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613">
        <f>IF(OR(A173="",A173&gt;=subjectMortgageEndDate),"",EDATE(A173,1))</f>
        <v>50557</v>
      </c>
      <c r="B174" s="276">
        <f t="shared" si="24"/>
        <v>33669.929999999957</v>
      </c>
      <c r="C174" s="14">
        <f>IF(A174="",0,IF(B174&lt;=0,0,IF(A174=subjectMortgageEndDate,B174+E174,MIN(subjectPayment,B174+E174))))</f>
        <v>625.80999999999995</v>
      </c>
      <c r="D174" s="14">
        <f t="shared" si="25"/>
        <v>520.58999999999992</v>
      </c>
      <c r="E174" s="14">
        <f>IF(OR(A174="",B174&lt;=0),0,ROUND(B174*(subjectInterestRate/12),2))</f>
        <v>105.22</v>
      </c>
      <c r="F174" s="14">
        <f t="shared" si="30"/>
        <v>134.16999999999999</v>
      </c>
      <c r="G174" s="14">
        <f t="shared" si="30"/>
        <v>188.55</v>
      </c>
      <c r="H174" s="14">
        <f t="shared" si="22"/>
        <v>948.53</v>
      </c>
      <c r="I174" s="276">
        <f t="shared" si="28"/>
        <v>64382.499999999985</v>
      </c>
      <c r="J174" s="276">
        <f t="shared" si="29"/>
        <v>32921.889999999985</v>
      </c>
      <c r="K174" s="276">
        <f t="shared" si="26"/>
        <v>33149.33999999996</v>
      </c>
      <c r="L174" s="394">
        <f t="shared" si="20"/>
        <v>12</v>
      </c>
      <c r="M174" s="394">
        <f t="shared" si="27"/>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614">
        <f>IF(OR(A174="",A174&gt;=subjectMortgageEndDate),"",EDATE(A174,1))</f>
        <v>50587</v>
      </c>
      <c r="B175" s="332">
        <f t="shared" si="24"/>
        <v>33149.33999999996</v>
      </c>
      <c r="C175" s="21">
        <f>IF(A175="",0,IF(B175&lt;=0,0,IF(A175=subjectMortgageEndDate,B175+E175,MIN(subjectPayment,B175+E175))))</f>
        <v>625.80999999999995</v>
      </c>
      <c r="D175" s="21">
        <f t="shared" si="25"/>
        <v>522.21999999999991</v>
      </c>
      <c r="E175" s="21">
        <f>IF(OR(A175="",B175&lt;=0),0,ROUND(B175*(subjectInterestRate/12),2))</f>
        <v>103.59</v>
      </c>
      <c r="F175" s="21">
        <f t="shared" ref="F175:G190" si="31">+F174</f>
        <v>134.16999999999999</v>
      </c>
      <c r="G175" s="21">
        <f t="shared" si="31"/>
        <v>188.55</v>
      </c>
      <c r="H175" s="21">
        <f t="shared" si="22"/>
        <v>948.53</v>
      </c>
      <c r="I175" s="332">
        <f t="shared" si="28"/>
        <v>64904.719999999987</v>
      </c>
      <c r="J175" s="332">
        <f t="shared" si="29"/>
        <v>33025.479999999981</v>
      </c>
      <c r="K175" s="332">
        <f t="shared" si="26"/>
        <v>32627.119999999959</v>
      </c>
      <c r="L175" s="395">
        <f t="shared" si="20"/>
        <v>12</v>
      </c>
      <c r="M175" s="395">
        <f t="shared" si="27"/>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32">
        <f>IF(INDEX(tblContractForDeed[End Bal],ROW()-ROW(tblBuyerOutputs[#Headers]))&lt;=0,0,($O$6+IF(ROW()=ROW(tblBuyerOutputs[#Headers])+1,0,INDEX(tblBuyerOutputs[Cumul Appr],ROW()-ROW(tblBuyerOutputs[#Headers])-1)))*$O$2/12)</f>
        <v>597.36608845924911</v>
      </c>
      <c r="AE175" s="332">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613">
        <f>IF(OR(A175="",A175&gt;=subjectMortgageEndDate),"",EDATE(A175,1))</f>
        <v>50618</v>
      </c>
      <c r="B176" s="276">
        <f t="shared" si="24"/>
        <v>32627.119999999959</v>
      </c>
      <c r="C176" s="14">
        <f>IF(A176="",0,IF(B176&lt;=0,0,IF(A176=subjectMortgageEndDate,B176+E176,MIN(subjectPayment,B176+E176))))</f>
        <v>625.80999999999995</v>
      </c>
      <c r="D176" s="14">
        <f t="shared" si="25"/>
        <v>523.84999999999991</v>
      </c>
      <c r="E176" s="14">
        <f>IF(OR(A176="",B176&lt;=0),0,ROUND(B176*(subjectInterestRate/12),2))</f>
        <v>101.96</v>
      </c>
      <c r="F176" s="14">
        <f t="shared" si="31"/>
        <v>134.16999999999999</v>
      </c>
      <c r="G176" s="14">
        <f t="shared" si="31"/>
        <v>188.55</v>
      </c>
      <c r="H176" s="14">
        <f t="shared" si="22"/>
        <v>948.53</v>
      </c>
      <c r="I176" s="276">
        <f t="shared" si="28"/>
        <v>65428.569999999985</v>
      </c>
      <c r="J176" s="276">
        <f t="shared" si="29"/>
        <v>33127.439999999981</v>
      </c>
      <c r="K176" s="276">
        <f t="shared" si="26"/>
        <v>32103.26999999996</v>
      </c>
      <c r="L176" s="394">
        <f t="shared" si="20"/>
        <v>13</v>
      </c>
      <c r="M176" s="394">
        <f t="shared" si="27"/>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613">
        <f>IF(OR(A176="",A176&gt;=subjectMortgageEndDate),"",EDATE(A176,1))</f>
        <v>50649</v>
      </c>
      <c r="B177" s="276">
        <f t="shared" si="24"/>
        <v>32103.26999999996</v>
      </c>
      <c r="C177" s="14">
        <f>IF(A177="",0,IF(B177&lt;=0,0,IF(A177=subjectMortgageEndDate,B177+E177,MIN(subjectPayment,B177+E177))))</f>
        <v>625.80999999999995</v>
      </c>
      <c r="D177" s="14">
        <f t="shared" si="25"/>
        <v>525.49</v>
      </c>
      <c r="E177" s="14">
        <f>IF(OR(A177="",B177&lt;=0),0,ROUND(B177*(subjectInterestRate/12),2))</f>
        <v>100.32</v>
      </c>
      <c r="F177" s="14">
        <f t="shared" si="31"/>
        <v>134.16999999999999</v>
      </c>
      <c r="G177" s="14">
        <f t="shared" si="31"/>
        <v>188.55</v>
      </c>
      <c r="H177" s="14">
        <f t="shared" si="22"/>
        <v>948.53</v>
      </c>
      <c r="I177" s="276">
        <f t="shared" si="28"/>
        <v>65954.059999999983</v>
      </c>
      <c r="J177" s="276">
        <f t="shared" si="29"/>
        <v>33227.75999999998</v>
      </c>
      <c r="K177" s="276">
        <f t="shared" si="26"/>
        <v>31577.779999999959</v>
      </c>
      <c r="L177" s="394">
        <f t="shared" si="20"/>
        <v>13</v>
      </c>
      <c r="M177" s="394">
        <f t="shared" si="27"/>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613">
        <f>IF(OR(A177="",A177&gt;=subjectMortgageEndDate),"",EDATE(A177,1))</f>
        <v>50679</v>
      </c>
      <c r="B178" s="276">
        <f t="shared" si="24"/>
        <v>31577.779999999959</v>
      </c>
      <c r="C178" s="14">
        <f>IF(A178="",0,IF(B178&lt;=0,0,IF(A178=subjectMortgageEndDate,B178+E178,MIN(subjectPayment,B178+E178))))</f>
        <v>625.80999999999995</v>
      </c>
      <c r="D178" s="14">
        <f t="shared" si="25"/>
        <v>527.12999999999988</v>
      </c>
      <c r="E178" s="14">
        <f>IF(OR(A178="",B178&lt;=0),0,ROUND(B178*(subjectInterestRate/12),2))</f>
        <v>98.68</v>
      </c>
      <c r="F178" s="14">
        <f t="shared" si="31"/>
        <v>134.16999999999999</v>
      </c>
      <c r="G178" s="14">
        <f t="shared" si="31"/>
        <v>188.55</v>
      </c>
      <c r="H178" s="14">
        <f t="shared" si="22"/>
        <v>948.53</v>
      </c>
      <c r="I178" s="276">
        <f t="shared" si="28"/>
        <v>66481.189999999988</v>
      </c>
      <c r="J178" s="276">
        <f t="shared" si="29"/>
        <v>33326.439999999981</v>
      </c>
      <c r="K178" s="276">
        <f t="shared" si="26"/>
        <v>31050.649999999958</v>
      </c>
      <c r="L178" s="394">
        <f t="shared" si="20"/>
        <v>13</v>
      </c>
      <c r="M178" s="394">
        <f t="shared" si="27"/>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613">
        <f>IF(OR(A178="",A178&gt;=subjectMortgageEndDate),"",EDATE(A178,1))</f>
        <v>50710</v>
      </c>
      <c r="B179" s="276">
        <f t="shared" si="24"/>
        <v>31050.649999999958</v>
      </c>
      <c r="C179" s="14">
        <f>IF(A179="",0,IF(B179&lt;=0,0,IF(A179=subjectMortgageEndDate,B179+E179,MIN(subjectPayment,B179+E179))))</f>
        <v>625.80999999999995</v>
      </c>
      <c r="D179" s="14">
        <f t="shared" si="25"/>
        <v>528.78</v>
      </c>
      <c r="E179" s="14">
        <f>IF(OR(A179="",B179&lt;=0),0,ROUND(B179*(subjectInterestRate/12),2))</f>
        <v>97.03</v>
      </c>
      <c r="F179" s="14">
        <f t="shared" si="31"/>
        <v>134.16999999999999</v>
      </c>
      <c r="G179" s="14">
        <f t="shared" si="31"/>
        <v>188.55</v>
      </c>
      <c r="H179" s="14">
        <f t="shared" si="22"/>
        <v>948.53</v>
      </c>
      <c r="I179" s="276">
        <f t="shared" si="28"/>
        <v>67009.969999999987</v>
      </c>
      <c r="J179" s="276">
        <f t="shared" si="29"/>
        <v>33423.469999999979</v>
      </c>
      <c r="K179" s="276">
        <f t="shared" si="26"/>
        <v>30521.869999999959</v>
      </c>
      <c r="L179" s="394">
        <f t="shared" si="20"/>
        <v>13</v>
      </c>
      <c r="M179" s="394">
        <f t="shared" si="27"/>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613">
        <f>IF(OR(A179="",A179&gt;=subjectMortgageEndDate),"",EDATE(A179,1))</f>
        <v>50740</v>
      </c>
      <c r="B180" s="276">
        <f t="shared" si="24"/>
        <v>30521.869999999959</v>
      </c>
      <c r="C180" s="14">
        <f>IF(A180="",0,IF(B180&lt;=0,0,IF(A180=subjectMortgageEndDate,B180+E180,MIN(subjectPayment,B180+E180))))</f>
        <v>625.80999999999995</v>
      </c>
      <c r="D180" s="14">
        <f t="shared" si="25"/>
        <v>530.42999999999995</v>
      </c>
      <c r="E180" s="14">
        <f>IF(OR(A180="",B180&lt;=0),0,ROUND(B180*(subjectInterestRate/12),2))</f>
        <v>95.38</v>
      </c>
      <c r="F180" s="14">
        <f t="shared" si="31"/>
        <v>134.16999999999999</v>
      </c>
      <c r="G180" s="14">
        <f t="shared" si="31"/>
        <v>188.55</v>
      </c>
      <c r="H180" s="14">
        <f t="shared" si="22"/>
        <v>948.53</v>
      </c>
      <c r="I180" s="276">
        <f t="shared" si="28"/>
        <v>67540.39999999998</v>
      </c>
      <c r="J180" s="276">
        <f t="shared" si="29"/>
        <v>33518.849999999977</v>
      </c>
      <c r="K180" s="276">
        <f t="shared" si="26"/>
        <v>29991.439999999959</v>
      </c>
      <c r="L180" s="394">
        <f t="shared" ref="L180:L243" si="32">IF(MOD(M180,12)=0,M180/12,L179)</f>
        <v>13</v>
      </c>
      <c r="M180" s="394">
        <f t="shared" si="27"/>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613">
        <f>IF(OR(A180="",A180&gt;=subjectMortgageEndDate),"",EDATE(A180,1))</f>
        <v>50771</v>
      </c>
      <c r="B181" s="276">
        <f t="shared" si="24"/>
        <v>29991.439999999959</v>
      </c>
      <c r="C181" s="14">
        <f>IF(A181="",0,IF(B181&lt;=0,0,IF(A181=subjectMortgageEndDate,B181+E181,MIN(subjectPayment,B181+E181))))</f>
        <v>625.80999999999995</v>
      </c>
      <c r="D181" s="14">
        <f t="shared" si="25"/>
        <v>532.08999999999992</v>
      </c>
      <c r="E181" s="14">
        <f>IF(OR(A181="",B181&lt;=0),0,ROUND(B181*(subjectInterestRate/12),2))</f>
        <v>93.72</v>
      </c>
      <c r="F181" s="14">
        <f t="shared" si="31"/>
        <v>134.16999999999999</v>
      </c>
      <c r="G181" s="14">
        <f t="shared" si="31"/>
        <v>188.55</v>
      </c>
      <c r="H181" s="14">
        <f t="shared" si="22"/>
        <v>948.53</v>
      </c>
      <c r="I181" s="276">
        <f t="shared" si="28"/>
        <v>68072.489999999976</v>
      </c>
      <c r="J181" s="276">
        <f t="shared" si="29"/>
        <v>33612.569999999978</v>
      </c>
      <c r="K181" s="276">
        <f t="shared" si="26"/>
        <v>29459.349999999959</v>
      </c>
      <c r="L181" s="394">
        <f t="shared" si="32"/>
        <v>13</v>
      </c>
      <c r="M181" s="394">
        <f t="shared" si="27"/>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613">
        <f>IF(OR(A181="",A181&gt;=subjectMortgageEndDate),"",EDATE(A181,1))</f>
        <v>50802</v>
      </c>
      <c r="B182" s="276">
        <f t="shared" si="24"/>
        <v>29459.349999999959</v>
      </c>
      <c r="C182" s="14">
        <f>IF(A182="",0,IF(B182&lt;=0,0,IF(A182=subjectMortgageEndDate,B182+E182,MIN(subjectPayment,B182+E182))))</f>
        <v>625.80999999999995</v>
      </c>
      <c r="D182" s="14">
        <f t="shared" si="25"/>
        <v>533.75</v>
      </c>
      <c r="E182" s="14">
        <f>IF(OR(A182="",B182&lt;=0),0,ROUND(B182*(subjectInterestRate/12),2))</f>
        <v>92.06</v>
      </c>
      <c r="F182" s="14">
        <f t="shared" si="31"/>
        <v>134.16999999999999</v>
      </c>
      <c r="G182" s="14">
        <f t="shared" si="31"/>
        <v>188.55</v>
      </c>
      <c r="H182" s="14">
        <f t="shared" si="22"/>
        <v>948.53</v>
      </c>
      <c r="I182" s="276">
        <f t="shared" si="28"/>
        <v>68606.239999999976</v>
      </c>
      <c r="J182" s="276">
        <f t="shared" si="29"/>
        <v>33704.629999999976</v>
      </c>
      <c r="K182" s="276">
        <f t="shared" si="26"/>
        <v>28925.599999999959</v>
      </c>
      <c r="L182" s="394">
        <f t="shared" si="32"/>
        <v>13</v>
      </c>
      <c r="M182" s="394">
        <f t="shared" si="27"/>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613">
        <f>IF(OR(A182="",A182&gt;=subjectMortgageEndDate),"",EDATE(A182,1))</f>
        <v>50830</v>
      </c>
      <c r="B183" s="276">
        <f t="shared" si="24"/>
        <v>28925.599999999959</v>
      </c>
      <c r="C183" s="14">
        <f>IF(A183="",0,IF(B183&lt;=0,0,IF(A183=subjectMortgageEndDate,B183+E183,MIN(subjectPayment,B183+E183))))</f>
        <v>625.80999999999995</v>
      </c>
      <c r="D183" s="14">
        <f t="shared" si="25"/>
        <v>535.41999999999996</v>
      </c>
      <c r="E183" s="14">
        <f>IF(OR(A183="",B183&lt;=0),0,ROUND(B183*(subjectInterestRate/12),2))</f>
        <v>90.39</v>
      </c>
      <c r="F183" s="14">
        <f t="shared" si="31"/>
        <v>134.16999999999999</v>
      </c>
      <c r="G183" s="14">
        <f t="shared" si="31"/>
        <v>188.55</v>
      </c>
      <c r="H183" s="14">
        <f t="shared" si="22"/>
        <v>948.53</v>
      </c>
      <c r="I183" s="276">
        <f t="shared" si="28"/>
        <v>69141.659999999974</v>
      </c>
      <c r="J183" s="276">
        <f t="shared" si="29"/>
        <v>33795.019999999975</v>
      </c>
      <c r="K183" s="276">
        <f t="shared" si="26"/>
        <v>28390.17999999996</v>
      </c>
      <c r="L183" s="394">
        <f t="shared" si="32"/>
        <v>13</v>
      </c>
      <c r="M183" s="394">
        <f t="shared" si="27"/>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613">
        <f>IF(OR(A183="",A183&gt;=subjectMortgageEndDate),"",EDATE(A183,1))</f>
        <v>50861</v>
      </c>
      <c r="B184" s="276">
        <f t="shared" si="24"/>
        <v>28390.17999999996</v>
      </c>
      <c r="C184" s="14">
        <f>IF(A184="",0,IF(B184&lt;=0,0,IF(A184=subjectMortgageEndDate,B184+E184,MIN(subjectPayment,B184+E184))))</f>
        <v>625.80999999999995</v>
      </c>
      <c r="D184" s="14">
        <f t="shared" si="25"/>
        <v>537.08999999999992</v>
      </c>
      <c r="E184" s="14">
        <f>IF(OR(A184="",B184&lt;=0),0,ROUND(B184*(subjectInterestRate/12),2))</f>
        <v>88.72</v>
      </c>
      <c r="F184" s="14">
        <f t="shared" si="31"/>
        <v>134.16999999999999</v>
      </c>
      <c r="G184" s="14">
        <f t="shared" si="31"/>
        <v>188.55</v>
      </c>
      <c r="H184" s="14">
        <f t="shared" si="22"/>
        <v>948.53</v>
      </c>
      <c r="I184" s="276">
        <f t="shared" si="28"/>
        <v>69678.749999999971</v>
      </c>
      <c r="J184" s="276">
        <f t="shared" si="29"/>
        <v>33883.739999999976</v>
      </c>
      <c r="K184" s="276">
        <f t="shared" si="26"/>
        <v>27853.08999999996</v>
      </c>
      <c r="L184" s="394">
        <f t="shared" si="32"/>
        <v>13</v>
      </c>
      <c r="M184" s="394">
        <f t="shared" si="27"/>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613">
        <f>IF(OR(A184="",A184&gt;=subjectMortgageEndDate),"",EDATE(A184,1))</f>
        <v>50891</v>
      </c>
      <c r="B185" s="276">
        <f t="shared" si="24"/>
        <v>27853.08999999996</v>
      </c>
      <c r="C185" s="14">
        <f>IF(A185="",0,IF(B185&lt;=0,0,IF(A185=subjectMortgageEndDate,B185+E185,MIN(subjectPayment,B185+E185))))</f>
        <v>625.80999999999995</v>
      </c>
      <c r="D185" s="14">
        <f t="shared" si="25"/>
        <v>538.77</v>
      </c>
      <c r="E185" s="14">
        <f>IF(OR(A185="",B185&lt;=0),0,ROUND(B185*(subjectInterestRate/12),2))</f>
        <v>87.04</v>
      </c>
      <c r="F185" s="14">
        <f t="shared" si="31"/>
        <v>134.16999999999999</v>
      </c>
      <c r="G185" s="14">
        <f t="shared" si="31"/>
        <v>188.55</v>
      </c>
      <c r="H185" s="14">
        <f t="shared" si="22"/>
        <v>948.53</v>
      </c>
      <c r="I185" s="276">
        <f t="shared" si="28"/>
        <v>70217.519999999975</v>
      </c>
      <c r="J185" s="276">
        <f t="shared" si="29"/>
        <v>33970.779999999977</v>
      </c>
      <c r="K185" s="276">
        <f t="shared" si="26"/>
        <v>27314.31999999996</v>
      </c>
      <c r="L185" s="394">
        <f t="shared" si="32"/>
        <v>13</v>
      </c>
      <c r="M185" s="394">
        <f t="shared" si="27"/>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613">
        <f>IF(OR(A185="",A185&gt;=subjectMortgageEndDate),"",EDATE(A185,1))</f>
        <v>50922</v>
      </c>
      <c r="B186" s="276">
        <f t="shared" si="24"/>
        <v>27314.31999999996</v>
      </c>
      <c r="C186" s="14">
        <f>IF(A186="",0,IF(B186&lt;=0,0,IF(A186=subjectMortgageEndDate,B186+E186,MIN(subjectPayment,B186+E186))))</f>
        <v>625.80999999999995</v>
      </c>
      <c r="D186" s="14">
        <f t="shared" si="25"/>
        <v>540.44999999999993</v>
      </c>
      <c r="E186" s="14">
        <f>IF(OR(A186="",B186&lt;=0),0,ROUND(B186*(subjectInterestRate/12),2))</f>
        <v>85.36</v>
      </c>
      <c r="F186" s="14">
        <f t="shared" si="31"/>
        <v>134.16999999999999</v>
      </c>
      <c r="G186" s="14">
        <f t="shared" si="31"/>
        <v>188.55</v>
      </c>
      <c r="H186" s="14">
        <f t="shared" si="22"/>
        <v>948.53</v>
      </c>
      <c r="I186" s="276">
        <f t="shared" si="28"/>
        <v>70757.969999999972</v>
      </c>
      <c r="J186" s="276">
        <f t="shared" si="29"/>
        <v>34056.139999999978</v>
      </c>
      <c r="K186" s="276">
        <f t="shared" si="26"/>
        <v>26773.869999999959</v>
      </c>
      <c r="L186" s="394">
        <f t="shared" si="32"/>
        <v>13</v>
      </c>
      <c r="M186" s="394">
        <f t="shared" si="27"/>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614">
        <f>IF(OR(A186="",A186&gt;=subjectMortgageEndDate),"",EDATE(A186,1))</f>
        <v>50952</v>
      </c>
      <c r="B187" s="332">
        <f t="shared" si="24"/>
        <v>26773.869999999959</v>
      </c>
      <c r="C187" s="21">
        <f>IF(A187="",0,IF(B187&lt;=0,0,IF(A187=subjectMortgageEndDate,B187+E187,MIN(subjectPayment,B187+E187))))</f>
        <v>625.80999999999995</v>
      </c>
      <c r="D187" s="21">
        <f t="shared" si="25"/>
        <v>542.14</v>
      </c>
      <c r="E187" s="21">
        <f>IF(OR(A187="",B187&lt;=0),0,ROUND(B187*(subjectInterestRate/12),2))</f>
        <v>83.67</v>
      </c>
      <c r="F187" s="21">
        <f t="shared" si="31"/>
        <v>134.16999999999999</v>
      </c>
      <c r="G187" s="21">
        <f t="shared" si="31"/>
        <v>188.55</v>
      </c>
      <c r="H187" s="21">
        <f t="shared" si="22"/>
        <v>948.53</v>
      </c>
      <c r="I187" s="332">
        <f t="shared" si="28"/>
        <v>71300.109999999971</v>
      </c>
      <c r="J187" s="332">
        <f t="shared" si="29"/>
        <v>34139.809999999976</v>
      </c>
      <c r="K187" s="332">
        <f t="shared" si="26"/>
        <v>26231.72999999996</v>
      </c>
      <c r="L187" s="395">
        <f t="shared" si="32"/>
        <v>13</v>
      </c>
      <c r="M187" s="395">
        <f t="shared" si="27"/>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32">
        <f>IF(INDEX(tblContractForDeed[End Bal],ROW()-ROW(tblBuyerOutputs[#Headers]))&lt;=0,0,($O$6+IF(ROW()=ROW(tblBuyerOutputs[#Headers])+1,0,INDEX(tblBuyerOutputs[Cumul Appr],ROW()-ROW(tblBuyerOutputs[#Headers])-1)))*$O$2/12)</f>
        <v>627.92847127501159</v>
      </c>
      <c r="AE187" s="332">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613">
        <f>IF(OR(A187="",A187&gt;=subjectMortgageEndDate),"",EDATE(A187,1))</f>
        <v>50983</v>
      </c>
      <c r="B188" s="276">
        <f t="shared" si="24"/>
        <v>26231.72999999996</v>
      </c>
      <c r="C188" s="14">
        <f>IF(A188="",0,IF(B188&lt;=0,0,IF(A188=subjectMortgageEndDate,B188+E188,MIN(subjectPayment,B188+E188))))</f>
        <v>625.80999999999995</v>
      </c>
      <c r="D188" s="14">
        <f t="shared" si="25"/>
        <v>543.83999999999992</v>
      </c>
      <c r="E188" s="14">
        <f>IF(OR(A188="",B188&lt;=0),0,ROUND(B188*(subjectInterestRate/12),2))</f>
        <v>81.97</v>
      </c>
      <c r="F188" s="14">
        <f t="shared" si="31"/>
        <v>134.16999999999999</v>
      </c>
      <c r="G188" s="14">
        <f t="shared" si="31"/>
        <v>188.55</v>
      </c>
      <c r="H188" s="14">
        <f t="shared" si="22"/>
        <v>948.53</v>
      </c>
      <c r="I188" s="276">
        <f t="shared" si="28"/>
        <v>71843.949999999968</v>
      </c>
      <c r="J188" s="276">
        <f t="shared" si="29"/>
        <v>34221.779999999977</v>
      </c>
      <c r="K188" s="276">
        <f t="shared" si="26"/>
        <v>25687.889999999959</v>
      </c>
      <c r="L188" s="394">
        <f t="shared" si="32"/>
        <v>14</v>
      </c>
      <c r="M188" s="394">
        <f t="shared" si="27"/>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613">
        <f>IF(OR(A188="",A188&gt;=subjectMortgageEndDate),"",EDATE(A188,1))</f>
        <v>51014</v>
      </c>
      <c r="B189" s="276">
        <f t="shared" si="24"/>
        <v>25687.889999999959</v>
      </c>
      <c r="C189" s="14">
        <f>IF(A189="",0,IF(B189&lt;=0,0,IF(A189=subjectMortgageEndDate,B189+E189,MIN(subjectPayment,B189+E189))))</f>
        <v>625.80999999999995</v>
      </c>
      <c r="D189" s="14">
        <f t="shared" si="25"/>
        <v>545.54</v>
      </c>
      <c r="E189" s="14">
        <f>IF(OR(A189="",B189&lt;=0),0,ROUND(B189*(subjectInterestRate/12),2))</f>
        <v>80.27</v>
      </c>
      <c r="F189" s="14">
        <f t="shared" si="31"/>
        <v>134.16999999999999</v>
      </c>
      <c r="G189" s="14">
        <f t="shared" si="31"/>
        <v>188.55</v>
      </c>
      <c r="H189" s="14">
        <f t="shared" si="22"/>
        <v>948.53</v>
      </c>
      <c r="I189" s="276">
        <f t="shared" si="28"/>
        <v>72389.489999999962</v>
      </c>
      <c r="J189" s="276">
        <f t="shared" si="29"/>
        <v>34302.049999999974</v>
      </c>
      <c r="K189" s="276">
        <f t="shared" si="26"/>
        <v>25142.349999999959</v>
      </c>
      <c r="L189" s="394">
        <f t="shared" si="32"/>
        <v>14</v>
      </c>
      <c r="M189" s="394">
        <f t="shared" si="27"/>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613">
        <f>IF(OR(A189="",A189&gt;=subjectMortgageEndDate),"",EDATE(A189,1))</f>
        <v>51044</v>
      </c>
      <c r="B190" s="276">
        <f t="shared" si="24"/>
        <v>25142.349999999959</v>
      </c>
      <c r="C190" s="14">
        <f>IF(A190="",0,IF(B190&lt;=0,0,IF(A190=subjectMortgageEndDate,B190+E190,MIN(subjectPayment,B190+E190))))</f>
        <v>625.80999999999995</v>
      </c>
      <c r="D190" s="14">
        <f t="shared" si="25"/>
        <v>547.24</v>
      </c>
      <c r="E190" s="14">
        <f>IF(OR(A190="",B190&lt;=0),0,ROUND(B190*(subjectInterestRate/12),2))</f>
        <v>78.569999999999993</v>
      </c>
      <c r="F190" s="14">
        <f t="shared" si="31"/>
        <v>134.16999999999999</v>
      </c>
      <c r="G190" s="14">
        <f t="shared" si="31"/>
        <v>188.55</v>
      </c>
      <c r="H190" s="14">
        <f t="shared" si="22"/>
        <v>948.53</v>
      </c>
      <c r="I190" s="276">
        <f t="shared" si="28"/>
        <v>72936.729999999967</v>
      </c>
      <c r="J190" s="276">
        <f t="shared" si="29"/>
        <v>34380.619999999974</v>
      </c>
      <c r="K190" s="276">
        <f t="shared" si="26"/>
        <v>24595.109999999957</v>
      </c>
      <c r="L190" s="394">
        <f t="shared" si="32"/>
        <v>14</v>
      </c>
      <c r="M190" s="394">
        <f t="shared" si="27"/>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613">
        <f>IF(OR(A190="",A190&gt;=subjectMortgageEndDate),"",EDATE(A190,1))</f>
        <v>51075</v>
      </c>
      <c r="B191" s="276">
        <f t="shared" si="24"/>
        <v>24595.109999999957</v>
      </c>
      <c r="C191" s="14">
        <f>IF(A191="",0,IF(B191&lt;=0,0,IF(A191=subjectMortgageEndDate,B191+E191,MIN(subjectPayment,B191+E191))))</f>
        <v>625.80999999999995</v>
      </c>
      <c r="D191" s="14">
        <f t="shared" si="25"/>
        <v>548.94999999999993</v>
      </c>
      <c r="E191" s="14">
        <f>IF(OR(A191="",B191&lt;=0),0,ROUND(B191*(subjectInterestRate/12),2))</f>
        <v>76.86</v>
      </c>
      <c r="F191" s="14">
        <f t="shared" ref="F191:G206" si="33">+F190</f>
        <v>134.16999999999999</v>
      </c>
      <c r="G191" s="14">
        <f t="shared" si="33"/>
        <v>188.55</v>
      </c>
      <c r="H191" s="14">
        <f t="shared" si="22"/>
        <v>948.53</v>
      </c>
      <c r="I191" s="276">
        <f t="shared" si="28"/>
        <v>73485.679999999964</v>
      </c>
      <c r="J191" s="276">
        <f t="shared" si="29"/>
        <v>34457.479999999974</v>
      </c>
      <c r="K191" s="276">
        <f t="shared" si="26"/>
        <v>24046.159999999956</v>
      </c>
      <c r="L191" s="394">
        <f t="shared" si="32"/>
        <v>14</v>
      </c>
      <c r="M191" s="394">
        <f t="shared" si="27"/>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613">
        <f>IF(OR(A191="",A191&gt;=subjectMortgageEndDate),"",EDATE(A191,1))</f>
        <v>51105</v>
      </c>
      <c r="B192" s="276">
        <f t="shared" si="24"/>
        <v>24046.159999999956</v>
      </c>
      <c r="C192" s="14">
        <f>IF(A192="",0,IF(B192&lt;=0,0,IF(A192=subjectMortgageEndDate,B192+E192,MIN(subjectPayment,B192+E192))))</f>
        <v>625.80999999999995</v>
      </c>
      <c r="D192" s="14">
        <f t="shared" si="25"/>
        <v>550.66999999999996</v>
      </c>
      <c r="E192" s="14">
        <f>IF(OR(A192="",B192&lt;=0),0,ROUND(B192*(subjectInterestRate/12),2))</f>
        <v>75.14</v>
      </c>
      <c r="F192" s="14">
        <f t="shared" si="33"/>
        <v>134.16999999999999</v>
      </c>
      <c r="G192" s="14">
        <f t="shared" si="33"/>
        <v>188.55</v>
      </c>
      <c r="H192" s="14">
        <f t="shared" ref="H192:H255" si="34">SUM(D192:G192)</f>
        <v>948.53</v>
      </c>
      <c r="I192" s="276">
        <f t="shared" si="28"/>
        <v>74036.349999999962</v>
      </c>
      <c r="J192" s="276">
        <f t="shared" si="29"/>
        <v>34532.619999999974</v>
      </c>
      <c r="K192" s="276">
        <f t="shared" si="26"/>
        <v>23495.489999999958</v>
      </c>
      <c r="L192" s="394">
        <f t="shared" si="32"/>
        <v>14</v>
      </c>
      <c r="M192" s="394">
        <f t="shared" si="27"/>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613">
        <f>IF(OR(A192="",A192&gt;=subjectMortgageEndDate),"",EDATE(A192,1))</f>
        <v>51136</v>
      </c>
      <c r="B193" s="276">
        <f t="shared" si="24"/>
        <v>23495.489999999958</v>
      </c>
      <c r="C193" s="14">
        <f>IF(A193="",0,IF(B193&lt;=0,0,IF(A193=subjectMortgageEndDate,B193+E193,MIN(subjectPayment,B193+E193))))</f>
        <v>625.80999999999995</v>
      </c>
      <c r="D193" s="14">
        <f t="shared" si="25"/>
        <v>552.39</v>
      </c>
      <c r="E193" s="14">
        <f>IF(OR(A193="",B193&lt;=0),0,ROUND(B193*(subjectInterestRate/12),2))</f>
        <v>73.42</v>
      </c>
      <c r="F193" s="14">
        <f t="shared" si="33"/>
        <v>134.16999999999999</v>
      </c>
      <c r="G193" s="14">
        <f t="shared" si="33"/>
        <v>188.55</v>
      </c>
      <c r="H193" s="14">
        <f t="shared" si="34"/>
        <v>948.53</v>
      </c>
      <c r="I193" s="276">
        <f t="shared" si="28"/>
        <v>74588.739999999962</v>
      </c>
      <c r="J193" s="276">
        <f t="shared" si="29"/>
        <v>34606.039999999972</v>
      </c>
      <c r="K193" s="276">
        <f t="shared" si="26"/>
        <v>22943.099999999959</v>
      </c>
      <c r="L193" s="394">
        <f t="shared" si="32"/>
        <v>14</v>
      </c>
      <c r="M193" s="394">
        <f t="shared" si="27"/>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613">
        <f>IF(OR(A193="",A193&gt;=subjectMortgageEndDate),"",EDATE(A193,1))</f>
        <v>51167</v>
      </c>
      <c r="B194" s="276">
        <f t="shared" si="24"/>
        <v>22943.099999999959</v>
      </c>
      <c r="C194" s="14">
        <f>IF(A194="",0,IF(B194&lt;=0,0,IF(A194=subjectMortgageEndDate,B194+E194,MIN(subjectPayment,B194+E194))))</f>
        <v>625.80999999999995</v>
      </c>
      <c r="D194" s="14">
        <f t="shared" si="25"/>
        <v>554.1099999999999</v>
      </c>
      <c r="E194" s="14">
        <f>IF(OR(A194="",B194&lt;=0),0,ROUND(B194*(subjectInterestRate/12),2))</f>
        <v>71.7</v>
      </c>
      <c r="F194" s="14">
        <f t="shared" si="33"/>
        <v>134.16999999999999</v>
      </c>
      <c r="G194" s="14">
        <f t="shared" si="33"/>
        <v>188.55</v>
      </c>
      <c r="H194" s="14">
        <f t="shared" si="34"/>
        <v>948.53</v>
      </c>
      <c r="I194" s="276">
        <f t="shared" si="28"/>
        <v>75142.849999999962</v>
      </c>
      <c r="J194" s="276">
        <f t="shared" si="29"/>
        <v>34677.739999999969</v>
      </c>
      <c r="K194" s="276">
        <f t="shared" si="26"/>
        <v>22388.989999999958</v>
      </c>
      <c r="L194" s="394">
        <f t="shared" si="32"/>
        <v>14</v>
      </c>
      <c r="M194" s="394">
        <f t="shared" si="27"/>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613">
        <f>IF(OR(A194="",A194&gt;=subjectMortgageEndDate),"",EDATE(A194,1))</f>
        <v>51196</v>
      </c>
      <c r="B195" s="276">
        <f t="shared" si="24"/>
        <v>22388.989999999958</v>
      </c>
      <c r="C195" s="14">
        <f>IF(A195="",0,IF(B195&lt;=0,0,IF(A195=subjectMortgageEndDate,B195+E195,MIN(subjectPayment,B195+E195))))</f>
        <v>625.80999999999995</v>
      </c>
      <c r="D195" s="14">
        <f t="shared" si="25"/>
        <v>555.83999999999992</v>
      </c>
      <c r="E195" s="14">
        <f>IF(OR(A195="",B195&lt;=0),0,ROUND(B195*(subjectInterestRate/12),2))</f>
        <v>69.97</v>
      </c>
      <c r="F195" s="14">
        <f t="shared" si="33"/>
        <v>134.16999999999999</v>
      </c>
      <c r="G195" s="14">
        <f t="shared" si="33"/>
        <v>188.55</v>
      </c>
      <c r="H195" s="14">
        <f t="shared" si="34"/>
        <v>948.53</v>
      </c>
      <c r="I195" s="276">
        <f t="shared" si="28"/>
        <v>75698.689999999959</v>
      </c>
      <c r="J195" s="276">
        <f t="shared" si="29"/>
        <v>34747.70999999997</v>
      </c>
      <c r="K195" s="276">
        <f t="shared" si="26"/>
        <v>21833.149999999958</v>
      </c>
      <c r="L195" s="394">
        <f t="shared" si="32"/>
        <v>14</v>
      </c>
      <c r="M195" s="394">
        <f t="shared" si="27"/>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613">
        <f>IF(OR(A195="",A195&gt;=subjectMortgageEndDate),"",EDATE(A195,1))</f>
        <v>51227</v>
      </c>
      <c r="B196" s="276">
        <f t="shared" si="24"/>
        <v>21833.149999999958</v>
      </c>
      <c r="C196" s="14">
        <f>IF(A196="",0,IF(B196&lt;=0,0,IF(A196=subjectMortgageEndDate,B196+E196,MIN(subjectPayment,B196+E196))))</f>
        <v>625.80999999999995</v>
      </c>
      <c r="D196" s="14">
        <f t="shared" si="25"/>
        <v>557.57999999999993</v>
      </c>
      <c r="E196" s="14">
        <f>IF(OR(A196="",B196&lt;=0),0,ROUND(B196*(subjectInterestRate/12),2))</f>
        <v>68.23</v>
      </c>
      <c r="F196" s="14">
        <f t="shared" si="33"/>
        <v>134.16999999999999</v>
      </c>
      <c r="G196" s="14">
        <f t="shared" si="33"/>
        <v>188.55</v>
      </c>
      <c r="H196" s="14">
        <f t="shared" si="34"/>
        <v>948.53</v>
      </c>
      <c r="I196" s="276">
        <f t="shared" si="28"/>
        <v>76256.26999999996</v>
      </c>
      <c r="J196" s="276">
        <f t="shared" si="29"/>
        <v>34815.939999999973</v>
      </c>
      <c r="K196" s="276">
        <f t="shared" si="26"/>
        <v>21275.569999999956</v>
      </c>
      <c r="L196" s="394">
        <f t="shared" si="32"/>
        <v>14</v>
      </c>
      <c r="M196" s="394">
        <f t="shared" si="27"/>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613">
        <f>IF(OR(A196="",A196&gt;=subjectMortgageEndDate),"",EDATE(A196,1))</f>
        <v>51257</v>
      </c>
      <c r="B197" s="276">
        <f t="shared" si="24"/>
        <v>21275.569999999956</v>
      </c>
      <c r="C197" s="14">
        <f>IF(A197="",0,IF(B197&lt;=0,0,IF(A197=subjectMortgageEndDate,B197+E197,MIN(subjectPayment,B197+E197))))</f>
        <v>625.80999999999995</v>
      </c>
      <c r="D197" s="14">
        <f t="shared" si="25"/>
        <v>559.31999999999994</v>
      </c>
      <c r="E197" s="14">
        <f>IF(OR(A197="",B197&lt;=0),0,ROUND(B197*(subjectInterestRate/12),2))</f>
        <v>66.489999999999995</v>
      </c>
      <c r="F197" s="14">
        <f t="shared" si="33"/>
        <v>134.16999999999999</v>
      </c>
      <c r="G197" s="14">
        <f t="shared" si="33"/>
        <v>188.55</v>
      </c>
      <c r="H197" s="14">
        <f t="shared" si="34"/>
        <v>948.53</v>
      </c>
      <c r="I197" s="276">
        <f t="shared" si="28"/>
        <v>76815.589999999967</v>
      </c>
      <c r="J197" s="276">
        <f t="shared" si="29"/>
        <v>34882.429999999971</v>
      </c>
      <c r="K197" s="276">
        <f t="shared" si="26"/>
        <v>20716.249999999956</v>
      </c>
      <c r="L197" s="394">
        <f t="shared" si="32"/>
        <v>14</v>
      </c>
      <c r="M197" s="394">
        <f t="shared" si="27"/>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613">
        <f>IF(OR(A197="",A197&gt;=subjectMortgageEndDate),"",EDATE(A197,1))</f>
        <v>51288</v>
      </c>
      <c r="B198" s="276">
        <f t="shared" si="24"/>
        <v>20716.249999999956</v>
      </c>
      <c r="C198" s="14">
        <f>IF(A198="",0,IF(B198&lt;=0,0,IF(A198=subjectMortgageEndDate,B198+E198,MIN(subjectPayment,B198+E198))))</f>
        <v>625.80999999999995</v>
      </c>
      <c r="D198" s="14">
        <f t="shared" si="25"/>
        <v>561.06999999999994</v>
      </c>
      <c r="E198" s="14">
        <f>IF(OR(A198="",B198&lt;=0),0,ROUND(B198*(subjectInterestRate/12),2))</f>
        <v>64.739999999999995</v>
      </c>
      <c r="F198" s="14">
        <f t="shared" si="33"/>
        <v>134.16999999999999</v>
      </c>
      <c r="G198" s="14">
        <f t="shared" si="33"/>
        <v>188.55</v>
      </c>
      <c r="H198" s="14">
        <f t="shared" si="34"/>
        <v>948.53</v>
      </c>
      <c r="I198" s="276">
        <f t="shared" si="28"/>
        <v>77376.659999999974</v>
      </c>
      <c r="J198" s="276">
        <f t="shared" si="29"/>
        <v>34947.169999999969</v>
      </c>
      <c r="K198" s="276">
        <f t="shared" si="26"/>
        <v>20155.179999999957</v>
      </c>
      <c r="L198" s="394">
        <f t="shared" si="32"/>
        <v>14</v>
      </c>
      <c r="M198" s="394">
        <f t="shared" si="27"/>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614">
        <f>IF(OR(A198="",A198&gt;=subjectMortgageEndDate),"",EDATE(A198,1))</f>
        <v>51318</v>
      </c>
      <c r="B199" s="332">
        <f t="shared" si="24"/>
        <v>20155.179999999957</v>
      </c>
      <c r="C199" s="21">
        <f>IF(A199="",0,IF(B199&lt;=0,0,IF(A199=subjectMortgageEndDate,B199+E199,MIN(subjectPayment,B199+E199))))</f>
        <v>625.80999999999995</v>
      </c>
      <c r="D199" s="21">
        <f t="shared" si="25"/>
        <v>562.82999999999993</v>
      </c>
      <c r="E199" s="21">
        <f>IF(OR(A199="",B199&lt;=0),0,ROUND(B199*(subjectInterestRate/12),2))</f>
        <v>62.98</v>
      </c>
      <c r="F199" s="21">
        <f t="shared" si="33"/>
        <v>134.16999999999999</v>
      </c>
      <c r="G199" s="21">
        <f t="shared" si="33"/>
        <v>188.55</v>
      </c>
      <c r="H199" s="21">
        <f t="shared" si="34"/>
        <v>948.53</v>
      </c>
      <c r="I199" s="332">
        <f t="shared" si="28"/>
        <v>77939.489999999976</v>
      </c>
      <c r="J199" s="332">
        <f t="shared" si="29"/>
        <v>35010.149999999972</v>
      </c>
      <c r="K199" s="332">
        <f t="shared" si="26"/>
        <v>19592.349999999955</v>
      </c>
      <c r="L199" s="395">
        <f t="shared" si="32"/>
        <v>14</v>
      </c>
      <c r="M199" s="395">
        <f t="shared" si="27"/>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32">
        <f>IF(INDEX(tblContractForDeed[End Bal],ROW()-ROW(tblBuyerOutputs[#Headers]))&lt;=0,0,($O$6+IF(ROW()=ROW(tblBuyerOutputs[#Headers])+1,0,INDEX(tblBuyerOutputs[Cumul Appr],ROW()-ROW(tblBuyerOutputs[#Headers])-1)))*$O$2/12)</f>
        <v>660.05448359941659</v>
      </c>
      <c r="AE199" s="332">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613">
        <f>IF(OR(A199="",A199&gt;=subjectMortgageEndDate),"",EDATE(A199,1))</f>
        <v>51349</v>
      </c>
      <c r="B200" s="276">
        <f t="shared" si="24"/>
        <v>19592.349999999955</v>
      </c>
      <c r="C200" s="14">
        <f>IF(A200="",0,IF(B200&lt;=0,0,IF(A200=subjectMortgageEndDate,B200+E200,MIN(subjectPayment,B200+E200))))</f>
        <v>625.80999999999995</v>
      </c>
      <c r="D200" s="14">
        <f t="shared" si="25"/>
        <v>564.57999999999993</v>
      </c>
      <c r="E200" s="14">
        <f>IF(OR(A200="",B200&lt;=0),0,ROUND(B200*(subjectInterestRate/12),2))</f>
        <v>61.23</v>
      </c>
      <c r="F200" s="14">
        <f t="shared" si="33"/>
        <v>134.16999999999999</v>
      </c>
      <c r="G200" s="14">
        <f t="shared" si="33"/>
        <v>188.55</v>
      </c>
      <c r="H200" s="14">
        <f t="shared" si="34"/>
        <v>948.53</v>
      </c>
      <c r="I200" s="276">
        <f t="shared" si="28"/>
        <v>78504.069999999978</v>
      </c>
      <c r="J200" s="276">
        <f t="shared" si="29"/>
        <v>35071.379999999976</v>
      </c>
      <c r="K200" s="276">
        <f t="shared" si="26"/>
        <v>19027.769999999953</v>
      </c>
      <c r="L200" s="394">
        <f t="shared" si="32"/>
        <v>15</v>
      </c>
      <c r="M200" s="394">
        <f t="shared" si="27"/>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613">
        <f>IF(OR(A200="",A200&gt;=subjectMortgageEndDate),"",EDATE(A200,1))</f>
        <v>51380</v>
      </c>
      <c r="B201" s="276">
        <f t="shared" si="24"/>
        <v>19027.769999999953</v>
      </c>
      <c r="C201" s="14">
        <f>IF(A201="",0,IF(B201&lt;=0,0,IF(A201=subjectMortgageEndDate,B201+E201,MIN(subjectPayment,B201+E201))))</f>
        <v>625.80999999999995</v>
      </c>
      <c r="D201" s="14">
        <f t="shared" si="25"/>
        <v>566.34999999999991</v>
      </c>
      <c r="E201" s="14">
        <f>IF(OR(A201="",B201&lt;=0),0,ROUND(B201*(subjectInterestRate/12),2))</f>
        <v>59.46</v>
      </c>
      <c r="F201" s="14">
        <f t="shared" si="33"/>
        <v>134.16999999999999</v>
      </c>
      <c r="G201" s="14">
        <f t="shared" si="33"/>
        <v>188.55</v>
      </c>
      <c r="H201" s="14">
        <f t="shared" si="34"/>
        <v>948.53</v>
      </c>
      <c r="I201" s="276">
        <f t="shared" si="28"/>
        <v>79070.419999999984</v>
      </c>
      <c r="J201" s="276">
        <f t="shared" si="29"/>
        <v>35130.839999999975</v>
      </c>
      <c r="K201" s="276">
        <f t="shared" si="26"/>
        <v>18461.419999999955</v>
      </c>
      <c r="L201" s="394">
        <f t="shared" si="32"/>
        <v>15</v>
      </c>
      <c r="M201" s="394">
        <f t="shared" si="27"/>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613">
        <f>IF(OR(A201="",A201&gt;=subjectMortgageEndDate),"",EDATE(A201,1))</f>
        <v>51410</v>
      </c>
      <c r="B202" s="276">
        <f t="shared" si="24"/>
        <v>18461.419999999955</v>
      </c>
      <c r="C202" s="14">
        <f>IF(A202="",0,IF(B202&lt;=0,0,IF(A202=subjectMortgageEndDate,B202+E202,MIN(subjectPayment,B202+E202))))</f>
        <v>625.80999999999995</v>
      </c>
      <c r="D202" s="14">
        <f t="shared" si="25"/>
        <v>568.11999999999989</v>
      </c>
      <c r="E202" s="14">
        <f>IF(OR(A202="",B202&lt;=0),0,ROUND(B202*(subjectInterestRate/12),2))</f>
        <v>57.69</v>
      </c>
      <c r="F202" s="14">
        <f t="shared" si="33"/>
        <v>134.16999999999999</v>
      </c>
      <c r="G202" s="14">
        <f t="shared" si="33"/>
        <v>188.55</v>
      </c>
      <c r="H202" s="14">
        <f t="shared" si="34"/>
        <v>948.53</v>
      </c>
      <c r="I202" s="276">
        <f t="shared" si="28"/>
        <v>79638.539999999979</v>
      </c>
      <c r="J202" s="276">
        <f t="shared" si="29"/>
        <v>35188.529999999977</v>
      </c>
      <c r="K202" s="276">
        <f t="shared" si="26"/>
        <v>17893.299999999956</v>
      </c>
      <c r="L202" s="394">
        <f t="shared" si="32"/>
        <v>15</v>
      </c>
      <c r="M202" s="394">
        <f t="shared" si="27"/>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613">
        <f>IF(OR(A202="",A202&gt;=subjectMortgageEndDate),"",EDATE(A202,1))</f>
        <v>51441</v>
      </c>
      <c r="B203" s="276">
        <f t="shared" si="24"/>
        <v>17893.299999999956</v>
      </c>
      <c r="C203" s="14">
        <f>IF(A203="",0,IF(B203&lt;=0,0,IF(A203=subjectMortgageEndDate,B203+E203,MIN(subjectPayment,B203+E203))))</f>
        <v>625.80999999999995</v>
      </c>
      <c r="D203" s="14">
        <f t="shared" si="25"/>
        <v>569.89</v>
      </c>
      <c r="E203" s="14">
        <f>IF(OR(A203="",B203&lt;=0),0,ROUND(B203*(subjectInterestRate/12),2))</f>
        <v>55.92</v>
      </c>
      <c r="F203" s="14">
        <f t="shared" si="33"/>
        <v>134.16999999999999</v>
      </c>
      <c r="G203" s="14">
        <f t="shared" si="33"/>
        <v>188.55</v>
      </c>
      <c r="H203" s="14">
        <f t="shared" si="34"/>
        <v>948.53</v>
      </c>
      <c r="I203" s="276">
        <f t="shared" si="28"/>
        <v>80208.429999999978</v>
      </c>
      <c r="J203" s="276">
        <f t="shared" si="29"/>
        <v>35244.449999999975</v>
      </c>
      <c r="K203" s="276">
        <f t="shared" si="26"/>
        <v>17323.409999999956</v>
      </c>
      <c r="L203" s="394">
        <f t="shared" si="32"/>
        <v>15</v>
      </c>
      <c r="M203" s="394">
        <f t="shared" si="27"/>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613">
        <f>IF(OR(A203="",A203&gt;=subjectMortgageEndDate),"",EDATE(A203,1))</f>
        <v>51471</v>
      </c>
      <c r="B204" s="276">
        <f t="shared" si="24"/>
        <v>17323.409999999956</v>
      </c>
      <c r="C204" s="14">
        <f>IF(A204="",0,IF(B204&lt;=0,0,IF(A204=subjectMortgageEndDate,B204+E204,MIN(subjectPayment,B204+E204))))</f>
        <v>625.80999999999995</v>
      </c>
      <c r="D204" s="14">
        <f t="shared" si="25"/>
        <v>571.66999999999996</v>
      </c>
      <c r="E204" s="14">
        <f>IF(OR(A204="",B204&lt;=0),0,ROUND(B204*(subjectInterestRate/12),2))</f>
        <v>54.14</v>
      </c>
      <c r="F204" s="14">
        <f t="shared" si="33"/>
        <v>134.16999999999999</v>
      </c>
      <c r="G204" s="14">
        <f t="shared" si="33"/>
        <v>188.55</v>
      </c>
      <c r="H204" s="14">
        <f t="shared" si="34"/>
        <v>948.53</v>
      </c>
      <c r="I204" s="276">
        <f t="shared" si="28"/>
        <v>80780.099999999977</v>
      </c>
      <c r="J204" s="276">
        <f t="shared" si="29"/>
        <v>35298.589999999975</v>
      </c>
      <c r="K204" s="276">
        <f t="shared" si="26"/>
        <v>16751.739999999958</v>
      </c>
      <c r="L204" s="394">
        <f t="shared" si="32"/>
        <v>15</v>
      </c>
      <c r="M204" s="394">
        <f t="shared" si="27"/>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613">
        <f>IF(OR(A204="",A204&gt;=subjectMortgageEndDate),"",EDATE(A204,1))</f>
        <v>51502</v>
      </c>
      <c r="B205" s="276">
        <f t="shared" si="24"/>
        <v>16751.739999999958</v>
      </c>
      <c r="C205" s="14">
        <f>IF(A205="",0,IF(B205&lt;=0,0,IF(A205=subjectMortgageEndDate,B205+E205,MIN(subjectPayment,B205+E205))))</f>
        <v>625.80999999999995</v>
      </c>
      <c r="D205" s="14">
        <f t="shared" si="25"/>
        <v>573.45999999999992</v>
      </c>
      <c r="E205" s="14">
        <f>IF(OR(A205="",B205&lt;=0),0,ROUND(B205*(subjectInterestRate/12),2))</f>
        <v>52.35</v>
      </c>
      <c r="F205" s="14">
        <f t="shared" si="33"/>
        <v>134.16999999999999</v>
      </c>
      <c r="G205" s="14">
        <f t="shared" si="33"/>
        <v>188.55</v>
      </c>
      <c r="H205" s="14">
        <f t="shared" si="34"/>
        <v>948.53</v>
      </c>
      <c r="I205" s="276">
        <f t="shared" si="28"/>
        <v>81353.559999999983</v>
      </c>
      <c r="J205" s="276">
        <f t="shared" si="29"/>
        <v>35350.939999999973</v>
      </c>
      <c r="K205" s="276">
        <f t="shared" si="26"/>
        <v>16178.279999999959</v>
      </c>
      <c r="L205" s="394">
        <f t="shared" si="32"/>
        <v>15</v>
      </c>
      <c r="M205" s="394">
        <f t="shared" si="27"/>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613">
        <f>IF(OR(A205="",A205&gt;=subjectMortgageEndDate),"",EDATE(A205,1))</f>
        <v>51533</v>
      </c>
      <c r="B206" s="276">
        <f t="shared" si="24"/>
        <v>16178.279999999959</v>
      </c>
      <c r="C206" s="14">
        <f>IF(A206="",0,IF(B206&lt;=0,0,IF(A206=subjectMortgageEndDate,B206+E206,MIN(subjectPayment,B206+E206))))</f>
        <v>625.80999999999995</v>
      </c>
      <c r="D206" s="14">
        <f t="shared" si="25"/>
        <v>575.25</v>
      </c>
      <c r="E206" s="14">
        <f>IF(OR(A206="",B206&lt;=0),0,ROUND(B206*(subjectInterestRate/12),2))</f>
        <v>50.56</v>
      </c>
      <c r="F206" s="14">
        <f t="shared" si="33"/>
        <v>134.16999999999999</v>
      </c>
      <c r="G206" s="14">
        <f t="shared" si="33"/>
        <v>188.55</v>
      </c>
      <c r="H206" s="14">
        <f t="shared" si="34"/>
        <v>948.53</v>
      </c>
      <c r="I206" s="276">
        <f t="shared" si="28"/>
        <v>81928.809999999983</v>
      </c>
      <c r="J206" s="276">
        <f t="shared" si="29"/>
        <v>35401.499999999971</v>
      </c>
      <c r="K206" s="276">
        <f t="shared" si="26"/>
        <v>15603.029999999959</v>
      </c>
      <c r="L206" s="394">
        <f t="shared" si="32"/>
        <v>15</v>
      </c>
      <c r="M206" s="394">
        <f t="shared" si="27"/>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613">
        <f>IF(OR(A206="",A206&gt;=subjectMortgageEndDate),"",EDATE(A206,1))</f>
        <v>51561</v>
      </c>
      <c r="B207" s="276">
        <f t="shared" si="24"/>
        <v>15603.029999999959</v>
      </c>
      <c r="C207" s="14">
        <f>IF(A207="",0,IF(B207&lt;=0,0,IF(A207=subjectMortgageEndDate,B207+E207,MIN(subjectPayment,B207+E207))))</f>
        <v>625.80999999999995</v>
      </c>
      <c r="D207" s="14">
        <f t="shared" si="25"/>
        <v>577.04999999999995</v>
      </c>
      <c r="E207" s="14">
        <f>IF(OR(A207="",B207&lt;=0),0,ROUND(B207*(subjectInterestRate/12),2))</f>
        <v>48.76</v>
      </c>
      <c r="F207" s="14">
        <f t="shared" ref="F207:G222" si="35">+F206</f>
        <v>134.16999999999999</v>
      </c>
      <c r="G207" s="14">
        <f t="shared" si="35"/>
        <v>188.55</v>
      </c>
      <c r="H207" s="14">
        <f t="shared" si="34"/>
        <v>948.53</v>
      </c>
      <c r="I207" s="276">
        <f t="shared" si="28"/>
        <v>82505.859999999986</v>
      </c>
      <c r="J207" s="276">
        <f t="shared" si="29"/>
        <v>35450.259999999973</v>
      </c>
      <c r="K207" s="276">
        <f t="shared" si="26"/>
        <v>15025.97999999996</v>
      </c>
      <c r="L207" s="394">
        <f t="shared" si="32"/>
        <v>15</v>
      </c>
      <c r="M207" s="394">
        <f t="shared" si="27"/>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613">
        <f>IF(OR(A207="",A207&gt;=subjectMortgageEndDate),"",EDATE(A207,1))</f>
        <v>51592</v>
      </c>
      <c r="B208" s="276">
        <f t="shared" si="24"/>
        <v>15025.97999999996</v>
      </c>
      <c r="C208" s="14">
        <f>IF(A208="",0,IF(B208&lt;=0,0,IF(A208=subjectMortgageEndDate,B208+E208,MIN(subjectPayment,B208+E208))))</f>
        <v>625.80999999999995</v>
      </c>
      <c r="D208" s="14">
        <f t="shared" si="25"/>
        <v>578.84999999999991</v>
      </c>
      <c r="E208" s="14">
        <f>IF(OR(A208="",B208&lt;=0),0,ROUND(B208*(subjectInterestRate/12),2))</f>
        <v>46.96</v>
      </c>
      <c r="F208" s="14">
        <f t="shared" si="35"/>
        <v>134.16999999999999</v>
      </c>
      <c r="G208" s="14">
        <f t="shared" si="35"/>
        <v>188.55</v>
      </c>
      <c r="H208" s="14">
        <f t="shared" si="34"/>
        <v>948.53</v>
      </c>
      <c r="I208" s="276">
        <f t="shared" si="28"/>
        <v>83084.709999999992</v>
      </c>
      <c r="J208" s="276">
        <f t="shared" si="29"/>
        <v>35497.219999999972</v>
      </c>
      <c r="K208" s="276">
        <f t="shared" si="26"/>
        <v>14447.129999999959</v>
      </c>
      <c r="L208" s="394">
        <f t="shared" si="32"/>
        <v>15</v>
      </c>
      <c r="M208" s="394">
        <f t="shared" si="27"/>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613">
        <f>IF(OR(A208="",A208&gt;=subjectMortgageEndDate),"",EDATE(A208,1))</f>
        <v>51622</v>
      </c>
      <c r="B209" s="276">
        <f t="shared" si="24"/>
        <v>14447.129999999959</v>
      </c>
      <c r="C209" s="14">
        <f>IF(A209="",0,IF(B209&lt;=0,0,IF(A209=subjectMortgageEndDate,B209+E209,MIN(subjectPayment,B209+E209))))</f>
        <v>625.80999999999995</v>
      </c>
      <c r="D209" s="14">
        <f t="shared" si="25"/>
        <v>580.66</v>
      </c>
      <c r="E209" s="14">
        <f>IF(OR(A209="",B209&lt;=0),0,ROUND(B209*(subjectInterestRate/12),2))</f>
        <v>45.15</v>
      </c>
      <c r="F209" s="14">
        <f t="shared" si="35"/>
        <v>134.16999999999999</v>
      </c>
      <c r="G209" s="14">
        <f t="shared" si="35"/>
        <v>188.55</v>
      </c>
      <c r="H209" s="14">
        <f t="shared" si="34"/>
        <v>948.53</v>
      </c>
      <c r="I209" s="276">
        <f t="shared" si="28"/>
        <v>83665.37</v>
      </c>
      <c r="J209" s="276">
        <f t="shared" si="29"/>
        <v>35542.369999999974</v>
      </c>
      <c r="K209" s="276">
        <f t="shared" si="26"/>
        <v>13866.469999999959</v>
      </c>
      <c r="L209" s="394">
        <f t="shared" si="32"/>
        <v>15</v>
      </c>
      <c r="M209" s="394">
        <f t="shared" si="27"/>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613">
        <f>IF(OR(A209="",A209&gt;=subjectMortgageEndDate),"",EDATE(A209,1))</f>
        <v>51653</v>
      </c>
      <c r="B210" s="276">
        <f t="shared" si="24"/>
        <v>13866.469999999959</v>
      </c>
      <c r="C210" s="14">
        <f>IF(A210="",0,IF(B210&lt;=0,0,IF(A210=subjectMortgageEndDate,B210+E210,MIN(subjectPayment,B210+E210))))</f>
        <v>625.80999999999995</v>
      </c>
      <c r="D210" s="14">
        <f t="shared" si="25"/>
        <v>582.4799999999999</v>
      </c>
      <c r="E210" s="14">
        <f>IF(OR(A210="",B210&lt;=0),0,ROUND(B210*(subjectInterestRate/12),2))</f>
        <v>43.33</v>
      </c>
      <c r="F210" s="14">
        <f t="shared" si="35"/>
        <v>134.16999999999999</v>
      </c>
      <c r="G210" s="14">
        <f t="shared" si="35"/>
        <v>188.55</v>
      </c>
      <c r="H210" s="14">
        <f t="shared" si="34"/>
        <v>948.53</v>
      </c>
      <c r="I210" s="276">
        <f t="shared" si="28"/>
        <v>84247.849999999991</v>
      </c>
      <c r="J210" s="276">
        <f t="shared" si="29"/>
        <v>35585.699999999975</v>
      </c>
      <c r="K210" s="276">
        <f t="shared" si="26"/>
        <v>13283.98999999996</v>
      </c>
      <c r="L210" s="394">
        <f t="shared" si="32"/>
        <v>15</v>
      </c>
      <c r="M210" s="394">
        <f t="shared" si="27"/>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IF(OR(A210="",A210&gt;=subjectMortgageEndDate),"",EDATE(A210,1))</f>
        <v>51683</v>
      </c>
      <c r="B211" s="332">
        <f t="shared" si="24"/>
        <v>13283.98999999996</v>
      </c>
      <c r="C211" s="21">
        <f>IF(A211="",0,IF(B211&lt;=0,0,IF(A211=subjectMortgageEndDate,B211+E211,MIN(subjectPayment,B211+E211))))</f>
        <v>625.80999999999995</v>
      </c>
      <c r="D211" s="21">
        <f t="shared" si="25"/>
        <v>584.29999999999995</v>
      </c>
      <c r="E211" s="21">
        <f>IF(OR(A211="",B211&lt;=0),0,ROUND(B211*(subjectInterestRate/12),2))</f>
        <v>41.51</v>
      </c>
      <c r="F211" s="21">
        <f t="shared" si="35"/>
        <v>134.16999999999999</v>
      </c>
      <c r="G211" s="21">
        <f t="shared" si="35"/>
        <v>188.55</v>
      </c>
      <c r="H211" s="21">
        <f t="shared" si="34"/>
        <v>948.53</v>
      </c>
      <c r="I211" s="332">
        <f t="shared" si="28"/>
        <v>84832.15</v>
      </c>
      <c r="J211" s="332">
        <f t="shared" si="29"/>
        <v>35627.209999999977</v>
      </c>
      <c r="K211" s="332">
        <f t="shared" si="26"/>
        <v>12699.68999999996</v>
      </c>
      <c r="L211" s="395">
        <f t="shared" si="32"/>
        <v>15</v>
      </c>
      <c r="M211" s="395">
        <f t="shared" si="27"/>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32">
        <f>IF(INDEX(tblContractForDeed[End Bal],ROW()-ROW(tblBuyerOutputs[#Headers]))&lt;=0,0,($O$6+IF(ROW()=ROW(tblBuyerOutputs[#Headers])+1,0,INDEX(tblBuyerOutputs[Cumul Appr],ROW()-ROW(tblBuyerOutputs[#Headers])-1)))*$O$2/12)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IF(OR(A211="",A211&gt;=subjectMortgageEndDate),"",EDATE(A211,1))</f>
        <v>51714</v>
      </c>
      <c r="B212" s="276">
        <f t="shared" si="24"/>
        <v>12699.68999999996</v>
      </c>
      <c r="C212" s="14">
        <f>IF(A212="",0,IF(B212&lt;=0,0,IF(A212=subjectMortgageEndDate,B212+E212,MIN(subjectPayment,B212+E212))))</f>
        <v>625.80999999999995</v>
      </c>
      <c r="D212" s="14">
        <f t="shared" si="25"/>
        <v>586.11999999999989</v>
      </c>
      <c r="E212" s="14">
        <f>IF(OR(A212="",B212&lt;=0),0,ROUND(B212*(subjectInterestRate/12),2))</f>
        <v>39.69</v>
      </c>
      <c r="F212" s="14">
        <f t="shared" si="35"/>
        <v>134.16999999999999</v>
      </c>
      <c r="G212" s="14">
        <f t="shared" si="35"/>
        <v>188.55</v>
      </c>
      <c r="H212" s="14">
        <f t="shared" si="34"/>
        <v>948.53</v>
      </c>
      <c r="I212" s="276">
        <f t="shared" si="28"/>
        <v>85418.26999999999</v>
      </c>
      <c r="J212" s="276">
        <f t="shared" si="29"/>
        <v>35666.89999999998</v>
      </c>
      <c r="K212" s="276">
        <f t="shared" si="26"/>
        <v>12113.56999999996</v>
      </c>
      <c r="L212" s="394">
        <f t="shared" si="32"/>
        <v>16</v>
      </c>
      <c r="M212" s="394">
        <f t="shared" si="27"/>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IF(OR(A212="",A212&gt;=subjectMortgageEndDate),"",EDATE(A212,1))</f>
        <v>51745</v>
      </c>
      <c r="B213" s="276">
        <f t="shared" ref="B213:B276" si="36">IF(A213="",0,MAX(0,K212))</f>
        <v>12113.56999999996</v>
      </c>
      <c r="C213" s="14">
        <f>IF(A213="",0,IF(B213&lt;=0,0,IF(A213=subjectMortgageEndDate,B213+E213,MIN(subjectPayment,B213+E213))))</f>
        <v>625.80999999999995</v>
      </c>
      <c r="D213" s="14">
        <f t="shared" ref="D213:D276" si="37">IF(C213=0,0,MAX(0,MIN(B213,C213-E213)))</f>
        <v>587.95999999999992</v>
      </c>
      <c r="E213" s="14">
        <f>IF(OR(A213="",B213&lt;=0),0,ROUND(B213*(subjectInterestRate/12),2))</f>
        <v>37.85</v>
      </c>
      <c r="F213" s="14">
        <f t="shared" si="35"/>
        <v>134.16999999999999</v>
      </c>
      <c r="G213" s="14">
        <f t="shared" si="35"/>
        <v>188.55</v>
      </c>
      <c r="H213" s="14">
        <f t="shared" si="34"/>
        <v>948.53</v>
      </c>
      <c r="I213" s="276">
        <f t="shared" si="28"/>
        <v>86006.23</v>
      </c>
      <c r="J213" s="276">
        <f t="shared" si="29"/>
        <v>35704.749999999978</v>
      </c>
      <c r="K213" s="276">
        <f t="shared" ref="K213:K276" si="38">IF(A213="",0,IF(B213&lt;=0,0,MAX(0,B213-D213)))</f>
        <v>11525.609999999961</v>
      </c>
      <c r="L213" s="394">
        <f t="shared" si="32"/>
        <v>16</v>
      </c>
      <c r="M213" s="394">
        <f t="shared" ref="M213:M276" si="39">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IF(OR(A213="",A213&gt;=subjectMortgageEndDate),"",EDATE(A213,1))</f>
        <v>51775</v>
      </c>
      <c r="B214" s="276">
        <f t="shared" si="36"/>
        <v>11525.609999999961</v>
      </c>
      <c r="C214" s="14">
        <f>IF(A214="",0,IF(B214&lt;=0,0,IF(A214=subjectMortgageEndDate,B214+E214,MIN(subjectPayment,B214+E214))))</f>
        <v>625.80999999999995</v>
      </c>
      <c r="D214" s="14">
        <f t="shared" si="37"/>
        <v>589.79</v>
      </c>
      <c r="E214" s="14">
        <f>IF(OR(A214="",B214&lt;=0),0,ROUND(B214*(subjectInterestRate/12),2))</f>
        <v>36.020000000000003</v>
      </c>
      <c r="F214" s="14">
        <f t="shared" si="35"/>
        <v>134.16999999999999</v>
      </c>
      <c r="G214" s="14">
        <f t="shared" si="35"/>
        <v>188.55</v>
      </c>
      <c r="H214" s="14">
        <f t="shared" si="34"/>
        <v>948.53</v>
      </c>
      <c r="I214" s="276">
        <f t="shared" ref="I214:I277" si="40">$D214+$I213</f>
        <v>86596.01999999999</v>
      </c>
      <c r="J214" s="276">
        <f t="shared" ref="J214:J277" si="41">$E214+$J213</f>
        <v>35740.769999999975</v>
      </c>
      <c r="K214" s="276">
        <f t="shared" si="38"/>
        <v>10935.81999999996</v>
      </c>
      <c r="L214" s="394">
        <f t="shared" si="32"/>
        <v>16</v>
      </c>
      <c r="M214" s="394">
        <f t="shared" si="39"/>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IF(OR(A214="",A214&gt;=subjectMortgageEndDate),"",EDATE(A214,1))</f>
        <v>51806</v>
      </c>
      <c r="B215" s="276">
        <f t="shared" si="36"/>
        <v>10935.81999999996</v>
      </c>
      <c r="C215" s="14">
        <f>IF(A215="",0,IF(B215&lt;=0,0,IF(A215=subjectMortgageEndDate,B215+E215,MIN(subjectPayment,B215+E215))))</f>
        <v>625.80999999999995</v>
      </c>
      <c r="D215" s="14">
        <f t="shared" si="37"/>
        <v>591.64</v>
      </c>
      <c r="E215" s="14">
        <f>IF(OR(A215="",B215&lt;=0),0,ROUND(B215*(subjectInterestRate/12),2))</f>
        <v>34.17</v>
      </c>
      <c r="F215" s="14">
        <f t="shared" si="35"/>
        <v>134.16999999999999</v>
      </c>
      <c r="G215" s="14">
        <f t="shared" si="35"/>
        <v>188.55</v>
      </c>
      <c r="H215" s="14">
        <f t="shared" si="34"/>
        <v>948.53</v>
      </c>
      <c r="I215" s="276">
        <f t="shared" si="40"/>
        <v>87187.659999999989</v>
      </c>
      <c r="J215" s="276">
        <f t="shared" si="41"/>
        <v>35774.939999999973</v>
      </c>
      <c r="K215" s="276">
        <f t="shared" si="38"/>
        <v>10344.17999999996</v>
      </c>
      <c r="L215" s="394">
        <f t="shared" si="32"/>
        <v>16</v>
      </c>
      <c r="M215" s="394">
        <f t="shared" si="39"/>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IF(OR(A215="",A215&gt;=subjectMortgageEndDate),"",EDATE(A215,1))</f>
        <v>51836</v>
      </c>
      <c r="B216" s="276">
        <f t="shared" si="36"/>
        <v>10344.17999999996</v>
      </c>
      <c r="C216" s="14">
        <f>IF(A216="",0,IF(B216&lt;=0,0,IF(A216=subjectMortgageEndDate,B216+E216,MIN(subjectPayment,B216+E216))))</f>
        <v>625.80999999999995</v>
      </c>
      <c r="D216" s="14">
        <f t="shared" si="37"/>
        <v>593.4799999999999</v>
      </c>
      <c r="E216" s="14">
        <f>IF(OR(A216="",B216&lt;=0),0,ROUND(B216*(subjectInterestRate/12),2))</f>
        <v>32.33</v>
      </c>
      <c r="F216" s="14">
        <f t="shared" si="35"/>
        <v>134.16999999999999</v>
      </c>
      <c r="G216" s="14">
        <f t="shared" si="35"/>
        <v>188.55</v>
      </c>
      <c r="H216" s="14">
        <f t="shared" si="34"/>
        <v>948.53</v>
      </c>
      <c r="I216" s="276">
        <f t="shared" si="40"/>
        <v>87781.139999999985</v>
      </c>
      <c r="J216" s="276">
        <f t="shared" si="41"/>
        <v>35807.269999999975</v>
      </c>
      <c r="K216" s="276">
        <f t="shared" si="38"/>
        <v>9750.6999999999607</v>
      </c>
      <c r="L216" s="394">
        <f t="shared" si="32"/>
        <v>16</v>
      </c>
      <c r="M216" s="394">
        <f t="shared" si="39"/>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IF(OR(A216="",A216&gt;=subjectMortgageEndDate),"",EDATE(A216,1))</f>
        <v>51867</v>
      </c>
      <c r="B217" s="276">
        <f t="shared" si="36"/>
        <v>9750.6999999999607</v>
      </c>
      <c r="C217" s="14">
        <f>IF(A217="",0,IF(B217&lt;=0,0,IF(A217=subjectMortgageEndDate,B217+E217,MIN(subjectPayment,B217+E217))))</f>
        <v>625.80999999999995</v>
      </c>
      <c r="D217" s="14">
        <f t="shared" si="37"/>
        <v>595.33999999999992</v>
      </c>
      <c r="E217" s="14">
        <f>IF(OR(A217="",B217&lt;=0),0,ROUND(B217*(subjectInterestRate/12),2))</f>
        <v>30.47</v>
      </c>
      <c r="F217" s="14">
        <f t="shared" si="35"/>
        <v>134.16999999999999</v>
      </c>
      <c r="G217" s="14">
        <f t="shared" si="35"/>
        <v>188.55</v>
      </c>
      <c r="H217" s="14">
        <f t="shared" si="34"/>
        <v>948.53</v>
      </c>
      <c r="I217" s="276">
        <f t="shared" si="40"/>
        <v>88376.479999999981</v>
      </c>
      <c r="J217" s="276">
        <f t="shared" si="41"/>
        <v>35837.739999999976</v>
      </c>
      <c r="K217" s="276">
        <f t="shared" si="38"/>
        <v>9155.3599999999606</v>
      </c>
      <c r="L217" s="394">
        <f t="shared" si="32"/>
        <v>16</v>
      </c>
      <c r="M217" s="394">
        <f t="shared" si="39"/>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IF(OR(A217="",A217&gt;=subjectMortgageEndDate),"",EDATE(A217,1))</f>
        <v>51898</v>
      </c>
      <c r="B218" s="276">
        <f t="shared" si="36"/>
        <v>9155.3599999999606</v>
      </c>
      <c r="C218" s="14">
        <f>IF(A218="",0,IF(B218&lt;=0,0,IF(A218=subjectMortgageEndDate,B218+E218,MIN(subjectPayment,B218+E218))))</f>
        <v>625.80999999999995</v>
      </c>
      <c r="D218" s="14">
        <f t="shared" si="37"/>
        <v>597.19999999999993</v>
      </c>
      <c r="E218" s="14">
        <f>IF(OR(A218="",B218&lt;=0),0,ROUND(B218*(subjectInterestRate/12),2))</f>
        <v>28.61</v>
      </c>
      <c r="F218" s="14">
        <f t="shared" si="35"/>
        <v>134.16999999999999</v>
      </c>
      <c r="G218" s="14">
        <f t="shared" si="35"/>
        <v>188.55</v>
      </c>
      <c r="H218" s="14">
        <f t="shared" si="34"/>
        <v>948.53</v>
      </c>
      <c r="I218" s="276">
        <f t="shared" si="40"/>
        <v>88973.679999999978</v>
      </c>
      <c r="J218" s="276">
        <f t="shared" si="41"/>
        <v>35866.349999999977</v>
      </c>
      <c r="K218" s="276">
        <f t="shared" si="38"/>
        <v>8558.1599999999598</v>
      </c>
      <c r="L218" s="394">
        <f t="shared" si="32"/>
        <v>16</v>
      </c>
      <c r="M218" s="394">
        <f t="shared" si="39"/>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IF(OR(A218="",A218&gt;=subjectMortgageEndDate),"",EDATE(A218,1))</f>
        <v>51926</v>
      </c>
      <c r="B219" s="276">
        <f t="shared" si="36"/>
        <v>8558.1599999999598</v>
      </c>
      <c r="C219" s="14">
        <f>IF(A219="",0,IF(B219&lt;=0,0,IF(A219=subjectMortgageEndDate,B219+E219,MIN(subjectPayment,B219+E219))))</f>
        <v>625.80999999999995</v>
      </c>
      <c r="D219" s="14">
        <f t="shared" si="37"/>
        <v>599.06999999999994</v>
      </c>
      <c r="E219" s="14">
        <f>IF(OR(A219="",B219&lt;=0),0,ROUND(B219*(subjectInterestRate/12),2))</f>
        <v>26.74</v>
      </c>
      <c r="F219" s="14">
        <f t="shared" si="35"/>
        <v>134.16999999999999</v>
      </c>
      <c r="G219" s="14">
        <f t="shared" si="35"/>
        <v>188.55</v>
      </c>
      <c r="H219" s="14">
        <f t="shared" si="34"/>
        <v>948.53</v>
      </c>
      <c r="I219" s="276">
        <f t="shared" si="40"/>
        <v>89572.749999999985</v>
      </c>
      <c r="J219" s="276">
        <f t="shared" si="41"/>
        <v>35893.089999999975</v>
      </c>
      <c r="K219" s="276">
        <f t="shared" si="38"/>
        <v>7959.0899999999601</v>
      </c>
      <c r="L219" s="394">
        <f t="shared" si="32"/>
        <v>16</v>
      </c>
      <c r="M219" s="394">
        <f t="shared" si="39"/>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IF(OR(A219="",A219&gt;=subjectMortgageEndDate),"",EDATE(A219,1))</f>
        <v>51957</v>
      </c>
      <c r="B220" s="276">
        <f t="shared" si="36"/>
        <v>7959.0899999999601</v>
      </c>
      <c r="C220" s="14">
        <f>IF(A220="",0,IF(B220&lt;=0,0,IF(A220=subjectMortgageEndDate,B220+E220,MIN(subjectPayment,B220+E220))))</f>
        <v>625.80999999999995</v>
      </c>
      <c r="D220" s="14">
        <f t="shared" si="37"/>
        <v>600.93999999999994</v>
      </c>
      <c r="E220" s="14">
        <f>IF(OR(A220="",B220&lt;=0),0,ROUND(B220*(subjectInterestRate/12),2))</f>
        <v>24.87</v>
      </c>
      <c r="F220" s="14">
        <f t="shared" si="35"/>
        <v>134.16999999999999</v>
      </c>
      <c r="G220" s="14">
        <f t="shared" si="35"/>
        <v>188.55</v>
      </c>
      <c r="H220" s="14">
        <f t="shared" si="34"/>
        <v>948.53</v>
      </c>
      <c r="I220" s="276">
        <f t="shared" si="40"/>
        <v>90173.689999999988</v>
      </c>
      <c r="J220" s="276">
        <f t="shared" si="41"/>
        <v>35917.959999999977</v>
      </c>
      <c r="K220" s="276">
        <f t="shared" si="38"/>
        <v>7358.1499999999605</v>
      </c>
      <c r="L220" s="394">
        <f t="shared" si="32"/>
        <v>16</v>
      </c>
      <c r="M220" s="394">
        <f t="shared" si="39"/>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IF(OR(A220="",A220&gt;=subjectMortgageEndDate),"",EDATE(A220,1))</f>
        <v>51987</v>
      </c>
      <c r="B221" s="276">
        <f t="shared" si="36"/>
        <v>7358.1499999999605</v>
      </c>
      <c r="C221" s="14">
        <f>IF(A221="",0,IF(B221&lt;=0,0,IF(A221=subjectMortgageEndDate,B221+E221,MIN(subjectPayment,B221+E221))))</f>
        <v>625.80999999999995</v>
      </c>
      <c r="D221" s="14">
        <f t="shared" si="37"/>
        <v>602.81999999999994</v>
      </c>
      <c r="E221" s="14">
        <f>IF(OR(A221="",B221&lt;=0),0,ROUND(B221*(subjectInterestRate/12),2))</f>
        <v>22.99</v>
      </c>
      <c r="F221" s="14">
        <f t="shared" si="35"/>
        <v>134.16999999999999</v>
      </c>
      <c r="G221" s="14">
        <f t="shared" si="35"/>
        <v>188.55</v>
      </c>
      <c r="H221" s="14">
        <f t="shared" si="34"/>
        <v>948.53</v>
      </c>
      <c r="I221" s="276">
        <f t="shared" si="40"/>
        <v>90776.51</v>
      </c>
      <c r="J221" s="276">
        <f t="shared" si="41"/>
        <v>35940.949999999975</v>
      </c>
      <c r="K221" s="276">
        <f t="shared" si="38"/>
        <v>6755.3299999999608</v>
      </c>
      <c r="L221" s="394">
        <f t="shared" si="32"/>
        <v>16</v>
      </c>
      <c r="M221" s="394">
        <f t="shared" si="39"/>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IF(OR(A221="",A221&gt;=subjectMortgageEndDate),"",EDATE(A221,1))</f>
        <v>52018</v>
      </c>
      <c r="B222" s="276">
        <f t="shared" si="36"/>
        <v>6755.3299999999608</v>
      </c>
      <c r="C222" s="14">
        <f>IF(A222="",0,IF(B222&lt;=0,0,IF(A222=subjectMortgageEndDate,B222+E222,MIN(subjectPayment,B222+E222))))</f>
        <v>625.80999999999995</v>
      </c>
      <c r="D222" s="14">
        <f t="shared" si="37"/>
        <v>604.69999999999993</v>
      </c>
      <c r="E222" s="14">
        <f>IF(OR(A222="",B222&lt;=0),0,ROUND(B222*(subjectInterestRate/12),2))</f>
        <v>21.11</v>
      </c>
      <c r="F222" s="14">
        <f t="shared" si="35"/>
        <v>134.16999999999999</v>
      </c>
      <c r="G222" s="14">
        <f t="shared" si="35"/>
        <v>188.55</v>
      </c>
      <c r="H222" s="14">
        <f t="shared" si="34"/>
        <v>948.53</v>
      </c>
      <c r="I222" s="276">
        <f t="shared" si="40"/>
        <v>91381.209999999992</v>
      </c>
      <c r="J222" s="276">
        <f t="shared" si="41"/>
        <v>35962.059999999976</v>
      </c>
      <c r="K222" s="276">
        <f t="shared" si="38"/>
        <v>6150.629999999961</v>
      </c>
      <c r="L222" s="394">
        <f t="shared" si="32"/>
        <v>16</v>
      </c>
      <c r="M222" s="394">
        <f t="shared" si="39"/>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IF(OR(A222="",A222&gt;=subjectMortgageEndDate),"",EDATE(A222,1))</f>
        <v>52048</v>
      </c>
      <c r="B223" s="332">
        <f t="shared" si="36"/>
        <v>6150.629999999961</v>
      </c>
      <c r="C223" s="21">
        <f>IF(A223="",0,IF(B223&lt;=0,0,IF(A223=subjectMortgageEndDate,B223+E223,MIN(subjectPayment,B223+E223))))</f>
        <v>625.80999999999995</v>
      </c>
      <c r="D223" s="21">
        <f t="shared" si="37"/>
        <v>606.58999999999992</v>
      </c>
      <c r="E223" s="21">
        <f>IF(OR(A223="",B223&lt;=0),0,ROUND(B223*(subjectInterestRate/12),2))</f>
        <v>19.22</v>
      </c>
      <c r="F223" s="21">
        <f t="shared" ref="F223:G238" si="42">+F222</f>
        <v>134.16999999999999</v>
      </c>
      <c r="G223" s="21">
        <f t="shared" si="42"/>
        <v>188.55</v>
      </c>
      <c r="H223" s="21">
        <f t="shared" si="34"/>
        <v>948.53</v>
      </c>
      <c r="I223" s="332">
        <f t="shared" si="40"/>
        <v>91987.799999999988</v>
      </c>
      <c r="J223" s="332">
        <f t="shared" si="41"/>
        <v>35981.279999999977</v>
      </c>
      <c r="K223" s="332">
        <f t="shared" si="38"/>
        <v>5544.0399999999609</v>
      </c>
      <c r="L223" s="395">
        <f t="shared" si="32"/>
        <v>16</v>
      </c>
      <c r="M223" s="395">
        <f t="shared" si="39"/>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32">
        <f>IF(INDEX(tblContractForDeed[End Bal],ROW()-ROW(tblBuyerOutputs[#Headers]))&lt;=0,0,($O$6+IF(ROW()=ROW(tblBuyerOutputs[#Headers])+1,0,INDEX(tblBuyerOutputs[Cumul Appr],ROW()-ROW(tblBuyerOutputs[#Headers])-1)))*$O$2/12)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IF(OR(A223="",A223&gt;=subjectMortgageEndDate),"",EDATE(A223,1))</f>
        <v>52079</v>
      </c>
      <c r="B224" s="276">
        <f t="shared" si="36"/>
        <v>5544.0399999999609</v>
      </c>
      <c r="C224" s="14">
        <f>IF(A224="",0,IF(B224&lt;=0,0,IF(A224=subjectMortgageEndDate,B224+E224,MIN(subjectPayment,B224+E224))))</f>
        <v>625.80999999999995</v>
      </c>
      <c r="D224" s="14">
        <f t="shared" si="37"/>
        <v>608.4799999999999</v>
      </c>
      <c r="E224" s="14">
        <f>IF(OR(A224="",B224&lt;=0),0,ROUND(B224*(subjectInterestRate/12),2))</f>
        <v>17.329999999999998</v>
      </c>
      <c r="F224" s="14">
        <f t="shared" si="42"/>
        <v>134.16999999999999</v>
      </c>
      <c r="G224" s="14">
        <f t="shared" si="42"/>
        <v>188.55</v>
      </c>
      <c r="H224" s="14">
        <f t="shared" si="34"/>
        <v>948.53</v>
      </c>
      <c r="I224" s="276">
        <f t="shared" si="40"/>
        <v>92596.279999999984</v>
      </c>
      <c r="J224" s="276">
        <f t="shared" si="41"/>
        <v>35998.609999999979</v>
      </c>
      <c r="K224" s="276">
        <f t="shared" si="38"/>
        <v>4935.5599999999613</v>
      </c>
      <c r="L224" s="394">
        <f t="shared" si="32"/>
        <v>17</v>
      </c>
      <c r="M224" s="394">
        <f t="shared" si="39"/>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IF(OR(A224="",A224&gt;=subjectMortgageEndDate),"",EDATE(A224,1))</f>
        <v>52110</v>
      </c>
      <c r="B225" s="276">
        <f t="shared" si="36"/>
        <v>4935.5599999999613</v>
      </c>
      <c r="C225" s="14">
        <f>IF(A225="",0,IF(B225&lt;=0,0,IF(A225=subjectMortgageEndDate,B225+E225,MIN(subjectPayment,B225+E225))))</f>
        <v>625.80999999999995</v>
      </c>
      <c r="D225" s="14">
        <f t="shared" si="37"/>
        <v>610.39</v>
      </c>
      <c r="E225" s="14">
        <f>IF(OR(A225="",B225&lt;=0),0,ROUND(B225*(subjectInterestRate/12),2))</f>
        <v>15.42</v>
      </c>
      <c r="F225" s="14">
        <f t="shared" si="42"/>
        <v>134.16999999999999</v>
      </c>
      <c r="G225" s="14">
        <f t="shared" si="42"/>
        <v>188.55</v>
      </c>
      <c r="H225" s="14">
        <f t="shared" si="34"/>
        <v>948.53</v>
      </c>
      <c r="I225" s="276">
        <f t="shared" si="40"/>
        <v>93206.669999999984</v>
      </c>
      <c r="J225" s="276">
        <f t="shared" si="41"/>
        <v>36014.029999999977</v>
      </c>
      <c r="K225" s="276">
        <f t="shared" si="38"/>
        <v>4325.169999999961</v>
      </c>
      <c r="L225" s="394">
        <f t="shared" si="32"/>
        <v>17</v>
      </c>
      <c r="M225" s="394">
        <f t="shared" si="39"/>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IF(OR(A225="",A225&gt;=subjectMortgageEndDate),"",EDATE(A225,1))</f>
        <v>52140</v>
      </c>
      <c r="B226" s="276">
        <f t="shared" si="36"/>
        <v>4325.169999999961</v>
      </c>
      <c r="C226" s="14">
        <f>IF(A226="",0,IF(B226&lt;=0,0,IF(A226=subjectMortgageEndDate,B226+E226,MIN(subjectPayment,B226+E226))))</f>
        <v>625.80999999999995</v>
      </c>
      <c r="D226" s="14">
        <f t="shared" si="37"/>
        <v>612.29</v>
      </c>
      <c r="E226" s="14">
        <f>IF(OR(A226="",B226&lt;=0),0,ROUND(B226*(subjectInterestRate/12),2))</f>
        <v>13.52</v>
      </c>
      <c r="F226" s="14">
        <f t="shared" si="42"/>
        <v>134.16999999999999</v>
      </c>
      <c r="G226" s="14">
        <f t="shared" si="42"/>
        <v>188.55</v>
      </c>
      <c r="H226" s="14">
        <f t="shared" si="34"/>
        <v>948.53</v>
      </c>
      <c r="I226" s="276">
        <f t="shared" si="40"/>
        <v>93818.959999999977</v>
      </c>
      <c r="J226" s="276">
        <f t="shared" si="41"/>
        <v>36027.549999999974</v>
      </c>
      <c r="K226" s="276">
        <f t="shared" si="38"/>
        <v>3712.879999999961</v>
      </c>
      <c r="L226" s="394">
        <f t="shared" si="32"/>
        <v>17</v>
      </c>
      <c r="M226" s="394">
        <f t="shared" si="39"/>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IF(OR(A226="",A226&gt;=subjectMortgageEndDate),"",EDATE(A226,1))</f>
        <v>52171</v>
      </c>
      <c r="B227" s="276">
        <f t="shared" si="36"/>
        <v>3712.879999999961</v>
      </c>
      <c r="C227" s="14">
        <f>IF(A227="",0,IF(B227&lt;=0,0,IF(A227=subjectMortgageEndDate,B227+E227,MIN(subjectPayment,B227+E227))))</f>
        <v>625.80999999999995</v>
      </c>
      <c r="D227" s="14">
        <f t="shared" si="37"/>
        <v>614.20999999999992</v>
      </c>
      <c r="E227" s="14">
        <f>IF(OR(A227="",B227&lt;=0),0,ROUND(B227*(subjectInterestRate/12),2))</f>
        <v>11.6</v>
      </c>
      <c r="F227" s="14">
        <f t="shared" si="42"/>
        <v>134.16999999999999</v>
      </c>
      <c r="G227" s="14">
        <f t="shared" si="42"/>
        <v>188.55</v>
      </c>
      <c r="H227" s="14">
        <f t="shared" si="34"/>
        <v>948.53</v>
      </c>
      <c r="I227" s="276">
        <f t="shared" si="40"/>
        <v>94433.169999999984</v>
      </c>
      <c r="J227" s="276">
        <f t="shared" si="41"/>
        <v>36039.149999999972</v>
      </c>
      <c r="K227" s="276">
        <f t="shared" si="38"/>
        <v>3098.669999999961</v>
      </c>
      <c r="L227" s="394">
        <f t="shared" si="32"/>
        <v>17</v>
      </c>
      <c r="M227" s="394">
        <f t="shared" si="39"/>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IF(OR(A227="",A227&gt;=subjectMortgageEndDate),"",EDATE(A227,1))</f>
        <v>52201</v>
      </c>
      <c r="B228" s="276">
        <f t="shared" si="36"/>
        <v>3098.669999999961</v>
      </c>
      <c r="C228" s="14">
        <f>IF(A228="",0,IF(B228&lt;=0,0,IF(A228=subjectMortgageEndDate,B228+E228,MIN(subjectPayment,B228+E228))))</f>
        <v>625.80999999999995</v>
      </c>
      <c r="D228" s="14">
        <f t="shared" si="37"/>
        <v>616.13</v>
      </c>
      <c r="E228" s="14">
        <f>IF(OR(A228="",B228&lt;=0),0,ROUND(B228*(subjectInterestRate/12),2))</f>
        <v>9.68</v>
      </c>
      <c r="F228" s="14">
        <f t="shared" si="42"/>
        <v>134.16999999999999</v>
      </c>
      <c r="G228" s="14">
        <f t="shared" si="42"/>
        <v>188.55</v>
      </c>
      <c r="H228" s="14">
        <f t="shared" si="34"/>
        <v>948.53</v>
      </c>
      <c r="I228" s="276">
        <f t="shared" si="40"/>
        <v>95049.299999999988</v>
      </c>
      <c r="J228" s="276">
        <f t="shared" si="41"/>
        <v>36048.829999999973</v>
      </c>
      <c r="K228" s="276">
        <f t="shared" si="38"/>
        <v>2482.5399999999609</v>
      </c>
      <c r="L228" s="394">
        <f t="shared" si="32"/>
        <v>17</v>
      </c>
      <c r="M228" s="394">
        <f t="shared" si="39"/>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IF(OR(A228="",A228&gt;=subjectMortgageEndDate),"",EDATE(A228,1))</f>
        <v>52232</v>
      </c>
      <c r="B229" s="276">
        <f t="shared" si="36"/>
        <v>2482.5399999999609</v>
      </c>
      <c r="C229" s="14">
        <f>IF(A229="",0,IF(B229&lt;=0,0,IF(A229=subjectMortgageEndDate,B229+E229,MIN(subjectPayment,B229+E229))))</f>
        <v>625.80999999999995</v>
      </c>
      <c r="D229" s="14">
        <f t="shared" si="37"/>
        <v>618.04999999999995</v>
      </c>
      <c r="E229" s="14">
        <f>IF(OR(A229="",B229&lt;=0),0,ROUND(B229*(subjectInterestRate/12),2))</f>
        <v>7.76</v>
      </c>
      <c r="F229" s="14">
        <f t="shared" si="42"/>
        <v>134.16999999999999</v>
      </c>
      <c r="G229" s="14">
        <f t="shared" si="42"/>
        <v>188.55</v>
      </c>
      <c r="H229" s="14">
        <f t="shared" si="34"/>
        <v>948.53</v>
      </c>
      <c r="I229" s="276">
        <f t="shared" si="40"/>
        <v>95667.349999999991</v>
      </c>
      <c r="J229" s="276">
        <f t="shared" si="41"/>
        <v>36056.589999999975</v>
      </c>
      <c r="K229" s="276">
        <f t="shared" si="38"/>
        <v>1864.4899999999609</v>
      </c>
      <c r="L229" s="394">
        <f t="shared" si="32"/>
        <v>17</v>
      </c>
      <c r="M229" s="394">
        <f t="shared" si="39"/>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IF(OR(A229="",A229&gt;=subjectMortgageEndDate),"",EDATE(A229,1))</f>
        <v>52263</v>
      </c>
      <c r="B230" s="276">
        <f t="shared" si="36"/>
        <v>1864.4899999999609</v>
      </c>
      <c r="C230" s="14">
        <f>IF(A230="",0,IF(B230&lt;=0,0,IF(A230=subjectMortgageEndDate,B230+E230,MIN(subjectPayment,B230+E230))))</f>
        <v>625.80999999999995</v>
      </c>
      <c r="D230" s="14">
        <f t="shared" si="37"/>
        <v>619.9799999999999</v>
      </c>
      <c r="E230" s="14">
        <f>IF(OR(A230="",B230&lt;=0),0,ROUND(B230*(subjectInterestRate/12),2))</f>
        <v>5.83</v>
      </c>
      <c r="F230" s="14">
        <f t="shared" si="42"/>
        <v>134.16999999999999</v>
      </c>
      <c r="G230" s="14">
        <f t="shared" si="42"/>
        <v>188.55</v>
      </c>
      <c r="H230" s="14">
        <f t="shared" si="34"/>
        <v>948.53</v>
      </c>
      <c r="I230" s="276">
        <f t="shared" si="40"/>
        <v>96287.329999999987</v>
      </c>
      <c r="J230" s="276">
        <f t="shared" si="41"/>
        <v>36062.419999999976</v>
      </c>
      <c r="K230" s="276">
        <f t="shared" si="38"/>
        <v>1244.5099999999611</v>
      </c>
      <c r="L230" s="394">
        <f t="shared" si="32"/>
        <v>17</v>
      </c>
      <c r="M230" s="394">
        <f t="shared" si="39"/>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IF(OR(A230="",A230&gt;=subjectMortgageEndDate),"",EDATE(A230,1))</f>
        <v>52291</v>
      </c>
      <c r="B231" s="276">
        <f t="shared" si="36"/>
        <v>1244.5099999999611</v>
      </c>
      <c r="C231" s="14">
        <f>IF(A231="",0,IF(B231&lt;=0,0,IF(A231=subjectMortgageEndDate,B231+E231,MIN(subjectPayment,B231+E231))))</f>
        <v>625.80999999999995</v>
      </c>
      <c r="D231" s="14">
        <f t="shared" si="37"/>
        <v>621.91999999999996</v>
      </c>
      <c r="E231" s="14">
        <f>IF(OR(A231="",B231&lt;=0),0,ROUND(B231*(subjectInterestRate/12),2))</f>
        <v>3.89</v>
      </c>
      <c r="F231" s="14">
        <f t="shared" si="42"/>
        <v>134.16999999999999</v>
      </c>
      <c r="G231" s="14">
        <f t="shared" si="42"/>
        <v>188.55</v>
      </c>
      <c r="H231" s="14">
        <f t="shared" si="34"/>
        <v>948.53</v>
      </c>
      <c r="I231" s="276">
        <f t="shared" si="40"/>
        <v>96909.249999999985</v>
      </c>
      <c r="J231" s="276">
        <f t="shared" si="41"/>
        <v>36066.309999999976</v>
      </c>
      <c r="K231" s="276">
        <f t="shared" si="38"/>
        <v>622.58999999996115</v>
      </c>
      <c r="L231" s="394">
        <f t="shared" si="32"/>
        <v>17</v>
      </c>
      <c r="M231" s="394">
        <f t="shared" si="39"/>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IF(OR(A231="",A231&gt;=subjectMortgageEndDate),"",EDATE(A231,1))</f>
        <v>52322</v>
      </c>
      <c r="B232" s="276">
        <f t="shared" si="36"/>
        <v>622.58999999996115</v>
      </c>
      <c r="C232" s="14">
        <f>IF(A232="",0,IF(B232&lt;=0,0,IF(A232=subjectMortgageEndDate,B232+E232,MIN(subjectPayment,B232+E232))))</f>
        <v>624.5399999999612</v>
      </c>
      <c r="D232" s="14">
        <f t="shared" si="37"/>
        <v>622.58999999996115</v>
      </c>
      <c r="E232" s="14">
        <f>IF(OR(A232="",B232&lt;=0),0,ROUND(B232*(subjectInterestRate/12),2))</f>
        <v>1.95</v>
      </c>
      <c r="F232" s="14">
        <f t="shared" si="42"/>
        <v>134.16999999999999</v>
      </c>
      <c r="G232" s="14">
        <f t="shared" si="42"/>
        <v>188.55</v>
      </c>
      <c r="H232" s="14">
        <f t="shared" si="34"/>
        <v>947.25999999996111</v>
      </c>
      <c r="I232" s="276">
        <f t="shared" si="40"/>
        <v>97531.839999999953</v>
      </c>
      <c r="J232" s="276">
        <f t="shared" si="41"/>
        <v>36068.259999999973</v>
      </c>
      <c r="K232" s="276">
        <f t="shared" si="38"/>
        <v>0</v>
      </c>
      <c r="L232" s="394">
        <f t="shared" si="32"/>
        <v>17</v>
      </c>
      <c r="M232" s="394">
        <f t="shared" si="39"/>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IF(OR(A232="",A232&gt;=subjectMortgageEndDate),"",EDATE(A232,1))</f>
        <v/>
      </c>
      <c r="B233" s="276">
        <f t="shared" si="36"/>
        <v>0</v>
      </c>
      <c r="C233" s="14">
        <f>IF(A233="",0,IF(B233&lt;=0,0,IF(A233=subjectMortgageEndDate,B233+E233,MIN(subjectPayment,B233+E233))))</f>
        <v>0</v>
      </c>
      <c r="D233" s="14">
        <f t="shared" si="37"/>
        <v>0</v>
      </c>
      <c r="E233" s="14">
        <f>IF(OR(A233="",B233&lt;=0),0,ROUND(B233*(subjectInterestRate/12),2))</f>
        <v>0</v>
      </c>
      <c r="F233" s="14">
        <f t="shared" si="42"/>
        <v>134.16999999999999</v>
      </c>
      <c r="G233" s="14">
        <f t="shared" si="42"/>
        <v>188.55</v>
      </c>
      <c r="H233" s="14">
        <f t="shared" si="34"/>
        <v>322.72000000000003</v>
      </c>
      <c r="I233" s="276">
        <f t="shared" si="40"/>
        <v>97531.839999999953</v>
      </c>
      <c r="J233" s="276">
        <f t="shared" si="41"/>
        <v>36068.259999999973</v>
      </c>
      <c r="K233" s="276">
        <f t="shared" si="38"/>
        <v>0</v>
      </c>
      <c r="L233" s="394">
        <f t="shared" si="32"/>
        <v>0</v>
      </c>
      <c r="M233" s="394">
        <f t="shared" si="39"/>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IF(OR(A233="",A233&gt;=subjectMortgageEndDate),"",EDATE(A233,1))</f>
        <v/>
      </c>
      <c r="B234" s="276">
        <f t="shared" si="36"/>
        <v>0</v>
      </c>
      <c r="C234" s="14">
        <f>IF(A234="",0,IF(B234&lt;=0,0,IF(A234=subjectMortgageEndDate,B234+E234,MIN(subjectPayment,B234+E234))))</f>
        <v>0</v>
      </c>
      <c r="D234" s="14">
        <f t="shared" si="37"/>
        <v>0</v>
      </c>
      <c r="E234" s="14">
        <f>IF(OR(A234="",B234&lt;=0),0,ROUND(B234*(subjectInterestRate/12),2))</f>
        <v>0</v>
      </c>
      <c r="F234" s="14">
        <f t="shared" si="42"/>
        <v>134.16999999999999</v>
      </c>
      <c r="G234" s="14">
        <f t="shared" si="42"/>
        <v>188.55</v>
      </c>
      <c r="H234" s="14">
        <f t="shared" si="34"/>
        <v>322.72000000000003</v>
      </c>
      <c r="I234" s="276">
        <f t="shared" si="40"/>
        <v>97531.839999999953</v>
      </c>
      <c r="J234" s="276">
        <f t="shared" si="41"/>
        <v>36068.259999999973</v>
      </c>
      <c r="K234" s="276">
        <f t="shared" si="38"/>
        <v>0</v>
      </c>
      <c r="L234" s="394">
        <f t="shared" si="32"/>
        <v>0</v>
      </c>
      <c r="M234" s="394">
        <f t="shared" si="39"/>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IF(OR(A234="",A234&gt;=subjectMortgageEndDate),"",EDATE(A234,1))</f>
        <v/>
      </c>
      <c r="B235" s="332">
        <f t="shared" si="36"/>
        <v>0</v>
      </c>
      <c r="C235" s="21">
        <f>IF(A235="",0,IF(B235&lt;=0,0,IF(A235=subjectMortgageEndDate,B235+E235,MIN(subjectPayment,B235+E235))))</f>
        <v>0</v>
      </c>
      <c r="D235" s="21">
        <f t="shared" si="37"/>
        <v>0</v>
      </c>
      <c r="E235" s="21">
        <f>IF(OR(A235="",B235&lt;=0),0,ROUND(B235*(subjectInterestRate/12),2))</f>
        <v>0</v>
      </c>
      <c r="F235" s="21">
        <f t="shared" si="42"/>
        <v>134.16999999999999</v>
      </c>
      <c r="G235" s="21">
        <f t="shared" si="42"/>
        <v>188.55</v>
      </c>
      <c r="H235" s="21">
        <f t="shared" si="34"/>
        <v>322.72000000000003</v>
      </c>
      <c r="I235" s="332">
        <f t="shared" si="40"/>
        <v>97531.839999999953</v>
      </c>
      <c r="J235" s="332">
        <f t="shared" si="41"/>
        <v>36068.259999999973</v>
      </c>
      <c r="K235" s="332">
        <f t="shared" si="38"/>
        <v>0</v>
      </c>
      <c r="L235" s="395">
        <f t="shared" si="32"/>
        <v>0</v>
      </c>
      <c r="M235" s="395">
        <f t="shared" si="39"/>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32">
        <f>IF(INDEX(tblContractForDeed[End Bal],ROW()-ROW(tblBuyerOutputs[#Headers]))&lt;=0,0,($O$6+IF(ROW()=ROW(tblBuyerOutputs[#Headers])+1,0,INDEX(tblBuyerOutputs[Cumul Appr],ROW()-ROW(tblBuyerOutputs[#Headers])-1)))*$O$2/12)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IF(OR(A235="",A235&gt;=subjectMortgageEndDate),"",EDATE(A235,1))</f>
        <v/>
      </c>
      <c r="B236" s="276">
        <f t="shared" si="36"/>
        <v>0</v>
      </c>
      <c r="C236" s="14">
        <f>IF(A236="",0,IF(B236&lt;=0,0,IF(A236=subjectMortgageEndDate,B236+E236,MIN(subjectPayment,B236+E236))))</f>
        <v>0</v>
      </c>
      <c r="D236" s="14">
        <f t="shared" si="37"/>
        <v>0</v>
      </c>
      <c r="E236" s="14">
        <f>IF(OR(A236="",B236&lt;=0),0,ROUND(B236*(subjectInterestRate/12),2))</f>
        <v>0</v>
      </c>
      <c r="F236" s="14">
        <f t="shared" si="42"/>
        <v>134.16999999999999</v>
      </c>
      <c r="G236" s="14">
        <f t="shared" si="42"/>
        <v>188.55</v>
      </c>
      <c r="H236" s="14">
        <f t="shared" si="34"/>
        <v>322.72000000000003</v>
      </c>
      <c r="I236" s="276">
        <f t="shared" si="40"/>
        <v>97531.839999999953</v>
      </c>
      <c r="J236" s="276">
        <f t="shared" si="41"/>
        <v>36068.259999999973</v>
      </c>
      <c r="K236" s="276">
        <f t="shared" si="38"/>
        <v>0</v>
      </c>
      <c r="L236" s="394">
        <f t="shared" si="32"/>
        <v>0</v>
      </c>
      <c r="M236" s="394">
        <f t="shared" si="39"/>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IF(OR(A236="",A236&gt;=subjectMortgageEndDate),"",EDATE(A236,1))</f>
        <v/>
      </c>
      <c r="B237" s="276">
        <f t="shared" si="36"/>
        <v>0</v>
      </c>
      <c r="C237" s="14">
        <f>IF(A237="",0,IF(B237&lt;=0,0,IF(A237=subjectMortgageEndDate,B237+E237,MIN(subjectPayment,B237+E237))))</f>
        <v>0</v>
      </c>
      <c r="D237" s="14">
        <f t="shared" si="37"/>
        <v>0</v>
      </c>
      <c r="E237" s="14">
        <f>IF(OR(A237="",B237&lt;=0),0,ROUND(B237*(subjectInterestRate/12),2))</f>
        <v>0</v>
      </c>
      <c r="F237" s="14">
        <f t="shared" si="42"/>
        <v>134.16999999999999</v>
      </c>
      <c r="G237" s="14">
        <f t="shared" si="42"/>
        <v>188.55</v>
      </c>
      <c r="H237" s="14">
        <f t="shared" si="34"/>
        <v>322.72000000000003</v>
      </c>
      <c r="I237" s="276">
        <f t="shared" si="40"/>
        <v>97531.839999999953</v>
      </c>
      <c r="J237" s="276">
        <f t="shared" si="41"/>
        <v>36068.259999999973</v>
      </c>
      <c r="K237" s="276">
        <f t="shared" si="38"/>
        <v>0</v>
      </c>
      <c r="L237" s="394">
        <f t="shared" si="32"/>
        <v>0</v>
      </c>
      <c r="M237" s="394">
        <f t="shared" si="39"/>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IF(OR(A237="",A237&gt;=subjectMortgageEndDate),"",EDATE(A237,1))</f>
        <v/>
      </c>
      <c r="B238" s="276">
        <f t="shared" si="36"/>
        <v>0</v>
      </c>
      <c r="C238" s="14">
        <f>IF(A238="",0,IF(B238&lt;=0,0,IF(A238=subjectMortgageEndDate,B238+E238,MIN(subjectPayment,B238+E238))))</f>
        <v>0</v>
      </c>
      <c r="D238" s="14">
        <f t="shared" si="37"/>
        <v>0</v>
      </c>
      <c r="E238" s="14">
        <f>IF(OR(A238="",B238&lt;=0),0,ROUND(B238*(subjectInterestRate/12),2))</f>
        <v>0</v>
      </c>
      <c r="F238" s="14">
        <f t="shared" si="42"/>
        <v>134.16999999999999</v>
      </c>
      <c r="G238" s="14">
        <f t="shared" si="42"/>
        <v>188.55</v>
      </c>
      <c r="H238" s="14">
        <f t="shared" si="34"/>
        <v>322.72000000000003</v>
      </c>
      <c r="I238" s="276">
        <f t="shared" si="40"/>
        <v>97531.839999999953</v>
      </c>
      <c r="J238" s="276">
        <f t="shared" si="41"/>
        <v>36068.259999999973</v>
      </c>
      <c r="K238" s="276">
        <f t="shared" si="38"/>
        <v>0</v>
      </c>
      <c r="L238" s="394">
        <f t="shared" si="32"/>
        <v>0</v>
      </c>
      <c r="M238" s="394">
        <f t="shared" si="39"/>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IF(OR(A238="",A238&gt;=subjectMortgageEndDate),"",EDATE(A238,1))</f>
        <v/>
      </c>
      <c r="B239" s="276">
        <f t="shared" si="36"/>
        <v>0</v>
      </c>
      <c r="C239" s="14">
        <f>IF(A239="",0,IF(B239&lt;=0,0,IF(A239=subjectMortgageEndDate,B239+E239,MIN(subjectPayment,B239+E239))))</f>
        <v>0</v>
      </c>
      <c r="D239" s="14">
        <f t="shared" si="37"/>
        <v>0</v>
      </c>
      <c r="E239" s="14">
        <f>IF(OR(A239="",B239&lt;=0),0,ROUND(B239*(subjectInterestRate/12),2))</f>
        <v>0</v>
      </c>
      <c r="F239" s="14">
        <f t="shared" ref="F239:G254" si="43">+F238</f>
        <v>134.16999999999999</v>
      </c>
      <c r="G239" s="14">
        <f t="shared" si="43"/>
        <v>188.55</v>
      </c>
      <c r="H239" s="14">
        <f t="shared" si="34"/>
        <v>322.72000000000003</v>
      </c>
      <c r="I239" s="276">
        <f t="shared" si="40"/>
        <v>97531.839999999953</v>
      </c>
      <c r="J239" s="276">
        <f t="shared" si="41"/>
        <v>36068.259999999973</v>
      </c>
      <c r="K239" s="276">
        <f t="shared" si="38"/>
        <v>0</v>
      </c>
      <c r="L239" s="394">
        <f t="shared" si="32"/>
        <v>0</v>
      </c>
      <c r="M239" s="394">
        <f t="shared" si="39"/>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IF(OR(A239="",A239&gt;=subjectMortgageEndDate),"",EDATE(A239,1))</f>
        <v/>
      </c>
      <c r="B240" s="276">
        <f t="shared" si="36"/>
        <v>0</v>
      </c>
      <c r="C240" s="14">
        <f>IF(A240="",0,IF(B240&lt;=0,0,IF(A240=subjectMortgageEndDate,B240+E240,MIN(subjectPayment,B240+E240))))</f>
        <v>0</v>
      </c>
      <c r="D240" s="14">
        <f t="shared" si="37"/>
        <v>0</v>
      </c>
      <c r="E240" s="14">
        <f>IF(OR(A240="",B240&lt;=0),0,ROUND(B240*(subjectInterestRate/12),2))</f>
        <v>0</v>
      </c>
      <c r="F240" s="14">
        <f t="shared" si="43"/>
        <v>134.16999999999999</v>
      </c>
      <c r="G240" s="14">
        <f t="shared" si="43"/>
        <v>188.55</v>
      </c>
      <c r="H240" s="14">
        <f t="shared" si="34"/>
        <v>322.72000000000003</v>
      </c>
      <c r="I240" s="276">
        <f t="shared" si="40"/>
        <v>97531.839999999953</v>
      </c>
      <c r="J240" s="276">
        <f t="shared" si="41"/>
        <v>36068.259999999973</v>
      </c>
      <c r="K240" s="276">
        <f t="shared" si="38"/>
        <v>0</v>
      </c>
      <c r="L240" s="394">
        <f t="shared" si="32"/>
        <v>0</v>
      </c>
      <c r="M240" s="394">
        <f t="shared" si="39"/>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IF(OR(A240="",A240&gt;=subjectMortgageEndDate),"",EDATE(A240,1))</f>
        <v/>
      </c>
      <c r="B241" s="276">
        <f t="shared" si="36"/>
        <v>0</v>
      </c>
      <c r="C241" s="14">
        <f>IF(A241="",0,IF(B241&lt;=0,0,IF(A241=subjectMortgageEndDate,B241+E241,MIN(subjectPayment,B241+E241))))</f>
        <v>0</v>
      </c>
      <c r="D241" s="14">
        <f t="shared" si="37"/>
        <v>0</v>
      </c>
      <c r="E241" s="14">
        <f>IF(OR(A241="",B241&lt;=0),0,ROUND(B241*(subjectInterestRate/12),2))</f>
        <v>0</v>
      </c>
      <c r="F241" s="14">
        <f t="shared" si="43"/>
        <v>134.16999999999999</v>
      </c>
      <c r="G241" s="14">
        <f t="shared" si="43"/>
        <v>188.55</v>
      </c>
      <c r="H241" s="14">
        <f t="shared" si="34"/>
        <v>322.72000000000003</v>
      </c>
      <c r="I241" s="276">
        <f t="shared" si="40"/>
        <v>97531.839999999953</v>
      </c>
      <c r="J241" s="276">
        <f t="shared" si="41"/>
        <v>36068.259999999973</v>
      </c>
      <c r="K241" s="276">
        <f t="shared" si="38"/>
        <v>0</v>
      </c>
      <c r="L241" s="394">
        <f t="shared" si="32"/>
        <v>0</v>
      </c>
      <c r="M241" s="394">
        <f t="shared" si="39"/>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IF(OR(A241="",A241&gt;=subjectMortgageEndDate),"",EDATE(A241,1))</f>
        <v/>
      </c>
      <c r="B242" s="276">
        <f t="shared" si="36"/>
        <v>0</v>
      </c>
      <c r="C242" s="14">
        <f>IF(A242="",0,IF(B242&lt;=0,0,IF(A242=subjectMortgageEndDate,B242+E242,MIN(subjectPayment,B242+E242))))</f>
        <v>0</v>
      </c>
      <c r="D242" s="14">
        <f t="shared" si="37"/>
        <v>0</v>
      </c>
      <c r="E242" s="14">
        <f>IF(OR(A242="",B242&lt;=0),0,ROUND(B242*(subjectInterestRate/12),2))</f>
        <v>0</v>
      </c>
      <c r="F242" s="14">
        <f t="shared" si="43"/>
        <v>134.16999999999999</v>
      </c>
      <c r="G242" s="14">
        <f t="shared" si="43"/>
        <v>188.55</v>
      </c>
      <c r="H242" s="14">
        <f t="shared" si="34"/>
        <v>322.72000000000003</v>
      </c>
      <c r="I242" s="276">
        <f t="shared" si="40"/>
        <v>97531.839999999953</v>
      </c>
      <c r="J242" s="276">
        <f t="shared" si="41"/>
        <v>36068.259999999973</v>
      </c>
      <c r="K242" s="276">
        <f t="shared" si="38"/>
        <v>0</v>
      </c>
      <c r="L242" s="394">
        <f t="shared" si="32"/>
        <v>0</v>
      </c>
      <c r="M242" s="394">
        <f t="shared" si="39"/>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IF(OR(A242="",A242&gt;=subjectMortgageEndDate),"",EDATE(A242,1))</f>
        <v/>
      </c>
      <c r="B243" s="276">
        <f t="shared" si="36"/>
        <v>0</v>
      </c>
      <c r="C243" s="14">
        <f>IF(A243="",0,IF(B243&lt;=0,0,IF(A243=subjectMortgageEndDate,B243+E243,MIN(subjectPayment,B243+E243))))</f>
        <v>0</v>
      </c>
      <c r="D243" s="14">
        <f t="shared" si="37"/>
        <v>0</v>
      </c>
      <c r="E243" s="14">
        <f>IF(OR(A243="",B243&lt;=0),0,ROUND(B243*(subjectInterestRate/12),2))</f>
        <v>0</v>
      </c>
      <c r="F243" s="14">
        <f t="shared" si="43"/>
        <v>134.16999999999999</v>
      </c>
      <c r="G243" s="14">
        <f t="shared" si="43"/>
        <v>188.55</v>
      </c>
      <c r="H243" s="14">
        <f t="shared" si="34"/>
        <v>322.72000000000003</v>
      </c>
      <c r="I243" s="276">
        <f t="shared" si="40"/>
        <v>97531.839999999953</v>
      </c>
      <c r="J243" s="276">
        <f t="shared" si="41"/>
        <v>36068.259999999973</v>
      </c>
      <c r="K243" s="276">
        <f t="shared" si="38"/>
        <v>0</v>
      </c>
      <c r="L243" s="394">
        <f t="shared" si="32"/>
        <v>0</v>
      </c>
      <c r="M243" s="394">
        <f t="shared" si="39"/>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IF(OR(A243="",A243&gt;=subjectMortgageEndDate),"",EDATE(A243,1))</f>
        <v/>
      </c>
      <c r="B244" s="276">
        <f t="shared" si="36"/>
        <v>0</v>
      </c>
      <c r="C244" s="14">
        <f>IF(A244="",0,IF(B244&lt;=0,0,IF(A244=subjectMortgageEndDate,B244+E244,MIN(subjectPayment,B244+E244))))</f>
        <v>0</v>
      </c>
      <c r="D244" s="14">
        <f t="shared" si="37"/>
        <v>0</v>
      </c>
      <c r="E244" s="14">
        <f>IF(OR(A244="",B244&lt;=0),0,ROUND(B244*(subjectInterestRate/12),2))</f>
        <v>0</v>
      </c>
      <c r="F244" s="14">
        <f t="shared" si="43"/>
        <v>134.16999999999999</v>
      </c>
      <c r="G244" s="14">
        <f t="shared" si="43"/>
        <v>188.55</v>
      </c>
      <c r="H244" s="14">
        <f t="shared" si="34"/>
        <v>322.72000000000003</v>
      </c>
      <c r="I244" s="276">
        <f t="shared" si="40"/>
        <v>97531.839999999953</v>
      </c>
      <c r="J244" s="276">
        <f t="shared" si="41"/>
        <v>36068.259999999973</v>
      </c>
      <c r="K244" s="276">
        <f t="shared" si="38"/>
        <v>0</v>
      </c>
      <c r="L244" s="394">
        <f t="shared" ref="L244:L307" si="44">IF(MOD(M244,12)=0,M244/12,L243)</f>
        <v>0</v>
      </c>
      <c r="M244" s="394">
        <f t="shared" si="39"/>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IF(OR(A244="",A244&gt;=subjectMortgageEndDate),"",EDATE(A244,1))</f>
        <v/>
      </c>
      <c r="B245" s="276">
        <f t="shared" si="36"/>
        <v>0</v>
      </c>
      <c r="C245" s="14">
        <f>IF(A245="",0,IF(B245&lt;=0,0,IF(A245=subjectMortgageEndDate,B245+E245,MIN(subjectPayment,B245+E245))))</f>
        <v>0</v>
      </c>
      <c r="D245" s="14">
        <f t="shared" si="37"/>
        <v>0</v>
      </c>
      <c r="E245" s="14">
        <f>IF(OR(A245="",B245&lt;=0),0,ROUND(B245*(subjectInterestRate/12),2))</f>
        <v>0</v>
      </c>
      <c r="F245" s="14">
        <f t="shared" si="43"/>
        <v>134.16999999999999</v>
      </c>
      <c r="G245" s="14">
        <f t="shared" si="43"/>
        <v>188.55</v>
      </c>
      <c r="H245" s="14">
        <f t="shared" si="34"/>
        <v>322.72000000000003</v>
      </c>
      <c r="I245" s="276">
        <f t="shared" si="40"/>
        <v>97531.839999999953</v>
      </c>
      <c r="J245" s="276">
        <f t="shared" si="41"/>
        <v>36068.259999999973</v>
      </c>
      <c r="K245" s="276">
        <f t="shared" si="38"/>
        <v>0</v>
      </c>
      <c r="L245" s="394">
        <f t="shared" si="44"/>
        <v>0</v>
      </c>
      <c r="M245" s="394">
        <f t="shared" si="39"/>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IF(OR(A245="",A245&gt;=subjectMortgageEndDate),"",EDATE(A245,1))</f>
        <v/>
      </c>
      <c r="B246" s="276">
        <f t="shared" si="36"/>
        <v>0</v>
      </c>
      <c r="C246" s="14">
        <f>IF(A246="",0,IF(B246&lt;=0,0,IF(A246=subjectMortgageEndDate,B246+E246,MIN(subjectPayment,B246+E246))))</f>
        <v>0</v>
      </c>
      <c r="D246" s="14">
        <f t="shared" si="37"/>
        <v>0</v>
      </c>
      <c r="E246" s="14">
        <f>IF(OR(A246="",B246&lt;=0),0,ROUND(B246*(subjectInterestRate/12),2))</f>
        <v>0</v>
      </c>
      <c r="F246" s="14">
        <f t="shared" si="43"/>
        <v>134.16999999999999</v>
      </c>
      <c r="G246" s="14">
        <f t="shared" si="43"/>
        <v>188.55</v>
      </c>
      <c r="H246" s="14">
        <f t="shared" si="34"/>
        <v>322.72000000000003</v>
      </c>
      <c r="I246" s="276">
        <f t="shared" si="40"/>
        <v>97531.839999999953</v>
      </c>
      <c r="J246" s="276">
        <f t="shared" si="41"/>
        <v>36068.259999999973</v>
      </c>
      <c r="K246" s="276">
        <f t="shared" si="38"/>
        <v>0</v>
      </c>
      <c r="L246" s="394">
        <f t="shared" si="44"/>
        <v>0</v>
      </c>
      <c r="M246" s="394">
        <f t="shared" si="39"/>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IF(OR(A246="",A246&gt;=subjectMortgageEndDate),"",EDATE(A246,1))</f>
        <v/>
      </c>
      <c r="B247" s="332">
        <f t="shared" si="36"/>
        <v>0</v>
      </c>
      <c r="C247" s="21">
        <f>IF(A247="",0,IF(B247&lt;=0,0,IF(A247=subjectMortgageEndDate,B247+E247,MIN(subjectPayment,B247+E247))))</f>
        <v>0</v>
      </c>
      <c r="D247" s="21">
        <f t="shared" si="37"/>
        <v>0</v>
      </c>
      <c r="E247" s="21">
        <f>IF(OR(A247="",B247&lt;=0),0,ROUND(B247*(subjectInterestRate/12),2))</f>
        <v>0</v>
      </c>
      <c r="F247" s="21">
        <f t="shared" si="43"/>
        <v>134.16999999999999</v>
      </c>
      <c r="G247" s="21">
        <f t="shared" si="43"/>
        <v>188.55</v>
      </c>
      <c r="H247" s="21">
        <f t="shared" si="34"/>
        <v>322.72000000000003</v>
      </c>
      <c r="I247" s="332">
        <f t="shared" si="40"/>
        <v>97531.839999999953</v>
      </c>
      <c r="J247" s="332">
        <f t="shared" si="41"/>
        <v>36068.259999999973</v>
      </c>
      <c r="K247" s="332">
        <f t="shared" si="38"/>
        <v>0</v>
      </c>
      <c r="L247" s="395">
        <f t="shared" si="44"/>
        <v>0</v>
      </c>
      <c r="M247" s="395">
        <f t="shared" si="39"/>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32">
        <f>IF(INDEX(tblContractForDeed[End Bal],ROW()-ROW(tblBuyerOutputs[#Headers]))&lt;=0,0,($O$6+IF(ROW()=ROW(tblBuyerOutputs[#Headers])+1,0,INDEX(tblBuyerOutputs[Cumul Appr],ROW()-ROW(tblBuyerOutputs[#Headers])-1)))*$O$2/12)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IF(OR(A247="",A247&gt;=subjectMortgageEndDate),"",EDATE(A247,1))</f>
        <v/>
      </c>
      <c r="B248" s="276">
        <f t="shared" si="36"/>
        <v>0</v>
      </c>
      <c r="C248" s="14">
        <f>IF(A248="",0,IF(B248&lt;=0,0,IF(A248=subjectMortgageEndDate,B248+E248,MIN(subjectPayment,B248+E248))))</f>
        <v>0</v>
      </c>
      <c r="D248" s="14">
        <f t="shared" si="37"/>
        <v>0</v>
      </c>
      <c r="E248" s="14">
        <f>IF(OR(A248="",B248&lt;=0),0,ROUND(B248*(subjectInterestRate/12),2))</f>
        <v>0</v>
      </c>
      <c r="F248" s="14">
        <f t="shared" si="43"/>
        <v>134.16999999999999</v>
      </c>
      <c r="G248" s="14">
        <f t="shared" si="43"/>
        <v>188.55</v>
      </c>
      <c r="H248" s="14">
        <f t="shared" si="34"/>
        <v>322.72000000000003</v>
      </c>
      <c r="I248" s="276">
        <f t="shared" si="40"/>
        <v>97531.839999999953</v>
      </c>
      <c r="J248" s="276">
        <f t="shared" si="41"/>
        <v>36068.259999999973</v>
      </c>
      <c r="K248" s="276">
        <f t="shared" si="38"/>
        <v>0</v>
      </c>
      <c r="L248" s="394">
        <f t="shared" si="44"/>
        <v>0</v>
      </c>
      <c r="M248" s="394">
        <f t="shared" si="39"/>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IF(OR(A248="",A248&gt;=subjectMortgageEndDate),"",EDATE(A248,1))</f>
        <v/>
      </c>
      <c r="B249" s="276">
        <f t="shared" si="36"/>
        <v>0</v>
      </c>
      <c r="C249" s="14">
        <f>IF(A249="",0,IF(B249&lt;=0,0,IF(A249=subjectMortgageEndDate,B249+E249,MIN(subjectPayment,B249+E249))))</f>
        <v>0</v>
      </c>
      <c r="D249" s="14">
        <f t="shared" si="37"/>
        <v>0</v>
      </c>
      <c r="E249" s="14">
        <f>IF(OR(A249="",B249&lt;=0),0,ROUND(B249*(subjectInterestRate/12),2))</f>
        <v>0</v>
      </c>
      <c r="F249" s="14">
        <f t="shared" si="43"/>
        <v>134.16999999999999</v>
      </c>
      <c r="G249" s="14">
        <f t="shared" si="43"/>
        <v>188.55</v>
      </c>
      <c r="H249" s="14">
        <f t="shared" si="34"/>
        <v>322.72000000000003</v>
      </c>
      <c r="I249" s="276">
        <f t="shared" si="40"/>
        <v>97531.839999999953</v>
      </c>
      <c r="J249" s="276">
        <f t="shared" si="41"/>
        <v>36068.259999999973</v>
      </c>
      <c r="K249" s="276">
        <f t="shared" si="38"/>
        <v>0</v>
      </c>
      <c r="L249" s="394">
        <f t="shared" si="44"/>
        <v>0</v>
      </c>
      <c r="M249" s="394">
        <f t="shared" si="39"/>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IF(OR(A249="",A249&gt;=subjectMortgageEndDate),"",EDATE(A249,1))</f>
        <v/>
      </c>
      <c r="B250" s="276">
        <f t="shared" si="36"/>
        <v>0</v>
      </c>
      <c r="C250" s="14">
        <f>IF(A250="",0,IF(B250&lt;=0,0,IF(A250=subjectMortgageEndDate,B250+E250,MIN(subjectPayment,B250+E250))))</f>
        <v>0</v>
      </c>
      <c r="D250" s="14">
        <f t="shared" si="37"/>
        <v>0</v>
      </c>
      <c r="E250" s="14">
        <f>IF(OR(A250="",B250&lt;=0),0,ROUND(B250*(subjectInterestRate/12),2))</f>
        <v>0</v>
      </c>
      <c r="F250" s="14">
        <f t="shared" si="43"/>
        <v>134.16999999999999</v>
      </c>
      <c r="G250" s="14">
        <f t="shared" si="43"/>
        <v>188.55</v>
      </c>
      <c r="H250" s="14">
        <f t="shared" si="34"/>
        <v>322.72000000000003</v>
      </c>
      <c r="I250" s="276">
        <f t="shared" si="40"/>
        <v>97531.839999999953</v>
      </c>
      <c r="J250" s="276">
        <f t="shared" si="41"/>
        <v>36068.259999999973</v>
      </c>
      <c r="K250" s="276">
        <f t="shared" si="38"/>
        <v>0</v>
      </c>
      <c r="L250" s="394">
        <f t="shared" si="44"/>
        <v>0</v>
      </c>
      <c r="M250" s="394">
        <f t="shared" si="39"/>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IF(OR(A250="",A250&gt;=subjectMortgageEndDate),"",EDATE(A250,1))</f>
        <v/>
      </c>
      <c r="B251" s="276">
        <f t="shared" si="36"/>
        <v>0</v>
      </c>
      <c r="C251" s="14">
        <f>IF(A251="",0,IF(B251&lt;=0,0,IF(A251=subjectMortgageEndDate,B251+E251,MIN(subjectPayment,B251+E251))))</f>
        <v>0</v>
      </c>
      <c r="D251" s="14">
        <f t="shared" si="37"/>
        <v>0</v>
      </c>
      <c r="E251" s="14">
        <f>IF(OR(A251="",B251&lt;=0),0,ROUND(B251*(subjectInterestRate/12),2))</f>
        <v>0</v>
      </c>
      <c r="F251" s="14">
        <f t="shared" si="43"/>
        <v>134.16999999999999</v>
      </c>
      <c r="G251" s="14">
        <f t="shared" si="43"/>
        <v>188.55</v>
      </c>
      <c r="H251" s="14">
        <f t="shared" si="34"/>
        <v>322.72000000000003</v>
      </c>
      <c r="I251" s="276">
        <f t="shared" si="40"/>
        <v>97531.839999999953</v>
      </c>
      <c r="J251" s="276">
        <f t="shared" si="41"/>
        <v>36068.259999999973</v>
      </c>
      <c r="K251" s="276">
        <f t="shared" si="38"/>
        <v>0</v>
      </c>
      <c r="L251" s="394">
        <f t="shared" si="44"/>
        <v>0</v>
      </c>
      <c r="M251" s="394">
        <f t="shared" si="39"/>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IF(OR(A251="",A251&gt;=subjectMortgageEndDate),"",EDATE(A251,1))</f>
        <v/>
      </c>
      <c r="B252" s="276">
        <f t="shared" si="36"/>
        <v>0</v>
      </c>
      <c r="C252" s="14">
        <f>IF(A252="",0,IF(B252&lt;=0,0,IF(A252=subjectMortgageEndDate,B252+E252,MIN(subjectPayment,B252+E252))))</f>
        <v>0</v>
      </c>
      <c r="D252" s="14">
        <f t="shared" si="37"/>
        <v>0</v>
      </c>
      <c r="E252" s="14">
        <f>IF(OR(A252="",B252&lt;=0),0,ROUND(B252*(subjectInterestRate/12),2))</f>
        <v>0</v>
      </c>
      <c r="F252" s="14">
        <f t="shared" si="43"/>
        <v>134.16999999999999</v>
      </c>
      <c r="G252" s="14">
        <f t="shared" si="43"/>
        <v>188.55</v>
      </c>
      <c r="H252" s="14">
        <f t="shared" si="34"/>
        <v>322.72000000000003</v>
      </c>
      <c r="I252" s="276">
        <f t="shared" si="40"/>
        <v>97531.839999999953</v>
      </c>
      <c r="J252" s="276">
        <f t="shared" si="41"/>
        <v>36068.259999999973</v>
      </c>
      <c r="K252" s="276">
        <f t="shared" si="38"/>
        <v>0</v>
      </c>
      <c r="L252" s="394">
        <f t="shared" si="44"/>
        <v>0</v>
      </c>
      <c r="M252" s="394">
        <f t="shared" si="39"/>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IF(OR(A252="",A252&gt;=subjectMortgageEndDate),"",EDATE(A252,1))</f>
        <v/>
      </c>
      <c r="B253" s="276">
        <f t="shared" si="36"/>
        <v>0</v>
      </c>
      <c r="C253" s="14">
        <f>IF(A253="",0,IF(B253&lt;=0,0,IF(A253=subjectMortgageEndDate,B253+E253,MIN(subjectPayment,B253+E253))))</f>
        <v>0</v>
      </c>
      <c r="D253" s="14">
        <f t="shared" si="37"/>
        <v>0</v>
      </c>
      <c r="E253" s="14">
        <f>IF(OR(A253="",B253&lt;=0),0,ROUND(B253*(subjectInterestRate/12),2))</f>
        <v>0</v>
      </c>
      <c r="F253" s="14">
        <f t="shared" si="43"/>
        <v>134.16999999999999</v>
      </c>
      <c r="G253" s="14">
        <f t="shared" si="43"/>
        <v>188.55</v>
      </c>
      <c r="H253" s="14">
        <f t="shared" si="34"/>
        <v>322.72000000000003</v>
      </c>
      <c r="I253" s="276">
        <f t="shared" si="40"/>
        <v>97531.839999999953</v>
      </c>
      <c r="J253" s="276">
        <f t="shared" si="41"/>
        <v>36068.259999999973</v>
      </c>
      <c r="K253" s="276">
        <f t="shared" si="38"/>
        <v>0</v>
      </c>
      <c r="L253" s="394">
        <f t="shared" si="44"/>
        <v>0</v>
      </c>
      <c r="M253" s="394">
        <f t="shared" si="39"/>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IF(OR(A253="",A253&gt;=subjectMortgageEndDate),"",EDATE(A253,1))</f>
        <v/>
      </c>
      <c r="B254" s="276">
        <f t="shared" si="36"/>
        <v>0</v>
      </c>
      <c r="C254" s="14">
        <f>IF(A254="",0,IF(B254&lt;=0,0,IF(A254=subjectMortgageEndDate,B254+E254,MIN(subjectPayment,B254+E254))))</f>
        <v>0</v>
      </c>
      <c r="D254" s="14">
        <f t="shared" si="37"/>
        <v>0</v>
      </c>
      <c r="E254" s="14">
        <f>IF(OR(A254="",B254&lt;=0),0,ROUND(B254*(subjectInterestRate/12),2))</f>
        <v>0</v>
      </c>
      <c r="F254" s="14">
        <f t="shared" si="43"/>
        <v>134.16999999999999</v>
      </c>
      <c r="G254" s="14">
        <f t="shared" si="43"/>
        <v>188.55</v>
      </c>
      <c r="H254" s="14">
        <f t="shared" si="34"/>
        <v>322.72000000000003</v>
      </c>
      <c r="I254" s="276">
        <f t="shared" si="40"/>
        <v>97531.839999999953</v>
      </c>
      <c r="J254" s="276">
        <f t="shared" si="41"/>
        <v>36068.259999999973</v>
      </c>
      <c r="K254" s="276">
        <f t="shared" si="38"/>
        <v>0</v>
      </c>
      <c r="L254" s="394">
        <f t="shared" si="44"/>
        <v>0</v>
      </c>
      <c r="M254" s="394">
        <f t="shared" si="39"/>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IF(OR(A254="",A254&gt;=subjectMortgageEndDate),"",EDATE(A254,1))</f>
        <v/>
      </c>
      <c r="B255" s="276">
        <f t="shared" si="36"/>
        <v>0</v>
      </c>
      <c r="C255" s="14">
        <f>IF(A255="",0,IF(B255&lt;=0,0,IF(A255=subjectMortgageEndDate,B255+E255,MIN(subjectPayment,B255+E255))))</f>
        <v>0</v>
      </c>
      <c r="D255" s="14">
        <f t="shared" si="37"/>
        <v>0</v>
      </c>
      <c r="E255" s="14">
        <f>IF(OR(A255="",B255&lt;=0),0,ROUND(B255*(subjectInterestRate/12),2))</f>
        <v>0</v>
      </c>
      <c r="F255" s="14">
        <f t="shared" ref="F255:G270" si="45">+F254</f>
        <v>134.16999999999999</v>
      </c>
      <c r="G255" s="14">
        <f t="shared" si="45"/>
        <v>188.55</v>
      </c>
      <c r="H255" s="14">
        <f t="shared" si="34"/>
        <v>322.72000000000003</v>
      </c>
      <c r="I255" s="276">
        <f t="shared" si="40"/>
        <v>97531.839999999953</v>
      </c>
      <c r="J255" s="276">
        <f t="shared" si="41"/>
        <v>36068.259999999973</v>
      </c>
      <c r="K255" s="276">
        <f t="shared" si="38"/>
        <v>0</v>
      </c>
      <c r="L255" s="394">
        <f t="shared" si="44"/>
        <v>0</v>
      </c>
      <c r="M255" s="394">
        <f t="shared" si="39"/>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IF(OR(A255="",A255&gt;=subjectMortgageEndDate),"",EDATE(A255,1))</f>
        <v/>
      </c>
      <c r="B256" s="276">
        <f t="shared" si="36"/>
        <v>0</v>
      </c>
      <c r="C256" s="14">
        <f>IF(A256="",0,IF(B256&lt;=0,0,IF(A256=subjectMortgageEndDate,B256+E256,MIN(subjectPayment,B256+E256))))</f>
        <v>0</v>
      </c>
      <c r="D256" s="14">
        <f t="shared" si="37"/>
        <v>0</v>
      </c>
      <c r="E256" s="14">
        <f>IF(OR(A256="",B256&lt;=0),0,ROUND(B256*(subjectInterestRate/12),2))</f>
        <v>0</v>
      </c>
      <c r="F256" s="14">
        <f t="shared" si="45"/>
        <v>134.16999999999999</v>
      </c>
      <c r="G256" s="14">
        <f t="shared" si="45"/>
        <v>188.55</v>
      </c>
      <c r="H256" s="14">
        <f t="shared" ref="H256:H319" si="46">SUM(D256:G256)</f>
        <v>322.72000000000003</v>
      </c>
      <c r="I256" s="276">
        <f t="shared" si="40"/>
        <v>97531.839999999953</v>
      </c>
      <c r="J256" s="276">
        <f t="shared" si="41"/>
        <v>36068.259999999973</v>
      </c>
      <c r="K256" s="276">
        <f t="shared" si="38"/>
        <v>0</v>
      </c>
      <c r="L256" s="394">
        <f t="shared" si="44"/>
        <v>0</v>
      </c>
      <c r="M256" s="394">
        <f t="shared" si="39"/>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IF(OR(A256="",A256&gt;=subjectMortgageEndDate),"",EDATE(A256,1))</f>
        <v/>
      </c>
      <c r="B257" s="276">
        <f t="shared" si="36"/>
        <v>0</v>
      </c>
      <c r="C257" s="14">
        <f>IF(A257="",0,IF(B257&lt;=0,0,IF(A257=subjectMortgageEndDate,B257+E257,MIN(subjectPayment,B257+E257))))</f>
        <v>0</v>
      </c>
      <c r="D257" s="14">
        <f t="shared" si="37"/>
        <v>0</v>
      </c>
      <c r="E257" s="14">
        <f>IF(OR(A257="",B257&lt;=0),0,ROUND(B257*(subjectInterestRate/12),2))</f>
        <v>0</v>
      </c>
      <c r="F257" s="14">
        <f t="shared" si="45"/>
        <v>134.16999999999999</v>
      </c>
      <c r="G257" s="14">
        <f t="shared" si="45"/>
        <v>188.55</v>
      </c>
      <c r="H257" s="14">
        <f t="shared" si="46"/>
        <v>322.72000000000003</v>
      </c>
      <c r="I257" s="276">
        <f t="shared" si="40"/>
        <v>97531.839999999953</v>
      </c>
      <c r="J257" s="276">
        <f t="shared" si="41"/>
        <v>36068.259999999973</v>
      </c>
      <c r="K257" s="276">
        <f t="shared" si="38"/>
        <v>0</v>
      </c>
      <c r="L257" s="394">
        <f t="shared" si="44"/>
        <v>0</v>
      </c>
      <c r="M257" s="394">
        <f t="shared" si="39"/>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IF(OR(A257="",A257&gt;=subjectMortgageEndDate),"",EDATE(A257,1))</f>
        <v/>
      </c>
      <c r="B258" s="276">
        <f t="shared" si="36"/>
        <v>0</v>
      </c>
      <c r="C258" s="14">
        <f>IF(A258="",0,IF(B258&lt;=0,0,IF(A258=subjectMortgageEndDate,B258+E258,MIN(subjectPayment,B258+E258))))</f>
        <v>0</v>
      </c>
      <c r="D258" s="14">
        <f t="shared" si="37"/>
        <v>0</v>
      </c>
      <c r="E258" s="14">
        <f>IF(OR(A258="",B258&lt;=0),0,ROUND(B258*(subjectInterestRate/12),2))</f>
        <v>0</v>
      </c>
      <c r="F258" s="14">
        <f t="shared" si="45"/>
        <v>134.16999999999999</v>
      </c>
      <c r="G258" s="14">
        <f t="shared" si="45"/>
        <v>188.55</v>
      </c>
      <c r="H258" s="14">
        <f t="shared" si="46"/>
        <v>322.72000000000003</v>
      </c>
      <c r="I258" s="276">
        <f t="shared" si="40"/>
        <v>97531.839999999953</v>
      </c>
      <c r="J258" s="276">
        <f t="shared" si="41"/>
        <v>36068.259999999973</v>
      </c>
      <c r="K258" s="276">
        <f t="shared" si="38"/>
        <v>0</v>
      </c>
      <c r="L258" s="394">
        <f t="shared" si="44"/>
        <v>0</v>
      </c>
      <c r="M258" s="394">
        <f t="shared" si="39"/>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IF(OR(A258="",A258&gt;=subjectMortgageEndDate),"",EDATE(A258,1))</f>
        <v/>
      </c>
      <c r="B259" s="332">
        <f t="shared" si="36"/>
        <v>0</v>
      </c>
      <c r="C259" s="21">
        <f>IF(A259="",0,IF(B259&lt;=0,0,IF(A259=subjectMortgageEndDate,B259+E259,MIN(subjectPayment,B259+E259))))</f>
        <v>0</v>
      </c>
      <c r="D259" s="21">
        <f t="shared" si="37"/>
        <v>0</v>
      </c>
      <c r="E259" s="21">
        <f>IF(OR(A259="",B259&lt;=0),0,ROUND(B259*(subjectInterestRate/12),2))</f>
        <v>0</v>
      </c>
      <c r="F259" s="21">
        <f t="shared" si="45"/>
        <v>134.16999999999999</v>
      </c>
      <c r="G259" s="21">
        <f t="shared" si="45"/>
        <v>188.55</v>
      </c>
      <c r="H259" s="21">
        <f t="shared" si="46"/>
        <v>322.72000000000003</v>
      </c>
      <c r="I259" s="332">
        <f t="shared" si="40"/>
        <v>97531.839999999953</v>
      </c>
      <c r="J259" s="332">
        <f t="shared" si="41"/>
        <v>36068.259999999973</v>
      </c>
      <c r="K259" s="332">
        <f t="shared" si="38"/>
        <v>0</v>
      </c>
      <c r="L259" s="395">
        <f t="shared" si="44"/>
        <v>0</v>
      </c>
      <c r="M259" s="395">
        <f t="shared" si="39"/>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32">
        <f>IF(INDEX(tblContractForDeed[End Bal],ROW()-ROW(tblBuyerOutputs[#Headers]))&lt;=0,0,($O$6+IF(ROW()=ROW(tblBuyerOutputs[#Headers])+1,0,INDEX(tblBuyerOutputs[Cumul Appr],ROW()-ROW(tblBuyerOutputs[#Headers])-1)))*$O$2/12)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IF(OR(A259="",A259&gt;=subjectMortgageEndDate),"",EDATE(A259,1))</f>
        <v/>
      </c>
      <c r="B260" s="276">
        <f t="shared" si="36"/>
        <v>0</v>
      </c>
      <c r="C260" s="14">
        <f>IF(A260="",0,IF(B260&lt;=0,0,IF(A260=subjectMortgageEndDate,B260+E260,MIN(subjectPayment,B260+E260))))</f>
        <v>0</v>
      </c>
      <c r="D260" s="14">
        <f t="shared" si="37"/>
        <v>0</v>
      </c>
      <c r="E260" s="14">
        <f>IF(OR(A260="",B260&lt;=0),0,ROUND(B260*(subjectInterestRate/12),2))</f>
        <v>0</v>
      </c>
      <c r="F260" s="14">
        <f t="shared" si="45"/>
        <v>134.16999999999999</v>
      </c>
      <c r="G260" s="14">
        <f t="shared" si="45"/>
        <v>188.55</v>
      </c>
      <c r="H260" s="14">
        <f t="shared" si="46"/>
        <v>322.72000000000003</v>
      </c>
      <c r="I260" s="276">
        <f t="shared" si="40"/>
        <v>97531.839999999953</v>
      </c>
      <c r="J260" s="276">
        <f t="shared" si="41"/>
        <v>36068.259999999973</v>
      </c>
      <c r="K260" s="276">
        <f t="shared" si="38"/>
        <v>0</v>
      </c>
      <c r="L260" s="394">
        <f t="shared" si="44"/>
        <v>0</v>
      </c>
      <c r="M260" s="394">
        <f t="shared" si="39"/>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IF(OR(A260="",A260&gt;=subjectMortgageEndDate),"",EDATE(A260,1))</f>
        <v/>
      </c>
      <c r="B261" s="276">
        <f t="shared" si="36"/>
        <v>0</v>
      </c>
      <c r="C261" s="14">
        <f>IF(A261="",0,IF(B261&lt;=0,0,IF(A261=subjectMortgageEndDate,B261+E261,MIN(subjectPayment,B261+E261))))</f>
        <v>0</v>
      </c>
      <c r="D261" s="14">
        <f t="shared" si="37"/>
        <v>0</v>
      </c>
      <c r="E261" s="14">
        <f>IF(OR(A261="",B261&lt;=0),0,ROUND(B261*(subjectInterestRate/12),2))</f>
        <v>0</v>
      </c>
      <c r="F261" s="14">
        <f t="shared" si="45"/>
        <v>134.16999999999999</v>
      </c>
      <c r="G261" s="14">
        <f t="shared" si="45"/>
        <v>188.55</v>
      </c>
      <c r="H261" s="14">
        <f t="shared" si="46"/>
        <v>322.72000000000003</v>
      </c>
      <c r="I261" s="276">
        <f t="shared" si="40"/>
        <v>97531.839999999953</v>
      </c>
      <c r="J261" s="276">
        <f t="shared" si="41"/>
        <v>36068.259999999973</v>
      </c>
      <c r="K261" s="276">
        <f t="shared" si="38"/>
        <v>0</v>
      </c>
      <c r="L261" s="394">
        <f t="shared" si="44"/>
        <v>0</v>
      </c>
      <c r="M261" s="394">
        <f t="shared" si="39"/>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IF(OR(A261="",A261&gt;=subjectMortgageEndDate),"",EDATE(A261,1))</f>
        <v/>
      </c>
      <c r="B262" s="276">
        <f t="shared" si="36"/>
        <v>0</v>
      </c>
      <c r="C262" s="14">
        <f>IF(A262="",0,IF(B262&lt;=0,0,IF(A262=subjectMortgageEndDate,B262+E262,MIN(subjectPayment,B262+E262))))</f>
        <v>0</v>
      </c>
      <c r="D262" s="14">
        <f t="shared" si="37"/>
        <v>0</v>
      </c>
      <c r="E262" s="14">
        <f>IF(OR(A262="",B262&lt;=0),0,ROUND(B262*(subjectInterestRate/12),2))</f>
        <v>0</v>
      </c>
      <c r="F262" s="14">
        <f t="shared" si="45"/>
        <v>134.16999999999999</v>
      </c>
      <c r="G262" s="14">
        <f t="shared" si="45"/>
        <v>188.55</v>
      </c>
      <c r="H262" s="14">
        <f t="shared" si="46"/>
        <v>322.72000000000003</v>
      </c>
      <c r="I262" s="276">
        <f t="shared" si="40"/>
        <v>97531.839999999953</v>
      </c>
      <c r="J262" s="276">
        <f t="shared" si="41"/>
        <v>36068.259999999973</v>
      </c>
      <c r="K262" s="276">
        <f t="shared" si="38"/>
        <v>0</v>
      </c>
      <c r="L262" s="394">
        <f t="shared" si="44"/>
        <v>0</v>
      </c>
      <c r="M262" s="394">
        <f t="shared" si="39"/>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IF(OR(A262="",A262&gt;=subjectMortgageEndDate),"",EDATE(A262,1))</f>
        <v/>
      </c>
      <c r="B263" s="276">
        <f t="shared" si="36"/>
        <v>0</v>
      </c>
      <c r="C263" s="14">
        <f>IF(A263="",0,IF(B263&lt;=0,0,IF(A263=subjectMortgageEndDate,B263+E263,MIN(subjectPayment,B263+E263))))</f>
        <v>0</v>
      </c>
      <c r="D263" s="14">
        <f t="shared" si="37"/>
        <v>0</v>
      </c>
      <c r="E263" s="14">
        <f>IF(OR(A263="",B263&lt;=0),0,ROUND(B263*(subjectInterestRate/12),2))</f>
        <v>0</v>
      </c>
      <c r="F263" s="14">
        <f t="shared" si="45"/>
        <v>134.16999999999999</v>
      </c>
      <c r="G263" s="14">
        <f t="shared" si="45"/>
        <v>188.55</v>
      </c>
      <c r="H263" s="14">
        <f t="shared" si="46"/>
        <v>322.72000000000003</v>
      </c>
      <c r="I263" s="276">
        <f t="shared" si="40"/>
        <v>97531.839999999953</v>
      </c>
      <c r="J263" s="276">
        <f t="shared" si="41"/>
        <v>36068.259999999973</v>
      </c>
      <c r="K263" s="276">
        <f t="shared" si="38"/>
        <v>0</v>
      </c>
      <c r="L263" s="394">
        <f t="shared" si="44"/>
        <v>0</v>
      </c>
      <c r="M263" s="394">
        <f t="shared" si="39"/>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IF(OR(A263="",A263&gt;=subjectMortgageEndDate),"",EDATE(A263,1))</f>
        <v/>
      </c>
      <c r="B264" s="276">
        <f t="shared" si="36"/>
        <v>0</v>
      </c>
      <c r="C264" s="14">
        <f>IF(A264="",0,IF(B264&lt;=0,0,IF(A264=subjectMortgageEndDate,B264+E264,MIN(subjectPayment,B264+E264))))</f>
        <v>0</v>
      </c>
      <c r="D264" s="14">
        <f t="shared" si="37"/>
        <v>0</v>
      </c>
      <c r="E264" s="14">
        <f>IF(OR(A264="",B264&lt;=0),0,ROUND(B264*(subjectInterestRate/12),2))</f>
        <v>0</v>
      </c>
      <c r="F264" s="14">
        <f t="shared" si="45"/>
        <v>134.16999999999999</v>
      </c>
      <c r="G264" s="14">
        <f t="shared" si="45"/>
        <v>188.55</v>
      </c>
      <c r="H264" s="14">
        <f t="shared" si="46"/>
        <v>322.72000000000003</v>
      </c>
      <c r="I264" s="276">
        <f t="shared" si="40"/>
        <v>97531.839999999953</v>
      </c>
      <c r="J264" s="276">
        <f t="shared" si="41"/>
        <v>36068.259999999973</v>
      </c>
      <c r="K264" s="276">
        <f t="shared" si="38"/>
        <v>0</v>
      </c>
      <c r="L264" s="394">
        <f t="shared" si="44"/>
        <v>0</v>
      </c>
      <c r="M264" s="394">
        <f t="shared" si="39"/>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IF(OR(A264="",A264&gt;=subjectMortgageEndDate),"",EDATE(A264,1))</f>
        <v/>
      </c>
      <c r="B265" s="276">
        <f t="shared" si="36"/>
        <v>0</v>
      </c>
      <c r="C265" s="14">
        <f>IF(A265="",0,IF(B265&lt;=0,0,IF(A265=subjectMortgageEndDate,B265+E265,MIN(subjectPayment,B265+E265))))</f>
        <v>0</v>
      </c>
      <c r="D265" s="14">
        <f t="shared" si="37"/>
        <v>0</v>
      </c>
      <c r="E265" s="14">
        <f>IF(OR(A265="",B265&lt;=0),0,ROUND(B265*(subjectInterestRate/12),2))</f>
        <v>0</v>
      </c>
      <c r="F265" s="14">
        <f t="shared" si="45"/>
        <v>134.16999999999999</v>
      </c>
      <c r="G265" s="14">
        <f t="shared" si="45"/>
        <v>188.55</v>
      </c>
      <c r="H265" s="14">
        <f t="shared" si="46"/>
        <v>322.72000000000003</v>
      </c>
      <c r="I265" s="276">
        <f t="shared" si="40"/>
        <v>97531.839999999953</v>
      </c>
      <c r="J265" s="276">
        <f t="shared" si="41"/>
        <v>36068.259999999973</v>
      </c>
      <c r="K265" s="276">
        <f t="shared" si="38"/>
        <v>0</v>
      </c>
      <c r="L265" s="394">
        <f t="shared" si="44"/>
        <v>0</v>
      </c>
      <c r="M265" s="394">
        <f t="shared" si="39"/>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IF(OR(A265="",A265&gt;=subjectMortgageEndDate),"",EDATE(A265,1))</f>
        <v/>
      </c>
      <c r="B266" s="276">
        <f t="shared" si="36"/>
        <v>0</v>
      </c>
      <c r="C266" s="14">
        <f>IF(A266="",0,IF(B266&lt;=0,0,IF(A266=subjectMortgageEndDate,B266+E266,MIN(subjectPayment,B266+E266))))</f>
        <v>0</v>
      </c>
      <c r="D266" s="14">
        <f t="shared" si="37"/>
        <v>0</v>
      </c>
      <c r="E266" s="14">
        <f>IF(OR(A266="",B266&lt;=0),0,ROUND(B266*(subjectInterestRate/12),2))</f>
        <v>0</v>
      </c>
      <c r="F266" s="14">
        <f t="shared" si="45"/>
        <v>134.16999999999999</v>
      </c>
      <c r="G266" s="14">
        <f t="shared" si="45"/>
        <v>188.55</v>
      </c>
      <c r="H266" s="14">
        <f t="shared" si="46"/>
        <v>322.72000000000003</v>
      </c>
      <c r="I266" s="276">
        <f t="shared" si="40"/>
        <v>97531.839999999953</v>
      </c>
      <c r="J266" s="276">
        <f t="shared" si="41"/>
        <v>36068.259999999973</v>
      </c>
      <c r="K266" s="276">
        <f t="shared" si="38"/>
        <v>0</v>
      </c>
      <c r="L266" s="394">
        <f t="shared" si="44"/>
        <v>0</v>
      </c>
      <c r="M266" s="394">
        <f t="shared" si="39"/>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IF(OR(A266="",A266&gt;=subjectMortgageEndDate),"",EDATE(A266,1))</f>
        <v/>
      </c>
      <c r="B267" s="276">
        <f t="shared" si="36"/>
        <v>0</v>
      </c>
      <c r="C267" s="14">
        <f>IF(A267="",0,IF(B267&lt;=0,0,IF(A267=subjectMortgageEndDate,B267+E267,MIN(subjectPayment,B267+E267))))</f>
        <v>0</v>
      </c>
      <c r="D267" s="14">
        <f t="shared" si="37"/>
        <v>0</v>
      </c>
      <c r="E267" s="14">
        <f>IF(OR(A267="",B267&lt;=0),0,ROUND(B267*(subjectInterestRate/12),2))</f>
        <v>0</v>
      </c>
      <c r="F267" s="14">
        <f t="shared" si="45"/>
        <v>134.16999999999999</v>
      </c>
      <c r="G267" s="14">
        <f t="shared" si="45"/>
        <v>188.55</v>
      </c>
      <c r="H267" s="14">
        <f t="shared" si="46"/>
        <v>322.72000000000003</v>
      </c>
      <c r="I267" s="276">
        <f t="shared" si="40"/>
        <v>97531.839999999953</v>
      </c>
      <c r="J267" s="276">
        <f t="shared" si="41"/>
        <v>36068.259999999973</v>
      </c>
      <c r="K267" s="276">
        <f t="shared" si="38"/>
        <v>0</v>
      </c>
      <c r="L267" s="394">
        <f t="shared" si="44"/>
        <v>0</v>
      </c>
      <c r="M267" s="394">
        <f t="shared" si="39"/>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IF(OR(A267="",A267&gt;=subjectMortgageEndDate),"",EDATE(A267,1))</f>
        <v/>
      </c>
      <c r="B268" s="276">
        <f t="shared" si="36"/>
        <v>0</v>
      </c>
      <c r="C268" s="14">
        <f>IF(A268="",0,IF(B268&lt;=0,0,IF(A268=subjectMortgageEndDate,B268+E268,MIN(subjectPayment,B268+E268))))</f>
        <v>0</v>
      </c>
      <c r="D268" s="14">
        <f t="shared" si="37"/>
        <v>0</v>
      </c>
      <c r="E268" s="14">
        <f>IF(OR(A268="",B268&lt;=0),0,ROUND(B268*(subjectInterestRate/12),2))</f>
        <v>0</v>
      </c>
      <c r="F268" s="14">
        <f t="shared" si="45"/>
        <v>134.16999999999999</v>
      </c>
      <c r="G268" s="14">
        <f t="shared" si="45"/>
        <v>188.55</v>
      </c>
      <c r="H268" s="14">
        <f t="shared" si="46"/>
        <v>322.72000000000003</v>
      </c>
      <c r="I268" s="276">
        <f t="shared" si="40"/>
        <v>97531.839999999953</v>
      </c>
      <c r="J268" s="276">
        <f t="shared" si="41"/>
        <v>36068.259999999973</v>
      </c>
      <c r="K268" s="276">
        <f t="shared" si="38"/>
        <v>0</v>
      </c>
      <c r="L268" s="394">
        <f t="shared" si="44"/>
        <v>0</v>
      </c>
      <c r="M268" s="394">
        <f t="shared" si="39"/>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IF(OR(A268="",A268&gt;=subjectMortgageEndDate),"",EDATE(A268,1))</f>
        <v/>
      </c>
      <c r="B269" s="276">
        <f t="shared" si="36"/>
        <v>0</v>
      </c>
      <c r="C269" s="14">
        <f>IF(A269="",0,IF(B269&lt;=0,0,IF(A269=subjectMortgageEndDate,B269+E269,MIN(subjectPayment,B269+E269))))</f>
        <v>0</v>
      </c>
      <c r="D269" s="14">
        <f t="shared" si="37"/>
        <v>0</v>
      </c>
      <c r="E269" s="14">
        <f>IF(OR(A269="",B269&lt;=0),0,ROUND(B269*(subjectInterestRate/12),2))</f>
        <v>0</v>
      </c>
      <c r="F269" s="14">
        <f t="shared" si="45"/>
        <v>134.16999999999999</v>
      </c>
      <c r="G269" s="14">
        <f t="shared" si="45"/>
        <v>188.55</v>
      </c>
      <c r="H269" s="14">
        <f t="shared" si="46"/>
        <v>322.72000000000003</v>
      </c>
      <c r="I269" s="276">
        <f t="shared" si="40"/>
        <v>97531.839999999953</v>
      </c>
      <c r="J269" s="276">
        <f t="shared" si="41"/>
        <v>36068.259999999973</v>
      </c>
      <c r="K269" s="276">
        <f t="shared" si="38"/>
        <v>0</v>
      </c>
      <c r="L269" s="394">
        <f t="shared" si="44"/>
        <v>0</v>
      </c>
      <c r="M269" s="394">
        <f t="shared" si="39"/>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IF(OR(A269="",A269&gt;=subjectMortgageEndDate),"",EDATE(A269,1))</f>
        <v/>
      </c>
      <c r="B270" s="276">
        <f t="shared" si="36"/>
        <v>0</v>
      </c>
      <c r="C270" s="14">
        <f>IF(A270="",0,IF(B270&lt;=0,0,IF(A270=subjectMortgageEndDate,B270+E270,MIN(subjectPayment,B270+E270))))</f>
        <v>0</v>
      </c>
      <c r="D270" s="14">
        <f t="shared" si="37"/>
        <v>0</v>
      </c>
      <c r="E270" s="14">
        <f>IF(OR(A270="",B270&lt;=0),0,ROUND(B270*(subjectInterestRate/12),2))</f>
        <v>0</v>
      </c>
      <c r="F270" s="14">
        <f t="shared" si="45"/>
        <v>134.16999999999999</v>
      </c>
      <c r="G270" s="14">
        <f t="shared" si="45"/>
        <v>188.55</v>
      </c>
      <c r="H270" s="14">
        <f t="shared" si="46"/>
        <v>322.72000000000003</v>
      </c>
      <c r="I270" s="276">
        <f t="shared" si="40"/>
        <v>97531.839999999953</v>
      </c>
      <c r="J270" s="276">
        <f t="shared" si="41"/>
        <v>36068.259999999973</v>
      </c>
      <c r="K270" s="276">
        <f t="shared" si="38"/>
        <v>0</v>
      </c>
      <c r="L270" s="394">
        <f t="shared" si="44"/>
        <v>0</v>
      </c>
      <c r="M270" s="394">
        <f t="shared" si="39"/>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IF(OR(A270="",A270&gt;=subjectMortgageEndDate),"",EDATE(A270,1))</f>
        <v/>
      </c>
      <c r="B271" s="332">
        <f t="shared" si="36"/>
        <v>0</v>
      </c>
      <c r="C271" s="21">
        <f>IF(A271="",0,IF(B271&lt;=0,0,IF(A271=subjectMortgageEndDate,B271+E271,MIN(subjectPayment,B271+E271))))</f>
        <v>0</v>
      </c>
      <c r="D271" s="21">
        <f t="shared" si="37"/>
        <v>0</v>
      </c>
      <c r="E271" s="21">
        <f>IF(OR(A271="",B271&lt;=0),0,ROUND(B271*(subjectInterestRate/12),2))</f>
        <v>0</v>
      </c>
      <c r="F271" s="21">
        <f t="shared" ref="F271:G286" si="47">+F270</f>
        <v>134.16999999999999</v>
      </c>
      <c r="G271" s="21">
        <f t="shared" si="47"/>
        <v>188.55</v>
      </c>
      <c r="H271" s="21">
        <f t="shared" si="46"/>
        <v>322.72000000000003</v>
      </c>
      <c r="I271" s="332">
        <f t="shared" si="40"/>
        <v>97531.839999999953</v>
      </c>
      <c r="J271" s="332">
        <f t="shared" si="41"/>
        <v>36068.259999999973</v>
      </c>
      <c r="K271" s="332">
        <f t="shared" si="38"/>
        <v>0</v>
      </c>
      <c r="L271" s="395">
        <f t="shared" si="44"/>
        <v>0</v>
      </c>
      <c r="M271" s="395">
        <f t="shared" si="39"/>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32">
        <f>IF(INDEX(tblContractForDeed[End Bal],ROW()-ROW(tblBuyerOutputs[#Headers]))&lt;=0,0,($O$6+IF(ROW()=ROW(tblBuyerOutputs[#Headers])+1,0,INDEX(tblBuyerOutputs[Cumul Appr],ROW()-ROW(tblBuyerOutputs[#Headers])-1)))*$O$2/12)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IF(OR(A271="",A271&gt;=subjectMortgageEndDate),"",EDATE(A271,1))</f>
        <v/>
      </c>
      <c r="B272" s="276">
        <f t="shared" si="36"/>
        <v>0</v>
      </c>
      <c r="C272" s="14">
        <f>IF(A272="",0,IF(B272&lt;=0,0,IF(A272=subjectMortgageEndDate,B272+E272,MIN(subjectPayment,B272+E272))))</f>
        <v>0</v>
      </c>
      <c r="D272" s="14">
        <f t="shared" si="37"/>
        <v>0</v>
      </c>
      <c r="E272" s="14">
        <f>IF(OR(A272="",B272&lt;=0),0,ROUND(B272*(subjectInterestRate/12),2))</f>
        <v>0</v>
      </c>
      <c r="F272" s="14">
        <f t="shared" si="47"/>
        <v>134.16999999999999</v>
      </c>
      <c r="G272" s="14">
        <f t="shared" si="47"/>
        <v>188.55</v>
      </c>
      <c r="H272" s="14">
        <f t="shared" si="46"/>
        <v>322.72000000000003</v>
      </c>
      <c r="I272" s="276">
        <f t="shared" si="40"/>
        <v>97531.839999999953</v>
      </c>
      <c r="J272" s="276">
        <f t="shared" si="41"/>
        <v>36068.259999999973</v>
      </c>
      <c r="K272" s="276">
        <f t="shared" si="38"/>
        <v>0</v>
      </c>
      <c r="L272" s="394">
        <f t="shared" si="44"/>
        <v>0</v>
      </c>
      <c r="M272" s="394">
        <f t="shared" si="39"/>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IF(OR(A272="",A272&gt;=subjectMortgageEndDate),"",EDATE(A272,1))</f>
        <v/>
      </c>
      <c r="B273" s="276">
        <f t="shared" si="36"/>
        <v>0</v>
      </c>
      <c r="C273" s="14">
        <f>IF(A273="",0,IF(B273&lt;=0,0,IF(A273=subjectMortgageEndDate,B273+E273,MIN(subjectPayment,B273+E273))))</f>
        <v>0</v>
      </c>
      <c r="D273" s="14">
        <f t="shared" si="37"/>
        <v>0</v>
      </c>
      <c r="E273" s="14">
        <f>IF(OR(A273="",B273&lt;=0),0,ROUND(B273*(subjectInterestRate/12),2))</f>
        <v>0</v>
      </c>
      <c r="F273" s="14">
        <f t="shared" si="47"/>
        <v>134.16999999999999</v>
      </c>
      <c r="G273" s="14">
        <f t="shared" si="47"/>
        <v>188.55</v>
      </c>
      <c r="H273" s="14">
        <f t="shared" si="46"/>
        <v>322.72000000000003</v>
      </c>
      <c r="I273" s="276">
        <f t="shared" si="40"/>
        <v>97531.839999999953</v>
      </c>
      <c r="J273" s="276">
        <f t="shared" si="41"/>
        <v>36068.259999999973</v>
      </c>
      <c r="K273" s="276">
        <f t="shared" si="38"/>
        <v>0</v>
      </c>
      <c r="L273" s="394">
        <f t="shared" si="44"/>
        <v>0</v>
      </c>
      <c r="M273" s="394">
        <f t="shared" si="39"/>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IF(OR(A273="",A273&gt;=subjectMortgageEndDate),"",EDATE(A273,1))</f>
        <v/>
      </c>
      <c r="B274" s="276">
        <f t="shared" si="36"/>
        <v>0</v>
      </c>
      <c r="C274" s="14">
        <f>IF(A274="",0,IF(B274&lt;=0,0,IF(A274=subjectMortgageEndDate,B274+E274,MIN(subjectPayment,B274+E274))))</f>
        <v>0</v>
      </c>
      <c r="D274" s="14">
        <f t="shared" si="37"/>
        <v>0</v>
      </c>
      <c r="E274" s="14">
        <f>IF(OR(A274="",B274&lt;=0),0,ROUND(B274*(subjectInterestRate/12),2))</f>
        <v>0</v>
      </c>
      <c r="F274" s="14">
        <f t="shared" si="47"/>
        <v>134.16999999999999</v>
      </c>
      <c r="G274" s="14">
        <f t="shared" si="47"/>
        <v>188.55</v>
      </c>
      <c r="H274" s="14">
        <f t="shared" si="46"/>
        <v>322.72000000000003</v>
      </c>
      <c r="I274" s="276">
        <f t="shared" si="40"/>
        <v>97531.839999999953</v>
      </c>
      <c r="J274" s="276">
        <f t="shared" si="41"/>
        <v>36068.259999999973</v>
      </c>
      <c r="K274" s="276">
        <f t="shared" si="38"/>
        <v>0</v>
      </c>
      <c r="L274" s="394">
        <f t="shared" si="44"/>
        <v>0</v>
      </c>
      <c r="M274" s="394">
        <f t="shared" si="39"/>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IF(OR(A274="",A274&gt;=subjectMortgageEndDate),"",EDATE(A274,1))</f>
        <v/>
      </c>
      <c r="B275" s="276">
        <f t="shared" si="36"/>
        <v>0</v>
      </c>
      <c r="C275" s="14">
        <f>IF(A275="",0,IF(B275&lt;=0,0,IF(A275=subjectMortgageEndDate,B275+E275,MIN(subjectPayment,B275+E275))))</f>
        <v>0</v>
      </c>
      <c r="D275" s="14">
        <f t="shared" si="37"/>
        <v>0</v>
      </c>
      <c r="E275" s="14">
        <f>IF(OR(A275="",B275&lt;=0),0,ROUND(B275*(subjectInterestRate/12),2))</f>
        <v>0</v>
      </c>
      <c r="F275" s="14">
        <f t="shared" si="47"/>
        <v>134.16999999999999</v>
      </c>
      <c r="G275" s="14">
        <f t="shared" si="47"/>
        <v>188.55</v>
      </c>
      <c r="H275" s="14">
        <f t="shared" si="46"/>
        <v>322.72000000000003</v>
      </c>
      <c r="I275" s="276">
        <f t="shared" si="40"/>
        <v>97531.839999999953</v>
      </c>
      <c r="J275" s="276">
        <f t="shared" si="41"/>
        <v>36068.259999999973</v>
      </c>
      <c r="K275" s="276">
        <f t="shared" si="38"/>
        <v>0</v>
      </c>
      <c r="L275" s="394">
        <f t="shared" si="44"/>
        <v>0</v>
      </c>
      <c r="M275" s="394">
        <f t="shared" si="39"/>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IF(OR(A275="",A275&gt;=subjectMortgageEndDate),"",EDATE(A275,1))</f>
        <v/>
      </c>
      <c r="B276" s="276">
        <f t="shared" si="36"/>
        <v>0</v>
      </c>
      <c r="C276" s="14">
        <f>IF(A276="",0,IF(B276&lt;=0,0,IF(A276=subjectMortgageEndDate,B276+E276,MIN(subjectPayment,B276+E276))))</f>
        <v>0</v>
      </c>
      <c r="D276" s="14">
        <f t="shared" si="37"/>
        <v>0</v>
      </c>
      <c r="E276" s="14">
        <f>IF(OR(A276="",B276&lt;=0),0,ROUND(B276*(subjectInterestRate/12),2))</f>
        <v>0</v>
      </c>
      <c r="F276" s="14">
        <f t="shared" si="47"/>
        <v>134.16999999999999</v>
      </c>
      <c r="G276" s="14">
        <f t="shared" si="47"/>
        <v>188.55</v>
      </c>
      <c r="H276" s="14">
        <f t="shared" si="46"/>
        <v>322.72000000000003</v>
      </c>
      <c r="I276" s="276">
        <f t="shared" si="40"/>
        <v>97531.839999999953</v>
      </c>
      <c r="J276" s="276">
        <f t="shared" si="41"/>
        <v>36068.259999999973</v>
      </c>
      <c r="K276" s="276">
        <f t="shared" si="38"/>
        <v>0</v>
      </c>
      <c r="L276" s="394">
        <f t="shared" si="44"/>
        <v>0</v>
      </c>
      <c r="M276" s="394">
        <f t="shared" si="39"/>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IF(OR(A276="",A276&gt;=subjectMortgageEndDate),"",EDATE(A276,1))</f>
        <v/>
      </c>
      <c r="B277" s="276">
        <f t="shared" ref="B277:B340" si="48">IF(A277="",0,MAX(0,K276))</f>
        <v>0</v>
      </c>
      <c r="C277" s="14">
        <f>IF(A277="",0,IF(B277&lt;=0,0,IF(A277=subjectMortgageEndDate,B277+E277,MIN(subjectPayment,B277+E277))))</f>
        <v>0</v>
      </c>
      <c r="D277" s="14">
        <f t="shared" ref="D277:D340" si="49">IF(C277=0,0,MAX(0,MIN(B277,C277-E277)))</f>
        <v>0</v>
      </c>
      <c r="E277" s="14">
        <f>IF(OR(A277="",B277&lt;=0),0,ROUND(B277*(subjectInterestRate/12),2))</f>
        <v>0</v>
      </c>
      <c r="F277" s="14">
        <f t="shared" si="47"/>
        <v>134.16999999999999</v>
      </c>
      <c r="G277" s="14">
        <f t="shared" si="47"/>
        <v>188.55</v>
      </c>
      <c r="H277" s="14">
        <f t="shared" si="46"/>
        <v>322.72000000000003</v>
      </c>
      <c r="I277" s="276">
        <f t="shared" si="40"/>
        <v>97531.839999999953</v>
      </c>
      <c r="J277" s="276">
        <f t="shared" si="41"/>
        <v>36068.259999999973</v>
      </c>
      <c r="K277" s="276">
        <f t="shared" ref="K277:K340" si="50">IF(A277="",0,IF(B277&lt;=0,0,MAX(0,B277-D277)))</f>
        <v>0</v>
      </c>
      <c r="L277" s="394">
        <f t="shared" si="44"/>
        <v>0</v>
      </c>
      <c r="M277" s="394">
        <f t="shared" ref="M277:M340" si="51">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IF(OR(A277="",A277&gt;=subjectMortgageEndDate),"",EDATE(A277,1))</f>
        <v/>
      </c>
      <c r="B278" s="276">
        <f t="shared" si="48"/>
        <v>0</v>
      </c>
      <c r="C278" s="14">
        <f>IF(A278="",0,IF(B278&lt;=0,0,IF(A278=subjectMortgageEndDate,B278+E278,MIN(subjectPayment,B278+E278))))</f>
        <v>0</v>
      </c>
      <c r="D278" s="14">
        <f t="shared" si="49"/>
        <v>0</v>
      </c>
      <c r="E278" s="14">
        <f>IF(OR(A278="",B278&lt;=0),0,ROUND(B278*(subjectInterestRate/12),2))</f>
        <v>0</v>
      </c>
      <c r="F278" s="14">
        <f t="shared" si="47"/>
        <v>134.16999999999999</v>
      </c>
      <c r="G278" s="14">
        <f t="shared" si="47"/>
        <v>188.55</v>
      </c>
      <c r="H278" s="14">
        <f t="shared" si="46"/>
        <v>322.72000000000003</v>
      </c>
      <c r="I278" s="276">
        <f t="shared" ref="I278:I341" si="52">$D278+$I277</f>
        <v>97531.839999999953</v>
      </c>
      <c r="J278" s="276">
        <f t="shared" ref="J278:J341" si="53">$E278+$J277</f>
        <v>36068.259999999973</v>
      </c>
      <c r="K278" s="276">
        <f t="shared" si="50"/>
        <v>0</v>
      </c>
      <c r="L278" s="394">
        <f t="shared" si="44"/>
        <v>0</v>
      </c>
      <c r="M278" s="394">
        <f t="shared" si="51"/>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IF(OR(A278="",A278&gt;=subjectMortgageEndDate),"",EDATE(A278,1))</f>
        <v/>
      </c>
      <c r="B279" s="276">
        <f t="shared" si="48"/>
        <v>0</v>
      </c>
      <c r="C279" s="14">
        <f>IF(A279="",0,IF(B279&lt;=0,0,IF(A279=subjectMortgageEndDate,B279+E279,MIN(subjectPayment,B279+E279))))</f>
        <v>0</v>
      </c>
      <c r="D279" s="14">
        <f t="shared" si="49"/>
        <v>0</v>
      </c>
      <c r="E279" s="14">
        <f>IF(OR(A279="",B279&lt;=0),0,ROUND(B279*(subjectInterestRate/12),2))</f>
        <v>0</v>
      </c>
      <c r="F279" s="14">
        <f t="shared" si="47"/>
        <v>134.16999999999999</v>
      </c>
      <c r="G279" s="14">
        <f t="shared" si="47"/>
        <v>188.55</v>
      </c>
      <c r="H279" s="14">
        <f t="shared" si="46"/>
        <v>322.72000000000003</v>
      </c>
      <c r="I279" s="276">
        <f t="shared" si="52"/>
        <v>97531.839999999953</v>
      </c>
      <c r="J279" s="276">
        <f t="shared" si="53"/>
        <v>36068.259999999973</v>
      </c>
      <c r="K279" s="276">
        <f t="shared" si="50"/>
        <v>0</v>
      </c>
      <c r="L279" s="394">
        <f t="shared" si="44"/>
        <v>0</v>
      </c>
      <c r="M279" s="394">
        <f t="shared" si="51"/>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IF(OR(A279="",A279&gt;=subjectMortgageEndDate),"",EDATE(A279,1))</f>
        <v/>
      </c>
      <c r="B280" s="276">
        <f t="shared" si="48"/>
        <v>0</v>
      </c>
      <c r="C280" s="14">
        <f>IF(A280="",0,IF(B280&lt;=0,0,IF(A280=subjectMortgageEndDate,B280+E280,MIN(subjectPayment,B280+E280))))</f>
        <v>0</v>
      </c>
      <c r="D280" s="14">
        <f t="shared" si="49"/>
        <v>0</v>
      </c>
      <c r="E280" s="14">
        <f>IF(OR(A280="",B280&lt;=0),0,ROUND(B280*(subjectInterestRate/12),2))</f>
        <v>0</v>
      </c>
      <c r="F280" s="14">
        <f t="shared" si="47"/>
        <v>134.16999999999999</v>
      </c>
      <c r="G280" s="14">
        <f t="shared" si="47"/>
        <v>188.55</v>
      </c>
      <c r="H280" s="14">
        <f t="shared" si="46"/>
        <v>322.72000000000003</v>
      </c>
      <c r="I280" s="276">
        <f t="shared" si="52"/>
        <v>97531.839999999953</v>
      </c>
      <c r="J280" s="276">
        <f t="shared" si="53"/>
        <v>36068.259999999973</v>
      </c>
      <c r="K280" s="276">
        <f t="shared" si="50"/>
        <v>0</v>
      </c>
      <c r="L280" s="394">
        <f t="shared" si="44"/>
        <v>0</v>
      </c>
      <c r="M280" s="394">
        <f t="shared" si="51"/>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IF(OR(A280="",A280&gt;=subjectMortgageEndDate),"",EDATE(A280,1))</f>
        <v/>
      </c>
      <c r="B281" s="276">
        <f t="shared" si="48"/>
        <v>0</v>
      </c>
      <c r="C281" s="14">
        <f>IF(A281="",0,IF(B281&lt;=0,0,IF(A281=subjectMortgageEndDate,B281+E281,MIN(subjectPayment,B281+E281))))</f>
        <v>0</v>
      </c>
      <c r="D281" s="14">
        <f t="shared" si="49"/>
        <v>0</v>
      </c>
      <c r="E281" s="14">
        <f>IF(OR(A281="",B281&lt;=0),0,ROUND(B281*(subjectInterestRate/12),2))</f>
        <v>0</v>
      </c>
      <c r="F281" s="14">
        <f t="shared" si="47"/>
        <v>134.16999999999999</v>
      </c>
      <c r="G281" s="14">
        <f t="shared" si="47"/>
        <v>188.55</v>
      </c>
      <c r="H281" s="14">
        <f t="shared" si="46"/>
        <v>322.72000000000003</v>
      </c>
      <c r="I281" s="276">
        <f t="shared" si="52"/>
        <v>97531.839999999953</v>
      </c>
      <c r="J281" s="276">
        <f t="shared" si="53"/>
        <v>36068.259999999973</v>
      </c>
      <c r="K281" s="276">
        <f t="shared" si="50"/>
        <v>0</v>
      </c>
      <c r="L281" s="394">
        <f t="shared" si="44"/>
        <v>0</v>
      </c>
      <c r="M281" s="394">
        <f t="shared" si="51"/>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IF(OR(A281="",A281&gt;=subjectMortgageEndDate),"",EDATE(A281,1))</f>
        <v/>
      </c>
      <c r="B282" s="276">
        <f t="shared" si="48"/>
        <v>0</v>
      </c>
      <c r="C282" s="14">
        <f>IF(A282="",0,IF(B282&lt;=0,0,IF(A282=subjectMortgageEndDate,B282+E282,MIN(subjectPayment,B282+E282))))</f>
        <v>0</v>
      </c>
      <c r="D282" s="14">
        <f t="shared" si="49"/>
        <v>0</v>
      </c>
      <c r="E282" s="14">
        <f>IF(OR(A282="",B282&lt;=0),0,ROUND(B282*(subjectInterestRate/12),2))</f>
        <v>0</v>
      </c>
      <c r="F282" s="14">
        <f t="shared" si="47"/>
        <v>134.16999999999999</v>
      </c>
      <c r="G282" s="14">
        <f t="shared" si="47"/>
        <v>188.55</v>
      </c>
      <c r="H282" s="14">
        <f t="shared" si="46"/>
        <v>322.72000000000003</v>
      </c>
      <c r="I282" s="276">
        <f t="shared" si="52"/>
        <v>97531.839999999953</v>
      </c>
      <c r="J282" s="276">
        <f t="shared" si="53"/>
        <v>36068.259999999973</v>
      </c>
      <c r="K282" s="276">
        <f t="shared" si="50"/>
        <v>0</v>
      </c>
      <c r="L282" s="394">
        <f t="shared" si="44"/>
        <v>0</v>
      </c>
      <c r="M282" s="394">
        <f t="shared" si="51"/>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IF(OR(A282="",A282&gt;=subjectMortgageEndDate),"",EDATE(A282,1))</f>
        <v/>
      </c>
      <c r="B283" s="332">
        <f t="shared" si="48"/>
        <v>0</v>
      </c>
      <c r="C283" s="21">
        <f>IF(A283="",0,IF(B283&lt;=0,0,IF(A283=subjectMortgageEndDate,B283+E283,MIN(subjectPayment,B283+E283))))</f>
        <v>0</v>
      </c>
      <c r="D283" s="21">
        <f t="shared" si="49"/>
        <v>0</v>
      </c>
      <c r="E283" s="21">
        <f>IF(OR(A283="",B283&lt;=0),0,ROUND(B283*(subjectInterestRate/12),2))</f>
        <v>0</v>
      </c>
      <c r="F283" s="21">
        <f t="shared" si="47"/>
        <v>134.16999999999999</v>
      </c>
      <c r="G283" s="21">
        <f t="shared" si="47"/>
        <v>188.55</v>
      </c>
      <c r="H283" s="21">
        <f t="shared" si="46"/>
        <v>322.72000000000003</v>
      </c>
      <c r="I283" s="332">
        <f t="shared" si="52"/>
        <v>97531.839999999953</v>
      </c>
      <c r="J283" s="332">
        <f t="shared" si="53"/>
        <v>36068.259999999973</v>
      </c>
      <c r="K283" s="332">
        <f t="shared" si="50"/>
        <v>0</v>
      </c>
      <c r="L283" s="395">
        <f t="shared" si="44"/>
        <v>0</v>
      </c>
      <c r="M283" s="395">
        <f t="shared" si="51"/>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32">
        <f>IF(INDEX(tblContractForDeed[End Bal],ROW()-ROW(tblBuyerOutputs[#Headers]))&lt;=0,0,($O$6+IF(ROW()=ROW(tblBuyerOutputs[#Headers])+1,0,INDEX(tblBuyerOutputs[Cumul Appr],ROW()-ROW(tblBuyerOutputs[#Headers])-1)))*$O$2/12)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IF(OR(A283="",A283&gt;=subjectMortgageEndDate),"",EDATE(A283,1))</f>
        <v/>
      </c>
      <c r="B284" s="276">
        <f t="shared" si="48"/>
        <v>0</v>
      </c>
      <c r="C284" s="14">
        <f>IF(A284="",0,IF(B284&lt;=0,0,IF(A284=subjectMortgageEndDate,B284+E284,MIN(subjectPayment,B284+E284))))</f>
        <v>0</v>
      </c>
      <c r="D284" s="14">
        <f t="shared" si="49"/>
        <v>0</v>
      </c>
      <c r="E284" s="14">
        <f>IF(OR(A284="",B284&lt;=0),0,ROUND(B284*(subjectInterestRate/12),2))</f>
        <v>0</v>
      </c>
      <c r="F284" s="14">
        <f t="shared" si="47"/>
        <v>134.16999999999999</v>
      </c>
      <c r="G284" s="14">
        <f t="shared" si="47"/>
        <v>188.55</v>
      </c>
      <c r="H284" s="14">
        <f t="shared" si="46"/>
        <v>322.72000000000003</v>
      </c>
      <c r="I284" s="276">
        <f t="shared" si="52"/>
        <v>97531.839999999953</v>
      </c>
      <c r="J284" s="276">
        <f t="shared" si="53"/>
        <v>36068.259999999973</v>
      </c>
      <c r="K284" s="276">
        <f t="shared" si="50"/>
        <v>0</v>
      </c>
      <c r="L284" s="394">
        <f t="shared" si="44"/>
        <v>0</v>
      </c>
      <c r="M284" s="394">
        <f t="shared" si="51"/>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IF(OR(A284="",A284&gt;=subjectMortgageEndDate),"",EDATE(A284,1))</f>
        <v/>
      </c>
      <c r="B285" s="276">
        <f t="shared" si="48"/>
        <v>0</v>
      </c>
      <c r="C285" s="14">
        <f>IF(A285="",0,IF(B285&lt;=0,0,IF(A285=subjectMortgageEndDate,B285+E285,MIN(subjectPayment,B285+E285))))</f>
        <v>0</v>
      </c>
      <c r="D285" s="14">
        <f t="shared" si="49"/>
        <v>0</v>
      </c>
      <c r="E285" s="14">
        <f>IF(OR(A285="",B285&lt;=0),0,ROUND(B285*(subjectInterestRate/12),2))</f>
        <v>0</v>
      </c>
      <c r="F285" s="14">
        <f t="shared" si="47"/>
        <v>134.16999999999999</v>
      </c>
      <c r="G285" s="14">
        <f t="shared" si="47"/>
        <v>188.55</v>
      </c>
      <c r="H285" s="14">
        <f t="shared" si="46"/>
        <v>322.72000000000003</v>
      </c>
      <c r="I285" s="276">
        <f t="shared" si="52"/>
        <v>97531.839999999953</v>
      </c>
      <c r="J285" s="276">
        <f t="shared" si="53"/>
        <v>36068.259999999973</v>
      </c>
      <c r="K285" s="276">
        <f t="shared" si="50"/>
        <v>0</v>
      </c>
      <c r="L285" s="394">
        <f t="shared" si="44"/>
        <v>0</v>
      </c>
      <c r="M285" s="394">
        <f t="shared" si="51"/>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IF(OR(A285="",A285&gt;=subjectMortgageEndDate),"",EDATE(A285,1))</f>
        <v/>
      </c>
      <c r="B286" s="276">
        <f t="shared" si="48"/>
        <v>0</v>
      </c>
      <c r="C286" s="14">
        <f>IF(A286="",0,IF(B286&lt;=0,0,IF(A286=subjectMortgageEndDate,B286+E286,MIN(subjectPayment,B286+E286))))</f>
        <v>0</v>
      </c>
      <c r="D286" s="14">
        <f t="shared" si="49"/>
        <v>0</v>
      </c>
      <c r="E286" s="14">
        <f>IF(OR(A286="",B286&lt;=0),0,ROUND(B286*(subjectInterestRate/12),2))</f>
        <v>0</v>
      </c>
      <c r="F286" s="14">
        <f t="shared" si="47"/>
        <v>134.16999999999999</v>
      </c>
      <c r="G286" s="14">
        <f t="shared" si="47"/>
        <v>188.55</v>
      </c>
      <c r="H286" s="14">
        <f t="shared" si="46"/>
        <v>322.72000000000003</v>
      </c>
      <c r="I286" s="276">
        <f t="shared" si="52"/>
        <v>97531.839999999953</v>
      </c>
      <c r="J286" s="276">
        <f t="shared" si="53"/>
        <v>36068.259999999973</v>
      </c>
      <c r="K286" s="276">
        <f t="shared" si="50"/>
        <v>0</v>
      </c>
      <c r="L286" s="394">
        <f t="shared" si="44"/>
        <v>0</v>
      </c>
      <c r="M286" s="394">
        <f t="shared" si="51"/>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IF(OR(A286="",A286&gt;=subjectMortgageEndDate),"",EDATE(A286,1))</f>
        <v/>
      </c>
      <c r="B287" s="276">
        <f t="shared" si="48"/>
        <v>0</v>
      </c>
      <c r="C287" s="14">
        <f>IF(A287="",0,IF(B287&lt;=0,0,IF(A287=subjectMortgageEndDate,B287+E287,MIN(subjectPayment,B287+E287))))</f>
        <v>0</v>
      </c>
      <c r="D287" s="14">
        <f t="shared" si="49"/>
        <v>0</v>
      </c>
      <c r="E287" s="14">
        <f>IF(OR(A287="",B287&lt;=0),0,ROUND(B287*(subjectInterestRate/12),2))</f>
        <v>0</v>
      </c>
      <c r="F287" s="14">
        <f t="shared" ref="F287:G302" si="54">+F286</f>
        <v>134.16999999999999</v>
      </c>
      <c r="G287" s="14">
        <f t="shared" si="54"/>
        <v>188.55</v>
      </c>
      <c r="H287" s="14">
        <f t="shared" si="46"/>
        <v>322.72000000000003</v>
      </c>
      <c r="I287" s="276">
        <f t="shared" si="52"/>
        <v>97531.839999999953</v>
      </c>
      <c r="J287" s="276">
        <f t="shared" si="53"/>
        <v>36068.259999999973</v>
      </c>
      <c r="K287" s="276">
        <f t="shared" si="50"/>
        <v>0</v>
      </c>
      <c r="L287" s="394">
        <f t="shared" si="44"/>
        <v>0</v>
      </c>
      <c r="M287" s="394">
        <f t="shared" si="51"/>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IF(OR(A287="",A287&gt;=subjectMortgageEndDate),"",EDATE(A287,1))</f>
        <v/>
      </c>
      <c r="B288" s="276">
        <f t="shared" si="48"/>
        <v>0</v>
      </c>
      <c r="C288" s="14">
        <f>IF(A288="",0,IF(B288&lt;=0,0,IF(A288=subjectMortgageEndDate,B288+E288,MIN(subjectPayment,B288+E288))))</f>
        <v>0</v>
      </c>
      <c r="D288" s="14">
        <f t="shared" si="49"/>
        <v>0</v>
      </c>
      <c r="E288" s="14">
        <f>IF(OR(A288="",B288&lt;=0),0,ROUND(B288*(subjectInterestRate/12),2))</f>
        <v>0</v>
      </c>
      <c r="F288" s="14">
        <f t="shared" si="54"/>
        <v>134.16999999999999</v>
      </c>
      <c r="G288" s="14">
        <f t="shared" si="54"/>
        <v>188.55</v>
      </c>
      <c r="H288" s="14">
        <f t="shared" si="46"/>
        <v>322.72000000000003</v>
      </c>
      <c r="I288" s="276">
        <f t="shared" si="52"/>
        <v>97531.839999999953</v>
      </c>
      <c r="J288" s="276">
        <f t="shared" si="53"/>
        <v>36068.259999999973</v>
      </c>
      <c r="K288" s="276">
        <f t="shared" si="50"/>
        <v>0</v>
      </c>
      <c r="L288" s="394">
        <f t="shared" si="44"/>
        <v>0</v>
      </c>
      <c r="M288" s="394">
        <f t="shared" si="51"/>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IF(OR(A288="",A288&gt;=subjectMortgageEndDate),"",EDATE(A288,1))</f>
        <v/>
      </c>
      <c r="B289" s="276">
        <f t="shared" si="48"/>
        <v>0</v>
      </c>
      <c r="C289" s="14">
        <f>IF(A289="",0,IF(B289&lt;=0,0,IF(A289=subjectMortgageEndDate,B289+E289,MIN(subjectPayment,B289+E289))))</f>
        <v>0</v>
      </c>
      <c r="D289" s="14">
        <f t="shared" si="49"/>
        <v>0</v>
      </c>
      <c r="E289" s="14">
        <f>IF(OR(A289="",B289&lt;=0),0,ROUND(B289*(subjectInterestRate/12),2))</f>
        <v>0</v>
      </c>
      <c r="F289" s="14">
        <f t="shared" si="54"/>
        <v>134.16999999999999</v>
      </c>
      <c r="G289" s="14">
        <f t="shared" si="54"/>
        <v>188.55</v>
      </c>
      <c r="H289" s="14">
        <f t="shared" si="46"/>
        <v>322.72000000000003</v>
      </c>
      <c r="I289" s="276">
        <f t="shared" si="52"/>
        <v>97531.839999999953</v>
      </c>
      <c r="J289" s="276">
        <f t="shared" si="53"/>
        <v>36068.259999999973</v>
      </c>
      <c r="K289" s="276">
        <f t="shared" si="50"/>
        <v>0</v>
      </c>
      <c r="L289" s="394">
        <f t="shared" si="44"/>
        <v>0</v>
      </c>
      <c r="M289" s="394">
        <f t="shared" si="51"/>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IF(OR(A289="",A289&gt;=subjectMortgageEndDate),"",EDATE(A289,1))</f>
        <v/>
      </c>
      <c r="B290" s="276">
        <f t="shared" si="48"/>
        <v>0</v>
      </c>
      <c r="C290" s="14">
        <f>IF(A290="",0,IF(B290&lt;=0,0,IF(A290=subjectMortgageEndDate,B290+E290,MIN(subjectPayment,B290+E290))))</f>
        <v>0</v>
      </c>
      <c r="D290" s="14">
        <f t="shared" si="49"/>
        <v>0</v>
      </c>
      <c r="E290" s="14">
        <f>IF(OR(A290="",B290&lt;=0),0,ROUND(B290*(subjectInterestRate/12),2))</f>
        <v>0</v>
      </c>
      <c r="F290" s="14">
        <f t="shared" si="54"/>
        <v>134.16999999999999</v>
      </c>
      <c r="G290" s="14">
        <f t="shared" si="54"/>
        <v>188.55</v>
      </c>
      <c r="H290" s="14">
        <f t="shared" si="46"/>
        <v>322.72000000000003</v>
      </c>
      <c r="I290" s="276">
        <f t="shared" si="52"/>
        <v>97531.839999999953</v>
      </c>
      <c r="J290" s="276">
        <f t="shared" si="53"/>
        <v>36068.259999999973</v>
      </c>
      <c r="K290" s="276">
        <f t="shared" si="50"/>
        <v>0</v>
      </c>
      <c r="L290" s="394">
        <f t="shared" si="44"/>
        <v>0</v>
      </c>
      <c r="M290" s="394">
        <f t="shared" si="51"/>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IF(OR(A290="",A290&gt;=subjectMortgageEndDate),"",EDATE(A290,1))</f>
        <v/>
      </c>
      <c r="B291" s="276">
        <f t="shared" si="48"/>
        <v>0</v>
      </c>
      <c r="C291" s="14">
        <f>IF(A291="",0,IF(B291&lt;=0,0,IF(A291=subjectMortgageEndDate,B291+E291,MIN(subjectPayment,B291+E291))))</f>
        <v>0</v>
      </c>
      <c r="D291" s="14">
        <f t="shared" si="49"/>
        <v>0</v>
      </c>
      <c r="E291" s="14">
        <f>IF(OR(A291="",B291&lt;=0),0,ROUND(B291*(subjectInterestRate/12),2))</f>
        <v>0</v>
      </c>
      <c r="F291" s="14">
        <f t="shared" si="54"/>
        <v>134.16999999999999</v>
      </c>
      <c r="G291" s="14">
        <f t="shared" si="54"/>
        <v>188.55</v>
      </c>
      <c r="H291" s="14">
        <f t="shared" si="46"/>
        <v>322.72000000000003</v>
      </c>
      <c r="I291" s="276">
        <f t="shared" si="52"/>
        <v>97531.839999999953</v>
      </c>
      <c r="J291" s="276">
        <f t="shared" si="53"/>
        <v>36068.259999999973</v>
      </c>
      <c r="K291" s="276">
        <f t="shared" si="50"/>
        <v>0</v>
      </c>
      <c r="L291" s="394">
        <f t="shared" si="44"/>
        <v>0</v>
      </c>
      <c r="M291" s="394">
        <f t="shared" si="51"/>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IF(OR(A291="",A291&gt;=subjectMortgageEndDate),"",EDATE(A291,1))</f>
        <v/>
      </c>
      <c r="B292" s="276">
        <f t="shared" si="48"/>
        <v>0</v>
      </c>
      <c r="C292" s="14">
        <f>IF(A292="",0,IF(B292&lt;=0,0,IF(A292=subjectMortgageEndDate,B292+E292,MIN(subjectPayment,B292+E292))))</f>
        <v>0</v>
      </c>
      <c r="D292" s="14">
        <f t="shared" si="49"/>
        <v>0</v>
      </c>
      <c r="E292" s="14">
        <f>IF(OR(A292="",B292&lt;=0),0,ROUND(B292*(subjectInterestRate/12),2))</f>
        <v>0</v>
      </c>
      <c r="F292" s="14">
        <f t="shared" si="54"/>
        <v>134.16999999999999</v>
      </c>
      <c r="G292" s="14">
        <f t="shared" si="54"/>
        <v>188.55</v>
      </c>
      <c r="H292" s="14">
        <f t="shared" si="46"/>
        <v>322.72000000000003</v>
      </c>
      <c r="I292" s="276">
        <f t="shared" si="52"/>
        <v>97531.839999999953</v>
      </c>
      <c r="J292" s="276">
        <f t="shared" si="53"/>
        <v>36068.259999999973</v>
      </c>
      <c r="K292" s="276">
        <f t="shared" si="50"/>
        <v>0</v>
      </c>
      <c r="L292" s="394">
        <f t="shared" si="44"/>
        <v>0</v>
      </c>
      <c r="M292" s="394">
        <f t="shared" si="51"/>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IF(OR(A292="",A292&gt;=subjectMortgageEndDate),"",EDATE(A292,1))</f>
        <v/>
      </c>
      <c r="B293" s="276">
        <f t="shared" si="48"/>
        <v>0</v>
      </c>
      <c r="C293" s="14">
        <f>IF(A293="",0,IF(B293&lt;=0,0,IF(A293=subjectMortgageEndDate,B293+E293,MIN(subjectPayment,B293+E293))))</f>
        <v>0</v>
      </c>
      <c r="D293" s="14">
        <f t="shared" si="49"/>
        <v>0</v>
      </c>
      <c r="E293" s="14">
        <f>IF(OR(A293="",B293&lt;=0),0,ROUND(B293*(subjectInterestRate/12),2))</f>
        <v>0</v>
      </c>
      <c r="F293" s="14">
        <f t="shared" si="54"/>
        <v>134.16999999999999</v>
      </c>
      <c r="G293" s="14">
        <f t="shared" si="54"/>
        <v>188.55</v>
      </c>
      <c r="H293" s="14">
        <f t="shared" si="46"/>
        <v>322.72000000000003</v>
      </c>
      <c r="I293" s="276">
        <f t="shared" si="52"/>
        <v>97531.839999999953</v>
      </c>
      <c r="J293" s="276">
        <f t="shared" si="53"/>
        <v>36068.259999999973</v>
      </c>
      <c r="K293" s="276">
        <f t="shared" si="50"/>
        <v>0</v>
      </c>
      <c r="L293" s="394">
        <f t="shared" si="44"/>
        <v>0</v>
      </c>
      <c r="M293" s="394">
        <f t="shared" si="51"/>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IF(OR(A293="",A293&gt;=subjectMortgageEndDate),"",EDATE(A293,1))</f>
        <v/>
      </c>
      <c r="B294" s="276">
        <f t="shared" si="48"/>
        <v>0</v>
      </c>
      <c r="C294" s="14">
        <f>IF(A294="",0,IF(B294&lt;=0,0,IF(A294=subjectMortgageEndDate,B294+E294,MIN(subjectPayment,B294+E294))))</f>
        <v>0</v>
      </c>
      <c r="D294" s="14">
        <f t="shared" si="49"/>
        <v>0</v>
      </c>
      <c r="E294" s="14">
        <f>IF(OR(A294="",B294&lt;=0),0,ROUND(B294*(subjectInterestRate/12),2))</f>
        <v>0</v>
      </c>
      <c r="F294" s="14">
        <f t="shared" si="54"/>
        <v>134.16999999999999</v>
      </c>
      <c r="G294" s="14">
        <f t="shared" si="54"/>
        <v>188.55</v>
      </c>
      <c r="H294" s="14">
        <f t="shared" si="46"/>
        <v>322.72000000000003</v>
      </c>
      <c r="I294" s="276">
        <f t="shared" si="52"/>
        <v>97531.839999999953</v>
      </c>
      <c r="J294" s="276">
        <f t="shared" si="53"/>
        <v>36068.259999999973</v>
      </c>
      <c r="K294" s="276">
        <f t="shared" si="50"/>
        <v>0</v>
      </c>
      <c r="L294" s="394">
        <f t="shared" si="44"/>
        <v>0</v>
      </c>
      <c r="M294" s="394">
        <f t="shared" si="51"/>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IF(OR(A294="",A294&gt;=subjectMortgageEndDate),"",EDATE(A294,1))</f>
        <v/>
      </c>
      <c r="B295" s="332">
        <f t="shared" si="48"/>
        <v>0</v>
      </c>
      <c r="C295" s="21">
        <f>IF(A295="",0,IF(B295&lt;=0,0,IF(A295=subjectMortgageEndDate,B295+E295,MIN(subjectPayment,B295+E295))))</f>
        <v>0</v>
      </c>
      <c r="D295" s="21">
        <f t="shared" si="49"/>
        <v>0</v>
      </c>
      <c r="E295" s="21">
        <f>IF(OR(A295="",B295&lt;=0),0,ROUND(B295*(subjectInterestRate/12),2))</f>
        <v>0</v>
      </c>
      <c r="F295" s="21">
        <f t="shared" si="54"/>
        <v>134.16999999999999</v>
      </c>
      <c r="G295" s="21">
        <f t="shared" si="54"/>
        <v>188.55</v>
      </c>
      <c r="H295" s="21">
        <f t="shared" si="46"/>
        <v>322.72000000000003</v>
      </c>
      <c r="I295" s="332">
        <f t="shared" si="52"/>
        <v>97531.839999999953</v>
      </c>
      <c r="J295" s="332">
        <f t="shared" si="53"/>
        <v>36068.259999999973</v>
      </c>
      <c r="K295" s="332">
        <f t="shared" si="50"/>
        <v>0</v>
      </c>
      <c r="L295" s="395">
        <f t="shared" si="44"/>
        <v>0</v>
      </c>
      <c r="M295" s="395">
        <f t="shared" si="51"/>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32">
        <f>IF(INDEX(tblContractForDeed[End Bal],ROW()-ROW(tblBuyerOutputs[#Headers]))&lt;=0,0,($O$6+IF(ROW()=ROW(tblBuyerOutputs[#Headers])+1,0,INDEX(tblBuyerOutputs[Cumul Appr],ROW()-ROW(tblBuyerOutputs[#Headers])-1)))*$O$2/12)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IF(OR(A295="",A295&gt;=subjectMortgageEndDate),"",EDATE(A295,1))</f>
        <v/>
      </c>
      <c r="B296" s="276">
        <f t="shared" si="48"/>
        <v>0</v>
      </c>
      <c r="C296" s="14">
        <f>IF(A296="",0,IF(B296&lt;=0,0,IF(A296=subjectMortgageEndDate,B296+E296,MIN(subjectPayment,B296+E296))))</f>
        <v>0</v>
      </c>
      <c r="D296" s="14">
        <f t="shared" si="49"/>
        <v>0</v>
      </c>
      <c r="E296" s="14">
        <f>IF(OR(A296="",B296&lt;=0),0,ROUND(B296*(subjectInterestRate/12),2))</f>
        <v>0</v>
      </c>
      <c r="F296" s="14">
        <f t="shared" si="54"/>
        <v>134.16999999999999</v>
      </c>
      <c r="G296" s="14">
        <f t="shared" si="54"/>
        <v>188.55</v>
      </c>
      <c r="H296" s="14">
        <f t="shared" si="46"/>
        <v>322.72000000000003</v>
      </c>
      <c r="I296" s="276">
        <f t="shared" si="52"/>
        <v>97531.839999999953</v>
      </c>
      <c r="J296" s="276">
        <f t="shared" si="53"/>
        <v>36068.259999999973</v>
      </c>
      <c r="K296" s="276">
        <f t="shared" si="50"/>
        <v>0</v>
      </c>
      <c r="L296" s="394">
        <f t="shared" si="44"/>
        <v>0</v>
      </c>
      <c r="M296" s="394">
        <f t="shared" si="51"/>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IF(OR(A296="",A296&gt;=subjectMortgageEndDate),"",EDATE(A296,1))</f>
        <v/>
      </c>
      <c r="B297" s="276">
        <f t="shared" si="48"/>
        <v>0</v>
      </c>
      <c r="C297" s="14">
        <f>IF(A297="",0,IF(B297&lt;=0,0,IF(A297=subjectMortgageEndDate,B297+E297,MIN(subjectPayment,B297+E297))))</f>
        <v>0</v>
      </c>
      <c r="D297" s="14">
        <f t="shared" si="49"/>
        <v>0</v>
      </c>
      <c r="E297" s="14">
        <f>IF(OR(A297="",B297&lt;=0),0,ROUND(B297*(subjectInterestRate/12),2))</f>
        <v>0</v>
      </c>
      <c r="F297" s="14">
        <f t="shared" si="54"/>
        <v>134.16999999999999</v>
      </c>
      <c r="G297" s="14">
        <f t="shared" si="54"/>
        <v>188.55</v>
      </c>
      <c r="H297" s="14">
        <f t="shared" si="46"/>
        <v>322.72000000000003</v>
      </c>
      <c r="I297" s="276">
        <f t="shared" si="52"/>
        <v>97531.839999999953</v>
      </c>
      <c r="J297" s="276">
        <f t="shared" si="53"/>
        <v>36068.259999999973</v>
      </c>
      <c r="K297" s="276">
        <f t="shared" si="50"/>
        <v>0</v>
      </c>
      <c r="L297" s="394">
        <f t="shared" si="44"/>
        <v>0</v>
      </c>
      <c r="M297" s="394">
        <f t="shared" si="51"/>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IF(OR(A297="",A297&gt;=subjectMortgageEndDate),"",EDATE(A297,1))</f>
        <v/>
      </c>
      <c r="B298" s="276">
        <f t="shared" si="48"/>
        <v>0</v>
      </c>
      <c r="C298" s="14">
        <f>IF(A298="",0,IF(B298&lt;=0,0,IF(A298=subjectMortgageEndDate,B298+E298,MIN(subjectPayment,B298+E298))))</f>
        <v>0</v>
      </c>
      <c r="D298" s="14">
        <f t="shared" si="49"/>
        <v>0</v>
      </c>
      <c r="E298" s="14">
        <f>IF(OR(A298="",B298&lt;=0),0,ROUND(B298*(subjectInterestRate/12),2))</f>
        <v>0</v>
      </c>
      <c r="F298" s="14">
        <f t="shared" si="54"/>
        <v>134.16999999999999</v>
      </c>
      <c r="G298" s="14">
        <f t="shared" si="54"/>
        <v>188.55</v>
      </c>
      <c r="H298" s="14">
        <f t="shared" si="46"/>
        <v>322.72000000000003</v>
      </c>
      <c r="I298" s="276">
        <f t="shared" si="52"/>
        <v>97531.839999999953</v>
      </c>
      <c r="J298" s="276">
        <f t="shared" si="53"/>
        <v>36068.259999999973</v>
      </c>
      <c r="K298" s="276">
        <f t="shared" si="50"/>
        <v>0</v>
      </c>
      <c r="L298" s="394">
        <f t="shared" si="44"/>
        <v>0</v>
      </c>
      <c r="M298" s="394">
        <f t="shared" si="51"/>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IF(OR(A298="",A298&gt;=subjectMortgageEndDate),"",EDATE(A298,1))</f>
        <v/>
      </c>
      <c r="B299" s="276">
        <f t="shared" si="48"/>
        <v>0</v>
      </c>
      <c r="C299" s="14">
        <f>IF(A299="",0,IF(B299&lt;=0,0,IF(A299=subjectMortgageEndDate,B299+E299,MIN(subjectPayment,B299+E299))))</f>
        <v>0</v>
      </c>
      <c r="D299" s="14">
        <f t="shared" si="49"/>
        <v>0</v>
      </c>
      <c r="E299" s="14">
        <f>IF(OR(A299="",B299&lt;=0),0,ROUND(B299*(subjectInterestRate/12),2))</f>
        <v>0</v>
      </c>
      <c r="F299" s="14">
        <f t="shared" si="54"/>
        <v>134.16999999999999</v>
      </c>
      <c r="G299" s="14">
        <f t="shared" si="54"/>
        <v>188.55</v>
      </c>
      <c r="H299" s="14">
        <f t="shared" si="46"/>
        <v>322.72000000000003</v>
      </c>
      <c r="I299" s="276">
        <f t="shared" si="52"/>
        <v>97531.839999999953</v>
      </c>
      <c r="J299" s="276">
        <f t="shared" si="53"/>
        <v>36068.259999999973</v>
      </c>
      <c r="K299" s="276">
        <f t="shared" si="50"/>
        <v>0</v>
      </c>
      <c r="L299" s="394">
        <f t="shared" si="44"/>
        <v>0</v>
      </c>
      <c r="M299" s="394">
        <f t="shared" si="51"/>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IF(OR(A299="",A299&gt;=subjectMortgageEndDate),"",EDATE(A299,1))</f>
        <v/>
      </c>
      <c r="B300" s="276">
        <f t="shared" si="48"/>
        <v>0</v>
      </c>
      <c r="C300" s="14">
        <f>IF(A300="",0,IF(B300&lt;=0,0,IF(A300=subjectMortgageEndDate,B300+E300,MIN(subjectPayment,B300+E300))))</f>
        <v>0</v>
      </c>
      <c r="D300" s="14">
        <f t="shared" si="49"/>
        <v>0</v>
      </c>
      <c r="E300" s="14">
        <f>IF(OR(A300="",B300&lt;=0),0,ROUND(B300*(subjectInterestRate/12),2))</f>
        <v>0</v>
      </c>
      <c r="F300" s="14">
        <f t="shared" si="54"/>
        <v>134.16999999999999</v>
      </c>
      <c r="G300" s="14">
        <f t="shared" si="54"/>
        <v>188.55</v>
      </c>
      <c r="H300" s="14">
        <f t="shared" si="46"/>
        <v>322.72000000000003</v>
      </c>
      <c r="I300" s="276">
        <f t="shared" si="52"/>
        <v>97531.839999999953</v>
      </c>
      <c r="J300" s="276">
        <f t="shared" si="53"/>
        <v>36068.259999999973</v>
      </c>
      <c r="K300" s="276">
        <f t="shared" si="50"/>
        <v>0</v>
      </c>
      <c r="L300" s="394">
        <f t="shared" si="44"/>
        <v>0</v>
      </c>
      <c r="M300" s="394">
        <f t="shared" si="51"/>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IF(OR(A300="",A300&gt;=subjectMortgageEndDate),"",EDATE(A300,1))</f>
        <v/>
      </c>
      <c r="B301" s="276">
        <f t="shared" si="48"/>
        <v>0</v>
      </c>
      <c r="C301" s="14">
        <f>IF(A301="",0,IF(B301&lt;=0,0,IF(A301=subjectMortgageEndDate,B301+E301,MIN(subjectPayment,B301+E301))))</f>
        <v>0</v>
      </c>
      <c r="D301" s="14">
        <f t="shared" si="49"/>
        <v>0</v>
      </c>
      <c r="E301" s="14">
        <f>IF(OR(A301="",B301&lt;=0),0,ROUND(B301*(subjectInterestRate/12),2))</f>
        <v>0</v>
      </c>
      <c r="F301" s="14">
        <f t="shared" si="54"/>
        <v>134.16999999999999</v>
      </c>
      <c r="G301" s="14">
        <f t="shared" si="54"/>
        <v>188.55</v>
      </c>
      <c r="H301" s="14">
        <f t="shared" si="46"/>
        <v>322.72000000000003</v>
      </c>
      <c r="I301" s="276">
        <f t="shared" si="52"/>
        <v>97531.839999999953</v>
      </c>
      <c r="J301" s="276">
        <f t="shared" si="53"/>
        <v>36068.259999999973</v>
      </c>
      <c r="K301" s="276">
        <f t="shared" si="50"/>
        <v>0</v>
      </c>
      <c r="L301" s="394">
        <f t="shared" si="44"/>
        <v>0</v>
      </c>
      <c r="M301" s="394">
        <f t="shared" si="51"/>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IF(OR(A301="",A301&gt;=subjectMortgageEndDate),"",EDATE(A301,1))</f>
        <v/>
      </c>
      <c r="B302" s="276">
        <f t="shared" si="48"/>
        <v>0</v>
      </c>
      <c r="C302" s="14">
        <f>IF(A302="",0,IF(B302&lt;=0,0,IF(A302=subjectMortgageEndDate,B302+E302,MIN(subjectPayment,B302+E302))))</f>
        <v>0</v>
      </c>
      <c r="D302" s="14">
        <f t="shared" si="49"/>
        <v>0</v>
      </c>
      <c r="E302" s="14">
        <f>IF(OR(A302="",B302&lt;=0),0,ROUND(B302*(subjectInterestRate/12),2))</f>
        <v>0</v>
      </c>
      <c r="F302" s="14">
        <f t="shared" si="54"/>
        <v>134.16999999999999</v>
      </c>
      <c r="G302" s="14">
        <f t="shared" si="54"/>
        <v>188.55</v>
      </c>
      <c r="H302" s="14">
        <f t="shared" si="46"/>
        <v>322.72000000000003</v>
      </c>
      <c r="I302" s="276">
        <f t="shared" si="52"/>
        <v>97531.839999999953</v>
      </c>
      <c r="J302" s="276">
        <f t="shared" si="53"/>
        <v>36068.259999999973</v>
      </c>
      <c r="K302" s="276">
        <f t="shared" si="50"/>
        <v>0</v>
      </c>
      <c r="L302" s="394">
        <f t="shared" si="44"/>
        <v>0</v>
      </c>
      <c r="M302" s="394">
        <f t="shared" si="51"/>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IF(OR(A302="",A302&gt;=subjectMortgageEndDate),"",EDATE(A302,1))</f>
        <v/>
      </c>
      <c r="B303" s="276">
        <f t="shared" si="48"/>
        <v>0</v>
      </c>
      <c r="C303" s="14">
        <f>IF(A303="",0,IF(B303&lt;=0,0,IF(A303=subjectMortgageEndDate,B303+E303,MIN(subjectPayment,B303+E303))))</f>
        <v>0</v>
      </c>
      <c r="D303" s="14">
        <f t="shared" si="49"/>
        <v>0</v>
      </c>
      <c r="E303" s="14">
        <f>IF(OR(A303="",B303&lt;=0),0,ROUND(B303*(subjectInterestRate/12),2))</f>
        <v>0</v>
      </c>
      <c r="F303" s="14">
        <f t="shared" ref="F303:G318" si="55">+F302</f>
        <v>134.16999999999999</v>
      </c>
      <c r="G303" s="14">
        <f t="shared" si="55"/>
        <v>188.55</v>
      </c>
      <c r="H303" s="14">
        <f t="shared" si="46"/>
        <v>322.72000000000003</v>
      </c>
      <c r="I303" s="276">
        <f t="shared" si="52"/>
        <v>97531.839999999953</v>
      </c>
      <c r="J303" s="276">
        <f t="shared" si="53"/>
        <v>36068.259999999973</v>
      </c>
      <c r="K303" s="276">
        <f t="shared" si="50"/>
        <v>0</v>
      </c>
      <c r="L303" s="394">
        <f t="shared" si="44"/>
        <v>0</v>
      </c>
      <c r="M303" s="394">
        <f t="shared" si="51"/>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IF(OR(A303="",A303&gt;=subjectMortgageEndDate),"",EDATE(A303,1))</f>
        <v/>
      </c>
      <c r="B304" s="276">
        <f t="shared" si="48"/>
        <v>0</v>
      </c>
      <c r="C304" s="14">
        <f>IF(A304="",0,IF(B304&lt;=0,0,IF(A304=subjectMortgageEndDate,B304+E304,MIN(subjectPayment,B304+E304))))</f>
        <v>0</v>
      </c>
      <c r="D304" s="14">
        <f t="shared" si="49"/>
        <v>0</v>
      </c>
      <c r="E304" s="14">
        <f>IF(OR(A304="",B304&lt;=0),0,ROUND(B304*(subjectInterestRate/12),2))</f>
        <v>0</v>
      </c>
      <c r="F304" s="14">
        <f t="shared" si="55"/>
        <v>134.16999999999999</v>
      </c>
      <c r="G304" s="14">
        <f t="shared" si="55"/>
        <v>188.55</v>
      </c>
      <c r="H304" s="14">
        <f t="shared" si="46"/>
        <v>322.72000000000003</v>
      </c>
      <c r="I304" s="276">
        <f t="shared" si="52"/>
        <v>97531.839999999953</v>
      </c>
      <c r="J304" s="276">
        <f t="shared" si="53"/>
        <v>36068.259999999973</v>
      </c>
      <c r="K304" s="276">
        <f t="shared" si="50"/>
        <v>0</v>
      </c>
      <c r="L304" s="394">
        <f t="shared" si="44"/>
        <v>0</v>
      </c>
      <c r="M304" s="394">
        <f t="shared" si="51"/>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IF(OR(A304="",A304&gt;=subjectMortgageEndDate),"",EDATE(A304,1))</f>
        <v/>
      </c>
      <c r="B305" s="276">
        <f t="shared" si="48"/>
        <v>0</v>
      </c>
      <c r="C305" s="14">
        <f>IF(A305="",0,IF(B305&lt;=0,0,IF(A305=subjectMortgageEndDate,B305+E305,MIN(subjectPayment,B305+E305))))</f>
        <v>0</v>
      </c>
      <c r="D305" s="14">
        <f t="shared" si="49"/>
        <v>0</v>
      </c>
      <c r="E305" s="14">
        <f>IF(OR(A305="",B305&lt;=0),0,ROUND(B305*(subjectInterestRate/12),2))</f>
        <v>0</v>
      </c>
      <c r="F305" s="14">
        <f t="shared" si="55"/>
        <v>134.16999999999999</v>
      </c>
      <c r="G305" s="14">
        <f t="shared" si="55"/>
        <v>188.55</v>
      </c>
      <c r="H305" s="14">
        <f t="shared" si="46"/>
        <v>322.72000000000003</v>
      </c>
      <c r="I305" s="276">
        <f t="shared" si="52"/>
        <v>97531.839999999953</v>
      </c>
      <c r="J305" s="276">
        <f t="shared" si="53"/>
        <v>36068.259999999973</v>
      </c>
      <c r="K305" s="276">
        <f t="shared" si="50"/>
        <v>0</v>
      </c>
      <c r="L305" s="394">
        <f t="shared" si="44"/>
        <v>0</v>
      </c>
      <c r="M305" s="394">
        <f t="shared" si="51"/>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IF(OR(A305="",A305&gt;=subjectMortgageEndDate),"",EDATE(A305,1))</f>
        <v/>
      </c>
      <c r="B306" s="276">
        <f t="shared" si="48"/>
        <v>0</v>
      </c>
      <c r="C306" s="14">
        <f>IF(A306="",0,IF(B306&lt;=0,0,IF(A306=subjectMortgageEndDate,B306+E306,MIN(subjectPayment,B306+E306))))</f>
        <v>0</v>
      </c>
      <c r="D306" s="14">
        <f t="shared" si="49"/>
        <v>0</v>
      </c>
      <c r="E306" s="14">
        <f>IF(OR(A306="",B306&lt;=0),0,ROUND(B306*(subjectInterestRate/12),2))</f>
        <v>0</v>
      </c>
      <c r="F306" s="14">
        <f t="shared" si="55"/>
        <v>134.16999999999999</v>
      </c>
      <c r="G306" s="14">
        <f t="shared" si="55"/>
        <v>188.55</v>
      </c>
      <c r="H306" s="14">
        <f t="shared" si="46"/>
        <v>322.72000000000003</v>
      </c>
      <c r="I306" s="276">
        <f t="shared" si="52"/>
        <v>97531.839999999953</v>
      </c>
      <c r="J306" s="276">
        <f t="shared" si="53"/>
        <v>36068.259999999973</v>
      </c>
      <c r="K306" s="276">
        <f t="shared" si="50"/>
        <v>0</v>
      </c>
      <c r="L306" s="394">
        <f t="shared" si="44"/>
        <v>0</v>
      </c>
      <c r="M306" s="394">
        <f t="shared" si="51"/>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IF(OR(A306="",A306&gt;=subjectMortgageEndDate),"",EDATE(A306,1))</f>
        <v/>
      </c>
      <c r="B307" s="332">
        <f t="shared" si="48"/>
        <v>0</v>
      </c>
      <c r="C307" s="21">
        <f>IF(A307="",0,IF(B307&lt;=0,0,IF(A307=subjectMortgageEndDate,B307+E307,MIN(subjectPayment,B307+E307))))</f>
        <v>0</v>
      </c>
      <c r="D307" s="21">
        <f t="shared" si="49"/>
        <v>0</v>
      </c>
      <c r="E307" s="21">
        <f>IF(OR(A307="",B307&lt;=0),0,ROUND(B307*(subjectInterestRate/12),2))</f>
        <v>0</v>
      </c>
      <c r="F307" s="21">
        <f t="shared" si="55"/>
        <v>134.16999999999999</v>
      </c>
      <c r="G307" s="21">
        <f t="shared" si="55"/>
        <v>188.55</v>
      </c>
      <c r="H307" s="21">
        <f t="shared" si="46"/>
        <v>322.72000000000003</v>
      </c>
      <c r="I307" s="332">
        <f t="shared" si="52"/>
        <v>97531.839999999953</v>
      </c>
      <c r="J307" s="332">
        <f t="shared" si="53"/>
        <v>36068.259999999973</v>
      </c>
      <c r="K307" s="332">
        <f t="shared" si="50"/>
        <v>0</v>
      </c>
      <c r="L307" s="395">
        <f t="shared" si="44"/>
        <v>0</v>
      </c>
      <c r="M307" s="395">
        <f t="shared" si="51"/>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32">
        <f>IF(INDEX(tblContractForDeed[End Bal],ROW()-ROW(tblBuyerOutputs[#Headers]))&lt;=0,0,($O$6+IF(ROW()=ROW(tblBuyerOutputs[#Headers])+1,0,INDEX(tblBuyerOutputs[Cumul Appr],ROW()-ROW(tblBuyerOutputs[#Headers])-1)))*$O$2/12)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IF(OR(A307="",A307&gt;=subjectMortgageEndDate),"",EDATE(A307,1))</f>
        <v/>
      </c>
      <c r="B308" s="276">
        <f t="shared" si="48"/>
        <v>0</v>
      </c>
      <c r="C308" s="14">
        <f>IF(A308="",0,IF(B308&lt;=0,0,IF(A308=subjectMortgageEndDate,B308+E308,MIN(subjectPayment,B308+E308))))</f>
        <v>0</v>
      </c>
      <c r="D308" s="14">
        <f t="shared" si="49"/>
        <v>0</v>
      </c>
      <c r="E308" s="14">
        <f>IF(OR(A308="",B308&lt;=0),0,ROUND(B308*(subjectInterestRate/12),2))</f>
        <v>0</v>
      </c>
      <c r="F308" s="14">
        <f t="shared" si="55"/>
        <v>134.16999999999999</v>
      </c>
      <c r="G308" s="14">
        <f t="shared" si="55"/>
        <v>188.55</v>
      </c>
      <c r="H308" s="14">
        <f t="shared" si="46"/>
        <v>322.72000000000003</v>
      </c>
      <c r="I308" s="276">
        <f t="shared" si="52"/>
        <v>97531.839999999953</v>
      </c>
      <c r="J308" s="276">
        <f t="shared" si="53"/>
        <v>36068.259999999973</v>
      </c>
      <c r="K308" s="276">
        <f t="shared" si="50"/>
        <v>0</v>
      </c>
      <c r="L308" s="394">
        <f t="shared" ref="L308:L371" si="56">IF(MOD(M308,12)=0,M308/12,L307)</f>
        <v>0</v>
      </c>
      <c r="M308" s="394">
        <f t="shared" si="51"/>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IF(OR(A308="",A308&gt;=subjectMortgageEndDate),"",EDATE(A308,1))</f>
        <v/>
      </c>
      <c r="B309" s="276">
        <f t="shared" si="48"/>
        <v>0</v>
      </c>
      <c r="C309" s="14">
        <f>IF(A309="",0,IF(B309&lt;=0,0,IF(A309=subjectMortgageEndDate,B309+E309,MIN(subjectPayment,B309+E309))))</f>
        <v>0</v>
      </c>
      <c r="D309" s="14">
        <f t="shared" si="49"/>
        <v>0</v>
      </c>
      <c r="E309" s="14">
        <f>IF(OR(A309="",B309&lt;=0),0,ROUND(B309*(subjectInterestRate/12),2))</f>
        <v>0</v>
      </c>
      <c r="F309" s="14">
        <f t="shared" si="55"/>
        <v>134.16999999999999</v>
      </c>
      <c r="G309" s="14">
        <f t="shared" si="55"/>
        <v>188.55</v>
      </c>
      <c r="H309" s="14">
        <f t="shared" si="46"/>
        <v>322.72000000000003</v>
      </c>
      <c r="I309" s="276">
        <f t="shared" si="52"/>
        <v>97531.839999999953</v>
      </c>
      <c r="J309" s="276">
        <f t="shared" si="53"/>
        <v>36068.259999999973</v>
      </c>
      <c r="K309" s="276">
        <f t="shared" si="50"/>
        <v>0</v>
      </c>
      <c r="L309" s="394">
        <f t="shared" si="56"/>
        <v>0</v>
      </c>
      <c r="M309" s="394">
        <f t="shared" si="51"/>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IF(OR(A309="",A309&gt;=subjectMortgageEndDate),"",EDATE(A309,1))</f>
        <v/>
      </c>
      <c r="B310" s="276">
        <f t="shared" si="48"/>
        <v>0</v>
      </c>
      <c r="C310" s="14">
        <f>IF(A310="",0,IF(B310&lt;=0,0,IF(A310=subjectMortgageEndDate,B310+E310,MIN(subjectPayment,B310+E310))))</f>
        <v>0</v>
      </c>
      <c r="D310" s="14">
        <f t="shared" si="49"/>
        <v>0</v>
      </c>
      <c r="E310" s="14">
        <f>IF(OR(A310="",B310&lt;=0),0,ROUND(B310*(subjectInterestRate/12),2))</f>
        <v>0</v>
      </c>
      <c r="F310" s="14">
        <f t="shared" si="55"/>
        <v>134.16999999999999</v>
      </c>
      <c r="G310" s="14">
        <f t="shared" si="55"/>
        <v>188.55</v>
      </c>
      <c r="H310" s="14">
        <f t="shared" si="46"/>
        <v>322.72000000000003</v>
      </c>
      <c r="I310" s="276">
        <f t="shared" si="52"/>
        <v>97531.839999999953</v>
      </c>
      <c r="J310" s="276">
        <f t="shared" si="53"/>
        <v>36068.259999999973</v>
      </c>
      <c r="K310" s="276">
        <f t="shared" si="50"/>
        <v>0</v>
      </c>
      <c r="L310" s="394">
        <f t="shared" si="56"/>
        <v>0</v>
      </c>
      <c r="M310" s="394">
        <f t="shared" si="51"/>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IF(OR(A310="",A310&gt;=subjectMortgageEndDate),"",EDATE(A310,1))</f>
        <v/>
      </c>
      <c r="B311" s="276">
        <f t="shared" si="48"/>
        <v>0</v>
      </c>
      <c r="C311" s="14">
        <f>IF(A311="",0,IF(B311&lt;=0,0,IF(A311=subjectMortgageEndDate,B311+E311,MIN(subjectPayment,B311+E311))))</f>
        <v>0</v>
      </c>
      <c r="D311" s="14">
        <f t="shared" si="49"/>
        <v>0</v>
      </c>
      <c r="E311" s="14">
        <f>IF(OR(A311="",B311&lt;=0),0,ROUND(B311*(subjectInterestRate/12),2))</f>
        <v>0</v>
      </c>
      <c r="F311" s="14">
        <f t="shared" si="55"/>
        <v>134.16999999999999</v>
      </c>
      <c r="G311" s="14">
        <f t="shared" si="55"/>
        <v>188.55</v>
      </c>
      <c r="H311" s="14">
        <f t="shared" si="46"/>
        <v>322.72000000000003</v>
      </c>
      <c r="I311" s="276">
        <f t="shared" si="52"/>
        <v>97531.839999999953</v>
      </c>
      <c r="J311" s="276">
        <f t="shared" si="53"/>
        <v>36068.259999999973</v>
      </c>
      <c r="K311" s="276">
        <f t="shared" si="50"/>
        <v>0</v>
      </c>
      <c r="L311" s="394">
        <f t="shared" si="56"/>
        <v>0</v>
      </c>
      <c r="M311" s="394">
        <f t="shared" si="51"/>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IF(OR(A311="",A311&gt;=subjectMortgageEndDate),"",EDATE(A311,1))</f>
        <v/>
      </c>
      <c r="B312" s="276">
        <f t="shared" si="48"/>
        <v>0</v>
      </c>
      <c r="C312" s="14">
        <f>IF(A312="",0,IF(B312&lt;=0,0,IF(A312=subjectMortgageEndDate,B312+E312,MIN(subjectPayment,B312+E312))))</f>
        <v>0</v>
      </c>
      <c r="D312" s="14">
        <f t="shared" si="49"/>
        <v>0</v>
      </c>
      <c r="E312" s="14">
        <f>IF(OR(A312="",B312&lt;=0),0,ROUND(B312*(subjectInterestRate/12),2))</f>
        <v>0</v>
      </c>
      <c r="F312" s="14">
        <f t="shared" si="55"/>
        <v>134.16999999999999</v>
      </c>
      <c r="G312" s="14">
        <f t="shared" si="55"/>
        <v>188.55</v>
      </c>
      <c r="H312" s="14">
        <f t="shared" si="46"/>
        <v>322.72000000000003</v>
      </c>
      <c r="I312" s="276">
        <f t="shared" si="52"/>
        <v>97531.839999999953</v>
      </c>
      <c r="J312" s="276">
        <f t="shared" si="53"/>
        <v>36068.259999999973</v>
      </c>
      <c r="K312" s="276">
        <f t="shared" si="50"/>
        <v>0</v>
      </c>
      <c r="L312" s="394">
        <f t="shared" si="56"/>
        <v>0</v>
      </c>
      <c r="M312" s="394">
        <f t="shared" si="51"/>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IF(OR(A312="",A312&gt;=subjectMortgageEndDate),"",EDATE(A312,1))</f>
        <v/>
      </c>
      <c r="B313" s="276">
        <f t="shared" si="48"/>
        <v>0</v>
      </c>
      <c r="C313" s="14">
        <f>IF(A313="",0,IF(B313&lt;=0,0,IF(A313=subjectMortgageEndDate,B313+E313,MIN(subjectPayment,B313+E313))))</f>
        <v>0</v>
      </c>
      <c r="D313" s="14">
        <f t="shared" si="49"/>
        <v>0</v>
      </c>
      <c r="E313" s="14">
        <f>IF(OR(A313="",B313&lt;=0),0,ROUND(B313*(subjectInterestRate/12),2))</f>
        <v>0</v>
      </c>
      <c r="F313" s="14">
        <f t="shared" si="55"/>
        <v>134.16999999999999</v>
      </c>
      <c r="G313" s="14">
        <f t="shared" si="55"/>
        <v>188.55</v>
      </c>
      <c r="H313" s="14">
        <f t="shared" si="46"/>
        <v>322.72000000000003</v>
      </c>
      <c r="I313" s="276">
        <f t="shared" si="52"/>
        <v>97531.839999999953</v>
      </c>
      <c r="J313" s="276">
        <f t="shared" si="53"/>
        <v>36068.259999999973</v>
      </c>
      <c r="K313" s="276">
        <f t="shared" si="50"/>
        <v>0</v>
      </c>
      <c r="L313" s="394">
        <f t="shared" si="56"/>
        <v>0</v>
      </c>
      <c r="M313" s="394">
        <f t="shared" si="51"/>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IF(OR(A313="",A313&gt;=subjectMortgageEndDate),"",EDATE(A313,1))</f>
        <v/>
      </c>
      <c r="B314" s="276">
        <f t="shared" si="48"/>
        <v>0</v>
      </c>
      <c r="C314" s="14">
        <f>IF(A314="",0,IF(B314&lt;=0,0,IF(A314=subjectMortgageEndDate,B314+E314,MIN(subjectPayment,B314+E314))))</f>
        <v>0</v>
      </c>
      <c r="D314" s="14">
        <f t="shared" si="49"/>
        <v>0</v>
      </c>
      <c r="E314" s="14">
        <f>IF(OR(A314="",B314&lt;=0),0,ROUND(B314*(subjectInterestRate/12),2))</f>
        <v>0</v>
      </c>
      <c r="F314" s="14">
        <f t="shared" si="55"/>
        <v>134.16999999999999</v>
      </c>
      <c r="G314" s="14">
        <f t="shared" si="55"/>
        <v>188.55</v>
      </c>
      <c r="H314" s="14">
        <f t="shared" si="46"/>
        <v>322.72000000000003</v>
      </c>
      <c r="I314" s="276">
        <f t="shared" si="52"/>
        <v>97531.839999999953</v>
      </c>
      <c r="J314" s="276">
        <f t="shared" si="53"/>
        <v>36068.259999999973</v>
      </c>
      <c r="K314" s="276">
        <f t="shared" si="50"/>
        <v>0</v>
      </c>
      <c r="L314" s="394">
        <f t="shared" si="56"/>
        <v>0</v>
      </c>
      <c r="M314" s="394">
        <f t="shared" si="51"/>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IF(OR(A314="",A314&gt;=subjectMortgageEndDate),"",EDATE(A314,1))</f>
        <v/>
      </c>
      <c r="B315" s="276">
        <f t="shared" si="48"/>
        <v>0</v>
      </c>
      <c r="C315" s="14">
        <f>IF(A315="",0,IF(B315&lt;=0,0,IF(A315=subjectMortgageEndDate,B315+E315,MIN(subjectPayment,B315+E315))))</f>
        <v>0</v>
      </c>
      <c r="D315" s="14">
        <f t="shared" si="49"/>
        <v>0</v>
      </c>
      <c r="E315" s="14">
        <f>IF(OR(A315="",B315&lt;=0),0,ROUND(B315*(subjectInterestRate/12),2))</f>
        <v>0</v>
      </c>
      <c r="F315" s="14">
        <f t="shared" si="55"/>
        <v>134.16999999999999</v>
      </c>
      <c r="G315" s="14">
        <f t="shared" si="55"/>
        <v>188.55</v>
      </c>
      <c r="H315" s="14">
        <f t="shared" si="46"/>
        <v>322.72000000000003</v>
      </c>
      <c r="I315" s="276">
        <f t="shared" si="52"/>
        <v>97531.839999999953</v>
      </c>
      <c r="J315" s="276">
        <f t="shared" si="53"/>
        <v>36068.259999999973</v>
      </c>
      <c r="K315" s="276">
        <f t="shared" si="50"/>
        <v>0</v>
      </c>
      <c r="L315" s="394">
        <f t="shared" si="56"/>
        <v>0</v>
      </c>
      <c r="M315" s="394">
        <f t="shared" si="51"/>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IF(OR(A315="",A315&gt;=subjectMortgageEndDate),"",EDATE(A315,1))</f>
        <v/>
      </c>
      <c r="B316" s="276">
        <f t="shared" si="48"/>
        <v>0</v>
      </c>
      <c r="C316" s="14">
        <f>IF(A316="",0,IF(B316&lt;=0,0,IF(A316=subjectMortgageEndDate,B316+E316,MIN(subjectPayment,B316+E316))))</f>
        <v>0</v>
      </c>
      <c r="D316" s="14">
        <f t="shared" si="49"/>
        <v>0</v>
      </c>
      <c r="E316" s="14">
        <f>IF(OR(A316="",B316&lt;=0),0,ROUND(B316*(subjectInterestRate/12),2))</f>
        <v>0</v>
      </c>
      <c r="F316" s="14">
        <f t="shared" si="55"/>
        <v>134.16999999999999</v>
      </c>
      <c r="G316" s="14">
        <f t="shared" si="55"/>
        <v>188.55</v>
      </c>
      <c r="H316" s="14">
        <f t="shared" si="46"/>
        <v>322.72000000000003</v>
      </c>
      <c r="I316" s="276">
        <f t="shared" si="52"/>
        <v>97531.839999999953</v>
      </c>
      <c r="J316" s="276">
        <f t="shared" si="53"/>
        <v>36068.259999999973</v>
      </c>
      <c r="K316" s="276">
        <f t="shared" si="50"/>
        <v>0</v>
      </c>
      <c r="L316" s="394">
        <f t="shared" si="56"/>
        <v>0</v>
      </c>
      <c r="M316" s="394">
        <f t="shared" si="51"/>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IF(OR(A316="",A316&gt;=subjectMortgageEndDate),"",EDATE(A316,1))</f>
        <v/>
      </c>
      <c r="B317" s="276">
        <f t="shared" si="48"/>
        <v>0</v>
      </c>
      <c r="C317" s="14">
        <f>IF(A317="",0,IF(B317&lt;=0,0,IF(A317=subjectMortgageEndDate,B317+E317,MIN(subjectPayment,B317+E317))))</f>
        <v>0</v>
      </c>
      <c r="D317" s="14">
        <f t="shared" si="49"/>
        <v>0</v>
      </c>
      <c r="E317" s="14">
        <f>IF(OR(A317="",B317&lt;=0),0,ROUND(B317*(subjectInterestRate/12),2))</f>
        <v>0</v>
      </c>
      <c r="F317" s="14">
        <f t="shared" si="55"/>
        <v>134.16999999999999</v>
      </c>
      <c r="G317" s="14">
        <f t="shared" si="55"/>
        <v>188.55</v>
      </c>
      <c r="H317" s="14">
        <f t="shared" si="46"/>
        <v>322.72000000000003</v>
      </c>
      <c r="I317" s="276">
        <f t="shared" si="52"/>
        <v>97531.839999999953</v>
      </c>
      <c r="J317" s="276">
        <f t="shared" si="53"/>
        <v>36068.259999999973</v>
      </c>
      <c r="K317" s="276">
        <f t="shared" si="50"/>
        <v>0</v>
      </c>
      <c r="L317" s="394">
        <f t="shared" si="56"/>
        <v>0</v>
      </c>
      <c r="M317" s="394">
        <f t="shared" si="51"/>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IF(OR(A317="",A317&gt;=subjectMortgageEndDate),"",EDATE(A317,1))</f>
        <v/>
      </c>
      <c r="B318" s="276">
        <f t="shared" si="48"/>
        <v>0</v>
      </c>
      <c r="C318" s="14">
        <f>IF(A318="",0,IF(B318&lt;=0,0,IF(A318=subjectMortgageEndDate,B318+E318,MIN(subjectPayment,B318+E318))))</f>
        <v>0</v>
      </c>
      <c r="D318" s="14">
        <f t="shared" si="49"/>
        <v>0</v>
      </c>
      <c r="E318" s="14">
        <f>IF(OR(A318="",B318&lt;=0),0,ROUND(B318*(subjectInterestRate/12),2))</f>
        <v>0</v>
      </c>
      <c r="F318" s="14">
        <f t="shared" si="55"/>
        <v>134.16999999999999</v>
      </c>
      <c r="G318" s="14">
        <f t="shared" si="55"/>
        <v>188.55</v>
      </c>
      <c r="H318" s="14">
        <f t="shared" si="46"/>
        <v>322.72000000000003</v>
      </c>
      <c r="I318" s="276">
        <f t="shared" si="52"/>
        <v>97531.839999999953</v>
      </c>
      <c r="J318" s="276">
        <f t="shared" si="53"/>
        <v>36068.259999999973</v>
      </c>
      <c r="K318" s="276">
        <f t="shared" si="50"/>
        <v>0</v>
      </c>
      <c r="L318" s="394">
        <f t="shared" si="56"/>
        <v>0</v>
      </c>
      <c r="M318" s="394">
        <f t="shared" si="51"/>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IF(OR(A318="",A318&gt;=subjectMortgageEndDate),"",EDATE(A318,1))</f>
        <v/>
      </c>
      <c r="B319" s="332">
        <f t="shared" si="48"/>
        <v>0</v>
      </c>
      <c r="C319" s="21">
        <f>IF(A319="",0,IF(B319&lt;=0,0,IF(A319=subjectMortgageEndDate,B319+E319,MIN(subjectPayment,B319+E319))))</f>
        <v>0</v>
      </c>
      <c r="D319" s="21">
        <f t="shared" si="49"/>
        <v>0</v>
      </c>
      <c r="E319" s="21">
        <f>IF(OR(A319="",B319&lt;=0),0,ROUND(B319*(subjectInterestRate/12),2))</f>
        <v>0</v>
      </c>
      <c r="F319" s="21">
        <f t="shared" ref="F319:G334" si="57">+F318</f>
        <v>134.16999999999999</v>
      </c>
      <c r="G319" s="21">
        <f t="shared" si="57"/>
        <v>188.55</v>
      </c>
      <c r="H319" s="21">
        <f t="shared" si="46"/>
        <v>322.72000000000003</v>
      </c>
      <c r="I319" s="332">
        <f t="shared" si="52"/>
        <v>97531.839999999953</v>
      </c>
      <c r="J319" s="332">
        <f t="shared" si="53"/>
        <v>36068.259999999973</v>
      </c>
      <c r="K319" s="332">
        <f t="shared" si="50"/>
        <v>0</v>
      </c>
      <c r="L319" s="395">
        <f t="shared" si="56"/>
        <v>0</v>
      </c>
      <c r="M319" s="395">
        <f t="shared" si="51"/>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32">
        <f>IF(INDEX(tblContractForDeed[End Bal],ROW()-ROW(tblBuyerOutputs[#Headers]))&lt;=0,0,($O$6+IF(ROW()=ROW(tblBuyerOutputs[#Headers])+1,0,INDEX(tblBuyerOutputs[Cumul Appr],ROW()-ROW(tblBuyerOutputs[#Headers])-1)))*$O$2/12)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IF(OR(A319="",A319&gt;=subjectMortgageEndDate),"",EDATE(A319,1))</f>
        <v/>
      </c>
      <c r="B320" s="276">
        <f t="shared" si="48"/>
        <v>0</v>
      </c>
      <c r="C320" s="14">
        <f>IF(A320="",0,IF(B320&lt;=0,0,IF(A320=subjectMortgageEndDate,B320+E320,MIN(subjectPayment,B320+E320))))</f>
        <v>0</v>
      </c>
      <c r="D320" s="14">
        <f t="shared" si="49"/>
        <v>0</v>
      </c>
      <c r="E320" s="14">
        <f>IF(OR(A320="",B320&lt;=0),0,ROUND(B320*(subjectInterestRate/12),2))</f>
        <v>0</v>
      </c>
      <c r="F320" s="14">
        <f t="shared" si="57"/>
        <v>134.16999999999999</v>
      </c>
      <c r="G320" s="14">
        <f t="shared" si="57"/>
        <v>188.55</v>
      </c>
      <c r="H320" s="14">
        <f t="shared" ref="H320:H383" si="58">SUM(D320:G320)</f>
        <v>322.72000000000003</v>
      </c>
      <c r="I320" s="276">
        <f t="shared" si="52"/>
        <v>97531.839999999953</v>
      </c>
      <c r="J320" s="276">
        <f t="shared" si="53"/>
        <v>36068.259999999973</v>
      </c>
      <c r="K320" s="276">
        <f t="shared" si="50"/>
        <v>0</v>
      </c>
      <c r="L320" s="394">
        <f t="shared" si="56"/>
        <v>0</v>
      </c>
      <c r="M320" s="394">
        <f t="shared" si="51"/>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IF(OR(A320="",A320&gt;=subjectMortgageEndDate),"",EDATE(A320,1))</f>
        <v/>
      </c>
      <c r="B321" s="276">
        <f t="shared" si="48"/>
        <v>0</v>
      </c>
      <c r="C321" s="14">
        <f>IF(A321="",0,IF(B321&lt;=0,0,IF(A321=subjectMortgageEndDate,B321+E321,MIN(subjectPayment,B321+E321))))</f>
        <v>0</v>
      </c>
      <c r="D321" s="14">
        <f t="shared" si="49"/>
        <v>0</v>
      </c>
      <c r="E321" s="14">
        <f>IF(OR(A321="",B321&lt;=0),0,ROUND(B321*(subjectInterestRate/12),2))</f>
        <v>0</v>
      </c>
      <c r="F321" s="14">
        <f t="shared" si="57"/>
        <v>134.16999999999999</v>
      </c>
      <c r="G321" s="14">
        <f t="shared" si="57"/>
        <v>188.55</v>
      </c>
      <c r="H321" s="14">
        <f t="shared" si="58"/>
        <v>322.72000000000003</v>
      </c>
      <c r="I321" s="276">
        <f t="shared" si="52"/>
        <v>97531.839999999953</v>
      </c>
      <c r="J321" s="276">
        <f t="shared" si="53"/>
        <v>36068.259999999973</v>
      </c>
      <c r="K321" s="276">
        <f t="shared" si="50"/>
        <v>0</v>
      </c>
      <c r="L321" s="394">
        <f t="shared" si="56"/>
        <v>0</v>
      </c>
      <c r="M321" s="394">
        <f t="shared" si="51"/>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IF(OR(A321="",A321&gt;=subjectMortgageEndDate),"",EDATE(A321,1))</f>
        <v/>
      </c>
      <c r="B322" s="276">
        <f t="shared" si="48"/>
        <v>0</v>
      </c>
      <c r="C322" s="14">
        <f>IF(A322="",0,IF(B322&lt;=0,0,IF(A322=subjectMortgageEndDate,B322+E322,MIN(subjectPayment,B322+E322))))</f>
        <v>0</v>
      </c>
      <c r="D322" s="14">
        <f t="shared" si="49"/>
        <v>0</v>
      </c>
      <c r="E322" s="14">
        <f>IF(OR(A322="",B322&lt;=0),0,ROUND(B322*(subjectInterestRate/12),2))</f>
        <v>0</v>
      </c>
      <c r="F322" s="14">
        <f t="shared" si="57"/>
        <v>134.16999999999999</v>
      </c>
      <c r="G322" s="14">
        <f t="shared" si="57"/>
        <v>188.55</v>
      </c>
      <c r="H322" s="14">
        <f t="shared" si="58"/>
        <v>322.72000000000003</v>
      </c>
      <c r="I322" s="276">
        <f t="shared" si="52"/>
        <v>97531.839999999953</v>
      </c>
      <c r="J322" s="276">
        <f t="shared" si="53"/>
        <v>36068.259999999973</v>
      </c>
      <c r="K322" s="276">
        <f t="shared" si="50"/>
        <v>0</v>
      </c>
      <c r="L322" s="394">
        <f t="shared" si="56"/>
        <v>0</v>
      </c>
      <c r="M322" s="394">
        <f t="shared" si="51"/>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IF(OR(A322="",A322&gt;=subjectMortgageEndDate),"",EDATE(A322,1))</f>
        <v/>
      </c>
      <c r="B323" s="276">
        <f t="shared" si="48"/>
        <v>0</v>
      </c>
      <c r="C323" s="14">
        <f>IF(A323="",0,IF(B323&lt;=0,0,IF(A323=subjectMortgageEndDate,B323+E323,MIN(subjectPayment,B323+E323))))</f>
        <v>0</v>
      </c>
      <c r="D323" s="14">
        <f t="shared" si="49"/>
        <v>0</v>
      </c>
      <c r="E323" s="14">
        <f>IF(OR(A323="",B323&lt;=0),0,ROUND(B323*(subjectInterestRate/12),2))</f>
        <v>0</v>
      </c>
      <c r="F323" s="14">
        <f t="shared" si="57"/>
        <v>134.16999999999999</v>
      </c>
      <c r="G323" s="14">
        <f t="shared" si="57"/>
        <v>188.55</v>
      </c>
      <c r="H323" s="14">
        <f t="shared" si="58"/>
        <v>322.72000000000003</v>
      </c>
      <c r="I323" s="276">
        <f t="shared" si="52"/>
        <v>97531.839999999953</v>
      </c>
      <c r="J323" s="276">
        <f t="shared" si="53"/>
        <v>36068.259999999973</v>
      </c>
      <c r="K323" s="276">
        <f t="shared" si="50"/>
        <v>0</v>
      </c>
      <c r="L323" s="394">
        <f t="shared" si="56"/>
        <v>0</v>
      </c>
      <c r="M323" s="394">
        <f t="shared" si="51"/>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IF(OR(A323="",A323&gt;=subjectMortgageEndDate),"",EDATE(A323,1))</f>
        <v/>
      </c>
      <c r="B324" s="276">
        <f t="shared" si="48"/>
        <v>0</v>
      </c>
      <c r="C324" s="14">
        <f>IF(A324="",0,IF(B324&lt;=0,0,IF(A324=subjectMortgageEndDate,B324+E324,MIN(subjectPayment,B324+E324))))</f>
        <v>0</v>
      </c>
      <c r="D324" s="14">
        <f t="shared" si="49"/>
        <v>0</v>
      </c>
      <c r="E324" s="14">
        <f>IF(OR(A324="",B324&lt;=0),0,ROUND(B324*(subjectInterestRate/12),2))</f>
        <v>0</v>
      </c>
      <c r="F324" s="14">
        <f t="shared" si="57"/>
        <v>134.16999999999999</v>
      </c>
      <c r="G324" s="14">
        <f t="shared" si="57"/>
        <v>188.55</v>
      </c>
      <c r="H324" s="14">
        <f t="shared" si="58"/>
        <v>322.72000000000003</v>
      </c>
      <c r="I324" s="276">
        <f t="shared" si="52"/>
        <v>97531.839999999953</v>
      </c>
      <c r="J324" s="276">
        <f t="shared" si="53"/>
        <v>36068.259999999973</v>
      </c>
      <c r="K324" s="276">
        <f t="shared" si="50"/>
        <v>0</v>
      </c>
      <c r="L324" s="394">
        <f t="shared" si="56"/>
        <v>0</v>
      </c>
      <c r="M324" s="394">
        <f t="shared" si="51"/>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IF(OR(A324="",A324&gt;=subjectMortgageEndDate),"",EDATE(A324,1))</f>
        <v/>
      </c>
      <c r="B325" s="276">
        <f t="shared" si="48"/>
        <v>0</v>
      </c>
      <c r="C325" s="14">
        <f>IF(A325="",0,IF(B325&lt;=0,0,IF(A325=subjectMortgageEndDate,B325+E325,MIN(subjectPayment,B325+E325))))</f>
        <v>0</v>
      </c>
      <c r="D325" s="14">
        <f t="shared" si="49"/>
        <v>0</v>
      </c>
      <c r="E325" s="14">
        <f>IF(OR(A325="",B325&lt;=0),0,ROUND(B325*(subjectInterestRate/12),2))</f>
        <v>0</v>
      </c>
      <c r="F325" s="14">
        <f t="shared" si="57"/>
        <v>134.16999999999999</v>
      </c>
      <c r="G325" s="14">
        <f t="shared" si="57"/>
        <v>188.55</v>
      </c>
      <c r="H325" s="14">
        <f t="shared" si="58"/>
        <v>322.72000000000003</v>
      </c>
      <c r="I325" s="276">
        <f t="shared" si="52"/>
        <v>97531.839999999953</v>
      </c>
      <c r="J325" s="276">
        <f t="shared" si="53"/>
        <v>36068.259999999973</v>
      </c>
      <c r="K325" s="276">
        <f t="shared" si="50"/>
        <v>0</v>
      </c>
      <c r="L325" s="394">
        <f t="shared" si="56"/>
        <v>0</v>
      </c>
      <c r="M325" s="394">
        <f t="shared" si="51"/>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IF(OR(A325="",A325&gt;=subjectMortgageEndDate),"",EDATE(A325,1))</f>
        <v/>
      </c>
      <c r="B326" s="276">
        <f t="shared" si="48"/>
        <v>0</v>
      </c>
      <c r="C326" s="14">
        <f>IF(A326="",0,IF(B326&lt;=0,0,IF(A326=subjectMortgageEndDate,B326+E326,MIN(subjectPayment,B326+E326))))</f>
        <v>0</v>
      </c>
      <c r="D326" s="14">
        <f t="shared" si="49"/>
        <v>0</v>
      </c>
      <c r="E326" s="14">
        <f>IF(OR(A326="",B326&lt;=0),0,ROUND(B326*(subjectInterestRate/12),2))</f>
        <v>0</v>
      </c>
      <c r="F326" s="14">
        <f t="shared" si="57"/>
        <v>134.16999999999999</v>
      </c>
      <c r="G326" s="14">
        <f t="shared" si="57"/>
        <v>188.55</v>
      </c>
      <c r="H326" s="14">
        <f t="shared" si="58"/>
        <v>322.72000000000003</v>
      </c>
      <c r="I326" s="276">
        <f t="shared" si="52"/>
        <v>97531.839999999953</v>
      </c>
      <c r="J326" s="276">
        <f t="shared" si="53"/>
        <v>36068.259999999973</v>
      </c>
      <c r="K326" s="276">
        <f t="shared" si="50"/>
        <v>0</v>
      </c>
      <c r="L326" s="394">
        <f t="shared" si="56"/>
        <v>0</v>
      </c>
      <c r="M326" s="394">
        <f t="shared" si="51"/>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IF(OR(A326="",A326&gt;=subjectMortgageEndDate),"",EDATE(A326,1))</f>
        <v/>
      </c>
      <c r="B327" s="276">
        <f t="shared" si="48"/>
        <v>0</v>
      </c>
      <c r="C327" s="14">
        <f>IF(A327="",0,IF(B327&lt;=0,0,IF(A327=subjectMortgageEndDate,B327+E327,MIN(subjectPayment,B327+E327))))</f>
        <v>0</v>
      </c>
      <c r="D327" s="14">
        <f t="shared" si="49"/>
        <v>0</v>
      </c>
      <c r="E327" s="14">
        <f>IF(OR(A327="",B327&lt;=0),0,ROUND(B327*(subjectInterestRate/12),2))</f>
        <v>0</v>
      </c>
      <c r="F327" s="14">
        <f t="shared" si="57"/>
        <v>134.16999999999999</v>
      </c>
      <c r="G327" s="14">
        <f t="shared" si="57"/>
        <v>188.55</v>
      </c>
      <c r="H327" s="14">
        <f t="shared" si="58"/>
        <v>322.72000000000003</v>
      </c>
      <c r="I327" s="276">
        <f t="shared" si="52"/>
        <v>97531.839999999953</v>
      </c>
      <c r="J327" s="276">
        <f t="shared" si="53"/>
        <v>36068.259999999973</v>
      </c>
      <c r="K327" s="276">
        <f t="shared" si="50"/>
        <v>0</v>
      </c>
      <c r="L327" s="394">
        <f t="shared" si="56"/>
        <v>0</v>
      </c>
      <c r="M327" s="394">
        <f t="shared" si="51"/>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IF(OR(A327="",A327&gt;=subjectMortgageEndDate),"",EDATE(A327,1))</f>
        <v/>
      </c>
      <c r="B328" s="276">
        <f t="shared" si="48"/>
        <v>0</v>
      </c>
      <c r="C328" s="14">
        <f>IF(A328="",0,IF(B328&lt;=0,0,IF(A328=subjectMortgageEndDate,B328+E328,MIN(subjectPayment,B328+E328))))</f>
        <v>0</v>
      </c>
      <c r="D328" s="14">
        <f t="shared" si="49"/>
        <v>0</v>
      </c>
      <c r="E328" s="14">
        <f>IF(OR(A328="",B328&lt;=0),0,ROUND(B328*(subjectInterestRate/12),2))</f>
        <v>0</v>
      </c>
      <c r="F328" s="14">
        <f t="shared" si="57"/>
        <v>134.16999999999999</v>
      </c>
      <c r="G328" s="14">
        <f t="shared" si="57"/>
        <v>188.55</v>
      </c>
      <c r="H328" s="14">
        <f t="shared" si="58"/>
        <v>322.72000000000003</v>
      </c>
      <c r="I328" s="276">
        <f t="shared" si="52"/>
        <v>97531.839999999953</v>
      </c>
      <c r="J328" s="276">
        <f t="shared" si="53"/>
        <v>36068.259999999973</v>
      </c>
      <c r="K328" s="276">
        <f t="shared" si="50"/>
        <v>0</v>
      </c>
      <c r="L328" s="394">
        <f t="shared" si="56"/>
        <v>0</v>
      </c>
      <c r="M328" s="394">
        <f t="shared" si="51"/>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IF(OR(A328="",A328&gt;=subjectMortgageEndDate),"",EDATE(A328,1))</f>
        <v/>
      </c>
      <c r="B329" s="276">
        <f t="shared" si="48"/>
        <v>0</v>
      </c>
      <c r="C329" s="14">
        <f>IF(A329="",0,IF(B329&lt;=0,0,IF(A329=subjectMortgageEndDate,B329+E329,MIN(subjectPayment,B329+E329))))</f>
        <v>0</v>
      </c>
      <c r="D329" s="14">
        <f t="shared" si="49"/>
        <v>0</v>
      </c>
      <c r="E329" s="14">
        <f>IF(OR(A329="",B329&lt;=0),0,ROUND(B329*(subjectInterestRate/12),2))</f>
        <v>0</v>
      </c>
      <c r="F329" s="14">
        <f t="shared" si="57"/>
        <v>134.16999999999999</v>
      </c>
      <c r="G329" s="14">
        <f t="shared" si="57"/>
        <v>188.55</v>
      </c>
      <c r="H329" s="14">
        <f t="shared" si="58"/>
        <v>322.72000000000003</v>
      </c>
      <c r="I329" s="276">
        <f t="shared" si="52"/>
        <v>97531.839999999953</v>
      </c>
      <c r="J329" s="276">
        <f t="shared" si="53"/>
        <v>36068.259999999973</v>
      </c>
      <c r="K329" s="276">
        <f t="shared" si="50"/>
        <v>0</v>
      </c>
      <c r="L329" s="394">
        <f t="shared" si="56"/>
        <v>0</v>
      </c>
      <c r="M329" s="394">
        <f t="shared" si="51"/>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IF(OR(A329="",A329&gt;=subjectMortgageEndDate),"",EDATE(A329,1))</f>
        <v/>
      </c>
      <c r="B330" s="276">
        <f t="shared" si="48"/>
        <v>0</v>
      </c>
      <c r="C330" s="14">
        <f>IF(A330="",0,IF(B330&lt;=0,0,IF(A330=subjectMortgageEndDate,B330+E330,MIN(subjectPayment,B330+E330))))</f>
        <v>0</v>
      </c>
      <c r="D330" s="14">
        <f t="shared" si="49"/>
        <v>0</v>
      </c>
      <c r="E330" s="14">
        <f>IF(OR(A330="",B330&lt;=0),0,ROUND(B330*(subjectInterestRate/12),2))</f>
        <v>0</v>
      </c>
      <c r="F330" s="14">
        <f t="shared" si="57"/>
        <v>134.16999999999999</v>
      </c>
      <c r="G330" s="14">
        <f t="shared" si="57"/>
        <v>188.55</v>
      </c>
      <c r="H330" s="14">
        <f t="shared" si="58"/>
        <v>322.72000000000003</v>
      </c>
      <c r="I330" s="276">
        <f t="shared" si="52"/>
        <v>97531.839999999953</v>
      </c>
      <c r="J330" s="276">
        <f t="shared" si="53"/>
        <v>36068.259999999973</v>
      </c>
      <c r="K330" s="276">
        <f t="shared" si="50"/>
        <v>0</v>
      </c>
      <c r="L330" s="394">
        <f t="shared" si="56"/>
        <v>0</v>
      </c>
      <c r="M330" s="394">
        <f t="shared" si="51"/>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IF(OR(A330="",A330&gt;=subjectMortgageEndDate),"",EDATE(A330,1))</f>
        <v/>
      </c>
      <c r="B331" s="332">
        <f t="shared" si="48"/>
        <v>0</v>
      </c>
      <c r="C331" s="21">
        <f>IF(A331="",0,IF(B331&lt;=0,0,IF(A331=subjectMortgageEndDate,B331+E331,MIN(subjectPayment,B331+E331))))</f>
        <v>0</v>
      </c>
      <c r="D331" s="21">
        <f t="shared" si="49"/>
        <v>0</v>
      </c>
      <c r="E331" s="21">
        <f>IF(OR(A331="",B331&lt;=0),0,ROUND(B331*(subjectInterestRate/12),2))</f>
        <v>0</v>
      </c>
      <c r="F331" s="21">
        <f t="shared" si="57"/>
        <v>134.16999999999999</v>
      </c>
      <c r="G331" s="21">
        <f t="shared" si="57"/>
        <v>188.55</v>
      </c>
      <c r="H331" s="21">
        <f t="shared" si="58"/>
        <v>322.72000000000003</v>
      </c>
      <c r="I331" s="332">
        <f t="shared" si="52"/>
        <v>97531.839999999953</v>
      </c>
      <c r="J331" s="332">
        <f t="shared" si="53"/>
        <v>36068.259999999973</v>
      </c>
      <c r="K331" s="332">
        <f t="shared" si="50"/>
        <v>0</v>
      </c>
      <c r="L331" s="395">
        <f t="shared" si="56"/>
        <v>0</v>
      </c>
      <c r="M331" s="395">
        <f t="shared" si="51"/>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32">
        <f>IF(INDEX(tblContractForDeed[End Bal],ROW()-ROW(tblBuyerOutputs[#Headers]))&lt;=0,0,($O$6+IF(ROW()=ROW(tblBuyerOutputs[#Headers])+1,0,INDEX(tblBuyerOutputs[Cumul Appr],ROW()-ROW(tblBuyerOutputs[#Headers])-1)))*$O$2/12)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IF(OR(A331="",A331&gt;=subjectMortgageEndDate),"",EDATE(A331,1))</f>
        <v/>
      </c>
      <c r="B332" s="276">
        <f t="shared" si="48"/>
        <v>0</v>
      </c>
      <c r="C332" s="14">
        <f>IF(A332="",0,IF(B332&lt;=0,0,IF(A332=subjectMortgageEndDate,B332+E332,MIN(subjectPayment,B332+E332))))</f>
        <v>0</v>
      </c>
      <c r="D332" s="14">
        <f t="shared" si="49"/>
        <v>0</v>
      </c>
      <c r="E332" s="14">
        <f>IF(OR(A332="",B332&lt;=0),0,ROUND(B332*(subjectInterestRate/12),2))</f>
        <v>0</v>
      </c>
      <c r="F332" s="14">
        <f t="shared" si="57"/>
        <v>134.16999999999999</v>
      </c>
      <c r="G332" s="14">
        <f t="shared" si="57"/>
        <v>188.55</v>
      </c>
      <c r="H332" s="14">
        <f t="shared" si="58"/>
        <v>322.72000000000003</v>
      </c>
      <c r="I332" s="276">
        <f t="shared" si="52"/>
        <v>97531.839999999953</v>
      </c>
      <c r="J332" s="276">
        <f t="shared" si="53"/>
        <v>36068.259999999973</v>
      </c>
      <c r="K332" s="276">
        <f t="shared" si="50"/>
        <v>0</v>
      </c>
      <c r="L332" s="394">
        <f t="shared" si="56"/>
        <v>0</v>
      </c>
      <c r="M332" s="394">
        <f t="shared" si="51"/>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IF(OR(A332="",A332&gt;=subjectMortgageEndDate),"",EDATE(A332,1))</f>
        <v/>
      </c>
      <c r="B333" s="276">
        <f t="shared" si="48"/>
        <v>0</v>
      </c>
      <c r="C333" s="14">
        <f>IF(A333="",0,IF(B333&lt;=0,0,IF(A333=subjectMortgageEndDate,B333+E333,MIN(subjectPayment,B333+E333))))</f>
        <v>0</v>
      </c>
      <c r="D333" s="14">
        <f t="shared" si="49"/>
        <v>0</v>
      </c>
      <c r="E333" s="14">
        <f>IF(OR(A333="",B333&lt;=0),0,ROUND(B333*(subjectInterestRate/12),2))</f>
        <v>0</v>
      </c>
      <c r="F333" s="14">
        <f t="shared" si="57"/>
        <v>134.16999999999999</v>
      </c>
      <c r="G333" s="14">
        <f t="shared" si="57"/>
        <v>188.55</v>
      </c>
      <c r="H333" s="14">
        <f t="shared" si="58"/>
        <v>322.72000000000003</v>
      </c>
      <c r="I333" s="276">
        <f t="shared" si="52"/>
        <v>97531.839999999953</v>
      </c>
      <c r="J333" s="276">
        <f t="shared" si="53"/>
        <v>36068.259999999973</v>
      </c>
      <c r="K333" s="276">
        <f t="shared" si="50"/>
        <v>0</v>
      </c>
      <c r="L333" s="394">
        <f t="shared" si="56"/>
        <v>0</v>
      </c>
      <c r="M333" s="394">
        <f t="shared" si="51"/>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IF(OR(A333="",A333&gt;=subjectMortgageEndDate),"",EDATE(A333,1))</f>
        <v/>
      </c>
      <c r="B334" s="276">
        <f t="shared" si="48"/>
        <v>0</v>
      </c>
      <c r="C334" s="14">
        <f>IF(A334="",0,IF(B334&lt;=0,0,IF(A334=subjectMortgageEndDate,B334+E334,MIN(subjectPayment,B334+E334))))</f>
        <v>0</v>
      </c>
      <c r="D334" s="14">
        <f t="shared" si="49"/>
        <v>0</v>
      </c>
      <c r="E334" s="14">
        <f>IF(OR(A334="",B334&lt;=0),0,ROUND(B334*(subjectInterestRate/12),2))</f>
        <v>0</v>
      </c>
      <c r="F334" s="14">
        <f t="shared" si="57"/>
        <v>134.16999999999999</v>
      </c>
      <c r="G334" s="14">
        <f t="shared" si="57"/>
        <v>188.55</v>
      </c>
      <c r="H334" s="14">
        <f t="shared" si="58"/>
        <v>322.72000000000003</v>
      </c>
      <c r="I334" s="276">
        <f t="shared" si="52"/>
        <v>97531.839999999953</v>
      </c>
      <c r="J334" s="276">
        <f t="shared" si="53"/>
        <v>36068.259999999973</v>
      </c>
      <c r="K334" s="276">
        <f t="shared" si="50"/>
        <v>0</v>
      </c>
      <c r="L334" s="394">
        <f t="shared" si="56"/>
        <v>0</v>
      </c>
      <c r="M334" s="394">
        <f t="shared" si="51"/>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IF(OR(A334="",A334&gt;=subjectMortgageEndDate),"",EDATE(A334,1))</f>
        <v/>
      </c>
      <c r="B335" s="276">
        <f t="shared" si="48"/>
        <v>0</v>
      </c>
      <c r="C335" s="14">
        <f>IF(A335="",0,IF(B335&lt;=0,0,IF(A335=subjectMortgageEndDate,B335+E335,MIN(subjectPayment,B335+E335))))</f>
        <v>0</v>
      </c>
      <c r="D335" s="14">
        <f t="shared" si="49"/>
        <v>0</v>
      </c>
      <c r="E335" s="14">
        <f>IF(OR(A335="",B335&lt;=0),0,ROUND(B335*(subjectInterestRate/12),2))</f>
        <v>0</v>
      </c>
      <c r="F335" s="14">
        <f t="shared" ref="F335:G350" si="59">+F334</f>
        <v>134.16999999999999</v>
      </c>
      <c r="G335" s="14">
        <f t="shared" si="59"/>
        <v>188.55</v>
      </c>
      <c r="H335" s="14">
        <f t="shared" si="58"/>
        <v>322.72000000000003</v>
      </c>
      <c r="I335" s="276">
        <f t="shared" si="52"/>
        <v>97531.839999999953</v>
      </c>
      <c r="J335" s="276">
        <f t="shared" si="53"/>
        <v>36068.259999999973</v>
      </c>
      <c r="K335" s="276">
        <f t="shared" si="50"/>
        <v>0</v>
      </c>
      <c r="L335" s="394">
        <f t="shared" si="56"/>
        <v>0</v>
      </c>
      <c r="M335" s="394">
        <f t="shared" si="51"/>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IF(OR(A335="",A335&gt;=subjectMortgageEndDate),"",EDATE(A335,1))</f>
        <v/>
      </c>
      <c r="B336" s="276">
        <f t="shared" si="48"/>
        <v>0</v>
      </c>
      <c r="C336" s="14">
        <f>IF(A336="",0,IF(B336&lt;=0,0,IF(A336=subjectMortgageEndDate,B336+E336,MIN(subjectPayment,B336+E336))))</f>
        <v>0</v>
      </c>
      <c r="D336" s="14">
        <f t="shared" si="49"/>
        <v>0</v>
      </c>
      <c r="E336" s="14">
        <f>IF(OR(A336="",B336&lt;=0),0,ROUND(B336*(subjectInterestRate/12),2))</f>
        <v>0</v>
      </c>
      <c r="F336" s="14">
        <f t="shared" si="59"/>
        <v>134.16999999999999</v>
      </c>
      <c r="G336" s="14">
        <f t="shared" si="59"/>
        <v>188.55</v>
      </c>
      <c r="H336" s="14">
        <f t="shared" si="58"/>
        <v>322.72000000000003</v>
      </c>
      <c r="I336" s="276">
        <f t="shared" si="52"/>
        <v>97531.839999999953</v>
      </c>
      <c r="J336" s="276">
        <f t="shared" si="53"/>
        <v>36068.259999999973</v>
      </c>
      <c r="K336" s="276">
        <f t="shared" si="50"/>
        <v>0</v>
      </c>
      <c r="L336" s="394">
        <f t="shared" si="56"/>
        <v>0</v>
      </c>
      <c r="M336" s="394">
        <f t="shared" si="51"/>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IF(OR(A336="",A336&gt;=subjectMortgageEndDate),"",EDATE(A336,1))</f>
        <v/>
      </c>
      <c r="B337" s="276">
        <f t="shared" si="48"/>
        <v>0</v>
      </c>
      <c r="C337" s="14">
        <f>IF(A337="",0,IF(B337&lt;=0,0,IF(A337=subjectMortgageEndDate,B337+E337,MIN(subjectPayment,B337+E337))))</f>
        <v>0</v>
      </c>
      <c r="D337" s="14">
        <f t="shared" si="49"/>
        <v>0</v>
      </c>
      <c r="E337" s="14">
        <f>IF(OR(A337="",B337&lt;=0),0,ROUND(B337*(subjectInterestRate/12),2))</f>
        <v>0</v>
      </c>
      <c r="F337" s="14">
        <f t="shared" si="59"/>
        <v>134.16999999999999</v>
      </c>
      <c r="G337" s="14">
        <f t="shared" si="59"/>
        <v>188.55</v>
      </c>
      <c r="H337" s="14">
        <f t="shared" si="58"/>
        <v>322.72000000000003</v>
      </c>
      <c r="I337" s="276">
        <f t="shared" si="52"/>
        <v>97531.839999999953</v>
      </c>
      <c r="J337" s="276">
        <f t="shared" si="53"/>
        <v>36068.259999999973</v>
      </c>
      <c r="K337" s="276">
        <f t="shared" si="50"/>
        <v>0</v>
      </c>
      <c r="L337" s="394">
        <f t="shared" si="56"/>
        <v>0</v>
      </c>
      <c r="M337" s="394">
        <f t="shared" si="51"/>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IF(OR(A337="",A337&gt;=subjectMortgageEndDate),"",EDATE(A337,1))</f>
        <v/>
      </c>
      <c r="B338" s="276">
        <f t="shared" si="48"/>
        <v>0</v>
      </c>
      <c r="C338" s="14">
        <f>IF(A338="",0,IF(B338&lt;=0,0,IF(A338=subjectMortgageEndDate,B338+E338,MIN(subjectPayment,B338+E338))))</f>
        <v>0</v>
      </c>
      <c r="D338" s="14">
        <f t="shared" si="49"/>
        <v>0</v>
      </c>
      <c r="E338" s="14">
        <f>IF(OR(A338="",B338&lt;=0),0,ROUND(B338*(subjectInterestRate/12),2))</f>
        <v>0</v>
      </c>
      <c r="F338" s="14">
        <f t="shared" si="59"/>
        <v>134.16999999999999</v>
      </c>
      <c r="G338" s="14">
        <f t="shared" si="59"/>
        <v>188.55</v>
      </c>
      <c r="H338" s="14">
        <f t="shared" si="58"/>
        <v>322.72000000000003</v>
      </c>
      <c r="I338" s="276">
        <f t="shared" si="52"/>
        <v>97531.839999999953</v>
      </c>
      <c r="J338" s="276">
        <f t="shared" si="53"/>
        <v>36068.259999999973</v>
      </c>
      <c r="K338" s="276">
        <f t="shared" si="50"/>
        <v>0</v>
      </c>
      <c r="L338" s="394">
        <f t="shared" si="56"/>
        <v>0</v>
      </c>
      <c r="M338" s="394">
        <f t="shared" si="51"/>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IF(OR(A338="",A338&gt;=subjectMortgageEndDate),"",EDATE(A338,1))</f>
        <v/>
      </c>
      <c r="B339" s="276">
        <f t="shared" si="48"/>
        <v>0</v>
      </c>
      <c r="C339" s="14">
        <f>IF(A339="",0,IF(B339&lt;=0,0,IF(A339=subjectMortgageEndDate,B339+E339,MIN(subjectPayment,B339+E339))))</f>
        <v>0</v>
      </c>
      <c r="D339" s="14">
        <f t="shared" si="49"/>
        <v>0</v>
      </c>
      <c r="E339" s="14">
        <f>IF(OR(A339="",B339&lt;=0),0,ROUND(B339*(subjectInterestRate/12),2))</f>
        <v>0</v>
      </c>
      <c r="F339" s="14">
        <f t="shared" si="59"/>
        <v>134.16999999999999</v>
      </c>
      <c r="G339" s="14">
        <f t="shared" si="59"/>
        <v>188.55</v>
      </c>
      <c r="H339" s="14">
        <f t="shared" si="58"/>
        <v>322.72000000000003</v>
      </c>
      <c r="I339" s="276">
        <f t="shared" si="52"/>
        <v>97531.839999999953</v>
      </c>
      <c r="J339" s="276">
        <f t="shared" si="53"/>
        <v>36068.259999999973</v>
      </c>
      <c r="K339" s="276">
        <f t="shared" si="50"/>
        <v>0</v>
      </c>
      <c r="L339" s="394">
        <f t="shared" si="56"/>
        <v>0</v>
      </c>
      <c r="M339" s="394">
        <f t="shared" si="51"/>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IF(OR(A339="",A339&gt;=subjectMortgageEndDate),"",EDATE(A339,1))</f>
        <v/>
      </c>
      <c r="B340" s="276">
        <f t="shared" si="48"/>
        <v>0</v>
      </c>
      <c r="C340" s="14">
        <f>IF(A340="",0,IF(B340&lt;=0,0,IF(A340=subjectMortgageEndDate,B340+E340,MIN(subjectPayment,B340+E340))))</f>
        <v>0</v>
      </c>
      <c r="D340" s="14">
        <f t="shared" si="49"/>
        <v>0</v>
      </c>
      <c r="E340" s="14">
        <f>IF(OR(A340="",B340&lt;=0),0,ROUND(B340*(subjectInterestRate/12),2))</f>
        <v>0</v>
      </c>
      <c r="F340" s="14">
        <f t="shared" si="59"/>
        <v>134.16999999999999</v>
      </c>
      <c r="G340" s="14">
        <f t="shared" si="59"/>
        <v>188.55</v>
      </c>
      <c r="H340" s="14">
        <f t="shared" si="58"/>
        <v>322.72000000000003</v>
      </c>
      <c r="I340" s="276">
        <f t="shared" si="52"/>
        <v>97531.839999999953</v>
      </c>
      <c r="J340" s="276">
        <f t="shared" si="53"/>
        <v>36068.259999999973</v>
      </c>
      <c r="K340" s="276">
        <f t="shared" si="50"/>
        <v>0</v>
      </c>
      <c r="L340" s="394">
        <f t="shared" si="56"/>
        <v>0</v>
      </c>
      <c r="M340" s="394">
        <f t="shared" si="51"/>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IF(OR(A340="",A340&gt;=subjectMortgageEndDate),"",EDATE(A340,1))</f>
        <v/>
      </c>
      <c r="B341" s="276">
        <f t="shared" ref="B341:B404" si="60">IF(A341="",0,MAX(0,K340))</f>
        <v>0</v>
      </c>
      <c r="C341" s="14">
        <f>IF(A341="",0,IF(B341&lt;=0,0,IF(A341=subjectMortgageEndDate,B341+E341,MIN(subjectPayment,B341+E341))))</f>
        <v>0</v>
      </c>
      <c r="D341" s="14">
        <f t="shared" ref="D341:D404" si="61">IF(C341=0,0,MAX(0,MIN(B341,C341-E341)))</f>
        <v>0</v>
      </c>
      <c r="E341" s="14">
        <f>IF(OR(A341="",B341&lt;=0),0,ROUND(B341*(subjectInterestRate/12),2))</f>
        <v>0</v>
      </c>
      <c r="F341" s="14">
        <f t="shared" si="59"/>
        <v>134.16999999999999</v>
      </c>
      <c r="G341" s="14">
        <f t="shared" si="59"/>
        <v>188.55</v>
      </c>
      <c r="H341" s="14">
        <f t="shared" si="58"/>
        <v>322.72000000000003</v>
      </c>
      <c r="I341" s="276">
        <f t="shared" si="52"/>
        <v>97531.839999999953</v>
      </c>
      <c r="J341" s="276">
        <f t="shared" si="53"/>
        <v>36068.259999999973</v>
      </c>
      <c r="K341" s="276">
        <f t="shared" ref="K341:K404" si="62">IF(A341="",0,IF(B341&lt;=0,0,MAX(0,B341-D341)))</f>
        <v>0</v>
      </c>
      <c r="L341" s="394">
        <f t="shared" si="56"/>
        <v>0</v>
      </c>
      <c r="M341" s="394">
        <f t="shared" ref="M341:M404" si="63">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IF(OR(A341="",A341&gt;=subjectMortgageEndDate),"",EDATE(A341,1))</f>
        <v/>
      </c>
      <c r="B342" s="276">
        <f t="shared" si="60"/>
        <v>0</v>
      </c>
      <c r="C342" s="14">
        <f>IF(A342="",0,IF(B342&lt;=0,0,IF(A342=subjectMortgageEndDate,B342+E342,MIN(subjectPayment,B342+E342))))</f>
        <v>0</v>
      </c>
      <c r="D342" s="14">
        <f t="shared" si="61"/>
        <v>0</v>
      </c>
      <c r="E342" s="14">
        <f>IF(OR(A342="",B342&lt;=0),0,ROUND(B342*(subjectInterestRate/12),2))</f>
        <v>0</v>
      </c>
      <c r="F342" s="14">
        <f t="shared" si="59"/>
        <v>134.16999999999999</v>
      </c>
      <c r="G342" s="14">
        <f t="shared" si="59"/>
        <v>188.55</v>
      </c>
      <c r="H342" s="14">
        <f t="shared" si="58"/>
        <v>322.72000000000003</v>
      </c>
      <c r="I342" s="276">
        <f t="shared" ref="I342:I405" si="64">$D342+$I341</f>
        <v>97531.839999999953</v>
      </c>
      <c r="J342" s="276">
        <f t="shared" ref="J342:J405" si="65">$E342+$J341</f>
        <v>36068.259999999973</v>
      </c>
      <c r="K342" s="276">
        <f t="shared" si="62"/>
        <v>0</v>
      </c>
      <c r="L342" s="394">
        <f t="shared" si="56"/>
        <v>0</v>
      </c>
      <c r="M342" s="394">
        <f t="shared" si="63"/>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IF(OR(A342="",A342&gt;=subjectMortgageEndDate),"",EDATE(A342,1))</f>
        <v/>
      </c>
      <c r="B343" s="332">
        <f t="shared" si="60"/>
        <v>0</v>
      </c>
      <c r="C343" s="21">
        <f>IF(A343="",0,IF(B343&lt;=0,0,IF(A343=subjectMortgageEndDate,B343+E343,MIN(subjectPayment,B343+E343))))</f>
        <v>0</v>
      </c>
      <c r="D343" s="21">
        <f t="shared" si="61"/>
        <v>0</v>
      </c>
      <c r="E343" s="21">
        <f>IF(OR(A343="",B343&lt;=0),0,ROUND(B343*(subjectInterestRate/12),2))</f>
        <v>0</v>
      </c>
      <c r="F343" s="21">
        <f t="shared" si="59"/>
        <v>134.16999999999999</v>
      </c>
      <c r="G343" s="21">
        <f t="shared" si="59"/>
        <v>188.55</v>
      </c>
      <c r="H343" s="21">
        <f t="shared" si="58"/>
        <v>322.72000000000003</v>
      </c>
      <c r="I343" s="332">
        <f t="shared" si="64"/>
        <v>97531.839999999953</v>
      </c>
      <c r="J343" s="332">
        <f t="shared" si="65"/>
        <v>36068.259999999973</v>
      </c>
      <c r="K343" s="332">
        <f t="shared" si="62"/>
        <v>0</v>
      </c>
      <c r="L343" s="395">
        <f t="shared" si="56"/>
        <v>0</v>
      </c>
      <c r="M343" s="395">
        <f t="shared" si="63"/>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32">
        <f>IF(INDEX(tblContractForDeed[End Bal],ROW()-ROW(tblBuyerOutputs[#Headers]))&lt;=0,0,($O$6+IF(ROW()=ROW(tblBuyerOutputs[#Headers])+1,0,INDEX(tblBuyerOutputs[Cumul Appr],ROW()-ROW(tblBuyerOutputs[#Headers])-1)))*$O$2/12)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IF(OR(A343="",A343&gt;=subjectMortgageEndDate),"",EDATE(A343,1))</f>
        <v/>
      </c>
      <c r="B344" s="276">
        <f t="shared" si="60"/>
        <v>0</v>
      </c>
      <c r="C344" s="14">
        <f>IF(A344="",0,IF(B344&lt;=0,0,IF(A344=subjectMortgageEndDate,B344+E344,MIN(subjectPayment,B344+E344))))</f>
        <v>0</v>
      </c>
      <c r="D344" s="14">
        <f t="shared" si="61"/>
        <v>0</v>
      </c>
      <c r="E344" s="14">
        <f>IF(OR(A344="",B344&lt;=0),0,ROUND(B344*(subjectInterestRate/12),2))</f>
        <v>0</v>
      </c>
      <c r="F344" s="14">
        <f t="shared" si="59"/>
        <v>134.16999999999999</v>
      </c>
      <c r="G344" s="14">
        <f t="shared" si="59"/>
        <v>188.55</v>
      </c>
      <c r="H344" s="14">
        <f t="shared" si="58"/>
        <v>322.72000000000003</v>
      </c>
      <c r="I344" s="276">
        <f t="shared" si="64"/>
        <v>97531.839999999953</v>
      </c>
      <c r="J344" s="276">
        <f t="shared" si="65"/>
        <v>36068.259999999973</v>
      </c>
      <c r="K344" s="276">
        <f t="shared" si="62"/>
        <v>0</v>
      </c>
      <c r="L344" s="394">
        <f t="shared" si="56"/>
        <v>0</v>
      </c>
      <c r="M344" s="394">
        <f t="shared" si="63"/>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IF(OR(A344="",A344&gt;=subjectMortgageEndDate),"",EDATE(A344,1))</f>
        <v/>
      </c>
      <c r="B345" s="276">
        <f t="shared" si="60"/>
        <v>0</v>
      </c>
      <c r="C345" s="14">
        <f>IF(A345="",0,IF(B345&lt;=0,0,IF(A345=subjectMortgageEndDate,B345+E345,MIN(subjectPayment,B345+E345))))</f>
        <v>0</v>
      </c>
      <c r="D345" s="14">
        <f t="shared" si="61"/>
        <v>0</v>
      </c>
      <c r="E345" s="14">
        <f>IF(OR(A345="",B345&lt;=0),0,ROUND(B345*(subjectInterestRate/12),2))</f>
        <v>0</v>
      </c>
      <c r="F345" s="14">
        <f t="shared" si="59"/>
        <v>134.16999999999999</v>
      </c>
      <c r="G345" s="14">
        <f t="shared" si="59"/>
        <v>188.55</v>
      </c>
      <c r="H345" s="14">
        <f t="shared" si="58"/>
        <v>322.72000000000003</v>
      </c>
      <c r="I345" s="276">
        <f t="shared" si="64"/>
        <v>97531.839999999953</v>
      </c>
      <c r="J345" s="276">
        <f t="shared" si="65"/>
        <v>36068.259999999973</v>
      </c>
      <c r="K345" s="276">
        <f t="shared" si="62"/>
        <v>0</v>
      </c>
      <c r="L345" s="394">
        <f t="shared" si="56"/>
        <v>0</v>
      </c>
      <c r="M345" s="394">
        <f t="shared" si="63"/>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IF(OR(A345="",A345&gt;=subjectMortgageEndDate),"",EDATE(A345,1))</f>
        <v/>
      </c>
      <c r="B346" s="276">
        <f t="shared" si="60"/>
        <v>0</v>
      </c>
      <c r="C346" s="14">
        <f>IF(A346="",0,IF(B346&lt;=0,0,IF(A346=subjectMortgageEndDate,B346+E346,MIN(subjectPayment,B346+E346))))</f>
        <v>0</v>
      </c>
      <c r="D346" s="14">
        <f t="shared" si="61"/>
        <v>0</v>
      </c>
      <c r="E346" s="14">
        <f>IF(OR(A346="",B346&lt;=0),0,ROUND(B346*(subjectInterestRate/12),2))</f>
        <v>0</v>
      </c>
      <c r="F346" s="14">
        <f t="shared" si="59"/>
        <v>134.16999999999999</v>
      </c>
      <c r="G346" s="14">
        <f t="shared" si="59"/>
        <v>188.55</v>
      </c>
      <c r="H346" s="14">
        <f t="shared" si="58"/>
        <v>322.72000000000003</v>
      </c>
      <c r="I346" s="276">
        <f t="shared" si="64"/>
        <v>97531.839999999953</v>
      </c>
      <c r="J346" s="276">
        <f t="shared" si="65"/>
        <v>36068.259999999973</v>
      </c>
      <c r="K346" s="276">
        <f t="shared" si="62"/>
        <v>0</v>
      </c>
      <c r="L346" s="394">
        <f t="shared" si="56"/>
        <v>0</v>
      </c>
      <c r="M346" s="394">
        <f t="shared" si="63"/>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IF(OR(A346="",A346&gt;=subjectMortgageEndDate),"",EDATE(A346,1))</f>
        <v/>
      </c>
      <c r="B347" s="276">
        <f t="shared" si="60"/>
        <v>0</v>
      </c>
      <c r="C347" s="14">
        <f>IF(A347="",0,IF(B347&lt;=0,0,IF(A347=subjectMortgageEndDate,B347+E347,MIN(subjectPayment,B347+E347))))</f>
        <v>0</v>
      </c>
      <c r="D347" s="14">
        <f t="shared" si="61"/>
        <v>0</v>
      </c>
      <c r="E347" s="14">
        <f>IF(OR(A347="",B347&lt;=0),0,ROUND(B347*(subjectInterestRate/12),2))</f>
        <v>0</v>
      </c>
      <c r="F347" s="14">
        <f t="shared" si="59"/>
        <v>134.16999999999999</v>
      </c>
      <c r="G347" s="14">
        <f t="shared" si="59"/>
        <v>188.55</v>
      </c>
      <c r="H347" s="14">
        <f t="shared" si="58"/>
        <v>322.72000000000003</v>
      </c>
      <c r="I347" s="276">
        <f t="shared" si="64"/>
        <v>97531.839999999953</v>
      </c>
      <c r="J347" s="276">
        <f t="shared" si="65"/>
        <v>36068.259999999973</v>
      </c>
      <c r="K347" s="276">
        <f t="shared" si="62"/>
        <v>0</v>
      </c>
      <c r="L347" s="394">
        <f t="shared" si="56"/>
        <v>0</v>
      </c>
      <c r="M347" s="394">
        <f t="shared" si="63"/>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IF(OR(A347="",A347&gt;=subjectMortgageEndDate),"",EDATE(A347,1))</f>
        <v/>
      </c>
      <c r="B348" s="276">
        <f t="shared" si="60"/>
        <v>0</v>
      </c>
      <c r="C348" s="14">
        <f>IF(A348="",0,IF(B348&lt;=0,0,IF(A348=subjectMortgageEndDate,B348+E348,MIN(subjectPayment,B348+E348))))</f>
        <v>0</v>
      </c>
      <c r="D348" s="14">
        <f t="shared" si="61"/>
        <v>0</v>
      </c>
      <c r="E348" s="14">
        <f>IF(OR(A348="",B348&lt;=0),0,ROUND(B348*(subjectInterestRate/12),2))</f>
        <v>0</v>
      </c>
      <c r="F348" s="14">
        <f t="shared" si="59"/>
        <v>134.16999999999999</v>
      </c>
      <c r="G348" s="14">
        <f t="shared" si="59"/>
        <v>188.55</v>
      </c>
      <c r="H348" s="14">
        <f t="shared" si="58"/>
        <v>322.72000000000003</v>
      </c>
      <c r="I348" s="276">
        <f t="shared" si="64"/>
        <v>97531.839999999953</v>
      </c>
      <c r="J348" s="276">
        <f t="shared" si="65"/>
        <v>36068.259999999973</v>
      </c>
      <c r="K348" s="276">
        <f t="shared" si="62"/>
        <v>0</v>
      </c>
      <c r="L348" s="394">
        <f t="shared" si="56"/>
        <v>0</v>
      </c>
      <c r="M348" s="394">
        <f t="shared" si="63"/>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IF(OR(A348="",A348&gt;=subjectMortgageEndDate),"",EDATE(A348,1))</f>
        <v/>
      </c>
      <c r="B349" s="276">
        <f t="shared" si="60"/>
        <v>0</v>
      </c>
      <c r="C349" s="14">
        <f>IF(A349="",0,IF(B349&lt;=0,0,IF(A349=subjectMortgageEndDate,B349+E349,MIN(subjectPayment,B349+E349))))</f>
        <v>0</v>
      </c>
      <c r="D349" s="14">
        <f t="shared" si="61"/>
        <v>0</v>
      </c>
      <c r="E349" s="14">
        <f>IF(OR(A349="",B349&lt;=0),0,ROUND(B349*(subjectInterestRate/12),2))</f>
        <v>0</v>
      </c>
      <c r="F349" s="14">
        <f t="shared" si="59"/>
        <v>134.16999999999999</v>
      </c>
      <c r="G349" s="14">
        <f t="shared" si="59"/>
        <v>188.55</v>
      </c>
      <c r="H349" s="14">
        <f t="shared" si="58"/>
        <v>322.72000000000003</v>
      </c>
      <c r="I349" s="276">
        <f t="shared" si="64"/>
        <v>97531.839999999953</v>
      </c>
      <c r="J349" s="276">
        <f t="shared" si="65"/>
        <v>36068.259999999973</v>
      </c>
      <c r="K349" s="276">
        <f t="shared" si="62"/>
        <v>0</v>
      </c>
      <c r="L349" s="394">
        <f t="shared" si="56"/>
        <v>0</v>
      </c>
      <c r="M349" s="394">
        <f t="shared" si="63"/>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IF(OR(A349="",A349&gt;=subjectMortgageEndDate),"",EDATE(A349,1))</f>
        <v/>
      </c>
      <c r="B350" s="276">
        <f t="shared" si="60"/>
        <v>0</v>
      </c>
      <c r="C350" s="14">
        <f>IF(A350="",0,IF(B350&lt;=0,0,IF(A350=subjectMortgageEndDate,B350+E350,MIN(subjectPayment,B350+E350))))</f>
        <v>0</v>
      </c>
      <c r="D350" s="14">
        <f t="shared" si="61"/>
        <v>0</v>
      </c>
      <c r="E350" s="14">
        <f>IF(OR(A350="",B350&lt;=0),0,ROUND(B350*(subjectInterestRate/12),2))</f>
        <v>0</v>
      </c>
      <c r="F350" s="14">
        <f t="shared" si="59"/>
        <v>134.16999999999999</v>
      </c>
      <c r="G350" s="14">
        <f t="shared" si="59"/>
        <v>188.55</v>
      </c>
      <c r="H350" s="14">
        <f t="shared" si="58"/>
        <v>322.72000000000003</v>
      </c>
      <c r="I350" s="276">
        <f t="shared" si="64"/>
        <v>97531.839999999953</v>
      </c>
      <c r="J350" s="276">
        <f t="shared" si="65"/>
        <v>36068.259999999973</v>
      </c>
      <c r="K350" s="276">
        <f t="shared" si="62"/>
        <v>0</v>
      </c>
      <c r="L350" s="394">
        <f t="shared" si="56"/>
        <v>0</v>
      </c>
      <c r="M350" s="394">
        <f t="shared" si="63"/>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IF(OR(A350="",A350&gt;=subjectMortgageEndDate),"",EDATE(A350,1))</f>
        <v/>
      </c>
      <c r="B351" s="276">
        <f t="shared" si="60"/>
        <v>0</v>
      </c>
      <c r="C351" s="14">
        <f>IF(A351="",0,IF(B351&lt;=0,0,IF(A351=subjectMortgageEndDate,B351+E351,MIN(subjectPayment,B351+E351))))</f>
        <v>0</v>
      </c>
      <c r="D351" s="14">
        <f t="shared" si="61"/>
        <v>0</v>
      </c>
      <c r="E351" s="14">
        <f>IF(OR(A351="",B351&lt;=0),0,ROUND(B351*(subjectInterestRate/12),2))</f>
        <v>0</v>
      </c>
      <c r="F351" s="14">
        <f t="shared" ref="F351:G366" si="66">+F350</f>
        <v>134.16999999999999</v>
      </c>
      <c r="G351" s="14">
        <f t="shared" si="66"/>
        <v>188.55</v>
      </c>
      <c r="H351" s="14">
        <f t="shared" si="58"/>
        <v>322.72000000000003</v>
      </c>
      <c r="I351" s="276">
        <f t="shared" si="64"/>
        <v>97531.839999999953</v>
      </c>
      <c r="J351" s="276">
        <f t="shared" si="65"/>
        <v>36068.259999999973</v>
      </c>
      <c r="K351" s="276">
        <f t="shared" si="62"/>
        <v>0</v>
      </c>
      <c r="L351" s="394">
        <f t="shared" si="56"/>
        <v>0</v>
      </c>
      <c r="M351" s="394">
        <f t="shared" si="63"/>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IF(OR(A351="",A351&gt;=subjectMortgageEndDate),"",EDATE(A351,1))</f>
        <v/>
      </c>
      <c r="B352" s="276">
        <f t="shared" si="60"/>
        <v>0</v>
      </c>
      <c r="C352" s="14">
        <f>IF(A352="",0,IF(B352&lt;=0,0,IF(A352=subjectMortgageEndDate,B352+E352,MIN(subjectPayment,B352+E352))))</f>
        <v>0</v>
      </c>
      <c r="D352" s="14">
        <f t="shared" si="61"/>
        <v>0</v>
      </c>
      <c r="E352" s="14">
        <f>IF(OR(A352="",B352&lt;=0),0,ROUND(B352*(subjectInterestRate/12),2))</f>
        <v>0</v>
      </c>
      <c r="F352" s="14">
        <f t="shared" si="66"/>
        <v>134.16999999999999</v>
      </c>
      <c r="G352" s="14">
        <f t="shared" si="66"/>
        <v>188.55</v>
      </c>
      <c r="H352" s="14">
        <f t="shared" si="58"/>
        <v>322.72000000000003</v>
      </c>
      <c r="I352" s="276">
        <f t="shared" si="64"/>
        <v>97531.839999999953</v>
      </c>
      <c r="J352" s="276">
        <f t="shared" si="65"/>
        <v>36068.259999999973</v>
      </c>
      <c r="K352" s="276">
        <f t="shared" si="62"/>
        <v>0</v>
      </c>
      <c r="L352" s="394">
        <f t="shared" si="56"/>
        <v>0</v>
      </c>
      <c r="M352" s="394">
        <f t="shared" si="63"/>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IF(OR(A352="",A352&gt;=subjectMortgageEndDate),"",EDATE(A352,1))</f>
        <v/>
      </c>
      <c r="B353" s="276">
        <f t="shared" si="60"/>
        <v>0</v>
      </c>
      <c r="C353" s="14">
        <f>IF(A353="",0,IF(B353&lt;=0,0,IF(A353=subjectMortgageEndDate,B353+E353,MIN(subjectPayment,B353+E353))))</f>
        <v>0</v>
      </c>
      <c r="D353" s="14">
        <f t="shared" si="61"/>
        <v>0</v>
      </c>
      <c r="E353" s="14">
        <f>IF(OR(A353="",B353&lt;=0),0,ROUND(B353*(subjectInterestRate/12),2))</f>
        <v>0</v>
      </c>
      <c r="F353" s="14">
        <f t="shared" si="66"/>
        <v>134.16999999999999</v>
      </c>
      <c r="G353" s="14">
        <f t="shared" si="66"/>
        <v>188.55</v>
      </c>
      <c r="H353" s="14">
        <f t="shared" si="58"/>
        <v>322.72000000000003</v>
      </c>
      <c r="I353" s="276">
        <f t="shared" si="64"/>
        <v>97531.839999999953</v>
      </c>
      <c r="J353" s="276">
        <f t="shared" si="65"/>
        <v>36068.259999999973</v>
      </c>
      <c r="K353" s="276">
        <f t="shared" si="62"/>
        <v>0</v>
      </c>
      <c r="L353" s="394">
        <f t="shared" si="56"/>
        <v>0</v>
      </c>
      <c r="M353" s="394">
        <f t="shared" si="63"/>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IF(OR(A353="",A353&gt;=subjectMortgageEndDate),"",EDATE(A353,1))</f>
        <v/>
      </c>
      <c r="B354" s="276">
        <f t="shared" si="60"/>
        <v>0</v>
      </c>
      <c r="C354" s="14">
        <f>IF(A354="",0,IF(B354&lt;=0,0,IF(A354=subjectMortgageEndDate,B354+E354,MIN(subjectPayment,B354+E354))))</f>
        <v>0</v>
      </c>
      <c r="D354" s="14">
        <f t="shared" si="61"/>
        <v>0</v>
      </c>
      <c r="E354" s="14">
        <f>IF(OR(A354="",B354&lt;=0),0,ROUND(B354*(subjectInterestRate/12),2))</f>
        <v>0</v>
      </c>
      <c r="F354" s="14">
        <f t="shared" si="66"/>
        <v>134.16999999999999</v>
      </c>
      <c r="G354" s="14">
        <f t="shared" si="66"/>
        <v>188.55</v>
      </c>
      <c r="H354" s="14">
        <f t="shared" si="58"/>
        <v>322.72000000000003</v>
      </c>
      <c r="I354" s="276">
        <f t="shared" si="64"/>
        <v>97531.839999999953</v>
      </c>
      <c r="J354" s="276">
        <f t="shared" si="65"/>
        <v>36068.259999999973</v>
      </c>
      <c r="K354" s="276">
        <f t="shared" si="62"/>
        <v>0</v>
      </c>
      <c r="L354" s="394">
        <f t="shared" si="56"/>
        <v>0</v>
      </c>
      <c r="M354" s="394">
        <f t="shared" si="63"/>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IF(OR(A354="",A354&gt;=subjectMortgageEndDate),"",EDATE(A354,1))</f>
        <v/>
      </c>
      <c r="B355" s="332">
        <f t="shared" si="60"/>
        <v>0</v>
      </c>
      <c r="C355" s="21">
        <f>IF(A355="",0,IF(B355&lt;=0,0,IF(A355=subjectMortgageEndDate,B355+E355,MIN(subjectPayment,B355+E355))))</f>
        <v>0</v>
      </c>
      <c r="D355" s="21">
        <f t="shared" si="61"/>
        <v>0</v>
      </c>
      <c r="E355" s="21">
        <f>IF(OR(A355="",B355&lt;=0),0,ROUND(B355*(subjectInterestRate/12),2))</f>
        <v>0</v>
      </c>
      <c r="F355" s="21">
        <f t="shared" si="66"/>
        <v>134.16999999999999</v>
      </c>
      <c r="G355" s="21">
        <f t="shared" si="66"/>
        <v>188.55</v>
      </c>
      <c r="H355" s="21">
        <f t="shared" si="58"/>
        <v>322.72000000000003</v>
      </c>
      <c r="I355" s="332">
        <f t="shared" si="64"/>
        <v>97531.839999999953</v>
      </c>
      <c r="J355" s="332">
        <f t="shared" si="65"/>
        <v>36068.259999999973</v>
      </c>
      <c r="K355" s="332">
        <f t="shared" si="62"/>
        <v>0</v>
      </c>
      <c r="L355" s="395">
        <f t="shared" si="56"/>
        <v>0</v>
      </c>
      <c r="M355" s="395">
        <f t="shared" si="63"/>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32">
        <f>IF(INDEX(tblContractForDeed[End Bal],ROW()-ROW(tblBuyerOutputs[#Headers]))&lt;=0,0,($O$6+IF(ROW()=ROW(tblBuyerOutputs[#Headers])+1,0,INDEX(tblBuyerOutputs[Cumul Appr],ROW()-ROW(tblBuyerOutputs[#Headers])-1)))*$O$2/12)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IF(OR(A355="",A355&gt;=subjectMortgageEndDate),"",EDATE(A355,1))</f>
        <v/>
      </c>
      <c r="B356" s="276">
        <f t="shared" si="60"/>
        <v>0</v>
      </c>
      <c r="C356" s="14">
        <f>IF(A356="",0,IF(B356&lt;=0,0,IF(A356=subjectMortgageEndDate,B356+E356,MIN(subjectPayment,B356+E356))))</f>
        <v>0</v>
      </c>
      <c r="D356" s="14">
        <f t="shared" si="61"/>
        <v>0</v>
      </c>
      <c r="E356" s="14">
        <f>IF(OR(A356="",B356&lt;=0),0,ROUND(B356*(subjectInterestRate/12),2))</f>
        <v>0</v>
      </c>
      <c r="F356" s="14">
        <f t="shared" si="66"/>
        <v>134.16999999999999</v>
      </c>
      <c r="G356" s="14">
        <f t="shared" si="66"/>
        <v>188.55</v>
      </c>
      <c r="H356" s="14">
        <f t="shared" si="58"/>
        <v>322.72000000000003</v>
      </c>
      <c r="I356" s="276">
        <f t="shared" si="64"/>
        <v>97531.839999999953</v>
      </c>
      <c r="J356" s="276">
        <f t="shared" si="65"/>
        <v>36068.259999999973</v>
      </c>
      <c r="K356" s="276">
        <f t="shared" si="62"/>
        <v>0</v>
      </c>
      <c r="L356" s="394">
        <f t="shared" si="56"/>
        <v>0</v>
      </c>
      <c r="M356" s="394">
        <f t="shared" si="63"/>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IF(OR(A356="",A356&gt;=subjectMortgageEndDate),"",EDATE(A356,1))</f>
        <v/>
      </c>
      <c r="B357" s="276">
        <f t="shared" si="60"/>
        <v>0</v>
      </c>
      <c r="C357" s="14">
        <f>IF(A357="",0,IF(B357&lt;=0,0,IF(A357=subjectMortgageEndDate,B357+E357,MIN(subjectPayment,B357+E357))))</f>
        <v>0</v>
      </c>
      <c r="D357" s="14">
        <f t="shared" si="61"/>
        <v>0</v>
      </c>
      <c r="E357" s="14">
        <f>IF(OR(A357="",B357&lt;=0),0,ROUND(B357*(subjectInterestRate/12),2))</f>
        <v>0</v>
      </c>
      <c r="F357" s="14">
        <f t="shared" si="66"/>
        <v>134.16999999999999</v>
      </c>
      <c r="G357" s="14">
        <f t="shared" si="66"/>
        <v>188.55</v>
      </c>
      <c r="H357" s="14">
        <f t="shared" si="58"/>
        <v>322.72000000000003</v>
      </c>
      <c r="I357" s="276">
        <f t="shared" si="64"/>
        <v>97531.839999999953</v>
      </c>
      <c r="J357" s="276">
        <f t="shared" si="65"/>
        <v>36068.259999999973</v>
      </c>
      <c r="K357" s="276">
        <f t="shared" si="62"/>
        <v>0</v>
      </c>
      <c r="L357" s="394">
        <f t="shared" si="56"/>
        <v>0</v>
      </c>
      <c r="M357" s="394">
        <f t="shared" si="63"/>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IF(OR(A357="",A357&gt;=subjectMortgageEndDate),"",EDATE(A357,1))</f>
        <v/>
      </c>
      <c r="B358" s="276">
        <f t="shared" si="60"/>
        <v>0</v>
      </c>
      <c r="C358" s="14">
        <f>IF(A358="",0,IF(B358&lt;=0,0,IF(A358=subjectMortgageEndDate,B358+E358,MIN(subjectPayment,B358+E358))))</f>
        <v>0</v>
      </c>
      <c r="D358" s="14">
        <f t="shared" si="61"/>
        <v>0</v>
      </c>
      <c r="E358" s="14">
        <f>IF(OR(A358="",B358&lt;=0),0,ROUND(B358*(subjectInterestRate/12),2))</f>
        <v>0</v>
      </c>
      <c r="F358" s="14">
        <f t="shared" si="66"/>
        <v>134.16999999999999</v>
      </c>
      <c r="G358" s="14">
        <f t="shared" si="66"/>
        <v>188.55</v>
      </c>
      <c r="H358" s="14">
        <f t="shared" si="58"/>
        <v>322.72000000000003</v>
      </c>
      <c r="I358" s="276">
        <f t="shared" si="64"/>
        <v>97531.839999999953</v>
      </c>
      <c r="J358" s="276">
        <f t="shared" si="65"/>
        <v>36068.259999999973</v>
      </c>
      <c r="K358" s="276">
        <f t="shared" si="62"/>
        <v>0</v>
      </c>
      <c r="L358" s="394">
        <f t="shared" si="56"/>
        <v>0</v>
      </c>
      <c r="M358" s="394">
        <f t="shared" si="63"/>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IF(OR(A358="",A358&gt;=subjectMortgageEndDate),"",EDATE(A358,1))</f>
        <v/>
      </c>
      <c r="B359" s="276">
        <f t="shared" si="60"/>
        <v>0</v>
      </c>
      <c r="C359" s="14">
        <f>IF(A359="",0,IF(B359&lt;=0,0,IF(A359=subjectMortgageEndDate,B359+E359,MIN(subjectPayment,B359+E359))))</f>
        <v>0</v>
      </c>
      <c r="D359" s="14">
        <f t="shared" si="61"/>
        <v>0</v>
      </c>
      <c r="E359" s="14">
        <f>IF(OR(A359="",B359&lt;=0),0,ROUND(B359*(subjectInterestRate/12),2))</f>
        <v>0</v>
      </c>
      <c r="F359" s="14">
        <f t="shared" si="66"/>
        <v>134.16999999999999</v>
      </c>
      <c r="G359" s="14">
        <f t="shared" si="66"/>
        <v>188.55</v>
      </c>
      <c r="H359" s="14">
        <f t="shared" si="58"/>
        <v>322.72000000000003</v>
      </c>
      <c r="I359" s="276">
        <f t="shared" si="64"/>
        <v>97531.839999999953</v>
      </c>
      <c r="J359" s="276">
        <f t="shared" si="65"/>
        <v>36068.259999999973</v>
      </c>
      <c r="K359" s="276">
        <f t="shared" si="62"/>
        <v>0</v>
      </c>
      <c r="L359" s="394">
        <f t="shared" si="56"/>
        <v>0</v>
      </c>
      <c r="M359" s="394">
        <f t="shared" si="63"/>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IF(OR(A359="",A359&gt;=subjectMortgageEndDate),"",EDATE(A359,1))</f>
        <v/>
      </c>
      <c r="B360" s="276">
        <f t="shared" si="60"/>
        <v>0</v>
      </c>
      <c r="C360" s="14">
        <f>IF(A360="",0,IF(B360&lt;=0,0,IF(A360=subjectMortgageEndDate,B360+E360,MIN(subjectPayment,B360+E360))))</f>
        <v>0</v>
      </c>
      <c r="D360" s="14">
        <f t="shared" si="61"/>
        <v>0</v>
      </c>
      <c r="E360" s="14">
        <f>IF(OR(A360="",B360&lt;=0),0,ROUND(B360*(subjectInterestRate/12),2))</f>
        <v>0</v>
      </c>
      <c r="F360" s="14">
        <f t="shared" si="66"/>
        <v>134.16999999999999</v>
      </c>
      <c r="G360" s="14">
        <f t="shared" si="66"/>
        <v>188.55</v>
      </c>
      <c r="H360" s="14">
        <f t="shared" si="58"/>
        <v>322.72000000000003</v>
      </c>
      <c r="I360" s="276">
        <f t="shared" si="64"/>
        <v>97531.839999999953</v>
      </c>
      <c r="J360" s="276">
        <f t="shared" si="65"/>
        <v>36068.259999999973</v>
      </c>
      <c r="K360" s="276">
        <f t="shared" si="62"/>
        <v>0</v>
      </c>
      <c r="L360" s="394">
        <f t="shared" si="56"/>
        <v>0</v>
      </c>
      <c r="M360" s="394">
        <f t="shared" si="63"/>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IF(OR(A360="",A360&gt;=subjectMortgageEndDate),"",EDATE(A360,1))</f>
        <v/>
      </c>
      <c r="B361" s="276">
        <f t="shared" si="60"/>
        <v>0</v>
      </c>
      <c r="C361" s="14">
        <f>IF(A361="",0,IF(B361&lt;=0,0,IF(A361=subjectMortgageEndDate,B361+E361,MIN(subjectPayment,B361+E361))))</f>
        <v>0</v>
      </c>
      <c r="D361" s="14">
        <f t="shared" si="61"/>
        <v>0</v>
      </c>
      <c r="E361" s="14">
        <f>IF(OR(A361="",B361&lt;=0),0,ROUND(B361*(subjectInterestRate/12),2))</f>
        <v>0</v>
      </c>
      <c r="F361" s="14">
        <f t="shared" si="66"/>
        <v>134.16999999999999</v>
      </c>
      <c r="G361" s="14">
        <f t="shared" si="66"/>
        <v>188.55</v>
      </c>
      <c r="H361" s="14">
        <f t="shared" si="58"/>
        <v>322.72000000000003</v>
      </c>
      <c r="I361" s="276">
        <f t="shared" si="64"/>
        <v>97531.839999999953</v>
      </c>
      <c r="J361" s="276">
        <f t="shared" si="65"/>
        <v>36068.259999999973</v>
      </c>
      <c r="K361" s="276">
        <f t="shared" si="62"/>
        <v>0</v>
      </c>
      <c r="L361" s="394">
        <f t="shared" si="56"/>
        <v>0</v>
      </c>
      <c r="M361" s="394">
        <f t="shared" si="63"/>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IF(OR(A361="",A361&gt;=subjectMortgageEndDate),"",EDATE(A361,1))</f>
        <v/>
      </c>
      <c r="B362" s="276">
        <f t="shared" si="60"/>
        <v>0</v>
      </c>
      <c r="C362" s="14">
        <f>IF(A362="",0,IF(B362&lt;=0,0,IF(A362=subjectMortgageEndDate,B362+E362,MIN(subjectPayment,B362+E362))))</f>
        <v>0</v>
      </c>
      <c r="D362" s="14">
        <f t="shared" si="61"/>
        <v>0</v>
      </c>
      <c r="E362" s="14">
        <f>IF(OR(A362="",B362&lt;=0),0,ROUND(B362*(subjectInterestRate/12),2))</f>
        <v>0</v>
      </c>
      <c r="F362" s="14">
        <f t="shared" si="66"/>
        <v>134.16999999999999</v>
      </c>
      <c r="G362" s="14">
        <f t="shared" si="66"/>
        <v>188.55</v>
      </c>
      <c r="H362" s="14">
        <f t="shared" si="58"/>
        <v>322.72000000000003</v>
      </c>
      <c r="I362" s="276">
        <f t="shared" si="64"/>
        <v>97531.839999999953</v>
      </c>
      <c r="J362" s="276">
        <f t="shared" si="65"/>
        <v>36068.259999999973</v>
      </c>
      <c r="K362" s="276">
        <f t="shared" si="62"/>
        <v>0</v>
      </c>
      <c r="L362" s="394">
        <f t="shared" si="56"/>
        <v>0</v>
      </c>
      <c r="M362" s="394">
        <f t="shared" si="63"/>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IF(OR(A362="",A362&gt;=subjectMortgageEndDate),"",EDATE(A362,1))</f>
        <v/>
      </c>
      <c r="B363" s="276">
        <f t="shared" si="60"/>
        <v>0</v>
      </c>
      <c r="C363" s="14">
        <f>IF(A363="",0,IF(B363&lt;=0,0,IF(A363=subjectMortgageEndDate,B363+E363,MIN(subjectPayment,B363+E363))))</f>
        <v>0</v>
      </c>
      <c r="D363" s="14">
        <f t="shared" si="61"/>
        <v>0</v>
      </c>
      <c r="E363" s="14">
        <f>IF(OR(A363="",B363&lt;=0),0,ROUND(B363*(subjectInterestRate/12),2))</f>
        <v>0</v>
      </c>
      <c r="F363" s="14">
        <f t="shared" si="66"/>
        <v>134.16999999999999</v>
      </c>
      <c r="G363" s="14">
        <f t="shared" si="66"/>
        <v>188.55</v>
      </c>
      <c r="H363" s="14">
        <f t="shared" si="58"/>
        <v>322.72000000000003</v>
      </c>
      <c r="I363" s="276">
        <f t="shared" si="64"/>
        <v>97531.839999999953</v>
      </c>
      <c r="J363" s="276">
        <f t="shared" si="65"/>
        <v>36068.259999999973</v>
      </c>
      <c r="K363" s="276">
        <f t="shared" si="62"/>
        <v>0</v>
      </c>
      <c r="L363" s="394">
        <f t="shared" si="56"/>
        <v>0</v>
      </c>
      <c r="M363" s="394">
        <f t="shared" si="63"/>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IF(OR(A363="",A363&gt;=subjectMortgageEndDate),"",EDATE(A363,1))</f>
        <v/>
      </c>
      <c r="B364" s="276">
        <f t="shared" si="60"/>
        <v>0</v>
      </c>
      <c r="C364" s="14">
        <f>IF(A364="",0,IF(B364&lt;=0,0,IF(A364=subjectMortgageEndDate,B364+E364,MIN(subjectPayment,B364+E364))))</f>
        <v>0</v>
      </c>
      <c r="D364" s="14">
        <f t="shared" si="61"/>
        <v>0</v>
      </c>
      <c r="E364" s="14">
        <f>IF(OR(A364="",B364&lt;=0),0,ROUND(B364*(subjectInterestRate/12),2))</f>
        <v>0</v>
      </c>
      <c r="F364" s="14">
        <f t="shared" si="66"/>
        <v>134.16999999999999</v>
      </c>
      <c r="G364" s="14">
        <f t="shared" si="66"/>
        <v>188.55</v>
      </c>
      <c r="H364" s="14">
        <f t="shared" si="58"/>
        <v>322.72000000000003</v>
      </c>
      <c r="I364" s="276">
        <f t="shared" si="64"/>
        <v>97531.839999999953</v>
      </c>
      <c r="J364" s="276">
        <f t="shared" si="65"/>
        <v>36068.259999999973</v>
      </c>
      <c r="K364" s="276">
        <f t="shared" si="62"/>
        <v>0</v>
      </c>
      <c r="L364" s="394">
        <f t="shared" si="56"/>
        <v>0</v>
      </c>
      <c r="M364" s="394">
        <f t="shared" si="63"/>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IF(OR(A364="",A364&gt;=subjectMortgageEndDate),"",EDATE(A364,1))</f>
        <v/>
      </c>
      <c r="B365" s="276">
        <f t="shared" si="60"/>
        <v>0</v>
      </c>
      <c r="C365" s="14">
        <f>IF(A365="",0,IF(B365&lt;=0,0,IF(A365=subjectMortgageEndDate,B365+E365,MIN(subjectPayment,B365+E365))))</f>
        <v>0</v>
      </c>
      <c r="D365" s="14">
        <f t="shared" si="61"/>
        <v>0</v>
      </c>
      <c r="E365" s="14">
        <f>IF(OR(A365="",B365&lt;=0),0,ROUND(B365*(subjectInterestRate/12),2))</f>
        <v>0</v>
      </c>
      <c r="F365" s="14">
        <f t="shared" si="66"/>
        <v>134.16999999999999</v>
      </c>
      <c r="G365" s="14">
        <f t="shared" si="66"/>
        <v>188.55</v>
      </c>
      <c r="H365" s="14">
        <f t="shared" si="58"/>
        <v>322.72000000000003</v>
      </c>
      <c r="I365" s="276">
        <f t="shared" si="64"/>
        <v>97531.839999999953</v>
      </c>
      <c r="J365" s="276">
        <f t="shared" si="65"/>
        <v>36068.259999999973</v>
      </c>
      <c r="K365" s="276">
        <f t="shared" si="62"/>
        <v>0</v>
      </c>
      <c r="L365" s="394">
        <f t="shared" si="56"/>
        <v>0</v>
      </c>
      <c r="M365" s="394">
        <f t="shared" si="63"/>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IF(OR(A365="",A365&gt;=subjectMortgageEndDate),"",EDATE(A365,1))</f>
        <v/>
      </c>
      <c r="B366" s="276">
        <f t="shared" si="60"/>
        <v>0</v>
      </c>
      <c r="C366" s="14">
        <f>IF(A366="",0,IF(B366&lt;=0,0,IF(A366=subjectMortgageEndDate,B366+E366,MIN(subjectPayment,B366+E366))))</f>
        <v>0</v>
      </c>
      <c r="D366" s="14">
        <f t="shared" si="61"/>
        <v>0</v>
      </c>
      <c r="E366" s="14">
        <f>IF(OR(A366="",B366&lt;=0),0,ROUND(B366*(subjectInterestRate/12),2))</f>
        <v>0</v>
      </c>
      <c r="F366" s="14">
        <f t="shared" si="66"/>
        <v>134.16999999999999</v>
      </c>
      <c r="G366" s="14">
        <f t="shared" si="66"/>
        <v>188.55</v>
      </c>
      <c r="H366" s="14">
        <f t="shared" si="58"/>
        <v>322.72000000000003</v>
      </c>
      <c r="I366" s="276">
        <f t="shared" si="64"/>
        <v>97531.839999999953</v>
      </c>
      <c r="J366" s="276">
        <f t="shared" si="65"/>
        <v>36068.259999999973</v>
      </c>
      <c r="K366" s="276">
        <f t="shared" si="62"/>
        <v>0</v>
      </c>
      <c r="L366" s="394">
        <f t="shared" si="56"/>
        <v>0</v>
      </c>
      <c r="M366" s="394">
        <f t="shared" si="63"/>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IF(OR(A366="",A366&gt;=subjectMortgageEndDate),"",EDATE(A366,1))</f>
        <v/>
      </c>
      <c r="B367" s="332">
        <f t="shared" si="60"/>
        <v>0</v>
      </c>
      <c r="C367" s="21">
        <f>IF(A367="",0,IF(B367&lt;=0,0,IF(A367=subjectMortgageEndDate,B367+E367,MIN(subjectPayment,B367+E367))))</f>
        <v>0</v>
      </c>
      <c r="D367" s="21">
        <f t="shared" si="61"/>
        <v>0</v>
      </c>
      <c r="E367" s="21">
        <f>IF(OR(A367="",B367&lt;=0),0,ROUND(B367*(subjectInterestRate/12),2))</f>
        <v>0</v>
      </c>
      <c r="F367" s="21">
        <f t="shared" ref="F367:G382" si="67">+F366</f>
        <v>134.16999999999999</v>
      </c>
      <c r="G367" s="21">
        <f t="shared" si="67"/>
        <v>188.55</v>
      </c>
      <c r="H367" s="21">
        <f t="shared" si="58"/>
        <v>322.72000000000003</v>
      </c>
      <c r="I367" s="332">
        <f t="shared" si="64"/>
        <v>97531.839999999953</v>
      </c>
      <c r="J367" s="332">
        <f t="shared" si="65"/>
        <v>36068.259999999973</v>
      </c>
      <c r="K367" s="332">
        <f t="shared" si="62"/>
        <v>0</v>
      </c>
      <c r="L367" s="395">
        <f t="shared" si="56"/>
        <v>0</v>
      </c>
      <c r="M367" s="395">
        <f t="shared" si="63"/>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32">
        <f>IF(INDEX(tblContractForDeed[End Bal],ROW()-ROW(tblBuyerOutputs[#Headers]))&lt;=0,0,($O$6+IF(ROW()=ROW(tblBuyerOutputs[#Headers])+1,0,INDEX(tblBuyerOutputs[Cumul Appr],ROW()-ROW(tblBuyerOutputs[#Headers])-1)))*$O$2/12)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IF(OR(A367="",A367&gt;=subjectMortgageEndDate),"",EDATE(A367,1))</f>
        <v/>
      </c>
      <c r="B368" s="276">
        <f t="shared" si="60"/>
        <v>0</v>
      </c>
      <c r="C368" s="14">
        <f>IF(A368="",0,IF(B368&lt;=0,0,IF(A368=subjectMortgageEndDate,B368+E368,MIN(subjectPayment,B368+E368))))</f>
        <v>0</v>
      </c>
      <c r="D368" s="14">
        <f t="shared" si="61"/>
        <v>0</v>
      </c>
      <c r="E368" s="14">
        <f>IF(OR(A368="",B368&lt;=0),0,ROUND(B368*(subjectInterestRate/12),2))</f>
        <v>0</v>
      </c>
      <c r="F368" s="14">
        <f t="shared" si="67"/>
        <v>134.16999999999999</v>
      </c>
      <c r="G368" s="14">
        <f t="shared" si="67"/>
        <v>188.55</v>
      </c>
      <c r="H368" s="14">
        <f t="shared" si="58"/>
        <v>322.72000000000003</v>
      </c>
      <c r="I368" s="276">
        <f t="shared" si="64"/>
        <v>97531.839999999953</v>
      </c>
      <c r="J368" s="276">
        <f t="shared" si="65"/>
        <v>36068.259999999973</v>
      </c>
      <c r="K368" s="276">
        <f t="shared" si="62"/>
        <v>0</v>
      </c>
      <c r="L368" s="394">
        <f t="shared" si="56"/>
        <v>0</v>
      </c>
      <c r="M368" s="394">
        <f t="shared" si="63"/>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IF(OR(A368="",A368&gt;=subjectMortgageEndDate),"",EDATE(A368,1))</f>
        <v/>
      </c>
      <c r="B369" s="276">
        <f t="shared" si="60"/>
        <v>0</v>
      </c>
      <c r="C369" s="14">
        <f>IF(A369="",0,IF(B369&lt;=0,0,IF(A369=subjectMortgageEndDate,B369+E369,MIN(subjectPayment,B369+E369))))</f>
        <v>0</v>
      </c>
      <c r="D369" s="14">
        <f t="shared" si="61"/>
        <v>0</v>
      </c>
      <c r="E369" s="14">
        <f>IF(OR(A369="",B369&lt;=0),0,ROUND(B369*(subjectInterestRate/12),2))</f>
        <v>0</v>
      </c>
      <c r="F369" s="14">
        <f t="shared" si="67"/>
        <v>134.16999999999999</v>
      </c>
      <c r="G369" s="14">
        <f t="shared" si="67"/>
        <v>188.55</v>
      </c>
      <c r="H369" s="14">
        <f t="shared" si="58"/>
        <v>322.72000000000003</v>
      </c>
      <c r="I369" s="276">
        <f t="shared" si="64"/>
        <v>97531.839999999953</v>
      </c>
      <c r="J369" s="276">
        <f t="shared" si="65"/>
        <v>36068.259999999973</v>
      </c>
      <c r="K369" s="276">
        <f t="shared" si="62"/>
        <v>0</v>
      </c>
      <c r="L369" s="394">
        <f t="shared" si="56"/>
        <v>0</v>
      </c>
      <c r="M369" s="394">
        <f t="shared" si="63"/>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IF(OR(A369="",A369&gt;=subjectMortgageEndDate),"",EDATE(A369,1))</f>
        <v/>
      </c>
      <c r="B370" s="276">
        <f t="shared" si="60"/>
        <v>0</v>
      </c>
      <c r="C370" s="14">
        <f>IF(A370="",0,IF(B370&lt;=0,0,IF(A370=subjectMortgageEndDate,B370+E370,MIN(subjectPayment,B370+E370))))</f>
        <v>0</v>
      </c>
      <c r="D370" s="14">
        <f t="shared" si="61"/>
        <v>0</v>
      </c>
      <c r="E370" s="14">
        <f>IF(OR(A370="",B370&lt;=0),0,ROUND(B370*(subjectInterestRate/12),2))</f>
        <v>0</v>
      </c>
      <c r="F370" s="14">
        <f t="shared" si="67"/>
        <v>134.16999999999999</v>
      </c>
      <c r="G370" s="14">
        <f t="shared" si="67"/>
        <v>188.55</v>
      </c>
      <c r="H370" s="14">
        <f t="shared" si="58"/>
        <v>322.72000000000003</v>
      </c>
      <c r="I370" s="276">
        <f t="shared" si="64"/>
        <v>97531.839999999953</v>
      </c>
      <c r="J370" s="276">
        <f t="shared" si="65"/>
        <v>36068.259999999973</v>
      </c>
      <c r="K370" s="276">
        <f t="shared" si="62"/>
        <v>0</v>
      </c>
      <c r="L370" s="394">
        <f t="shared" si="56"/>
        <v>0</v>
      </c>
      <c r="M370" s="394">
        <f t="shared" si="63"/>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IF(OR(A370="",A370&gt;=subjectMortgageEndDate),"",EDATE(A370,1))</f>
        <v/>
      </c>
      <c r="B371" s="276">
        <f t="shared" si="60"/>
        <v>0</v>
      </c>
      <c r="C371" s="14">
        <f>IF(A371="",0,IF(B371&lt;=0,0,IF(A371=subjectMortgageEndDate,B371+E371,MIN(subjectPayment,B371+E371))))</f>
        <v>0</v>
      </c>
      <c r="D371" s="14">
        <f t="shared" si="61"/>
        <v>0</v>
      </c>
      <c r="E371" s="14">
        <f>IF(OR(A371="",B371&lt;=0),0,ROUND(B371*(subjectInterestRate/12),2))</f>
        <v>0</v>
      </c>
      <c r="F371" s="14">
        <f t="shared" si="67"/>
        <v>134.16999999999999</v>
      </c>
      <c r="G371" s="14">
        <f t="shared" si="67"/>
        <v>188.55</v>
      </c>
      <c r="H371" s="14">
        <f t="shared" si="58"/>
        <v>322.72000000000003</v>
      </c>
      <c r="I371" s="276">
        <f t="shared" si="64"/>
        <v>97531.839999999953</v>
      </c>
      <c r="J371" s="276">
        <f t="shared" si="65"/>
        <v>36068.259999999973</v>
      </c>
      <c r="K371" s="276">
        <f t="shared" si="62"/>
        <v>0</v>
      </c>
      <c r="L371" s="394">
        <f t="shared" si="56"/>
        <v>0</v>
      </c>
      <c r="M371" s="394">
        <f t="shared" si="63"/>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IF(OR(A371="",A371&gt;=subjectMortgageEndDate),"",EDATE(A371,1))</f>
        <v/>
      </c>
      <c r="B372" s="276">
        <f t="shared" si="60"/>
        <v>0</v>
      </c>
      <c r="C372" s="14">
        <f>IF(A372="",0,IF(B372&lt;=0,0,IF(A372=subjectMortgageEndDate,B372+E372,MIN(subjectPayment,B372+E372))))</f>
        <v>0</v>
      </c>
      <c r="D372" s="14">
        <f t="shared" si="61"/>
        <v>0</v>
      </c>
      <c r="E372" s="14">
        <f>IF(OR(A372="",B372&lt;=0),0,ROUND(B372*(subjectInterestRate/12),2))</f>
        <v>0</v>
      </c>
      <c r="F372" s="14">
        <f t="shared" si="67"/>
        <v>134.16999999999999</v>
      </c>
      <c r="G372" s="14">
        <f t="shared" si="67"/>
        <v>188.55</v>
      </c>
      <c r="H372" s="14">
        <f t="shared" si="58"/>
        <v>322.72000000000003</v>
      </c>
      <c r="I372" s="276">
        <f t="shared" si="64"/>
        <v>97531.839999999953</v>
      </c>
      <c r="J372" s="276">
        <f t="shared" si="65"/>
        <v>36068.259999999973</v>
      </c>
      <c r="K372" s="276">
        <f t="shared" si="62"/>
        <v>0</v>
      </c>
      <c r="L372" s="394">
        <f t="shared" ref="L372:L435" si="68">IF(MOD(M372,12)=0,M372/12,L371)</f>
        <v>0</v>
      </c>
      <c r="M372" s="394">
        <f t="shared" si="63"/>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IF(OR(A372="",A372&gt;=subjectMortgageEndDate),"",EDATE(A372,1))</f>
        <v/>
      </c>
      <c r="B373" s="276">
        <f t="shared" si="60"/>
        <v>0</v>
      </c>
      <c r="C373" s="14">
        <f>IF(A373="",0,IF(B373&lt;=0,0,IF(A373=subjectMortgageEndDate,B373+E373,MIN(subjectPayment,B373+E373))))</f>
        <v>0</v>
      </c>
      <c r="D373" s="14">
        <f t="shared" si="61"/>
        <v>0</v>
      </c>
      <c r="E373" s="14">
        <f>IF(OR(A373="",B373&lt;=0),0,ROUND(B373*(subjectInterestRate/12),2))</f>
        <v>0</v>
      </c>
      <c r="F373" s="14">
        <f t="shared" si="67"/>
        <v>134.16999999999999</v>
      </c>
      <c r="G373" s="14">
        <f t="shared" si="67"/>
        <v>188.55</v>
      </c>
      <c r="H373" s="14">
        <f t="shared" si="58"/>
        <v>322.72000000000003</v>
      </c>
      <c r="I373" s="276">
        <f t="shared" si="64"/>
        <v>97531.839999999953</v>
      </c>
      <c r="J373" s="276">
        <f t="shared" si="65"/>
        <v>36068.259999999973</v>
      </c>
      <c r="K373" s="276">
        <f t="shared" si="62"/>
        <v>0</v>
      </c>
      <c r="L373" s="394">
        <f t="shared" si="68"/>
        <v>0</v>
      </c>
      <c r="M373" s="394">
        <f t="shared" si="63"/>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IF(OR(A373="",A373&gt;=subjectMortgageEndDate),"",EDATE(A373,1))</f>
        <v/>
      </c>
      <c r="B374" s="276">
        <f t="shared" si="60"/>
        <v>0</v>
      </c>
      <c r="C374" s="14">
        <f>IF(A374="",0,IF(B374&lt;=0,0,IF(A374=subjectMortgageEndDate,B374+E374,MIN(subjectPayment,B374+E374))))</f>
        <v>0</v>
      </c>
      <c r="D374" s="14">
        <f t="shared" si="61"/>
        <v>0</v>
      </c>
      <c r="E374" s="14">
        <f>IF(OR(A374="",B374&lt;=0),0,ROUND(B374*(subjectInterestRate/12),2))</f>
        <v>0</v>
      </c>
      <c r="F374" s="14">
        <f t="shared" si="67"/>
        <v>134.16999999999999</v>
      </c>
      <c r="G374" s="14">
        <f t="shared" si="67"/>
        <v>188.55</v>
      </c>
      <c r="H374" s="14">
        <f t="shared" si="58"/>
        <v>322.72000000000003</v>
      </c>
      <c r="I374" s="276">
        <f t="shared" si="64"/>
        <v>97531.839999999953</v>
      </c>
      <c r="J374" s="276">
        <f t="shared" si="65"/>
        <v>36068.259999999973</v>
      </c>
      <c r="K374" s="276">
        <f t="shared" si="62"/>
        <v>0</v>
      </c>
      <c r="L374" s="394">
        <f t="shared" si="68"/>
        <v>0</v>
      </c>
      <c r="M374" s="394">
        <f t="shared" si="63"/>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IF(OR(A374="",A374&gt;=subjectMortgageEndDate),"",EDATE(A374,1))</f>
        <v/>
      </c>
      <c r="B375" s="276">
        <f t="shared" si="60"/>
        <v>0</v>
      </c>
      <c r="C375" s="14">
        <f>IF(A375="",0,IF(B375&lt;=0,0,IF(A375=subjectMortgageEndDate,B375+E375,MIN(subjectPayment,B375+E375))))</f>
        <v>0</v>
      </c>
      <c r="D375" s="14">
        <f t="shared" si="61"/>
        <v>0</v>
      </c>
      <c r="E375" s="14">
        <f>IF(OR(A375="",B375&lt;=0),0,ROUND(B375*(subjectInterestRate/12),2))</f>
        <v>0</v>
      </c>
      <c r="F375" s="14">
        <f t="shared" si="67"/>
        <v>134.16999999999999</v>
      </c>
      <c r="G375" s="14">
        <f t="shared" si="67"/>
        <v>188.55</v>
      </c>
      <c r="H375" s="14">
        <f t="shared" si="58"/>
        <v>322.72000000000003</v>
      </c>
      <c r="I375" s="276">
        <f t="shared" si="64"/>
        <v>97531.839999999953</v>
      </c>
      <c r="J375" s="276">
        <f t="shared" si="65"/>
        <v>36068.259999999973</v>
      </c>
      <c r="K375" s="276">
        <f t="shared" si="62"/>
        <v>0</v>
      </c>
      <c r="L375" s="394">
        <f t="shared" si="68"/>
        <v>0</v>
      </c>
      <c r="M375" s="394">
        <f t="shared" si="63"/>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IF(OR(A375="",A375&gt;=subjectMortgageEndDate),"",EDATE(A375,1))</f>
        <v/>
      </c>
      <c r="B376" s="276">
        <f t="shared" si="60"/>
        <v>0</v>
      </c>
      <c r="C376" s="14">
        <f>IF(A376="",0,IF(B376&lt;=0,0,IF(A376=subjectMortgageEndDate,B376+E376,MIN(subjectPayment,B376+E376))))</f>
        <v>0</v>
      </c>
      <c r="D376" s="14">
        <f t="shared" si="61"/>
        <v>0</v>
      </c>
      <c r="E376" s="14">
        <f>IF(OR(A376="",B376&lt;=0),0,ROUND(B376*(subjectInterestRate/12),2))</f>
        <v>0</v>
      </c>
      <c r="F376" s="14">
        <f t="shared" si="67"/>
        <v>134.16999999999999</v>
      </c>
      <c r="G376" s="14">
        <f t="shared" si="67"/>
        <v>188.55</v>
      </c>
      <c r="H376" s="14">
        <f t="shared" si="58"/>
        <v>322.72000000000003</v>
      </c>
      <c r="I376" s="276">
        <f t="shared" si="64"/>
        <v>97531.839999999953</v>
      </c>
      <c r="J376" s="276">
        <f t="shared" si="65"/>
        <v>36068.259999999973</v>
      </c>
      <c r="K376" s="276">
        <f t="shared" si="62"/>
        <v>0</v>
      </c>
      <c r="L376" s="394">
        <f t="shared" si="68"/>
        <v>0</v>
      </c>
      <c r="M376" s="394">
        <f t="shared" si="63"/>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IF(OR(A376="",A376&gt;=subjectMortgageEndDate),"",EDATE(A376,1))</f>
        <v/>
      </c>
      <c r="B377" s="276">
        <f t="shared" si="60"/>
        <v>0</v>
      </c>
      <c r="C377" s="14">
        <f>IF(A377="",0,IF(B377&lt;=0,0,IF(A377=subjectMortgageEndDate,B377+E377,MIN(subjectPayment,B377+E377))))</f>
        <v>0</v>
      </c>
      <c r="D377" s="14">
        <f t="shared" si="61"/>
        <v>0</v>
      </c>
      <c r="E377" s="14">
        <f>IF(OR(A377="",B377&lt;=0),0,ROUND(B377*(subjectInterestRate/12),2))</f>
        <v>0</v>
      </c>
      <c r="F377" s="14">
        <f t="shared" si="67"/>
        <v>134.16999999999999</v>
      </c>
      <c r="G377" s="14">
        <f t="shared" si="67"/>
        <v>188.55</v>
      </c>
      <c r="H377" s="14">
        <f t="shared" si="58"/>
        <v>322.72000000000003</v>
      </c>
      <c r="I377" s="276">
        <f t="shared" si="64"/>
        <v>97531.839999999953</v>
      </c>
      <c r="J377" s="276">
        <f t="shared" si="65"/>
        <v>36068.259999999973</v>
      </c>
      <c r="K377" s="276">
        <f t="shared" si="62"/>
        <v>0</v>
      </c>
      <c r="L377" s="394">
        <f t="shared" si="68"/>
        <v>0</v>
      </c>
      <c r="M377" s="394">
        <f t="shared" si="63"/>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IF(OR(A377="",A377&gt;=subjectMortgageEndDate),"",EDATE(A377,1))</f>
        <v/>
      </c>
      <c r="B378" s="276">
        <f t="shared" si="60"/>
        <v>0</v>
      </c>
      <c r="C378" s="14">
        <f>IF(A378="",0,IF(B378&lt;=0,0,IF(A378=subjectMortgageEndDate,B378+E378,MIN(subjectPayment,B378+E378))))</f>
        <v>0</v>
      </c>
      <c r="D378" s="14">
        <f t="shared" si="61"/>
        <v>0</v>
      </c>
      <c r="E378" s="14">
        <f>IF(OR(A378="",B378&lt;=0),0,ROUND(B378*(subjectInterestRate/12),2))</f>
        <v>0</v>
      </c>
      <c r="F378" s="14">
        <f t="shared" si="67"/>
        <v>134.16999999999999</v>
      </c>
      <c r="G378" s="14">
        <f t="shared" si="67"/>
        <v>188.55</v>
      </c>
      <c r="H378" s="14">
        <f t="shared" si="58"/>
        <v>322.72000000000003</v>
      </c>
      <c r="I378" s="276">
        <f t="shared" si="64"/>
        <v>97531.839999999953</v>
      </c>
      <c r="J378" s="276">
        <f t="shared" si="65"/>
        <v>36068.259999999973</v>
      </c>
      <c r="K378" s="276">
        <f t="shared" si="62"/>
        <v>0</v>
      </c>
      <c r="L378" s="394">
        <f t="shared" si="68"/>
        <v>0</v>
      </c>
      <c r="M378" s="394">
        <f t="shared" si="63"/>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IF(OR(A378="",A378&gt;=subjectMortgageEndDate),"",EDATE(A378,1))</f>
        <v/>
      </c>
      <c r="B379" s="332">
        <f t="shared" si="60"/>
        <v>0</v>
      </c>
      <c r="C379" s="21">
        <f>IF(A379="",0,IF(B379&lt;=0,0,IF(A379=subjectMortgageEndDate,B379+E379,MIN(subjectPayment,B379+E379))))</f>
        <v>0</v>
      </c>
      <c r="D379" s="21">
        <f t="shared" si="61"/>
        <v>0</v>
      </c>
      <c r="E379" s="21">
        <f>IF(OR(A379="",B379&lt;=0),0,ROUND(B379*(subjectInterestRate/12),2))</f>
        <v>0</v>
      </c>
      <c r="F379" s="21">
        <f t="shared" si="67"/>
        <v>134.16999999999999</v>
      </c>
      <c r="G379" s="21">
        <f t="shared" si="67"/>
        <v>188.55</v>
      </c>
      <c r="H379" s="21">
        <f t="shared" si="58"/>
        <v>322.72000000000003</v>
      </c>
      <c r="I379" s="332">
        <f t="shared" si="64"/>
        <v>97531.839999999953</v>
      </c>
      <c r="J379" s="332">
        <f t="shared" si="65"/>
        <v>36068.259999999973</v>
      </c>
      <c r="K379" s="332">
        <f t="shared" si="62"/>
        <v>0</v>
      </c>
      <c r="L379" s="395">
        <f t="shared" si="68"/>
        <v>0</v>
      </c>
      <c r="M379" s="395">
        <f t="shared" si="63"/>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32">
        <f>IF(INDEX(tblContractForDeed[End Bal],ROW()-ROW(tblBuyerOutputs[#Headers]))&lt;=0,0,($O$6+IF(ROW()=ROW(tblBuyerOutputs[#Headers])+1,0,INDEX(tblBuyerOutputs[Cumul Appr],ROW()-ROW(tblBuyerOutputs[#Headers])-1)))*$O$2/12)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IF(OR(A379="",A379&gt;=subjectMortgageEndDate),"",EDATE(A379,1))</f>
        <v/>
      </c>
      <c r="B380" s="276">
        <f t="shared" si="60"/>
        <v>0</v>
      </c>
      <c r="C380" s="14">
        <f>IF(A380="",0,IF(B380&lt;=0,0,IF(A380=subjectMortgageEndDate,B380+E380,MIN(subjectPayment,B380+E380))))</f>
        <v>0</v>
      </c>
      <c r="D380" s="14">
        <f t="shared" si="61"/>
        <v>0</v>
      </c>
      <c r="E380" s="14">
        <f>IF(OR(A380="",B380&lt;=0),0,ROUND(B380*(subjectInterestRate/12),2))</f>
        <v>0</v>
      </c>
      <c r="F380" s="14">
        <f t="shared" si="67"/>
        <v>134.16999999999999</v>
      </c>
      <c r="G380" s="14">
        <f t="shared" si="67"/>
        <v>188.55</v>
      </c>
      <c r="H380" s="14">
        <f t="shared" si="58"/>
        <v>322.72000000000003</v>
      </c>
      <c r="I380" s="276">
        <f t="shared" si="64"/>
        <v>97531.839999999953</v>
      </c>
      <c r="J380" s="276">
        <f t="shared" si="65"/>
        <v>36068.259999999973</v>
      </c>
      <c r="K380" s="276">
        <f t="shared" si="62"/>
        <v>0</v>
      </c>
      <c r="L380" s="394">
        <f t="shared" si="68"/>
        <v>0</v>
      </c>
      <c r="M380" s="394">
        <f t="shared" si="63"/>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IF(OR(A380="",A380&gt;=subjectMortgageEndDate),"",EDATE(A380,1))</f>
        <v/>
      </c>
      <c r="B381" s="276">
        <f t="shared" si="60"/>
        <v>0</v>
      </c>
      <c r="C381" s="14">
        <f>IF(A381="",0,IF(B381&lt;=0,0,IF(A381=subjectMortgageEndDate,B381+E381,MIN(subjectPayment,B381+E381))))</f>
        <v>0</v>
      </c>
      <c r="D381" s="14">
        <f t="shared" si="61"/>
        <v>0</v>
      </c>
      <c r="E381" s="14">
        <f>IF(OR(A381="",B381&lt;=0),0,ROUND(B381*(subjectInterestRate/12),2))</f>
        <v>0</v>
      </c>
      <c r="F381" s="14">
        <f t="shared" si="67"/>
        <v>134.16999999999999</v>
      </c>
      <c r="G381" s="14">
        <f t="shared" si="67"/>
        <v>188.55</v>
      </c>
      <c r="H381" s="14">
        <f t="shared" si="58"/>
        <v>322.72000000000003</v>
      </c>
      <c r="I381" s="276">
        <f t="shared" si="64"/>
        <v>97531.839999999953</v>
      </c>
      <c r="J381" s="276">
        <f t="shared" si="65"/>
        <v>36068.259999999973</v>
      </c>
      <c r="K381" s="276">
        <f t="shared" si="62"/>
        <v>0</v>
      </c>
      <c r="L381" s="394">
        <f t="shared" si="68"/>
        <v>0</v>
      </c>
      <c r="M381" s="394">
        <f t="shared" si="63"/>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IF(OR(A381="",A381&gt;=subjectMortgageEndDate),"",EDATE(A381,1))</f>
        <v/>
      </c>
      <c r="B382" s="276">
        <f t="shared" si="60"/>
        <v>0</v>
      </c>
      <c r="C382" s="14">
        <f>IF(A382="",0,IF(B382&lt;=0,0,IF(A382=subjectMortgageEndDate,B382+E382,MIN(subjectPayment,B382+E382))))</f>
        <v>0</v>
      </c>
      <c r="D382" s="14">
        <f t="shared" si="61"/>
        <v>0</v>
      </c>
      <c r="E382" s="14">
        <f>IF(OR(A382="",B382&lt;=0),0,ROUND(B382*(subjectInterestRate/12),2))</f>
        <v>0</v>
      </c>
      <c r="F382" s="14">
        <f t="shared" si="67"/>
        <v>134.16999999999999</v>
      </c>
      <c r="G382" s="14">
        <f t="shared" si="67"/>
        <v>188.55</v>
      </c>
      <c r="H382" s="14">
        <f t="shared" si="58"/>
        <v>322.72000000000003</v>
      </c>
      <c r="I382" s="276">
        <f t="shared" si="64"/>
        <v>97531.839999999953</v>
      </c>
      <c r="J382" s="276">
        <f t="shared" si="65"/>
        <v>36068.259999999973</v>
      </c>
      <c r="K382" s="276">
        <f t="shared" si="62"/>
        <v>0</v>
      </c>
      <c r="L382" s="394">
        <f t="shared" si="68"/>
        <v>0</v>
      </c>
      <c r="M382" s="394">
        <f t="shared" si="63"/>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IF(OR(A382="",A382&gt;=subjectMortgageEndDate),"",EDATE(A382,1))</f>
        <v/>
      </c>
      <c r="B383" s="276">
        <f t="shared" si="60"/>
        <v>0</v>
      </c>
      <c r="C383" s="14">
        <f>IF(A383="",0,IF(B383&lt;=0,0,IF(A383=subjectMortgageEndDate,B383+E383,MIN(subjectPayment,B383+E383))))</f>
        <v>0</v>
      </c>
      <c r="D383" s="14">
        <f t="shared" si="61"/>
        <v>0</v>
      </c>
      <c r="E383" s="14">
        <f>IF(OR(A383="",B383&lt;=0),0,ROUND(B383*(subjectInterestRate/12),2))</f>
        <v>0</v>
      </c>
      <c r="F383" s="14">
        <f t="shared" ref="F383:G398" si="69">+F382</f>
        <v>134.16999999999999</v>
      </c>
      <c r="G383" s="14">
        <f t="shared" si="69"/>
        <v>188.55</v>
      </c>
      <c r="H383" s="14">
        <f t="shared" si="58"/>
        <v>322.72000000000003</v>
      </c>
      <c r="I383" s="276">
        <f t="shared" si="64"/>
        <v>97531.839999999953</v>
      </c>
      <c r="J383" s="276">
        <f t="shared" si="65"/>
        <v>36068.259999999973</v>
      </c>
      <c r="K383" s="276">
        <f t="shared" si="62"/>
        <v>0</v>
      </c>
      <c r="L383" s="394">
        <f t="shared" si="68"/>
        <v>0</v>
      </c>
      <c r="M383" s="394">
        <f t="shared" si="63"/>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IF(OR(A383="",A383&gt;=subjectMortgageEndDate),"",EDATE(A383,1))</f>
        <v/>
      </c>
      <c r="B384" s="276">
        <f t="shared" si="60"/>
        <v>0</v>
      </c>
      <c r="C384" s="14">
        <f>IF(A384="",0,IF(B384&lt;=0,0,IF(A384=subjectMortgageEndDate,B384+E384,MIN(subjectPayment,B384+E384))))</f>
        <v>0</v>
      </c>
      <c r="D384" s="14">
        <f t="shared" si="61"/>
        <v>0</v>
      </c>
      <c r="E384" s="14">
        <f>IF(OR(A384="",B384&lt;=0),0,ROUND(B384*(subjectInterestRate/12),2))</f>
        <v>0</v>
      </c>
      <c r="F384" s="14">
        <f t="shared" si="69"/>
        <v>134.16999999999999</v>
      </c>
      <c r="G384" s="14">
        <f t="shared" si="69"/>
        <v>188.55</v>
      </c>
      <c r="H384" s="14">
        <f t="shared" ref="H384:H447" si="70">SUM(D384:G384)</f>
        <v>322.72000000000003</v>
      </c>
      <c r="I384" s="276">
        <f t="shared" si="64"/>
        <v>97531.839999999953</v>
      </c>
      <c r="J384" s="276">
        <f t="shared" si="65"/>
        <v>36068.259999999973</v>
      </c>
      <c r="K384" s="276">
        <f t="shared" si="62"/>
        <v>0</v>
      </c>
      <c r="L384" s="394">
        <f t="shared" si="68"/>
        <v>0</v>
      </c>
      <c r="M384" s="394">
        <f t="shared" si="63"/>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IF(OR(A384="",A384&gt;=subjectMortgageEndDate),"",EDATE(A384,1))</f>
        <v/>
      </c>
      <c r="B385" s="276">
        <f t="shared" si="60"/>
        <v>0</v>
      </c>
      <c r="C385" s="14">
        <f>IF(A385="",0,IF(B385&lt;=0,0,IF(A385=subjectMortgageEndDate,B385+E385,MIN(subjectPayment,B385+E385))))</f>
        <v>0</v>
      </c>
      <c r="D385" s="14">
        <f t="shared" si="61"/>
        <v>0</v>
      </c>
      <c r="E385" s="14">
        <f>IF(OR(A385="",B385&lt;=0),0,ROUND(B385*(subjectInterestRate/12),2))</f>
        <v>0</v>
      </c>
      <c r="F385" s="14">
        <f t="shared" si="69"/>
        <v>134.16999999999999</v>
      </c>
      <c r="G385" s="14">
        <f t="shared" si="69"/>
        <v>188.55</v>
      </c>
      <c r="H385" s="14">
        <f t="shared" si="70"/>
        <v>322.72000000000003</v>
      </c>
      <c r="I385" s="276">
        <f t="shared" si="64"/>
        <v>97531.839999999953</v>
      </c>
      <c r="J385" s="276">
        <f t="shared" si="65"/>
        <v>36068.259999999973</v>
      </c>
      <c r="K385" s="276">
        <f t="shared" si="62"/>
        <v>0</v>
      </c>
      <c r="L385" s="394">
        <f t="shared" si="68"/>
        <v>0</v>
      </c>
      <c r="M385" s="394">
        <f t="shared" si="63"/>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IF(OR(A385="",A385&gt;=subjectMortgageEndDate),"",EDATE(A385,1))</f>
        <v/>
      </c>
      <c r="B386" s="276">
        <f t="shared" si="60"/>
        <v>0</v>
      </c>
      <c r="C386" s="14">
        <f>IF(A386="",0,IF(B386&lt;=0,0,IF(A386=subjectMortgageEndDate,B386+E386,MIN(subjectPayment,B386+E386))))</f>
        <v>0</v>
      </c>
      <c r="D386" s="14">
        <f t="shared" si="61"/>
        <v>0</v>
      </c>
      <c r="E386" s="14">
        <f>IF(OR(A386="",B386&lt;=0),0,ROUND(B386*(subjectInterestRate/12),2))</f>
        <v>0</v>
      </c>
      <c r="F386" s="14">
        <f t="shared" si="69"/>
        <v>134.16999999999999</v>
      </c>
      <c r="G386" s="14">
        <f t="shared" si="69"/>
        <v>188.55</v>
      </c>
      <c r="H386" s="14">
        <f t="shared" si="70"/>
        <v>322.72000000000003</v>
      </c>
      <c r="I386" s="276">
        <f t="shared" si="64"/>
        <v>97531.839999999953</v>
      </c>
      <c r="J386" s="276">
        <f t="shared" si="65"/>
        <v>36068.259999999973</v>
      </c>
      <c r="K386" s="276">
        <f t="shared" si="62"/>
        <v>0</v>
      </c>
      <c r="L386" s="394">
        <f t="shared" si="68"/>
        <v>0</v>
      </c>
      <c r="M386" s="394">
        <f t="shared" si="63"/>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IF(OR(A386="",A386&gt;=subjectMortgageEndDate),"",EDATE(A386,1))</f>
        <v/>
      </c>
      <c r="B387" s="276">
        <f t="shared" si="60"/>
        <v>0</v>
      </c>
      <c r="C387" s="14">
        <f>IF(A387="",0,IF(B387&lt;=0,0,IF(A387=subjectMortgageEndDate,B387+E387,MIN(subjectPayment,B387+E387))))</f>
        <v>0</v>
      </c>
      <c r="D387" s="14">
        <f t="shared" si="61"/>
        <v>0</v>
      </c>
      <c r="E387" s="14">
        <f>IF(OR(A387="",B387&lt;=0),0,ROUND(B387*(subjectInterestRate/12),2))</f>
        <v>0</v>
      </c>
      <c r="F387" s="14">
        <f t="shared" si="69"/>
        <v>134.16999999999999</v>
      </c>
      <c r="G387" s="14">
        <f t="shared" si="69"/>
        <v>188.55</v>
      </c>
      <c r="H387" s="14">
        <f t="shared" si="70"/>
        <v>322.72000000000003</v>
      </c>
      <c r="I387" s="276">
        <f t="shared" si="64"/>
        <v>97531.839999999953</v>
      </c>
      <c r="J387" s="276">
        <f t="shared" si="65"/>
        <v>36068.259999999973</v>
      </c>
      <c r="K387" s="276">
        <f t="shared" si="62"/>
        <v>0</v>
      </c>
      <c r="L387" s="394">
        <f t="shared" si="68"/>
        <v>0</v>
      </c>
      <c r="M387" s="394">
        <f t="shared" si="63"/>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IF(OR(A387="",A387&gt;=subjectMortgageEndDate),"",EDATE(A387,1))</f>
        <v/>
      </c>
      <c r="B388" s="276">
        <f t="shared" si="60"/>
        <v>0</v>
      </c>
      <c r="C388" s="14">
        <f>IF(A388="",0,IF(B388&lt;=0,0,IF(A388=subjectMortgageEndDate,B388+E388,MIN(subjectPayment,B388+E388))))</f>
        <v>0</v>
      </c>
      <c r="D388" s="14">
        <f t="shared" si="61"/>
        <v>0</v>
      </c>
      <c r="E388" s="14">
        <f>IF(OR(A388="",B388&lt;=0),0,ROUND(B388*(subjectInterestRate/12),2))</f>
        <v>0</v>
      </c>
      <c r="F388" s="14">
        <f t="shared" si="69"/>
        <v>134.16999999999999</v>
      </c>
      <c r="G388" s="14">
        <f t="shared" si="69"/>
        <v>188.55</v>
      </c>
      <c r="H388" s="14">
        <f t="shared" si="70"/>
        <v>322.72000000000003</v>
      </c>
      <c r="I388" s="276">
        <f t="shared" si="64"/>
        <v>97531.839999999953</v>
      </c>
      <c r="J388" s="276">
        <f t="shared" si="65"/>
        <v>36068.259999999973</v>
      </c>
      <c r="K388" s="276">
        <f t="shared" si="62"/>
        <v>0</v>
      </c>
      <c r="L388" s="394">
        <f t="shared" si="68"/>
        <v>0</v>
      </c>
      <c r="M388" s="394">
        <f t="shared" si="63"/>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IF(OR(A388="",A388&gt;=subjectMortgageEndDate),"",EDATE(A388,1))</f>
        <v/>
      </c>
      <c r="B389" s="276">
        <f t="shared" si="60"/>
        <v>0</v>
      </c>
      <c r="C389" s="14">
        <f>IF(A389="",0,IF(B389&lt;=0,0,IF(A389=subjectMortgageEndDate,B389+E389,MIN(subjectPayment,B389+E389))))</f>
        <v>0</v>
      </c>
      <c r="D389" s="14">
        <f t="shared" si="61"/>
        <v>0</v>
      </c>
      <c r="E389" s="14">
        <f>IF(OR(A389="",B389&lt;=0),0,ROUND(B389*(subjectInterestRate/12),2))</f>
        <v>0</v>
      </c>
      <c r="F389" s="14">
        <f t="shared" si="69"/>
        <v>134.16999999999999</v>
      </c>
      <c r="G389" s="14">
        <f t="shared" si="69"/>
        <v>188.55</v>
      </c>
      <c r="H389" s="14">
        <f t="shared" si="70"/>
        <v>322.72000000000003</v>
      </c>
      <c r="I389" s="276">
        <f t="shared" si="64"/>
        <v>97531.839999999953</v>
      </c>
      <c r="J389" s="276">
        <f t="shared" si="65"/>
        <v>36068.259999999973</v>
      </c>
      <c r="K389" s="276">
        <f t="shared" si="62"/>
        <v>0</v>
      </c>
      <c r="L389" s="394">
        <f t="shared" si="68"/>
        <v>0</v>
      </c>
      <c r="M389" s="394">
        <f t="shared" si="63"/>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IF(OR(A389="",A389&gt;=subjectMortgageEndDate),"",EDATE(A389,1))</f>
        <v/>
      </c>
      <c r="B390" s="276">
        <f t="shared" si="60"/>
        <v>0</v>
      </c>
      <c r="C390" s="14">
        <f>IF(A390="",0,IF(B390&lt;=0,0,IF(A390=subjectMortgageEndDate,B390+E390,MIN(subjectPayment,B390+E390))))</f>
        <v>0</v>
      </c>
      <c r="D390" s="14">
        <f t="shared" si="61"/>
        <v>0</v>
      </c>
      <c r="E390" s="14">
        <f>IF(OR(A390="",B390&lt;=0),0,ROUND(B390*(subjectInterestRate/12),2))</f>
        <v>0</v>
      </c>
      <c r="F390" s="14">
        <f t="shared" si="69"/>
        <v>134.16999999999999</v>
      </c>
      <c r="G390" s="14">
        <f t="shared" si="69"/>
        <v>188.55</v>
      </c>
      <c r="H390" s="14">
        <f t="shared" si="70"/>
        <v>322.72000000000003</v>
      </c>
      <c r="I390" s="276">
        <f t="shared" si="64"/>
        <v>97531.839999999953</v>
      </c>
      <c r="J390" s="276">
        <f t="shared" si="65"/>
        <v>36068.259999999973</v>
      </c>
      <c r="K390" s="276">
        <f t="shared" si="62"/>
        <v>0</v>
      </c>
      <c r="L390" s="394">
        <f t="shared" si="68"/>
        <v>0</v>
      </c>
      <c r="M390" s="394">
        <f t="shared" si="63"/>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IF(OR(A390="",A390&gt;=subjectMortgageEndDate),"",EDATE(A390,1))</f>
        <v/>
      </c>
      <c r="B391" s="332">
        <f t="shared" si="60"/>
        <v>0</v>
      </c>
      <c r="C391" s="21">
        <f>IF(A391="",0,IF(B391&lt;=0,0,IF(A391=subjectMortgageEndDate,B391+E391,MIN(subjectPayment,B391+E391))))</f>
        <v>0</v>
      </c>
      <c r="D391" s="21">
        <f t="shared" si="61"/>
        <v>0</v>
      </c>
      <c r="E391" s="21">
        <f>IF(OR(A391="",B391&lt;=0),0,ROUND(B391*(subjectInterestRate/12),2))</f>
        <v>0</v>
      </c>
      <c r="F391" s="21">
        <f t="shared" si="69"/>
        <v>134.16999999999999</v>
      </c>
      <c r="G391" s="21">
        <f t="shared" si="69"/>
        <v>188.55</v>
      </c>
      <c r="H391" s="21">
        <f t="shared" si="70"/>
        <v>322.72000000000003</v>
      </c>
      <c r="I391" s="332">
        <f t="shared" si="64"/>
        <v>97531.839999999953</v>
      </c>
      <c r="J391" s="332">
        <f t="shared" si="65"/>
        <v>36068.259999999973</v>
      </c>
      <c r="K391" s="332">
        <f t="shared" si="62"/>
        <v>0</v>
      </c>
      <c r="L391" s="395">
        <f t="shared" si="68"/>
        <v>0</v>
      </c>
      <c r="M391" s="395">
        <f t="shared" si="63"/>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32">
        <f>IF(INDEX(tblContractForDeed[End Bal],ROW()-ROW(tblBuyerOutputs[#Headers]))&lt;=0,0,($O$6+IF(ROW()=ROW(tblBuyerOutputs[#Headers])+1,0,INDEX(tblBuyerOutputs[Cumul Appr],ROW()-ROW(tblBuyerOutputs[#Headers])-1)))*$O$2/12)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IF(OR(A391="",A391&gt;=subjectMortgageEndDate),"",EDATE(A391,1))</f>
        <v/>
      </c>
      <c r="B392" s="276">
        <f t="shared" si="60"/>
        <v>0</v>
      </c>
      <c r="C392" s="14">
        <f>IF(A392="",0,IF(B392&lt;=0,0,IF(A392=subjectMortgageEndDate,B392+E392,MIN(subjectPayment,B392+E392))))</f>
        <v>0</v>
      </c>
      <c r="D392" s="14">
        <f t="shared" si="61"/>
        <v>0</v>
      </c>
      <c r="E392" s="14">
        <f>IF(OR(A392="",B392&lt;=0),0,ROUND(B392*(subjectInterestRate/12),2))</f>
        <v>0</v>
      </c>
      <c r="F392" s="14">
        <f t="shared" si="69"/>
        <v>134.16999999999999</v>
      </c>
      <c r="G392" s="14">
        <f t="shared" si="69"/>
        <v>188.55</v>
      </c>
      <c r="H392" s="14">
        <f t="shared" si="70"/>
        <v>322.72000000000003</v>
      </c>
      <c r="I392" s="276">
        <f t="shared" si="64"/>
        <v>97531.839999999953</v>
      </c>
      <c r="J392" s="276">
        <f t="shared" si="65"/>
        <v>36068.259999999973</v>
      </c>
      <c r="K392" s="276">
        <f t="shared" si="62"/>
        <v>0</v>
      </c>
      <c r="L392" s="394">
        <f t="shared" si="68"/>
        <v>0</v>
      </c>
      <c r="M392" s="394">
        <f t="shared" si="63"/>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IF(OR(A392="",A392&gt;=subjectMortgageEndDate),"",EDATE(A392,1))</f>
        <v/>
      </c>
      <c r="B393" s="276">
        <f t="shared" si="60"/>
        <v>0</v>
      </c>
      <c r="C393" s="14">
        <f>IF(A393="",0,IF(B393&lt;=0,0,IF(A393=subjectMortgageEndDate,B393+E393,MIN(subjectPayment,B393+E393))))</f>
        <v>0</v>
      </c>
      <c r="D393" s="14">
        <f t="shared" si="61"/>
        <v>0</v>
      </c>
      <c r="E393" s="14">
        <f>IF(OR(A393="",B393&lt;=0),0,ROUND(B393*(subjectInterestRate/12),2))</f>
        <v>0</v>
      </c>
      <c r="F393" s="14">
        <f t="shared" si="69"/>
        <v>134.16999999999999</v>
      </c>
      <c r="G393" s="14">
        <f t="shared" si="69"/>
        <v>188.55</v>
      </c>
      <c r="H393" s="14">
        <f t="shared" si="70"/>
        <v>322.72000000000003</v>
      </c>
      <c r="I393" s="276">
        <f t="shared" si="64"/>
        <v>97531.839999999953</v>
      </c>
      <c r="J393" s="276">
        <f t="shared" si="65"/>
        <v>36068.259999999973</v>
      </c>
      <c r="K393" s="276">
        <f t="shared" si="62"/>
        <v>0</v>
      </c>
      <c r="L393" s="394">
        <f t="shared" si="68"/>
        <v>0</v>
      </c>
      <c r="M393" s="394">
        <f t="shared" si="63"/>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IF(OR(A393="",A393&gt;=subjectMortgageEndDate),"",EDATE(A393,1))</f>
        <v/>
      </c>
      <c r="B394" s="276">
        <f t="shared" si="60"/>
        <v>0</v>
      </c>
      <c r="C394" s="14">
        <f>IF(A394="",0,IF(B394&lt;=0,0,IF(A394=subjectMortgageEndDate,B394+E394,MIN(subjectPayment,B394+E394))))</f>
        <v>0</v>
      </c>
      <c r="D394" s="14">
        <f t="shared" si="61"/>
        <v>0</v>
      </c>
      <c r="E394" s="14">
        <f>IF(OR(A394="",B394&lt;=0),0,ROUND(B394*(subjectInterestRate/12),2))</f>
        <v>0</v>
      </c>
      <c r="F394" s="14">
        <f t="shared" si="69"/>
        <v>134.16999999999999</v>
      </c>
      <c r="G394" s="14">
        <f t="shared" si="69"/>
        <v>188.55</v>
      </c>
      <c r="H394" s="14">
        <f t="shared" si="70"/>
        <v>322.72000000000003</v>
      </c>
      <c r="I394" s="276">
        <f t="shared" si="64"/>
        <v>97531.839999999953</v>
      </c>
      <c r="J394" s="276">
        <f t="shared" si="65"/>
        <v>36068.259999999973</v>
      </c>
      <c r="K394" s="276">
        <f t="shared" si="62"/>
        <v>0</v>
      </c>
      <c r="L394" s="394">
        <f t="shared" si="68"/>
        <v>0</v>
      </c>
      <c r="M394" s="394">
        <f t="shared" si="63"/>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IF(OR(A394="",A394&gt;=subjectMortgageEndDate),"",EDATE(A394,1))</f>
        <v/>
      </c>
      <c r="B395" s="276">
        <f t="shared" si="60"/>
        <v>0</v>
      </c>
      <c r="C395" s="14">
        <f>IF(A395="",0,IF(B395&lt;=0,0,IF(A395=subjectMortgageEndDate,B395+E395,MIN(subjectPayment,B395+E395))))</f>
        <v>0</v>
      </c>
      <c r="D395" s="14">
        <f t="shared" si="61"/>
        <v>0</v>
      </c>
      <c r="E395" s="14">
        <f>IF(OR(A395="",B395&lt;=0),0,ROUND(B395*(subjectInterestRate/12),2))</f>
        <v>0</v>
      </c>
      <c r="F395" s="14">
        <f t="shared" si="69"/>
        <v>134.16999999999999</v>
      </c>
      <c r="G395" s="14">
        <f t="shared" si="69"/>
        <v>188.55</v>
      </c>
      <c r="H395" s="14">
        <f t="shared" si="70"/>
        <v>322.72000000000003</v>
      </c>
      <c r="I395" s="276">
        <f t="shared" si="64"/>
        <v>97531.839999999953</v>
      </c>
      <c r="J395" s="276">
        <f t="shared" si="65"/>
        <v>36068.259999999973</v>
      </c>
      <c r="K395" s="276">
        <f t="shared" si="62"/>
        <v>0</v>
      </c>
      <c r="L395" s="394">
        <f t="shared" si="68"/>
        <v>0</v>
      </c>
      <c r="M395" s="394">
        <f t="shared" si="63"/>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IF(OR(A395="",A395&gt;=subjectMortgageEndDate),"",EDATE(A395,1))</f>
        <v/>
      </c>
      <c r="B396" s="276">
        <f t="shared" si="60"/>
        <v>0</v>
      </c>
      <c r="C396" s="14">
        <f>IF(A396="",0,IF(B396&lt;=0,0,IF(A396=subjectMortgageEndDate,B396+E396,MIN(subjectPayment,B396+E396))))</f>
        <v>0</v>
      </c>
      <c r="D396" s="14">
        <f t="shared" si="61"/>
        <v>0</v>
      </c>
      <c r="E396" s="14">
        <f>IF(OR(A396="",B396&lt;=0),0,ROUND(B396*(subjectInterestRate/12),2))</f>
        <v>0</v>
      </c>
      <c r="F396" s="14">
        <f t="shared" si="69"/>
        <v>134.16999999999999</v>
      </c>
      <c r="G396" s="14">
        <f t="shared" si="69"/>
        <v>188.55</v>
      </c>
      <c r="H396" s="14">
        <f t="shared" si="70"/>
        <v>322.72000000000003</v>
      </c>
      <c r="I396" s="276">
        <f t="shared" si="64"/>
        <v>97531.839999999953</v>
      </c>
      <c r="J396" s="276">
        <f t="shared" si="65"/>
        <v>36068.259999999973</v>
      </c>
      <c r="K396" s="276">
        <f t="shared" si="62"/>
        <v>0</v>
      </c>
      <c r="L396" s="394">
        <f t="shared" si="68"/>
        <v>0</v>
      </c>
      <c r="M396" s="394">
        <f t="shared" si="63"/>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IF(OR(A396="",A396&gt;=subjectMortgageEndDate),"",EDATE(A396,1))</f>
        <v/>
      </c>
      <c r="B397" s="276">
        <f t="shared" si="60"/>
        <v>0</v>
      </c>
      <c r="C397" s="14">
        <f>IF(A397="",0,IF(B397&lt;=0,0,IF(A397=subjectMortgageEndDate,B397+E397,MIN(subjectPayment,B397+E397))))</f>
        <v>0</v>
      </c>
      <c r="D397" s="14">
        <f t="shared" si="61"/>
        <v>0</v>
      </c>
      <c r="E397" s="14">
        <f>IF(OR(A397="",B397&lt;=0),0,ROUND(B397*(subjectInterestRate/12),2))</f>
        <v>0</v>
      </c>
      <c r="F397" s="14">
        <f t="shared" si="69"/>
        <v>134.16999999999999</v>
      </c>
      <c r="G397" s="14">
        <f t="shared" si="69"/>
        <v>188.55</v>
      </c>
      <c r="H397" s="14">
        <f t="shared" si="70"/>
        <v>322.72000000000003</v>
      </c>
      <c r="I397" s="276">
        <f t="shared" si="64"/>
        <v>97531.839999999953</v>
      </c>
      <c r="J397" s="276">
        <f t="shared" si="65"/>
        <v>36068.259999999973</v>
      </c>
      <c r="K397" s="276">
        <f t="shared" si="62"/>
        <v>0</v>
      </c>
      <c r="L397" s="394">
        <f t="shared" si="68"/>
        <v>0</v>
      </c>
      <c r="M397" s="394">
        <f t="shared" si="63"/>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IF(OR(A397="",A397&gt;=subjectMortgageEndDate),"",EDATE(A397,1))</f>
        <v/>
      </c>
      <c r="B398" s="276">
        <f t="shared" si="60"/>
        <v>0</v>
      </c>
      <c r="C398" s="14">
        <f>IF(A398="",0,IF(B398&lt;=0,0,IF(A398=subjectMortgageEndDate,B398+E398,MIN(subjectPayment,B398+E398))))</f>
        <v>0</v>
      </c>
      <c r="D398" s="14">
        <f t="shared" si="61"/>
        <v>0</v>
      </c>
      <c r="E398" s="14">
        <f>IF(OR(A398="",B398&lt;=0),0,ROUND(B398*(subjectInterestRate/12),2))</f>
        <v>0</v>
      </c>
      <c r="F398" s="14">
        <f t="shared" si="69"/>
        <v>134.16999999999999</v>
      </c>
      <c r="G398" s="14">
        <f t="shared" si="69"/>
        <v>188.55</v>
      </c>
      <c r="H398" s="14">
        <f t="shared" si="70"/>
        <v>322.72000000000003</v>
      </c>
      <c r="I398" s="276">
        <f t="shared" si="64"/>
        <v>97531.839999999953</v>
      </c>
      <c r="J398" s="276">
        <f t="shared" si="65"/>
        <v>36068.259999999973</v>
      </c>
      <c r="K398" s="276">
        <f t="shared" si="62"/>
        <v>0</v>
      </c>
      <c r="L398" s="394">
        <f t="shared" si="68"/>
        <v>0</v>
      </c>
      <c r="M398" s="394">
        <f t="shared" si="63"/>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IF(OR(A398="",A398&gt;=subjectMortgageEndDate),"",EDATE(A398,1))</f>
        <v/>
      </c>
      <c r="B399" s="276">
        <f t="shared" si="60"/>
        <v>0</v>
      </c>
      <c r="C399" s="14">
        <f>IF(A399="",0,IF(B399&lt;=0,0,IF(A399=subjectMortgageEndDate,B399+E399,MIN(subjectPayment,B399+E399))))</f>
        <v>0</v>
      </c>
      <c r="D399" s="14">
        <f t="shared" si="61"/>
        <v>0</v>
      </c>
      <c r="E399" s="14">
        <f>IF(OR(A399="",B399&lt;=0),0,ROUND(B399*(subjectInterestRate/12),2))</f>
        <v>0</v>
      </c>
      <c r="F399" s="14">
        <f t="shared" ref="F399:G414" si="71">+F398</f>
        <v>134.16999999999999</v>
      </c>
      <c r="G399" s="14">
        <f t="shared" si="71"/>
        <v>188.55</v>
      </c>
      <c r="H399" s="14">
        <f t="shared" si="70"/>
        <v>322.72000000000003</v>
      </c>
      <c r="I399" s="276">
        <f t="shared" si="64"/>
        <v>97531.839999999953</v>
      </c>
      <c r="J399" s="276">
        <f t="shared" si="65"/>
        <v>36068.259999999973</v>
      </c>
      <c r="K399" s="276">
        <f t="shared" si="62"/>
        <v>0</v>
      </c>
      <c r="L399" s="394">
        <f t="shared" si="68"/>
        <v>0</v>
      </c>
      <c r="M399" s="394">
        <f t="shared" si="63"/>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IF(OR(A399="",A399&gt;=subjectMortgageEndDate),"",EDATE(A399,1))</f>
        <v/>
      </c>
      <c r="B400" s="276">
        <f t="shared" si="60"/>
        <v>0</v>
      </c>
      <c r="C400" s="14">
        <f>IF(A400="",0,IF(B400&lt;=0,0,IF(A400=subjectMortgageEndDate,B400+E400,MIN(subjectPayment,B400+E400))))</f>
        <v>0</v>
      </c>
      <c r="D400" s="14">
        <f t="shared" si="61"/>
        <v>0</v>
      </c>
      <c r="E400" s="14">
        <f>IF(OR(A400="",B400&lt;=0),0,ROUND(B400*(subjectInterestRate/12),2))</f>
        <v>0</v>
      </c>
      <c r="F400" s="14">
        <f t="shared" si="71"/>
        <v>134.16999999999999</v>
      </c>
      <c r="G400" s="14">
        <f t="shared" si="71"/>
        <v>188.55</v>
      </c>
      <c r="H400" s="14">
        <f t="shared" si="70"/>
        <v>322.72000000000003</v>
      </c>
      <c r="I400" s="276">
        <f t="shared" si="64"/>
        <v>97531.839999999953</v>
      </c>
      <c r="J400" s="276">
        <f t="shared" si="65"/>
        <v>36068.259999999973</v>
      </c>
      <c r="K400" s="276">
        <f t="shared" si="62"/>
        <v>0</v>
      </c>
      <c r="L400" s="394">
        <f t="shared" si="68"/>
        <v>0</v>
      </c>
      <c r="M400" s="394">
        <f t="shared" si="63"/>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IF(OR(A400="",A400&gt;=subjectMortgageEndDate),"",EDATE(A400,1))</f>
        <v/>
      </c>
      <c r="B401" s="276">
        <f t="shared" si="60"/>
        <v>0</v>
      </c>
      <c r="C401" s="14">
        <f>IF(A401="",0,IF(B401&lt;=0,0,IF(A401=subjectMortgageEndDate,B401+E401,MIN(subjectPayment,B401+E401))))</f>
        <v>0</v>
      </c>
      <c r="D401" s="14">
        <f t="shared" si="61"/>
        <v>0</v>
      </c>
      <c r="E401" s="14">
        <f>IF(OR(A401="",B401&lt;=0),0,ROUND(B401*(subjectInterestRate/12),2))</f>
        <v>0</v>
      </c>
      <c r="F401" s="14">
        <f t="shared" si="71"/>
        <v>134.16999999999999</v>
      </c>
      <c r="G401" s="14">
        <f t="shared" si="71"/>
        <v>188.55</v>
      </c>
      <c r="H401" s="14">
        <f t="shared" si="70"/>
        <v>322.72000000000003</v>
      </c>
      <c r="I401" s="276">
        <f t="shared" si="64"/>
        <v>97531.839999999953</v>
      </c>
      <c r="J401" s="276">
        <f t="shared" si="65"/>
        <v>36068.259999999973</v>
      </c>
      <c r="K401" s="276">
        <f t="shared" si="62"/>
        <v>0</v>
      </c>
      <c r="L401" s="394">
        <f t="shared" si="68"/>
        <v>0</v>
      </c>
      <c r="M401" s="394">
        <f t="shared" si="63"/>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IF(OR(A401="",A401&gt;=subjectMortgageEndDate),"",EDATE(A401,1))</f>
        <v/>
      </c>
      <c r="B402" s="276">
        <f t="shared" si="60"/>
        <v>0</v>
      </c>
      <c r="C402" s="14">
        <f>IF(A402="",0,IF(B402&lt;=0,0,IF(A402=subjectMortgageEndDate,B402+E402,MIN(subjectPayment,B402+E402))))</f>
        <v>0</v>
      </c>
      <c r="D402" s="14">
        <f t="shared" si="61"/>
        <v>0</v>
      </c>
      <c r="E402" s="14">
        <f>IF(OR(A402="",B402&lt;=0),0,ROUND(B402*(subjectInterestRate/12),2))</f>
        <v>0</v>
      </c>
      <c r="F402" s="14">
        <f t="shared" si="71"/>
        <v>134.16999999999999</v>
      </c>
      <c r="G402" s="14">
        <f t="shared" si="71"/>
        <v>188.55</v>
      </c>
      <c r="H402" s="14">
        <f t="shared" si="70"/>
        <v>322.72000000000003</v>
      </c>
      <c r="I402" s="276">
        <f t="shared" si="64"/>
        <v>97531.839999999953</v>
      </c>
      <c r="J402" s="276">
        <f t="shared" si="65"/>
        <v>36068.259999999973</v>
      </c>
      <c r="K402" s="276">
        <f t="shared" si="62"/>
        <v>0</v>
      </c>
      <c r="L402" s="394">
        <f t="shared" si="68"/>
        <v>0</v>
      </c>
      <c r="M402" s="394">
        <f t="shared" si="63"/>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IF(OR(A402="",A402&gt;=subjectMortgageEndDate),"",EDATE(A402,1))</f>
        <v/>
      </c>
      <c r="B403" s="332">
        <f t="shared" si="60"/>
        <v>0</v>
      </c>
      <c r="C403" s="21">
        <f>IF(A403="",0,IF(B403&lt;=0,0,IF(A403=subjectMortgageEndDate,B403+E403,MIN(subjectPayment,B403+E403))))</f>
        <v>0</v>
      </c>
      <c r="D403" s="21">
        <f t="shared" si="61"/>
        <v>0</v>
      </c>
      <c r="E403" s="21">
        <f>IF(OR(A403="",B403&lt;=0),0,ROUND(B403*(subjectInterestRate/12),2))</f>
        <v>0</v>
      </c>
      <c r="F403" s="21">
        <f t="shared" si="71"/>
        <v>134.16999999999999</v>
      </c>
      <c r="G403" s="21">
        <f t="shared" si="71"/>
        <v>188.55</v>
      </c>
      <c r="H403" s="21">
        <f t="shared" si="70"/>
        <v>322.72000000000003</v>
      </c>
      <c r="I403" s="332">
        <f t="shared" si="64"/>
        <v>97531.839999999953</v>
      </c>
      <c r="J403" s="332">
        <f t="shared" si="65"/>
        <v>36068.259999999973</v>
      </c>
      <c r="K403" s="332">
        <f t="shared" si="62"/>
        <v>0</v>
      </c>
      <c r="L403" s="395">
        <f t="shared" si="68"/>
        <v>0</v>
      </c>
      <c r="M403" s="395">
        <f t="shared" si="63"/>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32">
        <f>IF(INDEX(tblContractForDeed[End Bal],ROW()-ROW(tblBuyerOutputs[#Headers]))&lt;=0,0,($O$6+IF(ROW()=ROW(tblBuyerOutputs[#Headers])+1,0,INDEX(tblBuyerOutputs[Cumul Appr],ROW()-ROW(tblBuyerOutputs[#Headers])-1)))*$O$2/12)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IF(OR(A403="",A403&gt;=subjectMortgageEndDate),"",EDATE(A403,1))</f>
        <v/>
      </c>
      <c r="B404" s="276">
        <f t="shared" si="60"/>
        <v>0</v>
      </c>
      <c r="C404" s="14">
        <f>IF(A404="",0,IF(B404&lt;=0,0,IF(A404=subjectMortgageEndDate,B404+E404,MIN(subjectPayment,B404+E404))))</f>
        <v>0</v>
      </c>
      <c r="D404" s="14">
        <f t="shared" si="61"/>
        <v>0</v>
      </c>
      <c r="E404" s="14">
        <f>IF(OR(A404="",B404&lt;=0),0,ROUND(B404*(subjectInterestRate/12),2))</f>
        <v>0</v>
      </c>
      <c r="F404" s="14">
        <f t="shared" si="71"/>
        <v>134.16999999999999</v>
      </c>
      <c r="G404" s="14">
        <f t="shared" si="71"/>
        <v>188.55</v>
      </c>
      <c r="H404" s="14">
        <f t="shared" si="70"/>
        <v>322.72000000000003</v>
      </c>
      <c r="I404" s="276">
        <f t="shared" si="64"/>
        <v>97531.839999999953</v>
      </c>
      <c r="J404" s="276">
        <f t="shared" si="65"/>
        <v>36068.259999999973</v>
      </c>
      <c r="K404" s="276">
        <f t="shared" si="62"/>
        <v>0</v>
      </c>
      <c r="L404" s="394">
        <f t="shared" si="68"/>
        <v>0</v>
      </c>
      <c r="M404" s="394">
        <f t="shared" si="63"/>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IF(OR(A404="",A404&gt;=subjectMortgageEndDate),"",EDATE(A404,1))</f>
        <v/>
      </c>
      <c r="B405" s="276">
        <f t="shared" ref="B405:B468" si="72">IF(A405="",0,MAX(0,K404))</f>
        <v>0</v>
      </c>
      <c r="C405" s="14">
        <f>IF(A405="",0,IF(B405&lt;=0,0,IF(A405=subjectMortgageEndDate,B405+E405,MIN(subjectPayment,B405+E405))))</f>
        <v>0</v>
      </c>
      <c r="D405" s="14">
        <f t="shared" ref="D405:D468" si="73">IF(C405=0,0,MAX(0,MIN(B405,C405-E405)))</f>
        <v>0</v>
      </c>
      <c r="E405" s="14">
        <f>IF(OR(A405="",B405&lt;=0),0,ROUND(B405*(subjectInterestRate/12),2))</f>
        <v>0</v>
      </c>
      <c r="F405" s="14">
        <f t="shared" si="71"/>
        <v>134.16999999999999</v>
      </c>
      <c r="G405" s="14">
        <f t="shared" si="71"/>
        <v>188.55</v>
      </c>
      <c r="H405" s="14">
        <f t="shared" si="70"/>
        <v>322.72000000000003</v>
      </c>
      <c r="I405" s="276">
        <f t="shared" si="64"/>
        <v>97531.839999999953</v>
      </c>
      <c r="J405" s="276">
        <f t="shared" si="65"/>
        <v>36068.259999999973</v>
      </c>
      <c r="K405" s="276">
        <f t="shared" ref="K405:K468" si="74">IF(A405="",0,IF(B405&lt;=0,0,MAX(0,B405-D405)))</f>
        <v>0</v>
      </c>
      <c r="L405" s="394">
        <f t="shared" si="68"/>
        <v>0</v>
      </c>
      <c r="M405" s="394">
        <f t="shared" ref="M405:M468" si="75">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IF(OR(A405="",A405&gt;=subjectMortgageEndDate),"",EDATE(A405,1))</f>
        <v/>
      </c>
      <c r="B406" s="276">
        <f t="shared" si="72"/>
        <v>0</v>
      </c>
      <c r="C406" s="14">
        <f>IF(A406="",0,IF(B406&lt;=0,0,IF(A406=subjectMortgageEndDate,B406+E406,MIN(subjectPayment,B406+E406))))</f>
        <v>0</v>
      </c>
      <c r="D406" s="14">
        <f t="shared" si="73"/>
        <v>0</v>
      </c>
      <c r="E406" s="14">
        <f>IF(OR(A406="",B406&lt;=0),0,ROUND(B406*(subjectInterestRate/12),2))</f>
        <v>0</v>
      </c>
      <c r="F406" s="14">
        <f t="shared" si="71"/>
        <v>134.16999999999999</v>
      </c>
      <c r="G406" s="14">
        <f t="shared" si="71"/>
        <v>188.55</v>
      </c>
      <c r="H406" s="14">
        <f t="shared" si="70"/>
        <v>322.72000000000003</v>
      </c>
      <c r="I406" s="276">
        <f t="shared" ref="I406:I469" si="76">$D406+$I405</f>
        <v>97531.839999999953</v>
      </c>
      <c r="J406" s="276">
        <f t="shared" ref="J406:J469" si="77">$E406+$J405</f>
        <v>36068.259999999973</v>
      </c>
      <c r="K406" s="276">
        <f t="shared" si="74"/>
        <v>0</v>
      </c>
      <c r="L406" s="394">
        <f t="shared" si="68"/>
        <v>0</v>
      </c>
      <c r="M406" s="394">
        <f t="shared" si="75"/>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IF(OR(A406="",A406&gt;=subjectMortgageEndDate),"",EDATE(A406,1))</f>
        <v/>
      </c>
      <c r="B407" s="276">
        <f t="shared" si="72"/>
        <v>0</v>
      </c>
      <c r="C407" s="14">
        <f>IF(A407="",0,IF(B407&lt;=0,0,IF(A407=subjectMortgageEndDate,B407+E407,MIN(subjectPayment,B407+E407))))</f>
        <v>0</v>
      </c>
      <c r="D407" s="14">
        <f t="shared" si="73"/>
        <v>0</v>
      </c>
      <c r="E407" s="14">
        <f>IF(OR(A407="",B407&lt;=0),0,ROUND(B407*(subjectInterestRate/12),2))</f>
        <v>0</v>
      </c>
      <c r="F407" s="14">
        <f t="shared" si="71"/>
        <v>134.16999999999999</v>
      </c>
      <c r="G407" s="14">
        <f t="shared" si="71"/>
        <v>188.55</v>
      </c>
      <c r="H407" s="14">
        <f t="shared" si="70"/>
        <v>322.72000000000003</v>
      </c>
      <c r="I407" s="276">
        <f t="shared" si="76"/>
        <v>97531.839999999953</v>
      </c>
      <c r="J407" s="276">
        <f t="shared" si="77"/>
        <v>36068.259999999973</v>
      </c>
      <c r="K407" s="276">
        <f t="shared" si="74"/>
        <v>0</v>
      </c>
      <c r="L407" s="394">
        <f t="shared" si="68"/>
        <v>0</v>
      </c>
      <c r="M407" s="394">
        <f t="shared" si="75"/>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IF(OR(A407="",A407&gt;=subjectMortgageEndDate),"",EDATE(A407,1))</f>
        <v/>
      </c>
      <c r="B408" s="276">
        <f t="shared" si="72"/>
        <v>0</v>
      </c>
      <c r="C408" s="14">
        <f>IF(A408="",0,IF(B408&lt;=0,0,IF(A408=subjectMortgageEndDate,B408+E408,MIN(subjectPayment,B408+E408))))</f>
        <v>0</v>
      </c>
      <c r="D408" s="14">
        <f t="shared" si="73"/>
        <v>0</v>
      </c>
      <c r="E408" s="14">
        <f>IF(OR(A408="",B408&lt;=0),0,ROUND(B408*(subjectInterestRate/12),2))</f>
        <v>0</v>
      </c>
      <c r="F408" s="14">
        <f t="shared" si="71"/>
        <v>134.16999999999999</v>
      </c>
      <c r="G408" s="14">
        <f t="shared" si="71"/>
        <v>188.55</v>
      </c>
      <c r="H408" s="14">
        <f t="shared" si="70"/>
        <v>322.72000000000003</v>
      </c>
      <c r="I408" s="276">
        <f t="shared" si="76"/>
        <v>97531.839999999953</v>
      </c>
      <c r="J408" s="276">
        <f t="shared" si="77"/>
        <v>36068.259999999973</v>
      </c>
      <c r="K408" s="276">
        <f t="shared" si="74"/>
        <v>0</v>
      </c>
      <c r="L408" s="394">
        <f t="shared" si="68"/>
        <v>0</v>
      </c>
      <c r="M408" s="394">
        <f t="shared" si="75"/>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IF(OR(A408="",A408&gt;=subjectMortgageEndDate),"",EDATE(A408,1))</f>
        <v/>
      </c>
      <c r="B409" s="276">
        <f t="shared" si="72"/>
        <v>0</v>
      </c>
      <c r="C409" s="14">
        <f>IF(A409="",0,IF(B409&lt;=0,0,IF(A409=subjectMortgageEndDate,B409+E409,MIN(subjectPayment,B409+E409))))</f>
        <v>0</v>
      </c>
      <c r="D409" s="14">
        <f t="shared" si="73"/>
        <v>0</v>
      </c>
      <c r="E409" s="14">
        <f>IF(OR(A409="",B409&lt;=0),0,ROUND(B409*(subjectInterestRate/12),2))</f>
        <v>0</v>
      </c>
      <c r="F409" s="14">
        <f t="shared" si="71"/>
        <v>134.16999999999999</v>
      </c>
      <c r="G409" s="14">
        <f t="shared" si="71"/>
        <v>188.55</v>
      </c>
      <c r="H409" s="14">
        <f t="shared" si="70"/>
        <v>322.72000000000003</v>
      </c>
      <c r="I409" s="276">
        <f t="shared" si="76"/>
        <v>97531.839999999953</v>
      </c>
      <c r="J409" s="276">
        <f t="shared" si="77"/>
        <v>36068.259999999973</v>
      </c>
      <c r="K409" s="276">
        <f t="shared" si="74"/>
        <v>0</v>
      </c>
      <c r="L409" s="394">
        <f t="shared" si="68"/>
        <v>0</v>
      </c>
      <c r="M409" s="394">
        <f t="shared" si="75"/>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IF(OR(A409="",A409&gt;=subjectMortgageEndDate),"",EDATE(A409,1))</f>
        <v/>
      </c>
      <c r="B410" s="276">
        <f t="shared" si="72"/>
        <v>0</v>
      </c>
      <c r="C410" s="14">
        <f>IF(A410="",0,IF(B410&lt;=0,0,IF(A410=subjectMortgageEndDate,B410+E410,MIN(subjectPayment,B410+E410))))</f>
        <v>0</v>
      </c>
      <c r="D410" s="14">
        <f t="shared" si="73"/>
        <v>0</v>
      </c>
      <c r="E410" s="14">
        <f>IF(OR(A410="",B410&lt;=0),0,ROUND(B410*(subjectInterestRate/12),2))</f>
        <v>0</v>
      </c>
      <c r="F410" s="14">
        <f t="shared" si="71"/>
        <v>134.16999999999999</v>
      </c>
      <c r="G410" s="14">
        <f t="shared" si="71"/>
        <v>188.55</v>
      </c>
      <c r="H410" s="14">
        <f t="shared" si="70"/>
        <v>322.72000000000003</v>
      </c>
      <c r="I410" s="276">
        <f t="shared" si="76"/>
        <v>97531.839999999953</v>
      </c>
      <c r="J410" s="276">
        <f t="shared" si="77"/>
        <v>36068.259999999973</v>
      </c>
      <c r="K410" s="276">
        <f t="shared" si="74"/>
        <v>0</v>
      </c>
      <c r="L410" s="394">
        <f t="shared" si="68"/>
        <v>0</v>
      </c>
      <c r="M410" s="394">
        <f t="shared" si="75"/>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IF(OR(A410="",A410&gt;=subjectMortgageEndDate),"",EDATE(A410,1))</f>
        <v/>
      </c>
      <c r="B411" s="276">
        <f t="shared" si="72"/>
        <v>0</v>
      </c>
      <c r="C411" s="14">
        <f>IF(A411="",0,IF(B411&lt;=0,0,IF(A411=subjectMortgageEndDate,B411+E411,MIN(subjectPayment,B411+E411))))</f>
        <v>0</v>
      </c>
      <c r="D411" s="14">
        <f t="shared" si="73"/>
        <v>0</v>
      </c>
      <c r="E411" s="14">
        <f>IF(OR(A411="",B411&lt;=0),0,ROUND(B411*(subjectInterestRate/12),2))</f>
        <v>0</v>
      </c>
      <c r="F411" s="14">
        <f t="shared" si="71"/>
        <v>134.16999999999999</v>
      </c>
      <c r="G411" s="14">
        <f t="shared" si="71"/>
        <v>188.55</v>
      </c>
      <c r="H411" s="14">
        <f t="shared" si="70"/>
        <v>322.72000000000003</v>
      </c>
      <c r="I411" s="276">
        <f t="shared" si="76"/>
        <v>97531.839999999953</v>
      </c>
      <c r="J411" s="276">
        <f t="shared" si="77"/>
        <v>36068.259999999973</v>
      </c>
      <c r="K411" s="276">
        <f t="shared" si="74"/>
        <v>0</v>
      </c>
      <c r="L411" s="394">
        <f t="shared" si="68"/>
        <v>0</v>
      </c>
      <c r="M411" s="394">
        <f t="shared" si="75"/>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IF(OR(A411="",A411&gt;=subjectMortgageEndDate),"",EDATE(A411,1))</f>
        <v/>
      </c>
      <c r="B412" s="276">
        <f t="shared" si="72"/>
        <v>0</v>
      </c>
      <c r="C412" s="14">
        <f>IF(A412="",0,IF(B412&lt;=0,0,IF(A412=subjectMortgageEndDate,B412+E412,MIN(subjectPayment,B412+E412))))</f>
        <v>0</v>
      </c>
      <c r="D412" s="14">
        <f t="shared" si="73"/>
        <v>0</v>
      </c>
      <c r="E412" s="14">
        <f>IF(OR(A412="",B412&lt;=0),0,ROUND(B412*(subjectInterestRate/12),2))</f>
        <v>0</v>
      </c>
      <c r="F412" s="14">
        <f t="shared" si="71"/>
        <v>134.16999999999999</v>
      </c>
      <c r="G412" s="14">
        <f t="shared" si="71"/>
        <v>188.55</v>
      </c>
      <c r="H412" s="14">
        <f t="shared" si="70"/>
        <v>322.72000000000003</v>
      </c>
      <c r="I412" s="276">
        <f t="shared" si="76"/>
        <v>97531.839999999953</v>
      </c>
      <c r="J412" s="276">
        <f t="shared" si="77"/>
        <v>36068.259999999973</v>
      </c>
      <c r="K412" s="276">
        <f t="shared" si="74"/>
        <v>0</v>
      </c>
      <c r="L412" s="394">
        <f t="shared" si="68"/>
        <v>0</v>
      </c>
      <c r="M412" s="394">
        <f t="shared" si="75"/>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IF(OR(A412="",A412&gt;=subjectMortgageEndDate),"",EDATE(A412,1))</f>
        <v/>
      </c>
      <c r="B413" s="276">
        <f t="shared" si="72"/>
        <v>0</v>
      </c>
      <c r="C413" s="14">
        <f>IF(A413="",0,IF(B413&lt;=0,0,IF(A413=subjectMortgageEndDate,B413+E413,MIN(subjectPayment,B413+E413))))</f>
        <v>0</v>
      </c>
      <c r="D413" s="14">
        <f t="shared" si="73"/>
        <v>0</v>
      </c>
      <c r="E413" s="14">
        <f>IF(OR(A413="",B413&lt;=0),0,ROUND(B413*(subjectInterestRate/12),2))</f>
        <v>0</v>
      </c>
      <c r="F413" s="14">
        <f t="shared" si="71"/>
        <v>134.16999999999999</v>
      </c>
      <c r="G413" s="14">
        <f t="shared" si="71"/>
        <v>188.55</v>
      </c>
      <c r="H413" s="14">
        <f t="shared" si="70"/>
        <v>322.72000000000003</v>
      </c>
      <c r="I413" s="276">
        <f t="shared" si="76"/>
        <v>97531.839999999953</v>
      </c>
      <c r="J413" s="276">
        <f t="shared" si="77"/>
        <v>36068.259999999973</v>
      </c>
      <c r="K413" s="276">
        <f t="shared" si="74"/>
        <v>0</v>
      </c>
      <c r="L413" s="394">
        <f t="shared" si="68"/>
        <v>0</v>
      </c>
      <c r="M413" s="394">
        <f t="shared" si="75"/>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IF(OR(A413="",A413&gt;=subjectMortgageEndDate),"",EDATE(A413,1))</f>
        <v/>
      </c>
      <c r="B414" s="276">
        <f t="shared" si="72"/>
        <v>0</v>
      </c>
      <c r="C414" s="14">
        <f>IF(A414="",0,IF(B414&lt;=0,0,IF(A414=subjectMortgageEndDate,B414+E414,MIN(subjectPayment,B414+E414))))</f>
        <v>0</v>
      </c>
      <c r="D414" s="14">
        <f t="shared" si="73"/>
        <v>0</v>
      </c>
      <c r="E414" s="14">
        <f>IF(OR(A414="",B414&lt;=0),0,ROUND(B414*(subjectInterestRate/12),2))</f>
        <v>0</v>
      </c>
      <c r="F414" s="14">
        <f t="shared" si="71"/>
        <v>134.16999999999999</v>
      </c>
      <c r="G414" s="14">
        <f t="shared" si="71"/>
        <v>188.55</v>
      </c>
      <c r="H414" s="14">
        <f t="shared" si="70"/>
        <v>322.72000000000003</v>
      </c>
      <c r="I414" s="276">
        <f t="shared" si="76"/>
        <v>97531.839999999953</v>
      </c>
      <c r="J414" s="276">
        <f t="shared" si="77"/>
        <v>36068.259999999973</v>
      </c>
      <c r="K414" s="276">
        <f t="shared" si="74"/>
        <v>0</v>
      </c>
      <c r="L414" s="394">
        <f t="shared" si="68"/>
        <v>0</v>
      </c>
      <c r="M414" s="394">
        <f t="shared" si="75"/>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IF(OR(A414="",A414&gt;=subjectMortgageEndDate),"",EDATE(A414,1))</f>
        <v/>
      </c>
      <c r="B415" s="332">
        <f t="shared" si="72"/>
        <v>0</v>
      </c>
      <c r="C415" s="21">
        <f>IF(A415="",0,IF(B415&lt;=0,0,IF(A415=subjectMortgageEndDate,B415+E415,MIN(subjectPayment,B415+E415))))</f>
        <v>0</v>
      </c>
      <c r="D415" s="21">
        <f t="shared" si="73"/>
        <v>0</v>
      </c>
      <c r="E415" s="21">
        <f>IF(OR(A415="",B415&lt;=0),0,ROUND(B415*(subjectInterestRate/12),2))</f>
        <v>0</v>
      </c>
      <c r="F415" s="21">
        <f t="shared" ref="F415:G430" si="78">+F414</f>
        <v>134.16999999999999</v>
      </c>
      <c r="G415" s="21">
        <f t="shared" si="78"/>
        <v>188.55</v>
      </c>
      <c r="H415" s="21">
        <f t="shared" si="70"/>
        <v>322.72000000000003</v>
      </c>
      <c r="I415" s="332">
        <f t="shared" si="76"/>
        <v>97531.839999999953</v>
      </c>
      <c r="J415" s="332">
        <f t="shared" si="77"/>
        <v>36068.259999999973</v>
      </c>
      <c r="K415" s="332">
        <f t="shared" si="74"/>
        <v>0</v>
      </c>
      <c r="L415" s="395">
        <f t="shared" si="68"/>
        <v>0</v>
      </c>
      <c r="M415" s="395">
        <f t="shared" si="75"/>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32">
        <f>IF(INDEX(tblContractForDeed[End Bal],ROW()-ROW(tblBuyerOutputs[#Headers]))&lt;=0,0,($O$6+IF(ROW()=ROW(tblBuyerOutputs[#Headers])+1,0,INDEX(tblBuyerOutputs[Cumul Appr],ROW()-ROW(tblBuyerOutputs[#Headers])-1)))*$O$2/12)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IF(OR(A415="",A415&gt;=subjectMortgageEndDate),"",EDATE(A415,1))</f>
        <v/>
      </c>
      <c r="B416" s="276">
        <f t="shared" si="72"/>
        <v>0</v>
      </c>
      <c r="C416" s="14">
        <f>IF(A416="",0,IF(B416&lt;=0,0,IF(A416=subjectMortgageEndDate,B416+E416,MIN(subjectPayment,B416+E416))))</f>
        <v>0</v>
      </c>
      <c r="D416" s="14">
        <f t="shared" si="73"/>
        <v>0</v>
      </c>
      <c r="E416" s="14">
        <f>IF(OR(A416="",B416&lt;=0),0,ROUND(B416*(subjectInterestRate/12),2))</f>
        <v>0</v>
      </c>
      <c r="F416" s="14">
        <f t="shared" si="78"/>
        <v>134.16999999999999</v>
      </c>
      <c r="G416" s="14">
        <f t="shared" si="78"/>
        <v>188.55</v>
      </c>
      <c r="H416" s="14">
        <f t="shared" si="70"/>
        <v>322.72000000000003</v>
      </c>
      <c r="I416" s="276">
        <f t="shared" si="76"/>
        <v>97531.839999999953</v>
      </c>
      <c r="J416" s="276">
        <f t="shared" si="77"/>
        <v>36068.259999999973</v>
      </c>
      <c r="K416" s="276">
        <f t="shared" si="74"/>
        <v>0</v>
      </c>
      <c r="L416" s="394">
        <f t="shared" si="68"/>
        <v>0</v>
      </c>
      <c r="M416" s="394">
        <f t="shared" si="75"/>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IF(OR(A416="",A416&gt;=subjectMortgageEndDate),"",EDATE(A416,1))</f>
        <v/>
      </c>
      <c r="B417" s="276">
        <f t="shared" si="72"/>
        <v>0</v>
      </c>
      <c r="C417" s="14">
        <f>IF(A417="",0,IF(B417&lt;=0,0,IF(A417=subjectMortgageEndDate,B417+E417,MIN(subjectPayment,B417+E417))))</f>
        <v>0</v>
      </c>
      <c r="D417" s="14">
        <f t="shared" si="73"/>
        <v>0</v>
      </c>
      <c r="E417" s="14">
        <f>IF(OR(A417="",B417&lt;=0),0,ROUND(B417*(subjectInterestRate/12),2))</f>
        <v>0</v>
      </c>
      <c r="F417" s="14">
        <f t="shared" si="78"/>
        <v>134.16999999999999</v>
      </c>
      <c r="G417" s="14">
        <f t="shared" si="78"/>
        <v>188.55</v>
      </c>
      <c r="H417" s="14">
        <f t="shared" si="70"/>
        <v>322.72000000000003</v>
      </c>
      <c r="I417" s="276">
        <f t="shared" si="76"/>
        <v>97531.839999999953</v>
      </c>
      <c r="J417" s="276">
        <f t="shared" si="77"/>
        <v>36068.259999999973</v>
      </c>
      <c r="K417" s="276">
        <f t="shared" si="74"/>
        <v>0</v>
      </c>
      <c r="L417" s="394">
        <f t="shared" si="68"/>
        <v>0</v>
      </c>
      <c r="M417" s="394">
        <f t="shared" si="75"/>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IF(OR(A417="",A417&gt;=subjectMortgageEndDate),"",EDATE(A417,1))</f>
        <v/>
      </c>
      <c r="B418" s="276">
        <f t="shared" si="72"/>
        <v>0</v>
      </c>
      <c r="C418" s="14">
        <f>IF(A418="",0,IF(B418&lt;=0,0,IF(A418=subjectMortgageEndDate,B418+E418,MIN(subjectPayment,B418+E418))))</f>
        <v>0</v>
      </c>
      <c r="D418" s="14">
        <f t="shared" si="73"/>
        <v>0</v>
      </c>
      <c r="E418" s="14">
        <f>IF(OR(A418="",B418&lt;=0),0,ROUND(B418*(subjectInterestRate/12),2))</f>
        <v>0</v>
      </c>
      <c r="F418" s="14">
        <f t="shared" si="78"/>
        <v>134.16999999999999</v>
      </c>
      <c r="G418" s="14">
        <f t="shared" si="78"/>
        <v>188.55</v>
      </c>
      <c r="H418" s="14">
        <f t="shared" si="70"/>
        <v>322.72000000000003</v>
      </c>
      <c r="I418" s="276">
        <f t="shared" si="76"/>
        <v>97531.839999999953</v>
      </c>
      <c r="J418" s="276">
        <f t="shared" si="77"/>
        <v>36068.259999999973</v>
      </c>
      <c r="K418" s="276">
        <f t="shared" si="74"/>
        <v>0</v>
      </c>
      <c r="L418" s="394">
        <f t="shared" si="68"/>
        <v>0</v>
      </c>
      <c r="M418" s="394">
        <f t="shared" si="75"/>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IF(OR(A418="",A418&gt;=subjectMortgageEndDate),"",EDATE(A418,1))</f>
        <v/>
      </c>
      <c r="B419" s="276">
        <f t="shared" si="72"/>
        <v>0</v>
      </c>
      <c r="C419" s="14">
        <f>IF(A419="",0,IF(B419&lt;=0,0,IF(A419=subjectMortgageEndDate,B419+E419,MIN(subjectPayment,B419+E419))))</f>
        <v>0</v>
      </c>
      <c r="D419" s="14">
        <f t="shared" si="73"/>
        <v>0</v>
      </c>
      <c r="E419" s="14">
        <f>IF(OR(A419="",B419&lt;=0),0,ROUND(B419*(subjectInterestRate/12),2))</f>
        <v>0</v>
      </c>
      <c r="F419" s="14">
        <f t="shared" si="78"/>
        <v>134.16999999999999</v>
      </c>
      <c r="G419" s="14">
        <f t="shared" si="78"/>
        <v>188.55</v>
      </c>
      <c r="H419" s="14">
        <f t="shared" si="70"/>
        <v>322.72000000000003</v>
      </c>
      <c r="I419" s="276">
        <f t="shared" si="76"/>
        <v>97531.839999999953</v>
      </c>
      <c r="J419" s="276">
        <f t="shared" si="77"/>
        <v>36068.259999999973</v>
      </c>
      <c r="K419" s="276">
        <f t="shared" si="74"/>
        <v>0</v>
      </c>
      <c r="L419" s="394">
        <f t="shared" si="68"/>
        <v>0</v>
      </c>
      <c r="M419" s="394">
        <f t="shared" si="75"/>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IF(OR(A419="",A419&gt;=subjectMortgageEndDate),"",EDATE(A419,1))</f>
        <v/>
      </c>
      <c r="B420" s="276">
        <f t="shared" si="72"/>
        <v>0</v>
      </c>
      <c r="C420" s="14">
        <f>IF(A420="",0,IF(B420&lt;=0,0,IF(A420=subjectMortgageEndDate,B420+E420,MIN(subjectPayment,B420+E420))))</f>
        <v>0</v>
      </c>
      <c r="D420" s="14">
        <f t="shared" si="73"/>
        <v>0</v>
      </c>
      <c r="E420" s="14">
        <f>IF(OR(A420="",B420&lt;=0),0,ROUND(B420*(subjectInterestRate/12),2))</f>
        <v>0</v>
      </c>
      <c r="F420" s="14">
        <f t="shared" si="78"/>
        <v>134.16999999999999</v>
      </c>
      <c r="G420" s="14">
        <f t="shared" si="78"/>
        <v>188.55</v>
      </c>
      <c r="H420" s="14">
        <f t="shared" si="70"/>
        <v>322.72000000000003</v>
      </c>
      <c r="I420" s="276">
        <f t="shared" si="76"/>
        <v>97531.839999999953</v>
      </c>
      <c r="J420" s="276">
        <f t="shared" si="77"/>
        <v>36068.259999999973</v>
      </c>
      <c r="K420" s="276">
        <f t="shared" si="74"/>
        <v>0</v>
      </c>
      <c r="L420" s="394">
        <f t="shared" si="68"/>
        <v>0</v>
      </c>
      <c r="M420" s="394">
        <f t="shared" si="75"/>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IF(OR(A420="",A420&gt;=subjectMortgageEndDate),"",EDATE(A420,1))</f>
        <v/>
      </c>
      <c r="B421" s="276">
        <f t="shared" si="72"/>
        <v>0</v>
      </c>
      <c r="C421" s="14">
        <f>IF(A421="",0,IF(B421&lt;=0,0,IF(A421=subjectMortgageEndDate,B421+E421,MIN(subjectPayment,B421+E421))))</f>
        <v>0</v>
      </c>
      <c r="D421" s="14">
        <f t="shared" si="73"/>
        <v>0</v>
      </c>
      <c r="E421" s="14">
        <f>IF(OR(A421="",B421&lt;=0),0,ROUND(B421*(subjectInterestRate/12),2))</f>
        <v>0</v>
      </c>
      <c r="F421" s="14">
        <f t="shared" si="78"/>
        <v>134.16999999999999</v>
      </c>
      <c r="G421" s="14">
        <f t="shared" si="78"/>
        <v>188.55</v>
      </c>
      <c r="H421" s="14">
        <f t="shared" si="70"/>
        <v>322.72000000000003</v>
      </c>
      <c r="I421" s="276">
        <f t="shared" si="76"/>
        <v>97531.839999999953</v>
      </c>
      <c r="J421" s="276">
        <f t="shared" si="77"/>
        <v>36068.259999999973</v>
      </c>
      <c r="K421" s="276">
        <f t="shared" si="74"/>
        <v>0</v>
      </c>
      <c r="L421" s="394">
        <f t="shared" si="68"/>
        <v>0</v>
      </c>
      <c r="M421" s="394">
        <f t="shared" si="75"/>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IF(OR(A421="",A421&gt;=subjectMortgageEndDate),"",EDATE(A421,1))</f>
        <v/>
      </c>
      <c r="B422" s="276">
        <f t="shared" si="72"/>
        <v>0</v>
      </c>
      <c r="C422" s="14">
        <f>IF(A422="",0,IF(B422&lt;=0,0,IF(A422=subjectMortgageEndDate,B422+E422,MIN(subjectPayment,B422+E422))))</f>
        <v>0</v>
      </c>
      <c r="D422" s="14">
        <f t="shared" si="73"/>
        <v>0</v>
      </c>
      <c r="E422" s="14">
        <f>IF(OR(A422="",B422&lt;=0),0,ROUND(B422*(subjectInterestRate/12),2))</f>
        <v>0</v>
      </c>
      <c r="F422" s="14">
        <f t="shared" si="78"/>
        <v>134.16999999999999</v>
      </c>
      <c r="G422" s="14">
        <f t="shared" si="78"/>
        <v>188.55</v>
      </c>
      <c r="H422" s="14">
        <f t="shared" si="70"/>
        <v>322.72000000000003</v>
      </c>
      <c r="I422" s="276">
        <f t="shared" si="76"/>
        <v>97531.839999999953</v>
      </c>
      <c r="J422" s="276">
        <f t="shared" si="77"/>
        <v>36068.259999999973</v>
      </c>
      <c r="K422" s="276">
        <f t="shared" si="74"/>
        <v>0</v>
      </c>
      <c r="L422" s="394">
        <f t="shared" si="68"/>
        <v>0</v>
      </c>
      <c r="M422" s="394">
        <f t="shared" si="75"/>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IF(OR(A422="",A422&gt;=subjectMortgageEndDate),"",EDATE(A422,1))</f>
        <v/>
      </c>
      <c r="B423" s="276">
        <f t="shared" si="72"/>
        <v>0</v>
      </c>
      <c r="C423" s="14">
        <f>IF(A423="",0,IF(B423&lt;=0,0,IF(A423=subjectMortgageEndDate,B423+E423,MIN(subjectPayment,B423+E423))))</f>
        <v>0</v>
      </c>
      <c r="D423" s="14">
        <f t="shared" si="73"/>
        <v>0</v>
      </c>
      <c r="E423" s="14">
        <f>IF(OR(A423="",B423&lt;=0),0,ROUND(B423*(subjectInterestRate/12),2))</f>
        <v>0</v>
      </c>
      <c r="F423" s="14">
        <f t="shared" si="78"/>
        <v>134.16999999999999</v>
      </c>
      <c r="G423" s="14">
        <f t="shared" si="78"/>
        <v>188.55</v>
      </c>
      <c r="H423" s="14">
        <f t="shared" si="70"/>
        <v>322.72000000000003</v>
      </c>
      <c r="I423" s="276">
        <f t="shared" si="76"/>
        <v>97531.839999999953</v>
      </c>
      <c r="J423" s="276">
        <f t="shared" si="77"/>
        <v>36068.259999999973</v>
      </c>
      <c r="K423" s="276">
        <f t="shared" si="74"/>
        <v>0</v>
      </c>
      <c r="L423" s="394">
        <f t="shared" si="68"/>
        <v>0</v>
      </c>
      <c r="M423" s="394">
        <f t="shared" si="75"/>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IF(OR(A423="",A423&gt;=subjectMortgageEndDate),"",EDATE(A423,1))</f>
        <v/>
      </c>
      <c r="B424" s="276">
        <f t="shared" si="72"/>
        <v>0</v>
      </c>
      <c r="C424" s="14">
        <f>IF(A424="",0,IF(B424&lt;=0,0,IF(A424=subjectMortgageEndDate,B424+E424,MIN(subjectPayment,B424+E424))))</f>
        <v>0</v>
      </c>
      <c r="D424" s="14">
        <f t="shared" si="73"/>
        <v>0</v>
      </c>
      <c r="E424" s="14">
        <f>IF(OR(A424="",B424&lt;=0),0,ROUND(B424*(subjectInterestRate/12),2))</f>
        <v>0</v>
      </c>
      <c r="F424" s="14">
        <f t="shared" si="78"/>
        <v>134.16999999999999</v>
      </c>
      <c r="G424" s="14">
        <f t="shared" si="78"/>
        <v>188.55</v>
      </c>
      <c r="H424" s="14">
        <f t="shared" si="70"/>
        <v>322.72000000000003</v>
      </c>
      <c r="I424" s="276">
        <f t="shared" si="76"/>
        <v>97531.839999999953</v>
      </c>
      <c r="J424" s="276">
        <f t="shared" si="77"/>
        <v>36068.259999999973</v>
      </c>
      <c r="K424" s="276">
        <f t="shared" si="74"/>
        <v>0</v>
      </c>
      <c r="L424" s="394">
        <f t="shared" si="68"/>
        <v>0</v>
      </c>
      <c r="M424" s="394">
        <f t="shared" si="75"/>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IF(OR(A424="",A424&gt;=subjectMortgageEndDate),"",EDATE(A424,1))</f>
        <v/>
      </c>
      <c r="B425" s="276">
        <f t="shared" si="72"/>
        <v>0</v>
      </c>
      <c r="C425" s="14">
        <f>IF(A425="",0,IF(B425&lt;=0,0,IF(A425=subjectMortgageEndDate,B425+E425,MIN(subjectPayment,B425+E425))))</f>
        <v>0</v>
      </c>
      <c r="D425" s="14">
        <f t="shared" si="73"/>
        <v>0</v>
      </c>
      <c r="E425" s="14">
        <f>IF(OR(A425="",B425&lt;=0),0,ROUND(B425*(subjectInterestRate/12),2))</f>
        <v>0</v>
      </c>
      <c r="F425" s="14">
        <f t="shared" si="78"/>
        <v>134.16999999999999</v>
      </c>
      <c r="G425" s="14">
        <f t="shared" si="78"/>
        <v>188.55</v>
      </c>
      <c r="H425" s="14">
        <f t="shared" si="70"/>
        <v>322.72000000000003</v>
      </c>
      <c r="I425" s="276">
        <f t="shared" si="76"/>
        <v>97531.839999999953</v>
      </c>
      <c r="J425" s="276">
        <f t="shared" si="77"/>
        <v>36068.259999999973</v>
      </c>
      <c r="K425" s="276">
        <f t="shared" si="74"/>
        <v>0</v>
      </c>
      <c r="L425" s="394">
        <f t="shared" si="68"/>
        <v>0</v>
      </c>
      <c r="M425" s="394">
        <f t="shared" si="75"/>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IF(OR(A425="",A425&gt;=subjectMortgageEndDate),"",EDATE(A425,1))</f>
        <v/>
      </c>
      <c r="B426" s="276">
        <f t="shared" si="72"/>
        <v>0</v>
      </c>
      <c r="C426" s="14">
        <f>IF(A426="",0,IF(B426&lt;=0,0,IF(A426=subjectMortgageEndDate,B426+E426,MIN(subjectPayment,B426+E426))))</f>
        <v>0</v>
      </c>
      <c r="D426" s="14">
        <f t="shared" si="73"/>
        <v>0</v>
      </c>
      <c r="E426" s="14">
        <f>IF(OR(A426="",B426&lt;=0),0,ROUND(B426*(subjectInterestRate/12),2))</f>
        <v>0</v>
      </c>
      <c r="F426" s="14">
        <f t="shared" si="78"/>
        <v>134.16999999999999</v>
      </c>
      <c r="G426" s="14">
        <f t="shared" si="78"/>
        <v>188.55</v>
      </c>
      <c r="H426" s="14">
        <f t="shared" si="70"/>
        <v>322.72000000000003</v>
      </c>
      <c r="I426" s="276">
        <f t="shared" si="76"/>
        <v>97531.839999999953</v>
      </c>
      <c r="J426" s="276">
        <f t="shared" si="77"/>
        <v>36068.259999999973</v>
      </c>
      <c r="K426" s="276">
        <f t="shared" si="74"/>
        <v>0</v>
      </c>
      <c r="L426" s="394">
        <f t="shared" si="68"/>
        <v>0</v>
      </c>
      <c r="M426" s="394">
        <f t="shared" si="75"/>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IF(OR(A426="",A426&gt;=subjectMortgageEndDate),"",EDATE(A426,1))</f>
        <v/>
      </c>
      <c r="B427" s="332">
        <f t="shared" si="72"/>
        <v>0</v>
      </c>
      <c r="C427" s="21">
        <f>IF(A427="",0,IF(B427&lt;=0,0,IF(A427=subjectMortgageEndDate,B427+E427,MIN(subjectPayment,B427+E427))))</f>
        <v>0</v>
      </c>
      <c r="D427" s="21">
        <f t="shared" si="73"/>
        <v>0</v>
      </c>
      <c r="E427" s="21">
        <f>IF(OR(A427="",B427&lt;=0),0,ROUND(B427*(subjectInterestRate/12),2))</f>
        <v>0</v>
      </c>
      <c r="F427" s="21">
        <f t="shared" si="78"/>
        <v>134.16999999999999</v>
      </c>
      <c r="G427" s="21">
        <f t="shared" si="78"/>
        <v>188.55</v>
      </c>
      <c r="H427" s="21">
        <f t="shared" si="70"/>
        <v>322.72000000000003</v>
      </c>
      <c r="I427" s="332">
        <f t="shared" si="76"/>
        <v>97531.839999999953</v>
      </c>
      <c r="J427" s="332">
        <f t="shared" si="77"/>
        <v>36068.259999999973</v>
      </c>
      <c r="K427" s="332">
        <f t="shared" si="74"/>
        <v>0</v>
      </c>
      <c r="L427" s="395">
        <f t="shared" si="68"/>
        <v>0</v>
      </c>
      <c r="M427" s="395">
        <f t="shared" si="75"/>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32">
        <f>IF(INDEX(tblContractForDeed[End Bal],ROW()-ROW(tblBuyerOutputs[#Headers]))&lt;=0,0,($O$6+IF(ROW()=ROW(tblBuyerOutputs[#Headers])+1,0,INDEX(tblBuyerOutputs[Cumul Appr],ROW()-ROW(tblBuyerOutputs[#Headers])-1)))*$O$2/12)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IF(OR(A427="",A427&gt;=subjectMortgageEndDate),"",EDATE(A427,1))</f>
        <v/>
      </c>
      <c r="B428" s="276">
        <f t="shared" si="72"/>
        <v>0</v>
      </c>
      <c r="C428" s="14">
        <f>IF(A428="",0,IF(B428&lt;=0,0,IF(A428=subjectMortgageEndDate,B428+E428,MIN(subjectPayment,B428+E428))))</f>
        <v>0</v>
      </c>
      <c r="D428" s="14">
        <f t="shared" si="73"/>
        <v>0</v>
      </c>
      <c r="E428" s="14">
        <f>IF(OR(A428="",B428&lt;=0),0,ROUND(B428*(subjectInterestRate/12),2))</f>
        <v>0</v>
      </c>
      <c r="F428" s="14">
        <f t="shared" si="78"/>
        <v>134.16999999999999</v>
      </c>
      <c r="G428" s="14">
        <f t="shared" si="78"/>
        <v>188.55</v>
      </c>
      <c r="H428" s="14">
        <f t="shared" si="70"/>
        <v>322.72000000000003</v>
      </c>
      <c r="I428" s="276">
        <f t="shared" si="76"/>
        <v>97531.839999999953</v>
      </c>
      <c r="J428" s="276">
        <f t="shared" si="77"/>
        <v>36068.259999999973</v>
      </c>
      <c r="K428" s="276">
        <f t="shared" si="74"/>
        <v>0</v>
      </c>
      <c r="L428" s="394">
        <f t="shared" si="68"/>
        <v>0</v>
      </c>
      <c r="M428" s="394">
        <f t="shared" si="75"/>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IF(OR(A428="",A428&gt;=subjectMortgageEndDate),"",EDATE(A428,1))</f>
        <v/>
      </c>
      <c r="B429" s="276">
        <f t="shared" si="72"/>
        <v>0</v>
      </c>
      <c r="C429" s="14">
        <f>IF(A429="",0,IF(B429&lt;=0,0,IF(A429=subjectMortgageEndDate,B429+E429,MIN(subjectPayment,B429+E429))))</f>
        <v>0</v>
      </c>
      <c r="D429" s="14">
        <f t="shared" si="73"/>
        <v>0</v>
      </c>
      <c r="E429" s="14">
        <f>IF(OR(A429="",B429&lt;=0),0,ROUND(B429*(subjectInterestRate/12),2))</f>
        <v>0</v>
      </c>
      <c r="F429" s="14">
        <f t="shared" si="78"/>
        <v>134.16999999999999</v>
      </c>
      <c r="G429" s="14">
        <f t="shared" si="78"/>
        <v>188.55</v>
      </c>
      <c r="H429" s="14">
        <f t="shared" si="70"/>
        <v>322.72000000000003</v>
      </c>
      <c r="I429" s="276">
        <f t="shared" si="76"/>
        <v>97531.839999999953</v>
      </c>
      <c r="J429" s="276">
        <f t="shared" si="77"/>
        <v>36068.259999999973</v>
      </c>
      <c r="K429" s="276">
        <f t="shared" si="74"/>
        <v>0</v>
      </c>
      <c r="L429" s="394">
        <f t="shared" si="68"/>
        <v>0</v>
      </c>
      <c r="M429" s="394">
        <f t="shared" si="75"/>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IF(OR(A429="",A429&gt;=subjectMortgageEndDate),"",EDATE(A429,1))</f>
        <v/>
      </c>
      <c r="B430" s="276">
        <f t="shared" si="72"/>
        <v>0</v>
      </c>
      <c r="C430" s="14">
        <f>IF(A430="",0,IF(B430&lt;=0,0,IF(A430=subjectMortgageEndDate,B430+E430,MIN(subjectPayment,B430+E430))))</f>
        <v>0</v>
      </c>
      <c r="D430" s="14">
        <f t="shared" si="73"/>
        <v>0</v>
      </c>
      <c r="E430" s="14">
        <f>IF(OR(A430="",B430&lt;=0),0,ROUND(B430*(subjectInterestRate/12),2))</f>
        <v>0</v>
      </c>
      <c r="F430" s="14">
        <f t="shared" si="78"/>
        <v>134.16999999999999</v>
      </c>
      <c r="G430" s="14">
        <f t="shared" si="78"/>
        <v>188.55</v>
      </c>
      <c r="H430" s="14">
        <f t="shared" si="70"/>
        <v>322.72000000000003</v>
      </c>
      <c r="I430" s="276">
        <f t="shared" si="76"/>
        <v>97531.839999999953</v>
      </c>
      <c r="J430" s="276">
        <f t="shared" si="77"/>
        <v>36068.259999999973</v>
      </c>
      <c r="K430" s="276">
        <f t="shared" si="74"/>
        <v>0</v>
      </c>
      <c r="L430" s="394">
        <f t="shared" si="68"/>
        <v>0</v>
      </c>
      <c r="M430" s="394">
        <f t="shared" si="75"/>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IF(OR(A430="",A430&gt;=subjectMortgageEndDate),"",EDATE(A430,1))</f>
        <v/>
      </c>
      <c r="B431" s="276">
        <f t="shared" si="72"/>
        <v>0</v>
      </c>
      <c r="C431" s="14">
        <f>IF(A431="",0,IF(B431&lt;=0,0,IF(A431=subjectMortgageEndDate,B431+E431,MIN(subjectPayment,B431+E431))))</f>
        <v>0</v>
      </c>
      <c r="D431" s="14">
        <f t="shared" si="73"/>
        <v>0</v>
      </c>
      <c r="E431" s="14">
        <f>IF(OR(A431="",B431&lt;=0),0,ROUND(B431*(subjectInterestRate/12),2))</f>
        <v>0</v>
      </c>
      <c r="F431" s="14">
        <f t="shared" ref="F431:G446" si="79">+F430</f>
        <v>134.16999999999999</v>
      </c>
      <c r="G431" s="14">
        <f t="shared" si="79"/>
        <v>188.55</v>
      </c>
      <c r="H431" s="14">
        <f t="shared" si="70"/>
        <v>322.72000000000003</v>
      </c>
      <c r="I431" s="276">
        <f t="shared" si="76"/>
        <v>97531.839999999953</v>
      </c>
      <c r="J431" s="276">
        <f t="shared" si="77"/>
        <v>36068.259999999973</v>
      </c>
      <c r="K431" s="276">
        <f t="shared" si="74"/>
        <v>0</v>
      </c>
      <c r="L431" s="394">
        <f t="shared" si="68"/>
        <v>0</v>
      </c>
      <c r="M431" s="394">
        <f t="shared" si="75"/>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IF(OR(A431="",A431&gt;=subjectMortgageEndDate),"",EDATE(A431,1))</f>
        <v/>
      </c>
      <c r="B432" s="276">
        <f t="shared" si="72"/>
        <v>0</v>
      </c>
      <c r="C432" s="14">
        <f>IF(A432="",0,IF(B432&lt;=0,0,IF(A432=subjectMortgageEndDate,B432+E432,MIN(subjectPayment,B432+E432))))</f>
        <v>0</v>
      </c>
      <c r="D432" s="14">
        <f t="shared" si="73"/>
        <v>0</v>
      </c>
      <c r="E432" s="14">
        <f>IF(OR(A432="",B432&lt;=0),0,ROUND(B432*(subjectInterestRate/12),2))</f>
        <v>0</v>
      </c>
      <c r="F432" s="14">
        <f t="shared" si="79"/>
        <v>134.16999999999999</v>
      </c>
      <c r="G432" s="14">
        <f t="shared" si="79"/>
        <v>188.55</v>
      </c>
      <c r="H432" s="14">
        <f t="shared" si="70"/>
        <v>322.72000000000003</v>
      </c>
      <c r="I432" s="276">
        <f t="shared" si="76"/>
        <v>97531.839999999953</v>
      </c>
      <c r="J432" s="276">
        <f t="shared" si="77"/>
        <v>36068.259999999973</v>
      </c>
      <c r="K432" s="276">
        <f t="shared" si="74"/>
        <v>0</v>
      </c>
      <c r="L432" s="394">
        <f t="shared" si="68"/>
        <v>0</v>
      </c>
      <c r="M432" s="394">
        <f t="shared" si="75"/>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IF(OR(A432="",A432&gt;=subjectMortgageEndDate),"",EDATE(A432,1))</f>
        <v/>
      </c>
      <c r="B433" s="276">
        <f t="shared" si="72"/>
        <v>0</v>
      </c>
      <c r="C433" s="14">
        <f>IF(A433="",0,IF(B433&lt;=0,0,IF(A433=subjectMortgageEndDate,B433+E433,MIN(subjectPayment,B433+E433))))</f>
        <v>0</v>
      </c>
      <c r="D433" s="14">
        <f t="shared" si="73"/>
        <v>0</v>
      </c>
      <c r="E433" s="14">
        <f>IF(OR(A433="",B433&lt;=0),0,ROUND(B433*(subjectInterestRate/12),2))</f>
        <v>0</v>
      </c>
      <c r="F433" s="14">
        <f t="shared" si="79"/>
        <v>134.16999999999999</v>
      </c>
      <c r="G433" s="14">
        <f t="shared" si="79"/>
        <v>188.55</v>
      </c>
      <c r="H433" s="14">
        <f t="shared" si="70"/>
        <v>322.72000000000003</v>
      </c>
      <c r="I433" s="276">
        <f t="shared" si="76"/>
        <v>97531.839999999953</v>
      </c>
      <c r="J433" s="276">
        <f t="shared" si="77"/>
        <v>36068.259999999973</v>
      </c>
      <c r="K433" s="276">
        <f t="shared" si="74"/>
        <v>0</v>
      </c>
      <c r="L433" s="394">
        <f t="shared" si="68"/>
        <v>0</v>
      </c>
      <c r="M433" s="394">
        <f t="shared" si="75"/>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IF(OR(A433="",A433&gt;=subjectMortgageEndDate),"",EDATE(A433,1))</f>
        <v/>
      </c>
      <c r="B434" s="276">
        <f t="shared" si="72"/>
        <v>0</v>
      </c>
      <c r="C434" s="14">
        <f>IF(A434="",0,IF(B434&lt;=0,0,IF(A434=subjectMortgageEndDate,B434+E434,MIN(subjectPayment,B434+E434))))</f>
        <v>0</v>
      </c>
      <c r="D434" s="14">
        <f t="shared" si="73"/>
        <v>0</v>
      </c>
      <c r="E434" s="14">
        <f>IF(OR(A434="",B434&lt;=0),0,ROUND(B434*(subjectInterestRate/12),2))</f>
        <v>0</v>
      </c>
      <c r="F434" s="14">
        <f t="shared" si="79"/>
        <v>134.16999999999999</v>
      </c>
      <c r="G434" s="14">
        <f t="shared" si="79"/>
        <v>188.55</v>
      </c>
      <c r="H434" s="14">
        <f t="shared" si="70"/>
        <v>322.72000000000003</v>
      </c>
      <c r="I434" s="276">
        <f t="shared" si="76"/>
        <v>97531.839999999953</v>
      </c>
      <c r="J434" s="276">
        <f t="shared" si="77"/>
        <v>36068.259999999973</v>
      </c>
      <c r="K434" s="276">
        <f t="shared" si="74"/>
        <v>0</v>
      </c>
      <c r="L434" s="394">
        <f t="shared" si="68"/>
        <v>0</v>
      </c>
      <c r="M434" s="394">
        <f t="shared" si="75"/>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IF(OR(A434="",A434&gt;=subjectMortgageEndDate),"",EDATE(A434,1))</f>
        <v/>
      </c>
      <c r="B435" s="276">
        <f t="shared" si="72"/>
        <v>0</v>
      </c>
      <c r="C435" s="14">
        <f>IF(A435="",0,IF(B435&lt;=0,0,IF(A435=subjectMortgageEndDate,B435+E435,MIN(subjectPayment,B435+E435))))</f>
        <v>0</v>
      </c>
      <c r="D435" s="14">
        <f t="shared" si="73"/>
        <v>0</v>
      </c>
      <c r="E435" s="14">
        <f>IF(OR(A435="",B435&lt;=0),0,ROUND(B435*(subjectInterestRate/12),2))</f>
        <v>0</v>
      </c>
      <c r="F435" s="14">
        <f t="shared" si="79"/>
        <v>134.16999999999999</v>
      </c>
      <c r="G435" s="14">
        <f t="shared" si="79"/>
        <v>188.55</v>
      </c>
      <c r="H435" s="14">
        <f t="shared" si="70"/>
        <v>322.72000000000003</v>
      </c>
      <c r="I435" s="276">
        <f t="shared" si="76"/>
        <v>97531.839999999953</v>
      </c>
      <c r="J435" s="276">
        <f t="shared" si="77"/>
        <v>36068.259999999973</v>
      </c>
      <c r="K435" s="276">
        <f t="shared" si="74"/>
        <v>0</v>
      </c>
      <c r="L435" s="394">
        <f t="shared" si="68"/>
        <v>0</v>
      </c>
      <c r="M435" s="394">
        <f t="shared" si="75"/>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IF(OR(A435="",A435&gt;=subjectMortgageEndDate),"",EDATE(A435,1))</f>
        <v/>
      </c>
      <c r="B436" s="276">
        <f t="shared" si="72"/>
        <v>0</v>
      </c>
      <c r="C436" s="14">
        <f>IF(A436="",0,IF(B436&lt;=0,0,IF(A436=subjectMortgageEndDate,B436+E436,MIN(subjectPayment,B436+E436))))</f>
        <v>0</v>
      </c>
      <c r="D436" s="14">
        <f t="shared" si="73"/>
        <v>0</v>
      </c>
      <c r="E436" s="14">
        <f>IF(OR(A436="",B436&lt;=0),0,ROUND(B436*(subjectInterestRate/12),2))</f>
        <v>0</v>
      </c>
      <c r="F436" s="14">
        <f t="shared" si="79"/>
        <v>134.16999999999999</v>
      </c>
      <c r="G436" s="14">
        <f t="shared" si="79"/>
        <v>188.55</v>
      </c>
      <c r="H436" s="14">
        <f t="shared" si="70"/>
        <v>322.72000000000003</v>
      </c>
      <c r="I436" s="276">
        <f t="shared" si="76"/>
        <v>97531.839999999953</v>
      </c>
      <c r="J436" s="276">
        <f t="shared" si="77"/>
        <v>36068.259999999973</v>
      </c>
      <c r="K436" s="276">
        <f t="shared" si="74"/>
        <v>0</v>
      </c>
      <c r="L436" s="394">
        <f t="shared" ref="L436:L499" si="80">IF(MOD(M436,12)=0,M436/12,L435)</f>
        <v>0</v>
      </c>
      <c r="M436" s="394">
        <f t="shared" si="75"/>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IF(OR(A436="",A436&gt;=subjectMortgageEndDate),"",EDATE(A436,1))</f>
        <v/>
      </c>
      <c r="B437" s="276">
        <f t="shared" si="72"/>
        <v>0</v>
      </c>
      <c r="C437" s="14">
        <f>IF(A437="",0,IF(B437&lt;=0,0,IF(A437=subjectMortgageEndDate,B437+E437,MIN(subjectPayment,B437+E437))))</f>
        <v>0</v>
      </c>
      <c r="D437" s="14">
        <f t="shared" si="73"/>
        <v>0</v>
      </c>
      <c r="E437" s="14">
        <f>IF(OR(A437="",B437&lt;=0),0,ROUND(B437*(subjectInterestRate/12),2))</f>
        <v>0</v>
      </c>
      <c r="F437" s="14">
        <f t="shared" si="79"/>
        <v>134.16999999999999</v>
      </c>
      <c r="G437" s="14">
        <f t="shared" si="79"/>
        <v>188.55</v>
      </c>
      <c r="H437" s="14">
        <f t="shared" si="70"/>
        <v>322.72000000000003</v>
      </c>
      <c r="I437" s="276">
        <f t="shared" si="76"/>
        <v>97531.839999999953</v>
      </c>
      <c r="J437" s="276">
        <f t="shared" si="77"/>
        <v>36068.259999999973</v>
      </c>
      <c r="K437" s="276">
        <f t="shared" si="74"/>
        <v>0</v>
      </c>
      <c r="L437" s="394">
        <f t="shared" si="80"/>
        <v>0</v>
      </c>
      <c r="M437" s="394">
        <f t="shared" si="75"/>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IF(OR(A437="",A437&gt;=subjectMortgageEndDate),"",EDATE(A437,1))</f>
        <v/>
      </c>
      <c r="B438" s="276">
        <f t="shared" si="72"/>
        <v>0</v>
      </c>
      <c r="C438" s="14">
        <f>IF(A438="",0,IF(B438&lt;=0,0,IF(A438=subjectMortgageEndDate,B438+E438,MIN(subjectPayment,B438+E438))))</f>
        <v>0</v>
      </c>
      <c r="D438" s="14">
        <f t="shared" si="73"/>
        <v>0</v>
      </c>
      <c r="E438" s="14">
        <f>IF(OR(A438="",B438&lt;=0),0,ROUND(B438*(subjectInterestRate/12),2))</f>
        <v>0</v>
      </c>
      <c r="F438" s="14">
        <f t="shared" si="79"/>
        <v>134.16999999999999</v>
      </c>
      <c r="G438" s="14">
        <f t="shared" si="79"/>
        <v>188.55</v>
      </c>
      <c r="H438" s="14">
        <f t="shared" si="70"/>
        <v>322.72000000000003</v>
      </c>
      <c r="I438" s="276">
        <f t="shared" si="76"/>
        <v>97531.839999999953</v>
      </c>
      <c r="J438" s="276">
        <f t="shared" si="77"/>
        <v>36068.259999999973</v>
      </c>
      <c r="K438" s="276">
        <f t="shared" si="74"/>
        <v>0</v>
      </c>
      <c r="L438" s="394">
        <f t="shared" si="80"/>
        <v>0</v>
      </c>
      <c r="M438" s="394">
        <f t="shared" si="75"/>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IF(OR(A438="",A438&gt;=subjectMortgageEndDate),"",EDATE(A438,1))</f>
        <v/>
      </c>
      <c r="B439" s="332">
        <f t="shared" si="72"/>
        <v>0</v>
      </c>
      <c r="C439" s="21">
        <f>IF(A439="",0,IF(B439&lt;=0,0,IF(A439=subjectMortgageEndDate,B439+E439,MIN(subjectPayment,B439+E439))))</f>
        <v>0</v>
      </c>
      <c r="D439" s="21">
        <f t="shared" si="73"/>
        <v>0</v>
      </c>
      <c r="E439" s="21">
        <f>IF(OR(A439="",B439&lt;=0),0,ROUND(B439*(subjectInterestRate/12),2))</f>
        <v>0</v>
      </c>
      <c r="F439" s="21">
        <f t="shared" si="79"/>
        <v>134.16999999999999</v>
      </c>
      <c r="G439" s="21">
        <f t="shared" si="79"/>
        <v>188.55</v>
      </c>
      <c r="H439" s="21">
        <f t="shared" si="70"/>
        <v>322.72000000000003</v>
      </c>
      <c r="I439" s="332">
        <f t="shared" si="76"/>
        <v>97531.839999999953</v>
      </c>
      <c r="J439" s="332">
        <f t="shared" si="77"/>
        <v>36068.259999999973</v>
      </c>
      <c r="K439" s="332">
        <f t="shared" si="74"/>
        <v>0</v>
      </c>
      <c r="L439" s="395">
        <f t="shared" si="80"/>
        <v>0</v>
      </c>
      <c r="M439" s="395">
        <f t="shared" si="75"/>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32">
        <f>IF(INDEX(tblContractForDeed[End Bal],ROW()-ROW(tblBuyerOutputs[#Headers]))&lt;=0,0,($O$6+IF(ROW()=ROW(tblBuyerOutputs[#Headers])+1,0,INDEX(tblBuyerOutputs[Cumul Appr],ROW()-ROW(tblBuyerOutputs[#Headers])-1)))*$O$2/12)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IF(OR(A439="",A439&gt;=subjectMortgageEndDate),"",EDATE(A439,1))</f>
        <v/>
      </c>
      <c r="B440" s="276">
        <f t="shared" si="72"/>
        <v>0</v>
      </c>
      <c r="C440" s="14">
        <f>IF(A440="",0,IF(B440&lt;=0,0,IF(A440=subjectMortgageEndDate,B440+E440,MIN(subjectPayment,B440+E440))))</f>
        <v>0</v>
      </c>
      <c r="D440" s="14">
        <f t="shared" si="73"/>
        <v>0</v>
      </c>
      <c r="E440" s="14">
        <f>IF(OR(A440="",B440&lt;=0),0,ROUND(B440*(subjectInterestRate/12),2))</f>
        <v>0</v>
      </c>
      <c r="F440" s="14">
        <f t="shared" si="79"/>
        <v>134.16999999999999</v>
      </c>
      <c r="G440" s="14">
        <f t="shared" si="79"/>
        <v>188.55</v>
      </c>
      <c r="H440" s="14">
        <f t="shared" si="70"/>
        <v>322.72000000000003</v>
      </c>
      <c r="I440" s="276">
        <f t="shared" si="76"/>
        <v>97531.839999999953</v>
      </c>
      <c r="J440" s="276">
        <f t="shared" si="77"/>
        <v>36068.259999999973</v>
      </c>
      <c r="K440" s="276">
        <f t="shared" si="74"/>
        <v>0</v>
      </c>
      <c r="L440" s="394">
        <f t="shared" si="80"/>
        <v>0</v>
      </c>
      <c r="M440" s="394">
        <f t="shared" si="75"/>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IF(OR(A440="",A440&gt;=subjectMortgageEndDate),"",EDATE(A440,1))</f>
        <v/>
      </c>
      <c r="B441" s="276">
        <f t="shared" si="72"/>
        <v>0</v>
      </c>
      <c r="C441" s="14">
        <f>IF(A441="",0,IF(B441&lt;=0,0,IF(A441=subjectMortgageEndDate,B441+E441,MIN(subjectPayment,B441+E441))))</f>
        <v>0</v>
      </c>
      <c r="D441" s="14">
        <f t="shared" si="73"/>
        <v>0</v>
      </c>
      <c r="E441" s="14">
        <f>IF(OR(A441="",B441&lt;=0),0,ROUND(B441*(subjectInterestRate/12),2))</f>
        <v>0</v>
      </c>
      <c r="F441" s="14">
        <f t="shared" si="79"/>
        <v>134.16999999999999</v>
      </c>
      <c r="G441" s="14">
        <f t="shared" si="79"/>
        <v>188.55</v>
      </c>
      <c r="H441" s="14">
        <f t="shared" si="70"/>
        <v>322.72000000000003</v>
      </c>
      <c r="I441" s="276">
        <f t="shared" si="76"/>
        <v>97531.839999999953</v>
      </c>
      <c r="J441" s="276">
        <f t="shared" si="77"/>
        <v>36068.259999999973</v>
      </c>
      <c r="K441" s="276">
        <f t="shared" si="74"/>
        <v>0</v>
      </c>
      <c r="L441" s="394">
        <f t="shared" si="80"/>
        <v>0</v>
      </c>
      <c r="M441" s="394">
        <f t="shared" si="75"/>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IF(OR(A441="",A441&gt;=subjectMortgageEndDate),"",EDATE(A441,1))</f>
        <v/>
      </c>
      <c r="B442" s="276">
        <f t="shared" si="72"/>
        <v>0</v>
      </c>
      <c r="C442" s="14">
        <f>IF(A442="",0,IF(B442&lt;=0,0,IF(A442=subjectMortgageEndDate,B442+E442,MIN(subjectPayment,B442+E442))))</f>
        <v>0</v>
      </c>
      <c r="D442" s="14">
        <f t="shared" si="73"/>
        <v>0</v>
      </c>
      <c r="E442" s="14">
        <f>IF(OR(A442="",B442&lt;=0),0,ROUND(B442*(subjectInterestRate/12),2))</f>
        <v>0</v>
      </c>
      <c r="F442" s="14">
        <f t="shared" si="79"/>
        <v>134.16999999999999</v>
      </c>
      <c r="G442" s="14">
        <f t="shared" si="79"/>
        <v>188.55</v>
      </c>
      <c r="H442" s="14">
        <f t="shared" si="70"/>
        <v>322.72000000000003</v>
      </c>
      <c r="I442" s="276">
        <f t="shared" si="76"/>
        <v>97531.839999999953</v>
      </c>
      <c r="J442" s="276">
        <f t="shared" si="77"/>
        <v>36068.259999999973</v>
      </c>
      <c r="K442" s="276">
        <f t="shared" si="74"/>
        <v>0</v>
      </c>
      <c r="L442" s="394">
        <f t="shared" si="80"/>
        <v>0</v>
      </c>
      <c r="M442" s="394">
        <f t="shared" si="75"/>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IF(OR(A442="",A442&gt;=subjectMortgageEndDate),"",EDATE(A442,1))</f>
        <v/>
      </c>
      <c r="B443" s="276">
        <f t="shared" si="72"/>
        <v>0</v>
      </c>
      <c r="C443" s="14">
        <f>IF(A443="",0,IF(B443&lt;=0,0,IF(A443=subjectMortgageEndDate,B443+E443,MIN(subjectPayment,B443+E443))))</f>
        <v>0</v>
      </c>
      <c r="D443" s="14">
        <f t="shared" si="73"/>
        <v>0</v>
      </c>
      <c r="E443" s="14">
        <f>IF(OR(A443="",B443&lt;=0),0,ROUND(B443*(subjectInterestRate/12),2))</f>
        <v>0</v>
      </c>
      <c r="F443" s="14">
        <f t="shared" si="79"/>
        <v>134.16999999999999</v>
      </c>
      <c r="G443" s="14">
        <f t="shared" si="79"/>
        <v>188.55</v>
      </c>
      <c r="H443" s="14">
        <f t="shared" si="70"/>
        <v>322.72000000000003</v>
      </c>
      <c r="I443" s="276">
        <f t="shared" si="76"/>
        <v>97531.839999999953</v>
      </c>
      <c r="J443" s="276">
        <f t="shared" si="77"/>
        <v>36068.259999999973</v>
      </c>
      <c r="K443" s="276">
        <f t="shared" si="74"/>
        <v>0</v>
      </c>
      <c r="L443" s="394">
        <f t="shared" si="80"/>
        <v>0</v>
      </c>
      <c r="M443" s="394">
        <f t="shared" si="75"/>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IF(OR(A443="",A443&gt;=subjectMortgageEndDate),"",EDATE(A443,1))</f>
        <v/>
      </c>
      <c r="B444" s="276">
        <f t="shared" si="72"/>
        <v>0</v>
      </c>
      <c r="C444" s="14">
        <f>IF(A444="",0,IF(B444&lt;=0,0,IF(A444=subjectMortgageEndDate,B444+E444,MIN(subjectPayment,B444+E444))))</f>
        <v>0</v>
      </c>
      <c r="D444" s="14">
        <f t="shared" si="73"/>
        <v>0</v>
      </c>
      <c r="E444" s="14">
        <f>IF(OR(A444="",B444&lt;=0),0,ROUND(B444*(subjectInterestRate/12),2))</f>
        <v>0</v>
      </c>
      <c r="F444" s="14">
        <f t="shared" si="79"/>
        <v>134.16999999999999</v>
      </c>
      <c r="G444" s="14">
        <f t="shared" si="79"/>
        <v>188.55</v>
      </c>
      <c r="H444" s="14">
        <f t="shared" si="70"/>
        <v>322.72000000000003</v>
      </c>
      <c r="I444" s="276">
        <f t="shared" si="76"/>
        <v>97531.839999999953</v>
      </c>
      <c r="J444" s="276">
        <f t="shared" si="77"/>
        <v>36068.259999999973</v>
      </c>
      <c r="K444" s="276">
        <f t="shared" si="74"/>
        <v>0</v>
      </c>
      <c r="L444" s="394">
        <f t="shared" si="80"/>
        <v>0</v>
      </c>
      <c r="M444" s="394">
        <f t="shared" si="75"/>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IF(OR(A444="",A444&gt;=subjectMortgageEndDate),"",EDATE(A444,1))</f>
        <v/>
      </c>
      <c r="B445" s="276">
        <f t="shared" si="72"/>
        <v>0</v>
      </c>
      <c r="C445" s="14">
        <f>IF(A445="",0,IF(B445&lt;=0,0,IF(A445=subjectMortgageEndDate,B445+E445,MIN(subjectPayment,B445+E445))))</f>
        <v>0</v>
      </c>
      <c r="D445" s="14">
        <f t="shared" si="73"/>
        <v>0</v>
      </c>
      <c r="E445" s="14">
        <f>IF(OR(A445="",B445&lt;=0),0,ROUND(B445*(subjectInterestRate/12),2))</f>
        <v>0</v>
      </c>
      <c r="F445" s="14">
        <f t="shared" si="79"/>
        <v>134.16999999999999</v>
      </c>
      <c r="G445" s="14">
        <f t="shared" si="79"/>
        <v>188.55</v>
      </c>
      <c r="H445" s="14">
        <f t="shared" si="70"/>
        <v>322.72000000000003</v>
      </c>
      <c r="I445" s="276">
        <f t="shared" si="76"/>
        <v>97531.839999999953</v>
      </c>
      <c r="J445" s="276">
        <f t="shared" si="77"/>
        <v>36068.259999999973</v>
      </c>
      <c r="K445" s="276">
        <f t="shared" si="74"/>
        <v>0</v>
      </c>
      <c r="L445" s="394">
        <f t="shared" si="80"/>
        <v>0</v>
      </c>
      <c r="M445" s="394">
        <f t="shared" si="75"/>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IF(OR(A445="",A445&gt;=subjectMortgageEndDate),"",EDATE(A445,1))</f>
        <v/>
      </c>
      <c r="B446" s="276">
        <f t="shared" si="72"/>
        <v>0</v>
      </c>
      <c r="C446" s="14">
        <f>IF(A446="",0,IF(B446&lt;=0,0,IF(A446=subjectMortgageEndDate,B446+E446,MIN(subjectPayment,B446+E446))))</f>
        <v>0</v>
      </c>
      <c r="D446" s="14">
        <f t="shared" si="73"/>
        <v>0</v>
      </c>
      <c r="E446" s="14">
        <f>IF(OR(A446="",B446&lt;=0),0,ROUND(B446*(subjectInterestRate/12),2))</f>
        <v>0</v>
      </c>
      <c r="F446" s="14">
        <f t="shared" si="79"/>
        <v>134.16999999999999</v>
      </c>
      <c r="G446" s="14">
        <f t="shared" si="79"/>
        <v>188.55</v>
      </c>
      <c r="H446" s="14">
        <f t="shared" si="70"/>
        <v>322.72000000000003</v>
      </c>
      <c r="I446" s="276">
        <f t="shared" si="76"/>
        <v>97531.839999999953</v>
      </c>
      <c r="J446" s="276">
        <f t="shared" si="77"/>
        <v>36068.259999999973</v>
      </c>
      <c r="K446" s="276">
        <f t="shared" si="74"/>
        <v>0</v>
      </c>
      <c r="L446" s="394">
        <f t="shared" si="80"/>
        <v>0</v>
      </c>
      <c r="M446" s="394">
        <f t="shared" si="75"/>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IF(OR(A446="",A446&gt;=subjectMortgageEndDate),"",EDATE(A446,1))</f>
        <v/>
      </c>
      <c r="B447" s="276">
        <f t="shared" si="72"/>
        <v>0</v>
      </c>
      <c r="C447" s="14">
        <f>IF(A447="",0,IF(B447&lt;=0,0,IF(A447=subjectMortgageEndDate,B447+E447,MIN(subjectPayment,B447+E447))))</f>
        <v>0</v>
      </c>
      <c r="D447" s="14">
        <f t="shared" si="73"/>
        <v>0</v>
      </c>
      <c r="E447" s="14">
        <f>IF(OR(A447="",B447&lt;=0),0,ROUND(B447*(subjectInterestRate/12),2))</f>
        <v>0</v>
      </c>
      <c r="F447" s="14">
        <f t="shared" ref="F447:G462" si="81">+F446</f>
        <v>134.16999999999999</v>
      </c>
      <c r="G447" s="14">
        <f t="shared" si="81"/>
        <v>188.55</v>
      </c>
      <c r="H447" s="14">
        <f t="shared" si="70"/>
        <v>322.72000000000003</v>
      </c>
      <c r="I447" s="276">
        <f t="shared" si="76"/>
        <v>97531.839999999953</v>
      </c>
      <c r="J447" s="276">
        <f t="shared" si="77"/>
        <v>36068.259999999973</v>
      </c>
      <c r="K447" s="276">
        <f t="shared" si="74"/>
        <v>0</v>
      </c>
      <c r="L447" s="394">
        <f t="shared" si="80"/>
        <v>0</v>
      </c>
      <c r="M447" s="394">
        <f t="shared" si="75"/>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IF(OR(A447="",A447&gt;=subjectMortgageEndDate),"",EDATE(A447,1))</f>
        <v/>
      </c>
      <c r="B448" s="276">
        <f t="shared" si="72"/>
        <v>0</v>
      </c>
      <c r="C448" s="14">
        <f>IF(A448="",0,IF(B448&lt;=0,0,IF(A448=subjectMortgageEndDate,B448+E448,MIN(subjectPayment,B448+E448))))</f>
        <v>0</v>
      </c>
      <c r="D448" s="14">
        <f t="shared" si="73"/>
        <v>0</v>
      </c>
      <c r="E448" s="14">
        <f>IF(OR(A448="",B448&lt;=0),0,ROUND(B448*(subjectInterestRate/12),2))</f>
        <v>0</v>
      </c>
      <c r="F448" s="14">
        <f t="shared" si="81"/>
        <v>134.16999999999999</v>
      </c>
      <c r="G448" s="14">
        <f t="shared" si="81"/>
        <v>188.55</v>
      </c>
      <c r="H448" s="14">
        <f t="shared" ref="H448:H495" si="82">SUM(D448:G448)</f>
        <v>322.72000000000003</v>
      </c>
      <c r="I448" s="276">
        <f t="shared" si="76"/>
        <v>97531.839999999953</v>
      </c>
      <c r="J448" s="276">
        <f t="shared" si="77"/>
        <v>36068.259999999973</v>
      </c>
      <c r="K448" s="276">
        <f t="shared" si="74"/>
        <v>0</v>
      </c>
      <c r="L448" s="394">
        <f t="shared" si="80"/>
        <v>0</v>
      </c>
      <c r="M448" s="394">
        <f t="shared" si="75"/>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IF(OR(A448="",A448&gt;=subjectMortgageEndDate),"",EDATE(A448,1))</f>
        <v/>
      </c>
      <c r="B449" s="276">
        <f t="shared" si="72"/>
        <v>0</v>
      </c>
      <c r="C449" s="14">
        <f>IF(A449="",0,IF(B449&lt;=0,0,IF(A449=subjectMortgageEndDate,B449+E449,MIN(subjectPayment,B449+E449))))</f>
        <v>0</v>
      </c>
      <c r="D449" s="14">
        <f t="shared" si="73"/>
        <v>0</v>
      </c>
      <c r="E449" s="14">
        <f>IF(OR(A449="",B449&lt;=0),0,ROUND(B449*(subjectInterestRate/12),2))</f>
        <v>0</v>
      </c>
      <c r="F449" s="14">
        <f t="shared" si="81"/>
        <v>134.16999999999999</v>
      </c>
      <c r="G449" s="14">
        <f t="shared" si="81"/>
        <v>188.55</v>
      </c>
      <c r="H449" s="14">
        <f t="shared" si="82"/>
        <v>322.72000000000003</v>
      </c>
      <c r="I449" s="276">
        <f t="shared" si="76"/>
        <v>97531.839999999953</v>
      </c>
      <c r="J449" s="276">
        <f t="shared" si="77"/>
        <v>36068.259999999973</v>
      </c>
      <c r="K449" s="276">
        <f t="shared" si="74"/>
        <v>0</v>
      </c>
      <c r="L449" s="394">
        <f t="shared" si="80"/>
        <v>0</v>
      </c>
      <c r="M449" s="394">
        <f t="shared" si="75"/>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IF(OR(A449="",A449&gt;=subjectMortgageEndDate),"",EDATE(A449,1))</f>
        <v/>
      </c>
      <c r="B450" s="276">
        <f t="shared" si="72"/>
        <v>0</v>
      </c>
      <c r="C450" s="14">
        <f>IF(A450="",0,IF(B450&lt;=0,0,IF(A450=subjectMortgageEndDate,B450+E450,MIN(subjectPayment,B450+E450))))</f>
        <v>0</v>
      </c>
      <c r="D450" s="14">
        <f t="shared" si="73"/>
        <v>0</v>
      </c>
      <c r="E450" s="14">
        <f>IF(OR(A450="",B450&lt;=0),0,ROUND(B450*(subjectInterestRate/12),2))</f>
        <v>0</v>
      </c>
      <c r="F450" s="14">
        <f t="shared" si="81"/>
        <v>134.16999999999999</v>
      </c>
      <c r="G450" s="14">
        <f t="shared" si="81"/>
        <v>188.55</v>
      </c>
      <c r="H450" s="14">
        <f t="shared" si="82"/>
        <v>322.72000000000003</v>
      </c>
      <c r="I450" s="276">
        <f t="shared" si="76"/>
        <v>97531.839999999953</v>
      </c>
      <c r="J450" s="276">
        <f t="shared" si="77"/>
        <v>36068.259999999973</v>
      </c>
      <c r="K450" s="276">
        <f t="shared" si="74"/>
        <v>0</v>
      </c>
      <c r="L450" s="394">
        <f t="shared" si="80"/>
        <v>0</v>
      </c>
      <c r="M450" s="394">
        <f t="shared" si="75"/>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IF(OR(A450="",A450&gt;=subjectMortgageEndDate),"",EDATE(A450,1))</f>
        <v/>
      </c>
      <c r="B451" s="332">
        <f t="shared" si="72"/>
        <v>0</v>
      </c>
      <c r="C451" s="21">
        <f>IF(A451="",0,IF(B451&lt;=0,0,IF(A451=subjectMortgageEndDate,B451+E451,MIN(subjectPayment,B451+E451))))</f>
        <v>0</v>
      </c>
      <c r="D451" s="21">
        <f t="shared" si="73"/>
        <v>0</v>
      </c>
      <c r="E451" s="21">
        <f>IF(OR(A451="",B451&lt;=0),0,ROUND(B451*(subjectInterestRate/12),2))</f>
        <v>0</v>
      </c>
      <c r="F451" s="21">
        <f t="shared" si="81"/>
        <v>134.16999999999999</v>
      </c>
      <c r="G451" s="21">
        <f t="shared" si="81"/>
        <v>188.55</v>
      </c>
      <c r="H451" s="21">
        <f t="shared" si="82"/>
        <v>322.72000000000003</v>
      </c>
      <c r="I451" s="332">
        <f t="shared" si="76"/>
        <v>97531.839999999953</v>
      </c>
      <c r="J451" s="332">
        <f t="shared" si="77"/>
        <v>36068.259999999973</v>
      </c>
      <c r="K451" s="332">
        <f t="shared" si="74"/>
        <v>0</v>
      </c>
      <c r="L451" s="395">
        <f t="shared" si="80"/>
        <v>0</v>
      </c>
      <c r="M451" s="395">
        <f t="shared" si="75"/>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32">
        <f>IF(INDEX(tblContractForDeed[End Bal],ROW()-ROW(tblBuyerOutputs[#Headers]))&lt;=0,0,($O$6+IF(ROW()=ROW(tblBuyerOutputs[#Headers])+1,0,INDEX(tblBuyerOutputs[Cumul Appr],ROW()-ROW(tblBuyerOutputs[#Headers])-1)))*$O$2/12)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IF(OR(A451="",A451&gt;=subjectMortgageEndDate),"",EDATE(A451,1))</f>
        <v/>
      </c>
      <c r="B452" s="276">
        <f t="shared" si="72"/>
        <v>0</v>
      </c>
      <c r="C452" s="14">
        <f>IF(A452="",0,IF(B452&lt;=0,0,IF(A452=subjectMortgageEndDate,B452+E452,MIN(subjectPayment,B452+E452))))</f>
        <v>0</v>
      </c>
      <c r="D452" s="14">
        <f t="shared" si="73"/>
        <v>0</v>
      </c>
      <c r="E452" s="14">
        <f>IF(OR(A452="",B452&lt;=0),0,ROUND(B452*(subjectInterestRate/12),2))</f>
        <v>0</v>
      </c>
      <c r="F452" s="14">
        <f t="shared" si="81"/>
        <v>134.16999999999999</v>
      </c>
      <c r="G452" s="14">
        <f t="shared" si="81"/>
        <v>188.55</v>
      </c>
      <c r="H452" s="14">
        <f t="shared" si="82"/>
        <v>322.72000000000003</v>
      </c>
      <c r="I452" s="276">
        <f t="shared" si="76"/>
        <v>97531.839999999953</v>
      </c>
      <c r="J452" s="276">
        <f t="shared" si="77"/>
        <v>36068.259999999973</v>
      </c>
      <c r="K452" s="276">
        <f t="shared" si="74"/>
        <v>0</v>
      </c>
      <c r="L452" s="394">
        <f t="shared" si="80"/>
        <v>0</v>
      </c>
      <c r="M452" s="394">
        <f t="shared" si="75"/>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IF(OR(A452="",A452&gt;=subjectMortgageEndDate),"",EDATE(A452,1))</f>
        <v/>
      </c>
      <c r="B453" s="276">
        <f t="shared" si="72"/>
        <v>0</v>
      </c>
      <c r="C453" s="14">
        <f>IF(A453="",0,IF(B453&lt;=0,0,IF(A453=subjectMortgageEndDate,B453+E453,MIN(subjectPayment,B453+E453))))</f>
        <v>0</v>
      </c>
      <c r="D453" s="14">
        <f t="shared" si="73"/>
        <v>0</v>
      </c>
      <c r="E453" s="14">
        <f>IF(OR(A453="",B453&lt;=0),0,ROUND(B453*(subjectInterestRate/12),2))</f>
        <v>0</v>
      </c>
      <c r="F453" s="14">
        <f t="shared" si="81"/>
        <v>134.16999999999999</v>
      </c>
      <c r="G453" s="14">
        <f t="shared" si="81"/>
        <v>188.55</v>
      </c>
      <c r="H453" s="14">
        <f t="shared" si="82"/>
        <v>322.72000000000003</v>
      </c>
      <c r="I453" s="276">
        <f t="shared" si="76"/>
        <v>97531.839999999953</v>
      </c>
      <c r="J453" s="276">
        <f t="shared" si="77"/>
        <v>36068.259999999973</v>
      </c>
      <c r="K453" s="276">
        <f t="shared" si="74"/>
        <v>0</v>
      </c>
      <c r="L453" s="394">
        <f t="shared" si="80"/>
        <v>0</v>
      </c>
      <c r="M453" s="394">
        <f t="shared" si="75"/>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IF(OR(A453="",A453&gt;=subjectMortgageEndDate),"",EDATE(A453,1))</f>
        <v/>
      </c>
      <c r="B454" s="276">
        <f t="shared" si="72"/>
        <v>0</v>
      </c>
      <c r="C454" s="14">
        <f>IF(A454="",0,IF(B454&lt;=0,0,IF(A454=subjectMortgageEndDate,B454+E454,MIN(subjectPayment,B454+E454))))</f>
        <v>0</v>
      </c>
      <c r="D454" s="14">
        <f t="shared" si="73"/>
        <v>0</v>
      </c>
      <c r="E454" s="14">
        <f>IF(OR(A454="",B454&lt;=0),0,ROUND(B454*(subjectInterestRate/12),2))</f>
        <v>0</v>
      </c>
      <c r="F454" s="14">
        <f t="shared" si="81"/>
        <v>134.16999999999999</v>
      </c>
      <c r="G454" s="14">
        <f t="shared" si="81"/>
        <v>188.55</v>
      </c>
      <c r="H454" s="14">
        <f t="shared" si="82"/>
        <v>322.72000000000003</v>
      </c>
      <c r="I454" s="276">
        <f t="shared" si="76"/>
        <v>97531.839999999953</v>
      </c>
      <c r="J454" s="276">
        <f t="shared" si="77"/>
        <v>36068.259999999973</v>
      </c>
      <c r="K454" s="276">
        <f t="shared" si="74"/>
        <v>0</v>
      </c>
      <c r="L454" s="394">
        <f t="shared" si="80"/>
        <v>0</v>
      </c>
      <c r="M454" s="394">
        <f t="shared" si="75"/>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IF(OR(A454="",A454&gt;=subjectMortgageEndDate),"",EDATE(A454,1))</f>
        <v/>
      </c>
      <c r="B455" s="276">
        <f t="shared" si="72"/>
        <v>0</v>
      </c>
      <c r="C455" s="14">
        <f>IF(A455="",0,IF(B455&lt;=0,0,IF(A455=subjectMortgageEndDate,B455+E455,MIN(subjectPayment,B455+E455))))</f>
        <v>0</v>
      </c>
      <c r="D455" s="14">
        <f t="shared" si="73"/>
        <v>0</v>
      </c>
      <c r="E455" s="14">
        <f>IF(OR(A455="",B455&lt;=0),0,ROUND(B455*(subjectInterestRate/12),2))</f>
        <v>0</v>
      </c>
      <c r="F455" s="14">
        <f t="shared" si="81"/>
        <v>134.16999999999999</v>
      </c>
      <c r="G455" s="14">
        <f t="shared" si="81"/>
        <v>188.55</v>
      </c>
      <c r="H455" s="14">
        <f t="shared" si="82"/>
        <v>322.72000000000003</v>
      </c>
      <c r="I455" s="276">
        <f t="shared" si="76"/>
        <v>97531.839999999953</v>
      </c>
      <c r="J455" s="276">
        <f t="shared" si="77"/>
        <v>36068.259999999973</v>
      </c>
      <c r="K455" s="276">
        <f t="shared" si="74"/>
        <v>0</v>
      </c>
      <c r="L455" s="394">
        <f t="shared" si="80"/>
        <v>0</v>
      </c>
      <c r="M455" s="394">
        <f t="shared" si="75"/>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IF(OR(A455="",A455&gt;=subjectMortgageEndDate),"",EDATE(A455,1))</f>
        <v/>
      </c>
      <c r="B456" s="276">
        <f t="shared" si="72"/>
        <v>0</v>
      </c>
      <c r="C456" s="14">
        <f>IF(A456="",0,IF(B456&lt;=0,0,IF(A456=subjectMortgageEndDate,B456+E456,MIN(subjectPayment,B456+E456))))</f>
        <v>0</v>
      </c>
      <c r="D456" s="14">
        <f t="shared" si="73"/>
        <v>0</v>
      </c>
      <c r="E456" s="14">
        <f>IF(OR(A456="",B456&lt;=0),0,ROUND(B456*(subjectInterestRate/12),2))</f>
        <v>0</v>
      </c>
      <c r="F456" s="14">
        <f t="shared" si="81"/>
        <v>134.16999999999999</v>
      </c>
      <c r="G456" s="14">
        <f t="shared" si="81"/>
        <v>188.55</v>
      </c>
      <c r="H456" s="14">
        <f t="shared" si="82"/>
        <v>322.72000000000003</v>
      </c>
      <c r="I456" s="276">
        <f t="shared" si="76"/>
        <v>97531.839999999953</v>
      </c>
      <c r="J456" s="276">
        <f t="shared" si="77"/>
        <v>36068.259999999973</v>
      </c>
      <c r="K456" s="276">
        <f t="shared" si="74"/>
        <v>0</v>
      </c>
      <c r="L456" s="394">
        <f t="shared" si="80"/>
        <v>0</v>
      </c>
      <c r="M456" s="394">
        <f t="shared" si="75"/>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IF(OR(A456="",A456&gt;=subjectMortgageEndDate),"",EDATE(A456,1))</f>
        <v/>
      </c>
      <c r="B457" s="276">
        <f t="shared" si="72"/>
        <v>0</v>
      </c>
      <c r="C457" s="14">
        <f>IF(A457="",0,IF(B457&lt;=0,0,IF(A457=subjectMortgageEndDate,B457+E457,MIN(subjectPayment,B457+E457))))</f>
        <v>0</v>
      </c>
      <c r="D457" s="14">
        <f t="shared" si="73"/>
        <v>0</v>
      </c>
      <c r="E457" s="14">
        <f>IF(OR(A457="",B457&lt;=0),0,ROUND(B457*(subjectInterestRate/12),2))</f>
        <v>0</v>
      </c>
      <c r="F457" s="14">
        <f t="shared" si="81"/>
        <v>134.16999999999999</v>
      </c>
      <c r="G457" s="14">
        <f t="shared" si="81"/>
        <v>188.55</v>
      </c>
      <c r="H457" s="14">
        <f t="shared" si="82"/>
        <v>322.72000000000003</v>
      </c>
      <c r="I457" s="276">
        <f t="shared" si="76"/>
        <v>97531.839999999953</v>
      </c>
      <c r="J457" s="276">
        <f t="shared" si="77"/>
        <v>36068.259999999973</v>
      </c>
      <c r="K457" s="276">
        <f t="shared" si="74"/>
        <v>0</v>
      </c>
      <c r="L457" s="394">
        <f t="shared" si="80"/>
        <v>0</v>
      </c>
      <c r="M457" s="394">
        <f t="shared" si="75"/>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IF(OR(A457="",A457&gt;=subjectMortgageEndDate),"",EDATE(A457,1))</f>
        <v/>
      </c>
      <c r="B458" s="276">
        <f t="shared" si="72"/>
        <v>0</v>
      </c>
      <c r="C458" s="14">
        <f>IF(A458="",0,IF(B458&lt;=0,0,IF(A458=subjectMortgageEndDate,B458+E458,MIN(subjectPayment,B458+E458))))</f>
        <v>0</v>
      </c>
      <c r="D458" s="14">
        <f t="shared" si="73"/>
        <v>0</v>
      </c>
      <c r="E458" s="14">
        <f>IF(OR(A458="",B458&lt;=0),0,ROUND(B458*(subjectInterestRate/12),2))</f>
        <v>0</v>
      </c>
      <c r="F458" s="14">
        <f t="shared" si="81"/>
        <v>134.16999999999999</v>
      </c>
      <c r="G458" s="14">
        <f t="shared" si="81"/>
        <v>188.55</v>
      </c>
      <c r="H458" s="14">
        <f t="shared" si="82"/>
        <v>322.72000000000003</v>
      </c>
      <c r="I458" s="276">
        <f t="shared" si="76"/>
        <v>97531.839999999953</v>
      </c>
      <c r="J458" s="276">
        <f t="shared" si="77"/>
        <v>36068.259999999973</v>
      </c>
      <c r="K458" s="276">
        <f t="shared" si="74"/>
        <v>0</v>
      </c>
      <c r="L458" s="394">
        <f t="shared" si="80"/>
        <v>0</v>
      </c>
      <c r="M458" s="394">
        <f t="shared" si="75"/>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IF(OR(A458="",A458&gt;=subjectMortgageEndDate),"",EDATE(A458,1))</f>
        <v/>
      </c>
      <c r="B459" s="276">
        <f t="shared" si="72"/>
        <v>0</v>
      </c>
      <c r="C459" s="14">
        <f>IF(A459="",0,IF(B459&lt;=0,0,IF(A459=subjectMortgageEndDate,B459+E459,MIN(subjectPayment,B459+E459))))</f>
        <v>0</v>
      </c>
      <c r="D459" s="14">
        <f t="shared" si="73"/>
        <v>0</v>
      </c>
      <c r="E459" s="14">
        <f>IF(OR(A459="",B459&lt;=0),0,ROUND(B459*(subjectInterestRate/12),2))</f>
        <v>0</v>
      </c>
      <c r="F459" s="14">
        <f t="shared" si="81"/>
        <v>134.16999999999999</v>
      </c>
      <c r="G459" s="14">
        <f t="shared" si="81"/>
        <v>188.55</v>
      </c>
      <c r="H459" s="14">
        <f t="shared" si="82"/>
        <v>322.72000000000003</v>
      </c>
      <c r="I459" s="276">
        <f t="shared" si="76"/>
        <v>97531.839999999953</v>
      </c>
      <c r="J459" s="276">
        <f t="shared" si="77"/>
        <v>36068.259999999973</v>
      </c>
      <c r="K459" s="276">
        <f t="shared" si="74"/>
        <v>0</v>
      </c>
      <c r="L459" s="394">
        <f t="shared" si="80"/>
        <v>0</v>
      </c>
      <c r="M459" s="394">
        <f t="shared" si="75"/>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IF(OR(A459="",A459&gt;=subjectMortgageEndDate),"",EDATE(A459,1))</f>
        <v/>
      </c>
      <c r="B460" s="276">
        <f t="shared" si="72"/>
        <v>0</v>
      </c>
      <c r="C460" s="14">
        <f>IF(A460="",0,IF(B460&lt;=0,0,IF(A460=subjectMortgageEndDate,B460+E460,MIN(subjectPayment,B460+E460))))</f>
        <v>0</v>
      </c>
      <c r="D460" s="14">
        <f t="shared" si="73"/>
        <v>0</v>
      </c>
      <c r="E460" s="14">
        <f>IF(OR(A460="",B460&lt;=0),0,ROUND(B460*(subjectInterestRate/12),2))</f>
        <v>0</v>
      </c>
      <c r="F460" s="14">
        <f t="shared" si="81"/>
        <v>134.16999999999999</v>
      </c>
      <c r="G460" s="14">
        <f t="shared" si="81"/>
        <v>188.55</v>
      </c>
      <c r="H460" s="14">
        <f t="shared" si="82"/>
        <v>322.72000000000003</v>
      </c>
      <c r="I460" s="276">
        <f t="shared" si="76"/>
        <v>97531.839999999953</v>
      </c>
      <c r="J460" s="276">
        <f t="shared" si="77"/>
        <v>36068.259999999973</v>
      </c>
      <c r="K460" s="276">
        <f t="shared" si="74"/>
        <v>0</v>
      </c>
      <c r="L460" s="394">
        <f t="shared" si="80"/>
        <v>0</v>
      </c>
      <c r="M460" s="394">
        <f t="shared" si="75"/>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IF(OR(A460="",A460&gt;=subjectMortgageEndDate),"",EDATE(A460,1))</f>
        <v/>
      </c>
      <c r="B461" s="276">
        <f t="shared" si="72"/>
        <v>0</v>
      </c>
      <c r="C461" s="14">
        <f>IF(A461="",0,IF(B461&lt;=0,0,IF(A461=subjectMortgageEndDate,B461+E461,MIN(subjectPayment,B461+E461))))</f>
        <v>0</v>
      </c>
      <c r="D461" s="14">
        <f t="shared" si="73"/>
        <v>0</v>
      </c>
      <c r="E461" s="14">
        <f>IF(OR(A461="",B461&lt;=0),0,ROUND(B461*(subjectInterestRate/12),2))</f>
        <v>0</v>
      </c>
      <c r="F461" s="14">
        <f t="shared" si="81"/>
        <v>134.16999999999999</v>
      </c>
      <c r="G461" s="14">
        <f t="shared" si="81"/>
        <v>188.55</v>
      </c>
      <c r="H461" s="14">
        <f t="shared" si="82"/>
        <v>322.72000000000003</v>
      </c>
      <c r="I461" s="276">
        <f t="shared" si="76"/>
        <v>97531.839999999953</v>
      </c>
      <c r="J461" s="276">
        <f t="shared" si="77"/>
        <v>36068.259999999973</v>
      </c>
      <c r="K461" s="276">
        <f t="shared" si="74"/>
        <v>0</v>
      </c>
      <c r="L461" s="394">
        <f t="shared" si="80"/>
        <v>0</v>
      </c>
      <c r="M461" s="394">
        <f t="shared" si="75"/>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IF(OR(A461="",A461&gt;=subjectMortgageEndDate),"",EDATE(A461,1))</f>
        <v/>
      </c>
      <c r="B462" s="276">
        <f t="shared" si="72"/>
        <v>0</v>
      </c>
      <c r="C462" s="14">
        <f>IF(A462="",0,IF(B462&lt;=0,0,IF(A462=subjectMortgageEndDate,B462+E462,MIN(subjectPayment,B462+E462))))</f>
        <v>0</v>
      </c>
      <c r="D462" s="14">
        <f t="shared" si="73"/>
        <v>0</v>
      </c>
      <c r="E462" s="14">
        <f>IF(OR(A462="",B462&lt;=0),0,ROUND(B462*(subjectInterestRate/12),2))</f>
        <v>0</v>
      </c>
      <c r="F462" s="14">
        <f t="shared" si="81"/>
        <v>134.16999999999999</v>
      </c>
      <c r="G462" s="14">
        <f t="shared" si="81"/>
        <v>188.55</v>
      </c>
      <c r="H462" s="14">
        <f t="shared" si="82"/>
        <v>322.72000000000003</v>
      </c>
      <c r="I462" s="276">
        <f t="shared" si="76"/>
        <v>97531.839999999953</v>
      </c>
      <c r="J462" s="276">
        <f t="shared" si="77"/>
        <v>36068.259999999973</v>
      </c>
      <c r="K462" s="276">
        <f t="shared" si="74"/>
        <v>0</v>
      </c>
      <c r="L462" s="394">
        <f t="shared" si="80"/>
        <v>0</v>
      </c>
      <c r="M462" s="394">
        <f t="shared" si="75"/>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IF(OR(A462="",A462&gt;=subjectMortgageEndDate),"",EDATE(A462,1))</f>
        <v/>
      </c>
      <c r="B463" s="332">
        <f t="shared" si="72"/>
        <v>0</v>
      </c>
      <c r="C463" s="21">
        <f>IF(A463="",0,IF(B463&lt;=0,0,IF(A463=subjectMortgageEndDate,B463+E463,MIN(subjectPayment,B463+E463))))</f>
        <v>0</v>
      </c>
      <c r="D463" s="21">
        <f t="shared" si="73"/>
        <v>0</v>
      </c>
      <c r="E463" s="21">
        <f>IF(OR(A463="",B463&lt;=0),0,ROUND(B463*(subjectInterestRate/12),2))</f>
        <v>0</v>
      </c>
      <c r="F463" s="21">
        <f t="shared" ref="F463:G478" si="83">+F462</f>
        <v>134.16999999999999</v>
      </c>
      <c r="G463" s="21">
        <f t="shared" si="83"/>
        <v>188.55</v>
      </c>
      <c r="H463" s="21">
        <f t="shared" si="82"/>
        <v>322.72000000000003</v>
      </c>
      <c r="I463" s="332">
        <f t="shared" si="76"/>
        <v>97531.839999999953</v>
      </c>
      <c r="J463" s="332">
        <f t="shared" si="77"/>
        <v>36068.259999999973</v>
      </c>
      <c r="K463" s="332">
        <f t="shared" si="74"/>
        <v>0</v>
      </c>
      <c r="L463" s="395">
        <f t="shared" si="80"/>
        <v>0</v>
      </c>
      <c r="M463" s="395">
        <f t="shared" si="75"/>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32">
        <f>IF(INDEX(tblContractForDeed[End Bal],ROW()-ROW(tblBuyerOutputs[#Headers]))&lt;=0,0,($O$6+IF(ROW()=ROW(tblBuyerOutputs[#Headers])+1,0,INDEX(tblBuyerOutputs[Cumul Appr],ROW()-ROW(tblBuyerOutputs[#Headers])-1)))*$O$2/12)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IF(OR(A463="",A463&gt;=subjectMortgageEndDate),"",EDATE(A463,1))</f>
        <v/>
      </c>
      <c r="B464" s="276">
        <f t="shared" si="72"/>
        <v>0</v>
      </c>
      <c r="C464" s="14">
        <f>IF(A464="",0,IF(B464&lt;=0,0,IF(A464=subjectMortgageEndDate,B464+E464,MIN(subjectPayment,B464+E464))))</f>
        <v>0</v>
      </c>
      <c r="D464" s="14">
        <f t="shared" si="73"/>
        <v>0</v>
      </c>
      <c r="E464" s="14">
        <f>IF(OR(A464="",B464&lt;=0),0,ROUND(B464*(subjectInterestRate/12),2))</f>
        <v>0</v>
      </c>
      <c r="F464" s="14">
        <f t="shared" si="83"/>
        <v>134.16999999999999</v>
      </c>
      <c r="G464" s="14">
        <f t="shared" si="83"/>
        <v>188.55</v>
      </c>
      <c r="H464" s="14">
        <f t="shared" si="82"/>
        <v>322.72000000000003</v>
      </c>
      <c r="I464" s="276">
        <f t="shared" si="76"/>
        <v>97531.839999999953</v>
      </c>
      <c r="J464" s="276">
        <f t="shared" si="77"/>
        <v>36068.259999999973</v>
      </c>
      <c r="K464" s="276">
        <f t="shared" si="74"/>
        <v>0</v>
      </c>
      <c r="L464" s="394">
        <f t="shared" si="80"/>
        <v>0</v>
      </c>
      <c r="M464" s="394">
        <f t="shared" si="75"/>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IF(OR(A464="",A464&gt;=subjectMortgageEndDate),"",EDATE(A464,1))</f>
        <v/>
      </c>
      <c r="B465" s="276">
        <f t="shared" si="72"/>
        <v>0</v>
      </c>
      <c r="C465" s="14">
        <f>IF(A465="",0,IF(B465&lt;=0,0,IF(A465=subjectMortgageEndDate,B465+E465,MIN(subjectPayment,B465+E465))))</f>
        <v>0</v>
      </c>
      <c r="D465" s="14">
        <f t="shared" si="73"/>
        <v>0</v>
      </c>
      <c r="E465" s="14">
        <f>IF(OR(A465="",B465&lt;=0),0,ROUND(B465*(subjectInterestRate/12),2))</f>
        <v>0</v>
      </c>
      <c r="F465" s="14">
        <f t="shared" si="83"/>
        <v>134.16999999999999</v>
      </c>
      <c r="G465" s="14">
        <f t="shared" si="83"/>
        <v>188.55</v>
      </c>
      <c r="H465" s="14">
        <f t="shared" si="82"/>
        <v>322.72000000000003</v>
      </c>
      <c r="I465" s="276">
        <f t="shared" si="76"/>
        <v>97531.839999999953</v>
      </c>
      <c r="J465" s="276">
        <f t="shared" si="77"/>
        <v>36068.259999999973</v>
      </c>
      <c r="K465" s="276">
        <f t="shared" si="74"/>
        <v>0</v>
      </c>
      <c r="L465" s="394">
        <f t="shared" si="80"/>
        <v>0</v>
      </c>
      <c r="M465" s="394">
        <f t="shared" si="75"/>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IF(OR(A465="",A465&gt;=subjectMortgageEndDate),"",EDATE(A465,1))</f>
        <v/>
      </c>
      <c r="B466" s="276">
        <f t="shared" si="72"/>
        <v>0</v>
      </c>
      <c r="C466" s="14">
        <f>IF(A466="",0,IF(B466&lt;=0,0,IF(A466=subjectMortgageEndDate,B466+E466,MIN(subjectPayment,B466+E466))))</f>
        <v>0</v>
      </c>
      <c r="D466" s="14">
        <f t="shared" si="73"/>
        <v>0</v>
      </c>
      <c r="E466" s="14">
        <f>IF(OR(A466="",B466&lt;=0),0,ROUND(B466*(subjectInterestRate/12),2))</f>
        <v>0</v>
      </c>
      <c r="F466" s="14">
        <f t="shared" si="83"/>
        <v>134.16999999999999</v>
      </c>
      <c r="G466" s="14">
        <f t="shared" si="83"/>
        <v>188.55</v>
      </c>
      <c r="H466" s="14">
        <f t="shared" si="82"/>
        <v>322.72000000000003</v>
      </c>
      <c r="I466" s="276">
        <f t="shared" si="76"/>
        <v>97531.839999999953</v>
      </c>
      <c r="J466" s="276">
        <f t="shared" si="77"/>
        <v>36068.259999999973</v>
      </c>
      <c r="K466" s="276">
        <f t="shared" si="74"/>
        <v>0</v>
      </c>
      <c r="L466" s="394">
        <f t="shared" si="80"/>
        <v>0</v>
      </c>
      <c r="M466" s="394">
        <f t="shared" si="75"/>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IF(OR(A466="",A466&gt;=subjectMortgageEndDate),"",EDATE(A466,1))</f>
        <v/>
      </c>
      <c r="B467" s="276">
        <f t="shared" si="72"/>
        <v>0</v>
      </c>
      <c r="C467" s="14">
        <f>IF(A467="",0,IF(B467&lt;=0,0,IF(A467=subjectMortgageEndDate,B467+E467,MIN(subjectPayment,B467+E467))))</f>
        <v>0</v>
      </c>
      <c r="D467" s="14">
        <f t="shared" si="73"/>
        <v>0</v>
      </c>
      <c r="E467" s="14">
        <f>IF(OR(A467="",B467&lt;=0),0,ROUND(B467*(subjectInterestRate/12),2))</f>
        <v>0</v>
      </c>
      <c r="F467" s="14">
        <f t="shared" si="83"/>
        <v>134.16999999999999</v>
      </c>
      <c r="G467" s="14">
        <f t="shared" si="83"/>
        <v>188.55</v>
      </c>
      <c r="H467" s="14">
        <f t="shared" si="82"/>
        <v>322.72000000000003</v>
      </c>
      <c r="I467" s="276">
        <f t="shared" si="76"/>
        <v>97531.839999999953</v>
      </c>
      <c r="J467" s="276">
        <f t="shared" si="77"/>
        <v>36068.259999999973</v>
      </c>
      <c r="K467" s="276">
        <f t="shared" si="74"/>
        <v>0</v>
      </c>
      <c r="L467" s="394">
        <f t="shared" si="80"/>
        <v>0</v>
      </c>
      <c r="M467" s="394">
        <f t="shared" si="75"/>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IF(OR(A467="",A467&gt;=subjectMortgageEndDate),"",EDATE(A467,1))</f>
        <v/>
      </c>
      <c r="B468" s="276">
        <f t="shared" si="72"/>
        <v>0</v>
      </c>
      <c r="C468" s="14">
        <f>IF(A468="",0,IF(B468&lt;=0,0,IF(A468=subjectMortgageEndDate,B468+E468,MIN(subjectPayment,B468+E468))))</f>
        <v>0</v>
      </c>
      <c r="D468" s="14">
        <f t="shared" si="73"/>
        <v>0</v>
      </c>
      <c r="E468" s="14">
        <f>IF(OR(A468="",B468&lt;=0),0,ROUND(B468*(subjectInterestRate/12),2))</f>
        <v>0</v>
      </c>
      <c r="F468" s="14">
        <f t="shared" si="83"/>
        <v>134.16999999999999</v>
      </c>
      <c r="G468" s="14">
        <f t="shared" si="83"/>
        <v>188.55</v>
      </c>
      <c r="H468" s="14">
        <f t="shared" si="82"/>
        <v>322.72000000000003</v>
      </c>
      <c r="I468" s="276">
        <f t="shared" si="76"/>
        <v>97531.839999999953</v>
      </c>
      <c r="J468" s="276">
        <f t="shared" si="77"/>
        <v>36068.259999999973</v>
      </c>
      <c r="K468" s="276">
        <f t="shared" si="74"/>
        <v>0</v>
      </c>
      <c r="L468" s="394">
        <f t="shared" si="80"/>
        <v>0</v>
      </c>
      <c r="M468" s="394">
        <f t="shared" si="75"/>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IF(OR(A468="",A468&gt;=subjectMortgageEndDate),"",EDATE(A468,1))</f>
        <v/>
      </c>
      <c r="B469" s="276">
        <f t="shared" ref="B469:B532" si="84">IF(A469="",0,MAX(0,K468))</f>
        <v>0</v>
      </c>
      <c r="C469" s="14">
        <f>IF(A469="",0,IF(B469&lt;=0,0,IF(A469=subjectMortgageEndDate,B469+E469,MIN(subjectPayment,B469+E469))))</f>
        <v>0</v>
      </c>
      <c r="D469" s="14">
        <f t="shared" ref="D469:D532" si="85">IF(C469=0,0,MAX(0,MIN(B469,C469-E469)))</f>
        <v>0</v>
      </c>
      <c r="E469" s="14">
        <f>IF(OR(A469="",B469&lt;=0),0,ROUND(B469*(subjectInterestRate/12),2))</f>
        <v>0</v>
      </c>
      <c r="F469" s="14">
        <f t="shared" si="83"/>
        <v>134.16999999999999</v>
      </c>
      <c r="G469" s="14">
        <f t="shared" si="83"/>
        <v>188.55</v>
      </c>
      <c r="H469" s="14">
        <f t="shared" si="82"/>
        <v>322.72000000000003</v>
      </c>
      <c r="I469" s="276">
        <f t="shared" si="76"/>
        <v>97531.839999999953</v>
      </c>
      <c r="J469" s="276">
        <f t="shared" si="77"/>
        <v>36068.259999999973</v>
      </c>
      <c r="K469" s="276">
        <f t="shared" ref="K469:K532" si="86">IF(A469="",0,IF(B469&lt;=0,0,MAX(0,B469-D469)))</f>
        <v>0</v>
      </c>
      <c r="L469" s="394">
        <f t="shared" si="80"/>
        <v>0</v>
      </c>
      <c r="M469" s="394">
        <f t="shared" ref="M469:M532" si="87">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IF(OR(A469="",A469&gt;=subjectMortgageEndDate),"",EDATE(A469,1))</f>
        <v/>
      </c>
      <c r="B470" s="276">
        <f t="shared" si="84"/>
        <v>0</v>
      </c>
      <c r="C470" s="14">
        <f>IF(A470="",0,IF(B470&lt;=0,0,IF(A470=subjectMortgageEndDate,B470+E470,MIN(subjectPayment,B470+E470))))</f>
        <v>0</v>
      </c>
      <c r="D470" s="14">
        <f t="shared" si="85"/>
        <v>0</v>
      </c>
      <c r="E470" s="14">
        <f>IF(OR(A470="",B470&lt;=0),0,ROUND(B470*(subjectInterestRate/12),2))</f>
        <v>0</v>
      </c>
      <c r="F470" s="14">
        <f t="shared" si="83"/>
        <v>134.16999999999999</v>
      </c>
      <c r="G470" s="14">
        <f t="shared" si="83"/>
        <v>188.55</v>
      </c>
      <c r="H470" s="14">
        <f t="shared" si="82"/>
        <v>322.72000000000003</v>
      </c>
      <c r="I470" s="276">
        <f t="shared" ref="I470:I495" si="88">$D470+$I469</f>
        <v>97531.839999999953</v>
      </c>
      <c r="J470" s="276">
        <f t="shared" ref="J470:J495" si="89">$E470+$J469</f>
        <v>36068.259999999973</v>
      </c>
      <c r="K470" s="276">
        <f t="shared" si="86"/>
        <v>0</v>
      </c>
      <c r="L470" s="394">
        <f t="shared" si="80"/>
        <v>0</v>
      </c>
      <c r="M470" s="394">
        <f t="shared" si="87"/>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IF(OR(A470="",A470&gt;=subjectMortgageEndDate),"",EDATE(A470,1))</f>
        <v/>
      </c>
      <c r="B471" s="276">
        <f t="shared" si="84"/>
        <v>0</v>
      </c>
      <c r="C471" s="14">
        <f>IF(A471="",0,IF(B471&lt;=0,0,IF(A471=subjectMortgageEndDate,B471+E471,MIN(subjectPayment,B471+E471))))</f>
        <v>0</v>
      </c>
      <c r="D471" s="14">
        <f t="shared" si="85"/>
        <v>0</v>
      </c>
      <c r="E471" s="14">
        <f>IF(OR(A471="",B471&lt;=0),0,ROUND(B471*(subjectInterestRate/12),2))</f>
        <v>0</v>
      </c>
      <c r="F471" s="14">
        <f t="shared" si="83"/>
        <v>134.16999999999999</v>
      </c>
      <c r="G471" s="14">
        <f t="shared" si="83"/>
        <v>188.55</v>
      </c>
      <c r="H471" s="14">
        <f t="shared" si="82"/>
        <v>322.72000000000003</v>
      </c>
      <c r="I471" s="276">
        <f t="shared" si="88"/>
        <v>97531.839999999953</v>
      </c>
      <c r="J471" s="276">
        <f t="shared" si="89"/>
        <v>36068.259999999973</v>
      </c>
      <c r="K471" s="276">
        <f t="shared" si="86"/>
        <v>0</v>
      </c>
      <c r="L471" s="394">
        <f t="shared" si="80"/>
        <v>0</v>
      </c>
      <c r="M471" s="394">
        <f t="shared" si="87"/>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IF(OR(A471="",A471&gt;=subjectMortgageEndDate),"",EDATE(A471,1))</f>
        <v/>
      </c>
      <c r="B472" s="276">
        <f t="shared" si="84"/>
        <v>0</v>
      </c>
      <c r="C472" s="14">
        <f>IF(A472="",0,IF(B472&lt;=0,0,IF(A472=subjectMortgageEndDate,B472+E472,MIN(subjectPayment,B472+E472))))</f>
        <v>0</v>
      </c>
      <c r="D472" s="14">
        <f t="shared" si="85"/>
        <v>0</v>
      </c>
      <c r="E472" s="14">
        <f>IF(OR(A472="",B472&lt;=0),0,ROUND(B472*(subjectInterestRate/12),2))</f>
        <v>0</v>
      </c>
      <c r="F472" s="14">
        <f t="shared" si="83"/>
        <v>134.16999999999999</v>
      </c>
      <c r="G472" s="14">
        <f t="shared" si="83"/>
        <v>188.55</v>
      </c>
      <c r="H472" s="14">
        <f t="shared" si="82"/>
        <v>322.72000000000003</v>
      </c>
      <c r="I472" s="276">
        <f t="shared" si="88"/>
        <v>97531.839999999953</v>
      </c>
      <c r="J472" s="276">
        <f t="shared" si="89"/>
        <v>36068.259999999973</v>
      </c>
      <c r="K472" s="276">
        <f t="shared" si="86"/>
        <v>0</v>
      </c>
      <c r="L472" s="394">
        <f t="shared" si="80"/>
        <v>0</v>
      </c>
      <c r="M472" s="394">
        <f t="shared" si="87"/>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IF(OR(A472="",A472&gt;=subjectMortgageEndDate),"",EDATE(A472,1))</f>
        <v/>
      </c>
      <c r="B473" s="276">
        <f t="shared" si="84"/>
        <v>0</v>
      </c>
      <c r="C473" s="14">
        <f>IF(A473="",0,IF(B473&lt;=0,0,IF(A473=subjectMortgageEndDate,B473+E473,MIN(subjectPayment,B473+E473))))</f>
        <v>0</v>
      </c>
      <c r="D473" s="14">
        <f t="shared" si="85"/>
        <v>0</v>
      </c>
      <c r="E473" s="14">
        <f>IF(OR(A473="",B473&lt;=0),0,ROUND(B473*(subjectInterestRate/12),2))</f>
        <v>0</v>
      </c>
      <c r="F473" s="14">
        <f t="shared" si="83"/>
        <v>134.16999999999999</v>
      </c>
      <c r="G473" s="14">
        <f t="shared" si="83"/>
        <v>188.55</v>
      </c>
      <c r="H473" s="14">
        <f t="shared" si="82"/>
        <v>322.72000000000003</v>
      </c>
      <c r="I473" s="276">
        <f t="shared" si="88"/>
        <v>97531.839999999953</v>
      </c>
      <c r="J473" s="276">
        <f t="shared" si="89"/>
        <v>36068.259999999973</v>
      </c>
      <c r="K473" s="276">
        <f t="shared" si="86"/>
        <v>0</v>
      </c>
      <c r="L473" s="394">
        <f t="shared" si="80"/>
        <v>0</v>
      </c>
      <c r="M473" s="394">
        <f t="shared" si="87"/>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IF(OR(A473="",A473&gt;=subjectMortgageEndDate),"",EDATE(A473,1))</f>
        <v/>
      </c>
      <c r="B474" s="276">
        <f t="shared" si="84"/>
        <v>0</v>
      </c>
      <c r="C474" s="14">
        <f>IF(A474="",0,IF(B474&lt;=0,0,IF(A474=subjectMortgageEndDate,B474+E474,MIN(subjectPayment,B474+E474))))</f>
        <v>0</v>
      </c>
      <c r="D474" s="14">
        <f t="shared" si="85"/>
        <v>0</v>
      </c>
      <c r="E474" s="14">
        <f>IF(OR(A474="",B474&lt;=0),0,ROUND(B474*(subjectInterestRate/12),2))</f>
        <v>0</v>
      </c>
      <c r="F474" s="14">
        <f t="shared" si="83"/>
        <v>134.16999999999999</v>
      </c>
      <c r="G474" s="14">
        <f t="shared" si="83"/>
        <v>188.55</v>
      </c>
      <c r="H474" s="14">
        <f t="shared" si="82"/>
        <v>322.72000000000003</v>
      </c>
      <c r="I474" s="276">
        <f t="shared" si="88"/>
        <v>97531.839999999953</v>
      </c>
      <c r="J474" s="276">
        <f t="shared" si="89"/>
        <v>36068.259999999973</v>
      </c>
      <c r="K474" s="276">
        <f t="shared" si="86"/>
        <v>0</v>
      </c>
      <c r="L474" s="394">
        <f t="shared" si="80"/>
        <v>0</v>
      </c>
      <c r="M474" s="394">
        <f t="shared" si="87"/>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IF(OR(A474="",A474&gt;=subjectMortgageEndDate),"",EDATE(A474,1))</f>
        <v/>
      </c>
      <c r="B475" s="332">
        <f t="shared" si="84"/>
        <v>0</v>
      </c>
      <c r="C475" s="21">
        <f>IF(A475="",0,IF(B475&lt;=0,0,IF(A475=subjectMortgageEndDate,B475+E475,MIN(subjectPayment,B475+E475))))</f>
        <v>0</v>
      </c>
      <c r="D475" s="21">
        <f t="shared" si="85"/>
        <v>0</v>
      </c>
      <c r="E475" s="21">
        <f>IF(OR(A475="",B475&lt;=0),0,ROUND(B475*(subjectInterestRate/12),2))</f>
        <v>0</v>
      </c>
      <c r="F475" s="21">
        <f t="shared" si="83"/>
        <v>134.16999999999999</v>
      </c>
      <c r="G475" s="21">
        <f t="shared" si="83"/>
        <v>188.55</v>
      </c>
      <c r="H475" s="21">
        <f t="shared" si="82"/>
        <v>322.72000000000003</v>
      </c>
      <c r="I475" s="332">
        <f t="shared" si="88"/>
        <v>97531.839999999953</v>
      </c>
      <c r="J475" s="332">
        <f t="shared" si="89"/>
        <v>36068.259999999973</v>
      </c>
      <c r="K475" s="332">
        <f t="shared" si="86"/>
        <v>0</v>
      </c>
      <c r="L475" s="395">
        <f t="shared" si="80"/>
        <v>0</v>
      </c>
      <c r="M475" s="395">
        <f t="shared" si="87"/>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32">
        <f>IF(INDEX(tblContractForDeed[End Bal],ROW()-ROW(tblBuyerOutputs[#Headers]))&lt;=0,0,($O$6+IF(ROW()=ROW(tblBuyerOutputs[#Headers])+1,0,INDEX(tblBuyerOutputs[Cumul Appr],ROW()-ROW(tblBuyerOutputs[#Headers])-1)))*$O$2/12)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IF(OR(A475="",A475&gt;=subjectMortgageEndDate),"",EDATE(A475,1))</f>
        <v/>
      </c>
      <c r="B476" s="276">
        <f t="shared" si="84"/>
        <v>0</v>
      </c>
      <c r="C476" s="14">
        <f>IF(A476="",0,IF(B476&lt;=0,0,IF(A476=subjectMortgageEndDate,B476+E476,MIN(subjectPayment,B476+E476))))</f>
        <v>0</v>
      </c>
      <c r="D476" s="14">
        <f t="shared" si="85"/>
        <v>0</v>
      </c>
      <c r="E476" s="14">
        <f>IF(OR(A476="",B476&lt;=0),0,ROUND(B476*(subjectInterestRate/12),2))</f>
        <v>0</v>
      </c>
      <c r="F476" s="14">
        <f t="shared" si="83"/>
        <v>134.16999999999999</v>
      </c>
      <c r="G476" s="14">
        <f t="shared" si="83"/>
        <v>188.55</v>
      </c>
      <c r="H476" s="14">
        <f t="shared" si="82"/>
        <v>322.72000000000003</v>
      </c>
      <c r="I476" s="276">
        <f t="shared" si="88"/>
        <v>97531.839999999953</v>
      </c>
      <c r="J476" s="276">
        <f t="shared" si="89"/>
        <v>36068.259999999973</v>
      </c>
      <c r="K476" s="276">
        <f t="shared" si="86"/>
        <v>0</v>
      </c>
      <c r="L476" s="394">
        <f t="shared" si="80"/>
        <v>0</v>
      </c>
      <c r="M476" s="394">
        <f t="shared" si="87"/>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IF(OR(A476="",A476&gt;=subjectMortgageEndDate),"",EDATE(A476,1))</f>
        <v/>
      </c>
      <c r="B477" s="276">
        <f t="shared" si="84"/>
        <v>0</v>
      </c>
      <c r="C477" s="14">
        <f>IF(A477="",0,IF(B477&lt;=0,0,IF(A477=subjectMortgageEndDate,B477+E477,MIN(subjectPayment,B477+E477))))</f>
        <v>0</v>
      </c>
      <c r="D477" s="14">
        <f t="shared" si="85"/>
        <v>0</v>
      </c>
      <c r="E477" s="14">
        <f>IF(OR(A477="",B477&lt;=0),0,ROUND(B477*(subjectInterestRate/12),2))</f>
        <v>0</v>
      </c>
      <c r="F477" s="14">
        <f t="shared" si="83"/>
        <v>134.16999999999999</v>
      </c>
      <c r="G477" s="14">
        <f t="shared" si="83"/>
        <v>188.55</v>
      </c>
      <c r="H477" s="14">
        <f t="shared" si="82"/>
        <v>322.72000000000003</v>
      </c>
      <c r="I477" s="276">
        <f t="shared" si="88"/>
        <v>97531.839999999953</v>
      </c>
      <c r="J477" s="276">
        <f t="shared" si="89"/>
        <v>36068.259999999973</v>
      </c>
      <c r="K477" s="276">
        <f t="shared" si="86"/>
        <v>0</v>
      </c>
      <c r="L477" s="394">
        <f t="shared" si="80"/>
        <v>0</v>
      </c>
      <c r="M477" s="394">
        <f t="shared" si="87"/>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IF(OR(A477="",A477&gt;=subjectMortgageEndDate),"",EDATE(A477,1))</f>
        <v/>
      </c>
      <c r="B478" s="276">
        <f t="shared" si="84"/>
        <v>0</v>
      </c>
      <c r="C478" s="14">
        <f>IF(A478="",0,IF(B478&lt;=0,0,IF(A478=subjectMortgageEndDate,B478+E478,MIN(subjectPayment,B478+E478))))</f>
        <v>0</v>
      </c>
      <c r="D478" s="14">
        <f t="shared" si="85"/>
        <v>0</v>
      </c>
      <c r="E478" s="14">
        <f>IF(OR(A478="",B478&lt;=0),0,ROUND(B478*(subjectInterestRate/12),2))</f>
        <v>0</v>
      </c>
      <c r="F478" s="14">
        <f t="shared" si="83"/>
        <v>134.16999999999999</v>
      </c>
      <c r="G478" s="14">
        <f t="shared" si="83"/>
        <v>188.55</v>
      </c>
      <c r="H478" s="14">
        <f t="shared" si="82"/>
        <v>322.72000000000003</v>
      </c>
      <c r="I478" s="276">
        <f t="shared" si="88"/>
        <v>97531.839999999953</v>
      </c>
      <c r="J478" s="276">
        <f t="shared" si="89"/>
        <v>36068.259999999973</v>
      </c>
      <c r="K478" s="276">
        <f t="shared" si="86"/>
        <v>0</v>
      </c>
      <c r="L478" s="394">
        <f t="shared" si="80"/>
        <v>0</v>
      </c>
      <c r="M478" s="394">
        <f t="shared" si="87"/>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IF(OR(A478="",A478&gt;=subjectMortgageEndDate),"",EDATE(A478,1))</f>
        <v/>
      </c>
      <c r="B479" s="276">
        <f t="shared" si="84"/>
        <v>0</v>
      </c>
      <c r="C479" s="14">
        <f>IF(A479="",0,IF(B479&lt;=0,0,IF(A479=subjectMortgageEndDate,B479+E479,MIN(subjectPayment,B479+E479))))</f>
        <v>0</v>
      </c>
      <c r="D479" s="14">
        <f t="shared" si="85"/>
        <v>0</v>
      </c>
      <c r="E479" s="14">
        <f>IF(OR(A479="",B479&lt;=0),0,ROUND(B479*(subjectInterestRate/12),2))</f>
        <v>0</v>
      </c>
      <c r="F479" s="14">
        <f t="shared" ref="F479:G494" si="90">+F478</f>
        <v>134.16999999999999</v>
      </c>
      <c r="G479" s="14">
        <f t="shared" si="90"/>
        <v>188.55</v>
      </c>
      <c r="H479" s="14">
        <f t="shared" si="82"/>
        <v>322.72000000000003</v>
      </c>
      <c r="I479" s="276">
        <f t="shared" si="88"/>
        <v>97531.839999999953</v>
      </c>
      <c r="J479" s="276">
        <f t="shared" si="89"/>
        <v>36068.259999999973</v>
      </c>
      <c r="K479" s="276">
        <f t="shared" si="86"/>
        <v>0</v>
      </c>
      <c r="L479" s="394">
        <f t="shared" si="80"/>
        <v>0</v>
      </c>
      <c r="M479" s="394">
        <f t="shared" si="87"/>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IF(OR(A479="",A479&gt;=subjectMortgageEndDate),"",EDATE(A479,1))</f>
        <v/>
      </c>
      <c r="B480" s="276">
        <f t="shared" si="84"/>
        <v>0</v>
      </c>
      <c r="C480" s="14">
        <f>IF(A480="",0,IF(B480&lt;=0,0,IF(A480=subjectMortgageEndDate,B480+E480,MIN(subjectPayment,B480+E480))))</f>
        <v>0</v>
      </c>
      <c r="D480" s="14">
        <f t="shared" si="85"/>
        <v>0</v>
      </c>
      <c r="E480" s="14">
        <f>IF(OR(A480="",B480&lt;=0),0,ROUND(B480*(subjectInterestRate/12),2))</f>
        <v>0</v>
      </c>
      <c r="F480" s="14">
        <f t="shared" si="90"/>
        <v>134.16999999999999</v>
      </c>
      <c r="G480" s="14">
        <f t="shared" si="90"/>
        <v>188.55</v>
      </c>
      <c r="H480" s="14">
        <f t="shared" si="82"/>
        <v>322.72000000000003</v>
      </c>
      <c r="I480" s="276">
        <f t="shared" si="88"/>
        <v>97531.839999999953</v>
      </c>
      <c r="J480" s="276">
        <f t="shared" si="89"/>
        <v>36068.259999999973</v>
      </c>
      <c r="K480" s="276">
        <f t="shared" si="86"/>
        <v>0</v>
      </c>
      <c r="L480" s="394">
        <f t="shared" si="80"/>
        <v>0</v>
      </c>
      <c r="M480" s="394">
        <f t="shared" si="87"/>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IF(OR(A480="",A480&gt;=subjectMortgageEndDate),"",EDATE(A480,1))</f>
        <v/>
      </c>
      <c r="B481" s="276">
        <f t="shared" si="84"/>
        <v>0</v>
      </c>
      <c r="C481" s="14">
        <f>IF(A481="",0,IF(B481&lt;=0,0,IF(A481=subjectMortgageEndDate,B481+E481,MIN(subjectPayment,B481+E481))))</f>
        <v>0</v>
      </c>
      <c r="D481" s="14">
        <f t="shared" si="85"/>
        <v>0</v>
      </c>
      <c r="E481" s="14">
        <f>IF(OR(A481="",B481&lt;=0),0,ROUND(B481*(subjectInterestRate/12),2))</f>
        <v>0</v>
      </c>
      <c r="F481" s="14">
        <f t="shared" si="90"/>
        <v>134.16999999999999</v>
      </c>
      <c r="G481" s="14">
        <f t="shared" si="90"/>
        <v>188.55</v>
      </c>
      <c r="H481" s="14">
        <f t="shared" si="82"/>
        <v>322.72000000000003</v>
      </c>
      <c r="I481" s="276">
        <f t="shared" si="88"/>
        <v>97531.839999999953</v>
      </c>
      <c r="J481" s="276">
        <f t="shared" si="89"/>
        <v>36068.259999999973</v>
      </c>
      <c r="K481" s="276">
        <f t="shared" si="86"/>
        <v>0</v>
      </c>
      <c r="L481" s="394">
        <f t="shared" si="80"/>
        <v>0</v>
      </c>
      <c r="M481" s="394">
        <f t="shared" si="87"/>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IF(OR(A481="",A481&gt;=subjectMortgageEndDate),"",EDATE(A481,1))</f>
        <v/>
      </c>
      <c r="B482" s="276">
        <f t="shared" si="84"/>
        <v>0</v>
      </c>
      <c r="C482" s="14">
        <f>IF(A482="",0,IF(B482&lt;=0,0,IF(A482=subjectMortgageEndDate,B482+E482,MIN(subjectPayment,B482+E482))))</f>
        <v>0</v>
      </c>
      <c r="D482" s="14">
        <f t="shared" si="85"/>
        <v>0</v>
      </c>
      <c r="E482" s="14">
        <f>IF(OR(A482="",B482&lt;=0),0,ROUND(B482*(subjectInterestRate/12),2))</f>
        <v>0</v>
      </c>
      <c r="F482" s="14">
        <f t="shared" si="90"/>
        <v>134.16999999999999</v>
      </c>
      <c r="G482" s="14">
        <f t="shared" si="90"/>
        <v>188.55</v>
      </c>
      <c r="H482" s="14">
        <f t="shared" si="82"/>
        <v>322.72000000000003</v>
      </c>
      <c r="I482" s="276">
        <f t="shared" si="88"/>
        <v>97531.839999999953</v>
      </c>
      <c r="J482" s="276">
        <f t="shared" si="89"/>
        <v>36068.259999999973</v>
      </c>
      <c r="K482" s="276">
        <f t="shared" si="86"/>
        <v>0</v>
      </c>
      <c r="L482" s="394">
        <f t="shared" si="80"/>
        <v>0</v>
      </c>
      <c r="M482" s="394">
        <f t="shared" si="87"/>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IF(OR(A482="",A482&gt;=subjectMortgageEndDate),"",EDATE(A482,1))</f>
        <v/>
      </c>
      <c r="B483" s="276">
        <f t="shared" si="84"/>
        <v>0</v>
      </c>
      <c r="C483" s="14">
        <f>IF(A483="",0,IF(B483&lt;=0,0,IF(A483=subjectMortgageEndDate,B483+E483,MIN(subjectPayment,B483+E483))))</f>
        <v>0</v>
      </c>
      <c r="D483" s="14">
        <f t="shared" si="85"/>
        <v>0</v>
      </c>
      <c r="E483" s="14">
        <f>IF(OR(A483="",B483&lt;=0),0,ROUND(B483*(subjectInterestRate/12),2))</f>
        <v>0</v>
      </c>
      <c r="F483" s="14">
        <f t="shared" si="90"/>
        <v>134.16999999999999</v>
      </c>
      <c r="G483" s="14">
        <f t="shared" si="90"/>
        <v>188.55</v>
      </c>
      <c r="H483" s="14">
        <f t="shared" si="82"/>
        <v>322.72000000000003</v>
      </c>
      <c r="I483" s="276">
        <f t="shared" si="88"/>
        <v>97531.839999999953</v>
      </c>
      <c r="J483" s="276">
        <f t="shared" si="89"/>
        <v>36068.259999999973</v>
      </c>
      <c r="K483" s="276">
        <f t="shared" si="86"/>
        <v>0</v>
      </c>
      <c r="L483" s="394">
        <f t="shared" si="80"/>
        <v>0</v>
      </c>
      <c r="M483" s="394">
        <f t="shared" si="87"/>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IF(OR(A483="",A483&gt;=subjectMortgageEndDate),"",EDATE(A483,1))</f>
        <v/>
      </c>
      <c r="B484" s="276">
        <f t="shared" si="84"/>
        <v>0</v>
      </c>
      <c r="C484" s="14">
        <f>IF(A484="",0,IF(B484&lt;=0,0,IF(A484=subjectMortgageEndDate,B484+E484,MIN(subjectPayment,B484+E484))))</f>
        <v>0</v>
      </c>
      <c r="D484" s="14">
        <f t="shared" si="85"/>
        <v>0</v>
      </c>
      <c r="E484" s="14">
        <f>IF(OR(A484="",B484&lt;=0),0,ROUND(B484*(subjectInterestRate/12),2))</f>
        <v>0</v>
      </c>
      <c r="F484" s="14">
        <f t="shared" si="90"/>
        <v>134.16999999999999</v>
      </c>
      <c r="G484" s="14">
        <f t="shared" si="90"/>
        <v>188.55</v>
      </c>
      <c r="H484" s="14">
        <f t="shared" si="82"/>
        <v>322.72000000000003</v>
      </c>
      <c r="I484" s="276">
        <f t="shared" si="88"/>
        <v>97531.839999999953</v>
      </c>
      <c r="J484" s="276">
        <f t="shared" si="89"/>
        <v>36068.259999999973</v>
      </c>
      <c r="K484" s="276">
        <f t="shared" si="86"/>
        <v>0</v>
      </c>
      <c r="L484" s="394">
        <f t="shared" si="80"/>
        <v>0</v>
      </c>
      <c r="M484" s="394">
        <f t="shared" si="87"/>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IF(OR(A484="",A484&gt;=subjectMortgageEndDate),"",EDATE(A484,1))</f>
        <v/>
      </c>
      <c r="B485" s="276">
        <f t="shared" si="84"/>
        <v>0</v>
      </c>
      <c r="C485" s="14">
        <f>IF(A485="",0,IF(B485&lt;=0,0,IF(A485=subjectMortgageEndDate,B485+E485,MIN(subjectPayment,B485+E485))))</f>
        <v>0</v>
      </c>
      <c r="D485" s="14">
        <f t="shared" si="85"/>
        <v>0</v>
      </c>
      <c r="E485" s="14">
        <f>IF(OR(A485="",B485&lt;=0),0,ROUND(B485*(subjectInterestRate/12),2))</f>
        <v>0</v>
      </c>
      <c r="F485" s="14">
        <f t="shared" si="90"/>
        <v>134.16999999999999</v>
      </c>
      <c r="G485" s="14">
        <f t="shared" si="90"/>
        <v>188.55</v>
      </c>
      <c r="H485" s="14">
        <f t="shared" si="82"/>
        <v>322.72000000000003</v>
      </c>
      <c r="I485" s="276">
        <f t="shared" si="88"/>
        <v>97531.839999999953</v>
      </c>
      <c r="J485" s="276">
        <f t="shared" si="89"/>
        <v>36068.259999999973</v>
      </c>
      <c r="K485" s="276">
        <f t="shared" si="86"/>
        <v>0</v>
      </c>
      <c r="L485" s="394">
        <f t="shared" si="80"/>
        <v>0</v>
      </c>
      <c r="M485" s="394">
        <f t="shared" si="87"/>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IF(OR(A485="",A485&gt;=subjectMortgageEndDate),"",EDATE(A485,1))</f>
        <v/>
      </c>
      <c r="B486" s="276">
        <f t="shared" si="84"/>
        <v>0</v>
      </c>
      <c r="C486" s="14">
        <f>IF(A486="",0,IF(B486&lt;=0,0,IF(A486=subjectMortgageEndDate,B486+E486,MIN(subjectPayment,B486+E486))))</f>
        <v>0</v>
      </c>
      <c r="D486" s="14">
        <f t="shared" si="85"/>
        <v>0</v>
      </c>
      <c r="E486" s="14">
        <f>IF(OR(A486="",B486&lt;=0),0,ROUND(B486*(subjectInterestRate/12),2))</f>
        <v>0</v>
      </c>
      <c r="F486" s="14">
        <f t="shared" si="90"/>
        <v>134.16999999999999</v>
      </c>
      <c r="G486" s="14">
        <f t="shared" si="90"/>
        <v>188.55</v>
      </c>
      <c r="H486" s="14">
        <f t="shared" si="82"/>
        <v>322.72000000000003</v>
      </c>
      <c r="I486" s="276">
        <f t="shared" si="88"/>
        <v>97531.839999999953</v>
      </c>
      <c r="J486" s="276">
        <f t="shared" si="89"/>
        <v>36068.259999999973</v>
      </c>
      <c r="K486" s="276">
        <f t="shared" si="86"/>
        <v>0</v>
      </c>
      <c r="L486" s="394">
        <f t="shared" si="80"/>
        <v>0</v>
      </c>
      <c r="M486" s="394">
        <f t="shared" si="87"/>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IF(OR(A486="",A486&gt;=subjectMortgageEndDate),"",EDATE(A486,1))</f>
        <v/>
      </c>
      <c r="B487" s="332">
        <f t="shared" si="84"/>
        <v>0</v>
      </c>
      <c r="C487" s="21">
        <f>IF(A487="",0,IF(B487&lt;=0,0,IF(A487=subjectMortgageEndDate,B487+E487,MIN(subjectPayment,B487+E487))))</f>
        <v>0</v>
      </c>
      <c r="D487" s="21">
        <f t="shared" si="85"/>
        <v>0</v>
      </c>
      <c r="E487" s="21">
        <f>IF(OR(A487="",B487&lt;=0),0,ROUND(B487*(subjectInterestRate/12),2))</f>
        <v>0</v>
      </c>
      <c r="F487" s="21">
        <f t="shared" si="90"/>
        <v>134.16999999999999</v>
      </c>
      <c r="G487" s="21">
        <f t="shared" si="90"/>
        <v>188.55</v>
      </c>
      <c r="H487" s="21">
        <f t="shared" si="82"/>
        <v>322.72000000000003</v>
      </c>
      <c r="I487" s="332">
        <f t="shared" si="88"/>
        <v>97531.839999999953</v>
      </c>
      <c r="J487" s="332">
        <f t="shared" si="89"/>
        <v>36068.259999999973</v>
      </c>
      <c r="K487" s="332">
        <f t="shared" si="86"/>
        <v>0</v>
      </c>
      <c r="L487" s="395">
        <f t="shared" si="80"/>
        <v>0</v>
      </c>
      <c r="M487" s="395">
        <f t="shared" si="87"/>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32">
        <f>IF(INDEX(tblContractForDeed[End Bal],ROW()-ROW(tblBuyerOutputs[#Headers]))&lt;=0,0,($O$6+IF(ROW()=ROW(tblBuyerOutputs[#Headers])+1,0,INDEX(tblBuyerOutputs[Cumul Appr],ROW()-ROW(tblBuyerOutputs[#Headers])-1)))*$O$2/12)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IF(OR(A487="",A487&gt;=subjectMortgageEndDate),"",EDATE(A487,1))</f>
        <v/>
      </c>
      <c r="B488" s="276">
        <f t="shared" si="84"/>
        <v>0</v>
      </c>
      <c r="C488" s="14">
        <f>IF(A488="",0,IF(B488&lt;=0,0,IF(A488=subjectMortgageEndDate,B488+E488,MIN(subjectPayment,B488+E488))))</f>
        <v>0</v>
      </c>
      <c r="D488" s="14">
        <f t="shared" si="85"/>
        <v>0</v>
      </c>
      <c r="E488" s="14">
        <f>IF(OR(A488="",B488&lt;=0),0,ROUND(B488*(subjectInterestRate/12),2))</f>
        <v>0</v>
      </c>
      <c r="F488" s="14">
        <f t="shared" si="90"/>
        <v>134.16999999999999</v>
      </c>
      <c r="G488" s="14">
        <f t="shared" si="90"/>
        <v>188.55</v>
      </c>
      <c r="H488" s="14">
        <f t="shared" si="82"/>
        <v>322.72000000000003</v>
      </c>
      <c r="I488" s="276">
        <f t="shared" si="88"/>
        <v>97531.839999999953</v>
      </c>
      <c r="J488" s="276">
        <f t="shared" si="89"/>
        <v>36068.259999999973</v>
      </c>
      <c r="K488" s="276">
        <f t="shared" si="86"/>
        <v>0</v>
      </c>
      <c r="L488" s="394">
        <f t="shared" si="80"/>
        <v>0</v>
      </c>
      <c r="M488" s="394">
        <f t="shared" si="87"/>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IF(OR(A488="",A488&gt;=subjectMortgageEndDate),"",EDATE(A488,1))</f>
        <v/>
      </c>
      <c r="B489" s="276">
        <f t="shared" si="84"/>
        <v>0</v>
      </c>
      <c r="C489" s="14">
        <f>IF(A489="",0,IF(B489&lt;=0,0,IF(A489=subjectMortgageEndDate,B489+E489,MIN(subjectPayment,B489+E489))))</f>
        <v>0</v>
      </c>
      <c r="D489" s="14">
        <f t="shared" si="85"/>
        <v>0</v>
      </c>
      <c r="E489" s="14">
        <f>IF(OR(A489="",B489&lt;=0),0,ROUND(B489*(subjectInterestRate/12),2))</f>
        <v>0</v>
      </c>
      <c r="F489" s="14">
        <f t="shared" si="90"/>
        <v>134.16999999999999</v>
      </c>
      <c r="G489" s="14">
        <f t="shared" si="90"/>
        <v>188.55</v>
      </c>
      <c r="H489" s="14">
        <f t="shared" si="82"/>
        <v>322.72000000000003</v>
      </c>
      <c r="I489" s="276">
        <f t="shared" si="88"/>
        <v>97531.839999999953</v>
      </c>
      <c r="J489" s="276">
        <f t="shared" si="89"/>
        <v>36068.259999999973</v>
      </c>
      <c r="K489" s="276">
        <f t="shared" si="86"/>
        <v>0</v>
      </c>
      <c r="L489" s="394">
        <f t="shared" si="80"/>
        <v>0</v>
      </c>
      <c r="M489" s="394">
        <f t="shared" si="87"/>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IF(OR(A489="",A489&gt;=subjectMortgageEndDate),"",EDATE(A489,1))</f>
        <v/>
      </c>
      <c r="B490" s="276">
        <f t="shared" si="84"/>
        <v>0</v>
      </c>
      <c r="C490" s="14">
        <f>IF(A490="",0,IF(B490&lt;=0,0,IF(A490=subjectMortgageEndDate,B490+E490,MIN(subjectPayment,B490+E490))))</f>
        <v>0</v>
      </c>
      <c r="D490" s="14">
        <f t="shared" si="85"/>
        <v>0</v>
      </c>
      <c r="E490" s="14">
        <f>IF(OR(A490="",B490&lt;=0),0,ROUND(B490*(subjectInterestRate/12),2))</f>
        <v>0</v>
      </c>
      <c r="F490" s="14">
        <f t="shared" si="90"/>
        <v>134.16999999999999</v>
      </c>
      <c r="G490" s="14">
        <f t="shared" si="90"/>
        <v>188.55</v>
      </c>
      <c r="H490" s="14">
        <f t="shared" si="82"/>
        <v>322.72000000000003</v>
      </c>
      <c r="I490" s="276">
        <f t="shared" si="88"/>
        <v>97531.839999999953</v>
      </c>
      <c r="J490" s="276">
        <f t="shared" si="89"/>
        <v>36068.259999999973</v>
      </c>
      <c r="K490" s="276">
        <f t="shared" si="86"/>
        <v>0</v>
      </c>
      <c r="L490" s="394">
        <f t="shared" si="80"/>
        <v>0</v>
      </c>
      <c r="M490" s="394">
        <f t="shared" si="87"/>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IF(OR(A490="",A490&gt;=subjectMortgageEndDate),"",EDATE(A490,1))</f>
        <v/>
      </c>
      <c r="B491" s="276">
        <f t="shared" si="84"/>
        <v>0</v>
      </c>
      <c r="C491" s="14">
        <f>IF(A491="",0,IF(B491&lt;=0,0,IF(A491=subjectMortgageEndDate,B491+E491,MIN(subjectPayment,B491+E491))))</f>
        <v>0</v>
      </c>
      <c r="D491" s="14">
        <f t="shared" si="85"/>
        <v>0</v>
      </c>
      <c r="E491" s="14">
        <f>IF(OR(A491="",B491&lt;=0),0,ROUND(B491*(subjectInterestRate/12),2))</f>
        <v>0</v>
      </c>
      <c r="F491" s="14">
        <f t="shared" si="90"/>
        <v>134.16999999999999</v>
      </c>
      <c r="G491" s="14">
        <f t="shared" si="90"/>
        <v>188.55</v>
      </c>
      <c r="H491" s="14">
        <f t="shared" si="82"/>
        <v>322.72000000000003</v>
      </c>
      <c r="I491" s="276">
        <f t="shared" si="88"/>
        <v>97531.839999999953</v>
      </c>
      <c r="J491" s="276">
        <f t="shared" si="89"/>
        <v>36068.259999999973</v>
      </c>
      <c r="K491" s="276">
        <f t="shared" si="86"/>
        <v>0</v>
      </c>
      <c r="L491" s="394">
        <f t="shared" si="80"/>
        <v>0</v>
      </c>
      <c r="M491" s="394">
        <f t="shared" si="87"/>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IF(OR(A491="",A491&gt;=subjectMortgageEndDate),"",EDATE(A491,1))</f>
        <v/>
      </c>
      <c r="B492" s="276">
        <f t="shared" si="84"/>
        <v>0</v>
      </c>
      <c r="C492" s="14">
        <f>IF(A492="",0,IF(B492&lt;=0,0,IF(A492=subjectMortgageEndDate,B492+E492,MIN(subjectPayment,B492+E492))))</f>
        <v>0</v>
      </c>
      <c r="D492" s="14">
        <f t="shared" si="85"/>
        <v>0</v>
      </c>
      <c r="E492" s="14">
        <f>IF(OR(A492="",B492&lt;=0),0,ROUND(B492*(subjectInterestRate/12),2))</f>
        <v>0</v>
      </c>
      <c r="F492" s="14">
        <f t="shared" si="90"/>
        <v>134.16999999999999</v>
      </c>
      <c r="G492" s="14">
        <f t="shared" si="90"/>
        <v>188.55</v>
      </c>
      <c r="H492" s="14">
        <f t="shared" si="82"/>
        <v>322.72000000000003</v>
      </c>
      <c r="I492" s="276">
        <f t="shared" si="88"/>
        <v>97531.839999999953</v>
      </c>
      <c r="J492" s="276">
        <f t="shared" si="89"/>
        <v>36068.259999999973</v>
      </c>
      <c r="K492" s="276">
        <f t="shared" si="86"/>
        <v>0</v>
      </c>
      <c r="L492" s="394">
        <f t="shared" si="80"/>
        <v>0</v>
      </c>
      <c r="M492" s="394">
        <f t="shared" si="87"/>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IF(OR(A492="",A492&gt;=subjectMortgageEndDate),"",EDATE(A492,1))</f>
        <v/>
      </c>
      <c r="B493" s="276">
        <f t="shared" si="84"/>
        <v>0</v>
      </c>
      <c r="C493" s="14">
        <f>IF(A493="",0,IF(B493&lt;=0,0,IF(A493=subjectMortgageEndDate,B493+E493,MIN(subjectPayment,B493+E493))))</f>
        <v>0</v>
      </c>
      <c r="D493" s="14">
        <f t="shared" si="85"/>
        <v>0</v>
      </c>
      <c r="E493" s="14">
        <f>IF(OR(A493="",B493&lt;=0),0,ROUND(B493*(subjectInterestRate/12),2))</f>
        <v>0</v>
      </c>
      <c r="F493" s="14">
        <f t="shared" si="90"/>
        <v>134.16999999999999</v>
      </c>
      <c r="G493" s="14">
        <f t="shared" si="90"/>
        <v>188.55</v>
      </c>
      <c r="H493" s="14">
        <f t="shared" si="82"/>
        <v>322.72000000000003</v>
      </c>
      <c r="I493" s="276">
        <f t="shared" si="88"/>
        <v>97531.839999999953</v>
      </c>
      <c r="J493" s="276">
        <f t="shared" si="89"/>
        <v>36068.259999999973</v>
      </c>
      <c r="K493" s="276">
        <f t="shared" si="86"/>
        <v>0</v>
      </c>
      <c r="L493" s="394">
        <f t="shared" si="80"/>
        <v>0</v>
      </c>
      <c r="M493" s="394">
        <f t="shared" si="87"/>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IF(OR(A493="",A493&gt;=subjectMortgageEndDate),"",EDATE(A493,1))</f>
        <v/>
      </c>
      <c r="B494" s="276">
        <f t="shared" si="84"/>
        <v>0</v>
      </c>
      <c r="C494" s="14">
        <f>IF(A494="",0,IF(B494&lt;=0,0,IF(A494=subjectMortgageEndDate,B494+E494,MIN(subjectPayment,B494+E494))))</f>
        <v>0</v>
      </c>
      <c r="D494" s="14">
        <f t="shared" si="85"/>
        <v>0</v>
      </c>
      <c r="E494" s="14">
        <f>IF(OR(A494="",B494&lt;=0),0,ROUND(B494*(subjectInterestRate/12),2))</f>
        <v>0</v>
      </c>
      <c r="F494" s="14">
        <f t="shared" si="90"/>
        <v>134.16999999999999</v>
      </c>
      <c r="G494" s="14">
        <f t="shared" si="90"/>
        <v>188.55</v>
      </c>
      <c r="H494" s="14">
        <f t="shared" si="82"/>
        <v>322.72000000000003</v>
      </c>
      <c r="I494" s="276">
        <f t="shared" si="88"/>
        <v>97531.839999999953</v>
      </c>
      <c r="J494" s="276">
        <f t="shared" si="89"/>
        <v>36068.259999999973</v>
      </c>
      <c r="K494" s="276">
        <f t="shared" si="86"/>
        <v>0</v>
      </c>
      <c r="L494" s="394">
        <f t="shared" si="80"/>
        <v>0</v>
      </c>
      <c r="M494" s="394">
        <f t="shared" si="87"/>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IF(OR(A494="",A494&gt;=subjectMortgageEndDate),"",EDATE(A494,1))</f>
        <v/>
      </c>
      <c r="B495" s="276">
        <f t="shared" si="84"/>
        <v>0</v>
      </c>
      <c r="C495" s="14">
        <f>IF(A495="",0,IF(B495&lt;=0,0,IF(A495=subjectMortgageEndDate,B495+E495,MIN(subjectPayment,B495+E495))))</f>
        <v>0</v>
      </c>
      <c r="D495" s="14">
        <f t="shared" si="85"/>
        <v>0</v>
      </c>
      <c r="E495" s="14">
        <f>IF(OR(A495="",B495&lt;=0),0,ROUND(B495*(subjectInterestRate/12),2))</f>
        <v>0</v>
      </c>
      <c r="F495" s="14">
        <f t="shared" ref="F495:G495" si="91">+F494</f>
        <v>134.16999999999999</v>
      </c>
      <c r="G495" s="14">
        <f t="shared" si="91"/>
        <v>188.55</v>
      </c>
      <c r="H495" s="14">
        <f t="shared" si="82"/>
        <v>322.72000000000003</v>
      </c>
      <c r="I495" s="276">
        <f t="shared" si="88"/>
        <v>97531.839999999953</v>
      </c>
      <c r="J495" s="276">
        <f t="shared" si="89"/>
        <v>36068.259999999973</v>
      </c>
      <c r="K495" s="276">
        <f t="shared" si="86"/>
        <v>0</v>
      </c>
      <c r="L495" s="394">
        <f t="shared" si="80"/>
        <v>0</v>
      </c>
      <c r="M495" s="394">
        <f t="shared" si="87"/>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IF(OR(A495="",A495&gt;=subjectMortgageEndDate),"",EDATE(A495,1))</f>
        <v/>
      </c>
      <c r="B496" s="276">
        <f t="shared" si="84"/>
        <v>0</v>
      </c>
      <c r="C496" s="14">
        <f>IF(A496="",0,IF(B496&lt;=0,0,IF(A496=subjectMortgageEndDate,B496+E496,MIN(subjectPayment,B496+E496))))</f>
        <v>0</v>
      </c>
      <c r="D496" s="14">
        <f t="shared" si="85"/>
        <v>0</v>
      </c>
      <c r="E496" s="14">
        <f>IF(OR(A496="",B496&lt;=0),0,ROUND(B496*(subjectInterestRate/12),2))</f>
        <v>0</v>
      </c>
      <c r="K496" s="276">
        <f t="shared" si="86"/>
        <v>0</v>
      </c>
      <c r="L496" s="394">
        <f t="shared" si="80"/>
        <v>0</v>
      </c>
      <c r="M496" s="394">
        <f t="shared" si="87"/>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IF(OR(A496="",A496&gt;=subjectMortgageEndDate),"",EDATE(A496,1))</f>
        <v/>
      </c>
      <c r="B497" s="276">
        <f t="shared" si="84"/>
        <v>0</v>
      </c>
      <c r="C497" s="14">
        <f>IF(A497="",0,IF(B497&lt;=0,0,IF(A497=subjectMortgageEndDate,B497+E497,MIN(subjectPayment,B497+E497))))</f>
        <v>0</v>
      </c>
      <c r="D497" s="14">
        <f t="shared" si="85"/>
        <v>0</v>
      </c>
      <c r="E497" s="14">
        <f>IF(OR(A497="",B497&lt;=0),0,ROUND(B497*(subjectInterestRate/12),2))</f>
        <v>0</v>
      </c>
      <c r="K497" s="276">
        <f t="shared" si="86"/>
        <v>0</v>
      </c>
      <c r="L497" s="394">
        <f t="shared" si="80"/>
        <v>0</v>
      </c>
      <c r="M497" s="394">
        <f t="shared" si="87"/>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IF(OR(A497="",A497&gt;=subjectMortgageEndDate),"",EDATE(A497,1))</f>
        <v/>
      </c>
      <c r="B498" s="276">
        <f t="shared" si="84"/>
        <v>0</v>
      </c>
      <c r="C498" s="14">
        <f>IF(A498="",0,IF(B498&lt;=0,0,IF(A498=subjectMortgageEndDate,B498+E498,MIN(subjectPayment,B498+E498))))</f>
        <v>0</v>
      </c>
      <c r="D498" s="14">
        <f t="shared" si="85"/>
        <v>0</v>
      </c>
      <c r="E498" s="14">
        <f>IF(OR(A498="",B498&lt;=0),0,ROUND(B498*(subjectInterestRate/12),2))</f>
        <v>0</v>
      </c>
      <c r="K498" s="276">
        <f t="shared" si="86"/>
        <v>0</v>
      </c>
      <c r="L498" s="394">
        <f t="shared" si="80"/>
        <v>0</v>
      </c>
      <c r="M498" s="394">
        <f t="shared" si="87"/>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IF(OR(A498="",A498&gt;=subjectMortgageEndDate),"",EDATE(A498,1))</f>
        <v/>
      </c>
      <c r="B499" s="332">
        <f t="shared" si="84"/>
        <v>0</v>
      </c>
      <c r="C499" s="21">
        <f>IF(A499="",0,IF(B499&lt;=0,0,IF(A499=subjectMortgageEndDate,B499+E499,MIN(subjectPayment,B499+E499))))</f>
        <v>0</v>
      </c>
      <c r="D499" s="21">
        <f t="shared" si="85"/>
        <v>0</v>
      </c>
      <c r="E499" s="21">
        <f>IF(OR(A499="",B499&lt;=0),0,ROUND(B499*(subjectInterestRate/12),2))</f>
        <v>0</v>
      </c>
      <c r="F499" s="21"/>
      <c r="G499" s="21"/>
      <c r="H499" s="21"/>
      <c r="I499" s="332"/>
      <c r="J499" s="332"/>
      <c r="K499" s="332">
        <f t="shared" si="86"/>
        <v>0</v>
      </c>
      <c r="L499" s="395">
        <f t="shared" si="80"/>
        <v>0</v>
      </c>
      <c r="M499" s="395">
        <f t="shared" si="87"/>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32">
        <f>IF(INDEX(tblContractForDeed[End Bal],ROW()-ROW(tblBuyerOutputs[#Headers]))&lt;=0,0,($O$6+IF(ROW()=ROW(tblBuyerOutputs[#Headers])+1,0,INDEX(tblBuyerOutputs[Cumul Appr],ROW()-ROW(tblBuyerOutputs[#Headers])-1)))*$O$2/12)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IF(OR(A499="",A499&gt;=subjectMortgageEndDate),"",EDATE(A499,1))</f>
        <v/>
      </c>
      <c r="B500" s="276">
        <f t="shared" si="84"/>
        <v>0</v>
      </c>
      <c r="C500" s="14">
        <f>IF(A500="",0,IF(B500&lt;=0,0,IF(A500=subjectMortgageEndDate,B500+E500,MIN(subjectPayment,B500+E500))))</f>
        <v>0</v>
      </c>
      <c r="D500" s="14">
        <f t="shared" si="85"/>
        <v>0</v>
      </c>
      <c r="E500" s="14">
        <f>IF(OR(A500="",B500&lt;=0),0,ROUND(B500*(subjectInterestRate/12),2))</f>
        <v>0</v>
      </c>
      <c r="K500" s="276">
        <f t="shared" si="86"/>
        <v>0</v>
      </c>
      <c r="L500" s="394">
        <f t="shared" ref="L500:L563" si="92">IF(MOD(M500,12)=0,M500/12,L499)</f>
        <v>0</v>
      </c>
      <c r="M500" s="394">
        <f t="shared" si="87"/>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IF(OR(A500="",A500&gt;=subjectMortgageEndDate),"",EDATE(A500,1))</f>
        <v/>
      </c>
      <c r="B501" s="276">
        <f t="shared" si="84"/>
        <v>0</v>
      </c>
      <c r="C501" s="14">
        <f>IF(A501="",0,IF(B501&lt;=0,0,IF(A501=subjectMortgageEndDate,B501+E501,MIN(subjectPayment,B501+E501))))</f>
        <v>0</v>
      </c>
      <c r="D501" s="14">
        <f t="shared" si="85"/>
        <v>0</v>
      </c>
      <c r="E501" s="14">
        <f>IF(OR(A501="",B501&lt;=0),0,ROUND(B501*(subjectInterestRate/12),2))</f>
        <v>0</v>
      </c>
      <c r="K501" s="276">
        <f t="shared" si="86"/>
        <v>0</v>
      </c>
      <c r="L501" s="394">
        <f t="shared" si="92"/>
        <v>0</v>
      </c>
      <c r="M501" s="394">
        <f t="shared" si="87"/>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IF(OR(A501="",A501&gt;=subjectMortgageEndDate),"",EDATE(A501,1))</f>
        <v/>
      </c>
      <c r="B502" s="276">
        <f t="shared" si="84"/>
        <v>0</v>
      </c>
      <c r="C502" s="14">
        <f>IF(A502="",0,IF(B502&lt;=0,0,IF(A502=subjectMortgageEndDate,B502+E502,MIN(subjectPayment,B502+E502))))</f>
        <v>0</v>
      </c>
      <c r="D502" s="14">
        <f t="shared" si="85"/>
        <v>0</v>
      </c>
      <c r="E502" s="14">
        <f>IF(OR(A502="",B502&lt;=0),0,ROUND(B502*(subjectInterestRate/12),2))</f>
        <v>0</v>
      </c>
      <c r="K502" s="276">
        <f t="shared" si="86"/>
        <v>0</v>
      </c>
      <c r="L502" s="394">
        <f t="shared" si="92"/>
        <v>0</v>
      </c>
      <c r="M502" s="394">
        <f t="shared" si="87"/>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IF(OR(A502="",A502&gt;=subjectMortgageEndDate),"",EDATE(A502,1))</f>
        <v/>
      </c>
      <c r="B503" s="276">
        <f t="shared" si="84"/>
        <v>0</v>
      </c>
      <c r="C503" s="14">
        <f>IF(A503="",0,IF(B503&lt;=0,0,IF(A503=subjectMortgageEndDate,B503+E503,MIN(subjectPayment,B503+E503))))</f>
        <v>0</v>
      </c>
      <c r="D503" s="14">
        <f t="shared" si="85"/>
        <v>0</v>
      </c>
      <c r="E503" s="14">
        <f>IF(OR(A503="",B503&lt;=0),0,ROUND(B503*(subjectInterestRate/12),2))</f>
        <v>0</v>
      </c>
      <c r="K503" s="276">
        <f t="shared" si="86"/>
        <v>0</v>
      </c>
      <c r="L503" s="394">
        <f t="shared" si="92"/>
        <v>0</v>
      </c>
      <c r="M503" s="394">
        <f t="shared" si="87"/>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IF(OR(A503="",A503&gt;=subjectMortgageEndDate),"",EDATE(A503,1))</f>
        <v/>
      </c>
      <c r="B504" s="276">
        <f t="shared" si="84"/>
        <v>0</v>
      </c>
      <c r="C504" s="14">
        <f>IF(A504="",0,IF(B504&lt;=0,0,IF(A504=subjectMortgageEndDate,B504+E504,MIN(subjectPayment,B504+E504))))</f>
        <v>0</v>
      </c>
      <c r="D504" s="14">
        <f t="shared" si="85"/>
        <v>0</v>
      </c>
      <c r="E504" s="14">
        <f>IF(OR(A504="",B504&lt;=0),0,ROUND(B504*(subjectInterestRate/12),2))</f>
        <v>0</v>
      </c>
      <c r="K504" s="276">
        <f t="shared" si="86"/>
        <v>0</v>
      </c>
      <c r="L504" s="394">
        <f t="shared" si="92"/>
        <v>0</v>
      </c>
      <c r="M504" s="394">
        <f t="shared" si="87"/>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IF(OR(A504="",A504&gt;=subjectMortgageEndDate),"",EDATE(A504,1))</f>
        <v/>
      </c>
      <c r="B505" s="276">
        <f t="shared" si="84"/>
        <v>0</v>
      </c>
      <c r="C505" s="14">
        <f>IF(A505="",0,IF(B505&lt;=0,0,IF(A505=subjectMortgageEndDate,B505+E505,MIN(subjectPayment,B505+E505))))</f>
        <v>0</v>
      </c>
      <c r="D505" s="14">
        <f t="shared" si="85"/>
        <v>0</v>
      </c>
      <c r="E505" s="14">
        <f>IF(OR(A505="",B505&lt;=0),0,ROUND(B505*(subjectInterestRate/12),2))</f>
        <v>0</v>
      </c>
      <c r="K505" s="276">
        <f t="shared" si="86"/>
        <v>0</v>
      </c>
      <c r="L505" s="394">
        <f t="shared" si="92"/>
        <v>0</v>
      </c>
      <c r="M505" s="394">
        <f t="shared" si="87"/>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IF(OR(A505="",A505&gt;=subjectMortgageEndDate),"",EDATE(A505,1))</f>
        <v/>
      </c>
      <c r="B506" s="276">
        <f t="shared" si="84"/>
        <v>0</v>
      </c>
      <c r="C506" s="14">
        <f>IF(A506="",0,IF(B506&lt;=0,0,IF(A506=subjectMortgageEndDate,B506+E506,MIN(subjectPayment,B506+E506))))</f>
        <v>0</v>
      </c>
      <c r="D506" s="14">
        <f t="shared" si="85"/>
        <v>0</v>
      </c>
      <c r="E506" s="14">
        <f>IF(OR(A506="",B506&lt;=0),0,ROUND(B506*(subjectInterestRate/12),2))</f>
        <v>0</v>
      </c>
      <c r="K506" s="276">
        <f t="shared" si="86"/>
        <v>0</v>
      </c>
      <c r="L506" s="394">
        <f t="shared" si="92"/>
        <v>0</v>
      </c>
      <c r="M506" s="394">
        <f t="shared" si="87"/>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IF(OR(A506="",A506&gt;=subjectMortgageEndDate),"",EDATE(A506,1))</f>
        <v/>
      </c>
      <c r="B507" s="276">
        <f t="shared" si="84"/>
        <v>0</v>
      </c>
      <c r="C507" s="14">
        <f>IF(A507="",0,IF(B507&lt;=0,0,IF(A507=subjectMortgageEndDate,B507+E507,MIN(subjectPayment,B507+E507))))</f>
        <v>0</v>
      </c>
      <c r="D507" s="14">
        <f t="shared" si="85"/>
        <v>0</v>
      </c>
      <c r="E507" s="14">
        <f>IF(OR(A507="",B507&lt;=0),0,ROUND(B507*(subjectInterestRate/12),2))</f>
        <v>0</v>
      </c>
      <c r="K507" s="276">
        <f t="shared" si="86"/>
        <v>0</v>
      </c>
      <c r="L507" s="394">
        <f t="shared" si="92"/>
        <v>0</v>
      </c>
      <c r="M507" s="394">
        <f t="shared" si="87"/>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IF(OR(A507="",A507&gt;=subjectMortgageEndDate),"",EDATE(A507,1))</f>
        <v/>
      </c>
      <c r="B508" s="276">
        <f t="shared" si="84"/>
        <v>0</v>
      </c>
      <c r="C508" s="14">
        <f>IF(A508="",0,IF(B508&lt;=0,0,IF(A508=subjectMortgageEndDate,B508+E508,MIN(subjectPayment,B508+E508))))</f>
        <v>0</v>
      </c>
      <c r="D508" s="14">
        <f t="shared" si="85"/>
        <v>0</v>
      </c>
      <c r="E508" s="14">
        <f>IF(OR(A508="",B508&lt;=0),0,ROUND(B508*(subjectInterestRate/12),2))</f>
        <v>0</v>
      </c>
      <c r="K508" s="276">
        <f t="shared" si="86"/>
        <v>0</v>
      </c>
      <c r="L508" s="394">
        <f t="shared" si="92"/>
        <v>0</v>
      </c>
      <c r="M508" s="394">
        <f t="shared" si="87"/>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IF(OR(A508="",A508&gt;=subjectMortgageEndDate),"",EDATE(A508,1))</f>
        <v/>
      </c>
      <c r="B509" s="276">
        <f t="shared" si="84"/>
        <v>0</v>
      </c>
      <c r="C509" s="14">
        <f>IF(A509="",0,IF(B509&lt;=0,0,IF(A509=subjectMortgageEndDate,B509+E509,MIN(subjectPayment,B509+E509))))</f>
        <v>0</v>
      </c>
      <c r="D509" s="14">
        <f t="shared" si="85"/>
        <v>0</v>
      </c>
      <c r="E509" s="14">
        <f>IF(OR(A509="",B509&lt;=0),0,ROUND(B509*(subjectInterestRate/12),2))</f>
        <v>0</v>
      </c>
      <c r="K509" s="276">
        <f t="shared" si="86"/>
        <v>0</v>
      </c>
      <c r="L509" s="394">
        <f t="shared" si="92"/>
        <v>0</v>
      </c>
      <c r="M509" s="394">
        <f t="shared" si="87"/>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IF(OR(A509="",A509&gt;=subjectMortgageEndDate),"",EDATE(A509,1))</f>
        <v/>
      </c>
      <c r="B510" s="276">
        <f t="shared" si="84"/>
        <v>0</v>
      </c>
      <c r="C510" s="14">
        <f>IF(A510="",0,IF(B510&lt;=0,0,IF(A510=subjectMortgageEndDate,B510+E510,MIN(subjectPayment,B510+E510))))</f>
        <v>0</v>
      </c>
      <c r="D510" s="14">
        <f t="shared" si="85"/>
        <v>0</v>
      </c>
      <c r="E510" s="14">
        <f>IF(OR(A510="",B510&lt;=0),0,ROUND(B510*(subjectInterestRate/12),2))</f>
        <v>0</v>
      </c>
      <c r="K510" s="276">
        <f t="shared" si="86"/>
        <v>0</v>
      </c>
      <c r="L510" s="394">
        <f t="shared" si="92"/>
        <v>0</v>
      </c>
      <c r="M510" s="394">
        <f t="shared" si="87"/>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IF(OR(A510="",A510&gt;=subjectMortgageEndDate),"",EDATE(A510,1))</f>
        <v/>
      </c>
      <c r="B511" s="332">
        <f t="shared" si="84"/>
        <v>0</v>
      </c>
      <c r="C511" s="21">
        <f>IF(A511="",0,IF(B511&lt;=0,0,IF(A511=subjectMortgageEndDate,B511+E511,MIN(subjectPayment,B511+E511))))</f>
        <v>0</v>
      </c>
      <c r="D511" s="21">
        <f t="shared" si="85"/>
        <v>0</v>
      </c>
      <c r="E511" s="21">
        <f>IF(OR(A511="",B511&lt;=0),0,ROUND(B511*(subjectInterestRate/12),2))</f>
        <v>0</v>
      </c>
      <c r="F511" s="21"/>
      <c r="G511" s="21"/>
      <c r="H511" s="21"/>
      <c r="I511" s="332"/>
      <c r="J511" s="332"/>
      <c r="K511" s="332">
        <f t="shared" si="86"/>
        <v>0</v>
      </c>
      <c r="L511" s="395">
        <f t="shared" si="92"/>
        <v>0</v>
      </c>
      <c r="M511" s="395">
        <f t="shared" si="87"/>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32">
        <f>IF(INDEX(tblContractForDeed[End Bal],ROW()-ROW(tblBuyerOutputs[#Headers]))&lt;=0,0,($O$6+IF(ROW()=ROW(tblBuyerOutputs[#Headers])+1,0,INDEX(tblBuyerOutputs[Cumul Appr],ROW()-ROW(tblBuyerOutputs[#Headers])-1)))*$O$2/12)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IF(OR(A511="",A511&gt;=subjectMortgageEndDate),"",EDATE(A511,1))</f>
        <v/>
      </c>
      <c r="B512" s="276">
        <f t="shared" si="84"/>
        <v>0</v>
      </c>
      <c r="C512" s="14">
        <f>IF(A512="",0,IF(B512&lt;=0,0,IF(A512=subjectMortgageEndDate,B512+E512,MIN(subjectPayment,B512+E512))))</f>
        <v>0</v>
      </c>
      <c r="D512" s="14">
        <f t="shared" si="85"/>
        <v>0</v>
      </c>
      <c r="E512" s="14">
        <f>IF(OR(A512="",B512&lt;=0),0,ROUND(B512*(subjectInterestRate/12),2))</f>
        <v>0</v>
      </c>
      <c r="K512" s="276">
        <f t="shared" si="86"/>
        <v>0</v>
      </c>
      <c r="L512" s="394">
        <f t="shared" si="92"/>
        <v>0</v>
      </c>
      <c r="M512" s="394">
        <f t="shared" si="87"/>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IF(OR(A512="",A512&gt;=subjectMortgageEndDate),"",EDATE(A512,1))</f>
        <v/>
      </c>
      <c r="B513" s="276">
        <f t="shared" si="84"/>
        <v>0</v>
      </c>
      <c r="C513" s="14">
        <f>IF(A513="",0,IF(B513&lt;=0,0,IF(A513=subjectMortgageEndDate,B513+E513,MIN(subjectPayment,B513+E513))))</f>
        <v>0</v>
      </c>
      <c r="D513" s="14">
        <f t="shared" si="85"/>
        <v>0</v>
      </c>
      <c r="E513" s="14">
        <f>IF(OR(A513="",B513&lt;=0),0,ROUND(B513*(subjectInterestRate/12),2))</f>
        <v>0</v>
      </c>
      <c r="K513" s="276">
        <f t="shared" si="86"/>
        <v>0</v>
      </c>
      <c r="L513" s="394">
        <f t="shared" si="92"/>
        <v>0</v>
      </c>
      <c r="M513" s="394">
        <f t="shared" si="87"/>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IF(OR(A513="",A513&gt;=subjectMortgageEndDate),"",EDATE(A513,1))</f>
        <v/>
      </c>
      <c r="B514" s="276">
        <f t="shared" si="84"/>
        <v>0</v>
      </c>
      <c r="C514" s="14">
        <f>IF(A514="",0,IF(B514&lt;=0,0,IF(A514=subjectMortgageEndDate,B514+E514,MIN(subjectPayment,B514+E514))))</f>
        <v>0</v>
      </c>
      <c r="D514" s="14">
        <f t="shared" si="85"/>
        <v>0</v>
      </c>
      <c r="E514" s="14">
        <f>IF(OR(A514="",B514&lt;=0),0,ROUND(B514*(subjectInterestRate/12),2))</f>
        <v>0</v>
      </c>
      <c r="K514" s="276">
        <f t="shared" si="86"/>
        <v>0</v>
      </c>
      <c r="L514" s="394">
        <f t="shared" si="92"/>
        <v>0</v>
      </c>
      <c r="M514" s="394">
        <f t="shared" si="87"/>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IF(OR(A514="",A514&gt;=subjectMortgageEndDate),"",EDATE(A514,1))</f>
        <v/>
      </c>
      <c r="B515" s="276">
        <f t="shared" si="84"/>
        <v>0</v>
      </c>
      <c r="C515" s="14">
        <f>IF(A515="",0,IF(B515&lt;=0,0,IF(A515=subjectMortgageEndDate,B515+E515,MIN(subjectPayment,B515+E515))))</f>
        <v>0</v>
      </c>
      <c r="D515" s="14">
        <f t="shared" si="85"/>
        <v>0</v>
      </c>
      <c r="E515" s="14">
        <f>IF(OR(A515="",B515&lt;=0),0,ROUND(B515*(subjectInterestRate/12),2))</f>
        <v>0</v>
      </c>
      <c r="K515" s="276">
        <f t="shared" si="86"/>
        <v>0</v>
      </c>
      <c r="L515" s="394">
        <f t="shared" si="92"/>
        <v>0</v>
      </c>
      <c r="M515" s="394">
        <f t="shared" si="87"/>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IF(OR(A515="",A515&gt;=subjectMortgageEndDate),"",EDATE(A515,1))</f>
        <v/>
      </c>
      <c r="B516" s="276">
        <f t="shared" si="84"/>
        <v>0</v>
      </c>
      <c r="C516" s="14">
        <f>IF(A516="",0,IF(B516&lt;=0,0,IF(A516=subjectMortgageEndDate,B516+E516,MIN(subjectPayment,B516+E516))))</f>
        <v>0</v>
      </c>
      <c r="D516" s="14">
        <f t="shared" si="85"/>
        <v>0</v>
      </c>
      <c r="E516" s="14">
        <f>IF(OR(A516="",B516&lt;=0),0,ROUND(B516*(subjectInterestRate/12),2))</f>
        <v>0</v>
      </c>
      <c r="K516" s="276">
        <f t="shared" si="86"/>
        <v>0</v>
      </c>
      <c r="L516" s="394">
        <f t="shared" si="92"/>
        <v>0</v>
      </c>
      <c r="M516" s="394">
        <f t="shared" si="87"/>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IF(OR(A516="",A516&gt;=subjectMortgageEndDate),"",EDATE(A516,1))</f>
        <v/>
      </c>
      <c r="B517" s="276">
        <f t="shared" si="84"/>
        <v>0</v>
      </c>
      <c r="C517" s="14">
        <f>IF(A517="",0,IF(B517&lt;=0,0,IF(A517=subjectMortgageEndDate,B517+E517,MIN(subjectPayment,B517+E517))))</f>
        <v>0</v>
      </c>
      <c r="D517" s="14">
        <f t="shared" si="85"/>
        <v>0</v>
      </c>
      <c r="E517" s="14">
        <f>IF(OR(A517="",B517&lt;=0),0,ROUND(B517*(subjectInterestRate/12),2))</f>
        <v>0</v>
      </c>
      <c r="K517" s="276">
        <f t="shared" si="86"/>
        <v>0</v>
      </c>
      <c r="L517" s="394">
        <f t="shared" si="92"/>
        <v>0</v>
      </c>
      <c r="M517" s="394">
        <f t="shared" si="87"/>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IF(OR(A517="",A517&gt;=subjectMortgageEndDate),"",EDATE(A517,1))</f>
        <v/>
      </c>
      <c r="B518" s="276">
        <f t="shared" si="84"/>
        <v>0</v>
      </c>
      <c r="C518" s="14">
        <f>IF(A518="",0,IF(B518&lt;=0,0,IF(A518=subjectMortgageEndDate,B518+E518,MIN(subjectPayment,B518+E518))))</f>
        <v>0</v>
      </c>
      <c r="D518" s="14">
        <f t="shared" si="85"/>
        <v>0</v>
      </c>
      <c r="E518" s="14">
        <f>IF(OR(A518="",B518&lt;=0),0,ROUND(B518*(subjectInterestRate/12),2))</f>
        <v>0</v>
      </c>
      <c r="K518" s="276">
        <f t="shared" si="86"/>
        <v>0</v>
      </c>
      <c r="L518" s="394">
        <f t="shared" si="92"/>
        <v>0</v>
      </c>
      <c r="M518" s="394">
        <f t="shared" si="87"/>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IF(OR(A518="",A518&gt;=subjectMortgageEndDate),"",EDATE(A518,1))</f>
        <v/>
      </c>
      <c r="B519" s="276">
        <f t="shared" si="84"/>
        <v>0</v>
      </c>
      <c r="C519" s="14">
        <f>IF(A519="",0,IF(B519&lt;=0,0,IF(A519=subjectMortgageEndDate,B519+E519,MIN(subjectPayment,B519+E519))))</f>
        <v>0</v>
      </c>
      <c r="D519" s="14">
        <f t="shared" si="85"/>
        <v>0</v>
      </c>
      <c r="E519" s="14">
        <f>IF(OR(A519="",B519&lt;=0),0,ROUND(B519*(subjectInterestRate/12),2))</f>
        <v>0</v>
      </c>
      <c r="K519" s="276">
        <f t="shared" si="86"/>
        <v>0</v>
      </c>
      <c r="L519" s="394">
        <f t="shared" si="92"/>
        <v>0</v>
      </c>
      <c r="M519" s="394">
        <f t="shared" si="87"/>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IF(OR(A519="",A519&gt;=subjectMortgageEndDate),"",EDATE(A519,1))</f>
        <v/>
      </c>
      <c r="B520" s="276">
        <f t="shared" si="84"/>
        <v>0</v>
      </c>
      <c r="C520" s="14">
        <f>IF(A520="",0,IF(B520&lt;=0,0,IF(A520=subjectMortgageEndDate,B520+E520,MIN(subjectPayment,B520+E520))))</f>
        <v>0</v>
      </c>
      <c r="D520" s="14">
        <f t="shared" si="85"/>
        <v>0</v>
      </c>
      <c r="E520" s="14">
        <f>IF(OR(A520="",B520&lt;=0),0,ROUND(B520*(subjectInterestRate/12),2))</f>
        <v>0</v>
      </c>
      <c r="K520" s="276">
        <f t="shared" si="86"/>
        <v>0</v>
      </c>
      <c r="L520" s="394">
        <f t="shared" si="92"/>
        <v>0</v>
      </c>
      <c r="M520" s="394">
        <f t="shared" si="87"/>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IF(OR(A520="",A520&gt;=subjectMortgageEndDate),"",EDATE(A520,1))</f>
        <v/>
      </c>
      <c r="B521" s="276">
        <f t="shared" si="84"/>
        <v>0</v>
      </c>
      <c r="C521" s="14">
        <f>IF(A521="",0,IF(B521&lt;=0,0,IF(A521=subjectMortgageEndDate,B521+E521,MIN(subjectPayment,B521+E521))))</f>
        <v>0</v>
      </c>
      <c r="D521" s="14">
        <f t="shared" si="85"/>
        <v>0</v>
      </c>
      <c r="E521" s="14">
        <f>IF(OR(A521="",B521&lt;=0),0,ROUND(B521*(subjectInterestRate/12),2))</f>
        <v>0</v>
      </c>
      <c r="K521" s="276">
        <f t="shared" si="86"/>
        <v>0</v>
      </c>
      <c r="L521" s="394">
        <f t="shared" si="92"/>
        <v>0</v>
      </c>
      <c r="M521" s="394">
        <f t="shared" si="87"/>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IF(OR(A521="",A521&gt;=subjectMortgageEndDate),"",EDATE(A521,1))</f>
        <v/>
      </c>
      <c r="B522" s="276">
        <f t="shared" si="84"/>
        <v>0</v>
      </c>
      <c r="C522" s="14">
        <f>IF(A522="",0,IF(B522&lt;=0,0,IF(A522=subjectMortgageEndDate,B522+E522,MIN(subjectPayment,B522+E522))))</f>
        <v>0</v>
      </c>
      <c r="D522" s="14">
        <f t="shared" si="85"/>
        <v>0</v>
      </c>
      <c r="E522" s="14">
        <f>IF(OR(A522="",B522&lt;=0),0,ROUND(B522*(subjectInterestRate/12),2))</f>
        <v>0</v>
      </c>
      <c r="K522" s="276">
        <f t="shared" si="86"/>
        <v>0</v>
      </c>
      <c r="L522" s="394">
        <f t="shared" si="92"/>
        <v>0</v>
      </c>
      <c r="M522" s="394">
        <f t="shared" si="87"/>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IF(OR(A522="",A522&gt;=subjectMortgageEndDate),"",EDATE(A522,1))</f>
        <v/>
      </c>
      <c r="B523" s="332">
        <f t="shared" si="84"/>
        <v>0</v>
      </c>
      <c r="C523" s="21">
        <f>IF(A523="",0,IF(B523&lt;=0,0,IF(A523=subjectMortgageEndDate,B523+E523,MIN(subjectPayment,B523+E523))))</f>
        <v>0</v>
      </c>
      <c r="D523" s="21">
        <f t="shared" si="85"/>
        <v>0</v>
      </c>
      <c r="E523" s="21">
        <f>IF(OR(A523="",B523&lt;=0),0,ROUND(B523*(subjectInterestRate/12),2))</f>
        <v>0</v>
      </c>
      <c r="F523" s="21"/>
      <c r="G523" s="21"/>
      <c r="H523" s="21"/>
      <c r="I523" s="332"/>
      <c r="J523" s="332"/>
      <c r="K523" s="332">
        <f t="shared" si="86"/>
        <v>0</v>
      </c>
      <c r="L523" s="395">
        <f t="shared" si="92"/>
        <v>0</v>
      </c>
      <c r="M523" s="395">
        <f t="shared" si="87"/>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32">
        <f>IF(INDEX(tblContractForDeed[End Bal],ROW()-ROW(tblBuyerOutputs[#Headers]))&lt;=0,0,($O$6+IF(ROW()=ROW(tblBuyerOutputs[#Headers])+1,0,INDEX(tblBuyerOutputs[Cumul Appr],ROW()-ROW(tblBuyerOutputs[#Headers])-1)))*$O$2/12)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IF(OR(A523="",A523&gt;=subjectMortgageEndDate),"",EDATE(A523,1))</f>
        <v/>
      </c>
      <c r="B524" s="276">
        <f t="shared" si="84"/>
        <v>0</v>
      </c>
      <c r="C524" s="14">
        <f>IF(A524="",0,IF(B524&lt;=0,0,IF(A524=subjectMortgageEndDate,B524+E524,MIN(subjectPayment,B524+E524))))</f>
        <v>0</v>
      </c>
      <c r="D524" s="14">
        <f t="shared" si="85"/>
        <v>0</v>
      </c>
      <c r="E524" s="14">
        <f>IF(OR(A524="",B524&lt;=0),0,ROUND(B524*(subjectInterestRate/12),2))</f>
        <v>0</v>
      </c>
      <c r="K524" s="276">
        <f t="shared" si="86"/>
        <v>0</v>
      </c>
      <c r="L524" s="394">
        <f t="shared" si="92"/>
        <v>0</v>
      </c>
      <c r="M524" s="394">
        <f t="shared" si="87"/>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IF(OR(A524="",A524&gt;=subjectMortgageEndDate),"",EDATE(A524,1))</f>
        <v/>
      </c>
      <c r="B525" s="276">
        <f t="shared" si="84"/>
        <v>0</v>
      </c>
      <c r="C525" s="14">
        <f>IF(A525="",0,IF(B525&lt;=0,0,IF(A525=subjectMortgageEndDate,B525+E525,MIN(subjectPayment,B525+E525))))</f>
        <v>0</v>
      </c>
      <c r="D525" s="14">
        <f t="shared" si="85"/>
        <v>0</v>
      </c>
      <c r="E525" s="14">
        <f>IF(OR(A525="",B525&lt;=0),0,ROUND(B525*(subjectInterestRate/12),2))</f>
        <v>0</v>
      </c>
      <c r="K525" s="276">
        <f t="shared" si="86"/>
        <v>0</v>
      </c>
      <c r="L525" s="394">
        <f t="shared" si="92"/>
        <v>0</v>
      </c>
      <c r="M525" s="394">
        <f t="shared" si="87"/>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IF(OR(A525="",A525&gt;=subjectMortgageEndDate),"",EDATE(A525,1))</f>
        <v/>
      </c>
      <c r="B526" s="276">
        <f t="shared" si="84"/>
        <v>0</v>
      </c>
      <c r="C526" s="14">
        <f>IF(A526="",0,IF(B526&lt;=0,0,IF(A526=subjectMortgageEndDate,B526+E526,MIN(subjectPayment,B526+E526))))</f>
        <v>0</v>
      </c>
      <c r="D526" s="14">
        <f t="shared" si="85"/>
        <v>0</v>
      </c>
      <c r="E526" s="14">
        <f>IF(OR(A526="",B526&lt;=0),0,ROUND(B526*(subjectInterestRate/12),2))</f>
        <v>0</v>
      </c>
      <c r="K526" s="276">
        <f t="shared" si="86"/>
        <v>0</v>
      </c>
      <c r="L526" s="394">
        <f t="shared" si="92"/>
        <v>0</v>
      </c>
      <c r="M526" s="394">
        <f t="shared" si="87"/>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IF(OR(A526="",A526&gt;=subjectMortgageEndDate),"",EDATE(A526,1))</f>
        <v/>
      </c>
      <c r="B527" s="276">
        <f t="shared" si="84"/>
        <v>0</v>
      </c>
      <c r="C527" s="14">
        <f>IF(A527="",0,IF(B527&lt;=0,0,IF(A527=subjectMortgageEndDate,B527+E527,MIN(subjectPayment,B527+E527))))</f>
        <v>0</v>
      </c>
      <c r="D527" s="14">
        <f t="shared" si="85"/>
        <v>0</v>
      </c>
      <c r="E527" s="14">
        <f>IF(OR(A527="",B527&lt;=0),0,ROUND(B527*(subjectInterestRate/12),2))</f>
        <v>0</v>
      </c>
      <c r="K527" s="276">
        <f t="shared" si="86"/>
        <v>0</v>
      </c>
      <c r="L527" s="394">
        <f t="shared" si="92"/>
        <v>0</v>
      </c>
      <c r="M527" s="394">
        <f t="shared" si="87"/>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IF(OR(A527="",A527&gt;=subjectMortgageEndDate),"",EDATE(A527,1))</f>
        <v/>
      </c>
      <c r="B528" s="276">
        <f t="shared" si="84"/>
        <v>0</v>
      </c>
      <c r="C528" s="14">
        <f>IF(A528="",0,IF(B528&lt;=0,0,IF(A528=subjectMortgageEndDate,B528+E528,MIN(subjectPayment,B528+E528))))</f>
        <v>0</v>
      </c>
      <c r="D528" s="14">
        <f t="shared" si="85"/>
        <v>0</v>
      </c>
      <c r="E528" s="14">
        <f>IF(OR(A528="",B528&lt;=0),0,ROUND(B528*(subjectInterestRate/12),2))</f>
        <v>0</v>
      </c>
      <c r="K528" s="276">
        <f t="shared" si="86"/>
        <v>0</v>
      </c>
      <c r="L528" s="394">
        <f t="shared" si="92"/>
        <v>0</v>
      </c>
      <c r="M528" s="394">
        <f t="shared" si="87"/>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IF(OR(A528="",A528&gt;=subjectMortgageEndDate),"",EDATE(A528,1))</f>
        <v/>
      </c>
      <c r="B529" s="276">
        <f t="shared" si="84"/>
        <v>0</v>
      </c>
      <c r="C529" s="14">
        <f>IF(A529="",0,IF(B529&lt;=0,0,IF(A529=subjectMortgageEndDate,B529+E529,MIN(subjectPayment,B529+E529))))</f>
        <v>0</v>
      </c>
      <c r="D529" s="14">
        <f t="shared" si="85"/>
        <v>0</v>
      </c>
      <c r="E529" s="14">
        <f>IF(OR(A529="",B529&lt;=0),0,ROUND(B529*(subjectInterestRate/12),2))</f>
        <v>0</v>
      </c>
      <c r="K529" s="276">
        <f t="shared" si="86"/>
        <v>0</v>
      </c>
      <c r="L529" s="394">
        <f t="shared" si="92"/>
        <v>0</v>
      </c>
      <c r="M529" s="394">
        <f t="shared" si="87"/>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IF(OR(A529="",A529&gt;=subjectMortgageEndDate),"",EDATE(A529,1))</f>
        <v/>
      </c>
      <c r="B530" s="276">
        <f t="shared" si="84"/>
        <v>0</v>
      </c>
      <c r="C530" s="14">
        <f>IF(A530="",0,IF(B530&lt;=0,0,IF(A530=subjectMortgageEndDate,B530+E530,MIN(subjectPayment,B530+E530))))</f>
        <v>0</v>
      </c>
      <c r="D530" s="14">
        <f t="shared" si="85"/>
        <v>0</v>
      </c>
      <c r="E530" s="14">
        <f>IF(OR(A530="",B530&lt;=0),0,ROUND(B530*(subjectInterestRate/12),2))</f>
        <v>0</v>
      </c>
      <c r="K530" s="276">
        <f t="shared" si="86"/>
        <v>0</v>
      </c>
      <c r="L530" s="394">
        <f t="shared" si="92"/>
        <v>0</v>
      </c>
      <c r="M530" s="394">
        <f t="shared" si="87"/>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IF(OR(A530="",A530&gt;=subjectMortgageEndDate),"",EDATE(A530,1))</f>
        <v/>
      </c>
      <c r="B531" s="276">
        <f t="shared" si="84"/>
        <v>0</v>
      </c>
      <c r="C531" s="14">
        <f>IF(A531="",0,IF(B531&lt;=0,0,IF(A531=subjectMortgageEndDate,B531+E531,MIN(subjectPayment,B531+E531))))</f>
        <v>0</v>
      </c>
      <c r="D531" s="14">
        <f t="shared" si="85"/>
        <v>0</v>
      </c>
      <c r="E531" s="14">
        <f>IF(OR(A531="",B531&lt;=0),0,ROUND(B531*(subjectInterestRate/12),2))</f>
        <v>0</v>
      </c>
      <c r="K531" s="276">
        <f t="shared" si="86"/>
        <v>0</v>
      </c>
      <c r="L531" s="394">
        <f t="shared" si="92"/>
        <v>0</v>
      </c>
      <c r="M531" s="394">
        <f t="shared" si="87"/>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IF(OR(A531="",A531&gt;=subjectMortgageEndDate),"",EDATE(A531,1))</f>
        <v/>
      </c>
      <c r="B532" s="276">
        <f t="shared" si="84"/>
        <v>0</v>
      </c>
      <c r="C532" s="14">
        <f>IF(A532="",0,IF(B532&lt;=0,0,IF(A532=subjectMortgageEndDate,B532+E532,MIN(subjectPayment,B532+E532))))</f>
        <v>0</v>
      </c>
      <c r="D532" s="14">
        <f t="shared" si="85"/>
        <v>0</v>
      </c>
      <c r="E532" s="14">
        <f>IF(OR(A532="",B532&lt;=0),0,ROUND(B532*(subjectInterestRate/12),2))</f>
        <v>0</v>
      </c>
      <c r="K532" s="276">
        <f t="shared" si="86"/>
        <v>0</v>
      </c>
      <c r="L532" s="394">
        <f t="shared" si="92"/>
        <v>0</v>
      </c>
      <c r="M532" s="394">
        <f t="shared" si="87"/>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IF(OR(A532="",A532&gt;=subjectMortgageEndDate),"",EDATE(A532,1))</f>
        <v/>
      </c>
      <c r="B533" s="276">
        <f t="shared" ref="B533:B596" si="93">IF(A533="",0,MAX(0,K532))</f>
        <v>0</v>
      </c>
      <c r="C533" s="14">
        <f>IF(A533="",0,IF(B533&lt;=0,0,IF(A533=subjectMortgageEndDate,B533+E533,MIN(subjectPayment,B533+E533))))</f>
        <v>0</v>
      </c>
      <c r="D533" s="14">
        <f t="shared" ref="D533:D596" si="94">IF(C533=0,0,MAX(0,MIN(B533,C533-E533)))</f>
        <v>0</v>
      </c>
      <c r="E533" s="14">
        <f>IF(OR(A533="",B533&lt;=0),0,ROUND(B533*(subjectInterestRate/12),2))</f>
        <v>0</v>
      </c>
      <c r="K533" s="276">
        <f t="shared" ref="K533:K596" si="95">IF(A533="",0,IF(B533&lt;=0,0,MAX(0,B533-D533)))</f>
        <v>0</v>
      </c>
      <c r="L533" s="394">
        <f t="shared" si="92"/>
        <v>0</v>
      </c>
      <c r="M533" s="394">
        <f t="shared" ref="M533:M596" si="96">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IF(OR(A533="",A533&gt;=subjectMortgageEndDate),"",EDATE(A533,1))</f>
        <v/>
      </c>
      <c r="B534" s="276">
        <f t="shared" si="93"/>
        <v>0</v>
      </c>
      <c r="C534" s="14">
        <f>IF(A534="",0,IF(B534&lt;=0,0,IF(A534=subjectMortgageEndDate,B534+E534,MIN(subjectPayment,B534+E534))))</f>
        <v>0</v>
      </c>
      <c r="D534" s="14">
        <f t="shared" si="94"/>
        <v>0</v>
      </c>
      <c r="E534" s="14">
        <f>IF(OR(A534="",B534&lt;=0),0,ROUND(B534*(subjectInterestRate/12),2))</f>
        <v>0</v>
      </c>
      <c r="K534" s="276">
        <f t="shared" si="95"/>
        <v>0</v>
      </c>
      <c r="L534" s="394">
        <f t="shared" si="92"/>
        <v>0</v>
      </c>
      <c r="M534" s="394">
        <f t="shared" si="96"/>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IF(OR(A534="",A534&gt;=subjectMortgageEndDate),"",EDATE(A534,1))</f>
        <v/>
      </c>
      <c r="B535" s="332">
        <f t="shared" si="93"/>
        <v>0</v>
      </c>
      <c r="C535" s="21">
        <f>IF(A535="",0,IF(B535&lt;=0,0,IF(A535=subjectMortgageEndDate,B535+E535,MIN(subjectPayment,B535+E535))))</f>
        <v>0</v>
      </c>
      <c r="D535" s="21">
        <f t="shared" si="94"/>
        <v>0</v>
      </c>
      <c r="E535" s="21">
        <f>IF(OR(A535="",B535&lt;=0),0,ROUND(B535*(subjectInterestRate/12),2))</f>
        <v>0</v>
      </c>
      <c r="F535" s="21"/>
      <c r="G535" s="21"/>
      <c r="H535" s="21"/>
      <c r="I535" s="332"/>
      <c r="J535" s="332"/>
      <c r="K535" s="332">
        <f t="shared" si="95"/>
        <v>0</v>
      </c>
      <c r="L535" s="395">
        <f t="shared" si="92"/>
        <v>0</v>
      </c>
      <c r="M535" s="395">
        <f t="shared" si="96"/>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32">
        <f>IF(INDEX(tblContractForDeed[End Bal],ROW()-ROW(tblBuyerOutputs[#Headers]))&lt;=0,0,($O$6+IF(ROW()=ROW(tblBuyerOutputs[#Headers])+1,0,INDEX(tblBuyerOutputs[Cumul Appr],ROW()-ROW(tblBuyerOutputs[#Headers])-1)))*$O$2/12)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IF(OR(A535="",A535&gt;=subjectMortgageEndDate),"",EDATE(A535,1))</f>
        <v/>
      </c>
      <c r="B536" s="276">
        <f t="shared" si="93"/>
        <v>0</v>
      </c>
      <c r="C536" s="14">
        <f>IF(A536="",0,IF(B536&lt;=0,0,IF(A536=subjectMortgageEndDate,B536+E536,MIN(subjectPayment,B536+E536))))</f>
        <v>0</v>
      </c>
      <c r="D536" s="14">
        <f t="shared" si="94"/>
        <v>0</v>
      </c>
      <c r="E536" s="14">
        <f>IF(OR(A536="",B536&lt;=0),0,ROUND(B536*(subjectInterestRate/12),2))</f>
        <v>0</v>
      </c>
      <c r="K536" s="276">
        <f t="shared" si="95"/>
        <v>0</v>
      </c>
      <c r="L536" s="394">
        <f t="shared" si="92"/>
        <v>0</v>
      </c>
      <c r="M536" s="394">
        <f t="shared" si="96"/>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IF(OR(A536="",A536&gt;=subjectMortgageEndDate),"",EDATE(A536,1))</f>
        <v/>
      </c>
      <c r="B537" s="276">
        <f t="shared" si="93"/>
        <v>0</v>
      </c>
      <c r="C537" s="14">
        <f>IF(A537="",0,IF(B537&lt;=0,0,IF(A537=subjectMortgageEndDate,B537+E537,MIN(subjectPayment,B537+E537))))</f>
        <v>0</v>
      </c>
      <c r="D537" s="14">
        <f t="shared" si="94"/>
        <v>0</v>
      </c>
      <c r="E537" s="14">
        <f>IF(OR(A537="",B537&lt;=0),0,ROUND(B537*(subjectInterestRate/12),2))</f>
        <v>0</v>
      </c>
      <c r="K537" s="276">
        <f t="shared" si="95"/>
        <v>0</v>
      </c>
      <c r="L537" s="394">
        <f t="shared" si="92"/>
        <v>0</v>
      </c>
      <c r="M537" s="394">
        <f t="shared" si="96"/>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IF(OR(A537="",A537&gt;=subjectMortgageEndDate),"",EDATE(A537,1))</f>
        <v/>
      </c>
      <c r="B538" s="276">
        <f t="shared" si="93"/>
        <v>0</v>
      </c>
      <c r="C538" s="14">
        <f>IF(A538="",0,IF(B538&lt;=0,0,IF(A538=subjectMortgageEndDate,B538+E538,MIN(subjectPayment,B538+E538))))</f>
        <v>0</v>
      </c>
      <c r="D538" s="14">
        <f t="shared" si="94"/>
        <v>0</v>
      </c>
      <c r="E538" s="14">
        <f>IF(OR(A538="",B538&lt;=0),0,ROUND(B538*(subjectInterestRate/12),2))</f>
        <v>0</v>
      </c>
      <c r="K538" s="276">
        <f t="shared" si="95"/>
        <v>0</v>
      </c>
      <c r="L538" s="394">
        <f t="shared" si="92"/>
        <v>0</v>
      </c>
      <c r="M538" s="394">
        <f t="shared" si="96"/>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IF(OR(A538="",A538&gt;=subjectMortgageEndDate),"",EDATE(A538,1))</f>
        <v/>
      </c>
      <c r="B539" s="276">
        <f t="shared" si="93"/>
        <v>0</v>
      </c>
      <c r="C539" s="14">
        <f>IF(A539="",0,IF(B539&lt;=0,0,IF(A539=subjectMortgageEndDate,B539+E539,MIN(subjectPayment,B539+E539))))</f>
        <v>0</v>
      </c>
      <c r="D539" s="14">
        <f t="shared" si="94"/>
        <v>0</v>
      </c>
      <c r="E539" s="14">
        <f>IF(OR(A539="",B539&lt;=0),0,ROUND(B539*(subjectInterestRate/12),2))</f>
        <v>0</v>
      </c>
      <c r="K539" s="276">
        <f t="shared" si="95"/>
        <v>0</v>
      </c>
      <c r="L539" s="394">
        <f t="shared" si="92"/>
        <v>0</v>
      </c>
      <c r="M539" s="394">
        <f t="shared" si="96"/>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IF(OR(A539="",A539&gt;=subjectMortgageEndDate),"",EDATE(A539,1))</f>
        <v/>
      </c>
      <c r="B540" s="276">
        <f t="shared" si="93"/>
        <v>0</v>
      </c>
      <c r="C540" s="14">
        <f>IF(A540="",0,IF(B540&lt;=0,0,IF(A540=subjectMortgageEndDate,B540+E540,MIN(subjectPayment,B540+E540))))</f>
        <v>0</v>
      </c>
      <c r="D540" s="14">
        <f t="shared" si="94"/>
        <v>0</v>
      </c>
      <c r="E540" s="14">
        <f>IF(OR(A540="",B540&lt;=0),0,ROUND(B540*(subjectInterestRate/12),2))</f>
        <v>0</v>
      </c>
      <c r="K540" s="276">
        <f t="shared" si="95"/>
        <v>0</v>
      </c>
      <c r="L540" s="394">
        <f t="shared" si="92"/>
        <v>0</v>
      </c>
      <c r="M540" s="394">
        <f t="shared" si="96"/>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IF(OR(A540="",A540&gt;=subjectMortgageEndDate),"",EDATE(A540,1))</f>
        <v/>
      </c>
      <c r="B541" s="276">
        <f t="shared" si="93"/>
        <v>0</v>
      </c>
      <c r="C541" s="14">
        <f>IF(A541="",0,IF(B541&lt;=0,0,IF(A541=subjectMortgageEndDate,B541+E541,MIN(subjectPayment,B541+E541))))</f>
        <v>0</v>
      </c>
      <c r="D541" s="14">
        <f t="shared" si="94"/>
        <v>0</v>
      </c>
      <c r="E541" s="14">
        <f>IF(OR(A541="",B541&lt;=0),0,ROUND(B541*(subjectInterestRate/12),2))</f>
        <v>0</v>
      </c>
      <c r="K541" s="276">
        <f t="shared" si="95"/>
        <v>0</v>
      </c>
      <c r="L541" s="394">
        <f t="shared" si="92"/>
        <v>0</v>
      </c>
      <c r="M541" s="394">
        <f t="shared" si="96"/>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IF(OR(A541="",A541&gt;=subjectMortgageEndDate),"",EDATE(A541,1))</f>
        <v/>
      </c>
      <c r="B542" s="276">
        <f t="shared" si="93"/>
        <v>0</v>
      </c>
      <c r="C542" s="14">
        <f>IF(A542="",0,IF(B542&lt;=0,0,IF(A542=subjectMortgageEndDate,B542+E542,MIN(subjectPayment,B542+E542))))</f>
        <v>0</v>
      </c>
      <c r="D542" s="14">
        <f t="shared" si="94"/>
        <v>0</v>
      </c>
      <c r="E542" s="14">
        <f>IF(OR(A542="",B542&lt;=0),0,ROUND(B542*(subjectInterestRate/12),2))</f>
        <v>0</v>
      </c>
      <c r="K542" s="276">
        <f t="shared" si="95"/>
        <v>0</v>
      </c>
      <c r="L542" s="394">
        <f t="shared" si="92"/>
        <v>0</v>
      </c>
      <c r="M542" s="394">
        <f t="shared" si="96"/>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IF(OR(A542="",A542&gt;=subjectMortgageEndDate),"",EDATE(A542,1))</f>
        <v/>
      </c>
      <c r="B543" s="276">
        <f t="shared" si="93"/>
        <v>0</v>
      </c>
      <c r="C543" s="14">
        <f>IF(A543="",0,IF(B543&lt;=0,0,IF(A543=subjectMortgageEndDate,B543+E543,MIN(subjectPayment,B543+E543))))</f>
        <v>0</v>
      </c>
      <c r="D543" s="14">
        <f t="shared" si="94"/>
        <v>0</v>
      </c>
      <c r="E543" s="14">
        <f>IF(OR(A543="",B543&lt;=0),0,ROUND(B543*(subjectInterestRate/12),2))</f>
        <v>0</v>
      </c>
      <c r="K543" s="276">
        <f t="shared" si="95"/>
        <v>0</v>
      </c>
      <c r="L543" s="394">
        <f t="shared" si="92"/>
        <v>0</v>
      </c>
      <c r="M543" s="394">
        <f t="shared" si="96"/>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IF(OR(A543="",A543&gt;=subjectMortgageEndDate),"",EDATE(A543,1))</f>
        <v/>
      </c>
      <c r="B544" s="276">
        <f t="shared" si="93"/>
        <v>0</v>
      </c>
      <c r="C544" s="14">
        <f>IF(A544="",0,IF(B544&lt;=0,0,IF(A544=subjectMortgageEndDate,B544+E544,MIN(subjectPayment,B544+E544))))</f>
        <v>0</v>
      </c>
      <c r="D544" s="14">
        <f t="shared" si="94"/>
        <v>0</v>
      </c>
      <c r="E544" s="14">
        <f>IF(OR(A544="",B544&lt;=0),0,ROUND(B544*(subjectInterestRate/12),2))</f>
        <v>0</v>
      </c>
      <c r="K544" s="276">
        <f t="shared" si="95"/>
        <v>0</v>
      </c>
      <c r="L544" s="394">
        <f t="shared" si="92"/>
        <v>0</v>
      </c>
      <c r="M544" s="394">
        <f t="shared" si="96"/>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IF(OR(A544="",A544&gt;=subjectMortgageEndDate),"",EDATE(A544,1))</f>
        <v/>
      </c>
      <c r="B545" s="276">
        <f t="shared" si="93"/>
        <v>0</v>
      </c>
      <c r="C545" s="14">
        <f>IF(A545="",0,IF(B545&lt;=0,0,IF(A545=subjectMortgageEndDate,B545+E545,MIN(subjectPayment,B545+E545))))</f>
        <v>0</v>
      </c>
      <c r="D545" s="14">
        <f t="shared" si="94"/>
        <v>0</v>
      </c>
      <c r="E545" s="14">
        <f>IF(OR(A545="",B545&lt;=0),0,ROUND(B545*(subjectInterestRate/12),2))</f>
        <v>0</v>
      </c>
      <c r="K545" s="276">
        <f t="shared" si="95"/>
        <v>0</v>
      </c>
      <c r="L545" s="394">
        <f t="shared" si="92"/>
        <v>0</v>
      </c>
      <c r="M545" s="394">
        <f t="shared" si="96"/>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IF(OR(A545="",A545&gt;=subjectMortgageEndDate),"",EDATE(A545,1))</f>
        <v/>
      </c>
      <c r="B546" s="276">
        <f t="shared" si="93"/>
        <v>0</v>
      </c>
      <c r="C546" s="14">
        <f>IF(A546="",0,IF(B546&lt;=0,0,IF(A546=subjectMortgageEndDate,B546+E546,MIN(subjectPayment,B546+E546))))</f>
        <v>0</v>
      </c>
      <c r="D546" s="14">
        <f t="shared" si="94"/>
        <v>0</v>
      </c>
      <c r="E546" s="14">
        <f>IF(OR(A546="",B546&lt;=0),0,ROUND(B546*(subjectInterestRate/12),2))</f>
        <v>0</v>
      </c>
      <c r="K546" s="276">
        <f t="shared" si="95"/>
        <v>0</v>
      </c>
      <c r="L546" s="394">
        <f t="shared" si="92"/>
        <v>0</v>
      </c>
      <c r="M546" s="394">
        <f t="shared" si="96"/>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IF(OR(A546="",A546&gt;=subjectMortgageEndDate),"",EDATE(A546,1))</f>
        <v/>
      </c>
      <c r="B547" s="332">
        <f t="shared" si="93"/>
        <v>0</v>
      </c>
      <c r="C547" s="21">
        <f>IF(A547="",0,IF(B547&lt;=0,0,IF(A547=subjectMortgageEndDate,B547+E547,MIN(subjectPayment,B547+E547))))</f>
        <v>0</v>
      </c>
      <c r="D547" s="21">
        <f t="shared" si="94"/>
        <v>0</v>
      </c>
      <c r="E547" s="21">
        <f>IF(OR(A547="",B547&lt;=0),0,ROUND(B547*(subjectInterestRate/12),2))</f>
        <v>0</v>
      </c>
      <c r="F547" s="21"/>
      <c r="G547" s="21"/>
      <c r="H547" s="21"/>
      <c r="I547" s="332"/>
      <c r="J547" s="332"/>
      <c r="K547" s="332">
        <f t="shared" si="95"/>
        <v>0</v>
      </c>
      <c r="L547" s="395">
        <f t="shared" si="92"/>
        <v>0</v>
      </c>
      <c r="M547" s="395">
        <f t="shared" si="96"/>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32">
        <f>IF(INDEX(tblContractForDeed[End Bal],ROW()-ROW(tblBuyerOutputs[#Headers]))&lt;=0,0,($O$6+IF(ROW()=ROW(tblBuyerOutputs[#Headers])+1,0,INDEX(tblBuyerOutputs[Cumul Appr],ROW()-ROW(tblBuyerOutputs[#Headers])-1)))*$O$2/12)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IF(OR(A547="",A547&gt;=subjectMortgageEndDate),"",EDATE(A547,1))</f>
        <v/>
      </c>
      <c r="B548" s="276">
        <f t="shared" si="93"/>
        <v>0</v>
      </c>
      <c r="C548" s="14">
        <f>IF(A548="",0,IF(B548&lt;=0,0,IF(A548=subjectMortgageEndDate,B548+E548,MIN(subjectPayment,B548+E548))))</f>
        <v>0</v>
      </c>
      <c r="D548" s="14">
        <f t="shared" si="94"/>
        <v>0</v>
      </c>
      <c r="E548" s="14">
        <f>IF(OR(A548="",B548&lt;=0),0,ROUND(B548*(subjectInterestRate/12),2))</f>
        <v>0</v>
      </c>
      <c r="K548" s="276">
        <f t="shared" si="95"/>
        <v>0</v>
      </c>
      <c r="L548" s="394">
        <f t="shared" si="92"/>
        <v>0</v>
      </c>
      <c r="M548" s="394">
        <f t="shared" si="96"/>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IF(OR(A548="",A548&gt;=subjectMortgageEndDate),"",EDATE(A548,1))</f>
        <v/>
      </c>
      <c r="B549" s="276">
        <f t="shared" si="93"/>
        <v>0</v>
      </c>
      <c r="C549" s="14">
        <f>IF(A549="",0,IF(B549&lt;=0,0,IF(A549=subjectMortgageEndDate,B549+E549,MIN(subjectPayment,B549+E549))))</f>
        <v>0</v>
      </c>
      <c r="D549" s="14">
        <f t="shared" si="94"/>
        <v>0</v>
      </c>
      <c r="E549" s="14">
        <f>IF(OR(A549="",B549&lt;=0),0,ROUND(B549*(subjectInterestRate/12),2))</f>
        <v>0</v>
      </c>
      <c r="K549" s="276">
        <f t="shared" si="95"/>
        <v>0</v>
      </c>
      <c r="L549" s="394">
        <f t="shared" si="92"/>
        <v>0</v>
      </c>
      <c r="M549" s="394">
        <f t="shared" si="96"/>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IF(OR(A549="",A549&gt;=subjectMortgageEndDate),"",EDATE(A549,1))</f>
        <v/>
      </c>
      <c r="B550" s="276">
        <f t="shared" si="93"/>
        <v>0</v>
      </c>
      <c r="C550" s="14">
        <f>IF(A550="",0,IF(B550&lt;=0,0,IF(A550=subjectMortgageEndDate,B550+E550,MIN(subjectPayment,B550+E550))))</f>
        <v>0</v>
      </c>
      <c r="D550" s="14">
        <f t="shared" si="94"/>
        <v>0</v>
      </c>
      <c r="E550" s="14">
        <f>IF(OR(A550="",B550&lt;=0),0,ROUND(B550*(subjectInterestRate/12),2))</f>
        <v>0</v>
      </c>
      <c r="K550" s="276">
        <f t="shared" si="95"/>
        <v>0</v>
      </c>
      <c r="L550" s="394">
        <f t="shared" si="92"/>
        <v>0</v>
      </c>
      <c r="M550" s="394">
        <f t="shared" si="96"/>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IF(OR(A550="",A550&gt;=subjectMortgageEndDate),"",EDATE(A550,1))</f>
        <v/>
      </c>
      <c r="B551" s="276">
        <f t="shared" si="93"/>
        <v>0</v>
      </c>
      <c r="C551" s="14">
        <f>IF(A551="",0,IF(B551&lt;=0,0,IF(A551=subjectMortgageEndDate,B551+E551,MIN(subjectPayment,B551+E551))))</f>
        <v>0</v>
      </c>
      <c r="D551" s="14">
        <f t="shared" si="94"/>
        <v>0</v>
      </c>
      <c r="E551" s="14">
        <f>IF(OR(A551="",B551&lt;=0),0,ROUND(B551*(subjectInterestRate/12),2))</f>
        <v>0</v>
      </c>
      <c r="K551" s="276">
        <f t="shared" si="95"/>
        <v>0</v>
      </c>
      <c r="L551" s="394">
        <f t="shared" si="92"/>
        <v>0</v>
      </c>
      <c r="M551" s="394">
        <f t="shared" si="96"/>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IF(OR(A551="",A551&gt;=subjectMortgageEndDate),"",EDATE(A551,1))</f>
        <v/>
      </c>
      <c r="B552" s="276">
        <f t="shared" si="93"/>
        <v>0</v>
      </c>
      <c r="C552" s="14">
        <f>IF(A552="",0,IF(B552&lt;=0,0,IF(A552=subjectMortgageEndDate,B552+E552,MIN(subjectPayment,B552+E552))))</f>
        <v>0</v>
      </c>
      <c r="D552" s="14">
        <f t="shared" si="94"/>
        <v>0</v>
      </c>
      <c r="E552" s="14">
        <f>IF(OR(A552="",B552&lt;=0),0,ROUND(B552*(subjectInterestRate/12),2))</f>
        <v>0</v>
      </c>
      <c r="K552" s="276">
        <f t="shared" si="95"/>
        <v>0</v>
      </c>
      <c r="L552" s="394">
        <f t="shared" si="92"/>
        <v>0</v>
      </c>
      <c r="M552" s="394">
        <f t="shared" si="96"/>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IF(OR(A552="",A552&gt;=subjectMortgageEndDate),"",EDATE(A552,1))</f>
        <v/>
      </c>
      <c r="B553" s="276">
        <f t="shared" si="93"/>
        <v>0</v>
      </c>
      <c r="C553" s="14">
        <f>IF(A553="",0,IF(B553&lt;=0,0,IF(A553=subjectMortgageEndDate,B553+E553,MIN(subjectPayment,B553+E553))))</f>
        <v>0</v>
      </c>
      <c r="D553" s="14">
        <f t="shared" si="94"/>
        <v>0</v>
      </c>
      <c r="E553" s="14">
        <f>IF(OR(A553="",B553&lt;=0),0,ROUND(B553*(subjectInterestRate/12),2))</f>
        <v>0</v>
      </c>
      <c r="K553" s="276">
        <f t="shared" si="95"/>
        <v>0</v>
      </c>
      <c r="L553" s="394">
        <f t="shared" si="92"/>
        <v>0</v>
      </c>
      <c r="M553" s="394">
        <f t="shared" si="96"/>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IF(OR(A553="",A553&gt;=subjectMortgageEndDate),"",EDATE(A553,1))</f>
        <v/>
      </c>
      <c r="B554" s="276">
        <f t="shared" si="93"/>
        <v>0</v>
      </c>
      <c r="C554" s="14">
        <f>IF(A554="",0,IF(B554&lt;=0,0,IF(A554=subjectMortgageEndDate,B554+E554,MIN(subjectPayment,B554+E554))))</f>
        <v>0</v>
      </c>
      <c r="D554" s="14">
        <f t="shared" si="94"/>
        <v>0</v>
      </c>
      <c r="E554" s="14">
        <f>IF(OR(A554="",B554&lt;=0),0,ROUND(B554*(subjectInterestRate/12),2))</f>
        <v>0</v>
      </c>
      <c r="K554" s="276">
        <f t="shared" si="95"/>
        <v>0</v>
      </c>
      <c r="L554" s="394">
        <f t="shared" si="92"/>
        <v>0</v>
      </c>
      <c r="M554" s="394">
        <f t="shared" si="96"/>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IF(OR(A554="",A554&gt;=subjectMortgageEndDate),"",EDATE(A554,1))</f>
        <v/>
      </c>
      <c r="B555" s="276">
        <f t="shared" si="93"/>
        <v>0</v>
      </c>
      <c r="C555" s="14">
        <f>IF(A555="",0,IF(B555&lt;=0,0,IF(A555=subjectMortgageEndDate,B555+E555,MIN(subjectPayment,B555+E555))))</f>
        <v>0</v>
      </c>
      <c r="D555" s="14">
        <f t="shared" si="94"/>
        <v>0</v>
      </c>
      <c r="E555" s="14">
        <f>IF(OR(A555="",B555&lt;=0),0,ROUND(B555*(subjectInterestRate/12),2))</f>
        <v>0</v>
      </c>
      <c r="K555" s="276">
        <f t="shared" si="95"/>
        <v>0</v>
      </c>
      <c r="L555" s="394">
        <f t="shared" si="92"/>
        <v>0</v>
      </c>
      <c r="M555" s="394">
        <f t="shared" si="96"/>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IF(OR(A555="",A555&gt;=subjectMortgageEndDate),"",EDATE(A555,1))</f>
        <v/>
      </c>
      <c r="B556" s="276">
        <f t="shared" si="93"/>
        <v>0</v>
      </c>
      <c r="C556" s="14">
        <f>IF(A556="",0,IF(B556&lt;=0,0,IF(A556=subjectMortgageEndDate,B556+E556,MIN(subjectPayment,B556+E556))))</f>
        <v>0</v>
      </c>
      <c r="D556" s="14">
        <f t="shared" si="94"/>
        <v>0</v>
      </c>
      <c r="E556" s="14">
        <f>IF(OR(A556="",B556&lt;=0),0,ROUND(B556*(subjectInterestRate/12),2))</f>
        <v>0</v>
      </c>
      <c r="K556" s="276">
        <f t="shared" si="95"/>
        <v>0</v>
      </c>
      <c r="L556" s="394">
        <f t="shared" si="92"/>
        <v>0</v>
      </c>
      <c r="M556" s="394">
        <f t="shared" si="96"/>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IF(OR(A556="",A556&gt;=subjectMortgageEndDate),"",EDATE(A556,1))</f>
        <v/>
      </c>
      <c r="B557" s="276">
        <f t="shared" si="93"/>
        <v>0</v>
      </c>
      <c r="C557" s="14">
        <f>IF(A557="",0,IF(B557&lt;=0,0,IF(A557=subjectMortgageEndDate,B557+E557,MIN(subjectPayment,B557+E557))))</f>
        <v>0</v>
      </c>
      <c r="D557" s="14">
        <f t="shared" si="94"/>
        <v>0</v>
      </c>
      <c r="E557" s="14">
        <f>IF(OR(A557="",B557&lt;=0),0,ROUND(B557*(subjectInterestRate/12),2))</f>
        <v>0</v>
      </c>
      <c r="K557" s="276">
        <f t="shared" si="95"/>
        <v>0</v>
      </c>
      <c r="L557" s="394">
        <f t="shared" si="92"/>
        <v>0</v>
      </c>
      <c r="M557" s="394">
        <f t="shared" si="96"/>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IF(OR(A557="",A557&gt;=subjectMortgageEndDate),"",EDATE(A557,1))</f>
        <v/>
      </c>
      <c r="B558" s="276">
        <f t="shared" si="93"/>
        <v>0</v>
      </c>
      <c r="C558" s="14">
        <f>IF(A558="",0,IF(B558&lt;=0,0,IF(A558=subjectMortgageEndDate,B558+E558,MIN(subjectPayment,B558+E558))))</f>
        <v>0</v>
      </c>
      <c r="D558" s="14">
        <f t="shared" si="94"/>
        <v>0</v>
      </c>
      <c r="E558" s="14">
        <f>IF(OR(A558="",B558&lt;=0),0,ROUND(B558*(subjectInterestRate/12),2))</f>
        <v>0</v>
      </c>
      <c r="K558" s="276">
        <f t="shared" si="95"/>
        <v>0</v>
      </c>
      <c r="L558" s="394">
        <f t="shared" si="92"/>
        <v>0</v>
      </c>
      <c r="M558" s="394">
        <f t="shared" si="96"/>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IF(OR(A558="",A558&gt;=subjectMortgageEndDate),"",EDATE(A558,1))</f>
        <v/>
      </c>
      <c r="B559" s="332">
        <f t="shared" si="93"/>
        <v>0</v>
      </c>
      <c r="C559" s="21">
        <f>IF(A559="",0,IF(B559&lt;=0,0,IF(A559=subjectMortgageEndDate,B559+E559,MIN(subjectPayment,B559+E559))))</f>
        <v>0</v>
      </c>
      <c r="D559" s="21">
        <f t="shared" si="94"/>
        <v>0</v>
      </c>
      <c r="E559" s="21">
        <f>IF(OR(A559="",B559&lt;=0),0,ROUND(B559*(subjectInterestRate/12),2))</f>
        <v>0</v>
      </c>
      <c r="F559" s="21"/>
      <c r="G559" s="21"/>
      <c r="H559" s="21"/>
      <c r="I559" s="332"/>
      <c r="J559" s="332"/>
      <c r="K559" s="332">
        <f t="shared" si="95"/>
        <v>0</v>
      </c>
      <c r="L559" s="395">
        <f t="shared" si="92"/>
        <v>0</v>
      </c>
      <c r="M559" s="395">
        <f t="shared" si="96"/>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32">
        <f>IF(INDEX(tblContractForDeed[End Bal],ROW()-ROW(tblBuyerOutputs[#Headers]))&lt;=0,0,($O$6+IF(ROW()=ROW(tblBuyerOutputs[#Headers])+1,0,INDEX(tblBuyerOutputs[Cumul Appr],ROW()-ROW(tblBuyerOutputs[#Headers])-1)))*$O$2/12)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IF(OR(A559="",A559&gt;=subjectMortgageEndDate),"",EDATE(A559,1))</f>
        <v/>
      </c>
      <c r="B560" s="276">
        <f t="shared" si="93"/>
        <v>0</v>
      </c>
      <c r="C560" s="14">
        <f>IF(A560="",0,IF(B560&lt;=0,0,IF(A560=subjectMortgageEndDate,B560+E560,MIN(subjectPayment,B560+E560))))</f>
        <v>0</v>
      </c>
      <c r="D560" s="14">
        <f t="shared" si="94"/>
        <v>0</v>
      </c>
      <c r="E560" s="14">
        <f>IF(OR(A560="",B560&lt;=0),0,ROUND(B560*(subjectInterestRate/12),2))</f>
        <v>0</v>
      </c>
      <c r="K560" s="276">
        <f t="shared" si="95"/>
        <v>0</v>
      </c>
      <c r="L560" s="394">
        <f t="shared" si="92"/>
        <v>0</v>
      </c>
      <c r="M560" s="394">
        <f t="shared" si="96"/>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IF(OR(A560="",A560&gt;=subjectMortgageEndDate),"",EDATE(A560,1))</f>
        <v/>
      </c>
      <c r="B561" s="276">
        <f t="shared" si="93"/>
        <v>0</v>
      </c>
      <c r="C561" s="14">
        <f>IF(A561="",0,IF(B561&lt;=0,0,IF(A561=subjectMortgageEndDate,B561+E561,MIN(subjectPayment,B561+E561))))</f>
        <v>0</v>
      </c>
      <c r="D561" s="14">
        <f t="shared" si="94"/>
        <v>0</v>
      </c>
      <c r="E561" s="14">
        <f>IF(OR(A561="",B561&lt;=0),0,ROUND(B561*(subjectInterestRate/12),2))</f>
        <v>0</v>
      </c>
      <c r="K561" s="276">
        <f t="shared" si="95"/>
        <v>0</v>
      </c>
      <c r="L561" s="394">
        <f t="shared" si="92"/>
        <v>0</v>
      </c>
      <c r="M561" s="394">
        <f t="shared" si="96"/>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IF(OR(A561="",A561&gt;=subjectMortgageEndDate),"",EDATE(A561,1))</f>
        <v/>
      </c>
      <c r="B562" s="276">
        <f t="shared" si="93"/>
        <v>0</v>
      </c>
      <c r="C562" s="14">
        <f>IF(A562="",0,IF(B562&lt;=0,0,IF(A562=subjectMortgageEndDate,B562+E562,MIN(subjectPayment,B562+E562))))</f>
        <v>0</v>
      </c>
      <c r="D562" s="14">
        <f t="shared" si="94"/>
        <v>0</v>
      </c>
      <c r="E562" s="14">
        <f>IF(OR(A562="",B562&lt;=0),0,ROUND(B562*(subjectInterestRate/12),2))</f>
        <v>0</v>
      </c>
      <c r="K562" s="276">
        <f t="shared" si="95"/>
        <v>0</v>
      </c>
      <c r="L562" s="394">
        <f t="shared" si="92"/>
        <v>0</v>
      </c>
      <c r="M562" s="394">
        <f t="shared" si="96"/>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IF(OR(A562="",A562&gt;=subjectMortgageEndDate),"",EDATE(A562,1))</f>
        <v/>
      </c>
      <c r="B563" s="276">
        <f t="shared" si="93"/>
        <v>0</v>
      </c>
      <c r="C563" s="14">
        <f>IF(A563="",0,IF(B563&lt;=0,0,IF(A563=subjectMortgageEndDate,B563+E563,MIN(subjectPayment,B563+E563))))</f>
        <v>0</v>
      </c>
      <c r="D563" s="14">
        <f t="shared" si="94"/>
        <v>0</v>
      </c>
      <c r="E563" s="14">
        <f>IF(OR(A563="",B563&lt;=0),0,ROUND(B563*(subjectInterestRate/12),2))</f>
        <v>0</v>
      </c>
      <c r="K563" s="276">
        <f t="shared" si="95"/>
        <v>0</v>
      </c>
      <c r="L563" s="394">
        <f t="shared" si="92"/>
        <v>0</v>
      </c>
      <c r="M563" s="394">
        <f t="shared" si="96"/>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IF(OR(A563="",A563&gt;=subjectMortgageEndDate),"",EDATE(A563,1))</f>
        <v/>
      </c>
      <c r="B564" s="276">
        <f t="shared" si="93"/>
        <v>0</v>
      </c>
      <c r="C564" s="14">
        <f>IF(A564="",0,IF(B564&lt;=0,0,IF(A564=subjectMortgageEndDate,B564+E564,MIN(subjectPayment,B564+E564))))</f>
        <v>0</v>
      </c>
      <c r="D564" s="14">
        <f t="shared" si="94"/>
        <v>0</v>
      </c>
      <c r="E564" s="14">
        <f>IF(OR(A564="",B564&lt;=0),0,ROUND(B564*(subjectInterestRate/12),2))</f>
        <v>0</v>
      </c>
      <c r="K564" s="276">
        <f t="shared" si="95"/>
        <v>0</v>
      </c>
      <c r="L564" s="394">
        <f t="shared" ref="L564:L627" si="97">IF(MOD(M564,12)=0,M564/12,L563)</f>
        <v>0</v>
      </c>
      <c r="M564" s="394">
        <f t="shared" si="96"/>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IF(OR(A564="",A564&gt;=subjectMortgageEndDate),"",EDATE(A564,1))</f>
        <v/>
      </c>
      <c r="B565" s="276">
        <f t="shared" si="93"/>
        <v>0</v>
      </c>
      <c r="C565" s="14">
        <f>IF(A565="",0,IF(B565&lt;=0,0,IF(A565=subjectMortgageEndDate,B565+E565,MIN(subjectPayment,B565+E565))))</f>
        <v>0</v>
      </c>
      <c r="D565" s="14">
        <f t="shared" si="94"/>
        <v>0</v>
      </c>
      <c r="E565" s="14">
        <f>IF(OR(A565="",B565&lt;=0),0,ROUND(B565*(subjectInterestRate/12),2))</f>
        <v>0</v>
      </c>
      <c r="K565" s="276">
        <f t="shared" si="95"/>
        <v>0</v>
      </c>
      <c r="L565" s="394">
        <f t="shared" si="97"/>
        <v>0</v>
      </c>
      <c r="M565" s="394">
        <f t="shared" si="96"/>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IF(OR(A565="",A565&gt;=subjectMortgageEndDate),"",EDATE(A565,1))</f>
        <v/>
      </c>
      <c r="B566" s="276">
        <f t="shared" si="93"/>
        <v>0</v>
      </c>
      <c r="C566" s="14">
        <f>IF(A566="",0,IF(B566&lt;=0,0,IF(A566=subjectMortgageEndDate,B566+E566,MIN(subjectPayment,B566+E566))))</f>
        <v>0</v>
      </c>
      <c r="D566" s="14">
        <f t="shared" si="94"/>
        <v>0</v>
      </c>
      <c r="E566" s="14">
        <f>IF(OR(A566="",B566&lt;=0),0,ROUND(B566*(subjectInterestRate/12),2))</f>
        <v>0</v>
      </c>
      <c r="K566" s="276">
        <f t="shared" si="95"/>
        <v>0</v>
      </c>
      <c r="L566" s="394">
        <f t="shared" si="97"/>
        <v>0</v>
      </c>
      <c r="M566" s="394">
        <f t="shared" si="96"/>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IF(OR(A566="",A566&gt;=subjectMortgageEndDate),"",EDATE(A566,1))</f>
        <v/>
      </c>
      <c r="B567" s="276">
        <f t="shared" si="93"/>
        <v>0</v>
      </c>
      <c r="C567" s="14">
        <f>IF(A567="",0,IF(B567&lt;=0,0,IF(A567=subjectMortgageEndDate,B567+E567,MIN(subjectPayment,B567+E567))))</f>
        <v>0</v>
      </c>
      <c r="D567" s="14">
        <f t="shared" si="94"/>
        <v>0</v>
      </c>
      <c r="E567" s="14">
        <f>IF(OR(A567="",B567&lt;=0),0,ROUND(B567*(subjectInterestRate/12),2))</f>
        <v>0</v>
      </c>
      <c r="K567" s="276">
        <f t="shared" si="95"/>
        <v>0</v>
      </c>
      <c r="L567" s="394">
        <f t="shared" si="97"/>
        <v>0</v>
      </c>
      <c r="M567" s="394">
        <f t="shared" si="96"/>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IF(OR(A567="",A567&gt;=subjectMortgageEndDate),"",EDATE(A567,1))</f>
        <v/>
      </c>
      <c r="B568" s="276">
        <f t="shared" si="93"/>
        <v>0</v>
      </c>
      <c r="C568" s="14">
        <f>IF(A568="",0,IF(B568&lt;=0,0,IF(A568=subjectMortgageEndDate,B568+E568,MIN(subjectPayment,B568+E568))))</f>
        <v>0</v>
      </c>
      <c r="D568" s="14">
        <f t="shared" si="94"/>
        <v>0</v>
      </c>
      <c r="E568" s="14">
        <f>IF(OR(A568="",B568&lt;=0),0,ROUND(B568*(subjectInterestRate/12),2))</f>
        <v>0</v>
      </c>
      <c r="K568" s="276">
        <f t="shared" si="95"/>
        <v>0</v>
      </c>
      <c r="L568" s="394">
        <f t="shared" si="97"/>
        <v>0</v>
      </c>
      <c r="M568" s="394">
        <f t="shared" si="96"/>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IF(OR(A568="",A568&gt;=subjectMortgageEndDate),"",EDATE(A568,1))</f>
        <v/>
      </c>
      <c r="B569" s="276">
        <f t="shared" si="93"/>
        <v>0</v>
      </c>
      <c r="C569" s="14">
        <f>IF(A569="",0,IF(B569&lt;=0,0,IF(A569=subjectMortgageEndDate,B569+E569,MIN(subjectPayment,B569+E569))))</f>
        <v>0</v>
      </c>
      <c r="D569" s="14">
        <f t="shared" si="94"/>
        <v>0</v>
      </c>
      <c r="E569" s="14">
        <f>IF(OR(A569="",B569&lt;=0),0,ROUND(B569*(subjectInterestRate/12),2))</f>
        <v>0</v>
      </c>
      <c r="K569" s="276">
        <f t="shared" si="95"/>
        <v>0</v>
      </c>
      <c r="L569" s="394">
        <f t="shared" si="97"/>
        <v>0</v>
      </c>
      <c r="M569" s="394">
        <f t="shared" si="96"/>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IF(OR(A569="",A569&gt;=subjectMortgageEndDate),"",EDATE(A569,1))</f>
        <v/>
      </c>
      <c r="B570" s="276">
        <f t="shared" si="93"/>
        <v>0</v>
      </c>
      <c r="C570" s="14">
        <f>IF(A570="",0,IF(B570&lt;=0,0,IF(A570=subjectMortgageEndDate,B570+E570,MIN(subjectPayment,B570+E570))))</f>
        <v>0</v>
      </c>
      <c r="D570" s="14">
        <f t="shared" si="94"/>
        <v>0</v>
      </c>
      <c r="E570" s="14">
        <f>IF(OR(A570="",B570&lt;=0),0,ROUND(B570*(subjectInterestRate/12),2))</f>
        <v>0</v>
      </c>
      <c r="K570" s="276">
        <f t="shared" si="95"/>
        <v>0</v>
      </c>
      <c r="L570" s="394">
        <f t="shared" si="97"/>
        <v>0</v>
      </c>
      <c r="M570" s="394">
        <f t="shared" si="96"/>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IF(OR(A570="",A570&gt;=subjectMortgageEndDate),"",EDATE(A570,1))</f>
        <v/>
      </c>
      <c r="B571" s="332">
        <f t="shared" si="93"/>
        <v>0</v>
      </c>
      <c r="C571" s="21">
        <f>IF(A571="",0,IF(B571&lt;=0,0,IF(A571=subjectMortgageEndDate,B571+E571,MIN(subjectPayment,B571+E571))))</f>
        <v>0</v>
      </c>
      <c r="D571" s="21">
        <f t="shared" si="94"/>
        <v>0</v>
      </c>
      <c r="E571" s="21">
        <f>IF(OR(A571="",B571&lt;=0),0,ROUND(B571*(subjectInterestRate/12),2))</f>
        <v>0</v>
      </c>
      <c r="F571" s="21"/>
      <c r="G571" s="21"/>
      <c r="H571" s="21"/>
      <c r="I571" s="332"/>
      <c r="J571" s="332"/>
      <c r="K571" s="332">
        <f t="shared" si="95"/>
        <v>0</v>
      </c>
      <c r="L571" s="395">
        <f t="shared" si="97"/>
        <v>0</v>
      </c>
      <c r="M571" s="395">
        <f t="shared" si="96"/>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32">
        <f>IF(INDEX(tblContractForDeed[End Bal],ROW()-ROW(tblBuyerOutputs[#Headers]))&lt;=0,0,($O$6+IF(ROW()=ROW(tblBuyerOutputs[#Headers])+1,0,INDEX(tblBuyerOutputs[Cumul Appr],ROW()-ROW(tblBuyerOutputs[#Headers])-1)))*$O$2/12)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IF(OR(A571="",A571&gt;=subjectMortgageEndDate),"",EDATE(A571,1))</f>
        <v/>
      </c>
      <c r="B572" s="276">
        <f t="shared" si="93"/>
        <v>0</v>
      </c>
      <c r="C572" s="14">
        <f>IF(A572="",0,IF(B572&lt;=0,0,IF(A572=subjectMortgageEndDate,B572+E572,MIN(subjectPayment,B572+E572))))</f>
        <v>0</v>
      </c>
      <c r="D572" s="14">
        <f t="shared" si="94"/>
        <v>0</v>
      </c>
      <c r="E572" s="14">
        <f>IF(OR(A572="",B572&lt;=0),0,ROUND(B572*(subjectInterestRate/12),2))</f>
        <v>0</v>
      </c>
      <c r="K572" s="276">
        <f t="shared" si="95"/>
        <v>0</v>
      </c>
      <c r="L572" s="394">
        <f t="shared" si="97"/>
        <v>0</v>
      </c>
      <c r="M572" s="394">
        <f t="shared" si="96"/>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IF(OR(A572="",A572&gt;=subjectMortgageEndDate),"",EDATE(A572,1))</f>
        <v/>
      </c>
      <c r="B573" s="276">
        <f t="shared" si="93"/>
        <v>0</v>
      </c>
      <c r="C573" s="14">
        <f>IF(A573="",0,IF(B573&lt;=0,0,IF(A573=subjectMortgageEndDate,B573+E573,MIN(subjectPayment,B573+E573))))</f>
        <v>0</v>
      </c>
      <c r="D573" s="14">
        <f t="shared" si="94"/>
        <v>0</v>
      </c>
      <c r="E573" s="14">
        <f>IF(OR(A573="",B573&lt;=0),0,ROUND(B573*(subjectInterestRate/12),2))</f>
        <v>0</v>
      </c>
      <c r="K573" s="276">
        <f t="shared" si="95"/>
        <v>0</v>
      </c>
      <c r="L573" s="394">
        <f t="shared" si="97"/>
        <v>0</v>
      </c>
      <c r="M573" s="394">
        <f t="shared" si="96"/>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IF(OR(A573="",A573&gt;=subjectMortgageEndDate),"",EDATE(A573,1))</f>
        <v/>
      </c>
      <c r="B574" s="276">
        <f t="shared" si="93"/>
        <v>0</v>
      </c>
      <c r="C574" s="14">
        <f>IF(A574="",0,IF(B574&lt;=0,0,IF(A574=subjectMortgageEndDate,B574+E574,MIN(subjectPayment,B574+E574))))</f>
        <v>0</v>
      </c>
      <c r="D574" s="14">
        <f t="shared" si="94"/>
        <v>0</v>
      </c>
      <c r="E574" s="14">
        <f>IF(OR(A574="",B574&lt;=0),0,ROUND(B574*(subjectInterestRate/12),2))</f>
        <v>0</v>
      </c>
      <c r="K574" s="276">
        <f t="shared" si="95"/>
        <v>0</v>
      </c>
      <c r="L574" s="394">
        <f t="shared" si="97"/>
        <v>0</v>
      </c>
      <c r="M574" s="394">
        <f t="shared" si="96"/>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IF(OR(A574="",A574&gt;=subjectMortgageEndDate),"",EDATE(A574,1))</f>
        <v/>
      </c>
      <c r="B575" s="276">
        <f t="shared" si="93"/>
        <v>0</v>
      </c>
      <c r="C575" s="14">
        <f>IF(A575="",0,IF(B575&lt;=0,0,IF(A575=subjectMortgageEndDate,B575+E575,MIN(subjectPayment,B575+E575))))</f>
        <v>0</v>
      </c>
      <c r="D575" s="14">
        <f t="shared" si="94"/>
        <v>0</v>
      </c>
      <c r="E575" s="14">
        <f>IF(OR(A575="",B575&lt;=0),0,ROUND(B575*(subjectInterestRate/12),2))</f>
        <v>0</v>
      </c>
      <c r="K575" s="276">
        <f t="shared" si="95"/>
        <v>0</v>
      </c>
      <c r="L575" s="394">
        <f t="shared" si="97"/>
        <v>0</v>
      </c>
      <c r="M575" s="394">
        <f t="shared" si="96"/>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IF(OR(A575="",A575&gt;=subjectMortgageEndDate),"",EDATE(A575,1))</f>
        <v/>
      </c>
      <c r="B576" s="276">
        <f t="shared" si="93"/>
        <v>0</v>
      </c>
      <c r="C576" s="14">
        <f>IF(A576="",0,IF(B576&lt;=0,0,IF(A576=subjectMortgageEndDate,B576+E576,MIN(subjectPayment,B576+E576))))</f>
        <v>0</v>
      </c>
      <c r="D576" s="14">
        <f t="shared" si="94"/>
        <v>0</v>
      </c>
      <c r="E576" s="14">
        <f>IF(OR(A576="",B576&lt;=0),0,ROUND(B576*(subjectInterestRate/12),2))</f>
        <v>0</v>
      </c>
      <c r="K576" s="276">
        <f t="shared" si="95"/>
        <v>0</v>
      </c>
      <c r="L576" s="394">
        <f t="shared" si="97"/>
        <v>0</v>
      </c>
      <c r="M576" s="394">
        <f t="shared" si="96"/>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IF(OR(A576="",A576&gt;=subjectMortgageEndDate),"",EDATE(A576,1))</f>
        <v/>
      </c>
      <c r="B577" s="276">
        <f t="shared" si="93"/>
        <v>0</v>
      </c>
      <c r="C577" s="14">
        <f>IF(A577="",0,IF(B577&lt;=0,0,IF(A577=subjectMortgageEndDate,B577+E577,MIN(subjectPayment,B577+E577))))</f>
        <v>0</v>
      </c>
      <c r="D577" s="14">
        <f t="shared" si="94"/>
        <v>0</v>
      </c>
      <c r="E577" s="14">
        <f>IF(OR(A577="",B577&lt;=0),0,ROUND(B577*(subjectInterestRate/12),2))</f>
        <v>0</v>
      </c>
      <c r="K577" s="276">
        <f t="shared" si="95"/>
        <v>0</v>
      </c>
      <c r="L577" s="394">
        <f t="shared" si="97"/>
        <v>0</v>
      </c>
      <c r="M577" s="394">
        <f t="shared" si="96"/>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IF(OR(A577="",A577&gt;=subjectMortgageEndDate),"",EDATE(A577,1))</f>
        <v/>
      </c>
      <c r="B578" s="276">
        <f t="shared" si="93"/>
        <v>0</v>
      </c>
      <c r="C578" s="14">
        <f>IF(A578="",0,IF(B578&lt;=0,0,IF(A578=subjectMortgageEndDate,B578+E578,MIN(subjectPayment,B578+E578))))</f>
        <v>0</v>
      </c>
      <c r="D578" s="14">
        <f t="shared" si="94"/>
        <v>0</v>
      </c>
      <c r="E578" s="14">
        <f>IF(OR(A578="",B578&lt;=0),0,ROUND(B578*(subjectInterestRate/12),2))</f>
        <v>0</v>
      </c>
      <c r="K578" s="276">
        <f t="shared" si="95"/>
        <v>0</v>
      </c>
      <c r="L578" s="394">
        <f t="shared" si="97"/>
        <v>0</v>
      </c>
      <c r="M578" s="394">
        <f t="shared" si="96"/>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IF(OR(A578="",A578&gt;=subjectMortgageEndDate),"",EDATE(A578,1))</f>
        <v/>
      </c>
      <c r="B579" s="276">
        <f t="shared" si="93"/>
        <v>0</v>
      </c>
      <c r="C579" s="14">
        <f>IF(A579="",0,IF(B579&lt;=0,0,IF(A579=subjectMortgageEndDate,B579+E579,MIN(subjectPayment,B579+E579))))</f>
        <v>0</v>
      </c>
      <c r="D579" s="14">
        <f t="shared" si="94"/>
        <v>0</v>
      </c>
      <c r="E579" s="14">
        <f>IF(OR(A579="",B579&lt;=0),0,ROUND(B579*(subjectInterestRate/12),2))</f>
        <v>0</v>
      </c>
      <c r="K579" s="276">
        <f t="shared" si="95"/>
        <v>0</v>
      </c>
      <c r="L579" s="394">
        <f t="shared" si="97"/>
        <v>0</v>
      </c>
      <c r="M579" s="394">
        <f t="shared" si="96"/>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IF(OR(A579="",A579&gt;=subjectMortgageEndDate),"",EDATE(A579,1))</f>
        <v/>
      </c>
      <c r="B580" s="276">
        <f t="shared" si="93"/>
        <v>0</v>
      </c>
      <c r="C580" s="14">
        <f>IF(A580="",0,IF(B580&lt;=0,0,IF(A580=subjectMortgageEndDate,B580+E580,MIN(subjectPayment,B580+E580))))</f>
        <v>0</v>
      </c>
      <c r="D580" s="14">
        <f t="shared" si="94"/>
        <v>0</v>
      </c>
      <c r="E580" s="14">
        <f>IF(OR(A580="",B580&lt;=0),0,ROUND(B580*(subjectInterestRate/12),2))</f>
        <v>0</v>
      </c>
      <c r="K580" s="276">
        <f t="shared" si="95"/>
        <v>0</v>
      </c>
      <c r="L580" s="394">
        <f t="shared" si="97"/>
        <v>0</v>
      </c>
      <c r="M580" s="394">
        <f t="shared" si="96"/>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IF(OR(A580="",A580&gt;=subjectMortgageEndDate),"",EDATE(A580,1))</f>
        <v/>
      </c>
      <c r="B581" s="276">
        <f t="shared" si="93"/>
        <v>0</v>
      </c>
      <c r="C581" s="14">
        <f>IF(A581="",0,IF(B581&lt;=0,0,IF(A581=subjectMortgageEndDate,B581+E581,MIN(subjectPayment,B581+E581))))</f>
        <v>0</v>
      </c>
      <c r="D581" s="14">
        <f t="shared" si="94"/>
        <v>0</v>
      </c>
      <c r="E581" s="14">
        <f>IF(OR(A581="",B581&lt;=0),0,ROUND(B581*(subjectInterestRate/12),2))</f>
        <v>0</v>
      </c>
      <c r="K581" s="276">
        <f t="shared" si="95"/>
        <v>0</v>
      </c>
      <c r="L581" s="394">
        <f t="shared" si="97"/>
        <v>0</v>
      </c>
      <c r="M581" s="394">
        <f t="shared" si="96"/>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IF(OR(A581="",A581&gt;=subjectMortgageEndDate),"",EDATE(A581,1))</f>
        <v/>
      </c>
      <c r="B582" s="276">
        <f t="shared" si="93"/>
        <v>0</v>
      </c>
      <c r="C582" s="14">
        <f>IF(A582="",0,IF(B582&lt;=0,0,IF(A582=subjectMortgageEndDate,B582+E582,MIN(subjectPayment,B582+E582))))</f>
        <v>0</v>
      </c>
      <c r="D582" s="14">
        <f t="shared" si="94"/>
        <v>0</v>
      </c>
      <c r="E582" s="14">
        <f>IF(OR(A582="",B582&lt;=0),0,ROUND(B582*(subjectInterestRate/12),2))</f>
        <v>0</v>
      </c>
      <c r="K582" s="276">
        <f t="shared" si="95"/>
        <v>0</v>
      </c>
      <c r="L582" s="394">
        <f t="shared" si="97"/>
        <v>0</v>
      </c>
      <c r="M582" s="394">
        <f t="shared" si="96"/>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IF(OR(A582="",A582&gt;=subjectMortgageEndDate),"",EDATE(A582,1))</f>
        <v/>
      </c>
      <c r="B583" s="332">
        <f t="shared" si="93"/>
        <v>0</v>
      </c>
      <c r="C583" s="21">
        <f>IF(A583="",0,IF(B583&lt;=0,0,IF(A583=subjectMortgageEndDate,B583+E583,MIN(subjectPayment,B583+E583))))</f>
        <v>0</v>
      </c>
      <c r="D583" s="21">
        <f t="shared" si="94"/>
        <v>0</v>
      </c>
      <c r="E583" s="21">
        <f>IF(OR(A583="",B583&lt;=0),0,ROUND(B583*(subjectInterestRate/12),2))</f>
        <v>0</v>
      </c>
      <c r="F583" s="21"/>
      <c r="G583" s="21"/>
      <c r="H583" s="21"/>
      <c r="I583" s="332"/>
      <c r="J583" s="332"/>
      <c r="K583" s="332">
        <f t="shared" si="95"/>
        <v>0</v>
      </c>
      <c r="L583" s="395">
        <f t="shared" si="97"/>
        <v>0</v>
      </c>
      <c r="M583" s="395">
        <f t="shared" si="96"/>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32">
        <f>IF(INDEX(tblContractForDeed[End Bal],ROW()-ROW(tblBuyerOutputs[#Headers]))&lt;=0,0,($O$6+IF(ROW()=ROW(tblBuyerOutputs[#Headers])+1,0,INDEX(tblBuyerOutputs[Cumul Appr],ROW()-ROW(tblBuyerOutputs[#Headers])-1)))*$O$2/12)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IF(OR(A583="",A583&gt;=subjectMortgageEndDate),"",EDATE(A583,1))</f>
        <v/>
      </c>
      <c r="B584" s="276">
        <f t="shared" si="93"/>
        <v>0</v>
      </c>
      <c r="C584" s="14">
        <f>IF(A584="",0,IF(B584&lt;=0,0,IF(A584=subjectMortgageEndDate,B584+E584,MIN(subjectPayment,B584+E584))))</f>
        <v>0</v>
      </c>
      <c r="D584" s="14">
        <f t="shared" si="94"/>
        <v>0</v>
      </c>
      <c r="E584" s="14">
        <f>IF(OR(A584="",B584&lt;=0),0,ROUND(B584*(subjectInterestRate/12),2))</f>
        <v>0</v>
      </c>
      <c r="K584" s="276">
        <f t="shared" si="95"/>
        <v>0</v>
      </c>
      <c r="L584" s="394">
        <f t="shared" si="97"/>
        <v>0</v>
      </c>
      <c r="M584" s="394">
        <f t="shared" si="96"/>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IF(OR(A584="",A584&gt;=subjectMortgageEndDate),"",EDATE(A584,1))</f>
        <v/>
      </c>
      <c r="B585" s="276">
        <f t="shared" si="93"/>
        <v>0</v>
      </c>
      <c r="C585" s="14">
        <f>IF(A585="",0,IF(B585&lt;=0,0,IF(A585=subjectMortgageEndDate,B585+E585,MIN(subjectPayment,B585+E585))))</f>
        <v>0</v>
      </c>
      <c r="D585" s="14">
        <f t="shared" si="94"/>
        <v>0</v>
      </c>
      <c r="E585" s="14">
        <f>IF(OR(A585="",B585&lt;=0),0,ROUND(B585*(subjectInterestRate/12),2))</f>
        <v>0</v>
      </c>
      <c r="K585" s="276">
        <f t="shared" si="95"/>
        <v>0</v>
      </c>
      <c r="L585" s="394">
        <f t="shared" si="97"/>
        <v>0</v>
      </c>
      <c r="M585" s="394">
        <f t="shared" si="96"/>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IF(OR(A585="",A585&gt;=subjectMortgageEndDate),"",EDATE(A585,1))</f>
        <v/>
      </c>
      <c r="B586" s="276">
        <f t="shared" si="93"/>
        <v>0</v>
      </c>
      <c r="C586" s="14">
        <f>IF(A586="",0,IF(B586&lt;=0,0,IF(A586=subjectMortgageEndDate,B586+E586,MIN(subjectPayment,B586+E586))))</f>
        <v>0</v>
      </c>
      <c r="D586" s="14">
        <f t="shared" si="94"/>
        <v>0</v>
      </c>
      <c r="E586" s="14">
        <f>IF(OR(A586="",B586&lt;=0),0,ROUND(B586*(subjectInterestRate/12),2))</f>
        <v>0</v>
      </c>
      <c r="K586" s="276">
        <f t="shared" si="95"/>
        <v>0</v>
      </c>
      <c r="L586" s="394">
        <f t="shared" si="97"/>
        <v>0</v>
      </c>
      <c r="M586" s="394">
        <f t="shared" si="96"/>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IF(OR(A586="",A586&gt;=subjectMortgageEndDate),"",EDATE(A586,1))</f>
        <v/>
      </c>
      <c r="B587" s="276">
        <f t="shared" si="93"/>
        <v>0</v>
      </c>
      <c r="C587" s="14">
        <f>IF(A587="",0,IF(B587&lt;=0,0,IF(A587=subjectMortgageEndDate,B587+E587,MIN(subjectPayment,B587+E587))))</f>
        <v>0</v>
      </c>
      <c r="D587" s="14">
        <f t="shared" si="94"/>
        <v>0</v>
      </c>
      <c r="E587" s="14">
        <f>IF(OR(A587="",B587&lt;=0),0,ROUND(B587*(subjectInterestRate/12),2))</f>
        <v>0</v>
      </c>
      <c r="K587" s="276">
        <f t="shared" si="95"/>
        <v>0</v>
      </c>
      <c r="L587" s="394">
        <f t="shared" si="97"/>
        <v>0</v>
      </c>
      <c r="M587" s="394">
        <f t="shared" si="96"/>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IF(OR(A587="",A587&gt;=subjectMortgageEndDate),"",EDATE(A587,1))</f>
        <v/>
      </c>
      <c r="B588" s="276">
        <f t="shared" si="93"/>
        <v>0</v>
      </c>
      <c r="C588" s="14">
        <f>IF(A588="",0,IF(B588&lt;=0,0,IF(A588=subjectMortgageEndDate,B588+E588,MIN(subjectPayment,B588+E588))))</f>
        <v>0</v>
      </c>
      <c r="D588" s="14">
        <f t="shared" si="94"/>
        <v>0</v>
      </c>
      <c r="E588" s="14">
        <f>IF(OR(A588="",B588&lt;=0),0,ROUND(B588*(subjectInterestRate/12),2))</f>
        <v>0</v>
      </c>
      <c r="K588" s="276">
        <f t="shared" si="95"/>
        <v>0</v>
      </c>
      <c r="L588" s="394">
        <f t="shared" si="97"/>
        <v>0</v>
      </c>
      <c r="M588" s="394">
        <f t="shared" si="96"/>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IF(OR(A588="",A588&gt;=subjectMortgageEndDate),"",EDATE(A588,1))</f>
        <v/>
      </c>
      <c r="B589" s="276">
        <f t="shared" si="93"/>
        <v>0</v>
      </c>
      <c r="C589" s="14">
        <f>IF(A589="",0,IF(B589&lt;=0,0,IF(A589=subjectMortgageEndDate,B589+E589,MIN(subjectPayment,B589+E589))))</f>
        <v>0</v>
      </c>
      <c r="D589" s="14">
        <f t="shared" si="94"/>
        <v>0</v>
      </c>
      <c r="E589" s="14">
        <f>IF(OR(A589="",B589&lt;=0),0,ROUND(B589*(subjectInterestRate/12),2))</f>
        <v>0</v>
      </c>
      <c r="K589" s="276">
        <f t="shared" si="95"/>
        <v>0</v>
      </c>
      <c r="L589" s="394">
        <f t="shared" si="97"/>
        <v>0</v>
      </c>
      <c r="M589" s="394">
        <f t="shared" si="96"/>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IF(OR(A589="",A589&gt;=subjectMortgageEndDate),"",EDATE(A589,1))</f>
        <v/>
      </c>
      <c r="B590" s="276">
        <f t="shared" si="93"/>
        <v>0</v>
      </c>
      <c r="C590" s="14">
        <f>IF(A590="",0,IF(B590&lt;=0,0,IF(A590=subjectMortgageEndDate,B590+E590,MIN(subjectPayment,B590+E590))))</f>
        <v>0</v>
      </c>
      <c r="D590" s="14">
        <f t="shared" si="94"/>
        <v>0</v>
      </c>
      <c r="E590" s="14">
        <f>IF(OR(A590="",B590&lt;=0),0,ROUND(B590*(subjectInterestRate/12),2))</f>
        <v>0</v>
      </c>
      <c r="K590" s="276">
        <f t="shared" si="95"/>
        <v>0</v>
      </c>
      <c r="L590" s="394">
        <f t="shared" si="97"/>
        <v>0</v>
      </c>
      <c r="M590" s="394">
        <f t="shared" si="96"/>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IF(OR(A590="",A590&gt;=subjectMortgageEndDate),"",EDATE(A590,1))</f>
        <v/>
      </c>
      <c r="B591" s="276">
        <f t="shared" si="93"/>
        <v>0</v>
      </c>
      <c r="C591" s="14">
        <f>IF(A591="",0,IF(B591&lt;=0,0,IF(A591=subjectMortgageEndDate,B591+E591,MIN(subjectPayment,B591+E591))))</f>
        <v>0</v>
      </c>
      <c r="D591" s="14">
        <f t="shared" si="94"/>
        <v>0</v>
      </c>
      <c r="E591" s="14">
        <f>IF(OR(A591="",B591&lt;=0),0,ROUND(B591*(subjectInterestRate/12),2))</f>
        <v>0</v>
      </c>
      <c r="K591" s="276">
        <f t="shared" si="95"/>
        <v>0</v>
      </c>
      <c r="L591" s="394">
        <f t="shared" si="97"/>
        <v>0</v>
      </c>
      <c r="M591" s="394">
        <f t="shared" si="96"/>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IF(OR(A591="",A591&gt;=subjectMortgageEndDate),"",EDATE(A591,1))</f>
        <v/>
      </c>
      <c r="B592" s="276">
        <f t="shared" si="93"/>
        <v>0</v>
      </c>
      <c r="C592" s="14">
        <f>IF(A592="",0,IF(B592&lt;=0,0,IF(A592=subjectMortgageEndDate,B592+E592,MIN(subjectPayment,B592+E592))))</f>
        <v>0</v>
      </c>
      <c r="D592" s="14">
        <f t="shared" si="94"/>
        <v>0</v>
      </c>
      <c r="E592" s="14">
        <f>IF(OR(A592="",B592&lt;=0),0,ROUND(B592*(subjectInterestRate/12),2))</f>
        <v>0</v>
      </c>
      <c r="K592" s="276">
        <f t="shared" si="95"/>
        <v>0</v>
      </c>
      <c r="L592" s="394">
        <f t="shared" si="97"/>
        <v>0</v>
      </c>
      <c r="M592" s="394">
        <f t="shared" si="96"/>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IF(OR(A592="",A592&gt;=subjectMortgageEndDate),"",EDATE(A592,1))</f>
        <v/>
      </c>
      <c r="B593" s="276">
        <f t="shared" si="93"/>
        <v>0</v>
      </c>
      <c r="C593" s="14">
        <f>IF(A593="",0,IF(B593&lt;=0,0,IF(A593=subjectMortgageEndDate,B593+E593,MIN(subjectPayment,B593+E593))))</f>
        <v>0</v>
      </c>
      <c r="D593" s="14">
        <f t="shared" si="94"/>
        <v>0</v>
      </c>
      <c r="E593" s="14">
        <f>IF(OR(A593="",B593&lt;=0),0,ROUND(B593*(subjectInterestRate/12),2))</f>
        <v>0</v>
      </c>
      <c r="K593" s="276">
        <f t="shared" si="95"/>
        <v>0</v>
      </c>
      <c r="L593" s="394">
        <f t="shared" si="97"/>
        <v>0</v>
      </c>
      <c r="M593" s="394">
        <f t="shared" si="96"/>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IF(OR(A593="",A593&gt;=subjectMortgageEndDate),"",EDATE(A593,1))</f>
        <v/>
      </c>
      <c r="B594" s="276">
        <f t="shared" si="93"/>
        <v>0</v>
      </c>
      <c r="C594" s="14">
        <f>IF(A594="",0,IF(B594&lt;=0,0,IF(A594=subjectMortgageEndDate,B594+E594,MIN(subjectPayment,B594+E594))))</f>
        <v>0</v>
      </c>
      <c r="D594" s="14">
        <f t="shared" si="94"/>
        <v>0</v>
      </c>
      <c r="E594" s="14">
        <f>IF(OR(A594="",B594&lt;=0),0,ROUND(B594*(subjectInterestRate/12),2))</f>
        <v>0</v>
      </c>
      <c r="K594" s="276">
        <f t="shared" si="95"/>
        <v>0</v>
      </c>
      <c r="L594" s="394">
        <f t="shared" si="97"/>
        <v>0</v>
      </c>
      <c r="M594" s="394">
        <f t="shared" si="96"/>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IF(OR(A594="",A594&gt;=subjectMortgageEndDate),"",EDATE(A594,1))</f>
        <v/>
      </c>
      <c r="B595" s="332">
        <f t="shared" si="93"/>
        <v>0</v>
      </c>
      <c r="C595" s="21">
        <f>IF(A595="",0,IF(B595&lt;=0,0,IF(A595=subjectMortgageEndDate,B595+E595,MIN(subjectPayment,B595+E595))))</f>
        <v>0</v>
      </c>
      <c r="D595" s="21">
        <f t="shared" si="94"/>
        <v>0</v>
      </c>
      <c r="E595" s="21">
        <f>IF(OR(A595="",B595&lt;=0),0,ROUND(B595*(subjectInterestRate/12),2))</f>
        <v>0</v>
      </c>
      <c r="F595" s="21"/>
      <c r="G595" s="21"/>
      <c r="H595" s="21"/>
      <c r="I595" s="332"/>
      <c r="J595" s="332"/>
      <c r="K595" s="332">
        <f t="shared" si="95"/>
        <v>0</v>
      </c>
      <c r="L595" s="395">
        <f t="shared" si="97"/>
        <v>0</v>
      </c>
      <c r="M595" s="395">
        <f t="shared" si="96"/>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32">
        <f>IF(INDEX(tblContractForDeed[End Bal],ROW()-ROW(tblBuyerOutputs[#Headers]))&lt;=0,0,($O$6+IF(ROW()=ROW(tblBuyerOutputs[#Headers])+1,0,INDEX(tblBuyerOutputs[Cumul Appr],ROW()-ROW(tblBuyerOutputs[#Headers])-1)))*$O$2/12)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IF(OR(A595="",A595&gt;=subjectMortgageEndDate),"",EDATE(A595,1))</f>
        <v/>
      </c>
      <c r="B596" s="276">
        <f t="shared" si="93"/>
        <v>0</v>
      </c>
      <c r="C596" s="14">
        <f>IF(A596="",0,IF(B596&lt;=0,0,IF(A596=subjectMortgageEndDate,B596+E596,MIN(subjectPayment,B596+E596))))</f>
        <v>0</v>
      </c>
      <c r="D596" s="14">
        <f t="shared" si="94"/>
        <v>0</v>
      </c>
      <c r="E596" s="14">
        <f>IF(OR(A596="",B596&lt;=0),0,ROUND(B596*(subjectInterestRate/12),2))</f>
        <v>0</v>
      </c>
      <c r="K596" s="276">
        <f t="shared" si="95"/>
        <v>0</v>
      </c>
      <c r="L596" s="394">
        <f t="shared" si="97"/>
        <v>0</v>
      </c>
      <c r="M596" s="394">
        <f t="shared" si="96"/>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IF(OR(A596="",A596&gt;=subjectMortgageEndDate),"",EDATE(A596,1))</f>
        <v/>
      </c>
      <c r="B597" s="276">
        <f t="shared" ref="B597:B660" si="98">IF(A597="",0,MAX(0,K596))</f>
        <v>0</v>
      </c>
      <c r="C597" s="14">
        <f>IF(A597="",0,IF(B597&lt;=0,0,IF(A597=subjectMortgageEndDate,B597+E597,MIN(subjectPayment,B597+E597))))</f>
        <v>0</v>
      </c>
      <c r="D597" s="14">
        <f t="shared" ref="D597:D660" si="99">IF(C597=0,0,MAX(0,MIN(B597,C597-E597)))</f>
        <v>0</v>
      </c>
      <c r="E597" s="14">
        <f>IF(OR(A597="",B597&lt;=0),0,ROUND(B597*(subjectInterestRate/12),2))</f>
        <v>0</v>
      </c>
      <c r="K597" s="276">
        <f t="shared" ref="K597:K660" si="100">IF(A597="",0,IF(B597&lt;=0,0,MAX(0,B597-D597)))</f>
        <v>0</v>
      </c>
      <c r="L597" s="394">
        <f t="shared" si="97"/>
        <v>0</v>
      </c>
      <c r="M597" s="394">
        <f t="shared" ref="M597:M660" si="101">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IF(OR(A597="",A597&gt;=subjectMortgageEndDate),"",EDATE(A597,1))</f>
        <v/>
      </c>
      <c r="B598" s="276">
        <f t="shared" si="98"/>
        <v>0</v>
      </c>
      <c r="C598" s="14">
        <f>IF(A598="",0,IF(B598&lt;=0,0,IF(A598=subjectMortgageEndDate,B598+E598,MIN(subjectPayment,B598+E598))))</f>
        <v>0</v>
      </c>
      <c r="D598" s="14">
        <f t="shared" si="99"/>
        <v>0</v>
      </c>
      <c r="E598" s="14">
        <f>IF(OR(A598="",B598&lt;=0),0,ROUND(B598*(subjectInterestRate/12),2))</f>
        <v>0</v>
      </c>
      <c r="K598" s="276">
        <f t="shared" si="100"/>
        <v>0</v>
      </c>
      <c r="L598" s="394">
        <f t="shared" si="97"/>
        <v>0</v>
      </c>
      <c r="M598" s="394">
        <f t="shared" si="101"/>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IF(OR(A598="",A598&gt;=subjectMortgageEndDate),"",EDATE(A598,1))</f>
        <v/>
      </c>
      <c r="B599" s="276">
        <f t="shared" si="98"/>
        <v>0</v>
      </c>
      <c r="C599" s="14">
        <f>IF(A599="",0,IF(B599&lt;=0,0,IF(A599=subjectMortgageEndDate,B599+E599,MIN(subjectPayment,B599+E599))))</f>
        <v>0</v>
      </c>
      <c r="D599" s="14">
        <f t="shared" si="99"/>
        <v>0</v>
      </c>
      <c r="E599" s="14">
        <f>IF(OR(A599="",B599&lt;=0),0,ROUND(B599*(subjectInterestRate/12),2))</f>
        <v>0</v>
      </c>
      <c r="K599" s="276">
        <f t="shared" si="100"/>
        <v>0</v>
      </c>
      <c r="L599" s="394">
        <f t="shared" si="97"/>
        <v>0</v>
      </c>
      <c r="M599" s="394">
        <f t="shared" si="101"/>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IF(OR(A599="",A599&gt;=subjectMortgageEndDate),"",EDATE(A599,1))</f>
        <v/>
      </c>
      <c r="B600" s="276">
        <f t="shared" si="98"/>
        <v>0</v>
      </c>
      <c r="C600" s="14">
        <f>IF(A600="",0,IF(B600&lt;=0,0,IF(A600=subjectMortgageEndDate,B600+E600,MIN(subjectPayment,B600+E600))))</f>
        <v>0</v>
      </c>
      <c r="D600" s="14">
        <f t="shared" si="99"/>
        <v>0</v>
      </c>
      <c r="E600" s="14">
        <f>IF(OR(A600="",B600&lt;=0),0,ROUND(B600*(subjectInterestRate/12),2))</f>
        <v>0</v>
      </c>
      <c r="K600" s="276">
        <f t="shared" si="100"/>
        <v>0</v>
      </c>
      <c r="L600" s="394">
        <f t="shared" si="97"/>
        <v>0</v>
      </c>
      <c r="M600" s="394">
        <f t="shared" si="101"/>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IF(OR(A600="",A600&gt;=subjectMortgageEndDate),"",EDATE(A600,1))</f>
        <v/>
      </c>
      <c r="B601" s="276">
        <f t="shared" si="98"/>
        <v>0</v>
      </c>
      <c r="C601" s="14">
        <f>IF(A601="",0,IF(B601&lt;=0,0,IF(A601=subjectMortgageEndDate,B601+E601,MIN(subjectPayment,B601+E601))))</f>
        <v>0</v>
      </c>
      <c r="D601" s="14">
        <f t="shared" si="99"/>
        <v>0</v>
      </c>
      <c r="E601" s="14">
        <f>IF(OR(A601="",B601&lt;=0),0,ROUND(B601*(subjectInterestRate/12),2))</f>
        <v>0</v>
      </c>
      <c r="K601" s="276">
        <f t="shared" si="100"/>
        <v>0</v>
      </c>
      <c r="L601" s="394">
        <f t="shared" si="97"/>
        <v>0</v>
      </c>
      <c r="M601" s="394">
        <f t="shared" si="101"/>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IF(OR(A601="",A601&gt;=subjectMortgageEndDate),"",EDATE(A601,1))</f>
        <v/>
      </c>
      <c r="B602" s="276">
        <f t="shared" si="98"/>
        <v>0</v>
      </c>
      <c r="C602" s="14">
        <f>IF(A602="",0,IF(B602&lt;=0,0,IF(A602=subjectMortgageEndDate,B602+E602,MIN(subjectPayment,B602+E602))))</f>
        <v>0</v>
      </c>
      <c r="D602" s="14">
        <f t="shared" si="99"/>
        <v>0</v>
      </c>
      <c r="E602" s="14">
        <f>IF(OR(A602="",B602&lt;=0),0,ROUND(B602*(subjectInterestRate/12),2))</f>
        <v>0</v>
      </c>
      <c r="K602" s="276">
        <f t="shared" si="100"/>
        <v>0</v>
      </c>
      <c r="L602" s="394">
        <f t="shared" si="97"/>
        <v>0</v>
      </c>
      <c r="M602" s="394">
        <f t="shared" si="101"/>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IF(OR(A602="",A602&gt;=subjectMortgageEndDate),"",EDATE(A602,1))</f>
        <v/>
      </c>
      <c r="B603" s="276">
        <f t="shared" si="98"/>
        <v>0</v>
      </c>
      <c r="C603" s="14">
        <f>IF(A603="",0,IF(B603&lt;=0,0,IF(A603=subjectMortgageEndDate,B603+E603,MIN(subjectPayment,B603+E603))))</f>
        <v>0</v>
      </c>
      <c r="D603" s="14">
        <f t="shared" si="99"/>
        <v>0</v>
      </c>
      <c r="E603" s="14">
        <f>IF(OR(A603="",B603&lt;=0),0,ROUND(B603*(subjectInterestRate/12),2))</f>
        <v>0</v>
      </c>
      <c r="K603" s="276">
        <f t="shared" si="100"/>
        <v>0</v>
      </c>
      <c r="L603" s="394">
        <f t="shared" si="97"/>
        <v>0</v>
      </c>
      <c r="M603" s="394">
        <f t="shared" si="101"/>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IF(OR(A603="",A603&gt;=subjectMortgageEndDate),"",EDATE(A603,1))</f>
        <v/>
      </c>
      <c r="B604" s="276">
        <f t="shared" si="98"/>
        <v>0</v>
      </c>
      <c r="C604" s="14">
        <f>IF(A604="",0,IF(B604&lt;=0,0,IF(A604=subjectMortgageEndDate,B604+E604,MIN(subjectPayment,B604+E604))))</f>
        <v>0</v>
      </c>
      <c r="D604" s="14">
        <f t="shared" si="99"/>
        <v>0</v>
      </c>
      <c r="E604" s="14">
        <f>IF(OR(A604="",B604&lt;=0),0,ROUND(B604*(subjectInterestRate/12),2))</f>
        <v>0</v>
      </c>
      <c r="K604" s="276">
        <f t="shared" si="100"/>
        <v>0</v>
      </c>
      <c r="L604" s="394">
        <f t="shared" si="97"/>
        <v>0</v>
      </c>
      <c r="M604" s="394">
        <f t="shared" si="101"/>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IF(OR(A604="",A604&gt;=subjectMortgageEndDate),"",EDATE(A604,1))</f>
        <v/>
      </c>
      <c r="B605" s="276">
        <f t="shared" si="98"/>
        <v>0</v>
      </c>
      <c r="C605" s="14">
        <f>IF(A605="",0,IF(B605&lt;=0,0,IF(A605=subjectMortgageEndDate,B605+E605,MIN(subjectPayment,B605+E605))))</f>
        <v>0</v>
      </c>
      <c r="D605" s="14">
        <f t="shared" si="99"/>
        <v>0</v>
      </c>
      <c r="E605" s="14">
        <f>IF(OR(A605="",B605&lt;=0),0,ROUND(B605*(subjectInterestRate/12),2))</f>
        <v>0</v>
      </c>
      <c r="K605" s="276">
        <f t="shared" si="100"/>
        <v>0</v>
      </c>
      <c r="L605" s="394">
        <f t="shared" si="97"/>
        <v>0</v>
      </c>
      <c r="M605" s="394">
        <f t="shared" si="101"/>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IF(OR(A605="",A605&gt;=subjectMortgageEndDate),"",EDATE(A605,1))</f>
        <v/>
      </c>
      <c r="B606" s="276">
        <f t="shared" si="98"/>
        <v>0</v>
      </c>
      <c r="C606" s="14">
        <f>IF(A606="",0,IF(B606&lt;=0,0,IF(A606=subjectMortgageEndDate,B606+E606,MIN(subjectPayment,B606+E606))))</f>
        <v>0</v>
      </c>
      <c r="D606" s="14">
        <f t="shared" si="99"/>
        <v>0</v>
      </c>
      <c r="E606" s="14">
        <f>IF(OR(A606="",B606&lt;=0),0,ROUND(B606*(subjectInterestRate/12),2))</f>
        <v>0</v>
      </c>
      <c r="K606" s="276">
        <f t="shared" si="100"/>
        <v>0</v>
      </c>
      <c r="L606" s="394">
        <f t="shared" si="97"/>
        <v>0</v>
      </c>
      <c r="M606" s="394">
        <f t="shared" si="101"/>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IF(OR(A606="",A606&gt;=subjectMortgageEndDate),"",EDATE(A606,1))</f>
        <v/>
      </c>
      <c r="B607" s="332">
        <f t="shared" si="98"/>
        <v>0</v>
      </c>
      <c r="C607" s="21">
        <f>IF(A607="",0,IF(B607&lt;=0,0,IF(A607=subjectMortgageEndDate,B607+E607,MIN(subjectPayment,B607+E607))))</f>
        <v>0</v>
      </c>
      <c r="D607" s="21">
        <f t="shared" si="99"/>
        <v>0</v>
      </c>
      <c r="E607" s="21">
        <f>IF(OR(A607="",B607&lt;=0),0,ROUND(B607*(subjectInterestRate/12),2))</f>
        <v>0</v>
      </c>
      <c r="F607" s="21"/>
      <c r="G607" s="21"/>
      <c r="H607" s="21"/>
      <c r="I607" s="332"/>
      <c r="J607" s="332"/>
      <c r="K607" s="332">
        <f t="shared" si="100"/>
        <v>0</v>
      </c>
      <c r="L607" s="395">
        <f t="shared" si="97"/>
        <v>0</v>
      </c>
      <c r="M607" s="395">
        <f t="shared" si="101"/>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32">
        <f>IF(INDEX(tblContractForDeed[End Bal],ROW()-ROW(tblBuyerOutputs[#Headers]))&lt;=0,0,($O$6+IF(ROW()=ROW(tblBuyerOutputs[#Headers])+1,0,INDEX(tblBuyerOutputs[Cumul Appr],ROW()-ROW(tblBuyerOutputs[#Headers])-1)))*$O$2/12)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IF(OR(A607="",A607&gt;=subjectMortgageEndDate),"",EDATE(A607,1))</f>
        <v/>
      </c>
      <c r="B608" s="276">
        <f t="shared" si="98"/>
        <v>0</v>
      </c>
      <c r="C608" s="14">
        <f>IF(A608="",0,IF(B608&lt;=0,0,IF(A608=subjectMortgageEndDate,B608+E608,MIN(subjectPayment,B608+E608))))</f>
        <v>0</v>
      </c>
      <c r="D608" s="14">
        <f t="shared" si="99"/>
        <v>0</v>
      </c>
      <c r="E608" s="14">
        <f>IF(OR(A608="",B608&lt;=0),0,ROUND(B608*(subjectInterestRate/12),2))</f>
        <v>0</v>
      </c>
      <c r="K608" s="276">
        <f t="shared" si="100"/>
        <v>0</v>
      </c>
      <c r="L608" s="394">
        <f t="shared" si="97"/>
        <v>0</v>
      </c>
      <c r="M608" s="394">
        <f t="shared" si="101"/>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IF(OR(A608="",A608&gt;=subjectMortgageEndDate),"",EDATE(A608,1))</f>
        <v/>
      </c>
      <c r="B609" s="276">
        <f t="shared" si="98"/>
        <v>0</v>
      </c>
      <c r="C609" s="14">
        <f>IF(A609="",0,IF(B609&lt;=0,0,IF(A609=subjectMortgageEndDate,B609+E609,MIN(subjectPayment,B609+E609))))</f>
        <v>0</v>
      </c>
      <c r="D609" s="14">
        <f t="shared" si="99"/>
        <v>0</v>
      </c>
      <c r="E609" s="14">
        <f>IF(OR(A609="",B609&lt;=0),0,ROUND(B609*(subjectInterestRate/12),2))</f>
        <v>0</v>
      </c>
      <c r="K609" s="276">
        <f t="shared" si="100"/>
        <v>0</v>
      </c>
      <c r="L609" s="394">
        <f t="shared" si="97"/>
        <v>0</v>
      </c>
      <c r="M609" s="394">
        <f t="shared" si="101"/>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IF(OR(A609="",A609&gt;=subjectMortgageEndDate),"",EDATE(A609,1))</f>
        <v/>
      </c>
      <c r="B610" s="276">
        <f t="shared" si="98"/>
        <v>0</v>
      </c>
      <c r="C610" s="14">
        <f>IF(A610="",0,IF(B610&lt;=0,0,IF(A610=subjectMortgageEndDate,B610+E610,MIN(subjectPayment,B610+E610))))</f>
        <v>0</v>
      </c>
      <c r="D610" s="14">
        <f t="shared" si="99"/>
        <v>0</v>
      </c>
      <c r="E610" s="14">
        <f>IF(OR(A610="",B610&lt;=0),0,ROUND(B610*(subjectInterestRate/12),2))</f>
        <v>0</v>
      </c>
      <c r="K610" s="276">
        <f t="shared" si="100"/>
        <v>0</v>
      </c>
      <c r="L610" s="394">
        <f t="shared" si="97"/>
        <v>0</v>
      </c>
      <c r="M610" s="394">
        <f t="shared" si="101"/>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IF(OR(A610="",A610&gt;=subjectMortgageEndDate),"",EDATE(A610,1))</f>
        <v/>
      </c>
      <c r="B611" s="276">
        <f t="shared" si="98"/>
        <v>0</v>
      </c>
      <c r="C611" s="14">
        <f>IF(A611="",0,IF(B611&lt;=0,0,IF(A611=subjectMortgageEndDate,B611+E611,MIN(subjectPayment,B611+E611))))</f>
        <v>0</v>
      </c>
      <c r="D611" s="14">
        <f t="shared" si="99"/>
        <v>0</v>
      </c>
      <c r="E611" s="14">
        <f>IF(OR(A611="",B611&lt;=0),0,ROUND(B611*(subjectInterestRate/12),2))</f>
        <v>0</v>
      </c>
      <c r="K611" s="276">
        <f t="shared" si="100"/>
        <v>0</v>
      </c>
      <c r="L611" s="394">
        <f t="shared" si="97"/>
        <v>0</v>
      </c>
      <c r="M611" s="394">
        <f t="shared" si="101"/>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IF(OR(A611="",A611&gt;=subjectMortgageEndDate),"",EDATE(A611,1))</f>
        <v/>
      </c>
      <c r="B612" s="276">
        <f t="shared" si="98"/>
        <v>0</v>
      </c>
      <c r="C612" s="14">
        <f>IF(A612="",0,IF(B612&lt;=0,0,IF(A612=subjectMortgageEndDate,B612+E612,MIN(subjectPayment,B612+E612))))</f>
        <v>0</v>
      </c>
      <c r="D612" s="14">
        <f t="shared" si="99"/>
        <v>0</v>
      </c>
      <c r="E612" s="14">
        <f>IF(OR(A612="",B612&lt;=0),0,ROUND(B612*(subjectInterestRate/12),2))</f>
        <v>0</v>
      </c>
      <c r="K612" s="276">
        <f t="shared" si="100"/>
        <v>0</v>
      </c>
      <c r="L612" s="394">
        <f t="shared" si="97"/>
        <v>0</v>
      </c>
      <c r="M612" s="394">
        <f t="shared" si="101"/>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IF(OR(A612="",A612&gt;=subjectMortgageEndDate),"",EDATE(A612,1))</f>
        <v/>
      </c>
      <c r="B613" s="276">
        <f t="shared" si="98"/>
        <v>0</v>
      </c>
      <c r="C613" s="14">
        <f>IF(A613="",0,IF(B613&lt;=0,0,IF(A613=subjectMortgageEndDate,B613+E613,MIN(subjectPayment,B613+E613))))</f>
        <v>0</v>
      </c>
      <c r="D613" s="14">
        <f t="shared" si="99"/>
        <v>0</v>
      </c>
      <c r="E613" s="14">
        <f>IF(OR(A613="",B613&lt;=0),0,ROUND(B613*(subjectInterestRate/12),2))</f>
        <v>0</v>
      </c>
      <c r="K613" s="276">
        <f t="shared" si="100"/>
        <v>0</v>
      </c>
      <c r="L613" s="394">
        <f t="shared" si="97"/>
        <v>0</v>
      </c>
      <c r="M613" s="394">
        <f t="shared" si="101"/>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IF(OR(A613="",A613&gt;=subjectMortgageEndDate),"",EDATE(A613,1))</f>
        <v/>
      </c>
      <c r="B614" s="276">
        <f t="shared" si="98"/>
        <v>0</v>
      </c>
      <c r="C614" s="14">
        <f>IF(A614="",0,IF(B614&lt;=0,0,IF(A614=subjectMortgageEndDate,B614+E614,MIN(subjectPayment,B614+E614))))</f>
        <v>0</v>
      </c>
      <c r="D614" s="14">
        <f t="shared" si="99"/>
        <v>0</v>
      </c>
      <c r="E614" s="14">
        <f>IF(OR(A614="",B614&lt;=0),0,ROUND(B614*(subjectInterestRate/12),2))</f>
        <v>0</v>
      </c>
      <c r="K614" s="276">
        <f t="shared" si="100"/>
        <v>0</v>
      </c>
      <c r="L614" s="394">
        <f t="shared" si="97"/>
        <v>0</v>
      </c>
      <c r="M614" s="394">
        <f t="shared" si="101"/>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IF(OR(A614="",A614&gt;=subjectMortgageEndDate),"",EDATE(A614,1))</f>
        <v/>
      </c>
      <c r="B615" s="276">
        <f t="shared" si="98"/>
        <v>0</v>
      </c>
      <c r="C615" s="14">
        <f>IF(A615="",0,IF(B615&lt;=0,0,IF(A615=subjectMortgageEndDate,B615+E615,MIN(subjectPayment,B615+E615))))</f>
        <v>0</v>
      </c>
      <c r="D615" s="14">
        <f t="shared" si="99"/>
        <v>0</v>
      </c>
      <c r="E615" s="14">
        <f>IF(OR(A615="",B615&lt;=0),0,ROUND(B615*(subjectInterestRate/12),2))</f>
        <v>0</v>
      </c>
      <c r="K615" s="276">
        <f t="shared" si="100"/>
        <v>0</v>
      </c>
      <c r="L615" s="394">
        <f t="shared" si="97"/>
        <v>0</v>
      </c>
      <c r="M615" s="394">
        <f t="shared" si="101"/>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IF(OR(A615="",A615&gt;=subjectMortgageEndDate),"",EDATE(A615,1))</f>
        <v/>
      </c>
      <c r="B616" s="276">
        <f t="shared" si="98"/>
        <v>0</v>
      </c>
      <c r="C616" s="14">
        <f>IF(A616="",0,IF(B616&lt;=0,0,IF(A616=subjectMortgageEndDate,B616+E616,MIN(subjectPayment,B616+E616))))</f>
        <v>0</v>
      </c>
      <c r="D616" s="14">
        <f t="shared" si="99"/>
        <v>0</v>
      </c>
      <c r="E616" s="14">
        <f>IF(OR(A616="",B616&lt;=0),0,ROUND(B616*(subjectInterestRate/12),2))</f>
        <v>0</v>
      </c>
      <c r="K616" s="276">
        <f t="shared" si="100"/>
        <v>0</v>
      </c>
      <c r="L616" s="394">
        <f t="shared" si="97"/>
        <v>0</v>
      </c>
      <c r="M616" s="394">
        <f t="shared" si="101"/>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IF(OR(A616="",A616&gt;=subjectMortgageEndDate),"",EDATE(A616,1))</f>
        <v/>
      </c>
      <c r="B617" s="276">
        <f t="shared" si="98"/>
        <v>0</v>
      </c>
      <c r="C617" s="14">
        <f>IF(A617="",0,IF(B617&lt;=0,0,IF(A617=subjectMortgageEndDate,B617+E617,MIN(subjectPayment,B617+E617))))</f>
        <v>0</v>
      </c>
      <c r="D617" s="14">
        <f t="shared" si="99"/>
        <v>0</v>
      </c>
      <c r="E617" s="14">
        <f>IF(OR(A617="",B617&lt;=0),0,ROUND(B617*(subjectInterestRate/12),2))</f>
        <v>0</v>
      </c>
      <c r="K617" s="276">
        <f t="shared" si="100"/>
        <v>0</v>
      </c>
      <c r="L617" s="394">
        <f t="shared" si="97"/>
        <v>0</v>
      </c>
      <c r="M617" s="394">
        <f t="shared" si="101"/>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IF(OR(A617="",A617&gt;=subjectMortgageEndDate),"",EDATE(A617,1))</f>
        <v/>
      </c>
      <c r="B618" s="276">
        <f t="shared" si="98"/>
        <v>0</v>
      </c>
      <c r="C618" s="14">
        <f>IF(A618="",0,IF(B618&lt;=0,0,IF(A618=subjectMortgageEndDate,B618+E618,MIN(subjectPayment,B618+E618))))</f>
        <v>0</v>
      </c>
      <c r="D618" s="14">
        <f t="shared" si="99"/>
        <v>0</v>
      </c>
      <c r="E618" s="14">
        <f>IF(OR(A618="",B618&lt;=0),0,ROUND(B618*(subjectInterestRate/12),2))</f>
        <v>0</v>
      </c>
      <c r="K618" s="276">
        <f t="shared" si="100"/>
        <v>0</v>
      </c>
      <c r="L618" s="394">
        <f t="shared" si="97"/>
        <v>0</v>
      </c>
      <c r="M618" s="394">
        <f t="shared" si="101"/>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IF(OR(A618="",A618&gt;=subjectMortgageEndDate),"",EDATE(A618,1))</f>
        <v/>
      </c>
      <c r="B619" s="332">
        <f t="shared" si="98"/>
        <v>0</v>
      </c>
      <c r="C619" s="21">
        <f>IF(A619="",0,IF(B619&lt;=0,0,IF(A619=subjectMortgageEndDate,B619+E619,MIN(subjectPayment,B619+E619))))</f>
        <v>0</v>
      </c>
      <c r="D619" s="21">
        <f t="shared" si="99"/>
        <v>0</v>
      </c>
      <c r="E619" s="21">
        <f>IF(OR(A619="",B619&lt;=0),0,ROUND(B619*(subjectInterestRate/12),2))</f>
        <v>0</v>
      </c>
      <c r="F619" s="21"/>
      <c r="G619" s="21"/>
      <c r="H619" s="21"/>
      <c r="I619" s="332"/>
      <c r="J619" s="332"/>
      <c r="K619" s="332">
        <f t="shared" si="100"/>
        <v>0</v>
      </c>
      <c r="L619" s="395">
        <f t="shared" si="97"/>
        <v>0</v>
      </c>
      <c r="M619" s="395">
        <f t="shared" si="101"/>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32">
        <f>IF(INDEX(tblContractForDeed[End Bal],ROW()-ROW(tblBuyerOutputs[#Headers]))&lt;=0,0,($O$6+IF(ROW()=ROW(tblBuyerOutputs[#Headers])+1,0,INDEX(tblBuyerOutputs[Cumul Appr],ROW()-ROW(tblBuyerOutputs[#Headers])-1)))*$O$2/12)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IF(OR(A619="",A619&gt;=subjectMortgageEndDate),"",EDATE(A619,1))</f>
        <v/>
      </c>
      <c r="B620" s="276">
        <f t="shared" si="98"/>
        <v>0</v>
      </c>
      <c r="C620" s="14">
        <f>IF(A620="",0,IF(B620&lt;=0,0,IF(A620=subjectMortgageEndDate,B620+E620,MIN(subjectPayment,B620+E620))))</f>
        <v>0</v>
      </c>
      <c r="D620" s="14">
        <f t="shared" si="99"/>
        <v>0</v>
      </c>
      <c r="E620" s="14">
        <f>IF(OR(A620="",B620&lt;=0),0,ROUND(B620*(subjectInterestRate/12),2))</f>
        <v>0</v>
      </c>
      <c r="K620" s="276">
        <f t="shared" si="100"/>
        <v>0</v>
      </c>
      <c r="L620" s="394">
        <f t="shared" si="97"/>
        <v>0</v>
      </c>
      <c r="M620" s="394">
        <f t="shared" si="101"/>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IF(OR(A620="",A620&gt;=subjectMortgageEndDate),"",EDATE(A620,1))</f>
        <v/>
      </c>
      <c r="B621" s="276">
        <f t="shared" si="98"/>
        <v>0</v>
      </c>
      <c r="C621" s="14">
        <f>IF(A621="",0,IF(B621&lt;=0,0,IF(A621=subjectMortgageEndDate,B621+E621,MIN(subjectPayment,B621+E621))))</f>
        <v>0</v>
      </c>
      <c r="D621" s="14">
        <f t="shared" si="99"/>
        <v>0</v>
      </c>
      <c r="E621" s="14">
        <f>IF(OR(A621="",B621&lt;=0),0,ROUND(B621*(subjectInterestRate/12),2))</f>
        <v>0</v>
      </c>
      <c r="K621" s="276">
        <f t="shared" si="100"/>
        <v>0</v>
      </c>
      <c r="L621" s="394">
        <f t="shared" si="97"/>
        <v>0</v>
      </c>
      <c r="M621" s="394">
        <f t="shared" si="101"/>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IF(OR(A621="",A621&gt;=subjectMortgageEndDate),"",EDATE(A621,1))</f>
        <v/>
      </c>
      <c r="B622" s="276">
        <f t="shared" si="98"/>
        <v>0</v>
      </c>
      <c r="C622" s="14">
        <f>IF(A622="",0,IF(B622&lt;=0,0,IF(A622=subjectMortgageEndDate,B622+E622,MIN(subjectPayment,B622+E622))))</f>
        <v>0</v>
      </c>
      <c r="D622" s="14">
        <f t="shared" si="99"/>
        <v>0</v>
      </c>
      <c r="E622" s="14">
        <f>IF(OR(A622="",B622&lt;=0),0,ROUND(B622*(subjectInterestRate/12),2))</f>
        <v>0</v>
      </c>
      <c r="K622" s="276">
        <f t="shared" si="100"/>
        <v>0</v>
      </c>
      <c r="L622" s="394">
        <f t="shared" si="97"/>
        <v>0</v>
      </c>
      <c r="M622" s="394">
        <f t="shared" si="101"/>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IF(OR(A622="",A622&gt;=subjectMortgageEndDate),"",EDATE(A622,1))</f>
        <v/>
      </c>
      <c r="B623" s="276">
        <f t="shared" si="98"/>
        <v>0</v>
      </c>
      <c r="C623" s="14">
        <f>IF(A623="",0,IF(B623&lt;=0,0,IF(A623=subjectMortgageEndDate,B623+E623,MIN(subjectPayment,B623+E623))))</f>
        <v>0</v>
      </c>
      <c r="D623" s="14">
        <f t="shared" si="99"/>
        <v>0</v>
      </c>
      <c r="E623" s="14">
        <f>IF(OR(A623="",B623&lt;=0),0,ROUND(B623*(subjectInterestRate/12),2))</f>
        <v>0</v>
      </c>
      <c r="K623" s="276">
        <f t="shared" si="100"/>
        <v>0</v>
      </c>
      <c r="L623" s="394">
        <f t="shared" si="97"/>
        <v>0</v>
      </c>
      <c r="M623" s="394">
        <f t="shared" si="101"/>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IF(OR(A623="",A623&gt;=subjectMortgageEndDate),"",EDATE(A623,1))</f>
        <v/>
      </c>
      <c r="B624" s="276">
        <f t="shared" si="98"/>
        <v>0</v>
      </c>
      <c r="C624" s="14">
        <f>IF(A624="",0,IF(B624&lt;=0,0,IF(A624=subjectMortgageEndDate,B624+E624,MIN(subjectPayment,B624+E624))))</f>
        <v>0</v>
      </c>
      <c r="D624" s="14">
        <f t="shared" si="99"/>
        <v>0</v>
      </c>
      <c r="E624" s="14">
        <f>IF(OR(A624="",B624&lt;=0),0,ROUND(B624*(subjectInterestRate/12),2))</f>
        <v>0</v>
      </c>
      <c r="K624" s="276">
        <f t="shared" si="100"/>
        <v>0</v>
      </c>
      <c r="L624" s="394">
        <f t="shared" si="97"/>
        <v>0</v>
      </c>
      <c r="M624" s="394">
        <f t="shared" si="101"/>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IF(OR(A624="",A624&gt;=subjectMortgageEndDate),"",EDATE(A624,1))</f>
        <v/>
      </c>
      <c r="B625" s="276">
        <f t="shared" si="98"/>
        <v>0</v>
      </c>
      <c r="C625" s="14">
        <f>IF(A625="",0,IF(B625&lt;=0,0,IF(A625=subjectMortgageEndDate,B625+E625,MIN(subjectPayment,B625+E625))))</f>
        <v>0</v>
      </c>
      <c r="D625" s="14">
        <f t="shared" si="99"/>
        <v>0</v>
      </c>
      <c r="E625" s="14">
        <f>IF(OR(A625="",B625&lt;=0),0,ROUND(B625*(subjectInterestRate/12),2))</f>
        <v>0</v>
      </c>
      <c r="K625" s="276">
        <f t="shared" si="100"/>
        <v>0</v>
      </c>
      <c r="L625" s="394">
        <f t="shared" si="97"/>
        <v>0</v>
      </c>
      <c r="M625" s="394">
        <f t="shared" si="101"/>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IF(OR(A625="",A625&gt;=subjectMortgageEndDate),"",EDATE(A625,1))</f>
        <v/>
      </c>
      <c r="B626" s="276">
        <f t="shared" si="98"/>
        <v>0</v>
      </c>
      <c r="C626" s="14">
        <f>IF(A626="",0,IF(B626&lt;=0,0,IF(A626=subjectMortgageEndDate,B626+E626,MIN(subjectPayment,B626+E626))))</f>
        <v>0</v>
      </c>
      <c r="D626" s="14">
        <f t="shared" si="99"/>
        <v>0</v>
      </c>
      <c r="E626" s="14">
        <f>IF(OR(A626="",B626&lt;=0),0,ROUND(B626*(subjectInterestRate/12),2))</f>
        <v>0</v>
      </c>
      <c r="K626" s="276">
        <f t="shared" si="100"/>
        <v>0</v>
      </c>
      <c r="L626" s="394">
        <f t="shared" si="97"/>
        <v>0</v>
      </c>
      <c r="M626" s="394">
        <f t="shared" si="101"/>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IF(OR(A626="",A626&gt;=subjectMortgageEndDate),"",EDATE(A626,1))</f>
        <v/>
      </c>
      <c r="B627" s="276">
        <f t="shared" si="98"/>
        <v>0</v>
      </c>
      <c r="C627" s="14">
        <f>IF(A627="",0,IF(B627&lt;=0,0,IF(A627=subjectMortgageEndDate,B627+E627,MIN(subjectPayment,B627+E627))))</f>
        <v>0</v>
      </c>
      <c r="D627" s="14">
        <f t="shared" si="99"/>
        <v>0</v>
      </c>
      <c r="E627" s="14">
        <f>IF(OR(A627="",B627&lt;=0),0,ROUND(B627*(subjectInterestRate/12),2))</f>
        <v>0</v>
      </c>
      <c r="K627" s="276">
        <f t="shared" si="100"/>
        <v>0</v>
      </c>
      <c r="L627" s="394">
        <f t="shared" si="97"/>
        <v>0</v>
      </c>
      <c r="M627" s="394">
        <f t="shared" si="101"/>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IF(OR(A627="",A627&gt;=subjectMortgageEndDate),"",EDATE(A627,1))</f>
        <v/>
      </c>
      <c r="B628" s="276">
        <f t="shared" si="98"/>
        <v>0</v>
      </c>
      <c r="C628" s="14">
        <f>IF(A628="",0,IF(B628&lt;=0,0,IF(A628=subjectMortgageEndDate,B628+E628,MIN(subjectPayment,B628+E628))))</f>
        <v>0</v>
      </c>
      <c r="D628" s="14">
        <f t="shared" si="99"/>
        <v>0</v>
      </c>
      <c r="E628" s="14">
        <f>IF(OR(A628="",B628&lt;=0),0,ROUND(B628*(subjectInterestRate/12),2))</f>
        <v>0</v>
      </c>
      <c r="K628" s="276">
        <f t="shared" si="100"/>
        <v>0</v>
      </c>
      <c r="L628" s="394">
        <f t="shared" ref="L628:L691" si="102">IF(MOD(M628,12)=0,M628/12,L627)</f>
        <v>0</v>
      </c>
      <c r="M628" s="394">
        <f t="shared" si="101"/>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IF(OR(A628="",A628&gt;=subjectMortgageEndDate),"",EDATE(A628,1))</f>
        <v/>
      </c>
      <c r="B629" s="276">
        <f t="shared" si="98"/>
        <v>0</v>
      </c>
      <c r="C629" s="14">
        <f>IF(A629="",0,IF(B629&lt;=0,0,IF(A629=subjectMortgageEndDate,B629+E629,MIN(subjectPayment,B629+E629))))</f>
        <v>0</v>
      </c>
      <c r="D629" s="14">
        <f t="shared" si="99"/>
        <v>0</v>
      </c>
      <c r="E629" s="14">
        <f>IF(OR(A629="",B629&lt;=0),0,ROUND(B629*(subjectInterestRate/12),2))</f>
        <v>0</v>
      </c>
      <c r="K629" s="276">
        <f t="shared" si="100"/>
        <v>0</v>
      </c>
      <c r="L629" s="394">
        <f t="shared" si="102"/>
        <v>0</v>
      </c>
      <c r="M629" s="394">
        <f t="shared" si="101"/>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IF(OR(A629="",A629&gt;=subjectMortgageEndDate),"",EDATE(A629,1))</f>
        <v/>
      </c>
      <c r="B630" s="276">
        <f t="shared" si="98"/>
        <v>0</v>
      </c>
      <c r="C630" s="14">
        <f>IF(A630="",0,IF(B630&lt;=0,0,IF(A630=subjectMortgageEndDate,B630+E630,MIN(subjectPayment,B630+E630))))</f>
        <v>0</v>
      </c>
      <c r="D630" s="14">
        <f t="shared" si="99"/>
        <v>0</v>
      </c>
      <c r="E630" s="14">
        <f>IF(OR(A630="",B630&lt;=0),0,ROUND(B630*(subjectInterestRate/12),2))</f>
        <v>0</v>
      </c>
      <c r="K630" s="276">
        <f t="shared" si="100"/>
        <v>0</v>
      </c>
      <c r="L630" s="394">
        <f t="shared" si="102"/>
        <v>0</v>
      </c>
      <c r="M630" s="394">
        <f t="shared" si="101"/>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IF(OR(A630="",A630&gt;=subjectMortgageEndDate),"",EDATE(A630,1))</f>
        <v/>
      </c>
      <c r="B631" s="332">
        <f t="shared" si="98"/>
        <v>0</v>
      </c>
      <c r="C631" s="21">
        <f>IF(A631="",0,IF(B631&lt;=0,0,IF(A631=subjectMortgageEndDate,B631+E631,MIN(subjectPayment,B631+E631))))</f>
        <v>0</v>
      </c>
      <c r="D631" s="21">
        <f t="shared" si="99"/>
        <v>0</v>
      </c>
      <c r="E631" s="21">
        <f>IF(OR(A631="",B631&lt;=0),0,ROUND(B631*(subjectInterestRate/12),2))</f>
        <v>0</v>
      </c>
      <c r="F631" s="21"/>
      <c r="G631" s="21"/>
      <c r="H631" s="21"/>
      <c r="I631" s="332"/>
      <c r="J631" s="332"/>
      <c r="K631" s="332">
        <f t="shared" si="100"/>
        <v>0</v>
      </c>
      <c r="L631" s="395">
        <f t="shared" si="102"/>
        <v>0</v>
      </c>
      <c r="M631" s="395">
        <f t="shared" si="101"/>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32">
        <f>IF(INDEX(tblContractForDeed[End Bal],ROW()-ROW(tblBuyerOutputs[#Headers]))&lt;=0,0,($O$6+IF(ROW()=ROW(tblBuyerOutputs[#Headers])+1,0,INDEX(tblBuyerOutputs[Cumul Appr],ROW()-ROW(tblBuyerOutputs[#Headers])-1)))*$O$2/12)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IF(OR(A631="",A631&gt;=subjectMortgageEndDate),"",EDATE(A631,1))</f>
        <v/>
      </c>
      <c r="B632" s="276">
        <f t="shared" si="98"/>
        <v>0</v>
      </c>
      <c r="C632" s="14">
        <f>IF(A632="",0,IF(B632&lt;=0,0,IF(A632=subjectMortgageEndDate,B632+E632,MIN(subjectPayment,B632+E632))))</f>
        <v>0</v>
      </c>
      <c r="D632" s="14">
        <f t="shared" si="99"/>
        <v>0</v>
      </c>
      <c r="E632" s="14">
        <f>IF(OR(A632="",B632&lt;=0),0,ROUND(B632*(subjectInterestRate/12),2))</f>
        <v>0</v>
      </c>
      <c r="K632" s="276">
        <f t="shared" si="100"/>
        <v>0</v>
      </c>
      <c r="L632" s="394">
        <f t="shared" si="102"/>
        <v>0</v>
      </c>
      <c r="M632" s="394">
        <f t="shared" si="101"/>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IF(OR(A632="",A632&gt;=subjectMortgageEndDate),"",EDATE(A632,1))</f>
        <v/>
      </c>
      <c r="B633" s="276">
        <f t="shared" si="98"/>
        <v>0</v>
      </c>
      <c r="C633" s="14">
        <f>IF(A633="",0,IF(B633&lt;=0,0,IF(A633=subjectMortgageEndDate,B633+E633,MIN(subjectPayment,B633+E633))))</f>
        <v>0</v>
      </c>
      <c r="D633" s="14">
        <f t="shared" si="99"/>
        <v>0</v>
      </c>
      <c r="E633" s="14">
        <f>IF(OR(A633="",B633&lt;=0),0,ROUND(B633*(subjectInterestRate/12),2))</f>
        <v>0</v>
      </c>
      <c r="K633" s="276">
        <f t="shared" si="100"/>
        <v>0</v>
      </c>
      <c r="L633" s="394">
        <f t="shared" si="102"/>
        <v>0</v>
      </c>
      <c r="M633" s="394">
        <f t="shared" si="101"/>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IF(OR(A633="",A633&gt;=subjectMortgageEndDate),"",EDATE(A633,1))</f>
        <v/>
      </c>
      <c r="B634" s="276">
        <f t="shared" si="98"/>
        <v>0</v>
      </c>
      <c r="C634" s="14">
        <f>IF(A634="",0,IF(B634&lt;=0,0,IF(A634=subjectMortgageEndDate,B634+E634,MIN(subjectPayment,B634+E634))))</f>
        <v>0</v>
      </c>
      <c r="D634" s="14">
        <f t="shared" si="99"/>
        <v>0</v>
      </c>
      <c r="E634" s="14">
        <f>IF(OR(A634="",B634&lt;=0),0,ROUND(B634*(subjectInterestRate/12),2))</f>
        <v>0</v>
      </c>
      <c r="K634" s="276">
        <f t="shared" si="100"/>
        <v>0</v>
      </c>
      <c r="L634" s="394">
        <f t="shared" si="102"/>
        <v>0</v>
      </c>
      <c r="M634" s="394">
        <f t="shared" si="101"/>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IF(OR(A634="",A634&gt;=subjectMortgageEndDate),"",EDATE(A634,1))</f>
        <v/>
      </c>
      <c r="B635" s="276">
        <f t="shared" si="98"/>
        <v>0</v>
      </c>
      <c r="C635" s="14">
        <f>IF(A635="",0,IF(B635&lt;=0,0,IF(A635=subjectMortgageEndDate,B635+E635,MIN(subjectPayment,B635+E635))))</f>
        <v>0</v>
      </c>
      <c r="D635" s="14">
        <f t="shared" si="99"/>
        <v>0</v>
      </c>
      <c r="E635" s="14">
        <f>IF(OR(A635="",B635&lt;=0),0,ROUND(B635*(subjectInterestRate/12),2))</f>
        <v>0</v>
      </c>
      <c r="K635" s="276">
        <f t="shared" si="100"/>
        <v>0</v>
      </c>
      <c r="L635" s="394">
        <f t="shared" si="102"/>
        <v>0</v>
      </c>
      <c r="M635" s="394">
        <f t="shared" si="101"/>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IF(OR(A635="",A635&gt;=subjectMortgageEndDate),"",EDATE(A635,1))</f>
        <v/>
      </c>
      <c r="B636" s="276">
        <f t="shared" si="98"/>
        <v>0</v>
      </c>
      <c r="C636" s="14">
        <f>IF(A636="",0,IF(B636&lt;=0,0,IF(A636=subjectMortgageEndDate,B636+E636,MIN(subjectPayment,B636+E636))))</f>
        <v>0</v>
      </c>
      <c r="D636" s="14">
        <f t="shared" si="99"/>
        <v>0</v>
      </c>
      <c r="E636" s="14">
        <f>IF(OR(A636="",B636&lt;=0),0,ROUND(B636*(subjectInterestRate/12),2))</f>
        <v>0</v>
      </c>
      <c r="K636" s="276">
        <f t="shared" si="100"/>
        <v>0</v>
      </c>
      <c r="L636" s="394">
        <f t="shared" si="102"/>
        <v>0</v>
      </c>
      <c r="M636" s="394">
        <f t="shared" si="101"/>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IF(OR(A636="",A636&gt;=subjectMortgageEndDate),"",EDATE(A636,1))</f>
        <v/>
      </c>
      <c r="B637" s="276">
        <f t="shared" si="98"/>
        <v>0</v>
      </c>
      <c r="C637" s="14">
        <f>IF(A637="",0,IF(B637&lt;=0,0,IF(A637=subjectMortgageEndDate,B637+E637,MIN(subjectPayment,B637+E637))))</f>
        <v>0</v>
      </c>
      <c r="D637" s="14">
        <f t="shared" si="99"/>
        <v>0</v>
      </c>
      <c r="E637" s="14">
        <f>IF(OR(A637="",B637&lt;=0),0,ROUND(B637*(subjectInterestRate/12),2))</f>
        <v>0</v>
      </c>
      <c r="K637" s="276">
        <f t="shared" si="100"/>
        <v>0</v>
      </c>
      <c r="L637" s="394">
        <f t="shared" si="102"/>
        <v>0</v>
      </c>
      <c r="M637" s="394">
        <f t="shared" si="101"/>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IF(OR(A637="",A637&gt;=subjectMortgageEndDate),"",EDATE(A637,1))</f>
        <v/>
      </c>
      <c r="B638" s="276">
        <f t="shared" si="98"/>
        <v>0</v>
      </c>
      <c r="C638" s="14">
        <f>IF(A638="",0,IF(B638&lt;=0,0,IF(A638=subjectMortgageEndDate,B638+E638,MIN(subjectPayment,B638+E638))))</f>
        <v>0</v>
      </c>
      <c r="D638" s="14">
        <f t="shared" si="99"/>
        <v>0</v>
      </c>
      <c r="E638" s="14">
        <f>IF(OR(A638="",B638&lt;=0),0,ROUND(B638*(subjectInterestRate/12),2))</f>
        <v>0</v>
      </c>
      <c r="K638" s="276">
        <f t="shared" si="100"/>
        <v>0</v>
      </c>
      <c r="L638" s="394">
        <f t="shared" si="102"/>
        <v>0</v>
      </c>
      <c r="M638" s="394">
        <f t="shared" si="101"/>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IF(OR(A638="",A638&gt;=subjectMortgageEndDate),"",EDATE(A638,1))</f>
        <v/>
      </c>
      <c r="B639" s="276">
        <f t="shared" si="98"/>
        <v>0</v>
      </c>
      <c r="C639" s="14">
        <f>IF(A639="",0,IF(B639&lt;=0,0,IF(A639=subjectMortgageEndDate,B639+E639,MIN(subjectPayment,B639+E639))))</f>
        <v>0</v>
      </c>
      <c r="D639" s="14">
        <f t="shared" si="99"/>
        <v>0</v>
      </c>
      <c r="E639" s="14">
        <f>IF(OR(A639="",B639&lt;=0),0,ROUND(B639*(subjectInterestRate/12),2))</f>
        <v>0</v>
      </c>
      <c r="K639" s="276">
        <f t="shared" si="100"/>
        <v>0</v>
      </c>
      <c r="L639" s="394">
        <f t="shared" si="102"/>
        <v>0</v>
      </c>
      <c r="M639" s="394">
        <f t="shared" si="101"/>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IF(OR(A639="",A639&gt;=subjectMortgageEndDate),"",EDATE(A639,1))</f>
        <v/>
      </c>
      <c r="B640" s="276">
        <f t="shared" si="98"/>
        <v>0</v>
      </c>
      <c r="C640" s="14">
        <f>IF(A640="",0,IF(B640&lt;=0,0,IF(A640=subjectMortgageEndDate,B640+E640,MIN(subjectPayment,B640+E640))))</f>
        <v>0</v>
      </c>
      <c r="D640" s="14">
        <f t="shared" si="99"/>
        <v>0</v>
      </c>
      <c r="E640" s="14">
        <f>IF(OR(A640="",B640&lt;=0),0,ROUND(B640*(subjectInterestRate/12),2))</f>
        <v>0</v>
      </c>
      <c r="K640" s="276">
        <f t="shared" si="100"/>
        <v>0</v>
      </c>
      <c r="L640" s="394">
        <f t="shared" si="102"/>
        <v>0</v>
      </c>
      <c r="M640" s="394">
        <f t="shared" si="101"/>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IF(OR(A640="",A640&gt;=subjectMortgageEndDate),"",EDATE(A640,1))</f>
        <v/>
      </c>
      <c r="B641" s="276">
        <f t="shared" si="98"/>
        <v>0</v>
      </c>
      <c r="C641" s="14">
        <f>IF(A641="",0,IF(B641&lt;=0,0,IF(A641=subjectMortgageEndDate,B641+E641,MIN(subjectPayment,B641+E641))))</f>
        <v>0</v>
      </c>
      <c r="D641" s="14">
        <f t="shared" si="99"/>
        <v>0</v>
      </c>
      <c r="E641" s="14">
        <f>IF(OR(A641="",B641&lt;=0),0,ROUND(B641*(subjectInterestRate/12),2))</f>
        <v>0</v>
      </c>
      <c r="K641" s="276">
        <f t="shared" si="100"/>
        <v>0</v>
      </c>
      <c r="L641" s="394">
        <f t="shared" si="102"/>
        <v>0</v>
      </c>
      <c r="M641" s="394">
        <f t="shared" si="101"/>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IF(OR(A641="",A641&gt;=subjectMortgageEndDate),"",EDATE(A641,1))</f>
        <v/>
      </c>
      <c r="B642" s="276">
        <f t="shared" si="98"/>
        <v>0</v>
      </c>
      <c r="C642" s="14">
        <f>IF(A642="",0,IF(B642&lt;=0,0,IF(A642=subjectMortgageEndDate,B642+E642,MIN(subjectPayment,B642+E642))))</f>
        <v>0</v>
      </c>
      <c r="D642" s="14">
        <f t="shared" si="99"/>
        <v>0</v>
      </c>
      <c r="E642" s="14">
        <f>IF(OR(A642="",B642&lt;=0),0,ROUND(B642*(subjectInterestRate/12),2))</f>
        <v>0</v>
      </c>
      <c r="K642" s="276">
        <f t="shared" si="100"/>
        <v>0</v>
      </c>
      <c r="L642" s="394">
        <f t="shared" si="102"/>
        <v>0</v>
      </c>
      <c r="M642" s="394">
        <f t="shared" si="101"/>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IF(OR(A642="",A642&gt;=subjectMortgageEndDate),"",EDATE(A642,1))</f>
        <v/>
      </c>
      <c r="B643" s="332">
        <f t="shared" si="98"/>
        <v>0</v>
      </c>
      <c r="C643" s="21">
        <f>IF(A643="",0,IF(B643&lt;=0,0,IF(A643=subjectMortgageEndDate,B643+E643,MIN(subjectPayment,B643+E643))))</f>
        <v>0</v>
      </c>
      <c r="D643" s="21">
        <f t="shared" si="99"/>
        <v>0</v>
      </c>
      <c r="E643" s="21">
        <f>IF(OR(A643="",B643&lt;=0),0,ROUND(B643*(subjectInterestRate/12),2))</f>
        <v>0</v>
      </c>
      <c r="F643" s="21"/>
      <c r="G643" s="21"/>
      <c r="H643" s="21"/>
      <c r="I643" s="332"/>
      <c r="J643" s="332"/>
      <c r="K643" s="332">
        <f t="shared" si="100"/>
        <v>0</v>
      </c>
      <c r="L643" s="395">
        <f t="shared" si="102"/>
        <v>0</v>
      </c>
      <c r="M643" s="395">
        <f t="shared" si="101"/>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32">
        <f>IF(INDEX(tblContractForDeed[End Bal],ROW()-ROW(tblBuyerOutputs[#Headers]))&lt;=0,0,($O$6+IF(ROW()=ROW(tblBuyerOutputs[#Headers])+1,0,INDEX(tblBuyerOutputs[Cumul Appr],ROW()-ROW(tblBuyerOutputs[#Headers])-1)))*$O$2/12)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IF(OR(A643="",A643&gt;=subjectMortgageEndDate),"",EDATE(A643,1))</f>
        <v/>
      </c>
      <c r="B644" s="276">
        <f t="shared" si="98"/>
        <v>0</v>
      </c>
      <c r="C644" s="14">
        <f>IF(A644="",0,IF(B644&lt;=0,0,IF(A644=subjectMortgageEndDate,B644+E644,MIN(subjectPayment,B644+E644))))</f>
        <v>0</v>
      </c>
      <c r="D644" s="14">
        <f t="shared" si="99"/>
        <v>0</v>
      </c>
      <c r="E644" s="14">
        <f>IF(OR(A644="",B644&lt;=0),0,ROUND(B644*(subjectInterestRate/12),2))</f>
        <v>0</v>
      </c>
      <c r="K644" s="276">
        <f t="shared" si="100"/>
        <v>0</v>
      </c>
      <c r="L644" s="394">
        <f t="shared" si="102"/>
        <v>0</v>
      </c>
      <c r="M644" s="394">
        <f t="shared" si="101"/>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IF(OR(A644="",A644&gt;=subjectMortgageEndDate),"",EDATE(A644,1))</f>
        <v/>
      </c>
      <c r="B645" s="276">
        <f t="shared" si="98"/>
        <v>0</v>
      </c>
      <c r="C645" s="14">
        <f>IF(A645="",0,IF(B645&lt;=0,0,IF(A645=subjectMortgageEndDate,B645+E645,MIN(subjectPayment,B645+E645))))</f>
        <v>0</v>
      </c>
      <c r="D645" s="14">
        <f t="shared" si="99"/>
        <v>0</v>
      </c>
      <c r="E645" s="14">
        <f>IF(OR(A645="",B645&lt;=0),0,ROUND(B645*(subjectInterestRate/12),2))</f>
        <v>0</v>
      </c>
      <c r="K645" s="276">
        <f t="shared" si="100"/>
        <v>0</v>
      </c>
      <c r="L645" s="394">
        <f t="shared" si="102"/>
        <v>0</v>
      </c>
      <c r="M645" s="394">
        <f t="shared" si="101"/>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IF(OR(A645="",A645&gt;=subjectMortgageEndDate),"",EDATE(A645,1))</f>
        <v/>
      </c>
      <c r="B646" s="276">
        <f t="shared" si="98"/>
        <v>0</v>
      </c>
      <c r="C646" s="14">
        <f>IF(A646="",0,IF(B646&lt;=0,0,IF(A646=subjectMortgageEndDate,B646+E646,MIN(subjectPayment,B646+E646))))</f>
        <v>0</v>
      </c>
      <c r="D646" s="14">
        <f t="shared" si="99"/>
        <v>0</v>
      </c>
      <c r="E646" s="14">
        <f>IF(OR(A646="",B646&lt;=0),0,ROUND(B646*(subjectInterestRate/12),2))</f>
        <v>0</v>
      </c>
      <c r="K646" s="276">
        <f t="shared" si="100"/>
        <v>0</v>
      </c>
      <c r="L646" s="394">
        <f t="shared" si="102"/>
        <v>0</v>
      </c>
      <c r="M646" s="394">
        <f t="shared" si="101"/>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IF(OR(A646="",A646&gt;=subjectMortgageEndDate),"",EDATE(A646,1))</f>
        <v/>
      </c>
      <c r="B647" s="276">
        <f t="shared" si="98"/>
        <v>0</v>
      </c>
      <c r="C647" s="14">
        <f>IF(A647="",0,IF(B647&lt;=0,0,IF(A647=subjectMortgageEndDate,B647+E647,MIN(subjectPayment,B647+E647))))</f>
        <v>0</v>
      </c>
      <c r="D647" s="14">
        <f t="shared" si="99"/>
        <v>0</v>
      </c>
      <c r="E647" s="14">
        <f>IF(OR(A647="",B647&lt;=0),0,ROUND(B647*(subjectInterestRate/12),2))</f>
        <v>0</v>
      </c>
      <c r="K647" s="276">
        <f t="shared" si="100"/>
        <v>0</v>
      </c>
      <c r="L647" s="394">
        <f t="shared" si="102"/>
        <v>0</v>
      </c>
      <c r="M647" s="394">
        <f t="shared" si="101"/>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IF(OR(A647="",A647&gt;=subjectMortgageEndDate),"",EDATE(A647,1))</f>
        <v/>
      </c>
      <c r="B648" s="276">
        <f t="shared" si="98"/>
        <v>0</v>
      </c>
      <c r="C648" s="14">
        <f>IF(A648="",0,IF(B648&lt;=0,0,IF(A648=subjectMortgageEndDate,B648+E648,MIN(subjectPayment,B648+E648))))</f>
        <v>0</v>
      </c>
      <c r="D648" s="14">
        <f t="shared" si="99"/>
        <v>0</v>
      </c>
      <c r="E648" s="14">
        <f>IF(OR(A648="",B648&lt;=0),0,ROUND(B648*(subjectInterestRate/12),2))</f>
        <v>0</v>
      </c>
      <c r="K648" s="276">
        <f t="shared" si="100"/>
        <v>0</v>
      </c>
      <c r="L648" s="394">
        <f t="shared" si="102"/>
        <v>0</v>
      </c>
      <c r="M648" s="394">
        <f t="shared" si="101"/>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IF(OR(A648="",A648&gt;=subjectMortgageEndDate),"",EDATE(A648,1))</f>
        <v/>
      </c>
      <c r="B649" s="276">
        <f t="shared" si="98"/>
        <v>0</v>
      </c>
      <c r="C649" s="14">
        <f>IF(A649="",0,IF(B649&lt;=0,0,IF(A649=subjectMortgageEndDate,B649+E649,MIN(subjectPayment,B649+E649))))</f>
        <v>0</v>
      </c>
      <c r="D649" s="14">
        <f t="shared" si="99"/>
        <v>0</v>
      </c>
      <c r="E649" s="14">
        <f>IF(OR(A649="",B649&lt;=0),0,ROUND(B649*(subjectInterestRate/12),2))</f>
        <v>0</v>
      </c>
      <c r="K649" s="276">
        <f t="shared" si="100"/>
        <v>0</v>
      </c>
      <c r="L649" s="394">
        <f t="shared" si="102"/>
        <v>0</v>
      </c>
      <c r="M649" s="394">
        <f t="shared" si="101"/>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IF(OR(A649="",A649&gt;=subjectMortgageEndDate),"",EDATE(A649,1))</f>
        <v/>
      </c>
      <c r="B650" s="276">
        <f t="shared" si="98"/>
        <v>0</v>
      </c>
      <c r="C650" s="14">
        <f>IF(A650="",0,IF(B650&lt;=0,0,IF(A650=subjectMortgageEndDate,B650+E650,MIN(subjectPayment,B650+E650))))</f>
        <v>0</v>
      </c>
      <c r="D650" s="14">
        <f t="shared" si="99"/>
        <v>0</v>
      </c>
      <c r="E650" s="14">
        <f>IF(OR(A650="",B650&lt;=0),0,ROUND(B650*(subjectInterestRate/12),2))</f>
        <v>0</v>
      </c>
      <c r="K650" s="276">
        <f t="shared" si="100"/>
        <v>0</v>
      </c>
      <c r="L650" s="394">
        <f t="shared" si="102"/>
        <v>0</v>
      </c>
      <c r="M650" s="394">
        <f t="shared" si="101"/>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IF(OR(A650="",A650&gt;=subjectMortgageEndDate),"",EDATE(A650,1))</f>
        <v/>
      </c>
      <c r="B651" s="276">
        <f t="shared" si="98"/>
        <v>0</v>
      </c>
      <c r="C651" s="14">
        <f>IF(A651="",0,IF(B651&lt;=0,0,IF(A651=subjectMortgageEndDate,B651+E651,MIN(subjectPayment,B651+E651))))</f>
        <v>0</v>
      </c>
      <c r="D651" s="14">
        <f t="shared" si="99"/>
        <v>0</v>
      </c>
      <c r="E651" s="14">
        <f>IF(OR(A651="",B651&lt;=0),0,ROUND(B651*(subjectInterestRate/12),2))</f>
        <v>0</v>
      </c>
      <c r="K651" s="276">
        <f t="shared" si="100"/>
        <v>0</v>
      </c>
      <c r="L651" s="394">
        <f t="shared" si="102"/>
        <v>0</v>
      </c>
      <c r="M651" s="394">
        <f t="shared" si="101"/>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IF(OR(A651="",A651&gt;=subjectMortgageEndDate),"",EDATE(A651,1))</f>
        <v/>
      </c>
      <c r="B652" s="276">
        <f t="shared" si="98"/>
        <v>0</v>
      </c>
      <c r="C652" s="14">
        <f>IF(A652="",0,IF(B652&lt;=0,0,IF(A652=subjectMortgageEndDate,B652+E652,MIN(subjectPayment,B652+E652))))</f>
        <v>0</v>
      </c>
      <c r="D652" s="14">
        <f t="shared" si="99"/>
        <v>0</v>
      </c>
      <c r="E652" s="14">
        <f>IF(OR(A652="",B652&lt;=0),0,ROUND(B652*(subjectInterestRate/12),2))</f>
        <v>0</v>
      </c>
      <c r="K652" s="276">
        <f t="shared" si="100"/>
        <v>0</v>
      </c>
      <c r="L652" s="394">
        <f t="shared" si="102"/>
        <v>0</v>
      </c>
      <c r="M652" s="394">
        <f t="shared" si="101"/>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IF(OR(A652="",A652&gt;=subjectMortgageEndDate),"",EDATE(A652,1))</f>
        <v/>
      </c>
      <c r="B653" s="276">
        <f t="shared" si="98"/>
        <v>0</v>
      </c>
      <c r="C653" s="14">
        <f>IF(A653="",0,IF(B653&lt;=0,0,IF(A653=subjectMortgageEndDate,B653+E653,MIN(subjectPayment,B653+E653))))</f>
        <v>0</v>
      </c>
      <c r="D653" s="14">
        <f t="shared" si="99"/>
        <v>0</v>
      </c>
      <c r="E653" s="14">
        <f>IF(OR(A653="",B653&lt;=0),0,ROUND(B653*(subjectInterestRate/12),2))</f>
        <v>0</v>
      </c>
      <c r="K653" s="276">
        <f t="shared" si="100"/>
        <v>0</v>
      </c>
      <c r="L653" s="394">
        <f t="shared" si="102"/>
        <v>0</v>
      </c>
      <c r="M653" s="394">
        <f t="shared" si="101"/>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IF(OR(A653="",A653&gt;=subjectMortgageEndDate),"",EDATE(A653,1))</f>
        <v/>
      </c>
      <c r="B654" s="276">
        <f t="shared" si="98"/>
        <v>0</v>
      </c>
      <c r="C654" s="14">
        <f>IF(A654="",0,IF(B654&lt;=0,0,IF(A654=subjectMortgageEndDate,B654+E654,MIN(subjectPayment,B654+E654))))</f>
        <v>0</v>
      </c>
      <c r="D654" s="14">
        <f t="shared" si="99"/>
        <v>0</v>
      </c>
      <c r="E654" s="14">
        <f>IF(OR(A654="",B654&lt;=0),0,ROUND(B654*(subjectInterestRate/12),2))</f>
        <v>0</v>
      </c>
      <c r="K654" s="276">
        <f t="shared" si="100"/>
        <v>0</v>
      </c>
      <c r="L654" s="394">
        <f t="shared" si="102"/>
        <v>0</v>
      </c>
      <c r="M654" s="394">
        <f t="shared" si="101"/>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IF(OR(A654="",A654&gt;=subjectMortgageEndDate),"",EDATE(A654,1))</f>
        <v/>
      </c>
      <c r="B655" s="332">
        <f t="shared" si="98"/>
        <v>0</v>
      </c>
      <c r="C655" s="21">
        <f>IF(A655="",0,IF(B655&lt;=0,0,IF(A655=subjectMortgageEndDate,B655+E655,MIN(subjectPayment,B655+E655))))</f>
        <v>0</v>
      </c>
      <c r="D655" s="21">
        <f t="shared" si="99"/>
        <v>0</v>
      </c>
      <c r="E655" s="21">
        <f>IF(OR(A655="",B655&lt;=0),0,ROUND(B655*(subjectInterestRate/12),2))</f>
        <v>0</v>
      </c>
      <c r="F655" s="21"/>
      <c r="G655" s="21"/>
      <c r="H655" s="21"/>
      <c r="I655" s="332"/>
      <c r="J655" s="332"/>
      <c r="K655" s="332">
        <f t="shared" si="100"/>
        <v>0</v>
      </c>
      <c r="L655" s="395">
        <f t="shared" si="102"/>
        <v>0</v>
      </c>
      <c r="M655" s="395">
        <f t="shared" si="101"/>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32">
        <f>IF(INDEX(tblContractForDeed[End Bal],ROW()-ROW(tblBuyerOutputs[#Headers]))&lt;=0,0,($O$6+IF(ROW()=ROW(tblBuyerOutputs[#Headers])+1,0,INDEX(tblBuyerOutputs[Cumul Appr],ROW()-ROW(tblBuyerOutputs[#Headers])-1)))*$O$2/12)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IF(OR(A655="",A655&gt;=subjectMortgageEndDate),"",EDATE(A655,1))</f>
        <v/>
      </c>
      <c r="B656" s="276">
        <f t="shared" si="98"/>
        <v>0</v>
      </c>
      <c r="C656" s="14">
        <f>IF(A656="",0,IF(B656&lt;=0,0,IF(A656=subjectMortgageEndDate,B656+E656,MIN(subjectPayment,B656+E656))))</f>
        <v>0</v>
      </c>
      <c r="D656" s="14">
        <f t="shared" si="99"/>
        <v>0</v>
      </c>
      <c r="E656" s="14">
        <f>IF(OR(A656="",B656&lt;=0),0,ROUND(B656*(subjectInterestRate/12),2))</f>
        <v>0</v>
      </c>
      <c r="K656" s="276">
        <f t="shared" si="100"/>
        <v>0</v>
      </c>
      <c r="L656" s="394">
        <f t="shared" si="102"/>
        <v>0</v>
      </c>
      <c r="M656" s="394">
        <f t="shared" si="101"/>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IF(OR(A656="",A656&gt;=subjectMortgageEndDate),"",EDATE(A656,1))</f>
        <v/>
      </c>
      <c r="B657" s="276">
        <f t="shared" si="98"/>
        <v>0</v>
      </c>
      <c r="C657" s="14">
        <f>IF(A657="",0,IF(B657&lt;=0,0,IF(A657=subjectMortgageEndDate,B657+E657,MIN(subjectPayment,B657+E657))))</f>
        <v>0</v>
      </c>
      <c r="D657" s="14">
        <f t="shared" si="99"/>
        <v>0</v>
      </c>
      <c r="E657" s="14">
        <f>IF(OR(A657="",B657&lt;=0),0,ROUND(B657*(subjectInterestRate/12),2))</f>
        <v>0</v>
      </c>
      <c r="K657" s="276">
        <f t="shared" si="100"/>
        <v>0</v>
      </c>
      <c r="L657" s="394">
        <f t="shared" si="102"/>
        <v>0</v>
      </c>
      <c r="M657" s="394">
        <f t="shared" si="101"/>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IF(OR(A657="",A657&gt;=subjectMortgageEndDate),"",EDATE(A657,1))</f>
        <v/>
      </c>
      <c r="B658" s="276">
        <f t="shared" si="98"/>
        <v>0</v>
      </c>
      <c r="C658" s="14">
        <f>IF(A658="",0,IF(B658&lt;=0,0,IF(A658=subjectMortgageEndDate,B658+E658,MIN(subjectPayment,B658+E658))))</f>
        <v>0</v>
      </c>
      <c r="D658" s="14">
        <f t="shared" si="99"/>
        <v>0</v>
      </c>
      <c r="E658" s="14">
        <f>IF(OR(A658="",B658&lt;=0),0,ROUND(B658*(subjectInterestRate/12),2))</f>
        <v>0</v>
      </c>
      <c r="K658" s="276">
        <f t="shared" si="100"/>
        <v>0</v>
      </c>
      <c r="L658" s="394">
        <f t="shared" si="102"/>
        <v>0</v>
      </c>
      <c r="M658" s="394">
        <f t="shared" si="101"/>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IF(OR(A658="",A658&gt;=subjectMortgageEndDate),"",EDATE(A658,1))</f>
        <v/>
      </c>
      <c r="B659" s="276">
        <f t="shared" si="98"/>
        <v>0</v>
      </c>
      <c r="C659" s="14">
        <f>IF(A659="",0,IF(B659&lt;=0,0,IF(A659=subjectMortgageEndDate,B659+E659,MIN(subjectPayment,B659+E659))))</f>
        <v>0</v>
      </c>
      <c r="D659" s="14">
        <f t="shared" si="99"/>
        <v>0</v>
      </c>
      <c r="E659" s="14">
        <f>IF(OR(A659="",B659&lt;=0),0,ROUND(B659*(subjectInterestRate/12),2))</f>
        <v>0</v>
      </c>
      <c r="K659" s="276">
        <f t="shared" si="100"/>
        <v>0</v>
      </c>
      <c r="L659" s="394">
        <f t="shared" si="102"/>
        <v>0</v>
      </c>
      <c r="M659" s="394">
        <f t="shared" si="101"/>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IF(OR(A659="",A659&gt;=subjectMortgageEndDate),"",EDATE(A659,1))</f>
        <v/>
      </c>
      <c r="B660" s="276">
        <f t="shared" si="98"/>
        <v>0</v>
      </c>
      <c r="C660" s="14">
        <f>IF(A660="",0,IF(B660&lt;=0,0,IF(A660=subjectMortgageEndDate,B660+E660,MIN(subjectPayment,B660+E660))))</f>
        <v>0</v>
      </c>
      <c r="D660" s="14">
        <f t="shared" si="99"/>
        <v>0</v>
      </c>
      <c r="E660" s="14">
        <f>IF(OR(A660="",B660&lt;=0),0,ROUND(B660*(subjectInterestRate/12),2))</f>
        <v>0</v>
      </c>
      <c r="K660" s="276">
        <f t="shared" si="100"/>
        <v>0</v>
      </c>
      <c r="L660" s="394">
        <f t="shared" si="102"/>
        <v>0</v>
      </c>
      <c r="M660" s="394">
        <f t="shared" si="101"/>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IF(OR(A660="",A660&gt;=subjectMortgageEndDate),"",EDATE(A660,1))</f>
        <v/>
      </c>
      <c r="B661" s="276">
        <f t="shared" ref="B661:B724" si="103">IF(A661="",0,MAX(0,K660))</f>
        <v>0</v>
      </c>
      <c r="C661" s="14">
        <f>IF(A661="",0,IF(B661&lt;=0,0,IF(A661=subjectMortgageEndDate,B661+E661,MIN(subjectPayment,B661+E661))))</f>
        <v>0</v>
      </c>
      <c r="D661" s="14">
        <f t="shared" ref="D661:D724" si="104">IF(C661=0,0,MAX(0,MIN(B661,C661-E661)))</f>
        <v>0</v>
      </c>
      <c r="E661" s="14">
        <f>IF(OR(A661="",B661&lt;=0),0,ROUND(B661*(subjectInterestRate/12),2))</f>
        <v>0</v>
      </c>
      <c r="K661" s="276">
        <f t="shared" ref="K661:K724" si="105">IF(A661="",0,IF(B661&lt;=0,0,MAX(0,B661-D661)))</f>
        <v>0</v>
      </c>
      <c r="L661" s="394">
        <f t="shared" si="102"/>
        <v>0</v>
      </c>
      <c r="M661" s="394">
        <f t="shared" ref="M661:M724" si="106">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IF(OR(A661="",A661&gt;=subjectMortgageEndDate),"",EDATE(A661,1))</f>
        <v/>
      </c>
      <c r="B662" s="276">
        <f t="shared" si="103"/>
        <v>0</v>
      </c>
      <c r="C662" s="14">
        <f>IF(A662="",0,IF(B662&lt;=0,0,IF(A662=subjectMortgageEndDate,B662+E662,MIN(subjectPayment,B662+E662))))</f>
        <v>0</v>
      </c>
      <c r="D662" s="14">
        <f t="shared" si="104"/>
        <v>0</v>
      </c>
      <c r="E662" s="14">
        <f>IF(OR(A662="",B662&lt;=0),0,ROUND(B662*(subjectInterestRate/12),2))</f>
        <v>0</v>
      </c>
      <c r="K662" s="276">
        <f t="shared" si="105"/>
        <v>0</v>
      </c>
      <c r="L662" s="394">
        <f t="shared" si="102"/>
        <v>0</v>
      </c>
      <c r="M662" s="394">
        <f t="shared" si="106"/>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IF(OR(A662="",A662&gt;=subjectMortgageEndDate),"",EDATE(A662,1))</f>
        <v/>
      </c>
      <c r="B663" s="276">
        <f t="shared" si="103"/>
        <v>0</v>
      </c>
      <c r="C663" s="14">
        <f>IF(A663="",0,IF(B663&lt;=0,0,IF(A663=subjectMortgageEndDate,B663+E663,MIN(subjectPayment,B663+E663))))</f>
        <v>0</v>
      </c>
      <c r="D663" s="14">
        <f t="shared" si="104"/>
        <v>0</v>
      </c>
      <c r="E663" s="14">
        <f>IF(OR(A663="",B663&lt;=0),0,ROUND(B663*(subjectInterestRate/12),2))</f>
        <v>0</v>
      </c>
      <c r="K663" s="276">
        <f t="shared" si="105"/>
        <v>0</v>
      </c>
      <c r="L663" s="394">
        <f t="shared" si="102"/>
        <v>0</v>
      </c>
      <c r="M663" s="394">
        <f t="shared" si="106"/>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IF(OR(A663="",A663&gt;=subjectMortgageEndDate),"",EDATE(A663,1))</f>
        <v/>
      </c>
      <c r="B664" s="276">
        <f t="shared" si="103"/>
        <v>0</v>
      </c>
      <c r="C664" s="14">
        <f>IF(A664="",0,IF(B664&lt;=0,0,IF(A664=subjectMortgageEndDate,B664+E664,MIN(subjectPayment,B664+E664))))</f>
        <v>0</v>
      </c>
      <c r="D664" s="14">
        <f t="shared" si="104"/>
        <v>0</v>
      </c>
      <c r="E664" s="14">
        <f>IF(OR(A664="",B664&lt;=0),0,ROUND(B664*(subjectInterestRate/12),2))</f>
        <v>0</v>
      </c>
      <c r="K664" s="276">
        <f t="shared" si="105"/>
        <v>0</v>
      </c>
      <c r="L664" s="394">
        <f t="shared" si="102"/>
        <v>0</v>
      </c>
      <c r="M664" s="394">
        <f t="shared" si="106"/>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IF(OR(A664="",A664&gt;=subjectMortgageEndDate),"",EDATE(A664,1))</f>
        <v/>
      </c>
      <c r="B665" s="276">
        <f t="shared" si="103"/>
        <v>0</v>
      </c>
      <c r="C665" s="14">
        <f>IF(A665="",0,IF(B665&lt;=0,0,IF(A665=subjectMortgageEndDate,B665+E665,MIN(subjectPayment,B665+E665))))</f>
        <v>0</v>
      </c>
      <c r="D665" s="14">
        <f t="shared" si="104"/>
        <v>0</v>
      </c>
      <c r="E665" s="14">
        <f>IF(OR(A665="",B665&lt;=0),0,ROUND(B665*(subjectInterestRate/12),2))</f>
        <v>0</v>
      </c>
      <c r="K665" s="276">
        <f t="shared" si="105"/>
        <v>0</v>
      </c>
      <c r="L665" s="394">
        <f t="shared" si="102"/>
        <v>0</v>
      </c>
      <c r="M665" s="394">
        <f t="shared" si="106"/>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IF(OR(A665="",A665&gt;=subjectMortgageEndDate),"",EDATE(A665,1))</f>
        <v/>
      </c>
      <c r="B666" s="276">
        <f t="shared" si="103"/>
        <v>0</v>
      </c>
      <c r="C666" s="14">
        <f>IF(A666="",0,IF(B666&lt;=0,0,IF(A666=subjectMortgageEndDate,B666+E666,MIN(subjectPayment,B666+E666))))</f>
        <v>0</v>
      </c>
      <c r="D666" s="14">
        <f t="shared" si="104"/>
        <v>0</v>
      </c>
      <c r="E666" s="14">
        <f>IF(OR(A666="",B666&lt;=0),0,ROUND(B666*(subjectInterestRate/12),2))</f>
        <v>0</v>
      </c>
      <c r="K666" s="276">
        <f t="shared" si="105"/>
        <v>0</v>
      </c>
      <c r="L666" s="394">
        <f t="shared" si="102"/>
        <v>0</v>
      </c>
      <c r="M666" s="394">
        <f t="shared" si="106"/>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IF(OR(A666="",A666&gt;=subjectMortgageEndDate),"",EDATE(A666,1))</f>
        <v/>
      </c>
      <c r="B667" s="332">
        <f t="shared" si="103"/>
        <v>0</v>
      </c>
      <c r="C667" s="21">
        <f>IF(A667="",0,IF(B667&lt;=0,0,IF(A667=subjectMortgageEndDate,B667+E667,MIN(subjectPayment,B667+E667))))</f>
        <v>0</v>
      </c>
      <c r="D667" s="21">
        <f t="shared" si="104"/>
        <v>0</v>
      </c>
      <c r="E667" s="21">
        <f>IF(OR(A667="",B667&lt;=0),0,ROUND(B667*(subjectInterestRate/12),2))</f>
        <v>0</v>
      </c>
      <c r="F667" s="21"/>
      <c r="G667" s="21"/>
      <c r="H667" s="21"/>
      <c r="I667" s="332"/>
      <c r="J667" s="332"/>
      <c r="K667" s="332">
        <f t="shared" si="105"/>
        <v>0</v>
      </c>
      <c r="L667" s="395">
        <f t="shared" si="102"/>
        <v>0</v>
      </c>
      <c r="M667" s="395">
        <f t="shared" si="106"/>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32">
        <f>IF(INDEX(tblContractForDeed[End Bal],ROW()-ROW(tblBuyerOutputs[#Headers]))&lt;=0,0,($O$6+IF(ROW()=ROW(tblBuyerOutputs[#Headers])+1,0,INDEX(tblBuyerOutputs[Cumul Appr],ROW()-ROW(tblBuyerOutputs[#Headers])-1)))*$O$2/12)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IF(OR(A667="",A667&gt;=subjectMortgageEndDate),"",EDATE(A667,1))</f>
        <v/>
      </c>
      <c r="B668" s="276">
        <f t="shared" si="103"/>
        <v>0</v>
      </c>
      <c r="C668" s="14">
        <f>IF(A668="",0,IF(B668&lt;=0,0,IF(A668=subjectMortgageEndDate,B668+E668,MIN(subjectPayment,B668+E668))))</f>
        <v>0</v>
      </c>
      <c r="D668" s="14">
        <f t="shared" si="104"/>
        <v>0</v>
      </c>
      <c r="E668" s="14">
        <f>IF(OR(A668="",B668&lt;=0),0,ROUND(B668*(subjectInterestRate/12),2))</f>
        <v>0</v>
      </c>
      <c r="K668" s="276">
        <f t="shared" si="105"/>
        <v>0</v>
      </c>
      <c r="L668" s="394">
        <f t="shared" si="102"/>
        <v>0</v>
      </c>
      <c r="M668" s="394">
        <f t="shared" si="106"/>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IF(OR(A668="",A668&gt;=subjectMortgageEndDate),"",EDATE(A668,1))</f>
        <v/>
      </c>
      <c r="B669" s="276">
        <f t="shared" si="103"/>
        <v>0</v>
      </c>
      <c r="C669" s="14">
        <f>IF(A669="",0,IF(B669&lt;=0,0,IF(A669=subjectMortgageEndDate,B669+E669,MIN(subjectPayment,B669+E669))))</f>
        <v>0</v>
      </c>
      <c r="D669" s="14">
        <f t="shared" si="104"/>
        <v>0</v>
      </c>
      <c r="E669" s="14">
        <f>IF(OR(A669="",B669&lt;=0),0,ROUND(B669*(subjectInterestRate/12),2))</f>
        <v>0</v>
      </c>
      <c r="K669" s="276">
        <f t="shared" si="105"/>
        <v>0</v>
      </c>
      <c r="L669" s="394">
        <f t="shared" si="102"/>
        <v>0</v>
      </c>
      <c r="M669" s="394">
        <f t="shared" si="106"/>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IF(OR(A669="",A669&gt;=subjectMortgageEndDate),"",EDATE(A669,1))</f>
        <v/>
      </c>
      <c r="B670" s="276">
        <f t="shared" si="103"/>
        <v>0</v>
      </c>
      <c r="C670" s="14">
        <f>IF(A670="",0,IF(B670&lt;=0,0,IF(A670=subjectMortgageEndDate,B670+E670,MIN(subjectPayment,B670+E670))))</f>
        <v>0</v>
      </c>
      <c r="D670" s="14">
        <f t="shared" si="104"/>
        <v>0</v>
      </c>
      <c r="E670" s="14">
        <f>IF(OR(A670="",B670&lt;=0),0,ROUND(B670*(subjectInterestRate/12),2))</f>
        <v>0</v>
      </c>
      <c r="K670" s="276">
        <f t="shared" si="105"/>
        <v>0</v>
      </c>
      <c r="L670" s="394">
        <f t="shared" si="102"/>
        <v>0</v>
      </c>
      <c r="M670" s="394">
        <f t="shared" si="106"/>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IF(OR(A670="",A670&gt;=subjectMortgageEndDate),"",EDATE(A670,1))</f>
        <v/>
      </c>
      <c r="B671" s="276">
        <f t="shared" si="103"/>
        <v>0</v>
      </c>
      <c r="C671" s="14">
        <f>IF(A671="",0,IF(B671&lt;=0,0,IF(A671=subjectMortgageEndDate,B671+E671,MIN(subjectPayment,B671+E671))))</f>
        <v>0</v>
      </c>
      <c r="D671" s="14">
        <f t="shared" si="104"/>
        <v>0</v>
      </c>
      <c r="E671" s="14">
        <f>IF(OR(A671="",B671&lt;=0),0,ROUND(B671*(subjectInterestRate/12),2))</f>
        <v>0</v>
      </c>
      <c r="K671" s="276">
        <f t="shared" si="105"/>
        <v>0</v>
      </c>
      <c r="L671" s="394">
        <f t="shared" si="102"/>
        <v>0</v>
      </c>
      <c r="M671" s="394">
        <f t="shared" si="106"/>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IF(OR(A671="",A671&gt;=subjectMortgageEndDate),"",EDATE(A671,1))</f>
        <v/>
      </c>
      <c r="B672" s="276">
        <f t="shared" si="103"/>
        <v>0</v>
      </c>
      <c r="C672" s="14">
        <f>IF(A672="",0,IF(B672&lt;=0,0,IF(A672=subjectMortgageEndDate,B672+E672,MIN(subjectPayment,B672+E672))))</f>
        <v>0</v>
      </c>
      <c r="D672" s="14">
        <f t="shared" si="104"/>
        <v>0</v>
      </c>
      <c r="E672" s="14">
        <f>IF(OR(A672="",B672&lt;=0),0,ROUND(B672*(subjectInterestRate/12),2))</f>
        <v>0</v>
      </c>
      <c r="K672" s="276">
        <f t="shared" si="105"/>
        <v>0</v>
      </c>
      <c r="L672" s="394">
        <f t="shared" si="102"/>
        <v>0</v>
      </c>
      <c r="M672" s="394">
        <f t="shared" si="106"/>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IF(OR(A672="",A672&gt;=subjectMortgageEndDate),"",EDATE(A672,1))</f>
        <v/>
      </c>
      <c r="B673" s="276">
        <f t="shared" si="103"/>
        <v>0</v>
      </c>
      <c r="C673" s="14">
        <f>IF(A673="",0,IF(B673&lt;=0,0,IF(A673=subjectMortgageEndDate,B673+E673,MIN(subjectPayment,B673+E673))))</f>
        <v>0</v>
      </c>
      <c r="D673" s="14">
        <f t="shared" si="104"/>
        <v>0</v>
      </c>
      <c r="E673" s="14">
        <f>IF(OR(A673="",B673&lt;=0),0,ROUND(B673*(subjectInterestRate/12),2))</f>
        <v>0</v>
      </c>
      <c r="K673" s="276">
        <f t="shared" si="105"/>
        <v>0</v>
      </c>
      <c r="L673" s="394">
        <f t="shared" si="102"/>
        <v>0</v>
      </c>
      <c r="M673" s="394">
        <f t="shared" si="106"/>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IF(OR(A673="",A673&gt;=subjectMortgageEndDate),"",EDATE(A673,1))</f>
        <v/>
      </c>
      <c r="B674" s="276">
        <f t="shared" si="103"/>
        <v>0</v>
      </c>
      <c r="C674" s="14">
        <f>IF(A674="",0,IF(B674&lt;=0,0,IF(A674=subjectMortgageEndDate,B674+E674,MIN(subjectPayment,B674+E674))))</f>
        <v>0</v>
      </c>
      <c r="D674" s="14">
        <f t="shared" si="104"/>
        <v>0</v>
      </c>
      <c r="E674" s="14">
        <f>IF(OR(A674="",B674&lt;=0),0,ROUND(B674*(subjectInterestRate/12),2))</f>
        <v>0</v>
      </c>
      <c r="K674" s="276">
        <f t="shared" si="105"/>
        <v>0</v>
      </c>
      <c r="L674" s="394">
        <f t="shared" si="102"/>
        <v>0</v>
      </c>
      <c r="M674" s="394">
        <f t="shared" si="106"/>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IF(OR(A674="",A674&gt;=subjectMortgageEndDate),"",EDATE(A674,1))</f>
        <v/>
      </c>
      <c r="B675" s="276">
        <f t="shared" si="103"/>
        <v>0</v>
      </c>
      <c r="C675" s="14">
        <f>IF(A675="",0,IF(B675&lt;=0,0,IF(A675=subjectMortgageEndDate,B675+E675,MIN(subjectPayment,B675+E675))))</f>
        <v>0</v>
      </c>
      <c r="D675" s="14">
        <f t="shared" si="104"/>
        <v>0</v>
      </c>
      <c r="E675" s="14">
        <f>IF(OR(A675="",B675&lt;=0),0,ROUND(B675*(subjectInterestRate/12),2))</f>
        <v>0</v>
      </c>
      <c r="K675" s="276">
        <f t="shared" si="105"/>
        <v>0</v>
      </c>
      <c r="L675" s="394">
        <f t="shared" si="102"/>
        <v>0</v>
      </c>
      <c r="M675" s="394">
        <f t="shared" si="106"/>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IF(OR(A675="",A675&gt;=subjectMortgageEndDate),"",EDATE(A675,1))</f>
        <v/>
      </c>
      <c r="B676" s="276">
        <f t="shared" si="103"/>
        <v>0</v>
      </c>
      <c r="C676" s="14">
        <f>IF(A676="",0,IF(B676&lt;=0,0,IF(A676=subjectMortgageEndDate,B676+E676,MIN(subjectPayment,B676+E676))))</f>
        <v>0</v>
      </c>
      <c r="D676" s="14">
        <f t="shared" si="104"/>
        <v>0</v>
      </c>
      <c r="E676" s="14">
        <f>IF(OR(A676="",B676&lt;=0),0,ROUND(B676*(subjectInterestRate/12),2))</f>
        <v>0</v>
      </c>
      <c r="K676" s="276">
        <f t="shared" si="105"/>
        <v>0</v>
      </c>
      <c r="L676" s="394">
        <f t="shared" si="102"/>
        <v>0</v>
      </c>
      <c r="M676" s="394">
        <f t="shared" si="106"/>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IF(OR(A676="",A676&gt;=subjectMortgageEndDate),"",EDATE(A676,1))</f>
        <v/>
      </c>
      <c r="B677" s="276">
        <f t="shared" si="103"/>
        <v>0</v>
      </c>
      <c r="C677" s="14">
        <f>IF(A677="",0,IF(B677&lt;=0,0,IF(A677=subjectMortgageEndDate,B677+E677,MIN(subjectPayment,B677+E677))))</f>
        <v>0</v>
      </c>
      <c r="D677" s="14">
        <f t="shared" si="104"/>
        <v>0</v>
      </c>
      <c r="E677" s="14">
        <f>IF(OR(A677="",B677&lt;=0),0,ROUND(B677*(subjectInterestRate/12),2))</f>
        <v>0</v>
      </c>
      <c r="K677" s="276">
        <f t="shared" si="105"/>
        <v>0</v>
      </c>
      <c r="L677" s="394">
        <f t="shared" si="102"/>
        <v>0</v>
      </c>
      <c r="M677" s="394">
        <f t="shared" si="106"/>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IF(OR(A677="",A677&gt;=subjectMortgageEndDate),"",EDATE(A677,1))</f>
        <v/>
      </c>
      <c r="B678" s="276">
        <f t="shared" si="103"/>
        <v>0</v>
      </c>
      <c r="C678" s="14">
        <f>IF(A678="",0,IF(B678&lt;=0,0,IF(A678=subjectMortgageEndDate,B678+E678,MIN(subjectPayment,B678+E678))))</f>
        <v>0</v>
      </c>
      <c r="D678" s="14">
        <f t="shared" si="104"/>
        <v>0</v>
      </c>
      <c r="E678" s="14">
        <f>IF(OR(A678="",B678&lt;=0),0,ROUND(B678*(subjectInterestRate/12),2))</f>
        <v>0</v>
      </c>
      <c r="K678" s="276">
        <f t="shared" si="105"/>
        <v>0</v>
      </c>
      <c r="L678" s="394">
        <f t="shared" si="102"/>
        <v>0</v>
      </c>
      <c r="M678" s="394">
        <f t="shared" si="106"/>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IF(OR(A678="",A678&gt;=subjectMortgageEndDate),"",EDATE(A678,1))</f>
        <v/>
      </c>
      <c r="B679" s="332">
        <f t="shared" si="103"/>
        <v>0</v>
      </c>
      <c r="C679" s="21">
        <f>IF(A679="",0,IF(B679&lt;=0,0,IF(A679=subjectMortgageEndDate,B679+E679,MIN(subjectPayment,B679+E679))))</f>
        <v>0</v>
      </c>
      <c r="D679" s="21">
        <f t="shared" si="104"/>
        <v>0</v>
      </c>
      <c r="E679" s="21">
        <f>IF(OR(A679="",B679&lt;=0),0,ROUND(B679*(subjectInterestRate/12),2))</f>
        <v>0</v>
      </c>
      <c r="F679" s="21"/>
      <c r="G679" s="21"/>
      <c r="H679" s="21"/>
      <c r="I679" s="332"/>
      <c r="J679" s="332"/>
      <c r="K679" s="332">
        <f t="shared" si="105"/>
        <v>0</v>
      </c>
      <c r="L679" s="395">
        <f t="shared" si="102"/>
        <v>0</v>
      </c>
      <c r="M679" s="395">
        <f t="shared" si="106"/>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32">
        <f>IF(INDEX(tblContractForDeed[End Bal],ROW()-ROW(tblBuyerOutputs[#Headers]))&lt;=0,0,($O$6+IF(ROW()=ROW(tblBuyerOutputs[#Headers])+1,0,INDEX(tblBuyerOutputs[Cumul Appr],ROW()-ROW(tblBuyerOutputs[#Headers])-1)))*$O$2/12)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IF(OR(A679="",A679&gt;=subjectMortgageEndDate),"",EDATE(A679,1))</f>
        <v/>
      </c>
      <c r="B680" s="276">
        <f t="shared" si="103"/>
        <v>0</v>
      </c>
      <c r="C680" s="14">
        <f>IF(A680="",0,IF(B680&lt;=0,0,IF(A680=subjectMortgageEndDate,B680+E680,MIN(subjectPayment,B680+E680))))</f>
        <v>0</v>
      </c>
      <c r="D680" s="14">
        <f t="shared" si="104"/>
        <v>0</v>
      </c>
      <c r="E680" s="14">
        <f>IF(OR(A680="",B680&lt;=0),0,ROUND(B680*(subjectInterestRate/12),2))</f>
        <v>0</v>
      </c>
      <c r="K680" s="276">
        <f t="shared" si="105"/>
        <v>0</v>
      </c>
      <c r="L680" s="394">
        <f t="shared" si="102"/>
        <v>0</v>
      </c>
      <c r="M680" s="394">
        <f t="shared" si="106"/>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IF(OR(A680="",A680&gt;=subjectMortgageEndDate),"",EDATE(A680,1))</f>
        <v/>
      </c>
      <c r="B681" s="276">
        <f t="shared" si="103"/>
        <v>0</v>
      </c>
      <c r="C681" s="14">
        <f>IF(A681="",0,IF(B681&lt;=0,0,IF(A681=subjectMortgageEndDate,B681+E681,MIN(subjectPayment,B681+E681))))</f>
        <v>0</v>
      </c>
      <c r="D681" s="14">
        <f t="shared" si="104"/>
        <v>0</v>
      </c>
      <c r="E681" s="14">
        <f>IF(OR(A681="",B681&lt;=0),0,ROUND(B681*(subjectInterestRate/12),2))</f>
        <v>0</v>
      </c>
      <c r="K681" s="276">
        <f t="shared" si="105"/>
        <v>0</v>
      </c>
      <c r="L681" s="394">
        <f t="shared" si="102"/>
        <v>0</v>
      </c>
      <c r="M681" s="394">
        <f t="shared" si="106"/>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IF(OR(A681="",A681&gt;=subjectMortgageEndDate),"",EDATE(A681,1))</f>
        <v/>
      </c>
      <c r="B682" s="276">
        <f t="shared" si="103"/>
        <v>0</v>
      </c>
      <c r="C682" s="14">
        <f>IF(A682="",0,IF(B682&lt;=0,0,IF(A682=subjectMortgageEndDate,B682+E682,MIN(subjectPayment,B682+E682))))</f>
        <v>0</v>
      </c>
      <c r="D682" s="14">
        <f t="shared" si="104"/>
        <v>0</v>
      </c>
      <c r="E682" s="14">
        <f>IF(OR(A682="",B682&lt;=0),0,ROUND(B682*(subjectInterestRate/12),2))</f>
        <v>0</v>
      </c>
      <c r="K682" s="276">
        <f t="shared" si="105"/>
        <v>0</v>
      </c>
      <c r="L682" s="394">
        <f t="shared" si="102"/>
        <v>0</v>
      </c>
      <c r="M682" s="394">
        <f t="shared" si="106"/>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IF(OR(A682="",A682&gt;=subjectMortgageEndDate),"",EDATE(A682,1))</f>
        <v/>
      </c>
      <c r="B683" s="276">
        <f t="shared" si="103"/>
        <v>0</v>
      </c>
      <c r="C683" s="14">
        <f>IF(A683="",0,IF(B683&lt;=0,0,IF(A683=subjectMortgageEndDate,B683+E683,MIN(subjectPayment,B683+E683))))</f>
        <v>0</v>
      </c>
      <c r="D683" s="14">
        <f t="shared" si="104"/>
        <v>0</v>
      </c>
      <c r="E683" s="14">
        <f>IF(OR(A683="",B683&lt;=0),0,ROUND(B683*(subjectInterestRate/12),2))</f>
        <v>0</v>
      </c>
      <c r="K683" s="276">
        <f t="shared" si="105"/>
        <v>0</v>
      </c>
      <c r="L683" s="394">
        <f t="shared" si="102"/>
        <v>0</v>
      </c>
      <c r="M683" s="394">
        <f t="shared" si="106"/>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IF(OR(A683="",A683&gt;=subjectMortgageEndDate),"",EDATE(A683,1))</f>
        <v/>
      </c>
      <c r="B684" s="276">
        <f t="shared" si="103"/>
        <v>0</v>
      </c>
      <c r="C684" s="14">
        <f>IF(A684="",0,IF(B684&lt;=0,0,IF(A684=subjectMortgageEndDate,B684+E684,MIN(subjectPayment,B684+E684))))</f>
        <v>0</v>
      </c>
      <c r="D684" s="14">
        <f t="shared" si="104"/>
        <v>0</v>
      </c>
      <c r="E684" s="14">
        <f>IF(OR(A684="",B684&lt;=0),0,ROUND(B684*(subjectInterestRate/12),2))</f>
        <v>0</v>
      </c>
      <c r="K684" s="276">
        <f t="shared" si="105"/>
        <v>0</v>
      </c>
      <c r="L684" s="394">
        <f t="shared" si="102"/>
        <v>0</v>
      </c>
      <c r="M684" s="394">
        <f t="shared" si="106"/>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IF(OR(A684="",A684&gt;=subjectMortgageEndDate),"",EDATE(A684,1))</f>
        <v/>
      </c>
      <c r="B685" s="276">
        <f t="shared" si="103"/>
        <v>0</v>
      </c>
      <c r="C685" s="14">
        <f>IF(A685="",0,IF(B685&lt;=0,0,IF(A685=subjectMortgageEndDate,B685+E685,MIN(subjectPayment,B685+E685))))</f>
        <v>0</v>
      </c>
      <c r="D685" s="14">
        <f t="shared" si="104"/>
        <v>0</v>
      </c>
      <c r="E685" s="14">
        <f>IF(OR(A685="",B685&lt;=0),0,ROUND(B685*(subjectInterestRate/12),2))</f>
        <v>0</v>
      </c>
      <c r="K685" s="276">
        <f t="shared" si="105"/>
        <v>0</v>
      </c>
      <c r="L685" s="394">
        <f t="shared" si="102"/>
        <v>0</v>
      </c>
      <c r="M685" s="394">
        <f t="shared" si="106"/>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IF(OR(A685="",A685&gt;=subjectMortgageEndDate),"",EDATE(A685,1))</f>
        <v/>
      </c>
      <c r="B686" s="276">
        <f t="shared" si="103"/>
        <v>0</v>
      </c>
      <c r="C686" s="14">
        <f>IF(A686="",0,IF(B686&lt;=0,0,IF(A686=subjectMortgageEndDate,B686+E686,MIN(subjectPayment,B686+E686))))</f>
        <v>0</v>
      </c>
      <c r="D686" s="14">
        <f t="shared" si="104"/>
        <v>0</v>
      </c>
      <c r="E686" s="14">
        <f>IF(OR(A686="",B686&lt;=0),0,ROUND(B686*(subjectInterestRate/12),2))</f>
        <v>0</v>
      </c>
      <c r="K686" s="276">
        <f t="shared" si="105"/>
        <v>0</v>
      </c>
      <c r="L686" s="394">
        <f t="shared" si="102"/>
        <v>0</v>
      </c>
      <c r="M686" s="394">
        <f t="shared" si="106"/>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IF(OR(A686="",A686&gt;=subjectMortgageEndDate),"",EDATE(A686,1))</f>
        <v/>
      </c>
      <c r="B687" s="276">
        <f t="shared" si="103"/>
        <v>0</v>
      </c>
      <c r="C687" s="14">
        <f>IF(A687="",0,IF(B687&lt;=0,0,IF(A687=subjectMortgageEndDate,B687+E687,MIN(subjectPayment,B687+E687))))</f>
        <v>0</v>
      </c>
      <c r="D687" s="14">
        <f t="shared" si="104"/>
        <v>0</v>
      </c>
      <c r="E687" s="14">
        <f>IF(OR(A687="",B687&lt;=0),0,ROUND(B687*(subjectInterestRate/12),2))</f>
        <v>0</v>
      </c>
      <c r="K687" s="276">
        <f t="shared" si="105"/>
        <v>0</v>
      </c>
      <c r="L687" s="394">
        <f t="shared" si="102"/>
        <v>0</v>
      </c>
      <c r="M687" s="394">
        <f t="shared" si="106"/>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IF(OR(A687="",A687&gt;=subjectMortgageEndDate),"",EDATE(A687,1))</f>
        <v/>
      </c>
      <c r="B688" s="276">
        <f t="shared" si="103"/>
        <v>0</v>
      </c>
      <c r="C688" s="14">
        <f>IF(A688="",0,IF(B688&lt;=0,0,IF(A688=subjectMortgageEndDate,B688+E688,MIN(subjectPayment,B688+E688))))</f>
        <v>0</v>
      </c>
      <c r="D688" s="14">
        <f t="shared" si="104"/>
        <v>0</v>
      </c>
      <c r="E688" s="14">
        <f>IF(OR(A688="",B688&lt;=0),0,ROUND(B688*(subjectInterestRate/12),2))</f>
        <v>0</v>
      </c>
      <c r="K688" s="276">
        <f t="shared" si="105"/>
        <v>0</v>
      </c>
      <c r="L688" s="394">
        <f t="shared" si="102"/>
        <v>0</v>
      </c>
      <c r="M688" s="394">
        <f t="shared" si="106"/>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IF(OR(A688="",A688&gt;=subjectMortgageEndDate),"",EDATE(A688,1))</f>
        <v/>
      </c>
      <c r="B689" s="276">
        <f t="shared" si="103"/>
        <v>0</v>
      </c>
      <c r="C689" s="14">
        <f>IF(A689="",0,IF(B689&lt;=0,0,IF(A689=subjectMortgageEndDate,B689+E689,MIN(subjectPayment,B689+E689))))</f>
        <v>0</v>
      </c>
      <c r="D689" s="14">
        <f t="shared" si="104"/>
        <v>0</v>
      </c>
      <c r="E689" s="14">
        <f>IF(OR(A689="",B689&lt;=0),0,ROUND(B689*(subjectInterestRate/12),2))</f>
        <v>0</v>
      </c>
      <c r="K689" s="276">
        <f t="shared" si="105"/>
        <v>0</v>
      </c>
      <c r="L689" s="394">
        <f t="shared" si="102"/>
        <v>0</v>
      </c>
      <c r="M689" s="394">
        <f t="shared" si="106"/>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IF(OR(A689="",A689&gt;=subjectMortgageEndDate),"",EDATE(A689,1))</f>
        <v/>
      </c>
      <c r="B690" s="276">
        <f t="shared" si="103"/>
        <v>0</v>
      </c>
      <c r="C690" s="14">
        <f>IF(A690="",0,IF(B690&lt;=0,0,IF(A690=subjectMortgageEndDate,B690+E690,MIN(subjectPayment,B690+E690))))</f>
        <v>0</v>
      </c>
      <c r="D690" s="14">
        <f t="shared" si="104"/>
        <v>0</v>
      </c>
      <c r="E690" s="14">
        <f>IF(OR(A690="",B690&lt;=0),0,ROUND(B690*(subjectInterestRate/12),2))</f>
        <v>0</v>
      </c>
      <c r="K690" s="276">
        <f t="shared" si="105"/>
        <v>0</v>
      </c>
      <c r="L690" s="394">
        <f t="shared" si="102"/>
        <v>0</v>
      </c>
      <c r="M690" s="394">
        <f t="shared" si="106"/>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IF(OR(A690="",A690&gt;=subjectMortgageEndDate),"",EDATE(A690,1))</f>
        <v/>
      </c>
      <c r="B691" s="332">
        <f t="shared" si="103"/>
        <v>0</v>
      </c>
      <c r="C691" s="21">
        <f>IF(A691="",0,IF(B691&lt;=0,0,IF(A691=subjectMortgageEndDate,B691+E691,MIN(subjectPayment,B691+E691))))</f>
        <v>0</v>
      </c>
      <c r="D691" s="21">
        <f t="shared" si="104"/>
        <v>0</v>
      </c>
      <c r="E691" s="21">
        <f>IF(OR(A691="",B691&lt;=0),0,ROUND(B691*(subjectInterestRate/12),2))</f>
        <v>0</v>
      </c>
      <c r="F691" s="21"/>
      <c r="G691" s="21"/>
      <c r="H691" s="21"/>
      <c r="I691" s="332"/>
      <c r="J691" s="332"/>
      <c r="K691" s="332">
        <f t="shared" si="105"/>
        <v>0</v>
      </c>
      <c r="L691" s="395">
        <f t="shared" si="102"/>
        <v>0</v>
      </c>
      <c r="M691" s="395">
        <f t="shared" si="106"/>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32">
        <f>IF(INDEX(tblContractForDeed[End Bal],ROW()-ROW(tblBuyerOutputs[#Headers]))&lt;=0,0,($O$6+IF(ROW()=ROW(tblBuyerOutputs[#Headers])+1,0,INDEX(tblBuyerOutputs[Cumul Appr],ROW()-ROW(tblBuyerOutputs[#Headers])-1)))*$O$2/12)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IF(OR(A691="",A691&gt;=subjectMortgageEndDate),"",EDATE(A691,1))</f>
        <v/>
      </c>
      <c r="B692" s="276">
        <f t="shared" si="103"/>
        <v>0</v>
      </c>
      <c r="C692" s="14">
        <f>IF(A692="",0,IF(B692&lt;=0,0,IF(A692=subjectMortgageEndDate,B692+E692,MIN(subjectPayment,B692+E692))))</f>
        <v>0</v>
      </c>
      <c r="D692" s="14">
        <f t="shared" si="104"/>
        <v>0</v>
      </c>
      <c r="E692" s="14">
        <f>IF(OR(A692="",B692&lt;=0),0,ROUND(B692*(subjectInterestRate/12),2))</f>
        <v>0</v>
      </c>
      <c r="K692" s="276">
        <f t="shared" si="105"/>
        <v>0</v>
      </c>
      <c r="L692" s="394">
        <f t="shared" ref="L692:L755" si="107">IF(MOD(M692,12)=0,M692/12,L691)</f>
        <v>0</v>
      </c>
      <c r="M692" s="394">
        <f t="shared" si="106"/>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IF(OR(A692="",A692&gt;=subjectMortgageEndDate),"",EDATE(A692,1))</f>
        <v/>
      </c>
      <c r="B693" s="276">
        <f t="shared" si="103"/>
        <v>0</v>
      </c>
      <c r="C693" s="14">
        <f>IF(A693="",0,IF(B693&lt;=0,0,IF(A693=subjectMortgageEndDate,B693+E693,MIN(subjectPayment,B693+E693))))</f>
        <v>0</v>
      </c>
      <c r="D693" s="14">
        <f t="shared" si="104"/>
        <v>0</v>
      </c>
      <c r="E693" s="14">
        <f>IF(OR(A693="",B693&lt;=0),0,ROUND(B693*(subjectInterestRate/12),2))</f>
        <v>0</v>
      </c>
      <c r="K693" s="276">
        <f t="shared" si="105"/>
        <v>0</v>
      </c>
      <c r="L693" s="394">
        <f t="shared" si="107"/>
        <v>0</v>
      </c>
      <c r="M693" s="394">
        <f t="shared" si="106"/>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IF(OR(A693="",A693&gt;=subjectMortgageEndDate),"",EDATE(A693,1))</f>
        <v/>
      </c>
      <c r="B694" s="276">
        <f t="shared" si="103"/>
        <v>0</v>
      </c>
      <c r="C694" s="14">
        <f>IF(A694="",0,IF(B694&lt;=0,0,IF(A694=subjectMortgageEndDate,B694+E694,MIN(subjectPayment,B694+E694))))</f>
        <v>0</v>
      </c>
      <c r="D694" s="14">
        <f t="shared" si="104"/>
        <v>0</v>
      </c>
      <c r="E694" s="14">
        <f>IF(OR(A694="",B694&lt;=0),0,ROUND(B694*(subjectInterestRate/12),2))</f>
        <v>0</v>
      </c>
      <c r="K694" s="276">
        <f t="shared" si="105"/>
        <v>0</v>
      </c>
      <c r="L694" s="394">
        <f t="shared" si="107"/>
        <v>0</v>
      </c>
      <c r="M694" s="394">
        <f t="shared" si="106"/>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IF(OR(A694="",A694&gt;=subjectMortgageEndDate),"",EDATE(A694,1))</f>
        <v/>
      </c>
      <c r="B695" s="276">
        <f t="shared" si="103"/>
        <v>0</v>
      </c>
      <c r="C695" s="14">
        <f>IF(A695="",0,IF(B695&lt;=0,0,IF(A695=subjectMortgageEndDate,B695+E695,MIN(subjectPayment,B695+E695))))</f>
        <v>0</v>
      </c>
      <c r="D695" s="14">
        <f t="shared" si="104"/>
        <v>0</v>
      </c>
      <c r="E695" s="14">
        <f>IF(OR(A695="",B695&lt;=0),0,ROUND(B695*(subjectInterestRate/12),2))</f>
        <v>0</v>
      </c>
      <c r="K695" s="276">
        <f t="shared" si="105"/>
        <v>0</v>
      </c>
      <c r="L695" s="394">
        <f t="shared" si="107"/>
        <v>0</v>
      </c>
      <c r="M695" s="394">
        <f t="shared" si="106"/>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IF(OR(A695="",A695&gt;=subjectMortgageEndDate),"",EDATE(A695,1))</f>
        <v/>
      </c>
      <c r="B696" s="276">
        <f t="shared" si="103"/>
        <v>0</v>
      </c>
      <c r="C696" s="14">
        <f>IF(A696="",0,IF(B696&lt;=0,0,IF(A696=subjectMortgageEndDate,B696+E696,MIN(subjectPayment,B696+E696))))</f>
        <v>0</v>
      </c>
      <c r="D696" s="14">
        <f t="shared" si="104"/>
        <v>0</v>
      </c>
      <c r="E696" s="14">
        <f>IF(OR(A696="",B696&lt;=0),0,ROUND(B696*(subjectInterestRate/12),2))</f>
        <v>0</v>
      </c>
      <c r="K696" s="276">
        <f t="shared" si="105"/>
        <v>0</v>
      </c>
      <c r="L696" s="394">
        <f t="shared" si="107"/>
        <v>0</v>
      </c>
      <c r="M696" s="394">
        <f t="shared" si="106"/>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IF(OR(A696="",A696&gt;=subjectMortgageEndDate),"",EDATE(A696,1))</f>
        <v/>
      </c>
      <c r="B697" s="276">
        <f t="shared" si="103"/>
        <v>0</v>
      </c>
      <c r="C697" s="14">
        <f>IF(A697="",0,IF(B697&lt;=0,0,IF(A697=subjectMortgageEndDate,B697+E697,MIN(subjectPayment,B697+E697))))</f>
        <v>0</v>
      </c>
      <c r="D697" s="14">
        <f t="shared" si="104"/>
        <v>0</v>
      </c>
      <c r="E697" s="14">
        <f>IF(OR(A697="",B697&lt;=0),0,ROUND(B697*(subjectInterestRate/12),2))</f>
        <v>0</v>
      </c>
      <c r="K697" s="276">
        <f t="shared" si="105"/>
        <v>0</v>
      </c>
      <c r="L697" s="394">
        <f t="shared" si="107"/>
        <v>0</v>
      </c>
      <c r="M697" s="394">
        <f t="shared" si="106"/>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IF(OR(A697="",A697&gt;=subjectMortgageEndDate),"",EDATE(A697,1))</f>
        <v/>
      </c>
      <c r="B698" s="276">
        <f t="shared" si="103"/>
        <v>0</v>
      </c>
      <c r="C698" s="14">
        <f>IF(A698="",0,IF(B698&lt;=0,0,IF(A698=subjectMortgageEndDate,B698+E698,MIN(subjectPayment,B698+E698))))</f>
        <v>0</v>
      </c>
      <c r="D698" s="14">
        <f t="shared" si="104"/>
        <v>0</v>
      </c>
      <c r="E698" s="14">
        <f>IF(OR(A698="",B698&lt;=0),0,ROUND(B698*(subjectInterestRate/12),2))</f>
        <v>0</v>
      </c>
      <c r="K698" s="276">
        <f t="shared" si="105"/>
        <v>0</v>
      </c>
      <c r="L698" s="394">
        <f t="shared" si="107"/>
        <v>0</v>
      </c>
      <c r="M698" s="394">
        <f t="shared" si="106"/>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IF(OR(A698="",A698&gt;=subjectMortgageEndDate),"",EDATE(A698,1))</f>
        <v/>
      </c>
      <c r="B699" s="276">
        <f t="shared" si="103"/>
        <v>0</v>
      </c>
      <c r="C699" s="14">
        <f>IF(A699="",0,IF(B699&lt;=0,0,IF(A699=subjectMortgageEndDate,B699+E699,MIN(subjectPayment,B699+E699))))</f>
        <v>0</v>
      </c>
      <c r="D699" s="14">
        <f t="shared" si="104"/>
        <v>0</v>
      </c>
      <c r="E699" s="14">
        <f>IF(OR(A699="",B699&lt;=0),0,ROUND(B699*(subjectInterestRate/12),2))</f>
        <v>0</v>
      </c>
      <c r="K699" s="276">
        <f t="shared" si="105"/>
        <v>0</v>
      </c>
      <c r="L699" s="394">
        <f t="shared" si="107"/>
        <v>0</v>
      </c>
      <c r="M699" s="394">
        <f t="shared" si="106"/>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IF(OR(A699="",A699&gt;=subjectMortgageEndDate),"",EDATE(A699,1))</f>
        <v/>
      </c>
      <c r="B700" s="276">
        <f t="shared" si="103"/>
        <v>0</v>
      </c>
      <c r="C700" s="14">
        <f>IF(A700="",0,IF(B700&lt;=0,0,IF(A700=subjectMortgageEndDate,B700+E700,MIN(subjectPayment,B700+E700))))</f>
        <v>0</v>
      </c>
      <c r="D700" s="14">
        <f t="shared" si="104"/>
        <v>0</v>
      </c>
      <c r="E700" s="14">
        <f>IF(OR(A700="",B700&lt;=0),0,ROUND(B700*(subjectInterestRate/12),2))</f>
        <v>0</v>
      </c>
      <c r="K700" s="276">
        <f t="shared" si="105"/>
        <v>0</v>
      </c>
      <c r="L700" s="394">
        <f t="shared" si="107"/>
        <v>0</v>
      </c>
      <c r="M700" s="394">
        <f t="shared" si="106"/>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IF(OR(A700="",A700&gt;=subjectMortgageEndDate),"",EDATE(A700,1))</f>
        <v/>
      </c>
      <c r="B701" s="276">
        <f t="shared" si="103"/>
        <v>0</v>
      </c>
      <c r="C701" s="14">
        <f>IF(A701="",0,IF(B701&lt;=0,0,IF(A701=subjectMortgageEndDate,B701+E701,MIN(subjectPayment,B701+E701))))</f>
        <v>0</v>
      </c>
      <c r="D701" s="14">
        <f t="shared" si="104"/>
        <v>0</v>
      </c>
      <c r="E701" s="14">
        <f>IF(OR(A701="",B701&lt;=0),0,ROUND(B701*(subjectInterestRate/12),2))</f>
        <v>0</v>
      </c>
      <c r="K701" s="276">
        <f t="shared" si="105"/>
        <v>0</v>
      </c>
      <c r="L701" s="394">
        <f t="shared" si="107"/>
        <v>0</v>
      </c>
      <c r="M701" s="394">
        <f t="shared" si="106"/>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IF(OR(A701="",A701&gt;=subjectMortgageEndDate),"",EDATE(A701,1))</f>
        <v/>
      </c>
      <c r="B702" s="276">
        <f t="shared" si="103"/>
        <v>0</v>
      </c>
      <c r="C702" s="14">
        <f>IF(A702="",0,IF(B702&lt;=0,0,IF(A702=subjectMortgageEndDate,B702+E702,MIN(subjectPayment,B702+E702))))</f>
        <v>0</v>
      </c>
      <c r="D702" s="14">
        <f t="shared" si="104"/>
        <v>0</v>
      </c>
      <c r="E702" s="14">
        <f>IF(OR(A702="",B702&lt;=0),0,ROUND(B702*(subjectInterestRate/12),2))</f>
        <v>0</v>
      </c>
      <c r="K702" s="276">
        <f t="shared" si="105"/>
        <v>0</v>
      </c>
      <c r="L702" s="394">
        <f t="shared" si="107"/>
        <v>0</v>
      </c>
      <c r="M702" s="394">
        <f t="shared" si="106"/>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IF(OR(A702="",A702&gt;=subjectMortgageEndDate),"",EDATE(A702,1))</f>
        <v/>
      </c>
      <c r="B703" s="332">
        <f t="shared" si="103"/>
        <v>0</v>
      </c>
      <c r="C703" s="21">
        <f>IF(A703="",0,IF(B703&lt;=0,0,IF(A703=subjectMortgageEndDate,B703+E703,MIN(subjectPayment,B703+E703))))</f>
        <v>0</v>
      </c>
      <c r="D703" s="21">
        <f t="shared" si="104"/>
        <v>0</v>
      </c>
      <c r="E703" s="21">
        <f>IF(OR(A703="",B703&lt;=0),0,ROUND(B703*(subjectInterestRate/12),2))</f>
        <v>0</v>
      </c>
      <c r="F703" s="21"/>
      <c r="G703" s="21"/>
      <c r="H703" s="21"/>
      <c r="I703" s="332"/>
      <c r="J703" s="332"/>
      <c r="K703" s="332">
        <f t="shared" si="105"/>
        <v>0</v>
      </c>
      <c r="L703" s="395">
        <f t="shared" si="107"/>
        <v>0</v>
      </c>
      <c r="M703" s="395">
        <f t="shared" si="106"/>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32">
        <f>IF(INDEX(tblContractForDeed[End Bal],ROW()-ROW(tblBuyerOutputs[#Headers]))&lt;=0,0,($O$6+IF(ROW()=ROW(tblBuyerOutputs[#Headers])+1,0,INDEX(tblBuyerOutputs[Cumul Appr],ROW()-ROW(tblBuyerOutputs[#Headers])-1)))*$O$2/12)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IF(OR(A703="",A703&gt;=subjectMortgageEndDate),"",EDATE(A703,1))</f>
        <v/>
      </c>
      <c r="B704" s="276">
        <f t="shared" si="103"/>
        <v>0</v>
      </c>
      <c r="C704" s="14">
        <f>IF(A704="",0,IF(B704&lt;=0,0,IF(A704=subjectMortgageEndDate,B704+E704,MIN(subjectPayment,B704+E704))))</f>
        <v>0</v>
      </c>
      <c r="D704" s="14">
        <f t="shared" si="104"/>
        <v>0</v>
      </c>
      <c r="E704" s="14">
        <f>IF(OR(A704="",B704&lt;=0),0,ROUND(B704*(subjectInterestRate/12),2))</f>
        <v>0</v>
      </c>
      <c r="K704" s="276">
        <f t="shared" si="105"/>
        <v>0</v>
      </c>
      <c r="L704" s="394">
        <f t="shared" si="107"/>
        <v>0</v>
      </c>
      <c r="M704" s="394">
        <f t="shared" si="106"/>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IF(OR(A704="",A704&gt;=subjectMortgageEndDate),"",EDATE(A704,1))</f>
        <v/>
      </c>
      <c r="B705" s="276">
        <f t="shared" si="103"/>
        <v>0</v>
      </c>
      <c r="C705" s="14">
        <f>IF(A705="",0,IF(B705&lt;=0,0,IF(A705=subjectMortgageEndDate,B705+E705,MIN(subjectPayment,B705+E705))))</f>
        <v>0</v>
      </c>
      <c r="D705" s="14">
        <f t="shared" si="104"/>
        <v>0</v>
      </c>
      <c r="E705" s="14">
        <f>IF(OR(A705="",B705&lt;=0),0,ROUND(B705*(subjectInterestRate/12),2))</f>
        <v>0</v>
      </c>
      <c r="K705" s="276">
        <f t="shared" si="105"/>
        <v>0</v>
      </c>
      <c r="L705" s="394">
        <f t="shared" si="107"/>
        <v>0</v>
      </c>
      <c r="M705" s="394">
        <f t="shared" si="106"/>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IF(OR(A705="",A705&gt;=subjectMortgageEndDate),"",EDATE(A705,1))</f>
        <v/>
      </c>
      <c r="B706" s="276">
        <f t="shared" si="103"/>
        <v>0</v>
      </c>
      <c r="C706" s="14">
        <f>IF(A706="",0,IF(B706&lt;=0,0,IF(A706=subjectMortgageEndDate,B706+E706,MIN(subjectPayment,B706+E706))))</f>
        <v>0</v>
      </c>
      <c r="D706" s="14">
        <f t="shared" si="104"/>
        <v>0</v>
      </c>
      <c r="E706" s="14">
        <f>IF(OR(A706="",B706&lt;=0),0,ROUND(B706*(subjectInterestRate/12),2))</f>
        <v>0</v>
      </c>
      <c r="K706" s="276">
        <f t="shared" si="105"/>
        <v>0</v>
      </c>
      <c r="L706" s="394">
        <f t="shared" si="107"/>
        <v>0</v>
      </c>
      <c r="M706" s="394">
        <f t="shared" si="106"/>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IF(OR(A706="",A706&gt;=subjectMortgageEndDate),"",EDATE(A706,1))</f>
        <v/>
      </c>
      <c r="B707" s="276">
        <f t="shared" si="103"/>
        <v>0</v>
      </c>
      <c r="C707" s="14">
        <f>IF(A707="",0,IF(B707&lt;=0,0,IF(A707=subjectMortgageEndDate,B707+E707,MIN(subjectPayment,B707+E707))))</f>
        <v>0</v>
      </c>
      <c r="D707" s="14">
        <f t="shared" si="104"/>
        <v>0</v>
      </c>
      <c r="E707" s="14">
        <f>IF(OR(A707="",B707&lt;=0),0,ROUND(B707*(subjectInterestRate/12),2))</f>
        <v>0</v>
      </c>
      <c r="K707" s="276">
        <f t="shared" si="105"/>
        <v>0</v>
      </c>
      <c r="L707" s="394">
        <f t="shared" si="107"/>
        <v>0</v>
      </c>
      <c r="M707" s="394">
        <f t="shared" si="106"/>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IF(OR(A707="",A707&gt;=subjectMortgageEndDate),"",EDATE(A707,1))</f>
        <v/>
      </c>
      <c r="B708" s="276">
        <f t="shared" si="103"/>
        <v>0</v>
      </c>
      <c r="C708" s="14">
        <f>IF(A708="",0,IF(B708&lt;=0,0,IF(A708=subjectMortgageEndDate,B708+E708,MIN(subjectPayment,B708+E708))))</f>
        <v>0</v>
      </c>
      <c r="D708" s="14">
        <f t="shared" si="104"/>
        <v>0</v>
      </c>
      <c r="E708" s="14">
        <f>IF(OR(A708="",B708&lt;=0),0,ROUND(B708*(subjectInterestRate/12),2))</f>
        <v>0</v>
      </c>
      <c r="K708" s="276">
        <f t="shared" si="105"/>
        <v>0</v>
      </c>
      <c r="L708" s="394">
        <f t="shared" si="107"/>
        <v>0</v>
      </c>
      <c r="M708" s="394">
        <f t="shared" si="106"/>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IF(OR(A708="",A708&gt;=subjectMortgageEndDate),"",EDATE(A708,1))</f>
        <v/>
      </c>
      <c r="B709" s="276">
        <f t="shared" si="103"/>
        <v>0</v>
      </c>
      <c r="C709" s="14">
        <f>IF(A709="",0,IF(B709&lt;=0,0,IF(A709=subjectMortgageEndDate,B709+E709,MIN(subjectPayment,B709+E709))))</f>
        <v>0</v>
      </c>
      <c r="D709" s="14">
        <f t="shared" si="104"/>
        <v>0</v>
      </c>
      <c r="E709" s="14">
        <f>IF(OR(A709="",B709&lt;=0),0,ROUND(B709*(subjectInterestRate/12),2))</f>
        <v>0</v>
      </c>
      <c r="K709" s="276">
        <f t="shared" si="105"/>
        <v>0</v>
      </c>
      <c r="L709" s="394">
        <f t="shared" si="107"/>
        <v>0</v>
      </c>
      <c r="M709" s="394">
        <f t="shared" si="106"/>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IF(OR(A709="",A709&gt;=subjectMortgageEndDate),"",EDATE(A709,1))</f>
        <v/>
      </c>
      <c r="B710" s="276">
        <f t="shared" si="103"/>
        <v>0</v>
      </c>
      <c r="C710" s="14">
        <f>IF(A710="",0,IF(B710&lt;=0,0,IF(A710=subjectMortgageEndDate,B710+E710,MIN(subjectPayment,B710+E710))))</f>
        <v>0</v>
      </c>
      <c r="D710" s="14">
        <f t="shared" si="104"/>
        <v>0</v>
      </c>
      <c r="E710" s="14">
        <f>IF(OR(A710="",B710&lt;=0),0,ROUND(B710*(subjectInterestRate/12),2))</f>
        <v>0</v>
      </c>
      <c r="K710" s="276">
        <f t="shared" si="105"/>
        <v>0</v>
      </c>
      <c r="L710" s="394">
        <f t="shared" si="107"/>
        <v>0</v>
      </c>
      <c r="M710" s="394">
        <f t="shared" si="106"/>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IF(OR(A710="",A710&gt;=subjectMortgageEndDate),"",EDATE(A710,1))</f>
        <v/>
      </c>
      <c r="B711" s="276">
        <f t="shared" si="103"/>
        <v>0</v>
      </c>
      <c r="C711" s="14">
        <f>IF(A711="",0,IF(B711&lt;=0,0,IF(A711=subjectMortgageEndDate,B711+E711,MIN(subjectPayment,B711+E711))))</f>
        <v>0</v>
      </c>
      <c r="D711" s="14">
        <f t="shared" si="104"/>
        <v>0</v>
      </c>
      <c r="E711" s="14">
        <f>IF(OR(A711="",B711&lt;=0),0,ROUND(B711*(subjectInterestRate/12),2))</f>
        <v>0</v>
      </c>
      <c r="K711" s="276">
        <f t="shared" si="105"/>
        <v>0</v>
      </c>
      <c r="L711" s="394">
        <f t="shared" si="107"/>
        <v>0</v>
      </c>
      <c r="M711" s="394">
        <f t="shared" si="106"/>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IF(OR(A711="",A711&gt;=subjectMortgageEndDate),"",EDATE(A711,1))</f>
        <v/>
      </c>
      <c r="B712" s="276">
        <f t="shared" si="103"/>
        <v>0</v>
      </c>
      <c r="C712" s="14">
        <f>IF(A712="",0,IF(B712&lt;=0,0,IF(A712=subjectMortgageEndDate,B712+E712,MIN(subjectPayment,B712+E712))))</f>
        <v>0</v>
      </c>
      <c r="D712" s="14">
        <f t="shared" si="104"/>
        <v>0</v>
      </c>
      <c r="E712" s="14">
        <f>IF(OR(A712="",B712&lt;=0),0,ROUND(B712*(subjectInterestRate/12),2))</f>
        <v>0</v>
      </c>
      <c r="K712" s="276">
        <f t="shared" si="105"/>
        <v>0</v>
      </c>
      <c r="L712" s="394">
        <f t="shared" si="107"/>
        <v>0</v>
      </c>
      <c r="M712" s="394">
        <f t="shared" si="106"/>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IF(OR(A712="",A712&gt;=subjectMortgageEndDate),"",EDATE(A712,1))</f>
        <v/>
      </c>
      <c r="B713" s="276">
        <f t="shared" si="103"/>
        <v>0</v>
      </c>
      <c r="C713" s="14">
        <f>IF(A713="",0,IF(B713&lt;=0,0,IF(A713=subjectMortgageEndDate,B713+E713,MIN(subjectPayment,B713+E713))))</f>
        <v>0</v>
      </c>
      <c r="D713" s="14">
        <f t="shared" si="104"/>
        <v>0</v>
      </c>
      <c r="E713" s="14">
        <f>IF(OR(A713="",B713&lt;=0),0,ROUND(B713*(subjectInterestRate/12),2))</f>
        <v>0</v>
      </c>
      <c r="K713" s="276">
        <f t="shared" si="105"/>
        <v>0</v>
      </c>
      <c r="L713" s="394">
        <f t="shared" si="107"/>
        <v>0</v>
      </c>
      <c r="M713" s="394">
        <f t="shared" si="106"/>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IF(OR(A713="",A713&gt;=subjectMortgageEndDate),"",EDATE(A713,1))</f>
        <v/>
      </c>
      <c r="B714" s="276">
        <f t="shared" si="103"/>
        <v>0</v>
      </c>
      <c r="C714" s="14">
        <f>IF(A714="",0,IF(B714&lt;=0,0,IF(A714=subjectMortgageEndDate,B714+E714,MIN(subjectPayment,B714+E714))))</f>
        <v>0</v>
      </c>
      <c r="D714" s="14">
        <f t="shared" si="104"/>
        <v>0</v>
      </c>
      <c r="E714" s="14">
        <f>IF(OR(A714="",B714&lt;=0),0,ROUND(B714*(subjectInterestRate/12),2))</f>
        <v>0</v>
      </c>
      <c r="K714" s="276">
        <f t="shared" si="105"/>
        <v>0</v>
      </c>
      <c r="L714" s="394">
        <f t="shared" si="107"/>
        <v>0</v>
      </c>
      <c r="M714" s="394">
        <f t="shared" si="106"/>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IF(OR(A714="",A714&gt;=subjectMortgageEndDate),"",EDATE(A714,1))</f>
        <v/>
      </c>
      <c r="B715" s="332">
        <f t="shared" si="103"/>
        <v>0</v>
      </c>
      <c r="C715" s="21">
        <f>IF(A715="",0,IF(B715&lt;=0,0,IF(A715=subjectMortgageEndDate,B715+E715,MIN(subjectPayment,B715+E715))))</f>
        <v>0</v>
      </c>
      <c r="D715" s="21">
        <f t="shared" si="104"/>
        <v>0</v>
      </c>
      <c r="E715" s="21">
        <f>IF(OR(A715="",B715&lt;=0),0,ROUND(B715*(subjectInterestRate/12),2))</f>
        <v>0</v>
      </c>
      <c r="F715" s="21"/>
      <c r="G715" s="21"/>
      <c r="H715" s="21"/>
      <c r="I715" s="332"/>
      <c r="J715" s="332"/>
      <c r="K715" s="332">
        <f t="shared" si="105"/>
        <v>0</v>
      </c>
      <c r="L715" s="395">
        <f t="shared" si="107"/>
        <v>0</v>
      </c>
      <c r="M715" s="395">
        <f t="shared" si="106"/>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32">
        <f>IF(INDEX(tblContractForDeed[End Bal],ROW()-ROW(tblBuyerOutputs[#Headers]))&lt;=0,0,($O$6+IF(ROW()=ROW(tblBuyerOutputs[#Headers])+1,0,INDEX(tblBuyerOutputs[Cumul Appr],ROW()-ROW(tblBuyerOutputs[#Headers])-1)))*$O$2/12)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IF(OR(A715="",A715&gt;=subjectMortgageEndDate),"",EDATE(A715,1))</f>
        <v/>
      </c>
      <c r="B716" s="276">
        <f t="shared" si="103"/>
        <v>0</v>
      </c>
      <c r="C716" s="14">
        <f>IF(A716="",0,IF(B716&lt;=0,0,IF(A716=subjectMortgageEndDate,B716+E716,MIN(subjectPayment,B716+E716))))</f>
        <v>0</v>
      </c>
      <c r="D716" s="14">
        <f t="shared" si="104"/>
        <v>0</v>
      </c>
      <c r="E716" s="14">
        <f>IF(OR(A716="",B716&lt;=0),0,ROUND(B716*(subjectInterestRate/12),2))</f>
        <v>0</v>
      </c>
      <c r="K716" s="276">
        <f t="shared" si="105"/>
        <v>0</v>
      </c>
      <c r="L716" s="394">
        <f t="shared" si="107"/>
        <v>0</v>
      </c>
      <c r="M716" s="394">
        <f t="shared" si="106"/>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IF(OR(A716="",A716&gt;=subjectMortgageEndDate),"",EDATE(A716,1))</f>
        <v/>
      </c>
      <c r="B717" s="276">
        <f t="shared" si="103"/>
        <v>0</v>
      </c>
      <c r="C717" s="14">
        <f>IF(A717="",0,IF(B717&lt;=0,0,IF(A717=subjectMortgageEndDate,B717+E717,MIN(subjectPayment,B717+E717))))</f>
        <v>0</v>
      </c>
      <c r="D717" s="14">
        <f t="shared" si="104"/>
        <v>0</v>
      </c>
      <c r="E717" s="14">
        <f>IF(OR(A717="",B717&lt;=0),0,ROUND(B717*(subjectInterestRate/12),2))</f>
        <v>0</v>
      </c>
      <c r="K717" s="276">
        <f t="shared" si="105"/>
        <v>0</v>
      </c>
      <c r="L717" s="394">
        <f t="shared" si="107"/>
        <v>0</v>
      </c>
      <c r="M717" s="394">
        <f t="shared" si="106"/>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IF(OR(A717="",A717&gt;=subjectMortgageEndDate),"",EDATE(A717,1))</f>
        <v/>
      </c>
      <c r="B718" s="276">
        <f t="shared" si="103"/>
        <v>0</v>
      </c>
      <c r="C718" s="14">
        <f>IF(A718="",0,IF(B718&lt;=0,0,IF(A718=subjectMortgageEndDate,B718+E718,MIN(subjectPayment,B718+E718))))</f>
        <v>0</v>
      </c>
      <c r="D718" s="14">
        <f t="shared" si="104"/>
        <v>0</v>
      </c>
      <c r="E718" s="14">
        <f>IF(OR(A718="",B718&lt;=0),0,ROUND(B718*(subjectInterestRate/12),2))</f>
        <v>0</v>
      </c>
      <c r="K718" s="276">
        <f t="shared" si="105"/>
        <v>0</v>
      </c>
      <c r="L718" s="394">
        <f t="shared" si="107"/>
        <v>0</v>
      </c>
      <c r="M718" s="394">
        <f t="shared" si="106"/>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IF(OR(A718="",A718&gt;=subjectMortgageEndDate),"",EDATE(A718,1))</f>
        <v/>
      </c>
      <c r="B719" s="276">
        <f t="shared" si="103"/>
        <v>0</v>
      </c>
      <c r="C719" s="14">
        <f>IF(A719="",0,IF(B719&lt;=0,0,IF(A719=subjectMortgageEndDate,B719+E719,MIN(subjectPayment,B719+E719))))</f>
        <v>0</v>
      </c>
      <c r="D719" s="14">
        <f t="shared" si="104"/>
        <v>0</v>
      </c>
      <c r="E719" s="14">
        <f>IF(OR(A719="",B719&lt;=0),0,ROUND(B719*(subjectInterestRate/12),2))</f>
        <v>0</v>
      </c>
      <c r="K719" s="276">
        <f t="shared" si="105"/>
        <v>0</v>
      </c>
      <c r="L719" s="394">
        <f t="shared" si="107"/>
        <v>0</v>
      </c>
      <c r="M719" s="394">
        <f t="shared" si="106"/>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IF(OR(A719="",A719&gt;=subjectMortgageEndDate),"",EDATE(A719,1))</f>
        <v/>
      </c>
      <c r="B720" s="276">
        <f t="shared" si="103"/>
        <v>0</v>
      </c>
      <c r="C720" s="14">
        <f>IF(A720="",0,IF(B720&lt;=0,0,IF(A720=subjectMortgageEndDate,B720+E720,MIN(subjectPayment,B720+E720))))</f>
        <v>0</v>
      </c>
      <c r="D720" s="14">
        <f t="shared" si="104"/>
        <v>0</v>
      </c>
      <c r="E720" s="14">
        <f>IF(OR(A720="",B720&lt;=0),0,ROUND(B720*(subjectInterestRate/12),2))</f>
        <v>0</v>
      </c>
      <c r="K720" s="276">
        <f t="shared" si="105"/>
        <v>0</v>
      </c>
      <c r="L720" s="394">
        <f t="shared" si="107"/>
        <v>0</v>
      </c>
      <c r="M720" s="394">
        <f t="shared" si="106"/>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IF(OR(A720="",A720&gt;=subjectMortgageEndDate),"",EDATE(A720,1))</f>
        <v/>
      </c>
      <c r="B721" s="276">
        <f t="shared" si="103"/>
        <v>0</v>
      </c>
      <c r="C721" s="14">
        <f>IF(A721="",0,IF(B721&lt;=0,0,IF(A721=subjectMortgageEndDate,B721+E721,MIN(subjectPayment,B721+E721))))</f>
        <v>0</v>
      </c>
      <c r="D721" s="14">
        <f t="shared" si="104"/>
        <v>0</v>
      </c>
      <c r="E721" s="14">
        <f>IF(OR(A721="",B721&lt;=0),0,ROUND(B721*(subjectInterestRate/12),2))</f>
        <v>0</v>
      </c>
      <c r="K721" s="276">
        <f t="shared" si="105"/>
        <v>0</v>
      </c>
      <c r="L721" s="394">
        <f t="shared" si="107"/>
        <v>0</v>
      </c>
      <c r="M721" s="394">
        <f t="shared" si="106"/>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IF(OR(A721="",A721&gt;=subjectMortgageEndDate),"",EDATE(A721,1))</f>
        <v/>
      </c>
      <c r="B722" s="276">
        <f t="shared" si="103"/>
        <v>0</v>
      </c>
      <c r="C722" s="14">
        <f>IF(A722="",0,IF(B722&lt;=0,0,IF(A722=subjectMortgageEndDate,B722+E722,MIN(subjectPayment,B722+E722))))</f>
        <v>0</v>
      </c>
      <c r="D722" s="14">
        <f t="shared" si="104"/>
        <v>0</v>
      </c>
      <c r="E722" s="14">
        <f>IF(OR(A722="",B722&lt;=0),0,ROUND(B722*(subjectInterestRate/12),2))</f>
        <v>0</v>
      </c>
      <c r="K722" s="276">
        <f t="shared" si="105"/>
        <v>0</v>
      </c>
      <c r="L722" s="394">
        <f t="shared" si="107"/>
        <v>0</v>
      </c>
      <c r="M722" s="394">
        <f t="shared" si="106"/>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IF(OR(A722="",A722&gt;=subjectMortgageEndDate),"",EDATE(A722,1))</f>
        <v/>
      </c>
      <c r="B723" s="276">
        <f t="shared" si="103"/>
        <v>0</v>
      </c>
      <c r="C723" s="14">
        <f>IF(A723="",0,IF(B723&lt;=0,0,IF(A723=subjectMortgageEndDate,B723+E723,MIN(subjectPayment,B723+E723))))</f>
        <v>0</v>
      </c>
      <c r="D723" s="14">
        <f t="shared" si="104"/>
        <v>0</v>
      </c>
      <c r="E723" s="14">
        <f>IF(OR(A723="",B723&lt;=0),0,ROUND(B723*(subjectInterestRate/12),2))</f>
        <v>0</v>
      </c>
      <c r="K723" s="276">
        <f t="shared" si="105"/>
        <v>0</v>
      </c>
      <c r="L723" s="394">
        <f t="shared" si="107"/>
        <v>0</v>
      </c>
      <c r="M723" s="394">
        <f t="shared" si="106"/>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IF(OR(A723="",A723&gt;=subjectMortgageEndDate),"",EDATE(A723,1))</f>
        <v/>
      </c>
      <c r="B724" s="276">
        <f t="shared" si="103"/>
        <v>0</v>
      </c>
      <c r="C724" s="14">
        <f>IF(A724="",0,IF(B724&lt;=0,0,IF(A724=subjectMortgageEndDate,B724+E724,MIN(subjectPayment,B724+E724))))</f>
        <v>0</v>
      </c>
      <c r="D724" s="14">
        <f t="shared" si="104"/>
        <v>0</v>
      </c>
      <c r="E724" s="14">
        <f>IF(OR(A724="",B724&lt;=0),0,ROUND(B724*(subjectInterestRate/12),2))</f>
        <v>0</v>
      </c>
      <c r="K724" s="276">
        <f t="shared" si="105"/>
        <v>0</v>
      </c>
      <c r="L724" s="394">
        <f t="shared" si="107"/>
        <v>0</v>
      </c>
      <c r="M724" s="394">
        <f t="shared" si="106"/>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IF(OR(A724="",A724&gt;=subjectMortgageEndDate),"",EDATE(A724,1))</f>
        <v/>
      </c>
      <c r="B725" s="276">
        <f t="shared" ref="B725:B788" si="108">IF(A725="",0,MAX(0,K724))</f>
        <v>0</v>
      </c>
      <c r="C725" s="14">
        <f>IF(A725="",0,IF(B725&lt;=0,0,IF(A725=subjectMortgageEndDate,B725+E725,MIN(subjectPayment,B725+E725))))</f>
        <v>0</v>
      </c>
      <c r="D725" s="14">
        <f t="shared" ref="D725:D788" si="109">IF(C725=0,0,MAX(0,MIN(B725,C725-E725)))</f>
        <v>0</v>
      </c>
      <c r="E725" s="14">
        <f>IF(OR(A725="",B725&lt;=0),0,ROUND(B725*(subjectInterestRate/12),2))</f>
        <v>0</v>
      </c>
      <c r="K725" s="276">
        <f t="shared" ref="K725:K788" si="110">IF(A725="",0,IF(B725&lt;=0,0,MAX(0,B725-D725)))</f>
        <v>0</v>
      </c>
      <c r="L725" s="394">
        <f t="shared" si="107"/>
        <v>0</v>
      </c>
      <c r="M725" s="394">
        <f t="shared" ref="M725:M788" si="111">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IF(OR(A725="",A725&gt;=subjectMortgageEndDate),"",EDATE(A725,1))</f>
        <v/>
      </c>
      <c r="B726" s="276">
        <f t="shared" si="108"/>
        <v>0</v>
      </c>
      <c r="C726" s="14">
        <f>IF(A726="",0,IF(B726&lt;=0,0,IF(A726=subjectMortgageEndDate,B726+E726,MIN(subjectPayment,B726+E726))))</f>
        <v>0</v>
      </c>
      <c r="D726" s="14">
        <f t="shared" si="109"/>
        <v>0</v>
      </c>
      <c r="E726" s="14">
        <f>IF(OR(A726="",B726&lt;=0),0,ROUND(B726*(subjectInterestRate/12),2))</f>
        <v>0</v>
      </c>
      <c r="K726" s="276">
        <f t="shared" si="110"/>
        <v>0</v>
      </c>
      <c r="L726" s="394">
        <f t="shared" si="107"/>
        <v>0</v>
      </c>
      <c r="M726" s="394">
        <f t="shared" si="111"/>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IF(OR(A726="",A726&gt;=subjectMortgageEndDate),"",EDATE(A726,1))</f>
        <v/>
      </c>
      <c r="B727" s="332">
        <f t="shared" si="108"/>
        <v>0</v>
      </c>
      <c r="C727" s="21">
        <f>IF(A727="",0,IF(B727&lt;=0,0,IF(A727=subjectMortgageEndDate,B727+E727,MIN(subjectPayment,B727+E727))))</f>
        <v>0</v>
      </c>
      <c r="D727" s="21">
        <f t="shared" si="109"/>
        <v>0</v>
      </c>
      <c r="E727" s="21">
        <f>IF(OR(A727="",B727&lt;=0),0,ROUND(B727*(subjectInterestRate/12),2))</f>
        <v>0</v>
      </c>
      <c r="F727" s="21"/>
      <c r="G727" s="21"/>
      <c r="H727" s="21"/>
      <c r="I727" s="332"/>
      <c r="J727" s="332"/>
      <c r="K727" s="332">
        <f t="shared" si="110"/>
        <v>0</v>
      </c>
      <c r="L727" s="395">
        <f t="shared" si="107"/>
        <v>0</v>
      </c>
      <c r="M727" s="395">
        <f t="shared" si="111"/>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32">
        <f>IF(INDEX(tblContractForDeed[End Bal],ROW()-ROW(tblBuyerOutputs[#Headers]))&lt;=0,0,($O$6+IF(ROW()=ROW(tblBuyerOutputs[#Headers])+1,0,INDEX(tblBuyerOutputs[Cumul Appr],ROW()-ROW(tblBuyerOutputs[#Headers])-1)))*$O$2/12)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IF(OR(A727="",A727&gt;=subjectMortgageEndDate),"",EDATE(A727,1))</f>
        <v/>
      </c>
      <c r="B728" s="276">
        <f t="shared" si="108"/>
        <v>0</v>
      </c>
      <c r="C728" s="14">
        <f>IF(A728="",0,IF(B728&lt;=0,0,IF(A728=subjectMortgageEndDate,B728+E728,MIN(subjectPayment,B728+E728))))</f>
        <v>0</v>
      </c>
      <c r="D728" s="14">
        <f t="shared" si="109"/>
        <v>0</v>
      </c>
      <c r="E728" s="14">
        <f>IF(OR(A728="",B728&lt;=0),0,ROUND(B728*(subjectInterestRate/12),2))</f>
        <v>0</v>
      </c>
      <c r="K728" s="276">
        <f t="shared" si="110"/>
        <v>0</v>
      </c>
      <c r="L728" s="394">
        <f t="shared" si="107"/>
        <v>0</v>
      </c>
      <c r="M728" s="394">
        <f t="shared" si="111"/>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IF(OR(A728="",A728&gt;=subjectMortgageEndDate),"",EDATE(A728,1))</f>
        <v/>
      </c>
      <c r="B729" s="276">
        <f t="shared" si="108"/>
        <v>0</v>
      </c>
      <c r="C729" s="14">
        <f>IF(A729="",0,IF(B729&lt;=0,0,IF(A729=subjectMortgageEndDate,B729+E729,MIN(subjectPayment,B729+E729))))</f>
        <v>0</v>
      </c>
      <c r="D729" s="14">
        <f t="shared" si="109"/>
        <v>0</v>
      </c>
      <c r="E729" s="14">
        <f>IF(OR(A729="",B729&lt;=0),0,ROUND(B729*(subjectInterestRate/12),2))</f>
        <v>0</v>
      </c>
      <c r="K729" s="276">
        <f t="shared" si="110"/>
        <v>0</v>
      </c>
      <c r="L729" s="394">
        <f t="shared" si="107"/>
        <v>0</v>
      </c>
      <c r="M729" s="394">
        <f t="shared" si="111"/>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IF(OR(A729="",A729&gt;=subjectMortgageEndDate),"",EDATE(A729,1))</f>
        <v/>
      </c>
      <c r="B730" s="276">
        <f t="shared" si="108"/>
        <v>0</v>
      </c>
      <c r="C730" s="14">
        <f>IF(A730="",0,IF(B730&lt;=0,0,IF(A730=subjectMortgageEndDate,B730+E730,MIN(subjectPayment,B730+E730))))</f>
        <v>0</v>
      </c>
      <c r="D730" s="14">
        <f t="shared" si="109"/>
        <v>0</v>
      </c>
      <c r="E730" s="14">
        <f>IF(OR(A730="",B730&lt;=0),0,ROUND(B730*(subjectInterestRate/12),2))</f>
        <v>0</v>
      </c>
      <c r="K730" s="276">
        <f t="shared" si="110"/>
        <v>0</v>
      </c>
      <c r="L730" s="394">
        <f t="shared" si="107"/>
        <v>0</v>
      </c>
      <c r="M730" s="394">
        <f t="shared" si="111"/>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IF(OR(A730="",A730&gt;=subjectMortgageEndDate),"",EDATE(A730,1))</f>
        <v/>
      </c>
      <c r="B731" s="276">
        <f t="shared" si="108"/>
        <v>0</v>
      </c>
      <c r="C731" s="14">
        <f>IF(A731="",0,IF(B731&lt;=0,0,IF(A731=subjectMortgageEndDate,B731+E731,MIN(subjectPayment,B731+E731))))</f>
        <v>0</v>
      </c>
      <c r="D731" s="14">
        <f t="shared" si="109"/>
        <v>0</v>
      </c>
      <c r="E731" s="14">
        <f>IF(OR(A731="",B731&lt;=0),0,ROUND(B731*(subjectInterestRate/12),2))</f>
        <v>0</v>
      </c>
      <c r="K731" s="276">
        <f t="shared" si="110"/>
        <v>0</v>
      </c>
      <c r="L731" s="394">
        <f t="shared" si="107"/>
        <v>0</v>
      </c>
      <c r="M731" s="394">
        <f t="shared" si="111"/>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IF(OR(A731="",A731&gt;=subjectMortgageEndDate),"",EDATE(A731,1))</f>
        <v/>
      </c>
      <c r="B732" s="276">
        <f t="shared" si="108"/>
        <v>0</v>
      </c>
      <c r="C732" s="14">
        <f>IF(A732="",0,IF(B732&lt;=0,0,IF(A732=subjectMortgageEndDate,B732+E732,MIN(subjectPayment,B732+E732))))</f>
        <v>0</v>
      </c>
      <c r="D732" s="14">
        <f t="shared" si="109"/>
        <v>0</v>
      </c>
      <c r="E732" s="14">
        <f>IF(OR(A732="",B732&lt;=0),0,ROUND(B732*(subjectInterestRate/12),2))</f>
        <v>0</v>
      </c>
      <c r="K732" s="276">
        <f t="shared" si="110"/>
        <v>0</v>
      </c>
      <c r="L732" s="394">
        <f t="shared" si="107"/>
        <v>0</v>
      </c>
      <c r="M732" s="394">
        <f t="shared" si="111"/>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IF(OR(A732="",A732&gt;=subjectMortgageEndDate),"",EDATE(A732,1))</f>
        <v/>
      </c>
      <c r="B733" s="276">
        <f t="shared" si="108"/>
        <v>0</v>
      </c>
      <c r="C733" s="14">
        <f>IF(A733="",0,IF(B733&lt;=0,0,IF(A733=subjectMortgageEndDate,B733+E733,MIN(subjectPayment,B733+E733))))</f>
        <v>0</v>
      </c>
      <c r="D733" s="14">
        <f t="shared" si="109"/>
        <v>0</v>
      </c>
      <c r="E733" s="14">
        <f>IF(OR(A733="",B733&lt;=0),0,ROUND(B733*(subjectInterestRate/12),2))</f>
        <v>0</v>
      </c>
      <c r="K733" s="276">
        <f t="shared" si="110"/>
        <v>0</v>
      </c>
      <c r="L733" s="394">
        <f t="shared" si="107"/>
        <v>0</v>
      </c>
      <c r="M733" s="394">
        <f t="shared" si="111"/>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IF(OR(A733="",A733&gt;=subjectMortgageEndDate),"",EDATE(A733,1))</f>
        <v/>
      </c>
      <c r="B734" s="276">
        <f t="shared" si="108"/>
        <v>0</v>
      </c>
      <c r="C734" s="14">
        <f>IF(A734="",0,IF(B734&lt;=0,0,IF(A734=subjectMortgageEndDate,B734+E734,MIN(subjectPayment,B734+E734))))</f>
        <v>0</v>
      </c>
      <c r="D734" s="14">
        <f t="shared" si="109"/>
        <v>0</v>
      </c>
      <c r="E734" s="14">
        <f>IF(OR(A734="",B734&lt;=0),0,ROUND(B734*(subjectInterestRate/12),2))</f>
        <v>0</v>
      </c>
      <c r="K734" s="276">
        <f t="shared" si="110"/>
        <v>0</v>
      </c>
      <c r="L734" s="394">
        <f t="shared" si="107"/>
        <v>0</v>
      </c>
      <c r="M734" s="394">
        <f t="shared" si="111"/>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IF(OR(A734="",A734&gt;=subjectMortgageEndDate),"",EDATE(A734,1))</f>
        <v/>
      </c>
      <c r="B735" s="276">
        <f t="shared" si="108"/>
        <v>0</v>
      </c>
      <c r="C735" s="14">
        <f>IF(A735="",0,IF(B735&lt;=0,0,IF(A735=subjectMortgageEndDate,B735+E735,MIN(subjectPayment,B735+E735))))</f>
        <v>0</v>
      </c>
      <c r="D735" s="14">
        <f t="shared" si="109"/>
        <v>0</v>
      </c>
      <c r="E735" s="14">
        <f>IF(OR(A735="",B735&lt;=0),0,ROUND(B735*(subjectInterestRate/12),2))</f>
        <v>0</v>
      </c>
      <c r="K735" s="276">
        <f t="shared" si="110"/>
        <v>0</v>
      </c>
      <c r="L735" s="394">
        <f t="shared" si="107"/>
        <v>0</v>
      </c>
      <c r="M735" s="394">
        <f t="shared" si="111"/>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IF(OR(A735="",A735&gt;=subjectMortgageEndDate),"",EDATE(A735,1))</f>
        <v/>
      </c>
      <c r="B736" s="276">
        <f t="shared" si="108"/>
        <v>0</v>
      </c>
      <c r="C736" s="14">
        <f>IF(A736="",0,IF(B736&lt;=0,0,IF(A736=subjectMortgageEndDate,B736+E736,MIN(subjectPayment,B736+E736))))</f>
        <v>0</v>
      </c>
      <c r="D736" s="14">
        <f t="shared" si="109"/>
        <v>0</v>
      </c>
      <c r="E736" s="14">
        <f>IF(OR(A736="",B736&lt;=0),0,ROUND(B736*(subjectInterestRate/12),2))</f>
        <v>0</v>
      </c>
      <c r="K736" s="276">
        <f t="shared" si="110"/>
        <v>0</v>
      </c>
      <c r="L736" s="394">
        <f t="shared" si="107"/>
        <v>0</v>
      </c>
      <c r="M736" s="394">
        <f t="shared" si="111"/>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IF(OR(A736="",A736&gt;=subjectMortgageEndDate),"",EDATE(A736,1))</f>
        <v/>
      </c>
      <c r="B737" s="276">
        <f t="shared" si="108"/>
        <v>0</v>
      </c>
      <c r="C737" s="14">
        <f>IF(A737="",0,IF(B737&lt;=0,0,IF(A737=subjectMortgageEndDate,B737+E737,MIN(subjectPayment,B737+E737))))</f>
        <v>0</v>
      </c>
      <c r="D737" s="14">
        <f t="shared" si="109"/>
        <v>0</v>
      </c>
      <c r="E737" s="14">
        <f>IF(OR(A737="",B737&lt;=0),0,ROUND(B737*(subjectInterestRate/12),2))</f>
        <v>0</v>
      </c>
      <c r="K737" s="276">
        <f t="shared" si="110"/>
        <v>0</v>
      </c>
      <c r="L737" s="394">
        <f t="shared" si="107"/>
        <v>0</v>
      </c>
      <c r="M737" s="394">
        <f t="shared" si="111"/>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IF(OR(A737="",A737&gt;=subjectMortgageEndDate),"",EDATE(A737,1))</f>
        <v/>
      </c>
      <c r="B738" s="276">
        <f t="shared" si="108"/>
        <v>0</v>
      </c>
      <c r="C738" s="14">
        <f>IF(A738="",0,IF(B738&lt;=0,0,IF(A738=subjectMortgageEndDate,B738+E738,MIN(subjectPayment,B738+E738))))</f>
        <v>0</v>
      </c>
      <c r="D738" s="14">
        <f t="shared" si="109"/>
        <v>0</v>
      </c>
      <c r="E738" s="14">
        <f>IF(OR(A738="",B738&lt;=0),0,ROUND(B738*(subjectInterestRate/12),2))</f>
        <v>0</v>
      </c>
      <c r="K738" s="276">
        <f t="shared" si="110"/>
        <v>0</v>
      </c>
      <c r="L738" s="394">
        <f t="shared" si="107"/>
        <v>0</v>
      </c>
      <c r="M738" s="394">
        <f t="shared" si="111"/>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IF(OR(A738="",A738&gt;=subjectMortgageEndDate),"",EDATE(A738,1))</f>
        <v/>
      </c>
      <c r="B739" s="332">
        <f t="shared" si="108"/>
        <v>0</v>
      </c>
      <c r="C739" s="21">
        <f>IF(A739="",0,IF(B739&lt;=0,0,IF(A739=subjectMortgageEndDate,B739+E739,MIN(subjectPayment,B739+E739))))</f>
        <v>0</v>
      </c>
      <c r="D739" s="21">
        <f t="shared" si="109"/>
        <v>0</v>
      </c>
      <c r="E739" s="21">
        <f>IF(OR(A739="",B739&lt;=0),0,ROUND(B739*(subjectInterestRate/12),2))</f>
        <v>0</v>
      </c>
      <c r="F739" s="21"/>
      <c r="G739" s="21"/>
      <c r="H739" s="21"/>
      <c r="I739" s="332"/>
      <c r="J739" s="332"/>
      <c r="K739" s="332">
        <f t="shared" si="110"/>
        <v>0</v>
      </c>
      <c r="L739" s="395">
        <f t="shared" si="107"/>
        <v>0</v>
      </c>
      <c r="M739" s="395">
        <f t="shared" si="111"/>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32">
        <f>IF(INDEX(tblContractForDeed[End Bal],ROW()-ROW(tblBuyerOutputs[#Headers]))&lt;=0,0,($O$6+IF(ROW()=ROW(tblBuyerOutputs[#Headers])+1,0,INDEX(tblBuyerOutputs[Cumul Appr],ROW()-ROW(tblBuyerOutputs[#Headers])-1)))*$O$2/12)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IF(OR(A739="",A739&gt;=subjectMortgageEndDate),"",EDATE(A739,1))</f>
        <v/>
      </c>
      <c r="B740" s="276">
        <f t="shared" si="108"/>
        <v>0</v>
      </c>
      <c r="C740" s="14">
        <f>IF(A740="",0,IF(B740&lt;=0,0,IF(A740=subjectMortgageEndDate,B740+E740,MIN(subjectPayment,B740+E740))))</f>
        <v>0</v>
      </c>
      <c r="D740" s="14">
        <f t="shared" si="109"/>
        <v>0</v>
      </c>
      <c r="E740" s="14">
        <f>IF(OR(A740="",B740&lt;=0),0,ROUND(B740*(subjectInterestRate/12),2))</f>
        <v>0</v>
      </c>
      <c r="K740" s="276">
        <f t="shared" si="110"/>
        <v>0</v>
      </c>
      <c r="L740" s="394">
        <f t="shared" si="107"/>
        <v>0</v>
      </c>
      <c r="M740" s="394">
        <f t="shared" si="111"/>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IF(OR(A740="",A740&gt;=subjectMortgageEndDate),"",EDATE(A740,1))</f>
        <v/>
      </c>
      <c r="B741" s="276">
        <f t="shared" si="108"/>
        <v>0</v>
      </c>
      <c r="C741" s="14">
        <f>IF(A741="",0,IF(B741&lt;=0,0,IF(A741=subjectMortgageEndDate,B741+E741,MIN(subjectPayment,B741+E741))))</f>
        <v>0</v>
      </c>
      <c r="D741" s="14">
        <f t="shared" si="109"/>
        <v>0</v>
      </c>
      <c r="E741" s="14">
        <f>IF(OR(A741="",B741&lt;=0),0,ROUND(B741*(subjectInterestRate/12),2))</f>
        <v>0</v>
      </c>
      <c r="K741" s="276">
        <f t="shared" si="110"/>
        <v>0</v>
      </c>
      <c r="L741" s="394">
        <f t="shared" si="107"/>
        <v>0</v>
      </c>
      <c r="M741" s="394">
        <f t="shared" si="111"/>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IF(OR(A741="",A741&gt;=subjectMortgageEndDate),"",EDATE(A741,1))</f>
        <v/>
      </c>
      <c r="B742" s="276">
        <f t="shared" si="108"/>
        <v>0</v>
      </c>
      <c r="C742" s="14">
        <f>IF(A742="",0,IF(B742&lt;=0,0,IF(A742=subjectMortgageEndDate,B742+E742,MIN(subjectPayment,B742+E742))))</f>
        <v>0</v>
      </c>
      <c r="D742" s="14">
        <f t="shared" si="109"/>
        <v>0</v>
      </c>
      <c r="E742" s="14">
        <f>IF(OR(A742="",B742&lt;=0),0,ROUND(B742*(subjectInterestRate/12),2))</f>
        <v>0</v>
      </c>
      <c r="K742" s="276">
        <f t="shared" si="110"/>
        <v>0</v>
      </c>
      <c r="L742" s="394">
        <f t="shared" si="107"/>
        <v>0</v>
      </c>
      <c r="M742" s="394">
        <f t="shared" si="111"/>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IF(OR(A742="",A742&gt;=subjectMortgageEndDate),"",EDATE(A742,1))</f>
        <v/>
      </c>
      <c r="B743" s="276">
        <f t="shared" si="108"/>
        <v>0</v>
      </c>
      <c r="C743" s="14">
        <f>IF(A743="",0,IF(B743&lt;=0,0,IF(A743=subjectMortgageEndDate,B743+E743,MIN(subjectPayment,B743+E743))))</f>
        <v>0</v>
      </c>
      <c r="D743" s="14">
        <f t="shared" si="109"/>
        <v>0</v>
      </c>
      <c r="E743" s="14">
        <f>IF(OR(A743="",B743&lt;=0),0,ROUND(B743*(subjectInterestRate/12),2))</f>
        <v>0</v>
      </c>
      <c r="K743" s="276">
        <f t="shared" si="110"/>
        <v>0</v>
      </c>
      <c r="L743" s="394">
        <f t="shared" si="107"/>
        <v>0</v>
      </c>
      <c r="M743" s="394">
        <f t="shared" si="111"/>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IF(OR(A743="",A743&gt;=subjectMortgageEndDate),"",EDATE(A743,1))</f>
        <v/>
      </c>
      <c r="B744" s="276">
        <f t="shared" si="108"/>
        <v>0</v>
      </c>
      <c r="C744" s="14">
        <f>IF(A744="",0,IF(B744&lt;=0,0,IF(A744=subjectMortgageEndDate,B744+E744,MIN(subjectPayment,B744+E744))))</f>
        <v>0</v>
      </c>
      <c r="D744" s="14">
        <f t="shared" si="109"/>
        <v>0</v>
      </c>
      <c r="E744" s="14">
        <f>IF(OR(A744="",B744&lt;=0),0,ROUND(B744*(subjectInterestRate/12),2))</f>
        <v>0</v>
      </c>
      <c r="K744" s="276">
        <f t="shared" si="110"/>
        <v>0</v>
      </c>
      <c r="L744" s="394">
        <f t="shared" si="107"/>
        <v>0</v>
      </c>
      <c r="M744" s="394">
        <f t="shared" si="111"/>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IF(OR(A744="",A744&gt;=subjectMortgageEndDate),"",EDATE(A744,1))</f>
        <v/>
      </c>
      <c r="B745" s="276">
        <f t="shared" si="108"/>
        <v>0</v>
      </c>
      <c r="C745" s="14">
        <f>IF(A745="",0,IF(B745&lt;=0,0,IF(A745=subjectMortgageEndDate,B745+E745,MIN(subjectPayment,B745+E745))))</f>
        <v>0</v>
      </c>
      <c r="D745" s="14">
        <f t="shared" si="109"/>
        <v>0</v>
      </c>
      <c r="E745" s="14">
        <f>IF(OR(A745="",B745&lt;=0),0,ROUND(B745*(subjectInterestRate/12),2))</f>
        <v>0</v>
      </c>
      <c r="K745" s="276">
        <f t="shared" si="110"/>
        <v>0</v>
      </c>
      <c r="L745" s="394">
        <f t="shared" si="107"/>
        <v>0</v>
      </c>
      <c r="M745" s="394">
        <f t="shared" si="111"/>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IF(OR(A745="",A745&gt;=subjectMortgageEndDate),"",EDATE(A745,1))</f>
        <v/>
      </c>
      <c r="B746" s="276">
        <f t="shared" si="108"/>
        <v>0</v>
      </c>
      <c r="C746" s="14">
        <f>IF(A746="",0,IF(B746&lt;=0,0,IF(A746=subjectMortgageEndDate,B746+E746,MIN(subjectPayment,B746+E746))))</f>
        <v>0</v>
      </c>
      <c r="D746" s="14">
        <f t="shared" si="109"/>
        <v>0</v>
      </c>
      <c r="E746" s="14">
        <f>IF(OR(A746="",B746&lt;=0),0,ROUND(B746*(subjectInterestRate/12),2))</f>
        <v>0</v>
      </c>
      <c r="K746" s="276">
        <f t="shared" si="110"/>
        <v>0</v>
      </c>
      <c r="L746" s="394">
        <f t="shared" si="107"/>
        <v>0</v>
      </c>
      <c r="M746" s="394">
        <f t="shared" si="111"/>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IF(OR(A746="",A746&gt;=subjectMortgageEndDate),"",EDATE(A746,1))</f>
        <v/>
      </c>
      <c r="B747" s="276">
        <f t="shared" si="108"/>
        <v>0</v>
      </c>
      <c r="C747" s="14">
        <f>IF(A747="",0,IF(B747&lt;=0,0,IF(A747=subjectMortgageEndDate,B747+E747,MIN(subjectPayment,B747+E747))))</f>
        <v>0</v>
      </c>
      <c r="D747" s="14">
        <f t="shared" si="109"/>
        <v>0</v>
      </c>
      <c r="E747" s="14">
        <f>IF(OR(A747="",B747&lt;=0),0,ROUND(B747*(subjectInterestRate/12),2))</f>
        <v>0</v>
      </c>
      <c r="K747" s="276">
        <f t="shared" si="110"/>
        <v>0</v>
      </c>
      <c r="L747" s="394">
        <f t="shared" si="107"/>
        <v>0</v>
      </c>
      <c r="M747" s="394">
        <f t="shared" si="111"/>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IF(OR(A747="",A747&gt;=subjectMortgageEndDate),"",EDATE(A747,1))</f>
        <v/>
      </c>
      <c r="B748" s="276">
        <f t="shared" si="108"/>
        <v>0</v>
      </c>
      <c r="C748" s="14">
        <f>IF(A748="",0,IF(B748&lt;=0,0,IF(A748=subjectMortgageEndDate,B748+E748,MIN(subjectPayment,B748+E748))))</f>
        <v>0</v>
      </c>
      <c r="D748" s="14">
        <f t="shared" si="109"/>
        <v>0</v>
      </c>
      <c r="E748" s="14">
        <f>IF(OR(A748="",B748&lt;=0),0,ROUND(B748*(subjectInterestRate/12),2))</f>
        <v>0</v>
      </c>
      <c r="K748" s="276">
        <f t="shared" si="110"/>
        <v>0</v>
      </c>
      <c r="L748" s="394">
        <f t="shared" si="107"/>
        <v>0</v>
      </c>
      <c r="M748" s="394">
        <f t="shared" si="111"/>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IF(OR(A748="",A748&gt;=subjectMortgageEndDate),"",EDATE(A748,1))</f>
        <v/>
      </c>
      <c r="B749" s="276">
        <f t="shared" si="108"/>
        <v>0</v>
      </c>
      <c r="C749" s="14">
        <f>IF(A749="",0,IF(B749&lt;=0,0,IF(A749=subjectMortgageEndDate,B749+E749,MIN(subjectPayment,B749+E749))))</f>
        <v>0</v>
      </c>
      <c r="D749" s="14">
        <f t="shared" si="109"/>
        <v>0</v>
      </c>
      <c r="E749" s="14">
        <f>IF(OR(A749="",B749&lt;=0),0,ROUND(B749*(subjectInterestRate/12),2))</f>
        <v>0</v>
      </c>
      <c r="K749" s="276">
        <f t="shared" si="110"/>
        <v>0</v>
      </c>
      <c r="L749" s="394">
        <f t="shared" si="107"/>
        <v>0</v>
      </c>
      <c r="M749" s="394">
        <f t="shared" si="111"/>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IF(OR(A749="",A749&gt;=subjectMortgageEndDate),"",EDATE(A749,1))</f>
        <v/>
      </c>
      <c r="B750" s="276">
        <f t="shared" si="108"/>
        <v>0</v>
      </c>
      <c r="C750" s="14">
        <f>IF(A750="",0,IF(B750&lt;=0,0,IF(A750=subjectMortgageEndDate,B750+E750,MIN(subjectPayment,B750+E750))))</f>
        <v>0</v>
      </c>
      <c r="D750" s="14">
        <f t="shared" si="109"/>
        <v>0</v>
      </c>
      <c r="E750" s="14">
        <f>IF(OR(A750="",B750&lt;=0),0,ROUND(B750*(subjectInterestRate/12),2))</f>
        <v>0</v>
      </c>
      <c r="K750" s="276">
        <f t="shared" si="110"/>
        <v>0</v>
      </c>
      <c r="L750" s="394">
        <f t="shared" si="107"/>
        <v>0</v>
      </c>
      <c r="M750" s="394">
        <f t="shared" si="111"/>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IF(OR(A750="",A750&gt;=subjectMortgageEndDate),"",EDATE(A750,1))</f>
        <v/>
      </c>
      <c r="B751" s="332">
        <f t="shared" si="108"/>
        <v>0</v>
      </c>
      <c r="C751" s="21">
        <f>IF(A751="",0,IF(B751&lt;=0,0,IF(A751=subjectMortgageEndDate,B751+E751,MIN(subjectPayment,B751+E751))))</f>
        <v>0</v>
      </c>
      <c r="D751" s="21">
        <f t="shared" si="109"/>
        <v>0</v>
      </c>
      <c r="E751" s="21">
        <f>IF(OR(A751="",B751&lt;=0),0,ROUND(B751*(subjectInterestRate/12),2))</f>
        <v>0</v>
      </c>
      <c r="F751" s="21"/>
      <c r="G751" s="21"/>
      <c r="H751" s="21"/>
      <c r="I751" s="332"/>
      <c r="J751" s="332"/>
      <c r="K751" s="332">
        <f t="shared" si="110"/>
        <v>0</v>
      </c>
      <c r="L751" s="395">
        <f t="shared" si="107"/>
        <v>0</v>
      </c>
      <c r="M751" s="395">
        <f t="shared" si="111"/>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32">
        <f>IF(INDEX(tblContractForDeed[End Bal],ROW()-ROW(tblBuyerOutputs[#Headers]))&lt;=0,0,($O$6+IF(ROW()=ROW(tblBuyerOutputs[#Headers])+1,0,INDEX(tblBuyerOutputs[Cumul Appr],ROW()-ROW(tblBuyerOutputs[#Headers])-1)))*$O$2/12)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IF(OR(A751="",A751&gt;=subjectMortgageEndDate),"",EDATE(A751,1))</f>
        <v/>
      </c>
      <c r="B752" s="276">
        <f t="shared" si="108"/>
        <v>0</v>
      </c>
      <c r="C752" s="14">
        <f>IF(A752="",0,IF(B752&lt;=0,0,IF(A752=subjectMortgageEndDate,B752+E752,MIN(subjectPayment,B752+E752))))</f>
        <v>0</v>
      </c>
      <c r="D752" s="14">
        <f t="shared" si="109"/>
        <v>0</v>
      </c>
      <c r="E752" s="14">
        <f>IF(OR(A752="",B752&lt;=0),0,ROUND(B752*(subjectInterestRate/12),2))</f>
        <v>0</v>
      </c>
      <c r="K752" s="276">
        <f t="shared" si="110"/>
        <v>0</v>
      </c>
      <c r="L752" s="394">
        <f t="shared" si="107"/>
        <v>0</v>
      </c>
      <c r="M752" s="394">
        <f t="shared" si="111"/>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IF(OR(A752="",A752&gt;=subjectMortgageEndDate),"",EDATE(A752,1))</f>
        <v/>
      </c>
      <c r="B753" s="276">
        <f t="shared" si="108"/>
        <v>0</v>
      </c>
      <c r="C753" s="14">
        <f>IF(A753="",0,IF(B753&lt;=0,0,IF(A753=subjectMortgageEndDate,B753+E753,MIN(subjectPayment,B753+E753))))</f>
        <v>0</v>
      </c>
      <c r="D753" s="14">
        <f t="shared" si="109"/>
        <v>0</v>
      </c>
      <c r="E753" s="14">
        <f>IF(OR(A753="",B753&lt;=0),0,ROUND(B753*(subjectInterestRate/12),2))</f>
        <v>0</v>
      </c>
      <c r="K753" s="276">
        <f t="shared" si="110"/>
        <v>0</v>
      </c>
      <c r="L753" s="394">
        <f t="shared" si="107"/>
        <v>0</v>
      </c>
      <c r="M753" s="394">
        <f t="shared" si="111"/>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IF(OR(A753="",A753&gt;=subjectMortgageEndDate),"",EDATE(A753,1))</f>
        <v/>
      </c>
      <c r="B754" s="276">
        <f t="shared" si="108"/>
        <v>0</v>
      </c>
      <c r="C754" s="14">
        <f>IF(A754="",0,IF(B754&lt;=0,0,IF(A754=subjectMortgageEndDate,B754+E754,MIN(subjectPayment,B754+E754))))</f>
        <v>0</v>
      </c>
      <c r="D754" s="14">
        <f t="shared" si="109"/>
        <v>0</v>
      </c>
      <c r="E754" s="14">
        <f>IF(OR(A754="",B754&lt;=0),0,ROUND(B754*(subjectInterestRate/12),2))</f>
        <v>0</v>
      </c>
      <c r="K754" s="276">
        <f t="shared" si="110"/>
        <v>0</v>
      </c>
      <c r="L754" s="394">
        <f t="shared" si="107"/>
        <v>0</v>
      </c>
      <c r="M754" s="394">
        <f t="shared" si="111"/>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IF(OR(A754="",A754&gt;=subjectMortgageEndDate),"",EDATE(A754,1))</f>
        <v/>
      </c>
      <c r="B755" s="276">
        <f t="shared" si="108"/>
        <v>0</v>
      </c>
      <c r="C755" s="14">
        <f>IF(A755="",0,IF(B755&lt;=0,0,IF(A755=subjectMortgageEndDate,B755+E755,MIN(subjectPayment,B755+E755))))</f>
        <v>0</v>
      </c>
      <c r="D755" s="14">
        <f t="shared" si="109"/>
        <v>0</v>
      </c>
      <c r="E755" s="14">
        <f>IF(OR(A755="",B755&lt;=0),0,ROUND(B755*(subjectInterestRate/12),2))</f>
        <v>0</v>
      </c>
      <c r="K755" s="276">
        <f t="shared" si="110"/>
        <v>0</v>
      </c>
      <c r="L755" s="394">
        <f t="shared" si="107"/>
        <v>0</v>
      </c>
      <c r="M755" s="394">
        <f t="shared" si="111"/>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IF(OR(A755="",A755&gt;=subjectMortgageEndDate),"",EDATE(A755,1))</f>
        <v/>
      </c>
      <c r="B756" s="276">
        <f t="shared" si="108"/>
        <v>0</v>
      </c>
      <c r="C756" s="14">
        <f>IF(A756="",0,IF(B756&lt;=0,0,IF(A756=subjectMortgageEndDate,B756+E756,MIN(subjectPayment,B756+E756))))</f>
        <v>0</v>
      </c>
      <c r="D756" s="14">
        <f t="shared" si="109"/>
        <v>0</v>
      </c>
      <c r="E756" s="14">
        <f>IF(OR(A756="",B756&lt;=0),0,ROUND(B756*(subjectInterestRate/12),2))</f>
        <v>0</v>
      </c>
      <c r="K756" s="276">
        <f t="shared" si="110"/>
        <v>0</v>
      </c>
      <c r="L756" s="394">
        <f t="shared" ref="L756:L787" si="112">IF(MOD(M756,12)=0,M756/12,L755)</f>
        <v>0</v>
      </c>
      <c r="M756" s="394">
        <f t="shared" si="111"/>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IF(OR(A756="",A756&gt;=subjectMortgageEndDate),"",EDATE(A756,1))</f>
        <v/>
      </c>
      <c r="B757" s="276">
        <f t="shared" si="108"/>
        <v>0</v>
      </c>
      <c r="C757" s="14">
        <f>IF(A757="",0,IF(B757&lt;=0,0,IF(A757=subjectMortgageEndDate,B757+E757,MIN(subjectPayment,B757+E757))))</f>
        <v>0</v>
      </c>
      <c r="D757" s="14">
        <f t="shared" si="109"/>
        <v>0</v>
      </c>
      <c r="E757" s="14">
        <f>IF(OR(A757="",B757&lt;=0),0,ROUND(B757*(subjectInterestRate/12),2))</f>
        <v>0</v>
      </c>
      <c r="K757" s="276">
        <f t="shared" si="110"/>
        <v>0</v>
      </c>
      <c r="L757" s="394">
        <f t="shared" si="112"/>
        <v>0</v>
      </c>
      <c r="M757" s="394">
        <f t="shared" si="111"/>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IF(OR(A757="",A757&gt;=subjectMortgageEndDate),"",EDATE(A757,1))</f>
        <v/>
      </c>
      <c r="B758" s="276">
        <f t="shared" si="108"/>
        <v>0</v>
      </c>
      <c r="C758" s="14">
        <f>IF(A758="",0,IF(B758&lt;=0,0,IF(A758=subjectMortgageEndDate,B758+E758,MIN(subjectPayment,B758+E758))))</f>
        <v>0</v>
      </c>
      <c r="D758" s="14">
        <f t="shared" si="109"/>
        <v>0</v>
      </c>
      <c r="E758" s="14">
        <f>IF(OR(A758="",B758&lt;=0),0,ROUND(B758*(subjectInterestRate/12),2))</f>
        <v>0</v>
      </c>
      <c r="K758" s="276">
        <f t="shared" si="110"/>
        <v>0</v>
      </c>
      <c r="L758" s="394">
        <f t="shared" si="112"/>
        <v>0</v>
      </c>
      <c r="M758" s="394">
        <f t="shared" si="111"/>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IF(OR(A758="",A758&gt;=subjectMortgageEndDate),"",EDATE(A758,1))</f>
        <v/>
      </c>
      <c r="B759" s="276">
        <f t="shared" si="108"/>
        <v>0</v>
      </c>
      <c r="C759" s="14">
        <f>IF(A759="",0,IF(B759&lt;=0,0,IF(A759=subjectMortgageEndDate,B759+E759,MIN(subjectPayment,B759+E759))))</f>
        <v>0</v>
      </c>
      <c r="D759" s="14">
        <f t="shared" si="109"/>
        <v>0</v>
      </c>
      <c r="E759" s="14">
        <f>IF(OR(A759="",B759&lt;=0),0,ROUND(B759*(subjectInterestRate/12),2))</f>
        <v>0</v>
      </c>
      <c r="K759" s="276">
        <f t="shared" si="110"/>
        <v>0</v>
      </c>
      <c r="L759" s="394">
        <f t="shared" si="112"/>
        <v>0</v>
      </c>
      <c r="M759" s="394">
        <f t="shared" si="111"/>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IF(OR(A759="",A759&gt;=subjectMortgageEndDate),"",EDATE(A759,1))</f>
        <v/>
      </c>
      <c r="B760" s="276">
        <f t="shared" si="108"/>
        <v>0</v>
      </c>
      <c r="C760" s="14">
        <f>IF(A760="",0,IF(B760&lt;=0,0,IF(A760=subjectMortgageEndDate,B760+E760,MIN(subjectPayment,B760+E760))))</f>
        <v>0</v>
      </c>
      <c r="D760" s="14">
        <f t="shared" si="109"/>
        <v>0</v>
      </c>
      <c r="E760" s="14">
        <f>IF(OR(A760="",B760&lt;=0),0,ROUND(B760*(subjectInterestRate/12),2))</f>
        <v>0</v>
      </c>
      <c r="K760" s="276">
        <f t="shared" si="110"/>
        <v>0</v>
      </c>
      <c r="L760" s="394">
        <f t="shared" si="112"/>
        <v>0</v>
      </c>
      <c r="M760" s="394">
        <f t="shared" si="111"/>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IF(OR(A760="",A760&gt;=subjectMortgageEndDate),"",EDATE(A760,1))</f>
        <v/>
      </c>
      <c r="B761" s="276">
        <f t="shared" si="108"/>
        <v>0</v>
      </c>
      <c r="C761" s="14">
        <f>IF(A761="",0,IF(B761&lt;=0,0,IF(A761=subjectMortgageEndDate,B761+E761,MIN(subjectPayment,B761+E761))))</f>
        <v>0</v>
      </c>
      <c r="D761" s="14">
        <f t="shared" si="109"/>
        <v>0</v>
      </c>
      <c r="E761" s="14">
        <f>IF(OR(A761="",B761&lt;=0),0,ROUND(B761*(subjectInterestRate/12),2))</f>
        <v>0</v>
      </c>
      <c r="K761" s="276">
        <f t="shared" si="110"/>
        <v>0</v>
      </c>
      <c r="L761" s="394">
        <f t="shared" si="112"/>
        <v>0</v>
      </c>
      <c r="M761" s="394">
        <f t="shared" si="111"/>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IF(OR(A761="",A761&gt;=subjectMortgageEndDate),"",EDATE(A761,1))</f>
        <v/>
      </c>
      <c r="B762" s="276">
        <f t="shared" si="108"/>
        <v>0</v>
      </c>
      <c r="C762" s="14">
        <f>IF(A762="",0,IF(B762&lt;=0,0,IF(A762=subjectMortgageEndDate,B762+E762,MIN(subjectPayment,B762+E762))))</f>
        <v>0</v>
      </c>
      <c r="D762" s="14">
        <f t="shared" si="109"/>
        <v>0</v>
      </c>
      <c r="E762" s="14">
        <f>IF(OR(A762="",B762&lt;=0),0,ROUND(B762*(subjectInterestRate/12),2))</f>
        <v>0</v>
      </c>
      <c r="K762" s="276">
        <f t="shared" si="110"/>
        <v>0</v>
      </c>
      <c r="L762" s="394">
        <f t="shared" si="112"/>
        <v>0</v>
      </c>
      <c r="M762" s="394">
        <f t="shared" si="111"/>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IF(OR(A762="",A762&gt;=subjectMortgageEndDate),"",EDATE(A762,1))</f>
        <v/>
      </c>
      <c r="B763" s="332">
        <f t="shared" si="108"/>
        <v>0</v>
      </c>
      <c r="C763" s="21">
        <f>IF(A763="",0,IF(B763&lt;=0,0,IF(A763=subjectMortgageEndDate,B763+E763,MIN(subjectPayment,B763+E763))))</f>
        <v>0</v>
      </c>
      <c r="D763" s="21">
        <f t="shared" si="109"/>
        <v>0</v>
      </c>
      <c r="E763" s="21">
        <f>IF(OR(A763="",B763&lt;=0),0,ROUND(B763*(subjectInterestRate/12),2))</f>
        <v>0</v>
      </c>
      <c r="F763" s="21"/>
      <c r="G763" s="21"/>
      <c r="H763" s="21"/>
      <c r="I763" s="332"/>
      <c r="J763" s="332"/>
      <c r="K763" s="332">
        <f t="shared" si="110"/>
        <v>0</v>
      </c>
      <c r="L763" s="395">
        <f t="shared" si="112"/>
        <v>0</v>
      </c>
      <c r="M763" s="395">
        <f t="shared" si="111"/>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32">
        <f>IF(INDEX(tblContractForDeed[End Bal],ROW()-ROW(tblBuyerOutputs[#Headers]))&lt;=0,0,($O$6+IF(ROW()=ROW(tblBuyerOutputs[#Headers])+1,0,INDEX(tblBuyerOutputs[Cumul Appr],ROW()-ROW(tblBuyerOutputs[#Headers])-1)))*$O$2/12)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IF(OR(A763="",A763&gt;=subjectMortgageEndDate),"",EDATE(A763,1))</f>
        <v/>
      </c>
      <c r="B764" s="276">
        <f t="shared" si="108"/>
        <v>0</v>
      </c>
      <c r="C764" s="14">
        <f>IF(A764="",0,IF(B764&lt;=0,0,IF(A764=subjectMortgageEndDate,B764+E764,MIN(subjectPayment,B764+E764))))</f>
        <v>0</v>
      </c>
      <c r="D764" s="14">
        <f t="shared" si="109"/>
        <v>0</v>
      </c>
      <c r="E764" s="14">
        <f>IF(OR(A764="",B764&lt;=0),0,ROUND(B764*(subjectInterestRate/12),2))</f>
        <v>0</v>
      </c>
      <c r="K764" s="276">
        <f t="shared" si="110"/>
        <v>0</v>
      </c>
      <c r="L764" s="394">
        <f t="shared" si="112"/>
        <v>0</v>
      </c>
      <c r="M764" s="394">
        <f t="shared" si="111"/>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IF(OR(A764="",A764&gt;=subjectMortgageEndDate),"",EDATE(A764,1))</f>
        <v/>
      </c>
      <c r="B765" s="276">
        <f t="shared" si="108"/>
        <v>0</v>
      </c>
      <c r="C765" s="14">
        <f>IF(A765="",0,IF(B765&lt;=0,0,IF(A765=subjectMortgageEndDate,B765+E765,MIN(subjectPayment,B765+E765))))</f>
        <v>0</v>
      </c>
      <c r="D765" s="14">
        <f t="shared" si="109"/>
        <v>0</v>
      </c>
      <c r="E765" s="14">
        <f>IF(OR(A765="",B765&lt;=0),0,ROUND(B765*(subjectInterestRate/12),2))</f>
        <v>0</v>
      </c>
      <c r="K765" s="276">
        <f t="shared" si="110"/>
        <v>0</v>
      </c>
      <c r="L765" s="394">
        <f t="shared" si="112"/>
        <v>0</v>
      </c>
      <c r="M765" s="394">
        <f t="shared" si="111"/>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IF(OR(A765="",A765&gt;=subjectMortgageEndDate),"",EDATE(A765,1))</f>
        <v/>
      </c>
      <c r="B766" s="276">
        <f t="shared" si="108"/>
        <v>0</v>
      </c>
      <c r="C766" s="14">
        <f>IF(A766="",0,IF(B766&lt;=0,0,IF(A766=subjectMortgageEndDate,B766+E766,MIN(subjectPayment,B766+E766))))</f>
        <v>0</v>
      </c>
      <c r="D766" s="14">
        <f t="shared" si="109"/>
        <v>0</v>
      </c>
      <c r="E766" s="14">
        <f>IF(OR(A766="",B766&lt;=0),0,ROUND(B766*(subjectInterestRate/12),2))</f>
        <v>0</v>
      </c>
      <c r="K766" s="276">
        <f t="shared" si="110"/>
        <v>0</v>
      </c>
      <c r="L766" s="394">
        <f t="shared" si="112"/>
        <v>0</v>
      </c>
      <c r="M766" s="394">
        <f t="shared" si="111"/>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IF(OR(A766="",A766&gt;=subjectMortgageEndDate),"",EDATE(A766,1))</f>
        <v/>
      </c>
      <c r="B767" s="276">
        <f t="shared" si="108"/>
        <v>0</v>
      </c>
      <c r="C767" s="14">
        <f>IF(A767="",0,IF(B767&lt;=0,0,IF(A767=subjectMortgageEndDate,B767+E767,MIN(subjectPayment,B767+E767))))</f>
        <v>0</v>
      </c>
      <c r="D767" s="14">
        <f t="shared" si="109"/>
        <v>0</v>
      </c>
      <c r="E767" s="14">
        <f>IF(OR(A767="",B767&lt;=0),0,ROUND(B767*(subjectInterestRate/12),2))</f>
        <v>0</v>
      </c>
      <c r="K767" s="276">
        <f t="shared" si="110"/>
        <v>0</v>
      </c>
      <c r="L767" s="394">
        <f t="shared" si="112"/>
        <v>0</v>
      </c>
      <c r="M767" s="394">
        <f t="shared" si="111"/>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IF(OR(A767="",A767&gt;=subjectMortgageEndDate),"",EDATE(A767,1))</f>
        <v/>
      </c>
      <c r="B768" s="276">
        <f t="shared" si="108"/>
        <v>0</v>
      </c>
      <c r="C768" s="14">
        <f>IF(A768="",0,IF(B768&lt;=0,0,IF(A768=subjectMortgageEndDate,B768+E768,MIN(subjectPayment,B768+E768))))</f>
        <v>0</v>
      </c>
      <c r="D768" s="14">
        <f t="shared" si="109"/>
        <v>0</v>
      </c>
      <c r="E768" s="14">
        <f>IF(OR(A768="",B768&lt;=0),0,ROUND(B768*(subjectInterestRate/12),2))</f>
        <v>0</v>
      </c>
      <c r="K768" s="276">
        <f t="shared" si="110"/>
        <v>0</v>
      </c>
      <c r="L768" s="394">
        <f t="shared" si="112"/>
        <v>0</v>
      </c>
      <c r="M768" s="394">
        <f t="shared" si="111"/>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IF(OR(A768="",A768&gt;=subjectMortgageEndDate),"",EDATE(A768,1))</f>
        <v/>
      </c>
      <c r="B769" s="276">
        <f t="shared" si="108"/>
        <v>0</v>
      </c>
      <c r="C769" s="14">
        <f>IF(A769="",0,IF(B769&lt;=0,0,IF(A769=subjectMortgageEndDate,B769+E769,MIN(subjectPayment,B769+E769))))</f>
        <v>0</v>
      </c>
      <c r="D769" s="14">
        <f t="shared" si="109"/>
        <v>0</v>
      </c>
      <c r="E769" s="14">
        <f>IF(OR(A769="",B769&lt;=0),0,ROUND(B769*(subjectInterestRate/12),2))</f>
        <v>0</v>
      </c>
      <c r="K769" s="276">
        <f t="shared" si="110"/>
        <v>0</v>
      </c>
      <c r="L769" s="394">
        <f t="shared" si="112"/>
        <v>0</v>
      </c>
      <c r="M769" s="394">
        <f t="shared" si="111"/>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IF(OR(A769="",A769&gt;=subjectMortgageEndDate),"",EDATE(A769,1))</f>
        <v/>
      </c>
      <c r="B770" s="276">
        <f t="shared" si="108"/>
        <v>0</v>
      </c>
      <c r="C770" s="14">
        <f>IF(A770="",0,IF(B770&lt;=0,0,IF(A770=subjectMortgageEndDate,B770+E770,MIN(subjectPayment,B770+E770))))</f>
        <v>0</v>
      </c>
      <c r="D770" s="14">
        <f t="shared" si="109"/>
        <v>0</v>
      </c>
      <c r="E770" s="14">
        <f>IF(OR(A770="",B770&lt;=0),0,ROUND(B770*(subjectInterestRate/12),2))</f>
        <v>0</v>
      </c>
      <c r="K770" s="276">
        <f t="shared" si="110"/>
        <v>0</v>
      </c>
      <c r="L770" s="394">
        <f t="shared" si="112"/>
        <v>0</v>
      </c>
      <c r="M770" s="394">
        <f t="shared" si="111"/>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IF(OR(A770="",A770&gt;=subjectMortgageEndDate),"",EDATE(A770,1))</f>
        <v/>
      </c>
      <c r="B771" s="276">
        <f t="shared" si="108"/>
        <v>0</v>
      </c>
      <c r="C771" s="14">
        <f>IF(A771="",0,IF(B771&lt;=0,0,IF(A771=subjectMortgageEndDate,B771+E771,MIN(subjectPayment,B771+E771))))</f>
        <v>0</v>
      </c>
      <c r="D771" s="14">
        <f t="shared" si="109"/>
        <v>0</v>
      </c>
      <c r="E771" s="14">
        <f>IF(OR(A771="",B771&lt;=0),0,ROUND(B771*(subjectInterestRate/12),2))</f>
        <v>0</v>
      </c>
      <c r="K771" s="276">
        <f t="shared" si="110"/>
        <v>0</v>
      </c>
      <c r="L771" s="394">
        <f t="shared" si="112"/>
        <v>0</v>
      </c>
      <c r="M771" s="394">
        <f t="shared" si="111"/>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IF(OR(A771="",A771&gt;=subjectMortgageEndDate),"",EDATE(A771,1))</f>
        <v/>
      </c>
      <c r="B772" s="276">
        <f t="shared" si="108"/>
        <v>0</v>
      </c>
      <c r="C772" s="14">
        <f>IF(A772="",0,IF(B772&lt;=0,0,IF(A772=subjectMortgageEndDate,B772+E772,MIN(subjectPayment,B772+E772))))</f>
        <v>0</v>
      </c>
      <c r="D772" s="14">
        <f t="shared" si="109"/>
        <v>0</v>
      </c>
      <c r="E772" s="14">
        <f>IF(OR(A772="",B772&lt;=0),0,ROUND(B772*(subjectInterestRate/12),2))</f>
        <v>0</v>
      </c>
      <c r="K772" s="276">
        <f t="shared" si="110"/>
        <v>0</v>
      </c>
      <c r="L772" s="394">
        <f t="shared" si="112"/>
        <v>0</v>
      </c>
      <c r="M772" s="394">
        <f t="shared" si="111"/>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IF(OR(A772="",A772&gt;=subjectMortgageEndDate),"",EDATE(A772,1))</f>
        <v/>
      </c>
      <c r="B773" s="276">
        <f t="shared" si="108"/>
        <v>0</v>
      </c>
      <c r="C773" s="14">
        <f>IF(A773="",0,IF(B773&lt;=0,0,IF(A773=subjectMortgageEndDate,B773+E773,MIN(subjectPayment,B773+E773))))</f>
        <v>0</v>
      </c>
      <c r="D773" s="14">
        <f t="shared" si="109"/>
        <v>0</v>
      </c>
      <c r="E773" s="14">
        <f>IF(OR(A773="",B773&lt;=0),0,ROUND(B773*(subjectInterestRate/12),2))</f>
        <v>0</v>
      </c>
      <c r="K773" s="276">
        <f t="shared" si="110"/>
        <v>0</v>
      </c>
      <c r="L773" s="394">
        <f t="shared" si="112"/>
        <v>0</v>
      </c>
      <c r="M773" s="394">
        <f t="shared" si="111"/>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IF(OR(A773="",A773&gt;=subjectMortgageEndDate),"",EDATE(A773,1))</f>
        <v/>
      </c>
      <c r="B774" s="276">
        <f t="shared" si="108"/>
        <v>0</v>
      </c>
      <c r="C774" s="14">
        <f>IF(A774="",0,IF(B774&lt;=0,0,IF(A774=subjectMortgageEndDate,B774+E774,MIN(subjectPayment,B774+E774))))</f>
        <v>0</v>
      </c>
      <c r="D774" s="14">
        <f t="shared" si="109"/>
        <v>0</v>
      </c>
      <c r="E774" s="14">
        <f>IF(OR(A774="",B774&lt;=0),0,ROUND(B774*(subjectInterestRate/12),2))</f>
        <v>0</v>
      </c>
      <c r="K774" s="276">
        <f t="shared" si="110"/>
        <v>0</v>
      </c>
      <c r="L774" s="394">
        <f t="shared" si="112"/>
        <v>0</v>
      </c>
      <c r="M774" s="394">
        <f t="shared" si="111"/>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IF(OR(A774="",A774&gt;=subjectMortgageEndDate),"",EDATE(A774,1))</f>
        <v/>
      </c>
      <c r="B775" s="332">
        <f t="shared" si="108"/>
        <v>0</v>
      </c>
      <c r="C775" s="21">
        <f>IF(A775="",0,IF(B775&lt;=0,0,IF(A775=subjectMortgageEndDate,B775+E775,MIN(subjectPayment,B775+E775))))</f>
        <v>0</v>
      </c>
      <c r="D775" s="21">
        <f t="shared" si="109"/>
        <v>0</v>
      </c>
      <c r="E775" s="21">
        <f>IF(OR(A775="",B775&lt;=0),0,ROUND(B775*(subjectInterestRate/12),2))</f>
        <v>0</v>
      </c>
      <c r="F775" s="21"/>
      <c r="G775" s="21"/>
      <c r="H775" s="21"/>
      <c r="I775" s="332"/>
      <c r="J775" s="332"/>
      <c r="K775" s="332">
        <f t="shared" si="110"/>
        <v>0</v>
      </c>
      <c r="L775" s="395">
        <f t="shared" si="112"/>
        <v>0</v>
      </c>
      <c r="M775" s="395">
        <f t="shared" si="111"/>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32">
        <f>IF(INDEX(tblContractForDeed[End Bal],ROW()-ROW(tblBuyerOutputs[#Headers]))&lt;=0,0,($O$6+IF(ROW()=ROW(tblBuyerOutputs[#Headers])+1,0,INDEX(tblBuyerOutputs[Cumul Appr],ROW()-ROW(tblBuyerOutputs[#Headers])-1)))*$O$2/12)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IF(OR(A775="",A775&gt;=subjectMortgageEndDate),"",EDATE(A775,1))</f>
        <v/>
      </c>
      <c r="B776" s="276">
        <f t="shared" si="108"/>
        <v>0</v>
      </c>
      <c r="C776" s="14">
        <f>IF(A776="",0,IF(B776&lt;=0,0,IF(A776=subjectMortgageEndDate,B776+E776,MIN(subjectPayment,B776+E776))))</f>
        <v>0</v>
      </c>
      <c r="D776" s="14">
        <f t="shared" si="109"/>
        <v>0</v>
      </c>
      <c r="E776" s="14">
        <f>IF(OR(A776="",B776&lt;=0),0,ROUND(B776*(subjectInterestRate/12),2))</f>
        <v>0</v>
      </c>
      <c r="K776" s="276">
        <f t="shared" si="110"/>
        <v>0</v>
      </c>
      <c r="L776" s="394">
        <f t="shared" si="112"/>
        <v>0</v>
      </c>
      <c r="M776" s="394">
        <f t="shared" si="111"/>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IF(OR(A776="",A776&gt;=subjectMortgageEndDate),"",EDATE(A776,1))</f>
        <v/>
      </c>
      <c r="B777" s="276">
        <f t="shared" si="108"/>
        <v>0</v>
      </c>
      <c r="C777" s="14">
        <f>IF(A777="",0,IF(B777&lt;=0,0,IF(A777=subjectMortgageEndDate,B777+E777,MIN(subjectPayment,B777+E777))))</f>
        <v>0</v>
      </c>
      <c r="D777" s="14">
        <f t="shared" si="109"/>
        <v>0</v>
      </c>
      <c r="E777" s="14">
        <f>IF(OR(A777="",B777&lt;=0),0,ROUND(B777*(subjectInterestRate/12),2))</f>
        <v>0</v>
      </c>
      <c r="K777" s="276">
        <f t="shared" si="110"/>
        <v>0</v>
      </c>
      <c r="L777" s="394">
        <f t="shared" si="112"/>
        <v>0</v>
      </c>
      <c r="M777" s="394">
        <f t="shared" si="111"/>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IF(OR(A777="",A777&gt;=subjectMortgageEndDate),"",EDATE(A777,1))</f>
        <v/>
      </c>
      <c r="B778" s="276">
        <f t="shared" si="108"/>
        <v>0</v>
      </c>
      <c r="C778" s="14">
        <f>IF(A778="",0,IF(B778&lt;=0,0,IF(A778=subjectMortgageEndDate,B778+E778,MIN(subjectPayment,B778+E778))))</f>
        <v>0</v>
      </c>
      <c r="D778" s="14">
        <f t="shared" si="109"/>
        <v>0</v>
      </c>
      <c r="E778" s="14">
        <f>IF(OR(A778="",B778&lt;=0),0,ROUND(B778*(subjectInterestRate/12),2))</f>
        <v>0</v>
      </c>
      <c r="K778" s="276">
        <f t="shared" si="110"/>
        <v>0</v>
      </c>
      <c r="L778" s="394">
        <f t="shared" si="112"/>
        <v>0</v>
      </c>
      <c r="M778" s="394">
        <f t="shared" si="111"/>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IF(OR(A778="",A778&gt;=subjectMortgageEndDate),"",EDATE(A778,1))</f>
        <v/>
      </c>
      <c r="B779" s="276">
        <f t="shared" si="108"/>
        <v>0</v>
      </c>
      <c r="C779" s="14">
        <f>IF(A779="",0,IF(B779&lt;=0,0,IF(A779=subjectMortgageEndDate,B779+E779,MIN(subjectPayment,B779+E779))))</f>
        <v>0</v>
      </c>
      <c r="D779" s="14">
        <f t="shared" si="109"/>
        <v>0</v>
      </c>
      <c r="E779" s="14">
        <f>IF(OR(A779="",B779&lt;=0),0,ROUND(B779*(subjectInterestRate/12),2))</f>
        <v>0</v>
      </c>
      <c r="K779" s="276">
        <f t="shared" si="110"/>
        <v>0</v>
      </c>
      <c r="L779" s="394">
        <f t="shared" si="112"/>
        <v>0</v>
      </c>
      <c r="M779" s="394">
        <f t="shared" si="111"/>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IF(OR(A779="",A779&gt;=subjectMortgageEndDate),"",EDATE(A779,1))</f>
        <v/>
      </c>
      <c r="B780" s="276">
        <f t="shared" si="108"/>
        <v>0</v>
      </c>
      <c r="C780" s="14">
        <f>IF(A780="",0,IF(B780&lt;=0,0,IF(A780=subjectMortgageEndDate,B780+E780,MIN(subjectPayment,B780+E780))))</f>
        <v>0</v>
      </c>
      <c r="D780" s="14">
        <f t="shared" si="109"/>
        <v>0</v>
      </c>
      <c r="E780" s="14">
        <f>IF(OR(A780="",B780&lt;=0),0,ROUND(B780*(subjectInterestRate/12),2))</f>
        <v>0</v>
      </c>
      <c r="K780" s="276">
        <f t="shared" si="110"/>
        <v>0</v>
      </c>
      <c r="L780" s="394">
        <f t="shared" si="112"/>
        <v>0</v>
      </c>
      <c r="M780" s="394">
        <f t="shared" si="111"/>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IF(OR(A780="",A780&gt;=subjectMortgageEndDate),"",EDATE(A780,1))</f>
        <v/>
      </c>
      <c r="B781" s="276">
        <f t="shared" si="108"/>
        <v>0</v>
      </c>
      <c r="C781" s="14">
        <f>IF(A781="",0,IF(B781&lt;=0,0,IF(A781=subjectMortgageEndDate,B781+E781,MIN(subjectPayment,B781+E781))))</f>
        <v>0</v>
      </c>
      <c r="D781" s="14">
        <f t="shared" si="109"/>
        <v>0</v>
      </c>
      <c r="E781" s="14">
        <f>IF(OR(A781="",B781&lt;=0),0,ROUND(B781*(subjectInterestRate/12),2))</f>
        <v>0</v>
      </c>
      <c r="K781" s="276">
        <f t="shared" si="110"/>
        <v>0</v>
      </c>
      <c r="L781" s="394">
        <f t="shared" si="112"/>
        <v>0</v>
      </c>
      <c r="M781" s="394">
        <f t="shared" si="111"/>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IF(OR(A781="",A781&gt;=subjectMortgageEndDate),"",EDATE(A781,1))</f>
        <v/>
      </c>
      <c r="B782" s="276">
        <f t="shared" si="108"/>
        <v>0</v>
      </c>
      <c r="C782" s="14">
        <f>IF(A782="",0,IF(B782&lt;=0,0,IF(A782=subjectMortgageEndDate,B782+E782,MIN(subjectPayment,B782+E782))))</f>
        <v>0</v>
      </c>
      <c r="D782" s="14">
        <f t="shared" si="109"/>
        <v>0</v>
      </c>
      <c r="E782" s="14">
        <f>IF(OR(A782="",B782&lt;=0),0,ROUND(B782*(subjectInterestRate/12),2))</f>
        <v>0</v>
      </c>
      <c r="K782" s="276">
        <f t="shared" si="110"/>
        <v>0</v>
      </c>
      <c r="L782" s="394">
        <f t="shared" si="112"/>
        <v>0</v>
      </c>
      <c r="M782" s="394">
        <f t="shared" si="111"/>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IF(OR(A782="",A782&gt;=subjectMortgageEndDate),"",EDATE(A782,1))</f>
        <v/>
      </c>
      <c r="B783" s="276">
        <f t="shared" si="108"/>
        <v>0</v>
      </c>
      <c r="C783" s="14">
        <f>IF(A783="",0,IF(B783&lt;=0,0,IF(A783=subjectMortgageEndDate,B783+E783,MIN(subjectPayment,B783+E783))))</f>
        <v>0</v>
      </c>
      <c r="D783" s="14">
        <f t="shared" si="109"/>
        <v>0</v>
      </c>
      <c r="E783" s="14">
        <f>IF(OR(A783="",B783&lt;=0),0,ROUND(B783*(subjectInterestRate/12),2))</f>
        <v>0</v>
      </c>
      <c r="K783" s="276">
        <f t="shared" si="110"/>
        <v>0</v>
      </c>
      <c r="L783" s="394">
        <f t="shared" si="112"/>
        <v>0</v>
      </c>
      <c r="M783" s="394">
        <f t="shared" si="111"/>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IF(OR(A783="",A783&gt;=subjectMortgageEndDate),"",EDATE(A783,1))</f>
        <v/>
      </c>
      <c r="B784" s="276">
        <f t="shared" si="108"/>
        <v>0</v>
      </c>
      <c r="C784" s="14">
        <f>IF(A784="",0,IF(B784&lt;=0,0,IF(A784=subjectMortgageEndDate,B784+E784,MIN(subjectPayment,B784+E784))))</f>
        <v>0</v>
      </c>
      <c r="D784" s="14">
        <f t="shared" si="109"/>
        <v>0</v>
      </c>
      <c r="E784" s="14">
        <f>IF(OR(A784="",B784&lt;=0),0,ROUND(B784*(subjectInterestRate/12),2))</f>
        <v>0</v>
      </c>
      <c r="K784" s="276">
        <f t="shared" si="110"/>
        <v>0</v>
      </c>
      <c r="L784" s="394">
        <f t="shared" si="112"/>
        <v>0</v>
      </c>
      <c r="M784" s="394">
        <f t="shared" si="111"/>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IF(OR(A784="",A784&gt;=subjectMortgageEndDate),"",EDATE(A784,1))</f>
        <v/>
      </c>
      <c r="B785" s="276">
        <f t="shared" si="108"/>
        <v>0</v>
      </c>
      <c r="C785" s="14">
        <f>IF(A785="",0,IF(B785&lt;=0,0,IF(A785=subjectMortgageEndDate,B785+E785,MIN(subjectPayment,B785+E785))))</f>
        <v>0</v>
      </c>
      <c r="D785" s="14">
        <f t="shared" si="109"/>
        <v>0</v>
      </c>
      <c r="E785" s="14">
        <f>IF(OR(A785="",B785&lt;=0),0,ROUND(B785*(subjectInterestRate/12),2))</f>
        <v>0</v>
      </c>
      <c r="K785" s="276">
        <f t="shared" si="110"/>
        <v>0</v>
      </c>
      <c r="L785" s="394">
        <f t="shared" si="112"/>
        <v>0</v>
      </c>
      <c r="M785" s="394">
        <f t="shared" si="111"/>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IF(OR(A785="",A785&gt;=subjectMortgageEndDate),"",EDATE(A785,1))</f>
        <v/>
      </c>
      <c r="B786" s="276">
        <f t="shared" si="108"/>
        <v>0</v>
      </c>
      <c r="C786" s="14">
        <f>IF(A786="",0,IF(B786&lt;=0,0,IF(A786=subjectMortgageEndDate,B786+E786,MIN(subjectPayment,B786+E786))))</f>
        <v>0</v>
      </c>
      <c r="D786" s="14">
        <f t="shared" si="109"/>
        <v>0</v>
      </c>
      <c r="E786" s="14">
        <f>IF(OR(A786="",B786&lt;=0),0,ROUND(B786*(subjectInterestRate/12),2))</f>
        <v>0</v>
      </c>
      <c r="K786" s="276">
        <f t="shared" si="110"/>
        <v>0</v>
      </c>
      <c r="L786" s="394">
        <f t="shared" si="112"/>
        <v>0</v>
      </c>
      <c r="M786" s="394">
        <f t="shared" si="111"/>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IF(OR(A786="",A786&gt;=subjectMortgageEndDate),"",EDATE(A786,1))</f>
        <v/>
      </c>
      <c r="B787" s="332">
        <f t="shared" si="108"/>
        <v>0</v>
      </c>
      <c r="C787" s="21">
        <f>IF(A787="",0,IF(B787&lt;=0,0,IF(A787=subjectMortgageEndDate,B787+E787,MIN(subjectPayment,B787+E787))))</f>
        <v>0</v>
      </c>
      <c r="D787" s="21">
        <f t="shared" si="109"/>
        <v>0</v>
      </c>
      <c r="E787" s="21">
        <f>IF(OR(A787="",B787&lt;=0),0,ROUND(B787*(subjectInterestRate/12),2))</f>
        <v>0</v>
      </c>
      <c r="F787" s="21"/>
      <c r="G787" s="21"/>
      <c r="H787" s="21"/>
      <c r="I787" s="332"/>
      <c r="J787" s="332"/>
      <c r="K787" s="332">
        <f t="shared" si="110"/>
        <v>0</v>
      </c>
      <c r="L787" s="395">
        <f t="shared" si="112"/>
        <v>0</v>
      </c>
      <c r="M787" s="395">
        <f t="shared" si="111"/>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32">
        <f>IF(INDEX(tblContractForDeed[End Bal],ROW()-ROW(tblBuyerOutputs[#Headers]))&lt;=0,0,($O$6+IF(ROW()=ROW(tblBuyerOutputs[#Headers])+1,0,INDEX(tblBuyerOutputs[Cumul Appr],ROW()-ROW(tblBuyerOutputs[#Headers])-1)))*$O$2/12)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IF(OR(A787="",A787&gt;=subjectMortgageEndDate),"",EDATE(A787,1))</f>
        <v/>
      </c>
      <c r="B788" s="276">
        <f t="shared" si="108"/>
        <v>0</v>
      </c>
      <c r="C788" s="14">
        <f>IF(A788="",0,IF(B788&lt;=0,0,IF(A788=subjectMortgageEndDate,B788+E788,MIN(subjectPayment,B788+E788))))</f>
        <v>0</v>
      </c>
      <c r="D788" s="14">
        <f t="shared" si="109"/>
        <v>0</v>
      </c>
      <c r="E788" s="14">
        <f>IF(OR(A788="",B788&lt;=0),0,ROUND(B788*(subjectInterestRate/12),2))</f>
        <v>0</v>
      </c>
      <c r="K788" s="276">
        <f t="shared" si="110"/>
        <v>0</v>
      </c>
      <c r="M788" s="22">
        <f t="shared" si="111"/>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IF(OR(A788="",A788&gt;=subjectMortgageEndDate),"",EDATE(A788,1))</f>
        <v/>
      </c>
      <c r="B789" s="276">
        <f t="shared" ref="B789:B852" si="113">IF(A789="",0,MAX(0,K788))</f>
        <v>0</v>
      </c>
      <c r="C789" s="14">
        <f>IF(A789="",0,IF(B789&lt;=0,0,IF(A789=subjectMortgageEndDate,B789+E789,MIN(subjectPayment,B789+E789))))</f>
        <v>0</v>
      </c>
      <c r="D789" s="14">
        <f t="shared" ref="D789:D852" si="114">IF(C789=0,0,MAX(0,MIN(B789,C789-E789)))</f>
        <v>0</v>
      </c>
      <c r="E789" s="14">
        <f>IF(OR(A789="",B789&lt;=0),0,ROUND(B789*(subjectInterestRate/12),2))</f>
        <v>0</v>
      </c>
      <c r="K789" s="276">
        <f t="shared" ref="K789:K833" si="115">IF(A789="",0,IF(B789&lt;=0,0,MAX(0,B789-D789)))</f>
        <v>0</v>
      </c>
      <c r="M789" s="22">
        <f t="shared" ref="M789:M833" si="116">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IF(OR(A789="",A789&gt;=subjectMortgageEndDate),"",EDATE(A789,1))</f>
        <v/>
      </c>
      <c r="B790" s="276">
        <f t="shared" si="113"/>
        <v>0</v>
      </c>
      <c r="C790" s="14">
        <f>IF(A790="",0,IF(B790&lt;=0,0,IF(A790=subjectMortgageEndDate,B790+E790,MIN(subjectPayment,B790+E790))))</f>
        <v>0</v>
      </c>
      <c r="D790" s="14">
        <f t="shared" si="114"/>
        <v>0</v>
      </c>
      <c r="E790" s="14">
        <f>IF(OR(A790="",B790&lt;=0),0,ROUND(B790*(subjectInterestRate/12),2))</f>
        <v>0</v>
      </c>
      <c r="K790" s="276">
        <f t="shared" si="115"/>
        <v>0</v>
      </c>
      <c r="M790" s="22">
        <f t="shared" si="116"/>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IF(OR(A790="",A790&gt;=subjectMortgageEndDate),"",EDATE(A790,1))</f>
        <v/>
      </c>
      <c r="B791" s="276">
        <f t="shared" si="113"/>
        <v>0</v>
      </c>
      <c r="C791" s="14">
        <f>IF(A791="",0,IF(B791&lt;=0,0,IF(A791=subjectMortgageEndDate,B791+E791,MIN(subjectPayment,B791+E791))))</f>
        <v>0</v>
      </c>
      <c r="D791" s="14">
        <f t="shared" si="114"/>
        <v>0</v>
      </c>
      <c r="E791" s="14">
        <f>IF(OR(A791="",B791&lt;=0),0,ROUND(B791*(subjectInterestRate/12),2))</f>
        <v>0</v>
      </c>
      <c r="K791" s="276">
        <f t="shared" si="115"/>
        <v>0</v>
      </c>
      <c r="M791" s="22">
        <f t="shared" si="116"/>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IF(OR(A791="",A791&gt;=subjectMortgageEndDate),"",EDATE(A791,1))</f>
        <v/>
      </c>
      <c r="B792" s="276">
        <f t="shared" si="113"/>
        <v>0</v>
      </c>
      <c r="C792" s="14">
        <f>IF(A792="",0,IF(B792&lt;=0,0,IF(A792=subjectMortgageEndDate,B792+E792,MIN(subjectPayment,B792+E792))))</f>
        <v>0</v>
      </c>
      <c r="D792" s="14">
        <f t="shared" si="114"/>
        <v>0</v>
      </c>
      <c r="E792" s="14">
        <f>IF(OR(A792="",B792&lt;=0),0,ROUND(B792*(subjectInterestRate/12),2))</f>
        <v>0</v>
      </c>
      <c r="K792" s="276">
        <f t="shared" si="115"/>
        <v>0</v>
      </c>
      <c r="M792" s="22">
        <f t="shared" si="116"/>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IF(OR(A792="",A792&gt;=subjectMortgageEndDate),"",EDATE(A792,1))</f>
        <v/>
      </c>
      <c r="B793" s="276">
        <f t="shared" si="113"/>
        <v>0</v>
      </c>
      <c r="C793" s="14">
        <f>IF(A793="",0,IF(B793&lt;=0,0,IF(A793=subjectMortgageEndDate,B793+E793,MIN(subjectPayment,B793+E793))))</f>
        <v>0</v>
      </c>
      <c r="D793" s="14">
        <f t="shared" si="114"/>
        <v>0</v>
      </c>
      <c r="E793" s="14">
        <f>IF(OR(A793="",B793&lt;=0),0,ROUND(B793*(subjectInterestRate/12),2))</f>
        <v>0</v>
      </c>
      <c r="K793" s="276">
        <f t="shared" si="115"/>
        <v>0</v>
      </c>
      <c r="M793" s="22">
        <f t="shared" si="116"/>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IF(OR(A793="",A793&gt;=subjectMortgageEndDate),"",EDATE(A793,1))</f>
        <v/>
      </c>
      <c r="B794" s="276">
        <f t="shared" si="113"/>
        <v>0</v>
      </c>
      <c r="C794" s="14">
        <f>IF(A794="",0,IF(B794&lt;=0,0,IF(A794=subjectMortgageEndDate,B794+E794,MIN(subjectPayment,B794+E794))))</f>
        <v>0</v>
      </c>
      <c r="D794" s="14">
        <f t="shared" si="114"/>
        <v>0</v>
      </c>
      <c r="E794" s="14">
        <f>IF(OR(A794="",B794&lt;=0),0,ROUND(B794*(subjectInterestRate/12),2))</f>
        <v>0</v>
      </c>
      <c r="K794" s="276">
        <f t="shared" si="115"/>
        <v>0</v>
      </c>
      <c r="M794" s="22">
        <f t="shared" si="116"/>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IF(OR(A794="",A794&gt;=subjectMortgageEndDate),"",EDATE(A794,1))</f>
        <v/>
      </c>
      <c r="B795" s="276">
        <f t="shared" si="113"/>
        <v>0</v>
      </c>
      <c r="C795" s="14">
        <f>IF(A795="",0,IF(B795&lt;=0,0,IF(A795=subjectMortgageEndDate,B795+E795,MIN(subjectPayment,B795+E795))))</f>
        <v>0</v>
      </c>
      <c r="D795" s="14">
        <f t="shared" si="114"/>
        <v>0</v>
      </c>
      <c r="E795" s="14">
        <f>IF(OR(A795="",B795&lt;=0),0,ROUND(B795*(subjectInterestRate/12),2))</f>
        <v>0</v>
      </c>
      <c r="K795" s="276">
        <f t="shared" si="115"/>
        <v>0</v>
      </c>
      <c r="M795" s="22">
        <f t="shared" si="116"/>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IF(OR(A795="",A795&gt;=subjectMortgageEndDate),"",EDATE(A795,1))</f>
        <v/>
      </c>
      <c r="B796" s="276">
        <f t="shared" si="113"/>
        <v>0</v>
      </c>
      <c r="C796" s="14">
        <f>IF(A796="",0,IF(B796&lt;=0,0,IF(A796=subjectMortgageEndDate,B796+E796,MIN(subjectPayment,B796+E796))))</f>
        <v>0</v>
      </c>
      <c r="D796" s="14">
        <f t="shared" si="114"/>
        <v>0</v>
      </c>
      <c r="E796" s="14">
        <f>IF(OR(A796="",B796&lt;=0),0,ROUND(B796*(subjectInterestRate/12),2))</f>
        <v>0</v>
      </c>
      <c r="K796" s="276">
        <f t="shared" si="115"/>
        <v>0</v>
      </c>
      <c r="M796" s="22">
        <f t="shared" si="116"/>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IF(OR(A796="",A796&gt;=subjectMortgageEndDate),"",EDATE(A796,1))</f>
        <v/>
      </c>
      <c r="B797" s="276">
        <f t="shared" si="113"/>
        <v>0</v>
      </c>
      <c r="C797" s="14">
        <f>IF(A797="",0,IF(B797&lt;=0,0,IF(A797=subjectMortgageEndDate,B797+E797,MIN(subjectPayment,B797+E797))))</f>
        <v>0</v>
      </c>
      <c r="D797" s="14">
        <f t="shared" si="114"/>
        <v>0</v>
      </c>
      <c r="E797" s="14">
        <f>IF(OR(A797="",B797&lt;=0),0,ROUND(B797*(subjectInterestRate/12),2))</f>
        <v>0</v>
      </c>
      <c r="K797" s="276">
        <f t="shared" si="115"/>
        <v>0</v>
      </c>
      <c r="M797" s="22">
        <f t="shared" si="116"/>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IF(OR(A797="",A797&gt;=subjectMortgageEndDate),"",EDATE(A797,1))</f>
        <v/>
      </c>
      <c r="B798" s="276">
        <f t="shared" si="113"/>
        <v>0</v>
      </c>
      <c r="C798" s="14">
        <f>IF(A798="",0,IF(B798&lt;=0,0,IF(A798=subjectMortgageEndDate,B798+E798,MIN(subjectPayment,B798+E798))))</f>
        <v>0</v>
      </c>
      <c r="D798" s="14">
        <f t="shared" si="114"/>
        <v>0</v>
      </c>
      <c r="E798" s="14">
        <f>IF(OR(A798="",B798&lt;=0),0,ROUND(B798*(subjectInterestRate/12),2))</f>
        <v>0</v>
      </c>
      <c r="K798" s="276">
        <f t="shared" si="115"/>
        <v>0</v>
      </c>
      <c r="M798" s="22">
        <f t="shared" si="116"/>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IF(OR(A798="",A798&gt;=subjectMortgageEndDate),"",EDATE(A798,1))</f>
        <v/>
      </c>
      <c r="B799" s="276">
        <f t="shared" si="113"/>
        <v>0</v>
      </c>
      <c r="C799" s="14">
        <f>IF(A799="",0,IF(B799&lt;=0,0,IF(A799=subjectMortgageEndDate,B799+E799,MIN(subjectPayment,B799+E799))))</f>
        <v>0</v>
      </c>
      <c r="D799" s="14">
        <f t="shared" si="114"/>
        <v>0</v>
      </c>
      <c r="E799" s="14">
        <f>IF(OR(A799="",B799&lt;=0),0,ROUND(B799*(subjectInterestRate/12),2))</f>
        <v>0</v>
      </c>
      <c r="K799" s="276">
        <f t="shared" si="115"/>
        <v>0</v>
      </c>
      <c r="M799" s="22">
        <f t="shared" si="116"/>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IF(OR(A799="",A799&gt;=subjectMortgageEndDate),"",EDATE(A799,1))</f>
        <v/>
      </c>
      <c r="B800" s="276">
        <f t="shared" si="113"/>
        <v>0</v>
      </c>
      <c r="C800" s="14">
        <f>IF(A800="",0,IF(B800&lt;=0,0,IF(A800=subjectMortgageEndDate,B800+E800,MIN(subjectPayment,B800+E800))))</f>
        <v>0</v>
      </c>
      <c r="D800" s="14">
        <f t="shared" si="114"/>
        <v>0</v>
      </c>
      <c r="E800" s="14">
        <f>IF(OR(A800="",B800&lt;=0),0,ROUND(B800*(subjectInterestRate/12),2))</f>
        <v>0</v>
      </c>
      <c r="K800" s="276">
        <f t="shared" si="115"/>
        <v>0</v>
      </c>
      <c r="M800" s="22">
        <f t="shared" si="116"/>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IF(OR(A800="",A800&gt;=subjectMortgageEndDate),"",EDATE(A800,1))</f>
        <v/>
      </c>
      <c r="B801" s="276">
        <f t="shared" si="113"/>
        <v>0</v>
      </c>
      <c r="C801" s="14">
        <f>IF(A801="",0,IF(B801&lt;=0,0,IF(A801=subjectMortgageEndDate,B801+E801,MIN(subjectPayment,B801+E801))))</f>
        <v>0</v>
      </c>
      <c r="D801" s="14">
        <f t="shared" si="114"/>
        <v>0</v>
      </c>
      <c r="E801" s="14">
        <f>IF(OR(A801="",B801&lt;=0),0,ROUND(B801*(subjectInterestRate/12),2))</f>
        <v>0</v>
      </c>
      <c r="K801" s="276">
        <f t="shared" si="115"/>
        <v>0</v>
      </c>
      <c r="M801" s="22">
        <f t="shared" si="116"/>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IF(OR(A801="",A801&gt;=subjectMortgageEndDate),"",EDATE(A801,1))</f>
        <v/>
      </c>
      <c r="B802" s="276">
        <f t="shared" si="113"/>
        <v>0</v>
      </c>
      <c r="C802" s="14">
        <f>IF(A802="",0,IF(B802&lt;=0,0,IF(A802=subjectMortgageEndDate,B802+E802,MIN(subjectPayment,B802+E802))))</f>
        <v>0</v>
      </c>
      <c r="D802" s="14">
        <f t="shared" si="114"/>
        <v>0</v>
      </c>
      <c r="E802" s="14">
        <f>IF(OR(A802="",B802&lt;=0),0,ROUND(B802*(subjectInterestRate/12),2))</f>
        <v>0</v>
      </c>
      <c r="K802" s="276">
        <f t="shared" si="115"/>
        <v>0</v>
      </c>
      <c r="M802" s="22">
        <f t="shared" si="116"/>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IF(OR(A802="",A802&gt;=subjectMortgageEndDate),"",EDATE(A802,1))</f>
        <v/>
      </c>
      <c r="B803" s="276">
        <f t="shared" si="113"/>
        <v>0</v>
      </c>
      <c r="C803" s="14">
        <f>IF(A803="",0,IF(B803&lt;=0,0,IF(A803=subjectMortgageEndDate,B803+E803,MIN(subjectPayment,B803+E803))))</f>
        <v>0</v>
      </c>
      <c r="D803" s="14">
        <f t="shared" si="114"/>
        <v>0</v>
      </c>
      <c r="E803" s="14">
        <f>IF(OR(A803="",B803&lt;=0),0,ROUND(B803*(subjectInterestRate/12),2))</f>
        <v>0</v>
      </c>
      <c r="K803" s="276">
        <f t="shared" si="115"/>
        <v>0</v>
      </c>
      <c r="M803" s="22">
        <f t="shared" si="116"/>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IF(OR(A803="",A803&gt;=subjectMortgageEndDate),"",EDATE(A803,1))</f>
        <v/>
      </c>
      <c r="B804" s="276">
        <f t="shared" si="113"/>
        <v>0</v>
      </c>
      <c r="C804" s="14">
        <f>IF(A804="",0,IF(B804&lt;=0,0,IF(A804=subjectMortgageEndDate,B804+E804,MIN(subjectPayment,B804+E804))))</f>
        <v>0</v>
      </c>
      <c r="D804" s="14">
        <f t="shared" si="114"/>
        <v>0</v>
      </c>
      <c r="E804" s="14">
        <f>IF(OR(A804="",B804&lt;=0),0,ROUND(B804*(subjectInterestRate/12),2))</f>
        <v>0</v>
      </c>
      <c r="K804" s="276">
        <f t="shared" si="115"/>
        <v>0</v>
      </c>
      <c r="M804" s="22">
        <f t="shared" si="116"/>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IF(OR(A804="",A804&gt;=subjectMortgageEndDate),"",EDATE(A804,1))</f>
        <v/>
      </c>
      <c r="B805" s="276">
        <f t="shared" si="113"/>
        <v>0</v>
      </c>
      <c r="C805" s="14">
        <f>IF(A805="",0,IF(B805&lt;=0,0,IF(A805=subjectMortgageEndDate,B805+E805,MIN(subjectPayment,B805+E805))))</f>
        <v>0</v>
      </c>
      <c r="D805" s="14">
        <f t="shared" si="114"/>
        <v>0</v>
      </c>
      <c r="E805" s="14">
        <f>IF(OR(A805="",B805&lt;=0),0,ROUND(B805*(subjectInterestRate/12),2))</f>
        <v>0</v>
      </c>
      <c r="K805" s="276">
        <f t="shared" si="115"/>
        <v>0</v>
      </c>
      <c r="M805" s="22">
        <f t="shared" si="116"/>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IF(OR(A805="",A805&gt;=subjectMortgageEndDate),"",EDATE(A805,1))</f>
        <v/>
      </c>
      <c r="B806" s="276">
        <f t="shared" si="113"/>
        <v>0</v>
      </c>
      <c r="C806" s="14">
        <f>IF(A806="",0,IF(B806&lt;=0,0,IF(A806=subjectMortgageEndDate,B806+E806,MIN(subjectPayment,B806+E806))))</f>
        <v>0</v>
      </c>
      <c r="D806" s="14">
        <f t="shared" si="114"/>
        <v>0</v>
      </c>
      <c r="E806" s="14">
        <f>IF(OR(A806="",B806&lt;=0),0,ROUND(B806*(subjectInterestRate/12),2))</f>
        <v>0</v>
      </c>
      <c r="K806" s="276">
        <f t="shared" si="115"/>
        <v>0</v>
      </c>
      <c r="M806" s="22">
        <f t="shared" si="116"/>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IF(OR(A806="",A806&gt;=subjectMortgageEndDate),"",EDATE(A806,1))</f>
        <v/>
      </c>
      <c r="B807" s="276">
        <f t="shared" si="113"/>
        <v>0</v>
      </c>
      <c r="C807" s="14">
        <f>IF(A807="",0,IF(B807&lt;=0,0,IF(A807=subjectMortgageEndDate,B807+E807,MIN(subjectPayment,B807+E807))))</f>
        <v>0</v>
      </c>
      <c r="D807" s="14">
        <f t="shared" si="114"/>
        <v>0</v>
      </c>
      <c r="E807" s="14">
        <f>IF(OR(A807="",B807&lt;=0),0,ROUND(B807*(subjectInterestRate/12),2))</f>
        <v>0</v>
      </c>
      <c r="K807" s="276">
        <f t="shared" si="115"/>
        <v>0</v>
      </c>
      <c r="M807" s="22">
        <f t="shared" si="116"/>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IF(OR(A807="",A807&gt;=subjectMortgageEndDate),"",EDATE(A807,1))</f>
        <v/>
      </c>
      <c r="B808" s="276">
        <f t="shared" si="113"/>
        <v>0</v>
      </c>
      <c r="C808" s="14">
        <f>IF(A808="",0,IF(B808&lt;=0,0,IF(A808=subjectMortgageEndDate,B808+E808,MIN(subjectPayment,B808+E808))))</f>
        <v>0</v>
      </c>
      <c r="D808" s="14">
        <f t="shared" si="114"/>
        <v>0</v>
      </c>
      <c r="E808" s="14">
        <f>IF(OR(A808="",B808&lt;=0),0,ROUND(B808*(subjectInterestRate/12),2))</f>
        <v>0</v>
      </c>
      <c r="K808" s="276">
        <f t="shared" si="115"/>
        <v>0</v>
      </c>
      <c r="M808" s="22">
        <f t="shared" si="116"/>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IF(OR(A808="",A808&gt;=subjectMortgageEndDate),"",EDATE(A808,1))</f>
        <v/>
      </c>
      <c r="B809" s="276">
        <f t="shared" si="113"/>
        <v>0</v>
      </c>
      <c r="C809" s="14">
        <f>IF(A809="",0,IF(B809&lt;=0,0,IF(A809=subjectMortgageEndDate,B809+E809,MIN(subjectPayment,B809+E809))))</f>
        <v>0</v>
      </c>
      <c r="D809" s="14">
        <f t="shared" si="114"/>
        <v>0</v>
      </c>
      <c r="E809" s="14">
        <f>IF(OR(A809="",B809&lt;=0),0,ROUND(B809*(subjectInterestRate/12),2))</f>
        <v>0</v>
      </c>
      <c r="K809" s="276">
        <f t="shared" si="115"/>
        <v>0</v>
      </c>
      <c r="M809" s="22">
        <f t="shared" si="116"/>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IF(OR(A809="",A809&gt;=subjectMortgageEndDate),"",EDATE(A809,1))</f>
        <v/>
      </c>
      <c r="B810" s="276">
        <f t="shared" si="113"/>
        <v>0</v>
      </c>
      <c r="C810" s="14">
        <f>IF(A810="",0,IF(B810&lt;=0,0,IF(A810=subjectMortgageEndDate,B810+E810,MIN(subjectPayment,B810+E810))))</f>
        <v>0</v>
      </c>
      <c r="D810" s="14">
        <f t="shared" si="114"/>
        <v>0</v>
      </c>
      <c r="E810" s="14">
        <f>IF(OR(A810="",B810&lt;=0),0,ROUND(B810*(subjectInterestRate/12),2))</f>
        <v>0</v>
      </c>
      <c r="K810" s="276">
        <f t="shared" si="115"/>
        <v>0</v>
      </c>
      <c r="M810" s="22">
        <f t="shared" si="116"/>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IF(OR(A810="",A810&gt;=subjectMortgageEndDate),"",EDATE(A810,1))</f>
        <v/>
      </c>
      <c r="B811" s="276">
        <f t="shared" si="113"/>
        <v>0</v>
      </c>
      <c r="C811" s="14">
        <f>IF(A811="",0,IF(B811&lt;=0,0,IF(A811=subjectMortgageEndDate,B811+E811,MIN(subjectPayment,B811+E811))))</f>
        <v>0</v>
      </c>
      <c r="D811" s="14">
        <f t="shared" si="114"/>
        <v>0</v>
      </c>
      <c r="E811" s="14">
        <f>IF(OR(A811="",B811&lt;=0),0,ROUND(B811*(subjectInterestRate/12),2))</f>
        <v>0</v>
      </c>
      <c r="K811" s="276">
        <f t="shared" si="115"/>
        <v>0</v>
      </c>
      <c r="M811" s="22">
        <f t="shared" si="116"/>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IF(OR(A811="",A811&gt;=subjectMortgageEndDate),"",EDATE(A811,1))</f>
        <v/>
      </c>
      <c r="B812" s="276">
        <f t="shared" si="113"/>
        <v>0</v>
      </c>
      <c r="C812" s="14">
        <f>IF(A812="",0,IF(B812&lt;=0,0,IF(A812=subjectMortgageEndDate,B812+E812,MIN(subjectPayment,B812+E812))))</f>
        <v>0</v>
      </c>
      <c r="D812" s="14">
        <f t="shared" si="114"/>
        <v>0</v>
      </c>
      <c r="E812" s="14">
        <f>IF(OR(A812="",B812&lt;=0),0,ROUND(B812*(subjectInterestRate/12),2))</f>
        <v>0</v>
      </c>
      <c r="K812" s="276">
        <f t="shared" si="115"/>
        <v>0</v>
      </c>
      <c r="M812" s="22">
        <f t="shared" si="116"/>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IF(OR(A812="",A812&gt;=subjectMortgageEndDate),"",EDATE(A812,1))</f>
        <v/>
      </c>
      <c r="B813" s="276">
        <f t="shared" si="113"/>
        <v>0</v>
      </c>
      <c r="C813" s="14">
        <f>IF(A813="",0,IF(B813&lt;=0,0,IF(A813=subjectMortgageEndDate,B813+E813,MIN(subjectPayment,B813+E813))))</f>
        <v>0</v>
      </c>
      <c r="D813" s="14">
        <f t="shared" si="114"/>
        <v>0</v>
      </c>
      <c r="E813" s="14">
        <f>IF(OR(A813="",B813&lt;=0),0,ROUND(B813*(subjectInterestRate/12),2))</f>
        <v>0</v>
      </c>
      <c r="K813" s="276">
        <f t="shared" si="115"/>
        <v>0</v>
      </c>
      <c r="M813" s="22">
        <f t="shared" si="116"/>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IF(OR(A813="",A813&gt;=subjectMortgageEndDate),"",EDATE(A813,1))</f>
        <v/>
      </c>
      <c r="B814" s="276">
        <f t="shared" si="113"/>
        <v>0</v>
      </c>
      <c r="C814" s="14">
        <f>IF(A814="",0,IF(B814&lt;=0,0,IF(A814=subjectMortgageEndDate,B814+E814,MIN(subjectPayment,B814+E814))))</f>
        <v>0</v>
      </c>
      <c r="D814" s="14">
        <f t="shared" si="114"/>
        <v>0</v>
      </c>
      <c r="E814" s="14">
        <f>IF(OR(A814="",B814&lt;=0),0,ROUND(B814*(subjectInterestRate/12),2))</f>
        <v>0</v>
      </c>
      <c r="K814" s="276">
        <f t="shared" si="115"/>
        <v>0</v>
      </c>
      <c r="M814" s="22">
        <f t="shared" si="116"/>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IF(OR(A814="",A814&gt;=subjectMortgageEndDate),"",EDATE(A814,1))</f>
        <v/>
      </c>
      <c r="B815" s="276">
        <f t="shared" si="113"/>
        <v>0</v>
      </c>
      <c r="C815" s="14">
        <f>IF(A815="",0,IF(B815&lt;=0,0,IF(A815=subjectMortgageEndDate,B815+E815,MIN(subjectPayment,B815+E815))))</f>
        <v>0</v>
      </c>
      <c r="D815" s="14">
        <f t="shared" si="114"/>
        <v>0</v>
      </c>
      <c r="E815" s="14">
        <f>IF(OR(A815="",B815&lt;=0),0,ROUND(B815*(subjectInterestRate/12),2))</f>
        <v>0</v>
      </c>
      <c r="K815" s="276">
        <f t="shared" si="115"/>
        <v>0</v>
      </c>
      <c r="M815" s="22">
        <f t="shared" si="116"/>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IF(OR(A815="",A815&gt;=subjectMortgageEndDate),"",EDATE(A815,1))</f>
        <v/>
      </c>
      <c r="B816" s="276">
        <f t="shared" si="113"/>
        <v>0</v>
      </c>
      <c r="C816" s="14">
        <f>IF(A816="",0,IF(B816&lt;=0,0,IF(A816=subjectMortgageEndDate,B816+E816,MIN(subjectPayment,B816+E816))))</f>
        <v>0</v>
      </c>
      <c r="D816" s="14">
        <f t="shared" si="114"/>
        <v>0</v>
      </c>
      <c r="E816" s="14">
        <f>IF(OR(A816="",B816&lt;=0),0,ROUND(B816*(subjectInterestRate/12),2))</f>
        <v>0</v>
      </c>
      <c r="K816" s="276">
        <f t="shared" si="115"/>
        <v>0</v>
      </c>
      <c r="M816" s="22">
        <f t="shared" si="116"/>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IF(OR(A816="",A816&gt;=subjectMortgageEndDate),"",EDATE(A816,1))</f>
        <v/>
      </c>
      <c r="B817" s="276">
        <f t="shared" si="113"/>
        <v>0</v>
      </c>
      <c r="C817" s="14">
        <f>IF(A817="",0,IF(B817&lt;=0,0,IF(A817=subjectMortgageEndDate,B817+E817,MIN(subjectPayment,B817+E817))))</f>
        <v>0</v>
      </c>
      <c r="D817" s="14">
        <f t="shared" si="114"/>
        <v>0</v>
      </c>
      <c r="E817" s="14">
        <f>IF(OR(A817="",B817&lt;=0),0,ROUND(B817*(subjectInterestRate/12),2))</f>
        <v>0</v>
      </c>
      <c r="K817" s="276">
        <f t="shared" si="115"/>
        <v>0</v>
      </c>
      <c r="M817" s="22">
        <f t="shared" si="116"/>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IF(OR(A817="",A817&gt;=subjectMortgageEndDate),"",EDATE(A817,1))</f>
        <v/>
      </c>
      <c r="B818" s="276">
        <f t="shared" si="113"/>
        <v>0</v>
      </c>
      <c r="C818" s="14">
        <f>IF(A818="",0,IF(B818&lt;=0,0,IF(A818=subjectMortgageEndDate,B818+E818,MIN(subjectPayment,B818+E818))))</f>
        <v>0</v>
      </c>
      <c r="D818" s="14">
        <f t="shared" si="114"/>
        <v>0</v>
      </c>
      <c r="E818" s="14">
        <f>IF(OR(A818="",B818&lt;=0),0,ROUND(B818*(subjectInterestRate/12),2))</f>
        <v>0</v>
      </c>
      <c r="K818" s="276">
        <f t="shared" si="115"/>
        <v>0</v>
      </c>
      <c r="M818" s="22">
        <f t="shared" si="116"/>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IF(OR(A818="",A818&gt;=subjectMortgageEndDate),"",EDATE(A818,1))</f>
        <v/>
      </c>
      <c r="B819" s="276">
        <f t="shared" si="113"/>
        <v>0</v>
      </c>
      <c r="C819" s="14">
        <f>IF(A819="",0,IF(B819&lt;=0,0,IF(A819=subjectMortgageEndDate,B819+E819,MIN(subjectPayment,B819+E819))))</f>
        <v>0</v>
      </c>
      <c r="D819" s="14">
        <f t="shared" si="114"/>
        <v>0</v>
      </c>
      <c r="E819" s="14">
        <f>IF(OR(A819="",B819&lt;=0),0,ROUND(B819*(subjectInterestRate/12),2))</f>
        <v>0</v>
      </c>
      <c r="K819" s="276">
        <f t="shared" si="115"/>
        <v>0</v>
      </c>
      <c r="M819" s="22">
        <f t="shared" si="116"/>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IF(OR(A819="",A819&gt;=subjectMortgageEndDate),"",EDATE(A819,1))</f>
        <v/>
      </c>
      <c r="B820" s="276">
        <f t="shared" si="113"/>
        <v>0</v>
      </c>
      <c r="C820" s="14">
        <f>IF(A820="",0,IF(B820&lt;=0,0,IF(A820=subjectMortgageEndDate,B820+E820,MIN(subjectPayment,B820+E820))))</f>
        <v>0</v>
      </c>
      <c r="D820" s="14">
        <f t="shared" si="114"/>
        <v>0</v>
      </c>
      <c r="E820" s="14">
        <f>IF(OR(A820="",B820&lt;=0),0,ROUND(B820*(subjectInterestRate/12),2))</f>
        <v>0</v>
      </c>
      <c r="K820" s="276">
        <f t="shared" si="115"/>
        <v>0</v>
      </c>
      <c r="M820" s="22">
        <f t="shared" si="116"/>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IF(OR(A820="",A820&gt;=subjectMortgageEndDate),"",EDATE(A820,1))</f>
        <v/>
      </c>
      <c r="B821" s="276">
        <f t="shared" si="113"/>
        <v>0</v>
      </c>
      <c r="C821" s="14">
        <f>IF(A821="",0,IF(B821&lt;=0,0,IF(A821=subjectMortgageEndDate,B821+E821,MIN(subjectPayment,B821+E821))))</f>
        <v>0</v>
      </c>
      <c r="D821" s="14">
        <f t="shared" si="114"/>
        <v>0</v>
      </c>
      <c r="E821" s="14">
        <f>IF(OR(A821="",B821&lt;=0),0,ROUND(B821*(subjectInterestRate/12),2))</f>
        <v>0</v>
      </c>
      <c r="K821" s="276">
        <f t="shared" si="115"/>
        <v>0</v>
      </c>
      <c r="M821" s="22">
        <f t="shared" si="116"/>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IF(OR(A821="",A821&gt;=subjectMortgageEndDate),"",EDATE(A821,1))</f>
        <v/>
      </c>
      <c r="B822" s="276">
        <f t="shared" si="113"/>
        <v>0</v>
      </c>
      <c r="C822" s="14">
        <f>IF(A822="",0,IF(B822&lt;=0,0,IF(A822=subjectMortgageEndDate,B822+E822,MIN(subjectPayment,B822+E822))))</f>
        <v>0</v>
      </c>
      <c r="D822" s="14">
        <f t="shared" si="114"/>
        <v>0</v>
      </c>
      <c r="E822" s="14">
        <f>IF(OR(A822="",B822&lt;=0),0,ROUND(B822*(subjectInterestRate/12),2))</f>
        <v>0</v>
      </c>
      <c r="K822" s="276">
        <f t="shared" si="115"/>
        <v>0</v>
      </c>
      <c r="M822" s="22">
        <f t="shared" si="116"/>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IF(OR(A822="",A822&gt;=subjectMortgageEndDate),"",EDATE(A822,1))</f>
        <v/>
      </c>
      <c r="B823" s="276">
        <f t="shared" si="113"/>
        <v>0</v>
      </c>
      <c r="C823" s="14">
        <f>IF(A823="",0,IF(B823&lt;=0,0,IF(A823=subjectMortgageEndDate,B823+E823,MIN(subjectPayment,B823+E823))))</f>
        <v>0</v>
      </c>
      <c r="D823" s="14">
        <f t="shared" si="114"/>
        <v>0</v>
      </c>
      <c r="E823" s="14">
        <f>IF(OR(A823="",B823&lt;=0),0,ROUND(B823*(subjectInterestRate/12),2))</f>
        <v>0</v>
      </c>
      <c r="K823" s="276">
        <f t="shared" si="115"/>
        <v>0</v>
      </c>
      <c r="M823" s="22">
        <f t="shared" si="116"/>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IF(OR(A823="",A823&gt;=subjectMortgageEndDate),"",EDATE(A823,1))</f>
        <v/>
      </c>
      <c r="B824" s="276">
        <f t="shared" si="113"/>
        <v>0</v>
      </c>
      <c r="C824" s="14">
        <f>IF(A824="",0,IF(B824&lt;=0,0,IF(A824=subjectMortgageEndDate,B824+E824,MIN(subjectPayment,B824+E824))))</f>
        <v>0</v>
      </c>
      <c r="D824" s="14">
        <f t="shared" si="114"/>
        <v>0</v>
      </c>
      <c r="E824" s="14">
        <f>IF(OR(A824="",B824&lt;=0),0,ROUND(B824*(subjectInterestRate/12),2))</f>
        <v>0</v>
      </c>
      <c r="K824" s="276">
        <f t="shared" si="115"/>
        <v>0</v>
      </c>
      <c r="M824" s="22">
        <f t="shared" si="116"/>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IF(OR(A824="",A824&gt;=subjectMortgageEndDate),"",EDATE(A824,1))</f>
        <v/>
      </c>
      <c r="B825" s="276">
        <f t="shared" si="113"/>
        <v>0</v>
      </c>
      <c r="C825" s="14">
        <f>IF(A825="",0,IF(B825&lt;=0,0,IF(A825=subjectMortgageEndDate,B825+E825,MIN(subjectPayment,B825+E825))))</f>
        <v>0</v>
      </c>
      <c r="D825" s="14">
        <f t="shared" si="114"/>
        <v>0</v>
      </c>
      <c r="E825" s="14">
        <f>IF(OR(A825="",B825&lt;=0),0,ROUND(B825*(subjectInterestRate/12),2))</f>
        <v>0</v>
      </c>
      <c r="K825" s="276">
        <f t="shared" si="115"/>
        <v>0</v>
      </c>
      <c r="M825" s="22">
        <f t="shared" si="116"/>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IF(OR(A825="",A825&gt;=subjectMortgageEndDate),"",EDATE(A825,1))</f>
        <v/>
      </c>
      <c r="B826" s="276">
        <f t="shared" si="113"/>
        <v>0</v>
      </c>
      <c r="C826" s="14">
        <f>IF(A826="",0,IF(B826&lt;=0,0,IF(A826=subjectMortgageEndDate,B826+E826,MIN(subjectPayment,B826+E826))))</f>
        <v>0</v>
      </c>
      <c r="D826" s="14">
        <f t="shared" si="114"/>
        <v>0</v>
      </c>
      <c r="E826" s="14">
        <f>IF(OR(A826="",B826&lt;=0),0,ROUND(B826*(subjectInterestRate/12),2))</f>
        <v>0</v>
      </c>
      <c r="K826" s="276">
        <f t="shared" si="115"/>
        <v>0</v>
      </c>
      <c r="M826" s="22">
        <f t="shared" si="116"/>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IF(OR(A826="",A826&gt;=subjectMortgageEndDate),"",EDATE(A826,1))</f>
        <v/>
      </c>
      <c r="B827" s="276">
        <f t="shared" si="113"/>
        <v>0</v>
      </c>
      <c r="C827" s="14">
        <f>IF(A827="",0,IF(B827&lt;=0,0,IF(A827=subjectMortgageEndDate,B827+E827,MIN(subjectPayment,B827+E827))))</f>
        <v>0</v>
      </c>
      <c r="D827" s="14">
        <f t="shared" si="114"/>
        <v>0</v>
      </c>
      <c r="E827" s="14">
        <f>IF(OR(A827="",B827&lt;=0),0,ROUND(B827*(subjectInterestRate/12),2))</f>
        <v>0</v>
      </c>
      <c r="K827" s="276">
        <f t="shared" si="115"/>
        <v>0</v>
      </c>
      <c r="M827" s="22">
        <f t="shared" si="116"/>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IF(OR(A827="",A827&gt;=subjectMortgageEndDate),"",EDATE(A827,1))</f>
        <v/>
      </c>
      <c r="B828" s="276">
        <f t="shared" si="113"/>
        <v>0</v>
      </c>
      <c r="C828" s="14">
        <f>IF(A828="",0,IF(B828&lt;=0,0,IF(A828=subjectMortgageEndDate,B828+E828,MIN(subjectPayment,B828+E828))))</f>
        <v>0</v>
      </c>
      <c r="D828" s="14">
        <f t="shared" si="114"/>
        <v>0</v>
      </c>
      <c r="E828" s="14">
        <f>IF(OR(A828="",B828&lt;=0),0,ROUND(B828*(subjectInterestRate/12),2))</f>
        <v>0</v>
      </c>
      <c r="K828" s="276">
        <f t="shared" si="115"/>
        <v>0</v>
      </c>
      <c r="M828" s="22">
        <f t="shared" si="116"/>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IF(OR(A828="",A828&gt;=subjectMortgageEndDate),"",EDATE(A828,1))</f>
        <v/>
      </c>
      <c r="B829" s="276">
        <f t="shared" si="113"/>
        <v>0</v>
      </c>
      <c r="C829" s="14">
        <f>IF(A829="",0,IF(B829&lt;=0,0,IF(A829=subjectMortgageEndDate,B829+E829,MIN(subjectPayment,B829+E829))))</f>
        <v>0</v>
      </c>
      <c r="D829" s="14">
        <f t="shared" si="114"/>
        <v>0</v>
      </c>
      <c r="E829" s="14">
        <f>IF(OR(A829="",B829&lt;=0),0,ROUND(B829*(subjectInterestRate/12),2))</f>
        <v>0</v>
      </c>
      <c r="K829" s="276">
        <f t="shared" si="115"/>
        <v>0</v>
      </c>
      <c r="M829" s="22">
        <f t="shared" si="116"/>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IF(OR(A829="",A829&gt;=subjectMortgageEndDate),"",EDATE(A829,1))</f>
        <v/>
      </c>
      <c r="B830" s="276">
        <f t="shared" si="113"/>
        <v>0</v>
      </c>
      <c r="C830" s="14">
        <f>IF(A830="",0,IF(B830&lt;=0,0,IF(A830=subjectMortgageEndDate,B830+E830,MIN(subjectPayment,B830+E830))))</f>
        <v>0</v>
      </c>
      <c r="D830" s="14">
        <f t="shared" si="114"/>
        <v>0</v>
      </c>
      <c r="E830" s="14">
        <f>IF(OR(A830="",B830&lt;=0),0,ROUND(B830*(subjectInterestRate/12),2))</f>
        <v>0</v>
      </c>
      <c r="K830" s="276">
        <f t="shared" si="115"/>
        <v>0</v>
      </c>
      <c r="M830" s="22">
        <f t="shared" si="116"/>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IF(OR(A830="",A830&gt;=subjectMortgageEndDate),"",EDATE(A830,1))</f>
        <v/>
      </c>
      <c r="B831" s="276">
        <f t="shared" si="113"/>
        <v>0</v>
      </c>
      <c r="C831" s="14">
        <f>IF(A831="",0,IF(B831&lt;=0,0,IF(A831=subjectMortgageEndDate,B831+E831,MIN(subjectPayment,B831+E831))))</f>
        <v>0</v>
      </c>
      <c r="D831" s="14">
        <f t="shared" si="114"/>
        <v>0</v>
      </c>
      <c r="E831" s="14">
        <f>IF(OR(A831="",B831&lt;=0),0,ROUND(B831*(subjectInterestRate/12),2))</f>
        <v>0</v>
      </c>
      <c r="K831" s="276">
        <f t="shared" si="115"/>
        <v>0</v>
      </c>
      <c r="M831" s="22">
        <f t="shared" si="116"/>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IF(OR(A831="",A831&gt;=subjectMortgageEndDate),"",EDATE(A831,1))</f>
        <v/>
      </c>
      <c r="B832" s="276">
        <f t="shared" si="113"/>
        <v>0</v>
      </c>
      <c r="C832" s="14">
        <f>IF(A832="",0,IF(B832&lt;=0,0,IF(A832=subjectMortgageEndDate,B832+E832,MIN(subjectPayment,B832+E832))))</f>
        <v>0</v>
      </c>
      <c r="D832" s="14">
        <f t="shared" si="114"/>
        <v>0</v>
      </c>
      <c r="E832" s="14">
        <f>IF(OR(A832="",B832&lt;=0),0,ROUND(B832*(subjectInterestRate/12),2))</f>
        <v>0</v>
      </c>
      <c r="K832" s="276">
        <f t="shared" si="115"/>
        <v>0</v>
      </c>
      <c r="M832" s="22">
        <f t="shared" si="116"/>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IF(OR(A832="",A832&gt;=subjectMortgageEndDate),"",EDATE(A832,1))</f>
        <v/>
      </c>
      <c r="B833" s="276">
        <f t="shared" si="113"/>
        <v>0</v>
      </c>
      <c r="C833" s="14">
        <f>IF(A833="",0,IF(B833&lt;=0,0,IF(A833=subjectMortgageEndDate,B833+E833,MIN(subjectPayment,B833+E833))))</f>
        <v>0</v>
      </c>
      <c r="D833" s="14">
        <f t="shared" si="114"/>
        <v>0</v>
      </c>
      <c r="E833" s="14">
        <f>IF(OR(A833="",B833&lt;=0),0,ROUND(B833*(subjectInterestRate/12),2))</f>
        <v>0</v>
      </c>
      <c r="K833" s="276">
        <f t="shared" si="115"/>
        <v>0</v>
      </c>
      <c r="M833" s="22">
        <f t="shared" si="116"/>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6">
    <mergeCell ref="AB18:AF18"/>
    <mergeCell ref="K2:L2"/>
    <mergeCell ref="K3:L3"/>
    <mergeCell ref="K4:L4"/>
    <mergeCell ref="Q13:R13"/>
    <mergeCell ref="Z2:AC2"/>
    <mergeCell ref="Z3:AB3"/>
    <mergeCell ref="Z4:AB4"/>
    <mergeCell ref="Z5:AB5"/>
    <mergeCell ref="Z6:AB6"/>
    <mergeCell ref="Z7:AB7"/>
    <mergeCell ref="Z8:AB8"/>
    <mergeCell ref="Z9:AB9"/>
    <mergeCell ref="Z10:AB10"/>
    <mergeCell ref="S13:T13"/>
    <mergeCell ref="O17:Y17"/>
    <mergeCell ref="C18:H18"/>
    <mergeCell ref="I18:J18"/>
    <mergeCell ref="Q18:V18"/>
    <mergeCell ref="W18:X18"/>
    <mergeCell ref="Z18:AA18"/>
    <mergeCell ref="L18:N18"/>
    <mergeCell ref="A1:D1"/>
    <mergeCell ref="A2:B2"/>
    <mergeCell ref="A3:B3"/>
    <mergeCell ref="H13:I13"/>
    <mergeCell ref="Q14:R14"/>
    <mergeCell ref="K13:N13"/>
    <mergeCell ref="K14:N14"/>
    <mergeCell ref="Z17:AE17"/>
    <mergeCell ref="A17:K17"/>
    <mergeCell ref="A4:B4"/>
    <mergeCell ref="A5:B5"/>
    <mergeCell ref="A6:B6"/>
    <mergeCell ref="A7:B7"/>
    <mergeCell ref="S14:T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64">
        <v>0</v>
      </c>
      <c r="L2" s="66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68">
        <f>+Profit!M63</f>
        <v>-73006.028174349995</v>
      </c>
      <c r="L4" s="66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19" t="s">
        <v>1177</v>
      </c>
      <c r="Y5" s="820"/>
      <c r="Z5" s="821"/>
      <c r="AA5" s="817"/>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73" t="s">
        <v>1178</v>
      </c>
      <c r="Y6" s="674"/>
      <c r="Z6" s="675"/>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73" t="s">
        <v>1179</v>
      </c>
      <c r="Y7" s="674"/>
      <c r="Z7" s="675"/>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73" t="s">
        <v>1180</v>
      </c>
      <c r="Y8" s="674"/>
      <c r="Z8" s="675"/>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73" t="s">
        <v>1181</v>
      </c>
      <c r="Y9" s="674"/>
      <c r="Z9" s="675"/>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73" t="s">
        <v>1182</v>
      </c>
      <c r="Y10" s="674"/>
      <c r="Z10" s="675"/>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73" t="s">
        <v>1183</v>
      </c>
      <c r="Y11" s="674"/>
      <c r="Z11" s="675"/>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73" t="s">
        <v>1184</v>
      </c>
      <c r="Y12" s="674"/>
      <c r="Z12" s="675"/>
      <c r="AA12" s="609">
        <f>IFERROR(_xlfn.XLOOKUP($P$12-1,$Z:$Z,$AE:$AE),"")</f>
        <v>0</v>
      </c>
      <c r="AB12" s="460"/>
      <c r="AD12" s="14"/>
      <c r="AE12" s="30"/>
      <c r="AG12" s="22"/>
      <c r="AH12" s="22"/>
      <c r="AI12" s="22"/>
      <c r="AJ12"/>
    </row>
    <row r="13" spans="2:41" ht="15.75" thickBot="1" x14ac:dyDescent="0.3">
      <c r="X13" s="676" t="s">
        <v>1185</v>
      </c>
      <c r="Y13" s="677"/>
      <c r="Z13" s="678"/>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2" t="str">
        <f>"Official Contract for Deed Schedule: "&amp;TEXT($O$8,"0.00%")&amp;" for first "&amp;$O$12&amp;" years, then "&amp;TEXT($O$10,"0.00%")</f>
        <v>Official Contract for Deed Schedule: 6.25% for first 5 years, then 6.25%</v>
      </c>
      <c r="P16" s="830"/>
      <c r="Q16" s="830"/>
      <c r="R16" s="830"/>
      <c r="S16" s="830"/>
      <c r="T16" s="830"/>
      <c r="U16" s="830"/>
      <c r="V16" s="830"/>
      <c r="W16" s="830"/>
      <c r="X16" s="830"/>
      <c r="Y16" s="830"/>
      <c r="Z16" s="660"/>
    </row>
    <row r="17" spans="1:31" ht="15" customHeight="1" thickBot="1" x14ac:dyDescent="0.3">
      <c r="C17" s="822" t="s">
        <v>658</v>
      </c>
      <c r="D17" s="823"/>
      <c r="E17" s="824"/>
      <c r="F17" s="824"/>
      <c r="G17" s="824"/>
      <c r="H17" s="825"/>
      <c r="I17" s="819" t="s">
        <v>655</v>
      </c>
      <c r="J17" s="817"/>
      <c r="N17" s="460"/>
      <c r="O17" s="466"/>
      <c r="P17" s="454"/>
      <c r="Q17" s="826" t="s">
        <v>658</v>
      </c>
      <c r="R17" s="827"/>
      <c r="S17" s="684"/>
      <c r="T17" s="684"/>
      <c r="U17" s="684"/>
      <c r="V17" s="728"/>
      <c r="W17" s="826" t="s">
        <v>655</v>
      </c>
      <c r="X17" s="828"/>
      <c r="Y17" s="612" t="s">
        <v>1175</v>
      </c>
      <c r="Z17" s="466"/>
      <c r="AA17" s="829" t="s">
        <v>1169</v>
      </c>
      <c r="AB17" s="821"/>
      <c r="AC17" s="821"/>
      <c r="AD17" s="821"/>
      <c r="AE17" s="817"/>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81"/>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81"/>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81"/>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81"/>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1"/>
      <c r="J2" s="845"/>
      <c r="K2" s="837"/>
    </row>
    <row r="3" spans="1:11" ht="16.5" customHeight="1" x14ac:dyDescent="0.25">
      <c r="A3" t="s">
        <v>81</v>
      </c>
      <c r="B3" s="229" t="s">
        <v>686</v>
      </c>
      <c r="C3" s="228" t="s">
        <v>678</v>
      </c>
      <c r="D3" s="22"/>
      <c r="I3" s="681"/>
      <c r="J3" s="222"/>
      <c r="K3" s="837"/>
    </row>
    <row r="4" spans="1:11" x14ac:dyDescent="0.25">
      <c r="A4" t="s">
        <v>82</v>
      </c>
      <c r="B4" s="227" t="s">
        <v>687</v>
      </c>
      <c r="C4" s="230" t="s">
        <v>678</v>
      </c>
      <c r="D4" s="22"/>
      <c r="I4" s="681"/>
      <c r="K4" s="837"/>
    </row>
    <row r="5" spans="1:11" ht="16.5" x14ac:dyDescent="0.3">
      <c r="A5" t="s">
        <v>83</v>
      </c>
      <c r="B5" s="217"/>
      <c r="C5" s="218"/>
      <c r="D5" s="22"/>
      <c r="I5" s="681"/>
      <c r="K5" s="837"/>
    </row>
    <row r="6" spans="1:11" ht="15" customHeight="1" thickBot="1" x14ac:dyDescent="0.3">
      <c r="A6" t="s">
        <v>84</v>
      </c>
      <c r="B6" s="219"/>
      <c r="C6" s="220"/>
      <c r="D6" s="22"/>
      <c r="I6" s="681"/>
      <c r="K6" s="837"/>
    </row>
    <row r="7" spans="1:11" x14ac:dyDescent="0.25">
      <c r="I7" s="681"/>
      <c r="K7" s="837"/>
    </row>
    <row r="8" spans="1:11" x14ac:dyDescent="0.25">
      <c r="I8" s="681"/>
      <c r="K8" s="837"/>
    </row>
    <row r="9" spans="1:11" x14ac:dyDescent="0.25">
      <c r="A9" s="15" t="s">
        <v>85</v>
      </c>
      <c r="B9" s="15" t="s">
        <v>86</v>
      </c>
      <c r="C9" s="15"/>
      <c r="I9" s="681"/>
      <c r="K9" s="837"/>
    </row>
    <row r="10" spans="1:11" x14ac:dyDescent="0.25">
      <c r="B10" s="846" t="s">
        <v>87</v>
      </c>
      <c r="C10" s="847"/>
      <c r="D10" s="847"/>
      <c r="E10" s="847"/>
      <c r="F10" s="847"/>
      <c r="G10" s="847"/>
      <c r="I10" s="681"/>
      <c r="K10" s="837"/>
    </row>
    <row r="11" spans="1:11" x14ac:dyDescent="0.25">
      <c r="B11" s="681"/>
      <c r="C11" s="681"/>
      <c r="D11" s="681"/>
      <c r="E11" s="681"/>
      <c r="F11" s="681"/>
      <c r="G11" s="681"/>
      <c r="I11" s="681"/>
      <c r="K11" s="837"/>
    </row>
    <row r="12" spans="1:11" x14ac:dyDescent="0.25">
      <c r="F12" s="838" t="s">
        <v>88</v>
      </c>
      <c r="I12" s="681"/>
      <c r="K12" s="837"/>
    </row>
    <row r="13" spans="1:11" ht="15.75" thickBot="1" x14ac:dyDescent="0.3">
      <c r="B13" s="31" t="s">
        <v>89</v>
      </c>
      <c r="C13" s="215" t="s">
        <v>90</v>
      </c>
      <c r="D13" s="31" t="s">
        <v>91</v>
      </c>
      <c r="E13" s="31"/>
      <c r="F13" s="808"/>
      <c r="G13" s="31" t="s">
        <v>92</v>
      </c>
      <c r="I13" s="681"/>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81"/>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-73006.028174349995</v>
      </c>
      <c r="I24" s="681"/>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16.417710033917462</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1.0735228939878871</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81"/>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808"/>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11.12022951258483</v>
      </c>
      <c r="I40" s="837"/>
      <c r="K40" s="837"/>
    </row>
    <row r="41" spans="1:13" ht="15" customHeight="1" thickBot="1" x14ac:dyDescent="0.3">
      <c r="C41" s="187"/>
      <c r="D41" s="190" t="s">
        <v>96</v>
      </c>
      <c r="E41" s="191">
        <f>+G37/(F37+G37)</f>
        <v>1.2667410593880546</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37"/>
    </row>
    <row r="43" spans="1:13" ht="15.75" thickTop="1" x14ac:dyDescent="0.25">
      <c r="B43" t="s">
        <v>101</v>
      </c>
      <c r="I43" s="837"/>
      <c r="K43" s="681"/>
      <c r="M43" s="198"/>
    </row>
    <row r="44" spans="1:13" x14ac:dyDescent="0.25">
      <c r="B44" t="s">
        <v>102</v>
      </c>
      <c r="I44" s="837"/>
      <c r="K44" s="681"/>
    </row>
    <row r="45" spans="1:13" ht="15" customHeight="1" x14ac:dyDescent="0.25">
      <c r="B45" t="s">
        <v>120</v>
      </c>
      <c r="I45" s="837"/>
      <c r="K45" s="681"/>
    </row>
    <row r="46" spans="1:13" x14ac:dyDescent="0.25">
      <c r="B46" t="s">
        <v>121</v>
      </c>
      <c r="I46" s="837"/>
      <c r="K46" s="681"/>
    </row>
    <row r="47" spans="1:13" x14ac:dyDescent="0.25">
      <c r="F47" s="3" t="s">
        <v>122</v>
      </c>
      <c r="I47" s="837"/>
      <c r="K47" s="681"/>
    </row>
    <row r="48" spans="1:13" x14ac:dyDescent="0.25">
      <c r="C48" s="838" t="s">
        <v>123</v>
      </c>
      <c r="D48" s="838" t="s">
        <v>124</v>
      </c>
      <c r="E48" s="838" t="s">
        <v>125</v>
      </c>
      <c r="F48" s="838" t="s">
        <v>103</v>
      </c>
      <c r="I48" s="837"/>
      <c r="K48" s="681"/>
    </row>
    <row r="49" spans="1:11" ht="15.75" thickBot="1" x14ac:dyDescent="0.3">
      <c r="B49" s="3" t="s">
        <v>114</v>
      </c>
      <c r="C49" s="808" t="s">
        <v>123</v>
      </c>
      <c r="D49" s="808" t="s">
        <v>124</v>
      </c>
      <c r="E49" s="808" t="s">
        <v>126</v>
      </c>
      <c r="F49" s="808"/>
      <c r="G49" s="31" t="s">
        <v>92</v>
      </c>
      <c r="I49" s="837"/>
      <c r="K49" s="681"/>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37"/>
      <c r="K50" s="681"/>
    </row>
    <row r="51" spans="1:11" ht="15.75" thickTop="1" x14ac:dyDescent="0.25">
      <c r="D51" s="15" t="s">
        <v>127</v>
      </c>
      <c r="I51" s="214"/>
      <c r="K51" s="681"/>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1"/>
    </row>
    <row r="53" spans="1:11" ht="15" customHeight="1" x14ac:dyDescent="0.25">
      <c r="C53" s="187"/>
      <c r="D53" s="190" t="s">
        <v>94</v>
      </c>
      <c r="E53" s="191">
        <f>+G50/E52</f>
        <v>-26.195621564338516</v>
      </c>
      <c r="I53" s="681"/>
      <c r="K53" s="681"/>
    </row>
    <row r="54" spans="1:11" x14ac:dyDescent="0.25">
      <c r="C54" s="187"/>
      <c r="D54" s="190" t="s">
        <v>96</v>
      </c>
      <c r="E54" s="191">
        <f>+G50/(F50+G50)</f>
        <v>0.37831665518402202</v>
      </c>
      <c r="I54" s="681"/>
      <c r="K54" s="681"/>
    </row>
    <row r="55" spans="1:11" ht="15" customHeight="1" x14ac:dyDescent="0.25">
      <c r="I55" s="681"/>
      <c r="K55" s="681"/>
    </row>
    <row r="56" spans="1:11" ht="15.75" thickBot="1" x14ac:dyDescent="0.3">
      <c r="B56" s="15" t="s">
        <v>128</v>
      </c>
      <c r="D56" t="s">
        <v>129</v>
      </c>
      <c r="I56" s="681"/>
      <c r="K56" s="681"/>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81"/>
      <c r="K57" s="681"/>
    </row>
    <row r="58" spans="1:11" x14ac:dyDescent="0.25">
      <c r="A58" s="851"/>
      <c r="B58" s="852"/>
      <c r="C58" s="852"/>
      <c r="D58" s="852"/>
      <c r="E58" s="852"/>
      <c r="F58" s="852"/>
      <c r="G58" s="853"/>
      <c r="I58" s="681"/>
      <c r="K58" s="681"/>
    </row>
    <row r="59" spans="1:11" x14ac:dyDescent="0.25">
      <c r="A59" s="851"/>
      <c r="B59" s="852"/>
      <c r="C59" s="852"/>
      <c r="D59" s="852"/>
      <c r="E59" s="852"/>
      <c r="F59" s="852"/>
      <c r="G59" s="853"/>
      <c r="K59" s="681"/>
    </row>
    <row r="60" spans="1:11" x14ac:dyDescent="0.25">
      <c r="A60" s="851"/>
      <c r="B60" s="852"/>
      <c r="C60" s="852"/>
      <c r="D60" s="852"/>
      <c r="E60" s="852"/>
      <c r="F60" s="852"/>
      <c r="G60" s="853"/>
      <c r="K60" s="681"/>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1"/>
    </row>
    <row r="62" spans="1:11" x14ac:dyDescent="0.25">
      <c r="A62" s="851"/>
      <c r="B62" s="852"/>
      <c r="C62" s="852"/>
      <c r="D62" s="852"/>
      <c r="E62" s="852"/>
      <c r="F62" s="852"/>
      <c r="G62" s="853"/>
      <c r="I62" s="681"/>
      <c r="K62" s="681"/>
    </row>
    <row r="63" spans="1:11" x14ac:dyDescent="0.25">
      <c r="A63" s="851"/>
      <c r="B63" s="852"/>
      <c r="C63" s="852"/>
      <c r="D63" s="852"/>
      <c r="E63" s="852"/>
      <c r="F63" s="852"/>
      <c r="G63" s="853"/>
      <c r="I63" s="681"/>
      <c r="K63" s="681"/>
    </row>
    <row r="64" spans="1:11" x14ac:dyDescent="0.25">
      <c r="A64" s="851"/>
      <c r="B64" s="852"/>
      <c r="C64" s="852"/>
      <c r="D64" s="852"/>
      <c r="E64" s="852"/>
      <c r="F64" s="852"/>
      <c r="G64" s="853"/>
      <c r="I64" s="681"/>
      <c r="K64" s="681"/>
    </row>
    <row r="65" spans="1:11" x14ac:dyDescent="0.25">
      <c r="A65" s="851"/>
      <c r="B65" s="852"/>
      <c r="C65" s="852"/>
      <c r="D65" s="852"/>
      <c r="E65" s="852"/>
      <c r="F65" s="852"/>
      <c r="G65" s="853"/>
      <c r="I65" s="681"/>
      <c r="K65" s="681"/>
    </row>
    <row r="66" spans="1:11" x14ac:dyDescent="0.25">
      <c r="A66" s="851"/>
      <c r="B66" s="852"/>
      <c r="C66" s="852"/>
      <c r="D66" s="852"/>
      <c r="E66" s="852"/>
      <c r="F66" s="852"/>
      <c r="G66" s="853"/>
      <c r="I66" s="681"/>
      <c r="K66" s="681"/>
    </row>
    <row r="67" spans="1:11" x14ac:dyDescent="0.25">
      <c r="A67" s="851"/>
      <c r="B67" s="852"/>
      <c r="C67" s="852"/>
      <c r="D67" s="852"/>
      <c r="E67" s="852"/>
      <c r="F67" s="852"/>
      <c r="G67" s="853"/>
      <c r="I67" s="681"/>
      <c r="K67" s="681"/>
    </row>
    <row r="68" spans="1:11" x14ac:dyDescent="0.25">
      <c r="A68" s="851"/>
      <c r="B68" s="852"/>
      <c r="C68" s="852"/>
      <c r="D68" s="852"/>
      <c r="E68" s="852"/>
      <c r="F68" s="852"/>
      <c r="G68" s="853"/>
      <c r="I68" s="681"/>
    </row>
    <row r="69" spans="1:11" x14ac:dyDescent="0.25">
      <c r="A69" s="851"/>
      <c r="B69" s="852"/>
      <c r="C69" s="852"/>
      <c r="D69" s="852"/>
      <c r="E69" s="852"/>
      <c r="F69" s="852"/>
      <c r="G69" s="853"/>
      <c r="I69" s="681"/>
    </row>
    <row r="70" spans="1:11" x14ac:dyDescent="0.25">
      <c r="A70" s="851"/>
      <c r="B70" s="852"/>
      <c r="C70" s="852"/>
      <c r="D70" s="852"/>
      <c r="E70" s="852"/>
      <c r="F70" s="852"/>
      <c r="G70" s="853"/>
      <c r="I70" s="681"/>
    </row>
    <row r="71" spans="1:11" x14ac:dyDescent="0.25">
      <c r="A71" s="851"/>
      <c r="B71" s="852"/>
      <c r="C71" s="852"/>
      <c r="D71" s="852"/>
      <c r="E71" s="852"/>
      <c r="F71" s="852"/>
      <c r="G71" s="853"/>
      <c r="I71" s="681"/>
    </row>
    <row r="72" spans="1:11" x14ac:dyDescent="0.25">
      <c r="A72" s="851"/>
      <c r="B72" s="852"/>
      <c r="C72" s="852"/>
      <c r="D72" s="852"/>
      <c r="E72" s="852"/>
      <c r="F72" s="852"/>
      <c r="G72" s="853"/>
      <c r="I72" s="681"/>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81"/>
      <c r="C2" s="681"/>
      <c r="D2" s="681"/>
      <c r="E2" s="681"/>
      <c r="F2" s="681"/>
      <c r="G2" s="681"/>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675"/>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675"/>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675"/>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678"/>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04"/>
      <c r="D1" s="904"/>
      <c r="E1" s="904"/>
      <c r="F1" s="904"/>
      <c r="G1" s="681"/>
      <c r="I1" s="661" t="s">
        <v>247</v>
      </c>
      <c r="J1" s="662"/>
      <c r="K1" s="940"/>
      <c r="L1" s="941"/>
      <c r="M1"/>
      <c r="N1" s="933" t="s">
        <v>248</v>
      </c>
      <c r="O1" s="934"/>
      <c r="P1" s="934"/>
      <c r="Q1" s="934"/>
      <c r="R1" s="934"/>
      <c r="S1" s="935"/>
      <c r="W1"/>
    </row>
    <row r="2" spans="1:23" ht="15.75" thickBot="1" x14ac:dyDescent="0.3">
      <c r="A2" s="942" t="s">
        <v>249</v>
      </c>
      <c r="B2" s="943"/>
      <c r="C2" s="904"/>
      <c r="D2" s="904"/>
      <c r="E2" s="904"/>
      <c r="F2" s="904"/>
      <c r="G2" s="681"/>
      <c r="I2" s="939" t="s">
        <v>250</v>
      </c>
      <c r="J2" s="653"/>
      <c r="K2" s="654"/>
      <c r="L2" s="655"/>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38"/>
      <c r="E8" s="958"/>
      <c r="F8" s="681"/>
      <c r="G8" s="726"/>
      <c r="I8" s="61"/>
      <c r="J8" s="61"/>
      <c r="K8" s="61"/>
    </row>
    <row r="9" spans="1:11" ht="15.75" thickBot="1" x14ac:dyDescent="0.3">
      <c r="B9" s="145" t="s">
        <v>155</v>
      </c>
      <c r="C9" s="952">
        <f>+AVERAGE(E4:F4)</f>
        <v>44549.638750000006</v>
      </c>
      <c r="D9" s="638"/>
      <c r="E9" s="727"/>
      <c r="F9" s="684"/>
      <c r="G9" s="728"/>
      <c r="I9" s="61"/>
      <c r="J9" s="61"/>
      <c r="K9" s="61"/>
    </row>
    <row r="10" spans="1:11" ht="15.75" thickBot="1" x14ac:dyDescent="0.3">
      <c r="B10" s="145" t="s">
        <v>156</v>
      </c>
      <c r="C10" s="952">
        <f>+AVERAGE(E5:F5)</f>
        <v>42487.25</v>
      </c>
      <c r="D10" s="638"/>
      <c r="E10" s="959" t="s">
        <v>157</v>
      </c>
      <c r="F10" s="960"/>
      <c r="G10" s="660"/>
      <c r="I10" s="61"/>
      <c r="J10" s="61"/>
      <c r="K10" s="61"/>
    </row>
    <row r="11" spans="1:11" ht="15.75" thickBot="1" x14ac:dyDescent="0.3">
      <c r="B11" s="145" t="s">
        <v>158</v>
      </c>
      <c r="C11" s="952">
        <f>+AVERAGE(E6:F6)</f>
        <v>45703.346999999994</v>
      </c>
      <c r="D11" s="638"/>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38"/>
      <c r="E8" s="958"/>
      <c r="F8" s="681"/>
      <c r="G8" s="726"/>
    </row>
    <row r="9" spans="1:8" ht="15.75" thickBot="1" x14ac:dyDescent="0.3">
      <c r="B9" s="145" t="s">
        <v>155</v>
      </c>
      <c r="C9" s="952">
        <f>+AVERAGE(E4:F4)</f>
        <v>176184.5</v>
      </c>
      <c r="D9" s="638"/>
      <c r="E9" s="727"/>
      <c r="F9" s="684"/>
      <c r="G9" s="728"/>
    </row>
    <row r="10" spans="1:8" ht="15.75" thickBot="1" x14ac:dyDescent="0.3">
      <c r="B10" s="145" t="s">
        <v>156</v>
      </c>
      <c r="C10" s="952">
        <f>+AVERAGE(E5:F5)</f>
        <v>121133.5</v>
      </c>
      <c r="D10" s="638"/>
      <c r="E10" s="959" t="s">
        <v>157</v>
      </c>
      <c r="F10" s="960"/>
      <c r="G10" s="660"/>
    </row>
    <row r="11" spans="1:8" ht="15.75" thickBot="1" x14ac:dyDescent="0.3">
      <c r="B11" s="145" t="s">
        <v>158</v>
      </c>
      <c r="C11" s="952">
        <f>+AVERAGE(E6:F6)</f>
        <v>77681.948333333334</v>
      </c>
      <c r="D11" s="638"/>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681"/>
      <c r="G8" s="681"/>
      <c r="H8" s="681"/>
      <c r="I8" s="726"/>
    </row>
    <row r="9" spans="1:10" ht="15.75" thickBot="1" x14ac:dyDescent="0.3">
      <c r="A9" s="148"/>
      <c r="B9" s="145" t="s">
        <v>155</v>
      </c>
      <c r="C9" s="952">
        <f>+AVERAGE(E4:H4)</f>
        <v>138648.73000000001</v>
      </c>
      <c r="D9" s="961"/>
      <c r="E9" s="727"/>
      <c r="F9" s="684"/>
      <c r="G9" s="684"/>
      <c r="H9" s="684"/>
      <c r="I9" s="728"/>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38"/>
      <c r="E8" s="958"/>
      <c r="F8" s="967"/>
      <c r="G8" s="681"/>
      <c r="H8" s="726"/>
    </row>
    <row r="9" spans="1:9" ht="15.75" thickBot="1" x14ac:dyDescent="0.3">
      <c r="B9" s="145" t="s">
        <v>155</v>
      </c>
      <c r="C9" s="952">
        <f>+AVERAGE(E4:G4)</f>
        <v>133923.63333333333</v>
      </c>
      <c r="D9" s="638"/>
      <c r="E9" s="727"/>
      <c r="F9" s="684"/>
      <c r="G9" s="684"/>
      <c r="H9" s="728"/>
    </row>
    <row r="10" spans="1:9" ht="15.75" thickBot="1" x14ac:dyDescent="0.3">
      <c r="B10" s="145" t="s">
        <v>156</v>
      </c>
      <c r="C10" s="952">
        <f>+AVERAGE(E5:G5)</f>
        <v>48783.358384708328</v>
      </c>
      <c r="D10" s="638"/>
      <c r="E10" s="959" t="s">
        <v>157</v>
      </c>
      <c r="F10" s="965"/>
      <c r="G10" s="960"/>
      <c r="H10" s="660"/>
    </row>
    <row r="11" spans="1:9" ht="15.75" thickBot="1" x14ac:dyDescent="0.3">
      <c r="B11" s="145" t="s">
        <v>158</v>
      </c>
      <c r="C11" s="952">
        <f>+AVERAGE(E6:G6)</f>
        <v>85689.034948625005</v>
      </c>
      <c r="D11" s="638"/>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38"/>
      <c r="E8" s="958"/>
      <c r="F8" s="967"/>
      <c r="G8" s="681"/>
      <c r="H8" s="726"/>
    </row>
    <row r="9" spans="1:9" ht="15.75" thickBot="1" x14ac:dyDescent="0.3">
      <c r="B9" s="145" t="s">
        <v>155</v>
      </c>
      <c r="C9" s="952">
        <f>+AVERAGE(E4:G4)</f>
        <v>103547.57</v>
      </c>
      <c r="D9" s="638"/>
      <c r="E9" s="727"/>
      <c r="F9" s="684"/>
      <c r="G9" s="684"/>
      <c r="H9" s="728"/>
    </row>
    <row r="10" spans="1:9" ht="15.75" thickBot="1" x14ac:dyDescent="0.3">
      <c r="B10" s="145" t="s">
        <v>156</v>
      </c>
      <c r="C10" s="952">
        <f>+AVERAGE(E5:G5)</f>
        <v>16660.233833333332</v>
      </c>
      <c r="D10" s="638"/>
      <c r="E10" s="959" t="s">
        <v>157</v>
      </c>
      <c r="F10" s="965"/>
      <c r="G10" s="960"/>
      <c r="H10" s="660"/>
    </row>
    <row r="11" spans="1:9" ht="15.75" thickBot="1" x14ac:dyDescent="0.3">
      <c r="B11" s="145" t="s">
        <v>158</v>
      </c>
      <c r="C11" s="952">
        <f>+AVERAGE(E6:G6)</f>
        <v>38679.975259259263</v>
      </c>
      <c r="D11" s="638"/>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C8DEC3D8-E357-4A8C-AFF9-645AD3C1C068}">
  <ds:schemaRefs>
    <ds:schemaRef ds:uri="http://schemas.microsoft.com/DataMashup"/>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subjectMortgageEndDate</vt:lpstr>
      <vt:lpstr>subjectPayment</vt:lpstr>
      <vt:lpstr>subjectRemainingMonths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2026-06-23T01:07:24Z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