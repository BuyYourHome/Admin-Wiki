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6.xml" ContentType="application/vnd.ms-excel.controlproperties+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Codex\Wiki Files\Project Rooms\Project Management Spreadsheet Redesign\working\worksheet-migration\trade-properties\20260630-130540\workbooks\"/>
    </mc:Choice>
  </mc:AlternateContent>
  <xr:revisionPtr revIDLastSave="0" documentId="13_ncr:1_{8098BC61-FD02-4992-8AEC-2EA37D8A9C09}" xr6:coauthVersionLast="47" xr6:coauthVersionMax="47" xr10:uidLastSave="{00000000-0000-0000-0000-000000000000}"/>
  <bookViews>
    <workbookView xWindow="-120" yWindow="-120" windowWidth="38640" windowHeight="15720" tabRatio="889" firstSheet="1" activeTab="1" xr2:uid="{00000000-000D-0000-FFFF-FFFF00000000}"/>
  </bookViews>
  <sheets>
    <sheet name="Profit" sheetId="1" r:id="rId1"/>
    <sheet name="Trade Properties" sheetId="54" r:id="rId2"/>
    <sheet name="MOG" sheetId="33" r:id="rId3"/>
    <sheet name="Contact" sheetId="10" r:id="rId4"/>
    <sheet name="Carrying" sheetId="53" r:id="rId5"/>
    <sheet name="Contract" sheetId="36" r:id="rId6"/>
    <sheet name="UpdateContract" sheetId="47" r:id="rId7"/>
    <sheet name="Gnatt Chart" sheetId="37" r:id="rId8"/>
    <sheet name="Recap" sheetId="52" r:id="rId9"/>
    <sheet name="Taxes" sheetId="48" r:id="rId10"/>
    <sheet name="Seller Advance" sheetId="9" r:id="rId11"/>
    <sheet name="MISC"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s>
  <externalReferences>
    <externalReference r:id="rId24"/>
  </externalReferences>
  <definedNames>
    <definedName name="_xlnm._FilterDatabase" localSheetId="7" hidden="1">'Gnatt Chart'!$A$1:$DU$28</definedName>
    <definedName name="baseCost">#REF!</definedName>
    <definedName name="BaseDepth">_xlfn.LAMBDA(_xlpm.i,_xlpm.editsIdxTxt,_xlpm.editsParentKeyTxt,_xlpm.baseIdxTxt,_xlpm.baseCost,   IF(_xlpm.i="0", 0,      IF(BaseFlagOf(_xlpm.i, _xlpm.baseIdxTxt, _xlpm.baseCost),         1 + BaseDepth( ParentOf(_xlpm.i,_xlpm.editsIdxTxt,_xlpm.editsParentKeyTxt),                        _xlpm.editsIdxTxt,_xlpm.editsParentKeyTxt, _xlpm.baseIdxTxt,_xlpm.baseCost),         0      )   ) )</definedName>
    <definedName name="BaseDepthL">_xlfn.LAMBDA(_xlpm.i,_xlpm.limit,_xlpm.editsIdxTxt,_xlpm.editsParentKeyTxt,_xlpm.baseIdxTxt,_xlpm.baseCost,   IF(_xlpm.limit&lt;=0, 0,     IF(_xlpm.i="0", 0,       IF(         ISNUMBER(SEARCH("BASE PARENT", UPPER(_xlfn.XLOOKUP(TEXT(_xlpm.i,"0"), _xlpm.baseIdxTxt, _xlpm.baseCost, "")))),         1 + BaseDepthL(               IF(                 TEXT(_xlfn.IFNA(_xlfn.XLOOKUP(TEXT(_xlpm.i,"0"), _xlpm.editsIdxTxt, _xlpm.editsParentKeyTxt),"0"),"0")                 = TEXT(_xlpm.i,"0"),                 "0",                 TEXT(_xlfn.IFNA(_xlfn.XLOOKUP(TEXT(_xlpm.i,"0"), _xlpm.editsIdxTxt, _xlpm.editsParentKeyTxt),"0"),"0")               ),               _xlpm.limit-1,               _xlpm.editsIdxTxt, _xlpm.editsParentKeyTxt, _xlpm.baseIdxTxt, _xlpm.baseCost             ),         0       )     )   ) )</definedName>
    <definedName name="BaseFlagOf">_xlfn.LAMBDA(_xlpm.i,_xlpm.baseIdxTxt,_xlpm.baseCost,   --ISNUMBER(SEARCH("BASE PARENT", UPPER(_xlfn.XLOOKUP(TEXT(_xlpm.i,"0"), _xlpm.baseIdxTxt, _xlpm.baseCost, "")))) )</definedName>
    <definedName name="baseIdxTxt">TEXT(#REF!,"0")</definedName>
    <definedName name="cfdContractDate">[1]Amortization!$J$13</definedName>
    <definedName name="cfdContractMonths">[1]Amortization!$P$14</definedName>
    <definedName name="cfdEndDate">[1]Amortization!$S$14</definedName>
    <definedName name="cfdFirstRateMonths">[1]Amortization!$P$13</definedName>
    <definedName name="cfdRate1">[1]Amortization!$O$8</definedName>
    <definedName name="cfdRate1Payment">[1]Amortization!$V$8</definedName>
    <definedName name="cfdRate2">[1]Amortization!$O$11</definedName>
    <definedName name="cfdRate2Payment">[1]Amortization!$V$11</definedName>
    <definedName name="cfdRateChangeDate">[1]Amortization!$S$13</definedName>
    <definedName name="DepTitlesUsed">_xlfn.ANCHORARRAY(#REF!)</definedName>
    <definedName name="downPaymentRefinancedFirstMortgage">[1]Amortization!$AH$5</definedName>
    <definedName name="editsIdxTxt">TEXT(#REF!,"0")</definedName>
    <definedName name="editsParentKeyTxt">TEXT(#REF!,"0")</definedName>
    <definedName name="ExternalData_2" localSheetId="8" hidden="1">'Recap'!$N$4:$S$5</definedName>
    <definedName name="ExternalData_3" localSheetId="6" hidden="1">UpdateContract!$B$4:$H$77</definedName>
    <definedName name="ExternalData_4" localSheetId="7" hidden="1">'Gnatt Chart'!$A$29:$O$102</definedName>
    <definedName name="Milestone_Marker" localSheetId="1">'[1]Gnatt Chart'!$G$4</definedName>
    <definedName name="Milestone_Marker">'Gnatt Chart'!$G$4</definedName>
    <definedName name="NearestBase">_xlfn.LAMBDA(_xlpm.i,_xlpm.editsIdxTxt,_xlpm.editsParentKeyTxt,_xlpm.baseIdxTxt,_xlpm.baseCost,   IF(_xlpm.i="0", "0",      IF(BaseFlagOf(_xlpm.i, _xlpm.baseIdxTxt, _xlpm.baseCost),         TEXT(_xlpm.i,"0"),         NearestBase( ParentOf(_xlpm.i,_xlpm.editsIdxTxt,_xlpm.editsParentKeyTxt),                      _xlpm.editsIdxTxt,_xlpm.editsParentKeyTxt, _xlpm.baseIdxTxt,_xlpm.baseCost)      )   ) )</definedName>
    <definedName name="NearestBaseL">_xlfn.LAMBDA(_xlpm.i,_xlpm.limit,_xlpm.editsIdxTxt,_xlpm.editsParentKeyTxt,_xlpm.baseIdxTxt,_xlpm.baseCost,   IF(_xlpm.limit&lt;=0, "0",     IF(_xlpm.i="0", "0",       IF(         ISNUMBER(SEARCH("BASE PARENT", UPPER(_xlfn.XLOOKUP(TEXT(_xlpm.i,"0"), _xlpm.baseIdxTxt, _xlpm.baseCost, "")))),         TEXT(_xlpm.i,"0"),         NearestBaseL(           IF(             TEXT(_xlfn.IFNA(_xlfn.XLOOKUP(TEXT(_xlpm.i,"0"), _xlpm.editsIdxTxt, _xlpm.editsParentKeyTxt),"0"),"0")             = TEXT(_xlpm.i,"0"),             "0",             TEXT(_xlfn.IFNA(_xlfn.XLOOKUP(TEXT(_xlpm.i,"0"), _xlpm.editsIdxTxt, _xlpm.editsParentKeyTxt),"0"),"0")           ),           _xlpm.limit-1,           _xlpm.editsIdxTxt, _xlpm.editsParentKeyTxt, _xlpm.baseIdxTxt, _xlpm.baseCost         )       )     )   ) )</definedName>
    <definedName name="ParentOf">_xlfn.LAMBDA(_xlpm.i,_xlpm.editsIdxTxt,_xlpm.editsParentKeyTxt,   _xlfn.LET(_xlpm.p, _xlfn.IFNA(_xlfn.XLOOKUP(TEXT(_xlpm.i,"0"), _xlpm.editsIdxTxt, _xlpm.editsParentKeyTxt), "0"),       IF(TEXT(_xlpm.p,"0")=TEXT(_xlpm.i,"0"), "0", TEXT(_xlpm.p,"0"))) )</definedName>
    <definedName name="Project_Start" localSheetId="1">'[1]Gnatt Chart'!$F$2</definedName>
    <definedName name="Project_Start">'Gnatt Chart'!$F$2</definedName>
    <definedName name="ProposalToGnatt__2" localSheetId="8" hidden="1">'Recap'!$A$4:$G$9</definedName>
    <definedName name="Scrolling_Increment" localSheetId="1">'[1]Gnatt Chart'!$AB$24</definedName>
    <definedName name="Scrolling_Increment">'Gnatt Chart'!$AB$26</definedName>
    <definedName name="subjectInterestRate">[1]Amortization!$D$4</definedName>
    <definedName name="subjectKnownBalance">[1]Amortization!$D$3</definedName>
    <definedName name="subjectKnownBalanceDate">[1]Amortization!$D$7</definedName>
    <definedName name="subjectMortgageEndDate">[1]Amortization!$D$8</definedName>
    <definedName name="subjectPayment">[1]Amortization!$D$6</definedName>
    <definedName name="subjectRemainingMonths">[1]Amortization!$E$5</definedName>
    <definedName name="Today" localSheetId="7">TODAY()</definedName>
    <definedName name="tradeMonthlyNetSpread">'Trade Properties'!$T$13</definedName>
    <definedName name="tradeNetCreditIncluded">'Trade Properties'!$T$10</definedName>
    <definedName name="tradePropertyConditionsForDocs">'Trade Properties'!$T$21</definedName>
    <definedName name="tradePropertyListForDocs">'Trade Properties'!$T$20</definedName>
  </definedNames>
  <calcPr calcId="191029" iterate="1" iterateDelta="1E-4"/>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54" l="1"/>
  <c r="K16" i="54"/>
  <c r="H16" i="54"/>
  <c r="I16" i="54" s="1"/>
  <c r="D16" i="54"/>
  <c r="B16" i="54"/>
  <c r="A16" i="54"/>
  <c r="S15" i="54"/>
  <c r="K15" i="54"/>
  <c r="H15" i="54"/>
  <c r="I15" i="54" s="1"/>
  <c r="D15" i="54"/>
  <c r="C15" i="54"/>
  <c r="B15" i="54"/>
  <c r="A15" i="54"/>
  <c r="K14" i="54"/>
  <c r="H14" i="54"/>
  <c r="I14" i="54" s="1"/>
  <c r="D14" i="54"/>
  <c r="B14" i="54"/>
  <c r="A14" i="54"/>
  <c r="G6" i="54"/>
  <c r="E6" i="54"/>
  <c r="D6" i="54"/>
  <c r="C6" i="54"/>
  <c r="H5" i="54"/>
  <c r="K5" i="54" s="1"/>
  <c r="C16" i="54"/>
  <c r="E16" i="54" s="1"/>
  <c r="F16" i="54" s="1"/>
  <c r="S4" i="54"/>
  <c r="H4" i="54"/>
  <c r="T20" i="54" l="1"/>
  <c r="D17" i="54"/>
  <c r="S6" i="54" s="1"/>
  <c r="I4" i="54"/>
  <c r="L4" i="54" s="1"/>
  <c r="K4" i="54"/>
  <c r="J5" i="54"/>
  <c r="J4" i="54"/>
  <c r="K17" i="54"/>
  <c r="S5" i="54" s="1"/>
  <c r="F6" i="54"/>
  <c r="J6" i="54" s="1"/>
  <c r="E15" i="54"/>
  <c r="F15" i="54" s="1"/>
  <c r="I5" i="54"/>
  <c r="L5" i="54" s="1"/>
  <c r="H17" i="54"/>
  <c r="S3" i="54"/>
  <c r="I17" i="54"/>
  <c r="M4" i="54"/>
  <c r="O4" i="54"/>
  <c r="G15" i="54" s="1"/>
  <c r="J3" i="54"/>
  <c r="C14" i="54"/>
  <c r="H3" i="54"/>
  <c r="AF47" i="53"/>
  <c r="AC47" i="53"/>
  <c r="Z47" i="53"/>
  <c r="W47" i="53"/>
  <c r="T47" i="53"/>
  <c r="Q47" i="53"/>
  <c r="N47" i="53"/>
  <c r="K47" i="53"/>
  <c r="H47" i="53"/>
  <c r="E47" i="53"/>
  <c r="B47" i="53"/>
  <c r="AF45" i="53" a="1"/>
  <c r="AF45" i="53" s="1"/>
  <c r="AE45" i="53" a="1"/>
  <c r="AE45" i="53" s="1"/>
  <c r="AF44" i="53" a="1"/>
  <c r="AF44" i="53" s="1"/>
  <c r="AE44" i="53" a="1"/>
  <c r="AE44" i="53" s="1"/>
  <c r="AF43" i="53" a="1"/>
  <c r="AF43" i="53" s="1"/>
  <c r="AE43" i="53" a="1"/>
  <c r="AE43" i="53" s="1"/>
  <c r="AF42" i="53" a="1"/>
  <c r="AF42" i="53" s="1"/>
  <c r="AE42" i="53" a="1"/>
  <c r="AE42" i="53" s="1"/>
  <c r="AF41" i="53" a="1"/>
  <c r="AF41" i="53" s="1"/>
  <c r="AE41" i="53" a="1"/>
  <c r="AE41" i="53" s="1"/>
  <c r="AF40" i="53" a="1"/>
  <c r="AF40" i="53" s="1"/>
  <c r="AE40" i="53" a="1"/>
  <c r="AE40" i="53" s="1"/>
  <c r="AF39" i="53" a="1"/>
  <c r="AF39" i="53" s="1"/>
  <c r="AE39" i="53" a="1"/>
  <c r="AE39" i="53" s="1"/>
  <c r="AF38" i="53" a="1"/>
  <c r="AF38" i="53" s="1"/>
  <c r="AE38" i="53" a="1"/>
  <c r="AE38" i="53" s="1"/>
  <c r="AF37" i="53" a="1"/>
  <c r="AF37" i="53" s="1"/>
  <c r="AE37" i="53" a="1"/>
  <c r="AE37" i="53" s="1"/>
  <c r="AF36" i="53" a="1"/>
  <c r="AF36" i="53" s="1"/>
  <c r="AE36" i="53" a="1"/>
  <c r="AE36" i="53" s="1"/>
  <c r="AF35" i="53" a="1"/>
  <c r="AF35" i="53" s="1"/>
  <c r="AE35" i="53" a="1"/>
  <c r="AE35" i="53" s="1"/>
  <c r="AF34" i="53" a="1"/>
  <c r="AF34" i="53" s="1"/>
  <c r="AE34" i="53" a="1"/>
  <c r="AE34" i="53" s="1"/>
  <c r="AF33" i="53" a="1"/>
  <c r="AF33" i="53" s="1"/>
  <c r="AE33" i="53" a="1"/>
  <c r="AE33" i="53" s="1"/>
  <c r="AF32" i="53" a="1"/>
  <c r="AF32" i="53" s="1"/>
  <c r="AE32" i="53" a="1"/>
  <c r="AE32" i="53" s="1"/>
  <c r="AF31" i="53" a="1"/>
  <c r="AF31" i="53" s="1"/>
  <c r="AE31" i="53" a="1"/>
  <c r="AE31" i="53" s="1"/>
  <c r="AF30" i="53" a="1"/>
  <c r="AF30" i="53" s="1"/>
  <c r="AE30" i="53" a="1"/>
  <c r="AE30" i="53" s="1"/>
  <c r="AF29" i="53" a="1"/>
  <c r="AF29" i="53" s="1"/>
  <c r="AE29" i="53" a="1"/>
  <c r="AE29" i="53" s="1"/>
  <c r="AF28" i="53" a="1"/>
  <c r="AF28" i="53" s="1"/>
  <c r="AE28" i="53" a="1"/>
  <c r="AE28" i="53" s="1"/>
  <c r="AF27" i="53" a="1"/>
  <c r="AF27" i="53" s="1"/>
  <c r="AE27" i="53" a="1"/>
  <c r="AE27" i="53" s="1"/>
  <c r="AF26" i="53" a="1"/>
  <c r="AF26" i="53" s="1"/>
  <c r="AE26" i="53" a="1"/>
  <c r="AE26" i="53" s="1"/>
  <c r="AF25" i="53" a="1"/>
  <c r="AF25" i="53" s="1"/>
  <c r="AE25" i="53" a="1"/>
  <c r="AE25" i="53" s="1"/>
  <c r="AF24" i="53" a="1"/>
  <c r="AF24" i="53" s="1"/>
  <c r="AE24" i="53" a="1"/>
  <c r="AE24" i="53" s="1"/>
  <c r="AF23" i="53" a="1"/>
  <c r="AF23" i="53" s="1"/>
  <c r="AE23" i="53" a="1"/>
  <c r="AE23" i="53" s="1"/>
  <c r="AF22" i="53" a="1"/>
  <c r="AF22" i="53" s="1"/>
  <c r="AE22" i="53" a="1"/>
  <c r="AE22" i="53" s="1"/>
  <c r="AF21" i="53" a="1"/>
  <c r="AF21" i="53" s="1"/>
  <c r="AE21" i="53" a="1"/>
  <c r="AE21" i="53" s="1"/>
  <c r="AF20" i="53" a="1"/>
  <c r="AF20" i="53" s="1"/>
  <c r="AE20" i="53" a="1"/>
  <c r="AE20" i="53" s="1"/>
  <c r="AF19" i="53" a="1"/>
  <c r="AF19" i="53" s="1"/>
  <c r="AE19" i="53" a="1"/>
  <c r="AE19" i="53" s="1"/>
  <c r="AF18" i="53" a="1"/>
  <c r="AF18" i="53" s="1"/>
  <c r="AE18" i="53" a="1"/>
  <c r="AE18" i="53" s="1"/>
  <c r="AF17" i="53" a="1"/>
  <c r="AF17" i="53" s="1"/>
  <c r="AE17" i="53" a="1"/>
  <c r="AE17" i="53" s="1"/>
  <c r="AF16" i="53" a="1"/>
  <c r="AF16" i="53" s="1"/>
  <c r="AE16" i="53" a="1"/>
  <c r="AE16" i="53" s="1"/>
  <c r="AF15" i="53" a="1"/>
  <c r="AF15" i="53" s="1"/>
  <c r="AE15" i="53" a="1"/>
  <c r="AE15" i="53" s="1"/>
  <c r="AF14" i="53" a="1"/>
  <c r="AF14" i="53" s="1"/>
  <c r="AE14" i="53" a="1"/>
  <c r="AE14" i="53" s="1"/>
  <c r="AF13" i="53" a="1"/>
  <c r="AF13" i="53" s="1"/>
  <c r="AE13" i="53" a="1"/>
  <c r="AE13" i="53" s="1"/>
  <c r="AF12" i="53" a="1"/>
  <c r="AF12" i="53" s="1"/>
  <c r="AE12" i="53" a="1"/>
  <c r="AE12" i="53" s="1"/>
  <c r="AF11" i="53" a="1"/>
  <c r="AF11" i="53" s="1"/>
  <c r="AE11" i="53" a="1"/>
  <c r="AE11" i="53" s="1"/>
  <c r="AF10" i="53" a="1"/>
  <c r="AF10" i="53" s="1"/>
  <c r="AE10" i="53" a="1"/>
  <c r="AE10" i="53" s="1"/>
  <c r="AF9" i="53" a="1"/>
  <c r="AF9" i="53" s="1"/>
  <c r="AE9" i="53" a="1"/>
  <c r="AE9" i="53" s="1"/>
  <c r="AF8" i="53" a="1"/>
  <c r="AF8" i="53" s="1"/>
  <c r="AE8" i="53" a="1"/>
  <c r="AE8" i="53" s="1"/>
  <c r="AF7" i="53" a="1"/>
  <c r="AF7" i="53" s="1"/>
  <c r="AE7" i="53" a="1"/>
  <c r="AE7" i="53" s="1"/>
  <c r="AF6" i="53" a="1"/>
  <c r="AF6" i="53" s="1"/>
  <c r="AE6" i="53" a="1"/>
  <c r="AE6" i="53" s="1"/>
  <c r="AF5" i="53" a="1"/>
  <c r="AF5" i="53" s="1"/>
  <c r="AE5" i="53" a="1"/>
  <c r="AE5" i="53" s="1"/>
  <c r="AF4" i="53" a="1"/>
  <c r="AF4" i="53" s="1"/>
  <c r="AE4" i="53" a="1"/>
  <c r="AE4" i="53" s="1"/>
  <c r="AF3" i="53" a="1"/>
  <c r="AF3" i="53" s="1"/>
  <c r="AE3" i="53" a="1"/>
  <c r="AE3" i="53" s="1"/>
  <c r="AC45" i="53" a="1"/>
  <c r="AC45" i="53" s="1"/>
  <c r="AB45" i="53" a="1"/>
  <c r="AB45" i="53" s="1"/>
  <c r="AC44" i="53" a="1"/>
  <c r="AC44" i="53" s="1"/>
  <c r="AB44" i="53" a="1"/>
  <c r="AB44" i="53" s="1"/>
  <c r="AC43" i="53" a="1"/>
  <c r="AC43" i="53" s="1"/>
  <c r="AB43" i="53" a="1"/>
  <c r="AB43" i="53" s="1"/>
  <c r="AC42" i="53" a="1"/>
  <c r="AC42" i="53" s="1"/>
  <c r="AB42" i="53" a="1"/>
  <c r="AB42" i="53" s="1"/>
  <c r="AC41" i="53" a="1"/>
  <c r="AC41" i="53" s="1"/>
  <c r="AB41" i="53" a="1"/>
  <c r="AB41" i="53" s="1"/>
  <c r="AC40" i="53" a="1"/>
  <c r="AC40" i="53" s="1"/>
  <c r="AB40" i="53" a="1"/>
  <c r="AB40" i="53" s="1"/>
  <c r="AC39" i="53" a="1"/>
  <c r="AC39" i="53" s="1"/>
  <c r="AB39" i="53" a="1"/>
  <c r="AB39" i="53" s="1"/>
  <c r="AC38" i="53" a="1"/>
  <c r="AC38" i="53" s="1"/>
  <c r="AB38" i="53" a="1"/>
  <c r="AB38" i="53" s="1"/>
  <c r="AC37" i="53" a="1"/>
  <c r="AC37" i="53" s="1"/>
  <c r="AB37" i="53" a="1"/>
  <c r="AB37" i="53" s="1"/>
  <c r="AC36" i="53" a="1"/>
  <c r="AC36" i="53" s="1"/>
  <c r="AB36" i="53" a="1"/>
  <c r="AB36" i="53" s="1"/>
  <c r="AC35" i="53" a="1"/>
  <c r="AC35" i="53" s="1"/>
  <c r="AB35" i="53" a="1"/>
  <c r="AB35" i="53" s="1"/>
  <c r="AC34" i="53" a="1"/>
  <c r="AC34" i="53" s="1"/>
  <c r="AB34" i="53" a="1"/>
  <c r="AB34" i="53" s="1"/>
  <c r="AC33" i="53" a="1"/>
  <c r="AC33" i="53" s="1"/>
  <c r="AB33" i="53" a="1"/>
  <c r="AB33" i="53" s="1"/>
  <c r="AC32" i="53" a="1"/>
  <c r="AC32" i="53" s="1"/>
  <c r="AB32" i="53" a="1"/>
  <c r="AB32" i="53" s="1"/>
  <c r="AC31" i="53" a="1"/>
  <c r="AC31" i="53" s="1"/>
  <c r="AB31" i="53" a="1"/>
  <c r="AB31" i="53" s="1"/>
  <c r="AC30" i="53" a="1"/>
  <c r="AC30" i="53" s="1"/>
  <c r="AB30" i="53" a="1"/>
  <c r="AB30" i="53" s="1"/>
  <c r="AC29" i="53" a="1"/>
  <c r="AC29" i="53" s="1"/>
  <c r="AB29" i="53" a="1"/>
  <c r="AB29" i="53" s="1"/>
  <c r="AC28" i="53" a="1"/>
  <c r="AC28" i="53" s="1"/>
  <c r="AB28" i="53" a="1"/>
  <c r="AB28" i="53" s="1"/>
  <c r="AC27" i="53" a="1"/>
  <c r="AC27" i="53" s="1"/>
  <c r="AB27" i="53" a="1"/>
  <c r="AB27" i="53" s="1"/>
  <c r="AC26" i="53" a="1"/>
  <c r="AC26" i="53" s="1"/>
  <c r="AB26" i="53" a="1"/>
  <c r="AB26" i="53" s="1"/>
  <c r="AC25" i="53" a="1"/>
  <c r="AC25" i="53" s="1"/>
  <c r="AB25" i="53" a="1"/>
  <c r="AB25" i="53" s="1"/>
  <c r="AC24" i="53" a="1"/>
  <c r="AC24" i="53" s="1"/>
  <c r="AB24" i="53" a="1"/>
  <c r="AB24" i="53" s="1"/>
  <c r="AC23" i="53" a="1"/>
  <c r="AC23" i="53" s="1"/>
  <c r="AB23" i="53" a="1"/>
  <c r="AB23" i="53" s="1"/>
  <c r="AC22" i="53" a="1"/>
  <c r="AC22" i="53" s="1"/>
  <c r="AB22" i="53" a="1"/>
  <c r="AB22" i="53" s="1"/>
  <c r="AC21" i="53" a="1"/>
  <c r="AC21" i="53" s="1"/>
  <c r="AB21" i="53" a="1"/>
  <c r="AB21" i="53" s="1"/>
  <c r="AC20" i="53" a="1"/>
  <c r="AC20" i="53" s="1"/>
  <c r="AB20" i="53" a="1"/>
  <c r="AB20" i="53" s="1"/>
  <c r="AC19" i="53" a="1"/>
  <c r="AC19" i="53" s="1"/>
  <c r="AB19" i="53" a="1"/>
  <c r="AB19" i="53" s="1"/>
  <c r="AC18" i="53" a="1"/>
  <c r="AC18" i="53" s="1"/>
  <c r="AB18" i="53" a="1"/>
  <c r="AB18" i="53" s="1"/>
  <c r="AC17" i="53" a="1"/>
  <c r="AC17" i="53" s="1"/>
  <c r="AB17" i="53" a="1"/>
  <c r="AB17" i="53" s="1"/>
  <c r="AC16" i="53" a="1"/>
  <c r="AC16" i="53" s="1"/>
  <c r="AB16" i="53" a="1"/>
  <c r="AB16" i="53" s="1"/>
  <c r="AC15" i="53" a="1"/>
  <c r="AC15" i="53" s="1"/>
  <c r="AB15" i="53" a="1"/>
  <c r="AB15" i="53" s="1"/>
  <c r="AC14" i="53" a="1"/>
  <c r="AC14" i="53" s="1"/>
  <c r="AB14" i="53" a="1"/>
  <c r="AB14" i="53" s="1"/>
  <c r="AC13" i="53" a="1"/>
  <c r="AC13" i="53" s="1"/>
  <c r="AB13" i="53" a="1"/>
  <c r="AB13" i="53" s="1"/>
  <c r="AC12" i="53" a="1"/>
  <c r="AC12" i="53" s="1"/>
  <c r="AB12" i="53" a="1"/>
  <c r="AB12" i="53" s="1"/>
  <c r="AC11" i="53" a="1"/>
  <c r="AC11" i="53" s="1"/>
  <c r="AB11" i="53" a="1"/>
  <c r="AB11" i="53" s="1"/>
  <c r="AC10" i="53" a="1"/>
  <c r="AC10" i="53" s="1"/>
  <c r="AB10" i="53" a="1"/>
  <c r="AB10" i="53" s="1"/>
  <c r="AC9" i="53" a="1"/>
  <c r="AC9" i="53" s="1"/>
  <c r="AB9" i="53" a="1"/>
  <c r="AB9" i="53" s="1"/>
  <c r="AC8" i="53" a="1"/>
  <c r="AC8" i="53" s="1"/>
  <c r="AB8" i="53" a="1"/>
  <c r="AB8" i="53" s="1"/>
  <c r="AC7" i="53" a="1"/>
  <c r="AC7" i="53" s="1"/>
  <c r="AB7" i="53" a="1"/>
  <c r="AB7" i="53" s="1"/>
  <c r="AC6" i="53" a="1"/>
  <c r="AC6" i="53" s="1"/>
  <c r="AB6" i="53" a="1"/>
  <c r="AB6" i="53" s="1"/>
  <c r="AC5" i="53" a="1"/>
  <c r="AC5" i="53" s="1"/>
  <c r="AB5" i="53" a="1"/>
  <c r="AB5" i="53" s="1"/>
  <c r="AC4" i="53" a="1"/>
  <c r="AC4" i="53" s="1"/>
  <c r="AB4" i="53" a="1"/>
  <c r="AB4" i="53" s="1"/>
  <c r="AC3" i="53" a="1"/>
  <c r="AC3" i="53" s="1"/>
  <c r="AB3" i="53" a="1"/>
  <c r="AB3" i="53" s="1"/>
  <c r="AA45" i="53" a="1"/>
  <c r="AA45" i="53" s="1"/>
  <c r="Z45" i="53" a="1"/>
  <c r="Z45" i="53" s="1"/>
  <c r="Y45" i="53" a="1"/>
  <c r="Y45" i="53" s="1"/>
  <c r="AA44" i="53" a="1"/>
  <c r="AA44" i="53" s="1"/>
  <c r="Z44" i="53" a="1"/>
  <c r="Z44" i="53" s="1"/>
  <c r="Y44" i="53" a="1"/>
  <c r="Y44" i="53" s="1"/>
  <c r="AA43" i="53" a="1"/>
  <c r="AA43" i="53" s="1"/>
  <c r="Z43" i="53" a="1"/>
  <c r="Z43" i="53" s="1"/>
  <c r="Y43" i="53" a="1"/>
  <c r="Y43" i="53" s="1"/>
  <c r="AA42" i="53" a="1"/>
  <c r="AA42" i="53" s="1"/>
  <c r="Z42" i="53" a="1"/>
  <c r="Z42" i="53" s="1"/>
  <c r="Y42" i="53" a="1"/>
  <c r="Y42" i="53" s="1"/>
  <c r="AA41" i="53" a="1"/>
  <c r="AA41" i="53" s="1"/>
  <c r="Z41" i="53" a="1"/>
  <c r="Z41" i="53" s="1"/>
  <c r="Y41" i="53" a="1"/>
  <c r="Y41" i="53" s="1"/>
  <c r="AA40" i="53" a="1"/>
  <c r="AA40" i="53" s="1"/>
  <c r="Z40" i="53" a="1"/>
  <c r="Z40" i="53" s="1"/>
  <c r="Y40" i="53" a="1"/>
  <c r="Y40" i="53" s="1"/>
  <c r="AA39" i="53" a="1"/>
  <c r="AA39" i="53" s="1"/>
  <c r="Z39" i="53" a="1"/>
  <c r="Z39" i="53" s="1"/>
  <c r="Y39" i="53" a="1"/>
  <c r="Y39" i="53" s="1"/>
  <c r="AA38" i="53" a="1"/>
  <c r="AA38" i="53" s="1"/>
  <c r="Z38" i="53" a="1"/>
  <c r="Z38" i="53" s="1"/>
  <c r="Y38" i="53" a="1"/>
  <c r="Y38" i="53" s="1"/>
  <c r="AA37" i="53" a="1"/>
  <c r="AA37" i="53" s="1"/>
  <c r="Z37" i="53" a="1"/>
  <c r="Z37" i="53" s="1"/>
  <c r="Y37" i="53" a="1"/>
  <c r="Y37" i="53" s="1"/>
  <c r="AA36" i="53" a="1"/>
  <c r="AA36" i="53" s="1"/>
  <c r="Z36" i="53" a="1"/>
  <c r="Z36" i="53" s="1"/>
  <c r="Y36" i="53" a="1"/>
  <c r="Y36" i="53" s="1"/>
  <c r="AA35" i="53" a="1"/>
  <c r="AA35" i="53" s="1"/>
  <c r="Z35" i="53" a="1"/>
  <c r="Z35" i="53" s="1"/>
  <c r="Y35" i="53" a="1"/>
  <c r="Y35" i="53" s="1"/>
  <c r="AA34" i="53" a="1"/>
  <c r="AA34" i="53" s="1"/>
  <c r="Z34" i="53" a="1"/>
  <c r="Z34" i="53" s="1"/>
  <c r="Y34" i="53" a="1"/>
  <c r="Y34" i="53" s="1"/>
  <c r="AA33" i="53" a="1"/>
  <c r="AA33" i="53" s="1"/>
  <c r="Z33" i="53" a="1"/>
  <c r="Z33" i="53" s="1"/>
  <c r="Y33" i="53" a="1"/>
  <c r="Y33" i="53" s="1"/>
  <c r="AA32" i="53" a="1"/>
  <c r="AA32" i="53" s="1"/>
  <c r="Z32" i="53" a="1"/>
  <c r="Z32" i="53" s="1"/>
  <c r="Y32" i="53" a="1"/>
  <c r="Y32" i="53" s="1"/>
  <c r="AA31" i="53" a="1"/>
  <c r="AA31" i="53" s="1"/>
  <c r="Z31" i="53" a="1"/>
  <c r="Z31" i="53" s="1"/>
  <c r="Y31" i="53" a="1"/>
  <c r="Y31" i="53" s="1"/>
  <c r="AA30" i="53" a="1"/>
  <c r="AA30" i="53" s="1"/>
  <c r="Z30" i="53" a="1"/>
  <c r="Z30" i="53" s="1"/>
  <c r="Y30" i="53" a="1"/>
  <c r="Y30" i="53" s="1"/>
  <c r="AA29" i="53" a="1"/>
  <c r="AA29" i="53" s="1"/>
  <c r="Z29" i="53" a="1"/>
  <c r="Z29" i="53" s="1"/>
  <c r="Y29" i="53" a="1"/>
  <c r="Y29" i="53" s="1"/>
  <c r="AA28" i="53" a="1"/>
  <c r="AA28" i="53" s="1"/>
  <c r="Z28" i="53" a="1"/>
  <c r="Z28" i="53" s="1"/>
  <c r="Y28" i="53" a="1"/>
  <c r="Y28" i="53" s="1"/>
  <c r="AA27" i="53" a="1"/>
  <c r="AA27" i="53" s="1"/>
  <c r="Z27" i="53" a="1"/>
  <c r="Z27" i="53" s="1"/>
  <c r="Y27" i="53" a="1"/>
  <c r="Y27" i="53" s="1"/>
  <c r="AA26" i="53" a="1"/>
  <c r="AA26" i="53" s="1"/>
  <c r="Z26" i="53" a="1"/>
  <c r="Z26" i="53" s="1"/>
  <c r="Y26" i="53" a="1"/>
  <c r="Y26" i="53" s="1"/>
  <c r="AA25" i="53" a="1"/>
  <c r="AA25" i="53" s="1"/>
  <c r="Z25" i="53" a="1"/>
  <c r="Z25" i="53" s="1"/>
  <c r="Y25" i="53" a="1"/>
  <c r="Y25" i="53" s="1"/>
  <c r="AA24" i="53" a="1"/>
  <c r="AA24" i="53" s="1"/>
  <c r="Z24" i="53" a="1"/>
  <c r="Z24" i="53" s="1"/>
  <c r="Y24" i="53" a="1"/>
  <c r="Y24" i="53" s="1"/>
  <c r="AA23" i="53" a="1"/>
  <c r="AA23" i="53" s="1"/>
  <c r="Z23" i="53" a="1"/>
  <c r="Z23" i="53" s="1"/>
  <c r="Y23" i="53" a="1"/>
  <c r="Y23" i="53" s="1"/>
  <c r="AA22" i="53" a="1"/>
  <c r="AA22" i="53" s="1"/>
  <c r="Z22" i="53" a="1"/>
  <c r="Z22" i="53" s="1"/>
  <c r="Y22" i="53" a="1"/>
  <c r="Y22" i="53" s="1"/>
  <c r="AA21" i="53" a="1"/>
  <c r="AA21" i="53" s="1"/>
  <c r="Z21" i="53" a="1"/>
  <c r="Z21" i="53" s="1"/>
  <c r="Y21" i="53" a="1"/>
  <c r="Y21" i="53" s="1"/>
  <c r="AA20" i="53" a="1"/>
  <c r="AA20" i="53" s="1"/>
  <c r="Z20" i="53" a="1"/>
  <c r="Z20" i="53" s="1"/>
  <c r="Y20" i="53" a="1"/>
  <c r="Y20" i="53" s="1"/>
  <c r="AA19" i="53" a="1"/>
  <c r="AA19" i="53" s="1"/>
  <c r="Z19" i="53" a="1"/>
  <c r="Z19" i="53" s="1"/>
  <c r="Y19" i="53" a="1"/>
  <c r="Y19" i="53" s="1"/>
  <c r="AA18" i="53" a="1"/>
  <c r="AA18" i="53" s="1"/>
  <c r="Z18" i="53" a="1"/>
  <c r="Z18" i="53" s="1"/>
  <c r="Y18" i="53" a="1"/>
  <c r="Y18" i="53" s="1"/>
  <c r="AA17" i="53" a="1"/>
  <c r="AA17" i="53" s="1"/>
  <c r="Z17" i="53" a="1"/>
  <c r="Z17" i="53" s="1"/>
  <c r="Y17" i="53" a="1"/>
  <c r="Y17" i="53" s="1"/>
  <c r="AA16" i="53" a="1"/>
  <c r="AA16" i="53" s="1"/>
  <c r="Z16" i="53" a="1"/>
  <c r="Z16" i="53" s="1"/>
  <c r="Y16" i="53" a="1"/>
  <c r="Y16" i="53" s="1"/>
  <c r="AA15" i="53" a="1"/>
  <c r="AA15" i="53" s="1"/>
  <c r="Z15" i="53" a="1"/>
  <c r="Z15" i="53" s="1"/>
  <c r="Y15" i="53" a="1"/>
  <c r="Y15" i="53" s="1"/>
  <c r="AA14" i="53" a="1"/>
  <c r="AA14" i="53" s="1"/>
  <c r="Z14" i="53" a="1"/>
  <c r="Z14" i="53" s="1"/>
  <c r="Y14" i="53" a="1"/>
  <c r="Y14" i="53" s="1"/>
  <c r="AA13" i="53" a="1"/>
  <c r="AA13" i="53" s="1"/>
  <c r="Z13" i="53" a="1"/>
  <c r="Z13" i="53" s="1"/>
  <c r="Y13" i="53" a="1"/>
  <c r="Y13" i="53" s="1"/>
  <c r="AA12" i="53" a="1"/>
  <c r="AA12" i="53" s="1"/>
  <c r="Z12" i="53" a="1"/>
  <c r="Z12" i="53" s="1"/>
  <c r="Y12" i="53" a="1"/>
  <c r="Y12" i="53" s="1"/>
  <c r="AA11" i="53" a="1"/>
  <c r="AA11" i="53" s="1"/>
  <c r="Z11" i="53" a="1"/>
  <c r="Z11" i="53" s="1"/>
  <c r="Y11" i="53" a="1"/>
  <c r="Y11" i="53" s="1"/>
  <c r="AA10" i="53" a="1"/>
  <c r="AA10" i="53" s="1"/>
  <c r="Z10" i="53" a="1"/>
  <c r="Z10" i="53" s="1"/>
  <c r="Y10" i="53" a="1"/>
  <c r="Y10" i="53" s="1"/>
  <c r="AA9" i="53" a="1"/>
  <c r="AA9" i="53" s="1"/>
  <c r="Z9" i="53" a="1"/>
  <c r="Z9" i="53" s="1"/>
  <c r="Y9" i="53" a="1"/>
  <c r="Y9" i="53" s="1"/>
  <c r="AA8" i="53" a="1"/>
  <c r="AA8" i="53" s="1"/>
  <c r="Z8" i="53" a="1"/>
  <c r="Z8" i="53" s="1"/>
  <c r="Y8" i="53" a="1"/>
  <c r="Y8" i="53" s="1"/>
  <c r="AA7" i="53" a="1"/>
  <c r="AA7" i="53" s="1"/>
  <c r="Z7" i="53" a="1"/>
  <c r="Z7" i="53" s="1"/>
  <c r="Y7" i="53" a="1"/>
  <c r="Y7" i="53" s="1"/>
  <c r="AA6" i="53" a="1"/>
  <c r="AA6" i="53" s="1"/>
  <c r="Z6" i="53" a="1"/>
  <c r="Z6" i="53" s="1"/>
  <c r="Y6" i="53" a="1"/>
  <c r="Y6" i="53" s="1"/>
  <c r="AA5" i="53" a="1"/>
  <c r="AA5" i="53" s="1"/>
  <c r="Z5" i="53" a="1"/>
  <c r="Z5" i="53" s="1"/>
  <c r="Y5" i="53" a="1"/>
  <c r="Y5" i="53" s="1"/>
  <c r="AA4" i="53" a="1"/>
  <c r="AA4" i="53" s="1"/>
  <c r="Z4" i="53" a="1"/>
  <c r="Z4" i="53" s="1"/>
  <c r="Y4" i="53" a="1"/>
  <c r="Y4" i="53" s="1"/>
  <c r="AA3" i="53" a="1"/>
  <c r="AA3" i="53" s="1"/>
  <c r="Z3" i="53" a="1"/>
  <c r="Z3" i="53" s="1"/>
  <c r="Y3" i="53" a="1"/>
  <c r="Y3" i="53" s="1"/>
  <c r="W45" i="53" a="1"/>
  <c r="W45" i="53" s="1"/>
  <c r="V45" i="53" a="1"/>
  <c r="V45" i="53" s="1"/>
  <c r="W44" i="53" a="1"/>
  <c r="W44" i="53" s="1"/>
  <c r="V44" i="53" a="1"/>
  <c r="V44" i="53" s="1"/>
  <c r="W43" i="53" a="1"/>
  <c r="W43" i="53" s="1"/>
  <c r="V43" i="53" a="1"/>
  <c r="V43" i="53" s="1"/>
  <c r="W42" i="53" a="1"/>
  <c r="W42" i="53" s="1"/>
  <c r="V42" i="53" a="1"/>
  <c r="V42" i="53" s="1"/>
  <c r="W41" i="53" a="1"/>
  <c r="W41" i="53" s="1"/>
  <c r="V41" i="53" a="1"/>
  <c r="V41" i="53" s="1"/>
  <c r="W40" i="53" a="1"/>
  <c r="W40" i="53" s="1"/>
  <c r="V40" i="53" a="1"/>
  <c r="V40" i="53" s="1"/>
  <c r="W39" i="53" a="1"/>
  <c r="W39" i="53" s="1"/>
  <c r="V39" i="53" a="1"/>
  <c r="V39" i="53" s="1"/>
  <c r="W38" i="53" a="1"/>
  <c r="W38" i="53" s="1"/>
  <c r="V38" i="53" a="1"/>
  <c r="V38" i="53" s="1"/>
  <c r="W37" i="53" a="1"/>
  <c r="W37" i="53" s="1"/>
  <c r="V37" i="53" a="1"/>
  <c r="V37" i="53" s="1"/>
  <c r="W36" i="53" a="1"/>
  <c r="W36" i="53" s="1"/>
  <c r="V36" i="53" a="1"/>
  <c r="V36" i="53" s="1"/>
  <c r="W35" i="53" a="1"/>
  <c r="W35" i="53" s="1"/>
  <c r="V35" i="53" a="1"/>
  <c r="V35" i="53" s="1"/>
  <c r="W34" i="53" a="1"/>
  <c r="W34" i="53" s="1"/>
  <c r="V34" i="53" a="1"/>
  <c r="V34" i="53" s="1"/>
  <c r="W33" i="53" a="1"/>
  <c r="W33" i="53" s="1"/>
  <c r="V33" i="53" a="1"/>
  <c r="V33" i="53" s="1"/>
  <c r="W32" i="53" a="1"/>
  <c r="W32" i="53" s="1"/>
  <c r="V32" i="53" a="1"/>
  <c r="V32" i="53" s="1"/>
  <c r="W31" i="53" a="1"/>
  <c r="W31" i="53" s="1"/>
  <c r="V31" i="53" a="1"/>
  <c r="V31" i="53" s="1"/>
  <c r="W30" i="53" a="1"/>
  <c r="W30" i="53" s="1"/>
  <c r="V30" i="53" a="1"/>
  <c r="V30" i="53" s="1"/>
  <c r="W29" i="53" a="1"/>
  <c r="W29" i="53" s="1"/>
  <c r="V29" i="53" a="1"/>
  <c r="V29" i="53" s="1"/>
  <c r="W28" i="53" a="1"/>
  <c r="W28" i="53" s="1"/>
  <c r="V28" i="53" a="1"/>
  <c r="V28" i="53" s="1"/>
  <c r="W27" i="53" a="1"/>
  <c r="W27" i="53" s="1"/>
  <c r="V27" i="53" a="1"/>
  <c r="V27" i="53" s="1"/>
  <c r="W26" i="53" a="1"/>
  <c r="W26" i="53" s="1"/>
  <c r="V26" i="53" a="1"/>
  <c r="V26" i="53" s="1"/>
  <c r="W25" i="53" a="1"/>
  <c r="W25" i="53" s="1"/>
  <c r="V25" i="53" a="1"/>
  <c r="V25" i="53" s="1"/>
  <c r="W24" i="53" a="1"/>
  <c r="W24" i="53" s="1"/>
  <c r="V24" i="53" a="1"/>
  <c r="V24" i="53" s="1"/>
  <c r="W23" i="53" a="1"/>
  <c r="W23" i="53" s="1"/>
  <c r="V23" i="53" a="1"/>
  <c r="V23" i="53" s="1"/>
  <c r="W22" i="53" a="1"/>
  <c r="W22" i="53" s="1"/>
  <c r="V22" i="53" a="1"/>
  <c r="V22" i="53" s="1"/>
  <c r="W21" i="53" a="1"/>
  <c r="W21" i="53" s="1"/>
  <c r="V21" i="53" a="1"/>
  <c r="V21" i="53" s="1"/>
  <c r="W20" i="53" a="1"/>
  <c r="W20" i="53" s="1"/>
  <c r="V20" i="53" a="1"/>
  <c r="V20" i="53" s="1"/>
  <c r="W19" i="53" a="1"/>
  <c r="W19" i="53" s="1"/>
  <c r="V19" i="53" a="1"/>
  <c r="V19" i="53" s="1"/>
  <c r="W18" i="53" a="1"/>
  <c r="W18" i="53" s="1"/>
  <c r="V18" i="53" a="1"/>
  <c r="V18" i="53" s="1"/>
  <c r="W17" i="53" a="1"/>
  <c r="W17" i="53" s="1"/>
  <c r="V17" i="53" a="1"/>
  <c r="V17" i="53" s="1"/>
  <c r="W16" i="53" a="1"/>
  <c r="W16" i="53" s="1"/>
  <c r="V16" i="53" a="1"/>
  <c r="V16" i="53" s="1"/>
  <c r="W15" i="53" a="1"/>
  <c r="W15" i="53" s="1"/>
  <c r="V15" i="53" a="1"/>
  <c r="V15" i="53" s="1"/>
  <c r="W14" i="53" a="1"/>
  <c r="W14" i="53" s="1"/>
  <c r="V14" i="53" a="1"/>
  <c r="V14" i="53" s="1"/>
  <c r="W13" i="53" a="1"/>
  <c r="W13" i="53" s="1"/>
  <c r="V13" i="53" a="1"/>
  <c r="V13" i="53" s="1"/>
  <c r="W12" i="53" a="1"/>
  <c r="W12" i="53" s="1"/>
  <c r="V12" i="53" a="1"/>
  <c r="V12" i="53" s="1"/>
  <c r="W10" i="53" a="1"/>
  <c r="W10" i="53" s="1"/>
  <c r="V10" i="53" a="1"/>
  <c r="V10" i="53" s="1"/>
  <c r="W9" i="53" a="1"/>
  <c r="W9" i="53" s="1"/>
  <c r="V9" i="53" a="1"/>
  <c r="V9" i="53" s="1"/>
  <c r="W8" i="53" a="1"/>
  <c r="W8" i="53" s="1"/>
  <c r="V8" i="53" a="1"/>
  <c r="V8" i="53" s="1"/>
  <c r="W7" i="53" a="1"/>
  <c r="W7" i="53" s="1"/>
  <c r="V7" i="53" a="1"/>
  <c r="V7" i="53" s="1"/>
  <c r="W6" i="53" a="1"/>
  <c r="W6" i="53" s="1"/>
  <c r="V6" i="53" a="1"/>
  <c r="V6" i="53" s="1"/>
  <c r="W5" i="53" a="1"/>
  <c r="W5" i="53" s="1"/>
  <c r="V5" i="53" a="1"/>
  <c r="V5" i="53" s="1"/>
  <c r="W4" i="53" a="1"/>
  <c r="W4" i="53" s="1"/>
  <c r="V4" i="53" a="1"/>
  <c r="V4" i="53" s="1"/>
  <c r="W3" i="53" a="1"/>
  <c r="W3" i="53" s="1"/>
  <c r="V3" i="53" a="1"/>
  <c r="V3" i="53" s="1"/>
  <c r="T45" i="53" a="1"/>
  <c r="T45" i="53" s="1"/>
  <c r="S45" i="53" a="1"/>
  <c r="S45" i="53" s="1"/>
  <c r="T44" i="53" a="1"/>
  <c r="T44" i="53" s="1"/>
  <c r="S44" i="53" a="1"/>
  <c r="S44" i="53" s="1"/>
  <c r="T43" i="53" a="1"/>
  <c r="T43" i="53" s="1"/>
  <c r="S43" i="53" a="1"/>
  <c r="S43" i="53" s="1"/>
  <c r="T42" i="53" a="1"/>
  <c r="T42" i="53" s="1"/>
  <c r="S42" i="53" a="1"/>
  <c r="S42" i="53" s="1"/>
  <c r="T41" i="53" a="1"/>
  <c r="T41" i="53" s="1"/>
  <c r="S41" i="53" a="1"/>
  <c r="S41" i="53" s="1"/>
  <c r="T40" i="53" a="1"/>
  <c r="T40" i="53" s="1"/>
  <c r="S40" i="53" a="1"/>
  <c r="S40" i="53" s="1"/>
  <c r="T39" i="53" a="1"/>
  <c r="T39" i="53" s="1"/>
  <c r="S39" i="53" a="1"/>
  <c r="S39" i="53" s="1"/>
  <c r="T38" i="53" a="1"/>
  <c r="T38" i="53" s="1"/>
  <c r="S38" i="53" a="1"/>
  <c r="S38" i="53" s="1"/>
  <c r="T37" i="53" a="1"/>
  <c r="T37" i="53" s="1"/>
  <c r="S37" i="53" a="1"/>
  <c r="S37" i="53" s="1"/>
  <c r="T36" i="53" a="1"/>
  <c r="T36" i="53" s="1"/>
  <c r="S36" i="53" a="1"/>
  <c r="S36" i="53" s="1"/>
  <c r="T35" i="53" a="1"/>
  <c r="T35" i="53" s="1"/>
  <c r="S35" i="53" a="1"/>
  <c r="S35" i="53" s="1"/>
  <c r="T34" i="53" a="1"/>
  <c r="T34" i="53" s="1"/>
  <c r="S34" i="53" a="1"/>
  <c r="S34" i="53" s="1"/>
  <c r="T33" i="53" a="1"/>
  <c r="T33" i="53" s="1"/>
  <c r="S33" i="53" a="1"/>
  <c r="S33" i="53" s="1"/>
  <c r="T32" i="53" a="1"/>
  <c r="T32" i="53" s="1"/>
  <c r="S32" i="53" a="1"/>
  <c r="S32" i="53" s="1"/>
  <c r="T31" i="53" a="1"/>
  <c r="T31" i="53" s="1"/>
  <c r="S31" i="53" a="1"/>
  <c r="S31" i="53" s="1"/>
  <c r="T30" i="53" a="1"/>
  <c r="T30" i="53" s="1"/>
  <c r="S30" i="53" a="1"/>
  <c r="S30" i="53" s="1"/>
  <c r="T29" i="53" a="1"/>
  <c r="T29" i="53" s="1"/>
  <c r="S29" i="53" a="1"/>
  <c r="S29" i="53" s="1"/>
  <c r="T28" i="53" a="1"/>
  <c r="T28" i="53" s="1"/>
  <c r="S28" i="53" a="1"/>
  <c r="S28" i="53" s="1"/>
  <c r="T27" i="53" a="1"/>
  <c r="T27" i="53" s="1"/>
  <c r="S27" i="53" a="1"/>
  <c r="S27" i="53" s="1"/>
  <c r="T26" i="53" a="1"/>
  <c r="T26" i="53" s="1"/>
  <c r="S26" i="53" a="1"/>
  <c r="S26" i="53" s="1"/>
  <c r="T25" i="53" a="1"/>
  <c r="T25" i="53" s="1"/>
  <c r="S25" i="53" a="1"/>
  <c r="S25" i="53" s="1"/>
  <c r="T24" i="53" a="1"/>
  <c r="T24" i="53" s="1"/>
  <c r="S24" i="53" a="1"/>
  <c r="S24" i="53" s="1"/>
  <c r="T23" i="53" a="1"/>
  <c r="T23" i="53" s="1"/>
  <c r="S23" i="53" a="1"/>
  <c r="S23" i="53" s="1"/>
  <c r="T22" i="53" a="1"/>
  <c r="T22" i="53" s="1"/>
  <c r="S22" i="53" a="1"/>
  <c r="S22" i="53" s="1"/>
  <c r="T21" i="53" a="1"/>
  <c r="T21" i="53" s="1"/>
  <c r="S21" i="53" a="1"/>
  <c r="S21" i="53" s="1"/>
  <c r="T20" i="53" a="1"/>
  <c r="T20" i="53" s="1"/>
  <c r="S20" i="53" a="1"/>
  <c r="S20" i="53" s="1"/>
  <c r="T19" i="53" a="1"/>
  <c r="T19" i="53" s="1"/>
  <c r="S19" i="53" a="1"/>
  <c r="S19" i="53" s="1"/>
  <c r="T18" i="53" a="1"/>
  <c r="T18" i="53" s="1"/>
  <c r="S18" i="53" a="1"/>
  <c r="S18" i="53" s="1"/>
  <c r="T17" i="53" a="1"/>
  <c r="T17" i="53" s="1"/>
  <c r="S17" i="53" a="1"/>
  <c r="S17" i="53" s="1"/>
  <c r="T16" i="53" a="1"/>
  <c r="T16" i="53" s="1"/>
  <c r="S16" i="53" a="1"/>
  <c r="S16" i="53" s="1"/>
  <c r="T15" i="53" a="1"/>
  <c r="T15" i="53" s="1"/>
  <c r="S15" i="53" a="1"/>
  <c r="S15" i="53" s="1"/>
  <c r="T14" i="53" a="1"/>
  <c r="T14" i="53" s="1"/>
  <c r="S14" i="53" a="1"/>
  <c r="S14" i="53" s="1"/>
  <c r="T13" i="53" a="1"/>
  <c r="T13" i="53" s="1"/>
  <c r="S13" i="53" a="1"/>
  <c r="S13" i="53" s="1"/>
  <c r="T12" i="53" a="1"/>
  <c r="T12" i="53" s="1"/>
  <c r="S12" i="53" a="1"/>
  <c r="S12" i="53" s="1"/>
  <c r="T11" i="53" a="1"/>
  <c r="T11" i="53" s="1"/>
  <c r="S11" i="53" a="1"/>
  <c r="S11" i="53" s="1"/>
  <c r="T10" i="53" a="1"/>
  <c r="T10" i="53" s="1"/>
  <c r="S10" i="53" a="1"/>
  <c r="S10" i="53" s="1"/>
  <c r="T9" i="53" a="1"/>
  <c r="T9" i="53" s="1"/>
  <c r="S9" i="53" a="1"/>
  <c r="S9" i="53" s="1"/>
  <c r="T8" i="53" a="1"/>
  <c r="T8" i="53" s="1"/>
  <c r="S8" i="53" a="1"/>
  <c r="S8" i="53" s="1"/>
  <c r="T7" i="53" a="1"/>
  <c r="T7" i="53" s="1"/>
  <c r="S7" i="53" a="1"/>
  <c r="S7" i="53" s="1"/>
  <c r="T6" i="53" a="1"/>
  <c r="T6" i="53" s="1"/>
  <c r="S6" i="53" a="1"/>
  <c r="S6" i="53" s="1"/>
  <c r="T5" i="53" a="1"/>
  <c r="T5" i="53" s="1"/>
  <c r="S5" i="53" a="1"/>
  <c r="S5" i="53" s="1"/>
  <c r="T4" i="53" a="1"/>
  <c r="T4" i="53" s="1"/>
  <c r="S4" i="53" a="1"/>
  <c r="S4" i="53" s="1"/>
  <c r="T3" i="53" a="1"/>
  <c r="T3" i="53" s="1"/>
  <c r="S3" i="53" a="1"/>
  <c r="S3" i="53" s="1"/>
  <c r="Q45" i="53" a="1"/>
  <c r="Q45" i="53" s="1"/>
  <c r="P45" i="53" a="1"/>
  <c r="P45" i="53" s="1"/>
  <c r="Q44" i="53" a="1"/>
  <c r="Q44" i="53" s="1"/>
  <c r="P44" i="53" a="1"/>
  <c r="P44" i="53" s="1"/>
  <c r="Q43" i="53" a="1"/>
  <c r="Q43" i="53" s="1"/>
  <c r="P43" i="53" a="1"/>
  <c r="P43" i="53" s="1"/>
  <c r="Q42" i="53" a="1"/>
  <c r="Q42" i="53" s="1"/>
  <c r="P42" i="53" a="1"/>
  <c r="P42" i="53" s="1"/>
  <c r="Q41" i="53" a="1"/>
  <c r="Q41" i="53" s="1"/>
  <c r="P41" i="53" a="1"/>
  <c r="P41" i="53" s="1"/>
  <c r="Q40" i="53" a="1"/>
  <c r="Q40" i="53" s="1"/>
  <c r="P40" i="53" a="1"/>
  <c r="P40" i="53" s="1"/>
  <c r="Q39" i="53" a="1"/>
  <c r="Q39" i="53" s="1"/>
  <c r="P39" i="53" a="1"/>
  <c r="P39" i="53" s="1"/>
  <c r="Q38" i="53" a="1"/>
  <c r="Q38" i="53" s="1"/>
  <c r="P38" i="53" a="1"/>
  <c r="P38" i="53" s="1"/>
  <c r="Q37" i="53" a="1"/>
  <c r="Q37" i="53" s="1"/>
  <c r="P37" i="53" a="1"/>
  <c r="P37" i="53" s="1"/>
  <c r="Q36" i="53" a="1"/>
  <c r="Q36" i="53" s="1"/>
  <c r="P36" i="53" a="1"/>
  <c r="P36" i="53" s="1"/>
  <c r="Q35" i="53" a="1"/>
  <c r="Q35" i="53" s="1"/>
  <c r="P35" i="53" a="1"/>
  <c r="P35" i="53" s="1"/>
  <c r="Q34" i="53" a="1"/>
  <c r="Q34" i="53" s="1"/>
  <c r="P34" i="53" a="1"/>
  <c r="P34" i="53" s="1"/>
  <c r="Q33" i="53" a="1"/>
  <c r="Q33" i="53" s="1"/>
  <c r="P33" i="53" a="1"/>
  <c r="P33" i="53" s="1"/>
  <c r="Q32" i="53" a="1"/>
  <c r="Q32" i="53" s="1"/>
  <c r="P32" i="53" a="1"/>
  <c r="P32" i="53" s="1"/>
  <c r="Q31" i="53" a="1"/>
  <c r="Q31" i="53" s="1"/>
  <c r="P31" i="53" a="1"/>
  <c r="P31" i="53" s="1"/>
  <c r="Q30" i="53" a="1"/>
  <c r="Q30" i="53" s="1"/>
  <c r="P30" i="53" a="1"/>
  <c r="P30" i="53" s="1"/>
  <c r="Q29" i="53" a="1"/>
  <c r="Q29" i="53" s="1"/>
  <c r="P29" i="53" a="1"/>
  <c r="P29" i="53" s="1"/>
  <c r="Q28" i="53" a="1"/>
  <c r="Q28" i="53" s="1"/>
  <c r="P28" i="53" a="1"/>
  <c r="P28" i="53" s="1"/>
  <c r="Q27" i="53" a="1"/>
  <c r="Q27" i="53" s="1"/>
  <c r="P27" i="53" a="1"/>
  <c r="P27" i="53" s="1"/>
  <c r="Q26" i="53" a="1"/>
  <c r="Q26" i="53" s="1"/>
  <c r="P26" i="53" a="1"/>
  <c r="P26" i="53" s="1"/>
  <c r="Q25" i="53" a="1"/>
  <c r="Q25" i="53" s="1"/>
  <c r="P25" i="53" a="1"/>
  <c r="P25" i="53" s="1"/>
  <c r="Q24" i="53" a="1"/>
  <c r="Q24" i="53" s="1"/>
  <c r="P24" i="53" a="1"/>
  <c r="P24" i="53" s="1"/>
  <c r="Q23" i="53" a="1"/>
  <c r="Q23" i="53" s="1"/>
  <c r="P23" i="53" a="1"/>
  <c r="P23" i="53" s="1"/>
  <c r="Q22" i="53" a="1"/>
  <c r="Q22" i="53" s="1"/>
  <c r="P22" i="53" a="1"/>
  <c r="P22" i="53" s="1"/>
  <c r="Q21" i="53" a="1"/>
  <c r="Q21" i="53" s="1"/>
  <c r="P21" i="53" a="1"/>
  <c r="P21" i="53" s="1"/>
  <c r="Q20" i="53" a="1"/>
  <c r="Q20" i="53" s="1"/>
  <c r="P20" i="53" a="1"/>
  <c r="P20" i="53" s="1"/>
  <c r="Q19" i="53" a="1"/>
  <c r="Q19" i="53" s="1"/>
  <c r="P19" i="53" a="1"/>
  <c r="P19" i="53" s="1"/>
  <c r="Q18" i="53" a="1"/>
  <c r="Q18" i="53" s="1"/>
  <c r="P18" i="53" a="1"/>
  <c r="P18" i="53" s="1"/>
  <c r="Q17" i="53" a="1"/>
  <c r="Q17" i="53" s="1"/>
  <c r="P17" i="53" a="1"/>
  <c r="P17" i="53" s="1"/>
  <c r="Q16" i="53" a="1"/>
  <c r="Q16" i="53" s="1"/>
  <c r="P16" i="53" a="1"/>
  <c r="P16" i="53" s="1"/>
  <c r="Q15" i="53" a="1"/>
  <c r="Q15" i="53" s="1"/>
  <c r="P15" i="53" a="1"/>
  <c r="P15" i="53" s="1"/>
  <c r="Q14" i="53" a="1"/>
  <c r="Q14" i="53" s="1"/>
  <c r="P14" i="53" a="1"/>
  <c r="P14" i="53" s="1"/>
  <c r="Q13" i="53" a="1"/>
  <c r="Q13" i="53" s="1"/>
  <c r="P13" i="53" a="1"/>
  <c r="P13" i="53" s="1"/>
  <c r="Q12" i="53" a="1"/>
  <c r="Q12" i="53" s="1"/>
  <c r="P12" i="53" a="1"/>
  <c r="P12" i="53" s="1"/>
  <c r="Q11" i="53" a="1"/>
  <c r="Q11" i="53" s="1"/>
  <c r="P11" i="53" a="1"/>
  <c r="P11" i="53" s="1"/>
  <c r="Q10" i="53" a="1"/>
  <c r="Q10" i="53" s="1"/>
  <c r="P10" i="53" a="1"/>
  <c r="P10" i="53" s="1"/>
  <c r="Q9" i="53" a="1"/>
  <c r="Q9" i="53" s="1"/>
  <c r="P9" i="53" a="1"/>
  <c r="P9" i="53" s="1"/>
  <c r="Q8" i="53" a="1"/>
  <c r="Q8" i="53" s="1"/>
  <c r="P8" i="53" a="1"/>
  <c r="P8" i="53" s="1"/>
  <c r="Q7" i="53" a="1"/>
  <c r="Q7" i="53" s="1"/>
  <c r="P7" i="53" a="1"/>
  <c r="P7" i="53" s="1"/>
  <c r="Q6" i="53" a="1"/>
  <c r="Q6" i="53" s="1"/>
  <c r="P6" i="53" a="1"/>
  <c r="P6" i="53" s="1"/>
  <c r="Q5" i="53" a="1"/>
  <c r="Q5" i="53" s="1"/>
  <c r="P5" i="53" a="1"/>
  <c r="P5" i="53" s="1"/>
  <c r="Q4" i="53" a="1"/>
  <c r="Q4" i="53" s="1"/>
  <c r="P4" i="53" a="1"/>
  <c r="P4" i="53" s="1"/>
  <c r="Q3" i="53" a="1"/>
  <c r="Q3" i="53" s="1"/>
  <c r="P3" i="53" a="1"/>
  <c r="P3" i="53" s="1"/>
  <c r="N45" i="53" a="1"/>
  <c r="N45" i="53" s="1"/>
  <c r="M45" i="53" a="1"/>
  <c r="M45" i="53" s="1"/>
  <c r="N44" i="53" a="1"/>
  <c r="N44" i="53" s="1"/>
  <c r="M44" i="53" a="1"/>
  <c r="M44" i="53" s="1"/>
  <c r="N43" i="53" a="1"/>
  <c r="N43" i="53" s="1"/>
  <c r="M43" i="53" a="1"/>
  <c r="M43" i="53" s="1"/>
  <c r="N42" i="53" a="1"/>
  <c r="N42" i="53" s="1"/>
  <c r="M42" i="53" a="1"/>
  <c r="M42" i="53" s="1"/>
  <c r="N41" i="53" a="1"/>
  <c r="N41" i="53" s="1"/>
  <c r="M41" i="53" a="1"/>
  <c r="M41" i="53" s="1"/>
  <c r="N40" i="53" a="1"/>
  <c r="N40" i="53" s="1"/>
  <c r="M40" i="53" a="1"/>
  <c r="M40" i="53" s="1"/>
  <c r="N39" i="53" a="1"/>
  <c r="N39" i="53" s="1"/>
  <c r="M39" i="53" a="1"/>
  <c r="M39" i="53" s="1"/>
  <c r="N38" i="53" a="1"/>
  <c r="N38" i="53" s="1"/>
  <c r="M38" i="53" a="1"/>
  <c r="M38" i="53" s="1"/>
  <c r="N37" i="53" a="1"/>
  <c r="N37" i="53" s="1"/>
  <c r="M37" i="53" a="1"/>
  <c r="M37" i="53" s="1"/>
  <c r="N36" i="53" a="1"/>
  <c r="N36" i="53" s="1"/>
  <c r="M36" i="53" a="1"/>
  <c r="M36" i="53" s="1"/>
  <c r="N35" i="53" a="1"/>
  <c r="N35" i="53" s="1"/>
  <c r="M35" i="53" a="1"/>
  <c r="M35" i="53" s="1"/>
  <c r="N34" i="53" a="1"/>
  <c r="N34" i="53" s="1"/>
  <c r="M34" i="53" a="1"/>
  <c r="M34" i="53" s="1"/>
  <c r="N33" i="53" a="1"/>
  <c r="N33" i="53" s="1"/>
  <c r="M33" i="53" a="1"/>
  <c r="M33" i="53" s="1"/>
  <c r="N32" i="53" a="1"/>
  <c r="N32" i="53" s="1"/>
  <c r="M32" i="53" a="1"/>
  <c r="M32" i="53" s="1"/>
  <c r="N31" i="53" a="1"/>
  <c r="N31" i="53" s="1"/>
  <c r="M31" i="53" a="1"/>
  <c r="M31" i="53" s="1"/>
  <c r="N30" i="53" a="1"/>
  <c r="N30" i="53" s="1"/>
  <c r="M30" i="53" a="1"/>
  <c r="M30" i="53" s="1"/>
  <c r="N29" i="53" a="1"/>
  <c r="N29" i="53" s="1"/>
  <c r="M29" i="53" a="1"/>
  <c r="M29" i="53" s="1"/>
  <c r="N28" i="53" a="1"/>
  <c r="N28" i="53" s="1"/>
  <c r="M28" i="53" a="1"/>
  <c r="M28" i="53" s="1"/>
  <c r="N27" i="53" a="1"/>
  <c r="N27" i="53" s="1"/>
  <c r="M27" i="53" a="1"/>
  <c r="M27" i="53" s="1"/>
  <c r="N26" i="53" a="1"/>
  <c r="N26" i="53" s="1"/>
  <c r="M26" i="53" a="1"/>
  <c r="M26" i="53" s="1"/>
  <c r="N25" i="53" a="1"/>
  <c r="N25" i="53" s="1"/>
  <c r="M25" i="53" a="1"/>
  <c r="M25" i="53" s="1"/>
  <c r="N24" i="53" a="1"/>
  <c r="N24" i="53" s="1"/>
  <c r="M24" i="53" a="1"/>
  <c r="M24" i="53" s="1"/>
  <c r="N23" i="53" a="1"/>
  <c r="N23" i="53" s="1"/>
  <c r="M23" i="53" a="1"/>
  <c r="M23" i="53" s="1"/>
  <c r="N22" i="53" a="1"/>
  <c r="N22" i="53" s="1"/>
  <c r="M22" i="53" a="1"/>
  <c r="M22" i="53" s="1"/>
  <c r="N21" i="53" a="1"/>
  <c r="N21" i="53" s="1"/>
  <c r="M21" i="53" a="1"/>
  <c r="M21" i="53" s="1"/>
  <c r="N20" i="53" a="1"/>
  <c r="N20" i="53" s="1"/>
  <c r="M20" i="53" a="1"/>
  <c r="M20" i="53" s="1"/>
  <c r="N19" i="53" a="1"/>
  <c r="N19" i="53" s="1"/>
  <c r="M19" i="53" a="1"/>
  <c r="M19" i="53" s="1"/>
  <c r="N18" i="53" a="1"/>
  <c r="N18" i="53" s="1"/>
  <c r="M18" i="53" a="1"/>
  <c r="M18" i="53" s="1"/>
  <c r="N17" i="53" a="1"/>
  <c r="N17" i="53" s="1"/>
  <c r="M17" i="53" a="1"/>
  <c r="M17" i="53" s="1"/>
  <c r="N16" i="53" a="1"/>
  <c r="N16" i="53" s="1"/>
  <c r="M16" i="53" a="1"/>
  <c r="M16" i="53" s="1"/>
  <c r="N15" i="53" a="1"/>
  <c r="N15" i="53" s="1"/>
  <c r="M15" i="53" a="1"/>
  <c r="M15" i="53" s="1"/>
  <c r="N14" i="53" a="1"/>
  <c r="N14" i="53" s="1"/>
  <c r="M14" i="53" a="1"/>
  <c r="M14" i="53" s="1"/>
  <c r="N13" i="53" a="1"/>
  <c r="N13" i="53" s="1"/>
  <c r="M13" i="53" a="1"/>
  <c r="M13" i="53" s="1"/>
  <c r="N12" i="53" a="1"/>
  <c r="N12" i="53" s="1"/>
  <c r="M12" i="53" a="1"/>
  <c r="M12" i="53" s="1"/>
  <c r="N11" i="53" a="1"/>
  <c r="N11" i="53" s="1"/>
  <c r="M11" i="53" a="1"/>
  <c r="M11" i="53" s="1"/>
  <c r="N10" i="53" a="1"/>
  <c r="N10" i="53" s="1"/>
  <c r="M10" i="53" a="1"/>
  <c r="M10" i="53" s="1"/>
  <c r="N9" i="53" a="1"/>
  <c r="N9" i="53" s="1"/>
  <c r="M9" i="53" a="1"/>
  <c r="M9" i="53" s="1"/>
  <c r="N8" i="53" a="1"/>
  <c r="N8" i="53" s="1"/>
  <c r="M8" i="53" a="1"/>
  <c r="M8" i="53" s="1"/>
  <c r="N7" i="53" a="1"/>
  <c r="N7" i="53" s="1"/>
  <c r="M7" i="53" a="1"/>
  <c r="M7" i="53" s="1"/>
  <c r="N6" i="53" a="1"/>
  <c r="N6" i="53" s="1"/>
  <c r="M6" i="53" a="1"/>
  <c r="M6" i="53" s="1"/>
  <c r="N5" i="53" a="1"/>
  <c r="N5" i="53" s="1"/>
  <c r="M5" i="53" a="1"/>
  <c r="M5" i="53" s="1"/>
  <c r="N4" i="53" a="1"/>
  <c r="N4" i="53" s="1"/>
  <c r="M4" i="53" a="1"/>
  <c r="M4" i="53" s="1"/>
  <c r="N3" i="53" a="1"/>
  <c r="N3" i="53" s="1"/>
  <c r="M3" i="53" a="1"/>
  <c r="M3" i="53" s="1"/>
  <c r="K45" i="53" a="1"/>
  <c r="K45" i="53" s="1"/>
  <c r="J45" i="53" a="1"/>
  <c r="J45" i="53" s="1"/>
  <c r="K44" i="53" a="1"/>
  <c r="K44" i="53" s="1"/>
  <c r="J44" i="53" a="1"/>
  <c r="J44" i="53" s="1"/>
  <c r="K43" i="53" a="1"/>
  <c r="K43" i="53" s="1"/>
  <c r="J43" i="53" a="1"/>
  <c r="J43" i="53" s="1"/>
  <c r="K42" i="53" a="1"/>
  <c r="K42" i="53" s="1"/>
  <c r="J42" i="53" a="1"/>
  <c r="J42" i="53" s="1"/>
  <c r="K41" i="53" a="1"/>
  <c r="K41" i="53" s="1"/>
  <c r="J41" i="53" a="1"/>
  <c r="J41" i="53" s="1"/>
  <c r="K40" i="53" a="1"/>
  <c r="K40" i="53" s="1"/>
  <c r="J40" i="53" a="1"/>
  <c r="J40" i="53" s="1"/>
  <c r="K39" i="53" a="1"/>
  <c r="K39" i="53" s="1"/>
  <c r="J39" i="53" a="1"/>
  <c r="J39" i="53" s="1"/>
  <c r="K38" i="53" a="1"/>
  <c r="K38" i="53" s="1"/>
  <c r="J38" i="53" a="1"/>
  <c r="J38" i="53" s="1"/>
  <c r="K37" i="53" a="1"/>
  <c r="K37" i="53" s="1"/>
  <c r="J37" i="53" a="1"/>
  <c r="J37" i="53" s="1"/>
  <c r="K36" i="53" a="1"/>
  <c r="K36" i="53" s="1"/>
  <c r="J36" i="53" a="1"/>
  <c r="J36" i="53" s="1"/>
  <c r="K35" i="53" a="1"/>
  <c r="K35" i="53" s="1"/>
  <c r="J35" i="53" a="1"/>
  <c r="J35" i="53" s="1"/>
  <c r="K34" i="53" a="1"/>
  <c r="K34" i="53" s="1"/>
  <c r="J34" i="53" a="1"/>
  <c r="J34" i="53" s="1"/>
  <c r="K33" i="53" a="1"/>
  <c r="K33" i="53" s="1"/>
  <c r="J33" i="53" a="1"/>
  <c r="J33" i="53" s="1"/>
  <c r="K32" i="53" a="1"/>
  <c r="K32" i="53" s="1"/>
  <c r="J32" i="53" a="1"/>
  <c r="J32" i="53" s="1"/>
  <c r="K31" i="53" a="1"/>
  <c r="K31" i="53" s="1"/>
  <c r="J31" i="53" a="1"/>
  <c r="J31" i="53" s="1"/>
  <c r="K30" i="53" a="1"/>
  <c r="K30" i="53" s="1"/>
  <c r="J30" i="53" a="1"/>
  <c r="J30" i="53" s="1"/>
  <c r="K29" i="53" a="1"/>
  <c r="K29" i="53" s="1"/>
  <c r="J29" i="53" a="1"/>
  <c r="J29" i="53" s="1"/>
  <c r="K28" i="53" a="1"/>
  <c r="K28" i="53" s="1"/>
  <c r="J28" i="53" a="1"/>
  <c r="J28" i="53" s="1"/>
  <c r="K27" i="53" a="1"/>
  <c r="K27" i="53" s="1"/>
  <c r="J27" i="53" a="1"/>
  <c r="J27" i="53" s="1"/>
  <c r="K26" i="53" a="1"/>
  <c r="K26" i="53" s="1"/>
  <c r="J26" i="53" a="1"/>
  <c r="J26" i="53" s="1"/>
  <c r="K25" i="53" a="1"/>
  <c r="K25" i="53" s="1"/>
  <c r="J25" i="53" a="1"/>
  <c r="J25" i="53" s="1"/>
  <c r="K24" i="53" a="1"/>
  <c r="K24" i="53" s="1"/>
  <c r="J24" i="53" a="1"/>
  <c r="J24" i="53" s="1"/>
  <c r="K23" i="53" a="1"/>
  <c r="K23" i="53" s="1"/>
  <c r="J23" i="53" a="1"/>
  <c r="J23" i="53" s="1"/>
  <c r="K22" i="53" a="1"/>
  <c r="K22" i="53" s="1"/>
  <c r="J22" i="53" a="1"/>
  <c r="J22" i="53" s="1"/>
  <c r="K21" i="53" a="1"/>
  <c r="K21" i="53" s="1"/>
  <c r="J21" i="53" a="1"/>
  <c r="J21" i="53" s="1"/>
  <c r="K20" i="53" a="1"/>
  <c r="K20" i="53" s="1"/>
  <c r="J20" i="53" a="1"/>
  <c r="J20" i="53" s="1"/>
  <c r="K19" i="53" a="1"/>
  <c r="K19" i="53" s="1"/>
  <c r="J19" i="53" a="1"/>
  <c r="J19" i="53" s="1"/>
  <c r="K18" i="53" a="1"/>
  <c r="K18" i="53" s="1"/>
  <c r="J18" i="53" a="1"/>
  <c r="J18" i="53" s="1"/>
  <c r="K17" i="53" a="1"/>
  <c r="K17" i="53" s="1"/>
  <c r="J17" i="53" a="1"/>
  <c r="J17" i="53" s="1"/>
  <c r="K16" i="53" a="1"/>
  <c r="K16" i="53" s="1"/>
  <c r="J16" i="53" a="1"/>
  <c r="J16" i="53" s="1"/>
  <c r="K15" i="53" a="1"/>
  <c r="K15" i="53" s="1"/>
  <c r="J15" i="53" a="1"/>
  <c r="J15" i="53" s="1"/>
  <c r="K14" i="53" a="1"/>
  <c r="K14" i="53" s="1"/>
  <c r="J14" i="53" a="1"/>
  <c r="J14" i="53" s="1"/>
  <c r="K13" i="53" a="1"/>
  <c r="K13" i="53" s="1"/>
  <c r="J13" i="53" a="1"/>
  <c r="J13" i="53" s="1"/>
  <c r="K12" i="53" a="1"/>
  <c r="K12" i="53" s="1"/>
  <c r="J12" i="53" a="1"/>
  <c r="J12" i="53" s="1"/>
  <c r="K11" i="53" a="1"/>
  <c r="K11" i="53" s="1"/>
  <c r="J11" i="53" a="1"/>
  <c r="J11" i="53" s="1"/>
  <c r="K10" i="53" a="1"/>
  <c r="K10" i="53" s="1"/>
  <c r="J10" i="53" a="1"/>
  <c r="J10" i="53" s="1"/>
  <c r="K9" i="53" a="1"/>
  <c r="K9" i="53" s="1"/>
  <c r="J9" i="53" a="1"/>
  <c r="J9" i="53" s="1"/>
  <c r="K8" i="53" a="1"/>
  <c r="K8" i="53" s="1"/>
  <c r="J8" i="53" a="1"/>
  <c r="J8" i="53" s="1"/>
  <c r="K7" i="53" a="1"/>
  <c r="K7" i="53" s="1"/>
  <c r="J7" i="53" a="1"/>
  <c r="J7" i="53" s="1"/>
  <c r="K6" i="53" a="1"/>
  <c r="K6" i="53" s="1"/>
  <c r="J6" i="53" a="1"/>
  <c r="J6" i="53" s="1"/>
  <c r="K5" i="53" a="1"/>
  <c r="K5" i="53" s="1"/>
  <c r="J5" i="53" a="1"/>
  <c r="J5" i="53" s="1"/>
  <c r="K4" i="53" a="1"/>
  <c r="K4" i="53" s="1"/>
  <c r="J4" i="53" a="1"/>
  <c r="J4" i="53" s="1"/>
  <c r="K3" i="53" a="1"/>
  <c r="K3" i="53" s="1"/>
  <c r="J3" i="53" a="1"/>
  <c r="J3" i="53" s="1"/>
  <c r="H45" i="53" a="1"/>
  <c r="H45" i="53" s="1"/>
  <c r="G45" i="53" a="1"/>
  <c r="G45" i="53" s="1"/>
  <c r="H44" i="53" a="1"/>
  <c r="H44" i="53" s="1"/>
  <c r="G44" i="53" a="1"/>
  <c r="G44" i="53" s="1"/>
  <c r="H43" i="53" a="1"/>
  <c r="H43" i="53" s="1"/>
  <c r="G43" i="53" a="1"/>
  <c r="G43" i="53" s="1"/>
  <c r="H42" i="53" a="1"/>
  <c r="H42" i="53" s="1"/>
  <c r="G42" i="53" a="1"/>
  <c r="G42" i="53" s="1"/>
  <c r="H41" i="53" a="1"/>
  <c r="H41" i="53" s="1"/>
  <c r="G41" i="53" a="1"/>
  <c r="G41" i="53" s="1"/>
  <c r="H40" i="53" a="1"/>
  <c r="H40" i="53" s="1"/>
  <c r="G40" i="53" a="1"/>
  <c r="G40" i="53" s="1"/>
  <c r="H39" i="53" a="1"/>
  <c r="H39" i="53" s="1"/>
  <c r="G39" i="53" a="1"/>
  <c r="G39" i="53" s="1"/>
  <c r="H38" i="53" a="1"/>
  <c r="H38" i="53" s="1"/>
  <c r="G38" i="53" a="1"/>
  <c r="G38" i="53" s="1"/>
  <c r="H37" i="53" a="1"/>
  <c r="H37" i="53" s="1"/>
  <c r="G37" i="53" a="1"/>
  <c r="G37" i="53" s="1"/>
  <c r="H36" i="53" a="1"/>
  <c r="H36" i="53" s="1"/>
  <c r="G36" i="53" a="1"/>
  <c r="G36" i="53" s="1"/>
  <c r="H35" i="53" a="1"/>
  <c r="H35" i="53" s="1"/>
  <c r="G35" i="53" a="1"/>
  <c r="G35" i="53" s="1"/>
  <c r="H34" i="53" a="1"/>
  <c r="H34" i="53" s="1"/>
  <c r="G34" i="53" a="1"/>
  <c r="G34" i="53" s="1"/>
  <c r="H33" i="53" a="1"/>
  <c r="H33" i="53" s="1"/>
  <c r="G33" i="53" a="1"/>
  <c r="G33" i="53" s="1"/>
  <c r="H32" i="53" a="1"/>
  <c r="H32" i="53" s="1"/>
  <c r="G32" i="53" a="1"/>
  <c r="G32" i="53" s="1"/>
  <c r="H31" i="53" a="1"/>
  <c r="H31" i="53" s="1"/>
  <c r="G31" i="53" a="1"/>
  <c r="G31" i="53" s="1"/>
  <c r="H30" i="53" a="1"/>
  <c r="H30" i="53" s="1"/>
  <c r="G30" i="53" a="1"/>
  <c r="G30" i="53" s="1"/>
  <c r="H29" i="53" a="1"/>
  <c r="H29" i="53" s="1"/>
  <c r="G29" i="53" a="1"/>
  <c r="G29" i="53" s="1"/>
  <c r="H28" i="53" a="1"/>
  <c r="H28" i="53" s="1"/>
  <c r="G28" i="53" a="1"/>
  <c r="G28" i="53" s="1"/>
  <c r="H27" i="53" a="1"/>
  <c r="H27" i="53" s="1"/>
  <c r="G27" i="53" a="1"/>
  <c r="G27" i="53" s="1"/>
  <c r="H26" i="53" a="1"/>
  <c r="H26" i="53" s="1"/>
  <c r="G26" i="53" a="1"/>
  <c r="G26" i="53" s="1"/>
  <c r="H25" i="53" a="1"/>
  <c r="H25" i="53" s="1"/>
  <c r="G25" i="53" a="1"/>
  <c r="G25" i="53" s="1"/>
  <c r="H24" i="53" a="1"/>
  <c r="H24" i="53" s="1"/>
  <c r="G24" i="53" a="1"/>
  <c r="G24" i="53" s="1"/>
  <c r="H23" i="53" a="1"/>
  <c r="H23" i="53" s="1"/>
  <c r="G23" i="53" a="1"/>
  <c r="G23" i="53" s="1"/>
  <c r="H22" i="53" a="1"/>
  <c r="H22" i="53" s="1"/>
  <c r="G22" i="53" a="1"/>
  <c r="G22" i="53" s="1"/>
  <c r="H21" i="53" a="1"/>
  <c r="H21" i="53" s="1"/>
  <c r="G21" i="53" a="1"/>
  <c r="G21" i="53" s="1"/>
  <c r="H20" i="53" a="1"/>
  <c r="H20" i="53" s="1"/>
  <c r="G20" i="53" a="1"/>
  <c r="G20" i="53" s="1"/>
  <c r="H19" i="53" a="1"/>
  <c r="H19" i="53" s="1"/>
  <c r="G19" i="53" a="1"/>
  <c r="G19" i="53" s="1"/>
  <c r="H18" i="53" a="1"/>
  <c r="H18" i="53" s="1"/>
  <c r="G18" i="53" a="1"/>
  <c r="G18" i="53" s="1"/>
  <c r="H17" i="53" a="1"/>
  <c r="H17" i="53" s="1"/>
  <c r="G17" i="53" a="1"/>
  <c r="G17" i="53" s="1"/>
  <c r="H16" i="53" a="1"/>
  <c r="H16" i="53" s="1"/>
  <c r="G16" i="53" a="1"/>
  <c r="G16" i="53" s="1"/>
  <c r="H15" i="53" a="1"/>
  <c r="H15" i="53" s="1"/>
  <c r="G15" i="53" a="1"/>
  <c r="G15" i="53" s="1"/>
  <c r="H14" i="53" a="1"/>
  <c r="H14" i="53" s="1"/>
  <c r="G14" i="53" a="1"/>
  <c r="G14" i="53" s="1"/>
  <c r="H13" i="53" a="1"/>
  <c r="H13" i="53" s="1"/>
  <c r="G13" i="53" a="1"/>
  <c r="G13" i="53" s="1"/>
  <c r="H12" i="53" a="1"/>
  <c r="H12" i="53" s="1"/>
  <c r="G12" i="53" a="1"/>
  <c r="G12" i="53" s="1"/>
  <c r="H11" i="53" a="1"/>
  <c r="H11" i="53" s="1"/>
  <c r="G11" i="53" a="1"/>
  <c r="G11" i="53" s="1"/>
  <c r="H10" i="53" a="1"/>
  <c r="H10" i="53" s="1"/>
  <c r="G10" i="53" a="1"/>
  <c r="G10" i="53" s="1"/>
  <c r="H9" i="53" a="1"/>
  <c r="H9" i="53" s="1"/>
  <c r="G9" i="53" a="1"/>
  <c r="G9" i="53" s="1"/>
  <c r="H8" i="53" a="1"/>
  <c r="H8" i="53" s="1"/>
  <c r="G8" i="53" a="1"/>
  <c r="G8" i="53" s="1"/>
  <c r="H7" i="53" a="1"/>
  <c r="H7" i="53" s="1"/>
  <c r="G7" i="53" a="1"/>
  <c r="G7" i="53" s="1"/>
  <c r="H6" i="53" a="1"/>
  <c r="H6" i="53" s="1"/>
  <c r="G6" i="53" a="1"/>
  <c r="G6" i="53" s="1"/>
  <c r="H5" i="53" a="1"/>
  <c r="H5" i="53" s="1"/>
  <c r="G5" i="53" a="1"/>
  <c r="G5" i="53" s="1"/>
  <c r="H4" i="53" a="1"/>
  <c r="H4" i="53" s="1"/>
  <c r="G4" i="53" a="1"/>
  <c r="G4" i="53" s="1"/>
  <c r="H3" i="53" a="1"/>
  <c r="H3" i="53" s="1"/>
  <c r="G3" i="53" a="1"/>
  <c r="G3" i="53" s="1"/>
  <c r="E45" i="53" a="1"/>
  <c r="E45" i="53" s="1"/>
  <c r="D45" i="53" a="1"/>
  <c r="D45" i="53" s="1"/>
  <c r="E44" i="53" a="1"/>
  <c r="E44" i="53" s="1"/>
  <c r="D44" i="53" a="1"/>
  <c r="D44" i="53" s="1"/>
  <c r="E43" i="53" a="1"/>
  <c r="E43" i="53" s="1"/>
  <c r="D43" i="53" a="1"/>
  <c r="D43" i="53" s="1"/>
  <c r="E42" i="53" a="1"/>
  <c r="E42" i="53" s="1"/>
  <c r="D42" i="53" a="1"/>
  <c r="D42" i="53" s="1"/>
  <c r="E41" i="53" a="1"/>
  <c r="E41" i="53" s="1"/>
  <c r="D41" i="53" a="1"/>
  <c r="D41" i="53" s="1"/>
  <c r="E40" i="53" a="1"/>
  <c r="E40" i="53" s="1"/>
  <c r="D40" i="53" a="1"/>
  <c r="D40" i="53" s="1"/>
  <c r="E39" i="53" a="1"/>
  <c r="E39" i="53" s="1"/>
  <c r="D39" i="53" a="1"/>
  <c r="D39" i="53" s="1"/>
  <c r="E38" i="53" a="1"/>
  <c r="E38" i="53" s="1"/>
  <c r="D38" i="53" a="1"/>
  <c r="D38" i="53" s="1"/>
  <c r="E37" i="53" a="1"/>
  <c r="E37" i="53" s="1"/>
  <c r="D37" i="53" a="1"/>
  <c r="D37" i="53" s="1"/>
  <c r="E36" i="53" a="1"/>
  <c r="E36" i="53" s="1"/>
  <c r="D36" i="53" a="1"/>
  <c r="D36" i="53" s="1"/>
  <c r="E35" i="53" a="1"/>
  <c r="E35" i="53" s="1"/>
  <c r="D35" i="53" a="1"/>
  <c r="D35" i="53" s="1"/>
  <c r="E34" i="53" a="1"/>
  <c r="E34" i="53" s="1"/>
  <c r="D34" i="53" a="1"/>
  <c r="D34" i="53" s="1"/>
  <c r="E33" i="53" a="1"/>
  <c r="E33" i="53" s="1"/>
  <c r="D33" i="53" a="1"/>
  <c r="D33" i="53" s="1"/>
  <c r="E32" i="53" a="1"/>
  <c r="E32" i="53" s="1"/>
  <c r="D32" i="53" a="1"/>
  <c r="D32" i="53" s="1"/>
  <c r="E31" i="53" a="1"/>
  <c r="E31" i="53" s="1"/>
  <c r="D31" i="53" a="1"/>
  <c r="D31" i="53" s="1"/>
  <c r="E30" i="53" a="1"/>
  <c r="E30" i="53" s="1"/>
  <c r="D30" i="53" a="1"/>
  <c r="D30" i="53" s="1"/>
  <c r="E29" i="53" a="1"/>
  <c r="E29" i="53" s="1"/>
  <c r="D29" i="53" a="1"/>
  <c r="D29" i="53" s="1"/>
  <c r="E28" i="53" a="1"/>
  <c r="E28" i="53" s="1"/>
  <c r="D28" i="53" a="1"/>
  <c r="D28" i="53" s="1"/>
  <c r="E27" i="53" a="1"/>
  <c r="E27" i="53" s="1"/>
  <c r="D27" i="53" a="1"/>
  <c r="D27" i="53" s="1"/>
  <c r="E26" i="53" a="1"/>
  <c r="E26" i="53" s="1"/>
  <c r="D26" i="53" a="1"/>
  <c r="D26" i="53" s="1"/>
  <c r="E25" i="53" a="1"/>
  <c r="E25" i="53" s="1"/>
  <c r="D25" i="53" a="1"/>
  <c r="D25" i="53" s="1"/>
  <c r="E24" i="53" a="1"/>
  <c r="E24" i="53" s="1"/>
  <c r="D24" i="53" a="1"/>
  <c r="D24" i="53" s="1"/>
  <c r="E23" i="53" a="1"/>
  <c r="E23" i="53" s="1"/>
  <c r="D23" i="53" a="1"/>
  <c r="D23" i="53" s="1"/>
  <c r="E22" i="53" a="1"/>
  <c r="E22" i="53" s="1"/>
  <c r="D22" i="53" a="1"/>
  <c r="D22" i="53" s="1"/>
  <c r="E21" i="53" a="1"/>
  <c r="E21" i="53" s="1"/>
  <c r="D21" i="53" a="1"/>
  <c r="D21" i="53" s="1"/>
  <c r="E20" i="53" a="1"/>
  <c r="E20" i="53" s="1"/>
  <c r="D20" i="53" a="1"/>
  <c r="D20" i="53" s="1"/>
  <c r="E19" i="53" a="1"/>
  <c r="E19" i="53" s="1"/>
  <c r="D19" i="53" a="1"/>
  <c r="D19" i="53" s="1"/>
  <c r="E18" i="53" a="1"/>
  <c r="E18" i="53" s="1"/>
  <c r="D18" i="53" a="1"/>
  <c r="D18" i="53" s="1"/>
  <c r="E17" i="53" a="1"/>
  <c r="E17" i="53" s="1"/>
  <c r="D17" i="53" a="1"/>
  <c r="D17" i="53" s="1"/>
  <c r="E16" i="53" a="1"/>
  <c r="E16" i="53" s="1"/>
  <c r="D16" i="53" a="1"/>
  <c r="D16" i="53" s="1"/>
  <c r="E15" i="53" a="1"/>
  <c r="E15" i="53" s="1"/>
  <c r="D15" i="53" a="1"/>
  <c r="D15" i="53" s="1"/>
  <c r="E14" i="53" a="1"/>
  <c r="E14" i="53" s="1"/>
  <c r="D14" i="53" a="1"/>
  <c r="D14" i="53" s="1"/>
  <c r="E13" i="53" a="1"/>
  <c r="E13" i="53" s="1"/>
  <c r="D13" i="53" a="1"/>
  <c r="D13" i="53" s="1"/>
  <c r="E12" i="53" a="1"/>
  <c r="E12" i="53" s="1"/>
  <c r="D12" i="53" a="1"/>
  <c r="D12" i="53" s="1"/>
  <c r="E11" i="53" a="1"/>
  <c r="E11" i="53" s="1"/>
  <c r="D11" i="53" a="1"/>
  <c r="D11" i="53" s="1"/>
  <c r="E10" i="53" a="1"/>
  <c r="E10" i="53" s="1"/>
  <c r="D10" i="53" a="1"/>
  <c r="D10" i="53" s="1"/>
  <c r="E9" i="53" a="1"/>
  <c r="E9" i="53" s="1"/>
  <c r="D9" i="53" a="1"/>
  <c r="D9" i="53" s="1"/>
  <c r="E8" i="53" a="1"/>
  <c r="E8" i="53" s="1"/>
  <c r="D8" i="53" a="1"/>
  <c r="D8" i="53" s="1"/>
  <c r="E7" i="53" a="1"/>
  <c r="E7" i="53" s="1"/>
  <c r="D7" i="53" a="1"/>
  <c r="D7" i="53" s="1"/>
  <c r="E6" i="53" a="1"/>
  <c r="E6" i="53" s="1"/>
  <c r="D6" i="53" a="1"/>
  <c r="D6" i="53" s="1"/>
  <c r="E5" i="53" a="1"/>
  <c r="E5" i="53" s="1"/>
  <c r="D5" i="53" a="1"/>
  <c r="D5" i="53" s="1"/>
  <c r="E4" i="53" a="1"/>
  <c r="E4" i="53" s="1"/>
  <c r="D4" i="53" a="1"/>
  <c r="D4" i="53" s="1"/>
  <c r="E3" i="53" a="1"/>
  <c r="E3" i="53" s="1"/>
  <c r="D3" i="53" a="1"/>
  <c r="D3" i="53" s="1"/>
  <c r="B45" i="53" a="1"/>
  <c r="B45" i="53" s="1"/>
  <c r="A45" i="53" a="1"/>
  <c r="A45" i="53" s="1"/>
  <c r="B44" i="53" a="1"/>
  <c r="B44" i="53" s="1"/>
  <c r="A44" i="53" a="1"/>
  <c r="A44" i="53" s="1"/>
  <c r="B43" i="53" a="1"/>
  <c r="B43" i="53" s="1"/>
  <c r="A43" i="53" a="1"/>
  <c r="A43" i="53" s="1"/>
  <c r="B42" i="53" a="1"/>
  <c r="B42" i="53" s="1"/>
  <c r="A42" i="53" a="1"/>
  <c r="A42" i="53" s="1"/>
  <c r="B41" i="53" a="1"/>
  <c r="B41" i="53" s="1"/>
  <c r="A41" i="53" a="1"/>
  <c r="A41" i="53" s="1"/>
  <c r="B40" i="53" a="1"/>
  <c r="B40" i="53" s="1"/>
  <c r="A40" i="53" a="1"/>
  <c r="A40" i="53" s="1"/>
  <c r="B39" i="53" a="1"/>
  <c r="B39" i="53" s="1"/>
  <c r="A39" i="53" a="1"/>
  <c r="A39" i="53" s="1"/>
  <c r="B38" i="53" a="1"/>
  <c r="B38" i="53" s="1"/>
  <c r="A38" i="53" a="1"/>
  <c r="A38" i="53" s="1"/>
  <c r="B37" i="53" a="1"/>
  <c r="B37" i="53" s="1"/>
  <c r="A37" i="53" a="1"/>
  <c r="A37" i="53" s="1"/>
  <c r="B36" i="53" a="1"/>
  <c r="B36" i="53" s="1"/>
  <c r="A36" i="53" a="1"/>
  <c r="A36" i="53" s="1"/>
  <c r="B35" i="53" a="1"/>
  <c r="B35" i="53" s="1"/>
  <c r="A35" i="53" a="1"/>
  <c r="A35" i="53" s="1"/>
  <c r="B34" i="53" a="1"/>
  <c r="B34" i="53" s="1"/>
  <c r="A34" i="53" a="1"/>
  <c r="A34" i="53" s="1"/>
  <c r="B33" i="53" a="1"/>
  <c r="B33" i="53" s="1"/>
  <c r="A33" i="53" a="1"/>
  <c r="A33" i="53" s="1"/>
  <c r="B32" i="53" a="1"/>
  <c r="B32" i="53" s="1"/>
  <c r="A32" i="53" a="1"/>
  <c r="A32" i="53" s="1"/>
  <c r="B31" i="53" a="1"/>
  <c r="B31" i="53" s="1"/>
  <c r="A31" i="53" a="1"/>
  <c r="A31" i="53" s="1"/>
  <c r="B30" i="53" a="1"/>
  <c r="B30" i="53" s="1"/>
  <c r="A30" i="53" a="1"/>
  <c r="A30" i="53" s="1"/>
  <c r="B29" i="53" a="1"/>
  <c r="B29" i="53" s="1"/>
  <c r="A29" i="53" a="1"/>
  <c r="A29" i="53" s="1"/>
  <c r="B28" i="53" a="1"/>
  <c r="B28" i="53" s="1"/>
  <c r="A28" i="53" a="1"/>
  <c r="A28" i="53" s="1"/>
  <c r="B27" i="53" a="1"/>
  <c r="B27" i="53" s="1"/>
  <c r="A27" i="53" a="1"/>
  <c r="A27" i="53" s="1"/>
  <c r="B26" i="53" a="1"/>
  <c r="B26" i="53" s="1"/>
  <c r="A26" i="53" a="1"/>
  <c r="A26" i="53" s="1"/>
  <c r="B25" i="53" a="1"/>
  <c r="B25" i="53" s="1"/>
  <c r="A25" i="53" a="1"/>
  <c r="A25" i="53" s="1"/>
  <c r="B24" i="53" a="1"/>
  <c r="B24" i="53" s="1"/>
  <c r="A24" i="53" a="1"/>
  <c r="A24" i="53" s="1"/>
  <c r="B23" i="53" a="1"/>
  <c r="B23" i="53" s="1"/>
  <c r="A23" i="53" a="1"/>
  <c r="A23" i="53" s="1"/>
  <c r="B22" i="53" a="1"/>
  <c r="B22" i="53" s="1"/>
  <c r="A22" i="53" a="1"/>
  <c r="A22" i="53" s="1"/>
  <c r="B21" i="53" a="1"/>
  <c r="B21" i="53" s="1"/>
  <c r="A21" i="53" a="1"/>
  <c r="A21" i="53" s="1"/>
  <c r="B20" i="53" a="1"/>
  <c r="B20" i="53" s="1"/>
  <c r="A20" i="53" a="1"/>
  <c r="A20" i="53" s="1"/>
  <c r="B19" i="53" a="1"/>
  <c r="B19" i="53" s="1"/>
  <c r="A19" i="53" a="1"/>
  <c r="A19" i="53" s="1"/>
  <c r="B18" i="53" a="1"/>
  <c r="B18" i="53" s="1"/>
  <c r="A18" i="53" a="1"/>
  <c r="A18" i="53" s="1"/>
  <c r="B17" i="53" a="1"/>
  <c r="B17" i="53" s="1"/>
  <c r="A17" i="53" a="1"/>
  <c r="A17" i="53" s="1"/>
  <c r="B16" i="53" a="1"/>
  <c r="B16" i="53" s="1"/>
  <c r="A16" i="53" a="1"/>
  <c r="A16" i="53" s="1"/>
  <c r="B15" i="53" a="1"/>
  <c r="B15" i="53" s="1"/>
  <c r="A15" i="53" a="1"/>
  <c r="A15" i="53" s="1"/>
  <c r="B14" i="53" a="1"/>
  <c r="B14" i="53" s="1"/>
  <c r="A14" i="53" a="1"/>
  <c r="A14" i="53" s="1"/>
  <c r="B13" i="53" a="1"/>
  <c r="B13" i="53" s="1"/>
  <c r="A13" i="53" a="1"/>
  <c r="A13" i="53" s="1"/>
  <c r="B12" i="53" a="1"/>
  <c r="B12" i="53" s="1"/>
  <c r="A12" i="53" a="1"/>
  <c r="A12" i="53" s="1"/>
  <c r="B11" i="53" a="1"/>
  <c r="B11" i="53" s="1"/>
  <c r="A11" i="53" a="1"/>
  <c r="A11" i="53" s="1"/>
  <c r="B10" i="53" a="1"/>
  <c r="B10" i="53" s="1"/>
  <c r="A10" i="53" a="1"/>
  <c r="A10" i="53" s="1"/>
  <c r="B9" i="53" a="1"/>
  <c r="B9" i="53" s="1"/>
  <c r="A9" i="53" a="1"/>
  <c r="A9" i="53" s="1"/>
  <c r="B8" i="53" a="1"/>
  <c r="B8" i="53" s="1"/>
  <c r="A8" i="53" a="1"/>
  <c r="A8" i="53" s="1"/>
  <c r="B7" i="53" a="1"/>
  <c r="B7" i="53" s="1"/>
  <c r="A7" i="53" a="1"/>
  <c r="A7" i="53" s="1"/>
  <c r="B6" i="53" a="1"/>
  <c r="B6" i="53" s="1"/>
  <c r="A6" i="53" a="1"/>
  <c r="A6" i="53" s="1"/>
  <c r="B5" i="53" a="1"/>
  <c r="B5" i="53" s="1"/>
  <c r="A5" i="53" a="1"/>
  <c r="A5" i="53" s="1"/>
  <c r="B4" i="53" a="1"/>
  <c r="B4" i="53" s="1"/>
  <c r="A4" i="53" a="1"/>
  <c r="A4" i="53" s="1"/>
  <c r="B3" i="53" a="1"/>
  <c r="B3" i="53" s="1"/>
  <c r="A3" i="53" a="1"/>
  <c r="A3" i="53" s="1"/>
  <c r="E41" i="1"/>
  <c r="R19" i="1"/>
  <c r="T17" i="1"/>
  <c r="T16" i="1"/>
  <c r="D20" i="16"/>
  <c r="D18" i="16"/>
  <c r="J69" i="1"/>
  <c r="N4" i="54" l="1"/>
  <c r="O5" i="54"/>
  <c r="G16" i="54" s="1"/>
  <c r="M5" i="54"/>
  <c r="N5" i="54"/>
  <c r="K3" i="54"/>
  <c r="H6" i="54"/>
  <c r="K6" i="54" s="1"/>
  <c r="I3" i="54"/>
  <c r="C17" i="54"/>
  <c r="S7" i="54" s="1"/>
  <c r="E14" i="54"/>
  <c r="F41" i="1"/>
  <c r="Q41" i="1"/>
  <c r="T19" i="1"/>
  <c r="S19" i="1" s="1"/>
  <c r="E17" i="54" l="1"/>
  <c r="S8" i="54" s="1"/>
  <c r="F14" i="54"/>
  <c r="F17" i="54" s="1"/>
  <c r="S9" i="54" s="1"/>
  <c r="L3" i="54"/>
  <c r="O3" i="54"/>
  <c r="G14" i="54" s="1"/>
  <c r="G17" i="54" s="1"/>
  <c r="I6" i="54"/>
  <c r="N3" i="54"/>
  <c r="M3" i="54"/>
  <c r="E20" i="10"/>
  <c r="F69" i="1"/>
  <c r="N6" i="54" l="1"/>
  <c r="M6" i="54"/>
  <c r="L6" i="54"/>
  <c r="O6" i="54"/>
  <c r="S13" i="54"/>
  <c r="S12" i="54"/>
  <c r="S11" i="54"/>
  <c r="J67" i="1"/>
  <c r="H54" i="1" s="1"/>
  <c r="B20" i="1"/>
  <c r="B38" i="1" s="1"/>
  <c r="B51" i="1" l="1"/>
  <c r="B49" i="1"/>
  <c r="B50" i="1"/>
  <c r="B47" i="1"/>
  <c r="B48" i="1"/>
  <c r="B45" i="1"/>
  <c r="B46" i="1"/>
  <c r="B43" i="1"/>
  <c r="D43" i="1" s="1"/>
  <c r="B44" i="1"/>
  <c r="B41" i="1"/>
  <c r="B42" i="1"/>
  <c r="B21" i="1"/>
  <c r="B35" i="1"/>
  <c r="H35" i="1" s="1"/>
  <c r="B36" i="1"/>
  <c r="H36" i="1" s="1"/>
  <c r="B37" i="1"/>
  <c r="H37" i="1" s="1"/>
  <c r="H38" i="1"/>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J4" i="37"/>
  <c r="O4" i="37"/>
  <c r="F16" i="15"/>
  <c r="F7" i="15"/>
  <c r="M4" i="37" a="1"/>
  <c r="M4" i="37" s="1"/>
  <c r="E26" i="35"/>
  <c r="E25" i="35"/>
  <c r="E23" i="35"/>
  <c r="E22" i="35"/>
  <c r="E34" i="20"/>
  <c r="E33" i="20"/>
  <c r="E32" i="20"/>
  <c r="E31" i="20"/>
  <c r="D19" i="16"/>
  <c r="E30" i="20"/>
  <c r="D17" i="16"/>
  <c r="D16" i="16"/>
  <c r="E29" i="20"/>
  <c r="E28" i="20"/>
  <c r="E27" i="20"/>
  <c r="E26" i="20"/>
  <c r="E20" i="22"/>
  <c r="F20" i="22" s="1"/>
  <c r="E19" i="22"/>
  <c r="F19" i="22" s="1"/>
  <c r="E18" i="22"/>
  <c r="F18" i="22" s="1"/>
  <c r="E17" i="22"/>
  <c r="F17" i="22" s="1"/>
  <c r="E16" i="22"/>
  <c r="F16" i="22" s="1"/>
  <c r="E15" i="22"/>
  <c r="F15" i="22" s="1"/>
  <c r="E14" i="22"/>
  <c r="F14" i="22" s="1"/>
  <c r="E13" i="22"/>
  <c r="F13" i="22" s="1"/>
  <c r="E12" i="22"/>
  <c r="F12" i="22" s="1"/>
  <c r="E11" i="22"/>
  <c r="F11" i="22" s="1"/>
  <c r="E10" i="22"/>
  <c r="F10" i="22" s="1"/>
  <c r="E9" i="22"/>
  <c r="G7" i="4"/>
  <c r="H7" i="4" s="1"/>
  <c r="G6" i="4"/>
  <c r="H6" i="4" s="1"/>
  <c r="A4" i="37"/>
  <c r="N2" i="52"/>
  <c r="D15" i="16"/>
  <c r="D14" i="16"/>
  <c r="D13" i="16"/>
  <c r="D12" i="16"/>
  <c r="D11" i="16"/>
  <c r="D10" i="16"/>
  <c r="D9" i="16"/>
  <c r="D8" i="16"/>
  <c r="D7" i="16"/>
  <c r="D6" i="16"/>
  <c r="D5" i="16"/>
  <c r="D4" i="16"/>
  <c r="F15" i="13"/>
  <c r="F14" i="13"/>
  <c r="F13" i="13"/>
  <c r="F12" i="13"/>
  <c r="F11" i="13"/>
  <c r="F10" i="13"/>
  <c r="F9" i="13"/>
  <c r="F8" i="13"/>
  <c r="F7" i="13"/>
  <c r="F6" i="13"/>
  <c r="C5" i="13"/>
  <c r="C17" i="13" s="1"/>
  <c r="F4" i="13"/>
  <c r="E24" i="35"/>
  <c r="E21" i="35"/>
  <c r="E20" i="35"/>
  <c r="E19" i="35"/>
  <c r="E18" i="35"/>
  <c r="E17" i="35"/>
  <c r="E16" i="35"/>
  <c r="E15" i="35"/>
  <c r="E14" i="35"/>
  <c r="E13" i="35"/>
  <c r="E12" i="35"/>
  <c r="E11" i="35"/>
  <c r="E10" i="35"/>
  <c r="E9" i="35"/>
  <c r="E8" i="35"/>
  <c r="E7" i="35"/>
  <c r="E6" i="35"/>
  <c r="E5" i="35"/>
  <c r="E4" i="35"/>
  <c r="E12" i="18"/>
  <c r="E11" i="18"/>
  <c r="E10" i="18"/>
  <c r="E9" i="18"/>
  <c r="E8" i="18"/>
  <c r="E7" i="18"/>
  <c r="E6" i="18"/>
  <c r="E5" i="18"/>
  <c r="E4" i="18"/>
  <c r="J10" i="3"/>
  <c r="F6" i="3"/>
  <c r="F5" i="3"/>
  <c r="F4" i="3"/>
  <c r="E4" i="3"/>
  <c r="B3" i="3"/>
  <c r="B6"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E41" i="6"/>
  <c r="F41" i="6" s="1"/>
  <c r="E40" i="6"/>
  <c r="F40" i="6" s="1"/>
  <c r="E39" i="6"/>
  <c r="F39" i="6" s="1"/>
  <c r="E38" i="6"/>
  <c r="F38" i="6" s="1"/>
  <c r="E37" i="6"/>
  <c r="F37" i="6" s="1"/>
  <c r="E36" i="6"/>
  <c r="F36" i="6" s="1"/>
  <c r="E30" i="6"/>
  <c r="F30" i="6" s="1"/>
  <c r="E29" i="6"/>
  <c r="E28" i="6"/>
  <c r="F28" i="6" s="1"/>
  <c r="E27" i="6"/>
  <c r="F27" i="6" s="1"/>
  <c r="E26" i="6"/>
  <c r="F26"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F5" i="6" s="1"/>
  <c r="E4" i="6"/>
  <c r="F48" i="20"/>
  <c r="E25" i="20"/>
  <c r="E24" i="20"/>
  <c r="E23" i="20"/>
  <c r="E22" i="20"/>
  <c r="E21" i="20"/>
  <c r="E20" i="20"/>
  <c r="E19" i="20"/>
  <c r="E18" i="20"/>
  <c r="E17" i="20"/>
  <c r="E16" i="20"/>
  <c r="E15" i="20"/>
  <c r="E14" i="20"/>
  <c r="E13" i="20"/>
  <c r="E12" i="20"/>
  <c r="E11" i="20"/>
  <c r="E10" i="20"/>
  <c r="E9" i="20"/>
  <c r="E8" i="20"/>
  <c r="E7" i="20"/>
  <c r="E6" i="20"/>
  <c r="E5" i="20"/>
  <c r="E4" i="20"/>
  <c r="E21" i="22"/>
  <c r="F21" i="22" s="1"/>
  <c r="F8" i="22"/>
  <c r="E7" i="22"/>
  <c r="F7" i="22" s="1"/>
  <c r="E6" i="22"/>
  <c r="F6" i="22" s="1"/>
  <c r="E5" i="22"/>
  <c r="F5" i="22" s="1"/>
  <c r="E4" i="22"/>
  <c r="F4" i="22" s="1"/>
  <c r="E19" i="15"/>
  <c r="F19" i="15" s="1"/>
  <c r="E18" i="15"/>
  <c r="F18" i="15" s="1"/>
  <c r="E17" i="15"/>
  <c r="F17" i="15" s="1"/>
  <c r="E15" i="15"/>
  <c r="F15" i="15" s="1"/>
  <c r="E14" i="15"/>
  <c r="F14" i="15" s="1"/>
  <c r="E13" i="15"/>
  <c r="F13" i="15" s="1"/>
  <c r="E12" i="15"/>
  <c r="F12" i="15" s="1"/>
  <c r="E11" i="15"/>
  <c r="F11" i="15" s="1"/>
  <c r="F9" i="15"/>
  <c r="E6" i="15"/>
  <c r="F6" i="15" s="1"/>
  <c r="E5" i="15"/>
  <c r="F5" i="15" s="1"/>
  <c r="E4" i="15"/>
  <c r="F4" i="15" s="1"/>
  <c r="F14" i="21"/>
  <c r="F13" i="21"/>
  <c r="F12" i="21"/>
  <c r="F11" i="21"/>
  <c r="F10" i="21"/>
  <c r="E9" i="21"/>
  <c r="F9" i="21" s="1"/>
  <c r="F8" i="21"/>
  <c r="F7" i="21"/>
  <c r="E6" i="21"/>
  <c r="F6" i="21" s="1"/>
  <c r="F5" i="21"/>
  <c r="F4" i="21"/>
  <c r="E61" i="50"/>
  <c r="E60" i="50"/>
  <c r="F60" i="50" s="1"/>
  <c r="E59" i="50"/>
  <c r="F59" i="50" s="1"/>
  <c r="E58" i="50"/>
  <c r="F58" i="50" s="1"/>
  <c r="E57" i="50"/>
  <c r="F57" i="50" s="1"/>
  <c r="E56" i="50"/>
  <c r="F56" i="50" s="1"/>
  <c r="E55" i="50"/>
  <c r="F55" i="50" s="1"/>
  <c r="E54" i="50"/>
  <c r="F54" i="50" s="1"/>
  <c r="E53" i="50"/>
  <c r="F53" i="50" s="1"/>
  <c r="E52" i="50"/>
  <c r="F52" i="50" s="1"/>
  <c r="E51" i="50"/>
  <c r="F51" i="50" s="1"/>
  <c r="E50" i="50"/>
  <c r="F50" i="50" s="1"/>
  <c r="E49" i="50"/>
  <c r="F49" i="50" s="1"/>
  <c r="E48" i="50"/>
  <c r="F48" i="50" s="1"/>
  <c r="E47" i="50"/>
  <c r="F47" i="50" s="1"/>
  <c r="E46" i="50"/>
  <c r="F46" i="50" s="1"/>
  <c r="E45" i="50"/>
  <c r="F45" i="50" s="1"/>
  <c r="E44" i="50"/>
  <c r="F44" i="50" s="1"/>
  <c r="E43" i="50"/>
  <c r="F43" i="50" s="1"/>
  <c r="E42" i="50"/>
  <c r="F42" i="50" s="1"/>
  <c r="E41" i="50"/>
  <c r="F41" i="50" s="1"/>
  <c r="E40" i="50"/>
  <c r="F40" i="50" s="1"/>
  <c r="E39" i="50"/>
  <c r="F39" i="50" s="1"/>
  <c r="E38" i="50"/>
  <c r="F38" i="50" s="1"/>
  <c r="E37" i="50"/>
  <c r="F37" i="50" s="1"/>
  <c r="E36" i="50"/>
  <c r="F36" i="50" s="1"/>
  <c r="E35" i="50"/>
  <c r="F35" i="50" s="1"/>
  <c r="E34" i="50"/>
  <c r="F34" i="50" s="1"/>
  <c r="E33" i="50"/>
  <c r="F33" i="50" s="1"/>
  <c r="E32" i="50"/>
  <c r="F32" i="50" s="1"/>
  <c r="E31" i="50"/>
  <c r="F31" i="50" s="1"/>
  <c r="E30" i="50"/>
  <c r="F30" i="50" s="1"/>
  <c r="E29" i="50"/>
  <c r="F29" i="50" s="1"/>
  <c r="E28" i="50"/>
  <c r="F28" i="50" s="1"/>
  <c r="E27" i="50"/>
  <c r="F27" i="50" s="1"/>
  <c r="E26" i="50"/>
  <c r="F26" i="50" s="1"/>
  <c r="E25" i="50"/>
  <c r="F25" i="50" s="1"/>
  <c r="E24" i="50"/>
  <c r="F24" i="50" s="1"/>
  <c r="E23" i="50"/>
  <c r="F23" i="50" s="1"/>
  <c r="E22" i="50"/>
  <c r="F22" i="50" s="1"/>
  <c r="E21" i="50"/>
  <c r="F21" i="50" s="1"/>
  <c r="E20" i="50"/>
  <c r="F20" i="50" s="1"/>
  <c r="E19" i="50"/>
  <c r="F19" i="50" s="1"/>
  <c r="E18" i="50"/>
  <c r="F18" i="50" s="1"/>
  <c r="E17" i="50"/>
  <c r="F17" i="50" s="1"/>
  <c r="E16" i="50"/>
  <c r="F16" i="50" s="1"/>
  <c r="E15" i="50"/>
  <c r="F15" i="50" s="1"/>
  <c r="E14" i="50"/>
  <c r="F14" i="50" s="1"/>
  <c r="E13" i="50"/>
  <c r="F13" i="50" s="1"/>
  <c r="E12" i="50"/>
  <c r="F12" i="50" s="1"/>
  <c r="E11" i="50"/>
  <c r="F11" i="50" s="1"/>
  <c r="E10" i="50"/>
  <c r="F10" i="50" s="1"/>
  <c r="E9" i="50"/>
  <c r="F9" i="50" s="1"/>
  <c r="E8" i="50"/>
  <c r="F8" i="50" s="1"/>
  <c r="E7" i="50"/>
  <c r="F7" i="50" s="1"/>
  <c r="E6" i="50"/>
  <c r="F6" i="50" s="1"/>
  <c r="E5" i="50"/>
  <c r="F5" i="50" s="1"/>
  <c r="E4" i="50"/>
  <c r="F4" i="50" s="1"/>
  <c r="E3" i="50"/>
  <c r="F3" i="50" s="1"/>
  <c r="C6" i="9"/>
  <c r="E11" i="9" s="1"/>
  <c r="E19" i="48"/>
  <c r="E28" i="37"/>
  <c r="N27" i="37"/>
  <c r="H27" i="37"/>
  <c r="N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G22" i="37"/>
  <c r="H22" i="37" s="1"/>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G20" i="37"/>
  <c r="H20" i="37" s="1"/>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G19" i="37"/>
  <c r="H19" i="37" s="1"/>
  <c r="A19" i="37"/>
  <c r="A18"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A15" i="37"/>
  <c r="A14" i="37"/>
  <c r="N13" i="37"/>
  <c r="A13" i="37"/>
  <c r="N12" i="37"/>
  <c r="A12" i="37"/>
  <c r="A11" i="37"/>
  <c r="B10" i="37"/>
  <c r="B11" i="37" s="1"/>
  <c r="B12" i="37" s="1"/>
  <c r="B13" i="37" s="1"/>
  <c r="B14" i="37" s="1"/>
  <c r="B15" i="37" s="1"/>
  <c r="B16" i="37" s="1"/>
  <c r="B17" i="37" s="1"/>
  <c r="B18" i="37" s="1"/>
  <c r="B19" i="37" s="1"/>
  <c r="B20" i="37" s="1"/>
  <c r="B21" i="37" s="1"/>
  <c r="B22" i="37" s="1"/>
  <c r="B24" i="37" s="1"/>
  <c r="B25" i="37" s="1"/>
  <c r="B26" i="37" s="1"/>
  <c r="B27" i="37" s="1"/>
  <c r="A10" i="37"/>
  <c r="N9" i="37"/>
  <c r="G9" i="37"/>
  <c r="H9" i="37" s="1"/>
  <c r="B9" i="37"/>
  <c r="A9" i="37"/>
  <c r="A8" i="37"/>
  <c r="AO7" i="37"/>
  <c r="E6" i="37"/>
  <c r="H4" i="37"/>
  <c r="B4" i="37"/>
  <c r="F2" i="37"/>
  <c r="P29" i="37" s="1"/>
  <c r="P39" i="37" s="1"/>
  <c r="C2" i="37"/>
  <c r="B2" i="36"/>
  <c r="I74" i="33"/>
  <c r="A57" i="33"/>
  <c r="I61" i="33" s="1"/>
  <c r="I52" i="33"/>
  <c r="C38" i="33"/>
  <c r="B37" i="33"/>
  <c r="I31" i="33"/>
  <c r="B24" i="33"/>
  <c r="F14" i="33" s="1"/>
  <c r="H19" i="33"/>
  <c r="H25" i="33" s="1"/>
  <c r="H32" i="33" s="1"/>
  <c r="H41" i="33" s="1"/>
  <c r="I16" i="33"/>
  <c r="C14" i="33"/>
  <c r="I1" i="33"/>
  <c r="D94" i="1"/>
  <c r="D83" i="1"/>
  <c r="F48" i="1"/>
  <c r="D19" i="1"/>
  <c r="D18" i="1"/>
  <c r="C16" i="1"/>
  <c r="K44" i="1" s="1"/>
  <c r="H15" i="1"/>
  <c r="F15" i="1"/>
  <c r="H14" i="1"/>
  <c r="F14" i="1"/>
  <c r="F13" i="1"/>
  <c r="D12" i="1"/>
  <c r="I8" i="1"/>
  <c r="H7" i="1"/>
  <c r="G7" i="1"/>
  <c r="F7" i="1"/>
  <c r="D7" i="1"/>
  <c r="E9" i="1" s="1"/>
  <c r="B6" i="1"/>
  <c r="G6" i="1" s="1"/>
  <c r="C44" i="1" l="1"/>
  <c r="F44" i="1" s="1"/>
  <c r="F50" i="1"/>
  <c r="D49" i="1"/>
  <c r="B52" i="1"/>
  <c r="D7" i="9"/>
  <c r="F5" i="13"/>
  <c r="G17" i="13" s="1"/>
  <c r="G18" i="37" s="1"/>
  <c r="H18" i="37" s="1"/>
  <c r="N18" i="37" s="1"/>
  <c r="F16" i="1"/>
  <c r="K47" i="1"/>
  <c r="G8" i="15"/>
  <c r="F4" i="6"/>
  <c r="G23" i="6" s="1"/>
  <c r="G20" i="15"/>
  <c r="G10" i="37" s="1"/>
  <c r="H10" i="37" s="1"/>
  <c r="N10" i="37" s="1"/>
  <c r="G42" i="6"/>
  <c r="F28" i="35"/>
  <c r="G16" i="37" s="1"/>
  <c r="H16" i="37" s="1"/>
  <c r="N16" i="37" s="1"/>
  <c r="G10" i="3"/>
  <c r="G15" i="37" s="1"/>
  <c r="H15" i="37" s="1"/>
  <c r="F13" i="18"/>
  <c r="G26" i="37" s="1"/>
  <c r="H26" i="37" s="1"/>
  <c r="J3" i="37" s="1"/>
  <c r="M3" i="37" s="1"/>
  <c r="H20" i="16"/>
  <c r="G17" i="37" s="1"/>
  <c r="H17" i="37" s="1"/>
  <c r="N17" i="37" s="1"/>
  <c r="B23" i="1"/>
  <c r="H23" i="1" s="1"/>
  <c r="B4" i="3"/>
  <c r="F9" i="1"/>
  <c r="F45" i="1" s="1"/>
  <c r="H9" i="1"/>
  <c r="C37" i="33"/>
  <c r="F24" i="33"/>
  <c r="I26" i="33" s="1"/>
  <c r="B5" i="3"/>
  <c r="F34" i="20"/>
  <c r="G53" i="20" s="1"/>
  <c r="G17" i="21"/>
  <c r="G8" i="37" s="1"/>
  <c r="H8" i="37" s="1"/>
  <c r="N8" i="37" s="1"/>
  <c r="F29" i="6"/>
  <c r="G32" i="6" s="1"/>
  <c r="H44" i="6" s="1"/>
  <c r="G13" i="37" s="1"/>
  <c r="H13" i="37" s="1"/>
  <c r="F9" i="22"/>
  <c r="G22" i="22" s="1"/>
  <c r="G11" i="37" s="1"/>
  <c r="H11" i="37" s="1"/>
  <c r="N11" i="37" s="1"/>
  <c r="G62" i="50"/>
  <c r="B28" i="4"/>
  <c r="G16" i="4"/>
  <c r="H16" i="4" s="1"/>
  <c r="B29" i="4"/>
  <c r="B17" i="4"/>
  <c r="G24" i="4"/>
  <c r="H24" i="4" s="1"/>
  <c r="H5" i="4"/>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B22" i="1" l="1"/>
  <c r="H22" i="1" s="1"/>
  <c r="O3" i="37"/>
  <c r="F46" i="1"/>
  <c r="F52" i="1" s="1"/>
  <c r="D14" i="33"/>
  <c r="B14" i="33" s="1"/>
  <c r="I20" i="33" s="1"/>
  <c r="D37" i="33"/>
  <c r="F37" i="33" s="1"/>
  <c r="I33" i="3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F51" i="1" l="1"/>
  <c r="J2" i="37"/>
  <c r="J5" i="37" s="1"/>
  <c r="B60" i="1" s="1"/>
  <c r="D60"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H21" i="1" l="1"/>
  <c r="B62" i="1"/>
  <c r="D62" i="1" s="1"/>
  <c r="D63"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D42" i="1" l="1"/>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T95" i="37" l="1"/>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U92" i="37" l="1"/>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V94" i="37" l="1"/>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W94" i="37" l="1"/>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X91" i="37" l="1"/>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Y96" i="37" l="1"/>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Z93" i="37" l="1"/>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AA90" i="37" l="1"/>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AB95" i="37" l="1"/>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AC92" i="37" l="1"/>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AD94" i="37" l="1"/>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AE94" i="37" l="1"/>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AF91" i="37" l="1"/>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AG96" i="37" l="1"/>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AH93" i="37" l="1"/>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AI90" i="37" l="1"/>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AJ95" i="37" l="1"/>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AK92" i="37" l="1"/>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AL94" i="37" l="1"/>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AM94" i="37" l="1"/>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AN91" i="37" l="1"/>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AO96" i="37" l="1"/>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AP93" i="37" l="1"/>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AQ90" i="37" l="1"/>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AR95" i="37" l="1"/>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AS92" i="37" l="1"/>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AT94" i="37" l="1"/>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AU94" i="37" l="1"/>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AV91" i="37" l="1"/>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AW96" i="37" l="1"/>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AX93" i="37" l="1"/>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AY90" i="37" l="1"/>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AZ95" i="37" l="1"/>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BA92" i="37" l="1"/>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BB94" i="37" l="1"/>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BC94" i="37" l="1"/>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BD91" i="37" l="1"/>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 r="B24" i="1" l="1"/>
  <c r="H24" i="1" l="1"/>
  <c r="B39" i="1"/>
  <c r="K41" i="1" l="1"/>
  <c r="D39" i="1"/>
  <c r="H51" i="1"/>
  <c r="E51" i="1"/>
  <c r="I54" i="1" l="1"/>
  <c r="K49" i="1"/>
  <c r="E52" i="1"/>
  <c r="G53" i="1" s="1"/>
  <c r="G14" i="33"/>
  <c r="E17" i="33" s="1"/>
  <c r="I55" i="1" l="1"/>
  <c r="J55" i="1" s="1"/>
  <c r="J56" i="1" s="1"/>
  <c r="J57" i="1" s="1"/>
  <c r="E25" i="33"/>
  <c r="E52" i="33"/>
  <c r="E39" i="33"/>
  <c r="E15" i="33"/>
  <c r="E16" i="33" s="1"/>
  <c r="K55" i="1" l="1"/>
  <c r="K56" i="1" s="1"/>
  <c r="K57" i="1" s="1"/>
  <c r="G24" i="33" l="1"/>
  <c r="E27" i="33" s="1"/>
  <c r="C50" i="33"/>
  <c r="E50" i="33" s="1"/>
  <c r="F50" i="33" s="1"/>
  <c r="I42" i="33" s="1"/>
  <c r="K1" i="33" s="1"/>
  <c r="G37" i="33"/>
  <c r="E41" i="33" s="1"/>
  <c r="D57" i="1"/>
  <c r="E26" i="33" l="1"/>
  <c r="G50" i="33"/>
  <c r="E54" i="33" s="1"/>
  <c r="E40" i="33"/>
  <c r="E53" i="3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<sst xmlns="http://schemas.openxmlformats.org/spreadsheetml/2006/main" count="2679" uniqueCount="962">
  <si>
    <t>Flip, Hold or Wholetale:</t>
  </si>
  <si>
    <t>Buy</t>
  </si>
  <si>
    <t>Your Home LLC</t>
  </si>
  <si>
    <t>1426 Pleasant Garden Ln, Raleigh, NC 27604</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</si>
  <si>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</si>
  <si>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</si>
  <si>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</si>
  <si>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</si>
  <si>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</si>
  <si>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</si>
  <si>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</si>
  <si>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</si>
  <si>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</si>
  <si>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</si>
  <si>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</si>
  <si>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</si>
  <si>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</si>
  <si>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</si>
  <si>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</si>
  <si>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</si>
  <si>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</si>
  <si>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</si>
  <si>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</si>
  <si>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</si>
  <si>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</si>
  <si>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</si>
  <si>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</si>
  <si>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</si>
  <si>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</si>
  <si>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</si>
  <si>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</si>
  <si>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</si>
  <si>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</si>
  <si>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</si>
  <si>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</si>
  <si>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</si>
  <si>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</si>
  <si>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</si>
  <si>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HOA Fees (monthly)</t>
  </si>
  <si>
    <t>Electric</t>
  </si>
  <si>
    <t>water</t>
  </si>
  <si>
    <t>Carrying Cost</t>
  </si>
  <si>
    <t>Purchase  Cost</t>
  </si>
  <si>
    <t>Private Lender  Rate:</t>
  </si>
  <si>
    <t>yes</t>
  </si>
  <si>
    <t>Out of Pocket</t>
  </si>
  <si>
    <t>PL Balance +Interest</t>
  </si>
  <si>
    <t>Net Expenses:</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</si>
  <si>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</si>
  <si>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</si>
  <si>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</si>
  <si>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</si>
  <si>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</si>
  <si>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</si>
  <si>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</si>
  <si>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</si>
  <si>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</si>
  <si>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</si>
  <si>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</si>
  <si>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</si>
  <si>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</si>
  <si>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</si>
  <si>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</si>
  <si>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</si>
  <si>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</si>
  <si>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</si>
  <si>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</si>
  <si>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</si>
  <si>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</si>
  <si>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</si>
  <si>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</si>
  <si>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</si>
  <si>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</si>
  <si>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</si>
  <si>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</si>
  <si>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</si>
  <si>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</si>
  <si>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</si>
  <si>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</si>
  <si>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</si>
  <si>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</si>
  <si>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</si>
  <si>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</si>
  <si>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</si>
  <si>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</si>
  <si>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</si>
  <si>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</si>
  <si>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</si>
  <si>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</si>
  <si>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</si>
  <si>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</si>
  <si>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</si>
  <si>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</si>
  <si>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</si>
  <si>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</si>
  <si>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</si>
  <si>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</si>
  <si>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</si>
  <si>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</si>
  <si>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</si>
  <si>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</si>
  <si>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</si>
  <si>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</si>
  <si>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</si>
  <si>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</si>
  <si>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</si>
  <si>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</si>
  <si>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</si>
  <si>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</si>
  <si>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</si>
  <si>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</si>
  <si>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</si>
  <si>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</si>
  <si>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</si>
  <si>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</si>
  <si>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</si>
  <si>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</si>
  <si>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</si>
  <si>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</si>
  <si>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</si>
  <si>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</si>
  <si>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</si>
  <si>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</si>
  <si>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</si>
  <si>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</si>
  <si>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</si>
  <si>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</si>
  <si>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</si>
  <si>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</si>
  <si>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</si>
  <si>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</si>
  <si>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</si>
  <si>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</si>
  <si>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</si>
  <si>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</si>
  <si>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</si>
  <si>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</si>
  <si>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</si>
  <si>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</si>
  <si>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</si>
  <si>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</si>
  <si>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</si>
  <si>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</si>
  <si>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</si>
  <si>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</si>
  <si>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</si>
  <si>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 xml:space="preserve"> </t>
  </si>
  <si>
    <t>Vendor</t>
  </si>
  <si>
    <t>Phone Number</t>
  </si>
  <si>
    <t>Contact</t>
  </si>
  <si>
    <t>Acct/Policy</t>
  </si>
  <si>
    <t>Email</t>
  </si>
  <si>
    <t>Purpose</t>
  </si>
  <si>
    <t>Sellers</t>
  </si>
  <si>
    <t>SS#: 231 04 1014</t>
  </si>
  <si>
    <t>birthday: 11/12/1971</t>
  </si>
  <si>
    <t>936 52 3090</t>
  </si>
  <si>
    <t>Mortgage</t>
  </si>
  <si>
    <t>800 274 7025</t>
  </si>
  <si>
    <t xml:space="preserve">Wiring Instructions Acct#: 3000500412, Routing#: 121000248, Wells Fargo Bank NA, 420 Montgomery St, Sanfransico, CA 94104 </t>
  </si>
  <si>
    <t>Wells Fargo Home Mortgage</t>
  </si>
  <si>
    <t>Fax: 866 278 1179</t>
  </si>
  <si>
    <t>0211198205</t>
  </si>
  <si>
    <t>sent on 09/27/2023</t>
  </si>
  <si>
    <t>Brock  &amp; Scott</t>
  </si>
  <si>
    <t>919 872 5466 x1147</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</si>
  <si>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</si>
  <si>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</si>
  <si>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</si>
  <si>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</si>
  <si>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</si>
  <si>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</si>
  <si>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</si>
  <si>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</si>
  <si>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</si>
  <si>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</si>
  <si>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</si>
  <si>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</si>
  <si>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</si>
  <si>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</si>
  <si>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</si>
  <si>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</si>
  <si>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</si>
  <si>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</si>
  <si>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</si>
  <si>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</si>
  <si>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</si>
  <si>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</si>
  <si>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</si>
  <si>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</si>
  <si>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</si>
  <si>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</si>
  <si>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</si>
  <si>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</si>
  <si>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</si>
  <si>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</si>
  <si>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</si>
  <si>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</si>
  <si>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</si>
  <si>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</si>
  <si>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</si>
  <si>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</si>
  <si>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</si>
  <si>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</si>
  <si>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</si>
  <si>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</si>
  <si>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</si>
  <si>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</si>
  <si>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</si>
  <si>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</si>
  <si>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</si>
  <si>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</si>
  <si>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</si>
  <si>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</si>
  <si>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</si>
  <si>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</si>
  <si>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</si>
  <si>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</si>
  <si>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</si>
  <si>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</si>
  <si>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</si>
  <si>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</si>
  <si>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</si>
  <si>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</si>
  <si>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</si>
  <si>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</si>
  <si>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</si>
  <si>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</si>
  <si>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</si>
  <si>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</si>
  <si>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</si>
  <si>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</si>
  <si>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</si>
  <si>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</si>
  <si>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</si>
  <si>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</si>
  <si>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</si>
  <si>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</si>
  <si>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</si>
  <si>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</si>
  <si>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</si>
  <si>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</si>
  <si>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</si>
  <si>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</si>
  <si>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</si>
  <si>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</si>
  <si>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</si>
  <si>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</si>
  <si>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</si>
  <si>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</si>
  <si>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</si>
  <si>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</si>
  <si>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</si>
  <si>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</si>
  <si>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</si>
  <si>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</si>
  <si>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</si>
  <si>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</si>
  <si>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</si>
  <si>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</si>
  <si>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</si>
  <si>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</si>
  <si>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</si>
  <si>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Level 1 Quartz $3,190</t>
  </si>
  <si>
    <t>change order #10</t>
  </si>
  <si>
    <t>change order #11</t>
  </si>
  <si>
    <t>change order #12</t>
  </si>
  <si>
    <t>change order #13</t>
  </si>
  <si>
    <t>Install hall bath accessories</t>
  </si>
  <si>
    <t>change order #14</t>
  </si>
  <si>
    <t>Install doorbell</t>
  </si>
  <si>
    <t>change order #15</t>
  </si>
  <si>
    <t>change order #16</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</si>
  <si>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</si>
  <si>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</si>
  <si>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</si>
  <si>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</si>
  <si>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</si>
  <si>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</si>
  <si>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</si>
  <si>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</si>
  <si>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</si>
  <si>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</si>
  <si>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</si>
  <si>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</si>
  <si>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</si>
  <si>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</si>
  <si>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</si>
  <si>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</si>
  <si>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</si>
  <si>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change order #25</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</si>
  <si>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</si>
  <si>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</si>
  <si>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</si>
  <si>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</si>
  <si>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</si>
  <si>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</si>
  <si>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</si>
  <si>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</si>
  <si>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</si>
  <si>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</si>
  <si>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</si>
  <si>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</si>
  <si>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</si>
  <si>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</si>
  <si>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</si>
  <si>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</si>
  <si>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Start Date</t>
  </si>
  <si>
    <t>Days</t>
  </si>
  <si>
    <t>Paid</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</si>
  <si>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</si>
  <si>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</si>
  <si>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</si>
  <si>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</si>
  <si>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</si>
  <si>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</si>
  <si>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</si>
  <si>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</si>
  <si>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</si>
  <si>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</si>
  <si>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</si>
  <si>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</si>
  <si>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</si>
  <si>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</si>
  <si>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</si>
  <si>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</si>
  <si>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</si>
  <si>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</si>
  <si>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</si>
  <si>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</si>
  <si>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</si>
  <si>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</si>
  <si>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</si>
  <si>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</si>
  <si>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</si>
  <si>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</si>
  <si>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</si>
  <si>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</si>
  <si>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</si>
  <si>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</si>
  <si>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</si>
  <si>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</si>
  <si>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</si>
  <si>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</si>
  <si>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</si>
  <si>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</si>
  <si>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</si>
  <si>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</si>
  <si>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</si>
  <si>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</si>
  <si>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</si>
  <si>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</si>
  <si>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Date</t>
  </si>
  <si>
    <t>Pick floor sample</t>
  </si>
  <si>
    <t>Left Remote for LR fan</t>
  </si>
  <si>
    <t>We will get toilets by 10/25</t>
  </si>
  <si>
    <t>This is for taxes paid, outside of closing process</t>
  </si>
  <si>
    <t>Gov't Entity</t>
  </si>
  <si>
    <t>Tax Event</t>
  </si>
  <si>
    <t>Tax</t>
  </si>
  <si>
    <t>Wake County</t>
  </si>
  <si>
    <t>19-22</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</si>
  <si>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</si>
  <si>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</si>
  <si>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</si>
  <si>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</si>
  <si>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</si>
  <si>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</si>
  <si>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</si>
  <si>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</si>
  <si>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</si>
  <si>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</si>
  <si>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</si>
  <si>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</si>
  <si>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</si>
  <si>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</si>
  <si>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</si>
  <si>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</si>
  <si>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</si>
  <si>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</si>
  <si>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</si>
  <si>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</si>
  <si>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</si>
  <si>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</si>
  <si>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</si>
  <si>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</si>
  <si>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</si>
  <si>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</si>
  <si>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</si>
  <si>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</si>
  <si>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</si>
  <si>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</si>
  <si>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</si>
  <si>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</si>
  <si>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</si>
  <si>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</si>
  <si>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</si>
  <si>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</si>
  <si>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</si>
  <si>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</si>
  <si>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</si>
  <si>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</si>
  <si>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</si>
  <si>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</si>
  <si>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</si>
  <si>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</si>
  <si>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</si>
  <si>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</si>
  <si>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</si>
  <si>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</si>
  <si>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</si>
  <si>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</si>
  <si>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</si>
  <si>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</si>
  <si>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</si>
  <si>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</si>
  <si>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</si>
  <si>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</si>
  <si>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</si>
  <si>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</si>
  <si>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</si>
  <si>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</si>
  <si>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</si>
  <si>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</si>
  <si>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</si>
  <si>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</si>
  <si>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</si>
  <si>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</si>
  <si>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</si>
  <si>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</si>
  <si>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</si>
  <si>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</si>
  <si>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FB Marketplace Ref</t>
  </si>
  <si>
    <t>HD Dishwasher</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</si>
  <si>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</si>
  <si>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</si>
  <si>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</si>
  <si>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</si>
  <si>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</si>
  <si>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</si>
  <si>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</si>
  <si>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</si>
  <si>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</si>
  <si>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</si>
  <si>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</si>
  <si>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</si>
  <si>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</si>
  <si>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</si>
  <si>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</si>
  <si>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</si>
  <si>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</si>
  <si>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</si>
  <si>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</si>
  <si>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</si>
  <si>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</si>
  <si>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</si>
  <si>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</si>
  <si>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</si>
  <si>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</si>
  <si>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</si>
  <si>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</si>
  <si>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</si>
  <si>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</si>
  <si>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</si>
  <si>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</si>
  <si>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</si>
  <si>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</si>
  <si>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Bed/bath knob</t>
  </si>
  <si>
    <t>Lowes Front door kw powerbolt</t>
  </si>
  <si>
    <t>Lowes Front door kw door handle</t>
  </si>
  <si>
    <t>HD Ext Deadbolt combo</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</si>
  <si>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</si>
  <si>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</si>
  <si>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</si>
  <si>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</si>
  <si>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</si>
  <si>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</si>
  <si>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</si>
  <si>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</si>
  <si>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</si>
  <si>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</si>
  <si>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</si>
  <si>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</si>
  <si>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</si>
  <si>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</si>
  <si>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</si>
  <si>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</si>
  <si>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</si>
  <si>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</si>
  <si>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</si>
  <si>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</si>
  <si>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</si>
  <si>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</si>
  <si>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</si>
  <si>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</si>
  <si>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</si>
  <si>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</si>
  <si>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</si>
  <si>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</si>
  <si>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</si>
  <si>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</si>
  <si>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</si>
  <si>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</si>
  <si>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</si>
  <si>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</si>
  <si>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</si>
  <si>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</si>
  <si>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</si>
  <si>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</si>
  <si>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</si>
  <si>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</si>
  <si>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</si>
  <si>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</si>
  <si>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</si>
  <si>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</si>
  <si>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</si>
  <si>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</si>
  <si>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</si>
  <si>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</si>
  <si>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</si>
  <si>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</si>
  <si>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</si>
  <si>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</si>
  <si>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</si>
  <si>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</si>
  <si>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</si>
  <si>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</si>
  <si>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</si>
  <si>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</si>
  <si>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</si>
  <si>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</si>
  <si>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</si>
  <si>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</si>
  <si>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</si>
  <si>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</si>
  <si>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</si>
  <si>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</si>
  <si>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</si>
  <si>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</si>
  <si>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</si>
  <si>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</si>
  <si>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</si>
  <si>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</si>
  <si>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</si>
  <si>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</si>
  <si>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</si>
  <si>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</si>
  <si>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</si>
  <si>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</si>
  <si>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</si>
  <si>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</si>
  <si>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</si>
  <si>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</si>
  <si>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</si>
  <si>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</si>
  <si>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</si>
  <si>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</si>
  <si>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</si>
  <si>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</si>
  <si>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</si>
  <si>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</si>
  <si>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</si>
  <si>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</si>
  <si>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</si>
  <si>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</si>
  <si>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</si>
  <si>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</si>
  <si>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</si>
  <si>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</si>
  <si>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</si>
  <si>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</si>
  <si>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</si>
  <si>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</si>
  <si>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</si>
  <si>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</si>
  <si>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Outdoor flood light fixture</t>
  </si>
  <si>
    <t>HD233840</t>
  </si>
  <si>
    <t>Flood Light Bulbs</t>
  </si>
  <si>
    <t>HD1006248217</t>
  </si>
  <si>
    <t>3 speed Remote ceiling fan</t>
  </si>
  <si>
    <t>L745359</t>
  </si>
  <si>
    <t>GE LED 32W 4'</t>
  </si>
  <si>
    <t>L2565452</t>
  </si>
  <si>
    <t>GE LED 17W 2'</t>
  </si>
  <si>
    <t>L2565467</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</si>
  <si>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</si>
  <si>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</si>
  <si>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</si>
  <si>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</si>
  <si>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</si>
  <si>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</si>
  <si>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</si>
  <si>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</si>
  <si>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</si>
  <si>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</si>
  <si>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</si>
  <si>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</si>
  <si>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</si>
  <si>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</si>
  <si>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 Labor:</t>
  </si>
  <si>
    <t>Straighten landscape stones</t>
  </si>
  <si>
    <t>Tree pruning</t>
  </si>
  <si>
    <t>Roof</t>
  </si>
  <si>
    <t>Cost/item</t>
  </si>
  <si>
    <t>Hourly Rate:</t>
  </si>
  <si>
    <t>Lowes Mailbox</t>
  </si>
  <si>
    <t>Mailbox post HD106052</t>
  </si>
  <si>
    <t>Mailbox HD 046462011291</t>
  </si>
  <si>
    <t>Siding Repair</t>
  </si>
  <si>
    <t>Drainage repair</t>
  </si>
  <si>
    <t>Deck rebuild</t>
  </si>
  <si>
    <t>Masking tape</t>
  </si>
  <si>
    <t>Drop cloths</t>
  </si>
  <si>
    <t>Power wash</t>
  </si>
  <si>
    <t>Weatherproof flat cover 852944007702</t>
  </si>
  <si>
    <t>Doorbell 058219105177</t>
  </si>
  <si>
    <t>Fence Picket 090489133771</t>
  </si>
  <si>
    <t>credit via CO#9</t>
  </si>
  <si>
    <t>Lowes 6" Canned fixture porch</t>
  </si>
  <si>
    <t>L1100119</t>
  </si>
  <si>
    <t>HD Range</t>
  </si>
  <si>
    <t>HD Range Cord</t>
  </si>
  <si>
    <t>HD Microwave</t>
  </si>
  <si>
    <t>SW 5 gal Int wall paint</t>
  </si>
  <si>
    <t>remove debris</t>
  </si>
  <si>
    <t>Mowing, clean up yard</t>
  </si>
  <si>
    <t>Greenview wks</t>
  </si>
  <si>
    <t>light bulbs and replacment</t>
  </si>
  <si>
    <t>change order #26</t>
  </si>
  <si>
    <t>change order #27</t>
  </si>
  <si>
    <t>change order #28</t>
  </si>
  <si>
    <t>change order #29</t>
  </si>
  <si>
    <t>change order #30</t>
  </si>
  <si>
    <t>Gutters</t>
  </si>
  <si>
    <t>Clogged Plumbing</t>
  </si>
  <si>
    <t>Gas Fireplace</t>
  </si>
  <si>
    <t>change order #31</t>
  </si>
  <si>
    <t>Cleaning</t>
  </si>
  <si>
    <t>Price CO16</t>
  </si>
  <si>
    <t>Price CO19</t>
  </si>
  <si>
    <t>Price CO20</t>
  </si>
  <si>
    <t>Price CO21</t>
  </si>
  <si>
    <t>Price CO22</t>
  </si>
  <si>
    <t>Price CO23</t>
  </si>
  <si>
    <t>Price CO24</t>
  </si>
  <si>
    <t>Price CO25</t>
  </si>
  <si>
    <t>Price CO26</t>
  </si>
  <si>
    <t>Install mailbox (duplicates CO24</t>
  </si>
  <si>
    <t>Install can light front porch (appears as duplicate to 27)</t>
  </si>
  <si>
    <t>Replace mailbox (duplicates CO15)</t>
  </si>
  <si>
    <t>Fix new can light front door (duplicates CO16)</t>
  </si>
  <si>
    <t>Bath faucets inspection (why)</t>
  </si>
  <si>
    <t>credit cost for pantry light installation(item 33)</t>
  </si>
  <si>
    <t>credit one kitchen light fixture installation (item 32)</t>
  </si>
  <si>
    <t xml:space="preserve">credit 2 TP holders installation </t>
  </si>
  <si>
    <t>credit one ceiling fan installation (not needed)</t>
  </si>
  <si>
    <t>Final cleaning (not needed)</t>
  </si>
  <si>
    <t>change order #32</t>
  </si>
  <si>
    <t>Replace foyer glass</t>
  </si>
  <si>
    <t>Add start dates</t>
  </si>
  <si>
    <t>HO add numbers on mailbox?</t>
  </si>
  <si>
    <t>Call garage door repair</t>
  </si>
  <si>
    <t>Is this a duplicate of 39, CO4 &amp; 13</t>
  </si>
  <si>
    <t>item 62, CO16 &amp; CO17 are the same CO w/ different prices</t>
  </si>
  <si>
    <t>What is this?</t>
  </si>
  <si>
    <t>What plumbing clog clearing</t>
  </si>
  <si>
    <t>needs date, cost</t>
  </si>
  <si>
    <t>needs price and scope</t>
  </si>
  <si>
    <t>Not needed</t>
  </si>
  <si>
    <t>is this done?</t>
  </si>
  <si>
    <t>Need a price</t>
  </si>
  <si>
    <t xml:space="preserve">Is this done? </t>
  </si>
  <si>
    <t>change order #33</t>
  </si>
  <si>
    <t>Remove stickons from cabinet doors</t>
  </si>
  <si>
    <t>Price new change order</t>
  </si>
  <si>
    <t>Dish Washer</t>
  </si>
  <si>
    <t>Duplicates?</t>
  </si>
  <si>
    <t>Garage Door Opener</t>
  </si>
  <si>
    <t>HDB2211T</t>
  </si>
  <si>
    <t>Smoke Detectors</t>
  </si>
  <si>
    <t>HD2343598</t>
  </si>
  <si>
    <t>Smoke &amp; CO2</t>
  </si>
  <si>
    <t>HD1003181539</t>
  </si>
  <si>
    <t>Mailbox Numbers</t>
  </si>
  <si>
    <t>HD50150H</t>
  </si>
  <si>
    <t>Maid To Shine</t>
  </si>
  <si>
    <t>cleaning</t>
  </si>
  <si>
    <t>Estate of Sharrice Y Stagg</t>
  </si>
  <si>
    <t xml:space="preserve">Paticai Baker - Adminstrator </t>
  </si>
  <si>
    <t>Draw 3</t>
  </si>
  <si>
    <t>change order #34</t>
  </si>
  <si>
    <t>change order #35</t>
  </si>
  <si>
    <t>change order #36</t>
  </si>
  <si>
    <t>Install door knobs in second fl vanity</t>
  </si>
  <si>
    <t>Install smoke detectors 5 smoke detectors $75 each = $375</t>
  </si>
  <si>
    <t>House numbers installation</t>
  </si>
  <si>
    <t>Draw 4</t>
  </si>
  <si>
    <t>Garage Door Repair</t>
  </si>
  <si>
    <t>Top Notch</t>
  </si>
  <si>
    <t>Insurance Payments</t>
  </si>
  <si>
    <t>payment</t>
  </si>
  <si>
    <t>Days Invested</t>
  </si>
  <si>
    <t>End Date</t>
  </si>
  <si>
    <t>Gas</t>
  </si>
  <si>
    <t>Refrigerator cleaning</t>
  </si>
  <si>
    <t>April '24</t>
  </si>
  <si>
    <t>Mowing Apr 6</t>
  </si>
  <si>
    <t>65 x 72" vinyl mini blinds</t>
  </si>
  <si>
    <t>HD793478353234</t>
  </si>
  <si>
    <t>tax 21.89</t>
  </si>
  <si>
    <t>Hinge Pin Door Stop</t>
  </si>
  <si>
    <t>L553102</t>
  </si>
  <si>
    <t xml:space="preserve">tax  </t>
  </si>
  <si>
    <t>31 x 64"vinyl mini blinds</t>
  </si>
  <si>
    <t>L889891</t>
  </si>
  <si>
    <t>tax</t>
  </si>
  <si>
    <t>23 x 64" vinyl mini blinds</t>
  </si>
  <si>
    <t>L889862</t>
  </si>
  <si>
    <t>35 x 64" vinyl mini blinds</t>
  </si>
  <si>
    <t>L889910</t>
  </si>
  <si>
    <t>Mowing 5/4/24</t>
  </si>
  <si>
    <t>Washing Machine Pan</t>
  </si>
  <si>
    <t>HD</t>
  </si>
  <si>
    <t>Ice Connector</t>
  </si>
  <si>
    <t>L247027</t>
  </si>
  <si>
    <t>Lowes</t>
  </si>
  <si>
    <t>25x72" Mag mini blinds</t>
  </si>
  <si>
    <t>L924753</t>
  </si>
  <si>
    <t>Labor Tim Fleming hang blinds</t>
  </si>
  <si>
    <t>Plumber repair baths x2</t>
  </si>
  <si>
    <t>GWE Plumbing</t>
  </si>
  <si>
    <t>Faucet</t>
  </si>
  <si>
    <t>HD 195205064039</t>
  </si>
  <si>
    <t>Plumber GWE Plumbing</t>
  </si>
  <si>
    <t>2340 Sapphire Valley Dr Ral 27604</t>
  </si>
  <si>
    <t>gweplbg@gmail.com</t>
  </si>
  <si>
    <t>https://www.homewisedocs.com/login</t>
  </si>
  <si>
    <t>User Name:WesBrowning  PW:w3638B0@</t>
  </si>
  <si>
    <t>Private Money</t>
  </si>
  <si>
    <t>HOA</t>
  </si>
  <si>
    <t>Property Tax:</t>
  </si>
  <si>
    <t>hold</t>
  </si>
  <si>
    <t>Projected CashFlow Date</t>
  </si>
  <si>
    <t>Breakers</t>
  </si>
  <si>
    <t>HD047569062704</t>
  </si>
  <si>
    <t>New rear Fance Kaba Fence</t>
  </si>
  <si>
    <t>True Srv Gas Call</t>
  </si>
  <si>
    <t>Reosourch Property Management</t>
  </si>
  <si>
    <t>‪(919) 240-4045‬</t>
  </si>
  <si>
    <t>Meshann Chalmers</t>
  </si>
  <si>
    <t>HOA Acct #:108902341</t>
  </si>
  <si>
    <t>User:BuyYourHome PW:w3638B0@</t>
  </si>
  <si>
    <t xml:space="preserve">www.rpmpropertypros.com </t>
  </si>
  <si>
    <t>Total Debt</t>
  </si>
  <si>
    <t>Effect Rate</t>
  </si>
  <si>
    <t>Total Payments</t>
  </si>
  <si>
    <t>liens</t>
  </si>
  <si>
    <t>Private money</t>
  </si>
  <si>
    <t>Wells Fargo</t>
  </si>
  <si>
    <t>loan Balance</t>
  </si>
  <si>
    <t>Rate</t>
  </si>
  <si>
    <t>Annual Payment</t>
  </si>
  <si>
    <t>Door Jam</t>
  </si>
  <si>
    <t>Garage Door Repair 5/20/25</t>
  </si>
  <si>
    <t>Duke Electric</t>
  </si>
  <si>
    <t>Mortgage Payment paid after Reinstatement</t>
  </si>
  <si>
    <t>Casa Lending</t>
  </si>
  <si>
    <t>Water</t>
  </si>
  <si>
    <t>Natural Gas</t>
  </si>
  <si>
    <t>Property Taxes</t>
  </si>
  <si>
    <t>Paid in Escrow</t>
  </si>
  <si>
    <t>Excavator Rental</t>
  </si>
  <si>
    <t>Lawn</t>
  </si>
  <si>
    <t>Include</t>
  </si>
  <si>
    <t>Category</t>
  </si>
  <si>
    <t>Amount</t>
  </si>
  <si>
    <t>Source</t>
  </si>
  <si>
    <t>Invoice #</t>
  </si>
  <si>
    <t>Source File</t>
  </si>
  <si>
    <t>Status</t>
  </si>
  <si>
    <t>Migrated Carrying Grid</t>
  </si>
  <si>
    <t>19_Project Management - 1426 Pleasant Garden Ln orignianl .xlsx</t>
  </si>
  <si>
    <t>Migrated</t>
  </si>
  <si>
    <t>Source Carrying!A4:B4</t>
  </si>
  <si>
    <t>Source Carrying!A5:B5</t>
  </si>
  <si>
    <t>Source Carrying!A6:B6</t>
  </si>
  <si>
    <t>Source Carrying!A7:B7</t>
  </si>
  <si>
    <t>Source Carrying!A8:B8</t>
  </si>
  <si>
    <t>Source Carrying!A9:B9</t>
  </si>
  <si>
    <t>Source Carrying!A10:B10</t>
  </si>
  <si>
    <t>Source Carrying!A11:B11</t>
  </si>
  <si>
    <t>Mortgage Payment</t>
  </si>
  <si>
    <t>Source Carrying!D6:E6</t>
  </si>
  <si>
    <t>Source Carrying!D7:E7</t>
  </si>
  <si>
    <t>Source Carrying!D8:E8</t>
  </si>
  <si>
    <t>Source Carrying!D9:E9</t>
  </si>
  <si>
    <t>Source Carrying!D10:E10</t>
  </si>
  <si>
    <t>Source Carrying!D11:E11</t>
  </si>
  <si>
    <t>Source Carrying!D12:E12</t>
  </si>
  <si>
    <t>Source Carrying!D13:E13</t>
  </si>
  <si>
    <t>Source Carrying!D14:E14</t>
  </si>
  <si>
    <t>Source Carrying!D15:E15</t>
  </si>
  <si>
    <t>Source Carrying!D16:E16</t>
  </si>
  <si>
    <t>Source Carrying!D17:E17</t>
  </si>
  <si>
    <t>Source Carrying!D18:E18</t>
  </si>
  <si>
    <t>Source Carrying!D19:E19</t>
  </si>
  <si>
    <t>Source Carrying!D20:E20</t>
  </si>
  <si>
    <t>Source Carrying!D21:E21</t>
  </si>
  <si>
    <t>Source Carrying!D22:E22</t>
  </si>
  <si>
    <t>Source Carrying!D23:E23</t>
  </si>
  <si>
    <t>Source Carrying!D24:E24</t>
  </si>
  <si>
    <t>Source Carrying!D25:E25</t>
  </si>
  <si>
    <t>Source Carrying!D26:E26</t>
  </si>
  <si>
    <t>Source Carrying!D27:E27</t>
  </si>
  <si>
    <t>Source Carrying!D28:E28</t>
  </si>
  <si>
    <t>Source Carrying!D29:E29</t>
  </si>
  <si>
    <t>Source Carrying!D30:E30</t>
  </si>
  <si>
    <t>Source Carrying!D31:E31</t>
  </si>
  <si>
    <t>Source Carrying!D32:E32</t>
  </si>
  <si>
    <t>Source Carrying!D33:E33</t>
  </si>
  <si>
    <t>Source Carrying!D34:E34</t>
  </si>
  <si>
    <t>Source Carrying!D35:E35</t>
  </si>
  <si>
    <t>Source Carrying!G4:H4</t>
  </si>
  <si>
    <t>Source Carrying!G5:H5</t>
  </si>
  <si>
    <t>Source Carrying!G6:H6</t>
  </si>
  <si>
    <t>Source Carrying!G7:H7</t>
  </si>
  <si>
    <t>Source Carrying!G8:H8</t>
  </si>
  <si>
    <t>Source Carrying!G9:H9</t>
  </si>
  <si>
    <t>Source Carrying!G10:H10</t>
  </si>
  <si>
    <t>Source Carrying!G11:H11</t>
  </si>
  <si>
    <t>Source Carrying!G12:H12</t>
  </si>
  <si>
    <t>Source Carrying!G13:H13</t>
  </si>
  <si>
    <t>Source Carrying!G14:H14</t>
  </si>
  <si>
    <t>Source Carrying!G15:H15</t>
  </si>
  <si>
    <t>Source Carrying!G16:H16</t>
  </si>
  <si>
    <t>Source Carrying!G17:H17</t>
  </si>
  <si>
    <t>Source Carrying!G18:H18</t>
  </si>
  <si>
    <t>Source Carrying!G19:H19</t>
  </si>
  <si>
    <t>Source Carrying!G20:H20</t>
  </si>
  <si>
    <t>Source Carrying!G21:H21</t>
  </si>
  <si>
    <t>Source Carrying!G22:H22</t>
  </si>
  <si>
    <t>Source Carrying!G23:H23</t>
  </si>
  <si>
    <t>Source Carrying!G24:H24</t>
  </si>
  <si>
    <t>Source Carrying!G25:H25</t>
  </si>
  <si>
    <t>Source Carrying!G26:H26</t>
  </si>
  <si>
    <t>Source Carrying!G27:H27</t>
  </si>
  <si>
    <t>Source Carrying!G28:H28</t>
  </si>
  <si>
    <t>Source Carrying!G29:H29</t>
  </si>
  <si>
    <t>Source Carrying!G30:H30</t>
  </si>
  <si>
    <t>Source Carrying!G31:H31</t>
  </si>
  <si>
    <t>Source Carrying!G32:H32</t>
  </si>
  <si>
    <t>Source Carrying!G33:H33</t>
  </si>
  <si>
    <t>Source Carrying!G34:H34</t>
  </si>
  <si>
    <t>Source Carrying!G35:H35</t>
  </si>
  <si>
    <t>Source Carrying!J5:K5</t>
  </si>
  <si>
    <t>Source Carrying!J6:K6</t>
  </si>
  <si>
    <t>Source Carrying!J7:K7</t>
  </si>
  <si>
    <t>Source Carrying!J8:K8</t>
  </si>
  <si>
    <t>Source Carrying!J9:K9</t>
  </si>
  <si>
    <t>Source Carrying!J10:K10</t>
  </si>
  <si>
    <t>Source Carrying!J11:K11</t>
  </si>
  <si>
    <t>Source Carrying!J12:K12</t>
  </si>
  <si>
    <t>Source Carrying!J13:K13</t>
  </si>
  <si>
    <t>Source Carrying!J14:K14</t>
  </si>
  <si>
    <t>Source Carrying!J15:K15</t>
  </si>
  <si>
    <t>Source Carrying!J16:K16</t>
  </si>
  <si>
    <t>Source Carrying!J17:K17</t>
  </si>
  <si>
    <t>Source Carrying!J18:K18</t>
  </si>
  <si>
    <t>Source Carrying!J19:K19</t>
  </si>
  <si>
    <t>Source Carrying!J20:K20</t>
  </si>
  <si>
    <t>Source Carrying!J21:K21</t>
  </si>
  <si>
    <t>Source Carrying!J22:K22</t>
  </si>
  <si>
    <t>Source Carrying!J23:K23</t>
  </si>
  <si>
    <t>Source Carrying!J24:K24</t>
  </si>
  <si>
    <t>Source Carrying!J25:K25</t>
  </si>
  <si>
    <t>Source Carrying!J26:K26</t>
  </si>
  <si>
    <t>Source Carrying!J27:K27</t>
  </si>
  <si>
    <t>Source Carrying!J28:K28</t>
  </si>
  <si>
    <t>Source Carrying!J29:K29</t>
  </si>
  <si>
    <t>Source Carrying!J30:K30</t>
  </si>
  <si>
    <t>Source Carrying!J31:K31</t>
  </si>
  <si>
    <t>Source Carrying!J32:K32</t>
  </si>
  <si>
    <t>Source Carrying!J33:K33</t>
  </si>
  <si>
    <t>Source Carrying!J34:K34</t>
  </si>
  <si>
    <t>Source Carrying!J35:K35</t>
  </si>
  <si>
    <t>Source Carrying!J36:K36</t>
  </si>
  <si>
    <t>Source Carrying!M3:N3</t>
  </si>
  <si>
    <t>Source Carrying!M4:N4</t>
  </si>
  <si>
    <t>Source Carrying!M5:N5</t>
  </si>
  <si>
    <t>Source Carrying!M6:N6</t>
  </si>
  <si>
    <t>Source Carrying!M7:N7</t>
  </si>
  <si>
    <t>Source Carrying!M8:N8</t>
  </si>
  <si>
    <t>Source Carrying!M9:N9</t>
  </si>
  <si>
    <t>Source Carrying!M10:N10</t>
  </si>
  <si>
    <t>Source Carrying!M11:N11</t>
  </si>
  <si>
    <t>Source Carrying!P3:Q3</t>
  </si>
  <si>
    <t>Source Carrying!P4:Q4</t>
  </si>
  <si>
    <t>Source Carrying!P5:Q5</t>
  </si>
  <si>
    <t>Source Carrying!P6:Q6</t>
  </si>
  <si>
    <t>Source Carrying!P7:Q7</t>
  </si>
  <si>
    <t>Source Carrying!P8:Q8</t>
  </si>
  <si>
    <t>Source Carrying!P9:Q9</t>
  </si>
  <si>
    <t>Source Carrying!P10:Q10</t>
  </si>
  <si>
    <t>Source Carrying!S3:T3</t>
  </si>
  <si>
    <t>Source Carrying!S4:T4</t>
  </si>
  <si>
    <t>Source Carrying!S5:T5</t>
  </si>
  <si>
    <t>Source Carrying!S6:T6</t>
  </si>
  <si>
    <t>Source Carrying!S7:T7</t>
  </si>
  <si>
    <t>Source Carrying!S8:T8</t>
  </si>
  <si>
    <t>Source Carrying!S13:T13</t>
  </si>
  <si>
    <t>Source Carrying!S14:T14</t>
  </si>
  <si>
    <t>Source Carrying!V3:W3</t>
  </si>
  <si>
    <t>Source Carrying!V12:W12</t>
  </si>
  <si>
    <t>Source Carrying!V13:W13 paid from escrow | escrow offset in friendly grid</t>
  </si>
  <si>
    <t>Total Debt:</t>
  </si>
  <si>
    <t>Property</t>
  </si>
  <si>
    <t>Home Type</t>
  </si>
  <si>
    <t>Est. Property Value</t>
  </si>
  <si>
    <t>Lot Rent / Mo</t>
  </si>
  <si>
    <t>Tenant Payment / Mo</t>
  </si>
  <si>
    <t>Property Tax / Mo</t>
  </si>
  <si>
    <t>Insurance / Mo</t>
  </si>
  <si>
    <t>Monthly Net Spread</t>
  </si>
  <si>
    <t>Annual Net Spread</t>
  </si>
  <si>
    <t>Expense % of Payment</t>
  </si>
  <si>
    <t>Net Spread Margin</t>
  </si>
  <si>
    <t>Net Yield on Value</t>
  </si>
  <si>
    <t>Max Value @ 10%</t>
  </si>
  <si>
    <t>Max Value @ 12%</t>
  </si>
  <si>
    <t>Max Value @ 15%</t>
  </si>
  <si>
    <t>Summary / Document Outputs</t>
  </si>
  <si>
    <t>Total Trade Property Value Proposed</t>
  </si>
  <si>
    <t>Total Liens or Deductions</t>
  </si>
  <si>
    <t>Total Net Trade Credit Included</t>
  </si>
  <si>
    <t>Total Tenant Rent</t>
  </si>
  <si>
    <t>Total Monthly Expenses</t>
  </si>
  <si>
    <t>Trade Properties - Manufactured Home Credit Analysis</t>
  </si>
  <si>
    <t>Total Monthly Net Spread:</t>
  </si>
  <si>
    <t>Use this tab for valuation and support detail only. Contract generators should read only the final document fields exposed on Replacement Docs. Proposed values are analysis inputs until titles/bills of sale, lien releases, possession/keys, tenant/rent information, and park/lot approvals are delivered and accepted.</t>
  </si>
  <si>
    <t>Total Annual Net Spread:</t>
  </si>
  <si>
    <t>Implied Value at 10% Yield</t>
  </si>
  <si>
    <t>Expected monthly net spread from future Contract for Deed/resale payments after lot rent, property tax, and insurance</t>
  </si>
  <si>
    <t>Implied Value at 12% Yield</t>
  </si>
  <si>
    <t>Property Address</t>
  </si>
  <si>
    <t>Monthly Expenses</t>
  </si>
  <si>
    <t>Tenant Rent</t>
  </si>
  <si>
    <t>Cap Based Value</t>
  </si>
  <si>
    <t>CMA Based Value</t>
  </si>
  <si>
    <t>Proposed Value / Agreed Credit</t>
  </si>
  <si>
    <t>Liens or Deductions</t>
  </si>
  <si>
    <t>Net Trade Credit</t>
  </si>
  <si>
    <t>Include in Contract?</t>
  </si>
  <si>
    <t>Title/Bill-of-Sale Status</t>
  </si>
  <si>
    <t>Park/Lot Approval Status</t>
  </si>
  <si>
    <t>Tenant/Lease Verification Status</t>
  </si>
  <si>
    <t>Implied Value at 15% Yield</t>
  </si>
  <si>
    <t>Trade Property List for Docs</t>
  </si>
  <si>
    <t>Trade Property Conditions for Docs</t>
  </si>
  <si>
    <t>Trade credit is not final until titles/bills of sale, lien releases or payoff documentation, possession/keys, tenant and rent information, and park/lot approvals are delivered and accepted.</t>
  </si>
  <si>
    <t>Totals / Included Credit</t>
  </si>
  <si>
    <t>Addendum Requirement</t>
  </si>
  <si>
    <t>A trade-property addendum should control title, possession, park approval, liens, tenant rents, verification, condition, and remedies if conditions are not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</si>
</sst>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 numFmtId="173" formatCode="\$#,##0"/>
    <numFmt numFmtId="174" formatCode="&quot;$&quot;#,##0;[Red]\(&quot;$&quot;#,##0\);\-"/>
    <numFmt numFmtId="175" formatCode=";;;"/>
  </numFmts>
  <fonts count="56"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sz val="12"/>
      <name val="Arial"/>
      <family val="2"/>
    </font>
    <font>
      <b/>
      <sz val="9"/>
      <color rgb="FF333333"/>
      <name val="Segoe UI"/>
      <family val="2"/>
    </font>
    <font>
      <sz val="12"/>
      <color theme="1"/>
      <name val="Arial"/>
      <family val="2"/>
    </font>
    <font>
      <sz val="8"/>
      <color rgb="FF000000"/>
      <name val="Segoe UI"/>
      <family val="2"/>
    </font>
    <font>
      <b/>
      <sz val="10"/>
      <color rgb="FFFFFFFF"/>
      <name val="Carlito"/>
      <family val="2"/>
    </font>
    <font>
      <b/>
      <sz val="11"/>
      <color rgb="FFFFFFFF"/>
      <name val="Calibri"/>
      <family val="2"/>
      <scheme val="minor"/>
    </font>
    <font>
      <sz val="10"/>
      <color rgb="FF1F2933"/>
      <name val="Carlito"/>
      <family val="2"/>
    </font>
    <font>
      <b/>
      <sz val="10"/>
      <color rgb="FF17324D"/>
      <name val="Carlito"/>
      <family val="2"/>
    </font>
    <font>
      <b/>
      <sz val="14"/>
      <color rgb="FFFFFFFF"/>
      <name val="Calibri"/>
      <family val="2"/>
      <scheme val="minor"/>
    </font>
    <font>
      <sz val="11"/>
      <color rgb="FFFFFFFF"/>
      <name val="Calibri"/>
      <family val="2"/>
      <scheme val="minor"/>
    </font>
  </fonts>
  <fills count="3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
      <patternFill patternType="solid">
        <fgColor rgb="FF254F7A"/>
      </patternFill>
    </fill>
    <fill>
      <patternFill patternType="solid">
        <fgColor rgb="FF1B2F4F"/>
        <bgColor indexed="64"/>
      </patternFill>
    </fill>
    <fill>
      <patternFill patternType="solid">
        <fgColor rgb="FFFFFFFF"/>
      </patternFill>
    </fill>
    <fill>
      <patternFill patternType="solid">
        <fgColor rgb="FFE8F2F7"/>
        <bgColor indexed="64"/>
      </patternFill>
    </fill>
    <fill>
      <patternFill patternType="solid">
        <fgColor rgb="FFFFCC99"/>
        <bgColor indexed="64"/>
      </patternFill>
    </fill>
    <fill>
      <patternFill patternType="solid">
        <fgColor rgb="FFEAF1F8"/>
      </patternFill>
    </fill>
    <fill>
      <patternFill patternType="solid">
        <fgColor rgb="FFD8E7C4"/>
        <bgColor indexed="64"/>
      </patternFill>
    </fill>
    <fill>
      <patternFill patternType="solid">
        <fgColor rgb="FFFFFF99"/>
        <bgColor indexed="64"/>
      </patternFill>
    </fill>
    <fill>
      <patternFill patternType="solid">
        <fgColor rgb="FFD9F0E2"/>
        <bgColor indexed="64"/>
      </patternFill>
    </fill>
  </fills>
  <borders count="67">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dashed">
        <color auto="1"/>
      </left>
      <right/>
      <top/>
      <bottom/>
      <diagonal/>
    </border>
    <border>
      <left style="thick">
        <color auto="1"/>
      </left>
      <right/>
      <top style="medium">
        <color auto="1"/>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rgb="FFB8C5D3"/>
      </left>
      <right style="thin">
        <color rgb="FFB8C5D3"/>
      </right>
      <top style="thin">
        <color rgb="FFB8C5D3"/>
      </top>
      <bottom style="thin">
        <color rgb="FFB8C5D3"/>
      </bottom>
      <diagonal/>
    </border>
    <border>
      <left style="thin">
        <color rgb="FFD9D9D9"/>
      </left>
      <right style="thin">
        <color rgb="FFD9D9D9"/>
      </right>
      <top style="thin">
        <color rgb="FFD9D9D9"/>
      </top>
      <bottom style="thin">
        <color rgb="FFD9D9D9"/>
      </bottom>
      <diagonal/>
    </border>
    <border>
      <left style="thin">
        <color rgb="FFD8DEE6"/>
      </left>
      <right style="thin">
        <color rgb="FFD8DEE6"/>
      </right>
      <top style="thin">
        <color rgb="FFD8DEE6"/>
      </top>
      <bottom style="thin">
        <color rgb="FFD8DEE6"/>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3" fillId="0" borderId="0"/>
  </cellStyleXfs>
  <cellXfs count="617">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165" fontId="34" fillId="2" borderId="33" xfId="0" applyNumberFormat="1" applyFont="1" applyFill="1" applyBorder="1" applyAlignment="1">
      <alignment horizontal="center"/>
    </xf>
    <xf numFmtId="0" fontId="15" fillId="9" borderId="0" xfId="0" applyFont="1" applyFill="1" applyAlignment="1">
      <alignment horizontal="right"/>
    </xf>
    <xf numFmtId="3" fontId="15" fillId="2" borderId="40" xfId="0" applyNumberFormat="1" applyFont="1" applyFill="1" applyBorder="1"/>
    <xf numFmtId="0" fontId="35" fillId="0" borderId="0" xfId="0" applyFont="1" applyAlignment="1">
      <alignment horizontal="right"/>
    </xf>
    <xf numFmtId="9" fontId="34" fillId="2" borderId="42"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5" xfId="0" applyFont="1" applyBorder="1"/>
    <xf numFmtId="164" fontId="15" fillId="3" borderId="5" xfId="0" applyNumberFormat="1" applyFont="1" applyFill="1" applyBorder="1"/>
    <xf numFmtId="0" fontId="15" fillId="0" borderId="46" xfId="0" applyFont="1" applyBorder="1"/>
    <xf numFmtId="3" fontId="15" fillId="0" borderId="47" xfId="0" applyNumberFormat="1" applyFont="1" applyBorder="1"/>
    <xf numFmtId="3" fontId="15" fillId="0" borderId="48" xfId="0" applyNumberFormat="1" applyFont="1" applyBorder="1"/>
    <xf numFmtId="0" fontId="15" fillId="0" borderId="47" xfId="0" applyFont="1" applyBorder="1"/>
    <xf numFmtId="0" fontId="15" fillId="0" borderId="48" xfId="0" applyFont="1" applyBorder="1"/>
    <xf numFmtId="164" fontId="15" fillId="0" borderId="46" xfId="0" applyNumberFormat="1" applyFont="1" applyBorder="1"/>
    <xf numFmtId="164" fontId="15" fillId="0" borderId="47" xfId="0" applyNumberFormat="1" applyFont="1" applyBorder="1"/>
    <xf numFmtId="164" fontId="15" fillId="0" borderId="48"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49" xfId="0" applyFont="1" applyFill="1" applyBorder="1" applyAlignment="1">
      <alignment horizontal="right"/>
    </xf>
    <xf numFmtId="0" fontId="15" fillId="2" borderId="40" xfId="0" applyFont="1" applyFill="1" applyBorder="1" applyAlignment="1">
      <alignment horizontal="center" vertical="center"/>
    </xf>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7"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9" fontId="15" fillId="2" borderId="40" xfId="0" applyNumberFormat="1" applyFont="1" applyFill="1" applyBorder="1"/>
    <xf numFmtId="0" fontId="15" fillId="9" borderId="31" xfId="0" applyFont="1" applyFill="1" applyBorder="1"/>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0" xfId="0" applyNumberFormat="1" applyFont="1" applyFill="1" applyBorder="1"/>
    <xf numFmtId="0" fontId="4" fillId="2" borderId="52" xfId="0" applyFont="1" applyFill="1" applyBorder="1" applyAlignment="1">
      <alignment horizontal="right"/>
    </xf>
    <xf numFmtId="0" fontId="4" fillId="2" borderId="51" xfId="0" applyFont="1" applyFill="1" applyBorder="1" applyAlignment="1">
      <alignment horizontal="right"/>
    </xf>
    <xf numFmtId="0" fontId="4" fillId="2" borderId="51" xfId="0" applyFont="1" applyFill="1" applyBorder="1"/>
    <xf numFmtId="0" fontId="4" fillId="2" borderId="53" xfId="0" applyFont="1" applyFill="1" applyBorder="1"/>
    <xf numFmtId="3" fontId="15" fillId="2" borderId="4" xfId="0" applyNumberFormat="1" applyFont="1" applyFill="1" applyBorder="1"/>
    <xf numFmtId="3" fontId="15" fillId="2" borderId="5" xfId="0" applyNumberFormat="1" applyFont="1" applyFill="1" applyBorder="1"/>
    <xf numFmtId="3" fontId="1" fillId="9" borderId="49" xfId="0" applyNumberFormat="1" applyFont="1" applyFill="1" applyBorder="1" applyAlignment="1">
      <alignment horizontal="right"/>
    </xf>
    <xf numFmtId="0" fontId="39" fillId="0" borderId="0" xfId="0" applyFont="1" applyAlignment="1">
      <alignment horizontal="right"/>
    </xf>
    <xf numFmtId="1" fontId="35" fillId="19" borderId="36"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0" fillId="0" borderId="0" xfId="0" applyFont="1" applyAlignment="1">
      <alignment horizontal="right"/>
    </xf>
    <xf numFmtId="9" fontId="1" fillId="2" borderId="56" xfId="0" applyNumberFormat="1" applyFont="1" applyFill="1" applyBorder="1"/>
    <xf numFmtId="1" fontId="1" fillId="2" borderId="56"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56" xfId="0" applyNumberFormat="1" applyFont="1" applyFill="1" applyBorder="1"/>
    <xf numFmtId="3" fontId="1" fillId="2" borderId="49" xfId="0" applyNumberFormat="1" applyFont="1" applyFill="1" applyBorder="1" applyAlignment="1">
      <alignment horizontal="right"/>
    </xf>
    <xf numFmtId="165" fontId="1" fillId="2" borderId="56"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57"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 fontId="40" fillId="4" borderId="31"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56"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56" xfId="0" applyNumberFormat="1" applyFont="1" applyFill="1" applyBorder="1"/>
    <xf numFmtId="9" fontId="0" fillId="2" borderId="0" xfId="0" applyNumberFormat="1" applyFill="1"/>
    <xf numFmtId="166" fontId="1" fillId="18" borderId="0" xfId="0" applyNumberFormat="1" applyFont="1" applyFill="1"/>
    <xf numFmtId="164" fontId="1" fillId="18" borderId="56" xfId="0" applyNumberFormat="1" applyFont="1" applyFill="1" applyBorder="1"/>
    <xf numFmtId="0" fontId="42" fillId="2" borderId="4" xfId="0" applyFont="1" applyFill="1" applyBorder="1"/>
    <xf numFmtId="0" fontId="1" fillId="2" borderId="3" xfId="0" applyFont="1" applyFill="1" applyBorder="1" applyAlignment="1">
      <alignment horizontal="left"/>
    </xf>
    <xf numFmtId="0" fontId="42"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4" fillId="0" borderId="0" xfId="1" applyFont="1"/>
    <xf numFmtId="166" fontId="0" fillId="2" borderId="0" xfId="0" applyNumberFormat="1" applyFill="1"/>
    <xf numFmtId="0" fontId="45"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49" fontId="46" fillId="0" borderId="0" xfId="14" applyNumberFormat="1" applyFont="1" applyAlignment="1">
      <alignment vertical="top"/>
    </xf>
    <xf numFmtId="1" fontId="46" fillId="16" borderId="0" xfId="14" applyNumberFormat="1" applyFont="1" applyFill="1" applyAlignment="1">
      <alignment vertical="top"/>
    </xf>
    <xf numFmtId="4" fontId="46" fillId="16" borderId="0" xfId="14" applyNumberFormat="1" applyFont="1" applyFill="1" applyAlignment="1">
      <alignment vertical="top"/>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49" fontId="46" fillId="0" borderId="0" xfId="0" applyNumberFormat="1" applyFont="1" applyAlignment="1">
      <alignment vertical="top"/>
    </xf>
    <xf numFmtId="1" fontId="46" fillId="16" borderId="0" xfId="0" applyNumberFormat="1" applyFont="1" applyFill="1" applyAlignment="1">
      <alignment vertical="top"/>
    </xf>
    <xf numFmtId="4" fontId="46" fillId="16" borderId="0" xfId="0" applyNumberFormat="1" applyFont="1" applyFill="1" applyAlignment="1">
      <alignment vertical="top"/>
    </xf>
    <xf numFmtId="0" fontId="47" fillId="2" borderId="0" xfId="0" applyFont="1" applyFill="1"/>
    <xf numFmtId="0" fontId="47"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0" fontId="48" fillId="0" borderId="59" xfId="0" applyFont="1" applyBorder="1" applyAlignment="1">
      <alignment vertical="center" wrapText="1"/>
    </xf>
    <xf numFmtId="1" fontId="1" fillId="0" borderId="0" xfId="0" applyNumberFormat="1" applyFont="1" applyAlignment="1">
      <alignment horizontal="center" wrapText="1"/>
    </xf>
    <xf numFmtId="49" fontId="46" fillId="3" borderId="0" xfId="0" applyNumberFormat="1" applyFont="1" applyFill="1" applyAlignment="1">
      <alignment vertical="top"/>
    </xf>
    <xf numFmtId="4" fontId="0" fillId="2" borderId="0" xfId="0" applyNumberFormat="1" applyFill="1"/>
    <xf numFmtId="0" fontId="16" fillId="0" borderId="3" xfId="0" applyFont="1" applyBorder="1" applyAlignment="1">
      <alignment horizontal="center"/>
    </xf>
    <xf numFmtId="14" fontId="16" fillId="0" borderId="7" xfId="0" applyNumberFormat="1" applyFont="1" applyBorder="1" applyAlignment="1">
      <alignment horizontal="center"/>
    </xf>
    <xf numFmtId="1" fontId="15" fillId="0" borderId="7" xfId="0" applyNumberFormat="1" applyFont="1" applyBorder="1"/>
    <xf numFmtId="1" fontId="15" fillId="2" borderId="40" xfId="0" applyNumberFormat="1" applyFont="1" applyFill="1" applyBorder="1"/>
    <xf numFmtId="171" fontId="15" fillId="0" borderId="0" xfId="0" applyNumberFormat="1" applyFont="1"/>
    <xf numFmtId="0" fontId="1" fillId="0" borderId="49" xfId="0" applyFont="1" applyBorder="1" applyAlignment="1">
      <alignment horizontal="center" wrapText="1"/>
    </xf>
    <xf numFmtId="0" fontId="0" fillId="0" borderId="49" xfId="0" applyBorder="1"/>
    <xf numFmtId="14" fontId="0" fillId="0" borderId="49" xfId="0" applyNumberFormat="1" applyBorder="1"/>
    <xf numFmtId="166" fontId="0" fillId="0" borderId="49" xfId="0" applyNumberFormat="1" applyBorder="1"/>
    <xf numFmtId="0" fontId="1" fillId="18" borderId="49" xfId="0" applyFont="1" applyFill="1" applyBorder="1"/>
    <xf numFmtId="166" fontId="1" fillId="18" borderId="49" xfId="0" applyNumberFormat="1" applyFont="1" applyFill="1" applyBorder="1"/>
    <xf numFmtId="0" fontId="0" fillId="0" borderId="49" xfId="0" applyBorder="1" applyAlignment="1">
      <alignment wrapText="1"/>
    </xf>
    <xf numFmtId="0" fontId="1" fillId="0" borderId="49" xfId="0" applyFont="1" applyBorder="1" applyAlignment="1">
      <alignment horizontal="center" wrapText="1"/>
    </xf>
    <xf numFmtId="164" fontId="15" fillId="17" borderId="37" xfId="0" applyNumberFormat="1" applyFont="1" applyFill="1" applyBorder="1"/>
    <xf numFmtId="164" fontId="15" fillId="17" borderId="38" xfId="0" applyNumberFormat="1" applyFont="1" applyFill="1" applyBorder="1"/>
    <xf numFmtId="0" fontId="16" fillId="2" borderId="41" xfId="0" applyFont="1" applyFill="1" applyBorder="1" applyAlignment="1">
      <alignment horizontal="center" vertical="center" wrapText="1"/>
    </xf>
    <xf numFmtId="0" fontId="1" fillId="0" borderId="36" xfId="0" applyFont="1" applyBorder="1" applyAlignment="1">
      <alignment horizontal="center" vertical="center" wrapText="1"/>
    </xf>
    <xf numFmtId="0" fontId="16" fillId="17" borderId="2"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0" fontId="16" fillId="3" borderId="6" xfId="0" applyFont="1" applyFill="1" applyBorder="1" applyAlignment="1">
      <alignment horizontal="right"/>
    </xf>
    <xf numFmtId="0" fontId="15" fillId="3" borderId="1" xfId="0" applyFont="1" applyFill="1" applyBorder="1"/>
    <xf numFmtId="164" fontId="15" fillId="18" borderId="41" xfId="0" applyNumberFormat="1" applyFont="1" applyFill="1" applyBorder="1" applyAlignment="1">
      <alignment horizontal="center" vertical="center" wrapText="1"/>
    </xf>
    <xf numFmtId="164" fontId="0" fillId="18" borderId="36" xfId="0" applyNumberFormat="1" applyFill="1" applyBorder="1" applyAlignment="1">
      <alignment horizontal="center" vertical="center" wrapText="1"/>
    </xf>
    <xf numFmtId="9" fontId="15" fillId="2" borderId="41" xfId="0" applyNumberFormat="1" applyFont="1" applyFill="1" applyBorder="1" applyAlignment="1">
      <alignment horizontal="center"/>
    </xf>
    <xf numFmtId="9" fontId="0" fillId="0" borderId="36" xfId="0" applyNumberFormat="1" applyBorder="1" applyAlignment="1">
      <alignment horizontal="center"/>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14" fontId="15" fillId="2" borderId="41" xfId="0" applyNumberFormat="1" applyFont="1" applyFill="1" applyBorder="1" applyAlignment="1">
      <alignment horizontal="center" vertical="center"/>
    </xf>
    <xf numFmtId="0" fontId="0" fillId="0" borderId="36" xfId="0" applyBorder="1" applyAlignment="1">
      <alignment horizontal="center" vertical="center"/>
    </xf>
    <xf numFmtId="3" fontId="15" fillId="0" borderId="0" xfId="0" applyNumberFormat="1" applyFont="1"/>
    <xf numFmtId="3" fontId="15" fillId="2" borderId="4" xfId="0" applyNumberFormat="1" applyFont="1" applyFill="1" applyBorder="1"/>
    <xf numFmtId="3" fontId="15" fillId="2" borderId="5" xfId="0" applyNumberFormat="1" applyFont="1" applyFill="1" applyBorder="1"/>
    <xf numFmtId="3" fontId="15" fillId="2" borderId="2" xfId="0" applyNumberFormat="1" applyFont="1" applyFill="1" applyBorder="1"/>
    <xf numFmtId="3" fontId="15" fillId="2" borderId="3" xfId="0" applyNumberFormat="1" applyFont="1" applyFill="1" applyBorder="1"/>
    <xf numFmtId="3" fontId="15" fillId="2" borderId="6" xfId="0" applyNumberFormat="1" applyFont="1" applyFill="1" applyBorder="1"/>
    <xf numFmtId="3" fontId="15" fillId="2" borderId="7" xfId="0" applyNumberFormat="1" applyFont="1" applyFill="1" applyBorder="1"/>
    <xf numFmtId="164" fontId="15" fillId="0" borderId="1" xfId="0" applyNumberFormat="1" applyFont="1" applyBorder="1"/>
    <xf numFmtId="0" fontId="15" fillId="0" borderId="1" xfId="0" applyFont="1" applyBorder="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5" fillId="18" borderId="41" xfId="0" applyFont="1" applyFill="1" applyBorder="1" applyAlignment="1">
      <alignment horizontal="center" vertical="center" wrapText="1"/>
    </xf>
    <xf numFmtId="0" fontId="0" fillId="18" borderId="36" xfId="0" applyFill="1" applyBorder="1" applyAlignment="1">
      <alignment horizontal="center" vertical="center" wrapText="1"/>
    </xf>
    <xf numFmtId="164" fontId="15" fillId="18" borderId="2" xfId="0" applyNumberFormat="1" applyFont="1" applyFill="1" applyBorder="1"/>
    <xf numFmtId="0" fontId="15" fillId="18" borderId="3" xfId="0" applyFont="1" applyFill="1" applyBorder="1"/>
    <xf numFmtId="0" fontId="16" fillId="18" borderId="2" xfId="0" applyFont="1" applyFill="1" applyBorder="1" applyAlignment="1">
      <alignment horizontal="center" vertical="center"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5" fillId="18" borderId="60" xfId="0" applyFont="1" applyFill="1" applyBorder="1" applyAlignment="1">
      <alignment horizontal="center" vertical="center" wrapText="1"/>
    </xf>
    <xf numFmtId="0" fontId="0" fillId="0" borderId="61" xfId="0" applyBorder="1"/>
    <xf numFmtId="0" fontId="16" fillId="0" borderId="0" xfId="0" applyFont="1" applyAlignment="1">
      <alignment horizontal="center"/>
    </xf>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164" fontId="16" fillId="3" borderId="4" xfId="0" applyNumberFormat="1" applyFont="1" applyFill="1" applyBorder="1" applyAlignment="1">
      <alignment horizontal="right"/>
    </xf>
    <xf numFmtId="0" fontId="15" fillId="3" borderId="0" xfId="0" applyFont="1" applyFill="1" applyAlignment="1">
      <alignment horizontal="right"/>
    </xf>
    <xf numFmtId="0" fontId="16"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164" fontId="15" fillId="18" borderId="6" xfId="0" applyNumberFormat="1" applyFont="1" applyFill="1" applyBorder="1"/>
    <xf numFmtId="0" fontId="15" fillId="18" borderId="7" xfId="0" applyFont="1" applyFill="1" applyBorder="1"/>
    <xf numFmtId="164" fontId="15" fillId="0" borderId="37" xfId="0" applyNumberFormat="1" applyFont="1" applyBorder="1"/>
    <xf numFmtId="0" fontId="15" fillId="0" borderId="38" xfId="0" applyFont="1" applyBorder="1"/>
    <xf numFmtId="164" fontId="15" fillId="0" borderId="6" xfId="0" applyNumberFormat="1" applyFont="1" applyBorder="1"/>
    <xf numFmtId="0" fontId="15" fillId="0" borderId="7" xfId="0" applyFont="1" applyBorder="1"/>
    <xf numFmtId="164" fontId="16" fillId="0" borderId="0" xfId="0" applyNumberFormat="1" applyFont="1" applyAlignment="1">
      <alignment horizontal="right"/>
    </xf>
    <xf numFmtId="0" fontId="16" fillId="0" borderId="10" xfId="0" applyFont="1" applyBorder="1" applyAlignment="1">
      <alignment horizontal="right"/>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41" xfId="0" applyNumberFormat="1" applyFont="1" applyFill="1" applyBorder="1" applyAlignment="1">
      <alignment horizontal="center" vertical="center"/>
    </xf>
    <xf numFmtId="3" fontId="0" fillId="0" borderId="36" xfId="0" applyNumberFormat="1" applyBorder="1" applyAlignment="1">
      <alignment horizontal="center" vertical="center"/>
    </xf>
    <xf numFmtId="164" fontId="15" fillId="2" borderId="6" xfId="0" applyNumberFormat="1" applyFont="1" applyFill="1" applyBorder="1"/>
    <xf numFmtId="0" fontId="15" fillId="2" borderId="7" xfId="0" applyFont="1" applyFill="1" applyBorder="1"/>
    <xf numFmtId="0" fontId="16" fillId="2" borderId="37" xfId="0" applyFont="1" applyFill="1" applyBorder="1" applyAlignment="1">
      <alignment horizontal="center" wrapText="1"/>
    </xf>
    <xf numFmtId="0" fontId="0" fillId="0" borderId="38" xfId="0" applyBorder="1"/>
    <xf numFmtId="14" fontId="16" fillId="2" borderId="37" xfId="0" applyNumberFormat="1" applyFont="1" applyFill="1" applyBorder="1" applyAlignment="1">
      <alignment horizontal="center"/>
    </xf>
    <xf numFmtId="0" fontId="0" fillId="2" borderId="38" xfId="0" applyFill="1" applyBorder="1"/>
    <xf numFmtId="0" fontId="16" fillId="0" borderId="2" xfId="0" applyFont="1" applyBorder="1" applyAlignment="1">
      <alignment horizontal="center"/>
    </xf>
    <xf numFmtId="0" fontId="0" fillId="0" borderId="10" xfId="0" applyBorder="1"/>
    <xf numFmtId="0" fontId="16" fillId="0" borderId="10" xfId="0" applyFont="1" applyBorder="1" applyAlignment="1">
      <alignment horizontal="center" wrapText="1"/>
    </xf>
    <xf numFmtId="0" fontId="15" fillId="0" borderId="3" xfId="0" applyFont="1" applyBorder="1"/>
    <xf numFmtId="164" fontId="15" fillId="0" borderId="12" xfId="0" applyNumberFormat="1" applyFont="1" applyBorder="1"/>
    <xf numFmtId="0" fontId="15" fillId="0" borderId="13" xfId="0" applyFont="1" applyBorder="1"/>
    <xf numFmtId="0" fontId="15" fillId="18" borderId="37" xfId="0" applyFont="1" applyFill="1" applyBorder="1" applyAlignment="1">
      <alignment horizontal="left"/>
    </xf>
    <xf numFmtId="0" fontId="0" fillId="0" borderId="38" xfId="0" applyBorder="1" applyAlignment="1">
      <alignment horizontal="left"/>
    </xf>
    <xf numFmtId="3" fontId="15" fillId="3" borderId="10" xfId="0" applyNumberFormat="1" applyFont="1" applyFill="1" applyBorder="1"/>
    <xf numFmtId="0" fontId="1" fillId="2" borderId="37" xfId="0" applyFont="1" applyFill="1" applyBorder="1" applyAlignment="1">
      <alignment horizontal="center"/>
    </xf>
    <xf numFmtId="0" fontId="1" fillId="2" borderId="39" xfId="0" applyFont="1" applyFill="1" applyBorder="1" applyAlignment="1">
      <alignment horizontal="center"/>
    </xf>
    <xf numFmtId="0" fontId="1" fillId="2" borderId="38" xfId="0" applyFont="1" applyFill="1" applyBorder="1" applyAlignment="1">
      <alignment horizontal="center"/>
    </xf>
    <xf numFmtId="0" fontId="16" fillId="0" borderId="1" xfId="0" applyFont="1" applyBorder="1" applyAlignment="1">
      <alignment horizontal="center"/>
    </xf>
    <xf numFmtId="164" fontId="16" fillId="0" borderId="10" xfId="0" applyNumberFormat="1" applyFont="1" applyBorder="1" applyAlignment="1">
      <alignment horizontal="right"/>
    </xf>
    <xf numFmtId="3" fontId="15" fillId="2" borderId="34" xfId="0" applyNumberFormat="1" applyFont="1" applyFill="1" applyBorder="1"/>
    <xf numFmtId="3" fontId="15" fillId="2" borderId="35" xfId="0" applyNumberFormat="1" applyFont="1" applyFill="1" applyBorder="1"/>
    <xf numFmtId="0" fontId="16" fillId="0" borderId="0" xfId="0" applyFont="1"/>
    <xf numFmtId="0" fontId="16" fillId="3" borderId="4" xfId="0" applyFont="1" applyFill="1" applyBorder="1" applyAlignment="1">
      <alignment horizontal="right"/>
    </xf>
    <xf numFmtId="0" fontId="16" fillId="3" borderId="0" xfId="0" applyFont="1" applyFill="1" applyAlignment="1">
      <alignment horizontal="right"/>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15" fillId="2" borderId="41" xfId="0" applyFont="1" applyFill="1" applyBorder="1" applyAlignment="1">
      <alignment horizontal="center" vertical="center"/>
    </xf>
    <xf numFmtId="164" fontId="34" fillId="2" borderId="2" xfId="0" applyNumberFormat="1" applyFont="1" applyFill="1" applyBorder="1"/>
    <xf numFmtId="0" fontId="34" fillId="2" borderId="3" xfId="0"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3" fontId="15" fillId="0" borderId="1" xfId="0" applyNumberFormat="1" applyFont="1" applyBorder="1"/>
    <xf numFmtId="3" fontId="35" fillId="4" borderId="43" xfId="0" applyNumberFormat="1" applyFont="1" applyFill="1" applyBorder="1" applyAlignment="1">
      <alignment horizontal="right"/>
    </xf>
    <xf numFmtId="3" fontId="15" fillId="0" borderId="44" xfId="0" applyNumberFormat="1" applyFont="1" applyBorder="1" applyAlignment="1">
      <alignment horizontal="right"/>
    </xf>
    <xf numFmtId="3" fontId="15" fillId="18" borderId="2" xfId="0" applyNumberFormat="1" applyFont="1" applyFill="1" applyBorder="1"/>
    <xf numFmtId="0" fontId="16" fillId="0" borderId="0" xfId="0" applyFont="1" applyAlignment="1">
      <alignment horizontal="right"/>
    </xf>
    <xf numFmtId="0" fontId="15" fillId="0" borderId="0" xfId="0" applyFont="1"/>
    <xf numFmtId="9" fontId="15" fillId="2" borderId="37" xfId="0" applyNumberFormat="1" applyFont="1" applyFill="1" applyBorder="1" applyAlignment="1">
      <alignment horizontal="right"/>
    </xf>
    <xf numFmtId="9" fontId="0" fillId="0" borderId="39" xfId="0" applyNumberFormat="1" applyBorder="1" applyAlignment="1">
      <alignment horizontal="right"/>
    </xf>
    <xf numFmtId="164" fontId="15" fillId="2" borderId="4" xfId="0" applyNumberFormat="1" applyFont="1" applyFill="1" applyBorder="1"/>
    <xf numFmtId="164" fontId="16" fillId="3" borderId="54" xfId="0" applyNumberFormat="1" applyFont="1" applyFill="1" applyBorder="1"/>
    <xf numFmtId="0" fontId="0" fillId="0" borderId="55" xfId="0" applyBorder="1"/>
    <xf numFmtId="9" fontId="0" fillId="0" borderId="38" xfId="0" applyNumberFormat="1" applyBorder="1" applyAlignment="1">
      <alignment horizontal="right"/>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1" fillId="0" borderId="0" xfId="0" applyFont="1" applyAlignment="1">
      <alignment horizont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vertical="top" wrapText="1"/>
    </xf>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58"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8" fontId="0" fillId="12" borderId="0" xfId="0" applyNumberFormat="1" applyFill="1" applyAlignment="1">
      <alignment horizontal="right"/>
    </xf>
    <xf numFmtId="0" fontId="0" fillId="0" borderId="0" xfId="0" applyAlignment="1">
      <alignment horizontal="right"/>
    </xf>
    <xf numFmtId="8" fontId="0" fillId="9" borderId="1" xfId="0" applyNumberFormat="1" applyFill="1" applyBorder="1" applyAlignment="1">
      <alignment horizontal="right"/>
    </xf>
    <xf numFmtId="0" fontId="0" fillId="0" borderId="1" xfId="0" applyBorder="1" applyAlignment="1">
      <alignment horizontal="right"/>
    </xf>
    <xf numFmtId="8" fontId="0" fillId="11" borderId="0" xfId="0" applyNumberFormat="1" applyFill="1" applyAlignment="1">
      <alignment horizontal="right"/>
    </xf>
    <xf numFmtId="8" fontId="0" fillId="3" borderId="0" xfId="0" applyNumberFormat="1" applyFill="1" applyAlignment="1">
      <alignment horizontal="right"/>
    </xf>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0" fontId="0" fillId="11" borderId="0" xfId="0" applyFill="1"/>
    <xf numFmtId="8" fontId="1" fillId="9" borderId="1" xfId="0" applyNumberFormat="1" applyFont="1" applyFill="1" applyBorder="1" applyAlignment="1">
      <alignment horizontal="right"/>
    </xf>
    <xf numFmtId="0" fontId="1" fillId="0" borderId="1" xfId="0" applyFont="1" applyBorder="1"/>
    <xf numFmtId="170" fontId="0" fillId="18" borderId="39" xfId="0" applyNumberFormat="1" applyFill="1" applyBorder="1" applyAlignment="1">
      <alignment horizontal="right" vertical="center"/>
    </xf>
    <xf numFmtId="170" fontId="0" fillId="18" borderId="38"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xf numFmtId="0" fontId="50" fillId="22" borderId="62" xfId="0" applyFont="1" applyFill="1" applyBorder="1" applyAlignment="1">
      <alignment horizontal="center" vertical="center" wrapText="1"/>
    </xf>
    <xf numFmtId="0" fontId="51" fillId="23" borderId="63" xfId="0" applyFont="1" applyFill="1" applyBorder="1" applyAlignment="1">
      <alignment horizontal="center"/>
    </xf>
    <xf numFmtId="0" fontId="52" fillId="24" borderId="64" xfId="0" applyFont="1" applyFill="1" applyBorder="1" applyAlignment="1">
      <alignment horizontal="left" vertical="center"/>
    </xf>
    <xf numFmtId="173" fontId="52" fillId="24" borderId="64" xfId="0" applyNumberFormat="1" applyFont="1" applyFill="1" applyBorder="1" applyAlignment="1">
      <alignment vertical="center"/>
    </xf>
    <xf numFmtId="165" fontId="52" fillId="24" borderId="64" xfId="0" applyNumberFormat="1" applyFont="1" applyFill="1" applyBorder="1" applyAlignment="1">
      <alignment vertical="center"/>
    </xf>
    <xf numFmtId="0" fontId="52" fillId="24" borderId="64" xfId="0" applyFont="1" applyFill="1" applyBorder="1" applyAlignment="1">
      <alignment horizontal="left" vertical="center" wrapText="1"/>
    </xf>
    <xf numFmtId="0" fontId="40" fillId="25" borderId="63" xfId="0" applyFont="1" applyFill="1" applyBorder="1" applyAlignment="1">
      <alignment horizontal="right" vertical="top"/>
    </xf>
    <xf numFmtId="174" fontId="0" fillId="26" borderId="63" xfId="0" applyNumberFormat="1" applyFill="1" applyBorder="1" applyAlignment="1">
      <alignment vertical="top"/>
    </xf>
    <xf numFmtId="0" fontId="53" fillId="27" borderId="62" xfId="0" applyFont="1" applyFill="1" applyBorder="1" applyAlignment="1">
      <alignment horizontal="left" vertical="center"/>
    </xf>
    <xf numFmtId="173" fontId="53" fillId="27" borderId="62" xfId="0" applyNumberFormat="1" applyFont="1" applyFill="1" applyBorder="1" applyAlignment="1">
      <alignment vertical="center"/>
    </xf>
    <xf numFmtId="165" fontId="53" fillId="27" borderId="62" xfId="0" applyNumberFormat="1" applyFont="1" applyFill="1" applyBorder="1" applyAlignment="1">
      <alignment vertical="center"/>
    </xf>
    <xf numFmtId="0" fontId="53" fillId="27" borderId="62" xfId="0" applyFont="1" applyFill="1" applyBorder="1" applyAlignment="1">
      <alignment horizontal="left" vertical="center" wrapText="1"/>
    </xf>
    <xf numFmtId="0" fontId="54" fillId="23" borderId="0" xfId="0" applyFont="1" applyFill="1" applyAlignment="1">
      <alignment horizontal="center"/>
    </xf>
    <xf numFmtId="0" fontId="35" fillId="25" borderId="0" xfId="0" applyFont="1" applyFill="1" applyAlignment="1">
      <alignment horizontal="center" vertical="top" wrapText="1"/>
    </xf>
    <xf numFmtId="0" fontId="40" fillId="25" borderId="0" xfId="0" applyFont="1" applyFill="1" applyAlignment="1">
      <alignment horizontal="center" vertical="top" wrapText="1"/>
    </xf>
    <xf numFmtId="0" fontId="0" fillId="25" borderId="65" xfId="0" applyFill="1" applyBorder="1"/>
    <xf numFmtId="165" fontId="0" fillId="25" borderId="65" xfId="0" applyNumberFormat="1" applyFill="1" applyBorder="1" applyAlignment="1">
      <alignment horizontal="right"/>
    </xf>
    <xf numFmtId="0" fontId="55" fillId="16" borderId="0" xfId="0" applyFont="1" applyFill="1"/>
    <xf numFmtId="0" fontId="1" fillId="18" borderId="4" xfId="0" applyFont="1" applyFill="1" applyBorder="1" applyAlignment="1">
      <alignment horizontal="center"/>
    </xf>
    <xf numFmtId="0" fontId="1" fillId="18" borderId="0" xfId="0" applyFont="1" applyFill="1" applyAlignment="1">
      <alignment horizontal="center"/>
    </xf>
    <xf numFmtId="0" fontId="40" fillId="28" borderId="63" xfId="0" applyFont="1" applyFill="1" applyBorder="1" applyAlignment="1">
      <alignment horizontal="center" wrapText="1"/>
    </xf>
    <xf numFmtId="0" fontId="35" fillId="28" borderId="66" xfId="0" applyFont="1" applyFill="1" applyBorder="1" applyAlignment="1">
      <alignment horizontal="center" wrapText="1"/>
    </xf>
    <xf numFmtId="0" fontId="40" fillId="28" borderId="66" xfId="0" applyFont="1" applyFill="1" applyBorder="1" applyAlignment="1">
      <alignment horizontal="center" wrapText="1"/>
    </xf>
    <xf numFmtId="0" fontId="0" fillId="0" borderId="63" xfId="0" applyBorder="1" applyAlignment="1">
      <alignment vertical="top" wrapText="1"/>
    </xf>
    <xf numFmtId="174" fontId="0" fillId="29" borderId="63" xfId="0" applyNumberFormat="1" applyFill="1" applyBorder="1" applyAlignment="1">
      <alignment horizontal="right" vertical="top" wrapText="1"/>
    </xf>
    <xf numFmtId="174" fontId="0" fillId="26" borderId="63" xfId="0" applyNumberFormat="1" applyFill="1" applyBorder="1" applyAlignment="1">
      <alignment horizontal="right" vertical="top" wrapText="1"/>
    </xf>
    <xf numFmtId="175" fontId="0" fillId="29" borderId="63" xfId="0" applyNumberFormat="1" applyFill="1" applyBorder="1" applyAlignment="1">
      <alignment horizontal="center"/>
    </xf>
    <xf numFmtId="0" fontId="0" fillId="29" borderId="63" xfId="0" applyFill="1" applyBorder="1" applyAlignment="1">
      <alignment vertical="top" wrapText="1"/>
    </xf>
    <xf numFmtId="0" fontId="0" fillId="25" borderId="63" xfId="0" applyFill="1" applyBorder="1" applyAlignment="1">
      <alignment vertical="top"/>
    </xf>
    <xf numFmtId="0" fontId="40" fillId="25" borderId="63" xfId="0" applyFont="1" applyFill="1" applyBorder="1" applyAlignment="1">
      <alignment horizontal="right" vertical="top" wrapText="1"/>
    </xf>
    <xf numFmtId="0" fontId="0" fillId="26" borderId="63" xfId="0" applyFill="1" applyBorder="1" applyAlignment="1">
      <alignment vertical="top" wrapText="1"/>
    </xf>
    <xf numFmtId="0" fontId="40" fillId="30" borderId="63" xfId="0" applyFont="1" applyFill="1" applyBorder="1" applyAlignment="1">
      <alignment vertical="top" wrapText="1"/>
    </xf>
    <xf numFmtId="174" fontId="40" fillId="30" borderId="63" xfId="0" applyNumberFormat="1" applyFont="1" applyFill="1" applyBorder="1" applyAlignment="1">
      <alignment horizontal="right" vertical="top" wrapText="1"/>
    </xf>
    <xf numFmtId="0" fontId="0" fillId="25" borderId="63" xfId="0" applyFill="1" applyBorder="1" applyAlignment="1">
      <alignment vertical="top" wrapText="1"/>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70">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numFmt numFmtId="1" formatCode="0"/>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numFmt numFmtId="30" formatCode="@"/>
    </dxf>
    <dxf>
      <numFmt numFmtId="166" formatCode="&quot;$&quot;#,##0.00"/>
    </dxf>
    <dxf>
      <numFmt numFmtId="19" formatCode="m/d/yyyy"/>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9"/>
      <tableStyleElement type="headerRow" dxfId="68"/>
      <tableStyleElement type="firstRowStripe" dxfId="67"/>
    </tableStyle>
    <tableStyle name="Gantt Table Style 2" pivot="0" count="3" xr9:uid="{188EAD57-0217-4B5E-8A07-C858B28862F4}">
      <tableStyleElement type="wholeTable" dxfId="66"/>
      <tableStyleElement type="headerRow" dxfId="65"/>
      <tableStyleElement type="firstRow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Radio" firstButton="1" fmlaLink="$J$1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L$14" lockText="1" noThreeD="1"/>
</file>

<file path=xl/ctrlProps/ctrlProp4.xml><?xml version="1.0" encoding="utf-8"?>
<formControlPr xmlns="http://schemas.microsoft.com/office/spreadsheetml/2009/9/main" objectType="CheckBox" fmlaLink="$L$15" lockText="1" noThreeD="1"/>
</file>

<file path=xl/ctrlProps/ctrlProp5.xml><?xml version="1.0" encoding="utf-8"?>
<formControlPr xmlns="http://schemas.microsoft.com/office/spreadsheetml/2009/9/main" objectType="CheckBox" fmlaLink="$L$16" lockText="1" noThreeD="1"/>
</file>

<file path=xl/ctrlProps/ctrlProp6.xml><?xml version="1.0" encoding="utf-8"?>
<formControlPr xmlns="http://schemas.microsoft.com/office/spreadsheetml/2009/9/main" objectType="Scroll" dx="39" fmlaLink="$AB$26" horiz="1" max="365" page="0"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28575</xdr:colOff>
          <xdr:row>10</xdr:row>
          <xdr:rowOff>28575</xdr:rowOff>
        </xdr:from>
        <xdr:to>
          <xdr:col>7</xdr:col>
          <xdr:colOff>352425</xdr:colOff>
          <xdr:row>11</xdr:row>
          <xdr:rowOff>47625</xdr:rowOff>
        </xdr:to>
        <xdr:sp macro="" textlink="">
          <xdr:nvSpPr>
            <xdr:cNvPr id="30721" name="optCapBasedValue" hidden="1">
              <a:extLst>
                <a:ext uri="{63B3BB69-23CF-44E3-9099-C40C66FF867C}">
                  <a14:compatExt spid="_x0000_s30721"/>
                </a:ext>
                <a:ext uri="{FF2B5EF4-FFF2-40B4-BE49-F238E27FC236}">
                  <a16:creationId xmlns:a16="http://schemas.microsoft.com/office/drawing/2014/main" id="{43D6EC99-26E1-4050-A891-3731A93E7D0E}"/>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Cap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10</xdr:row>
          <xdr:rowOff>28575</xdr:rowOff>
        </xdr:from>
        <xdr:to>
          <xdr:col>8</xdr:col>
          <xdr:colOff>295275</xdr:colOff>
          <xdr:row>11</xdr:row>
          <xdr:rowOff>47625</xdr:rowOff>
        </xdr:to>
        <xdr:sp macro="" textlink="">
          <xdr:nvSpPr>
            <xdr:cNvPr id="30722" name="optCMABasedValue" hidden="1">
              <a:extLst>
                <a:ext uri="{63B3BB69-23CF-44E3-9099-C40C66FF867C}">
                  <a14:compatExt spid="_x0000_s30722"/>
                </a:ext>
                <a:ext uri="{FF2B5EF4-FFF2-40B4-BE49-F238E27FC236}">
                  <a16:creationId xmlns:a16="http://schemas.microsoft.com/office/drawing/2014/main" id="{F3681ED2-E64D-4147-87CB-6E9567068CDF}"/>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CMA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13</xdr:row>
          <xdr:rowOff>28575</xdr:rowOff>
        </xdr:from>
        <xdr:to>
          <xdr:col>12</xdr:col>
          <xdr:colOff>676275</xdr:colOff>
          <xdr:row>15</xdr:row>
          <xdr:rowOff>28575</xdr:rowOff>
        </xdr:to>
        <xdr:sp macro="" textlink="">
          <xdr:nvSpPr>
            <xdr:cNvPr id="30723" name="chkIncludeContract6" hidden="1">
              <a:extLst>
                <a:ext uri="{63B3BB69-23CF-44E3-9099-C40C66FF867C}">
                  <a14:compatExt spid="_x0000_s30723"/>
                </a:ext>
                <a:ext uri="{FF2B5EF4-FFF2-40B4-BE49-F238E27FC236}">
                  <a16:creationId xmlns:a16="http://schemas.microsoft.com/office/drawing/2014/main" id="{0F6050A1-9FA4-4F3B-BEAD-3F39A1C786C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14</xdr:row>
          <xdr:rowOff>28575</xdr:rowOff>
        </xdr:from>
        <xdr:to>
          <xdr:col>12</xdr:col>
          <xdr:colOff>676275</xdr:colOff>
          <xdr:row>15</xdr:row>
          <xdr:rowOff>219075</xdr:rowOff>
        </xdr:to>
        <xdr:sp macro="" textlink="">
          <xdr:nvSpPr>
            <xdr:cNvPr id="30724" name="chkIncludeContract7" hidden="1">
              <a:extLst>
                <a:ext uri="{63B3BB69-23CF-44E3-9099-C40C66FF867C}">
                  <a14:compatExt spid="_x0000_s30724"/>
                </a:ext>
                <a:ext uri="{FF2B5EF4-FFF2-40B4-BE49-F238E27FC236}">
                  <a16:creationId xmlns:a16="http://schemas.microsoft.com/office/drawing/2014/main" id="{A906BF08-E473-49E3-88B1-2A9D7670463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15</xdr:row>
          <xdr:rowOff>28575</xdr:rowOff>
        </xdr:from>
        <xdr:to>
          <xdr:col>12</xdr:col>
          <xdr:colOff>676275</xdr:colOff>
          <xdr:row>15</xdr:row>
          <xdr:rowOff>409575</xdr:rowOff>
        </xdr:to>
        <xdr:sp macro="" textlink="">
          <xdr:nvSpPr>
            <xdr:cNvPr id="30725" name="chkIncludeContract8" hidden="1">
              <a:extLst>
                <a:ext uri="{63B3BB69-23CF-44E3-9099-C40C66FF867C}">
                  <a14:compatExt spid="_x0000_s30725"/>
                </a:ext>
                <a:ext uri="{FF2B5EF4-FFF2-40B4-BE49-F238E27FC236}">
                  <a16:creationId xmlns:a16="http://schemas.microsoft.com/office/drawing/2014/main" id="{1CA7BBFB-1113-4BC7-9EC6-443F0C2CFDA6}"/>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6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24_Project%20Management%20-%204121%20Tensity%20Dr%202.xlsm" TargetMode="External"/><Relationship Id="rId1" Type="http://schemas.openxmlformats.org/officeDocument/2006/relationships/externalLinkPath" Target="https://lifeisanadventure.sharepoint.com/sites/SellYourHome/Shared%20Documents/Property/24_Project%20Management%20-%204121%20Tensity%20Dr%2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sheetName val="Amortization"/>
      <sheetName val="Docs"/>
      <sheetName val="Trade Properties"/>
      <sheetName val="MOG"/>
      <sheetName val="Contact"/>
      <sheetName val="Carrying"/>
      <sheetName val="Contract"/>
      <sheetName val="UpdateContract"/>
      <sheetName val="Gnatt Chart"/>
      <sheetName val="Invoice"/>
      <sheetName val="Recap"/>
      <sheetName val="Legal"/>
      <sheetName val="Seller Advance"/>
      <sheetName val="MISC"/>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STR"/>
      <sheetName val="2024"/>
      <sheetName val="2023"/>
      <sheetName val="2022"/>
      <sheetName val="2021"/>
      <sheetName val="2020"/>
      <sheetName val="Furnishing"/>
    </sheetNames>
    <sheetDataSet>
      <sheetData sheetId="0"/>
      <sheetData sheetId="1">
        <row r="3">
          <cell r="D3">
            <v>0</v>
          </cell>
        </row>
        <row r="4">
          <cell r="D4">
            <v>0</v>
          </cell>
        </row>
        <row r="5">
          <cell r="E5">
            <v>0</v>
          </cell>
          <cell r="AH5" t="b">
            <v>0</v>
          </cell>
        </row>
        <row r="6">
          <cell r="D6">
            <v>0</v>
          </cell>
        </row>
        <row r="7">
          <cell r="D7">
            <v>45839</v>
          </cell>
        </row>
        <row r="8">
          <cell r="D8">
            <v>52322</v>
          </cell>
          <cell r="O8">
            <v>0.1</v>
          </cell>
          <cell r="V8">
            <v>1717.96</v>
          </cell>
        </row>
        <row r="11">
          <cell r="O11">
            <v>0.03</v>
          </cell>
          <cell r="V11">
            <v>0</v>
          </cell>
        </row>
        <row r="13">
          <cell r="J13">
            <v>46204</v>
          </cell>
          <cell r="P13">
            <v>120</v>
          </cell>
          <cell r="S13">
            <v>49857</v>
          </cell>
        </row>
        <row r="14">
          <cell r="P14">
            <v>120</v>
          </cell>
          <cell r="S14">
            <v>49827</v>
          </cell>
        </row>
      </sheetData>
      <sheetData sheetId="2"/>
      <sheetData sheetId="3"/>
      <sheetData sheetId="4"/>
      <sheetData sheetId="5"/>
      <sheetData sheetId="6"/>
      <sheetData sheetId="7"/>
      <sheetData sheetId="8"/>
      <sheetData sheetId="9">
        <row r="2">
          <cell r="F2">
            <v>45363</v>
          </cell>
        </row>
        <row r="4">
          <cell r="G4">
            <v>1</v>
          </cell>
        </row>
        <row r="24">
          <cell r="AB24">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650CF7-3E7B-425D-97FA-EC1C09C85A75}" name="tblCarryingExpenses" displayName="tblCarryingExpenses" ref="AL2:AV132" totalsRowShown="0">
  <autoFilter ref="AL2:AV132" xr:uid="{CF650CF7-3E7B-425D-97FA-EC1C09C85A75}"/>
  <tableColumns count="11">
    <tableColumn id="1" xr3:uid="{172D28B5-3597-42EC-9F31-8C223CBE814C}" name="Include"/>
    <tableColumn id="2" xr3:uid="{07498265-8700-42F2-8776-1D39C0712FAB}" name="Category"/>
    <tableColumn id="3" xr3:uid="{F005D51B-C741-401C-BF58-D1E3E88AD9A2}" name="Date" dataDxfId="63"/>
    <tableColumn id="4" xr3:uid="{7D4BF419-D97D-4789-B272-DC32E2267546}" name="Vendor"/>
    <tableColumn id="5" xr3:uid="{D783A762-6FAF-4589-8BAF-F92106BAFB1F}" name="Description"/>
    <tableColumn id="6" xr3:uid="{15FA5B6F-8B80-4179-9ED9-559EB2191C87}" name="Amount" dataDxfId="62"/>
    <tableColumn id="7" xr3:uid="{F3FD0C0C-6CF4-40C8-A39B-01F939CBE4E6}" name="Source"/>
    <tableColumn id="8" xr3:uid="{B5733C9A-0392-4F10-9F3B-DDFE358256E3}" name="Invoice #" dataDxfId="61"/>
    <tableColumn id="9" xr3:uid="{B01CD5B5-E4CA-4CD1-9BF3-D9B0FFC6997B}" name="Source File"/>
    <tableColumn id="10" xr3:uid="{4964BCBA-A677-4C8B-A454-B57EE430F2F1}" name="Status"/>
    <tableColumn id="11" xr3:uid="{F08EDD6C-1555-411C-BF2D-14B2B3C6FC8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84" totalsRowShown="0" headerRowDxfId="60" headerRowBorderDxfId="59">
  <autoFilter ref="A11:E84" xr:uid="{E8A9C9B7-BAF7-4CAB-9067-DC10D354858C}"/>
  <tableColumns count="5">
    <tableColumn id="1" xr3:uid="{9A4F1599-587C-4C12-AC23-D5B3879D1321}" name="Cost Code" dataDxfId="58"/>
    <tableColumn id="2" xr3:uid="{3ACCA719-70D2-4F0D-A8A3-69AE3272D3C1}" name="Title" dataDxfId="57"/>
    <tableColumn id="3" xr3:uid="{661FF8D2-2D43-4F8B-B73F-EC14A34B7050}" name="Description" dataDxfId="56"/>
    <tableColumn id="5" xr3:uid="{96319F4C-C120-4B14-BEB7-1D271C147258}" name="Qty" dataDxfId="55"/>
    <tableColumn id="6" xr3:uid="{CAFF8447-B9F2-4425-B2CD-C62CE1EB051F}" name="Unit Price" dataDxfId="54"/>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77" tableType="queryTable" totalsRowShown="0" headerRowDxfId="53" dataDxfId="52">
  <autoFilter ref="A4:N77" xr:uid="{4A34AA4E-C13A-41A2-95E8-83E7E9409806}"/>
  <sortState xmlns:xlrd2="http://schemas.microsoft.com/office/spreadsheetml/2017/richdata2" ref="A5:N77">
    <sortCondition ref="B5:B14"/>
  </sortState>
  <tableColumns count="14">
    <tableColumn id="8" xr3:uid="{96E49A5C-5367-4ACB-B14D-E01CC163A0F1}" uniqueName="8" name="Party" queryTableFieldId="8" dataDxfId="51">
      <calculatedColumnFormula>+IF(FromProposal[[#This Row],[Cost Code]]&lt;&gt;0,+'Gnatt Chart'!$A$2,"")</calculatedColumnFormula>
    </tableColumn>
    <tableColumn id="1" xr3:uid="{6ADBCE42-4844-4052-8DB6-AB34AD671DD5}" uniqueName="1" name="Item" queryTableFieldId="15" dataDxfId="50"/>
    <tableColumn id="2" xr3:uid="{33F8A9BB-342C-4F7D-B125-F381BCB77C64}" uniqueName="2" name="Cost Code" queryTableFieldId="2" dataDxfId="49"/>
    <tableColumn id="3" xr3:uid="{EAE8FFCB-2C04-49B6-85CD-78C67097E902}" uniqueName="3" name="Title" queryTableFieldId="3" dataDxfId="48"/>
    <tableColumn id="4" xr3:uid="{439B82DD-03F8-428D-9245-8543A46F29DC}" uniqueName="4" name="Description" queryTableFieldId="4" dataDxfId="47"/>
    <tableColumn id="5" xr3:uid="{1E080297-D531-4180-92D4-1B19AACF49C1}" uniqueName="5" name="Qty" queryTableFieldId="5" dataDxfId="46"/>
    <tableColumn id="6" xr3:uid="{575B5FBE-3F82-40CD-8A54-810E146EF82F}" uniqueName="6" name="Unit Price" queryTableFieldId="6" dataDxfId="45"/>
    <tableColumn id="7" xr3:uid="{766B7F26-7C49-427A-A617-067C40444D87}" uniqueName="7" name="Price" queryTableFieldId="7" dataDxfId="44"/>
    <tableColumn id="9" xr3:uid="{A5701DF5-B99B-45EC-8FC5-7061E5C93440}" uniqueName="9" name="Done" queryTableFieldId="17" dataDxfId="43"/>
    <tableColumn id="14" xr3:uid="{1C4B67EF-B985-4B9A-9327-556AFBB5C4A1}" uniqueName="14" name="Group Order" queryTableFieldId="20" dataDxfId="42"/>
    <tableColumn id="12" xr3:uid="{A3E3248C-A9FB-45EA-9F9E-83897992215A}" uniqueName="12" name="Start Date" queryTableFieldId="12" dataDxfId="41"/>
    <tableColumn id="15" xr3:uid="{E31CECDC-7A24-4472-8474-4283CEDBD8FC}" uniqueName="15" name="Days" queryTableFieldId="14" dataDxfId="40"/>
    <tableColumn id="10" xr3:uid="{3EA3D46A-2606-48C3-B90D-0603A94FFB2E}" uniqueName="10" name="Paid" queryTableFieldId="18" dataDxfId="39"/>
    <tableColumn id="13" xr3:uid="{7268DDA6-B96D-499B-92E4-F124E0D116A3}" uniqueName="13" name="Notes" queryTableFieldId="19" dataDxfId="38"/>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102" tableType="queryTable" totalsRowShown="0" headerRowDxfId="37" dataDxfId="36">
  <sortState xmlns:xlrd2="http://schemas.microsoft.com/office/spreadsheetml/2017/richdata2" ref="A30:O102">
    <sortCondition ref="J30:J83"/>
    <sortCondition ref="K30:K83"/>
  </sortState>
  <tableColumns count="15">
    <tableColumn id="106" xr3:uid="{88C796C4-2105-4C93-8E7A-CCEA28B0DF71}" uniqueName="106" name="Party" queryTableFieldId="1" dataDxfId="35"/>
    <tableColumn id="107" xr3:uid="{541F33A4-C6A3-44C5-81DB-FAA61B7F72AB}" uniqueName="107" name="Item" queryTableFieldId="2" dataDxfId="34"/>
    <tableColumn id="108" xr3:uid="{3AE45ADE-D247-428D-BB07-058C3457BF76}" uniqueName="108" name="Cost Code" queryTableFieldId="3" dataDxfId="33"/>
    <tableColumn id="109" xr3:uid="{B0D5185D-6AD1-4E8D-B845-F1898A9538BA}" uniqueName="109" name="Title" queryTableFieldId="4" dataDxfId="32"/>
    <tableColumn id="110" xr3:uid="{BF5C7BBF-561F-458E-BF23-5B7C697DF8C9}" uniqueName="110" name="Description" queryTableFieldId="5" dataDxfId="31"/>
    <tableColumn id="111" xr3:uid="{F21AE756-8924-4878-8615-262AB0D00519}" uniqueName="111" name="Qty" queryTableFieldId="6" dataDxfId="30"/>
    <tableColumn id="112" xr3:uid="{0CD8A8A4-BACC-44F4-93A1-F713A821F322}" uniqueName="112" name="Unit Price" queryTableFieldId="7" dataDxfId="29"/>
    <tableColumn id="113" xr3:uid="{26C57DEB-9347-43DE-B22B-A524ED52F9F1}" uniqueName="113" name="Price" queryTableFieldId="8" dataDxfId="28"/>
    <tableColumn id="114" xr3:uid="{EBDB1F65-628C-4940-9612-1C3FD8569DC1}" uniqueName="114" name="Done" queryTableFieldId="9" dataDxfId="27"/>
    <tableColumn id="115" xr3:uid="{12EEE598-AD5C-449D-9592-F3BFFA8A06FB}" uniqueName="115" name="Group Order" queryTableFieldId="10" dataDxfId="26"/>
    <tableColumn id="116" xr3:uid="{C6321B43-2488-4F52-A140-04EF16631EAF}" uniqueName="116" name="Start Date" queryTableFieldId="11" dataDxfId="25"/>
    <tableColumn id="117" xr3:uid="{E22A3266-2A40-492B-9764-940B22EBAEF6}" uniqueName="117" name="Days" queryTableFieldId="12" dataDxfId="24"/>
    <tableColumn id="118" xr3:uid="{DA6448B5-75FA-40C7-BF8D-CB99AC089926}" uniqueName="118" name="Paid" queryTableFieldId="13" dataDxfId="23"/>
    <tableColumn id="3" xr3:uid="{0EAEDA6D-3B4A-4D63-BCE1-6489307C3CA2}" uniqueName="3" name="Due" queryTableFieldId="23" dataDxfId="22"/>
    <tableColumn id="1" xr3:uid="{67811F05-1AA8-4D00-9800-87B33F8463CE}" uniqueName="1" name="Notes" queryTableFieldId="24" dataDxfId="2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9" tableType="queryTable" totalsRowShown="0" headerRowDxfId="20">
  <autoFilter ref="A4:G9" xr:uid="{A9173191-CA76-4BB7-A991-FBCCC52C2E75}"/>
  <tableColumns count="7">
    <tableColumn id="2" xr3:uid="{5315D4CD-9089-41CE-8EE5-55BE99227BDD}" uniqueName="2" name="Item" queryTableFieldId="2"/>
    <tableColumn id="1" xr3:uid="{F94FA115-4496-4EA8-AD0C-0E7350822860}" uniqueName="1" name="Title" queryTableFieldId="26" dataDxfId="19"/>
    <tableColumn id="16" xr3:uid="{2E21600F-1D2E-4263-85CB-0D780BA42B26}" uniqueName="16" name="Description" queryTableFieldId="16" dataDxfId="18"/>
    <tableColumn id="4" xr3:uid="{089042D1-0A79-42D2-9FB4-550A2F42688C}" uniqueName="4" name="Order" queryTableFieldId="24"/>
    <tableColumn id="11" xr3:uid="{6FD6A57A-45C8-406C-9809-1268DBB2B9B0}" uniqueName="11" name="Start Date" queryTableFieldId="11" dataDxfId="17"/>
    <tableColumn id="3" xr3:uid="{5EC4595E-174D-4F70-976B-3F65280A553E}" uniqueName="3" name="Price" queryTableFieldId="22" dataDxfId="16"/>
    <tableColumn id="9" xr3:uid="{AF672E56-69B2-45E3-9B51-49B71E4850F5}" uniqueName="9" name="Done" queryTableFieldId="9"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2" totalsRowShown="0" headerRowDxfId="14">
  <autoFilter ref="I4:L32" xr:uid="{AFE18073-5D4F-460C-896E-63518DBAB661}"/>
  <tableColumns count="4">
    <tableColumn id="1" xr3:uid="{D2F6F89B-1339-44BD-B3B6-A0FE4A662111}" name="Item" dataDxfId="13"/>
    <tableColumn id="2" xr3:uid="{6ADF6489-F006-4F7A-ADDC-AC8ADCE4324D}" name="Comment"/>
    <tableColumn id="4" xr3:uid="{B71CFF71-6B28-4E15-A04B-70E2BCF66326}" name="Date" dataDxfId="12"/>
    <tableColumn id="3" xr3:uid="{7F217056-0A60-4E0A-98C9-77B54AED492A}" name="Done"/>
  </tableColumns>
  <tableStyleInfo name="TableStyleLight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5" tableType="queryTable" totalsRowShown="0" headerRowDxfId="11">
  <autoFilter ref="N4:S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0"/>
    <tableColumn id="6" xr3:uid="{370A03C6-6371-4586-89B8-B8E60670D39E}" uniqueName="6" name="Description" queryTableFieldId="6" dataDxfId="9"/>
    <tableColumn id="2" xr3:uid="{661F9F72-4AF8-4F51-BC8B-9C4CDE20BCFD}" uniqueName="2" name="Comment" queryTableFieldId="2" dataDxfId="8"/>
    <tableColumn id="7" xr3:uid="{0EEF4AC9-085C-46F3-B2F3-6205245C67C0}" uniqueName="7" name="Date" queryTableFieldId="8" dataDxfId="7"/>
    <tableColumn id="8" xr3:uid="{73C830EA-9470-4B48-8156-5EFC3F63E699}" uniqueName="8" name="Done" queryTableFieldId="10"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nsurancehub.com/" TargetMode="External"/><Relationship Id="rId7" Type="http://schemas.openxmlformats.org/officeDocument/2006/relationships/printerSettings" Target="../printerSettings/printerSettings4.bin"/><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http://www.rpmpropertypros.com/" TargetMode="External"/><Relationship Id="rId5" Type="http://schemas.openxmlformats.org/officeDocument/2006/relationships/hyperlink" Target="mailto:gweplbg@gmail.com" TargetMode="External"/><Relationship Id="rId4" Type="http://schemas.openxmlformats.org/officeDocument/2006/relationships/hyperlink" Target="mailto:BMiron@insurancehub.co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4.xml"/><Relationship Id="rId4" Type="http://schemas.openxmlformats.org/officeDocument/2006/relationships/ctrlProp" Target="../ctrlProps/ctrlProp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8.bin"/><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20"/>
  <sheetViews>
    <sheetView zoomScaleNormal="100" workbookViewId="0">
      <pane xSplit="1" ySplit="3" topLeftCell="B26" activePane="bottomRight" state="frozen"/>
      <selection pane="topRight" activeCell="C1" sqref="C1:E1"/>
      <selection pane="bottomLeft" activeCell="C1" sqref="C1:E1"/>
      <selection pane="bottomRight" activeCell="K44" sqref="K44:K45"/>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1406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20" ht="21" customHeight="1" thickBot="1" x14ac:dyDescent="0.35">
      <c r="A1" s="40" t="s">
        <v>0</v>
      </c>
      <c r="B1" s="426" t="s">
        <v>741</v>
      </c>
      <c r="C1" s="427"/>
      <c r="E1" s="180" t="s">
        <v>1</v>
      </c>
      <c r="F1" s="181" t="s">
        <v>2</v>
      </c>
    </row>
    <row r="2" spans="1:20" ht="16.5" customHeight="1" thickBot="1" x14ac:dyDescent="0.3">
      <c r="A2" s="115"/>
      <c r="B2" s="439" t="s">
        <v>3</v>
      </c>
      <c r="C2" s="440"/>
      <c r="D2" s="440"/>
      <c r="E2" s="440"/>
      <c r="F2" s="441"/>
      <c r="G2" s="116"/>
      <c r="H2" s="432" t="s">
        <v>4</v>
      </c>
      <c r="I2" s="433"/>
      <c r="J2" s="366" t="s">
        <v>5</v>
      </c>
      <c r="K2" s="368"/>
      <c r="N2" s="347" t="s">
        <v>6</v>
      </c>
      <c r="O2" s="347" t="s">
        <v>92</v>
      </c>
    </row>
    <row r="3" spans="1:20" ht="12" customHeight="1" thickBot="1" x14ac:dyDescent="0.25">
      <c r="A3" s="117" t="s">
        <v>8</v>
      </c>
      <c r="B3" s="118"/>
      <c r="D3" s="442" t="s">
        <v>9</v>
      </c>
      <c r="E3" s="442"/>
      <c r="F3" s="442" t="s">
        <v>10</v>
      </c>
      <c r="G3" s="378"/>
      <c r="H3" s="378"/>
      <c r="I3" s="413"/>
      <c r="J3" s="367"/>
      <c r="K3" s="369"/>
      <c r="N3" s="348"/>
      <c r="O3" s="348"/>
    </row>
    <row r="4" spans="1:20" ht="12" customHeight="1" thickBot="1" x14ac:dyDescent="0.25">
      <c r="A4" s="40" t="s">
        <v>11</v>
      </c>
      <c r="B4" s="459">
        <v>341700</v>
      </c>
      <c r="C4" s="460"/>
      <c r="E4" s="119"/>
      <c r="G4" s="119"/>
      <c r="I4" s="132"/>
      <c r="J4" s="366" t="s">
        <v>12</v>
      </c>
      <c r="K4" s="453" t="s">
        <v>44</v>
      </c>
    </row>
    <row r="5" spans="1:20" ht="12" customHeight="1" thickBot="1" x14ac:dyDescent="0.25">
      <c r="A5" s="40" t="s">
        <v>14</v>
      </c>
      <c r="B5" s="206">
        <v>-0.15</v>
      </c>
      <c r="C5" s="206">
        <v>0.1</v>
      </c>
      <c r="E5" s="119"/>
      <c r="G5" s="119"/>
      <c r="I5" s="137"/>
      <c r="J5" s="367"/>
      <c r="K5" s="369"/>
      <c r="N5" s="41" t="s">
        <v>15</v>
      </c>
      <c r="O5" s="300">
        <v>45194</v>
      </c>
      <c r="P5" s="163">
        <v>344600</v>
      </c>
    </row>
    <row r="6" spans="1:20" ht="12" customHeight="1" thickBot="1" x14ac:dyDescent="0.25">
      <c r="A6" s="40" t="s">
        <v>16</v>
      </c>
      <c r="B6" s="461">
        <f>+B4 + IF(B1="Hold",B4*C5,0) + IF(B1="wholetale",B4*B5,0)</f>
        <v>375870</v>
      </c>
      <c r="C6" s="462"/>
      <c r="E6" s="119"/>
      <c r="G6" s="164">
        <f>IF($B$1="hold",$B$6,$B$4)</f>
        <v>375870</v>
      </c>
      <c r="I6" s="137"/>
      <c r="J6" s="366" t="s">
        <v>17</v>
      </c>
      <c r="K6" s="364">
        <v>0.03</v>
      </c>
      <c r="N6" s="114"/>
      <c r="O6" s="300">
        <v>45217</v>
      </c>
      <c r="P6" s="163">
        <v>342200</v>
      </c>
    </row>
    <row r="7" spans="1:20" ht="12" customHeight="1" thickBot="1" x14ac:dyDescent="0.25">
      <c r="A7" s="40" t="s">
        <v>18</v>
      </c>
      <c r="B7" s="459"/>
      <c r="C7" s="460"/>
      <c r="D7" s="114">
        <f>+B7</f>
        <v>0</v>
      </c>
      <c r="E7" s="119"/>
      <c r="F7" s="114">
        <f>-B7</f>
        <v>0</v>
      </c>
      <c r="G7" s="164">
        <f>+IF($B$1="hold",$K$6,0)*$C$47/12*B4</f>
        <v>41004</v>
      </c>
      <c r="H7" s="234" t="str">
        <f>+IF($B$1="hold","&lt;-- Apprication -----------","")</f>
        <v>&lt;-- Apprication -----------</v>
      </c>
      <c r="I7" s="137"/>
      <c r="J7" s="367"/>
      <c r="K7" s="365"/>
      <c r="O7" s="300">
        <v>45363</v>
      </c>
      <c r="P7" s="163">
        <v>336800</v>
      </c>
    </row>
    <row r="8" spans="1:20" ht="12" customHeight="1" thickBot="1" x14ac:dyDescent="0.25">
      <c r="A8" s="40" t="s">
        <v>19</v>
      </c>
      <c r="B8" s="424">
        <v>2225</v>
      </c>
      <c r="C8" s="425"/>
      <c r="D8" s="120"/>
      <c r="E8" s="121"/>
      <c r="F8" s="120"/>
      <c r="G8" s="122"/>
      <c r="I8" s="165">
        <f>IF(B1="Hold",+B8,"")</f>
        <v>2225</v>
      </c>
      <c r="J8" s="366" t="s">
        <v>20</v>
      </c>
      <c r="K8" s="422">
        <v>1898</v>
      </c>
      <c r="O8" s="300">
        <v>45691</v>
      </c>
      <c r="P8" s="163">
        <v>341700</v>
      </c>
    </row>
    <row r="9" spans="1:20" ht="12" customHeight="1" thickBot="1" x14ac:dyDescent="0.25">
      <c r="C9" s="414" t="s">
        <v>21</v>
      </c>
      <c r="D9" s="415" t="s">
        <v>21</v>
      </c>
      <c r="E9" s="123">
        <f>SUM(D4:D8)</f>
        <v>0</v>
      </c>
      <c r="F9" s="434">
        <f>+SUM(F4:G8)</f>
        <v>416874</v>
      </c>
      <c r="G9" s="435"/>
      <c r="H9" s="434">
        <f>SUM(H4:I8)</f>
        <v>2225</v>
      </c>
      <c r="I9" s="435"/>
      <c r="J9" s="367"/>
      <c r="K9" s="423"/>
      <c r="O9" s="300">
        <v>45792</v>
      </c>
      <c r="P9" s="163">
        <v>343400</v>
      </c>
    </row>
    <row r="10" spans="1:20" ht="12" customHeight="1" thickBot="1" x14ac:dyDescent="0.25">
      <c r="C10" s="124"/>
      <c r="D10" s="125"/>
      <c r="E10" s="123"/>
      <c r="F10" s="114"/>
      <c r="G10" s="119"/>
      <c r="H10" s="114"/>
      <c r="I10" s="126"/>
      <c r="O10" s="300"/>
      <c r="P10" s="163"/>
    </row>
    <row r="11" spans="1:20" ht="12" customHeight="1" thickTop="1" thickBot="1" x14ac:dyDescent="0.25">
      <c r="A11" s="127" t="s">
        <v>22</v>
      </c>
      <c r="B11" s="127"/>
      <c r="C11" s="128"/>
      <c r="D11" s="129"/>
      <c r="E11" s="172"/>
      <c r="F11" s="130"/>
      <c r="G11" s="172"/>
      <c r="H11" s="131"/>
      <c r="I11" s="177"/>
      <c r="O11" s="300"/>
      <c r="P11" s="163"/>
    </row>
    <row r="12" spans="1:20" ht="11.25" customHeight="1" thickBot="1" x14ac:dyDescent="0.3">
      <c r="A12" s="40" t="s">
        <v>23</v>
      </c>
      <c r="B12" s="454">
        <v>15392.15</v>
      </c>
      <c r="C12" s="455"/>
      <c r="D12" s="135">
        <f>-B12</f>
        <v>-15392.15</v>
      </c>
      <c r="E12" s="173"/>
      <c r="F12" s="182"/>
      <c r="G12" s="183"/>
      <c r="H12" s="436" t="s">
        <v>24</v>
      </c>
      <c r="I12" s="437"/>
      <c r="J12" s="386" t="s">
        <v>25</v>
      </c>
      <c r="K12" s="387"/>
      <c r="O12" s="300"/>
      <c r="P12" s="163"/>
    </row>
    <row r="13" spans="1:20" ht="12" customHeight="1" x14ac:dyDescent="0.2">
      <c r="A13" s="40" t="s">
        <v>26</v>
      </c>
      <c r="B13" s="278">
        <v>3.3750000000000002E-2</v>
      </c>
      <c r="C13" s="239">
        <v>131630</v>
      </c>
      <c r="D13" s="135"/>
      <c r="E13" s="173"/>
      <c r="F13" s="135">
        <f>-C13</f>
        <v>-131630</v>
      </c>
      <c r="G13" s="175"/>
      <c r="H13" s="135"/>
      <c r="I13" s="178"/>
      <c r="J13" s="388"/>
      <c r="K13" s="389"/>
      <c r="M13" s="138"/>
      <c r="O13" s="300"/>
      <c r="P13" s="163"/>
    </row>
    <row r="14" spans="1:20" ht="12" customHeight="1" x14ac:dyDescent="0.2">
      <c r="A14" s="40" t="s">
        <v>27</v>
      </c>
      <c r="B14" s="238"/>
      <c r="C14" s="239"/>
      <c r="D14" s="135"/>
      <c r="E14" s="173"/>
      <c r="F14" s="135">
        <f>-+(120-C46)*(C14/120)</f>
        <v>0</v>
      </c>
      <c r="G14" s="175"/>
      <c r="H14" s="135">
        <f>-(C14*B14/12)</f>
        <v>0</v>
      </c>
      <c r="I14" s="178"/>
      <c r="J14" s="388"/>
      <c r="K14" s="389"/>
      <c r="O14" s="300"/>
      <c r="P14" s="163"/>
      <c r="R14" s="118" t="s">
        <v>759</v>
      </c>
      <c r="S14" s="118" t="s">
        <v>760</v>
      </c>
      <c r="T14" s="118" t="s">
        <v>761</v>
      </c>
    </row>
    <row r="15" spans="1:20" ht="12" customHeight="1" thickBot="1" x14ac:dyDescent="0.25">
      <c r="A15" s="40" t="s">
        <v>28</v>
      </c>
      <c r="B15" s="238">
        <v>0.1</v>
      </c>
      <c r="C15" s="239"/>
      <c r="D15" s="133"/>
      <c r="E15" s="173"/>
      <c r="F15" s="135">
        <f>-C15</f>
        <v>0</v>
      </c>
      <c r="G15" s="175"/>
      <c r="H15" s="135">
        <f>-C15/120-(C15*B15/12)</f>
        <v>0</v>
      </c>
      <c r="I15" s="178"/>
      <c r="J15" s="390"/>
      <c r="K15" s="391"/>
      <c r="O15" s="300"/>
      <c r="P15" s="163"/>
      <c r="Q15" s="40" t="s">
        <v>756</v>
      </c>
      <c r="R15" s="163">
        <v>31154</v>
      </c>
      <c r="S15" s="336">
        <v>0</v>
      </c>
    </row>
    <row r="16" spans="1:20" ht="12" customHeight="1" thickBot="1" x14ac:dyDescent="0.25">
      <c r="A16" s="40" t="s">
        <v>29</v>
      </c>
      <c r="B16" s="213"/>
      <c r="C16" s="214">
        <f>5946+7709+17499</f>
        <v>31154</v>
      </c>
      <c r="E16" s="173"/>
      <c r="F16" s="135">
        <f>-C16</f>
        <v>-31154</v>
      </c>
      <c r="G16" s="175"/>
      <c r="H16" s="136"/>
      <c r="I16" s="178"/>
      <c r="J16" s="42"/>
      <c r="K16" s="42"/>
      <c r="O16" s="300"/>
      <c r="P16" s="163"/>
      <c r="Q16" s="40" t="s">
        <v>757</v>
      </c>
      <c r="R16" s="163">
        <v>119000</v>
      </c>
      <c r="S16" s="336">
        <v>0.1</v>
      </c>
      <c r="T16" s="163">
        <f>+R16*S16</f>
        <v>11900</v>
      </c>
    </row>
    <row r="17" spans="1:20" ht="12" customHeight="1" thickBot="1" x14ac:dyDescent="0.25">
      <c r="A17" s="157" t="s">
        <v>30</v>
      </c>
      <c r="B17" s="203">
        <v>0</v>
      </c>
      <c r="C17" s="204"/>
      <c r="D17" s="135"/>
      <c r="E17" s="173"/>
      <c r="F17" s="135"/>
      <c r="G17" s="175"/>
      <c r="H17" s="139"/>
      <c r="I17" s="178"/>
      <c r="O17" s="300"/>
      <c r="P17" s="163"/>
      <c r="Q17" s="40" t="s">
        <v>758</v>
      </c>
      <c r="R17" s="163">
        <v>131630</v>
      </c>
      <c r="S17" s="336">
        <v>3.3750000000000002E-2</v>
      </c>
      <c r="T17" s="163">
        <f>+R17*S17</f>
        <v>4442.5125000000007</v>
      </c>
    </row>
    <row r="18" spans="1:20" ht="12" customHeight="1" thickBot="1" x14ac:dyDescent="0.25">
      <c r="A18" s="157" t="s">
        <v>31</v>
      </c>
      <c r="B18" s="471">
        <v>20000</v>
      </c>
      <c r="C18" s="425"/>
      <c r="D18" s="135">
        <f>-B18</f>
        <v>-20000</v>
      </c>
      <c r="E18" s="173"/>
      <c r="F18" s="135"/>
      <c r="G18" s="175"/>
      <c r="H18" s="136"/>
      <c r="I18" s="178"/>
      <c r="O18" s="300"/>
      <c r="P18" s="163"/>
      <c r="R18" s="118" t="s">
        <v>753</v>
      </c>
      <c r="S18" s="118" t="s">
        <v>754</v>
      </c>
      <c r="T18" s="118" t="s">
        <v>755</v>
      </c>
    </row>
    <row r="19" spans="1:20" ht="12" customHeight="1" x14ac:dyDescent="0.2">
      <c r="A19" s="157" t="s">
        <v>33</v>
      </c>
      <c r="B19" s="186"/>
      <c r="C19" s="152">
        <v>0</v>
      </c>
      <c r="D19" s="135">
        <f>-B19</f>
        <v>0</v>
      </c>
      <c r="E19" s="173"/>
      <c r="F19" s="135"/>
      <c r="G19" s="175"/>
      <c r="H19" s="136"/>
      <c r="I19" s="178"/>
      <c r="J19" s="404" t="s">
        <v>32</v>
      </c>
      <c r="K19" s="405"/>
      <c r="O19" s="300"/>
      <c r="P19" s="163"/>
      <c r="R19" s="163">
        <f>SUM(R15:R17)</f>
        <v>281784</v>
      </c>
      <c r="S19" s="336">
        <f>+T19/R19</f>
        <v>5.7996594909576135E-2</v>
      </c>
      <c r="T19" s="163">
        <f>SUM(T16:T17)</f>
        <v>16342.512500000001</v>
      </c>
    </row>
    <row r="20" spans="1:20" ht="12" customHeight="1" thickBot="1" x14ac:dyDescent="0.25">
      <c r="A20" s="157" t="s">
        <v>34</v>
      </c>
      <c r="B20" s="158">
        <f ca="1">+F69/30</f>
        <v>33.333333333333336</v>
      </c>
      <c r="C20" s="134"/>
      <c r="D20" s="135"/>
      <c r="E20" s="173"/>
      <c r="F20" s="135"/>
      <c r="G20" s="175"/>
      <c r="H20" s="139"/>
      <c r="I20" s="178"/>
      <c r="J20" s="406"/>
      <c r="K20" s="407"/>
      <c r="N20" s="114"/>
      <c r="O20" s="300"/>
      <c r="P20" s="163"/>
    </row>
    <row r="21" spans="1:20" ht="12" customHeight="1" x14ac:dyDescent="0.2">
      <c r="A21" s="157" t="s">
        <v>36</v>
      </c>
      <c r="B21" s="335">
        <f ca="1">+Carrying!E$47/$B$20</f>
        <v>1077.4880999999998</v>
      </c>
      <c r="C21" s="134"/>
      <c r="D21" s="135"/>
      <c r="E21" s="173"/>
      <c r="F21" s="135"/>
      <c r="G21" s="175"/>
      <c r="H21" s="139">
        <f t="shared" ref="H21:H22" ca="1" si="0">IF($B$1="Hold",-B21,"")</f>
        <v>-1077.4880999999998</v>
      </c>
      <c r="I21" s="178"/>
      <c r="J21" s="416" t="s">
        <v>35</v>
      </c>
      <c r="K21" s="417"/>
      <c r="P21" s="163"/>
    </row>
    <row r="22" spans="1:20" ht="12" customHeight="1" x14ac:dyDescent="0.2">
      <c r="A22" s="157" t="s">
        <v>738</v>
      </c>
      <c r="B22" s="335">
        <f ca="1">+Carrying!H$47/$B$20</f>
        <v>887.99999999999989</v>
      </c>
      <c r="C22" s="134"/>
      <c r="D22" s="135"/>
      <c r="E22" s="173"/>
      <c r="F22" s="135"/>
      <c r="G22" s="175"/>
      <c r="H22" s="139">
        <f t="shared" ca="1" si="0"/>
        <v>-887.99999999999989</v>
      </c>
      <c r="I22" s="178"/>
      <c r="J22" s="418"/>
      <c r="K22" s="419"/>
      <c r="N22" s="114"/>
      <c r="P22" s="163"/>
    </row>
    <row r="23" spans="1:20" ht="12" customHeight="1" x14ac:dyDescent="0.2">
      <c r="A23" s="157" t="s">
        <v>37</v>
      </c>
      <c r="B23" s="335">
        <f ca="1">+Carrying!K$47/$B$20</f>
        <v>0</v>
      </c>
      <c r="C23" s="134"/>
      <c r="D23" s="135"/>
      <c r="E23" s="173"/>
      <c r="F23" s="135"/>
      <c r="G23" s="175"/>
      <c r="H23" s="139">
        <f ca="1">IF($B$1="Hold",-B23,"")</f>
        <v>0</v>
      </c>
      <c r="I23" s="178"/>
      <c r="J23" s="418"/>
      <c r="K23" s="419"/>
    </row>
    <row r="24" spans="1:20" ht="12" customHeight="1" thickBot="1" x14ac:dyDescent="0.25">
      <c r="A24" s="157" t="s">
        <v>740</v>
      </c>
      <c r="B24" s="335">
        <f ca="1">+Carrying!W$47/$B$20</f>
        <v>41.212499999999999</v>
      </c>
      <c r="C24" s="134"/>
      <c r="D24" s="135"/>
      <c r="E24" s="173"/>
      <c r="F24" s="135"/>
      <c r="G24" s="175"/>
      <c r="H24" s="139">
        <f t="shared" ref="H24:H38" ca="1" si="1">IF($B$1="Hold",-B24,"")</f>
        <v>-41.212499999999999</v>
      </c>
      <c r="I24" s="178"/>
      <c r="J24" s="420"/>
      <c r="K24" s="421"/>
    </row>
    <row r="25" spans="1:20" ht="12" customHeight="1" x14ac:dyDescent="0.25">
      <c r="A25" s="157"/>
      <c r="B25" s="335"/>
      <c r="C25" s="134"/>
      <c r="D25" s="135"/>
      <c r="E25" s="173"/>
      <c r="F25" s="135"/>
      <c r="G25" s="175"/>
      <c r="H25" s="139"/>
      <c r="I25" s="178"/>
      <c r="J25"/>
      <c r="K25"/>
    </row>
    <row r="26" spans="1:20" ht="12" customHeight="1" x14ac:dyDescent="0.25">
      <c r="A26" s="157"/>
      <c r="B26" s="335"/>
      <c r="C26" s="134"/>
      <c r="D26" s="135"/>
      <c r="E26" s="173"/>
      <c r="F26" s="135"/>
      <c r="G26" s="175"/>
      <c r="H26" s="139"/>
      <c r="I26" s="178"/>
      <c r="J26"/>
      <c r="K26"/>
    </row>
    <row r="27" spans="1:20" ht="12" customHeight="1" x14ac:dyDescent="0.25">
      <c r="A27" s="157"/>
      <c r="B27" s="335"/>
      <c r="C27" s="134"/>
      <c r="D27" s="135"/>
      <c r="E27" s="173"/>
      <c r="F27" s="135"/>
      <c r="G27" s="175"/>
      <c r="H27" s="139"/>
      <c r="I27" s="178"/>
      <c r="J27"/>
      <c r="K27"/>
    </row>
    <row r="28" spans="1:20" ht="12" customHeight="1" x14ac:dyDescent="0.25">
      <c r="A28" s="157"/>
      <c r="B28" s="335"/>
      <c r="C28" s="134"/>
      <c r="D28" s="135"/>
      <c r="E28" s="173"/>
      <c r="F28" s="135"/>
      <c r="G28" s="175"/>
      <c r="H28" s="139"/>
      <c r="I28" s="178"/>
      <c r="J28"/>
      <c r="K28"/>
    </row>
    <row r="29" spans="1:20" ht="12" customHeight="1" x14ac:dyDescent="0.25">
      <c r="A29" s="157"/>
      <c r="B29" s="335"/>
      <c r="C29" s="134"/>
      <c r="D29" s="135"/>
      <c r="E29" s="173"/>
      <c r="F29" s="135"/>
      <c r="G29" s="175"/>
      <c r="H29" s="139"/>
      <c r="I29" s="178"/>
      <c r="J29"/>
      <c r="K29"/>
    </row>
    <row r="30" spans="1:20" ht="12" customHeight="1" x14ac:dyDescent="0.25">
      <c r="A30" s="157"/>
      <c r="B30" s="335"/>
      <c r="C30" s="134"/>
      <c r="D30" s="135"/>
      <c r="E30" s="173"/>
      <c r="F30" s="135"/>
      <c r="G30" s="175"/>
      <c r="H30" s="139"/>
      <c r="I30" s="178"/>
      <c r="J30"/>
      <c r="K30"/>
    </row>
    <row r="31" spans="1:20" ht="12" customHeight="1" x14ac:dyDescent="0.25">
      <c r="A31" s="157"/>
      <c r="B31" s="335"/>
      <c r="C31" s="134"/>
      <c r="D31" s="135"/>
      <c r="E31" s="173"/>
      <c r="F31" s="135"/>
      <c r="G31" s="175"/>
      <c r="H31" s="139"/>
      <c r="I31" s="178"/>
      <c r="J31"/>
      <c r="K31"/>
    </row>
    <row r="32" spans="1:20" ht="12" customHeight="1" x14ac:dyDescent="0.25">
      <c r="A32" s="157"/>
      <c r="B32" s="335"/>
      <c r="C32" s="134"/>
      <c r="D32" s="135"/>
      <c r="E32" s="173"/>
      <c r="F32" s="135"/>
      <c r="G32" s="175"/>
      <c r="H32" s="139"/>
      <c r="I32" s="178"/>
      <c r="J32"/>
      <c r="K32"/>
    </row>
    <row r="33" spans="1:17" ht="12" customHeight="1" x14ac:dyDescent="0.25">
      <c r="A33" s="157"/>
      <c r="B33" s="335"/>
      <c r="C33" s="134"/>
      <c r="D33" s="135"/>
      <c r="E33" s="173"/>
      <c r="F33" s="135"/>
      <c r="G33" s="175"/>
      <c r="H33" s="139"/>
      <c r="I33" s="178"/>
      <c r="J33"/>
      <c r="K33"/>
    </row>
    <row r="34" spans="1:17" ht="12" customHeight="1" x14ac:dyDescent="0.25">
      <c r="A34" s="157"/>
      <c r="B34" s="335"/>
      <c r="C34" s="134"/>
      <c r="D34" s="135"/>
      <c r="E34" s="173"/>
      <c r="F34" s="135"/>
      <c r="G34" s="175"/>
      <c r="H34" s="139"/>
      <c r="I34" s="178"/>
      <c r="J34"/>
      <c r="K34"/>
    </row>
    <row r="35" spans="1:17" ht="12" customHeight="1" x14ac:dyDescent="0.2">
      <c r="A35" s="157" t="s">
        <v>38</v>
      </c>
      <c r="B35" s="335">
        <f ca="1">+Carrying!T$47/$B$20</f>
        <v>2.6315999999999997</v>
      </c>
      <c r="C35" s="134"/>
      <c r="D35" s="135"/>
      <c r="E35" s="173"/>
      <c r="F35" s="135"/>
      <c r="G35" s="175"/>
      <c r="H35" s="139">
        <f t="shared" ca="1" si="1"/>
        <v>-2.6315999999999997</v>
      </c>
      <c r="I35" s="178"/>
    </row>
    <row r="36" spans="1:17" ht="12" customHeight="1" x14ac:dyDescent="0.2">
      <c r="A36" s="157" t="s">
        <v>39</v>
      </c>
      <c r="B36" s="335">
        <f ca="1">+Carrying!B$47/$B$20</f>
        <v>10.765799999999999</v>
      </c>
      <c r="C36" s="134"/>
      <c r="D36" s="135"/>
      <c r="E36" s="173"/>
      <c r="F36" s="135"/>
      <c r="G36" s="175"/>
      <c r="H36" s="139">
        <f t="shared" ca="1" si="1"/>
        <v>-10.765799999999999</v>
      </c>
      <c r="I36" s="178"/>
    </row>
    <row r="37" spans="1:17" ht="12" customHeight="1" x14ac:dyDescent="0.2">
      <c r="A37" s="157" t="s">
        <v>703</v>
      </c>
      <c r="B37" s="335">
        <f ca="1">+Carrying!Q$47/$B$20</f>
        <v>12.422700000000001</v>
      </c>
      <c r="C37" s="134"/>
      <c r="D37" s="135"/>
      <c r="E37" s="173"/>
      <c r="F37" s="135"/>
      <c r="G37" s="175"/>
      <c r="H37" s="139">
        <f t="shared" ca="1" si="1"/>
        <v>-12.422700000000001</v>
      </c>
      <c r="I37" s="178"/>
    </row>
    <row r="38" spans="1:17" ht="12" customHeight="1" thickBot="1" x14ac:dyDescent="0.25">
      <c r="A38" s="157" t="s">
        <v>40</v>
      </c>
      <c r="B38" s="335">
        <f ca="1">+Carrying!N$47/$B$20</f>
        <v>99.529800000000051</v>
      </c>
      <c r="C38" s="143"/>
      <c r="D38" s="135"/>
      <c r="E38" s="173"/>
      <c r="F38" s="135"/>
      <c r="G38" s="175"/>
      <c r="H38" s="139">
        <f t="shared" ca="1" si="1"/>
        <v>-99.529800000000051</v>
      </c>
      <c r="I38" s="178"/>
    </row>
    <row r="39" spans="1:17" ht="12" customHeight="1" thickBot="1" x14ac:dyDescent="0.25">
      <c r="A39" s="40" t="s">
        <v>41</v>
      </c>
      <c r="B39" s="410">
        <f ca="1">SUM(B21:B38)</f>
        <v>2132.0504999999998</v>
      </c>
      <c r="C39" s="411"/>
      <c r="D39" s="135">
        <f>-IF(B1="flip",B39*B20,0)</f>
        <v>0</v>
      </c>
      <c r="E39" s="173"/>
      <c r="F39" s="135"/>
      <c r="G39" s="175"/>
      <c r="H39" s="139"/>
      <c r="I39" s="178"/>
    </row>
    <row r="40" spans="1:17" ht="12" customHeight="1" thickBot="1" x14ac:dyDescent="0.25">
      <c r="A40" s="216" t="s">
        <v>43</v>
      </c>
      <c r="B40" s="160">
        <v>0.1</v>
      </c>
      <c r="C40" s="156" t="s">
        <v>44</v>
      </c>
      <c r="D40" s="135"/>
      <c r="E40" s="173"/>
      <c r="F40" s="135"/>
      <c r="G40" s="175"/>
      <c r="H40" s="139"/>
      <c r="I40" s="178"/>
    </row>
    <row r="41" spans="1:17" ht="12" customHeight="1" thickBot="1" x14ac:dyDescent="0.25">
      <c r="A41" s="159" t="s">
        <v>764</v>
      </c>
      <c r="B41" s="464">
        <f ca="1">+Carrying!B47/Profit!$B$38</f>
        <v>3.6055533116714771</v>
      </c>
      <c r="C41" s="465"/>
      <c r="D41" s="135"/>
      <c r="E41" s="173">
        <f>36000+75000</f>
        <v>111000</v>
      </c>
      <c r="F41" s="135">
        <f>IF(C40="No","",-E41)</f>
        <v>-111000</v>
      </c>
      <c r="G41" s="175"/>
      <c r="H41" s="139"/>
      <c r="I41" s="236"/>
      <c r="J41" s="392" t="s">
        <v>41</v>
      </c>
      <c r="K41" s="362">
        <f ca="1">+B39/B20</f>
        <v>63.961514999999991</v>
      </c>
      <c r="Q41" s="39">
        <f>+E41*0.1/12</f>
        <v>925</v>
      </c>
    </row>
    <row r="42" spans="1:17" ht="12" customHeight="1" thickBot="1" x14ac:dyDescent="0.25">
      <c r="A42" s="40" t="s">
        <v>791</v>
      </c>
      <c r="B42" s="384">
        <f ca="1">+Carrying!E47/Profit!$B$38</f>
        <v>360.85946118649872</v>
      </c>
      <c r="C42" s="385"/>
      <c r="D42" s="135">
        <f ca="1">-B42</f>
        <v>-360.85946118649872</v>
      </c>
      <c r="E42" s="173"/>
      <c r="F42" s="135"/>
      <c r="G42" s="175"/>
      <c r="H42" s="136"/>
      <c r="I42" s="236"/>
      <c r="J42" s="393"/>
      <c r="K42" s="363"/>
    </row>
    <row r="43" spans="1:17" ht="12" customHeight="1" thickBot="1" x14ac:dyDescent="0.25">
      <c r="A43" s="40" t="s">
        <v>738</v>
      </c>
      <c r="B43" s="412">
        <f ca="1">+Carrying!H47/Profit!$B$38</f>
        <v>297.39836712220847</v>
      </c>
      <c r="C43" s="413"/>
      <c r="D43" s="135">
        <f ca="1">-B43</f>
        <v>-297.39836712220847</v>
      </c>
      <c r="E43" s="173"/>
      <c r="F43" s="135"/>
      <c r="G43" s="175"/>
      <c r="H43" s="136"/>
      <c r="I43" s="178"/>
    </row>
    <row r="44" spans="1:17" ht="12" customHeight="1" x14ac:dyDescent="0.2">
      <c r="A44" s="159" t="s">
        <v>766</v>
      </c>
      <c r="B44" s="140">
        <f ca="1">+Carrying!K47/Profit!$B$38</f>
        <v>0</v>
      </c>
      <c r="C44" s="141">
        <f ca="1">+B44*399</f>
        <v>0</v>
      </c>
      <c r="D44" s="135"/>
      <c r="E44" s="173"/>
      <c r="F44" s="135">
        <f ca="1">-C44</f>
        <v>0</v>
      </c>
      <c r="G44" s="175"/>
      <c r="H44" s="136"/>
      <c r="I44" s="178"/>
      <c r="J44" s="392" t="s">
        <v>914</v>
      </c>
      <c r="K44" s="362">
        <f>+SUM(C13:C17)+E41</f>
        <v>273784</v>
      </c>
    </row>
    <row r="45" spans="1:17" ht="12" customHeight="1" thickBot="1" x14ac:dyDescent="0.25">
      <c r="A45" s="159" t="s">
        <v>699</v>
      </c>
      <c r="B45" s="161">
        <f ca="1">+Carrying!N47/Profit!$B$38</f>
        <v>33.333333333333336</v>
      </c>
      <c r="C45" s="162">
        <v>2.5999999999999999E-2</v>
      </c>
      <c r="D45" s="135"/>
      <c r="E45" s="173"/>
      <c r="F45" s="135">
        <f ca="1">-B45*C45*$F$9</f>
        <v>-361290.8</v>
      </c>
      <c r="G45" s="175"/>
      <c r="H45" s="136"/>
      <c r="I45" s="178"/>
      <c r="J45" s="393"/>
      <c r="K45" s="363"/>
    </row>
    <row r="46" spans="1:17" ht="12" customHeight="1" thickBot="1" x14ac:dyDescent="0.25">
      <c r="A46" s="159" t="s">
        <v>767</v>
      </c>
      <c r="B46" s="218">
        <f ca="1">+Carrying!Q47/Profit!$B$38</f>
        <v>4.1604624946498419</v>
      </c>
      <c r="C46" s="219">
        <v>2.4E-2</v>
      </c>
      <c r="D46" s="135"/>
      <c r="E46" s="173"/>
      <c r="F46" s="135">
        <f ca="1">-B46*C46*$F$9</f>
        <v>-41625.327407871802</v>
      </c>
      <c r="G46" s="175"/>
      <c r="H46" s="136"/>
      <c r="I46" s="178"/>
    </row>
    <row r="47" spans="1:17" ht="12" customHeight="1" thickBot="1" x14ac:dyDescent="0.25">
      <c r="A47" s="220" t="s">
        <v>768</v>
      </c>
      <c r="B47" s="217">
        <f ca="1">+Carrying!T47/Profit!$B$38</f>
        <v>0.88134407986351782</v>
      </c>
      <c r="C47" s="249">
        <v>48</v>
      </c>
      <c r="D47" s="135"/>
      <c r="E47" s="173"/>
      <c r="F47" s="135"/>
      <c r="G47" s="175"/>
      <c r="H47" s="136"/>
      <c r="I47" s="178"/>
      <c r="J47" s="382" t="s">
        <v>42</v>
      </c>
      <c r="K47" s="362">
        <f>+SUM(C12:C16)+B18</f>
        <v>182784</v>
      </c>
    </row>
    <row r="48" spans="1:17" ht="12" customHeight="1" thickBot="1" x14ac:dyDescent="0.3">
      <c r="A48" s="40" t="s">
        <v>739</v>
      </c>
      <c r="B48" s="424">
        <f ca="1">+Carrying!W47/Profit!$B$38</f>
        <v>13.80239887953155</v>
      </c>
      <c r="C48" s="456"/>
      <c r="D48" s="163"/>
      <c r="E48" s="173"/>
      <c r="F48" s="135">
        <f>-C48</f>
        <v>0</v>
      </c>
      <c r="G48" s="175"/>
      <c r="H48" s="133"/>
      <c r="I48" s="178"/>
      <c r="J48" s="383"/>
      <c r="K48" s="363"/>
    </row>
    <row r="49" spans="1:15" ht="12" customHeight="1" x14ac:dyDescent="0.2">
      <c r="A49" s="40" t="s">
        <v>769</v>
      </c>
      <c r="B49" s="466">
        <f ca="1">+Carrying!Z47/Profit!$B$38</f>
        <v>23.455588175601672</v>
      </c>
      <c r="C49" s="385"/>
      <c r="D49" s="135">
        <f ca="1">-B49</f>
        <v>-23.455588175601672</v>
      </c>
      <c r="E49" s="173"/>
      <c r="F49" s="135"/>
      <c r="G49" s="175"/>
      <c r="H49" s="133"/>
      <c r="I49" s="178"/>
      <c r="J49" s="382" t="s">
        <v>45</v>
      </c>
      <c r="K49" s="362">
        <f ca="1">-E51</f>
        <v>36073.86341648431</v>
      </c>
    </row>
    <row r="50" spans="1:15" ht="12" customHeight="1" thickBot="1" x14ac:dyDescent="0.25">
      <c r="A50" s="40" t="s">
        <v>771</v>
      </c>
      <c r="B50" s="408">
        <f ca="1">+Carrying!AC47/Profit!$B$38</f>
        <v>0</v>
      </c>
      <c r="C50" s="409"/>
      <c r="D50" s="144"/>
      <c r="E50" s="174"/>
      <c r="F50" s="144">
        <f ca="1">-B50</f>
        <v>0</v>
      </c>
      <c r="G50" s="176"/>
      <c r="H50" s="142"/>
      <c r="I50" s="179"/>
      <c r="J50" s="383"/>
      <c r="K50" s="363"/>
    </row>
    <row r="51" spans="1:15" ht="12" customHeight="1" thickBot="1" x14ac:dyDescent="0.25">
      <c r="A51" s="40" t="s">
        <v>772</v>
      </c>
      <c r="B51" s="40">
        <f ca="1">+Carrying!AF47/Profit!$B$38</f>
        <v>0</v>
      </c>
      <c r="C51" s="443" t="s">
        <v>47</v>
      </c>
      <c r="D51" s="415"/>
      <c r="E51" s="229">
        <f ca="1">+SUM(D12:D50)</f>
        <v>-36073.86341648431</v>
      </c>
      <c r="F51" s="438">
        <f ca="1">+SUM(F12:F50)</f>
        <v>-676700.12740787189</v>
      </c>
      <c r="G51" s="438"/>
      <c r="H51" s="457">
        <f ca="1">+SUM(H9:I50)</f>
        <v>92.949500000000285</v>
      </c>
      <c r="I51" s="458"/>
      <c r="J51" s="349" t="s">
        <v>46</v>
      </c>
      <c r="K51" s="379"/>
    </row>
    <row r="52" spans="1:15" ht="12" customHeight="1" thickBot="1" x14ac:dyDescent="0.25">
      <c r="A52" s="41" t="s">
        <v>41</v>
      </c>
      <c r="B52" s="467">
        <f ca="1">+B38*SUM(B41:B51)</f>
        <v>73402.880000000019</v>
      </c>
      <c r="C52" s="468"/>
      <c r="D52" s="468"/>
      <c r="E52" s="169">
        <f ca="1">+SUM(E9:E51)</f>
        <v>74926.13658351569</v>
      </c>
      <c r="F52" s="438">
        <f ca="1">+SUM(F9:G50)</f>
        <v>-259826.1274078718</v>
      </c>
      <c r="G52" s="438"/>
      <c r="H52" s="167"/>
      <c r="I52" s="171"/>
      <c r="J52" s="380"/>
      <c r="K52" s="381"/>
    </row>
    <row r="53" spans="1:15" ht="12" customHeight="1" x14ac:dyDescent="0.2">
      <c r="A53" s="41"/>
      <c r="B53" s="41"/>
      <c r="D53" s="41"/>
      <c r="E53" s="402" t="s">
        <v>48</v>
      </c>
      <c r="F53" s="403"/>
      <c r="G53" s="166">
        <f ca="1">+E52+F52</f>
        <v>-184899.99082435609</v>
      </c>
      <c r="H53" s="167"/>
      <c r="I53" s="168"/>
      <c r="J53" s="358" t="s">
        <v>49</v>
      </c>
      <c r="K53" s="400" t="s">
        <v>50</v>
      </c>
      <c r="O53" s="114"/>
    </row>
    <row r="54" spans="1:15" ht="12" customHeight="1" thickBot="1" x14ac:dyDescent="0.25">
      <c r="A54" s="41"/>
      <c r="B54" s="41"/>
      <c r="E54" s="402" t="s">
        <v>51</v>
      </c>
      <c r="F54" s="403"/>
      <c r="G54" s="403"/>
      <c r="H54" s="154">
        <f ca="1">+J67</f>
        <v>33.333333333333336</v>
      </c>
      <c r="I54" s="230">
        <f ca="1">+H54*H51</f>
        <v>3098.3166666666762</v>
      </c>
      <c r="J54" s="359"/>
      <c r="K54" s="401"/>
      <c r="M54" s="40"/>
      <c r="N54" s="114"/>
    </row>
    <row r="55" spans="1:15" ht="12" customHeight="1" thickBot="1" x14ac:dyDescent="0.25">
      <c r="A55" s="41"/>
      <c r="B55" s="41"/>
      <c r="E55" s="170"/>
      <c r="F55" s="360" t="s">
        <v>52</v>
      </c>
      <c r="G55" s="361"/>
      <c r="H55" s="145"/>
      <c r="I55" s="145">
        <f ca="1">+I54+G53</f>
        <v>-181801.67415768941</v>
      </c>
      <c r="J55" s="146">
        <f ca="1">$B$17*$I$55</f>
        <v>0</v>
      </c>
      <c r="K55" s="147">
        <f ca="1">+$I$55-J55</f>
        <v>-181801.67415768941</v>
      </c>
    </row>
    <row r="56" spans="1:15" ht="12" customHeight="1" thickTop="1" thickBot="1" x14ac:dyDescent="0.3">
      <c r="A56" s="148" t="s">
        <v>53</v>
      </c>
      <c r="B56" s="469">
        <v>0.15</v>
      </c>
      <c r="C56" s="474"/>
      <c r="D56" s="148"/>
      <c r="E56" s="148"/>
      <c r="H56" s="447" t="s">
        <v>54</v>
      </c>
      <c r="I56" s="448"/>
      <c r="J56" s="207">
        <f ca="1">IF(B56="",0,-$B$56*J55)</f>
        <v>0</v>
      </c>
      <c r="K56" s="208">
        <f ca="1">IF(B56="",0,-$B$56*K55)</f>
        <v>27270.251123653412</v>
      </c>
    </row>
    <row r="57" spans="1:15" ht="12" customHeight="1" thickTop="1" thickBot="1" x14ac:dyDescent="0.3">
      <c r="A57" s="40" t="s">
        <v>55</v>
      </c>
      <c r="B57" s="469">
        <v>0.1</v>
      </c>
      <c r="C57" s="470">
        <v>0.15</v>
      </c>
      <c r="D57" s="472">
        <f ca="1">+K57*B57</f>
        <v>-15453.142303403602</v>
      </c>
      <c r="E57" s="473"/>
      <c r="G57" s="41"/>
      <c r="H57" s="360" t="s">
        <v>52</v>
      </c>
      <c r="I57" s="361"/>
      <c r="J57" s="153">
        <f ca="1">+J55+J56</f>
        <v>0</v>
      </c>
      <c r="K57" s="149">
        <f ca="1">+K55+K56</f>
        <v>-154531.42303403601</v>
      </c>
    </row>
    <row r="58" spans="1:15" ht="12" customHeight="1" thickBot="1" x14ac:dyDescent="0.25">
      <c r="A58" s="118"/>
      <c r="C58" s="40"/>
      <c r="D58" s="40"/>
      <c r="E58" s="40"/>
    </row>
    <row r="59" spans="1:15" ht="12" customHeight="1" thickTop="1" x14ac:dyDescent="0.2">
      <c r="A59" s="127" t="s">
        <v>56</v>
      </c>
    </row>
    <row r="60" spans="1:15" ht="12" customHeight="1" thickBot="1" x14ac:dyDescent="0.25">
      <c r="A60" s="40" t="s">
        <v>57</v>
      </c>
      <c r="B60" s="370">
        <f>+'Gnatt Chart'!J5</f>
        <v>47412.056299999997</v>
      </c>
      <c r="C60" s="370"/>
      <c r="D60" s="370">
        <f>-B60</f>
        <v>-47412.056299999997</v>
      </c>
      <c r="E60" s="370"/>
      <c r="G60" s="446"/>
      <c r="H60" s="446"/>
      <c r="I60" s="446"/>
    </row>
    <row r="61" spans="1:15" ht="12" customHeight="1" thickBot="1" x14ac:dyDescent="0.25">
      <c r="A61" s="40" t="s">
        <v>58</v>
      </c>
      <c r="B61" s="150">
        <v>0.1</v>
      </c>
      <c r="D61" s="370"/>
      <c r="E61" s="370"/>
      <c r="G61" s="386" t="s">
        <v>59</v>
      </c>
      <c r="H61" s="449"/>
      <c r="I61" s="449"/>
      <c r="J61" s="405"/>
    </row>
    <row r="62" spans="1:15" ht="12" customHeight="1" thickBot="1" x14ac:dyDescent="0.25">
      <c r="A62" s="40" t="s">
        <v>60</v>
      </c>
      <c r="B62" s="463">
        <f>IF(K4&lt;&gt;"Yes",+B61*SUM(B60:C60),0)</f>
        <v>0</v>
      </c>
      <c r="C62" s="463"/>
      <c r="D62" s="463">
        <f>-B62</f>
        <v>0</v>
      </c>
      <c r="E62" s="463"/>
      <c r="G62" s="450"/>
      <c r="H62" s="451"/>
      <c r="I62" s="451"/>
      <c r="J62" s="452"/>
    </row>
    <row r="63" spans="1:15" ht="12" customHeight="1" thickBot="1" x14ac:dyDescent="0.25">
      <c r="A63" s="40" t="s">
        <v>61</v>
      </c>
      <c r="D63" s="345">
        <f>+SUM(D60:E62)</f>
        <v>-47412.056299999997</v>
      </c>
      <c r="E63" s="346"/>
      <c r="G63" s="355" t="s">
        <v>62</v>
      </c>
      <c r="H63" s="356"/>
      <c r="I63" s="356"/>
      <c r="J63" s="357"/>
    </row>
    <row r="64" spans="1:15" ht="12" customHeight="1" thickTop="1" thickBot="1" x14ac:dyDescent="0.25">
      <c r="A64" s="151" t="s">
        <v>63</v>
      </c>
      <c r="B64" s="148"/>
      <c r="C64" s="148"/>
      <c r="D64" s="40"/>
      <c r="E64" s="40"/>
      <c r="G64" s="352"/>
      <c r="H64" s="353"/>
      <c r="I64" s="353"/>
      <c r="J64" s="354"/>
    </row>
    <row r="65" spans="1:10" ht="12" customHeight="1" thickBot="1" x14ac:dyDescent="0.25">
      <c r="A65" s="40" t="s">
        <v>64</v>
      </c>
      <c r="B65" s="373">
        <v>350</v>
      </c>
      <c r="C65" s="374"/>
      <c r="D65" s="370"/>
      <c r="E65" s="370"/>
    </row>
    <row r="66" spans="1:10" ht="12" customHeight="1" thickBot="1" x14ac:dyDescent="0.3">
      <c r="A66" s="40" t="s">
        <v>65</v>
      </c>
      <c r="B66" s="371"/>
      <c r="C66" s="372"/>
      <c r="D66" s="370"/>
      <c r="E66" s="370"/>
      <c r="G66" s="430" t="s">
        <v>742</v>
      </c>
      <c r="H66" s="431"/>
      <c r="I66" s="431"/>
      <c r="J66" s="332" t="s">
        <v>122</v>
      </c>
    </row>
    <row r="67" spans="1:10" ht="12" customHeight="1" thickBot="1" x14ac:dyDescent="0.3">
      <c r="A67" s="40" t="s">
        <v>66</v>
      </c>
      <c r="B67" s="371">
        <v>250</v>
      </c>
      <c r="C67" s="372"/>
      <c r="D67" s="370"/>
      <c r="E67" s="370"/>
      <c r="G67" s="428"/>
      <c r="H67" s="429"/>
      <c r="I67" s="120"/>
      <c r="J67" s="334">
        <f ca="1">+F69/30</f>
        <v>33.333333333333336</v>
      </c>
    </row>
    <row r="68" spans="1:10" ht="12" customHeight="1" x14ac:dyDescent="0.2">
      <c r="A68" s="40" t="s">
        <v>66</v>
      </c>
      <c r="B68" s="371"/>
      <c r="C68" s="372"/>
      <c r="D68" s="370"/>
      <c r="E68" s="370"/>
      <c r="F68" s="430" t="s">
        <v>701</v>
      </c>
      <c r="G68" s="394"/>
      <c r="H68" s="394" t="s">
        <v>307</v>
      </c>
      <c r="I68" s="395"/>
      <c r="J68" s="332" t="s">
        <v>702</v>
      </c>
    </row>
    <row r="69" spans="1:10" ht="12" customHeight="1" thickBot="1" x14ac:dyDescent="0.3">
      <c r="A69" s="40" t="s">
        <v>67</v>
      </c>
      <c r="B69" s="371"/>
      <c r="C69" s="372"/>
      <c r="D69" s="370"/>
      <c r="E69" s="370"/>
      <c r="F69" s="396">
        <f ca="1">_xlfn.DAYS(J69,H69)</f>
        <v>1000</v>
      </c>
      <c r="G69" s="397"/>
      <c r="H69" s="398">
        <v>45203</v>
      </c>
      <c r="I69" s="399"/>
      <c r="J69" s="333">
        <f ca="1">IF(G67&lt;&gt;"",IF(B1="flip",NOW(),G67),NOW())</f>
        <v>46203.546207523148</v>
      </c>
    </row>
    <row r="70" spans="1:10" ht="12" customHeight="1" x14ac:dyDescent="0.2">
      <c r="A70" s="40" t="s">
        <v>67</v>
      </c>
      <c r="B70" s="371"/>
      <c r="C70" s="372"/>
      <c r="D70" s="370"/>
      <c r="E70" s="370"/>
    </row>
    <row r="71" spans="1:10" ht="12" customHeight="1" x14ac:dyDescent="0.2">
      <c r="A71" s="40" t="s">
        <v>68</v>
      </c>
      <c r="B71" s="371"/>
      <c r="C71" s="372"/>
      <c r="D71" s="370"/>
      <c r="E71" s="370"/>
    </row>
    <row r="72" spans="1:10" ht="12" customHeight="1" x14ac:dyDescent="0.2">
      <c r="A72" s="40" t="s">
        <v>69</v>
      </c>
      <c r="B72" s="371"/>
      <c r="C72" s="372"/>
      <c r="D72" s="370"/>
      <c r="E72" s="370"/>
    </row>
    <row r="73" spans="1:10" ht="12" customHeight="1" x14ac:dyDescent="0.2">
      <c r="A73" s="40" t="s">
        <v>70</v>
      </c>
      <c r="B73" s="371"/>
      <c r="C73" s="372"/>
      <c r="D73" s="370"/>
      <c r="E73" s="370"/>
    </row>
    <row r="74" spans="1:10" ht="12" customHeight="1" x14ac:dyDescent="0.2">
      <c r="A74" s="40" t="s">
        <v>71</v>
      </c>
      <c r="B74" s="371"/>
      <c r="C74" s="372"/>
      <c r="D74" s="370"/>
      <c r="E74" s="370"/>
    </row>
    <row r="75" spans="1:10" ht="12" customHeight="1" x14ac:dyDescent="0.2">
      <c r="A75" s="40" t="s">
        <v>72</v>
      </c>
      <c r="B75" s="371"/>
      <c r="C75" s="372"/>
      <c r="D75" s="370"/>
      <c r="E75" s="370"/>
    </row>
    <row r="76" spans="1:10" ht="12" customHeight="1" x14ac:dyDescent="0.2">
      <c r="A76" s="40" t="s">
        <v>73</v>
      </c>
      <c r="B76" s="371">
        <v>200</v>
      </c>
      <c r="C76" s="372"/>
      <c r="D76" s="370"/>
      <c r="E76" s="370"/>
    </row>
    <row r="77" spans="1:10" ht="12" customHeight="1" x14ac:dyDescent="0.2">
      <c r="A77" s="40" t="s">
        <v>74</v>
      </c>
      <c r="B77" s="371"/>
      <c r="C77" s="372"/>
      <c r="D77" s="370"/>
      <c r="E77" s="370"/>
    </row>
    <row r="78" spans="1:10" ht="12" customHeight="1" x14ac:dyDescent="0.2">
      <c r="A78" s="40" t="s">
        <v>75</v>
      </c>
      <c r="B78" s="371"/>
      <c r="C78" s="372"/>
      <c r="D78" s="370"/>
      <c r="E78" s="370"/>
    </row>
    <row r="79" spans="1:10" ht="12" customHeight="1" x14ac:dyDescent="0.2">
      <c r="A79" s="40" t="s">
        <v>76</v>
      </c>
      <c r="B79" s="371">
        <v>90</v>
      </c>
      <c r="C79" s="372"/>
      <c r="D79" s="370"/>
      <c r="E79" s="370"/>
    </row>
    <row r="80" spans="1:10" ht="12" customHeight="1" x14ac:dyDescent="0.2">
      <c r="A80" s="40" t="s">
        <v>77</v>
      </c>
      <c r="B80" s="371">
        <v>20</v>
      </c>
      <c r="C80" s="372"/>
      <c r="D80" s="370"/>
      <c r="E80" s="370"/>
    </row>
    <row r="81" spans="1:10" ht="12" customHeight="1" x14ac:dyDescent="0.2">
      <c r="A81" s="40" t="s">
        <v>78</v>
      </c>
      <c r="B81" s="371">
        <v>30</v>
      </c>
      <c r="C81" s="372"/>
      <c r="D81" s="370"/>
      <c r="E81" s="370"/>
    </row>
    <row r="82" spans="1:10" ht="12" customHeight="1" thickBot="1" x14ac:dyDescent="0.25">
      <c r="A82" s="40" t="s">
        <v>79</v>
      </c>
      <c r="B82" s="375"/>
      <c r="C82" s="376"/>
      <c r="D82" s="377"/>
      <c r="E82" s="378"/>
    </row>
    <row r="83" spans="1:10" ht="12" customHeight="1" thickBot="1" x14ac:dyDescent="0.25">
      <c r="D83" s="345">
        <f>+SUM(B65:C82)</f>
        <v>940</v>
      </c>
      <c r="E83" s="346"/>
      <c r="G83" s="349" t="s">
        <v>80</v>
      </c>
      <c r="H83" s="350"/>
      <c r="I83" s="350"/>
      <c r="J83" s="351"/>
    </row>
    <row r="84" spans="1:10" ht="12" customHeight="1" thickBot="1" x14ac:dyDescent="0.25">
      <c r="G84" s="352"/>
      <c r="H84" s="353"/>
      <c r="I84" s="353"/>
      <c r="J84" s="354"/>
    </row>
    <row r="85" spans="1:10" ht="12" customHeight="1" thickTop="1" thickBot="1" x14ac:dyDescent="0.25">
      <c r="A85" s="151" t="s">
        <v>81</v>
      </c>
      <c r="B85" s="148"/>
      <c r="C85" s="148"/>
      <c r="D85" s="148"/>
      <c r="E85" s="148"/>
    </row>
    <row r="86" spans="1:10" ht="12" customHeight="1" x14ac:dyDescent="0.2">
      <c r="A86" s="40" t="s">
        <v>64</v>
      </c>
      <c r="B86" s="373"/>
      <c r="C86" s="374"/>
      <c r="D86" s="370"/>
      <c r="E86" s="370"/>
    </row>
    <row r="87" spans="1:10" ht="12" customHeight="1" x14ac:dyDescent="0.2">
      <c r="A87" s="40" t="s">
        <v>66</v>
      </c>
      <c r="B87" s="371">
        <v>250</v>
      </c>
      <c r="C87" s="372"/>
      <c r="D87" s="370"/>
      <c r="E87" s="370"/>
    </row>
    <row r="88" spans="1:10" ht="12" customHeight="1" x14ac:dyDescent="0.2">
      <c r="A88" s="40" t="s">
        <v>82</v>
      </c>
      <c r="B88" s="371">
        <v>0</v>
      </c>
      <c r="C88" s="372"/>
      <c r="D88" s="370"/>
      <c r="E88" s="370"/>
    </row>
    <row r="89" spans="1:10" ht="12" customHeight="1" x14ac:dyDescent="0.2">
      <c r="A89" s="40" t="s">
        <v>83</v>
      </c>
      <c r="B89" s="371"/>
      <c r="C89" s="372"/>
      <c r="D89" s="370"/>
      <c r="E89" s="370"/>
    </row>
    <row r="90" spans="1:10" ht="12" customHeight="1" x14ac:dyDescent="0.2">
      <c r="A90" s="40" t="s">
        <v>76</v>
      </c>
      <c r="B90" s="371"/>
      <c r="C90" s="372"/>
      <c r="D90" s="370"/>
      <c r="E90" s="370"/>
    </row>
    <row r="91" spans="1:10" ht="12" customHeight="1" x14ac:dyDescent="0.2">
      <c r="A91" s="40" t="s">
        <v>84</v>
      </c>
      <c r="B91" s="371">
        <v>40</v>
      </c>
      <c r="C91" s="372"/>
      <c r="D91" s="370"/>
      <c r="E91" s="370"/>
    </row>
    <row r="92" spans="1:10" ht="12" customHeight="1" x14ac:dyDescent="0.2">
      <c r="A92" s="40" t="s">
        <v>85</v>
      </c>
      <c r="B92" s="371"/>
      <c r="C92" s="372"/>
      <c r="D92" s="370"/>
      <c r="E92" s="370"/>
    </row>
    <row r="93" spans="1:10" ht="12" customHeight="1" thickBot="1" x14ac:dyDescent="0.25">
      <c r="A93" s="40" t="s">
        <v>79</v>
      </c>
      <c r="B93" s="444"/>
      <c r="C93" s="445"/>
      <c r="D93" s="377"/>
      <c r="E93" s="378"/>
    </row>
    <row r="94" spans="1:10" ht="12" customHeight="1" thickTop="1" thickBot="1" x14ac:dyDescent="0.25">
      <c r="D94" s="345">
        <f>+SUM(B86:C93)</f>
        <v>290</v>
      </c>
      <c r="E94" s="346"/>
      <c r="G94" s="349" t="s">
        <v>86</v>
      </c>
      <c r="H94" s="350"/>
      <c r="I94" s="350"/>
      <c r="J94" s="351"/>
    </row>
    <row r="95" spans="1:10" ht="12" customHeight="1" thickBot="1" x14ac:dyDescent="0.25">
      <c r="G95" s="352"/>
      <c r="H95" s="353"/>
      <c r="I95" s="353"/>
      <c r="J95" s="354"/>
    </row>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sheetData>
  <mergeCells count="130">
    <mergeCell ref="O2:O3"/>
    <mergeCell ref="J2:J3"/>
    <mergeCell ref="J4:J5"/>
    <mergeCell ref="K4:K5"/>
    <mergeCell ref="B12:C12"/>
    <mergeCell ref="B48:C48"/>
    <mergeCell ref="H51:I51"/>
    <mergeCell ref="D69:E69"/>
    <mergeCell ref="D68:E68"/>
    <mergeCell ref="B4:C4"/>
    <mergeCell ref="B6:C6"/>
    <mergeCell ref="B7:C7"/>
    <mergeCell ref="D65:E65"/>
    <mergeCell ref="D63:E63"/>
    <mergeCell ref="D62:E62"/>
    <mergeCell ref="B62:C62"/>
    <mergeCell ref="B41:C41"/>
    <mergeCell ref="B49:C49"/>
    <mergeCell ref="B52:D52"/>
    <mergeCell ref="B57:C57"/>
    <mergeCell ref="B18:C18"/>
    <mergeCell ref="B67:C67"/>
    <mergeCell ref="D57:E57"/>
    <mergeCell ref="B56:C56"/>
    <mergeCell ref="B89:C89"/>
    <mergeCell ref="D89:E89"/>
    <mergeCell ref="B92:C92"/>
    <mergeCell ref="D92:E92"/>
    <mergeCell ref="B93:C93"/>
    <mergeCell ref="D93:E93"/>
    <mergeCell ref="G83:J84"/>
    <mergeCell ref="B75:C75"/>
    <mergeCell ref="G60:I60"/>
    <mergeCell ref="B60:C60"/>
    <mergeCell ref="G61:J62"/>
    <mergeCell ref="B65:C65"/>
    <mergeCell ref="D61:E61"/>
    <mergeCell ref="D60:E60"/>
    <mergeCell ref="D81:E81"/>
    <mergeCell ref="B71:C71"/>
    <mergeCell ref="B69:C69"/>
    <mergeCell ref="F68:G68"/>
    <mergeCell ref="D70:E70"/>
    <mergeCell ref="D71:E71"/>
    <mergeCell ref="D66:E66"/>
    <mergeCell ref="B72:C72"/>
    <mergeCell ref="B73:C73"/>
    <mergeCell ref="B70:C70"/>
    <mergeCell ref="B1:C1"/>
    <mergeCell ref="D72:E72"/>
    <mergeCell ref="D73:E73"/>
    <mergeCell ref="D67:E67"/>
    <mergeCell ref="B80:C80"/>
    <mergeCell ref="D80:E80"/>
    <mergeCell ref="D79:E79"/>
    <mergeCell ref="B74:C74"/>
    <mergeCell ref="E54:G54"/>
    <mergeCell ref="G67:H67"/>
    <mergeCell ref="G66:I66"/>
    <mergeCell ref="H2:I3"/>
    <mergeCell ref="F9:G9"/>
    <mergeCell ref="H9:I9"/>
    <mergeCell ref="H12:I12"/>
    <mergeCell ref="F52:G52"/>
    <mergeCell ref="B2:F2"/>
    <mergeCell ref="D3:E3"/>
    <mergeCell ref="F3:G3"/>
    <mergeCell ref="F51:G51"/>
    <mergeCell ref="B66:C66"/>
    <mergeCell ref="C51:D51"/>
    <mergeCell ref="D76:E76"/>
    <mergeCell ref="D75:E75"/>
    <mergeCell ref="B42:C42"/>
    <mergeCell ref="J12:K15"/>
    <mergeCell ref="J41:J42"/>
    <mergeCell ref="K41:K42"/>
    <mergeCell ref="J44:J45"/>
    <mergeCell ref="K44:K45"/>
    <mergeCell ref="B76:C76"/>
    <mergeCell ref="H68:I68"/>
    <mergeCell ref="F69:G69"/>
    <mergeCell ref="H69:I69"/>
    <mergeCell ref="K53:K54"/>
    <mergeCell ref="E53:F53"/>
    <mergeCell ref="J19:K20"/>
    <mergeCell ref="B50:C50"/>
    <mergeCell ref="B39:C39"/>
    <mergeCell ref="B43:C43"/>
    <mergeCell ref="K47:K48"/>
    <mergeCell ref="J47:J48"/>
    <mergeCell ref="J21:K24"/>
    <mergeCell ref="H57:I57"/>
    <mergeCell ref="H56:I56"/>
    <mergeCell ref="D74:E74"/>
    <mergeCell ref="B68:C68"/>
    <mergeCell ref="B86:C86"/>
    <mergeCell ref="D86:E86"/>
    <mergeCell ref="B87:C87"/>
    <mergeCell ref="D87:E87"/>
    <mergeCell ref="B82:C82"/>
    <mergeCell ref="D82:E82"/>
    <mergeCell ref="B78:C78"/>
    <mergeCell ref="B79:C79"/>
    <mergeCell ref="B77:C77"/>
    <mergeCell ref="B81:C81"/>
    <mergeCell ref="D83:E83"/>
    <mergeCell ref="D94:E94"/>
    <mergeCell ref="N2:N3"/>
    <mergeCell ref="G94:J95"/>
    <mergeCell ref="G63:J64"/>
    <mergeCell ref="J53:J54"/>
    <mergeCell ref="F55:G55"/>
    <mergeCell ref="K49:K50"/>
    <mergeCell ref="K6:K7"/>
    <mergeCell ref="J6:J7"/>
    <mergeCell ref="K2:K3"/>
    <mergeCell ref="D77:E77"/>
    <mergeCell ref="D78:E78"/>
    <mergeCell ref="J51:K52"/>
    <mergeCell ref="J49:J50"/>
    <mergeCell ref="J8:J9"/>
    <mergeCell ref="C9:D9"/>
    <mergeCell ref="K8:K9"/>
    <mergeCell ref="B8:C8"/>
    <mergeCell ref="B88:C88"/>
    <mergeCell ref="D88:E88"/>
    <mergeCell ref="B90:C90"/>
    <mergeCell ref="D90:E90"/>
    <mergeCell ref="B91:C91"/>
    <mergeCell ref="D91:E91"/>
  </mergeCells>
  <pageMargins left="0.25" right="0.25" top="0.75" bottom="0.75" header="0.3" footer="0.3"/>
  <pageSetup orientation="portrait" r:id="rId1"/>
  <rowBreaks count="1" manualBreakCount="1">
    <brk id="58"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6BB2-6951-4B32-B970-A45BAB155270}">
  <dimension ref="A2:T23"/>
  <sheetViews>
    <sheetView showGridLines="0" tabSelected="1" topLeftCell="B1" workbookViewId="0">
      <pane ySplit="7" topLeftCell="A8" activePane="bottomLeft" state="frozenSplit"/>
      <selection pane="bottomLeft" activeCell="S8" sqref="S8"/>
    </sheetView>
  </sheetViews>
  <sheetFormatPr defaultRowHeight="15" x14ac:dyDescent="0.25"/>
  <cols>
    <col min="1" max="1" width="21.85546875" customWidth="1"/>
    <col min="2" max="3" width="12.7109375" customWidth="1"/>
    <col min="4" max="4" width="11.140625" customWidth="1"/>
    <col min="5" max="7" width="10.42578125" customWidth="1"/>
    <col min="8" max="10" width="11.140625" customWidth="1"/>
    <col min="11" max="11" width="12.140625" customWidth="1"/>
    <col min="12" max="12" width="9.85546875" customWidth="1"/>
    <col min="13" max="13" width="11.140625" customWidth="1"/>
    <col min="14" max="14" width="12" customWidth="1"/>
    <col min="15" max="15" width="13.42578125" customWidth="1"/>
    <col min="16" max="16" width="22.7109375" customWidth="1"/>
    <col min="17" max="17" width="14.7109375" customWidth="1"/>
    <col min="18" max="18" width="30.7109375" customWidth="1"/>
    <col min="19" max="19" width="86.42578125" customWidth="1"/>
  </cols>
  <sheetData>
    <row r="2" spans="1:19" ht="24" customHeight="1" x14ac:dyDescent="0.25">
      <c r="A2" s="583" t="s">
        <v>915</v>
      </c>
      <c r="B2" s="583" t="s">
        <v>916</v>
      </c>
      <c r="C2" s="583" t="s">
        <v>917</v>
      </c>
      <c r="D2" s="583" t="s">
        <v>918</v>
      </c>
      <c r="E2" s="583" t="s">
        <v>919</v>
      </c>
      <c r="F2" s="583" t="s">
        <v>920</v>
      </c>
      <c r="G2" s="583" t="s">
        <v>921</v>
      </c>
      <c r="H2" s="583" t="s">
        <v>922</v>
      </c>
      <c r="I2" s="583" t="s">
        <v>923</v>
      </c>
      <c r="J2" s="583" t="s">
        <v>924</v>
      </c>
      <c r="K2" s="583" t="s">
        <v>925</v>
      </c>
      <c r="L2" s="583" t="s">
        <v>926</v>
      </c>
      <c r="M2" s="583" t="s">
        <v>927</v>
      </c>
      <c r="N2" s="583" t="s">
        <v>928</v>
      </c>
      <c r="O2" s="583" t="s">
        <v>929</v>
      </c>
      <c r="P2" s="583" t="s">
        <v>145</v>
      </c>
      <c r="R2" s="584" t="s">
        <v>930</v>
      </c>
      <c r="S2" s="584"/>
    </row>
    <row r="3" spans="1:19" ht="33.950000000000003" customHeight="1" x14ac:dyDescent="0.25">
      <c r="A3" s="585"/>
      <c r="B3" s="585"/>
      <c r="C3" s="586"/>
      <c r="D3" s="586"/>
      <c r="E3" s="586"/>
      <c r="F3" s="586"/>
      <c r="G3" s="586"/>
      <c r="H3" s="586" t="str">
        <f>IF(OR(D3="",E3=""),"",E3-SUM(D3,F3:G3))</f>
        <v/>
      </c>
      <c r="I3" s="586" t="str">
        <f>IF(H3="","",H3*12)</f>
        <v/>
      </c>
      <c r="J3" s="587" t="str">
        <f>IFERROR(SUM(D3,F3:G3)/E3,"")</f>
        <v/>
      </c>
      <c r="K3" s="587" t="str">
        <f>IFERROR(H3/E3,"")</f>
        <v/>
      </c>
      <c r="L3" s="587" t="str">
        <f>IFERROR(I3/C3,"")</f>
        <v/>
      </c>
      <c r="M3" s="586" t="str">
        <f>IF(I3="","",I3/10%)</f>
        <v/>
      </c>
      <c r="N3" s="586" t="str">
        <f>IF(I3="","",I3/12%)</f>
        <v/>
      </c>
      <c r="O3" s="586" t="str">
        <f>IF(I3="","",I3/15%)</f>
        <v/>
      </c>
      <c r="P3" s="588"/>
      <c r="R3" s="589" t="s">
        <v>931</v>
      </c>
      <c r="S3" s="590">
        <f>SUM(I14:I16)</f>
        <v>0</v>
      </c>
    </row>
    <row r="4" spans="1:19" ht="33.950000000000003" customHeight="1" x14ac:dyDescent="0.25">
      <c r="A4" s="585"/>
      <c r="B4" s="585"/>
      <c r="C4" s="586"/>
      <c r="D4" s="586"/>
      <c r="E4" s="586"/>
      <c r="F4" s="586"/>
      <c r="G4" s="586"/>
      <c r="H4" s="586" t="str">
        <f>IF(OR(D4="",E4=""),"",E4-SUM(D4,F4:G4))</f>
        <v/>
      </c>
      <c r="I4" s="586" t="str">
        <f>IF(H4="","",H4*12)</f>
        <v/>
      </c>
      <c r="J4" s="587" t="str">
        <f>IFERROR(SUM(D4,F4:G4)/E4,"")</f>
        <v/>
      </c>
      <c r="K4" s="587" t="str">
        <f>IFERROR(H4/E4,"")</f>
        <v/>
      </c>
      <c r="L4" s="587" t="str">
        <f>IFERROR(I4/C4,"")</f>
        <v/>
      </c>
      <c r="M4" s="586" t="str">
        <f>IF(I4="","",I4/10%)</f>
        <v/>
      </c>
      <c r="N4" s="586" t="str">
        <f>IF(I4="","",I4/12%)</f>
        <v/>
      </c>
      <c r="O4" s="586" t="str">
        <f>IF(I4="","",I4/15%)</f>
        <v/>
      </c>
      <c r="P4" s="588"/>
      <c r="R4" s="589" t="s">
        <v>932</v>
      </c>
      <c r="S4" s="590">
        <f>SUM(J14:J16)</f>
        <v>0</v>
      </c>
    </row>
    <row r="5" spans="1:19" x14ac:dyDescent="0.25">
      <c r="A5" s="585"/>
      <c r="B5" s="585"/>
      <c r="C5" s="586"/>
      <c r="D5" s="586"/>
      <c r="E5" s="586"/>
      <c r="F5" s="586"/>
      <c r="G5" s="586"/>
      <c r="H5" s="586" t="str">
        <f>IF(OR(D5="",E5=""),"",E5-SUM(D5,F5:G5))</f>
        <v/>
      </c>
      <c r="I5" s="586" t="str">
        <f>IF(H5="","",H5*12)</f>
        <v/>
      </c>
      <c r="J5" s="587" t="str">
        <f>IFERROR(SUM(D5,F5:G5)/E5,"")</f>
        <v/>
      </c>
      <c r="K5" s="587" t="str">
        <f>IFERROR(H5/E5,"")</f>
        <v/>
      </c>
      <c r="L5" s="587" t="str">
        <f>IFERROR(I5/C5,"")</f>
        <v/>
      </c>
      <c r="M5" s="586" t="str">
        <f>IF(I5="","",I5/10%)</f>
        <v/>
      </c>
      <c r="N5" s="586" t="str">
        <f>IF(I5="","",I5/12%)</f>
        <v/>
      </c>
      <c r="O5" s="586" t="str">
        <f>IF(I5="","",I5/15%)</f>
        <v/>
      </c>
      <c r="P5" s="588"/>
      <c r="R5" s="589" t="s">
        <v>933</v>
      </c>
      <c r="S5" s="590">
        <f>K17</f>
        <v>0</v>
      </c>
    </row>
    <row r="6" spans="1:19" x14ac:dyDescent="0.25">
      <c r="A6" s="591" t="s">
        <v>376</v>
      </c>
      <c r="B6" s="591"/>
      <c r="C6" s="592">
        <f t="shared" ref="C6:I6" si="0">SUM(C3:C5)</f>
        <v>0</v>
      </c>
      <c r="D6" s="592">
        <f t="shared" si="0"/>
        <v>0</v>
      </c>
      <c r="E6" s="592">
        <f t="shared" si="0"/>
        <v>0</v>
      </c>
      <c r="F6" s="592">
        <f t="shared" si="0"/>
        <v>0</v>
      </c>
      <c r="G6" s="592">
        <f t="shared" si="0"/>
        <v>0</v>
      </c>
      <c r="H6" s="592">
        <f t="shared" si="0"/>
        <v>0</v>
      </c>
      <c r="I6" s="592">
        <f t="shared" si="0"/>
        <v>0</v>
      </c>
      <c r="J6" s="593" t="str">
        <f>IFERROR(SUM(D6,F6:G6)/E6,"")</f>
        <v/>
      </c>
      <c r="K6" s="593" t="str">
        <f>IFERROR(H6/E6,"")</f>
        <v/>
      </c>
      <c r="L6" s="593" t="str">
        <f>IFERROR(I6/C6,"")</f>
        <v/>
      </c>
      <c r="M6" s="592">
        <f>IF(I6="","",I6/10%)</f>
        <v>0</v>
      </c>
      <c r="N6" s="592">
        <f>IF(I6="","",I6/12%)</f>
        <v>0</v>
      </c>
      <c r="O6" s="592">
        <f>IF(I6="","",I6/15%)</f>
        <v>0</v>
      </c>
      <c r="P6" s="594"/>
      <c r="R6" s="589" t="s">
        <v>934</v>
      </c>
      <c r="S6" s="590">
        <f>D17</f>
        <v>0</v>
      </c>
    </row>
    <row r="7" spans="1:19" s="22" customFormat="1" x14ac:dyDescent="0.25">
      <c r="R7" s="589" t="s">
        <v>935</v>
      </c>
      <c r="S7" s="590">
        <f>C17</f>
        <v>0</v>
      </c>
    </row>
    <row r="8" spans="1:19" ht="36" customHeight="1" x14ac:dyDescent="0.3">
      <c r="A8" s="595" t="s">
        <v>936</v>
      </c>
      <c r="B8" s="595"/>
      <c r="C8" s="595"/>
      <c r="D8" s="595"/>
      <c r="E8" s="595"/>
      <c r="F8" s="595"/>
      <c r="G8" s="595"/>
      <c r="H8" s="595"/>
      <c r="I8" s="595"/>
      <c r="J8" s="595"/>
      <c r="K8" s="595"/>
      <c r="L8" s="595"/>
      <c r="M8" s="595"/>
      <c r="N8" s="595"/>
      <c r="O8" s="595"/>
      <c r="R8" s="589" t="s">
        <v>937</v>
      </c>
      <c r="S8" s="590">
        <f>E17</f>
        <v>0</v>
      </c>
    </row>
    <row r="9" spans="1:19" ht="36" customHeight="1" x14ac:dyDescent="0.25">
      <c r="A9" s="596" t="s">
        <v>938</v>
      </c>
      <c r="B9" s="596"/>
      <c r="C9" s="596"/>
      <c r="D9" s="596"/>
      <c r="E9" s="596"/>
      <c r="F9" s="596"/>
      <c r="G9" s="596"/>
      <c r="H9" s="596"/>
      <c r="I9" s="596"/>
      <c r="J9" s="596"/>
      <c r="K9" s="596"/>
      <c r="L9" s="596"/>
      <c r="M9" s="596"/>
      <c r="N9" s="596"/>
      <c r="O9" s="596"/>
      <c r="R9" s="589" t="s">
        <v>939</v>
      </c>
      <c r="S9" s="590">
        <f>F17</f>
        <v>0</v>
      </c>
    </row>
    <row r="10" spans="1:19" x14ac:dyDescent="0.25">
      <c r="A10" s="596"/>
      <c r="B10" s="596"/>
      <c r="C10" s="596"/>
      <c r="D10" s="596"/>
      <c r="E10" s="596"/>
      <c r="F10" s="596"/>
      <c r="G10" s="596"/>
      <c r="H10" s="596"/>
      <c r="I10" s="597"/>
      <c r="J10" s="596"/>
      <c r="K10" s="596"/>
      <c r="L10" s="596"/>
      <c r="M10" s="596"/>
      <c r="N10" s="596"/>
      <c r="O10" s="596"/>
      <c r="R10" s="589"/>
      <c r="S10" s="590"/>
    </row>
    <row r="11" spans="1:19" x14ac:dyDescent="0.25">
      <c r="G11" s="598"/>
      <c r="H11" s="598"/>
      <c r="I11" s="599">
        <v>0.1</v>
      </c>
      <c r="J11" s="600">
        <v>2</v>
      </c>
      <c r="R11" s="589" t="s">
        <v>940</v>
      </c>
      <c r="S11" s="590">
        <f>S9/10%</f>
        <v>0</v>
      </c>
    </row>
    <row r="12" spans="1:19" x14ac:dyDescent="0.25">
      <c r="C12" s="601" t="s">
        <v>941</v>
      </c>
      <c r="D12" s="602"/>
      <c r="E12" s="602"/>
      <c r="F12" s="602"/>
      <c r="G12" s="602"/>
      <c r="H12" s="602"/>
      <c r="I12" s="602"/>
      <c r="J12" s="602"/>
      <c r="K12" s="602"/>
      <c r="L12" s="488"/>
      <c r="M12" s="488"/>
      <c r="R12" s="589" t="s">
        <v>942</v>
      </c>
      <c r="S12" s="590">
        <f>S9/12%</f>
        <v>0</v>
      </c>
    </row>
    <row r="13" spans="1:19" ht="51.75" x14ac:dyDescent="0.25">
      <c r="A13" s="603" t="s">
        <v>943</v>
      </c>
      <c r="B13" s="603" t="s">
        <v>916</v>
      </c>
      <c r="C13" s="604" t="s">
        <v>944</v>
      </c>
      <c r="D13" s="605" t="s">
        <v>945</v>
      </c>
      <c r="E13" s="605" t="s">
        <v>922</v>
      </c>
      <c r="F13" s="605" t="s">
        <v>923</v>
      </c>
      <c r="G13" s="605" t="s">
        <v>946</v>
      </c>
      <c r="H13" s="605" t="s">
        <v>947</v>
      </c>
      <c r="I13" s="605" t="s">
        <v>948</v>
      </c>
      <c r="J13" s="605" t="s">
        <v>949</v>
      </c>
      <c r="K13" s="605" t="s">
        <v>950</v>
      </c>
      <c r="L13" s="603" t="s">
        <v>951</v>
      </c>
      <c r="M13" s="603" t="s">
        <v>952</v>
      </c>
      <c r="N13" s="603" t="s">
        <v>953</v>
      </c>
      <c r="O13" s="603" t="s">
        <v>954</v>
      </c>
      <c r="R13" s="589" t="s">
        <v>955</v>
      </c>
      <c r="S13" s="590">
        <f>S9/15%</f>
        <v>0</v>
      </c>
    </row>
    <row r="14" spans="1:19" x14ac:dyDescent="0.25">
      <c r="A14" s="606">
        <f>+A3</f>
        <v>0</v>
      </c>
      <c r="B14" s="606">
        <f t="shared" ref="B14:B16" si="1">+B3</f>
        <v>0</v>
      </c>
      <c r="C14" s="607">
        <f>SUM(D3,F3:G3)</f>
        <v>0</v>
      </c>
      <c r="D14" s="607">
        <f>E3</f>
        <v>0</v>
      </c>
      <c r="E14" s="608">
        <f>D14-C14</f>
        <v>0</v>
      </c>
      <c r="F14" s="608">
        <f>E14*12</f>
        <v>0</v>
      </c>
      <c r="G14" s="608" t="str">
        <f>+O3</f>
        <v/>
      </c>
      <c r="H14" s="608">
        <f>C3</f>
        <v>0</v>
      </c>
      <c r="I14" s="608">
        <f>IF($J$11=2,H14,G14)*(1-$I$11)</f>
        <v>0</v>
      </c>
      <c r="J14" s="607">
        <v>0</v>
      </c>
      <c r="K14" s="608">
        <f>IF($L14,MAX(0,I14-J14),0)</f>
        <v>0</v>
      </c>
      <c r="L14" s="609" t="b">
        <v>0</v>
      </c>
      <c r="M14" s="610"/>
      <c r="N14" s="610"/>
      <c r="O14" s="610"/>
      <c r="R14" s="589"/>
      <c r="S14" s="611"/>
    </row>
    <row r="15" spans="1:19" x14ac:dyDescent="0.25">
      <c r="A15" s="606">
        <f t="shared" ref="A15:A16" si="2">+A4</f>
        <v>0</v>
      </c>
      <c r="B15" s="606">
        <f t="shared" si="1"/>
        <v>0</v>
      </c>
      <c r="C15" s="607">
        <f>SUM(D4,F4:G4)</f>
        <v>0</v>
      </c>
      <c r="D15" s="607">
        <f>E4</f>
        <v>0</v>
      </c>
      <c r="E15" s="608">
        <f>D15-C15</f>
        <v>0</v>
      </c>
      <c r="F15" s="608">
        <f>E15*12</f>
        <v>0</v>
      </c>
      <c r="G15" s="608" t="str">
        <f>+O4</f>
        <v/>
      </c>
      <c r="H15" s="608">
        <f>C4</f>
        <v>0</v>
      </c>
      <c r="I15" s="608">
        <f>IF($J$11=2,H15,G15)*(1-$I$11)</f>
        <v>0</v>
      </c>
      <c r="J15" s="607">
        <v>0</v>
      </c>
      <c r="K15" s="608">
        <f>IF($L15,MAX(0,I15-J15),0)</f>
        <v>0</v>
      </c>
      <c r="L15" s="609" t="b">
        <v>0</v>
      </c>
      <c r="M15" s="610"/>
      <c r="N15" s="610"/>
      <c r="O15" s="610"/>
      <c r="R15" s="612" t="s">
        <v>956</v>
      </c>
      <c r="S15" s="613" t="str">
        <f>_xlfn.TEXTJOIN("; ",TRUE,IF($L$14,$A$14&amp;" - "&amp;$B$14,""),IF($L$15,$A$15&amp;" - "&amp;$B$15,""),IF($L$16,$A$16&amp;" - "&amp;$B$16,""))</f>
        <v/>
      </c>
    </row>
    <row r="16" spans="1:19" ht="45" x14ac:dyDescent="0.25">
      <c r="A16" s="606">
        <f t="shared" si="2"/>
        <v>0</v>
      </c>
      <c r="B16" s="606">
        <f t="shared" si="1"/>
        <v>0</v>
      </c>
      <c r="C16" s="607">
        <f>SUM(D5,F5:G5)</f>
        <v>0</v>
      </c>
      <c r="D16" s="607">
        <f>E5</f>
        <v>0</v>
      </c>
      <c r="E16" s="608">
        <f>D16-C16</f>
        <v>0</v>
      </c>
      <c r="F16" s="608">
        <f>E16*12</f>
        <v>0</v>
      </c>
      <c r="G16" s="608" t="str">
        <f>+O5</f>
        <v/>
      </c>
      <c r="H16" s="608">
        <f>C5</f>
        <v>0</v>
      </c>
      <c r="I16" s="608">
        <f>IF($J$11=2,H16,G16)*(1-$I$11)</f>
        <v>0</v>
      </c>
      <c r="J16" s="607">
        <v>0</v>
      </c>
      <c r="K16" s="608">
        <f>IF($L16,MAX(0,I16-J16),0)</f>
        <v>0</v>
      </c>
      <c r="L16" s="609" t="b">
        <v>0</v>
      </c>
      <c r="M16" s="610"/>
      <c r="N16" s="610"/>
      <c r="O16" s="610"/>
      <c r="R16" s="612" t="s">
        <v>957</v>
      </c>
      <c r="S16" s="613" t="s">
        <v>958</v>
      </c>
    </row>
    <row r="17" spans="1:20" x14ac:dyDescent="0.25">
      <c r="A17" s="614" t="s">
        <v>959</v>
      </c>
      <c r="B17" s="614"/>
      <c r="C17" s="615">
        <f t="shared" ref="C17:I17" si="3">SUMPRODUCT(--($L$14:$L$16=TRUE),C14:C16)</f>
        <v>0</v>
      </c>
      <c r="D17" s="615">
        <f t="shared" si="3"/>
        <v>0</v>
      </c>
      <c r="E17" s="615">
        <f t="shared" si="3"/>
        <v>0</v>
      </c>
      <c r="F17" s="615">
        <f t="shared" si="3"/>
        <v>0</v>
      </c>
      <c r="G17" s="615">
        <f t="shared" si="3"/>
        <v>0</v>
      </c>
      <c r="H17" s="615">
        <f t="shared" si="3"/>
        <v>0</v>
      </c>
      <c r="I17" s="615">
        <f t="shared" si="3"/>
        <v>0</v>
      </c>
      <c r="J17" s="615">
        <f t="shared" ref="J17" si="4">SUM(J14:J16)</f>
        <v>0</v>
      </c>
      <c r="K17" s="615">
        <f>SUM(K14:K16)</f>
        <v>0</v>
      </c>
      <c r="L17" s="614"/>
      <c r="M17" s="614"/>
      <c r="N17" s="614"/>
      <c r="O17" s="614"/>
      <c r="R17" s="612"/>
      <c r="S17" s="613"/>
    </row>
    <row r="18" spans="1:20" ht="30" x14ac:dyDescent="0.25">
      <c r="R18" s="612" t="s">
        <v>960</v>
      </c>
      <c r="S18" s="616" t="s">
        <v>961</v>
      </c>
    </row>
    <row r="19" spans="1:20" x14ac:dyDescent="0.25">
      <c r="R19" s="612"/>
      <c r="S19" s="613"/>
    </row>
    <row r="20" spans="1:20" x14ac:dyDescent="0.25">
      <c r="T20" t="str">
        <f>_xlfn.TEXTJOIN("; ",TRUE,IF(AND($L$14,$A$14&lt;&gt;""),$A$14&amp;" - "&amp;$B$14,""),IF(AND($L$15,$A$15&lt;&gt;""),$A$15&amp;" - "&amp;$B$15,""),IF(AND($L$16,$A$16&lt;&gt;""),$A$16&amp;" - "&amp;$B$16,""))</f>
        <v/>
      </c>
    </row>
    <row r="23" spans="1:20" ht="48" customHeight="1" x14ac:dyDescent="0.25"/>
  </sheetData>
  <mergeCells count="4">
    <mergeCell ref="R2:S2"/>
    <mergeCell ref="A8:O8"/>
    <mergeCell ref="A9:O10"/>
    <mergeCell ref="C12:M12"/>
  </mergeCells>
  <dataValidations count="2">
    <dataValidation type="decimal" allowBlank="1" showInputMessage="1" showErrorMessage="1" promptTitle="Discount" prompt="Enter a discount percentage from 0% to 100%." sqref="I11" xr:uid="{B9EE9912-B2B0-40B0-80A8-13A7D0CB4898}">
      <formula1>0</formula1>
      <formula2>1</formula2>
    </dataValidation>
    <dataValidation type="list" allowBlank="1" showInputMessage="1" showErrorMessage="1" sqref="M14:O16" xr:uid="{61976D6D-8D95-4337-BEC0-775B0DA75FD8}">
      <formula1>"Needs review,Pending,Received,Accepted,Rejected,N/A"</formula1>
    </dataValidation>
  </dataValidations>
  <pageMargins left="0.7" right="0.7" top="0.75" bottom="0.75" header="0.3" footer="0.3"/>
  <pageSetup orientation="portrait" horizontalDpi="4800" verticalDpi="4800"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CapBasedValue">
              <controlPr defaultSize="0" autoFill="0" autoLine="0" autoPict="0">
                <anchor moveWithCells="1">
                  <from>
                    <xdr:col>6</xdr:col>
                    <xdr:colOff>28575</xdr:colOff>
                    <xdr:row>10</xdr:row>
                    <xdr:rowOff>28575</xdr:rowOff>
                  </from>
                  <to>
                    <xdr:col>7</xdr:col>
                    <xdr:colOff>352425</xdr:colOff>
                    <xdr:row>11</xdr:row>
                    <xdr:rowOff>47625</xdr:rowOff>
                  </to>
                </anchor>
              </controlPr>
            </control>
          </mc:Choice>
        </mc:AlternateContent>
        <mc:AlternateContent xmlns:mc="http://schemas.openxmlformats.org/markup-compatibility/2006">
          <mc:Choice Requires="x14">
            <control shapeId="30722" r:id="rId5" name="optCMABasedValue">
              <controlPr defaultSize="0" autoFill="0" autoLine="0" autoPict="0">
                <anchor moveWithCells="1">
                  <from>
                    <xdr:col>7</xdr:col>
                    <xdr:colOff>19050</xdr:colOff>
                    <xdr:row>10</xdr:row>
                    <xdr:rowOff>28575</xdr:rowOff>
                  </from>
                  <to>
                    <xdr:col>8</xdr:col>
                    <xdr:colOff>295275</xdr:colOff>
                    <xdr:row>11</xdr:row>
                    <xdr:rowOff>47625</xdr:rowOff>
                  </to>
                </anchor>
              </controlPr>
            </control>
          </mc:Choice>
        </mc:AlternateContent>
        <mc:AlternateContent xmlns:mc="http://schemas.openxmlformats.org/markup-compatibility/2006">
          <mc:Choice Requires="x14">
            <control shapeId="30723" r:id="rId6" name="chkIncludeContract6">
              <controlPr defaultSize="0" autoFill="0" autoLine="0" autoPict="0">
                <anchor moveWithCells="1">
                  <from>
                    <xdr:col>11</xdr:col>
                    <xdr:colOff>47625</xdr:colOff>
                    <xdr:row>13</xdr:row>
                    <xdr:rowOff>28575</xdr:rowOff>
                  </from>
                  <to>
                    <xdr:col>12</xdr:col>
                    <xdr:colOff>676275</xdr:colOff>
                    <xdr:row>15</xdr:row>
                    <xdr:rowOff>28575</xdr:rowOff>
                  </to>
                </anchor>
              </controlPr>
            </control>
          </mc:Choice>
        </mc:AlternateContent>
        <mc:AlternateContent xmlns:mc="http://schemas.openxmlformats.org/markup-compatibility/2006">
          <mc:Choice Requires="x14">
            <control shapeId="30724" r:id="rId7" name="chkIncludeContract7">
              <controlPr defaultSize="0" autoFill="0" autoLine="0" autoPict="0">
                <anchor moveWithCells="1">
                  <from>
                    <xdr:col>11</xdr:col>
                    <xdr:colOff>47625</xdr:colOff>
                    <xdr:row>14</xdr:row>
                    <xdr:rowOff>28575</xdr:rowOff>
                  </from>
                  <to>
                    <xdr:col>12</xdr:col>
                    <xdr:colOff>676275</xdr:colOff>
                    <xdr:row>15</xdr:row>
                    <xdr:rowOff>219075</xdr:rowOff>
                  </to>
                </anchor>
              </controlPr>
            </control>
          </mc:Choice>
        </mc:AlternateContent>
        <mc:AlternateContent xmlns:mc="http://schemas.openxmlformats.org/markup-compatibility/2006">
          <mc:Choice Requires="x14">
            <control shapeId="30725" r:id="rId8" name="chkIncludeContract8">
              <controlPr defaultSize="0" autoFill="0" autoLine="0" autoPict="0">
                <anchor moveWithCells="1">
                  <from>
                    <xdr:col>11</xdr:col>
                    <xdr:colOff>47625</xdr:colOff>
                    <xdr:row>15</xdr:row>
                    <xdr:rowOff>28575</xdr:rowOff>
                  </from>
                  <to>
                    <xdr:col>12</xdr:col>
                    <xdr:colOff>676275</xdr:colOff>
                    <xdr:row>15</xdr:row>
                    <xdr:rowOff>409575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493" t="s">
        <v>87</v>
      </c>
      <c r="D1" s="494"/>
      <c r="E1" s="488"/>
      <c r="I1" s="486"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495" t="s">
        <v>88</v>
      </c>
      <c r="K1" s="486"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$20,000.00
                                Total Value:                      $20,000.00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-$72,469.20   *    Expected 3% appreciation per year
                          Expected Value:                    -$62,469.20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488"/>
      <c r="J2" s="495"/>
      <c r="K2" s="486"/>
    </row>
    <row r="3" spans="1:11" ht="16.5" customHeight="1" x14ac:dyDescent="0.25">
      <c r="A3" t="s">
        <v>89</v>
      </c>
      <c r="B3" s="268" t="s">
        <v>90</v>
      </c>
      <c r="C3" s="267" t="s">
        <v>91</v>
      </c>
      <c r="D3" s="22"/>
      <c r="I3" s="488"/>
      <c r="J3" s="261" t="s">
        <v>92</v>
      </c>
      <c r="K3" s="486"/>
    </row>
    <row r="4" spans="1:11" x14ac:dyDescent="0.25">
      <c r="A4" t="s">
        <v>93</v>
      </c>
      <c r="B4" s="266"/>
      <c r="C4" s="269"/>
      <c r="D4" s="22"/>
      <c r="I4" s="488"/>
      <c r="K4" s="486"/>
    </row>
    <row r="5" spans="1:11" ht="16.5" x14ac:dyDescent="0.3">
      <c r="A5" t="s">
        <v>94</v>
      </c>
      <c r="B5" s="256"/>
      <c r="C5" s="257"/>
      <c r="D5" s="22"/>
      <c r="I5" s="488"/>
      <c r="K5" s="486"/>
    </row>
    <row r="6" spans="1:11" ht="15" customHeight="1" thickBot="1" x14ac:dyDescent="0.3">
      <c r="A6" t="s">
        <v>95</v>
      </c>
      <c r="B6" s="258"/>
      <c r="C6" s="259"/>
      <c r="D6" s="22"/>
      <c r="I6" s="488"/>
      <c r="K6" s="486"/>
    </row>
    <row r="7" spans="1:11" x14ac:dyDescent="0.25">
      <c r="I7" s="488"/>
      <c r="K7" s="486"/>
    </row>
    <row r="8" spans="1:11" x14ac:dyDescent="0.25">
      <c r="I8" s="488"/>
      <c r="K8" s="486"/>
    </row>
    <row r="9" spans="1:11" x14ac:dyDescent="0.25">
      <c r="A9" s="15" t="s">
        <v>96</v>
      </c>
      <c r="B9" s="15" t="s">
        <v>97</v>
      </c>
      <c r="C9" s="15"/>
      <c r="I9" s="488"/>
      <c r="K9" s="486"/>
    </row>
    <row r="10" spans="1:11" x14ac:dyDescent="0.25">
      <c r="B10" s="496" t="s">
        <v>98</v>
      </c>
      <c r="C10" s="497"/>
      <c r="D10" s="497"/>
      <c r="E10" s="497"/>
      <c r="F10" s="497"/>
      <c r="G10" s="497"/>
      <c r="I10" s="488"/>
      <c r="K10" s="486"/>
    </row>
    <row r="11" spans="1:11" x14ac:dyDescent="0.25">
      <c r="B11" s="488"/>
      <c r="C11" s="488"/>
      <c r="D11" s="488"/>
      <c r="E11" s="488"/>
      <c r="F11" s="488"/>
      <c r="G11" s="488"/>
      <c r="I11" s="488"/>
      <c r="K11" s="486"/>
    </row>
    <row r="12" spans="1:11" x14ac:dyDescent="0.25">
      <c r="F12" s="484" t="s">
        <v>99</v>
      </c>
      <c r="I12" s="488"/>
      <c r="K12" s="486"/>
    </row>
    <row r="13" spans="1:11" ht="15.75" thickBot="1" x14ac:dyDescent="0.3">
      <c r="B13" s="32" t="s">
        <v>100</v>
      </c>
      <c r="C13" s="254" t="s">
        <v>101</v>
      </c>
      <c r="D13" s="32" t="s">
        <v>102</v>
      </c>
      <c r="E13" s="32"/>
      <c r="F13" s="485"/>
      <c r="G13" s="32" t="s">
        <v>103</v>
      </c>
      <c r="I13" s="488"/>
      <c r="K13" s="486"/>
    </row>
    <row r="14" spans="1:11" ht="16.5" thickTop="1" thickBot="1" x14ac:dyDescent="0.3">
      <c r="B14" s="265">
        <f>+D14+F14</f>
        <v>180784</v>
      </c>
      <c r="C14" s="1">
        <f>+Profit!B4</f>
        <v>341700</v>
      </c>
      <c r="D14" s="1">
        <f>+Profit!K47-Profit!B18</f>
        <v>162784</v>
      </c>
      <c r="F14" s="264">
        <f>+B24-(B24*F16)</f>
        <v>18000</v>
      </c>
      <c r="G14" s="228">
        <f ca="1">+C14-D14-F14+Profit!E51+Profit!B18</f>
        <v>144842.13658351568</v>
      </c>
      <c r="I14" s="488"/>
      <c r="K14" s="486"/>
    </row>
    <row r="15" spans="1:11" ht="16.5" thickTop="1" thickBot="1" x14ac:dyDescent="0.3">
      <c r="C15" s="223"/>
      <c r="D15" s="224" t="s">
        <v>104</v>
      </c>
      <c r="E15" s="225">
        <f ca="1">+Profit!$K$49</f>
        <v>36073.86341648431</v>
      </c>
      <c r="H15" s="255"/>
      <c r="K15" s="486"/>
    </row>
    <row r="16" spans="1:11" ht="16.5" thickTop="1" thickBot="1" x14ac:dyDescent="0.3">
      <c r="C16" s="223"/>
      <c r="D16" s="226" t="s">
        <v>105</v>
      </c>
      <c r="E16" s="227">
        <f ca="1">+G14/E15</f>
        <v>4.0151545430902926</v>
      </c>
      <c r="F16" s="263">
        <v>0.1</v>
      </c>
      <c r="H16" s="255" t="s">
        <v>106</v>
      </c>
      <c r="I16" s="486"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486"/>
    </row>
    <row r="17" spans="1:13" ht="15.75" thickTop="1" x14ac:dyDescent="0.25">
      <c r="C17" s="223"/>
      <c r="D17" s="226" t="s">
        <v>107</v>
      </c>
      <c r="E17" s="227">
        <f ca="1">+G14/(F14+G14)</f>
        <v>0.88946349895889221</v>
      </c>
      <c r="F17" t="s">
        <v>108</v>
      </c>
      <c r="I17" s="486"/>
      <c r="K17" s="486"/>
    </row>
    <row r="18" spans="1:13" x14ac:dyDescent="0.25">
      <c r="I18" s="486"/>
      <c r="K18" s="486"/>
    </row>
    <row r="19" spans="1:13" ht="15.75" thickBot="1" x14ac:dyDescent="0.3">
      <c r="A19" s="15" t="s">
        <v>109</v>
      </c>
      <c r="B19" s="15" t="s">
        <v>110</v>
      </c>
      <c r="D19" s="15" t="s">
        <v>111</v>
      </c>
      <c r="H19">
        <f>IF(H20="X",1,0)</f>
        <v>0</v>
      </c>
      <c r="K19" s="486"/>
    </row>
    <row r="20" spans="1:13" ht="15" customHeight="1" thickTop="1" thickBot="1" x14ac:dyDescent="0.3">
      <c r="B20" t="s">
        <v>112</v>
      </c>
      <c r="H20" s="255"/>
      <c r="I20" s="486"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$180,784.00
                                Total Value:                     $18,000.00</v>
      </c>
      <c r="K20" s="486"/>
    </row>
    <row r="21" spans="1:13" ht="15.75" thickTop="1" x14ac:dyDescent="0.25">
      <c r="B21" t="s">
        <v>113</v>
      </c>
      <c r="I21" s="486"/>
      <c r="J21" s="252"/>
      <c r="K21" s="486"/>
      <c r="L21" s="251"/>
      <c r="M21" s="251"/>
    </row>
    <row r="22" spans="1:13" ht="30" x14ac:dyDescent="0.25">
      <c r="F22" s="63" t="s">
        <v>114</v>
      </c>
      <c r="I22" s="486"/>
      <c r="J22" s="251"/>
      <c r="K22" s="486"/>
      <c r="L22" s="251"/>
      <c r="M22" s="251"/>
    </row>
    <row r="23" spans="1:13" ht="15.75" thickBot="1" x14ac:dyDescent="0.3">
      <c r="B23" s="32" t="s">
        <v>115</v>
      </c>
      <c r="C23" s="489"/>
      <c r="D23" s="490"/>
      <c r="E23" s="490"/>
      <c r="F23" s="490"/>
      <c r="G23" s="32" t="s">
        <v>103</v>
      </c>
      <c r="I23" s="487"/>
      <c r="J23" s="251"/>
      <c r="K23" s="486"/>
      <c r="L23" s="251"/>
      <c r="M23" s="251"/>
    </row>
    <row r="24" spans="1:13" ht="16.5" thickTop="1" thickBot="1" x14ac:dyDescent="0.3">
      <c r="B24" s="262">
        <f>+Profit!B18</f>
        <v>20000</v>
      </c>
      <c r="C24" s="491" t="s">
        <v>116</v>
      </c>
      <c r="D24" s="492"/>
      <c r="E24" s="492"/>
      <c r="F24" s="10">
        <f>+B24</f>
        <v>20000</v>
      </c>
      <c r="G24" s="228">
        <f ca="1">+Profit!K57+Profit!B18-B24</f>
        <v>-154531.42303403601</v>
      </c>
      <c r="I24" s="488"/>
      <c r="K24" s="486"/>
    </row>
    <row r="25" spans="1:13" ht="15.4" customHeight="1" thickTop="1" thickBot="1" x14ac:dyDescent="0.3">
      <c r="C25" s="223"/>
      <c r="D25" s="224" t="s">
        <v>104</v>
      </c>
      <c r="E25" s="225">
        <f ca="1">+Profit!$K$49</f>
        <v>36073.86341648431</v>
      </c>
      <c r="H25">
        <f>IF(H26="X",1+H19,H19)</f>
        <v>1</v>
      </c>
      <c r="K25" s="486"/>
    </row>
    <row r="26" spans="1:13" ht="15" customHeight="1" thickTop="1" thickBot="1" x14ac:dyDescent="0.3">
      <c r="C26" s="223"/>
      <c r="D26" s="226" t="s">
        <v>105</v>
      </c>
      <c r="E26" s="227">
        <f ca="1">+G24/E25</f>
        <v>-4.283750294497743</v>
      </c>
      <c r="H26" s="255" t="s">
        <v>117</v>
      </c>
      <c r="I26" s="486"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$20,000.00
                                Total Value:                      $20,000.00</v>
      </c>
      <c r="K26" s="486"/>
    </row>
    <row r="27" spans="1:13" ht="15" customHeight="1" thickTop="1" x14ac:dyDescent="0.25">
      <c r="C27" s="223"/>
      <c r="D27" s="226" t="s">
        <v>107</v>
      </c>
      <c r="E27" s="227">
        <f ca="1">+G24/(F24+G24)</f>
        <v>1.1486641525745258</v>
      </c>
      <c r="I27" s="486"/>
      <c r="K27" s="486"/>
    </row>
    <row r="28" spans="1:13" ht="15" customHeight="1" x14ac:dyDescent="0.25">
      <c r="I28" s="486"/>
      <c r="K28" s="486"/>
    </row>
    <row r="29" spans="1:13" x14ac:dyDescent="0.25">
      <c r="A29" s="15"/>
      <c r="B29" s="15"/>
      <c r="I29" s="487"/>
      <c r="K29" s="486"/>
    </row>
    <row r="30" spans="1:13" x14ac:dyDescent="0.25">
      <c r="A30" s="15" t="s">
        <v>118</v>
      </c>
      <c r="B30" s="15" t="s">
        <v>119</v>
      </c>
      <c r="D30" t="s">
        <v>120</v>
      </c>
      <c r="I30" s="488"/>
      <c r="K30" s="486"/>
    </row>
    <row r="31" spans="1:13" ht="25.5" x14ac:dyDescent="0.25">
      <c r="B31" t="s">
        <v>112</v>
      </c>
      <c r="I31" s="252"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486"/>
    </row>
    <row r="32" spans="1:13" ht="15.75" thickBot="1" x14ac:dyDescent="0.3">
      <c r="B32" t="s">
        <v>113</v>
      </c>
      <c r="H32">
        <f>IF(H33="X",H25+1,H25)</f>
        <v>2</v>
      </c>
      <c r="K32" s="486"/>
    </row>
    <row r="33" spans="1:13" ht="15" customHeight="1" thickTop="1" thickBot="1" x14ac:dyDescent="0.3">
      <c r="H33" s="255" t="s">
        <v>117</v>
      </c>
      <c r="I33" s="486"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v>
      </c>
      <c r="K33" s="486"/>
    </row>
    <row r="34" spans="1:13" ht="16.5" thickTop="1" thickBot="1" x14ac:dyDescent="0.3">
      <c r="C34" s="2" t="s">
        <v>121</v>
      </c>
      <c r="D34" s="3" t="s">
        <v>122</v>
      </c>
      <c r="F34" s="3" t="s">
        <v>123</v>
      </c>
      <c r="I34" s="486"/>
      <c r="K34" s="486"/>
    </row>
    <row r="35" spans="1:13" ht="16.5" thickTop="1" thickBot="1" x14ac:dyDescent="0.3">
      <c r="B35" s="260" t="s">
        <v>124</v>
      </c>
      <c r="C35" s="231">
        <v>20000</v>
      </c>
      <c r="D35" s="222">
        <v>24</v>
      </c>
      <c r="F35" s="484" t="s">
        <v>114</v>
      </c>
      <c r="I35" s="486"/>
      <c r="K35" s="486"/>
    </row>
    <row r="36" spans="1:13" ht="16.5" thickTop="1" thickBot="1" x14ac:dyDescent="0.3">
      <c r="B36" s="32" t="s">
        <v>125</v>
      </c>
      <c r="C36" s="32" t="s">
        <v>126</v>
      </c>
      <c r="D36" s="32" t="s">
        <v>127</v>
      </c>
      <c r="E36" s="32" t="s">
        <v>128</v>
      </c>
      <c r="F36" s="485"/>
      <c r="G36" s="32" t="s">
        <v>103</v>
      </c>
      <c r="I36" s="486"/>
      <c r="K36" s="486"/>
    </row>
    <row r="37" spans="1:13" ht="16.5" thickTop="1" thickBot="1" x14ac:dyDescent="0.3">
      <c r="B37" s="10">
        <f>+(Profit!$B$18)*B38</f>
        <v>4000</v>
      </c>
      <c r="C37" s="10">
        <f>+(Profit!$B$18)-B37+C35</f>
        <v>36000</v>
      </c>
      <c r="D37" s="10">
        <f>+C37*D35/12*E37</f>
        <v>2880</v>
      </c>
      <c r="E37" s="233">
        <v>0.04</v>
      </c>
      <c r="F37" s="10">
        <f>+SUM(B37:D37)</f>
        <v>42880</v>
      </c>
      <c r="G37" s="228">
        <f ca="1">+Profit!$K$57-D37-C35</f>
        <v>-177411.42303403601</v>
      </c>
      <c r="I37" s="486"/>
      <c r="K37" s="486"/>
    </row>
    <row r="38" spans="1:13" ht="16.5" thickTop="1" thickBot="1" x14ac:dyDescent="0.3">
      <c r="B38" s="233">
        <v>0.2</v>
      </c>
      <c r="C38" s="250">
        <f>1-B38</f>
        <v>0.8</v>
      </c>
      <c r="D38" s="10"/>
      <c r="E38" s="38"/>
      <c r="F38" s="10"/>
      <c r="G38" s="10"/>
      <c r="I38" s="486"/>
      <c r="K38" s="486"/>
    </row>
    <row r="39" spans="1:13" ht="15.4" customHeight="1" thickTop="1" x14ac:dyDescent="0.25">
      <c r="B39" s="10"/>
      <c r="C39" s="228"/>
      <c r="D39" s="224" t="s">
        <v>104</v>
      </c>
      <c r="E39" s="225">
        <f ca="1">+Profit!$K$49-C37+C35</f>
        <v>20073.86341648431</v>
      </c>
      <c r="F39" s="10"/>
      <c r="G39" s="10"/>
      <c r="I39" s="486"/>
      <c r="K39" s="486"/>
    </row>
    <row r="40" spans="1:13" x14ac:dyDescent="0.25">
      <c r="C40" s="223"/>
      <c r="D40" s="226" t="s">
        <v>105</v>
      </c>
      <c r="E40" s="227">
        <f ca="1">+G37/E39</f>
        <v>-8.8379311621871857</v>
      </c>
      <c r="I40" s="486"/>
      <c r="K40" s="486"/>
    </row>
    <row r="41" spans="1:13" ht="15" customHeight="1" thickBot="1" x14ac:dyDescent="0.3">
      <c r="C41" s="223"/>
      <c r="D41" s="226" t="s">
        <v>107</v>
      </c>
      <c r="E41" s="227">
        <f ca="1">+G37/(F37+G37)</f>
        <v>1.3187359431197831</v>
      </c>
      <c r="H41">
        <f>IF(H42="X",H32+1,H32)</f>
        <v>3</v>
      </c>
      <c r="K41" s="486"/>
    </row>
    <row r="42" spans="1:13" ht="16.5" thickTop="1" thickBot="1" x14ac:dyDescent="0.3">
      <c r="A42" s="15" t="s">
        <v>129</v>
      </c>
      <c r="B42" s="15" t="s">
        <v>130</v>
      </c>
      <c r="H42" s="255" t="s">
        <v>117</v>
      </c>
      <c r="I42" s="486"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-$72,469.20   *    Expected 3% appreciation per year
                          Expected Value:                    -$62,469.20    ** After 24 months.</v>
      </c>
      <c r="K42" s="486"/>
    </row>
    <row r="43" spans="1:13" ht="15.75" thickTop="1" x14ac:dyDescent="0.25">
      <c r="B43" t="s">
        <v>112</v>
      </c>
      <c r="I43" s="486"/>
      <c r="K43" s="488"/>
      <c r="M43" s="237"/>
    </row>
    <row r="44" spans="1:13" x14ac:dyDescent="0.25">
      <c r="B44" t="s">
        <v>113</v>
      </c>
      <c r="I44" s="486"/>
      <c r="K44" s="488"/>
    </row>
    <row r="45" spans="1:13" ht="15" customHeight="1" x14ac:dyDescent="0.25">
      <c r="B45" t="s">
        <v>131</v>
      </c>
      <c r="I45" s="486"/>
      <c r="K45" s="488"/>
    </row>
    <row r="46" spans="1:13" x14ac:dyDescent="0.25">
      <c r="B46" t="s">
        <v>132</v>
      </c>
      <c r="I46" s="486"/>
      <c r="K46" s="488"/>
    </row>
    <row r="47" spans="1:13" x14ac:dyDescent="0.25">
      <c r="F47" s="3" t="s">
        <v>133</v>
      </c>
      <c r="I47" s="486"/>
      <c r="K47" s="488"/>
    </row>
    <row r="48" spans="1:13" x14ac:dyDescent="0.25">
      <c r="C48" s="484" t="s">
        <v>134</v>
      </c>
      <c r="D48" s="484" t="s">
        <v>135</v>
      </c>
      <c r="E48" s="484" t="s">
        <v>136</v>
      </c>
      <c r="F48" s="484" t="s">
        <v>114</v>
      </c>
      <c r="I48" s="486"/>
      <c r="K48" s="488"/>
    </row>
    <row r="49" spans="1:11" ht="15.75" thickBot="1" x14ac:dyDescent="0.3">
      <c r="B49" s="3" t="s">
        <v>125</v>
      </c>
      <c r="C49" s="485" t="s">
        <v>134</v>
      </c>
      <c r="D49" s="485" t="s">
        <v>135</v>
      </c>
      <c r="E49" s="485" t="s">
        <v>137</v>
      </c>
      <c r="F49" s="485"/>
      <c r="G49" s="32" t="s">
        <v>103</v>
      </c>
      <c r="I49" s="486"/>
      <c r="K49" s="488"/>
    </row>
    <row r="50" spans="1:11" ht="16.5" thickTop="1" thickBot="1" x14ac:dyDescent="0.3">
      <c r="B50" s="231">
        <v>10000</v>
      </c>
      <c r="C50" s="8">
        <f ca="1">+Profit!$K$57+Profit!B18-B50+(Profit!K6*Profit!C47/12*Profit!B4)</f>
        <v>-103527.42303403601</v>
      </c>
      <c r="D50" s="221">
        <v>0.7</v>
      </c>
      <c r="E50" s="10">
        <f ca="1">+D50*C50</f>
        <v>-72469.196123825197</v>
      </c>
      <c r="F50" s="10">
        <f ca="1">+B50+E50</f>
        <v>-62469.196123825197</v>
      </c>
      <c r="G50" s="228">
        <f ca="1">(1-D50)*C50</f>
        <v>-31058.226910210808</v>
      </c>
      <c r="I50" s="486"/>
      <c r="K50" s="488"/>
    </row>
    <row r="51" spans="1:11" ht="15.75" thickTop="1" x14ac:dyDescent="0.25">
      <c r="D51" s="15" t="s">
        <v>138</v>
      </c>
      <c r="I51" s="253"/>
      <c r="K51" s="488"/>
    </row>
    <row r="52" spans="1:11" x14ac:dyDescent="0.25">
      <c r="C52" s="223"/>
      <c r="D52" s="224" t="s">
        <v>104</v>
      </c>
      <c r="E52" s="225">
        <f ca="1">+Profit!$K$49-B24+B50</f>
        <v>26073.86341648431</v>
      </c>
      <c r="H52" t="s">
        <v>106</v>
      </c>
      <c r="I52" s="486"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488"/>
    </row>
    <row r="53" spans="1:11" ht="15" customHeight="1" x14ac:dyDescent="0.25">
      <c r="C53" s="223"/>
      <c r="D53" s="226" t="s">
        <v>105</v>
      </c>
      <c r="E53" s="227">
        <f ca="1">+G50/E52</f>
        <v>-1.1911632125285778</v>
      </c>
      <c r="I53" s="488"/>
      <c r="K53" s="488"/>
    </row>
    <row r="54" spans="1:11" x14ac:dyDescent="0.25">
      <c r="C54" s="223"/>
      <c r="D54" s="226" t="s">
        <v>107</v>
      </c>
      <c r="E54" s="227">
        <f ca="1">+G50/(F50+G50)</f>
        <v>0.33207615373844163</v>
      </c>
      <c r="I54" s="488"/>
      <c r="K54" s="488"/>
    </row>
    <row r="55" spans="1:11" ht="15" customHeight="1" x14ac:dyDescent="0.25">
      <c r="I55" s="488"/>
      <c r="K55" s="488"/>
    </row>
    <row r="56" spans="1:11" ht="15.75" thickBot="1" x14ac:dyDescent="0.3">
      <c r="B56" s="15" t="s">
        <v>139</v>
      </c>
      <c r="D56" t="s">
        <v>140</v>
      </c>
      <c r="I56" s="488"/>
      <c r="K56" s="488"/>
    </row>
    <row r="57" spans="1:11" x14ac:dyDescent="0.25">
      <c r="A57" s="475"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476"/>
      <c r="C57" s="476"/>
      <c r="D57" s="476"/>
      <c r="E57" s="476"/>
      <c r="F57" s="476"/>
      <c r="G57" s="477"/>
      <c r="I57" s="488"/>
      <c r="K57" s="488"/>
    </row>
    <row r="58" spans="1:11" x14ac:dyDescent="0.25">
      <c r="A58" s="478"/>
      <c r="B58" s="479"/>
      <c r="C58" s="479"/>
      <c r="D58" s="479"/>
      <c r="E58" s="479"/>
      <c r="F58" s="479"/>
      <c r="G58" s="480"/>
      <c r="I58" s="488"/>
      <c r="K58" s="488"/>
    </row>
    <row r="59" spans="1:11" x14ac:dyDescent="0.25">
      <c r="A59" s="478"/>
      <c r="B59" s="479"/>
      <c r="C59" s="479"/>
      <c r="D59" s="479"/>
      <c r="E59" s="479"/>
      <c r="F59" s="479"/>
      <c r="G59" s="480"/>
      <c r="K59" s="488"/>
    </row>
    <row r="60" spans="1:11" x14ac:dyDescent="0.25">
      <c r="A60" s="478"/>
      <c r="B60" s="479"/>
      <c r="C60" s="479"/>
      <c r="D60" s="479"/>
      <c r="E60" s="479"/>
      <c r="F60" s="479"/>
      <c r="G60" s="480"/>
      <c r="K60" s="488"/>
    </row>
    <row r="61" spans="1:11" x14ac:dyDescent="0.25">
      <c r="A61" s="478"/>
      <c r="B61" s="479"/>
      <c r="C61" s="479"/>
      <c r="D61" s="479"/>
      <c r="E61" s="479"/>
      <c r="F61" s="479"/>
      <c r="G61" s="480"/>
      <c r="H61" t="s">
        <v>106</v>
      </c>
      <c r="I61" s="486" t="str">
        <f>A57</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488"/>
    </row>
    <row r="62" spans="1:11" x14ac:dyDescent="0.25">
      <c r="A62" s="478"/>
      <c r="B62" s="479"/>
      <c r="C62" s="479"/>
      <c r="D62" s="479"/>
      <c r="E62" s="479"/>
      <c r="F62" s="479"/>
      <c r="G62" s="480"/>
      <c r="I62" s="488"/>
      <c r="K62" s="488"/>
    </row>
    <row r="63" spans="1:11" x14ac:dyDescent="0.25">
      <c r="A63" s="478"/>
      <c r="B63" s="479"/>
      <c r="C63" s="479"/>
      <c r="D63" s="479"/>
      <c r="E63" s="479"/>
      <c r="F63" s="479"/>
      <c r="G63" s="480"/>
      <c r="I63" s="488"/>
      <c r="K63" s="488"/>
    </row>
    <row r="64" spans="1:11" x14ac:dyDescent="0.25">
      <c r="A64" s="478"/>
      <c r="B64" s="479"/>
      <c r="C64" s="479"/>
      <c r="D64" s="479"/>
      <c r="E64" s="479"/>
      <c r="F64" s="479"/>
      <c r="G64" s="480"/>
      <c r="I64" s="488"/>
      <c r="K64" s="488"/>
    </row>
    <row r="65" spans="1:11" x14ac:dyDescent="0.25">
      <c r="A65" s="478"/>
      <c r="B65" s="479"/>
      <c r="C65" s="479"/>
      <c r="D65" s="479"/>
      <c r="E65" s="479"/>
      <c r="F65" s="479"/>
      <c r="G65" s="480"/>
      <c r="I65" s="488"/>
      <c r="K65" s="488"/>
    </row>
    <row r="66" spans="1:11" x14ac:dyDescent="0.25">
      <c r="A66" s="478"/>
      <c r="B66" s="479"/>
      <c r="C66" s="479"/>
      <c r="D66" s="479"/>
      <c r="E66" s="479"/>
      <c r="F66" s="479"/>
      <c r="G66" s="480"/>
      <c r="I66" s="488"/>
      <c r="K66" s="488"/>
    </row>
    <row r="67" spans="1:11" x14ac:dyDescent="0.25">
      <c r="A67" s="478"/>
      <c r="B67" s="479"/>
      <c r="C67" s="479"/>
      <c r="D67" s="479"/>
      <c r="E67" s="479"/>
      <c r="F67" s="479"/>
      <c r="G67" s="480"/>
      <c r="I67" s="488"/>
      <c r="K67" s="488"/>
    </row>
    <row r="68" spans="1:11" x14ac:dyDescent="0.25">
      <c r="A68" s="478"/>
      <c r="B68" s="479"/>
      <c r="C68" s="479"/>
      <c r="D68" s="479"/>
      <c r="E68" s="479"/>
      <c r="F68" s="479"/>
      <c r="G68" s="480"/>
      <c r="I68" s="488"/>
    </row>
    <row r="69" spans="1:11" x14ac:dyDescent="0.25">
      <c r="A69" s="478"/>
      <c r="B69" s="479"/>
      <c r="C69" s="479"/>
      <c r="D69" s="479"/>
      <c r="E69" s="479"/>
      <c r="F69" s="479"/>
      <c r="G69" s="480"/>
      <c r="I69" s="488"/>
    </row>
    <row r="70" spans="1:11" x14ac:dyDescent="0.25">
      <c r="A70" s="478"/>
      <c r="B70" s="479"/>
      <c r="C70" s="479"/>
      <c r="D70" s="479"/>
      <c r="E70" s="479"/>
      <c r="F70" s="479"/>
      <c r="G70" s="480"/>
      <c r="I70" s="488"/>
    </row>
    <row r="71" spans="1:11" x14ac:dyDescent="0.25">
      <c r="A71" s="478"/>
      <c r="B71" s="479"/>
      <c r="C71" s="479"/>
      <c r="D71" s="479"/>
      <c r="E71" s="479"/>
      <c r="F71" s="479"/>
      <c r="G71" s="480"/>
      <c r="I71" s="488"/>
    </row>
    <row r="72" spans="1:11" x14ac:dyDescent="0.25">
      <c r="A72" s="478"/>
      <c r="B72" s="479"/>
      <c r="C72" s="479"/>
      <c r="D72" s="479"/>
      <c r="E72" s="479"/>
      <c r="F72" s="479"/>
      <c r="G72" s="480"/>
      <c r="I72" s="488"/>
    </row>
    <row r="73" spans="1:11" x14ac:dyDescent="0.25">
      <c r="A73" s="478"/>
      <c r="B73" s="479"/>
      <c r="C73" s="479"/>
      <c r="D73" s="479"/>
      <c r="E73" s="479"/>
      <c r="F73" s="479"/>
      <c r="G73" s="480"/>
    </row>
    <row r="74" spans="1:11" x14ac:dyDescent="0.25">
      <c r="A74" s="478"/>
      <c r="B74" s="479"/>
      <c r="C74" s="479"/>
      <c r="D74" s="479"/>
      <c r="E74" s="479"/>
      <c r="F74" s="479"/>
      <c r="G74" s="480"/>
      <c r="H74" t="s">
        <v>106</v>
      </c>
      <c r="I74" s="235" t="str">
        <f>"Sincerely,
Wes Browning"</f>
        <v>Sincerely,
Wes Browning</v>
      </c>
    </row>
    <row r="75" spans="1:11" ht="15" customHeight="1" x14ac:dyDescent="0.25">
      <c r="A75" s="478"/>
      <c r="B75" s="479"/>
      <c r="C75" s="479"/>
      <c r="D75" s="479"/>
      <c r="E75" s="479"/>
      <c r="F75" s="479"/>
      <c r="G75" s="480"/>
      <c r="I75" s="235"/>
    </row>
    <row r="76" spans="1:11" x14ac:dyDescent="0.25">
      <c r="A76" s="478"/>
      <c r="B76" s="479"/>
      <c r="C76" s="479"/>
      <c r="D76" s="479"/>
      <c r="E76" s="479"/>
      <c r="F76" s="479"/>
      <c r="G76" s="480"/>
      <c r="I76" s="235"/>
    </row>
    <row r="77" spans="1:11" x14ac:dyDescent="0.25">
      <c r="A77" s="478"/>
      <c r="B77" s="479"/>
      <c r="C77" s="479"/>
      <c r="D77" s="479"/>
      <c r="E77" s="479"/>
      <c r="F77" s="479"/>
      <c r="G77" s="480"/>
    </row>
    <row r="78" spans="1:11" x14ac:dyDescent="0.25">
      <c r="A78" s="478"/>
      <c r="B78" s="479"/>
      <c r="C78" s="479"/>
      <c r="D78" s="479"/>
      <c r="E78" s="479"/>
      <c r="F78" s="479"/>
      <c r="G78" s="480"/>
    </row>
    <row r="79" spans="1:11" ht="15.75" thickBot="1" x14ac:dyDescent="0.3">
      <c r="A79" s="481"/>
      <c r="B79" s="482"/>
      <c r="C79" s="482"/>
      <c r="D79" s="482"/>
      <c r="E79" s="482"/>
      <c r="F79" s="482"/>
      <c r="G79" s="483"/>
    </row>
    <row r="80" spans="1:11" x14ac:dyDescent="0.25">
      <c r="A80" s="235"/>
      <c r="B80" s="235"/>
      <c r="C80" s="235"/>
      <c r="D80" s="235"/>
      <c r="E80" s="235"/>
      <c r="F80" s="235"/>
      <c r="G80" s="235"/>
    </row>
    <row r="81" spans="1:9" x14ac:dyDescent="0.25">
      <c r="A81" s="235"/>
      <c r="B81" s="235"/>
      <c r="C81" s="235"/>
      <c r="D81" s="235"/>
      <c r="E81" s="235"/>
      <c r="F81" s="235"/>
      <c r="G81" s="2" t="s">
        <v>141</v>
      </c>
      <c r="I81" s="235" t="s">
        <v>142</v>
      </c>
    </row>
    <row r="82" spans="1:9" x14ac:dyDescent="0.25">
      <c r="G82" s="2" t="s">
        <v>143</v>
      </c>
      <c r="H82" t="s">
        <v>106</v>
      </c>
      <c r="I82" s="235" t="s">
        <v>144</v>
      </c>
    </row>
  </sheetData>
  <mergeCells count="21">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 ref="A57:G79"/>
    <mergeCell ref="D48:D49"/>
    <mergeCell ref="C48:C49"/>
    <mergeCell ref="I26:I30"/>
    <mergeCell ref="I20:I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activeCell="C1" sqref="C1:E1"/>
      <selection pane="bottomLeft" activeCell="B10" sqref="B10"/>
    </sheetView>
  </sheetViews>
  <sheetFormatPr defaultRowHeight="15" x14ac:dyDescent="0.25"/>
  <cols>
    <col min="1" max="1" width="47.140625" style="2" bestFit="1" customWidth="1"/>
    <col min="2" max="2" width="31.28515625" style="2" bestFit="1" customWidth="1"/>
    <col min="3" max="3" width="16.28515625" style="25" bestFit="1" customWidth="1"/>
    <col min="4" max="4" width="38.57031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147</v>
      </c>
      <c r="B1" s="3" t="s">
        <v>148</v>
      </c>
      <c r="C1" s="33" t="s">
        <v>149</v>
      </c>
      <c r="D1" s="31" t="s">
        <v>150</v>
      </c>
      <c r="E1" s="33" t="s">
        <v>151</v>
      </c>
      <c r="F1" s="3" t="s">
        <v>152</v>
      </c>
    </row>
    <row r="2" spans="1:25" x14ac:dyDescent="0.25">
      <c r="A2" s="25" t="s">
        <v>153</v>
      </c>
      <c r="E2" s="28"/>
    </row>
    <row r="3" spans="1:25" x14ac:dyDescent="0.25">
      <c r="C3" s="29"/>
    </row>
    <row r="4" spans="1:25" x14ac:dyDescent="0.25">
      <c r="A4" s="2" t="s">
        <v>687</v>
      </c>
      <c r="C4" s="29"/>
      <c r="D4" s="25" t="s">
        <v>154</v>
      </c>
      <c r="E4" s="12" t="s">
        <v>155</v>
      </c>
    </row>
    <row r="5" spans="1:25" x14ac:dyDescent="0.25">
      <c r="A5" s="2" t="s">
        <v>688</v>
      </c>
      <c r="B5" s="45"/>
      <c r="D5" s="2" t="s">
        <v>156</v>
      </c>
      <c r="E5" s="28"/>
    </row>
    <row r="6" spans="1:25" x14ac:dyDescent="0.25">
      <c r="A6" s="25" t="s">
        <v>157</v>
      </c>
      <c r="B6" s="45" t="s">
        <v>158</v>
      </c>
      <c r="E6" s="279" t="s">
        <v>159</v>
      </c>
    </row>
    <row r="7" spans="1:25" x14ac:dyDescent="0.25">
      <c r="A7" s="46" t="s">
        <v>160</v>
      </c>
      <c r="B7" s="47" t="s">
        <v>161</v>
      </c>
      <c r="D7" s="48" t="s">
        <v>162</v>
      </c>
      <c r="E7" s="28"/>
      <c r="F7" s="19" t="s">
        <v>163</v>
      </c>
    </row>
    <row r="8" spans="1:25" x14ac:dyDescent="0.25">
      <c r="A8" s="2" t="s">
        <v>164</v>
      </c>
      <c r="B8" s="2" t="s">
        <v>165</v>
      </c>
      <c r="E8" s="28"/>
      <c r="F8" s="2"/>
    </row>
    <row r="9" spans="1:25" x14ac:dyDescent="0.25">
      <c r="E9" s="28"/>
    </row>
    <row r="10" spans="1:25" x14ac:dyDescent="0.25">
      <c r="B10" s="2" t="s">
        <v>739</v>
      </c>
      <c r="D10" s="2" t="s">
        <v>737</v>
      </c>
      <c r="E10" s="2" t="s">
        <v>736</v>
      </c>
    </row>
    <row r="11" spans="1:25" x14ac:dyDescent="0.25">
      <c r="A11" s="2" t="s">
        <v>747</v>
      </c>
      <c r="B11" s="2" t="s">
        <v>748</v>
      </c>
      <c r="C11" s="25" t="s">
        <v>749</v>
      </c>
      <c r="D11" s="19" t="s">
        <v>752</v>
      </c>
      <c r="E11" s="25" t="s">
        <v>751</v>
      </c>
      <c r="F11" s="28"/>
    </row>
    <row r="12" spans="1:25" x14ac:dyDescent="0.25">
      <c r="D12" t="s">
        <v>750</v>
      </c>
      <c r="E12" s="290"/>
    </row>
    <row r="14" spans="1:25" x14ac:dyDescent="0.25">
      <c r="A14" s="2" t="s">
        <v>166</v>
      </c>
      <c r="B14" s="34" t="s">
        <v>167</v>
      </c>
      <c r="E14" s="19">
        <v>952.79</v>
      </c>
      <c r="F14" s="205">
        <v>45323</v>
      </c>
    </row>
    <row r="16" spans="1:25" x14ac:dyDescent="0.25">
      <c r="A16" s="2" t="s">
        <v>733</v>
      </c>
      <c r="B16" s="2" t="s">
        <v>734</v>
      </c>
      <c r="C16" s="28" t="s">
        <v>735</v>
      </c>
      <c r="E16" s="25">
        <v>1905.58</v>
      </c>
      <c r="U16" t="s">
        <v>168</v>
      </c>
      <c r="V16" t="s">
        <v>169</v>
      </c>
      <c r="W16" t="s">
        <v>170</v>
      </c>
      <c r="X16" t="s">
        <v>171</v>
      </c>
      <c r="Y16" t="s">
        <v>172</v>
      </c>
    </row>
    <row r="17" spans="1:24" x14ac:dyDescent="0.25">
      <c r="E17" s="28"/>
      <c r="F17" s="19"/>
      <c r="U17" t="s">
        <v>173</v>
      </c>
      <c r="V17" t="s">
        <v>174</v>
      </c>
      <c r="W17" s="240">
        <v>0.4458333333333333</v>
      </c>
      <c r="X17" t="s">
        <v>175</v>
      </c>
    </row>
    <row r="20" spans="1:24" x14ac:dyDescent="0.25">
      <c r="A20" s="2" t="s">
        <v>176</v>
      </c>
      <c r="E20" s="25">
        <f>2*E14</f>
        <v>1905.58</v>
      </c>
    </row>
    <row r="21" spans="1:24" x14ac:dyDescent="0.25">
      <c r="A21" s="241" t="s">
        <v>177</v>
      </c>
      <c r="B21" s="2" t="s">
        <v>178</v>
      </c>
      <c r="C21" s="28" t="s">
        <v>179</v>
      </c>
    </row>
    <row r="22" spans="1:24" x14ac:dyDescent="0.25">
      <c r="A22" s="242" t="s">
        <v>180</v>
      </c>
    </row>
    <row r="23" spans="1:24" x14ac:dyDescent="0.25">
      <c r="A23" s="243" t="s">
        <v>181</v>
      </c>
    </row>
    <row r="24" spans="1:24" x14ac:dyDescent="0.25">
      <c r="A24" s="244" t="s">
        <v>182</v>
      </c>
    </row>
    <row r="25" spans="1:24" x14ac:dyDescent="0.25">
      <c r="A25" s="245" t="s">
        <v>183</v>
      </c>
      <c r="B25" s="2" t="s">
        <v>184</v>
      </c>
      <c r="C25" s="28" t="s">
        <v>185</v>
      </c>
    </row>
    <row r="26" spans="1:24" x14ac:dyDescent="0.25">
      <c r="A26" s="246" t="s">
        <v>186</v>
      </c>
    </row>
    <row r="27" spans="1:24" x14ac:dyDescent="0.25">
      <c r="A27" s="247" t="s">
        <v>181</v>
      </c>
    </row>
    <row r="28" spans="1:24" x14ac:dyDescent="0.25">
      <c r="A28" s="248" t="s">
        <v>187</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C16" r:id="rId5" xr:uid="{93E5C442-5D27-44B7-BB0D-027759E8B2AF}"/>
    <hyperlink ref="D11" r:id="rId6" xr:uid="{DE2E6224-5A47-4BF7-8F70-8B6F0A5AEB08}"/>
  </hyperlink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28FF-5B61-48BF-B6BC-0CF0E00ABAE2}">
  <sheetPr>
    <tabColor rgb="FFFF0000"/>
  </sheetPr>
  <dimension ref="A1:AV132"/>
  <sheetViews>
    <sheetView workbookViewId="0">
      <pane ySplit="2" topLeftCell="A3" activePane="bottomLeft" state="frozen"/>
      <selection pane="bottomLeft" activeCell="X11" sqref="X11"/>
    </sheetView>
  </sheetViews>
  <sheetFormatPr defaultRowHeight="15" x14ac:dyDescent="0.25"/>
  <cols>
    <col min="1" max="2" width="13.7109375" customWidth="1"/>
    <col min="3" max="3" width="3.7109375" customWidth="1"/>
    <col min="4" max="5" width="13.7109375" customWidth="1"/>
    <col min="6" max="6" width="3.7109375" customWidth="1"/>
    <col min="7" max="8" width="13.7109375" customWidth="1"/>
    <col min="9" max="9" width="3.7109375" customWidth="1"/>
    <col min="10" max="11" width="13.7109375" customWidth="1"/>
    <col min="12" max="12" width="3.7109375" customWidth="1"/>
    <col min="13" max="14" width="13.7109375" customWidth="1"/>
    <col min="15" max="15" width="3.7109375" customWidth="1"/>
    <col min="16" max="17" width="13.7109375" customWidth="1"/>
    <col min="18" max="18" width="3.7109375" customWidth="1"/>
    <col min="19" max="20" width="13.7109375" customWidth="1"/>
    <col min="21" max="21" width="3.7109375" customWidth="1"/>
    <col min="22" max="23" width="13.7109375" customWidth="1"/>
    <col min="24" max="24" width="3.7109375" customWidth="1"/>
    <col min="25" max="27" width="13.7109375" customWidth="1"/>
    <col min="28" max="28" width="3.7109375" customWidth="1"/>
    <col min="29" max="29" width="13.7109375" customWidth="1"/>
    <col min="30" max="30" width="3.7109375" customWidth="1"/>
    <col min="31" max="32" width="13.7109375" customWidth="1"/>
    <col min="33" max="33" width="3.7109375" customWidth="1"/>
    <col min="38" max="38" width="9.85546875" bestFit="1" customWidth="1"/>
    <col min="39" max="39" width="19" bestFit="1" customWidth="1"/>
    <col min="40" max="40" width="10.7109375" style="12" bestFit="1" customWidth="1"/>
    <col min="41" max="41" width="9.85546875" bestFit="1" customWidth="1"/>
    <col min="42" max="42" width="13.42578125" bestFit="1" customWidth="1"/>
    <col min="43" max="43" width="10.42578125" style="5" bestFit="1" customWidth="1"/>
    <col min="44" max="44" width="21.140625" bestFit="1" customWidth="1"/>
    <col min="45" max="45" width="11.140625" style="155" bestFit="1" customWidth="1"/>
    <col min="46" max="46" width="59.7109375" bestFit="1" customWidth="1"/>
    <col min="47" max="47" width="9" bestFit="1" customWidth="1"/>
    <col min="48" max="48" width="68.140625" bestFit="1" customWidth="1"/>
  </cols>
  <sheetData>
    <row r="1" spans="1:48" s="3" customFormat="1" x14ac:dyDescent="0.25">
      <c r="A1" s="344" t="s">
        <v>764</v>
      </c>
      <c r="B1" s="344"/>
      <c r="C1" s="343"/>
      <c r="D1" s="344" t="s">
        <v>765</v>
      </c>
      <c r="E1" s="344"/>
      <c r="F1" s="343"/>
      <c r="G1" s="344" t="s">
        <v>738</v>
      </c>
      <c r="H1" s="344"/>
      <c r="I1" s="343"/>
      <c r="J1" s="344" t="s">
        <v>766</v>
      </c>
      <c r="K1" s="344"/>
      <c r="L1" s="343"/>
      <c r="M1" s="344" t="s">
        <v>699</v>
      </c>
      <c r="N1" s="344"/>
      <c r="O1" s="343"/>
      <c r="P1" s="344" t="s">
        <v>767</v>
      </c>
      <c r="Q1" s="344"/>
      <c r="R1" s="343"/>
      <c r="S1" s="344" t="s">
        <v>768</v>
      </c>
      <c r="T1" s="344"/>
      <c r="U1" s="343"/>
      <c r="V1" s="344" t="s">
        <v>739</v>
      </c>
      <c r="W1" s="344"/>
      <c r="X1" s="343"/>
      <c r="Y1" s="344" t="s">
        <v>769</v>
      </c>
      <c r="Z1" s="344"/>
      <c r="AA1" s="344"/>
      <c r="AB1" s="344" t="s">
        <v>771</v>
      </c>
      <c r="AC1" s="344"/>
      <c r="AD1" s="343"/>
      <c r="AE1" s="344" t="s">
        <v>772</v>
      </c>
      <c r="AF1" s="344"/>
      <c r="AL1"/>
      <c r="AM1"/>
      <c r="AN1" s="12"/>
      <c r="AO1"/>
      <c r="AP1"/>
      <c r="AQ1" s="5"/>
      <c r="AR1"/>
      <c r="AS1" s="155"/>
      <c r="AT1"/>
      <c r="AU1"/>
      <c r="AV1"/>
    </row>
    <row r="2" spans="1:48" ht="30" x14ac:dyDescent="0.25">
      <c r="A2" s="337" t="s">
        <v>352</v>
      </c>
      <c r="B2" s="337" t="s">
        <v>700</v>
      </c>
      <c r="C2" s="343"/>
      <c r="D2" s="337" t="s">
        <v>352</v>
      </c>
      <c r="E2" s="337" t="s">
        <v>700</v>
      </c>
      <c r="F2" s="343"/>
      <c r="G2" s="337" t="s">
        <v>352</v>
      </c>
      <c r="H2" s="337" t="s">
        <v>700</v>
      </c>
      <c r="I2" s="343"/>
      <c r="J2" s="337" t="s">
        <v>352</v>
      </c>
      <c r="K2" s="337" t="s">
        <v>700</v>
      </c>
      <c r="L2" s="343"/>
      <c r="M2" s="337" t="s">
        <v>352</v>
      </c>
      <c r="N2" s="337" t="s">
        <v>700</v>
      </c>
      <c r="O2" s="343"/>
      <c r="P2" s="337" t="s">
        <v>352</v>
      </c>
      <c r="Q2" s="337" t="s">
        <v>700</v>
      </c>
      <c r="R2" s="343"/>
      <c r="S2" s="337" t="s">
        <v>352</v>
      </c>
      <c r="T2" s="337" t="s">
        <v>700</v>
      </c>
      <c r="U2" s="343"/>
      <c r="V2" s="337" t="s">
        <v>352</v>
      </c>
      <c r="W2" s="337" t="s">
        <v>700</v>
      </c>
      <c r="X2" s="343"/>
      <c r="Y2" s="337" t="s">
        <v>352</v>
      </c>
      <c r="Z2" s="337" t="s">
        <v>700</v>
      </c>
      <c r="AA2" s="337" t="s">
        <v>770</v>
      </c>
      <c r="AB2" s="337" t="s">
        <v>352</v>
      </c>
      <c r="AC2" s="337" t="s">
        <v>700</v>
      </c>
      <c r="AD2" s="343"/>
      <c r="AE2" s="337" t="s">
        <v>352</v>
      </c>
      <c r="AF2" s="337" t="s">
        <v>700</v>
      </c>
      <c r="AL2" t="s">
        <v>773</v>
      </c>
      <c r="AM2" t="s">
        <v>774</v>
      </c>
      <c r="AN2" s="12" t="s">
        <v>352</v>
      </c>
      <c r="AO2" t="s">
        <v>147</v>
      </c>
      <c r="AP2" t="s">
        <v>303</v>
      </c>
      <c r="AQ2" s="5" t="s">
        <v>775</v>
      </c>
      <c r="AR2" t="s">
        <v>776</v>
      </c>
      <c r="AS2" s="155" t="s">
        <v>777</v>
      </c>
      <c r="AT2" t="s">
        <v>778</v>
      </c>
      <c r="AU2" t="s">
        <v>779</v>
      </c>
      <c r="AV2" t="s">
        <v>145</v>
      </c>
    </row>
    <row r="3" spans="1:48" x14ac:dyDescent="0.25">
      <c r="A3" s="339" cm="1">
        <f t="array" ref="A3">IFERROR(INDEX(_xlfn.SORTBY(_xlfn._xlws.FILTER(tblCarryingExpenses[Date],(tblCarryingExpenses[Category]="Duke Electric")*(tblCarryingExpenses[Include]="Yes")),_xlfn._xlws.FILTER(tblCarryingExpenses[Date],(tblCarryingExpenses[Category]="Duke Electric")*(tblCarryingExpenses[Include]="Yes")),1),ROWS($A$3:A3)),"")</f>
        <v>45236</v>
      </c>
      <c r="B3" s="340" cm="1">
        <f t="array" ref="B3">IFERROR(INDEX(_xlfn.SORTBY(_xlfn._xlws.FILTER(tblCarryingExpenses[Amount],(tblCarryingExpenses[Category]="Duke Electric")*(tblCarryingExpenses[Include]="Yes")),_xlfn._xlws.FILTER(tblCarryingExpenses[Date],(tblCarryingExpenses[Category]="Duke Electric")*(tblCarryingExpenses[Include]="Yes")),1),ROWS($A$3:A3)),"")</f>
        <v>50.55</v>
      </c>
      <c r="C3" s="338"/>
      <c r="D3" s="339" cm="1">
        <f t="array" ref="D3">IFERROR(INDEX(_xlfn.SORTBY(_xlfn._xlws.FILTER(tblCarryingExpenses[Date],(tblCarryingExpenses[Category]="Mortgage Payment")*(tblCarryingExpenses[Include]="Yes")),_xlfn._xlws.FILTER(tblCarryingExpenses[Date],(tblCarryingExpenses[Category]="Mortgage Payment")*(tblCarryingExpenses[Include]="Yes")),1),ROWS($D$3:D3)),"")</f>
        <v>45295</v>
      </c>
      <c r="E3" s="340" cm="1">
        <f t="array" ref="E3">IFERROR(INDEX(_xlfn.SORTBY(_xlfn._xlws.FILTER(tblCarryingExpenses[Amount],(tblCarryingExpenses[Category]="Mortgage Payment")*(tblCarryingExpenses[Include]="Yes")),_xlfn._xlws.FILTER(tblCarryingExpenses[Date],(tblCarryingExpenses[Category]="Mortgage Payment")*(tblCarryingExpenses[Include]="Yes")),1),ROWS($D$3:D3)),"")</f>
        <v>2858.37</v>
      </c>
      <c r="F3" s="338"/>
      <c r="G3" s="339" cm="1">
        <f t="array" ref="G3">IFERROR(INDEX(_xlfn.SORTBY(_xlfn._xlws.FILTER(tblCarryingExpenses[Date],(tblCarryingExpenses[Category]="Private Money")*(tblCarryingExpenses[Include]="Yes")),_xlfn._xlws.FILTER(tblCarryingExpenses[Date],(tblCarryingExpenses[Category]="Private Money")*(tblCarryingExpenses[Include]="Yes")),1),ROWS($G$3:G3)),"")</f>
        <v>45231</v>
      </c>
      <c r="H3" s="340" cm="1">
        <f t="array" ref="H3">IFERROR(INDEX(_xlfn.SORTBY(_xlfn._xlws.FILTER(tblCarryingExpenses[Amount],(tblCarryingExpenses[Category]="Private Money")*(tblCarryingExpenses[Include]="Yes")),_xlfn._xlws.FILTER(tblCarryingExpenses[Date],(tblCarryingExpenses[Category]="Private Money")*(tblCarryingExpenses[Include]="Yes")),1),ROWS($G$3:G3)),"")</f>
        <v>925</v>
      </c>
      <c r="I3" s="338"/>
      <c r="J3" s="339" t="str" cm="1">
        <f t="array" ref="J3">IFERROR(INDEX(_xlfn.SORTBY(_xlfn._xlws.FILTER(tblCarryingExpenses[Date],(tblCarryingExpenses[Category]="Casa Lending")*(tblCarryingExpenses[Include]="Yes")),_xlfn._xlws.FILTER(tblCarryingExpenses[Date],(tblCarryingExpenses[Category]="Casa Lending")*(tblCarryingExpenses[Include]="Yes")),1),ROWS($J$3:J3)),"")</f>
        <v/>
      </c>
      <c r="K3" s="340" t="str" cm="1">
        <f t="array" ref="K3">IFERROR(INDEX(_xlfn.SORTBY(_xlfn._xlws.FILTER(tblCarryingExpenses[Amount],(tblCarryingExpenses[Category]="Casa Lending")*(tblCarryingExpenses[Include]="Yes")),_xlfn._xlws.FILTER(tblCarryingExpenses[Date],(tblCarryingExpenses[Category]="Casa Lending")*(tblCarryingExpenses[Include]="Yes")),1),ROWS($J$3:J3)),"")</f>
        <v/>
      </c>
      <c r="L3" s="338"/>
      <c r="M3" s="339" cm="1">
        <f t="array" ref="M3">IFERROR(INDEX(_xlfn.SORTBY(_xlfn._xlws.FILTER(tblCarryingExpenses[Date],(tblCarryingExpenses[Category]="Insurance Payments")*(tblCarryingExpenses[Include]="Yes")),_xlfn._xlws.FILTER(tblCarryingExpenses[Date],(tblCarryingExpenses[Category]="Insurance Payments")*(tblCarryingExpenses[Include]="Yes")),1),ROWS($M$3:M3)),"")</f>
        <v>45263</v>
      </c>
      <c r="N3" s="340" cm="1">
        <f t="array" ref="N3">IFERROR(INDEX(_xlfn.SORTBY(_xlfn._xlws.FILTER(tblCarryingExpenses[Amount],(tblCarryingExpenses[Category]="Insurance Payments")*(tblCarryingExpenses[Include]="Yes")),_xlfn._xlws.FILTER(tblCarryingExpenses[Date],(tblCarryingExpenses[Category]="Insurance Payments")*(tblCarryingExpenses[Include]="Yes")),1),ROWS($M$3:M3)),"")</f>
        <v>199.39</v>
      </c>
      <c r="O3" s="338"/>
      <c r="P3" s="339" cm="1">
        <f t="array" ref="P3">IFERROR(INDEX(_xlfn.SORTBY(_xlfn._xlws.FILTER(tblCarryingExpenses[Date],(tblCarryingExpenses[Category]="Water")*(tblCarryingExpenses[Include]="Yes")),_xlfn._xlws.FILTER(tblCarryingExpenses[Date],(tblCarryingExpenses[Category]="Water")*(tblCarryingExpenses[Include]="Yes")),1),ROWS($P$3:P3)),"")</f>
        <v>45201</v>
      </c>
      <c r="Q3" s="340" cm="1">
        <f t="array" ref="Q3">IFERROR(INDEX(_xlfn.SORTBY(_xlfn._xlws.FILTER(tblCarryingExpenses[Amount],(tblCarryingExpenses[Category]="Water")*(tblCarryingExpenses[Include]="Yes")),_xlfn._xlws.FILTER(tblCarryingExpenses[Date],(tblCarryingExpenses[Category]="Water")*(tblCarryingExpenses[Include]="Yes")),1),ROWS($P$3:P3)),"")</f>
        <v>53.96</v>
      </c>
      <c r="R3" s="338"/>
      <c r="S3" s="339" cm="1">
        <f t="array" ref="S3">IFERROR(INDEX(_xlfn.SORTBY(_xlfn._xlws.FILTER(tblCarryingExpenses[Date],(tblCarryingExpenses[Category]="Natural Gas")*(tblCarryingExpenses[Include]="Yes")),_xlfn._xlws.FILTER(tblCarryingExpenses[Date],(tblCarryingExpenses[Category]="Natural Gas")*(tblCarryingExpenses[Include]="Yes")),1),ROWS($S$3:S3)),"")</f>
        <v>45209</v>
      </c>
      <c r="T3" s="340" cm="1">
        <f t="array" ref="T3">IFERROR(INDEX(_xlfn.SORTBY(_xlfn._xlws.FILTER(tblCarryingExpenses[Amount],(tblCarryingExpenses[Category]="Natural Gas")*(tblCarryingExpenses[Include]="Yes")),_xlfn._xlws.FILTER(tblCarryingExpenses[Date],(tblCarryingExpenses[Category]="Natural Gas")*(tblCarryingExpenses[Include]="Yes")),1),ROWS($S$3:S3)),"")</f>
        <v>30.7</v>
      </c>
      <c r="U3" s="338"/>
      <c r="V3" s="339" cm="1">
        <f t="array" ref="V3">IFERROR(INDEX(_xlfn.SORTBY(_xlfn._xlws.FILTER(tblCarryingExpenses[Date],(tblCarryingExpenses[Category]="HOA")*(tblCarryingExpenses[Include]="Yes")),_xlfn._xlws.FILTER(tblCarryingExpenses[Date],(tblCarryingExpenses[Category]="HOA")*(tblCarryingExpenses[Include]="Yes")),1),ROWS($V$3:V3)),"")</f>
        <v>45446</v>
      </c>
      <c r="W3" s="340" cm="1">
        <f t="array" ref="W3">IFERROR(INDEX(_xlfn.SORTBY(_xlfn._xlws.FILTER(tblCarryingExpenses[Amount],(tblCarryingExpenses[Category]="HOA")*(tblCarryingExpenses[Include]="Yes")),_xlfn._xlws.FILTER(tblCarryingExpenses[Date],(tblCarryingExpenses[Category]="HOA")*(tblCarryingExpenses[Include]="Yes")),1),ROWS($V$3:V3)),"")</f>
        <v>346.23</v>
      </c>
      <c r="X3" s="338"/>
      <c r="Y3" s="339" cm="1">
        <f t="array" ref="Y3">IFERROR(INDEX(_xlfn.SORTBY(_xlfn._xlws.FILTER(tblCarryingExpenses[Date],(tblCarryingExpenses[Category]="Property Taxes")*(tblCarryingExpenses[Include]="Yes")),_xlfn._xlws.FILTER(tblCarryingExpenses[Date],(tblCarryingExpenses[Category]="Property Taxes")*(tblCarryingExpenses[Include]="Yes")),1),ROWS($Y$3:Y3)),"")</f>
        <v>45243</v>
      </c>
      <c r="Z3" s="340" cm="1">
        <f t="array" ref="Z3">IFERROR(IF(INDEX(_xlfn.SORTBY(_xlfn._xlws.FILTER(tblCarryingExpenses[Amount],(tblCarryingExpenses[Category]="Property Taxes")*(tblCarryingExpenses[Include]="Yes")),_xlfn._xlws.FILTER(tblCarryingExpenses[Date],(tblCarryingExpenses[Category]="Property Taxes")*(tblCarryingExpenses[Include]="Yes")),1),ROWS($Y$3:Y3))&lt;0,"",INDEX(_xlfn.SORTBY(_xlfn._xlws.FILTER(tblCarryingExpenses[Amount],(tblCarryingExpenses[Category]="Property Taxes")*(tblCarryingExpenses[Include]="Yes")),_xlfn._xlws.FILTER(tblCarryingExpenses[Date],(tblCarryingExpenses[Category]="Property Taxes")*(tblCarryingExpenses[Include]="Yes")),1),ROWS($Y$3:Y3))),"")</f>
        <v>2334.5300000000002</v>
      </c>
      <c r="AA3" s="340" t="str" cm="1">
        <f t="array" ref="AA3">IFERROR(IF(ISNUMBER(SEARCH("escrow",INDEX(_xlfn.SORTBY(_xlfn._xlws.FILTER(tblCarryingExpenses[Notes],(tblCarryingExpenses[Category]="Property Taxes")*(tblCarryingExpenses[Include]="Yes")),_xlfn._xlws.FILTER(tblCarryingExpenses[Date],(tblCarryingExpenses[Category]="Property Taxes")*(tblCarryingExpenses[Include]="Yes")),1),ROWS($Y$3:Y3)))),INDEX(_xlfn.SORTBY(_xlfn._xlws.FILTER(tblCarryingExpenses[Amount],(tblCarryingExpenses[Category]="Property Taxes")*(tblCarryingExpenses[Include]="Yes")),_xlfn._xlws.FILTER(tblCarryingExpenses[Date],(tblCarryingExpenses[Category]="Property Taxes")*(tblCarryingExpenses[Include]="Yes")),1),ROWS($Y$3:Y3)),""),"")</f>
        <v/>
      </c>
      <c r="AB3" s="339" t="str" cm="1">
        <f t="array" ref="AB3">IFERROR(INDEX(_xlfn.SORTBY(_xlfn._xlws.FILTER(tblCarryingExpenses[Date],(tblCarryingExpenses[Category]="Excavator Rental")*(tblCarryingExpenses[Include]="Yes")),_xlfn._xlws.FILTER(tblCarryingExpenses[Date],(tblCarryingExpenses[Category]="Excavator Rental")*(tblCarryingExpenses[Include]="Yes")),1),ROWS($AB$3:AB3)),"")</f>
        <v/>
      </c>
      <c r="AC3" s="340" t="str" cm="1">
        <f t="array" ref="AC3">IFERROR(INDEX(_xlfn.SORTBY(_xlfn._xlws.FILTER(tblCarryingExpenses[Amount],(tblCarryingExpenses[Category]="Excavator Rental")*(tblCarryingExpenses[Include]="Yes")),_xlfn._xlws.FILTER(tblCarryingExpenses[Date],(tblCarryingExpenses[Category]="Excavator Rental")*(tblCarryingExpenses[Include]="Yes")),1),ROWS($AB$3:AB3)),"")</f>
        <v/>
      </c>
      <c r="AD3" s="338"/>
      <c r="AE3" s="339" t="str" cm="1">
        <f t="array" ref="AE3">IFERROR(INDEX(_xlfn.SORTBY(_xlfn._xlws.FILTER(tblCarryingExpenses[Date],(tblCarryingExpenses[Category]="Lawn")*(tblCarryingExpenses[Include]="Yes")),_xlfn._xlws.FILTER(tblCarryingExpenses[Date],(tblCarryingExpenses[Category]="Lawn")*(tblCarryingExpenses[Include]="Yes")),1),ROWS($AE$3:AE3)),"")</f>
        <v/>
      </c>
      <c r="AF3" s="340" t="str" cm="1">
        <f t="array" ref="AF3">IFERROR(INDEX(_xlfn.SORTBY(_xlfn._xlws.FILTER(tblCarryingExpenses[Amount],(tblCarryingExpenses[Category]="Lawn")*(tblCarryingExpenses[Include]="Yes")),_xlfn._xlws.FILTER(tblCarryingExpenses[Date],(tblCarryingExpenses[Category]="Lawn")*(tblCarryingExpenses[Include]="Yes")),1),ROWS($AE$3:AE3)),"")</f>
        <v/>
      </c>
      <c r="AL3" t="s">
        <v>7</v>
      </c>
      <c r="AM3" t="s">
        <v>764</v>
      </c>
      <c r="AN3" s="12">
        <v>45236</v>
      </c>
      <c r="AQ3" s="5">
        <v>50.55</v>
      </c>
      <c r="AR3" t="s">
        <v>780</v>
      </c>
      <c r="AT3" t="s">
        <v>781</v>
      </c>
      <c r="AU3" t="s">
        <v>782</v>
      </c>
      <c r="AV3" t="s">
        <v>783</v>
      </c>
    </row>
    <row r="4" spans="1:48" x14ac:dyDescent="0.25">
      <c r="A4" s="339" cm="1">
        <f t="array" ref="A4">IFERROR(INDEX(_xlfn.SORTBY(_xlfn._xlws.FILTER(tblCarryingExpenses[Date],(tblCarryingExpenses[Category]="Duke Electric")*(tblCarryingExpenses[Include]="Yes")),_xlfn._xlws.FILTER(tblCarryingExpenses[Date],(tblCarryingExpenses[Category]="Duke Electric")*(tblCarryingExpenses[Include]="Yes")),1),ROWS($A$3:A4)),"")</f>
        <v>45265</v>
      </c>
      <c r="B4" s="340" cm="1">
        <f t="array" ref="B4">IFERROR(INDEX(_xlfn.SORTBY(_xlfn._xlws.FILTER(tblCarryingExpenses[Amount],(tblCarryingExpenses[Category]="Duke Electric")*(tblCarryingExpenses[Include]="Yes")),_xlfn._xlws.FILTER(tblCarryingExpenses[Date],(tblCarryingExpenses[Category]="Duke Electric")*(tblCarryingExpenses[Include]="Yes")),1),ROWS($A$3:A4)),"")</f>
        <v>24.66</v>
      </c>
      <c r="C4" s="338"/>
      <c r="D4" s="339" cm="1">
        <f t="array" ref="D4">IFERROR(INDEX(_xlfn.SORTBY(_xlfn._xlws.FILTER(tblCarryingExpenses[Date],(tblCarryingExpenses[Category]="Mortgage Payment")*(tblCarryingExpenses[Include]="Yes")),_xlfn._xlws.FILTER(tblCarryingExpenses[Date],(tblCarryingExpenses[Category]="Mortgage Payment")*(tblCarryingExpenses[Include]="Yes")),1),ROWS($D$3:D4)),"")</f>
        <v>45363</v>
      </c>
      <c r="E4" s="340" cm="1">
        <f t="array" ref="E4">IFERROR(INDEX(_xlfn.SORTBY(_xlfn._xlws.FILTER(tblCarryingExpenses[Amount],(tblCarryingExpenses[Category]="Mortgage Payment")*(tblCarryingExpenses[Include]="Yes")),_xlfn._xlws.FILTER(tblCarryingExpenses[Date],(tblCarryingExpenses[Category]="Mortgage Payment")*(tblCarryingExpenses[Include]="Yes")),1),ROWS($D$3:D4)),"")</f>
        <v>1905.58</v>
      </c>
      <c r="F4" s="338"/>
      <c r="G4" s="339" cm="1">
        <f t="array" ref="G4">IFERROR(INDEX(_xlfn.SORTBY(_xlfn._xlws.FILTER(tblCarryingExpenses[Date],(tblCarryingExpenses[Category]="Private Money")*(tblCarryingExpenses[Include]="Yes")),_xlfn._xlws.FILTER(tblCarryingExpenses[Date],(tblCarryingExpenses[Category]="Private Money")*(tblCarryingExpenses[Include]="Yes")),1),ROWS($G$3:G4)),"")</f>
        <v>45261</v>
      </c>
      <c r="H4" s="340" cm="1">
        <f t="array" ref="H4">IFERROR(INDEX(_xlfn.SORTBY(_xlfn._xlws.FILTER(tblCarryingExpenses[Amount],(tblCarryingExpenses[Category]="Private Money")*(tblCarryingExpenses[Include]="Yes")),_xlfn._xlws.FILTER(tblCarryingExpenses[Date],(tblCarryingExpenses[Category]="Private Money")*(tblCarryingExpenses[Include]="Yes")),1),ROWS($G$3:G4)),"")</f>
        <v>925</v>
      </c>
      <c r="I4" s="338"/>
      <c r="J4" s="339" t="str" cm="1">
        <f t="array" ref="J4">IFERROR(INDEX(_xlfn.SORTBY(_xlfn._xlws.FILTER(tblCarryingExpenses[Date],(tblCarryingExpenses[Category]="Casa Lending")*(tblCarryingExpenses[Include]="Yes")),_xlfn._xlws.FILTER(tblCarryingExpenses[Date],(tblCarryingExpenses[Category]="Casa Lending")*(tblCarryingExpenses[Include]="Yes")),1),ROWS($J$3:J4)),"")</f>
        <v/>
      </c>
      <c r="K4" s="340" t="str" cm="1">
        <f t="array" ref="K4">IFERROR(INDEX(_xlfn.SORTBY(_xlfn._xlws.FILTER(tblCarryingExpenses[Amount],(tblCarryingExpenses[Category]="Casa Lending")*(tblCarryingExpenses[Include]="Yes")),_xlfn._xlws.FILTER(tblCarryingExpenses[Date],(tblCarryingExpenses[Category]="Casa Lending")*(tblCarryingExpenses[Include]="Yes")),1),ROWS($J$3:J4)),"")</f>
        <v/>
      </c>
      <c r="L4" s="338"/>
      <c r="M4" s="339" cm="1">
        <f t="array" ref="M4">IFERROR(INDEX(_xlfn.SORTBY(_xlfn._xlws.FILTER(tblCarryingExpenses[Date],(tblCarryingExpenses[Category]="Insurance Payments")*(tblCarryingExpenses[Include]="Yes")),_xlfn._xlws.FILTER(tblCarryingExpenses[Date],(tblCarryingExpenses[Category]="Insurance Payments")*(tblCarryingExpenses[Include]="Yes")),1),ROWS($M$3:M4)),"")</f>
        <v>45294</v>
      </c>
      <c r="N4" s="340" cm="1">
        <f t="array" ref="N4">IFERROR(INDEX(_xlfn.SORTBY(_xlfn._xlws.FILTER(tblCarryingExpenses[Amount],(tblCarryingExpenses[Category]="Insurance Payments")*(tblCarryingExpenses[Include]="Yes")),_xlfn._xlws.FILTER(tblCarryingExpenses[Date],(tblCarryingExpenses[Category]="Insurance Payments")*(tblCarryingExpenses[Include]="Yes")),1),ROWS($M$3:M4)),"")</f>
        <v>199.39</v>
      </c>
      <c r="O4" s="338"/>
      <c r="P4" s="339" cm="1">
        <f t="array" ref="P4">IFERROR(INDEX(_xlfn.SORTBY(_xlfn._xlws.FILTER(tblCarryingExpenses[Date],(tblCarryingExpenses[Category]="Water")*(tblCarryingExpenses[Include]="Yes")),_xlfn._xlws.FILTER(tblCarryingExpenses[Date],(tblCarryingExpenses[Category]="Water")*(tblCarryingExpenses[Include]="Yes")),1),ROWS($P$3:P4)),"")</f>
        <v>45231</v>
      </c>
      <c r="Q4" s="340" cm="1">
        <f t="array" ref="Q4">IFERROR(INDEX(_xlfn.SORTBY(_xlfn._xlws.FILTER(tblCarryingExpenses[Amount],(tblCarryingExpenses[Category]="Water")*(tblCarryingExpenses[Include]="Yes")),_xlfn._xlws.FILTER(tblCarryingExpenses[Date],(tblCarryingExpenses[Category]="Water")*(tblCarryingExpenses[Include]="Yes")),1),ROWS($P$3:P4)),"")</f>
        <v>66.12</v>
      </c>
      <c r="R4" s="338"/>
      <c r="S4" s="339" cm="1">
        <f t="array" ref="S4">IFERROR(INDEX(_xlfn.SORTBY(_xlfn._xlws.FILTER(tblCarryingExpenses[Date],(tblCarryingExpenses[Category]="Natural Gas")*(tblCarryingExpenses[Include]="Yes")),_xlfn._xlws.FILTER(tblCarryingExpenses[Date],(tblCarryingExpenses[Category]="Natural Gas")*(tblCarryingExpenses[Include]="Yes")),1),ROWS($S$3:S4)),"")</f>
        <v>45237</v>
      </c>
      <c r="T4" s="340" cm="1">
        <f t="array" ref="T4">IFERROR(INDEX(_xlfn.SORTBY(_xlfn._xlws.FILTER(tblCarryingExpenses[Amount],(tblCarryingExpenses[Category]="Natural Gas")*(tblCarryingExpenses[Include]="Yes")),_xlfn._xlws.FILTER(tblCarryingExpenses[Date],(tblCarryingExpenses[Category]="Natural Gas")*(tblCarryingExpenses[Include]="Yes")),1),ROWS($S$3:S4)),"")</f>
        <v>10.7</v>
      </c>
      <c r="U4" s="338"/>
      <c r="V4" s="339" cm="1">
        <f t="array" ref="V4">IFERROR(INDEX(_xlfn.SORTBY(_xlfn._xlws.FILTER(tblCarryingExpenses[Date],(tblCarryingExpenses[Category]="HOA")*(tblCarryingExpenses[Include]="Yes")),_xlfn._xlws.FILTER(tblCarryingExpenses[Date],(tblCarryingExpenses[Category]="HOA")*(tblCarryingExpenses[Include]="Yes")),1),ROWS($V$3:V4)),"")</f>
        <v>45482</v>
      </c>
      <c r="W4" s="340" cm="1">
        <f t="array" ref="W4">IFERROR(INDEX(_xlfn.SORTBY(_xlfn._xlws.FILTER(tblCarryingExpenses[Amount],(tblCarryingExpenses[Category]="HOA")*(tblCarryingExpenses[Include]="Yes")),_xlfn._xlws.FILTER(tblCarryingExpenses[Date],(tblCarryingExpenses[Category]="HOA")*(tblCarryingExpenses[Include]="Yes")),1),ROWS($V$3:V4)),"")</f>
        <v>241.57</v>
      </c>
      <c r="X4" s="338"/>
      <c r="Y4" s="339" cm="1">
        <f t="array" ref="Y4">IFERROR(INDEX(_xlfn.SORTBY(_xlfn._xlws.FILTER(tblCarryingExpenses[Date],(tblCarryingExpenses[Category]="Property Taxes")*(tblCarryingExpenses[Include]="Yes")),_xlfn._xlws.FILTER(tblCarryingExpenses[Date],(tblCarryingExpenses[Category]="Property Taxes")*(tblCarryingExpenses[Include]="Yes")),1),ROWS($Y$3:Y4)),"")</f>
        <v>45546</v>
      </c>
      <c r="Z4" s="340" cm="1">
        <f t="array" ref="Z4">IFERROR(IF(INDEX(_xlfn.SORTBY(_xlfn._xlws.FILTER(tblCarryingExpenses[Amount],(tblCarryingExpenses[Category]="Property Taxes")*(tblCarryingExpenses[Include]="Yes")),_xlfn._xlws.FILTER(tblCarryingExpenses[Date],(tblCarryingExpenses[Category]="Property Taxes")*(tblCarryingExpenses[Include]="Yes")),1),ROWS($Y$3:Y4))&lt;0,"",INDEX(_xlfn.SORTBY(_xlfn._xlws.FILTER(tblCarryingExpenses[Amount],(tblCarryingExpenses[Category]="Property Taxes")*(tblCarryingExpenses[Include]="Yes")),_xlfn._xlws.FILTER(tblCarryingExpenses[Date],(tblCarryingExpenses[Category]="Property Taxes")*(tblCarryingExpenses[Include]="Yes")),1),ROWS($Y$3:Y4))),"")</f>
        <v>3101.83</v>
      </c>
      <c r="AA4" s="340" t="str" cm="1">
        <f t="array" ref="AA4">IFERROR(IF(ISNUMBER(SEARCH("escrow",INDEX(_xlfn.SORTBY(_xlfn._xlws.FILTER(tblCarryingExpenses[Notes],(tblCarryingExpenses[Category]="Property Taxes")*(tblCarryingExpenses[Include]="Yes")),_xlfn._xlws.FILTER(tblCarryingExpenses[Date],(tblCarryingExpenses[Category]="Property Taxes")*(tblCarryingExpenses[Include]="Yes")),1),ROWS($Y$3:Y4)))),INDEX(_xlfn.SORTBY(_xlfn._xlws.FILTER(tblCarryingExpenses[Amount],(tblCarryingExpenses[Category]="Property Taxes")*(tblCarryingExpenses[Include]="Yes")),_xlfn._xlws.FILTER(tblCarryingExpenses[Date],(tblCarryingExpenses[Category]="Property Taxes")*(tblCarryingExpenses[Include]="Yes")),1),ROWS($Y$3:Y4)),""),"")</f>
        <v/>
      </c>
      <c r="AB4" s="339" t="str" cm="1">
        <f t="array" ref="AB4">IFERROR(INDEX(_xlfn.SORTBY(_xlfn._xlws.FILTER(tblCarryingExpenses[Date],(tblCarryingExpenses[Category]="Excavator Rental")*(tblCarryingExpenses[Include]="Yes")),_xlfn._xlws.FILTER(tblCarryingExpenses[Date],(tblCarryingExpenses[Category]="Excavator Rental")*(tblCarryingExpenses[Include]="Yes")),1),ROWS($AB$3:AB4)),"")</f>
        <v/>
      </c>
      <c r="AC4" s="340" t="str" cm="1">
        <f t="array" ref="AC4">IFERROR(INDEX(_xlfn.SORTBY(_xlfn._xlws.FILTER(tblCarryingExpenses[Amount],(tblCarryingExpenses[Category]="Excavator Rental")*(tblCarryingExpenses[Include]="Yes")),_xlfn._xlws.FILTER(tblCarryingExpenses[Date],(tblCarryingExpenses[Category]="Excavator Rental")*(tblCarryingExpenses[Include]="Yes")),1),ROWS($AB$3:AB4)),"")</f>
        <v/>
      </c>
      <c r="AD4" s="338"/>
      <c r="AE4" s="339" t="str" cm="1">
        <f t="array" ref="AE4">IFERROR(INDEX(_xlfn.SORTBY(_xlfn._xlws.FILTER(tblCarryingExpenses[Date],(tblCarryingExpenses[Category]="Lawn")*(tblCarryingExpenses[Include]="Yes")),_xlfn._xlws.FILTER(tblCarryingExpenses[Date],(tblCarryingExpenses[Category]="Lawn")*(tblCarryingExpenses[Include]="Yes")),1),ROWS($AE$3:AE4)),"")</f>
        <v/>
      </c>
      <c r="AF4" s="340" t="str" cm="1">
        <f t="array" ref="AF4">IFERROR(INDEX(_xlfn.SORTBY(_xlfn._xlws.FILTER(tblCarryingExpenses[Amount],(tblCarryingExpenses[Category]="Lawn")*(tblCarryingExpenses[Include]="Yes")),_xlfn._xlws.FILTER(tblCarryingExpenses[Date],(tblCarryingExpenses[Category]="Lawn")*(tblCarryingExpenses[Include]="Yes")),1),ROWS($AE$3:AE4)),"")</f>
        <v/>
      </c>
      <c r="AL4" t="s">
        <v>7</v>
      </c>
      <c r="AM4" t="s">
        <v>764</v>
      </c>
      <c r="AN4" s="12">
        <v>45265</v>
      </c>
      <c r="AQ4" s="5">
        <v>24.66</v>
      </c>
      <c r="AR4" t="s">
        <v>780</v>
      </c>
      <c r="AT4" t="s">
        <v>781</v>
      </c>
      <c r="AU4" t="s">
        <v>782</v>
      </c>
      <c r="AV4" t="s">
        <v>784</v>
      </c>
    </row>
    <row r="5" spans="1:48" x14ac:dyDescent="0.25">
      <c r="A5" s="339" cm="1">
        <f t="array" ref="A5">IFERROR(INDEX(_xlfn.SORTBY(_xlfn._xlws.FILTER(tblCarryingExpenses[Date],(tblCarryingExpenses[Category]="Duke Electric")*(tblCarryingExpenses[Include]="Yes")),_xlfn._xlws.FILTER(tblCarryingExpenses[Date],(tblCarryingExpenses[Category]="Duke Electric")*(tblCarryingExpenses[Include]="Yes")),1),ROWS($A$3:A5)),"")</f>
        <v>45301</v>
      </c>
      <c r="B5" s="340" cm="1">
        <f t="array" ref="B5">IFERROR(INDEX(_xlfn.SORTBY(_xlfn._xlws.FILTER(tblCarryingExpenses[Amount],(tblCarryingExpenses[Category]="Duke Electric")*(tblCarryingExpenses[Include]="Yes")),_xlfn._xlws.FILTER(tblCarryingExpenses[Date],(tblCarryingExpenses[Category]="Duke Electric")*(tblCarryingExpenses[Include]="Yes")),1),ROWS($A$3:A5)),"")</f>
        <v>30.01</v>
      </c>
      <c r="C5" s="338"/>
      <c r="D5" s="339" cm="1">
        <f t="array" ref="D5">IFERROR(INDEX(_xlfn.SORTBY(_xlfn._xlws.FILTER(tblCarryingExpenses[Date],(tblCarryingExpenses[Category]="Mortgage Payment")*(tblCarryingExpenses[Include]="Yes")),_xlfn._xlws.FILTER(tblCarryingExpenses[Date],(tblCarryingExpenses[Category]="Mortgage Payment")*(tblCarryingExpenses[Include]="Yes")),1),ROWS($D$3:D5)),"")</f>
        <v>45383</v>
      </c>
      <c r="E5" s="340" cm="1">
        <f t="array" ref="E5">IFERROR(INDEX(_xlfn.SORTBY(_xlfn._xlws.FILTER(tblCarryingExpenses[Amount],(tblCarryingExpenses[Category]="Mortgage Payment")*(tblCarryingExpenses[Include]="Yes")),_xlfn._xlws.FILTER(tblCarryingExpenses[Date],(tblCarryingExpenses[Category]="Mortgage Payment")*(tblCarryingExpenses[Include]="Yes")),1),ROWS($D$3:D5)),"")</f>
        <v>952.79</v>
      </c>
      <c r="F5" s="338"/>
      <c r="G5" s="339" cm="1">
        <f t="array" ref="G5">IFERROR(INDEX(_xlfn.SORTBY(_xlfn._xlws.FILTER(tblCarryingExpenses[Date],(tblCarryingExpenses[Category]="Private Money")*(tblCarryingExpenses[Include]="Yes")),_xlfn._xlws.FILTER(tblCarryingExpenses[Date],(tblCarryingExpenses[Category]="Private Money")*(tblCarryingExpenses[Include]="Yes")),1),ROWS($G$3:G5)),"")</f>
        <v>45291</v>
      </c>
      <c r="H5" s="340" cm="1">
        <f t="array" ref="H5">IFERROR(INDEX(_xlfn.SORTBY(_xlfn._xlws.FILTER(tblCarryingExpenses[Amount],(tblCarryingExpenses[Category]="Private Money")*(tblCarryingExpenses[Include]="Yes")),_xlfn._xlws.FILTER(tblCarryingExpenses[Date],(tblCarryingExpenses[Category]="Private Money")*(tblCarryingExpenses[Include]="Yes")),1),ROWS($G$3:G5)),"")</f>
        <v>925</v>
      </c>
      <c r="I5" s="338"/>
      <c r="J5" s="339" t="str" cm="1">
        <f t="array" ref="J5">IFERROR(INDEX(_xlfn.SORTBY(_xlfn._xlws.FILTER(tblCarryingExpenses[Date],(tblCarryingExpenses[Category]="Casa Lending")*(tblCarryingExpenses[Include]="Yes")),_xlfn._xlws.FILTER(tblCarryingExpenses[Date],(tblCarryingExpenses[Category]="Casa Lending")*(tblCarryingExpenses[Include]="Yes")),1),ROWS($J$3:J5)),"")</f>
        <v/>
      </c>
      <c r="K5" s="340" t="str" cm="1">
        <f t="array" ref="K5">IFERROR(INDEX(_xlfn.SORTBY(_xlfn._xlws.FILTER(tblCarryingExpenses[Amount],(tblCarryingExpenses[Category]="Casa Lending")*(tblCarryingExpenses[Include]="Yes")),_xlfn._xlws.FILTER(tblCarryingExpenses[Date],(tblCarryingExpenses[Category]="Casa Lending")*(tblCarryingExpenses[Include]="Yes")),1),ROWS($J$3:J5)),"")</f>
        <v/>
      </c>
      <c r="L5" s="338"/>
      <c r="M5" s="339" cm="1">
        <f t="array" ref="M5">IFERROR(INDEX(_xlfn.SORTBY(_xlfn._xlws.FILTER(tblCarryingExpenses[Date],(tblCarryingExpenses[Category]="Insurance Payments")*(tblCarryingExpenses[Include]="Yes")),_xlfn._xlws.FILTER(tblCarryingExpenses[Date],(tblCarryingExpenses[Category]="Insurance Payments")*(tblCarryingExpenses[Include]="Yes")),1),ROWS($M$3:M5)),"")</f>
        <v>45325</v>
      </c>
      <c r="N5" s="340" cm="1">
        <f t="array" ref="N5">IFERROR(INDEX(_xlfn.SORTBY(_xlfn._xlws.FILTER(tblCarryingExpenses[Amount],(tblCarryingExpenses[Category]="Insurance Payments")*(tblCarryingExpenses[Include]="Yes")),_xlfn._xlws.FILTER(tblCarryingExpenses[Date],(tblCarryingExpenses[Category]="Insurance Payments")*(tblCarryingExpenses[Include]="Yes")),1),ROWS($M$3:M5)),"")</f>
        <v>134.34</v>
      </c>
      <c r="O5" s="338"/>
      <c r="P5" s="339" cm="1">
        <f t="array" ref="P5">IFERROR(INDEX(_xlfn.SORTBY(_xlfn._xlws.FILTER(tblCarryingExpenses[Date],(tblCarryingExpenses[Category]="Water")*(tblCarryingExpenses[Include]="Yes")),_xlfn._xlws.FILTER(tblCarryingExpenses[Date],(tblCarryingExpenses[Category]="Water")*(tblCarryingExpenses[Include]="Yes")),1),ROWS($P$3:P5)),"")</f>
        <v>45261</v>
      </c>
      <c r="Q5" s="340" cm="1">
        <f t="array" ref="Q5">IFERROR(INDEX(_xlfn.SORTBY(_xlfn._xlws.FILTER(tblCarryingExpenses[Amount],(tblCarryingExpenses[Category]="Water")*(tblCarryingExpenses[Include]="Yes")),_xlfn._xlws.FILTER(tblCarryingExpenses[Date],(tblCarryingExpenses[Category]="Water")*(tblCarryingExpenses[Include]="Yes")),1),ROWS($P$3:P5)),"")</f>
        <v>50.62</v>
      </c>
      <c r="R5" s="338"/>
      <c r="S5" s="339" cm="1">
        <f t="array" ref="S5">IFERROR(INDEX(_xlfn.SORTBY(_xlfn._xlws.FILTER(tblCarryingExpenses[Date],(tblCarryingExpenses[Category]="Natural Gas")*(tblCarryingExpenses[Include]="Yes")),_xlfn._xlws.FILTER(tblCarryingExpenses[Date],(tblCarryingExpenses[Category]="Natural Gas")*(tblCarryingExpenses[Include]="Yes")),1),ROWS($S$3:S5)),"")</f>
        <v>45268</v>
      </c>
      <c r="T5" s="340" cm="1">
        <f t="array" ref="T5">IFERROR(INDEX(_xlfn.SORTBY(_xlfn._xlws.FILTER(tblCarryingExpenses[Amount],(tblCarryingExpenses[Category]="Natural Gas")*(tblCarryingExpenses[Include]="Yes")),_xlfn._xlws.FILTER(tblCarryingExpenses[Date],(tblCarryingExpenses[Category]="Natural Gas")*(tblCarryingExpenses[Include]="Yes")),1),ROWS($S$3:S5)),"")</f>
        <v>10.7</v>
      </c>
      <c r="U5" s="338"/>
      <c r="V5" s="339" cm="1">
        <f t="array" ref="V5">IFERROR(INDEX(_xlfn.SORTBY(_xlfn._xlws.FILTER(tblCarryingExpenses[Date],(tblCarryingExpenses[Category]="HOA")*(tblCarryingExpenses[Include]="Yes")),_xlfn._xlws.FILTER(tblCarryingExpenses[Date],(tblCarryingExpenses[Category]="HOA")*(tblCarryingExpenses[Include]="Yes")),1),ROWS($V$3:V5)),"")</f>
        <v>45670</v>
      </c>
      <c r="W5" s="340" cm="1">
        <f t="array" ref="W5">IFERROR(INDEX(_xlfn.SORTBY(_xlfn._xlws.FILTER(tblCarryingExpenses[Amount],(tblCarryingExpenses[Category]="HOA")*(tblCarryingExpenses[Include]="Yes")),_xlfn._xlws.FILTER(tblCarryingExpenses[Date],(tblCarryingExpenses[Category]="HOA")*(tblCarryingExpenses[Include]="Yes")),1),ROWS($V$3:V5)),"")</f>
        <v>253.65</v>
      </c>
      <c r="X5" s="338"/>
      <c r="Y5" s="339" cm="1">
        <f t="array" ref="Y5">IFERROR(INDEX(_xlfn.SORTBY(_xlfn._xlws.FILTER(tblCarryingExpenses[Date],(tblCarryingExpenses[Category]="Property Taxes")*(tblCarryingExpenses[Include]="Yes")),_xlfn._xlws.FILTER(tblCarryingExpenses[Date],(tblCarryingExpenses[Category]="Property Taxes")*(tblCarryingExpenses[Include]="Yes")),1),ROWS($Y$3:Y5)),"")</f>
        <v>45911</v>
      </c>
      <c r="Z5" s="340" t="str" cm="1">
        <f t="array" ref="Z5">IFERROR(IF(INDEX(_xlfn.SORTBY(_xlfn._xlws.FILTER(tblCarryingExpenses[Amount],(tblCarryingExpenses[Category]="Property Taxes")*(tblCarryingExpenses[Include]="Yes")),_xlfn._xlws.FILTER(tblCarryingExpenses[Date],(tblCarryingExpenses[Category]="Property Taxes")*(tblCarryingExpenses[Include]="Yes")),1),ROWS($Y$3:Y5))&lt;0,"",INDEX(_xlfn.SORTBY(_xlfn._xlws.FILTER(tblCarryingExpenses[Amount],(tblCarryingExpenses[Category]="Property Taxes")*(tblCarryingExpenses[Include]="Yes")),_xlfn._xlws.FILTER(tblCarryingExpenses[Date],(tblCarryingExpenses[Category]="Property Taxes")*(tblCarryingExpenses[Include]="Yes")),1),ROWS($Y$3:Y5))),"")</f>
        <v/>
      </c>
      <c r="AA5" s="340" cm="1">
        <f t="array" ref="AA5">IFERROR(IF(ISNUMBER(SEARCH("escrow",INDEX(_xlfn.SORTBY(_xlfn._xlws.FILTER(tblCarryingExpenses[Notes],(tblCarryingExpenses[Category]="Property Taxes")*(tblCarryingExpenses[Include]="Yes")),_xlfn._xlws.FILTER(tblCarryingExpenses[Date],(tblCarryingExpenses[Category]="Property Taxes")*(tblCarryingExpenses[Include]="Yes")),1),ROWS($Y$3:Y5)))),INDEX(_xlfn.SORTBY(_xlfn._xlws.FILTER(tblCarryingExpenses[Amount],(tblCarryingExpenses[Category]="Property Taxes")*(tblCarryingExpenses[Include]="Yes")),_xlfn._xlws.FILTER(tblCarryingExpenses[Date],(tblCarryingExpenses[Category]="Property Taxes")*(tblCarryingExpenses[Include]="Yes")),1),ROWS($Y$3:Y5)),""),"")</f>
        <v>-3101.83</v>
      </c>
      <c r="AB5" s="339" t="str" cm="1">
        <f t="array" ref="AB5">IFERROR(INDEX(_xlfn.SORTBY(_xlfn._xlws.FILTER(tblCarryingExpenses[Date],(tblCarryingExpenses[Category]="Excavator Rental")*(tblCarryingExpenses[Include]="Yes")),_xlfn._xlws.FILTER(tblCarryingExpenses[Date],(tblCarryingExpenses[Category]="Excavator Rental")*(tblCarryingExpenses[Include]="Yes")),1),ROWS($AB$3:AB5)),"")</f>
        <v/>
      </c>
      <c r="AC5" s="340" t="str" cm="1">
        <f t="array" ref="AC5">IFERROR(INDEX(_xlfn.SORTBY(_xlfn._xlws.FILTER(tblCarryingExpenses[Amount],(tblCarryingExpenses[Category]="Excavator Rental")*(tblCarryingExpenses[Include]="Yes")),_xlfn._xlws.FILTER(tblCarryingExpenses[Date],(tblCarryingExpenses[Category]="Excavator Rental")*(tblCarryingExpenses[Include]="Yes")),1),ROWS($AB$3:AB5)),"")</f>
        <v/>
      </c>
      <c r="AD5" s="338"/>
      <c r="AE5" s="339" t="str" cm="1">
        <f t="array" ref="AE5">IFERROR(INDEX(_xlfn.SORTBY(_xlfn._xlws.FILTER(tblCarryingExpenses[Date],(tblCarryingExpenses[Category]="Lawn")*(tblCarryingExpenses[Include]="Yes")),_xlfn._xlws.FILTER(tblCarryingExpenses[Date],(tblCarryingExpenses[Category]="Lawn")*(tblCarryingExpenses[Include]="Yes")),1),ROWS($AE$3:AE5)),"")</f>
        <v/>
      </c>
      <c r="AF5" s="340" t="str" cm="1">
        <f t="array" ref="AF5">IFERROR(INDEX(_xlfn.SORTBY(_xlfn._xlws.FILTER(tblCarryingExpenses[Amount],(tblCarryingExpenses[Category]="Lawn")*(tblCarryingExpenses[Include]="Yes")),_xlfn._xlws.FILTER(tblCarryingExpenses[Date],(tblCarryingExpenses[Category]="Lawn")*(tblCarryingExpenses[Include]="Yes")),1),ROWS($AE$3:AE5)),"")</f>
        <v/>
      </c>
      <c r="AL5" t="s">
        <v>7</v>
      </c>
      <c r="AM5" t="s">
        <v>764</v>
      </c>
      <c r="AN5" s="12">
        <v>45301</v>
      </c>
      <c r="AQ5" s="5">
        <v>30.01</v>
      </c>
      <c r="AR5" t="s">
        <v>780</v>
      </c>
      <c r="AT5" t="s">
        <v>781</v>
      </c>
      <c r="AU5" t="s">
        <v>782</v>
      </c>
      <c r="AV5" t="s">
        <v>785</v>
      </c>
    </row>
    <row r="6" spans="1:48" x14ac:dyDescent="0.25">
      <c r="A6" s="339" cm="1">
        <f t="array" ref="A6">IFERROR(INDEX(_xlfn.SORTBY(_xlfn._xlws.FILTER(tblCarryingExpenses[Date],(tblCarryingExpenses[Category]="Duke Electric")*(tblCarryingExpenses[Include]="Yes")),_xlfn._xlws.FILTER(tblCarryingExpenses[Date],(tblCarryingExpenses[Category]="Duke Electric")*(tblCarryingExpenses[Include]="Yes")),1),ROWS($A$3:A6)),"")</f>
        <v>45328</v>
      </c>
      <c r="B6" s="340" cm="1">
        <f t="array" ref="B6">IFERROR(INDEX(_xlfn.SORTBY(_xlfn._xlws.FILTER(tblCarryingExpenses[Amount],(tblCarryingExpenses[Category]="Duke Electric")*(tblCarryingExpenses[Include]="Yes")),_xlfn._xlws.FILTER(tblCarryingExpenses[Date],(tblCarryingExpenses[Category]="Duke Electric")*(tblCarryingExpenses[Include]="Yes")),1),ROWS($A$3:A6)),"")</f>
        <v>29.48</v>
      </c>
      <c r="C6" s="338"/>
      <c r="D6" s="339" cm="1">
        <f t="array" ref="D6">IFERROR(INDEX(_xlfn.SORTBY(_xlfn._xlws.FILTER(tblCarryingExpenses[Date],(tblCarryingExpenses[Category]="Mortgage Payment")*(tblCarryingExpenses[Include]="Yes")),_xlfn._xlws.FILTER(tblCarryingExpenses[Date],(tblCarryingExpenses[Category]="Mortgage Payment")*(tblCarryingExpenses[Include]="Yes")),1),ROWS($D$3:D6)),"")</f>
        <v>45413</v>
      </c>
      <c r="E6" s="340" cm="1">
        <f t="array" ref="E6">IFERROR(INDEX(_xlfn.SORTBY(_xlfn._xlws.FILTER(tblCarryingExpenses[Amount],(tblCarryingExpenses[Category]="Mortgage Payment")*(tblCarryingExpenses[Include]="Yes")),_xlfn._xlws.FILTER(tblCarryingExpenses[Date],(tblCarryingExpenses[Category]="Mortgage Payment")*(tblCarryingExpenses[Include]="Yes")),1),ROWS($D$3:D6)),"")</f>
        <v>1081.21</v>
      </c>
      <c r="F6" s="338"/>
      <c r="G6" s="339" cm="1">
        <f t="array" ref="G6">IFERROR(INDEX(_xlfn.SORTBY(_xlfn._xlws.FILTER(tblCarryingExpenses[Date],(tblCarryingExpenses[Category]="Private Money")*(tblCarryingExpenses[Include]="Yes")),_xlfn._xlws.FILTER(tblCarryingExpenses[Date],(tblCarryingExpenses[Category]="Private Money")*(tblCarryingExpenses[Include]="Yes")),1),ROWS($G$3:G6)),"")</f>
        <v>45295</v>
      </c>
      <c r="H6" s="340" cm="1">
        <f t="array" ref="H6">IFERROR(INDEX(_xlfn.SORTBY(_xlfn._xlws.FILTER(tblCarryingExpenses[Amount],(tblCarryingExpenses[Category]="Private Money")*(tblCarryingExpenses[Include]="Yes")),_xlfn._xlws.FILTER(tblCarryingExpenses[Date],(tblCarryingExpenses[Category]="Private Money")*(tblCarryingExpenses[Include]="Yes")),1),ROWS($G$3:G6)),"")</f>
        <v>925</v>
      </c>
      <c r="I6" s="338"/>
      <c r="J6" s="339" t="str" cm="1">
        <f t="array" ref="J6">IFERROR(INDEX(_xlfn.SORTBY(_xlfn._xlws.FILTER(tblCarryingExpenses[Date],(tblCarryingExpenses[Category]="Casa Lending")*(tblCarryingExpenses[Include]="Yes")),_xlfn._xlws.FILTER(tblCarryingExpenses[Date],(tblCarryingExpenses[Category]="Casa Lending")*(tblCarryingExpenses[Include]="Yes")),1),ROWS($J$3:J6)),"")</f>
        <v/>
      </c>
      <c r="K6" s="340" t="str" cm="1">
        <f t="array" ref="K6">IFERROR(INDEX(_xlfn.SORTBY(_xlfn._xlws.FILTER(tblCarryingExpenses[Amount],(tblCarryingExpenses[Category]="Casa Lending")*(tblCarryingExpenses[Include]="Yes")),_xlfn._xlws.FILTER(tblCarryingExpenses[Date],(tblCarryingExpenses[Category]="Casa Lending")*(tblCarryingExpenses[Include]="Yes")),1),ROWS($J$3:J6)),"")</f>
        <v/>
      </c>
      <c r="L6" s="338"/>
      <c r="M6" s="339" cm="1">
        <f t="array" ref="M6">IFERROR(INDEX(_xlfn.SORTBY(_xlfn._xlws.FILTER(tblCarryingExpenses[Date],(tblCarryingExpenses[Category]="Insurance Payments")*(tblCarryingExpenses[Include]="Yes")),_xlfn._xlws.FILTER(tblCarryingExpenses[Date],(tblCarryingExpenses[Category]="Insurance Payments")*(tblCarryingExpenses[Include]="Yes")),1),ROWS($M$3:M6)),"")</f>
        <v>45354</v>
      </c>
      <c r="N6" s="340" cm="1">
        <f t="array" ref="N6">IFERROR(INDEX(_xlfn.SORTBY(_xlfn._xlws.FILTER(tblCarryingExpenses[Amount],(tblCarryingExpenses[Category]="Insurance Payments")*(tblCarryingExpenses[Include]="Yes")),_xlfn._xlws.FILTER(tblCarryingExpenses[Date],(tblCarryingExpenses[Category]="Insurance Payments")*(tblCarryingExpenses[Include]="Yes")),1),ROWS($M$3:M6)),"")</f>
        <v>134.34</v>
      </c>
      <c r="O6" s="338"/>
      <c r="P6" s="339" cm="1">
        <f t="array" ref="P6">IFERROR(INDEX(_xlfn.SORTBY(_xlfn._xlws.FILTER(tblCarryingExpenses[Date],(tblCarryingExpenses[Category]="Water")*(tblCarryingExpenses[Include]="Yes")),_xlfn._xlws.FILTER(tblCarryingExpenses[Date],(tblCarryingExpenses[Category]="Water")*(tblCarryingExpenses[Include]="Yes")),1),ROWS($P$3:P6)),"")</f>
        <v>45293</v>
      </c>
      <c r="Q6" s="340" cm="1">
        <f t="array" ref="Q6">IFERROR(INDEX(_xlfn.SORTBY(_xlfn._xlws.FILTER(tblCarryingExpenses[Amount],(tblCarryingExpenses[Category]="Water")*(tblCarryingExpenses[Include]="Yes")),_xlfn._xlws.FILTER(tblCarryingExpenses[Date],(tblCarryingExpenses[Category]="Water")*(tblCarryingExpenses[Include]="Yes")),1),ROWS($P$3:P6)),"")</f>
        <v>50.62</v>
      </c>
      <c r="R6" s="338"/>
      <c r="S6" s="339" cm="1">
        <f t="array" ref="S6">IFERROR(INDEX(_xlfn.SORTBY(_xlfn._xlws.FILTER(tblCarryingExpenses[Date],(tblCarryingExpenses[Category]="Natural Gas")*(tblCarryingExpenses[Include]="Yes")),_xlfn._xlws.FILTER(tblCarryingExpenses[Date],(tblCarryingExpenses[Category]="Natural Gas")*(tblCarryingExpenses[Include]="Yes")),1),ROWS($S$3:S6)),"")</f>
        <v>45300</v>
      </c>
      <c r="T6" s="340" cm="1">
        <f t="array" ref="T6">IFERROR(INDEX(_xlfn.SORTBY(_xlfn._xlws.FILTER(tblCarryingExpenses[Amount],(tblCarryingExpenses[Category]="Natural Gas")*(tblCarryingExpenses[Include]="Yes")),_xlfn._xlws.FILTER(tblCarryingExpenses[Date],(tblCarryingExpenses[Category]="Natural Gas")*(tblCarryingExpenses[Include]="Yes")),1),ROWS($S$3:S6)),"")</f>
        <v>10.7</v>
      </c>
      <c r="U6" s="338"/>
      <c r="V6" s="339" cm="1">
        <f t="array" ref="V6">IFERROR(INDEX(_xlfn.SORTBY(_xlfn._xlws.FILTER(tblCarryingExpenses[Date],(tblCarryingExpenses[Category]="HOA")*(tblCarryingExpenses[Include]="Yes")),_xlfn._xlws.FILTER(tblCarryingExpenses[Date],(tblCarryingExpenses[Category]="HOA")*(tblCarryingExpenses[Include]="Yes")),1),ROWS($V$3:V6)),"")</f>
        <v>45792</v>
      </c>
      <c r="W6" s="340" cm="1">
        <f t="array" ref="W6">IFERROR(INDEX(_xlfn.SORTBY(_xlfn._xlws.FILTER(tblCarryingExpenses[Amount],(tblCarryingExpenses[Category]="HOA")*(tblCarryingExpenses[Include]="Yes")),_xlfn._xlws.FILTER(tblCarryingExpenses[Date],(tblCarryingExpenses[Category]="HOA")*(tblCarryingExpenses[Include]="Yes")),1),ROWS($V$3:V6)),"")</f>
        <v>25</v>
      </c>
      <c r="X6" s="338"/>
      <c r="Y6" s="339" t="str" cm="1">
        <f t="array" ref="Y6">IFERROR(INDEX(_xlfn.SORTBY(_xlfn._xlws.FILTER(tblCarryingExpenses[Date],(tblCarryingExpenses[Category]="Property Taxes")*(tblCarryingExpenses[Include]="Yes")),_xlfn._xlws.FILTER(tblCarryingExpenses[Date],(tblCarryingExpenses[Category]="Property Taxes")*(tblCarryingExpenses[Include]="Yes")),1),ROWS($Y$3:Y6)),"")</f>
        <v/>
      </c>
      <c r="Z6" s="340" t="str" cm="1">
        <f t="array" ref="Z6">IFERROR(IF(INDEX(_xlfn.SORTBY(_xlfn._xlws.FILTER(tblCarryingExpenses[Amount],(tblCarryingExpenses[Category]="Property Taxes")*(tblCarryingExpenses[Include]="Yes")),_xlfn._xlws.FILTER(tblCarryingExpenses[Date],(tblCarryingExpenses[Category]="Property Taxes")*(tblCarryingExpenses[Include]="Yes")),1),ROWS($Y$3:Y6))&lt;0,"",INDEX(_xlfn.SORTBY(_xlfn._xlws.FILTER(tblCarryingExpenses[Amount],(tblCarryingExpenses[Category]="Property Taxes")*(tblCarryingExpenses[Include]="Yes")),_xlfn._xlws.FILTER(tblCarryingExpenses[Date],(tblCarryingExpenses[Category]="Property Taxes")*(tblCarryingExpenses[Include]="Yes")),1),ROWS($Y$3:Y6))),"")</f>
        <v/>
      </c>
      <c r="AA6" s="340" t="str" cm="1">
        <f t="array" ref="AA6">IFERROR(IF(ISNUMBER(SEARCH("escrow",INDEX(_xlfn.SORTBY(_xlfn._xlws.FILTER(tblCarryingExpenses[Notes],(tblCarryingExpenses[Category]="Property Taxes")*(tblCarryingExpenses[Include]="Yes")),_xlfn._xlws.FILTER(tblCarryingExpenses[Date],(tblCarryingExpenses[Category]="Property Taxes")*(tblCarryingExpenses[Include]="Yes")),1),ROWS($Y$3:Y6)))),INDEX(_xlfn.SORTBY(_xlfn._xlws.FILTER(tblCarryingExpenses[Amount],(tblCarryingExpenses[Category]="Property Taxes")*(tblCarryingExpenses[Include]="Yes")),_xlfn._xlws.FILTER(tblCarryingExpenses[Date],(tblCarryingExpenses[Category]="Property Taxes")*(tblCarryingExpenses[Include]="Yes")),1),ROWS($Y$3:Y6)),""),"")</f>
        <v/>
      </c>
      <c r="AB6" s="339" t="str" cm="1">
        <f t="array" ref="AB6">IFERROR(INDEX(_xlfn.SORTBY(_xlfn._xlws.FILTER(tblCarryingExpenses[Date],(tblCarryingExpenses[Category]="Excavator Rental")*(tblCarryingExpenses[Include]="Yes")),_xlfn._xlws.FILTER(tblCarryingExpenses[Date],(tblCarryingExpenses[Category]="Excavator Rental")*(tblCarryingExpenses[Include]="Yes")),1),ROWS($AB$3:AB6)),"")</f>
        <v/>
      </c>
      <c r="AC6" s="340" t="str" cm="1">
        <f t="array" ref="AC6">IFERROR(INDEX(_xlfn.SORTBY(_xlfn._xlws.FILTER(tblCarryingExpenses[Amount],(tblCarryingExpenses[Category]="Excavator Rental")*(tblCarryingExpenses[Include]="Yes")),_xlfn._xlws.FILTER(tblCarryingExpenses[Date],(tblCarryingExpenses[Category]="Excavator Rental")*(tblCarryingExpenses[Include]="Yes")),1),ROWS($AB$3:AB6)),"")</f>
        <v/>
      </c>
      <c r="AD6" s="338"/>
      <c r="AE6" s="339" t="str" cm="1">
        <f t="array" ref="AE6">IFERROR(INDEX(_xlfn.SORTBY(_xlfn._xlws.FILTER(tblCarryingExpenses[Date],(tblCarryingExpenses[Category]="Lawn")*(tblCarryingExpenses[Include]="Yes")),_xlfn._xlws.FILTER(tblCarryingExpenses[Date],(tblCarryingExpenses[Category]="Lawn")*(tblCarryingExpenses[Include]="Yes")),1),ROWS($AE$3:AE6)),"")</f>
        <v/>
      </c>
      <c r="AF6" s="340" t="str" cm="1">
        <f t="array" ref="AF6">IFERROR(INDEX(_xlfn.SORTBY(_xlfn._xlws.FILTER(tblCarryingExpenses[Amount],(tblCarryingExpenses[Category]="Lawn")*(tblCarryingExpenses[Include]="Yes")),_xlfn._xlws.FILTER(tblCarryingExpenses[Date],(tblCarryingExpenses[Category]="Lawn")*(tblCarryingExpenses[Include]="Yes")),1),ROWS($AE$3:AE6)),"")</f>
        <v/>
      </c>
      <c r="AL6" t="s">
        <v>7</v>
      </c>
      <c r="AM6" t="s">
        <v>764</v>
      </c>
      <c r="AN6" s="12">
        <v>45328</v>
      </c>
      <c r="AQ6" s="5">
        <v>29.48</v>
      </c>
      <c r="AR6" t="s">
        <v>780</v>
      </c>
      <c r="AT6" t="s">
        <v>781</v>
      </c>
      <c r="AU6" t="s">
        <v>782</v>
      </c>
      <c r="AV6" t="s">
        <v>786</v>
      </c>
    </row>
    <row r="7" spans="1:48" x14ac:dyDescent="0.25">
      <c r="A7" s="339" cm="1">
        <f t="array" ref="A7">IFERROR(INDEX(_xlfn.SORTBY(_xlfn._xlws.FILTER(tblCarryingExpenses[Date],(tblCarryingExpenses[Category]="Duke Electric")*(tblCarryingExpenses[Include]="Yes")),_xlfn._xlws.FILTER(tblCarryingExpenses[Date],(tblCarryingExpenses[Category]="Duke Electric")*(tblCarryingExpenses[Include]="Yes")),1),ROWS($A$3:A7)),"")</f>
        <v>45357</v>
      </c>
      <c r="B7" s="340" cm="1">
        <f t="array" ref="B7">IFERROR(INDEX(_xlfn.SORTBY(_xlfn._xlws.FILTER(tblCarryingExpenses[Amount],(tblCarryingExpenses[Category]="Duke Electric")*(tblCarryingExpenses[Include]="Yes")),_xlfn._xlws.FILTER(tblCarryingExpenses[Date],(tblCarryingExpenses[Category]="Duke Electric")*(tblCarryingExpenses[Include]="Yes")),1),ROWS($A$3:A7)),"")</f>
        <v>29.48</v>
      </c>
      <c r="C7" s="338"/>
      <c r="D7" s="339" cm="1">
        <f t="array" ref="D7">IFERROR(INDEX(_xlfn.SORTBY(_xlfn._xlws.FILTER(tblCarryingExpenses[Date],(tblCarryingExpenses[Category]="Mortgage Payment")*(tblCarryingExpenses[Include]="Yes")),_xlfn._xlws.FILTER(tblCarryingExpenses[Date],(tblCarryingExpenses[Category]="Mortgage Payment")*(tblCarryingExpenses[Include]="Yes")),1),ROWS($D$3:D7)),"")</f>
        <v>45443</v>
      </c>
      <c r="E7" s="340" cm="1">
        <f t="array" ref="E7">IFERROR(INDEX(_xlfn.SORTBY(_xlfn._xlws.FILTER(tblCarryingExpenses[Amount],(tblCarryingExpenses[Category]="Mortgage Payment")*(tblCarryingExpenses[Include]="Yes")),_xlfn._xlws.FILTER(tblCarryingExpenses[Date],(tblCarryingExpenses[Category]="Mortgage Payment")*(tblCarryingExpenses[Include]="Yes")),1),ROWS($D$3:D7)),"")</f>
        <v>1081.21</v>
      </c>
      <c r="F7" s="338"/>
      <c r="G7" s="339" cm="1">
        <f t="array" ref="G7">IFERROR(INDEX(_xlfn.SORTBY(_xlfn._xlws.FILTER(tblCarryingExpenses[Date],(tblCarryingExpenses[Category]="Private Money")*(tblCarryingExpenses[Include]="Yes")),_xlfn._xlws.FILTER(tblCarryingExpenses[Date],(tblCarryingExpenses[Category]="Private Money")*(tblCarryingExpenses[Include]="Yes")),1),ROWS($G$3:G7)),"")</f>
        <v>45363</v>
      </c>
      <c r="H7" s="340" cm="1">
        <f t="array" ref="H7">IFERROR(INDEX(_xlfn.SORTBY(_xlfn._xlws.FILTER(tblCarryingExpenses[Amount],(tblCarryingExpenses[Category]="Private Money")*(tblCarryingExpenses[Include]="Yes")),_xlfn._xlws.FILTER(tblCarryingExpenses[Date],(tblCarryingExpenses[Category]="Private Money")*(tblCarryingExpenses[Include]="Yes")),1),ROWS($G$3:G7)),"")</f>
        <v>925</v>
      </c>
      <c r="I7" s="338"/>
      <c r="J7" s="339" t="str" cm="1">
        <f t="array" ref="J7">IFERROR(INDEX(_xlfn.SORTBY(_xlfn._xlws.FILTER(tblCarryingExpenses[Date],(tblCarryingExpenses[Category]="Casa Lending")*(tblCarryingExpenses[Include]="Yes")),_xlfn._xlws.FILTER(tblCarryingExpenses[Date],(tblCarryingExpenses[Category]="Casa Lending")*(tblCarryingExpenses[Include]="Yes")),1),ROWS($J$3:J7)),"")</f>
        <v/>
      </c>
      <c r="K7" s="340" t="str" cm="1">
        <f t="array" ref="K7">IFERROR(INDEX(_xlfn.SORTBY(_xlfn._xlws.FILTER(tblCarryingExpenses[Amount],(tblCarryingExpenses[Category]="Casa Lending")*(tblCarryingExpenses[Include]="Yes")),_xlfn._xlws.FILTER(tblCarryingExpenses[Date],(tblCarryingExpenses[Category]="Casa Lending")*(tblCarryingExpenses[Include]="Yes")),1),ROWS($J$3:J7)),"")</f>
        <v/>
      </c>
      <c r="L7" s="338"/>
      <c r="M7" s="339" cm="1">
        <f t="array" ref="M7">IFERROR(INDEX(_xlfn.SORTBY(_xlfn._xlws.FILTER(tblCarryingExpenses[Date],(tblCarryingExpenses[Category]="Insurance Payments")*(tblCarryingExpenses[Include]="Yes")),_xlfn._xlws.FILTER(tblCarryingExpenses[Date],(tblCarryingExpenses[Category]="Insurance Payments")*(tblCarryingExpenses[Include]="Yes")),1),ROWS($M$3:M7)),"")</f>
        <v>45383</v>
      </c>
      <c r="N7" s="340" cm="1">
        <f t="array" ref="N7">IFERROR(INDEX(_xlfn.SORTBY(_xlfn._xlws.FILTER(tblCarryingExpenses[Amount],(tblCarryingExpenses[Category]="Insurance Payments")*(tblCarryingExpenses[Include]="Yes")),_xlfn._xlws.FILTER(tblCarryingExpenses[Date],(tblCarryingExpenses[Category]="Insurance Payments")*(tblCarryingExpenses[Include]="Yes")),1),ROWS($M$3:M7)),"")</f>
        <v>94.65</v>
      </c>
      <c r="O7" s="338"/>
      <c r="P7" s="339" cm="1">
        <f t="array" ref="P7">IFERROR(INDEX(_xlfn.SORTBY(_xlfn._xlws.FILTER(tblCarryingExpenses[Date],(tblCarryingExpenses[Category]="Water")*(tblCarryingExpenses[Include]="Yes")),_xlfn._xlws.FILTER(tblCarryingExpenses[Date],(tblCarryingExpenses[Category]="Water")*(tblCarryingExpenses[Include]="Yes")),1),ROWS($P$3:P7)),"")</f>
        <v>45322</v>
      </c>
      <c r="Q7" s="340" cm="1">
        <f t="array" ref="Q7">IFERROR(INDEX(_xlfn.SORTBY(_xlfn._xlws.FILTER(tblCarryingExpenses[Amount],(tblCarryingExpenses[Category]="Water")*(tblCarryingExpenses[Include]="Yes")),_xlfn._xlws.FILTER(tblCarryingExpenses[Date],(tblCarryingExpenses[Category]="Water")*(tblCarryingExpenses[Include]="Yes")),1),ROWS($P$3:P7)),"")</f>
        <v>50.62</v>
      </c>
      <c r="R7" s="338"/>
      <c r="S7" s="339" cm="1">
        <f t="array" ref="S7">IFERROR(INDEX(_xlfn.SORTBY(_xlfn._xlws.FILTER(tblCarryingExpenses[Date],(tblCarryingExpenses[Category]="Natural Gas")*(tblCarryingExpenses[Include]="Yes")),_xlfn._xlws.FILTER(tblCarryingExpenses[Date],(tblCarryingExpenses[Category]="Natural Gas")*(tblCarryingExpenses[Include]="Yes")),1),ROWS($S$3:S7)),"")</f>
        <v>45331</v>
      </c>
      <c r="T7" s="340" cm="1">
        <f t="array" ref="T7">IFERROR(INDEX(_xlfn.SORTBY(_xlfn._xlws.FILTER(tblCarryingExpenses[Amount],(tblCarryingExpenses[Category]="Natural Gas")*(tblCarryingExpenses[Include]="Yes")),_xlfn._xlws.FILTER(tblCarryingExpenses[Date],(tblCarryingExpenses[Category]="Natural Gas")*(tblCarryingExpenses[Include]="Yes")),1),ROWS($S$3:S7)),"")</f>
        <v>11.99</v>
      </c>
      <c r="U7" s="338"/>
      <c r="V7" s="339" cm="1">
        <f t="array" ref="V7">IFERROR(INDEX(_xlfn.SORTBY(_xlfn._xlws.FILTER(tblCarryingExpenses[Date],(tblCarryingExpenses[Category]="HOA")*(tblCarryingExpenses[Include]="Yes")),_xlfn._xlws.FILTER(tblCarryingExpenses[Date],(tblCarryingExpenses[Category]="HOA")*(tblCarryingExpenses[Include]="Yes")),1),ROWS($V$3:V7)),"")</f>
        <v>45838</v>
      </c>
      <c r="W7" s="340" cm="1">
        <f t="array" ref="W7">IFERROR(INDEX(_xlfn.SORTBY(_xlfn._xlws.FILTER(tblCarryingExpenses[Amount],(tblCarryingExpenses[Category]="HOA")*(tblCarryingExpenses[Include]="Yes")),_xlfn._xlws.FILTER(tblCarryingExpenses[Date],(tblCarryingExpenses[Category]="HOA")*(tblCarryingExpenses[Include]="Yes")),1),ROWS($V$3:V7)),"")</f>
        <v>0</v>
      </c>
      <c r="X7" s="338"/>
      <c r="Y7" s="339" t="str" cm="1">
        <f t="array" ref="Y7">IFERROR(INDEX(_xlfn.SORTBY(_xlfn._xlws.FILTER(tblCarryingExpenses[Date],(tblCarryingExpenses[Category]="Property Taxes")*(tblCarryingExpenses[Include]="Yes")),_xlfn._xlws.FILTER(tblCarryingExpenses[Date],(tblCarryingExpenses[Category]="Property Taxes")*(tblCarryingExpenses[Include]="Yes")),1),ROWS($Y$3:Y7)),"")</f>
        <v/>
      </c>
      <c r="Z7" s="340" t="str" cm="1">
        <f t="array" ref="Z7">IFERROR(IF(INDEX(_xlfn.SORTBY(_xlfn._xlws.FILTER(tblCarryingExpenses[Amount],(tblCarryingExpenses[Category]="Property Taxes")*(tblCarryingExpenses[Include]="Yes")),_xlfn._xlws.FILTER(tblCarryingExpenses[Date],(tblCarryingExpenses[Category]="Property Taxes")*(tblCarryingExpenses[Include]="Yes")),1),ROWS($Y$3:Y7))&lt;0,"",INDEX(_xlfn.SORTBY(_xlfn._xlws.FILTER(tblCarryingExpenses[Amount],(tblCarryingExpenses[Category]="Property Taxes")*(tblCarryingExpenses[Include]="Yes")),_xlfn._xlws.FILTER(tblCarryingExpenses[Date],(tblCarryingExpenses[Category]="Property Taxes")*(tblCarryingExpenses[Include]="Yes")),1),ROWS($Y$3:Y7))),"")</f>
        <v/>
      </c>
      <c r="AA7" s="340" t="str" cm="1">
        <f t="array" ref="AA7">IFERROR(IF(ISNUMBER(SEARCH("escrow",INDEX(_xlfn.SORTBY(_xlfn._xlws.FILTER(tblCarryingExpenses[Notes],(tblCarryingExpenses[Category]="Property Taxes")*(tblCarryingExpenses[Include]="Yes")),_xlfn._xlws.FILTER(tblCarryingExpenses[Date],(tblCarryingExpenses[Category]="Property Taxes")*(tblCarryingExpenses[Include]="Yes")),1),ROWS($Y$3:Y7)))),INDEX(_xlfn.SORTBY(_xlfn._xlws.FILTER(tblCarryingExpenses[Amount],(tblCarryingExpenses[Category]="Property Taxes")*(tblCarryingExpenses[Include]="Yes")),_xlfn._xlws.FILTER(tblCarryingExpenses[Date],(tblCarryingExpenses[Category]="Property Taxes")*(tblCarryingExpenses[Include]="Yes")),1),ROWS($Y$3:Y7)),""),"")</f>
        <v/>
      </c>
      <c r="AB7" s="339" t="str" cm="1">
        <f t="array" ref="AB7">IFERROR(INDEX(_xlfn.SORTBY(_xlfn._xlws.FILTER(tblCarryingExpenses[Date],(tblCarryingExpenses[Category]="Excavator Rental")*(tblCarryingExpenses[Include]="Yes")),_xlfn._xlws.FILTER(tblCarryingExpenses[Date],(tblCarryingExpenses[Category]="Excavator Rental")*(tblCarryingExpenses[Include]="Yes")),1),ROWS($AB$3:AB7)),"")</f>
        <v/>
      </c>
      <c r="AC7" s="340" t="str" cm="1">
        <f t="array" ref="AC7">IFERROR(INDEX(_xlfn.SORTBY(_xlfn._xlws.FILTER(tblCarryingExpenses[Amount],(tblCarryingExpenses[Category]="Excavator Rental")*(tblCarryingExpenses[Include]="Yes")),_xlfn._xlws.FILTER(tblCarryingExpenses[Date],(tblCarryingExpenses[Category]="Excavator Rental")*(tblCarryingExpenses[Include]="Yes")),1),ROWS($AB$3:AB7)),"")</f>
        <v/>
      </c>
      <c r="AD7" s="338"/>
      <c r="AE7" s="339" t="str" cm="1">
        <f t="array" ref="AE7">IFERROR(INDEX(_xlfn.SORTBY(_xlfn._xlws.FILTER(tblCarryingExpenses[Date],(tblCarryingExpenses[Category]="Lawn")*(tblCarryingExpenses[Include]="Yes")),_xlfn._xlws.FILTER(tblCarryingExpenses[Date],(tblCarryingExpenses[Category]="Lawn")*(tblCarryingExpenses[Include]="Yes")),1),ROWS($AE$3:AE7)),"")</f>
        <v/>
      </c>
      <c r="AF7" s="340" t="str" cm="1">
        <f t="array" ref="AF7">IFERROR(INDEX(_xlfn.SORTBY(_xlfn._xlws.FILTER(tblCarryingExpenses[Amount],(tblCarryingExpenses[Category]="Lawn")*(tblCarryingExpenses[Include]="Yes")),_xlfn._xlws.FILTER(tblCarryingExpenses[Date],(tblCarryingExpenses[Category]="Lawn")*(tblCarryingExpenses[Include]="Yes")),1),ROWS($AE$3:AE7)),"")</f>
        <v/>
      </c>
      <c r="AL7" t="s">
        <v>7</v>
      </c>
      <c r="AM7" t="s">
        <v>764</v>
      </c>
      <c r="AN7" s="12">
        <v>45357</v>
      </c>
      <c r="AQ7" s="5">
        <v>29.48</v>
      </c>
      <c r="AR7" t="s">
        <v>780</v>
      </c>
      <c r="AT7" t="s">
        <v>781</v>
      </c>
      <c r="AU7" t="s">
        <v>782</v>
      </c>
      <c r="AV7" t="s">
        <v>787</v>
      </c>
    </row>
    <row r="8" spans="1:48" x14ac:dyDescent="0.25">
      <c r="A8" s="339" cm="1">
        <f t="array" ref="A8">IFERROR(INDEX(_xlfn.SORTBY(_xlfn._xlws.FILTER(tblCarryingExpenses[Date],(tblCarryingExpenses[Category]="Duke Electric")*(tblCarryingExpenses[Include]="Yes")),_xlfn._xlws.FILTER(tblCarryingExpenses[Date],(tblCarryingExpenses[Category]="Duke Electric")*(tblCarryingExpenses[Include]="Yes")),1),ROWS($A$3:A8)),"")</f>
        <v>45386</v>
      </c>
      <c r="B8" s="340" cm="1">
        <f t="array" ref="B8">IFERROR(INDEX(_xlfn.SORTBY(_xlfn._xlws.FILTER(tblCarryingExpenses[Amount],(tblCarryingExpenses[Category]="Duke Electric")*(tblCarryingExpenses[Include]="Yes")),_xlfn._xlws.FILTER(tblCarryingExpenses[Date],(tblCarryingExpenses[Category]="Duke Electric")*(tblCarryingExpenses[Include]="Yes")),1),ROWS($A$3:A8)),"")</f>
        <v>28.38</v>
      </c>
      <c r="C8" s="338"/>
      <c r="D8" s="339" cm="1">
        <f t="array" ref="D8">IFERROR(INDEX(_xlfn.SORTBY(_xlfn._xlws.FILTER(tblCarryingExpenses[Date],(tblCarryingExpenses[Category]="Mortgage Payment")*(tblCarryingExpenses[Include]="Yes")),_xlfn._xlws.FILTER(tblCarryingExpenses[Date],(tblCarryingExpenses[Category]="Mortgage Payment")*(tblCarryingExpenses[Include]="Yes")),1),ROWS($D$3:D8)),"")</f>
        <v>45444</v>
      </c>
      <c r="E8" s="340" cm="1">
        <f t="array" ref="E8">IFERROR(INDEX(_xlfn.SORTBY(_xlfn._xlws.FILTER(tblCarryingExpenses[Amount],(tblCarryingExpenses[Category]="Mortgage Payment")*(tblCarryingExpenses[Include]="Yes")),_xlfn._xlws.FILTER(tblCarryingExpenses[Date],(tblCarryingExpenses[Category]="Mortgage Payment")*(tblCarryingExpenses[Include]="Yes")),1),ROWS($D$3:D8)),"")</f>
        <v>1081.21</v>
      </c>
      <c r="F8" s="338"/>
      <c r="G8" s="339" cm="1">
        <f t="array" ref="G8">IFERROR(INDEX(_xlfn.SORTBY(_xlfn._xlws.FILTER(tblCarryingExpenses[Date],(tblCarryingExpenses[Category]="Private Money")*(tblCarryingExpenses[Include]="Yes")),_xlfn._xlws.FILTER(tblCarryingExpenses[Date],(tblCarryingExpenses[Category]="Private Money")*(tblCarryingExpenses[Include]="Yes")),1),ROWS($G$3:G8)),"")</f>
        <v>45383</v>
      </c>
      <c r="H8" s="340" cm="1">
        <f t="array" ref="H8">IFERROR(INDEX(_xlfn.SORTBY(_xlfn._xlws.FILTER(tblCarryingExpenses[Amount],(tblCarryingExpenses[Category]="Private Money")*(tblCarryingExpenses[Include]="Yes")),_xlfn._xlws.FILTER(tblCarryingExpenses[Date],(tblCarryingExpenses[Category]="Private Money")*(tblCarryingExpenses[Include]="Yes")),1),ROWS($G$3:G8)),"")</f>
        <v>925</v>
      </c>
      <c r="I8" s="338"/>
      <c r="J8" s="339" t="str" cm="1">
        <f t="array" ref="J8">IFERROR(INDEX(_xlfn.SORTBY(_xlfn._xlws.FILTER(tblCarryingExpenses[Date],(tblCarryingExpenses[Category]="Casa Lending")*(tblCarryingExpenses[Include]="Yes")),_xlfn._xlws.FILTER(tblCarryingExpenses[Date],(tblCarryingExpenses[Category]="Casa Lending")*(tblCarryingExpenses[Include]="Yes")),1),ROWS($J$3:J8)),"")</f>
        <v/>
      </c>
      <c r="K8" s="340" t="str" cm="1">
        <f t="array" ref="K8">IFERROR(INDEX(_xlfn.SORTBY(_xlfn._xlws.FILTER(tblCarryingExpenses[Amount],(tblCarryingExpenses[Category]="Casa Lending")*(tblCarryingExpenses[Include]="Yes")),_xlfn._xlws.FILTER(tblCarryingExpenses[Date],(tblCarryingExpenses[Category]="Casa Lending")*(tblCarryingExpenses[Include]="Yes")),1),ROWS($J$3:J8)),"")</f>
        <v/>
      </c>
      <c r="L8" s="338"/>
      <c r="M8" s="339" cm="1">
        <f t="array" ref="M8">IFERROR(INDEX(_xlfn.SORTBY(_xlfn._xlws.FILTER(tblCarryingExpenses[Date],(tblCarryingExpenses[Category]="Insurance Payments")*(tblCarryingExpenses[Include]="Yes")),_xlfn._xlws.FILTER(tblCarryingExpenses[Date],(tblCarryingExpenses[Category]="Insurance Payments")*(tblCarryingExpenses[Include]="Yes")),1),ROWS($M$3:M8)),"")</f>
        <v>45413</v>
      </c>
      <c r="N8" s="340" cm="1">
        <f t="array" ref="N8">IFERROR(INDEX(_xlfn.SORTBY(_xlfn._xlws.FILTER(tblCarryingExpenses[Amount],(tblCarryingExpenses[Category]="Insurance Payments")*(tblCarryingExpenses[Include]="Yes")),_xlfn._xlws.FILTER(tblCarryingExpenses[Date],(tblCarryingExpenses[Category]="Insurance Payments")*(tblCarryingExpenses[Include]="Yes")),1),ROWS($M$3:M8)),"")</f>
        <v>94.65</v>
      </c>
      <c r="O8" s="338"/>
      <c r="P8" s="339" cm="1">
        <f t="array" ref="P8">IFERROR(INDEX(_xlfn.SORTBY(_xlfn._xlws.FILTER(tblCarryingExpenses[Date],(tblCarryingExpenses[Category]="Water")*(tblCarryingExpenses[Include]="Yes")),_xlfn._xlws.FILTER(tblCarryingExpenses[Date],(tblCarryingExpenses[Category]="Water")*(tblCarryingExpenses[Include]="Yes")),1),ROWS($P$3:P8)),"")</f>
        <v>45352</v>
      </c>
      <c r="Q8" s="340" cm="1">
        <f t="array" ref="Q8">IFERROR(INDEX(_xlfn.SORTBY(_xlfn._xlws.FILTER(tblCarryingExpenses[Amount],(tblCarryingExpenses[Category]="Water")*(tblCarryingExpenses[Include]="Yes")),_xlfn._xlws.FILTER(tblCarryingExpenses[Date],(tblCarryingExpenses[Category]="Water")*(tblCarryingExpenses[Include]="Yes")),1),ROWS($P$3:P8)),"")</f>
        <v>50.62</v>
      </c>
      <c r="R8" s="338"/>
      <c r="S8" s="339" cm="1">
        <f t="array" ref="S8">IFERROR(INDEX(_xlfn.SORTBY(_xlfn._xlws.FILTER(tblCarryingExpenses[Date],(tblCarryingExpenses[Category]="Natural Gas")*(tblCarryingExpenses[Include]="Yes")),_xlfn._xlws.FILTER(tblCarryingExpenses[Date],(tblCarryingExpenses[Category]="Natural Gas")*(tblCarryingExpenses[Include]="Yes")),1),ROWS($S$3:S8)),"")</f>
        <v>45359</v>
      </c>
      <c r="T8" s="340" cm="1">
        <f t="array" ref="T8">IFERROR(INDEX(_xlfn.SORTBY(_xlfn._xlws.FILTER(tblCarryingExpenses[Amount],(tblCarryingExpenses[Category]="Natural Gas")*(tblCarryingExpenses[Include]="Yes")),_xlfn._xlws.FILTER(tblCarryingExpenses[Date],(tblCarryingExpenses[Category]="Natural Gas")*(tblCarryingExpenses[Include]="Yes")),1),ROWS($S$3:S8)),"")</f>
        <v>11.94</v>
      </c>
      <c r="U8" s="338"/>
      <c r="V8" s="339" cm="1">
        <f t="array" ref="V8">IFERROR(INDEX(_xlfn.SORTBY(_xlfn._xlws.FILTER(tblCarryingExpenses[Date],(tblCarryingExpenses[Category]="HOA")*(tblCarryingExpenses[Include]="Yes")),_xlfn._xlws.FILTER(tblCarryingExpenses[Date],(tblCarryingExpenses[Category]="HOA")*(tblCarryingExpenses[Include]="Yes")),1),ROWS($V$3:V8)),"")</f>
        <v>45854</v>
      </c>
      <c r="W8" s="340" cm="1">
        <f t="array" ref="W8">IFERROR(INDEX(_xlfn.SORTBY(_xlfn._xlws.FILTER(tblCarryingExpenses[Amount],(tblCarryingExpenses[Category]="HOA")*(tblCarryingExpenses[Include]="Yes")),_xlfn._xlws.FILTER(tblCarryingExpenses[Date],(tblCarryingExpenses[Category]="HOA")*(tblCarryingExpenses[Include]="Yes")),1),ROWS($V$3:V8)),"")</f>
        <v>253.65</v>
      </c>
      <c r="X8" s="338"/>
      <c r="Y8" s="339" t="str" cm="1">
        <f t="array" ref="Y8">IFERROR(INDEX(_xlfn.SORTBY(_xlfn._xlws.FILTER(tblCarryingExpenses[Date],(tblCarryingExpenses[Category]="Property Taxes")*(tblCarryingExpenses[Include]="Yes")),_xlfn._xlws.FILTER(tblCarryingExpenses[Date],(tblCarryingExpenses[Category]="Property Taxes")*(tblCarryingExpenses[Include]="Yes")),1),ROWS($Y$3:Y8)),"")</f>
        <v/>
      </c>
      <c r="Z8" s="340" t="str" cm="1">
        <f t="array" ref="Z8">IFERROR(IF(INDEX(_xlfn.SORTBY(_xlfn._xlws.FILTER(tblCarryingExpenses[Amount],(tblCarryingExpenses[Category]="Property Taxes")*(tblCarryingExpenses[Include]="Yes")),_xlfn._xlws.FILTER(tblCarryingExpenses[Date],(tblCarryingExpenses[Category]="Property Taxes")*(tblCarryingExpenses[Include]="Yes")),1),ROWS($Y$3:Y8))&lt;0,"",INDEX(_xlfn.SORTBY(_xlfn._xlws.FILTER(tblCarryingExpenses[Amount],(tblCarryingExpenses[Category]="Property Taxes")*(tblCarryingExpenses[Include]="Yes")),_xlfn._xlws.FILTER(tblCarryingExpenses[Date],(tblCarryingExpenses[Category]="Property Taxes")*(tblCarryingExpenses[Include]="Yes")),1),ROWS($Y$3:Y8))),"")</f>
        <v/>
      </c>
      <c r="AA8" s="340" t="str" cm="1">
        <f t="array" ref="AA8">IFERROR(IF(ISNUMBER(SEARCH("escrow",INDEX(_xlfn.SORTBY(_xlfn._xlws.FILTER(tblCarryingExpenses[Notes],(tblCarryingExpenses[Category]="Property Taxes")*(tblCarryingExpenses[Include]="Yes")),_xlfn._xlws.FILTER(tblCarryingExpenses[Date],(tblCarryingExpenses[Category]="Property Taxes")*(tblCarryingExpenses[Include]="Yes")),1),ROWS($Y$3:Y8)))),INDEX(_xlfn.SORTBY(_xlfn._xlws.FILTER(tblCarryingExpenses[Amount],(tblCarryingExpenses[Category]="Property Taxes")*(tblCarryingExpenses[Include]="Yes")),_xlfn._xlws.FILTER(tblCarryingExpenses[Date],(tblCarryingExpenses[Category]="Property Taxes")*(tblCarryingExpenses[Include]="Yes")),1),ROWS($Y$3:Y8)),""),"")</f>
        <v/>
      </c>
      <c r="AB8" s="339" t="str" cm="1">
        <f t="array" ref="AB8">IFERROR(INDEX(_xlfn.SORTBY(_xlfn._xlws.FILTER(tblCarryingExpenses[Date],(tblCarryingExpenses[Category]="Excavator Rental")*(tblCarryingExpenses[Include]="Yes")),_xlfn._xlws.FILTER(tblCarryingExpenses[Date],(tblCarryingExpenses[Category]="Excavator Rental")*(tblCarryingExpenses[Include]="Yes")),1),ROWS($AB$3:AB8)),"")</f>
        <v/>
      </c>
      <c r="AC8" s="340" t="str" cm="1">
        <f t="array" ref="AC8">IFERROR(INDEX(_xlfn.SORTBY(_xlfn._xlws.FILTER(tblCarryingExpenses[Amount],(tblCarryingExpenses[Category]="Excavator Rental")*(tblCarryingExpenses[Include]="Yes")),_xlfn._xlws.FILTER(tblCarryingExpenses[Date],(tblCarryingExpenses[Category]="Excavator Rental")*(tblCarryingExpenses[Include]="Yes")),1),ROWS($AB$3:AB8)),"")</f>
        <v/>
      </c>
      <c r="AD8" s="338"/>
      <c r="AE8" s="339" t="str" cm="1">
        <f t="array" ref="AE8">IFERROR(INDEX(_xlfn.SORTBY(_xlfn._xlws.FILTER(tblCarryingExpenses[Date],(tblCarryingExpenses[Category]="Lawn")*(tblCarryingExpenses[Include]="Yes")),_xlfn._xlws.FILTER(tblCarryingExpenses[Date],(tblCarryingExpenses[Category]="Lawn")*(tblCarryingExpenses[Include]="Yes")),1),ROWS($AE$3:AE8)),"")</f>
        <v/>
      </c>
      <c r="AF8" s="340" t="str" cm="1">
        <f t="array" ref="AF8">IFERROR(INDEX(_xlfn.SORTBY(_xlfn._xlws.FILTER(tblCarryingExpenses[Amount],(tblCarryingExpenses[Category]="Lawn")*(tblCarryingExpenses[Include]="Yes")),_xlfn._xlws.FILTER(tblCarryingExpenses[Date],(tblCarryingExpenses[Category]="Lawn")*(tblCarryingExpenses[Include]="Yes")),1),ROWS($AE$3:AE8)),"")</f>
        <v/>
      </c>
      <c r="AL8" t="s">
        <v>7</v>
      </c>
      <c r="AM8" t="s">
        <v>764</v>
      </c>
      <c r="AN8" s="12">
        <v>45386</v>
      </c>
      <c r="AQ8" s="5">
        <v>28.38</v>
      </c>
      <c r="AR8" t="s">
        <v>780</v>
      </c>
      <c r="AT8" t="s">
        <v>781</v>
      </c>
      <c r="AU8" t="s">
        <v>782</v>
      </c>
      <c r="AV8" t="s">
        <v>788</v>
      </c>
    </row>
    <row r="9" spans="1:48" x14ac:dyDescent="0.25">
      <c r="A9" s="339" cm="1">
        <f t="array" ref="A9">IFERROR(INDEX(_xlfn.SORTBY(_xlfn._xlws.FILTER(tblCarryingExpenses[Date],(tblCarryingExpenses[Category]="Duke Electric")*(tblCarryingExpenses[Include]="Yes")),_xlfn._xlws.FILTER(tblCarryingExpenses[Date],(tblCarryingExpenses[Category]="Duke Electric")*(tblCarryingExpenses[Include]="Yes")),1),ROWS($A$3:A9)),"")</f>
        <v>45418</v>
      </c>
      <c r="B9" s="340" cm="1">
        <f t="array" ref="B9">IFERROR(INDEX(_xlfn.SORTBY(_xlfn._xlws.FILTER(tblCarryingExpenses[Amount],(tblCarryingExpenses[Category]="Duke Electric")*(tblCarryingExpenses[Include]="Yes")),_xlfn._xlws.FILTER(tblCarryingExpenses[Date],(tblCarryingExpenses[Category]="Duke Electric")*(tblCarryingExpenses[Include]="Yes")),1),ROWS($A$3:A9)),"")</f>
        <v>64.41</v>
      </c>
      <c r="C9" s="338"/>
      <c r="D9" s="339" cm="1">
        <f t="array" ref="D9">IFERROR(INDEX(_xlfn.SORTBY(_xlfn._xlws.FILTER(tblCarryingExpenses[Date],(tblCarryingExpenses[Category]="Mortgage Payment")*(tblCarryingExpenses[Include]="Yes")),_xlfn._xlws.FILTER(tblCarryingExpenses[Date],(tblCarryingExpenses[Category]="Mortgage Payment")*(tblCarryingExpenses[Include]="Yes")),1),ROWS($D$3:D9)),"")</f>
        <v>45474</v>
      </c>
      <c r="E9" s="340" cm="1">
        <f t="array" ref="E9">IFERROR(INDEX(_xlfn.SORTBY(_xlfn._xlws.FILTER(tblCarryingExpenses[Amount],(tblCarryingExpenses[Category]="Mortgage Payment")*(tblCarryingExpenses[Include]="Yes")),_xlfn._xlws.FILTER(tblCarryingExpenses[Date],(tblCarryingExpenses[Category]="Mortgage Payment")*(tblCarryingExpenses[Include]="Yes")),1),ROWS($D$3:D9)),"")</f>
        <v>1081.21</v>
      </c>
      <c r="F9" s="338"/>
      <c r="G9" s="339" cm="1">
        <f t="array" ref="G9">IFERROR(INDEX(_xlfn.SORTBY(_xlfn._xlws.FILTER(tblCarryingExpenses[Date],(tblCarryingExpenses[Category]="Private Money")*(tblCarryingExpenses[Include]="Yes")),_xlfn._xlws.FILTER(tblCarryingExpenses[Date],(tblCarryingExpenses[Category]="Private Money")*(tblCarryingExpenses[Include]="Yes")),1),ROWS($G$3:G9)),"")</f>
        <v>45413</v>
      </c>
      <c r="H9" s="340" cm="1">
        <f t="array" ref="H9">IFERROR(INDEX(_xlfn.SORTBY(_xlfn._xlws.FILTER(tblCarryingExpenses[Amount],(tblCarryingExpenses[Category]="Private Money")*(tblCarryingExpenses[Include]="Yes")),_xlfn._xlws.FILTER(tblCarryingExpenses[Date],(tblCarryingExpenses[Category]="Private Money")*(tblCarryingExpenses[Include]="Yes")),1),ROWS($G$3:G9)),"")</f>
        <v>925</v>
      </c>
      <c r="I9" s="338"/>
      <c r="J9" s="339" t="str" cm="1">
        <f t="array" ref="J9">IFERROR(INDEX(_xlfn.SORTBY(_xlfn._xlws.FILTER(tblCarryingExpenses[Date],(tblCarryingExpenses[Category]="Casa Lending")*(tblCarryingExpenses[Include]="Yes")),_xlfn._xlws.FILTER(tblCarryingExpenses[Date],(tblCarryingExpenses[Category]="Casa Lending")*(tblCarryingExpenses[Include]="Yes")),1),ROWS($J$3:J9)),"")</f>
        <v/>
      </c>
      <c r="K9" s="340" t="str" cm="1">
        <f t="array" ref="K9">IFERROR(INDEX(_xlfn.SORTBY(_xlfn._xlws.FILTER(tblCarryingExpenses[Amount],(tblCarryingExpenses[Category]="Casa Lending")*(tblCarryingExpenses[Include]="Yes")),_xlfn._xlws.FILTER(tblCarryingExpenses[Date],(tblCarryingExpenses[Category]="Casa Lending")*(tblCarryingExpenses[Include]="Yes")),1),ROWS($J$3:J9)),"")</f>
        <v/>
      </c>
      <c r="L9" s="338"/>
      <c r="M9" s="339" cm="1">
        <f t="array" ref="M9">IFERROR(INDEX(_xlfn.SORTBY(_xlfn._xlws.FILTER(tblCarryingExpenses[Date],(tblCarryingExpenses[Category]="Insurance Payments")*(tblCarryingExpenses[Include]="Yes")),_xlfn._xlws.FILTER(tblCarryingExpenses[Date],(tblCarryingExpenses[Category]="Insurance Payments")*(tblCarryingExpenses[Include]="Yes")),1),ROWS($M$3:M9)),"")</f>
        <v>45443</v>
      </c>
      <c r="N9" s="340" cm="1">
        <f t="array" ref="N9">IFERROR(INDEX(_xlfn.SORTBY(_xlfn._xlws.FILTER(tblCarryingExpenses[Amount],(tblCarryingExpenses[Category]="Insurance Payments")*(tblCarryingExpenses[Include]="Yes")),_xlfn._xlws.FILTER(tblCarryingExpenses[Date],(tblCarryingExpenses[Category]="Insurance Payments")*(tblCarryingExpenses[Include]="Yes")),1),ROWS($M$3:M9)),"")</f>
        <v>94.65</v>
      </c>
      <c r="O9" s="338"/>
      <c r="P9" s="339" cm="1">
        <f t="array" ref="P9">IFERROR(INDEX(_xlfn.SORTBY(_xlfn._xlws.FILTER(tblCarryingExpenses[Date],(tblCarryingExpenses[Category]="Water")*(tblCarryingExpenses[Include]="Yes")),_xlfn._xlws.FILTER(tblCarryingExpenses[Date],(tblCarryingExpenses[Category]="Water")*(tblCarryingExpenses[Include]="Yes")),1),ROWS($P$3:P9)),"")</f>
        <v>45384</v>
      </c>
      <c r="Q9" s="340" cm="1">
        <f t="array" ref="Q9">IFERROR(INDEX(_xlfn.SORTBY(_xlfn._xlws.FILTER(tblCarryingExpenses[Amount],(tblCarryingExpenses[Category]="Water")*(tblCarryingExpenses[Include]="Yes")),_xlfn._xlws.FILTER(tblCarryingExpenses[Date],(tblCarryingExpenses[Category]="Water")*(tblCarryingExpenses[Include]="Yes")),1),ROWS($P$3:P9)),"")</f>
        <v>50.62</v>
      </c>
      <c r="R9" s="338"/>
      <c r="S9" s="339" cm="1">
        <f t="array" ref="S9">IFERROR(INDEX(_xlfn.SORTBY(_xlfn._xlws.FILTER(tblCarryingExpenses[Date],(tblCarryingExpenses[Category]="Natural Gas")*(tblCarryingExpenses[Include]="Yes")),_xlfn._xlws.FILTER(tblCarryingExpenses[Date],(tblCarryingExpenses[Category]="Natural Gas")*(tblCarryingExpenses[Include]="Yes")),1),ROWS($S$3:S9)),"")</f>
        <v>45391</v>
      </c>
      <c r="T9" s="340" cm="1">
        <f t="array" ref="T9">IFERROR(INDEX(_xlfn.SORTBY(_xlfn._xlws.FILTER(tblCarryingExpenses[Amount],(tblCarryingExpenses[Category]="Natural Gas")*(tblCarryingExpenses[Include]="Yes")),_xlfn._xlws.FILTER(tblCarryingExpenses[Date],(tblCarryingExpenses[Category]="Natural Gas")*(tblCarryingExpenses[Include]="Yes")),1),ROWS($S$3:S9)),"")</f>
        <v>10.7</v>
      </c>
      <c r="U9" s="338"/>
      <c r="V9" s="339" cm="1">
        <f t="array" ref="V9">IFERROR(INDEX(_xlfn.SORTBY(_xlfn._xlws.FILTER(tblCarryingExpenses[Date],(tblCarryingExpenses[Category]="HOA")*(tblCarryingExpenses[Include]="Yes")),_xlfn._xlws.FILTER(tblCarryingExpenses[Date],(tblCarryingExpenses[Category]="HOA")*(tblCarryingExpenses[Include]="Yes")),1),ROWS($V$3:V9)),"")</f>
        <v>46018</v>
      </c>
      <c r="W9" s="340" cm="1">
        <f t="array" ref="W9">IFERROR(INDEX(_xlfn.SORTBY(_xlfn._xlws.FILTER(tblCarryingExpenses[Amount],(tblCarryingExpenses[Category]="HOA")*(tblCarryingExpenses[Include]="Yes")),_xlfn._xlws.FILTER(tblCarryingExpenses[Date],(tblCarryingExpenses[Category]="HOA")*(tblCarryingExpenses[Include]="Yes")),1),ROWS($V$3:V9)),"")</f>
        <v>0</v>
      </c>
      <c r="X9" s="338"/>
      <c r="Y9" s="339" t="str" cm="1">
        <f t="array" ref="Y9">IFERROR(INDEX(_xlfn.SORTBY(_xlfn._xlws.FILTER(tblCarryingExpenses[Date],(tblCarryingExpenses[Category]="Property Taxes")*(tblCarryingExpenses[Include]="Yes")),_xlfn._xlws.FILTER(tblCarryingExpenses[Date],(tblCarryingExpenses[Category]="Property Taxes")*(tblCarryingExpenses[Include]="Yes")),1),ROWS($Y$3:Y9)),"")</f>
        <v/>
      </c>
      <c r="Z9" s="340" t="str" cm="1">
        <f t="array" ref="Z9">IFERROR(IF(INDEX(_xlfn.SORTBY(_xlfn._xlws.FILTER(tblCarryingExpenses[Amount],(tblCarryingExpenses[Category]="Property Taxes")*(tblCarryingExpenses[Include]="Yes")),_xlfn._xlws.FILTER(tblCarryingExpenses[Date],(tblCarryingExpenses[Category]="Property Taxes")*(tblCarryingExpenses[Include]="Yes")),1),ROWS($Y$3:Y9))&lt;0,"",INDEX(_xlfn.SORTBY(_xlfn._xlws.FILTER(tblCarryingExpenses[Amount],(tblCarryingExpenses[Category]="Property Taxes")*(tblCarryingExpenses[Include]="Yes")),_xlfn._xlws.FILTER(tblCarryingExpenses[Date],(tblCarryingExpenses[Category]="Property Taxes")*(tblCarryingExpenses[Include]="Yes")),1),ROWS($Y$3:Y9))),"")</f>
        <v/>
      </c>
      <c r="AA9" s="340" t="str" cm="1">
        <f t="array" ref="AA9">IFERROR(IF(ISNUMBER(SEARCH("escrow",INDEX(_xlfn.SORTBY(_xlfn._xlws.FILTER(tblCarryingExpenses[Notes],(tblCarryingExpenses[Category]="Property Taxes")*(tblCarryingExpenses[Include]="Yes")),_xlfn._xlws.FILTER(tblCarryingExpenses[Date],(tblCarryingExpenses[Category]="Property Taxes")*(tblCarryingExpenses[Include]="Yes")),1),ROWS($Y$3:Y9)))),INDEX(_xlfn.SORTBY(_xlfn._xlws.FILTER(tblCarryingExpenses[Amount],(tblCarryingExpenses[Category]="Property Taxes")*(tblCarryingExpenses[Include]="Yes")),_xlfn._xlws.FILTER(tblCarryingExpenses[Date],(tblCarryingExpenses[Category]="Property Taxes")*(tblCarryingExpenses[Include]="Yes")),1),ROWS($Y$3:Y9)),""),"")</f>
        <v/>
      </c>
      <c r="AB9" s="339" t="str" cm="1">
        <f t="array" ref="AB9">IFERROR(INDEX(_xlfn.SORTBY(_xlfn._xlws.FILTER(tblCarryingExpenses[Date],(tblCarryingExpenses[Category]="Excavator Rental")*(tblCarryingExpenses[Include]="Yes")),_xlfn._xlws.FILTER(tblCarryingExpenses[Date],(tblCarryingExpenses[Category]="Excavator Rental")*(tblCarryingExpenses[Include]="Yes")),1),ROWS($AB$3:AB9)),"")</f>
        <v/>
      </c>
      <c r="AC9" s="340" t="str" cm="1">
        <f t="array" ref="AC9">IFERROR(INDEX(_xlfn.SORTBY(_xlfn._xlws.FILTER(tblCarryingExpenses[Amount],(tblCarryingExpenses[Category]="Excavator Rental")*(tblCarryingExpenses[Include]="Yes")),_xlfn._xlws.FILTER(tblCarryingExpenses[Date],(tblCarryingExpenses[Category]="Excavator Rental")*(tblCarryingExpenses[Include]="Yes")),1),ROWS($AB$3:AB9)),"")</f>
        <v/>
      </c>
      <c r="AD9" s="338"/>
      <c r="AE9" s="339" t="str" cm="1">
        <f t="array" ref="AE9">IFERROR(INDEX(_xlfn.SORTBY(_xlfn._xlws.FILTER(tblCarryingExpenses[Date],(tblCarryingExpenses[Category]="Lawn")*(tblCarryingExpenses[Include]="Yes")),_xlfn._xlws.FILTER(tblCarryingExpenses[Date],(tblCarryingExpenses[Category]="Lawn")*(tblCarryingExpenses[Include]="Yes")),1),ROWS($AE$3:AE9)),"")</f>
        <v/>
      </c>
      <c r="AF9" s="340" t="str" cm="1">
        <f t="array" ref="AF9">IFERROR(INDEX(_xlfn.SORTBY(_xlfn._xlws.FILTER(tblCarryingExpenses[Amount],(tblCarryingExpenses[Category]="Lawn")*(tblCarryingExpenses[Include]="Yes")),_xlfn._xlws.FILTER(tblCarryingExpenses[Date],(tblCarryingExpenses[Category]="Lawn")*(tblCarryingExpenses[Include]="Yes")),1),ROWS($AE$3:AE9)),"")</f>
        <v/>
      </c>
      <c r="AL9" t="s">
        <v>7</v>
      </c>
      <c r="AM9" t="s">
        <v>764</v>
      </c>
      <c r="AN9" s="12">
        <v>45418</v>
      </c>
      <c r="AQ9" s="5">
        <v>64.41</v>
      </c>
      <c r="AR9" t="s">
        <v>780</v>
      </c>
      <c r="AT9" t="s">
        <v>781</v>
      </c>
      <c r="AU9" t="s">
        <v>782</v>
      </c>
      <c r="AV9" t="s">
        <v>789</v>
      </c>
    </row>
    <row r="10" spans="1:48" x14ac:dyDescent="0.25">
      <c r="A10" s="339" cm="1">
        <f t="array" ref="A10">IFERROR(INDEX(_xlfn.SORTBY(_xlfn._xlws.FILTER(tblCarryingExpenses[Date],(tblCarryingExpenses[Category]="Duke Electric")*(tblCarryingExpenses[Include]="Yes")),_xlfn._xlws.FILTER(tblCarryingExpenses[Date],(tblCarryingExpenses[Category]="Duke Electric")*(tblCarryingExpenses[Include]="Yes")),1),ROWS($A$3:A10)),"")</f>
        <v>45576</v>
      </c>
      <c r="B10" s="340" cm="1">
        <f t="array" ref="B10">IFERROR(INDEX(_xlfn.SORTBY(_xlfn._xlws.FILTER(tblCarryingExpenses[Amount],(tblCarryingExpenses[Category]="Duke Electric")*(tblCarryingExpenses[Include]="Yes")),_xlfn._xlws.FILTER(tblCarryingExpenses[Date],(tblCarryingExpenses[Category]="Duke Electric")*(tblCarryingExpenses[Include]="Yes")),1),ROWS($A$3:A10)),"")</f>
        <v>101.89</v>
      </c>
      <c r="C10" s="338"/>
      <c r="D10" s="339" cm="1">
        <f t="array" ref="D10">IFERROR(INDEX(_xlfn.SORTBY(_xlfn._xlws.FILTER(tblCarryingExpenses[Date],(tblCarryingExpenses[Category]="Mortgage Payment")*(tblCarryingExpenses[Include]="Yes")),_xlfn._xlws.FILTER(tblCarryingExpenses[Date],(tblCarryingExpenses[Category]="Mortgage Payment")*(tblCarryingExpenses[Include]="Yes")),1),ROWS($D$3:D10)),"")</f>
        <v>45504</v>
      </c>
      <c r="E10" s="340" cm="1">
        <f t="array" ref="E10">IFERROR(INDEX(_xlfn.SORTBY(_xlfn._xlws.FILTER(tblCarryingExpenses[Amount],(tblCarryingExpenses[Category]="Mortgage Payment")*(tblCarryingExpenses[Include]="Yes")),_xlfn._xlws.FILTER(tblCarryingExpenses[Date],(tblCarryingExpenses[Category]="Mortgage Payment")*(tblCarryingExpenses[Include]="Yes")),1),ROWS($D$3:D10)),"")</f>
        <v>1081.21</v>
      </c>
      <c r="F10" s="338"/>
      <c r="G10" s="339" cm="1">
        <f t="array" ref="G10">IFERROR(INDEX(_xlfn.SORTBY(_xlfn._xlws.FILTER(tblCarryingExpenses[Date],(tblCarryingExpenses[Category]="Private Money")*(tblCarryingExpenses[Include]="Yes")),_xlfn._xlws.FILTER(tblCarryingExpenses[Date],(tblCarryingExpenses[Category]="Private Money")*(tblCarryingExpenses[Include]="Yes")),1),ROWS($G$3:G10)),"")</f>
        <v>45443</v>
      </c>
      <c r="H10" s="340" cm="1">
        <f t="array" ref="H10">IFERROR(INDEX(_xlfn.SORTBY(_xlfn._xlws.FILTER(tblCarryingExpenses[Amount],(tblCarryingExpenses[Category]="Private Money")*(tblCarryingExpenses[Include]="Yes")),_xlfn._xlws.FILTER(tblCarryingExpenses[Date],(tblCarryingExpenses[Category]="Private Money")*(tblCarryingExpenses[Include]="Yes")),1),ROWS($G$3:G10)),"")</f>
        <v>925</v>
      </c>
      <c r="I10" s="338"/>
      <c r="J10" s="339" t="str" cm="1">
        <f t="array" ref="J10">IFERROR(INDEX(_xlfn.SORTBY(_xlfn._xlws.FILTER(tblCarryingExpenses[Date],(tblCarryingExpenses[Category]="Casa Lending")*(tblCarryingExpenses[Include]="Yes")),_xlfn._xlws.FILTER(tblCarryingExpenses[Date],(tblCarryingExpenses[Category]="Casa Lending")*(tblCarryingExpenses[Include]="Yes")),1),ROWS($J$3:J10)),"")</f>
        <v/>
      </c>
      <c r="K10" s="340" t="str" cm="1">
        <f t="array" ref="K10">IFERROR(INDEX(_xlfn.SORTBY(_xlfn._xlws.FILTER(tblCarryingExpenses[Amount],(tblCarryingExpenses[Category]="Casa Lending")*(tblCarryingExpenses[Include]="Yes")),_xlfn._xlws.FILTER(tblCarryingExpenses[Date],(tblCarryingExpenses[Category]="Casa Lending")*(tblCarryingExpenses[Include]="Yes")),1),ROWS($J$3:J10)),"")</f>
        <v/>
      </c>
      <c r="L10" s="338"/>
      <c r="M10" s="339" cm="1">
        <f t="array" ref="M10">IFERROR(INDEX(_xlfn.SORTBY(_xlfn._xlws.FILTER(tblCarryingExpenses[Date],(tblCarryingExpenses[Category]="Insurance Payments")*(tblCarryingExpenses[Include]="Yes")),_xlfn._xlws.FILTER(tblCarryingExpenses[Date],(tblCarryingExpenses[Category]="Insurance Payments")*(tblCarryingExpenses[Include]="Yes")),1),ROWS($M$3:M10)),"")</f>
        <v>45473</v>
      </c>
      <c r="N10" s="340" cm="1">
        <f t="array" ref="N10">IFERROR(INDEX(_xlfn.SORTBY(_xlfn._xlws.FILTER(tblCarryingExpenses[Amount],(tblCarryingExpenses[Category]="Insurance Payments")*(tblCarryingExpenses[Include]="Yes")),_xlfn._xlws.FILTER(tblCarryingExpenses[Date],(tblCarryingExpenses[Category]="Insurance Payments")*(tblCarryingExpenses[Include]="Yes")),1),ROWS($M$3:M10)),"")</f>
        <v>94.65</v>
      </c>
      <c r="O10" s="338"/>
      <c r="P10" s="339" cm="1">
        <f t="array" ref="P10">IFERROR(INDEX(_xlfn.SORTBY(_xlfn._xlws.FILTER(tblCarryingExpenses[Date],(tblCarryingExpenses[Category]="Water")*(tblCarryingExpenses[Include]="Yes")),_xlfn._xlws.FILTER(tblCarryingExpenses[Date],(tblCarryingExpenses[Category]="Water")*(tblCarryingExpenses[Include]="Yes")),1),ROWS($P$3:P10)),"")</f>
        <v>45414</v>
      </c>
      <c r="Q10" s="340" cm="1">
        <f t="array" ref="Q10">IFERROR(INDEX(_xlfn.SORTBY(_xlfn._xlws.FILTER(tblCarryingExpenses[Amount],(tblCarryingExpenses[Category]="Water")*(tblCarryingExpenses[Include]="Yes")),_xlfn._xlws.FILTER(tblCarryingExpenses[Date],(tblCarryingExpenses[Category]="Water")*(tblCarryingExpenses[Include]="Yes")),1),ROWS($P$3:P10)),"")</f>
        <v>50.62</v>
      </c>
      <c r="R10" s="338"/>
      <c r="S10" s="339" cm="1">
        <f t="array" ref="S10">IFERROR(INDEX(_xlfn.SORTBY(_xlfn._xlws.FILTER(tblCarryingExpenses[Date],(tblCarryingExpenses[Category]="Natural Gas")*(tblCarryingExpenses[Include]="Yes")),_xlfn._xlws.FILTER(tblCarryingExpenses[Date],(tblCarryingExpenses[Category]="Natural Gas")*(tblCarryingExpenses[Include]="Yes")),1),ROWS($S$3:S10)),"")</f>
        <v>45418</v>
      </c>
      <c r="T10" s="340" cm="1">
        <f t="array" ref="T10">IFERROR(INDEX(_xlfn.SORTBY(_xlfn._xlws.FILTER(tblCarryingExpenses[Amount],(tblCarryingExpenses[Category]="Natural Gas")*(tblCarryingExpenses[Include]="Yes")),_xlfn._xlws.FILTER(tblCarryingExpenses[Date],(tblCarryingExpenses[Category]="Natural Gas")*(tblCarryingExpenses[Include]="Yes")),1),ROWS($S$3:S10)),"")</f>
        <v>-9.7100000000000009</v>
      </c>
      <c r="U10" s="338"/>
      <c r="V10" s="339" cm="1">
        <f t="array" ref="V10">IFERROR(INDEX(_xlfn.SORTBY(_xlfn._xlws.FILTER(tblCarryingExpenses[Date],(tblCarryingExpenses[Category]="HOA")*(tblCarryingExpenses[Include]="Yes")),_xlfn._xlws.FILTER(tblCarryingExpenses[Date],(tblCarryingExpenses[Category]="HOA")*(tblCarryingExpenses[Include]="Yes")),1),ROWS($V$3:V10)),"")</f>
        <v>46037</v>
      </c>
      <c r="W10" s="340" cm="1">
        <f t="array" ref="W10">IFERROR(INDEX(_xlfn.SORTBY(_xlfn._xlws.FILTER(tblCarryingExpenses[Amount],(tblCarryingExpenses[Category]="HOA")*(tblCarryingExpenses[Include]="Yes")),_xlfn._xlws.FILTER(tblCarryingExpenses[Date],(tblCarryingExpenses[Category]="HOA")*(tblCarryingExpenses[Include]="Yes")),1),ROWS($V$3:V10)),"")</f>
        <v>253.65</v>
      </c>
      <c r="X10" s="338"/>
      <c r="Y10" s="339" t="str" cm="1">
        <f t="array" ref="Y10">IFERROR(INDEX(_xlfn.SORTBY(_xlfn._xlws.FILTER(tblCarryingExpenses[Date],(tblCarryingExpenses[Category]="Property Taxes")*(tblCarryingExpenses[Include]="Yes")),_xlfn._xlws.FILTER(tblCarryingExpenses[Date],(tblCarryingExpenses[Category]="Property Taxes")*(tblCarryingExpenses[Include]="Yes")),1),ROWS($Y$3:Y10)),"")</f>
        <v/>
      </c>
      <c r="Z10" s="340" t="str" cm="1">
        <f t="array" ref="Z10">IFERROR(IF(INDEX(_xlfn.SORTBY(_xlfn._xlws.FILTER(tblCarryingExpenses[Amount],(tblCarryingExpenses[Category]="Property Taxes")*(tblCarryingExpenses[Include]="Yes")),_xlfn._xlws.FILTER(tblCarryingExpenses[Date],(tblCarryingExpenses[Category]="Property Taxes")*(tblCarryingExpenses[Include]="Yes")),1),ROWS($Y$3:Y10))&lt;0,"",INDEX(_xlfn.SORTBY(_xlfn._xlws.FILTER(tblCarryingExpenses[Amount],(tblCarryingExpenses[Category]="Property Taxes")*(tblCarryingExpenses[Include]="Yes")),_xlfn._xlws.FILTER(tblCarryingExpenses[Date],(tblCarryingExpenses[Category]="Property Taxes")*(tblCarryingExpenses[Include]="Yes")),1),ROWS($Y$3:Y10))),"")</f>
        <v/>
      </c>
      <c r="AA10" s="340" t="str" cm="1">
        <f t="array" ref="AA10">IFERROR(IF(ISNUMBER(SEARCH("escrow",INDEX(_xlfn.SORTBY(_xlfn._xlws.FILTER(tblCarryingExpenses[Notes],(tblCarryingExpenses[Category]="Property Taxes")*(tblCarryingExpenses[Include]="Yes")),_xlfn._xlws.FILTER(tblCarryingExpenses[Date],(tblCarryingExpenses[Category]="Property Taxes")*(tblCarryingExpenses[Include]="Yes")),1),ROWS($Y$3:Y10)))),INDEX(_xlfn.SORTBY(_xlfn._xlws.FILTER(tblCarryingExpenses[Amount],(tblCarryingExpenses[Category]="Property Taxes")*(tblCarryingExpenses[Include]="Yes")),_xlfn._xlws.FILTER(tblCarryingExpenses[Date],(tblCarryingExpenses[Category]="Property Taxes")*(tblCarryingExpenses[Include]="Yes")),1),ROWS($Y$3:Y10)),""),"")</f>
        <v/>
      </c>
      <c r="AB10" s="339" t="str" cm="1">
        <f t="array" ref="AB10">IFERROR(INDEX(_xlfn.SORTBY(_xlfn._xlws.FILTER(tblCarryingExpenses[Date],(tblCarryingExpenses[Category]="Excavator Rental")*(tblCarryingExpenses[Include]="Yes")),_xlfn._xlws.FILTER(tblCarryingExpenses[Date],(tblCarryingExpenses[Category]="Excavator Rental")*(tblCarryingExpenses[Include]="Yes")),1),ROWS($AB$3:AB10)),"")</f>
        <v/>
      </c>
      <c r="AC10" s="340" t="str" cm="1">
        <f t="array" ref="AC10">IFERROR(INDEX(_xlfn.SORTBY(_xlfn._xlws.FILTER(tblCarryingExpenses[Amount],(tblCarryingExpenses[Category]="Excavator Rental")*(tblCarryingExpenses[Include]="Yes")),_xlfn._xlws.FILTER(tblCarryingExpenses[Date],(tblCarryingExpenses[Category]="Excavator Rental")*(tblCarryingExpenses[Include]="Yes")),1),ROWS($AB$3:AB10)),"")</f>
        <v/>
      </c>
      <c r="AD10" s="338"/>
      <c r="AE10" s="339" t="str" cm="1">
        <f t="array" ref="AE10">IFERROR(INDEX(_xlfn.SORTBY(_xlfn._xlws.FILTER(tblCarryingExpenses[Date],(tblCarryingExpenses[Category]="Lawn")*(tblCarryingExpenses[Include]="Yes")),_xlfn._xlws.FILTER(tblCarryingExpenses[Date],(tblCarryingExpenses[Category]="Lawn")*(tblCarryingExpenses[Include]="Yes")),1),ROWS($AE$3:AE10)),"")</f>
        <v/>
      </c>
      <c r="AF10" s="340" t="str" cm="1">
        <f t="array" ref="AF10">IFERROR(INDEX(_xlfn.SORTBY(_xlfn._xlws.FILTER(tblCarryingExpenses[Amount],(tblCarryingExpenses[Category]="Lawn")*(tblCarryingExpenses[Include]="Yes")),_xlfn._xlws.FILTER(tblCarryingExpenses[Date],(tblCarryingExpenses[Category]="Lawn")*(tblCarryingExpenses[Include]="Yes")),1),ROWS($AE$3:AE10)),"")</f>
        <v/>
      </c>
      <c r="AL10" t="s">
        <v>7</v>
      </c>
      <c r="AM10" t="s">
        <v>764</v>
      </c>
      <c r="AN10" s="12">
        <v>45576</v>
      </c>
      <c r="AQ10" s="5">
        <v>101.89</v>
      </c>
      <c r="AR10" t="s">
        <v>780</v>
      </c>
      <c r="AT10" t="s">
        <v>781</v>
      </c>
      <c r="AU10" t="s">
        <v>782</v>
      </c>
      <c r="AV10" t="s">
        <v>790</v>
      </c>
    </row>
    <row r="11" spans="1:48" x14ac:dyDescent="0.25">
      <c r="A11" s="339" t="str" cm="1">
        <f t="array" ref="A11">IFERROR(INDEX(_xlfn.SORTBY(_xlfn._xlws.FILTER(tblCarryingExpenses[Date],(tblCarryingExpenses[Category]="Duke Electric")*(tblCarryingExpenses[Include]="Yes")),_xlfn._xlws.FILTER(tblCarryingExpenses[Date],(tblCarryingExpenses[Category]="Duke Electric")*(tblCarryingExpenses[Include]="Yes")),1),ROWS($A$3:A11)),"")</f>
        <v/>
      </c>
      <c r="B11" s="340" t="str" cm="1">
        <f t="array" ref="B11">IFERROR(INDEX(_xlfn.SORTBY(_xlfn._xlws.FILTER(tblCarryingExpenses[Amount],(tblCarryingExpenses[Category]="Duke Electric")*(tblCarryingExpenses[Include]="Yes")),_xlfn._xlws.FILTER(tblCarryingExpenses[Date],(tblCarryingExpenses[Category]="Duke Electric")*(tblCarryingExpenses[Include]="Yes")),1),ROWS($A$3:A11)),"")</f>
        <v/>
      </c>
      <c r="C11" s="338"/>
      <c r="D11" s="339" cm="1">
        <f t="array" ref="D11">IFERROR(INDEX(_xlfn.SORTBY(_xlfn._xlws.FILTER(tblCarryingExpenses[Date],(tblCarryingExpenses[Category]="Mortgage Payment")*(tblCarryingExpenses[Include]="Yes")),_xlfn._xlws.FILTER(tblCarryingExpenses[Date],(tblCarryingExpenses[Category]="Mortgage Payment")*(tblCarryingExpenses[Include]="Yes")),1),ROWS($D$3:D11)),"")</f>
        <v>45504</v>
      </c>
      <c r="E11" s="340" cm="1">
        <f t="array" ref="E11">IFERROR(INDEX(_xlfn.SORTBY(_xlfn._xlws.FILTER(tblCarryingExpenses[Amount],(tblCarryingExpenses[Category]="Mortgage Payment")*(tblCarryingExpenses[Include]="Yes")),_xlfn._xlws.FILTER(tblCarryingExpenses[Date],(tblCarryingExpenses[Category]="Mortgage Payment")*(tblCarryingExpenses[Include]="Yes")),1),ROWS($D$3:D11)),"")</f>
        <v>1081.21</v>
      </c>
      <c r="F11" s="338"/>
      <c r="G11" s="339" cm="1">
        <f t="array" ref="G11">IFERROR(INDEX(_xlfn.SORTBY(_xlfn._xlws.FILTER(tblCarryingExpenses[Date],(tblCarryingExpenses[Category]="Private Money")*(tblCarryingExpenses[Include]="Yes")),_xlfn._xlws.FILTER(tblCarryingExpenses[Date],(tblCarryingExpenses[Category]="Private Money")*(tblCarryingExpenses[Include]="Yes")),1),ROWS($G$3:G11)),"")</f>
        <v>45471</v>
      </c>
      <c r="H11" s="340" cm="1">
        <f t="array" ref="H11">IFERROR(INDEX(_xlfn.SORTBY(_xlfn._xlws.FILTER(tblCarryingExpenses[Amount],(tblCarryingExpenses[Category]="Private Money")*(tblCarryingExpenses[Include]="Yes")),_xlfn._xlws.FILTER(tblCarryingExpenses[Date],(tblCarryingExpenses[Category]="Private Money")*(tblCarryingExpenses[Include]="Yes")),1),ROWS($G$3:G11)),"")</f>
        <v>925</v>
      </c>
      <c r="I11" s="338"/>
      <c r="J11" s="339" t="str" cm="1">
        <f t="array" ref="J11">IFERROR(INDEX(_xlfn.SORTBY(_xlfn._xlws.FILTER(tblCarryingExpenses[Date],(tblCarryingExpenses[Category]="Casa Lending")*(tblCarryingExpenses[Include]="Yes")),_xlfn._xlws.FILTER(tblCarryingExpenses[Date],(tblCarryingExpenses[Category]="Casa Lending")*(tblCarryingExpenses[Include]="Yes")),1),ROWS($J$3:J11)),"")</f>
        <v/>
      </c>
      <c r="K11" s="340" t="str" cm="1">
        <f t="array" ref="K11">IFERROR(INDEX(_xlfn.SORTBY(_xlfn._xlws.FILTER(tblCarryingExpenses[Amount],(tblCarryingExpenses[Category]="Casa Lending")*(tblCarryingExpenses[Include]="Yes")),_xlfn._xlws.FILTER(tblCarryingExpenses[Date],(tblCarryingExpenses[Category]="Casa Lending")*(tblCarryingExpenses[Include]="Yes")),1),ROWS($J$3:J11)),"")</f>
        <v/>
      </c>
      <c r="L11" s="338"/>
      <c r="M11" s="339" cm="1">
        <f t="array" ref="M11">IFERROR(INDEX(_xlfn.SORTBY(_xlfn._xlws.FILTER(tblCarryingExpenses[Date],(tblCarryingExpenses[Category]="Insurance Payments")*(tblCarryingExpenses[Include]="Yes")),_xlfn._xlws.FILTER(tblCarryingExpenses[Date],(tblCarryingExpenses[Category]="Insurance Payments")*(tblCarryingExpenses[Include]="Yes")),1),ROWS($M$3:M11)),"")</f>
        <v>45503</v>
      </c>
      <c r="N11" s="340" cm="1">
        <f t="array" ref="N11">IFERROR(INDEX(_xlfn.SORTBY(_xlfn._xlws.FILTER(tblCarryingExpenses[Amount],(tblCarryingExpenses[Category]="Insurance Payments")*(tblCarryingExpenses[Include]="Yes")),_xlfn._xlws.FILTER(tblCarryingExpenses[Date],(tblCarryingExpenses[Category]="Insurance Payments")*(tblCarryingExpenses[Include]="Yes")),1),ROWS($M$3:M11)),"")</f>
        <v>94.65</v>
      </c>
      <c r="O11" s="338"/>
      <c r="P11" s="339" cm="1">
        <f t="array" ref="P11">IFERROR(INDEX(_xlfn.SORTBY(_xlfn._xlws.FILTER(tblCarryingExpenses[Date],(tblCarryingExpenses[Category]="Water")*(tblCarryingExpenses[Include]="Yes")),_xlfn._xlws.FILTER(tblCarryingExpenses[Date],(tblCarryingExpenses[Category]="Water")*(tblCarryingExpenses[Include]="Yes")),1),ROWS($P$3:P11)),"")</f>
        <v>45418</v>
      </c>
      <c r="Q11" s="340" cm="1">
        <f t="array" ref="Q11">IFERROR(INDEX(_xlfn.SORTBY(_xlfn._xlws.FILTER(tblCarryingExpenses[Amount],(tblCarryingExpenses[Category]="Water")*(tblCarryingExpenses[Include]="Yes")),_xlfn._xlws.FILTER(tblCarryingExpenses[Date],(tblCarryingExpenses[Category]="Water")*(tblCarryingExpenses[Include]="Yes")),1),ROWS($P$3:P11)),"")</f>
        <v>-9.7100000000000009</v>
      </c>
      <c r="R11" s="338"/>
      <c r="S11" s="339" t="str" cm="1">
        <f t="array" ref="S11">IFERROR(INDEX(_xlfn.SORTBY(_xlfn._xlws.FILTER(tblCarryingExpenses[Date],(tblCarryingExpenses[Category]="Natural Gas")*(tblCarryingExpenses[Include]="Yes")),_xlfn._xlws.FILTER(tblCarryingExpenses[Date],(tblCarryingExpenses[Category]="Natural Gas")*(tblCarryingExpenses[Include]="Yes")),1),ROWS($S$3:S11)),"")</f>
        <v/>
      </c>
      <c r="T11" s="340" t="str" cm="1">
        <f t="array" ref="T11">IFERROR(INDEX(_xlfn.SORTBY(_xlfn._xlws.FILTER(tblCarryingExpenses[Amount],(tblCarryingExpenses[Category]="Natural Gas")*(tblCarryingExpenses[Include]="Yes")),_xlfn._xlws.FILTER(tblCarryingExpenses[Date],(tblCarryingExpenses[Category]="Natural Gas")*(tblCarryingExpenses[Include]="Yes")),1),ROWS($S$3:S11)),"")</f>
        <v/>
      </c>
      <c r="U11" s="338"/>
      <c r="V11" s="339">
        <v>46204</v>
      </c>
      <c r="W11" s="340">
        <v>253.65</v>
      </c>
      <c r="X11" s="338"/>
      <c r="Y11" s="339" t="str" cm="1">
        <f t="array" ref="Y11">IFERROR(INDEX(_xlfn.SORTBY(_xlfn._xlws.FILTER(tblCarryingExpenses[Date],(tblCarryingExpenses[Category]="Property Taxes")*(tblCarryingExpenses[Include]="Yes")),_xlfn._xlws.FILTER(tblCarryingExpenses[Date],(tblCarryingExpenses[Category]="Property Taxes")*(tblCarryingExpenses[Include]="Yes")),1),ROWS($Y$3:Y11)),"")</f>
        <v/>
      </c>
      <c r="Z11" s="340" t="str" cm="1">
        <f t="array" ref="Z11">IFERROR(IF(INDEX(_xlfn.SORTBY(_xlfn._xlws.FILTER(tblCarryingExpenses[Amount],(tblCarryingExpenses[Category]="Property Taxes")*(tblCarryingExpenses[Include]="Yes")),_xlfn._xlws.FILTER(tblCarryingExpenses[Date],(tblCarryingExpenses[Category]="Property Taxes")*(tblCarryingExpenses[Include]="Yes")),1),ROWS($Y$3:Y11))&lt;0,"",INDEX(_xlfn.SORTBY(_xlfn._xlws.FILTER(tblCarryingExpenses[Amount],(tblCarryingExpenses[Category]="Property Taxes")*(tblCarryingExpenses[Include]="Yes")),_xlfn._xlws.FILTER(tblCarryingExpenses[Date],(tblCarryingExpenses[Category]="Property Taxes")*(tblCarryingExpenses[Include]="Yes")),1),ROWS($Y$3:Y11))),"")</f>
        <v/>
      </c>
      <c r="AA11" s="340" t="str" cm="1">
        <f t="array" ref="AA11">IFERROR(IF(ISNUMBER(SEARCH("escrow",INDEX(_xlfn.SORTBY(_xlfn._xlws.FILTER(tblCarryingExpenses[Notes],(tblCarryingExpenses[Category]="Property Taxes")*(tblCarryingExpenses[Include]="Yes")),_xlfn._xlws.FILTER(tblCarryingExpenses[Date],(tblCarryingExpenses[Category]="Property Taxes")*(tblCarryingExpenses[Include]="Yes")),1),ROWS($Y$3:Y11)))),INDEX(_xlfn.SORTBY(_xlfn._xlws.FILTER(tblCarryingExpenses[Amount],(tblCarryingExpenses[Category]="Property Taxes")*(tblCarryingExpenses[Include]="Yes")),_xlfn._xlws.FILTER(tblCarryingExpenses[Date],(tblCarryingExpenses[Category]="Property Taxes")*(tblCarryingExpenses[Include]="Yes")),1),ROWS($Y$3:Y11)),""),"")</f>
        <v/>
      </c>
      <c r="AB11" s="339" t="str" cm="1">
        <f t="array" ref="AB11">IFERROR(INDEX(_xlfn.SORTBY(_xlfn._xlws.FILTER(tblCarryingExpenses[Date],(tblCarryingExpenses[Category]="Excavator Rental")*(tblCarryingExpenses[Include]="Yes")),_xlfn._xlws.FILTER(tblCarryingExpenses[Date],(tblCarryingExpenses[Category]="Excavator Rental")*(tblCarryingExpenses[Include]="Yes")),1),ROWS($AB$3:AB11)),"")</f>
        <v/>
      </c>
      <c r="AC11" s="340" t="str" cm="1">
        <f t="array" ref="AC11">IFERROR(INDEX(_xlfn.SORTBY(_xlfn._xlws.FILTER(tblCarryingExpenses[Amount],(tblCarryingExpenses[Category]="Excavator Rental")*(tblCarryingExpenses[Include]="Yes")),_xlfn._xlws.FILTER(tblCarryingExpenses[Date],(tblCarryingExpenses[Category]="Excavator Rental")*(tblCarryingExpenses[Include]="Yes")),1),ROWS($AB$3:AB11)),"")</f>
        <v/>
      </c>
      <c r="AD11" s="338"/>
      <c r="AE11" s="339" t="str" cm="1">
        <f t="array" ref="AE11">IFERROR(INDEX(_xlfn.SORTBY(_xlfn._xlws.FILTER(tblCarryingExpenses[Date],(tblCarryingExpenses[Category]="Lawn")*(tblCarryingExpenses[Include]="Yes")),_xlfn._xlws.FILTER(tblCarryingExpenses[Date],(tblCarryingExpenses[Category]="Lawn")*(tblCarryingExpenses[Include]="Yes")),1),ROWS($AE$3:AE11)),"")</f>
        <v/>
      </c>
      <c r="AF11" s="340" t="str" cm="1">
        <f t="array" ref="AF11">IFERROR(INDEX(_xlfn.SORTBY(_xlfn._xlws.FILTER(tblCarryingExpenses[Amount],(tblCarryingExpenses[Category]="Lawn")*(tblCarryingExpenses[Include]="Yes")),_xlfn._xlws.FILTER(tblCarryingExpenses[Date],(tblCarryingExpenses[Category]="Lawn")*(tblCarryingExpenses[Include]="Yes")),1),ROWS($AE$3:AE11)),"")</f>
        <v/>
      </c>
      <c r="AL11" t="s">
        <v>7</v>
      </c>
      <c r="AM11" t="s">
        <v>791</v>
      </c>
      <c r="AN11" s="12">
        <v>45295</v>
      </c>
      <c r="AQ11" s="5">
        <v>2858.37</v>
      </c>
      <c r="AR11" t="s">
        <v>780</v>
      </c>
      <c r="AT11" t="s">
        <v>781</v>
      </c>
      <c r="AU11" t="s">
        <v>782</v>
      </c>
      <c r="AV11" t="s">
        <v>792</v>
      </c>
    </row>
    <row r="12" spans="1:48" x14ac:dyDescent="0.25">
      <c r="A12" s="339" t="str" cm="1">
        <f t="array" ref="A12">IFERROR(INDEX(_xlfn.SORTBY(_xlfn._xlws.FILTER(tblCarryingExpenses[Date],(tblCarryingExpenses[Category]="Duke Electric")*(tblCarryingExpenses[Include]="Yes")),_xlfn._xlws.FILTER(tblCarryingExpenses[Date],(tblCarryingExpenses[Category]="Duke Electric")*(tblCarryingExpenses[Include]="Yes")),1),ROWS($A$3:A12)),"")</f>
        <v/>
      </c>
      <c r="B12" s="340" t="str" cm="1">
        <f t="array" ref="B12">IFERROR(INDEX(_xlfn.SORTBY(_xlfn._xlws.FILTER(tblCarryingExpenses[Amount],(tblCarryingExpenses[Category]="Duke Electric")*(tblCarryingExpenses[Include]="Yes")),_xlfn._xlws.FILTER(tblCarryingExpenses[Date],(tblCarryingExpenses[Category]="Duke Electric")*(tblCarryingExpenses[Include]="Yes")),1),ROWS($A$3:A12)),"")</f>
        <v/>
      </c>
      <c r="C12" s="338"/>
      <c r="D12" s="339" cm="1">
        <f t="array" ref="D12">IFERROR(INDEX(_xlfn.SORTBY(_xlfn._xlws.FILTER(tblCarryingExpenses[Date],(tblCarryingExpenses[Category]="Mortgage Payment")*(tblCarryingExpenses[Include]="Yes")),_xlfn._xlws.FILTER(tblCarryingExpenses[Date],(tblCarryingExpenses[Category]="Mortgage Payment")*(tblCarryingExpenses[Include]="Yes")),1),ROWS($D$3:D12)),"")</f>
        <v>45534</v>
      </c>
      <c r="E12" s="340" cm="1">
        <f t="array" ref="E12">IFERROR(INDEX(_xlfn.SORTBY(_xlfn._xlws.FILTER(tblCarryingExpenses[Amount],(tblCarryingExpenses[Category]="Mortgage Payment")*(tblCarryingExpenses[Include]="Yes")),_xlfn._xlws.FILTER(tblCarryingExpenses[Date],(tblCarryingExpenses[Category]="Mortgage Payment")*(tblCarryingExpenses[Include]="Yes")),1),ROWS($D$3:D12)),"")</f>
        <v>1081.21</v>
      </c>
      <c r="F12" s="338"/>
      <c r="G12" s="339" cm="1">
        <f t="array" ref="G12">IFERROR(INDEX(_xlfn.SORTBY(_xlfn._xlws.FILTER(tblCarryingExpenses[Date],(tblCarryingExpenses[Category]="Private Money")*(tblCarryingExpenses[Include]="Yes")),_xlfn._xlws.FILTER(tblCarryingExpenses[Date],(tblCarryingExpenses[Category]="Private Money")*(tblCarryingExpenses[Include]="Yes")),1),ROWS($G$3:G12)),"")</f>
        <v>45501</v>
      </c>
      <c r="H12" s="340" cm="1">
        <f t="array" ref="H12">IFERROR(INDEX(_xlfn.SORTBY(_xlfn._xlws.FILTER(tblCarryingExpenses[Amount],(tblCarryingExpenses[Category]="Private Money")*(tblCarryingExpenses[Include]="Yes")),_xlfn._xlws.FILTER(tblCarryingExpenses[Date],(tblCarryingExpenses[Category]="Private Money")*(tblCarryingExpenses[Include]="Yes")),1),ROWS($G$3:G12)),"")</f>
        <v>925</v>
      </c>
      <c r="I12" s="338"/>
      <c r="J12" s="339" t="str" cm="1">
        <f t="array" ref="J12">IFERROR(INDEX(_xlfn.SORTBY(_xlfn._xlws.FILTER(tblCarryingExpenses[Date],(tblCarryingExpenses[Category]="Casa Lending")*(tblCarryingExpenses[Include]="Yes")),_xlfn._xlws.FILTER(tblCarryingExpenses[Date],(tblCarryingExpenses[Category]="Casa Lending")*(tblCarryingExpenses[Include]="Yes")),1),ROWS($J$3:J12)),"")</f>
        <v/>
      </c>
      <c r="K12" s="340" t="str" cm="1">
        <f t="array" ref="K12">IFERROR(INDEX(_xlfn.SORTBY(_xlfn._xlws.FILTER(tblCarryingExpenses[Amount],(tblCarryingExpenses[Category]="Casa Lending")*(tblCarryingExpenses[Include]="Yes")),_xlfn._xlws.FILTER(tblCarryingExpenses[Date],(tblCarryingExpenses[Category]="Casa Lending")*(tblCarryingExpenses[Include]="Yes")),1),ROWS($J$3:J12)),"")</f>
        <v/>
      </c>
      <c r="L12" s="338"/>
      <c r="M12" s="339" cm="1">
        <f t="array" ref="M12">IFERROR(INDEX(_xlfn.SORTBY(_xlfn._xlws.FILTER(tblCarryingExpenses[Date],(tblCarryingExpenses[Category]="Insurance Payments")*(tblCarryingExpenses[Include]="Yes")),_xlfn._xlws.FILTER(tblCarryingExpenses[Date],(tblCarryingExpenses[Category]="Insurance Payments")*(tblCarryingExpenses[Include]="Yes")),1),ROWS($M$3:M12)),"")</f>
        <v>45533</v>
      </c>
      <c r="N12" s="340" cm="1">
        <f t="array" ref="N12">IFERROR(INDEX(_xlfn.SORTBY(_xlfn._xlws.FILTER(tblCarryingExpenses[Amount],(tblCarryingExpenses[Category]="Insurance Payments")*(tblCarryingExpenses[Include]="Yes")),_xlfn._xlws.FILTER(tblCarryingExpenses[Date],(tblCarryingExpenses[Category]="Insurance Payments")*(tblCarryingExpenses[Include]="Yes")),1),ROWS($M$3:M12)),"")</f>
        <v>94.65</v>
      </c>
      <c r="O12" s="338"/>
      <c r="P12" s="339" t="str" cm="1">
        <f t="array" ref="P12">IFERROR(INDEX(_xlfn.SORTBY(_xlfn._xlws.FILTER(tblCarryingExpenses[Date],(tblCarryingExpenses[Category]="Water")*(tblCarryingExpenses[Include]="Yes")),_xlfn._xlws.FILTER(tblCarryingExpenses[Date],(tblCarryingExpenses[Category]="Water")*(tblCarryingExpenses[Include]="Yes")),1),ROWS($P$3:P12)),"")</f>
        <v/>
      </c>
      <c r="Q12" s="340" t="str" cm="1">
        <f t="array" ref="Q12">IFERROR(INDEX(_xlfn.SORTBY(_xlfn._xlws.FILTER(tblCarryingExpenses[Amount],(tblCarryingExpenses[Category]="Water")*(tblCarryingExpenses[Include]="Yes")),_xlfn._xlws.FILTER(tblCarryingExpenses[Date],(tblCarryingExpenses[Category]="Water")*(tblCarryingExpenses[Include]="Yes")),1),ROWS($P$3:P12)),"")</f>
        <v/>
      </c>
      <c r="R12" s="338"/>
      <c r="S12" s="339" t="str" cm="1">
        <f t="array" ref="S12">IFERROR(INDEX(_xlfn.SORTBY(_xlfn._xlws.FILTER(tblCarryingExpenses[Date],(tblCarryingExpenses[Category]="Natural Gas")*(tblCarryingExpenses[Include]="Yes")),_xlfn._xlws.FILTER(tblCarryingExpenses[Date],(tblCarryingExpenses[Category]="Natural Gas")*(tblCarryingExpenses[Include]="Yes")),1),ROWS($S$3:S12)),"")</f>
        <v/>
      </c>
      <c r="T12" s="340" t="str" cm="1">
        <f t="array" ref="T12">IFERROR(INDEX(_xlfn.SORTBY(_xlfn._xlws.FILTER(tblCarryingExpenses[Amount],(tblCarryingExpenses[Category]="Natural Gas")*(tblCarryingExpenses[Include]="Yes")),_xlfn._xlws.FILTER(tblCarryingExpenses[Date],(tblCarryingExpenses[Category]="Natural Gas")*(tblCarryingExpenses[Include]="Yes")),1),ROWS($S$3:S12)),"")</f>
        <v/>
      </c>
      <c r="U12" s="338"/>
      <c r="V12" s="339" t="str" cm="1">
        <f t="array" ref="V12">IFERROR(INDEX(_xlfn.SORTBY(_xlfn._xlws.FILTER(tblCarryingExpenses[Date],(tblCarryingExpenses[Category]="HOA")*(tblCarryingExpenses[Include]="Yes")),_xlfn._xlws.FILTER(tblCarryingExpenses[Date],(tblCarryingExpenses[Category]="HOA")*(tblCarryingExpenses[Include]="Yes")),1),ROWS($V$3:V12)),"")</f>
        <v/>
      </c>
      <c r="W12" s="340" t="str" cm="1">
        <f t="array" ref="W12">IFERROR(INDEX(_xlfn.SORTBY(_xlfn._xlws.FILTER(tblCarryingExpenses[Amount],(tblCarryingExpenses[Category]="HOA")*(tblCarryingExpenses[Include]="Yes")),_xlfn._xlws.FILTER(tblCarryingExpenses[Date],(tblCarryingExpenses[Category]="HOA")*(tblCarryingExpenses[Include]="Yes")),1),ROWS($V$3:V12)),"")</f>
        <v/>
      </c>
      <c r="X12" s="338"/>
      <c r="Y12" s="339" t="str" cm="1">
        <f t="array" ref="Y12">IFERROR(INDEX(_xlfn.SORTBY(_xlfn._xlws.FILTER(tblCarryingExpenses[Date],(tblCarryingExpenses[Category]="Property Taxes")*(tblCarryingExpenses[Include]="Yes")),_xlfn._xlws.FILTER(tblCarryingExpenses[Date],(tblCarryingExpenses[Category]="Property Taxes")*(tblCarryingExpenses[Include]="Yes")),1),ROWS($Y$3:Y12)),"")</f>
        <v/>
      </c>
      <c r="Z12" s="340" t="str" cm="1">
        <f t="array" ref="Z12">IFERROR(IF(INDEX(_xlfn.SORTBY(_xlfn._xlws.FILTER(tblCarryingExpenses[Amount],(tblCarryingExpenses[Category]="Property Taxes")*(tblCarryingExpenses[Include]="Yes")),_xlfn._xlws.FILTER(tblCarryingExpenses[Date],(tblCarryingExpenses[Category]="Property Taxes")*(tblCarryingExpenses[Include]="Yes")),1),ROWS($Y$3:Y12))&lt;0,"",INDEX(_xlfn.SORTBY(_xlfn._xlws.FILTER(tblCarryingExpenses[Amount],(tblCarryingExpenses[Category]="Property Taxes")*(tblCarryingExpenses[Include]="Yes")),_xlfn._xlws.FILTER(tblCarryingExpenses[Date],(tblCarryingExpenses[Category]="Property Taxes")*(tblCarryingExpenses[Include]="Yes")),1),ROWS($Y$3:Y12))),"")</f>
        <v/>
      </c>
      <c r="AA12" s="340" t="str" cm="1">
        <f t="array" ref="AA12">IFERROR(IF(ISNUMBER(SEARCH("escrow",INDEX(_xlfn.SORTBY(_xlfn._xlws.FILTER(tblCarryingExpenses[Notes],(tblCarryingExpenses[Category]="Property Taxes")*(tblCarryingExpenses[Include]="Yes")),_xlfn._xlws.FILTER(tblCarryingExpenses[Date],(tblCarryingExpenses[Category]="Property Taxes")*(tblCarryingExpenses[Include]="Yes")),1),ROWS($Y$3:Y12)))),INDEX(_xlfn.SORTBY(_xlfn._xlws.FILTER(tblCarryingExpenses[Amount],(tblCarryingExpenses[Category]="Property Taxes")*(tblCarryingExpenses[Include]="Yes")),_xlfn._xlws.FILTER(tblCarryingExpenses[Date],(tblCarryingExpenses[Category]="Property Taxes")*(tblCarryingExpenses[Include]="Yes")),1),ROWS($Y$3:Y12)),""),"")</f>
        <v/>
      </c>
      <c r="AB12" s="339" t="str" cm="1">
        <f t="array" ref="AB12">IFERROR(INDEX(_xlfn.SORTBY(_xlfn._xlws.FILTER(tblCarryingExpenses[Date],(tblCarryingExpenses[Category]="Excavator Rental")*(tblCarryingExpenses[Include]="Yes")),_xlfn._xlws.FILTER(tblCarryingExpenses[Date],(tblCarryingExpenses[Category]="Excavator Rental")*(tblCarryingExpenses[Include]="Yes")),1),ROWS($AB$3:AB12)),"")</f>
        <v/>
      </c>
      <c r="AC12" s="340" t="str" cm="1">
        <f t="array" ref="AC12">IFERROR(INDEX(_xlfn.SORTBY(_xlfn._xlws.FILTER(tblCarryingExpenses[Amount],(tblCarryingExpenses[Category]="Excavator Rental")*(tblCarryingExpenses[Include]="Yes")),_xlfn._xlws.FILTER(tblCarryingExpenses[Date],(tblCarryingExpenses[Category]="Excavator Rental")*(tblCarryingExpenses[Include]="Yes")),1),ROWS($AB$3:AB12)),"")</f>
        <v/>
      </c>
      <c r="AD12" s="338"/>
      <c r="AE12" s="339" t="str" cm="1">
        <f t="array" ref="AE12">IFERROR(INDEX(_xlfn.SORTBY(_xlfn._xlws.FILTER(tblCarryingExpenses[Date],(tblCarryingExpenses[Category]="Lawn")*(tblCarryingExpenses[Include]="Yes")),_xlfn._xlws.FILTER(tblCarryingExpenses[Date],(tblCarryingExpenses[Category]="Lawn")*(tblCarryingExpenses[Include]="Yes")),1),ROWS($AE$3:AE12)),"")</f>
        <v/>
      </c>
      <c r="AF12" s="340" t="str" cm="1">
        <f t="array" ref="AF12">IFERROR(INDEX(_xlfn.SORTBY(_xlfn._xlws.FILTER(tblCarryingExpenses[Amount],(tblCarryingExpenses[Category]="Lawn")*(tblCarryingExpenses[Include]="Yes")),_xlfn._xlws.FILTER(tblCarryingExpenses[Date],(tblCarryingExpenses[Category]="Lawn")*(tblCarryingExpenses[Include]="Yes")),1),ROWS($AE$3:AE12)),"")</f>
        <v/>
      </c>
      <c r="AL12" t="s">
        <v>7</v>
      </c>
      <c r="AM12" t="s">
        <v>791</v>
      </c>
      <c r="AN12" s="12">
        <v>45363</v>
      </c>
      <c r="AQ12" s="5">
        <v>1905.58</v>
      </c>
      <c r="AR12" t="s">
        <v>780</v>
      </c>
      <c r="AT12" t="s">
        <v>781</v>
      </c>
      <c r="AU12" t="s">
        <v>782</v>
      </c>
      <c r="AV12" t="s">
        <v>793</v>
      </c>
    </row>
    <row r="13" spans="1:48" x14ac:dyDescent="0.25">
      <c r="A13" s="339" t="str" cm="1">
        <f t="array" ref="A13">IFERROR(INDEX(_xlfn.SORTBY(_xlfn._xlws.FILTER(tblCarryingExpenses[Date],(tblCarryingExpenses[Category]="Duke Electric")*(tblCarryingExpenses[Include]="Yes")),_xlfn._xlws.FILTER(tblCarryingExpenses[Date],(tblCarryingExpenses[Category]="Duke Electric")*(tblCarryingExpenses[Include]="Yes")),1),ROWS($A$3:A13)),"")</f>
        <v/>
      </c>
      <c r="B13" s="340" t="str" cm="1">
        <f t="array" ref="B13">IFERROR(INDEX(_xlfn.SORTBY(_xlfn._xlws.FILTER(tblCarryingExpenses[Amount],(tblCarryingExpenses[Category]="Duke Electric")*(tblCarryingExpenses[Include]="Yes")),_xlfn._xlws.FILTER(tblCarryingExpenses[Date],(tblCarryingExpenses[Category]="Duke Electric")*(tblCarryingExpenses[Include]="Yes")),1),ROWS($A$3:A13)),"")</f>
        <v/>
      </c>
      <c r="C13" s="338"/>
      <c r="D13" s="339" cm="1">
        <f t="array" ref="D13">IFERROR(INDEX(_xlfn.SORTBY(_xlfn._xlws.FILTER(tblCarryingExpenses[Date],(tblCarryingExpenses[Category]="Mortgage Payment")*(tblCarryingExpenses[Include]="Yes")),_xlfn._xlws.FILTER(tblCarryingExpenses[Date],(tblCarryingExpenses[Category]="Mortgage Payment")*(tblCarryingExpenses[Include]="Yes")),1),ROWS($D$3:D13)),"")</f>
        <v>45564</v>
      </c>
      <c r="E13" s="340" cm="1">
        <f t="array" ref="E13">IFERROR(INDEX(_xlfn.SORTBY(_xlfn._xlws.FILTER(tblCarryingExpenses[Amount],(tblCarryingExpenses[Category]="Mortgage Payment")*(tblCarryingExpenses[Include]="Yes")),_xlfn._xlws.FILTER(tblCarryingExpenses[Date],(tblCarryingExpenses[Category]="Mortgage Payment")*(tblCarryingExpenses[Include]="Yes")),1),ROWS($D$3:D13)),"")</f>
        <v>1081.21</v>
      </c>
      <c r="F13" s="338"/>
      <c r="G13" s="339" cm="1">
        <f t="array" ref="G13">IFERROR(INDEX(_xlfn.SORTBY(_xlfn._xlws.FILTER(tblCarryingExpenses[Date],(tblCarryingExpenses[Category]="Private Money")*(tblCarryingExpenses[Include]="Yes")),_xlfn._xlws.FILTER(tblCarryingExpenses[Date],(tblCarryingExpenses[Category]="Private Money")*(tblCarryingExpenses[Include]="Yes")),1),ROWS($G$3:G13)),"")</f>
        <v>45531</v>
      </c>
      <c r="H13" s="340" cm="1">
        <f t="array" ref="H13">IFERROR(INDEX(_xlfn.SORTBY(_xlfn._xlws.FILTER(tblCarryingExpenses[Amount],(tblCarryingExpenses[Category]="Private Money")*(tblCarryingExpenses[Include]="Yes")),_xlfn._xlws.FILTER(tblCarryingExpenses[Date],(tblCarryingExpenses[Category]="Private Money")*(tblCarryingExpenses[Include]="Yes")),1),ROWS($G$3:G13)),"")</f>
        <v>925</v>
      </c>
      <c r="I13" s="338"/>
      <c r="J13" s="339" t="str" cm="1">
        <f t="array" ref="J13">IFERROR(INDEX(_xlfn.SORTBY(_xlfn._xlws.FILTER(tblCarryingExpenses[Date],(tblCarryingExpenses[Category]="Casa Lending")*(tblCarryingExpenses[Include]="Yes")),_xlfn._xlws.FILTER(tblCarryingExpenses[Date],(tblCarryingExpenses[Category]="Casa Lending")*(tblCarryingExpenses[Include]="Yes")),1),ROWS($J$3:J13)),"")</f>
        <v/>
      </c>
      <c r="K13" s="340" t="str" cm="1">
        <f t="array" ref="K13">IFERROR(INDEX(_xlfn.SORTBY(_xlfn._xlws.FILTER(tblCarryingExpenses[Amount],(tblCarryingExpenses[Category]="Casa Lending")*(tblCarryingExpenses[Include]="Yes")),_xlfn._xlws.FILTER(tblCarryingExpenses[Date],(tblCarryingExpenses[Category]="Casa Lending")*(tblCarryingExpenses[Include]="Yes")),1),ROWS($J$3:J13)),"")</f>
        <v/>
      </c>
      <c r="L13" s="338"/>
      <c r="M13" s="339" cm="1">
        <f t="array" ref="M13">IFERROR(INDEX(_xlfn.SORTBY(_xlfn._xlws.FILTER(tblCarryingExpenses[Date],(tblCarryingExpenses[Category]="Insurance Payments")*(tblCarryingExpenses[Include]="Yes")),_xlfn._xlws.FILTER(tblCarryingExpenses[Date],(tblCarryingExpenses[Category]="Insurance Payments")*(tblCarryingExpenses[Include]="Yes")),1),ROWS($M$3:M13)),"")</f>
        <v>45563</v>
      </c>
      <c r="N13" s="340" cm="1">
        <f t="array" ref="N13">IFERROR(INDEX(_xlfn.SORTBY(_xlfn._xlws.FILTER(tblCarryingExpenses[Amount],(tblCarryingExpenses[Category]="Insurance Payments")*(tblCarryingExpenses[Include]="Yes")),_xlfn._xlws.FILTER(tblCarryingExpenses[Date],(tblCarryingExpenses[Category]="Insurance Payments")*(tblCarryingExpenses[Include]="Yes")),1),ROWS($M$3:M13)),"")</f>
        <v>94.65</v>
      </c>
      <c r="O13" s="338"/>
      <c r="P13" s="339" t="str" cm="1">
        <f t="array" ref="P13">IFERROR(INDEX(_xlfn.SORTBY(_xlfn._xlws.FILTER(tblCarryingExpenses[Date],(tblCarryingExpenses[Category]="Water")*(tblCarryingExpenses[Include]="Yes")),_xlfn._xlws.FILTER(tblCarryingExpenses[Date],(tblCarryingExpenses[Category]="Water")*(tblCarryingExpenses[Include]="Yes")),1),ROWS($P$3:P13)),"")</f>
        <v/>
      </c>
      <c r="Q13" s="340" t="str" cm="1">
        <f t="array" ref="Q13">IFERROR(INDEX(_xlfn.SORTBY(_xlfn._xlws.FILTER(tblCarryingExpenses[Amount],(tblCarryingExpenses[Category]="Water")*(tblCarryingExpenses[Include]="Yes")),_xlfn._xlws.FILTER(tblCarryingExpenses[Date],(tblCarryingExpenses[Category]="Water")*(tblCarryingExpenses[Include]="Yes")),1),ROWS($P$3:P13)),"")</f>
        <v/>
      </c>
      <c r="R13" s="338"/>
      <c r="S13" s="339" t="str" cm="1">
        <f t="array" ref="S13">IFERROR(INDEX(_xlfn.SORTBY(_xlfn._xlws.FILTER(tblCarryingExpenses[Date],(tblCarryingExpenses[Category]="Natural Gas")*(tblCarryingExpenses[Include]="Yes")),_xlfn._xlws.FILTER(tblCarryingExpenses[Date],(tblCarryingExpenses[Category]="Natural Gas")*(tblCarryingExpenses[Include]="Yes")),1),ROWS($S$3:S13)),"")</f>
        <v/>
      </c>
      <c r="T13" s="340" t="str" cm="1">
        <f t="array" ref="T13">IFERROR(INDEX(_xlfn.SORTBY(_xlfn._xlws.FILTER(tblCarryingExpenses[Amount],(tblCarryingExpenses[Category]="Natural Gas")*(tblCarryingExpenses[Include]="Yes")),_xlfn._xlws.FILTER(tblCarryingExpenses[Date],(tblCarryingExpenses[Category]="Natural Gas")*(tblCarryingExpenses[Include]="Yes")),1),ROWS($S$3:S13)),"")</f>
        <v/>
      </c>
      <c r="U13" s="338"/>
      <c r="V13" s="339" t="str" cm="1">
        <f t="array" ref="V13">IFERROR(INDEX(_xlfn.SORTBY(_xlfn._xlws.FILTER(tblCarryingExpenses[Date],(tblCarryingExpenses[Category]="HOA")*(tblCarryingExpenses[Include]="Yes")),_xlfn._xlws.FILTER(tblCarryingExpenses[Date],(tblCarryingExpenses[Category]="HOA")*(tblCarryingExpenses[Include]="Yes")),1),ROWS($V$3:V13)),"")</f>
        <v/>
      </c>
      <c r="W13" s="340" t="str" cm="1">
        <f t="array" ref="W13">IFERROR(INDEX(_xlfn.SORTBY(_xlfn._xlws.FILTER(tblCarryingExpenses[Amount],(tblCarryingExpenses[Category]="HOA")*(tblCarryingExpenses[Include]="Yes")),_xlfn._xlws.FILTER(tblCarryingExpenses[Date],(tblCarryingExpenses[Category]="HOA")*(tblCarryingExpenses[Include]="Yes")),1),ROWS($V$3:V13)),"")</f>
        <v/>
      </c>
      <c r="X13" s="338"/>
      <c r="Y13" s="339" t="str" cm="1">
        <f t="array" ref="Y13">IFERROR(INDEX(_xlfn.SORTBY(_xlfn._xlws.FILTER(tblCarryingExpenses[Date],(tblCarryingExpenses[Category]="Property Taxes")*(tblCarryingExpenses[Include]="Yes")),_xlfn._xlws.FILTER(tblCarryingExpenses[Date],(tblCarryingExpenses[Category]="Property Taxes")*(tblCarryingExpenses[Include]="Yes")),1),ROWS($Y$3:Y13)),"")</f>
        <v/>
      </c>
      <c r="Z13" s="340" t="str" cm="1">
        <f t="array" ref="Z13">IFERROR(IF(INDEX(_xlfn.SORTBY(_xlfn._xlws.FILTER(tblCarryingExpenses[Amount],(tblCarryingExpenses[Category]="Property Taxes")*(tblCarryingExpenses[Include]="Yes")),_xlfn._xlws.FILTER(tblCarryingExpenses[Date],(tblCarryingExpenses[Category]="Property Taxes")*(tblCarryingExpenses[Include]="Yes")),1),ROWS($Y$3:Y13))&lt;0,"",INDEX(_xlfn.SORTBY(_xlfn._xlws.FILTER(tblCarryingExpenses[Amount],(tblCarryingExpenses[Category]="Property Taxes")*(tblCarryingExpenses[Include]="Yes")),_xlfn._xlws.FILTER(tblCarryingExpenses[Date],(tblCarryingExpenses[Category]="Property Taxes")*(tblCarryingExpenses[Include]="Yes")),1),ROWS($Y$3:Y13))),"")</f>
        <v/>
      </c>
      <c r="AA13" s="340" t="str" cm="1">
        <f t="array" ref="AA13">IFERROR(IF(ISNUMBER(SEARCH("escrow",INDEX(_xlfn.SORTBY(_xlfn._xlws.FILTER(tblCarryingExpenses[Notes],(tblCarryingExpenses[Category]="Property Taxes")*(tblCarryingExpenses[Include]="Yes")),_xlfn._xlws.FILTER(tblCarryingExpenses[Date],(tblCarryingExpenses[Category]="Property Taxes")*(tblCarryingExpenses[Include]="Yes")),1),ROWS($Y$3:Y13)))),INDEX(_xlfn.SORTBY(_xlfn._xlws.FILTER(tblCarryingExpenses[Amount],(tblCarryingExpenses[Category]="Property Taxes")*(tblCarryingExpenses[Include]="Yes")),_xlfn._xlws.FILTER(tblCarryingExpenses[Date],(tblCarryingExpenses[Category]="Property Taxes")*(tblCarryingExpenses[Include]="Yes")),1),ROWS($Y$3:Y13)),""),"")</f>
        <v/>
      </c>
      <c r="AB13" s="339" t="str" cm="1">
        <f t="array" ref="AB13">IFERROR(INDEX(_xlfn.SORTBY(_xlfn._xlws.FILTER(tblCarryingExpenses[Date],(tblCarryingExpenses[Category]="Excavator Rental")*(tblCarryingExpenses[Include]="Yes")),_xlfn._xlws.FILTER(tblCarryingExpenses[Date],(tblCarryingExpenses[Category]="Excavator Rental")*(tblCarryingExpenses[Include]="Yes")),1),ROWS($AB$3:AB13)),"")</f>
        <v/>
      </c>
      <c r="AC13" s="340" t="str" cm="1">
        <f t="array" ref="AC13">IFERROR(INDEX(_xlfn.SORTBY(_xlfn._xlws.FILTER(tblCarryingExpenses[Amount],(tblCarryingExpenses[Category]="Excavator Rental")*(tblCarryingExpenses[Include]="Yes")),_xlfn._xlws.FILTER(tblCarryingExpenses[Date],(tblCarryingExpenses[Category]="Excavator Rental")*(tblCarryingExpenses[Include]="Yes")),1),ROWS($AB$3:AB13)),"")</f>
        <v/>
      </c>
      <c r="AD13" s="338"/>
      <c r="AE13" s="339" t="str" cm="1">
        <f t="array" ref="AE13">IFERROR(INDEX(_xlfn.SORTBY(_xlfn._xlws.FILTER(tblCarryingExpenses[Date],(tblCarryingExpenses[Category]="Lawn")*(tblCarryingExpenses[Include]="Yes")),_xlfn._xlws.FILTER(tblCarryingExpenses[Date],(tblCarryingExpenses[Category]="Lawn")*(tblCarryingExpenses[Include]="Yes")),1),ROWS($AE$3:AE13)),"")</f>
        <v/>
      </c>
      <c r="AF13" s="340" t="str" cm="1">
        <f t="array" ref="AF13">IFERROR(INDEX(_xlfn.SORTBY(_xlfn._xlws.FILTER(tblCarryingExpenses[Amount],(tblCarryingExpenses[Category]="Lawn")*(tblCarryingExpenses[Include]="Yes")),_xlfn._xlws.FILTER(tblCarryingExpenses[Date],(tblCarryingExpenses[Category]="Lawn")*(tblCarryingExpenses[Include]="Yes")),1),ROWS($AE$3:AE13)),"")</f>
        <v/>
      </c>
      <c r="AL13" t="s">
        <v>7</v>
      </c>
      <c r="AM13" t="s">
        <v>791</v>
      </c>
      <c r="AN13" s="12">
        <v>45383</v>
      </c>
      <c r="AQ13" s="5">
        <v>952.79</v>
      </c>
      <c r="AR13" t="s">
        <v>780</v>
      </c>
      <c r="AT13" t="s">
        <v>781</v>
      </c>
      <c r="AU13" t="s">
        <v>782</v>
      </c>
      <c r="AV13" t="s">
        <v>794</v>
      </c>
    </row>
    <row r="14" spans="1:48" x14ac:dyDescent="0.25">
      <c r="A14" s="339" t="str" cm="1">
        <f t="array" ref="A14">IFERROR(INDEX(_xlfn.SORTBY(_xlfn._xlws.FILTER(tblCarryingExpenses[Date],(tblCarryingExpenses[Category]="Duke Electric")*(tblCarryingExpenses[Include]="Yes")),_xlfn._xlws.FILTER(tblCarryingExpenses[Date],(tblCarryingExpenses[Category]="Duke Electric")*(tblCarryingExpenses[Include]="Yes")),1),ROWS($A$3:A14)),"")</f>
        <v/>
      </c>
      <c r="B14" s="340" t="str" cm="1">
        <f t="array" ref="B14">IFERROR(INDEX(_xlfn.SORTBY(_xlfn._xlws.FILTER(tblCarryingExpenses[Amount],(tblCarryingExpenses[Category]="Duke Electric")*(tblCarryingExpenses[Include]="Yes")),_xlfn._xlws.FILTER(tblCarryingExpenses[Date],(tblCarryingExpenses[Category]="Duke Electric")*(tblCarryingExpenses[Include]="Yes")),1),ROWS($A$3:A14)),"")</f>
        <v/>
      </c>
      <c r="C14" s="338"/>
      <c r="D14" s="339" cm="1">
        <f t="array" ref="D14">IFERROR(INDEX(_xlfn.SORTBY(_xlfn._xlws.FILTER(tblCarryingExpenses[Date],(tblCarryingExpenses[Category]="Mortgage Payment")*(tblCarryingExpenses[Include]="Yes")),_xlfn._xlws.FILTER(tblCarryingExpenses[Date],(tblCarryingExpenses[Category]="Mortgage Payment")*(tblCarryingExpenses[Include]="Yes")),1),ROWS($D$3:D14)),"")</f>
        <v>45594</v>
      </c>
      <c r="E14" s="340" cm="1">
        <f t="array" ref="E14">IFERROR(INDEX(_xlfn.SORTBY(_xlfn._xlws.FILTER(tblCarryingExpenses[Amount],(tblCarryingExpenses[Category]="Mortgage Payment")*(tblCarryingExpenses[Include]="Yes")),_xlfn._xlws.FILTER(tblCarryingExpenses[Date],(tblCarryingExpenses[Category]="Mortgage Payment")*(tblCarryingExpenses[Include]="Yes")),1),ROWS($D$3:D14)),"")</f>
        <v>1081.21</v>
      </c>
      <c r="F14" s="338"/>
      <c r="G14" s="339" cm="1">
        <f t="array" ref="G14">IFERROR(INDEX(_xlfn.SORTBY(_xlfn._xlws.FILTER(tblCarryingExpenses[Date],(tblCarryingExpenses[Category]="Private Money")*(tblCarryingExpenses[Include]="Yes")),_xlfn._xlws.FILTER(tblCarryingExpenses[Date],(tblCarryingExpenses[Category]="Private Money")*(tblCarryingExpenses[Include]="Yes")),1),ROWS($G$3:G14)),"")</f>
        <v>45561</v>
      </c>
      <c r="H14" s="340" cm="1">
        <f t="array" ref="H14">IFERROR(INDEX(_xlfn.SORTBY(_xlfn._xlws.FILTER(tblCarryingExpenses[Amount],(tblCarryingExpenses[Category]="Private Money")*(tblCarryingExpenses[Include]="Yes")),_xlfn._xlws.FILTER(tblCarryingExpenses[Date],(tblCarryingExpenses[Category]="Private Money")*(tblCarryingExpenses[Include]="Yes")),1),ROWS($G$3:G14)),"")</f>
        <v>925</v>
      </c>
      <c r="I14" s="338"/>
      <c r="J14" s="339" t="str" cm="1">
        <f t="array" ref="J14">IFERROR(INDEX(_xlfn.SORTBY(_xlfn._xlws.FILTER(tblCarryingExpenses[Date],(tblCarryingExpenses[Category]="Casa Lending")*(tblCarryingExpenses[Include]="Yes")),_xlfn._xlws.FILTER(tblCarryingExpenses[Date],(tblCarryingExpenses[Category]="Casa Lending")*(tblCarryingExpenses[Include]="Yes")),1),ROWS($J$3:J14)),"")</f>
        <v/>
      </c>
      <c r="K14" s="340" t="str" cm="1">
        <f t="array" ref="K14">IFERROR(INDEX(_xlfn.SORTBY(_xlfn._xlws.FILTER(tblCarryingExpenses[Amount],(tblCarryingExpenses[Category]="Casa Lending")*(tblCarryingExpenses[Include]="Yes")),_xlfn._xlws.FILTER(tblCarryingExpenses[Date],(tblCarryingExpenses[Category]="Casa Lending")*(tblCarryingExpenses[Include]="Yes")),1),ROWS($J$3:J14)),"")</f>
        <v/>
      </c>
      <c r="L14" s="338"/>
      <c r="M14" s="339" cm="1">
        <f t="array" ref="M14">IFERROR(INDEX(_xlfn.SORTBY(_xlfn._xlws.FILTER(tblCarryingExpenses[Date],(tblCarryingExpenses[Category]="Insurance Payments")*(tblCarryingExpenses[Include]="Yes")),_xlfn._xlws.FILTER(tblCarryingExpenses[Date],(tblCarryingExpenses[Category]="Insurance Payments")*(tblCarryingExpenses[Include]="Yes")),1),ROWS($M$3:M14)),"")</f>
        <v>45593</v>
      </c>
      <c r="N14" s="340" cm="1">
        <f t="array" ref="N14">IFERROR(INDEX(_xlfn.SORTBY(_xlfn._xlws.FILTER(tblCarryingExpenses[Amount],(tblCarryingExpenses[Category]="Insurance Payments")*(tblCarryingExpenses[Include]="Yes")),_xlfn._xlws.FILTER(tblCarryingExpenses[Date],(tblCarryingExpenses[Category]="Insurance Payments")*(tblCarryingExpenses[Include]="Yes")),1),ROWS($M$3:M14)),"")</f>
        <v>94.65</v>
      </c>
      <c r="O14" s="338"/>
      <c r="P14" s="339" t="str" cm="1">
        <f t="array" ref="P14">IFERROR(INDEX(_xlfn.SORTBY(_xlfn._xlws.FILTER(tblCarryingExpenses[Date],(tblCarryingExpenses[Category]="Water")*(tblCarryingExpenses[Include]="Yes")),_xlfn._xlws.FILTER(tblCarryingExpenses[Date],(tblCarryingExpenses[Category]="Water")*(tblCarryingExpenses[Include]="Yes")),1),ROWS($P$3:P14)),"")</f>
        <v/>
      </c>
      <c r="Q14" s="340" t="str" cm="1">
        <f t="array" ref="Q14">IFERROR(INDEX(_xlfn.SORTBY(_xlfn._xlws.FILTER(tblCarryingExpenses[Amount],(tblCarryingExpenses[Category]="Water")*(tblCarryingExpenses[Include]="Yes")),_xlfn._xlws.FILTER(tblCarryingExpenses[Date],(tblCarryingExpenses[Category]="Water")*(tblCarryingExpenses[Include]="Yes")),1),ROWS($P$3:P14)),"")</f>
        <v/>
      </c>
      <c r="R14" s="338"/>
      <c r="S14" s="339" t="str" cm="1">
        <f t="array" ref="S14">IFERROR(INDEX(_xlfn.SORTBY(_xlfn._xlws.FILTER(tblCarryingExpenses[Date],(tblCarryingExpenses[Category]="Natural Gas")*(tblCarryingExpenses[Include]="Yes")),_xlfn._xlws.FILTER(tblCarryingExpenses[Date],(tblCarryingExpenses[Category]="Natural Gas")*(tblCarryingExpenses[Include]="Yes")),1),ROWS($S$3:S14)),"")</f>
        <v/>
      </c>
      <c r="T14" s="340" t="str" cm="1">
        <f t="array" ref="T14">IFERROR(INDEX(_xlfn.SORTBY(_xlfn._xlws.FILTER(tblCarryingExpenses[Amount],(tblCarryingExpenses[Category]="Natural Gas")*(tblCarryingExpenses[Include]="Yes")),_xlfn._xlws.FILTER(tblCarryingExpenses[Date],(tblCarryingExpenses[Category]="Natural Gas")*(tblCarryingExpenses[Include]="Yes")),1),ROWS($S$3:S14)),"")</f>
        <v/>
      </c>
      <c r="U14" s="338"/>
      <c r="V14" s="339" t="str" cm="1">
        <f t="array" ref="V14">IFERROR(INDEX(_xlfn.SORTBY(_xlfn._xlws.FILTER(tblCarryingExpenses[Date],(tblCarryingExpenses[Category]="HOA")*(tblCarryingExpenses[Include]="Yes")),_xlfn._xlws.FILTER(tblCarryingExpenses[Date],(tblCarryingExpenses[Category]="HOA")*(tblCarryingExpenses[Include]="Yes")),1),ROWS($V$3:V14)),"")</f>
        <v/>
      </c>
      <c r="W14" s="340" t="str" cm="1">
        <f t="array" ref="W14">IFERROR(INDEX(_xlfn.SORTBY(_xlfn._xlws.FILTER(tblCarryingExpenses[Amount],(tblCarryingExpenses[Category]="HOA")*(tblCarryingExpenses[Include]="Yes")),_xlfn._xlws.FILTER(tblCarryingExpenses[Date],(tblCarryingExpenses[Category]="HOA")*(tblCarryingExpenses[Include]="Yes")),1),ROWS($V$3:V14)),"")</f>
        <v/>
      </c>
      <c r="X14" s="338"/>
      <c r="Y14" s="339" t="str" cm="1">
        <f t="array" ref="Y14">IFERROR(INDEX(_xlfn.SORTBY(_xlfn._xlws.FILTER(tblCarryingExpenses[Date],(tblCarryingExpenses[Category]="Property Taxes")*(tblCarryingExpenses[Include]="Yes")),_xlfn._xlws.FILTER(tblCarryingExpenses[Date],(tblCarryingExpenses[Category]="Property Taxes")*(tblCarryingExpenses[Include]="Yes")),1),ROWS($Y$3:Y14)),"")</f>
        <v/>
      </c>
      <c r="Z14" s="340" t="str" cm="1">
        <f t="array" ref="Z14">IFERROR(IF(INDEX(_xlfn.SORTBY(_xlfn._xlws.FILTER(tblCarryingExpenses[Amount],(tblCarryingExpenses[Category]="Property Taxes")*(tblCarryingExpenses[Include]="Yes")),_xlfn._xlws.FILTER(tblCarryingExpenses[Date],(tblCarryingExpenses[Category]="Property Taxes")*(tblCarryingExpenses[Include]="Yes")),1),ROWS($Y$3:Y14))&lt;0,"",INDEX(_xlfn.SORTBY(_xlfn._xlws.FILTER(tblCarryingExpenses[Amount],(tblCarryingExpenses[Category]="Property Taxes")*(tblCarryingExpenses[Include]="Yes")),_xlfn._xlws.FILTER(tblCarryingExpenses[Date],(tblCarryingExpenses[Category]="Property Taxes")*(tblCarryingExpenses[Include]="Yes")),1),ROWS($Y$3:Y14))),"")</f>
        <v/>
      </c>
      <c r="AA14" s="340" t="str" cm="1">
        <f t="array" ref="AA14">IFERROR(IF(ISNUMBER(SEARCH("escrow",INDEX(_xlfn.SORTBY(_xlfn._xlws.FILTER(tblCarryingExpenses[Notes],(tblCarryingExpenses[Category]="Property Taxes")*(tblCarryingExpenses[Include]="Yes")),_xlfn._xlws.FILTER(tblCarryingExpenses[Date],(tblCarryingExpenses[Category]="Property Taxes")*(tblCarryingExpenses[Include]="Yes")),1),ROWS($Y$3:Y14)))),INDEX(_xlfn.SORTBY(_xlfn._xlws.FILTER(tblCarryingExpenses[Amount],(tblCarryingExpenses[Category]="Property Taxes")*(tblCarryingExpenses[Include]="Yes")),_xlfn._xlws.FILTER(tblCarryingExpenses[Date],(tblCarryingExpenses[Category]="Property Taxes")*(tblCarryingExpenses[Include]="Yes")),1),ROWS($Y$3:Y14)),""),"")</f>
        <v/>
      </c>
      <c r="AB14" s="339" t="str" cm="1">
        <f t="array" ref="AB14">IFERROR(INDEX(_xlfn.SORTBY(_xlfn._xlws.FILTER(tblCarryingExpenses[Date],(tblCarryingExpenses[Category]="Excavator Rental")*(tblCarryingExpenses[Include]="Yes")),_xlfn._xlws.FILTER(tblCarryingExpenses[Date],(tblCarryingExpenses[Category]="Excavator Rental")*(tblCarryingExpenses[Include]="Yes")),1),ROWS($AB$3:AB14)),"")</f>
        <v/>
      </c>
      <c r="AC14" s="340" t="str" cm="1">
        <f t="array" ref="AC14">IFERROR(INDEX(_xlfn.SORTBY(_xlfn._xlws.FILTER(tblCarryingExpenses[Amount],(tblCarryingExpenses[Category]="Excavator Rental")*(tblCarryingExpenses[Include]="Yes")),_xlfn._xlws.FILTER(tblCarryingExpenses[Date],(tblCarryingExpenses[Category]="Excavator Rental")*(tblCarryingExpenses[Include]="Yes")),1),ROWS($AB$3:AB14)),"")</f>
        <v/>
      </c>
      <c r="AD14" s="338"/>
      <c r="AE14" s="339" t="str" cm="1">
        <f t="array" ref="AE14">IFERROR(INDEX(_xlfn.SORTBY(_xlfn._xlws.FILTER(tblCarryingExpenses[Date],(tblCarryingExpenses[Category]="Lawn")*(tblCarryingExpenses[Include]="Yes")),_xlfn._xlws.FILTER(tblCarryingExpenses[Date],(tblCarryingExpenses[Category]="Lawn")*(tblCarryingExpenses[Include]="Yes")),1),ROWS($AE$3:AE14)),"")</f>
        <v/>
      </c>
      <c r="AF14" s="340" t="str" cm="1">
        <f t="array" ref="AF14">IFERROR(INDEX(_xlfn.SORTBY(_xlfn._xlws.FILTER(tblCarryingExpenses[Amount],(tblCarryingExpenses[Category]="Lawn")*(tblCarryingExpenses[Include]="Yes")),_xlfn._xlws.FILTER(tblCarryingExpenses[Date],(tblCarryingExpenses[Category]="Lawn")*(tblCarryingExpenses[Include]="Yes")),1),ROWS($AE$3:AE14)),"")</f>
        <v/>
      </c>
      <c r="AL14" t="s">
        <v>7</v>
      </c>
      <c r="AM14" t="s">
        <v>791</v>
      </c>
      <c r="AN14" s="12">
        <v>45413</v>
      </c>
      <c r="AQ14" s="5">
        <v>1081.21</v>
      </c>
      <c r="AR14" t="s">
        <v>780</v>
      </c>
      <c r="AT14" t="s">
        <v>781</v>
      </c>
      <c r="AU14" t="s">
        <v>782</v>
      </c>
      <c r="AV14" t="s">
        <v>795</v>
      </c>
    </row>
    <row r="15" spans="1:48" x14ac:dyDescent="0.25">
      <c r="A15" s="339" t="str" cm="1">
        <f t="array" ref="A15">IFERROR(INDEX(_xlfn.SORTBY(_xlfn._xlws.FILTER(tblCarryingExpenses[Date],(tblCarryingExpenses[Category]="Duke Electric")*(tblCarryingExpenses[Include]="Yes")),_xlfn._xlws.FILTER(tblCarryingExpenses[Date],(tblCarryingExpenses[Category]="Duke Electric")*(tblCarryingExpenses[Include]="Yes")),1),ROWS($A$3:A15)),"")</f>
        <v/>
      </c>
      <c r="B15" s="340" t="str" cm="1">
        <f t="array" ref="B15">IFERROR(INDEX(_xlfn.SORTBY(_xlfn._xlws.FILTER(tblCarryingExpenses[Amount],(tblCarryingExpenses[Category]="Duke Electric")*(tblCarryingExpenses[Include]="Yes")),_xlfn._xlws.FILTER(tblCarryingExpenses[Date],(tblCarryingExpenses[Category]="Duke Electric")*(tblCarryingExpenses[Include]="Yes")),1),ROWS($A$3:A15)),"")</f>
        <v/>
      </c>
      <c r="C15" s="338"/>
      <c r="D15" s="339" cm="1">
        <f t="array" ref="D15">IFERROR(INDEX(_xlfn.SORTBY(_xlfn._xlws.FILTER(tblCarryingExpenses[Date],(tblCarryingExpenses[Category]="Mortgage Payment")*(tblCarryingExpenses[Include]="Yes")),_xlfn._xlws.FILTER(tblCarryingExpenses[Date],(tblCarryingExpenses[Category]="Mortgage Payment")*(tblCarryingExpenses[Include]="Yes")),1),ROWS($D$3:D15)),"")</f>
        <v>45624</v>
      </c>
      <c r="E15" s="340" cm="1">
        <f t="array" ref="E15">IFERROR(INDEX(_xlfn.SORTBY(_xlfn._xlws.FILTER(tblCarryingExpenses[Amount],(tblCarryingExpenses[Category]="Mortgage Payment")*(tblCarryingExpenses[Include]="Yes")),_xlfn._xlws.FILTER(tblCarryingExpenses[Date],(tblCarryingExpenses[Category]="Mortgage Payment")*(tblCarryingExpenses[Include]="Yes")),1),ROWS($D$3:D15)),"")</f>
        <v>1081.21</v>
      </c>
      <c r="F15" s="338"/>
      <c r="G15" s="339" cm="1">
        <f t="array" ref="G15">IFERROR(INDEX(_xlfn.SORTBY(_xlfn._xlws.FILTER(tblCarryingExpenses[Date],(tblCarryingExpenses[Category]="Private Money")*(tblCarryingExpenses[Include]="Yes")),_xlfn._xlws.FILTER(tblCarryingExpenses[Date],(tblCarryingExpenses[Category]="Private Money")*(tblCarryingExpenses[Include]="Yes")),1),ROWS($G$3:G15)),"")</f>
        <v>45591</v>
      </c>
      <c r="H15" s="340" cm="1">
        <f t="array" ref="H15">IFERROR(INDEX(_xlfn.SORTBY(_xlfn._xlws.FILTER(tblCarryingExpenses[Amount],(tblCarryingExpenses[Category]="Private Money")*(tblCarryingExpenses[Include]="Yes")),_xlfn._xlws.FILTER(tblCarryingExpenses[Date],(tblCarryingExpenses[Category]="Private Money")*(tblCarryingExpenses[Include]="Yes")),1),ROWS($G$3:G15)),"")</f>
        <v>925</v>
      </c>
      <c r="I15" s="338"/>
      <c r="J15" s="339" t="str" cm="1">
        <f t="array" ref="J15">IFERROR(INDEX(_xlfn.SORTBY(_xlfn._xlws.FILTER(tblCarryingExpenses[Date],(tblCarryingExpenses[Category]="Casa Lending")*(tblCarryingExpenses[Include]="Yes")),_xlfn._xlws.FILTER(tblCarryingExpenses[Date],(tblCarryingExpenses[Category]="Casa Lending")*(tblCarryingExpenses[Include]="Yes")),1),ROWS($J$3:J15)),"")</f>
        <v/>
      </c>
      <c r="K15" s="340" t="str" cm="1">
        <f t="array" ref="K15">IFERROR(INDEX(_xlfn.SORTBY(_xlfn._xlws.FILTER(tblCarryingExpenses[Amount],(tblCarryingExpenses[Category]="Casa Lending")*(tblCarryingExpenses[Include]="Yes")),_xlfn._xlws.FILTER(tblCarryingExpenses[Date],(tblCarryingExpenses[Category]="Casa Lending")*(tblCarryingExpenses[Include]="Yes")),1),ROWS($J$3:J15)),"")</f>
        <v/>
      </c>
      <c r="L15" s="338"/>
      <c r="M15" s="339" cm="1">
        <f t="array" ref="M15">IFERROR(INDEX(_xlfn.SORTBY(_xlfn._xlws.FILTER(tblCarryingExpenses[Date],(tblCarryingExpenses[Category]="Insurance Payments")*(tblCarryingExpenses[Include]="Yes")),_xlfn._xlws.FILTER(tblCarryingExpenses[Date],(tblCarryingExpenses[Category]="Insurance Payments")*(tblCarryingExpenses[Include]="Yes")),1),ROWS($M$3:M15)),"")</f>
        <v>45623</v>
      </c>
      <c r="N15" s="340" cm="1">
        <f t="array" ref="N15">IFERROR(INDEX(_xlfn.SORTBY(_xlfn._xlws.FILTER(tblCarryingExpenses[Amount],(tblCarryingExpenses[Category]="Insurance Payments")*(tblCarryingExpenses[Include]="Yes")),_xlfn._xlws.FILTER(tblCarryingExpenses[Date],(tblCarryingExpenses[Category]="Insurance Payments")*(tblCarryingExpenses[Include]="Yes")),1),ROWS($M$3:M15)),"")</f>
        <v>94.65</v>
      </c>
      <c r="O15" s="338"/>
      <c r="P15" s="339" t="str" cm="1">
        <f t="array" ref="P15">IFERROR(INDEX(_xlfn.SORTBY(_xlfn._xlws.FILTER(tblCarryingExpenses[Date],(tblCarryingExpenses[Category]="Water")*(tblCarryingExpenses[Include]="Yes")),_xlfn._xlws.FILTER(tblCarryingExpenses[Date],(tblCarryingExpenses[Category]="Water")*(tblCarryingExpenses[Include]="Yes")),1),ROWS($P$3:P15)),"")</f>
        <v/>
      </c>
      <c r="Q15" s="340" t="str" cm="1">
        <f t="array" ref="Q15">IFERROR(INDEX(_xlfn.SORTBY(_xlfn._xlws.FILTER(tblCarryingExpenses[Amount],(tblCarryingExpenses[Category]="Water")*(tblCarryingExpenses[Include]="Yes")),_xlfn._xlws.FILTER(tblCarryingExpenses[Date],(tblCarryingExpenses[Category]="Water")*(tblCarryingExpenses[Include]="Yes")),1),ROWS($P$3:P15)),"")</f>
        <v/>
      </c>
      <c r="R15" s="338"/>
      <c r="S15" s="339" t="str" cm="1">
        <f t="array" ref="S15">IFERROR(INDEX(_xlfn.SORTBY(_xlfn._xlws.FILTER(tblCarryingExpenses[Date],(tblCarryingExpenses[Category]="Natural Gas")*(tblCarryingExpenses[Include]="Yes")),_xlfn._xlws.FILTER(tblCarryingExpenses[Date],(tblCarryingExpenses[Category]="Natural Gas")*(tblCarryingExpenses[Include]="Yes")),1),ROWS($S$3:S15)),"")</f>
        <v/>
      </c>
      <c r="T15" s="340" t="str" cm="1">
        <f t="array" ref="T15">IFERROR(INDEX(_xlfn.SORTBY(_xlfn._xlws.FILTER(tblCarryingExpenses[Amount],(tblCarryingExpenses[Category]="Natural Gas")*(tblCarryingExpenses[Include]="Yes")),_xlfn._xlws.FILTER(tblCarryingExpenses[Date],(tblCarryingExpenses[Category]="Natural Gas")*(tblCarryingExpenses[Include]="Yes")),1),ROWS($S$3:S15)),"")</f>
        <v/>
      </c>
      <c r="U15" s="338"/>
      <c r="V15" s="339" t="str" cm="1">
        <f t="array" ref="V15">IFERROR(INDEX(_xlfn.SORTBY(_xlfn._xlws.FILTER(tblCarryingExpenses[Date],(tblCarryingExpenses[Category]="HOA")*(tblCarryingExpenses[Include]="Yes")),_xlfn._xlws.FILTER(tblCarryingExpenses[Date],(tblCarryingExpenses[Category]="HOA")*(tblCarryingExpenses[Include]="Yes")),1),ROWS($V$3:V15)),"")</f>
        <v/>
      </c>
      <c r="W15" s="340" t="str" cm="1">
        <f t="array" ref="W15">IFERROR(INDEX(_xlfn.SORTBY(_xlfn._xlws.FILTER(tblCarryingExpenses[Amount],(tblCarryingExpenses[Category]="HOA")*(tblCarryingExpenses[Include]="Yes")),_xlfn._xlws.FILTER(tblCarryingExpenses[Date],(tblCarryingExpenses[Category]="HOA")*(tblCarryingExpenses[Include]="Yes")),1),ROWS($V$3:V15)),"")</f>
        <v/>
      </c>
      <c r="X15" s="338"/>
      <c r="Y15" s="339" t="str" cm="1">
        <f t="array" ref="Y15">IFERROR(INDEX(_xlfn.SORTBY(_xlfn._xlws.FILTER(tblCarryingExpenses[Date],(tblCarryingExpenses[Category]="Property Taxes")*(tblCarryingExpenses[Include]="Yes")),_xlfn._xlws.FILTER(tblCarryingExpenses[Date],(tblCarryingExpenses[Category]="Property Taxes")*(tblCarryingExpenses[Include]="Yes")),1),ROWS($Y$3:Y15)),"")</f>
        <v/>
      </c>
      <c r="Z15" s="340" t="str" cm="1">
        <f t="array" ref="Z15">IFERROR(IF(INDEX(_xlfn.SORTBY(_xlfn._xlws.FILTER(tblCarryingExpenses[Amount],(tblCarryingExpenses[Category]="Property Taxes")*(tblCarryingExpenses[Include]="Yes")),_xlfn._xlws.FILTER(tblCarryingExpenses[Date],(tblCarryingExpenses[Category]="Property Taxes")*(tblCarryingExpenses[Include]="Yes")),1),ROWS($Y$3:Y15))&lt;0,"",INDEX(_xlfn.SORTBY(_xlfn._xlws.FILTER(tblCarryingExpenses[Amount],(tblCarryingExpenses[Category]="Property Taxes")*(tblCarryingExpenses[Include]="Yes")),_xlfn._xlws.FILTER(tblCarryingExpenses[Date],(tblCarryingExpenses[Category]="Property Taxes")*(tblCarryingExpenses[Include]="Yes")),1),ROWS($Y$3:Y15))),"")</f>
        <v/>
      </c>
      <c r="AA15" s="340" t="str" cm="1">
        <f t="array" ref="AA15">IFERROR(IF(ISNUMBER(SEARCH("escrow",INDEX(_xlfn.SORTBY(_xlfn._xlws.FILTER(tblCarryingExpenses[Notes],(tblCarryingExpenses[Category]="Property Taxes")*(tblCarryingExpenses[Include]="Yes")),_xlfn._xlws.FILTER(tblCarryingExpenses[Date],(tblCarryingExpenses[Category]="Property Taxes")*(tblCarryingExpenses[Include]="Yes")),1),ROWS($Y$3:Y15)))),INDEX(_xlfn.SORTBY(_xlfn._xlws.FILTER(tblCarryingExpenses[Amount],(tblCarryingExpenses[Category]="Property Taxes")*(tblCarryingExpenses[Include]="Yes")),_xlfn._xlws.FILTER(tblCarryingExpenses[Date],(tblCarryingExpenses[Category]="Property Taxes")*(tblCarryingExpenses[Include]="Yes")),1),ROWS($Y$3:Y15)),""),"")</f>
        <v/>
      </c>
      <c r="AB15" s="339" t="str" cm="1">
        <f t="array" ref="AB15">IFERROR(INDEX(_xlfn.SORTBY(_xlfn._xlws.FILTER(tblCarryingExpenses[Date],(tblCarryingExpenses[Category]="Excavator Rental")*(tblCarryingExpenses[Include]="Yes")),_xlfn._xlws.FILTER(tblCarryingExpenses[Date],(tblCarryingExpenses[Category]="Excavator Rental")*(tblCarryingExpenses[Include]="Yes")),1),ROWS($AB$3:AB15)),"")</f>
        <v/>
      </c>
      <c r="AC15" s="340" t="str" cm="1">
        <f t="array" ref="AC15">IFERROR(INDEX(_xlfn.SORTBY(_xlfn._xlws.FILTER(tblCarryingExpenses[Amount],(tblCarryingExpenses[Category]="Excavator Rental")*(tblCarryingExpenses[Include]="Yes")),_xlfn._xlws.FILTER(tblCarryingExpenses[Date],(tblCarryingExpenses[Category]="Excavator Rental")*(tblCarryingExpenses[Include]="Yes")),1),ROWS($AB$3:AB15)),"")</f>
        <v/>
      </c>
      <c r="AD15" s="338"/>
      <c r="AE15" s="339" t="str" cm="1">
        <f t="array" ref="AE15">IFERROR(INDEX(_xlfn.SORTBY(_xlfn._xlws.FILTER(tblCarryingExpenses[Date],(tblCarryingExpenses[Category]="Lawn")*(tblCarryingExpenses[Include]="Yes")),_xlfn._xlws.FILTER(tblCarryingExpenses[Date],(tblCarryingExpenses[Category]="Lawn")*(tblCarryingExpenses[Include]="Yes")),1),ROWS($AE$3:AE15)),"")</f>
        <v/>
      </c>
      <c r="AF15" s="340" t="str" cm="1">
        <f t="array" ref="AF15">IFERROR(INDEX(_xlfn.SORTBY(_xlfn._xlws.FILTER(tblCarryingExpenses[Amount],(tblCarryingExpenses[Category]="Lawn")*(tblCarryingExpenses[Include]="Yes")),_xlfn._xlws.FILTER(tblCarryingExpenses[Date],(tblCarryingExpenses[Category]="Lawn")*(tblCarryingExpenses[Include]="Yes")),1),ROWS($AE$3:AE15)),"")</f>
        <v/>
      </c>
      <c r="AL15" t="s">
        <v>7</v>
      </c>
      <c r="AM15" t="s">
        <v>791</v>
      </c>
      <c r="AN15" s="12">
        <v>45443</v>
      </c>
      <c r="AQ15" s="5">
        <v>1081.21</v>
      </c>
      <c r="AR15" t="s">
        <v>780</v>
      </c>
      <c r="AT15" t="s">
        <v>781</v>
      </c>
      <c r="AU15" t="s">
        <v>782</v>
      </c>
      <c r="AV15" t="s">
        <v>796</v>
      </c>
    </row>
    <row r="16" spans="1:48" x14ac:dyDescent="0.25">
      <c r="A16" s="339" t="str" cm="1">
        <f t="array" ref="A16">IFERROR(INDEX(_xlfn.SORTBY(_xlfn._xlws.FILTER(tblCarryingExpenses[Date],(tblCarryingExpenses[Category]="Duke Electric")*(tblCarryingExpenses[Include]="Yes")),_xlfn._xlws.FILTER(tblCarryingExpenses[Date],(tblCarryingExpenses[Category]="Duke Electric")*(tblCarryingExpenses[Include]="Yes")),1),ROWS($A$3:A16)),"")</f>
        <v/>
      </c>
      <c r="B16" s="340" t="str" cm="1">
        <f t="array" ref="B16">IFERROR(INDEX(_xlfn.SORTBY(_xlfn._xlws.FILTER(tblCarryingExpenses[Amount],(tblCarryingExpenses[Category]="Duke Electric")*(tblCarryingExpenses[Include]="Yes")),_xlfn._xlws.FILTER(tblCarryingExpenses[Date],(tblCarryingExpenses[Category]="Duke Electric")*(tblCarryingExpenses[Include]="Yes")),1),ROWS($A$3:A16)),"")</f>
        <v/>
      </c>
      <c r="C16" s="338"/>
      <c r="D16" s="339" cm="1">
        <f t="array" ref="D16">IFERROR(INDEX(_xlfn.SORTBY(_xlfn._xlws.FILTER(tblCarryingExpenses[Date],(tblCarryingExpenses[Category]="Mortgage Payment")*(tblCarryingExpenses[Include]="Yes")),_xlfn._xlws.FILTER(tblCarryingExpenses[Date],(tblCarryingExpenses[Category]="Mortgage Payment")*(tblCarryingExpenses[Include]="Yes")),1),ROWS($D$3:D16)),"")</f>
        <v>45654</v>
      </c>
      <c r="E16" s="340" cm="1">
        <f t="array" ref="E16">IFERROR(INDEX(_xlfn.SORTBY(_xlfn._xlws.FILTER(tblCarryingExpenses[Amount],(tblCarryingExpenses[Category]="Mortgage Payment")*(tblCarryingExpenses[Include]="Yes")),_xlfn._xlws.FILTER(tblCarryingExpenses[Date],(tblCarryingExpenses[Category]="Mortgage Payment")*(tblCarryingExpenses[Include]="Yes")),1),ROWS($D$3:D16)),"")</f>
        <v>1081.21</v>
      </c>
      <c r="F16" s="338"/>
      <c r="G16" s="339" cm="1">
        <f t="array" ref="G16">IFERROR(INDEX(_xlfn.SORTBY(_xlfn._xlws.FILTER(tblCarryingExpenses[Date],(tblCarryingExpenses[Category]="Private Money")*(tblCarryingExpenses[Include]="Yes")),_xlfn._xlws.FILTER(tblCarryingExpenses[Date],(tblCarryingExpenses[Category]="Private Money")*(tblCarryingExpenses[Include]="Yes")),1),ROWS($G$3:G16)),"")</f>
        <v>45621</v>
      </c>
      <c r="H16" s="340" cm="1">
        <f t="array" ref="H16">IFERROR(INDEX(_xlfn.SORTBY(_xlfn._xlws.FILTER(tblCarryingExpenses[Amount],(tblCarryingExpenses[Category]="Private Money")*(tblCarryingExpenses[Include]="Yes")),_xlfn._xlws.FILTER(tblCarryingExpenses[Date],(tblCarryingExpenses[Category]="Private Money")*(tblCarryingExpenses[Include]="Yes")),1),ROWS($G$3:G16)),"")</f>
        <v>925</v>
      </c>
      <c r="I16" s="338"/>
      <c r="J16" s="339" t="str" cm="1">
        <f t="array" ref="J16">IFERROR(INDEX(_xlfn.SORTBY(_xlfn._xlws.FILTER(tblCarryingExpenses[Date],(tblCarryingExpenses[Category]="Casa Lending")*(tblCarryingExpenses[Include]="Yes")),_xlfn._xlws.FILTER(tblCarryingExpenses[Date],(tblCarryingExpenses[Category]="Casa Lending")*(tblCarryingExpenses[Include]="Yes")),1),ROWS($J$3:J16)),"")</f>
        <v/>
      </c>
      <c r="K16" s="340" t="str" cm="1">
        <f t="array" ref="K16">IFERROR(INDEX(_xlfn.SORTBY(_xlfn._xlws.FILTER(tblCarryingExpenses[Amount],(tblCarryingExpenses[Category]="Casa Lending")*(tblCarryingExpenses[Include]="Yes")),_xlfn._xlws.FILTER(tblCarryingExpenses[Date],(tblCarryingExpenses[Category]="Casa Lending")*(tblCarryingExpenses[Include]="Yes")),1),ROWS($J$3:J16)),"")</f>
        <v/>
      </c>
      <c r="L16" s="338"/>
      <c r="M16" s="339" cm="1">
        <f t="array" ref="M16">IFERROR(INDEX(_xlfn.SORTBY(_xlfn._xlws.FILTER(tblCarryingExpenses[Date],(tblCarryingExpenses[Category]="Insurance Payments")*(tblCarryingExpenses[Include]="Yes")),_xlfn._xlws.FILTER(tblCarryingExpenses[Date],(tblCarryingExpenses[Category]="Insurance Payments")*(tblCarryingExpenses[Include]="Yes")),1),ROWS($M$3:M16)),"")</f>
        <v>45653</v>
      </c>
      <c r="N16" s="340" cm="1">
        <f t="array" ref="N16">IFERROR(INDEX(_xlfn.SORTBY(_xlfn._xlws.FILTER(tblCarryingExpenses[Amount],(tblCarryingExpenses[Category]="Insurance Payments")*(tblCarryingExpenses[Include]="Yes")),_xlfn._xlws.FILTER(tblCarryingExpenses[Date],(tblCarryingExpenses[Category]="Insurance Payments")*(tblCarryingExpenses[Include]="Yes")),1),ROWS($M$3:M16)),"")</f>
        <v>94.65</v>
      </c>
      <c r="O16" s="338"/>
      <c r="P16" s="339" t="str" cm="1">
        <f t="array" ref="P16">IFERROR(INDEX(_xlfn.SORTBY(_xlfn._xlws.FILTER(tblCarryingExpenses[Date],(tblCarryingExpenses[Category]="Water")*(tblCarryingExpenses[Include]="Yes")),_xlfn._xlws.FILTER(tblCarryingExpenses[Date],(tblCarryingExpenses[Category]="Water")*(tblCarryingExpenses[Include]="Yes")),1),ROWS($P$3:P16)),"")</f>
        <v/>
      </c>
      <c r="Q16" s="340" t="str" cm="1">
        <f t="array" ref="Q16">IFERROR(INDEX(_xlfn.SORTBY(_xlfn._xlws.FILTER(tblCarryingExpenses[Amount],(tblCarryingExpenses[Category]="Water")*(tblCarryingExpenses[Include]="Yes")),_xlfn._xlws.FILTER(tblCarryingExpenses[Date],(tblCarryingExpenses[Category]="Water")*(tblCarryingExpenses[Include]="Yes")),1),ROWS($P$3:P16)),"")</f>
        <v/>
      </c>
      <c r="R16" s="338"/>
      <c r="S16" s="339" t="str" cm="1">
        <f t="array" ref="S16">IFERROR(INDEX(_xlfn.SORTBY(_xlfn._xlws.FILTER(tblCarryingExpenses[Date],(tblCarryingExpenses[Category]="Natural Gas")*(tblCarryingExpenses[Include]="Yes")),_xlfn._xlws.FILTER(tblCarryingExpenses[Date],(tblCarryingExpenses[Category]="Natural Gas")*(tblCarryingExpenses[Include]="Yes")),1),ROWS($S$3:S16)),"")</f>
        <v/>
      </c>
      <c r="T16" s="340" t="str" cm="1">
        <f t="array" ref="T16">IFERROR(INDEX(_xlfn.SORTBY(_xlfn._xlws.FILTER(tblCarryingExpenses[Amount],(tblCarryingExpenses[Category]="Natural Gas")*(tblCarryingExpenses[Include]="Yes")),_xlfn._xlws.FILTER(tblCarryingExpenses[Date],(tblCarryingExpenses[Category]="Natural Gas")*(tblCarryingExpenses[Include]="Yes")),1),ROWS($S$3:S16)),"")</f>
        <v/>
      </c>
      <c r="U16" s="338"/>
      <c r="V16" s="339" t="str" cm="1">
        <f t="array" ref="V16">IFERROR(INDEX(_xlfn.SORTBY(_xlfn._xlws.FILTER(tblCarryingExpenses[Date],(tblCarryingExpenses[Category]="HOA")*(tblCarryingExpenses[Include]="Yes")),_xlfn._xlws.FILTER(tblCarryingExpenses[Date],(tblCarryingExpenses[Category]="HOA")*(tblCarryingExpenses[Include]="Yes")),1),ROWS($V$3:V16)),"")</f>
        <v/>
      </c>
      <c r="W16" s="340" t="str" cm="1">
        <f t="array" ref="W16">IFERROR(INDEX(_xlfn.SORTBY(_xlfn._xlws.FILTER(tblCarryingExpenses[Amount],(tblCarryingExpenses[Category]="HOA")*(tblCarryingExpenses[Include]="Yes")),_xlfn._xlws.FILTER(tblCarryingExpenses[Date],(tblCarryingExpenses[Category]="HOA")*(tblCarryingExpenses[Include]="Yes")),1),ROWS($V$3:V16)),"")</f>
        <v/>
      </c>
      <c r="X16" s="338"/>
      <c r="Y16" s="339" t="str" cm="1">
        <f t="array" ref="Y16">IFERROR(INDEX(_xlfn.SORTBY(_xlfn._xlws.FILTER(tblCarryingExpenses[Date],(tblCarryingExpenses[Category]="Property Taxes")*(tblCarryingExpenses[Include]="Yes")),_xlfn._xlws.FILTER(tblCarryingExpenses[Date],(tblCarryingExpenses[Category]="Property Taxes")*(tblCarryingExpenses[Include]="Yes")),1),ROWS($Y$3:Y16)),"")</f>
        <v/>
      </c>
      <c r="Z16" s="340" t="str" cm="1">
        <f t="array" ref="Z16">IFERROR(IF(INDEX(_xlfn.SORTBY(_xlfn._xlws.FILTER(tblCarryingExpenses[Amount],(tblCarryingExpenses[Category]="Property Taxes")*(tblCarryingExpenses[Include]="Yes")),_xlfn._xlws.FILTER(tblCarryingExpenses[Date],(tblCarryingExpenses[Category]="Property Taxes")*(tblCarryingExpenses[Include]="Yes")),1),ROWS($Y$3:Y16))&lt;0,"",INDEX(_xlfn.SORTBY(_xlfn._xlws.FILTER(tblCarryingExpenses[Amount],(tblCarryingExpenses[Category]="Property Taxes")*(tblCarryingExpenses[Include]="Yes")),_xlfn._xlws.FILTER(tblCarryingExpenses[Date],(tblCarryingExpenses[Category]="Property Taxes")*(tblCarryingExpenses[Include]="Yes")),1),ROWS($Y$3:Y16))),"")</f>
        <v/>
      </c>
      <c r="AA16" s="340" t="str" cm="1">
        <f t="array" ref="AA16">IFERROR(IF(ISNUMBER(SEARCH("escrow",INDEX(_xlfn.SORTBY(_xlfn._xlws.FILTER(tblCarryingExpenses[Notes],(tblCarryingExpenses[Category]="Property Taxes")*(tblCarryingExpenses[Include]="Yes")),_xlfn._xlws.FILTER(tblCarryingExpenses[Date],(tblCarryingExpenses[Category]="Property Taxes")*(tblCarryingExpenses[Include]="Yes")),1),ROWS($Y$3:Y16)))),INDEX(_xlfn.SORTBY(_xlfn._xlws.FILTER(tblCarryingExpenses[Amount],(tblCarryingExpenses[Category]="Property Taxes")*(tblCarryingExpenses[Include]="Yes")),_xlfn._xlws.FILTER(tblCarryingExpenses[Date],(tblCarryingExpenses[Category]="Property Taxes")*(tblCarryingExpenses[Include]="Yes")),1),ROWS($Y$3:Y16)),""),"")</f>
        <v/>
      </c>
      <c r="AB16" s="339" t="str" cm="1">
        <f t="array" ref="AB16">IFERROR(INDEX(_xlfn.SORTBY(_xlfn._xlws.FILTER(tblCarryingExpenses[Date],(tblCarryingExpenses[Category]="Excavator Rental")*(tblCarryingExpenses[Include]="Yes")),_xlfn._xlws.FILTER(tblCarryingExpenses[Date],(tblCarryingExpenses[Category]="Excavator Rental")*(tblCarryingExpenses[Include]="Yes")),1),ROWS($AB$3:AB16)),"")</f>
        <v/>
      </c>
      <c r="AC16" s="340" t="str" cm="1">
        <f t="array" ref="AC16">IFERROR(INDEX(_xlfn.SORTBY(_xlfn._xlws.FILTER(tblCarryingExpenses[Amount],(tblCarryingExpenses[Category]="Excavator Rental")*(tblCarryingExpenses[Include]="Yes")),_xlfn._xlws.FILTER(tblCarryingExpenses[Date],(tblCarryingExpenses[Category]="Excavator Rental")*(tblCarryingExpenses[Include]="Yes")),1),ROWS($AB$3:AB16)),"")</f>
        <v/>
      </c>
      <c r="AD16" s="338"/>
      <c r="AE16" s="339" t="str" cm="1">
        <f t="array" ref="AE16">IFERROR(INDEX(_xlfn.SORTBY(_xlfn._xlws.FILTER(tblCarryingExpenses[Date],(tblCarryingExpenses[Category]="Lawn")*(tblCarryingExpenses[Include]="Yes")),_xlfn._xlws.FILTER(tblCarryingExpenses[Date],(tblCarryingExpenses[Category]="Lawn")*(tblCarryingExpenses[Include]="Yes")),1),ROWS($AE$3:AE16)),"")</f>
        <v/>
      </c>
      <c r="AF16" s="340" t="str" cm="1">
        <f t="array" ref="AF16">IFERROR(INDEX(_xlfn.SORTBY(_xlfn._xlws.FILTER(tblCarryingExpenses[Amount],(tblCarryingExpenses[Category]="Lawn")*(tblCarryingExpenses[Include]="Yes")),_xlfn._xlws.FILTER(tblCarryingExpenses[Date],(tblCarryingExpenses[Category]="Lawn")*(tblCarryingExpenses[Include]="Yes")),1),ROWS($AE$3:AE16)),"")</f>
        <v/>
      </c>
      <c r="AL16" t="s">
        <v>7</v>
      </c>
      <c r="AM16" t="s">
        <v>791</v>
      </c>
      <c r="AN16" s="12">
        <v>45444</v>
      </c>
      <c r="AQ16" s="5">
        <v>1081.21</v>
      </c>
      <c r="AR16" t="s">
        <v>780</v>
      </c>
      <c r="AT16" t="s">
        <v>781</v>
      </c>
      <c r="AU16" t="s">
        <v>782</v>
      </c>
      <c r="AV16" t="s">
        <v>797</v>
      </c>
    </row>
    <row r="17" spans="1:48" x14ac:dyDescent="0.25">
      <c r="A17" s="339" t="str" cm="1">
        <f t="array" ref="A17">IFERROR(INDEX(_xlfn.SORTBY(_xlfn._xlws.FILTER(tblCarryingExpenses[Date],(tblCarryingExpenses[Category]="Duke Electric")*(tblCarryingExpenses[Include]="Yes")),_xlfn._xlws.FILTER(tblCarryingExpenses[Date],(tblCarryingExpenses[Category]="Duke Electric")*(tblCarryingExpenses[Include]="Yes")),1),ROWS($A$3:A17)),"")</f>
        <v/>
      </c>
      <c r="B17" s="340" t="str" cm="1">
        <f t="array" ref="B17">IFERROR(INDEX(_xlfn.SORTBY(_xlfn._xlws.FILTER(tblCarryingExpenses[Amount],(tblCarryingExpenses[Category]="Duke Electric")*(tblCarryingExpenses[Include]="Yes")),_xlfn._xlws.FILTER(tblCarryingExpenses[Date],(tblCarryingExpenses[Category]="Duke Electric")*(tblCarryingExpenses[Include]="Yes")),1),ROWS($A$3:A17)),"")</f>
        <v/>
      </c>
      <c r="C17" s="338"/>
      <c r="D17" s="339" cm="1">
        <f t="array" ref="D17">IFERROR(INDEX(_xlfn.SORTBY(_xlfn._xlws.FILTER(tblCarryingExpenses[Date],(tblCarryingExpenses[Category]="Mortgage Payment")*(tblCarryingExpenses[Include]="Yes")),_xlfn._xlws.FILTER(tblCarryingExpenses[Date],(tblCarryingExpenses[Category]="Mortgage Payment")*(tblCarryingExpenses[Include]="Yes")),1),ROWS($D$3:D17)),"")</f>
        <v>45684</v>
      </c>
      <c r="E17" s="340" cm="1">
        <f t="array" ref="E17">IFERROR(INDEX(_xlfn.SORTBY(_xlfn._xlws.FILTER(tblCarryingExpenses[Amount],(tblCarryingExpenses[Category]="Mortgage Payment")*(tblCarryingExpenses[Include]="Yes")),_xlfn._xlws.FILTER(tblCarryingExpenses[Date],(tblCarryingExpenses[Category]="Mortgage Payment")*(tblCarryingExpenses[Include]="Yes")),1),ROWS($D$3:D17)),"")</f>
        <v>1081.21</v>
      </c>
      <c r="F17" s="338"/>
      <c r="G17" s="339" cm="1">
        <f t="array" ref="G17">IFERROR(INDEX(_xlfn.SORTBY(_xlfn._xlws.FILTER(tblCarryingExpenses[Date],(tblCarryingExpenses[Category]="Private Money")*(tblCarryingExpenses[Include]="Yes")),_xlfn._xlws.FILTER(tblCarryingExpenses[Date],(tblCarryingExpenses[Category]="Private Money")*(tblCarryingExpenses[Include]="Yes")),1),ROWS($G$3:G17)),"")</f>
        <v>45651</v>
      </c>
      <c r="H17" s="340" cm="1">
        <f t="array" ref="H17">IFERROR(INDEX(_xlfn.SORTBY(_xlfn._xlws.FILTER(tblCarryingExpenses[Amount],(tblCarryingExpenses[Category]="Private Money")*(tblCarryingExpenses[Include]="Yes")),_xlfn._xlws.FILTER(tblCarryingExpenses[Date],(tblCarryingExpenses[Category]="Private Money")*(tblCarryingExpenses[Include]="Yes")),1),ROWS($G$3:G17)),"")</f>
        <v>925</v>
      </c>
      <c r="I17" s="338"/>
      <c r="J17" s="339" t="str" cm="1">
        <f t="array" ref="J17">IFERROR(INDEX(_xlfn.SORTBY(_xlfn._xlws.FILTER(tblCarryingExpenses[Date],(tblCarryingExpenses[Category]="Casa Lending")*(tblCarryingExpenses[Include]="Yes")),_xlfn._xlws.FILTER(tblCarryingExpenses[Date],(tblCarryingExpenses[Category]="Casa Lending")*(tblCarryingExpenses[Include]="Yes")),1),ROWS($J$3:J17)),"")</f>
        <v/>
      </c>
      <c r="K17" s="340" t="str" cm="1">
        <f t="array" ref="K17">IFERROR(INDEX(_xlfn.SORTBY(_xlfn._xlws.FILTER(tblCarryingExpenses[Amount],(tblCarryingExpenses[Category]="Casa Lending")*(tblCarryingExpenses[Include]="Yes")),_xlfn._xlws.FILTER(tblCarryingExpenses[Date],(tblCarryingExpenses[Category]="Casa Lending")*(tblCarryingExpenses[Include]="Yes")),1),ROWS($J$3:J17)),"")</f>
        <v/>
      </c>
      <c r="L17" s="338"/>
      <c r="M17" s="339" cm="1">
        <f t="array" ref="M17">IFERROR(INDEX(_xlfn.SORTBY(_xlfn._xlws.FILTER(tblCarryingExpenses[Date],(tblCarryingExpenses[Category]="Insurance Payments")*(tblCarryingExpenses[Include]="Yes")),_xlfn._xlws.FILTER(tblCarryingExpenses[Date],(tblCarryingExpenses[Category]="Insurance Payments")*(tblCarryingExpenses[Include]="Yes")),1),ROWS($M$3:M17)),"")</f>
        <v>45660</v>
      </c>
      <c r="N17" s="340" cm="1">
        <f t="array" ref="N17">IFERROR(INDEX(_xlfn.SORTBY(_xlfn._xlws.FILTER(tblCarryingExpenses[Amount],(tblCarryingExpenses[Category]="Insurance Payments")*(tblCarryingExpenses[Include]="Yes")),_xlfn._xlws.FILTER(tblCarryingExpenses[Date],(tblCarryingExpenses[Category]="Insurance Payments")*(tblCarryingExpenses[Include]="Yes")),1),ROWS($M$3:M17)),"")</f>
        <v>94.65</v>
      </c>
      <c r="O17" s="338"/>
      <c r="P17" s="339" t="str" cm="1">
        <f t="array" ref="P17">IFERROR(INDEX(_xlfn.SORTBY(_xlfn._xlws.FILTER(tblCarryingExpenses[Date],(tblCarryingExpenses[Category]="Water")*(tblCarryingExpenses[Include]="Yes")),_xlfn._xlws.FILTER(tblCarryingExpenses[Date],(tblCarryingExpenses[Category]="Water")*(tblCarryingExpenses[Include]="Yes")),1),ROWS($P$3:P17)),"")</f>
        <v/>
      </c>
      <c r="Q17" s="340" t="str" cm="1">
        <f t="array" ref="Q17">IFERROR(INDEX(_xlfn.SORTBY(_xlfn._xlws.FILTER(tblCarryingExpenses[Amount],(tblCarryingExpenses[Category]="Water")*(tblCarryingExpenses[Include]="Yes")),_xlfn._xlws.FILTER(tblCarryingExpenses[Date],(tblCarryingExpenses[Category]="Water")*(tblCarryingExpenses[Include]="Yes")),1),ROWS($P$3:P17)),"")</f>
        <v/>
      </c>
      <c r="R17" s="338"/>
      <c r="S17" s="339" t="str" cm="1">
        <f t="array" ref="S17">IFERROR(INDEX(_xlfn.SORTBY(_xlfn._xlws.FILTER(tblCarryingExpenses[Date],(tblCarryingExpenses[Category]="Natural Gas")*(tblCarryingExpenses[Include]="Yes")),_xlfn._xlws.FILTER(tblCarryingExpenses[Date],(tblCarryingExpenses[Category]="Natural Gas")*(tblCarryingExpenses[Include]="Yes")),1),ROWS($S$3:S17)),"")</f>
        <v/>
      </c>
      <c r="T17" s="340" t="str" cm="1">
        <f t="array" ref="T17">IFERROR(INDEX(_xlfn.SORTBY(_xlfn._xlws.FILTER(tblCarryingExpenses[Amount],(tblCarryingExpenses[Category]="Natural Gas")*(tblCarryingExpenses[Include]="Yes")),_xlfn._xlws.FILTER(tblCarryingExpenses[Date],(tblCarryingExpenses[Category]="Natural Gas")*(tblCarryingExpenses[Include]="Yes")),1),ROWS($S$3:S17)),"")</f>
        <v/>
      </c>
      <c r="U17" s="338"/>
      <c r="V17" s="339" t="str" cm="1">
        <f t="array" ref="V17">IFERROR(INDEX(_xlfn.SORTBY(_xlfn._xlws.FILTER(tblCarryingExpenses[Date],(tblCarryingExpenses[Category]="HOA")*(tblCarryingExpenses[Include]="Yes")),_xlfn._xlws.FILTER(tblCarryingExpenses[Date],(tblCarryingExpenses[Category]="HOA")*(tblCarryingExpenses[Include]="Yes")),1),ROWS($V$3:V17)),"")</f>
        <v/>
      </c>
      <c r="W17" s="340" t="str" cm="1">
        <f t="array" ref="W17">IFERROR(INDEX(_xlfn.SORTBY(_xlfn._xlws.FILTER(tblCarryingExpenses[Amount],(tblCarryingExpenses[Category]="HOA")*(tblCarryingExpenses[Include]="Yes")),_xlfn._xlws.FILTER(tblCarryingExpenses[Date],(tblCarryingExpenses[Category]="HOA")*(tblCarryingExpenses[Include]="Yes")),1),ROWS($V$3:V17)),"")</f>
        <v/>
      </c>
      <c r="X17" s="338"/>
      <c r="Y17" s="339" t="str" cm="1">
        <f t="array" ref="Y17">IFERROR(INDEX(_xlfn.SORTBY(_xlfn._xlws.FILTER(tblCarryingExpenses[Date],(tblCarryingExpenses[Category]="Property Taxes")*(tblCarryingExpenses[Include]="Yes")),_xlfn._xlws.FILTER(tblCarryingExpenses[Date],(tblCarryingExpenses[Category]="Property Taxes")*(tblCarryingExpenses[Include]="Yes")),1),ROWS($Y$3:Y17)),"")</f>
        <v/>
      </c>
      <c r="Z17" s="340" t="str" cm="1">
        <f t="array" ref="Z17">IFERROR(IF(INDEX(_xlfn.SORTBY(_xlfn._xlws.FILTER(tblCarryingExpenses[Amount],(tblCarryingExpenses[Category]="Property Taxes")*(tblCarryingExpenses[Include]="Yes")),_xlfn._xlws.FILTER(tblCarryingExpenses[Date],(tblCarryingExpenses[Category]="Property Taxes")*(tblCarryingExpenses[Include]="Yes")),1),ROWS($Y$3:Y17))&lt;0,"",INDEX(_xlfn.SORTBY(_xlfn._xlws.FILTER(tblCarryingExpenses[Amount],(tblCarryingExpenses[Category]="Property Taxes")*(tblCarryingExpenses[Include]="Yes")),_xlfn._xlws.FILTER(tblCarryingExpenses[Date],(tblCarryingExpenses[Category]="Property Taxes")*(tblCarryingExpenses[Include]="Yes")),1),ROWS($Y$3:Y17))),"")</f>
        <v/>
      </c>
      <c r="AA17" s="340" t="str" cm="1">
        <f t="array" ref="AA17">IFERROR(IF(ISNUMBER(SEARCH("escrow",INDEX(_xlfn.SORTBY(_xlfn._xlws.FILTER(tblCarryingExpenses[Notes],(tblCarryingExpenses[Category]="Property Taxes")*(tblCarryingExpenses[Include]="Yes")),_xlfn._xlws.FILTER(tblCarryingExpenses[Date],(tblCarryingExpenses[Category]="Property Taxes")*(tblCarryingExpenses[Include]="Yes")),1),ROWS($Y$3:Y17)))),INDEX(_xlfn.SORTBY(_xlfn._xlws.FILTER(tblCarryingExpenses[Amount],(tblCarryingExpenses[Category]="Property Taxes")*(tblCarryingExpenses[Include]="Yes")),_xlfn._xlws.FILTER(tblCarryingExpenses[Date],(tblCarryingExpenses[Category]="Property Taxes")*(tblCarryingExpenses[Include]="Yes")),1),ROWS($Y$3:Y17)),""),"")</f>
        <v/>
      </c>
      <c r="AB17" s="339" t="str" cm="1">
        <f t="array" ref="AB17">IFERROR(INDEX(_xlfn.SORTBY(_xlfn._xlws.FILTER(tblCarryingExpenses[Date],(tblCarryingExpenses[Category]="Excavator Rental")*(tblCarryingExpenses[Include]="Yes")),_xlfn._xlws.FILTER(tblCarryingExpenses[Date],(tblCarryingExpenses[Category]="Excavator Rental")*(tblCarryingExpenses[Include]="Yes")),1),ROWS($AB$3:AB17)),"")</f>
        <v/>
      </c>
      <c r="AC17" s="340" t="str" cm="1">
        <f t="array" ref="AC17">IFERROR(INDEX(_xlfn.SORTBY(_xlfn._xlws.FILTER(tblCarryingExpenses[Amount],(tblCarryingExpenses[Category]="Excavator Rental")*(tblCarryingExpenses[Include]="Yes")),_xlfn._xlws.FILTER(tblCarryingExpenses[Date],(tblCarryingExpenses[Category]="Excavator Rental")*(tblCarryingExpenses[Include]="Yes")),1),ROWS($AB$3:AB17)),"")</f>
        <v/>
      </c>
      <c r="AD17" s="338"/>
      <c r="AE17" s="339" t="str" cm="1">
        <f t="array" ref="AE17">IFERROR(INDEX(_xlfn.SORTBY(_xlfn._xlws.FILTER(tblCarryingExpenses[Date],(tblCarryingExpenses[Category]="Lawn")*(tblCarryingExpenses[Include]="Yes")),_xlfn._xlws.FILTER(tblCarryingExpenses[Date],(tblCarryingExpenses[Category]="Lawn")*(tblCarryingExpenses[Include]="Yes")),1),ROWS($AE$3:AE17)),"")</f>
        <v/>
      </c>
      <c r="AF17" s="340" t="str" cm="1">
        <f t="array" ref="AF17">IFERROR(INDEX(_xlfn.SORTBY(_xlfn._xlws.FILTER(tblCarryingExpenses[Amount],(tblCarryingExpenses[Category]="Lawn")*(tblCarryingExpenses[Include]="Yes")),_xlfn._xlws.FILTER(tblCarryingExpenses[Date],(tblCarryingExpenses[Category]="Lawn")*(tblCarryingExpenses[Include]="Yes")),1),ROWS($AE$3:AE17)),"")</f>
        <v/>
      </c>
      <c r="AL17" t="s">
        <v>7</v>
      </c>
      <c r="AM17" t="s">
        <v>791</v>
      </c>
      <c r="AN17" s="12">
        <v>45474</v>
      </c>
      <c r="AQ17" s="5">
        <v>1081.21</v>
      </c>
      <c r="AR17" t="s">
        <v>780</v>
      </c>
      <c r="AT17" t="s">
        <v>781</v>
      </c>
      <c r="AU17" t="s">
        <v>782</v>
      </c>
      <c r="AV17" t="s">
        <v>798</v>
      </c>
    </row>
    <row r="18" spans="1:48" x14ac:dyDescent="0.25">
      <c r="A18" s="339" t="str" cm="1">
        <f t="array" ref="A18">IFERROR(INDEX(_xlfn.SORTBY(_xlfn._xlws.FILTER(tblCarryingExpenses[Date],(tblCarryingExpenses[Category]="Duke Electric")*(tblCarryingExpenses[Include]="Yes")),_xlfn._xlws.FILTER(tblCarryingExpenses[Date],(tblCarryingExpenses[Category]="Duke Electric")*(tblCarryingExpenses[Include]="Yes")),1),ROWS($A$3:A18)),"")</f>
        <v/>
      </c>
      <c r="B18" s="340" t="str" cm="1">
        <f t="array" ref="B18">IFERROR(INDEX(_xlfn.SORTBY(_xlfn._xlws.FILTER(tblCarryingExpenses[Amount],(tblCarryingExpenses[Category]="Duke Electric")*(tblCarryingExpenses[Include]="Yes")),_xlfn._xlws.FILTER(tblCarryingExpenses[Date],(tblCarryingExpenses[Category]="Duke Electric")*(tblCarryingExpenses[Include]="Yes")),1),ROWS($A$3:A18)),"")</f>
        <v/>
      </c>
      <c r="C18" s="338"/>
      <c r="D18" s="339" cm="1">
        <f t="array" ref="D18">IFERROR(INDEX(_xlfn.SORTBY(_xlfn._xlws.FILTER(tblCarryingExpenses[Date],(tblCarryingExpenses[Category]="Mortgage Payment")*(tblCarryingExpenses[Include]="Yes")),_xlfn._xlws.FILTER(tblCarryingExpenses[Date],(tblCarryingExpenses[Category]="Mortgage Payment")*(tblCarryingExpenses[Include]="Yes")),1),ROWS($D$3:D18)),"")</f>
        <v>45714</v>
      </c>
      <c r="E18" s="340" cm="1">
        <f t="array" ref="E18">IFERROR(INDEX(_xlfn.SORTBY(_xlfn._xlws.FILTER(tblCarryingExpenses[Amount],(tblCarryingExpenses[Category]="Mortgage Payment")*(tblCarryingExpenses[Include]="Yes")),_xlfn._xlws.FILTER(tblCarryingExpenses[Date],(tblCarryingExpenses[Category]="Mortgage Payment")*(tblCarryingExpenses[Include]="Yes")),1),ROWS($D$3:D18)),"")</f>
        <v>1209.23</v>
      </c>
      <c r="F18" s="338"/>
      <c r="G18" s="339" cm="1">
        <f t="array" ref="G18">IFERROR(INDEX(_xlfn.SORTBY(_xlfn._xlws.FILTER(tblCarryingExpenses[Date],(tblCarryingExpenses[Category]="Private Money")*(tblCarryingExpenses[Include]="Yes")),_xlfn._xlws.FILTER(tblCarryingExpenses[Date],(tblCarryingExpenses[Category]="Private Money")*(tblCarryingExpenses[Include]="Yes")),1),ROWS($G$3:G18)),"")</f>
        <v>45685</v>
      </c>
      <c r="H18" s="340" cm="1">
        <f t="array" ref="H18">IFERROR(INDEX(_xlfn.SORTBY(_xlfn._xlws.FILTER(tblCarryingExpenses[Amount],(tblCarryingExpenses[Category]="Private Money")*(tblCarryingExpenses[Include]="Yes")),_xlfn._xlws.FILTER(tblCarryingExpenses[Date],(tblCarryingExpenses[Category]="Private Money")*(tblCarryingExpenses[Include]="Yes")),1),ROWS($G$3:G18)),"")</f>
        <v>925</v>
      </c>
      <c r="I18" s="338"/>
      <c r="J18" s="339" t="str" cm="1">
        <f t="array" ref="J18">IFERROR(INDEX(_xlfn.SORTBY(_xlfn._xlws.FILTER(tblCarryingExpenses[Date],(tblCarryingExpenses[Category]="Casa Lending")*(tblCarryingExpenses[Include]="Yes")),_xlfn._xlws.FILTER(tblCarryingExpenses[Date],(tblCarryingExpenses[Category]="Casa Lending")*(tblCarryingExpenses[Include]="Yes")),1),ROWS($J$3:J18)),"")</f>
        <v/>
      </c>
      <c r="K18" s="340" t="str" cm="1">
        <f t="array" ref="K18">IFERROR(INDEX(_xlfn.SORTBY(_xlfn._xlws.FILTER(tblCarryingExpenses[Amount],(tblCarryingExpenses[Category]="Casa Lending")*(tblCarryingExpenses[Include]="Yes")),_xlfn._xlws.FILTER(tblCarryingExpenses[Date],(tblCarryingExpenses[Category]="Casa Lending")*(tblCarryingExpenses[Include]="Yes")),1),ROWS($J$3:J18)),"")</f>
        <v/>
      </c>
      <c r="L18" s="338"/>
      <c r="M18" s="339" cm="1">
        <f t="array" ref="M18">IFERROR(INDEX(_xlfn.SORTBY(_xlfn._xlws.FILTER(tblCarryingExpenses[Date],(tblCarryingExpenses[Category]="Insurance Payments")*(tblCarryingExpenses[Include]="Yes")),_xlfn._xlws.FILTER(tblCarryingExpenses[Date],(tblCarryingExpenses[Category]="Insurance Payments")*(tblCarryingExpenses[Include]="Yes")),1),ROWS($M$3:M18)),"")</f>
        <v>45690</v>
      </c>
      <c r="N18" s="340" cm="1">
        <f t="array" ref="N18">IFERROR(INDEX(_xlfn.SORTBY(_xlfn._xlws.FILTER(tblCarryingExpenses[Amount],(tblCarryingExpenses[Category]="Insurance Payments")*(tblCarryingExpenses[Include]="Yes")),_xlfn._xlws.FILTER(tblCarryingExpenses[Date],(tblCarryingExpenses[Category]="Insurance Payments")*(tblCarryingExpenses[Include]="Yes")),1),ROWS($M$3:M18)),"")</f>
        <v>94.65</v>
      </c>
      <c r="O18" s="338"/>
      <c r="P18" s="339" t="str" cm="1">
        <f t="array" ref="P18">IFERROR(INDEX(_xlfn.SORTBY(_xlfn._xlws.FILTER(tblCarryingExpenses[Date],(tblCarryingExpenses[Category]="Water")*(tblCarryingExpenses[Include]="Yes")),_xlfn._xlws.FILTER(tblCarryingExpenses[Date],(tblCarryingExpenses[Category]="Water")*(tblCarryingExpenses[Include]="Yes")),1),ROWS($P$3:P18)),"")</f>
        <v/>
      </c>
      <c r="Q18" s="340" t="str" cm="1">
        <f t="array" ref="Q18">IFERROR(INDEX(_xlfn.SORTBY(_xlfn._xlws.FILTER(tblCarryingExpenses[Amount],(tblCarryingExpenses[Category]="Water")*(tblCarryingExpenses[Include]="Yes")),_xlfn._xlws.FILTER(tblCarryingExpenses[Date],(tblCarryingExpenses[Category]="Water")*(tblCarryingExpenses[Include]="Yes")),1),ROWS($P$3:P18)),"")</f>
        <v/>
      </c>
      <c r="R18" s="338"/>
      <c r="S18" s="339" t="str" cm="1">
        <f t="array" ref="S18">IFERROR(INDEX(_xlfn.SORTBY(_xlfn._xlws.FILTER(tblCarryingExpenses[Date],(tblCarryingExpenses[Category]="Natural Gas")*(tblCarryingExpenses[Include]="Yes")),_xlfn._xlws.FILTER(tblCarryingExpenses[Date],(tblCarryingExpenses[Category]="Natural Gas")*(tblCarryingExpenses[Include]="Yes")),1),ROWS($S$3:S18)),"")</f>
        <v/>
      </c>
      <c r="T18" s="340" t="str" cm="1">
        <f t="array" ref="T18">IFERROR(INDEX(_xlfn.SORTBY(_xlfn._xlws.FILTER(tblCarryingExpenses[Amount],(tblCarryingExpenses[Category]="Natural Gas")*(tblCarryingExpenses[Include]="Yes")),_xlfn._xlws.FILTER(tblCarryingExpenses[Date],(tblCarryingExpenses[Category]="Natural Gas")*(tblCarryingExpenses[Include]="Yes")),1),ROWS($S$3:S18)),"")</f>
        <v/>
      </c>
      <c r="U18" s="338"/>
      <c r="V18" s="339" t="str" cm="1">
        <f t="array" ref="V18">IFERROR(INDEX(_xlfn.SORTBY(_xlfn._xlws.FILTER(tblCarryingExpenses[Date],(tblCarryingExpenses[Category]="HOA")*(tblCarryingExpenses[Include]="Yes")),_xlfn._xlws.FILTER(tblCarryingExpenses[Date],(tblCarryingExpenses[Category]="HOA")*(tblCarryingExpenses[Include]="Yes")),1),ROWS($V$3:V18)),"")</f>
        <v/>
      </c>
      <c r="W18" s="340" t="str" cm="1">
        <f t="array" ref="W18">IFERROR(INDEX(_xlfn.SORTBY(_xlfn._xlws.FILTER(tblCarryingExpenses[Amount],(tblCarryingExpenses[Category]="HOA")*(tblCarryingExpenses[Include]="Yes")),_xlfn._xlws.FILTER(tblCarryingExpenses[Date],(tblCarryingExpenses[Category]="HOA")*(tblCarryingExpenses[Include]="Yes")),1),ROWS($V$3:V18)),"")</f>
        <v/>
      </c>
      <c r="X18" s="338"/>
      <c r="Y18" s="339" t="str" cm="1">
        <f t="array" ref="Y18">IFERROR(INDEX(_xlfn.SORTBY(_xlfn._xlws.FILTER(tblCarryingExpenses[Date],(tblCarryingExpenses[Category]="Property Taxes")*(tblCarryingExpenses[Include]="Yes")),_xlfn._xlws.FILTER(tblCarryingExpenses[Date],(tblCarryingExpenses[Category]="Property Taxes")*(tblCarryingExpenses[Include]="Yes")),1),ROWS($Y$3:Y18)),"")</f>
        <v/>
      </c>
      <c r="Z18" s="340" t="str" cm="1">
        <f t="array" ref="Z18">IFERROR(IF(INDEX(_xlfn.SORTBY(_xlfn._xlws.FILTER(tblCarryingExpenses[Amount],(tblCarryingExpenses[Category]="Property Taxes")*(tblCarryingExpenses[Include]="Yes")),_xlfn._xlws.FILTER(tblCarryingExpenses[Date],(tblCarryingExpenses[Category]="Property Taxes")*(tblCarryingExpenses[Include]="Yes")),1),ROWS($Y$3:Y18))&lt;0,"",INDEX(_xlfn.SORTBY(_xlfn._xlws.FILTER(tblCarryingExpenses[Amount],(tblCarryingExpenses[Category]="Property Taxes")*(tblCarryingExpenses[Include]="Yes")),_xlfn._xlws.FILTER(tblCarryingExpenses[Date],(tblCarryingExpenses[Category]="Property Taxes")*(tblCarryingExpenses[Include]="Yes")),1),ROWS($Y$3:Y18))),"")</f>
        <v/>
      </c>
      <c r="AA18" s="340" t="str" cm="1">
        <f t="array" ref="AA18">IFERROR(IF(ISNUMBER(SEARCH("escrow",INDEX(_xlfn.SORTBY(_xlfn._xlws.FILTER(tblCarryingExpenses[Notes],(tblCarryingExpenses[Category]="Property Taxes")*(tblCarryingExpenses[Include]="Yes")),_xlfn._xlws.FILTER(tblCarryingExpenses[Date],(tblCarryingExpenses[Category]="Property Taxes")*(tblCarryingExpenses[Include]="Yes")),1),ROWS($Y$3:Y18)))),INDEX(_xlfn.SORTBY(_xlfn._xlws.FILTER(tblCarryingExpenses[Amount],(tblCarryingExpenses[Category]="Property Taxes")*(tblCarryingExpenses[Include]="Yes")),_xlfn._xlws.FILTER(tblCarryingExpenses[Date],(tblCarryingExpenses[Category]="Property Taxes")*(tblCarryingExpenses[Include]="Yes")),1),ROWS($Y$3:Y18)),""),"")</f>
        <v/>
      </c>
      <c r="AB18" s="339" t="str" cm="1">
        <f t="array" ref="AB18">IFERROR(INDEX(_xlfn.SORTBY(_xlfn._xlws.FILTER(tblCarryingExpenses[Date],(tblCarryingExpenses[Category]="Excavator Rental")*(tblCarryingExpenses[Include]="Yes")),_xlfn._xlws.FILTER(tblCarryingExpenses[Date],(tblCarryingExpenses[Category]="Excavator Rental")*(tblCarryingExpenses[Include]="Yes")),1),ROWS($AB$3:AB18)),"")</f>
        <v/>
      </c>
      <c r="AC18" s="340" t="str" cm="1">
        <f t="array" ref="AC18">IFERROR(INDEX(_xlfn.SORTBY(_xlfn._xlws.FILTER(tblCarryingExpenses[Amount],(tblCarryingExpenses[Category]="Excavator Rental")*(tblCarryingExpenses[Include]="Yes")),_xlfn._xlws.FILTER(tblCarryingExpenses[Date],(tblCarryingExpenses[Category]="Excavator Rental")*(tblCarryingExpenses[Include]="Yes")),1),ROWS($AB$3:AB18)),"")</f>
        <v/>
      </c>
      <c r="AD18" s="338"/>
      <c r="AE18" s="339" t="str" cm="1">
        <f t="array" ref="AE18">IFERROR(INDEX(_xlfn.SORTBY(_xlfn._xlws.FILTER(tblCarryingExpenses[Date],(tblCarryingExpenses[Category]="Lawn")*(tblCarryingExpenses[Include]="Yes")),_xlfn._xlws.FILTER(tblCarryingExpenses[Date],(tblCarryingExpenses[Category]="Lawn")*(tblCarryingExpenses[Include]="Yes")),1),ROWS($AE$3:AE18)),"")</f>
        <v/>
      </c>
      <c r="AF18" s="340" t="str" cm="1">
        <f t="array" ref="AF18">IFERROR(INDEX(_xlfn.SORTBY(_xlfn._xlws.FILTER(tblCarryingExpenses[Amount],(tblCarryingExpenses[Category]="Lawn")*(tblCarryingExpenses[Include]="Yes")),_xlfn._xlws.FILTER(tblCarryingExpenses[Date],(tblCarryingExpenses[Category]="Lawn")*(tblCarryingExpenses[Include]="Yes")),1),ROWS($AE$3:AE18)),"")</f>
        <v/>
      </c>
      <c r="AL18" t="s">
        <v>7</v>
      </c>
      <c r="AM18" t="s">
        <v>791</v>
      </c>
      <c r="AN18" s="12">
        <v>45504</v>
      </c>
      <c r="AQ18" s="5">
        <v>1081.21</v>
      </c>
      <c r="AR18" t="s">
        <v>780</v>
      </c>
      <c r="AT18" t="s">
        <v>781</v>
      </c>
      <c r="AU18" t="s">
        <v>782</v>
      </c>
      <c r="AV18" t="s">
        <v>799</v>
      </c>
    </row>
    <row r="19" spans="1:48" x14ac:dyDescent="0.25">
      <c r="A19" s="339" t="str" cm="1">
        <f t="array" ref="A19">IFERROR(INDEX(_xlfn.SORTBY(_xlfn._xlws.FILTER(tblCarryingExpenses[Date],(tblCarryingExpenses[Category]="Duke Electric")*(tblCarryingExpenses[Include]="Yes")),_xlfn._xlws.FILTER(tblCarryingExpenses[Date],(tblCarryingExpenses[Category]="Duke Electric")*(tblCarryingExpenses[Include]="Yes")),1),ROWS($A$3:A19)),"")</f>
        <v/>
      </c>
      <c r="B19" s="340" t="str" cm="1">
        <f t="array" ref="B19">IFERROR(INDEX(_xlfn.SORTBY(_xlfn._xlws.FILTER(tblCarryingExpenses[Amount],(tblCarryingExpenses[Category]="Duke Electric")*(tblCarryingExpenses[Include]="Yes")),_xlfn._xlws.FILTER(tblCarryingExpenses[Date],(tblCarryingExpenses[Category]="Duke Electric")*(tblCarryingExpenses[Include]="Yes")),1),ROWS($A$3:A19)),"")</f>
        <v/>
      </c>
      <c r="C19" s="338"/>
      <c r="D19" s="339" cm="1">
        <f t="array" ref="D19">IFERROR(INDEX(_xlfn.SORTBY(_xlfn._xlws.FILTER(tblCarryingExpenses[Date],(tblCarryingExpenses[Category]="Mortgage Payment")*(tblCarryingExpenses[Include]="Yes")),_xlfn._xlws.FILTER(tblCarryingExpenses[Date],(tblCarryingExpenses[Category]="Mortgage Payment")*(tblCarryingExpenses[Include]="Yes")),1),ROWS($D$3:D19)),"")</f>
        <v>45744</v>
      </c>
      <c r="E19" s="340" cm="1">
        <f t="array" ref="E19">IFERROR(INDEX(_xlfn.SORTBY(_xlfn._xlws.FILTER(tblCarryingExpenses[Amount],(tblCarryingExpenses[Category]="Mortgage Payment")*(tblCarryingExpenses[Include]="Yes")),_xlfn._xlws.FILTER(tblCarryingExpenses[Date],(tblCarryingExpenses[Category]="Mortgage Payment")*(tblCarryingExpenses[Include]="Yes")),1),ROWS($D$3:D19)),"")</f>
        <v>1209.23</v>
      </c>
      <c r="F19" s="338"/>
      <c r="G19" s="339" cm="1">
        <f t="array" ref="G19">IFERROR(INDEX(_xlfn.SORTBY(_xlfn._xlws.FILTER(tblCarryingExpenses[Date],(tblCarryingExpenses[Category]="Private Money")*(tblCarryingExpenses[Include]="Yes")),_xlfn._xlws.FILTER(tblCarryingExpenses[Date],(tblCarryingExpenses[Category]="Private Money")*(tblCarryingExpenses[Include]="Yes")),1),ROWS($G$3:G19)),"")</f>
        <v>45715</v>
      </c>
      <c r="H19" s="340" cm="1">
        <f t="array" ref="H19">IFERROR(INDEX(_xlfn.SORTBY(_xlfn._xlws.FILTER(tblCarryingExpenses[Amount],(tblCarryingExpenses[Category]="Private Money")*(tblCarryingExpenses[Include]="Yes")),_xlfn._xlws.FILTER(tblCarryingExpenses[Date],(tblCarryingExpenses[Category]="Private Money")*(tblCarryingExpenses[Include]="Yes")),1),ROWS($G$3:G19)),"")</f>
        <v>925</v>
      </c>
      <c r="I19" s="338"/>
      <c r="J19" s="339" t="str" cm="1">
        <f t="array" ref="J19">IFERROR(INDEX(_xlfn.SORTBY(_xlfn._xlws.FILTER(tblCarryingExpenses[Date],(tblCarryingExpenses[Category]="Casa Lending")*(tblCarryingExpenses[Include]="Yes")),_xlfn._xlws.FILTER(tblCarryingExpenses[Date],(tblCarryingExpenses[Category]="Casa Lending")*(tblCarryingExpenses[Include]="Yes")),1),ROWS($J$3:J19)),"")</f>
        <v/>
      </c>
      <c r="K19" s="340" t="str" cm="1">
        <f t="array" ref="K19">IFERROR(INDEX(_xlfn.SORTBY(_xlfn._xlws.FILTER(tblCarryingExpenses[Amount],(tblCarryingExpenses[Category]="Casa Lending")*(tblCarryingExpenses[Include]="Yes")),_xlfn._xlws.FILTER(tblCarryingExpenses[Date],(tblCarryingExpenses[Category]="Casa Lending")*(tblCarryingExpenses[Include]="Yes")),1),ROWS($J$3:J19)),"")</f>
        <v/>
      </c>
      <c r="L19" s="338"/>
      <c r="M19" s="339" cm="1">
        <f t="array" ref="M19">IFERROR(INDEX(_xlfn.SORTBY(_xlfn._xlws.FILTER(tblCarryingExpenses[Date],(tblCarryingExpenses[Category]="Insurance Payments")*(tblCarryingExpenses[Include]="Yes")),_xlfn._xlws.FILTER(tblCarryingExpenses[Date],(tblCarryingExpenses[Category]="Insurance Payments")*(tblCarryingExpenses[Include]="Yes")),1),ROWS($M$3:M19)),"")</f>
        <v>45720</v>
      </c>
      <c r="N19" s="340" cm="1">
        <f t="array" ref="N19">IFERROR(INDEX(_xlfn.SORTBY(_xlfn._xlws.FILTER(tblCarryingExpenses[Amount],(tblCarryingExpenses[Category]="Insurance Payments")*(tblCarryingExpenses[Include]="Yes")),_xlfn._xlws.FILTER(tblCarryingExpenses[Date],(tblCarryingExpenses[Category]="Insurance Payments")*(tblCarryingExpenses[Include]="Yes")),1),ROWS($M$3:M19)),"")</f>
        <v>94.65</v>
      </c>
      <c r="O19" s="338"/>
      <c r="P19" s="339" t="str" cm="1">
        <f t="array" ref="P19">IFERROR(INDEX(_xlfn.SORTBY(_xlfn._xlws.FILTER(tblCarryingExpenses[Date],(tblCarryingExpenses[Category]="Water")*(tblCarryingExpenses[Include]="Yes")),_xlfn._xlws.FILTER(tblCarryingExpenses[Date],(tblCarryingExpenses[Category]="Water")*(tblCarryingExpenses[Include]="Yes")),1),ROWS($P$3:P19)),"")</f>
        <v/>
      </c>
      <c r="Q19" s="340" t="str" cm="1">
        <f t="array" ref="Q19">IFERROR(INDEX(_xlfn.SORTBY(_xlfn._xlws.FILTER(tblCarryingExpenses[Amount],(tblCarryingExpenses[Category]="Water")*(tblCarryingExpenses[Include]="Yes")),_xlfn._xlws.FILTER(tblCarryingExpenses[Date],(tblCarryingExpenses[Category]="Water")*(tblCarryingExpenses[Include]="Yes")),1),ROWS($P$3:P19)),"")</f>
        <v/>
      </c>
      <c r="R19" s="338"/>
      <c r="S19" s="339" t="str" cm="1">
        <f t="array" ref="S19">IFERROR(INDEX(_xlfn.SORTBY(_xlfn._xlws.FILTER(tblCarryingExpenses[Date],(tblCarryingExpenses[Category]="Natural Gas")*(tblCarryingExpenses[Include]="Yes")),_xlfn._xlws.FILTER(tblCarryingExpenses[Date],(tblCarryingExpenses[Category]="Natural Gas")*(tblCarryingExpenses[Include]="Yes")),1),ROWS($S$3:S19)),"")</f>
        <v/>
      </c>
      <c r="T19" s="340" t="str" cm="1">
        <f t="array" ref="T19">IFERROR(INDEX(_xlfn.SORTBY(_xlfn._xlws.FILTER(tblCarryingExpenses[Amount],(tblCarryingExpenses[Category]="Natural Gas")*(tblCarryingExpenses[Include]="Yes")),_xlfn._xlws.FILTER(tblCarryingExpenses[Date],(tblCarryingExpenses[Category]="Natural Gas")*(tblCarryingExpenses[Include]="Yes")),1),ROWS($S$3:S19)),"")</f>
        <v/>
      </c>
      <c r="U19" s="338"/>
      <c r="V19" s="339" t="str" cm="1">
        <f t="array" ref="V19">IFERROR(INDEX(_xlfn.SORTBY(_xlfn._xlws.FILTER(tblCarryingExpenses[Date],(tblCarryingExpenses[Category]="HOA")*(tblCarryingExpenses[Include]="Yes")),_xlfn._xlws.FILTER(tblCarryingExpenses[Date],(tblCarryingExpenses[Category]="HOA")*(tblCarryingExpenses[Include]="Yes")),1),ROWS($V$3:V19)),"")</f>
        <v/>
      </c>
      <c r="W19" s="340" t="str" cm="1">
        <f t="array" ref="W19">IFERROR(INDEX(_xlfn.SORTBY(_xlfn._xlws.FILTER(tblCarryingExpenses[Amount],(tblCarryingExpenses[Category]="HOA")*(tblCarryingExpenses[Include]="Yes")),_xlfn._xlws.FILTER(tblCarryingExpenses[Date],(tblCarryingExpenses[Category]="HOA")*(tblCarryingExpenses[Include]="Yes")),1),ROWS($V$3:V19)),"")</f>
        <v/>
      </c>
      <c r="X19" s="338"/>
      <c r="Y19" s="339" t="str" cm="1">
        <f t="array" ref="Y19">IFERROR(INDEX(_xlfn.SORTBY(_xlfn._xlws.FILTER(tblCarryingExpenses[Date],(tblCarryingExpenses[Category]="Property Taxes")*(tblCarryingExpenses[Include]="Yes")),_xlfn._xlws.FILTER(tblCarryingExpenses[Date],(tblCarryingExpenses[Category]="Property Taxes")*(tblCarryingExpenses[Include]="Yes")),1),ROWS($Y$3:Y19)),"")</f>
        <v/>
      </c>
      <c r="Z19" s="340" t="str" cm="1">
        <f t="array" ref="Z19">IFERROR(IF(INDEX(_xlfn.SORTBY(_xlfn._xlws.FILTER(tblCarryingExpenses[Amount],(tblCarryingExpenses[Category]="Property Taxes")*(tblCarryingExpenses[Include]="Yes")),_xlfn._xlws.FILTER(tblCarryingExpenses[Date],(tblCarryingExpenses[Category]="Property Taxes")*(tblCarryingExpenses[Include]="Yes")),1),ROWS($Y$3:Y19))&lt;0,"",INDEX(_xlfn.SORTBY(_xlfn._xlws.FILTER(tblCarryingExpenses[Amount],(tblCarryingExpenses[Category]="Property Taxes")*(tblCarryingExpenses[Include]="Yes")),_xlfn._xlws.FILTER(tblCarryingExpenses[Date],(tblCarryingExpenses[Category]="Property Taxes")*(tblCarryingExpenses[Include]="Yes")),1),ROWS($Y$3:Y19))),"")</f>
        <v/>
      </c>
      <c r="AA19" s="340" t="str" cm="1">
        <f t="array" ref="AA19">IFERROR(IF(ISNUMBER(SEARCH("escrow",INDEX(_xlfn.SORTBY(_xlfn._xlws.FILTER(tblCarryingExpenses[Notes],(tblCarryingExpenses[Category]="Property Taxes")*(tblCarryingExpenses[Include]="Yes")),_xlfn._xlws.FILTER(tblCarryingExpenses[Date],(tblCarryingExpenses[Category]="Property Taxes")*(tblCarryingExpenses[Include]="Yes")),1),ROWS($Y$3:Y19)))),INDEX(_xlfn.SORTBY(_xlfn._xlws.FILTER(tblCarryingExpenses[Amount],(tblCarryingExpenses[Category]="Property Taxes")*(tblCarryingExpenses[Include]="Yes")),_xlfn._xlws.FILTER(tblCarryingExpenses[Date],(tblCarryingExpenses[Category]="Property Taxes")*(tblCarryingExpenses[Include]="Yes")),1),ROWS($Y$3:Y19)),""),"")</f>
        <v/>
      </c>
      <c r="AB19" s="339" t="str" cm="1">
        <f t="array" ref="AB19">IFERROR(INDEX(_xlfn.SORTBY(_xlfn._xlws.FILTER(tblCarryingExpenses[Date],(tblCarryingExpenses[Category]="Excavator Rental")*(tblCarryingExpenses[Include]="Yes")),_xlfn._xlws.FILTER(tblCarryingExpenses[Date],(tblCarryingExpenses[Category]="Excavator Rental")*(tblCarryingExpenses[Include]="Yes")),1),ROWS($AB$3:AB19)),"")</f>
        <v/>
      </c>
      <c r="AC19" s="340" t="str" cm="1">
        <f t="array" ref="AC19">IFERROR(INDEX(_xlfn.SORTBY(_xlfn._xlws.FILTER(tblCarryingExpenses[Amount],(tblCarryingExpenses[Category]="Excavator Rental")*(tblCarryingExpenses[Include]="Yes")),_xlfn._xlws.FILTER(tblCarryingExpenses[Date],(tblCarryingExpenses[Category]="Excavator Rental")*(tblCarryingExpenses[Include]="Yes")),1),ROWS($AB$3:AB19)),"")</f>
        <v/>
      </c>
      <c r="AD19" s="338"/>
      <c r="AE19" s="339" t="str" cm="1">
        <f t="array" ref="AE19">IFERROR(INDEX(_xlfn.SORTBY(_xlfn._xlws.FILTER(tblCarryingExpenses[Date],(tblCarryingExpenses[Category]="Lawn")*(tblCarryingExpenses[Include]="Yes")),_xlfn._xlws.FILTER(tblCarryingExpenses[Date],(tblCarryingExpenses[Category]="Lawn")*(tblCarryingExpenses[Include]="Yes")),1),ROWS($AE$3:AE19)),"")</f>
        <v/>
      </c>
      <c r="AF19" s="340" t="str" cm="1">
        <f t="array" ref="AF19">IFERROR(INDEX(_xlfn.SORTBY(_xlfn._xlws.FILTER(tblCarryingExpenses[Amount],(tblCarryingExpenses[Category]="Lawn")*(tblCarryingExpenses[Include]="Yes")),_xlfn._xlws.FILTER(tblCarryingExpenses[Date],(tblCarryingExpenses[Category]="Lawn")*(tblCarryingExpenses[Include]="Yes")),1),ROWS($AE$3:AE19)),"")</f>
        <v/>
      </c>
      <c r="AL19" t="s">
        <v>7</v>
      </c>
      <c r="AM19" t="s">
        <v>791</v>
      </c>
      <c r="AN19" s="12">
        <v>45504</v>
      </c>
      <c r="AQ19" s="5">
        <v>1081.21</v>
      </c>
      <c r="AR19" t="s">
        <v>780</v>
      </c>
      <c r="AT19" t="s">
        <v>781</v>
      </c>
      <c r="AU19" t="s">
        <v>782</v>
      </c>
      <c r="AV19" t="s">
        <v>800</v>
      </c>
    </row>
    <row r="20" spans="1:48" x14ac:dyDescent="0.25">
      <c r="A20" s="339" t="str" cm="1">
        <f t="array" ref="A20">IFERROR(INDEX(_xlfn.SORTBY(_xlfn._xlws.FILTER(tblCarryingExpenses[Date],(tblCarryingExpenses[Category]="Duke Electric")*(tblCarryingExpenses[Include]="Yes")),_xlfn._xlws.FILTER(tblCarryingExpenses[Date],(tblCarryingExpenses[Category]="Duke Electric")*(tblCarryingExpenses[Include]="Yes")),1),ROWS($A$3:A20)),"")</f>
        <v/>
      </c>
      <c r="B20" s="340" t="str" cm="1">
        <f t="array" ref="B20">IFERROR(INDEX(_xlfn.SORTBY(_xlfn._xlws.FILTER(tblCarryingExpenses[Amount],(tblCarryingExpenses[Category]="Duke Electric")*(tblCarryingExpenses[Include]="Yes")),_xlfn._xlws.FILTER(tblCarryingExpenses[Date],(tblCarryingExpenses[Category]="Duke Electric")*(tblCarryingExpenses[Include]="Yes")),1),ROWS($A$3:A20)),"")</f>
        <v/>
      </c>
      <c r="C20" s="338"/>
      <c r="D20" s="339" cm="1">
        <f t="array" ref="D20">IFERROR(INDEX(_xlfn.SORTBY(_xlfn._xlws.FILTER(tblCarryingExpenses[Date],(tblCarryingExpenses[Category]="Mortgage Payment")*(tblCarryingExpenses[Include]="Yes")),_xlfn._xlws.FILTER(tblCarryingExpenses[Date],(tblCarryingExpenses[Category]="Mortgage Payment")*(tblCarryingExpenses[Include]="Yes")),1),ROWS($D$3:D20)),"")</f>
        <v>45774</v>
      </c>
      <c r="E20" s="340" cm="1">
        <f t="array" ref="E20">IFERROR(INDEX(_xlfn.SORTBY(_xlfn._xlws.FILTER(tblCarryingExpenses[Amount],(tblCarryingExpenses[Category]="Mortgage Payment")*(tblCarryingExpenses[Include]="Yes")),_xlfn._xlws.FILTER(tblCarryingExpenses[Date],(tblCarryingExpenses[Category]="Mortgage Payment")*(tblCarryingExpenses[Include]="Yes")),1),ROWS($D$3:D20)),"")</f>
        <v>1209.23</v>
      </c>
      <c r="F20" s="338"/>
      <c r="G20" s="339" cm="1">
        <f t="array" ref="G20">IFERROR(INDEX(_xlfn.SORTBY(_xlfn._xlws.FILTER(tblCarryingExpenses[Date],(tblCarryingExpenses[Category]="Private Money")*(tblCarryingExpenses[Include]="Yes")),_xlfn._xlws.FILTER(tblCarryingExpenses[Date],(tblCarryingExpenses[Category]="Private Money")*(tblCarryingExpenses[Include]="Yes")),1),ROWS($G$3:G20)),"")</f>
        <v>45745</v>
      </c>
      <c r="H20" s="340" cm="1">
        <f t="array" ref="H20">IFERROR(INDEX(_xlfn.SORTBY(_xlfn._xlws.FILTER(tblCarryingExpenses[Amount],(tblCarryingExpenses[Category]="Private Money")*(tblCarryingExpenses[Include]="Yes")),_xlfn._xlws.FILTER(tblCarryingExpenses[Date],(tblCarryingExpenses[Category]="Private Money")*(tblCarryingExpenses[Include]="Yes")),1),ROWS($G$3:G20)),"")</f>
        <v>925</v>
      </c>
      <c r="I20" s="338"/>
      <c r="J20" s="339" t="str" cm="1">
        <f t="array" ref="J20">IFERROR(INDEX(_xlfn.SORTBY(_xlfn._xlws.FILTER(tblCarryingExpenses[Date],(tblCarryingExpenses[Category]="Casa Lending")*(tblCarryingExpenses[Include]="Yes")),_xlfn._xlws.FILTER(tblCarryingExpenses[Date],(tblCarryingExpenses[Category]="Casa Lending")*(tblCarryingExpenses[Include]="Yes")),1),ROWS($J$3:J20)),"")</f>
        <v/>
      </c>
      <c r="K20" s="340" t="str" cm="1">
        <f t="array" ref="K20">IFERROR(INDEX(_xlfn.SORTBY(_xlfn._xlws.FILTER(tblCarryingExpenses[Amount],(tblCarryingExpenses[Category]="Casa Lending")*(tblCarryingExpenses[Include]="Yes")),_xlfn._xlws.FILTER(tblCarryingExpenses[Date],(tblCarryingExpenses[Category]="Casa Lending")*(tblCarryingExpenses[Include]="Yes")),1),ROWS($J$3:J20)),"")</f>
        <v/>
      </c>
      <c r="L20" s="338"/>
      <c r="M20" s="339" cm="1">
        <f t="array" ref="M20">IFERROR(INDEX(_xlfn.SORTBY(_xlfn._xlws.FILTER(tblCarryingExpenses[Date],(tblCarryingExpenses[Category]="Insurance Payments")*(tblCarryingExpenses[Include]="Yes")),_xlfn._xlws.FILTER(tblCarryingExpenses[Date],(tblCarryingExpenses[Category]="Insurance Payments")*(tblCarryingExpenses[Include]="Yes")),1),ROWS($M$3:M20)),"")</f>
        <v>45750</v>
      </c>
      <c r="N20" s="340" cm="1">
        <f t="array" ref="N20">IFERROR(INDEX(_xlfn.SORTBY(_xlfn._xlws.FILTER(tblCarryingExpenses[Amount],(tblCarryingExpenses[Category]="Insurance Payments")*(tblCarryingExpenses[Include]="Yes")),_xlfn._xlws.FILTER(tblCarryingExpenses[Date],(tblCarryingExpenses[Category]="Insurance Payments")*(tblCarryingExpenses[Include]="Yes")),1),ROWS($M$3:M20)),"")</f>
        <v>94.65</v>
      </c>
      <c r="O20" s="338"/>
      <c r="P20" s="339" t="str" cm="1">
        <f t="array" ref="P20">IFERROR(INDEX(_xlfn.SORTBY(_xlfn._xlws.FILTER(tblCarryingExpenses[Date],(tblCarryingExpenses[Category]="Water")*(tblCarryingExpenses[Include]="Yes")),_xlfn._xlws.FILTER(tblCarryingExpenses[Date],(tblCarryingExpenses[Category]="Water")*(tblCarryingExpenses[Include]="Yes")),1),ROWS($P$3:P20)),"")</f>
        <v/>
      </c>
      <c r="Q20" s="340" t="str" cm="1">
        <f t="array" ref="Q20">IFERROR(INDEX(_xlfn.SORTBY(_xlfn._xlws.FILTER(tblCarryingExpenses[Amount],(tblCarryingExpenses[Category]="Water")*(tblCarryingExpenses[Include]="Yes")),_xlfn._xlws.FILTER(tblCarryingExpenses[Date],(tblCarryingExpenses[Category]="Water")*(tblCarryingExpenses[Include]="Yes")),1),ROWS($P$3:P20)),"")</f>
        <v/>
      </c>
      <c r="R20" s="338"/>
      <c r="S20" s="339" t="str" cm="1">
        <f t="array" ref="S20">IFERROR(INDEX(_xlfn.SORTBY(_xlfn._xlws.FILTER(tblCarryingExpenses[Date],(tblCarryingExpenses[Category]="Natural Gas")*(tblCarryingExpenses[Include]="Yes")),_xlfn._xlws.FILTER(tblCarryingExpenses[Date],(tblCarryingExpenses[Category]="Natural Gas")*(tblCarryingExpenses[Include]="Yes")),1),ROWS($S$3:S20)),"")</f>
        <v/>
      </c>
      <c r="T20" s="340" t="str" cm="1">
        <f t="array" ref="T20">IFERROR(INDEX(_xlfn.SORTBY(_xlfn._xlws.FILTER(tblCarryingExpenses[Amount],(tblCarryingExpenses[Category]="Natural Gas")*(tblCarryingExpenses[Include]="Yes")),_xlfn._xlws.FILTER(tblCarryingExpenses[Date],(tblCarryingExpenses[Category]="Natural Gas")*(tblCarryingExpenses[Include]="Yes")),1),ROWS($S$3:S20)),"")</f>
        <v/>
      </c>
      <c r="U20" s="338"/>
      <c r="V20" s="339" t="str" cm="1">
        <f t="array" ref="V20">IFERROR(INDEX(_xlfn.SORTBY(_xlfn._xlws.FILTER(tblCarryingExpenses[Date],(tblCarryingExpenses[Category]="HOA")*(tblCarryingExpenses[Include]="Yes")),_xlfn._xlws.FILTER(tblCarryingExpenses[Date],(tblCarryingExpenses[Category]="HOA")*(tblCarryingExpenses[Include]="Yes")),1),ROWS($V$3:V20)),"")</f>
        <v/>
      </c>
      <c r="W20" s="340" t="str" cm="1">
        <f t="array" ref="W20">IFERROR(INDEX(_xlfn.SORTBY(_xlfn._xlws.FILTER(tblCarryingExpenses[Amount],(tblCarryingExpenses[Category]="HOA")*(tblCarryingExpenses[Include]="Yes")),_xlfn._xlws.FILTER(tblCarryingExpenses[Date],(tblCarryingExpenses[Category]="HOA")*(tblCarryingExpenses[Include]="Yes")),1),ROWS($V$3:V20)),"")</f>
        <v/>
      </c>
      <c r="X20" s="338"/>
      <c r="Y20" s="339" t="str" cm="1">
        <f t="array" ref="Y20">IFERROR(INDEX(_xlfn.SORTBY(_xlfn._xlws.FILTER(tblCarryingExpenses[Date],(tblCarryingExpenses[Category]="Property Taxes")*(tblCarryingExpenses[Include]="Yes")),_xlfn._xlws.FILTER(tblCarryingExpenses[Date],(tblCarryingExpenses[Category]="Property Taxes")*(tblCarryingExpenses[Include]="Yes")),1),ROWS($Y$3:Y20)),"")</f>
        <v/>
      </c>
      <c r="Z20" s="340" t="str" cm="1">
        <f t="array" ref="Z20">IFERROR(IF(INDEX(_xlfn.SORTBY(_xlfn._xlws.FILTER(tblCarryingExpenses[Amount],(tblCarryingExpenses[Category]="Property Taxes")*(tblCarryingExpenses[Include]="Yes")),_xlfn._xlws.FILTER(tblCarryingExpenses[Date],(tblCarryingExpenses[Category]="Property Taxes")*(tblCarryingExpenses[Include]="Yes")),1),ROWS($Y$3:Y20))&lt;0,"",INDEX(_xlfn.SORTBY(_xlfn._xlws.FILTER(tblCarryingExpenses[Amount],(tblCarryingExpenses[Category]="Property Taxes")*(tblCarryingExpenses[Include]="Yes")),_xlfn._xlws.FILTER(tblCarryingExpenses[Date],(tblCarryingExpenses[Category]="Property Taxes")*(tblCarryingExpenses[Include]="Yes")),1),ROWS($Y$3:Y20))),"")</f>
        <v/>
      </c>
      <c r="AA20" s="340" t="str" cm="1">
        <f t="array" ref="AA20">IFERROR(IF(ISNUMBER(SEARCH("escrow",INDEX(_xlfn.SORTBY(_xlfn._xlws.FILTER(tblCarryingExpenses[Notes],(tblCarryingExpenses[Category]="Property Taxes")*(tblCarryingExpenses[Include]="Yes")),_xlfn._xlws.FILTER(tblCarryingExpenses[Date],(tblCarryingExpenses[Category]="Property Taxes")*(tblCarryingExpenses[Include]="Yes")),1),ROWS($Y$3:Y20)))),INDEX(_xlfn.SORTBY(_xlfn._xlws.FILTER(tblCarryingExpenses[Amount],(tblCarryingExpenses[Category]="Property Taxes")*(tblCarryingExpenses[Include]="Yes")),_xlfn._xlws.FILTER(tblCarryingExpenses[Date],(tblCarryingExpenses[Category]="Property Taxes")*(tblCarryingExpenses[Include]="Yes")),1),ROWS($Y$3:Y20)),""),"")</f>
        <v/>
      </c>
      <c r="AB20" s="339" t="str" cm="1">
        <f t="array" ref="AB20">IFERROR(INDEX(_xlfn.SORTBY(_xlfn._xlws.FILTER(tblCarryingExpenses[Date],(tblCarryingExpenses[Category]="Excavator Rental")*(tblCarryingExpenses[Include]="Yes")),_xlfn._xlws.FILTER(tblCarryingExpenses[Date],(tblCarryingExpenses[Category]="Excavator Rental")*(tblCarryingExpenses[Include]="Yes")),1),ROWS($AB$3:AB20)),"")</f>
        <v/>
      </c>
      <c r="AC20" s="340" t="str" cm="1">
        <f t="array" ref="AC20">IFERROR(INDEX(_xlfn.SORTBY(_xlfn._xlws.FILTER(tblCarryingExpenses[Amount],(tblCarryingExpenses[Category]="Excavator Rental")*(tblCarryingExpenses[Include]="Yes")),_xlfn._xlws.FILTER(tblCarryingExpenses[Date],(tblCarryingExpenses[Category]="Excavator Rental")*(tblCarryingExpenses[Include]="Yes")),1),ROWS($AB$3:AB20)),"")</f>
        <v/>
      </c>
      <c r="AD20" s="338"/>
      <c r="AE20" s="339" t="str" cm="1">
        <f t="array" ref="AE20">IFERROR(INDEX(_xlfn.SORTBY(_xlfn._xlws.FILTER(tblCarryingExpenses[Date],(tblCarryingExpenses[Category]="Lawn")*(tblCarryingExpenses[Include]="Yes")),_xlfn._xlws.FILTER(tblCarryingExpenses[Date],(tblCarryingExpenses[Category]="Lawn")*(tblCarryingExpenses[Include]="Yes")),1),ROWS($AE$3:AE20)),"")</f>
        <v/>
      </c>
      <c r="AF20" s="340" t="str" cm="1">
        <f t="array" ref="AF20">IFERROR(INDEX(_xlfn.SORTBY(_xlfn._xlws.FILTER(tblCarryingExpenses[Amount],(tblCarryingExpenses[Category]="Lawn")*(tblCarryingExpenses[Include]="Yes")),_xlfn._xlws.FILTER(tblCarryingExpenses[Date],(tblCarryingExpenses[Category]="Lawn")*(tblCarryingExpenses[Include]="Yes")),1),ROWS($AE$3:AE20)),"")</f>
        <v/>
      </c>
      <c r="AL20" t="s">
        <v>7</v>
      </c>
      <c r="AM20" t="s">
        <v>791</v>
      </c>
      <c r="AN20" s="12">
        <v>45534</v>
      </c>
      <c r="AQ20" s="5">
        <v>1081.21</v>
      </c>
      <c r="AR20" t="s">
        <v>780</v>
      </c>
      <c r="AT20" t="s">
        <v>781</v>
      </c>
      <c r="AU20" t="s">
        <v>782</v>
      </c>
      <c r="AV20" t="s">
        <v>801</v>
      </c>
    </row>
    <row r="21" spans="1:48" x14ac:dyDescent="0.25">
      <c r="A21" s="339" t="str" cm="1">
        <f t="array" ref="A21">IFERROR(INDEX(_xlfn.SORTBY(_xlfn._xlws.FILTER(tblCarryingExpenses[Date],(tblCarryingExpenses[Category]="Duke Electric")*(tblCarryingExpenses[Include]="Yes")),_xlfn._xlws.FILTER(tblCarryingExpenses[Date],(tblCarryingExpenses[Category]="Duke Electric")*(tblCarryingExpenses[Include]="Yes")),1),ROWS($A$3:A21)),"")</f>
        <v/>
      </c>
      <c r="B21" s="340" t="str" cm="1">
        <f t="array" ref="B21">IFERROR(INDEX(_xlfn.SORTBY(_xlfn._xlws.FILTER(tblCarryingExpenses[Amount],(tblCarryingExpenses[Category]="Duke Electric")*(tblCarryingExpenses[Include]="Yes")),_xlfn._xlws.FILTER(tblCarryingExpenses[Date],(tblCarryingExpenses[Category]="Duke Electric")*(tblCarryingExpenses[Include]="Yes")),1),ROWS($A$3:A21)),"")</f>
        <v/>
      </c>
      <c r="C21" s="338"/>
      <c r="D21" s="339" cm="1">
        <f t="array" ref="D21">IFERROR(INDEX(_xlfn.SORTBY(_xlfn._xlws.FILTER(tblCarryingExpenses[Date],(tblCarryingExpenses[Category]="Mortgage Payment")*(tblCarryingExpenses[Include]="Yes")),_xlfn._xlws.FILTER(tblCarryingExpenses[Date],(tblCarryingExpenses[Category]="Mortgage Payment")*(tblCarryingExpenses[Include]="Yes")),1),ROWS($D$3:D21)),"")</f>
        <v>45804</v>
      </c>
      <c r="E21" s="340" cm="1">
        <f t="array" ref="E21">IFERROR(INDEX(_xlfn.SORTBY(_xlfn._xlws.FILTER(tblCarryingExpenses[Amount],(tblCarryingExpenses[Category]="Mortgage Payment")*(tblCarryingExpenses[Include]="Yes")),_xlfn._xlws.FILTER(tblCarryingExpenses[Date],(tblCarryingExpenses[Category]="Mortgage Payment")*(tblCarryingExpenses[Include]="Yes")),1),ROWS($D$3:D21)),"")</f>
        <v>1209.23</v>
      </c>
      <c r="F21" s="338"/>
      <c r="G21" s="339" cm="1">
        <f t="array" ref="G21">IFERROR(INDEX(_xlfn.SORTBY(_xlfn._xlws.FILTER(tblCarryingExpenses[Date],(tblCarryingExpenses[Category]="Private Money")*(tblCarryingExpenses[Include]="Yes")),_xlfn._xlws.FILTER(tblCarryingExpenses[Date],(tblCarryingExpenses[Category]="Private Money")*(tblCarryingExpenses[Include]="Yes")),1),ROWS($G$3:G21)),"")</f>
        <v>45775</v>
      </c>
      <c r="H21" s="340" cm="1">
        <f t="array" ref="H21">IFERROR(INDEX(_xlfn.SORTBY(_xlfn._xlws.FILTER(tblCarryingExpenses[Amount],(tblCarryingExpenses[Category]="Private Money")*(tblCarryingExpenses[Include]="Yes")),_xlfn._xlws.FILTER(tblCarryingExpenses[Date],(tblCarryingExpenses[Category]="Private Money")*(tblCarryingExpenses[Include]="Yes")),1),ROWS($G$3:G21)),"")</f>
        <v>925</v>
      </c>
      <c r="I21" s="338"/>
      <c r="J21" s="339" t="str" cm="1">
        <f t="array" ref="J21">IFERROR(INDEX(_xlfn.SORTBY(_xlfn._xlws.FILTER(tblCarryingExpenses[Date],(tblCarryingExpenses[Category]="Casa Lending")*(tblCarryingExpenses[Include]="Yes")),_xlfn._xlws.FILTER(tblCarryingExpenses[Date],(tblCarryingExpenses[Category]="Casa Lending")*(tblCarryingExpenses[Include]="Yes")),1),ROWS($J$3:J21)),"")</f>
        <v/>
      </c>
      <c r="K21" s="340" t="str" cm="1">
        <f t="array" ref="K21">IFERROR(INDEX(_xlfn.SORTBY(_xlfn._xlws.FILTER(tblCarryingExpenses[Amount],(tblCarryingExpenses[Category]="Casa Lending")*(tblCarryingExpenses[Include]="Yes")),_xlfn._xlws.FILTER(tblCarryingExpenses[Date],(tblCarryingExpenses[Category]="Casa Lending")*(tblCarryingExpenses[Include]="Yes")),1),ROWS($J$3:J21)),"")</f>
        <v/>
      </c>
      <c r="L21" s="338"/>
      <c r="M21" s="339" cm="1">
        <f t="array" ref="M21">IFERROR(INDEX(_xlfn.SORTBY(_xlfn._xlws.FILTER(tblCarryingExpenses[Date],(tblCarryingExpenses[Category]="Insurance Payments")*(tblCarryingExpenses[Include]="Yes")),_xlfn._xlws.FILTER(tblCarryingExpenses[Date],(tblCarryingExpenses[Category]="Insurance Payments")*(tblCarryingExpenses[Include]="Yes")),1),ROWS($M$3:M21)),"")</f>
        <v>45780</v>
      </c>
      <c r="N21" s="340" cm="1">
        <f t="array" ref="N21">IFERROR(INDEX(_xlfn.SORTBY(_xlfn._xlws.FILTER(tblCarryingExpenses[Amount],(tblCarryingExpenses[Category]="Insurance Payments")*(tblCarryingExpenses[Include]="Yes")),_xlfn._xlws.FILTER(tblCarryingExpenses[Date],(tblCarryingExpenses[Category]="Insurance Payments")*(tblCarryingExpenses[Include]="Yes")),1),ROWS($M$3:M21)),"")</f>
        <v>94.65</v>
      </c>
      <c r="O21" s="338"/>
      <c r="P21" s="339" t="str" cm="1">
        <f t="array" ref="P21">IFERROR(INDEX(_xlfn.SORTBY(_xlfn._xlws.FILTER(tblCarryingExpenses[Date],(tblCarryingExpenses[Category]="Water")*(tblCarryingExpenses[Include]="Yes")),_xlfn._xlws.FILTER(tblCarryingExpenses[Date],(tblCarryingExpenses[Category]="Water")*(tblCarryingExpenses[Include]="Yes")),1),ROWS($P$3:P21)),"")</f>
        <v/>
      </c>
      <c r="Q21" s="340" t="str" cm="1">
        <f t="array" ref="Q21">IFERROR(INDEX(_xlfn.SORTBY(_xlfn._xlws.FILTER(tblCarryingExpenses[Amount],(tblCarryingExpenses[Category]="Water")*(tblCarryingExpenses[Include]="Yes")),_xlfn._xlws.FILTER(tblCarryingExpenses[Date],(tblCarryingExpenses[Category]="Water")*(tblCarryingExpenses[Include]="Yes")),1),ROWS($P$3:P21)),"")</f>
        <v/>
      </c>
      <c r="R21" s="338"/>
      <c r="S21" s="339" t="str" cm="1">
        <f t="array" ref="S21">IFERROR(INDEX(_xlfn.SORTBY(_xlfn._xlws.FILTER(tblCarryingExpenses[Date],(tblCarryingExpenses[Category]="Natural Gas")*(tblCarryingExpenses[Include]="Yes")),_xlfn._xlws.FILTER(tblCarryingExpenses[Date],(tblCarryingExpenses[Category]="Natural Gas")*(tblCarryingExpenses[Include]="Yes")),1),ROWS($S$3:S21)),"")</f>
        <v/>
      </c>
      <c r="T21" s="340" t="str" cm="1">
        <f t="array" ref="T21">IFERROR(INDEX(_xlfn.SORTBY(_xlfn._xlws.FILTER(tblCarryingExpenses[Amount],(tblCarryingExpenses[Category]="Natural Gas")*(tblCarryingExpenses[Include]="Yes")),_xlfn._xlws.FILTER(tblCarryingExpenses[Date],(tblCarryingExpenses[Category]="Natural Gas")*(tblCarryingExpenses[Include]="Yes")),1),ROWS($S$3:S21)),"")</f>
        <v/>
      </c>
      <c r="U21" s="338"/>
      <c r="V21" s="339" t="str" cm="1">
        <f t="array" ref="V21">IFERROR(INDEX(_xlfn.SORTBY(_xlfn._xlws.FILTER(tblCarryingExpenses[Date],(tblCarryingExpenses[Category]="HOA")*(tblCarryingExpenses[Include]="Yes")),_xlfn._xlws.FILTER(tblCarryingExpenses[Date],(tblCarryingExpenses[Category]="HOA")*(tblCarryingExpenses[Include]="Yes")),1),ROWS($V$3:V21)),"")</f>
        <v/>
      </c>
      <c r="W21" s="340" t="str" cm="1">
        <f t="array" ref="W21">IFERROR(INDEX(_xlfn.SORTBY(_xlfn._xlws.FILTER(tblCarryingExpenses[Amount],(tblCarryingExpenses[Category]="HOA")*(tblCarryingExpenses[Include]="Yes")),_xlfn._xlws.FILTER(tblCarryingExpenses[Date],(tblCarryingExpenses[Category]="HOA")*(tblCarryingExpenses[Include]="Yes")),1),ROWS($V$3:V21)),"")</f>
        <v/>
      </c>
      <c r="X21" s="338"/>
      <c r="Y21" s="339" t="str" cm="1">
        <f t="array" ref="Y21">IFERROR(INDEX(_xlfn.SORTBY(_xlfn._xlws.FILTER(tblCarryingExpenses[Date],(tblCarryingExpenses[Category]="Property Taxes")*(tblCarryingExpenses[Include]="Yes")),_xlfn._xlws.FILTER(tblCarryingExpenses[Date],(tblCarryingExpenses[Category]="Property Taxes")*(tblCarryingExpenses[Include]="Yes")),1),ROWS($Y$3:Y21)),"")</f>
        <v/>
      </c>
      <c r="Z21" s="340" t="str" cm="1">
        <f t="array" ref="Z21">IFERROR(IF(INDEX(_xlfn.SORTBY(_xlfn._xlws.FILTER(tblCarryingExpenses[Amount],(tblCarryingExpenses[Category]="Property Taxes")*(tblCarryingExpenses[Include]="Yes")),_xlfn._xlws.FILTER(tblCarryingExpenses[Date],(tblCarryingExpenses[Category]="Property Taxes")*(tblCarryingExpenses[Include]="Yes")),1),ROWS($Y$3:Y21))&lt;0,"",INDEX(_xlfn.SORTBY(_xlfn._xlws.FILTER(tblCarryingExpenses[Amount],(tblCarryingExpenses[Category]="Property Taxes")*(tblCarryingExpenses[Include]="Yes")),_xlfn._xlws.FILTER(tblCarryingExpenses[Date],(tblCarryingExpenses[Category]="Property Taxes")*(tblCarryingExpenses[Include]="Yes")),1),ROWS($Y$3:Y21))),"")</f>
        <v/>
      </c>
      <c r="AA21" s="340" t="str" cm="1">
        <f t="array" ref="AA21">IFERROR(IF(ISNUMBER(SEARCH("escrow",INDEX(_xlfn.SORTBY(_xlfn._xlws.FILTER(tblCarryingExpenses[Notes],(tblCarryingExpenses[Category]="Property Taxes")*(tblCarryingExpenses[Include]="Yes")),_xlfn._xlws.FILTER(tblCarryingExpenses[Date],(tblCarryingExpenses[Category]="Property Taxes")*(tblCarryingExpenses[Include]="Yes")),1),ROWS($Y$3:Y21)))),INDEX(_xlfn.SORTBY(_xlfn._xlws.FILTER(tblCarryingExpenses[Amount],(tblCarryingExpenses[Category]="Property Taxes")*(tblCarryingExpenses[Include]="Yes")),_xlfn._xlws.FILTER(tblCarryingExpenses[Date],(tblCarryingExpenses[Category]="Property Taxes")*(tblCarryingExpenses[Include]="Yes")),1),ROWS($Y$3:Y21)),""),"")</f>
        <v/>
      </c>
      <c r="AB21" s="339" t="str" cm="1">
        <f t="array" ref="AB21">IFERROR(INDEX(_xlfn.SORTBY(_xlfn._xlws.FILTER(tblCarryingExpenses[Date],(tblCarryingExpenses[Category]="Excavator Rental")*(tblCarryingExpenses[Include]="Yes")),_xlfn._xlws.FILTER(tblCarryingExpenses[Date],(tblCarryingExpenses[Category]="Excavator Rental")*(tblCarryingExpenses[Include]="Yes")),1),ROWS($AB$3:AB21)),"")</f>
        <v/>
      </c>
      <c r="AC21" s="340" t="str" cm="1">
        <f t="array" ref="AC21">IFERROR(INDEX(_xlfn.SORTBY(_xlfn._xlws.FILTER(tblCarryingExpenses[Amount],(tblCarryingExpenses[Category]="Excavator Rental")*(tblCarryingExpenses[Include]="Yes")),_xlfn._xlws.FILTER(tblCarryingExpenses[Date],(tblCarryingExpenses[Category]="Excavator Rental")*(tblCarryingExpenses[Include]="Yes")),1),ROWS($AB$3:AB21)),"")</f>
        <v/>
      </c>
      <c r="AD21" s="338"/>
      <c r="AE21" s="339" t="str" cm="1">
        <f t="array" ref="AE21">IFERROR(INDEX(_xlfn.SORTBY(_xlfn._xlws.FILTER(tblCarryingExpenses[Date],(tblCarryingExpenses[Category]="Lawn")*(tblCarryingExpenses[Include]="Yes")),_xlfn._xlws.FILTER(tblCarryingExpenses[Date],(tblCarryingExpenses[Category]="Lawn")*(tblCarryingExpenses[Include]="Yes")),1),ROWS($AE$3:AE21)),"")</f>
        <v/>
      </c>
      <c r="AF21" s="340" t="str" cm="1">
        <f t="array" ref="AF21">IFERROR(INDEX(_xlfn.SORTBY(_xlfn._xlws.FILTER(tblCarryingExpenses[Amount],(tblCarryingExpenses[Category]="Lawn")*(tblCarryingExpenses[Include]="Yes")),_xlfn._xlws.FILTER(tblCarryingExpenses[Date],(tblCarryingExpenses[Category]="Lawn")*(tblCarryingExpenses[Include]="Yes")),1),ROWS($AE$3:AE21)),"")</f>
        <v/>
      </c>
      <c r="AL21" t="s">
        <v>7</v>
      </c>
      <c r="AM21" t="s">
        <v>791</v>
      </c>
      <c r="AN21" s="12">
        <v>45564</v>
      </c>
      <c r="AQ21" s="5">
        <v>1081.21</v>
      </c>
      <c r="AR21" t="s">
        <v>780</v>
      </c>
      <c r="AT21" t="s">
        <v>781</v>
      </c>
      <c r="AU21" t="s">
        <v>782</v>
      </c>
      <c r="AV21" t="s">
        <v>802</v>
      </c>
    </row>
    <row r="22" spans="1:48" x14ac:dyDescent="0.25">
      <c r="A22" s="339" t="str" cm="1">
        <f t="array" ref="A22">IFERROR(INDEX(_xlfn.SORTBY(_xlfn._xlws.FILTER(tblCarryingExpenses[Date],(tblCarryingExpenses[Category]="Duke Electric")*(tblCarryingExpenses[Include]="Yes")),_xlfn._xlws.FILTER(tblCarryingExpenses[Date],(tblCarryingExpenses[Category]="Duke Electric")*(tblCarryingExpenses[Include]="Yes")),1),ROWS($A$3:A22)),"")</f>
        <v/>
      </c>
      <c r="B22" s="340" t="str" cm="1">
        <f t="array" ref="B22">IFERROR(INDEX(_xlfn.SORTBY(_xlfn._xlws.FILTER(tblCarryingExpenses[Amount],(tblCarryingExpenses[Category]="Duke Electric")*(tblCarryingExpenses[Include]="Yes")),_xlfn._xlws.FILTER(tblCarryingExpenses[Date],(tblCarryingExpenses[Category]="Duke Electric")*(tblCarryingExpenses[Include]="Yes")),1),ROWS($A$3:A22)),"")</f>
        <v/>
      </c>
      <c r="C22" s="338"/>
      <c r="D22" s="339" cm="1">
        <f t="array" ref="D22">IFERROR(INDEX(_xlfn.SORTBY(_xlfn._xlws.FILTER(tblCarryingExpenses[Date],(tblCarryingExpenses[Category]="Mortgage Payment")*(tblCarryingExpenses[Include]="Yes")),_xlfn._xlws.FILTER(tblCarryingExpenses[Date],(tblCarryingExpenses[Category]="Mortgage Payment")*(tblCarryingExpenses[Include]="Yes")),1),ROWS($D$3:D22)),"")</f>
        <v>45834</v>
      </c>
      <c r="E22" s="340" cm="1">
        <f t="array" ref="E22">IFERROR(INDEX(_xlfn.SORTBY(_xlfn._xlws.FILTER(tblCarryingExpenses[Amount],(tblCarryingExpenses[Category]="Mortgage Payment")*(tblCarryingExpenses[Include]="Yes")),_xlfn._xlws.FILTER(tblCarryingExpenses[Date],(tblCarryingExpenses[Category]="Mortgage Payment")*(tblCarryingExpenses[Include]="Yes")),1),ROWS($D$3:D22)),"")</f>
        <v>1209.23</v>
      </c>
      <c r="F22" s="338"/>
      <c r="G22" s="339" cm="1">
        <f t="array" ref="G22">IFERROR(INDEX(_xlfn.SORTBY(_xlfn._xlws.FILTER(tblCarryingExpenses[Date],(tblCarryingExpenses[Category]="Private Money")*(tblCarryingExpenses[Include]="Yes")),_xlfn._xlws.FILTER(tblCarryingExpenses[Date],(tblCarryingExpenses[Category]="Private Money")*(tblCarryingExpenses[Include]="Yes")),1),ROWS($G$3:G22)),"")</f>
        <v>45805</v>
      </c>
      <c r="H22" s="340" cm="1">
        <f t="array" ref="H22">IFERROR(INDEX(_xlfn.SORTBY(_xlfn._xlws.FILTER(tblCarryingExpenses[Amount],(tblCarryingExpenses[Category]="Private Money")*(tblCarryingExpenses[Include]="Yes")),_xlfn._xlws.FILTER(tblCarryingExpenses[Date],(tblCarryingExpenses[Category]="Private Money")*(tblCarryingExpenses[Include]="Yes")),1),ROWS($G$3:G22)),"")</f>
        <v>925</v>
      </c>
      <c r="I22" s="338"/>
      <c r="J22" s="339" t="str" cm="1">
        <f t="array" ref="J22">IFERROR(INDEX(_xlfn.SORTBY(_xlfn._xlws.FILTER(tblCarryingExpenses[Date],(tblCarryingExpenses[Category]="Casa Lending")*(tblCarryingExpenses[Include]="Yes")),_xlfn._xlws.FILTER(tblCarryingExpenses[Date],(tblCarryingExpenses[Category]="Casa Lending")*(tblCarryingExpenses[Include]="Yes")),1),ROWS($J$3:J22)),"")</f>
        <v/>
      </c>
      <c r="K22" s="340" t="str" cm="1">
        <f t="array" ref="K22">IFERROR(INDEX(_xlfn.SORTBY(_xlfn._xlws.FILTER(tblCarryingExpenses[Amount],(tblCarryingExpenses[Category]="Casa Lending")*(tblCarryingExpenses[Include]="Yes")),_xlfn._xlws.FILTER(tblCarryingExpenses[Date],(tblCarryingExpenses[Category]="Casa Lending")*(tblCarryingExpenses[Include]="Yes")),1),ROWS($J$3:J22)),"")</f>
        <v/>
      </c>
      <c r="L22" s="338"/>
      <c r="M22" s="339" cm="1">
        <f t="array" ref="M22">IFERROR(INDEX(_xlfn.SORTBY(_xlfn._xlws.FILTER(tblCarryingExpenses[Date],(tblCarryingExpenses[Category]="Insurance Payments")*(tblCarryingExpenses[Include]="Yes")),_xlfn._xlws.FILTER(tblCarryingExpenses[Date],(tblCarryingExpenses[Category]="Insurance Payments")*(tblCarryingExpenses[Include]="Yes")),1),ROWS($M$3:M22)),"")</f>
        <v>45810</v>
      </c>
      <c r="N22" s="340" cm="1">
        <f t="array" ref="N22">IFERROR(INDEX(_xlfn.SORTBY(_xlfn._xlws.FILTER(tblCarryingExpenses[Amount],(tblCarryingExpenses[Category]="Insurance Payments")*(tblCarryingExpenses[Include]="Yes")),_xlfn._xlws.FILTER(tblCarryingExpenses[Date],(tblCarryingExpenses[Category]="Insurance Payments")*(tblCarryingExpenses[Include]="Yes")),1),ROWS($M$3:M22)),"")</f>
        <v>94.65</v>
      </c>
      <c r="O22" s="338"/>
      <c r="P22" s="339" t="str" cm="1">
        <f t="array" ref="P22">IFERROR(INDEX(_xlfn.SORTBY(_xlfn._xlws.FILTER(tblCarryingExpenses[Date],(tblCarryingExpenses[Category]="Water")*(tblCarryingExpenses[Include]="Yes")),_xlfn._xlws.FILTER(tblCarryingExpenses[Date],(tblCarryingExpenses[Category]="Water")*(tblCarryingExpenses[Include]="Yes")),1),ROWS($P$3:P22)),"")</f>
        <v/>
      </c>
      <c r="Q22" s="340" t="str" cm="1">
        <f t="array" ref="Q22">IFERROR(INDEX(_xlfn.SORTBY(_xlfn._xlws.FILTER(tblCarryingExpenses[Amount],(tblCarryingExpenses[Category]="Water")*(tblCarryingExpenses[Include]="Yes")),_xlfn._xlws.FILTER(tblCarryingExpenses[Date],(tblCarryingExpenses[Category]="Water")*(tblCarryingExpenses[Include]="Yes")),1),ROWS($P$3:P22)),"")</f>
        <v/>
      </c>
      <c r="R22" s="338"/>
      <c r="S22" s="339" t="str" cm="1">
        <f t="array" ref="S22">IFERROR(INDEX(_xlfn.SORTBY(_xlfn._xlws.FILTER(tblCarryingExpenses[Date],(tblCarryingExpenses[Category]="Natural Gas")*(tblCarryingExpenses[Include]="Yes")),_xlfn._xlws.FILTER(tblCarryingExpenses[Date],(tblCarryingExpenses[Category]="Natural Gas")*(tblCarryingExpenses[Include]="Yes")),1),ROWS($S$3:S22)),"")</f>
        <v/>
      </c>
      <c r="T22" s="340" t="str" cm="1">
        <f t="array" ref="T22">IFERROR(INDEX(_xlfn.SORTBY(_xlfn._xlws.FILTER(tblCarryingExpenses[Amount],(tblCarryingExpenses[Category]="Natural Gas")*(tblCarryingExpenses[Include]="Yes")),_xlfn._xlws.FILTER(tblCarryingExpenses[Date],(tblCarryingExpenses[Category]="Natural Gas")*(tblCarryingExpenses[Include]="Yes")),1),ROWS($S$3:S22)),"")</f>
        <v/>
      </c>
      <c r="U22" s="338"/>
      <c r="V22" s="339" t="str" cm="1">
        <f t="array" ref="V22">IFERROR(INDEX(_xlfn.SORTBY(_xlfn._xlws.FILTER(tblCarryingExpenses[Date],(tblCarryingExpenses[Category]="HOA")*(tblCarryingExpenses[Include]="Yes")),_xlfn._xlws.FILTER(tblCarryingExpenses[Date],(tblCarryingExpenses[Category]="HOA")*(tblCarryingExpenses[Include]="Yes")),1),ROWS($V$3:V22)),"")</f>
        <v/>
      </c>
      <c r="W22" s="340" t="str" cm="1">
        <f t="array" ref="W22">IFERROR(INDEX(_xlfn.SORTBY(_xlfn._xlws.FILTER(tblCarryingExpenses[Amount],(tblCarryingExpenses[Category]="HOA")*(tblCarryingExpenses[Include]="Yes")),_xlfn._xlws.FILTER(tblCarryingExpenses[Date],(tblCarryingExpenses[Category]="HOA")*(tblCarryingExpenses[Include]="Yes")),1),ROWS($V$3:V22)),"")</f>
        <v/>
      </c>
      <c r="X22" s="338"/>
      <c r="Y22" s="339" t="str" cm="1">
        <f t="array" ref="Y22">IFERROR(INDEX(_xlfn.SORTBY(_xlfn._xlws.FILTER(tblCarryingExpenses[Date],(tblCarryingExpenses[Category]="Property Taxes")*(tblCarryingExpenses[Include]="Yes")),_xlfn._xlws.FILTER(tblCarryingExpenses[Date],(tblCarryingExpenses[Category]="Property Taxes")*(tblCarryingExpenses[Include]="Yes")),1),ROWS($Y$3:Y22)),"")</f>
        <v/>
      </c>
      <c r="Z22" s="340" t="str" cm="1">
        <f t="array" ref="Z22">IFERROR(IF(INDEX(_xlfn.SORTBY(_xlfn._xlws.FILTER(tblCarryingExpenses[Amount],(tblCarryingExpenses[Category]="Property Taxes")*(tblCarryingExpenses[Include]="Yes")),_xlfn._xlws.FILTER(tblCarryingExpenses[Date],(tblCarryingExpenses[Category]="Property Taxes")*(tblCarryingExpenses[Include]="Yes")),1),ROWS($Y$3:Y22))&lt;0,"",INDEX(_xlfn.SORTBY(_xlfn._xlws.FILTER(tblCarryingExpenses[Amount],(tblCarryingExpenses[Category]="Property Taxes")*(tblCarryingExpenses[Include]="Yes")),_xlfn._xlws.FILTER(tblCarryingExpenses[Date],(tblCarryingExpenses[Category]="Property Taxes")*(tblCarryingExpenses[Include]="Yes")),1),ROWS($Y$3:Y22))),"")</f>
        <v/>
      </c>
      <c r="AA22" s="340" t="str" cm="1">
        <f t="array" ref="AA22">IFERROR(IF(ISNUMBER(SEARCH("escrow",INDEX(_xlfn.SORTBY(_xlfn._xlws.FILTER(tblCarryingExpenses[Notes],(tblCarryingExpenses[Category]="Property Taxes")*(tblCarryingExpenses[Include]="Yes")),_xlfn._xlws.FILTER(tblCarryingExpenses[Date],(tblCarryingExpenses[Category]="Property Taxes")*(tblCarryingExpenses[Include]="Yes")),1),ROWS($Y$3:Y22)))),INDEX(_xlfn.SORTBY(_xlfn._xlws.FILTER(tblCarryingExpenses[Amount],(tblCarryingExpenses[Category]="Property Taxes")*(tblCarryingExpenses[Include]="Yes")),_xlfn._xlws.FILTER(tblCarryingExpenses[Date],(tblCarryingExpenses[Category]="Property Taxes")*(tblCarryingExpenses[Include]="Yes")),1),ROWS($Y$3:Y22)),""),"")</f>
        <v/>
      </c>
      <c r="AB22" s="339" t="str" cm="1">
        <f t="array" ref="AB22">IFERROR(INDEX(_xlfn.SORTBY(_xlfn._xlws.FILTER(tblCarryingExpenses[Date],(tblCarryingExpenses[Category]="Excavator Rental")*(tblCarryingExpenses[Include]="Yes")),_xlfn._xlws.FILTER(tblCarryingExpenses[Date],(tblCarryingExpenses[Category]="Excavator Rental")*(tblCarryingExpenses[Include]="Yes")),1),ROWS($AB$3:AB22)),"")</f>
        <v/>
      </c>
      <c r="AC22" s="340" t="str" cm="1">
        <f t="array" ref="AC22">IFERROR(INDEX(_xlfn.SORTBY(_xlfn._xlws.FILTER(tblCarryingExpenses[Amount],(tblCarryingExpenses[Category]="Excavator Rental")*(tblCarryingExpenses[Include]="Yes")),_xlfn._xlws.FILTER(tblCarryingExpenses[Date],(tblCarryingExpenses[Category]="Excavator Rental")*(tblCarryingExpenses[Include]="Yes")),1),ROWS($AB$3:AB22)),"")</f>
        <v/>
      </c>
      <c r="AD22" s="338"/>
      <c r="AE22" s="339" t="str" cm="1">
        <f t="array" ref="AE22">IFERROR(INDEX(_xlfn.SORTBY(_xlfn._xlws.FILTER(tblCarryingExpenses[Date],(tblCarryingExpenses[Category]="Lawn")*(tblCarryingExpenses[Include]="Yes")),_xlfn._xlws.FILTER(tblCarryingExpenses[Date],(tblCarryingExpenses[Category]="Lawn")*(tblCarryingExpenses[Include]="Yes")),1),ROWS($AE$3:AE22)),"")</f>
        <v/>
      </c>
      <c r="AF22" s="340" t="str" cm="1">
        <f t="array" ref="AF22">IFERROR(INDEX(_xlfn.SORTBY(_xlfn._xlws.FILTER(tblCarryingExpenses[Amount],(tblCarryingExpenses[Category]="Lawn")*(tblCarryingExpenses[Include]="Yes")),_xlfn._xlws.FILTER(tblCarryingExpenses[Date],(tblCarryingExpenses[Category]="Lawn")*(tblCarryingExpenses[Include]="Yes")),1),ROWS($AE$3:AE22)),"")</f>
        <v/>
      </c>
      <c r="AL22" t="s">
        <v>7</v>
      </c>
      <c r="AM22" t="s">
        <v>791</v>
      </c>
      <c r="AN22" s="12">
        <v>45594</v>
      </c>
      <c r="AQ22" s="5">
        <v>1081.21</v>
      </c>
      <c r="AR22" t="s">
        <v>780</v>
      </c>
      <c r="AT22" t="s">
        <v>781</v>
      </c>
      <c r="AU22" t="s">
        <v>782</v>
      </c>
      <c r="AV22" t="s">
        <v>803</v>
      </c>
    </row>
    <row r="23" spans="1:48" x14ac:dyDescent="0.25">
      <c r="A23" s="339" t="str" cm="1">
        <f t="array" ref="A23">IFERROR(INDEX(_xlfn.SORTBY(_xlfn._xlws.FILTER(tblCarryingExpenses[Date],(tblCarryingExpenses[Category]="Duke Electric")*(tblCarryingExpenses[Include]="Yes")),_xlfn._xlws.FILTER(tblCarryingExpenses[Date],(tblCarryingExpenses[Category]="Duke Electric")*(tblCarryingExpenses[Include]="Yes")),1),ROWS($A$3:A23)),"")</f>
        <v/>
      </c>
      <c r="B23" s="340" t="str" cm="1">
        <f t="array" ref="B23">IFERROR(INDEX(_xlfn.SORTBY(_xlfn._xlws.FILTER(tblCarryingExpenses[Amount],(tblCarryingExpenses[Category]="Duke Electric")*(tblCarryingExpenses[Include]="Yes")),_xlfn._xlws.FILTER(tblCarryingExpenses[Date],(tblCarryingExpenses[Category]="Duke Electric")*(tblCarryingExpenses[Include]="Yes")),1),ROWS($A$3:A23)),"")</f>
        <v/>
      </c>
      <c r="C23" s="338"/>
      <c r="D23" s="339" cm="1">
        <f t="array" ref="D23">IFERROR(INDEX(_xlfn.SORTBY(_xlfn._xlws.FILTER(tblCarryingExpenses[Date],(tblCarryingExpenses[Category]="Mortgage Payment")*(tblCarryingExpenses[Include]="Yes")),_xlfn._xlws.FILTER(tblCarryingExpenses[Date],(tblCarryingExpenses[Category]="Mortgage Payment")*(tblCarryingExpenses[Include]="Yes")),1),ROWS($D$3:D23)),"")</f>
        <v>45864</v>
      </c>
      <c r="E23" s="340" cm="1">
        <f t="array" ref="E23">IFERROR(INDEX(_xlfn.SORTBY(_xlfn._xlws.FILTER(tblCarryingExpenses[Amount],(tblCarryingExpenses[Category]="Mortgage Payment")*(tblCarryingExpenses[Include]="Yes")),_xlfn._xlws.FILTER(tblCarryingExpenses[Date],(tblCarryingExpenses[Category]="Mortgage Payment")*(tblCarryingExpenses[Include]="Yes")),1),ROWS($D$3:D23)),"")</f>
        <v>1209.23</v>
      </c>
      <c r="F23" s="338"/>
      <c r="G23" s="339" cm="1">
        <f t="array" ref="G23">IFERROR(INDEX(_xlfn.SORTBY(_xlfn._xlws.FILTER(tblCarryingExpenses[Date],(tblCarryingExpenses[Category]="Private Money")*(tblCarryingExpenses[Include]="Yes")),_xlfn._xlws.FILTER(tblCarryingExpenses[Date],(tblCarryingExpenses[Category]="Private Money")*(tblCarryingExpenses[Include]="Yes")),1),ROWS($G$3:G23)),"")</f>
        <v>45835</v>
      </c>
      <c r="H23" s="340" cm="1">
        <f t="array" ref="H23">IFERROR(INDEX(_xlfn.SORTBY(_xlfn._xlws.FILTER(tblCarryingExpenses[Amount],(tblCarryingExpenses[Category]="Private Money")*(tblCarryingExpenses[Include]="Yes")),_xlfn._xlws.FILTER(tblCarryingExpenses[Date],(tblCarryingExpenses[Category]="Private Money")*(tblCarryingExpenses[Include]="Yes")),1),ROWS($G$3:G23)),"")</f>
        <v>925</v>
      </c>
      <c r="I23" s="338"/>
      <c r="J23" s="339" t="str" cm="1">
        <f t="array" ref="J23">IFERROR(INDEX(_xlfn.SORTBY(_xlfn._xlws.FILTER(tblCarryingExpenses[Date],(tblCarryingExpenses[Category]="Casa Lending")*(tblCarryingExpenses[Include]="Yes")),_xlfn._xlws.FILTER(tblCarryingExpenses[Date],(tblCarryingExpenses[Category]="Casa Lending")*(tblCarryingExpenses[Include]="Yes")),1),ROWS($J$3:J23)),"")</f>
        <v/>
      </c>
      <c r="K23" s="340" t="str" cm="1">
        <f t="array" ref="K23">IFERROR(INDEX(_xlfn.SORTBY(_xlfn._xlws.FILTER(tblCarryingExpenses[Amount],(tblCarryingExpenses[Category]="Casa Lending")*(tblCarryingExpenses[Include]="Yes")),_xlfn._xlws.FILTER(tblCarryingExpenses[Date],(tblCarryingExpenses[Category]="Casa Lending")*(tblCarryingExpenses[Include]="Yes")),1),ROWS($J$3:J23)),"")</f>
        <v/>
      </c>
      <c r="L23" s="338"/>
      <c r="M23" s="339" cm="1">
        <f t="array" ref="M23">IFERROR(INDEX(_xlfn.SORTBY(_xlfn._xlws.FILTER(tblCarryingExpenses[Date],(tblCarryingExpenses[Category]="Insurance Payments")*(tblCarryingExpenses[Include]="Yes")),_xlfn._xlws.FILTER(tblCarryingExpenses[Date],(tblCarryingExpenses[Category]="Insurance Payments")*(tblCarryingExpenses[Include]="Yes")),1),ROWS($M$3:M23)),"")</f>
        <v>45840</v>
      </c>
      <c r="N23" s="340" cm="1">
        <f t="array" ref="N23">IFERROR(INDEX(_xlfn.SORTBY(_xlfn._xlws.FILTER(tblCarryingExpenses[Amount],(tblCarryingExpenses[Category]="Insurance Payments")*(tblCarryingExpenses[Include]="Yes")),_xlfn._xlws.FILTER(tblCarryingExpenses[Date],(tblCarryingExpenses[Category]="Insurance Payments")*(tblCarryingExpenses[Include]="Yes")),1),ROWS($M$3:M23)),"")</f>
        <v>94.65</v>
      </c>
      <c r="O23" s="338"/>
      <c r="P23" s="339" t="str" cm="1">
        <f t="array" ref="P23">IFERROR(INDEX(_xlfn.SORTBY(_xlfn._xlws.FILTER(tblCarryingExpenses[Date],(tblCarryingExpenses[Category]="Water")*(tblCarryingExpenses[Include]="Yes")),_xlfn._xlws.FILTER(tblCarryingExpenses[Date],(tblCarryingExpenses[Category]="Water")*(tblCarryingExpenses[Include]="Yes")),1),ROWS($P$3:P23)),"")</f>
        <v/>
      </c>
      <c r="Q23" s="340" t="str" cm="1">
        <f t="array" ref="Q23">IFERROR(INDEX(_xlfn.SORTBY(_xlfn._xlws.FILTER(tblCarryingExpenses[Amount],(tblCarryingExpenses[Category]="Water")*(tblCarryingExpenses[Include]="Yes")),_xlfn._xlws.FILTER(tblCarryingExpenses[Date],(tblCarryingExpenses[Category]="Water")*(tblCarryingExpenses[Include]="Yes")),1),ROWS($P$3:P23)),"")</f>
        <v/>
      </c>
      <c r="R23" s="338"/>
      <c r="S23" s="339" t="str" cm="1">
        <f t="array" ref="S23">IFERROR(INDEX(_xlfn.SORTBY(_xlfn._xlws.FILTER(tblCarryingExpenses[Date],(tblCarryingExpenses[Category]="Natural Gas")*(tblCarryingExpenses[Include]="Yes")),_xlfn._xlws.FILTER(tblCarryingExpenses[Date],(tblCarryingExpenses[Category]="Natural Gas")*(tblCarryingExpenses[Include]="Yes")),1),ROWS($S$3:S23)),"")</f>
        <v/>
      </c>
      <c r="T23" s="340" t="str" cm="1">
        <f t="array" ref="T23">IFERROR(INDEX(_xlfn.SORTBY(_xlfn._xlws.FILTER(tblCarryingExpenses[Amount],(tblCarryingExpenses[Category]="Natural Gas")*(tblCarryingExpenses[Include]="Yes")),_xlfn._xlws.FILTER(tblCarryingExpenses[Date],(tblCarryingExpenses[Category]="Natural Gas")*(tblCarryingExpenses[Include]="Yes")),1),ROWS($S$3:S23)),"")</f>
        <v/>
      </c>
      <c r="U23" s="338"/>
      <c r="V23" s="339" t="str" cm="1">
        <f t="array" ref="V23">IFERROR(INDEX(_xlfn.SORTBY(_xlfn._xlws.FILTER(tblCarryingExpenses[Date],(tblCarryingExpenses[Category]="HOA")*(tblCarryingExpenses[Include]="Yes")),_xlfn._xlws.FILTER(tblCarryingExpenses[Date],(tblCarryingExpenses[Category]="HOA")*(tblCarryingExpenses[Include]="Yes")),1),ROWS($V$3:V23)),"")</f>
        <v/>
      </c>
      <c r="W23" s="340" t="str" cm="1">
        <f t="array" ref="W23">IFERROR(INDEX(_xlfn.SORTBY(_xlfn._xlws.FILTER(tblCarryingExpenses[Amount],(tblCarryingExpenses[Category]="HOA")*(tblCarryingExpenses[Include]="Yes")),_xlfn._xlws.FILTER(tblCarryingExpenses[Date],(tblCarryingExpenses[Category]="HOA")*(tblCarryingExpenses[Include]="Yes")),1),ROWS($V$3:V23)),"")</f>
        <v/>
      </c>
      <c r="X23" s="338"/>
      <c r="Y23" s="339" t="str" cm="1">
        <f t="array" ref="Y23">IFERROR(INDEX(_xlfn.SORTBY(_xlfn._xlws.FILTER(tblCarryingExpenses[Date],(tblCarryingExpenses[Category]="Property Taxes")*(tblCarryingExpenses[Include]="Yes")),_xlfn._xlws.FILTER(tblCarryingExpenses[Date],(tblCarryingExpenses[Category]="Property Taxes")*(tblCarryingExpenses[Include]="Yes")),1),ROWS($Y$3:Y23)),"")</f>
        <v/>
      </c>
      <c r="Z23" s="340" t="str" cm="1">
        <f t="array" ref="Z23">IFERROR(IF(INDEX(_xlfn.SORTBY(_xlfn._xlws.FILTER(tblCarryingExpenses[Amount],(tblCarryingExpenses[Category]="Property Taxes")*(tblCarryingExpenses[Include]="Yes")),_xlfn._xlws.FILTER(tblCarryingExpenses[Date],(tblCarryingExpenses[Category]="Property Taxes")*(tblCarryingExpenses[Include]="Yes")),1),ROWS($Y$3:Y23))&lt;0,"",INDEX(_xlfn.SORTBY(_xlfn._xlws.FILTER(tblCarryingExpenses[Amount],(tblCarryingExpenses[Category]="Property Taxes")*(tblCarryingExpenses[Include]="Yes")),_xlfn._xlws.FILTER(tblCarryingExpenses[Date],(tblCarryingExpenses[Category]="Property Taxes")*(tblCarryingExpenses[Include]="Yes")),1),ROWS($Y$3:Y23))),"")</f>
        <v/>
      </c>
      <c r="AA23" s="340" t="str" cm="1">
        <f t="array" ref="AA23">IFERROR(IF(ISNUMBER(SEARCH("escrow",INDEX(_xlfn.SORTBY(_xlfn._xlws.FILTER(tblCarryingExpenses[Notes],(tblCarryingExpenses[Category]="Property Taxes")*(tblCarryingExpenses[Include]="Yes")),_xlfn._xlws.FILTER(tblCarryingExpenses[Date],(tblCarryingExpenses[Category]="Property Taxes")*(tblCarryingExpenses[Include]="Yes")),1),ROWS($Y$3:Y23)))),INDEX(_xlfn.SORTBY(_xlfn._xlws.FILTER(tblCarryingExpenses[Amount],(tblCarryingExpenses[Category]="Property Taxes")*(tblCarryingExpenses[Include]="Yes")),_xlfn._xlws.FILTER(tblCarryingExpenses[Date],(tblCarryingExpenses[Category]="Property Taxes")*(tblCarryingExpenses[Include]="Yes")),1),ROWS($Y$3:Y23)),""),"")</f>
        <v/>
      </c>
      <c r="AB23" s="339" t="str" cm="1">
        <f t="array" ref="AB23">IFERROR(INDEX(_xlfn.SORTBY(_xlfn._xlws.FILTER(tblCarryingExpenses[Date],(tblCarryingExpenses[Category]="Excavator Rental")*(tblCarryingExpenses[Include]="Yes")),_xlfn._xlws.FILTER(tblCarryingExpenses[Date],(tblCarryingExpenses[Category]="Excavator Rental")*(tblCarryingExpenses[Include]="Yes")),1),ROWS($AB$3:AB23)),"")</f>
        <v/>
      </c>
      <c r="AC23" s="340" t="str" cm="1">
        <f t="array" ref="AC23">IFERROR(INDEX(_xlfn.SORTBY(_xlfn._xlws.FILTER(tblCarryingExpenses[Amount],(tblCarryingExpenses[Category]="Excavator Rental")*(tblCarryingExpenses[Include]="Yes")),_xlfn._xlws.FILTER(tblCarryingExpenses[Date],(tblCarryingExpenses[Category]="Excavator Rental")*(tblCarryingExpenses[Include]="Yes")),1),ROWS($AB$3:AB23)),"")</f>
        <v/>
      </c>
      <c r="AD23" s="338"/>
      <c r="AE23" s="339" t="str" cm="1">
        <f t="array" ref="AE23">IFERROR(INDEX(_xlfn.SORTBY(_xlfn._xlws.FILTER(tblCarryingExpenses[Date],(tblCarryingExpenses[Category]="Lawn")*(tblCarryingExpenses[Include]="Yes")),_xlfn._xlws.FILTER(tblCarryingExpenses[Date],(tblCarryingExpenses[Category]="Lawn")*(tblCarryingExpenses[Include]="Yes")),1),ROWS($AE$3:AE23)),"")</f>
        <v/>
      </c>
      <c r="AF23" s="340" t="str" cm="1">
        <f t="array" ref="AF23">IFERROR(INDEX(_xlfn.SORTBY(_xlfn._xlws.FILTER(tblCarryingExpenses[Amount],(tblCarryingExpenses[Category]="Lawn")*(tblCarryingExpenses[Include]="Yes")),_xlfn._xlws.FILTER(tblCarryingExpenses[Date],(tblCarryingExpenses[Category]="Lawn")*(tblCarryingExpenses[Include]="Yes")),1),ROWS($AE$3:AE23)),"")</f>
        <v/>
      </c>
      <c r="AL23" t="s">
        <v>7</v>
      </c>
      <c r="AM23" t="s">
        <v>791</v>
      </c>
      <c r="AN23" s="12">
        <v>45624</v>
      </c>
      <c r="AQ23" s="5">
        <v>1081.21</v>
      </c>
      <c r="AR23" t="s">
        <v>780</v>
      </c>
      <c r="AT23" t="s">
        <v>781</v>
      </c>
      <c r="AU23" t="s">
        <v>782</v>
      </c>
      <c r="AV23" t="s">
        <v>804</v>
      </c>
    </row>
    <row r="24" spans="1:48" x14ac:dyDescent="0.25">
      <c r="A24" s="339" t="str" cm="1">
        <f t="array" ref="A24">IFERROR(INDEX(_xlfn.SORTBY(_xlfn._xlws.FILTER(tblCarryingExpenses[Date],(tblCarryingExpenses[Category]="Duke Electric")*(tblCarryingExpenses[Include]="Yes")),_xlfn._xlws.FILTER(tblCarryingExpenses[Date],(tblCarryingExpenses[Category]="Duke Electric")*(tblCarryingExpenses[Include]="Yes")),1),ROWS($A$3:A24)),"")</f>
        <v/>
      </c>
      <c r="B24" s="340" t="str" cm="1">
        <f t="array" ref="B24">IFERROR(INDEX(_xlfn.SORTBY(_xlfn._xlws.FILTER(tblCarryingExpenses[Amount],(tblCarryingExpenses[Category]="Duke Electric")*(tblCarryingExpenses[Include]="Yes")),_xlfn._xlws.FILTER(tblCarryingExpenses[Date],(tblCarryingExpenses[Category]="Duke Electric")*(tblCarryingExpenses[Include]="Yes")),1),ROWS($A$3:A24)),"")</f>
        <v/>
      </c>
      <c r="C24" s="338"/>
      <c r="D24" s="339" cm="1">
        <f t="array" ref="D24">IFERROR(INDEX(_xlfn.SORTBY(_xlfn._xlws.FILTER(tblCarryingExpenses[Date],(tblCarryingExpenses[Category]="Mortgage Payment")*(tblCarryingExpenses[Include]="Yes")),_xlfn._xlws.FILTER(tblCarryingExpenses[Date],(tblCarryingExpenses[Category]="Mortgage Payment")*(tblCarryingExpenses[Include]="Yes")),1),ROWS($D$3:D24)),"")</f>
        <v>45894</v>
      </c>
      <c r="E24" s="340" cm="1">
        <f t="array" ref="E24">IFERROR(INDEX(_xlfn.SORTBY(_xlfn._xlws.FILTER(tblCarryingExpenses[Amount],(tblCarryingExpenses[Category]="Mortgage Payment")*(tblCarryingExpenses[Include]="Yes")),_xlfn._xlws.FILTER(tblCarryingExpenses[Date],(tblCarryingExpenses[Category]="Mortgage Payment")*(tblCarryingExpenses[Include]="Yes")),1),ROWS($D$3:D24)),"")</f>
        <v>1209.23</v>
      </c>
      <c r="F24" s="338"/>
      <c r="G24" s="339" cm="1">
        <f t="array" ref="G24">IFERROR(INDEX(_xlfn.SORTBY(_xlfn._xlws.FILTER(tblCarryingExpenses[Date],(tblCarryingExpenses[Category]="Private Money")*(tblCarryingExpenses[Include]="Yes")),_xlfn._xlws.FILTER(tblCarryingExpenses[Date],(tblCarryingExpenses[Category]="Private Money")*(tblCarryingExpenses[Include]="Yes")),1),ROWS($G$3:G24)),"")</f>
        <v>45865</v>
      </c>
      <c r="H24" s="340" cm="1">
        <f t="array" ref="H24">IFERROR(INDEX(_xlfn.SORTBY(_xlfn._xlws.FILTER(tblCarryingExpenses[Amount],(tblCarryingExpenses[Category]="Private Money")*(tblCarryingExpenses[Include]="Yes")),_xlfn._xlws.FILTER(tblCarryingExpenses[Date],(tblCarryingExpenses[Category]="Private Money")*(tblCarryingExpenses[Include]="Yes")),1),ROWS($G$3:G24)),"")</f>
        <v>925</v>
      </c>
      <c r="I24" s="338"/>
      <c r="J24" s="339" t="str" cm="1">
        <f t="array" ref="J24">IFERROR(INDEX(_xlfn.SORTBY(_xlfn._xlws.FILTER(tblCarryingExpenses[Date],(tblCarryingExpenses[Category]="Casa Lending")*(tblCarryingExpenses[Include]="Yes")),_xlfn._xlws.FILTER(tblCarryingExpenses[Date],(tblCarryingExpenses[Category]="Casa Lending")*(tblCarryingExpenses[Include]="Yes")),1),ROWS($J$3:J24)),"")</f>
        <v/>
      </c>
      <c r="K24" s="340" t="str" cm="1">
        <f t="array" ref="K24">IFERROR(INDEX(_xlfn.SORTBY(_xlfn._xlws.FILTER(tblCarryingExpenses[Amount],(tblCarryingExpenses[Category]="Casa Lending")*(tblCarryingExpenses[Include]="Yes")),_xlfn._xlws.FILTER(tblCarryingExpenses[Date],(tblCarryingExpenses[Category]="Casa Lending")*(tblCarryingExpenses[Include]="Yes")),1),ROWS($J$3:J24)),"")</f>
        <v/>
      </c>
      <c r="L24" s="338"/>
      <c r="M24" s="339" cm="1">
        <f t="array" ref="M24">IFERROR(INDEX(_xlfn.SORTBY(_xlfn._xlws.FILTER(tblCarryingExpenses[Date],(tblCarryingExpenses[Category]="Insurance Payments")*(tblCarryingExpenses[Include]="Yes")),_xlfn._xlws.FILTER(tblCarryingExpenses[Date],(tblCarryingExpenses[Category]="Insurance Payments")*(tblCarryingExpenses[Include]="Yes")),1),ROWS($M$3:M24)),"")</f>
        <v>45870</v>
      </c>
      <c r="N24" s="340" cm="1">
        <f t="array" ref="N24">IFERROR(INDEX(_xlfn.SORTBY(_xlfn._xlws.FILTER(tblCarryingExpenses[Amount],(tblCarryingExpenses[Category]="Insurance Payments")*(tblCarryingExpenses[Include]="Yes")),_xlfn._xlws.FILTER(tblCarryingExpenses[Date],(tblCarryingExpenses[Category]="Insurance Payments")*(tblCarryingExpenses[Include]="Yes")),1),ROWS($M$3:M24)),"")</f>
        <v>94.65</v>
      </c>
      <c r="O24" s="338"/>
      <c r="P24" s="339" t="str" cm="1">
        <f t="array" ref="P24">IFERROR(INDEX(_xlfn.SORTBY(_xlfn._xlws.FILTER(tblCarryingExpenses[Date],(tblCarryingExpenses[Category]="Water")*(tblCarryingExpenses[Include]="Yes")),_xlfn._xlws.FILTER(tblCarryingExpenses[Date],(tblCarryingExpenses[Category]="Water")*(tblCarryingExpenses[Include]="Yes")),1),ROWS($P$3:P24)),"")</f>
        <v/>
      </c>
      <c r="Q24" s="340" t="str" cm="1">
        <f t="array" ref="Q24">IFERROR(INDEX(_xlfn.SORTBY(_xlfn._xlws.FILTER(tblCarryingExpenses[Amount],(tblCarryingExpenses[Category]="Water")*(tblCarryingExpenses[Include]="Yes")),_xlfn._xlws.FILTER(tblCarryingExpenses[Date],(tblCarryingExpenses[Category]="Water")*(tblCarryingExpenses[Include]="Yes")),1),ROWS($P$3:P24)),"")</f>
        <v/>
      </c>
      <c r="R24" s="338"/>
      <c r="S24" s="339" t="str" cm="1">
        <f t="array" ref="S24">IFERROR(INDEX(_xlfn.SORTBY(_xlfn._xlws.FILTER(tblCarryingExpenses[Date],(tblCarryingExpenses[Category]="Natural Gas")*(tblCarryingExpenses[Include]="Yes")),_xlfn._xlws.FILTER(tblCarryingExpenses[Date],(tblCarryingExpenses[Category]="Natural Gas")*(tblCarryingExpenses[Include]="Yes")),1),ROWS($S$3:S24)),"")</f>
        <v/>
      </c>
      <c r="T24" s="340" t="str" cm="1">
        <f t="array" ref="T24">IFERROR(INDEX(_xlfn.SORTBY(_xlfn._xlws.FILTER(tblCarryingExpenses[Amount],(tblCarryingExpenses[Category]="Natural Gas")*(tblCarryingExpenses[Include]="Yes")),_xlfn._xlws.FILTER(tblCarryingExpenses[Date],(tblCarryingExpenses[Category]="Natural Gas")*(tblCarryingExpenses[Include]="Yes")),1),ROWS($S$3:S24)),"")</f>
        <v/>
      </c>
      <c r="U24" s="338"/>
      <c r="V24" s="339" t="str" cm="1">
        <f t="array" ref="V24">IFERROR(INDEX(_xlfn.SORTBY(_xlfn._xlws.FILTER(tblCarryingExpenses[Date],(tblCarryingExpenses[Category]="HOA")*(tblCarryingExpenses[Include]="Yes")),_xlfn._xlws.FILTER(tblCarryingExpenses[Date],(tblCarryingExpenses[Category]="HOA")*(tblCarryingExpenses[Include]="Yes")),1),ROWS($V$3:V24)),"")</f>
        <v/>
      </c>
      <c r="W24" s="340" t="str" cm="1">
        <f t="array" ref="W24">IFERROR(INDEX(_xlfn.SORTBY(_xlfn._xlws.FILTER(tblCarryingExpenses[Amount],(tblCarryingExpenses[Category]="HOA")*(tblCarryingExpenses[Include]="Yes")),_xlfn._xlws.FILTER(tblCarryingExpenses[Date],(tblCarryingExpenses[Category]="HOA")*(tblCarryingExpenses[Include]="Yes")),1),ROWS($V$3:V24)),"")</f>
        <v/>
      </c>
      <c r="X24" s="338"/>
      <c r="Y24" s="339" t="str" cm="1">
        <f t="array" ref="Y24">IFERROR(INDEX(_xlfn.SORTBY(_xlfn._xlws.FILTER(tblCarryingExpenses[Date],(tblCarryingExpenses[Category]="Property Taxes")*(tblCarryingExpenses[Include]="Yes")),_xlfn._xlws.FILTER(tblCarryingExpenses[Date],(tblCarryingExpenses[Category]="Property Taxes")*(tblCarryingExpenses[Include]="Yes")),1),ROWS($Y$3:Y24)),"")</f>
        <v/>
      </c>
      <c r="Z24" s="340" t="str" cm="1">
        <f t="array" ref="Z24">IFERROR(IF(INDEX(_xlfn.SORTBY(_xlfn._xlws.FILTER(tblCarryingExpenses[Amount],(tblCarryingExpenses[Category]="Property Taxes")*(tblCarryingExpenses[Include]="Yes")),_xlfn._xlws.FILTER(tblCarryingExpenses[Date],(tblCarryingExpenses[Category]="Property Taxes")*(tblCarryingExpenses[Include]="Yes")),1),ROWS($Y$3:Y24))&lt;0,"",INDEX(_xlfn.SORTBY(_xlfn._xlws.FILTER(tblCarryingExpenses[Amount],(tblCarryingExpenses[Category]="Property Taxes")*(tblCarryingExpenses[Include]="Yes")),_xlfn._xlws.FILTER(tblCarryingExpenses[Date],(tblCarryingExpenses[Category]="Property Taxes")*(tblCarryingExpenses[Include]="Yes")),1),ROWS($Y$3:Y24))),"")</f>
        <v/>
      </c>
      <c r="AA24" s="340" t="str" cm="1">
        <f t="array" ref="AA24">IFERROR(IF(ISNUMBER(SEARCH("escrow",INDEX(_xlfn.SORTBY(_xlfn._xlws.FILTER(tblCarryingExpenses[Notes],(tblCarryingExpenses[Category]="Property Taxes")*(tblCarryingExpenses[Include]="Yes")),_xlfn._xlws.FILTER(tblCarryingExpenses[Date],(tblCarryingExpenses[Category]="Property Taxes")*(tblCarryingExpenses[Include]="Yes")),1),ROWS($Y$3:Y24)))),INDEX(_xlfn.SORTBY(_xlfn._xlws.FILTER(tblCarryingExpenses[Amount],(tblCarryingExpenses[Category]="Property Taxes")*(tblCarryingExpenses[Include]="Yes")),_xlfn._xlws.FILTER(tblCarryingExpenses[Date],(tblCarryingExpenses[Category]="Property Taxes")*(tblCarryingExpenses[Include]="Yes")),1),ROWS($Y$3:Y24)),""),"")</f>
        <v/>
      </c>
      <c r="AB24" s="339" t="str" cm="1">
        <f t="array" ref="AB24">IFERROR(INDEX(_xlfn.SORTBY(_xlfn._xlws.FILTER(tblCarryingExpenses[Date],(tblCarryingExpenses[Category]="Excavator Rental")*(tblCarryingExpenses[Include]="Yes")),_xlfn._xlws.FILTER(tblCarryingExpenses[Date],(tblCarryingExpenses[Category]="Excavator Rental")*(tblCarryingExpenses[Include]="Yes")),1),ROWS($AB$3:AB24)),"")</f>
        <v/>
      </c>
      <c r="AC24" s="340" t="str" cm="1">
        <f t="array" ref="AC24">IFERROR(INDEX(_xlfn.SORTBY(_xlfn._xlws.FILTER(tblCarryingExpenses[Amount],(tblCarryingExpenses[Category]="Excavator Rental")*(tblCarryingExpenses[Include]="Yes")),_xlfn._xlws.FILTER(tblCarryingExpenses[Date],(tblCarryingExpenses[Category]="Excavator Rental")*(tblCarryingExpenses[Include]="Yes")),1),ROWS($AB$3:AB24)),"")</f>
        <v/>
      </c>
      <c r="AD24" s="338"/>
      <c r="AE24" s="339" t="str" cm="1">
        <f t="array" ref="AE24">IFERROR(INDEX(_xlfn.SORTBY(_xlfn._xlws.FILTER(tblCarryingExpenses[Date],(tblCarryingExpenses[Category]="Lawn")*(tblCarryingExpenses[Include]="Yes")),_xlfn._xlws.FILTER(tblCarryingExpenses[Date],(tblCarryingExpenses[Category]="Lawn")*(tblCarryingExpenses[Include]="Yes")),1),ROWS($AE$3:AE24)),"")</f>
        <v/>
      </c>
      <c r="AF24" s="340" t="str" cm="1">
        <f t="array" ref="AF24">IFERROR(INDEX(_xlfn.SORTBY(_xlfn._xlws.FILTER(tblCarryingExpenses[Amount],(tblCarryingExpenses[Category]="Lawn")*(tblCarryingExpenses[Include]="Yes")),_xlfn._xlws.FILTER(tblCarryingExpenses[Date],(tblCarryingExpenses[Category]="Lawn")*(tblCarryingExpenses[Include]="Yes")),1),ROWS($AE$3:AE24)),"")</f>
        <v/>
      </c>
      <c r="AL24" t="s">
        <v>7</v>
      </c>
      <c r="AM24" t="s">
        <v>791</v>
      </c>
      <c r="AN24" s="12">
        <v>45654</v>
      </c>
      <c r="AQ24" s="5">
        <v>1081.21</v>
      </c>
      <c r="AR24" t="s">
        <v>780</v>
      </c>
      <c r="AT24" t="s">
        <v>781</v>
      </c>
      <c r="AU24" t="s">
        <v>782</v>
      </c>
      <c r="AV24" t="s">
        <v>805</v>
      </c>
    </row>
    <row r="25" spans="1:48" x14ac:dyDescent="0.25">
      <c r="A25" s="339" t="str" cm="1">
        <f t="array" ref="A25">IFERROR(INDEX(_xlfn.SORTBY(_xlfn._xlws.FILTER(tblCarryingExpenses[Date],(tblCarryingExpenses[Category]="Duke Electric")*(tblCarryingExpenses[Include]="Yes")),_xlfn._xlws.FILTER(tblCarryingExpenses[Date],(tblCarryingExpenses[Category]="Duke Electric")*(tblCarryingExpenses[Include]="Yes")),1),ROWS($A$3:A25)),"")</f>
        <v/>
      </c>
      <c r="B25" s="340" t="str" cm="1">
        <f t="array" ref="B25">IFERROR(INDEX(_xlfn.SORTBY(_xlfn._xlws.FILTER(tblCarryingExpenses[Amount],(tblCarryingExpenses[Category]="Duke Electric")*(tblCarryingExpenses[Include]="Yes")),_xlfn._xlws.FILTER(tblCarryingExpenses[Date],(tblCarryingExpenses[Category]="Duke Electric")*(tblCarryingExpenses[Include]="Yes")),1),ROWS($A$3:A25)),"")</f>
        <v/>
      </c>
      <c r="C25" s="338"/>
      <c r="D25" s="339" cm="1">
        <f t="array" ref="D25">IFERROR(INDEX(_xlfn.SORTBY(_xlfn._xlws.FILTER(tblCarryingExpenses[Date],(tblCarryingExpenses[Category]="Mortgage Payment")*(tblCarryingExpenses[Include]="Yes")),_xlfn._xlws.FILTER(tblCarryingExpenses[Date],(tblCarryingExpenses[Category]="Mortgage Payment")*(tblCarryingExpenses[Include]="Yes")),1),ROWS($D$3:D25)),"")</f>
        <v>45924</v>
      </c>
      <c r="E25" s="340" cm="1">
        <f t="array" ref="E25">IFERROR(INDEX(_xlfn.SORTBY(_xlfn._xlws.FILTER(tblCarryingExpenses[Amount],(tblCarryingExpenses[Category]="Mortgage Payment")*(tblCarryingExpenses[Include]="Yes")),_xlfn._xlws.FILTER(tblCarryingExpenses[Date],(tblCarryingExpenses[Category]="Mortgage Payment")*(tblCarryingExpenses[Include]="Yes")),1),ROWS($D$3:D25)),"")</f>
        <v>1209.23</v>
      </c>
      <c r="F25" s="338"/>
      <c r="G25" s="339" cm="1">
        <f t="array" ref="G25">IFERROR(INDEX(_xlfn.SORTBY(_xlfn._xlws.FILTER(tblCarryingExpenses[Date],(tblCarryingExpenses[Category]="Private Money")*(tblCarryingExpenses[Include]="Yes")),_xlfn._xlws.FILTER(tblCarryingExpenses[Date],(tblCarryingExpenses[Category]="Private Money")*(tblCarryingExpenses[Include]="Yes")),1),ROWS($G$3:G25)),"")</f>
        <v>45895</v>
      </c>
      <c r="H25" s="340" cm="1">
        <f t="array" ref="H25">IFERROR(INDEX(_xlfn.SORTBY(_xlfn._xlws.FILTER(tblCarryingExpenses[Amount],(tblCarryingExpenses[Category]="Private Money")*(tblCarryingExpenses[Include]="Yes")),_xlfn._xlws.FILTER(tblCarryingExpenses[Date],(tblCarryingExpenses[Category]="Private Money")*(tblCarryingExpenses[Include]="Yes")),1),ROWS($G$3:G25)),"")</f>
        <v>925</v>
      </c>
      <c r="I25" s="338"/>
      <c r="J25" s="339" t="str" cm="1">
        <f t="array" ref="J25">IFERROR(INDEX(_xlfn.SORTBY(_xlfn._xlws.FILTER(tblCarryingExpenses[Date],(tblCarryingExpenses[Category]="Casa Lending")*(tblCarryingExpenses[Include]="Yes")),_xlfn._xlws.FILTER(tblCarryingExpenses[Date],(tblCarryingExpenses[Category]="Casa Lending")*(tblCarryingExpenses[Include]="Yes")),1),ROWS($J$3:J25)),"")</f>
        <v/>
      </c>
      <c r="K25" s="340" t="str" cm="1">
        <f t="array" ref="K25">IFERROR(INDEX(_xlfn.SORTBY(_xlfn._xlws.FILTER(tblCarryingExpenses[Amount],(tblCarryingExpenses[Category]="Casa Lending")*(tblCarryingExpenses[Include]="Yes")),_xlfn._xlws.FILTER(tblCarryingExpenses[Date],(tblCarryingExpenses[Category]="Casa Lending")*(tblCarryingExpenses[Include]="Yes")),1),ROWS($J$3:J25)),"")</f>
        <v/>
      </c>
      <c r="L25" s="338"/>
      <c r="M25" s="339" cm="1">
        <f t="array" ref="M25">IFERROR(INDEX(_xlfn.SORTBY(_xlfn._xlws.FILTER(tblCarryingExpenses[Date],(tblCarryingExpenses[Category]="Insurance Payments")*(tblCarryingExpenses[Include]="Yes")),_xlfn._xlws.FILTER(tblCarryingExpenses[Date],(tblCarryingExpenses[Category]="Insurance Payments")*(tblCarryingExpenses[Include]="Yes")),1),ROWS($M$3:M25)),"")</f>
        <v>45900</v>
      </c>
      <c r="N25" s="340" cm="1">
        <f t="array" ref="N25">IFERROR(INDEX(_xlfn.SORTBY(_xlfn._xlws.FILTER(tblCarryingExpenses[Amount],(tblCarryingExpenses[Category]="Insurance Payments")*(tblCarryingExpenses[Include]="Yes")),_xlfn._xlws.FILTER(tblCarryingExpenses[Date],(tblCarryingExpenses[Category]="Insurance Payments")*(tblCarryingExpenses[Include]="Yes")),1),ROWS($M$3:M25)),"")</f>
        <v>94.65</v>
      </c>
      <c r="O25" s="338"/>
      <c r="P25" s="339" t="str" cm="1">
        <f t="array" ref="P25">IFERROR(INDEX(_xlfn.SORTBY(_xlfn._xlws.FILTER(tblCarryingExpenses[Date],(tblCarryingExpenses[Category]="Water")*(tblCarryingExpenses[Include]="Yes")),_xlfn._xlws.FILTER(tblCarryingExpenses[Date],(tblCarryingExpenses[Category]="Water")*(tblCarryingExpenses[Include]="Yes")),1),ROWS($P$3:P25)),"")</f>
        <v/>
      </c>
      <c r="Q25" s="340" t="str" cm="1">
        <f t="array" ref="Q25">IFERROR(INDEX(_xlfn.SORTBY(_xlfn._xlws.FILTER(tblCarryingExpenses[Amount],(tblCarryingExpenses[Category]="Water")*(tblCarryingExpenses[Include]="Yes")),_xlfn._xlws.FILTER(tblCarryingExpenses[Date],(tblCarryingExpenses[Category]="Water")*(tblCarryingExpenses[Include]="Yes")),1),ROWS($P$3:P25)),"")</f>
        <v/>
      </c>
      <c r="R25" s="338"/>
      <c r="S25" s="339" t="str" cm="1">
        <f t="array" ref="S25">IFERROR(INDEX(_xlfn.SORTBY(_xlfn._xlws.FILTER(tblCarryingExpenses[Date],(tblCarryingExpenses[Category]="Natural Gas")*(tblCarryingExpenses[Include]="Yes")),_xlfn._xlws.FILTER(tblCarryingExpenses[Date],(tblCarryingExpenses[Category]="Natural Gas")*(tblCarryingExpenses[Include]="Yes")),1),ROWS($S$3:S25)),"")</f>
        <v/>
      </c>
      <c r="T25" s="340" t="str" cm="1">
        <f t="array" ref="T25">IFERROR(INDEX(_xlfn.SORTBY(_xlfn._xlws.FILTER(tblCarryingExpenses[Amount],(tblCarryingExpenses[Category]="Natural Gas")*(tblCarryingExpenses[Include]="Yes")),_xlfn._xlws.FILTER(tblCarryingExpenses[Date],(tblCarryingExpenses[Category]="Natural Gas")*(tblCarryingExpenses[Include]="Yes")),1),ROWS($S$3:S25)),"")</f>
        <v/>
      </c>
      <c r="U25" s="338"/>
      <c r="V25" s="339" t="str" cm="1">
        <f t="array" ref="V25">IFERROR(INDEX(_xlfn.SORTBY(_xlfn._xlws.FILTER(tblCarryingExpenses[Date],(tblCarryingExpenses[Category]="HOA")*(tblCarryingExpenses[Include]="Yes")),_xlfn._xlws.FILTER(tblCarryingExpenses[Date],(tblCarryingExpenses[Category]="HOA")*(tblCarryingExpenses[Include]="Yes")),1),ROWS($V$3:V25)),"")</f>
        <v/>
      </c>
      <c r="W25" s="340" t="str" cm="1">
        <f t="array" ref="W25">IFERROR(INDEX(_xlfn.SORTBY(_xlfn._xlws.FILTER(tblCarryingExpenses[Amount],(tblCarryingExpenses[Category]="HOA")*(tblCarryingExpenses[Include]="Yes")),_xlfn._xlws.FILTER(tblCarryingExpenses[Date],(tblCarryingExpenses[Category]="HOA")*(tblCarryingExpenses[Include]="Yes")),1),ROWS($V$3:V25)),"")</f>
        <v/>
      </c>
      <c r="X25" s="338"/>
      <c r="Y25" s="339" t="str" cm="1">
        <f t="array" ref="Y25">IFERROR(INDEX(_xlfn.SORTBY(_xlfn._xlws.FILTER(tblCarryingExpenses[Date],(tblCarryingExpenses[Category]="Property Taxes")*(tblCarryingExpenses[Include]="Yes")),_xlfn._xlws.FILTER(tblCarryingExpenses[Date],(tblCarryingExpenses[Category]="Property Taxes")*(tblCarryingExpenses[Include]="Yes")),1),ROWS($Y$3:Y25)),"")</f>
        <v/>
      </c>
      <c r="Z25" s="340" t="str" cm="1">
        <f t="array" ref="Z25">IFERROR(IF(INDEX(_xlfn.SORTBY(_xlfn._xlws.FILTER(tblCarryingExpenses[Amount],(tblCarryingExpenses[Category]="Property Taxes")*(tblCarryingExpenses[Include]="Yes")),_xlfn._xlws.FILTER(tblCarryingExpenses[Date],(tblCarryingExpenses[Category]="Property Taxes")*(tblCarryingExpenses[Include]="Yes")),1),ROWS($Y$3:Y25))&lt;0,"",INDEX(_xlfn.SORTBY(_xlfn._xlws.FILTER(tblCarryingExpenses[Amount],(tblCarryingExpenses[Category]="Property Taxes")*(tblCarryingExpenses[Include]="Yes")),_xlfn._xlws.FILTER(tblCarryingExpenses[Date],(tblCarryingExpenses[Category]="Property Taxes")*(tblCarryingExpenses[Include]="Yes")),1),ROWS($Y$3:Y25))),"")</f>
        <v/>
      </c>
      <c r="AA25" s="340" t="str" cm="1">
        <f t="array" ref="AA25">IFERROR(IF(ISNUMBER(SEARCH("escrow",INDEX(_xlfn.SORTBY(_xlfn._xlws.FILTER(tblCarryingExpenses[Notes],(tblCarryingExpenses[Category]="Property Taxes")*(tblCarryingExpenses[Include]="Yes")),_xlfn._xlws.FILTER(tblCarryingExpenses[Date],(tblCarryingExpenses[Category]="Property Taxes")*(tblCarryingExpenses[Include]="Yes")),1),ROWS($Y$3:Y25)))),INDEX(_xlfn.SORTBY(_xlfn._xlws.FILTER(tblCarryingExpenses[Amount],(tblCarryingExpenses[Category]="Property Taxes")*(tblCarryingExpenses[Include]="Yes")),_xlfn._xlws.FILTER(tblCarryingExpenses[Date],(tblCarryingExpenses[Category]="Property Taxes")*(tblCarryingExpenses[Include]="Yes")),1),ROWS($Y$3:Y25)),""),"")</f>
        <v/>
      </c>
      <c r="AB25" s="339" t="str" cm="1">
        <f t="array" ref="AB25">IFERROR(INDEX(_xlfn.SORTBY(_xlfn._xlws.FILTER(tblCarryingExpenses[Date],(tblCarryingExpenses[Category]="Excavator Rental")*(tblCarryingExpenses[Include]="Yes")),_xlfn._xlws.FILTER(tblCarryingExpenses[Date],(tblCarryingExpenses[Category]="Excavator Rental")*(tblCarryingExpenses[Include]="Yes")),1),ROWS($AB$3:AB25)),"")</f>
        <v/>
      </c>
      <c r="AC25" s="340" t="str" cm="1">
        <f t="array" ref="AC25">IFERROR(INDEX(_xlfn.SORTBY(_xlfn._xlws.FILTER(tblCarryingExpenses[Amount],(tblCarryingExpenses[Category]="Excavator Rental")*(tblCarryingExpenses[Include]="Yes")),_xlfn._xlws.FILTER(tblCarryingExpenses[Date],(tblCarryingExpenses[Category]="Excavator Rental")*(tblCarryingExpenses[Include]="Yes")),1),ROWS($AB$3:AB25)),"")</f>
        <v/>
      </c>
      <c r="AD25" s="338"/>
      <c r="AE25" s="339" t="str" cm="1">
        <f t="array" ref="AE25">IFERROR(INDEX(_xlfn.SORTBY(_xlfn._xlws.FILTER(tblCarryingExpenses[Date],(tblCarryingExpenses[Category]="Lawn")*(tblCarryingExpenses[Include]="Yes")),_xlfn._xlws.FILTER(tblCarryingExpenses[Date],(tblCarryingExpenses[Category]="Lawn")*(tblCarryingExpenses[Include]="Yes")),1),ROWS($AE$3:AE25)),"")</f>
        <v/>
      </c>
      <c r="AF25" s="340" t="str" cm="1">
        <f t="array" ref="AF25">IFERROR(INDEX(_xlfn.SORTBY(_xlfn._xlws.FILTER(tblCarryingExpenses[Amount],(tblCarryingExpenses[Category]="Lawn")*(tblCarryingExpenses[Include]="Yes")),_xlfn._xlws.FILTER(tblCarryingExpenses[Date],(tblCarryingExpenses[Category]="Lawn")*(tblCarryingExpenses[Include]="Yes")),1),ROWS($AE$3:AE25)),"")</f>
        <v/>
      </c>
      <c r="AL25" t="s">
        <v>7</v>
      </c>
      <c r="AM25" t="s">
        <v>791</v>
      </c>
      <c r="AN25" s="12">
        <v>45684</v>
      </c>
      <c r="AQ25" s="5">
        <v>1081.21</v>
      </c>
      <c r="AR25" t="s">
        <v>780</v>
      </c>
      <c r="AT25" t="s">
        <v>781</v>
      </c>
      <c r="AU25" t="s">
        <v>782</v>
      </c>
      <c r="AV25" t="s">
        <v>806</v>
      </c>
    </row>
    <row r="26" spans="1:48" x14ac:dyDescent="0.25">
      <c r="A26" s="339" t="str" cm="1">
        <f t="array" ref="A26">IFERROR(INDEX(_xlfn.SORTBY(_xlfn._xlws.FILTER(tblCarryingExpenses[Date],(tblCarryingExpenses[Category]="Duke Electric")*(tblCarryingExpenses[Include]="Yes")),_xlfn._xlws.FILTER(tblCarryingExpenses[Date],(tblCarryingExpenses[Category]="Duke Electric")*(tblCarryingExpenses[Include]="Yes")),1),ROWS($A$3:A26)),"")</f>
        <v/>
      </c>
      <c r="B26" s="340" t="str" cm="1">
        <f t="array" ref="B26">IFERROR(INDEX(_xlfn.SORTBY(_xlfn._xlws.FILTER(tblCarryingExpenses[Amount],(tblCarryingExpenses[Category]="Duke Electric")*(tblCarryingExpenses[Include]="Yes")),_xlfn._xlws.FILTER(tblCarryingExpenses[Date],(tblCarryingExpenses[Category]="Duke Electric")*(tblCarryingExpenses[Include]="Yes")),1),ROWS($A$3:A26)),"")</f>
        <v/>
      </c>
      <c r="C26" s="338"/>
      <c r="D26" s="339" cm="1">
        <f t="array" ref="D26">IFERROR(INDEX(_xlfn.SORTBY(_xlfn._xlws.FILTER(tblCarryingExpenses[Date],(tblCarryingExpenses[Category]="Mortgage Payment")*(tblCarryingExpenses[Include]="Yes")),_xlfn._xlws.FILTER(tblCarryingExpenses[Date],(tblCarryingExpenses[Category]="Mortgage Payment")*(tblCarryingExpenses[Include]="Yes")),1),ROWS($D$3:D26)),"")</f>
        <v>45954</v>
      </c>
      <c r="E26" s="340" cm="1">
        <f t="array" ref="E26">IFERROR(INDEX(_xlfn.SORTBY(_xlfn._xlws.FILTER(tblCarryingExpenses[Amount],(tblCarryingExpenses[Category]="Mortgage Payment")*(tblCarryingExpenses[Include]="Yes")),_xlfn._xlws.FILTER(tblCarryingExpenses[Date],(tblCarryingExpenses[Category]="Mortgage Payment")*(tblCarryingExpenses[Include]="Yes")),1),ROWS($D$3:D26)),"")</f>
        <v>1209.23</v>
      </c>
      <c r="F26" s="338"/>
      <c r="G26" s="339" cm="1">
        <f t="array" ref="G26">IFERROR(INDEX(_xlfn.SORTBY(_xlfn._xlws.FILTER(tblCarryingExpenses[Date],(tblCarryingExpenses[Category]="Private Money")*(tblCarryingExpenses[Include]="Yes")),_xlfn._xlws.FILTER(tblCarryingExpenses[Date],(tblCarryingExpenses[Category]="Private Money")*(tblCarryingExpenses[Include]="Yes")),1),ROWS($G$3:G26)),"")</f>
        <v>45925</v>
      </c>
      <c r="H26" s="340" cm="1">
        <f t="array" ref="H26">IFERROR(INDEX(_xlfn.SORTBY(_xlfn._xlws.FILTER(tblCarryingExpenses[Amount],(tblCarryingExpenses[Category]="Private Money")*(tblCarryingExpenses[Include]="Yes")),_xlfn._xlws.FILTER(tblCarryingExpenses[Date],(tblCarryingExpenses[Category]="Private Money")*(tblCarryingExpenses[Include]="Yes")),1),ROWS($G$3:G26)),"")</f>
        <v>925</v>
      </c>
      <c r="I26" s="338"/>
      <c r="J26" s="339" t="str" cm="1">
        <f t="array" ref="J26">IFERROR(INDEX(_xlfn.SORTBY(_xlfn._xlws.FILTER(tblCarryingExpenses[Date],(tblCarryingExpenses[Category]="Casa Lending")*(tblCarryingExpenses[Include]="Yes")),_xlfn._xlws.FILTER(tblCarryingExpenses[Date],(tblCarryingExpenses[Category]="Casa Lending")*(tblCarryingExpenses[Include]="Yes")),1),ROWS($J$3:J26)),"")</f>
        <v/>
      </c>
      <c r="K26" s="340" t="str" cm="1">
        <f t="array" ref="K26">IFERROR(INDEX(_xlfn.SORTBY(_xlfn._xlws.FILTER(tblCarryingExpenses[Amount],(tblCarryingExpenses[Category]="Casa Lending")*(tblCarryingExpenses[Include]="Yes")),_xlfn._xlws.FILTER(tblCarryingExpenses[Date],(tblCarryingExpenses[Category]="Casa Lending")*(tblCarryingExpenses[Include]="Yes")),1),ROWS($J$3:J26)),"")</f>
        <v/>
      </c>
      <c r="L26" s="338"/>
      <c r="M26" s="339" cm="1">
        <f t="array" ref="M26">IFERROR(INDEX(_xlfn.SORTBY(_xlfn._xlws.FILTER(tblCarryingExpenses[Date],(tblCarryingExpenses[Category]="Insurance Payments")*(tblCarryingExpenses[Include]="Yes")),_xlfn._xlws.FILTER(tblCarryingExpenses[Date],(tblCarryingExpenses[Category]="Insurance Payments")*(tblCarryingExpenses[Include]="Yes")),1),ROWS($M$3:M26)),"")</f>
        <v>45930</v>
      </c>
      <c r="N26" s="340" cm="1">
        <f t="array" ref="N26">IFERROR(INDEX(_xlfn.SORTBY(_xlfn._xlws.FILTER(tblCarryingExpenses[Amount],(tblCarryingExpenses[Category]="Insurance Payments")*(tblCarryingExpenses[Include]="Yes")),_xlfn._xlws.FILTER(tblCarryingExpenses[Date],(tblCarryingExpenses[Category]="Insurance Payments")*(tblCarryingExpenses[Include]="Yes")),1),ROWS($M$3:M26)),"")</f>
        <v>94.65</v>
      </c>
      <c r="O26" s="338"/>
      <c r="P26" s="339" t="str" cm="1">
        <f t="array" ref="P26">IFERROR(INDEX(_xlfn.SORTBY(_xlfn._xlws.FILTER(tblCarryingExpenses[Date],(tblCarryingExpenses[Category]="Water")*(tblCarryingExpenses[Include]="Yes")),_xlfn._xlws.FILTER(tblCarryingExpenses[Date],(tblCarryingExpenses[Category]="Water")*(tblCarryingExpenses[Include]="Yes")),1),ROWS($P$3:P26)),"")</f>
        <v/>
      </c>
      <c r="Q26" s="340" t="str" cm="1">
        <f t="array" ref="Q26">IFERROR(INDEX(_xlfn.SORTBY(_xlfn._xlws.FILTER(tblCarryingExpenses[Amount],(tblCarryingExpenses[Category]="Water")*(tblCarryingExpenses[Include]="Yes")),_xlfn._xlws.FILTER(tblCarryingExpenses[Date],(tblCarryingExpenses[Category]="Water")*(tblCarryingExpenses[Include]="Yes")),1),ROWS($P$3:P26)),"")</f>
        <v/>
      </c>
      <c r="R26" s="338"/>
      <c r="S26" s="339" t="str" cm="1">
        <f t="array" ref="S26">IFERROR(INDEX(_xlfn.SORTBY(_xlfn._xlws.FILTER(tblCarryingExpenses[Date],(tblCarryingExpenses[Category]="Natural Gas")*(tblCarryingExpenses[Include]="Yes")),_xlfn._xlws.FILTER(tblCarryingExpenses[Date],(tblCarryingExpenses[Category]="Natural Gas")*(tblCarryingExpenses[Include]="Yes")),1),ROWS($S$3:S26)),"")</f>
        <v/>
      </c>
      <c r="T26" s="340" t="str" cm="1">
        <f t="array" ref="T26">IFERROR(INDEX(_xlfn.SORTBY(_xlfn._xlws.FILTER(tblCarryingExpenses[Amount],(tblCarryingExpenses[Category]="Natural Gas")*(tblCarryingExpenses[Include]="Yes")),_xlfn._xlws.FILTER(tblCarryingExpenses[Date],(tblCarryingExpenses[Category]="Natural Gas")*(tblCarryingExpenses[Include]="Yes")),1),ROWS($S$3:S26)),"")</f>
        <v/>
      </c>
      <c r="U26" s="338"/>
      <c r="V26" s="339" t="str" cm="1">
        <f t="array" ref="V26">IFERROR(INDEX(_xlfn.SORTBY(_xlfn._xlws.FILTER(tblCarryingExpenses[Date],(tblCarryingExpenses[Category]="HOA")*(tblCarryingExpenses[Include]="Yes")),_xlfn._xlws.FILTER(tblCarryingExpenses[Date],(tblCarryingExpenses[Category]="HOA")*(tblCarryingExpenses[Include]="Yes")),1),ROWS($V$3:V26)),"")</f>
        <v/>
      </c>
      <c r="W26" s="340" t="str" cm="1">
        <f t="array" ref="W26">IFERROR(INDEX(_xlfn.SORTBY(_xlfn._xlws.FILTER(tblCarryingExpenses[Amount],(tblCarryingExpenses[Category]="HOA")*(tblCarryingExpenses[Include]="Yes")),_xlfn._xlws.FILTER(tblCarryingExpenses[Date],(tblCarryingExpenses[Category]="HOA")*(tblCarryingExpenses[Include]="Yes")),1),ROWS($V$3:V26)),"")</f>
        <v/>
      </c>
      <c r="X26" s="338"/>
      <c r="Y26" s="339" t="str" cm="1">
        <f t="array" ref="Y26">IFERROR(INDEX(_xlfn.SORTBY(_xlfn._xlws.FILTER(tblCarryingExpenses[Date],(tblCarryingExpenses[Category]="Property Taxes")*(tblCarryingExpenses[Include]="Yes")),_xlfn._xlws.FILTER(tblCarryingExpenses[Date],(tblCarryingExpenses[Category]="Property Taxes")*(tblCarryingExpenses[Include]="Yes")),1),ROWS($Y$3:Y26)),"")</f>
        <v/>
      </c>
      <c r="Z26" s="340" t="str" cm="1">
        <f t="array" ref="Z26">IFERROR(IF(INDEX(_xlfn.SORTBY(_xlfn._xlws.FILTER(tblCarryingExpenses[Amount],(tblCarryingExpenses[Category]="Property Taxes")*(tblCarryingExpenses[Include]="Yes")),_xlfn._xlws.FILTER(tblCarryingExpenses[Date],(tblCarryingExpenses[Category]="Property Taxes")*(tblCarryingExpenses[Include]="Yes")),1),ROWS($Y$3:Y26))&lt;0,"",INDEX(_xlfn.SORTBY(_xlfn._xlws.FILTER(tblCarryingExpenses[Amount],(tblCarryingExpenses[Category]="Property Taxes")*(tblCarryingExpenses[Include]="Yes")),_xlfn._xlws.FILTER(tblCarryingExpenses[Date],(tblCarryingExpenses[Category]="Property Taxes")*(tblCarryingExpenses[Include]="Yes")),1),ROWS($Y$3:Y26))),"")</f>
        <v/>
      </c>
      <c r="AA26" s="340" t="str" cm="1">
        <f t="array" ref="AA26">IFERROR(IF(ISNUMBER(SEARCH("escrow",INDEX(_xlfn.SORTBY(_xlfn._xlws.FILTER(tblCarryingExpenses[Notes],(tblCarryingExpenses[Category]="Property Taxes")*(tblCarryingExpenses[Include]="Yes")),_xlfn._xlws.FILTER(tblCarryingExpenses[Date],(tblCarryingExpenses[Category]="Property Taxes")*(tblCarryingExpenses[Include]="Yes")),1),ROWS($Y$3:Y26)))),INDEX(_xlfn.SORTBY(_xlfn._xlws.FILTER(tblCarryingExpenses[Amount],(tblCarryingExpenses[Category]="Property Taxes")*(tblCarryingExpenses[Include]="Yes")),_xlfn._xlws.FILTER(tblCarryingExpenses[Date],(tblCarryingExpenses[Category]="Property Taxes")*(tblCarryingExpenses[Include]="Yes")),1),ROWS($Y$3:Y26)),""),"")</f>
        <v/>
      </c>
      <c r="AB26" s="339" t="str" cm="1">
        <f t="array" ref="AB26">IFERROR(INDEX(_xlfn.SORTBY(_xlfn._xlws.FILTER(tblCarryingExpenses[Date],(tblCarryingExpenses[Category]="Excavator Rental")*(tblCarryingExpenses[Include]="Yes")),_xlfn._xlws.FILTER(tblCarryingExpenses[Date],(tblCarryingExpenses[Category]="Excavator Rental")*(tblCarryingExpenses[Include]="Yes")),1),ROWS($AB$3:AB26)),"")</f>
        <v/>
      </c>
      <c r="AC26" s="340" t="str" cm="1">
        <f t="array" ref="AC26">IFERROR(INDEX(_xlfn.SORTBY(_xlfn._xlws.FILTER(tblCarryingExpenses[Amount],(tblCarryingExpenses[Category]="Excavator Rental")*(tblCarryingExpenses[Include]="Yes")),_xlfn._xlws.FILTER(tblCarryingExpenses[Date],(tblCarryingExpenses[Category]="Excavator Rental")*(tblCarryingExpenses[Include]="Yes")),1),ROWS($AB$3:AB26)),"")</f>
        <v/>
      </c>
      <c r="AD26" s="338"/>
      <c r="AE26" s="339" t="str" cm="1">
        <f t="array" ref="AE26">IFERROR(INDEX(_xlfn.SORTBY(_xlfn._xlws.FILTER(tblCarryingExpenses[Date],(tblCarryingExpenses[Category]="Lawn")*(tblCarryingExpenses[Include]="Yes")),_xlfn._xlws.FILTER(tblCarryingExpenses[Date],(tblCarryingExpenses[Category]="Lawn")*(tblCarryingExpenses[Include]="Yes")),1),ROWS($AE$3:AE26)),"")</f>
        <v/>
      </c>
      <c r="AF26" s="340" t="str" cm="1">
        <f t="array" ref="AF26">IFERROR(INDEX(_xlfn.SORTBY(_xlfn._xlws.FILTER(tblCarryingExpenses[Amount],(tblCarryingExpenses[Category]="Lawn")*(tblCarryingExpenses[Include]="Yes")),_xlfn._xlws.FILTER(tblCarryingExpenses[Date],(tblCarryingExpenses[Category]="Lawn")*(tblCarryingExpenses[Include]="Yes")),1),ROWS($AE$3:AE26)),"")</f>
        <v/>
      </c>
      <c r="AL26" t="s">
        <v>7</v>
      </c>
      <c r="AM26" t="s">
        <v>791</v>
      </c>
      <c r="AN26" s="12">
        <v>45714</v>
      </c>
      <c r="AQ26" s="5">
        <v>1209.23</v>
      </c>
      <c r="AR26" t="s">
        <v>780</v>
      </c>
      <c r="AT26" t="s">
        <v>781</v>
      </c>
      <c r="AU26" t="s">
        <v>782</v>
      </c>
      <c r="AV26" t="s">
        <v>807</v>
      </c>
    </row>
    <row r="27" spans="1:48" x14ac:dyDescent="0.25">
      <c r="A27" s="339" t="str" cm="1">
        <f t="array" ref="A27">IFERROR(INDEX(_xlfn.SORTBY(_xlfn._xlws.FILTER(tblCarryingExpenses[Date],(tblCarryingExpenses[Category]="Duke Electric")*(tblCarryingExpenses[Include]="Yes")),_xlfn._xlws.FILTER(tblCarryingExpenses[Date],(tblCarryingExpenses[Category]="Duke Electric")*(tblCarryingExpenses[Include]="Yes")),1),ROWS($A$3:A27)),"")</f>
        <v/>
      </c>
      <c r="B27" s="340" t="str" cm="1">
        <f t="array" ref="B27">IFERROR(INDEX(_xlfn.SORTBY(_xlfn._xlws.FILTER(tblCarryingExpenses[Amount],(tblCarryingExpenses[Category]="Duke Electric")*(tblCarryingExpenses[Include]="Yes")),_xlfn._xlws.FILTER(tblCarryingExpenses[Date],(tblCarryingExpenses[Category]="Duke Electric")*(tblCarryingExpenses[Include]="Yes")),1),ROWS($A$3:A27)),"")</f>
        <v/>
      </c>
      <c r="C27" s="338"/>
      <c r="D27" s="339" cm="1">
        <f t="array" ref="D27">IFERROR(INDEX(_xlfn.SORTBY(_xlfn._xlws.FILTER(tblCarryingExpenses[Date],(tblCarryingExpenses[Category]="Mortgage Payment")*(tblCarryingExpenses[Include]="Yes")),_xlfn._xlws.FILTER(tblCarryingExpenses[Date],(tblCarryingExpenses[Category]="Mortgage Payment")*(tblCarryingExpenses[Include]="Yes")),1),ROWS($D$3:D27)),"")</f>
        <v>45984</v>
      </c>
      <c r="E27" s="340" cm="1">
        <f t="array" ref="E27">IFERROR(INDEX(_xlfn.SORTBY(_xlfn._xlws.FILTER(tblCarryingExpenses[Amount],(tblCarryingExpenses[Category]="Mortgage Payment")*(tblCarryingExpenses[Include]="Yes")),_xlfn._xlws.FILTER(tblCarryingExpenses[Date],(tblCarryingExpenses[Category]="Mortgage Payment")*(tblCarryingExpenses[Include]="Yes")),1),ROWS($D$3:D27)),"")</f>
        <v>1209.23</v>
      </c>
      <c r="F27" s="338"/>
      <c r="G27" s="339" cm="1">
        <f t="array" ref="G27">IFERROR(INDEX(_xlfn.SORTBY(_xlfn._xlws.FILTER(tblCarryingExpenses[Date],(tblCarryingExpenses[Category]="Private Money")*(tblCarryingExpenses[Include]="Yes")),_xlfn._xlws.FILTER(tblCarryingExpenses[Date],(tblCarryingExpenses[Category]="Private Money")*(tblCarryingExpenses[Include]="Yes")),1),ROWS($G$3:G27)),"")</f>
        <v>45955</v>
      </c>
      <c r="H27" s="340" cm="1">
        <f t="array" ref="H27">IFERROR(INDEX(_xlfn.SORTBY(_xlfn._xlws.FILTER(tblCarryingExpenses[Amount],(tblCarryingExpenses[Category]="Private Money")*(tblCarryingExpenses[Include]="Yes")),_xlfn._xlws.FILTER(tblCarryingExpenses[Date],(tblCarryingExpenses[Category]="Private Money")*(tblCarryingExpenses[Include]="Yes")),1),ROWS($G$3:G27)),"")</f>
        <v>925</v>
      </c>
      <c r="I27" s="338"/>
      <c r="J27" s="339" t="str" cm="1">
        <f t="array" ref="J27">IFERROR(INDEX(_xlfn.SORTBY(_xlfn._xlws.FILTER(tblCarryingExpenses[Date],(tblCarryingExpenses[Category]="Casa Lending")*(tblCarryingExpenses[Include]="Yes")),_xlfn._xlws.FILTER(tblCarryingExpenses[Date],(tblCarryingExpenses[Category]="Casa Lending")*(tblCarryingExpenses[Include]="Yes")),1),ROWS($J$3:J27)),"")</f>
        <v/>
      </c>
      <c r="K27" s="340" t="str" cm="1">
        <f t="array" ref="K27">IFERROR(INDEX(_xlfn.SORTBY(_xlfn._xlws.FILTER(tblCarryingExpenses[Amount],(tblCarryingExpenses[Category]="Casa Lending")*(tblCarryingExpenses[Include]="Yes")),_xlfn._xlws.FILTER(tblCarryingExpenses[Date],(tblCarryingExpenses[Category]="Casa Lending")*(tblCarryingExpenses[Include]="Yes")),1),ROWS($J$3:J27)),"")</f>
        <v/>
      </c>
      <c r="L27" s="338"/>
      <c r="M27" s="339" cm="1">
        <f t="array" ref="M27">IFERROR(INDEX(_xlfn.SORTBY(_xlfn._xlws.FILTER(tblCarryingExpenses[Date],(tblCarryingExpenses[Category]="Insurance Payments")*(tblCarryingExpenses[Include]="Yes")),_xlfn._xlws.FILTER(tblCarryingExpenses[Date],(tblCarryingExpenses[Category]="Insurance Payments")*(tblCarryingExpenses[Include]="Yes")),1),ROWS($M$3:M27)),"")</f>
        <v>45960</v>
      </c>
      <c r="N27" s="340" cm="1">
        <f t="array" ref="N27">IFERROR(INDEX(_xlfn.SORTBY(_xlfn._xlws.FILTER(tblCarryingExpenses[Amount],(tblCarryingExpenses[Category]="Insurance Payments")*(tblCarryingExpenses[Include]="Yes")),_xlfn._xlws.FILTER(tblCarryingExpenses[Date],(tblCarryingExpenses[Category]="Insurance Payments")*(tblCarryingExpenses[Include]="Yes")),1),ROWS($M$3:M27)),"")</f>
        <v>94.65</v>
      </c>
      <c r="O27" s="338"/>
      <c r="P27" s="339" t="str" cm="1">
        <f t="array" ref="P27">IFERROR(INDEX(_xlfn.SORTBY(_xlfn._xlws.FILTER(tblCarryingExpenses[Date],(tblCarryingExpenses[Category]="Water")*(tblCarryingExpenses[Include]="Yes")),_xlfn._xlws.FILTER(tblCarryingExpenses[Date],(tblCarryingExpenses[Category]="Water")*(tblCarryingExpenses[Include]="Yes")),1),ROWS($P$3:P27)),"")</f>
        <v/>
      </c>
      <c r="Q27" s="340" t="str" cm="1">
        <f t="array" ref="Q27">IFERROR(INDEX(_xlfn.SORTBY(_xlfn._xlws.FILTER(tblCarryingExpenses[Amount],(tblCarryingExpenses[Category]="Water")*(tblCarryingExpenses[Include]="Yes")),_xlfn._xlws.FILTER(tblCarryingExpenses[Date],(tblCarryingExpenses[Category]="Water")*(tblCarryingExpenses[Include]="Yes")),1),ROWS($P$3:P27)),"")</f>
        <v/>
      </c>
      <c r="R27" s="338"/>
      <c r="S27" s="339" t="str" cm="1">
        <f t="array" ref="S27">IFERROR(INDEX(_xlfn.SORTBY(_xlfn._xlws.FILTER(tblCarryingExpenses[Date],(tblCarryingExpenses[Category]="Natural Gas")*(tblCarryingExpenses[Include]="Yes")),_xlfn._xlws.FILTER(tblCarryingExpenses[Date],(tblCarryingExpenses[Category]="Natural Gas")*(tblCarryingExpenses[Include]="Yes")),1),ROWS($S$3:S27)),"")</f>
        <v/>
      </c>
      <c r="T27" s="340" t="str" cm="1">
        <f t="array" ref="T27">IFERROR(INDEX(_xlfn.SORTBY(_xlfn._xlws.FILTER(tblCarryingExpenses[Amount],(tblCarryingExpenses[Category]="Natural Gas")*(tblCarryingExpenses[Include]="Yes")),_xlfn._xlws.FILTER(tblCarryingExpenses[Date],(tblCarryingExpenses[Category]="Natural Gas")*(tblCarryingExpenses[Include]="Yes")),1),ROWS($S$3:S27)),"")</f>
        <v/>
      </c>
      <c r="U27" s="338"/>
      <c r="V27" s="339" t="str" cm="1">
        <f t="array" ref="V27">IFERROR(INDEX(_xlfn.SORTBY(_xlfn._xlws.FILTER(tblCarryingExpenses[Date],(tblCarryingExpenses[Category]="HOA")*(tblCarryingExpenses[Include]="Yes")),_xlfn._xlws.FILTER(tblCarryingExpenses[Date],(tblCarryingExpenses[Category]="HOA")*(tblCarryingExpenses[Include]="Yes")),1),ROWS($V$3:V27)),"")</f>
        <v/>
      </c>
      <c r="W27" s="340" t="str" cm="1">
        <f t="array" ref="W27">IFERROR(INDEX(_xlfn.SORTBY(_xlfn._xlws.FILTER(tblCarryingExpenses[Amount],(tblCarryingExpenses[Category]="HOA")*(tblCarryingExpenses[Include]="Yes")),_xlfn._xlws.FILTER(tblCarryingExpenses[Date],(tblCarryingExpenses[Category]="HOA")*(tblCarryingExpenses[Include]="Yes")),1),ROWS($V$3:V27)),"")</f>
        <v/>
      </c>
      <c r="X27" s="338"/>
      <c r="Y27" s="339" t="str" cm="1">
        <f t="array" ref="Y27">IFERROR(INDEX(_xlfn.SORTBY(_xlfn._xlws.FILTER(tblCarryingExpenses[Date],(tblCarryingExpenses[Category]="Property Taxes")*(tblCarryingExpenses[Include]="Yes")),_xlfn._xlws.FILTER(tblCarryingExpenses[Date],(tblCarryingExpenses[Category]="Property Taxes")*(tblCarryingExpenses[Include]="Yes")),1),ROWS($Y$3:Y27)),"")</f>
        <v/>
      </c>
      <c r="Z27" s="340" t="str" cm="1">
        <f t="array" ref="Z27">IFERROR(IF(INDEX(_xlfn.SORTBY(_xlfn._xlws.FILTER(tblCarryingExpenses[Amount],(tblCarryingExpenses[Category]="Property Taxes")*(tblCarryingExpenses[Include]="Yes")),_xlfn._xlws.FILTER(tblCarryingExpenses[Date],(tblCarryingExpenses[Category]="Property Taxes")*(tblCarryingExpenses[Include]="Yes")),1),ROWS($Y$3:Y27))&lt;0,"",INDEX(_xlfn.SORTBY(_xlfn._xlws.FILTER(tblCarryingExpenses[Amount],(tblCarryingExpenses[Category]="Property Taxes")*(tblCarryingExpenses[Include]="Yes")),_xlfn._xlws.FILTER(tblCarryingExpenses[Date],(tblCarryingExpenses[Category]="Property Taxes")*(tblCarryingExpenses[Include]="Yes")),1),ROWS($Y$3:Y27))),"")</f>
        <v/>
      </c>
      <c r="AA27" s="340" t="str" cm="1">
        <f t="array" ref="AA27">IFERROR(IF(ISNUMBER(SEARCH("escrow",INDEX(_xlfn.SORTBY(_xlfn._xlws.FILTER(tblCarryingExpenses[Notes],(tblCarryingExpenses[Category]="Property Taxes")*(tblCarryingExpenses[Include]="Yes")),_xlfn._xlws.FILTER(tblCarryingExpenses[Date],(tblCarryingExpenses[Category]="Property Taxes")*(tblCarryingExpenses[Include]="Yes")),1),ROWS($Y$3:Y27)))),INDEX(_xlfn.SORTBY(_xlfn._xlws.FILTER(tblCarryingExpenses[Amount],(tblCarryingExpenses[Category]="Property Taxes")*(tblCarryingExpenses[Include]="Yes")),_xlfn._xlws.FILTER(tblCarryingExpenses[Date],(tblCarryingExpenses[Category]="Property Taxes")*(tblCarryingExpenses[Include]="Yes")),1),ROWS($Y$3:Y27)),""),"")</f>
        <v/>
      </c>
      <c r="AB27" s="339" t="str" cm="1">
        <f t="array" ref="AB27">IFERROR(INDEX(_xlfn.SORTBY(_xlfn._xlws.FILTER(tblCarryingExpenses[Date],(tblCarryingExpenses[Category]="Excavator Rental")*(tblCarryingExpenses[Include]="Yes")),_xlfn._xlws.FILTER(tblCarryingExpenses[Date],(tblCarryingExpenses[Category]="Excavator Rental")*(tblCarryingExpenses[Include]="Yes")),1),ROWS($AB$3:AB27)),"")</f>
        <v/>
      </c>
      <c r="AC27" s="340" t="str" cm="1">
        <f t="array" ref="AC27">IFERROR(INDEX(_xlfn.SORTBY(_xlfn._xlws.FILTER(tblCarryingExpenses[Amount],(tblCarryingExpenses[Category]="Excavator Rental")*(tblCarryingExpenses[Include]="Yes")),_xlfn._xlws.FILTER(tblCarryingExpenses[Date],(tblCarryingExpenses[Category]="Excavator Rental")*(tblCarryingExpenses[Include]="Yes")),1),ROWS($AB$3:AB27)),"")</f>
        <v/>
      </c>
      <c r="AD27" s="338"/>
      <c r="AE27" s="339" t="str" cm="1">
        <f t="array" ref="AE27">IFERROR(INDEX(_xlfn.SORTBY(_xlfn._xlws.FILTER(tblCarryingExpenses[Date],(tblCarryingExpenses[Category]="Lawn")*(tblCarryingExpenses[Include]="Yes")),_xlfn._xlws.FILTER(tblCarryingExpenses[Date],(tblCarryingExpenses[Category]="Lawn")*(tblCarryingExpenses[Include]="Yes")),1),ROWS($AE$3:AE27)),"")</f>
        <v/>
      </c>
      <c r="AF27" s="340" t="str" cm="1">
        <f t="array" ref="AF27">IFERROR(INDEX(_xlfn.SORTBY(_xlfn._xlws.FILTER(tblCarryingExpenses[Amount],(tblCarryingExpenses[Category]="Lawn")*(tblCarryingExpenses[Include]="Yes")),_xlfn._xlws.FILTER(tblCarryingExpenses[Date],(tblCarryingExpenses[Category]="Lawn")*(tblCarryingExpenses[Include]="Yes")),1),ROWS($AE$3:AE27)),"")</f>
        <v/>
      </c>
      <c r="AL27" t="s">
        <v>7</v>
      </c>
      <c r="AM27" t="s">
        <v>791</v>
      </c>
      <c r="AN27" s="12">
        <v>45744</v>
      </c>
      <c r="AQ27" s="5">
        <v>1209.23</v>
      </c>
      <c r="AR27" t="s">
        <v>780</v>
      </c>
      <c r="AT27" t="s">
        <v>781</v>
      </c>
      <c r="AU27" t="s">
        <v>782</v>
      </c>
      <c r="AV27" t="s">
        <v>808</v>
      </c>
    </row>
    <row r="28" spans="1:48" x14ac:dyDescent="0.25">
      <c r="A28" s="339" t="str" cm="1">
        <f t="array" ref="A28">IFERROR(INDEX(_xlfn.SORTBY(_xlfn._xlws.FILTER(tblCarryingExpenses[Date],(tblCarryingExpenses[Category]="Duke Electric")*(tblCarryingExpenses[Include]="Yes")),_xlfn._xlws.FILTER(tblCarryingExpenses[Date],(tblCarryingExpenses[Category]="Duke Electric")*(tblCarryingExpenses[Include]="Yes")),1),ROWS($A$3:A28)),"")</f>
        <v/>
      </c>
      <c r="B28" s="340" t="str" cm="1">
        <f t="array" ref="B28">IFERROR(INDEX(_xlfn.SORTBY(_xlfn._xlws.FILTER(tblCarryingExpenses[Amount],(tblCarryingExpenses[Category]="Duke Electric")*(tblCarryingExpenses[Include]="Yes")),_xlfn._xlws.FILTER(tblCarryingExpenses[Date],(tblCarryingExpenses[Category]="Duke Electric")*(tblCarryingExpenses[Include]="Yes")),1),ROWS($A$3:A28)),"")</f>
        <v/>
      </c>
      <c r="C28" s="338"/>
      <c r="D28" s="339" cm="1">
        <f t="array" ref="D28">IFERROR(INDEX(_xlfn.SORTBY(_xlfn._xlws.FILTER(tblCarryingExpenses[Date],(tblCarryingExpenses[Category]="Mortgage Payment")*(tblCarryingExpenses[Include]="Yes")),_xlfn._xlws.FILTER(tblCarryingExpenses[Date],(tblCarryingExpenses[Category]="Mortgage Payment")*(tblCarryingExpenses[Include]="Yes")),1),ROWS($D$3:D28)),"")</f>
        <v>46023</v>
      </c>
      <c r="E28" s="340" cm="1">
        <f t="array" ref="E28">IFERROR(INDEX(_xlfn.SORTBY(_xlfn._xlws.FILTER(tblCarryingExpenses[Amount],(tblCarryingExpenses[Category]="Mortgage Payment")*(tblCarryingExpenses[Include]="Yes")),_xlfn._xlws.FILTER(tblCarryingExpenses[Date],(tblCarryingExpenses[Category]="Mortgage Payment")*(tblCarryingExpenses[Include]="Yes")),1),ROWS($D$3:D28)),"")</f>
        <v>1209.23</v>
      </c>
      <c r="F28" s="338"/>
      <c r="G28" s="339" cm="1">
        <f t="array" ref="G28">IFERROR(INDEX(_xlfn.SORTBY(_xlfn._xlws.FILTER(tblCarryingExpenses[Date],(tblCarryingExpenses[Category]="Private Money")*(tblCarryingExpenses[Include]="Yes")),_xlfn._xlws.FILTER(tblCarryingExpenses[Date],(tblCarryingExpenses[Category]="Private Money")*(tblCarryingExpenses[Include]="Yes")),1),ROWS($G$3:G28)),"")</f>
        <v>45985</v>
      </c>
      <c r="H28" s="340" cm="1">
        <f t="array" ref="H28">IFERROR(INDEX(_xlfn.SORTBY(_xlfn._xlws.FILTER(tblCarryingExpenses[Amount],(tblCarryingExpenses[Category]="Private Money")*(tblCarryingExpenses[Include]="Yes")),_xlfn._xlws.FILTER(tblCarryingExpenses[Date],(tblCarryingExpenses[Category]="Private Money")*(tblCarryingExpenses[Include]="Yes")),1),ROWS($G$3:G28)),"")</f>
        <v>925</v>
      </c>
      <c r="I28" s="338"/>
      <c r="J28" s="339" t="str" cm="1">
        <f t="array" ref="J28">IFERROR(INDEX(_xlfn.SORTBY(_xlfn._xlws.FILTER(tblCarryingExpenses[Date],(tblCarryingExpenses[Category]="Casa Lending")*(tblCarryingExpenses[Include]="Yes")),_xlfn._xlws.FILTER(tblCarryingExpenses[Date],(tblCarryingExpenses[Category]="Casa Lending")*(tblCarryingExpenses[Include]="Yes")),1),ROWS($J$3:J28)),"")</f>
        <v/>
      </c>
      <c r="K28" s="340" t="str" cm="1">
        <f t="array" ref="K28">IFERROR(INDEX(_xlfn.SORTBY(_xlfn._xlws.FILTER(tblCarryingExpenses[Amount],(tblCarryingExpenses[Category]="Casa Lending")*(tblCarryingExpenses[Include]="Yes")),_xlfn._xlws.FILTER(tblCarryingExpenses[Date],(tblCarryingExpenses[Category]="Casa Lending")*(tblCarryingExpenses[Include]="Yes")),1),ROWS($J$3:J28)),"")</f>
        <v/>
      </c>
      <c r="L28" s="338"/>
      <c r="M28" s="339" cm="1">
        <f t="array" ref="M28">IFERROR(INDEX(_xlfn.SORTBY(_xlfn._xlws.FILTER(tblCarryingExpenses[Date],(tblCarryingExpenses[Category]="Insurance Payments")*(tblCarryingExpenses[Include]="Yes")),_xlfn._xlws.FILTER(tblCarryingExpenses[Date],(tblCarryingExpenses[Category]="Insurance Payments")*(tblCarryingExpenses[Include]="Yes")),1),ROWS($M$3:M28)),"")</f>
        <v>45990</v>
      </c>
      <c r="N28" s="340" cm="1">
        <f t="array" ref="N28">IFERROR(INDEX(_xlfn.SORTBY(_xlfn._xlws.FILTER(tblCarryingExpenses[Amount],(tblCarryingExpenses[Category]="Insurance Payments")*(tblCarryingExpenses[Include]="Yes")),_xlfn._xlws.FILTER(tblCarryingExpenses[Date],(tblCarryingExpenses[Category]="Insurance Payments")*(tblCarryingExpenses[Include]="Yes")),1),ROWS($M$3:M28)),"")</f>
        <v>94.65</v>
      </c>
      <c r="O28" s="338"/>
      <c r="P28" s="339" t="str" cm="1">
        <f t="array" ref="P28">IFERROR(INDEX(_xlfn.SORTBY(_xlfn._xlws.FILTER(tblCarryingExpenses[Date],(tblCarryingExpenses[Category]="Water")*(tblCarryingExpenses[Include]="Yes")),_xlfn._xlws.FILTER(tblCarryingExpenses[Date],(tblCarryingExpenses[Category]="Water")*(tblCarryingExpenses[Include]="Yes")),1),ROWS($P$3:P28)),"")</f>
        <v/>
      </c>
      <c r="Q28" s="340" t="str" cm="1">
        <f t="array" ref="Q28">IFERROR(INDEX(_xlfn.SORTBY(_xlfn._xlws.FILTER(tblCarryingExpenses[Amount],(tblCarryingExpenses[Category]="Water")*(tblCarryingExpenses[Include]="Yes")),_xlfn._xlws.FILTER(tblCarryingExpenses[Date],(tblCarryingExpenses[Category]="Water")*(tblCarryingExpenses[Include]="Yes")),1),ROWS($P$3:P28)),"")</f>
        <v/>
      </c>
      <c r="R28" s="338"/>
      <c r="S28" s="339" t="str" cm="1">
        <f t="array" ref="S28">IFERROR(INDEX(_xlfn.SORTBY(_xlfn._xlws.FILTER(tblCarryingExpenses[Date],(tblCarryingExpenses[Category]="Natural Gas")*(tblCarryingExpenses[Include]="Yes")),_xlfn._xlws.FILTER(tblCarryingExpenses[Date],(tblCarryingExpenses[Category]="Natural Gas")*(tblCarryingExpenses[Include]="Yes")),1),ROWS($S$3:S28)),"")</f>
        <v/>
      </c>
      <c r="T28" s="340" t="str" cm="1">
        <f t="array" ref="T28">IFERROR(INDEX(_xlfn.SORTBY(_xlfn._xlws.FILTER(tblCarryingExpenses[Amount],(tblCarryingExpenses[Category]="Natural Gas")*(tblCarryingExpenses[Include]="Yes")),_xlfn._xlws.FILTER(tblCarryingExpenses[Date],(tblCarryingExpenses[Category]="Natural Gas")*(tblCarryingExpenses[Include]="Yes")),1),ROWS($S$3:S28)),"")</f>
        <v/>
      </c>
      <c r="U28" s="338"/>
      <c r="V28" s="339" t="str" cm="1">
        <f t="array" ref="V28">IFERROR(INDEX(_xlfn.SORTBY(_xlfn._xlws.FILTER(tblCarryingExpenses[Date],(tblCarryingExpenses[Category]="HOA")*(tblCarryingExpenses[Include]="Yes")),_xlfn._xlws.FILTER(tblCarryingExpenses[Date],(tblCarryingExpenses[Category]="HOA")*(tblCarryingExpenses[Include]="Yes")),1),ROWS($V$3:V28)),"")</f>
        <v/>
      </c>
      <c r="W28" s="340" t="str" cm="1">
        <f t="array" ref="W28">IFERROR(INDEX(_xlfn.SORTBY(_xlfn._xlws.FILTER(tblCarryingExpenses[Amount],(tblCarryingExpenses[Category]="HOA")*(tblCarryingExpenses[Include]="Yes")),_xlfn._xlws.FILTER(tblCarryingExpenses[Date],(tblCarryingExpenses[Category]="HOA")*(tblCarryingExpenses[Include]="Yes")),1),ROWS($V$3:V28)),"")</f>
        <v/>
      </c>
      <c r="X28" s="338"/>
      <c r="Y28" s="339" t="str" cm="1">
        <f t="array" ref="Y28">IFERROR(INDEX(_xlfn.SORTBY(_xlfn._xlws.FILTER(tblCarryingExpenses[Date],(tblCarryingExpenses[Category]="Property Taxes")*(tblCarryingExpenses[Include]="Yes")),_xlfn._xlws.FILTER(tblCarryingExpenses[Date],(tblCarryingExpenses[Category]="Property Taxes")*(tblCarryingExpenses[Include]="Yes")),1),ROWS($Y$3:Y28)),"")</f>
        <v/>
      </c>
      <c r="Z28" s="340" t="str" cm="1">
        <f t="array" ref="Z28">IFERROR(IF(INDEX(_xlfn.SORTBY(_xlfn._xlws.FILTER(tblCarryingExpenses[Amount],(tblCarryingExpenses[Category]="Property Taxes")*(tblCarryingExpenses[Include]="Yes")),_xlfn._xlws.FILTER(tblCarryingExpenses[Date],(tblCarryingExpenses[Category]="Property Taxes")*(tblCarryingExpenses[Include]="Yes")),1),ROWS($Y$3:Y28))&lt;0,"",INDEX(_xlfn.SORTBY(_xlfn._xlws.FILTER(tblCarryingExpenses[Amount],(tblCarryingExpenses[Category]="Property Taxes")*(tblCarryingExpenses[Include]="Yes")),_xlfn._xlws.FILTER(tblCarryingExpenses[Date],(tblCarryingExpenses[Category]="Property Taxes")*(tblCarryingExpenses[Include]="Yes")),1),ROWS($Y$3:Y28))),"")</f>
        <v/>
      </c>
      <c r="AA28" s="340" t="str" cm="1">
        <f t="array" ref="AA28">IFERROR(IF(ISNUMBER(SEARCH("escrow",INDEX(_xlfn.SORTBY(_xlfn._xlws.FILTER(tblCarryingExpenses[Notes],(tblCarryingExpenses[Category]="Property Taxes")*(tblCarryingExpenses[Include]="Yes")),_xlfn._xlws.FILTER(tblCarryingExpenses[Date],(tblCarryingExpenses[Category]="Property Taxes")*(tblCarryingExpenses[Include]="Yes")),1),ROWS($Y$3:Y28)))),INDEX(_xlfn.SORTBY(_xlfn._xlws.FILTER(tblCarryingExpenses[Amount],(tblCarryingExpenses[Category]="Property Taxes")*(tblCarryingExpenses[Include]="Yes")),_xlfn._xlws.FILTER(tblCarryingExpenses[Date],(tblCarryingExpenses[Category]="Property Taxes")*(tblCarryingExpenses[Include]="Yes")),1),ROWS($Y$3:Y28)),""),"")</f>
        <v/>
      </c>
      <c r="AB28" s="339" t="str" cm="1">
        <f t="array" ref="AB28">IFERROR(INDEX(_xlfn.SORTBY(_xlfn._xlws.FILTER(tblCarryingExpenses[Date],(tblCarryingExpenses[Category]="Excavator Rental")*(tblCarryingExpenses[Include]="Yes")),_xlfn._xlws.FILTER(tblCarryingExpenses[Date],(tblCarryingExpenses[Category]="Excavator Rental")*(tblCarryingExpenses[Include]="Yes")),1),ROWS($AB$3:AB28)),"")</f>
        <v/>
      </c>
      <c r="AC28" s="340" t="str" cm="1">
        <f t="array" ref="AC28">IFERROR(INDEX(_xlfn.SORTBY(_xlfn._xlws.FILTER(tblCarryingExpenses[Amount],(tblCarryingExpenses[Category]="Excavator Rental")*(tblCarryingExpenses[Include]="Yes")),_xlfn._xlws.FILTER(tblCarryingExpenses[Date],(tblCarryingExpenses[Category]="Excavator Rental")*(tblCarryingExpenses[Include]="Yes")),1),ROWS($AB$3:AB28)),"")</f>
        <v/>
      </c>
      <c r="AD28" s="338"/>
      <c r="AE28" s="339" t="str" cm="1">
        <f t="array" ref="AE28">IFERROR(INDEX(_xlfn.SORTBY(_xlfn._xlws.FILTER(tblCarryingExpenses[Date],(tblCarryingExpenses[Category]="Lawn")*(tblCarryingExpenses[Include]="Yes")),_xlfn._xlws.FILTER(tblCarryingExpenses[Date],(tblCarryingExpenses[Category]="Lawn")*(tblCarryingExpenses[Include]="Yes")),1),ROWS($AE$3:AE28)),"")</f>
        <v/>
      </c>
      <c r="AF28" s="340" t="str" cm="1">
        <f t="array" ref="AF28">IFERROR(INDEX(_xlfn.SORTBY(_xlfn._xlws.FILTER(tblCarryingExpenses[Amount],(tblCarryingExpenses[Category]="Lawn")*(tblCarryingExpenses[Include]="Yes")),_xlfn._xlws.FILTER(tblCarryingExpenses[Date],(tblCarryingExpenses[Category]="Lawn")*(tblCarryingExpenses[Include]="Yes")),1),ROWS($AE$3:AE28)),"")</f>
        <v/>
      </c>
      <c r="AL28" t="s">
        <v>7</v>
      </c>
      <c r="AM28" t="s">
        <v>791</v>
      </c>
      <c r="AN28" s="12">
        <v>45774</v>
      </c>
      <c r="AQ28" s="5">
        <v>1209.23</v>
      </c>
      <c r="AR28" t="s">
        <v>780</v>
      </c>
      <c r="AT28" t="s">
        <v>781</v>
      </c>
      <c r="AU28" t="s">
        <v>782</v>
      </c>
      <c r="AV28" t="s">
        <v>809</v>
      </c>
    </row>
    <row r="29" spans="1:48" x14ac:dyDescent="0.25">
      <c r="A29" s="339" t="str" cm="1">
        <f t="array" ref="A29">IFERROR(INDEX(_xlfn.SORTBY(_xlfn._xlws.FILTER(tblCarryingExpenses[Date],(tblCarryingExpenses[Category]="Duke Electric")*(tblCarryingExpenses[Include]="Yes")),_xlfn._xlws.FILTER(tblCarryingExpenses[Date],(tblCarryingExpenses[Category]="Duke Electric")*(tblCarryingExpenses[Include]="Yes")),1),ROWS($A$3:A29)),"")</f>
        <v/>
      </c>
      <c r="B29" s="340" t="str" cm="1">
        <f t="array" ref="B29">IFERROR(INDEX(_xlfn.SORTBY(_xlfn._xlws.FILTER(tblCarryingExpenses[Amount],(tblCarryingExpenses[Category]="Duke Electric")*(tblCarryingExpenses[Include]="Yes")),_xlfn._xlws.FILTER(tblCarryingExpenses[Date],(tblCarryingExpenses[Category]="Duke Electric")*(tblCarryingExpenses[Include]="Yes")),1),ROWS($A$3:A29)),"")</f>
        <v/>
      </c>
      <c r="C29" s="338"/>
      <c r="D29" s="339" cm="1">
        <f t="array" ref="D29">IFERROR(INDEX(_xlfn.SORTBY(_xlfn._xlws.FILTER(tblCarryingExpenses[Date],(tblCarryingExpenses[Category]="Mortgage Payment")*(tblCarryingExpenses[Include]="Yes")),_xlfn._xlws.FILTER(tblCarryingExpenses[Date],(tblCarryingExpenses[Category]="Mortgage Payment")*(tblCarryingExpenses[Include]="Yes")),1),ROWS($D$3:D29)),"")</f>
        <v>46053</v>
      </c>
      <c r="E29" s="340" cm="1">
        <f t="array" ref="E29">IFERROR(INDEX(_xlfn.SORTBY(_xlfn._xlws.FILTER(tblCarryingExpenses[Amount],(tblCarryingExpenses[Category]="Mortgage Payment")*(tblCarryingExpenses[Include]="Yes")),_xlfn._xlws.FILTER(tblCarryingExpenses[Date],(tblCarryingExpenses[Category]="Mortgage Payment")*(tblCarryingExpenses[Include]="Yes")),1),ROWS($D$3:D29)),"")</f>
        <v>980.87</v>
      </c>
      <c r="F29" s="338"/>
      <c r="G29" s="339" cm="1">
        <f t="array" ref="G29">IFERROR(INDEX(_xlfn.SORTBY(_xlfn._xlws.FILTER(tblCarryingExpenses[Date],(tblCarryingExpenses[Category]="Private Money")*(tblCarryingExpenses[Include]="Yes")),_xlfn._xlws.FILTER(tblCarryingExpenses[Date],(tblCarryingExpenses[Category]="Private Money")*(tblCarryingExpenses[Include]="Yes")),1),ROWS($G$3:G29)),"")</f>
        <v>46015</v>
      </c>
      <c r="H29" s="340" cm="1">
        <f t="array" ref="H29">IFERROR(INDEX(_xlfn.SORTBY(_xlfn._xlws.FILTER(tblCarryingExpenses[Amount],(tblCarryingExpenses[Category]="Private Money")*(tblCarryingExpenses[Include]="Yes")),_xlfn._xlws.FILTER(tblCarryingExpenses[Date],(tblCarryingExpenses[Category]="Private Money")*(tblCarryingExpenses[Include]="Yes")),1),ROWS($G$3:G29)),"")</f>
        <v>925</v>
      </c>
      <c r="I29" s="338"/>
      <c r="J29" s="339" t="str" cm="1">
        <f t="array" ref="J29">IFERROR(INDEX(_xlfn.SORTBY(_xlfn._xlws.FILTER(tblCarryingExpenses[Date],(tblCarryingExpenses[Category]="Casa Lending")*(tblCarryingExpenses[Include]="Yes")),_xlfn._xlws.FILTER(tblCarryingExpenses[Date],(tblCarryingExpenses[Category]="Casa Lending")*(tblCarryingExpenses[Include]="Yes")),1),ROWS($J$3:J29)),"")</f>
        <v/>
      </c>
      <c r="K29" s="340" t="str" cm="1">
        <f t="array" ref="K29">IFERROR(INDEX(_xlfn.SORTBY(_xlfn._xlws.FILTER(tblCarryingExpenses[Amount],(tblCarryingExpenses[Category]="Casa Lending")*(tblCarryingExpenses[Include]="Yes")),_xlfn._xlws.FILTER(tblCarryingExpenses[Date],(tblCarryingExpenses[Category]="Casa Lending")*(tblCarryingExpenses[Include]="Yes")),1),ROWS($J$3:J29)),"")</f>
        <v/>
      </c>
      <c r="L29" s="338"/>
      <c r="M29" s="339" cm="1">
        <f t="array" ref="M29">IFERROR(INDEX(_xlfn.SORTBY(_xlfn._xlws.FILTER(tblCarryingExpenses[Date],(tblCarryingExpenses[Category]="Insurance Payments")*(tblCarryingExpenses[Include]="Yes")),_xlfn._xlws.FILTER(tblCarryingExpenses[Date],(tblCarryingExpenses[Category]="Insurance Payments")*(tblCarryingExpenses[Include]="Yes")),1),ROWS($M$3:M29)),"")</f>
        <v>46020</v>
      </c>
      <c r="N29" s="340" cm="1">
        <f t="array" ref="N29">IFERROR(INDEX(_xlfn.SORTBY(_xlfn._xlws.FILTER(tblCarryingExpenses[Amount],(tblCarryingExpenses[Category]="Insurance Payments")*(tblCarryingExpenses[Include]="Yes")),_xlfn._xlws.FILTER(tblCarryingExpenses[Date],(tblCarryingExpenses[Category]="Insurance Payments")*(tblCarryingExpenses[Include]="Yes")),1),ROWS($M$3:M29)),"")</f>
        <v>94.65</v>
      </c>
      <c r="O29" s="338"/>
      <c r="P29" s="339" t="str" cm="1">
        <f t="array" ref="P29">IFERROR(INDEX(_xlfn.SORTBY(_xlfn._xlws.FILTER(tblCarryingExpenses[Date],(tblCarryingExpenses[Category]="Water")*(tblCarryingExpenses[Include]="Yes")),_xlfn._xlws.FILTER(tblCarryingExpenses[Date],(tblCarryingExpenses[Category]="Water")*(tblCarryingExpenses[Include]="Yes")),1),ROWS($P$3:P29)),"")</f>
        <v/>
      </c>
      <c r="Q29" s="340" t="str" cm="1">
        <f t="array" ref="Q29">IFERROR(INDEX(_xlfn.SORTBY(_xlfn._xlws.FILTER(tblCarryingExpenses[Amount],(tblCarryingExpenses[Category]="Water")*(tblCarryingExpenses[Include]="Yes")),_xlfn._xlws.FILTER(tblCarryingExpenses[Date],(tblCarryingExpenses[Category]="Water")*(tblCarryingExpenses[Include]="Yes")),1),ROWS($P$3:P29)),"")</f>
        <v/>
      </c>
      <c r="R29" s="338"/>
      <c r="S29" s="339" t="str" cm="1">
        <f t="array" ref="S29">IFERROR(INDEX(_xlfn.SORTBY(_xlfn._xlws.FILTER(tblCarryingExpenses[Date],(tblCarryingExpenses[Category]="Natural Gas")*(tblCarryingExpenses[Include]="Yes")),_xlfn._xlws.FILTER(tblCarryingExpenses[Date],(tblCarryingExpenses[Category]="Natural Gas")*(tblCarryingExpenses[Include]="Yes")),1),ROWS($S$3:S29)),"")</f>
        <v/>
      </c>
      <c r="T29" s="340" t="str" cm="1">
        <f t="array" ref="T29">IFERROR(INDEX(_xlfn.SORTBY(_xlfn._xlws.FILTER(tblCarryingExpenses[Amount],(tblCarryingExpenses[Category]="Natural Gas")*(tblCarryingExpenses[Include]="Yes")),_xlfn._xlws.FILTER(tblCarryingExpenses[Date],(tblCarryingExpenses[Category]="Natural Gas")*(tblCarryingExpenses[Include]="Yes")),1),ROWS($S$3:S29)),"")</f>
        <v/>
      </c>
      <c r="U29" s="338"/>
      <c r="V29" s="339" t="str" cm="1">
        <f t="array" ref="V29">IFERROR(INDEX(_xlfn.SORTBY(_xlfn._xlws.FILTER(tblCarryingExpenses[Date],(tblCarryingExpenses[Category]="HOA")*(tblCarryingExpenses[Include]="Yes")),_xlfn._xlws.FILTER(tblCarryingExpenses[Date],(tblCarryingExpenses[Category]="HOA")*(tblCarryingExpenses[Include]="Yes")),1),ROWS($V$3:V29)),"")</f>
        <v/>
      </c>
      <c r="W29" s="340" t="str" cm="1">
        <f t="array" ref="W29">IFERROR(INDEX(_xlfn.SORTBY(_xlfn._xlws.FILTER(tblCarryingExpenses[Amount],(tblCarryingExpenses[Category]="HOA")*(tblCarryingExpenses[Include]="Yes")),_xlfn._xlws.FILTER(tblCarryingExpenses[Date],(tblCarryingExpenses[Category]="HOA")*(tblCarryingExpenses[Include]="Yes")),1),ROWS($V$3:V29)),"")</f>
        <v/>
      </c>
      <c r="X29" s="338"/>
      <c r="Y29" s="339" t="str" cm="1">
        <f t="array" ref="Y29">IFERROR(INDEX(_xlfn.SORTBY(_xlfn._xlws.FILTER(tblCarryingExpenses[Date],(tblCarryingExpenses[Category]="Property Taxes")*(tblCarryingExpenses[Include]="Yes")),_xlfn._xlws.FILTER(tblCarryingExpenses[Date],(tblCarryingExpenses[Category]="Property Taxes")*(tblCarryingExpenses[Include]="Yes")),1),ROWS($Y$3:Y29)),"")</f>
        <v/>
      </c>
      <c r="Z29" s="340" t="str" cm="1">
        <f t="array" ref="Z29">IFERROR(IF(INDEX(_xlfn.SORTBY(_xlfn._xlws.FILTER(tblCarryingExpenses[Amount],(tblCarryingExpenses[Category]="Property Taxes")*(tblCarryingExpenses[Include]="Yes")),_xlfn._xlws.FILTER(tblCarryingExpenses[Date],(tblCarryingExpenses[Category]="Property Taxes")*(tblCarryingExpenses[Include]="Yes")),1),ROWS($Y$3:Y29))&lt;0,"",INDEX(_xlfn.SORTBY(_xlfn._xlws.FILTER(tblCarryingExpenses[Amount],(tblCarryingExpenses[Category]="Property Taxes")*(tblCarryingExpenses[Include]="Yes")),_xlfn._xlws.FILTER(tblCarryingExpenses[Date],(tblCarryingExpenses[Category]="Property Taxes")*(tblCarryingExpenses[Include]="Yes")),1),ROWS($Y$3:Y29))),"")</f>
        <v/>
      </c>
      <c r="AA29" s="340" t="str" cm="1">
        <f t="array" ref="AA29">IFERROR(IF(ISNUMBER(SEARCH("escrow",INDEX(_xlfn.SORTBY(_xlfn._xlws.FILTER(tblCarryingExpenses[Notes],(tblCarryingExpenses[Category]="Property Taxes")*(tblCarryingExpenses[Include]="Yes")),_xlfn._xlws.FILTER(tblCarryingExpenses[Date],(tblCarryingExpenses[Category]="Property Taxes")*(tblCarryingExpenses[Include]="Yes")),1),ROWS($Y$3:Y29)))),INDEX(_xlfn.SORTBY(_xlfn._xlws.FILTER(tblCarryingExpenses[Amount],(tblCarryingExpenses[Category]="Property Taxes")*(tblCarryingExpenses[Include]="Yes")),_xlfn._xlws.FILTER(tblCarryingExpenses[Date],(tblCarryingExpenses[Category]="Property Taxes")*(tblCarryingExpenses[Include]="Yes")),1),ROWS($Y$3:Y29)),""),"")</f>
        <v/>
      </c>
      <c r="AB29" s="339" t="str" cm="1">
        <f t="array" ref="AB29">IFERROR(INDEX(_xlfn.SORTBY(_xlfn._xlws.FILTER(tblCarryingExpenses[Date],(tblCarryingExpenses[Category]="Excavator Rental")*(tblCarryingExpenses[Include]="Yes")),_xlfn._xlws.FILTER(tblCarryingExpenses[Date],(tblCarryingExpenses[Category]="Excavator Rental")*(tblCarryingExpenses[Include]="Yes")),1),ROWS($AB$3:AB29)),"")</f>
        <v/>
      </c>
      <c r="AC29" s="340" t="str" cm="1">
        <f t="array" ref="AC29">IFERROR(INDEX(_xlfn.SORTBY(_xlfn._xlws.FILTER(tblCarryingExpenses[Amount],(tblCarryingExpenses[Category]="Excavator Rental")*(tblCarryingExpenses[Include]="Yes")),_xlfn._xlws.FILTER(tblCarryingExpenses[Date],(tblCarryingExpenses[Category]="Excavator Rental")*(tblCarryingExpenses[Include]="Yes")),1),ROWS($AB$3:AB29)),"")</f>
        <v/>
      </c>
      <c r="AD29" s="338"/>
      <c r="AE29" s="339" t="str" cm="1">
        <f t="array" ref="AE29">IFERROR(INDEX(_xlfn.SORTBY(_xlfn._xlws.FILTER(tblCarryingExpenses[Date],(tblCarryingExpenses[Category]="Lawn")*(tblCarryingExpenses[Include]="Yes")),_xlfn._xlws.FILTER(tblCarryingExpenses[Date],(tblCarryingExpenses[Category]="Lawn")*(tblCarryingExpenses[Include]="Yes")),1),ROWS($AE$3:AE29)),"")</f>
        <v/>
      </c>
      <c r="AF29" s="340" t="str" cm="1">
        <f t="array" ref="AF29">IFERROR(INDEX(_xlfn.SORTBY(_xlfn._xlws.FILTER(tblCarryingExpenses[Amount],(tblCarryingExpenses[Category]="Lawn")*(tblCarryingExpenses[Include]="Yes")),_xlfn._xlws.FILTER(tblCarryingExpenses[Date],(tblCarryingExpenses[Category]="Lawn")*(tblCarryingExpenses[Include]="Yes")),1),ROWS($AE$3:AE29)),"")</f>
        <v/>
      </c>
      <c r="AL29" t="s">
        <v>7</v>
      </c>
      <c r="AM29" t="s">
        <v>791</v>
      </c>
      <c r="AN29" s="12">
        <v>45804</v>
      </c>
      <c r="AQ29" s="5">
        <v>1209.23</v>
      </c>
      <c r="AR29" t="s">
        <v>780</v>
      </c>
      <c r="AT29" t="s">
        <v>781</v>
      </c>
      <c r="AU29" t="s">
        <v>782</v>
      </c>
      <c r="AV29" t="s">
        <v>810</v>
      </c>
    </row>
    <row r="30" spans="1:48" x14ac:dyDescent="0.25">
      <c r="A30" s="339" t="str" cm="1">
        <f t="array" ref="A30">IFERROR(INDEX(_xlfn.SORTBY(_xlfn._xlws.FILTER(tblCarryingExpenses[Date],(tblCarryingExpenses[Category]="Duke Electric")*(tblCarryingExpenses[Include]="Yes")),_xlfn._xlws.FILTER(tblCarryingExpenses[Date],(tblCarryingExpenses[Category]="Duke Electric")*(tblCarryingExpenses[Include]="Yes")),1),ROWS($A$3:A30)),"")</f>
        <v/>
      </c>
      <c r="B30" s="340" t="str" cm="1">
        <f t="array" ref="B30">IFERROR(INDEX(_xlfn.SORTBY(_xlfn._xlws.FILTER(tblCarryingExpenses[Amount],(tblCarryingExpenses[Category]="Duke Electric")*(tblCarryingExpenses[Include]="Yes")),_xlfn._xlws.FILTER(tblCarryingExpenses[Date],(tblCarryingExpenses[Category]="Duke Electric")*(tblCarryingExpenses[Include]="Yes")),1),ROWS($A$3:A30)),"")</f>
        <v/>
      </c>
      <c r="C30" s="338"/>
      <c r="D30" s="339" cm="1">
        <f t="array" ref="D30">IFERROR(INDEX(_xlfn.SORTBY(_xlfn._xlws.FILTER(tblCarryingExpenses[Date],(tblCarryingExpenses[Category]="Mortgage Payment")*(tblCarryingExpenses[Include]="Yes")),_xlfn._xlws.FILTER(tblCarryingExpenses[Date],(tblCarryingExpenses[Category]="Mortgage Payment")*(tblCarryingExpenses[Include]="Yes")),1),ROWS($D$3:D30)),"")</f>
        <v>46083</v>
      </c>
      <c r="E30" s="340" cm="1">
        <f t="array" ref="E30">IFERROR(INDEX(_xlfn.SORTBY(_xlfn._xlws.FILTER(tblCarryingExpenses[Amount],(tblCarryingExpenses[Category]="Mortgage Payment")*(tblCarryingExpenses[Include]="Yes")),_xlfn._xlws.FILTER(tblCarryingExpenses[Date],(tblCarryingExpenses[Category]="Mortgage Payment")*(tblCarryingExpenses[Include]="Yes")),1),ROWS($D$3:D30)),"")</f>
        <v>980.87</v>
      </c>
      <c r="F30" s="338"/>
      <c r="G30" s="339" cm="1">
        <f t="array" ref="G30">IFERROR(INDEX(_xlfn.SORTBY(_xlfn._xlws.FILTER(tblCarryingExpenses[Date],(tblCarryingExpenses[Category]="Private Money")*(tblCarryingExpenses[Include]="Yes")),_xlfn._xlws.FILTER(tblCarryingExpenses[Date],(tblCarryingExpenses[Category]="Private Money")*(tblCarryingExpenses[Include]="Yes")),1),ROWS($G$3:G30)),"")</f>
        <v>46045</v>
      </c>
      <c r="H30" s="340" cm="1">
        <f t="array" ref="H30">IFERROR(INDEX(_xlfn.SORTBY(_xlfn._xlws.FILTER(tblCarryingExpenses[Amount],(tblCarryingExpenses[Category]="Private Money")*(tblCarryingExpenses[Include]="Yes")),_xlfn._xlws.FILTER(tblCarryingExpenses[Date],(tblCarryingExpenses[Category]="Private Money")*(tblCarryingExpenses[Include]="Yes")),1),ROWS($G$3:G30)),"")</f>
        <v>925</v>
      </c>
      <c r="I30" s="338"/>
      <c r="J30" s="339" t="str" cm="1">
        <f t="array" ref="J30">IFERROR(INDEX(_xlfn.SORTBY(_xlfn._xlws.FILTER(tblCarryingExpenses[Date],(tblCarryingExpenses[Category]="Casa Lending")*(tblCarryingExpenses[Include]="Yes")),_xlfn._xlws.FILTER(tblCarryingExpenses[Date],(tblCarryingExpenses[Category]="Casa Lending")*(tblCarryingExpenses[Include]="Yes")),1),ROWS($J$3:J30)),"")</f>
        <v/>
      </c>
      <c r="K30" s="340" t="str" cm="1">
        <f t="array" ref="K30">IFERROR(INDEX(_xlfn.SORTBY(_xlfn._xlws.FILTER(tblCarryingExpenses[Amount],(tblCarryingExpenses[Category]="Casa Lending")*(tblCarryingExpenses[Include]="Yes")),_xlfn._xlws.FILTER(tblCarryingExpenses[Date],(tblCarryingExpenses[Category]="Casa Lending")*(tblCarryingExpenses[Include]="Yes")),1),ROWS($J$3:J30)),"")</f>
        <v/>
      </c>
      <c r="L30" s="338"/>
      <c r="M30" s="339" cm="1">
        <f t="array" ref="M30">IFERROR(INDEX(_xlfn.SORTBY(_xlfn._xlws.FILTER(tblCarryingExpenses[Date],(tblCarryingExpenses[Category]="Insurance Payments")*(tblCarryingExpenses[Include]="Yes")),_xlfn._xlws.FILTER(tblCarryingExpenses[Date],(tblCarryingExpenses[Category]="Insurance Payments")*(tblCarryingExpenses[Include]="Yes")),1),ROWS($M$3:M30)),"")</f>
        <v>46050</v>
      </c>
      <c r="N30" s="340" cm="1">
        <f t="array" ref="N30">IFERROR(INDEX(_xlfn.SORTBY(_xlfn._xlws.FILTER(tblCarryingExpenses[Amount],(tblCarryingExpenses[Category]="Insurance Payments")*(tblCarryingExpenses[Include]="Yes")),_xlfn._xlws.FILTER(tblCarryingExpenses[Date],(tblCarryingExpenses[Category]="Insurance Payments")*(tblCarryingExpenses[Include]="Yes")),1),ROWS($M$3:M30)),"")</f>
        <v>94.65</v>
      </c>
      <c r="O30" s="338"/>
      <c r="P30" s="339" t="str" cm="1">
        <f t="array" ref="P30">IFERROR(INDEX(_xlfn.SORTBY(_xlfn._xlws.FILTER(tblCarryingExpenses[Date],(tblCarryingExpenses[Category]="Water")*(tblCarryingExpenses[Include]="Yes")),_xlfn._xlws.FILTER(tblCarryingExpenses[Date],(tblCarryingExpenses[Category]="Water")*(tblCarryingExpenses[Include]="Yes")),1),ROWS($P$3:P30)),"")</f>
        <v/>
      </c>
      <c r="Q30" s="340" t="str" cm="1">
        <f t="array" ref="Q30">IFERROR(INDEX(_xlfn.SORTBY(_xlfn._xlws.FILTER(tblCarryingExpenses[Amount],(tblCarryingExpenses[Category]="Water")*(tblCarryingExpenses[Include]="Yes")),_xlfn._xlws.FILTER(tblCarryingExpenses[Date],(tblCarryingExpenses[Category]="Water")*(tblCarryingExpenses[Include]="Yes")),1),ROWS($P$3:P30)),"")</f>
        <v/>
      </c>
      <c r="R30" s="338"/>
      <c r="S30" s="339" t="str" cm="1">
        <f t="array" ref="S30">IFERROR(INDEX(_xlfn.SORTBY(_xlfn._xlws.FILTER(tblCarryingExpenses[Date],(tblCarryingExpenses[Category]="Natural Gas")*(tblCarryingExpenses[Include]="Yes")),_xlfn._xlws.FILTER(tblCarryingExpenses[Date],(tblCarryingExpenses[Category]="Natural Gas")*(tblCarryingExpenses[Include]="Yes")),1),ROWS($S$3:S30)),"")</f>
        <v/>
      </c>
      <c r="T30" s="340" t="str" cm="1">
        <f t="array" ref="T30">IFERROR(INDEX(_xlfn.SORTBY(_xlfn._xlws.FILTER(tblCarryingExpenses[Amount],(tblCarryingExpenses[Category]="Natural Gas")*(tblCarryingExpenses[Include]="Yes")),_xlfn._xlws.FILTER(tblCarryingExpenses[Date],(tblCarryingExpenses[Category]="Natural Gas")*(tblCarryingExpenses[Include]="Yes")),1),ROWS($S$3:S30)),"")</f>
        <v/>
      </c>
      <c r="U30" s="338"/>
      <c r="V30" s="339" t="str" cm="1">
        <f t="array" ref="V30">IFERROR(INDEX(_xlfn.SORTBY(_xlfn._xlws.FILTER(tblCarryingExpenses[Date],(tblCarryingExpenses[Category]="HOA")*(tblCarryingExpenses[Include]="Yes")),_xlfn._xlws.FILTER(tblCarryingExpenses[Date],(tblCarryingExpenses[Category]="HOA")*(tblCarryingExpenses[Include]="Yes")),1),ROWS($V$3:V30)),"")</f>
        <v/>
      </c>
      <c r="W30" s="340" t="str" cm="1">
        <f t="array" ref="W30">IFERROR(INDEX(_xlfn.SORTBY(_xlfn._xlws.FILTER(tblCarryingExpenses[Amount],(tblCarryingExpenses[Category]="HOA")*(tblCarryingExpenses[Include]="Yes")),_xlfn._xlws.FILTER(tblCarryingExpenses[Date],(tblCarryingExpenses[Category]="HOA")*(tblCarryingExpenses[Include]="Yes")),1),ROWS($V$3:V30)),"")</f>
        <v/>
      </c>
      <c r="X30" s="338"/>
      <c r="Y30" s="339" t="str" cm="1">
        <f t="array" ref="Y30">IFERROR(INDEX(_xlfn.SORTBY(_xlfn._xlws.FILTER(tblCarryingExpenses[Date],(tblCarryingExpenses[Category]="Property Taxes")*(tblCarryingExpenses[Include]="Yes")),_xlfn._xlws.FILTER(tblCarryingExpenses[Date],(tblCarryingExpenses[Category]="Property Taxes")*(tblCarryingExpenses[Include]="Yes")),1),ROWS($Y$3:Y30)),"")</f>
        <v/>
      </c>
      <c r="Z30" s="340" t="str" cm="1">
        <f t="array" ref="Z30">IFERROR(IF(INDEX(_xlfn.SORTBY(_xlfn._xlws.FILTER(tblCarryingExpenses[Amount],(tblCarryingExpenses[Category]="Property Taxes")*(tblCarryingExpenses[Include]="Yes")),_xlfn._xlws.FILTER(tblCarryingExpenses[Date],(tblCarryingExpenses[Category]="Property Taxes")*(tblCarryingExpenses[Include]="Yes")),1),ROWS($Y$3:Y30))&lt;0,"",INDEX(_xlfn.SORTBY(_xlfn._xlws.FILTER(tblCarryingExpenses[Amount],(tblCarryingExpenses[Category]="Property Taxes")*(tblCarryingExpenses[Include]="Yes")),_xlfn._xlws.FILTER(tblCarryingExpenses[Date],(tblCarryingExpenses[Category]="Property Taxes")*(tblCarryingExpenses[Include]="Yes")),1),ROWS($Y$3:Y30))),"")</f>
        <v/>
      </c>
      <c r="AA30" s="340" t="str" cm="1">
        <f t="array" ref="AA30">IFERROR(IF(ISNUMBER(SEARCH("escrow",INDEX(_xlfn.SORTBY(_xlfn._xlws.FILTER(tblCarryingExpenses[Notes],(tblCarryingExpenses[Category]="Property Taxes")*(tblCarryingExpenses[Include]="Yes")),_xlfn._xlws.FILTER(tblCarryingExpenses[Date],(tblCarryingExpenses[Category]="Property Taxes")*(tblCarryingExpenses[Include]="Yes")),1),ROWS($Y$3:Y30)))),INDEX(_xlfn.SORTBY(_xlfn._xlws.FILTER(tblCarryingExpenses[Amount],(tblCarryingExpenses[Category]="Property Taxes")*(tblCarryingExpenses[Include]="Yes")),_xlfn._xlws.FILTER(tblCarryingExpenses[Date],(tblCarryingExpenses[Category]="Property Taxes")*(tblCarryingExpenses[Include]="Yes")),1),ROWS($Y$3:Y30)),""),"")</f>
        <v/>
      </c>
      <c r="AB30" s="339" t="str" cm="1">
        <f t="array" ref="AB30">IFERROR(INDEX(_xlfn.SORTBY(_xlfn._xlws.FILTER(tblCarryingExpenses[Date],(tblCarryingExpenses[Category]="Excavator Rental")*(tblCarryingExpenses[Include]="Yes")),_xlfn._xlws.FILTER(tblCarryingExpenses[Date],(tblCarryingExpenses[Category]="Excavator Rental")*(tblCarryingExpenses[Include]="Yes")),1),ROWS($AB$3:AB30)),"")</f>
        <v/>
      </c>
      <c r="AC30" s="340" t="str" cm="1">
        <f t="array" ref="AC30">IFERROR(INDEX(_xlfn.SORTBY(_xlfn._xlws.FILTER(tblCarryingExpenses[Amount],(tblCarryingExpenses[Category]="Excavator Rental")*(tblCarryingExpenses[Include]="Yes")),_xlfn._xlws.FILTER(tblCarryingExpenses[Date],(tblCarryingExpenses[Category]="Excavator Rental")*(tblCarryingExpenses[Include]="Yes")),1),ROWS($AB$3:AB30)),"")</f>
        <v/>
      </c>
      <c r="AD30" s="338"/>
      <c r="AE30" s="339" t="str" cm="1">
        <f t="array" ref="AE30">IFERROR(INDEX(_xlfn.SORTBY(_xlfn._xlws.FILTER(tblCarryingExpenses[Date],(tblCarryingExpenses[Category]="Lawn")*(tblCarryingExpenses[Include]="Yes")),_xlfn._xlws.FILTER(tblCarryingExpenses[Date],(tblCarryingExpenses[Category]="Lawn")*(tblCarryingExpenses[Include]="Yes")),1),ROWS($AE$3:AE30)),"")</f>
        <v/>
      </c>
      <c r="AF30" s="340" t="str" cm="1">
        <f t="array" ref="AF30">IFERROR(INDEX(_xlfn.SORTBY(_xlfn._xlws.FILTER(tblCarryingExpenses[Amount],(tblCarryingExpenses[Category]="Lawn")*(tblCarryingExpenses[Include]="Yes")),_xlfn._xlws.FILTER(tblCarryingExpenses[Date],(tblCarryingExpenses[Category]="Lawn")*(tblCarryingExpenses[Include]="Yes")),1),ROWS($AE$3:AE30)),"")</f>
        <v/>
      </c>
      <c r="AL30" t="s">
        <v>7</v>
      </c>
      <c r="AM30" t="s">
        <v>791</v>
      </c>
      <c r="AN30" s="12">
        <v>45834</v>
      </c>
      <c r="AQ30" s="5">
        <v>1209.23</v>
      </c>
      <c r="AR30" t="s">
        <v>780</v>
      </c>
      <c r="AT30" t="s">
        <v>781</v>
      </c>
      <c r="AU30" t="s">
        <v>782</v>
      </c>
      <c r="AV30" t="s">
        <v>811</v>
      </c>
    </row>
    <row r="31" spans="1:48" x14ac:dyDescent="0.25">
      <c r="A31" s="339" t="str" cm="1">
        <f t="array" ref="A31">IFERROR(INDEX(_xlfn.SORTBY(_xlfn._xlws.FILTER(tblCarryingExpenses[Date],(tblCarryingExpenses[Category]="Duke Electric")*(tblCarryingExpenses[Include]="Yes")),_xlfn._xlws.FILTER(tblCarryingExpenses[Date],(tblCarryingExpenses[Category]="Duke Electric")*(tblCarryingExpenses[Include]="Yes")),1),ROWS($A$3:A31)),"")</f>
        <v/>
      </c>
      <c r="B31" s="340" t="str" cm="1">
        <f t="array" ref="B31">IFERROR(INDEX(_xlfn.SORTBY(_xlfn._xlws.FILTER(tblCarryingExpenses[Amount],(tblCarryingExpenses[Category]="Duke Electric")*(tblCarryingExpenses[Include]="Yes")),_xlfn._xlws.FILTER(tblCarryingExpenses[Date],(tblCarryingExpenses[Category]="Duke Electric")*(tblCarryingExpenses[Include]="Yes")),1),ROWS($A$3:A31)),"")</f>
        <v/>
      </c>
      <c r="C31" s="338"/>
      <c r="D31" s="339" cm="1">
        <f t="array" ref="D31">IFERROR(INDEX(_xlfn.SORTBY(_xlfn._xlws.FILTER(tblCarryingExpenses[Date],(tblCarryingExpenses[Category]="Mortgage Payment")*(tblCarryingExpenses[Include]="Yes")),_xlfn._xlws.FILTER(tblCarryingExpenses[Date],(tblCarryingExpenses[Category]="Mortgage Payment")*(tblCarryingExpenses[Include]="Yes")),1),ROWS($D$3:D31)),"")</f>
        <v>46113</v>
      </c>
      <c r="E31" s="340" cm="1">
        <f t="array" ref="E31">IFERROR(INDEX(_xlfn.SORTBY(_xlfn._xlws.FILTER(tblCarryingExpenses[Amount],(tblCarryingExpenses[Category]="Mortgage Payment")*(tblCarryingExpenses[Include]="Yes")),_xlfn._xlws.FILTER(tblCarryingExpenses[Date],(tblCarryingExpenses[Category]="Mortgage Payment")*(tblCarryingExpenses[Include]="Yes")),1),ROWS($D$3:D31)),"")</f>
        <v>980.87</v>
      </c>
      <c r="F31" s="338"/>
      <c r="G31" s="339" cm="1">
        <f t="array" ref="G31">IFERROR(INDEX(_xlfn.SORTBY(_xlfn._xlws.FILTER(tblCarryingExpenses[Date],(tblCarryingExpenses[Category]="Private Money")*(tblCarryingExpenses[Include]="Yes")),_xlfn._xlws.FILTER(tblCarryingExpenses[Date],(tblCarryingExpenses[Category]="Private Money")*(tblCarryingExpenses[Include]="Yes")),1),ROWS($G$3:G31)),"")</f>
        <v>46075</v>
      </c>
      <c r="H31" s="340" cm="1">
        <f t="array" ref="H31">IFERROR(INDEX(_xlfn.SORTBY(_xlfn._xlws.FILTER(tblCarryingExpenses[Amount],(tblCarryingExpenses[Category]="Private Money")*(tblCarryingExpenses[Include]="Yes")),_xlfn._xlws.FILTER(tblCarryingExpenses[Date],(tblCarryingExpenses[Category]="Private Money")*(tblCarryingExpenses[Include]="Yes")),1),ROWS($G$3:G31)),"")</f>
        <v>925</v>
      </c>
      <c r="I31" s="338"/>
      <c r="J31" s="339" t="str" cm="1">
        <f t="array" ref="J31">IFERROR(INDEX(_xlfn.SORTBY(_xlfn._xlws.FILTER(tblCarryingExpenses[Date],(tblCarryingExpenses[Category]="Casa Lending")*(tblCarryingExpenses[Include]="Yes")),_xlfn._xlws.FILTER(tblCarryingExpenses[Date],(tblCarryingExpenses[Category]="Casa Lending")*(tblCarryingExpenses[Include]="Yes")),1),ROWS($J$3:J31)),"")</f>
        <v/>
      </c>
      <c r="K31" s="340" t="str" cm="1">
        <f t="array" ref="K31">IFERROR(INDEX(_xlfn.SORTBY(_xlfn._xlws.FILTER(tblCarryingExpenses[Amount],(tblCarryingExpenses[Category]="Casa Lending")*(tblCarryingExpenses[Include]="Yes")),_xlfn._xlws.FILTER(tblCarryingExpenses[Date],(tblCarryingExpenses[Category]="Casa Lending")*(tblCarryingExpenses[Include]="Yes")),1),ROWS($J$3:J31)),"")</f>
        <v/>
      </c>
      <c r="L31" s="338"/>
      <c r="M31" s="339" cm="1">
        <f t="array" ref="M31">IFERROR(INDEX(_xlfn.SORTBY(_xlfn._xlws.FILTER(tblCarryingExpenses[Date],(tblCarryingExpenses[Category]="Insurance Payments")*(tblCarryingExpenses[Include]="Yes")),_xlfn._xlws.FILTER(tblCarryingExpenses[Date],(tblCarryingExpenses[Category]="Insurance Payments")*(tblCarryingExpenses[Include]="Yes")),1),ROWS($M$3:M31)),"")</f>
        <v>46080</v>
      </c>
      <c r="N31" s="340" cm="1">
        <f t="array" ref="N31">IFERROR(INDEX(_xlfn.SORTBY(_xlfn._xlws.FILTER(tblCarryingExpenses[Amount],(tblCarryingExpenses[Category]="Insurance Payments")*(tblCarryingExpenses[Include]="Yes")),_xlfn._xlws.FILTER(tblCarryingExpenses[Date],(tblCarryingExpenses[Category]="Insurance Payments")*(tblCarryingExpenses[Include]="Yes")),1),ROWS($M$3:M31)),"")</f>
        <v>94.65</v>
      </c>
      <c r="O31" s="338"/>
      <c r="P31" s="339" t="str" cm="1">
        <f t="array" ref="P31">IFERROR(INDEX(_xlfn.SORTBY(_xlfn._xlws.FILTER(tblCarryingExpenses[Date],(tblCarryingExpenses[Category]="Water")*(tblCarryingExpenses[Include]="Yes")),_xlfn._xlws.FILTER(tblCarryingExpenses[Date],(tblCarryingExpenses[Category]="Water")*(tblCarryingExpenses[Include]="Yes")),1),ROWS($P$3:P31)),"")</f>
        <v/>
      </c>
      <c r="Q31" s="340" t="str" cm="1">
        <f t="array" ref="Q31">IFERROR(INDEX(_xlfn.SORTBY(_xlfn._xlws.FILTER(tblCarryingExpenses[Amount],(tblCarryingExpenses[Category]="Water")*(tblCarryingExpenses[Include]="Yes")),_xlfn._xlws.FILTER(tblCarryingExpenses[Date],(tblCarryingExpenses[Category]="Water")*(tblCarryingExpenses[Include]="Yes")),1),ROWS($P$3:P31)),"")</f>
        <v/>
      </c>
      <c r="R31" s="338"/>
      <c r="S31" s="339" t="str" cm="1">
        <f t="array" ref="S31">IFERROR(INDEX(_xlfn.SORTBY(_xlfn._xlws.FILTER(tblCarryingExpenses[Date],(tblCarryingExpenses[Category]="Natural Gas")*(tblCarryingExpenses[Include]="Yes")),_xlfn._xlws.FILTER(tblCarryingExpenses[Date],(tblCarryingExpenses[Category]="Natural Gas")*(tblCarryingExpenses[Include]="Yes")),1),ROWS($S$3:S31)),"")</f>
        <v/>
      </c>
      <c r="T31" s="340" t="str" cm="1">
        <f t="array" ref="T31">IFERROR(INDEX(_xlfn.SORTBY(_xlfn._xlws.FILTER(tblCarryingExpenses[Amount],(tblCarryingExpenses[Category]="Natural Gas")*(tblCarryingExpenses[Include]="Yes")),_xlfn._xlws.FILTER(tblCarryingExpenses[Date],(tblCarryingExpenses[Category]="Natural Gas")*(tblCarryingExpenses[Include]="Yes")),1),ROWS($S$3:S31)),"")</f>
        <v/>
      </c>
      <c r="U31" s="338"/>
      <c r="V31" s="339" t="str" cm="1">
        <f t="array" ref="V31">IFERROR(INDEX(_xlfn.SORTBY(_xlfn._xlws.FILTER(tblCarryingExpenses[Date],(tblCarryingExpenses[Category]="HOA")*(tblCarryingExpenses[Include]="Yes")),_xlfn._xlws.FILTER(tblCarryingExpenses[Date],(tblCarryingExpenses[Category]="HOA")*(tblCarryingExpenses[Include]="Yes")),1),ROWS($V$3:V31)),"")</f>
        <v/>
      </c>
      <c r="W31" s="340" t="str" cm="1">
        <f t="array" ref="W31">IFERROR(INDEX(_xlfn.SORTBY(_xlfn._xlws.FILTER(tblCarryingExpenses[Amount],(tblCarryingExpenses[Category]="HOA")*(tblCarryingExpenses[Include]="Yes")),_xlfn._xlws.FILTER(tblCarryingExpenses[Date],(tblCarryingExpenses[Category]="HOA")*(tblCarryingExpenses[Include]="Yes")),1),ROWS($V$3:V31)),"")</f>
        <v/>
      </c>
      <c r="X31" s="338"/>
      <c r="Y31" s="339" t="str" cm="1">
        <f t="array" ref="Y31">IFERROR(INDEX(_xlfn.SORTBY(_xlfn._xlws.FILTER(tblCarryingExpenses[Date],(tblCarryingExpenses[Category]="Property Taxes")*(tblCarryingExpenses[Include]="Yes")),_xlfn._xlws.FILTER(tblCarryingExpenses[Date],(tblCarryingExpenses[Category]="Property Taxes")*(tblCarryingExpenses[Include]="Yes")),1),ROWS($Y$3:Y31)),"")</f>
        <v/>
      </c>
      <c r="Z31" s="340" t="str" cm="1">
        <f t="array" ref="Z31">IFERROR(IF(INDEX(_xlfn.SORTBY(_xlfn._xlws.FILTER(tblCarryingExpenses[Amount],(tblCarryingExpenses[Category]="Property Taxes")*(tblCarryingExpenses[Include]="Yes")),_xlfn._xlws.FILTER(tblCarryingExpenses[Date],(tblCarryingExpenses[Category]="Property Taxes")*(tblCarryingExpenses[Include]="Yes")),1),ROWS($Y$3:Y31))&lt;0,"",INDEX(_xlfn.SORTBY(_xlfn._xlws.FILTER(tblCarryingExpenses[Amount],(tblCarryingExpenses[Category]="Property Taxes")*(tblCarryingExpenses[Include]="Yes")),_xlfn._xlws.FILTER(tblCarryingExpenses[Date],(tblCarryingExpenses[Category]="Property Taxes")*(tblCarryingExpenses[Include]="Yes")),1),ROWS($Y$3:Y31))),"")</f>
        <v/>
      </c>
      <c r="AA31" s="340" t="str" cm="1">
        <f t="array" ref="AA31">IFERROR(IF(ISNUMBER(SEARCH("escrow",INDEX(_xlfn.SORTBY(_xlfn._xlws.FILTER(tblCarryingExpenses[Notes],(tblCarryingExpenses[Category]="Property Taxes")*(tblCarryingExpenses[Include]="Yes")),_xlfn._xlws.FILTER(tblCarryingExpenses[Date],(tblCarryingExpenses[Category]="Property Taxes")*(tblCarryingExpenses[Include]="Yes")),1),ROWS($Y$3:Y31)))),INDEX(_xlfn.SORTBY(_xlfn._xlws.FILTER(tblCarryingExpenses[Amount],(tblCarryingExpenses[Category]="Property Taxes")*(tblCarryingExpenses[Include]="Yes")),_xlfn._xlws.FILTER(tblCarryingExpenses[Date],(tblCarryingExpenses[Category]="Property Taxes")*(tblCarryingExpenses[Include]="Yes")),1),ROWS($Y$3:Y31)),""),"")</f>
        <v/>
      </c>
      <c r="AB31" s="339" t="str" cm="1">
        <f t="array" ref="AB31">IFERROR(INDEX(_xlfn.SORTBY(_xlfn._xlws.FILTER(tblCarryingExpenses[Date],(tblCarryingExpenses[Category]="Excavator Rental")*(tblCarryingExpenses[Include]="Yes")),_xlfn._xlws.FILTER(tblCarryingExpenses[Date],(tblCarryingExpenses[Category]="Excavator Rental")*(tblCarryingExpenses[Include]="Yes")),1),ROWS($AB$3:AB31)),"")</f>
        <v/>
      </c>
      <c r="AC31" s="340" t="str" cm="1">
        <f t="array" ref="AC31">IFERROR(INDEX(_xlfn.SORTBY(_xlfn._xlws.FILTER(tblCarryingExpenses[Amount],(tblCarryingExpenses[Category]="Excavator Rental")*(tblCarryingExpenses[Include]="Yes")),_xlfn._xlws.FILTER(tblCarryingExpenses[Date],(tblCarryingExpenses[Category]="Excavator Rental")*(tblCarryingExpenses[Include]="Yes")),1),ROWS($AB$3:AB31)),"")</f>
        <v/>
      </c>
      <c r="AD31" s="338"/>
      <c r="AE31" s="339" t="str" cm="1">
        <f t="array" ref="AE31">IFERROR(INDEX(_xlfn.SORTBY(_xlfn._xlws.FILTER(tblCarryingExpenses[Date],(tblCarryingExpenses[Category]="Lawn")*(tblCarryingExpenses[Include]="Yes")),_xlfn._xlws.FILTER(tblCarryingExpenses[Date],(tblCarryingExpenses[Category]="Lawn")*(tblCarryingExpenses[Include]="Yes")),1),ROWS($AE$3:AE31)),"")</f>
        <v/>
      </c>
      <c r="AF31" s="340" t="str" cm="1">
        <f t="array" ref="AF31">IFERROR(INDEX(_xlfn.SORTBY(_xlfn._xlws.FILTER(tblCarryingExpenses[Amount],(tblCarryingExpenses[Category]="Lawn")*(tblCarryingExpenses[Include]="Yes")),_xlfn._xlws.FILTER(tblCarryingExpenses[Date],(tblCarryingExpenses[Category]="Lawn")*(tblCarryingExpenses[Include]="Yes")),1),ROWS($AE$3:AE31)),"")</f>
        <v/>
      </c>
      <c r="AL31" t="s">
        <v>7</v>
      </c>
      <c r="AM31" t="s">
        <v>791</v>
      </c>
      <c r="AN31" s="12">
        <v>45864</v>
      </c>
      <c r="AQ31" s="5">
        <v>1209.23</v>
      </c>
      <c r="AR31" t="s">
        <v>780</v>
      </c>
      <c r="AT31" t="s">
        <v>781</v>
      </c>
      <c r="AU31" t="s">
        <v>782</v>
      </c>
      <c r="AV31" t="s">
        <v>812</v>
      </c>
    </row>
    <row r="32" spans="1:48" ht="14.25" customHeight="1" x14ac:dyDescent="0.25">
      <c r="A32" s="339" t="str" cm="1">
        <f t="array" ref="A32">IFERROR(INDEX(_xlfn.SORTBY(_xlfn._xlws.FILTER(tblCarryingExpenses[Date],(tblCarryingExpenses[Category]="Duke Electric")*(tblCarryingExpenses[Include]="Yes")),_xlfn._xlws.FILTER(tblCarryingExpenses[Date],(tblCarryingExpenses[Category]="Duke Electric")*(tblCarryingExpenses[Include]="Yes")),1),ROWS($A$3:A32)),"")</f>
        <v/>
      </c>
      <c r="B32" s="340" t="str" cm="1">
        <f t="array" ref="B32">IFERROR(INDEX(_xlfn.SORTBY(_xlfn._xlws.FILTER(tblCarryingExpenses[Amount],(tblCarryingExpenses[Category]="Duke Electric")*(tblCarryingExpenses[Include]="Yes")),_xlfn._xlws.FILTER(tblCarryingExpenses[Date],(tblCarryingExpenses[Category]="Duke Electric")*(tblCarryingExpenses[Include]="Yes")),1),ROWS($A$3:A32)),"")</f>
        <v/>
      </c>
      <c r="C32" s="338"/>
      <c r="D32" s="339" cm="1">
        <f t="array" ref="D32">IFERROR(INDEX(_xlfn.SORTBY(_xlfn._xlws.FILTER(tblCarryingExpenses[Date],(tblCarryingExpenses[Category]="Mortgage Payment")*(tblCarryingExpenses[Include]="Yes")),_xlfn._xlws.FILTER(tblCarryingExpenses[Date],(tblCarryingExpenses[Category]="Mortgage Payment")*(tblCarryingExpenses[Include]="Yes")),1),ROWS($D$3:D32)),"")</f>
        <v>46143</v>
      </c>
      <c r="E32" s="340" cm="1">
        <f t="array" ref="E32">IFERROR(INDEX(_xlfn.SORTBY(_xlfn._xlws.FILTER(tblCarryingExpenses[Amount],(tblCarryingExpenses[Category]="Mortgage Payment")*(tblCarryingExpenses[Include]="Yes")),_xlfn._xlws.FILTER(tblCarryingExpenses[Date],(tblCarryingExpenses[Category]="Mortgage Payment")*(tblCarryingExpenses[Include]="Yes")),1),ROWS($D$3:D32)),"")</f>
        <v>980.87</v>
      </c>
      <c r="F32" s="338"/>
      <c r="G32" s="339" cm="1">
        <f t="array" ref="G32">IFERROR(INDEX(_xlfn.SORTBY(_xlfn._xlws.FILTER(tblCarryingExpenses[Date],(tblCarryingExpenses[Category]="Private Money")*(tblCarryingExpenses[Include]="Yes")),_xlfn._xlws.FILTER(tblCarryingExpenses[Date],(tblCarryingExpenses[Category]="Private Money")*(tblCarryingExpenses[Include]="Yes")),1),ROWS($G$3:G32)),"")</f>
        <v>46105</v>
      </c>
      <c r="H32" s="340" cm="1">
        <f t="array" ref="H32">IFERROR(INDEX(_xlfn.SORTBY(_xlfn._xlws.FILTER(tblCarryingExpenses[Amount],(tblCarryingExpenses[Category]="Private Money")*(tblCarryingExpenses[Include]="Yes")),_xlfn._xlws.FILTER(tblCarryingExpenses[Date],(tblCarryingExpenses[Category]="Private Money")*(tblCarryingExpenses[Include]="Yes")),1),ROWS($G$3:G32)),"")</f>
        <v>925</v>
      </c>
      <c r="I32" s="338"/>
      <c r="J32" s="339" t="str" cm="1">
        <f t="array" ref="J32">IFERROR(INDEX(_xlfn.SORTBY(_xlfn._xlws.FILTER(tblCarryingExpenses[Date],(tblCarryingExpenses[Category]="Casa Lending")*(tblCarryingExpenses[Include]="Yes")),_xlfn._xlws.FILTER(tblCarryingExpenses[Date],(tblCarryingExpenses[Category]="Casa Lending")*(tblCarryingExpenses[Include]="Yes")),1),ROWS($J$3:J32)),"")</f>
        <v/>
      </c>
      <c r="K32" s="340" t="str" cm="1">
        <f t="array" ref="K32">IFERROR(INDEX(_xlfn.SORTBY(_xlfn._xlws.FILTER(tblCarryingExpenses[Amount],(tblCarryingExpenses[Category]="Casa Lending")*(tblCarryingExpenses[Include]="Yes")),_xlfn._xlws.FILTER(tblCarryingExpenses[Date],(tblCarryingExpenses[Category]="Casa Lending")*(tblCarryingExpenses[Include]="Yes")),1),ROWS($J$3:J32)),"")</f>
        <v/>
      </c>
      <c r="L32" s="338"/>
      <c r="M32" s="339" cm="1">
        <f t="array" ref="M32">IFERROR(INDEX(_xlfn.SORTBY(_xlfn._xlws.FILTER(tblCarryingExpenses[Date],(tblCarryingExpenses[Category]="Insurance Payments")*(tblCarryingExpenses[Include]="Yes")),_xlfn._xlws.FILTER(tblCarryingExpenses[Date],(tblCarryingExpenses[Category]="Insurance Payments")*(tblCarryingExpenses[Include]="Yes")),1),ROWS($M$3:M32)),"")</f>
        <v>46110</v>
      </c>
      <c r="N32" s="340" cm="1">
        <f t="array" ref="N32">IFERROR(INDEX(_xlfn.SORTBY(_xlfn._xlws.FILTER(tblCarryingExpenses[Amount],(tblCarryingExpenses[Category]="Insurance Payments")*(tblCarryingExpenses[Include]="Yes")),_xlfn._xlws.FILTER(tblCarryingExpenses[Date],(tblCarryingExpenses[Category]="Insurance Payments")*(tblCarryingExpenses[Include]="Yes")),1),ROWS($M$3:M32)),"")</f>
        <v>94.65</v>
      </c>
      <c r="O32" s="338"/>
      <c r="P32" s="339" t="str" cm="1">
        <f t="array" ref="P32">IFERROR(INDEX(_xlfn.SORTBY(_xlfn._xlws.FILTER(tblCarryingExpenses[Date],(tblCarryingExpenses[Category]="Water")*(tblCarryingExpenses[Include]="Yes")),_xlfn._xlws.FILTER(tblCarryingExpenses[Date],(tblCarryingExpenses[Category]="Water")*(tblCarryingExpenses[Include]="Yes")),1),ROWS($P$3:P32)),"")</f>
        <v/>
      </c>
      <c r="Q32" s="340" t="str" cm="1">
        <f t="array" ref="Q32">IFERROR(INDEX(_xlfn.SORTBY(_xlfn._xlws.FILTER(tblCarryingExpenses[Amount],(tblCarryingExpenses[Category]="Water")*(tblCarryingExpenses[Include]="Yes")),_xlfn._xlws.FILTER(tblCarryingExpenses[Date],(tblCarryingExpenses[Category]="Water")*(tblCarryingExpenses[Include]="Yes")),1),ROWS($P$3:P32)),"")</f>
        <v/>
      </c>
      <c r="R32" s="338"/>
      <c r="S32" s="339" t="str" cm="1">
        <f t="array" ref="S32">IFERROR(INDEX(_xlfn.SORTBY(_xlfn._xlws.FILTER(tblCarryingExpenses[Date],(tblCarryingExpenses[Category]="Natural Gas")*(tblCarryingExpenses[Include]="Yes")),_xlfn._xlws.FILTER(tblCarryingExpenses[Date],(tblCarryingExpenses[Category]="Natural Gas")*(tblCarryingExpenses[Include]="Yes")),1),ROWS($S$3:S32)),"")</f>
        <v/>
      </c>
      <c r="T32" s="340" t="str" cm="1">
        <f t="array" ref="T32">IFERROR(INDEX(_xlfn.SORTBY(_xlfn._xlws.FILTER(tblCarryingExpenses[Amount],(tblCarryingExpenses[Category]="Natural Gas")*(tblCarryingExpenses[Include]="Yes")),_xlfn._xlws.FILTER(tblCarryingExpenses[Date],(tblCarryingExpenses[Category]="Natural Gas")*(tblCarryingExpenses[Include]="Yes")),1),ROWS($S$3:S32)),"")</f>
        <v/>
      </c>
      <c r="U32" s="338"/>
      <c r="V32" s="339" t="str" cm="1">
        <f t="array" ref="V32">IFERROR(INDEX(_xlfn.SORTBY(_xlfn._xlws.FILTER(tblCarryingExpenses[Date],(tblCarryingExpenses[Category]="HOA")*(tblCarryingExpenses[Include]="Yes")),_xlfn._xlws.FILTER(tblCarryingExpenses[Date],(tblCarryingExpenses[Category]="HOA")*(tblCarryingExpenses[Include]="Yes")),1),ROWS($V$3:V32)),"")</f>
        <v/>
      </c>
      <c r="W32" s="340" t="str" cm="1">
        <f t="array" ref="W32">IFERROR(INDEX(_xlfn.SORTBY(_xlfn._xlws.FILTER(tblCarryingExpenses[Amount],(tblCarryingExpenses[Category]="HOA")*(tblCarryingExpenses[Include]="Yes")),_xlfn._xlws.FILTER(tblCarryingExpenses[Date],(tblCarryingExpenses[Category]="HOA")*(tblCarryingExpenses[Include]="Yes")),1),ROWS($V$3:V32)),"")</f>
        <v/>
      </c>
      <c r="X32" s="338"/>
      <c r="Y32" s="339" t="str" cm="1">
        <f t="array" ref="Y32">IFERROR(INDEX(_xlfn.SORTBY(_xlfn._xlws.FILTER(tblCarryingExpenses[Date],(tblCarryingExpenses[Category]="Property Taxes")*(tblCarryingExpenses[Include]="Yes")),_xlfn._xlws.FILTER(tblCarryingExpenses[Date],(tblCarryingExpenses[Category]="Property Taxes")*(tblCarryingExpenses[Include]="Yes")),1),ROWS($Y$3:Y32)),"")</f>
        <v/>
      </c>
      <c r="Z32" s="340" t="str" cm="1">
        <f t="array" ref="Z32">IFERROR(IF(INDEX(_xlfn.SORTBY(_xlfn._xlws.FILTER(tblCarryingExpenses[Amount],(tblCarryingExpenses[Category]="Property Taxes")*(tblCarryingExpenses[Include]="Yes")),_xlfn._xlws.FILTER(tblCarryingExpenses[Date],(tblCarryingExpenses[Category]="Property Taxes")*(tblCarryingExpenses[Include]="Yes")),1),ROWS($Y$3:Y32))&lt;0,"",INDEX(_xlfn.SORTBY(_xlfn._xlws.FILTER(tblCarryingExpenses[Amount],(tblCarryingExpenses[Category]="Property Taxes")*(tblCarryingExpenses[Include]="Yes")),_xlfn._xlws.FILTER(tblCarryingExpenses[Date],(tblCarryingExpenses[Category]="Property Taxes")*(tblCarryingExpenses[Include]="Yes")),1),ROWS($Y$3:Y32))),"")</f>
        <v/>
      </c>
      <c r="AA32" s="340" t="str" cm="1">
        <f t="array" ref="AA32">IFERROR(IF(ISNUMBER(SEARCH("escrow",INDEX(_xlfn.SORTBY(_xlfn._xlws.FILTER(tblCarryingExpenses[Notes],(tblCarryingExpenses[Category]="Property Taxes")*(tblCarryingExpenses[Include]="Yes")),_xlfn._xlws.FILTER(tblCarryingExpenses[Date],(tblCarryingExpenses[Category]="Property Taxes")*(tblCarryingExpenses[Include]="Yes")),1),ROWS($Y$3:Y32)))),INDEX(_xlfn.SORTBY(_xlfn._xlws.FILTER(tblCarryingExpenses[Amount],(tblCarryingExpenses[Category]="Property Taxes")*(tblCarryingExpenses[Include]="Yes")),_xlfn._xlws.FILTER(tblCarryingExpenses[Date],(tblCarryingExpenses[Category]="Property Taxes")*(tblCarryingExpenses[Include]="Yes")),1),ROWS($Y$3:Y32)),""),"")</f>
        <v/>
      </c>
      <c r="AB32" s="339" t="str" cm="1">
        <f t="array" ref="AB32">IFERROR(INDEX(_xlfn.SORTBY(_xlfn._xlws.FILTER(tblCarryingExpenses[Date],(tblCarryingExpenses[Category]="Excavator Rental")*(tblCarryingExpenses[Include]="Yes")),_xlfn._xlws.FILTER(tblCarryingExpenses[Date],(tblCarryingExpenses[Category]="Excavator Rental")*(tblCarryingExpenses[Include]="Yes")),1),ROWS($AB$3:AB32)),"")</f>
        <v/>
      </c>
      <c r="AC32" s="340" t="str" cm="1">
        <f t="array" ref="AC32">IFERROR(INDEX(_xlfn.SORTBY(_xlfn._xlws.FILTER(tblCarryingExpenses[Amount],(tblCarryingExpenses[Category]="Excavator Rental")*(tblCarryingExpenses[Include]="Yes")),_xlfn._xlws.FILTER(tblCarryingExpenses[Date],(tblCarryingExpenses[Category]="Excavator Rental")*(tblCarryingExpenses[Include]="Yes")),1),ROWS($AB$3:AB32)),"")</f>
        <v/>
      </c>
      <c r="AD32" s="338"/>
      <c r="AE32" s="339" t="str" cm="1">
        <f t="array" ref="AE32">IFERROR(INDEX(_xlfn.SORTBY(_xlfn._xlws.FILTER(tblCarryingExpenses[Date],(tblCarryingExpenses[Category]="Lawn")*(tblCarryingExpenses[Include]="Yes")),_xlfn._xlws.FILTER(tblCarryingExpenses[Date],(tblCarryingExpenses[Category]="Lawn")*(tblCarryingExpenses[Include]="Yes")),1),ROWS($AE$3:AE32)),"")</f>
        <v/>
      </c>
      <c r="AF32" s="340" t="str" cm="1">
        <f t="array" ref="AF32">IFERROR(INDEX(_xlfn.SORTBY(_xlfn._xlws.FILTER(tblCarryingExpenses[Amount],(tblCarryingExpenses[Category]="Lawn")*(tblCarryingExpenses[Include]="Yes")),_xlfn._xlws.FILTER(tblCarryingExpenses[Date],(tblCarryingExpenses[Category]="Lawn")*(tblCarryingExpenses[Include]="Yes")),1),ROWS($AE$3:AE32)),"")</f>
        <v/>
      </c>
      <c r="AL32" t="s">
        <v>7</v>
      </c>
      <c r="AM32" t="s">
        <v>791</v>
      </c>
      <c r="AN32" s="12">
        <v>45894</v>
      </c>
      <c r="AQ32" s="5">
        <v>1209.23</v>
      </c>
      <c r="AR32" t="s">
        <v>780</v>
      </c>
      <c r="AT32" t="s">
        <v>781</v>
      </c>
      <c r="AU32" t="s">
        <v>782</v>
      </c>
      <c r="AV32" t="s">
        <v>813</v>
      </c>
    </row>
    <row r="33" spans="1:48" x14ac:dyDescent="0.25">
      <c r="A33" s="339" t="str" cm="1">
        <f t="array" ref="A33">IFERROR(INDEX(_xlfn.SORTBY(_xlfn._xlws.FILTER(tblCarryingExpenses[Date],(tblCarryingExpenses[Category]="Duke Electric")*(tblCarryingExpenses[Include]="Yes")),_xlfn._xlws.FILTER(tblCarryingExpenses[Date],(tblCarryingExpenses[Category]="Duke Electric")*(tblCarryingExpenses[Include]="Yes")),1),ROWS($A$3:A33)),"")</f>
        <v/>
      </c>
      <c r="B33" s="340" t="str" cm="1">
        <f t="array" ref="B33">IFERROR(INDEX(_xlfn.SORTBY(_xlfn._xlws.FILTER(tblCarryingExpenses[Amount],(tblCarryingExpenses[Category]="Duke Electric")*(tblCarryingExpenses[Include]="Yes")),_xlfn._xlws.FILTER(tblCarryingExpenses[Date],(tblCarryingExpenses[Category]="Duke Electric")*(tblCarryingExpenses[Include]="Yes")),1),ROWS($A$3:A33)),"")</f>
        <v/>
      </c>
      <c r="C33" s="338"/>
      <c r="D33" s="339" t="str" cm="1">
        <f t="array" ref="D33">IFERROR(INDEX(_xlfn.SORTBY(_xlfn._xlws.FILTER(tblCarryingExpenses[Date],(tblCarryingExpenses[Category]="Mortgage Payment")*(tblCarryingExpenses[Include]="Yes")),_xlfn._xlws.FILTER(tblCarryingExpenses[Date],(tblCarryingExpenses[Category]="Mortgage Payment")*(tblCarryingExpenses[Include]="Yes")),1),ROWS($D$3:D33)),"")</f>
        <v/>
      </c>
      <c r="E33" s="340" t="str" cm="1">
        <f t="array" ref="E33">IFERROR(INDEX(_xlfn.SORTBY(_xlfn._xlws.FILTER(tblCarryingExpenses[Amount],(tblCarryingExpenses[Category]="Mortgage Payment")*(tblCarryingExpenses[Include]="Yes")),_xlfn._xlws.FILTER(tblCarryingExpenses[Date],(tblCarryingExpenses[Category]="Mortgage Payment")*(tblCarryingExpenses[Include]="Yes")),1),ROWS($D$3:D33)),"")</f>
        <v/>
      </c>
      <c r="F33" s="338"/>
      <c r="G33" s="339" cm="1">
        <f t="array" ref="G33">IFERROR(INDEX(_xlfn.SORTBY(_xlfn._xlws.FILTER(tblCarryingExpenses[Date],(tblCarryingExpenses[Category]="Private Money")*(tblCarryingExpenses[Include]="Yes")),_xlfn._xlws.FILTER(tblCarryingExpenses[Date],(tblCarryingExpenses[Category]="Private Money")*(tblCarryingExpenses[Include]="Yes")),1),ROWS($G$3:G33)),"")</f>
        <v>46135</v>
      </c>
      <c r="H33" s="340" cm="1">
        <f t="array" ref="H33">IFERROR(INDEX(_xlfn.SORTBY(_xlfn._xlws.FILTER(tblCarryingExpenses[Amount],(tblCarryingExpenses[Category]="Private Money")*(tblCarryingExpenses[Include]="Yes")),_xlfn._xlws.FILTER(tblCarryingExpenses[Date],(tblCarryingExpenses[Category]="Private Money")*(tblCarryingExpenses[Include]="Yes")),1),ROWS($G$3:G33)),"")</f>
        <v>925</v>
      </c>
      <c r="I33" s="338"/>
      <c r="J33" s="339" t="str" cm="1">
        <f t="array" ref="J33">IFERROR(INDEX(_xlfn.SORTBY(_xlfn._xlws.FILTER(tblCarryingExpenses[Date],(tblCarryingExpenses[Category]="Casa Lending")*(tblCarryingExpenses[Include]="Yes")),_xlfn._xlws.FILTER(tblCarryingExpenses[Date],(tblCarryingExpenses[Category]="Casa Lending")*(tblCarryingExpenses[Include]="Yes")),1),ROWS($J$3:J33)),"")</f>
        <v/>
      </c>
      <c r="K33" s="340" t="str" cm="1">
        <f t="array" ref="K33">IFERROR(INDEX(_xlfn.SORTBY(_xlfn._xlws.FILTER(tblCarryingExpenses[Amount],(tblCarryingExpenses[Category]="Casa Lending")*(tblCarryingExpenses[Include]="Yes")),_xlfn._xlws.FILTER(tblCarryingExpenses[Date],(tblCarryingExpenses[Category]="Casa Lending")*(tblCarryingExpenses[Include]="Yes")),1),ROWS($J$3:J33)),"")</f>
        <v/>
      </c>
      <c r="L33" s="338"/>
      <c r="M33" s="339" cm="1">
        <f t="array" ref="M33">IFERROR(INDEX(_xlfn.SORTBY(_xlfn._xlws.FILTER(tblCarryingExpenses[Date],(tblCarryingExpenses[Category]="Insurance Payments")*(tblCarryingExpenses[Include]="Yes")),_xlfn._xlws.FILTER(tblCarryingExpenses[Date],(tblCarryingExpenses[Category]="Insurance Payments")*(tblCarryingExpenses[Include]="Yes")),1),ROWS($M$3:M33)),"")</f>
        <v>46140</v>
      </c>
      <c r="N33" s="340" cm="1">
        <f t="array" ref="N33">IFERROR(INDEX(_xlfn.SORTBY(_xlfn._xlws.FILTER(tblCarryingExpenses[Amount],(tblCarryingExpenses[Category]="Insurance Payments")*(tblCarryingExpenses[Include]="Yes")),_xlfn._xlws.FILTER(tblCarryingExpenses[Date],(tblCarryingExpenses[Category]="Insurance Payments")*(tblCarryingExpenses[Include]="Yes")),1),ROWS($M$3:M33)),"")</f>
        <v>94.65</v>
      </c>
      <c r="O33" s="338"/>
      <c r="P33" s="339" t="str" cm="1">
        <f t="array" ref="P33">IFERROR(INDEX(_xlfn.SORTBY(_xlfn._xlws.FILTER(tblCarryingExpenses[Date],(tblCarryingExpenses[Category]="Water")*(tblCarryingExpenses[Include]="Yes")),_xlfn._xlws.FILTER(tblCarryingExpenses[Date],(tblCarryingExpenses[Category]="Water")*(tblCarryingExpenses[Include]="Yes")),1),ROWS($P$3:P33)),"")</f>
        <v/>
      </c>
      <c r="Q33" s="340" t="str" cm="1">
        <f t="array" ref="Q33">IFERROR(INDEX(_xlfn.SORTBY(_xlfn._xlws.FILTER(tblCarryingExpenses[Amount],(tblCarryingExpenses[Category]="Water")*(tblCarryingExpenses[Include]="Yes")),_xlfn._xlws.FILTER(tblCarryingExpenses[Date],(tblCarryingExpenses[Category]="Water")*(tblCarryingExpenses[Include]="Yes")),1),ROWS($P$3:P33)),"")</f>
        <v/>
      </c>
      <c r="R33" s="338"/>
      <c r="S33" s="339" t="str" cm="1">
        <f t="array" ref="S33">IFERROR(INDEX(_xlfn.SORTBY(_xlfn._xlws.FILTER(tblCarryingExpenses[Date],(tblCarryingExpenses[Category]="Natural Gas")*(tblCarryingExpenses[Include]="Yes")),_xlfn._xlws.FILTER(tblCarryingExpenses[Date],(tblCarryingExpenses[Category]="Natural Gas")*(tblCarryingExpenses[Include]="Yes")),1),ROWS($S$3:S33)),"")</f>
        <v/>
      </c>
      <c r="T33" s="340" t="str" cm="1">
        <f t="array" ref="T33">IFERROR(INDEX(_xlfn.SORTBY(_xlfn._xlws.FILTER(tblCarryingExpenses[Amount],(tblCarryingExpenses[Category]="Natural Gas")*(tblCarryingExpenses[Include]="Yes")),_xlfn._xlws.FILTER(tblCarryingExpenses[Date],(tblCarryingExpenses[Category]="Natural Gas")*(tblCarryingExpenses[Include]="Yes")),1),ROWS($S$3:S33)),"")</f>
        <v/>
      </c>
      <c r="U33" s="338"/>
      <c r="V33" s="339" t="str" cm="1">
        <f t="array" ref="V33">IFERROR(INDEX(_xlfn.SORTBY(_xlfn._xlws.FILTER(tblCarryingExpenses[Date],(tblCarryingExpenses[Category]="HOA")*(tblCarryingExpenses[Include]="Yes")),_xlfn._xlws.FILTER(tblCarryingExpenses[Date],(tblCarryingExpenses[Category]="HOA")*(tblCarryingExpenses[Include]="Yes")),1),ROWS($V$3:V33)),"")</f>
        <v/>
      </c>
      <c r="W33" s="340" t="str" cm="1">
        <f t="array" ref="W33">IFERROR(INDEX(_xlfn.SORTBY(_xlfn._xlws.FILTER(tblCarryingExpenses[Amount],(tblCarryingExpenses[Category]="HOA")*(tblCarryingExpenses[Include]="Yes")),_xlfn._xlws.FILTER(tblCarryingExpenses[Date],(tblCarryingExpenses[Category]="HOA")*(tblCarryingExpenses[Include]="Yes")),1),ROWS($V$3:V33)),"")</f>
        <v/>
      </c>
      <c r="X33" s="338"/>
      <c r="Y33" s="339" t="str" cm="1">
        <f t="array" ref="Y33">IFERROR(INDEX(_xlfn.SORTBY(_xlfn._xlws.FILTER(tblCarryingExpenses[Date],(tblCarryingExpenses[Category]="Property Taxes")*(tblCarryingExpenses[Include]="Yes")),_xlfn._xlws.FILTER(tblCarryingExpenses[Date],(tblCarryingExpenses[Category]="Property Taxes")*(tblCarryingExpenses[Include]="Yes")),1),ROWS($Y$3:Y33)),"")</f>
        <v/>
      </c>
      <c r="Z33" s="340" t="str" cm="1">
        <f t="array" ref="Z33">IFERROR(IF(INDEX(_xlfn.SORTBY(_xlfn._xlws.FILTER(tblCarryingExpenses[Amount],(tblCarryingExpenses[Category]="Property Taxes")*(tblCarryingExpenses[Include]="Yes")),_xlfn._xlws.FILTER(tblCarryingExpenses[Date],(tblCarryingExpenses[Category]="Property Taxes")*(tblCarryingExpenses[Include]="Yes")),1),ROWS($Y$3:Y33))&lt;0,"",INDEX(_xlfn.SORTBY(_xlfn._xlws.FILTER(tblCarryingExpenses[Amount],(tblCarryingExpenses[Category]="Property Taxes")*(tblCarryingExpenses[Include]="Yes")),_xlfn._xlws.FILTER(tblCarryingExpenses[Date],(tblCarryingExpenses[Category]="Property Taxes")*(tblCarryingExpenses[Include]="Yes")),1),ROWS($Y$3:Y33))),"")</f>
        <v/>
      </c>
      <c r="AA33" s="340" t="str" cm="1">
        <f t="array" ref="AA33">IFERROR(IF(ISNUMBER(SEARCH("escrow",INDEX(_xlfn.SORTBY(_xlfn._xlws.FILTER(tblCarryingExpenses[Notes],(tblCarryingExpenses[Category]="Property Taxes")*(tblCarryingExpenses[Include]="Yes")),_xlfn._xlws.FILTER(tblCarryingExpenses[Date],(tblCarryingExpenses[Category]="Property Taxes")*(tblCarryingExpenses[Include]="Yes")),1),ROWS($Y$3:Y33)))),INDEX(_xlfn.SORTBY(_xlfn._xlws.FILTER(tblCarryingExpenses[Amount],(tblCarryingExpenses[Category]="Property Taxes")*(tblCarryingExpenses[Include]="Yes")),_xlfn._xlws.FILTER(tblCarryingExpenses[Date],(tblCarryingExpenses[Category]="Property Taxes")*(tblCarryingExpenses[Include]="Yes")),1),ROWS($Y$3:Y33)),""),"")</f>
        <v/>
      </c>
      <c r="AB33" s="339" t="str" cm="1">
        <f t="array" ref="AB33">IFERROR(INDEX(_xlfn.SORTBY(_xlfn._xlws.FILTER(tblCarryingExpenses[Date],(tblCarryingExpenses[Category]="Excavator Rental")*(tblCarryingExpenses[Include]="Yes")),_xlfn._xlws.FILTER(tblCarryingExpenses[Date],(tblCarryingExpenses[Category]="Excavator Rental")*(tblCarryingExpenses[Include]="Yes")),1),ROWS($AB$3:AB33)),"")</f>
        <v/>
      </c>
      <c r="AC33" s="340" t="str" cm="1">
        <f t="array" ref="AC33">IFERROR(INDEX(_xlfn.SORTBY(_xlfn._xlws.FILTER(tblCarryingExpenses[Amount],(tblCarryingExpenses[Category]="Excavator Rental")*(tblCarryingExpenses[Include]="Yes")),_xlfn._xlws.FILTER(tblCarryingExpenses[Date],(tblCarryingExpenses[Category]="Excavator Rental")*(tblCarryingExpenses[Include]="Yes")),1),ROWS($AB$3:AB33)),"")</f>
        <v/>
      </c>
      <c r="AD33" s="338"/>
      <c r="AE33" s="339" t="str" cm="1">
        <f t="array" ref="AE33">IFERROR(INDEX(_xlfn.SORTBY(_xlfn._xlws.FILTER(tblCarryingExpenses[Date],(tblCarryingExpenses[Category]="Lawn")*(tblCarryingExpenses[Include]="Yes")),_xlfn._xlws.FILTER(tblCarryingExpenses[Date],(tblCarryingExpenses[Category]="Lawn")*(tblCarryingExpenses[Include]="Yes")),1),ROWS($AE$3:AE33)),"")</f>
        <v/>
      </c>
      <c r="AF33" s="340" t="str" cm="1">
        <f t="array" ref="AF33">IFERROR(INDEX(_xlfn.SORTBY(_xlfn._xlws.FILTER(tblCarryingExpenses[Amount],(tblCarryingExpenses[Category]="Lawn")*(tblCarryingExpenses[Include]="Yes")),_xlfn._xlws.FILTER(tblCarryingExpenses[Date],(tblCarryingExpenses[Category]="Lawn")*(tblCarryingExpenses[Include]="Yes")),1),ROWS($AE$3:AE33)),"")</f>
        <v/>
      </c>
      <c r="AL33" t="s">
        <v>7</v>
      </c>
      <c r="AM33" t="s">
        <v>791</v>
      </c>
      <c r="AN33" s="12">
        <v>45924</v>
      </c>
      <c r="AQ33" s="5">
        <v>1209.23</v>
      </c>
      <c r="AR33" t="s">
        <v>780</v>
      </c>
      <c r="AT33" t="s">
        <v>781</v>
      </c>
      <c r="AU33" t="s">
        <v>782</v>
      </c>
      <c r="AV33" t="s">
        <v>814</v>
      </c>
    </row>
    <row r="34" spans="1:48" x14ac:dyDescent="0.25">
      <c r="A34" s="339" t="str" cm="1">
        <f t="array" ref="A34">IFERROR(INDEX(_xlfn.SORTBY(_xlfn._xlws.FILTER(tblCarryingExpenses[Date],(tblCarryingExpenses[Category]="Duke Electric")*(tblCarryingExpenses[Include]="Yes")),_xlfn._xlws.FILTER(tblCarryingExpenses[Date],(tblCarryingExpenses[Category]="Duke Electric")*(tblCarryingExpenses[Include]="Yes")),1),ROWS($A$3:A34)),"")</f>
        <v/>
      </c>
      <c r="B34" s="340" t="str" cm="1">
        <f t="array" ref="B34">IFERROR(INDEX(_xlfn.SORTBY(_xlfn._xlws.FILTER(tblCarryingExpenses[Amount],(tblCarryingExpenses[Category]="Duke Electric")*(tblCarryingExpenses[Include]="Yes")),_xlfn._xlws.FILTER(tblCarryingExpenses[Date],(tblCarryingExpenses[Category]="Duke Electric")*(tblCarryingExpenses[Include]="Yes")),1),ROWS($A$3:A34)),"")</f>
        <v/>
      </c>
      <c r="C34" s="338"/>
      <c r="D34" s="339" t="str" cm="1">
        <f t="array" ref="D34">IFERROR(INDEX(_xlfn.SORTBY(_xlfn._xlws.FILTER(tblCarryingExpenses[Date],(tblCarryingExpenses[Category]="Mortgage Payment")*(tblCarryingExpenses[Include]="Yes")),_xlfn._xlws.FILTER(tblCarryingExpenses[Date],(tblCarryingExpenses[Category]="Mortgage Payment")*(tblCarryingExpenses[Include]="Yes")),1),ROWS($D$3:D34)),"")</f>
        <v/>
      </c>
      <c r="E34" s="340" t="str" cm="1">
        <f t="array" ref="E34">IFERROR(INDEX(_xlfn.SORTBY(_xlfn._xlws.FILTER(tblCarryingExpenses[Amount],(tblCarryingExpenses[Category]="Mortgage Payment")*(tblCarryingExpenses[Include]="Yes")),_xlfn._xlws.FILTER(tblCarryingExpenses[Date],(tblCarryingExpenses[Category]="Mortgage Payment")*(tblCarryingExpenses[Include]="Yes")),1),ROWS($D$3:D34)),"")</f>
        <v/>
      </c>
      <c r="F34" s="338"/>
      <c r="G34" s="339" cm="1">
        <f t="array" ref="G34">IFERROR(INDEX(_xlfn.SORTBY(_xlfn._xlws.FILTER(tblCarryingExpenses[Date],(tblCarryingExpenses[Category]="Private Money")*(tblCarryingExpenses[Include]="Yes")),_xlfn._xlws.FILTER(tblCarryingExpenses[Date],(tblCarryingExpenses[Category]="Private Money")*(tblCarryingExpenses[Include]="Yes")),1),ROWS($G$3:G34)),"")</f>
        <v>46165</v>
      </c>
      <c r="H34" s="340" cm="1">
        <f t="array" ref="H34">IFERROR(INDEX(_xlfn.SORTBY(_xlfn._xlws.FILTER(tblCarryingExpenses[Amount],(tblCarryingExpenses[Category]="Private Money")*(tblCarryingExpenses[Include]="Yes")),_xlfn._xlws.FILTER(tblCarryingExpenses[Date],(tblCarryingExpenses[Category]="Private Money")*(tblCarryingExpenses[Include]="Yes")),1),ROWS($G$3:G34)),"")</f>
        <v>925</v>
      </c>
      <c r="I34" s="338"/>
      <c r="J34" s="339" t="str" cm="1">
        <f t="array" ref="J34">IFERROR(INDEX(_xlfn.SORTBY(_xlfn._xlws.FILTER(tblCarryingExpenses[Date],(tblCarryingExpenses[Category]="Casa Lending")*(tblCarryingExpenses[Include]="Yes")),_xlfn._xlws.FILTER(tblCarryingExpenses[Date],(tblCarryingExpenses[Category]="Casa Lending")*(tblCarryingExpenses[Include]="Yes")),1),ROWS($J$3:J34)),"")</f>
        <v/>
      </c>
      <c r="K34" s="340" t="str" cm="1">
        <f t="array" ref="K34">IFERROR(INDEX(_xlfn.SORTBY(_xlfn._xlws.FILTER(tblCarryingExpenses[Amount],(tblCarryingExpenses[Category]="Casa Lending")*(tblCarryingExpenses[Include]="Yes")),_xlfn._xlws.FILTER(tblCarryingExpenses[Date],(tblCarryingExpenses[Category]="Casa Lending")*(tblCarryingExpenses[Include]="Yes")),1),ROWS($J$3:J34)),"")</f>
        <v/>
      </c>
      <c r="L34" s="338"/>
      <c r="M34" s="339" cm="1">
        <f t="array" ref="M34">IFERROR(INDEX(_xlfn.SORTBY(_xlfn._xlws.FILTER(tblCarryingExpenses[Date],(tblCarryingExpenses[Category]="Insurance Payments")*(tblCarryingExpenses[Include]="Yes")),_xlfn._xlws.FILTER(tblCarryingExpenses[Date],(tblCarryingExpenses[Category]="Insurance Payments")*(tblCarryingExpenses[Include]="Yes")),1),ROWS($M$3:M34)),"")</f>
        <v>46170</v>
      </c>
      <c r="N34" s="340" cm="1">
        <f t="array" ref="N34">IFERROR(INDEX(_xlfn.SORTBY(_xlfn._xlws.FILTER(tblCarryingExpenses[Amount],(tblCarryingExpenses[Category]="Insurance Payments")*(tblCarryingExpenses[Include]="Yes")),_xlfn._xlws.FILTER(tblCarryingExpenses[Date],(tblCarryingExpenses[Category]="Insurance Payments")*(tblCarryingExpenses[Include]="Yes")),1),ROWS($M$3:M34)),"")</f>
        <v>94.65</v>
      </c>
      <c r="O34" s="338"/>
      <c r="P34" s="339" t="str" cm="1">
        <f t="array" ref="P34">IFERROR(INDEX(_xlfn.SORTBY(_xlfn._xlws.FILTER(tblCarryingExpenses[Date],(tblCarryingExpenses[Category]="Water")*(tblCarryingExpenses[Include]="Yes")),_xlfn._xlws.FILTER(tblCarryingExpenses[Date],(tblCarryingExpenses[Category]="Water")*(tblCarryingExpenses[Include]="Yes")),1),ROWS($P$3:P34)),"")</f>
        <v/>
      </c>
      <c r="Q34" s="340" t="str" cm="1">
        <f t="array" ref="Q34">IFERROR(INDEX(_xlfn.SORTBY(_xlfn._xlws.FILTER(tblCarryingExpenses[Amount],(tblCarryingExpenses[Category]="Water")*(tblCarryingExpenses[Include]="Yes")),_xlfn._xlws.FILTER(tblCarryingExpenses[Date],(tblCarryingExpenses[Category]="Water")*(tblCarryingExpenses[Include]="Yes")),1),ROWS($P$3:P34)),"")</f>
        <v/>
      </c>
      <c r="R34" s="338"/>
      <c r="S34" s="339" t="str" cm="1">
        <f t="array" ref="S34">IFERROR(INDEX(_xlfn.SORTBY(_xlfn._xlws.FILTER(tblCarryingExpenses[Date],(tblCarryingExpenses[Category]="Natural Gas")*(tblCarryingExpenses[Include]="Yes")),_xlfn._xlws.FILTER(tblCarryingExpenses[Date],(tblCarryingExpenses[Category]="Natural Gas")*(tblCarryingExpenses[Include]="Yes")),1),ROWS($S$3:S34)),"")</f>
        <v/>
      </c>
      <c r="T34" s="340" t="str" cm="1">
        <f t="array" ref="T34">IFERROR(INDEX(_xlfn.SORTBY(_xlfn._xlws.FILTER(tblCarryingExpenses[Amount],(tblCarryingExpenses[Category]="Natural Gas")*(tblCarryingExpenses[Include]="Yes")),_xlfn._xlws.FILTER(tblCarryingExpenses[Date],(tblCarryingExpenses[Category]="Natural Gas")*(tblCarryingExpenses[Include]="Yes")),1),ROWS($S$3:S34)),"")</f>
        <v/>
      </c>
      <c r="U34" s="338"/>
      <c r="V34" s="339" t="str" cm="1">
        <f t="array" ref="V34">IFERROR(INDEX(_xlfn.SORTBY(_xlfn._xlws.FILTER(tblCarryingExpenses[Date],(tblCarryingExpenses[Category]="HOA")*(tblCarryingExpenses[Include]="Yes")),_xlfn._xlws.FILTER(tblCarryingExpenses[Date],(tblCarryingExpenses[Category]="HOA")*(tblCarryingExpenses[Include]="Yes")),1),ROWS($V$3:V34)),"")</f>
        <v/>
      </c>
      <c r="W34" s="340" t="str" cm="1">
        <f t="array" ref="W34">IFERROR(INDEX(_xlfn.SORTBY(_xlfn._xlws.FILTER(tblCarryingExpenses[Amount],(tblCarryingExpenses[Category]="HOA")*(tblCarryingExpenses[Include]="Yes")),_xlfn._xlws.FILTER(tblCarryingExpenses[Date],(tblCarryingExpenses[Category]="HOA")*(tblCarryingExpenses[Include]="Yes")),1),ROWS($V$3:V34)),"")</f>
        <v/>
      </c>
      <c r="X34" s="338"/>
      <c r="Y34" s="339" t="str" cm="1">
        <f t="array" ref="Y34">IFERROR(INDEX(_xlfn.SORTBY(_xlfn._xlws.FILTER(tblCarryingExpenses[Date],(tblCarryingExpenses[Category]="Property Taxes")*(tblCarryingExpenses[Include]="Yes")),_xlfn._xlws.FILTER(tblCarryingExpenses[Date],(tblCarryingExpenses[Category]="Property Taxes")*(tblCarryingExpenses[Include]="Yes")),1),ROWS($Y$3:Y34)),"")</f>
        <v/>
      </c>
      <c r="Z34" s="340" t="str" cm="1">
        <f t="array" ref="Z34">IFERROR(IF(INDEX(_xlfn.SORTBY(_xlfn._xlws.FILTER(tblCarryingExpenses[Amount],(tblCarryingExpenses[Category]="Property Taxes")*(tblCarryingExpenses[Include]="Yes")),_xlfn._xlws.FILTER(tblCarryingExpenses[Date],(tblCarryingExpenses[Category]="Property Taxes")*(tblCarryingExpenses[Include]="Yes")),1),ROWS($Y$3:Y34))&lt;0,"",INDEX(_xlfn.SORTBY(_xlfn._xlws.FILTER(tblCarryingExpenses[Amount],(tblCarryingExpenses[Category]="Property Taxes")*(tblCarryingExpenses[Include]="Yes")),_xlfn._xlws.FILTER(tblCarryingExpenses[Date],(tblCarryingExpenses[Category]="Property Taxes")*(tblCarryingExpenses[Include]="Yes")),1),ROWS($Y$3:Y34))),"")</f>
        <v/>
      </c>
      <c r="AA34" s="340" t="str" cm="1">
        <f t="array" ref="AA34">IFERROR(IF(ISNUMBER(SEARCH("escrow",INDEX(_xlfn.SORTBY(_xlfn._xlws.FILTER(tblCarryingExpenses[Notes],(tblCarryingExpenses[Category]="Property Taxes")*(tblCarryingExpenses[Include]="Yes")),_xlfn._xlws.FILTER(tblCarryingExpenses[Date],(tblCarryingExpenses[Category]="Property Taxes")*(tblCarryingExpenses[Include]="Yes")),1),ROWS($Y$3:Y34)))),INDEX(_xlfn.SORTBY(_xlfn._xlws.FILTER(tblCarryingExpenses[Amount],(tblCarryingExpenses[Category]="Property Taxes")*(tblCarryingExpenses[Include]="Yes")),_xlfn._xlws.FILTER(tblCarryingExpenses[Date],(tblCarryingExpenses[Category]="Property Taxes")*(tblCarryingExpenses[Include]="Yes")),1),ROWS($Y$3:Y34)),""),"")</f>
        <v/>
      </c>
      <c r="AB34" s="339" t="str" cm="1">
        <f t="array" ref="AB34">IFERROR(INDEX(_xlfn.SORTBY(_xlfn._xlws.FILTER(tblCarryingExpenses[Date],(tblCarryingExpenses[Category]="Excavator Rental")*(tblCarryingExpenses[Include]="Yes")),_xlfn._xlws.FILTER(tblCarryingExpenses[Date],(tblCarryingExpenses[Category]="Excavator Rental")*(tblCarryingExpenses[Include]="Yes")),1),ROWS($AB$3:AB34)),"")</f>
        <v/>
      </c>
      <c r="AC34" s="340" t="str" cm="1">
        <f t="array" ref="AC34">IFERROR(INDEX(_xlfn.SORTBY(_xlfn._xlws.FILTER(tblCarryingExpenses[Amount],(tblCarryingExpenses[Category]="Excavator Rental")*(tblCarryingExpenses[Include]="Yes")),_xlfn._xlws.FILTER(tblCarryingExpenses[Date],(tblCarryingExpenses[Category]="Excavator Rental")*(tblCarryingExpenses[Include]="Yes")),1),ROWS($AB$3:AB34)),"")</f>
        <v/>
      </c>
      <c r="AD34" s="338"/>
      <c r="AE34" s="339" t="str" cm="1">
        <f t="array" ref="AE34">IFERROR(INDEX(_xlfn.SORTBY(_xlfn._xlws.FILTER(tblCarryingExpenses[Date],(tblCarryingExpenses[Category]="Lawn")*(tblCarryingExpenses[Include]="Yes")),_xlfn._xlws.FILTER(tblCarryingExpenses[Date],(tblCarryingExpenses[Category]="Lawn")*(tblCarryingExpenses[Include]="Yes")),1),ROWS($AE$3:AE34)),"")</f>
        <v/>
      </c>
      <c r="AF34" s="340" t="str" cm="1">
        <f t="array" ref="AF34">IFERROR(INDEX(_xlfn.SORTBY(_xlfn._xlws.FILTER(tblCarryingExpenses[Amount],(tblCarryingExpenses[Category]="Lawn")*(tblCarryingExpenses[Include]="Yes")),_xlfn._xlws.FILTER(tblCarryingExpenses[Date],(tblCarryingExpenses[Category]="Lawn")*(tblCarryingExpenses[Include]="Yes")),1),ROWS($AE$3:AE34)),"")</f>
        <v/>
      </c>
      <c r="AL34" t="s">
        <v>7</v>
      </c>
      <c r="AM34" t="s">
        <v>791</v>
      </c>
      <c r="AN34" s="12">
        <v>45954</v>
      </c>
      <c r="AQ34" s="5">
        <v>1209.23</v>
      </c>
      <c r="AR34" t="s">
        <v>780</v>
      </c>
      <c r="AT34" t="s">
        <v>781</v>
      </c>
      <c r="AU34" t="s">
        <v>782</v>
      </c>
      <c r="AV34" t="s">
        <v>815</v>
      </c>
    </row>
    <row r="35" spans="1:48" x14ac:dyDescent="0.25">
      <c r="A35" s="339" t="str" cm="1">
        <f t="array" ref="A35">IFERROR(INDEX(_xlfn.SORTBY(_xlfn._xlws.FILTER(tblCarryingExpenses[Date],(tblCarryingExpenses[Category]="Duke Electric")*(tblCarryingExpenses[Include]="Yes")),_xlfn._xlws.FILTER(tblCarryingExpenses[Date],(tblCarryingExpenses[Category]="Duke Electric")*(tblCarryingExpenses[Include]="Yes")),1),ROWS($A$3:A35)),"")</f>
        <v/>
      </c>
      <c r="B35" s="340" t="str" cm="1">
        <f t="array" ref="B35">IFERROR(INDEX(_xlfn.SORTBY(_xlfn._xlws.FILTER(tblCarryingExpenses[Amount],(tblCarryingExpenses[Category]="Duke Electric")*(tblCarryingExpenses[Include]="Yes")),_xlfn._xlws.FILTER(tblCarryingExpenses[Date],(tblCarryingExpenses[Category]="Duke Electric")*(tblCarryingExpenses[Include]="Yes")),1),ROWS($A$3:A35)),"")</f>
        <v/>
      </c>
      <c r="C35" s="338"/>
      <c r="D35" s="339" t="str" cm="1">
        <f t="array" ref="D35">IFERROR(INDEX(_xlfn.SORTBY(_xlfn._xlws.FILTER(tblCarryingExpenses[Date],(tblCarryingExpenses[Category]="Mortgage Payment")*(tblCarryingExpenses[Include]="Yes")),_xlfn._xlws.FILTER(tblCarryingExpenses[Date],(tblCarryingExpenses[Category]="Mortgage Payment")*(tblCarryingExpenses[Include]="Yes")),1),ROWS($D$3:D35)),"")</f>
        <v/>
      </c>
      <c r="E35" s="340" t="str" cm="1">
        <f t="array" ref="E35">IFERROR(INDEX(_xlfn.SORTBY(_xlfn._xlws.FILTER(tblCarryingExpenses[Amount],(tblCarryingExpenses[Category]="Mortgage Payment")*(tblCarryingExpenses[Include]="Yes")),_xlfn._xlws.FILTER(tblCarryingExpenses[Date],(tblCarryingExpenses[Category]="Mortgage Payment")*(tblCarryingExpenses[Include]="Yes")),1),ROWS($D$3:D35)),"")</f>
        <v/>
      </c>
      <c r="F35" s="338"/>
      <c r="G35" s="339" t="str" cm="1">
        <f t="array" ref="G35">IFERROR(INDEX(_xlfn.SORTBY(_xlfn._xlws.FILTER(tblCarryingExpenses[Date],(tblCarryingExpenses[Category]="Private Money")*(tblCarryingExpenses[Include]="Yes")),_xlfn._xlws.FILTER(tblCarryingExpenses[Date],(tblCarryingExpenses[Category]="Private Money")*(tblCarryingExpenses[Include]="Yes")),1),ROWS($G$3:G35)),"")</f>
        <v/>
      </c>
      <c r="H35" s="340" t="str" cm="1">
        <f t="array" ref="H35">IFERROR(INDEX(_xlfn.SORTBY(_xlfn._xlws.FILTER(tblCarryingExpenses[Amount],(tblCarryingExpenses[Category]="Private Money")*(tblCarryingExpenses[Include]="Yes")),_xlfn._xlws.FILTER(tblCarryingExpenses[Date],(tblCarryingExpenses[Category]="Private Money")*(tblCarryingExpenses[Include]="Yes")),1),ROWS($G$3:G35)),"")</f>
        <v/>
      </c>
      <c r="I35" s="338"/>
      <c r="J35" s="339" t="str" cm="1">
        <f t="array" ref="J35">IFERROR(INDEX(_xlfn.SORTBY(_xlfn._xlws.FILTER(tblCarryingExpenses[Date],(tblCarryingExpenses[Category]="Casa Lending")*(tblCarryingExpenses[Include]="Yes")),_xlfn._xlws.FILTER(tblCarryingExpenses[Date],(tblCarryingExpenses[Category]="Casa Lending")*(tblCarryingExpenses[Include]="Yes")),1),ROWS($J$3:J35)),"")</f>
        <v/>
      </c>
      <c r="K35" s="340" t="str" cm="1">
        <f t="array" ref="K35">IFERROR(INDEX(_xlfn.SORTBY(_xlfn._xlws.FILTER(tblCarryingExpenses[Amount],(tblCarryingExpenses[Category]="Casa Lending")*(tblCarryingExpenses[Include]="Yes")),_xlfn._xlws.FILTER(tblCarryingExpenses[Date],(tblCarryingExpenses[Category]="Casa Lending")*(tblCarryingExpenses[Include]="Yes")),1),ROWS($J$3:J35)),"")</f>
        <v/>
      </c>
      <c r="L35" s="338"/>
      <c r="M35" s="339" t="str" cm="1">
        <f t="array" ref="M35">IFERROR(INDEX(_xlfn.SORTBY(_xlfn._xlws.FILTER(tblCarryingExpenses[Date],(tblCarryingExpenses[Category]="Insurance Payments")*(tblCarryingExpenses[Include]="Yes")),_xlfn._xlws.FILTER(tblCarryingExpenses[Date],(tblCarryingExpenses[Category]="Insurance Payments")*(tblCarryingExpenses[Include]="Yes")),1),ROWS($M$3:M35)),"")</f>
        <v/>
      </c>
      <c r="N35" s="340" t="str" cm="1">
        <f t="array" ref="N35">IFERROR(INDEX(_xlfn.SORTBY(_xlfn._xlws.FILTER(tblCarryingExpenses[Amount],(tblCarryingExpenses[Category]="Insurance Payments")*(tblCarryingExpenses[Include]="Yes")),_xlfn._xlws.FILTER(tblCarryingExpenses[Date],(tblCarryingExpenses[Category]="Insurance Payments")*(tblCarryingExpenses[Include]="Yes")),1),ROWS($M$3:M35)),"")</f>
        <v/>
      </c>
      <c r="O35" s="338"/>
      <c r="P35" s="339" t="str" cm="1">
        <f t="array" ref="P35">IFERROR(INDEX(_xlfn.SORTBY(_xlfn._xlws.FILTER(tblCarryingExpenses[Date],(tblCarryingExpenses[Category]="Water")*(tblCarryingExpenses[Include]="Yes")),_xlfn._xlws.FILTER(tblCarryingExpenses[Date],(tblCarryingExpenses[Category]="Water")*(tblCarryingExpenses[Include]="Yes")),1),ROWS($P$3:P35)),"")</f>
        <v/>
      </c>
      <c r="Q35" s="340" t="str" cm="1">
        <f t="array" ref="Q35">IFERROR(INDEX(_xlfn.SORTBY(_xlfn._xlws.FILTER(tblCarryingExpenses[Amount],(tblCarryingExpenses[Category]="Water")*(tblCarryingExpenses[Include]="Yes")),_xlfn._xlws.FILTER(tblCarryingExpenses[Date],(tblCarryingExpenses[Category]="Water")*(tblCarryingExpenses[Include]="Yes")),1),ROWS($P$3:P35)),"")</f>
        <v/>
      </c>
      <c r="R35" s="338"/>
      <c r="S35" s="339" t="str" cm="1">
        <f t="array" ref="S35">IFERROR(INDEX(_xlfn.SORTBY(_xlfn._xlws.FILTER(tblCarryingExpenses[Date],(tblCarryingExpenses[Category]="Natural Gas")*(tblCarryingExpenses[Include]="Yes")),_xlfn._xlws.FILTER(tblCarryingExpenses[Date],(tblCarryingExpenses[Category]="Natural Gas")*(tblCarryingExpenses[Include]="Yes")),1),ROWS($S$3:S35)),"")</f>
        <v/>
      </c>
      <c r="T35" s="340" t="str" cm="1">
        <f t="array" ref="T35">IFERROR(INDEX(_xlfn.SORTBY(_xlfn._xlws.FILTER(tblCarryingExpenses[Amount],(tblCarryingExpenses[Category]="Natural Gas")*(tblCarryingExpenses[Include]="Yes")),_xlfn._xlws.FILTER(tblCarryingExpenses[Date],(tblCarryingExpenses[Category]="Natural Gas")*(tblCarryingExpenses[Include]="Yes")),1),ROWS($S$3:S35)),"")</f>
        <v/>
      </c>
      <c r="U35" s="338"/>
      <c r="V35" s="339" t="str" cm="1">
        <f t="array" ref="V35">IFERROR(INDEX(_xlfn.SORTBY(_xlfn._xlws.FILTER(tblCarryingExpenses[Date],(tblCarryingExpenses[Category]="HOA")*(tblCarryingExpenses[Include]="Yes")),_xlfn._xlws.FILTER(tblCarryingExpenses[Date],(tblCarryingExpenses[Category]="HOA")*(tblCarryingExpenses[Include]="Yes")),1),ROWS($V$3:V35)),"")</f>
        <v/>
      </c>
      <c r="W35" s="340" t="str" cm="1">
        <f t="array" ref="W35">IFERROR(INDEX(_xlfn.SORTBY(_xlfn._xlws.FILTER(tblCarryingExpenses[Amount],(tblCarryingExpenses[Category]="HOA")*(tblCarryingExpenses[Include]="Yes")),_xlfn._xlws.FILTER(tblCarryingExpenses[Date],(tblCarryingExpenses[Category]="HOA")*(tblCarryingExpenses[Include]="Yes")),1),ROWS($V$3:V35)),"")</f>
        <v/>
      </c>
      <c r="X35" s="338"/>
      <c r="Y35" s="339" t="str" cm="1">
        <f t="array" ref="Y35">IFERROR(INDEX(_xlfn.SORTBY(_xlfn._xlws.FILTER(tblCarryingExpenses[Date],(tblCarryingExpenses[Category]="Property Taxes")*(tblCarryingExpenses[Include]="Yes")),_xlfn._xlws.FILTER(tblCarryingExpenses[Date],(tblCarryingExpenses[Category]="Property Taxes")*(tblCarryingExpenses[Include]="Yes")),1),ROWS($Y$3:Y35)),"")</f>
        <v/>
      </c>
      <c r="Z35" s="340" t="str" cm="1">
        <f t="array" ref="Z35">IFERROR(IF(INDEX(_xlfn.SORTBY(_xlfn._xlws.FILTER(tblCarryingExpenses[Amount],(tblCarryingExpenses[Category]="Property Taxes")*(tblCarryingExpenses[Include]="Yes")),_xlfn._xlws.FILTER(tblCarryingExpenses[Date],(tblCarryingExpenses[Category]="Property Taxes")*(tblCarryingExpenses[Include]="Yes")),1),ROWS($Y$3:Y35))&lt;0,"",INDEX(_xlfn.SORTBY(_xlfn._xlws.FILTER(tblCarryingExpenses[Amount],(tblCarryingExpenses[Category]="Property Taxes")*(tblCarryingExpenses[Include]="Yes")),_xlfn._xlws.FILTER(tblCarryingExpenses[Date],(tblCarryingExpenses[Category]="Property Taxes")*(tblCarryingExpenses[Include]="Yes")),1),ROWS($Y$3:Y35))),"")</f>
        <v/>
      </c>
      <c r="AA35" s="340" t="str" cm="1">
        <f t="array" ref="AA35">IFERROR(IF(ISNUMBER(SEARCH("escrow",INDEX(_xlfn.SORTBY(_xlfn._xlws.FILTER(tblCarryingExpenses[Notes],(tblCarryingExpenses[Category]="Property Taxes")*(tblCarryingExpenses[Include]="Yes")),_xlfn._xlws.FILTER(tblCarryingExpenses[Date],(tblCarryingExpenses[Category]="Property Taxes")*(tblCarryingExpenses[Include]="Yes")),1),ROWS($Y$3:Y35)))),INDEX(_xlfn.SORTBY(_xlfn._xlws.FILTER(tblCarryingExpenses[Amount],(tblCarryingExpenses[Category]="Property Taxes")*(tblCarryingExpenses[Include]="Yes")),_xlfn._xlws.FILTER(tblCarryingExpenses[Date],(tblCarryingExpenses[Category]="Property Taxes")*(tblCarryingExpenses[Include]="Yes")),1),ROWS($Y$3:Y35)),""),"")</f>
        <v/>
      </c>
      <c r="AB35" s="339" t="str" cm="1">
        <f t="array" ref="AB35">IFERROR(INDEX(_xlfn.SORTBY(_xlfn._xlws.FILTER(tblCarryingExpenses[Date],(tblCarryingExpenses[Category]="Excavator Rental")*(tblCarryingExpenses[Include]="Yes")),_xlfn._xlws.FILTER(tblCarryingExpenses[Date],(tblCarryingExpenses[Category]="Excavator Rental")*(tblCarryingExpenses[Include]="Yes")),1),ROWS($AB$3:AB35)),"")</f>
        <v/>
      </c>
      <c r="AC35" s="340" t="str" cm="1">
        <f t="array" ref="AC35">IFERROR(INDEX(_xlfn.SORTBY(_xlfn._xlws.FILTER(tblCarryingExpenses[Amount],(tblCarryingExpenses[Category]="Excavator Rental")*(tblCarryingExpenses[Include]="Yes")),_xlfn._xlws.FILTER(tblCarryingExpenses[Date],(tblCarryingExpenses[Category]="Excavator Rental")*(tblCarryingExpenses[Include]="Yes")),1),ROWS($AB$3:AB35)),"")</f>
        <v/>
      </c>
      <c r="AD35" s="338"/>
      <c r="AE35" s="339" t="str" cm="1">
        <f t="array" ref="AE35">IFERROR(INDEX(_xlfn.SORTBY(_xlfn._xlws.FILTER(tblCarryingExpenses[Date],(tblCarryingExpenses[Category]="Lawn")*(tblCarryingExpenses[Include]="Yes")),_xlfn._xlws.FILTER(tblCarryingExpenses[Date],(tblCarryingExpenses[Category]="Lawn")*(tblCarryingExpenses[Include]="Yes")),1),ROWS($AE$3:AE35)),"")</f>
        <v/>
      </c>
      <c r="AF35" s="340" t="str" cm="1">
        <f t="array" ref="AF35">IFERROR(INDEX(_xlfn.SORTBY(_xlfn._xlws.FILTER(tblCarryingExpenses[Amount],(tblCarryingExpenses[Category]="Lawn")*(tblCarryingExpenses[Include]="Yes")),_xlfn._xlws.FILTER(tblCarryingExpenses[Date],(tblCarryingExpenses[Category]="Lawn")*(tblCarryingExpenses[Include]="Yes")),1),ROWS($AE$3:AE35)),"")</f>
        <v/>
      </c>
      <c r="AL35" t="s">
        <v>7</v>
      </c>
      <c r="AM35" t="s">
        <v>791</v>
      </c>
      <c r="AN35" s="12">
        <v>45984</v>
      </c>
      <c r="AQ35" s="5">
        <v>1209.23</v>
      </c>
      <c r="AR35" t="s">
        <v>780</v>
      </c>
      <c r="AT35" t="s">
        <v>781</v>
      </c>
      <c r="AU35" t="s">
        <v>782</v>
      </c>
      <c r="AV35" t="s">
        <v>816</v>
      </c>
    </row>
    <row r="36" spans="1:48" x14ac:dyDescent="0.25">
      <c r="A36" s="339" t="str" cm="1">
        <f t="array" ref="A36">IFERROR(INDEX(_xlfn.SORTBY(_xlfn._xlws.FILTER(tblCarryingExpenses[Date],(tblCarryingExpenses[Category]="Duke Electric")*(tblCarryingExpenses[Include]="Yes")),_xlfn._xlws.FILTER(tblCarryingExpenses[Date],(tblCarryingExpenses[Category]="Duke Electric")*(tblCarryingExpenses[Include]="Yes")),1),ROWS($A$3:A36)),"")</f>
        <v/>
      </c>
      <c r="B36" s="340" t="str" cm="1">
        <f t="array" ref="B36">IFERROR(INDEX(_xlfn.SORTBY(_xlfn._xlws.FILTER(tblCarryingExpenses[Amount],(tblCarryingExpenses[Category]="Duke Electric")*(tblCarryingExpenses[Include]="Yes")),_xlfn._xlws.FILTER(tblCarryingExpenses[Date],(tblCarryingExpenses[Category]="Duke Electric")*(tblCarryingExpenses[Include]="Yes")),1),ROWS($A$3:A36)),"")</f>
        <v/>
      </c>
      <c r="C36" s="338"/>
      <c r="D36" s="339" t="str" cm="1">
        <f t="array" ref="D36">IFERROR(INDEX(_xlfn.SORTBY(_xlfn._xlws.FILTER(tblCarryingExpenses[Date],(tblCarryingExpenses[Category]="Mortgage Payment")*(tblCarryingExpenses[Include]="Yes")),_xlfn._xlws.FILTER(tblCarryingExpenses[Date],(tblCarryingExpenses[Category]="Mortgage Payment")*(tblCarryingExpenses[Include]="Yes")),1),ROWS($D$3:D36)),"")</f>
        <v/>
      </c>
      <c r="E36" s="340" t="str" cm="1">
        <f t="array" ref="E36">IFERROR(INDEX(_xlfn.SORTBY(_xlfn._xlws.FILTER(tblCarryingExpenses[Amount],(tblCarryingExpenses[Category]="Mortgage Payment")*(tblCarryingExpenses[Include]="Yes")),_xlfn._xlws.FILTER(tblCarryingExpenses[Date],(tblCarryingExpenses[Category]="Mortgage Payment")*(tblCarryingExpenses[Include]="Yes")),1),ROWS($D$3:D36)),"")</f>
        <v/>
      </c>
      <c r="F36" s="338"/>
      <c r="G36" s="339" t="str" cm="1">
        <f t="array" ref="G36">IFERROR(INDEX(_xlfn.SORTBY(_xlfn._xlws.FILTER(tblCarryingExpenses[Date],(tblCarryingExpenses[Category]="Private Money")*(tblCarryingExpenses[Include]="Yes")),_xlfn._xlws.FILTER(tblCarryingExpenses[Date],(tblCarryingExpenses[Category]="Private Money")*(tblCarryingExpenses[Include]="Yes")),1),ROWS($G$3:G36)),"")</f>
        <v/>
      </c>
      <c r="H36" s="340" t="str" cm="1">
        <f t="array" ref="H36">IFERROR(INDEX(_xlfn.SORTBY(_xlfn._xlws.FILTER(tblCarryingExpenses[Amount],(tblCarryingExpenses[Category]="Private Money")*(tblCarryingExpenses[Include]="Yes")),_xlfn._xlws.FILTER(tblCarryingExpenses[Date],(tblCarryingExpenses[Category]="Private Money")*(tblCarryingExpenses[Include]="Yes")),1),ROWS($G$3:G36)),"")</f>
        <v/>
      </c>
      <c r="I36" s="338"/>
      <c r="J36" s="339" t="str" cm="1">
        <f t="array" ref="J36">IFERROR(INDEX(_xlfn.SORTBY(_xlfn._xlws.FILTER(tblCarryingExpenses[Date],(tblCarryingExpenses[Category]="Casa Lending")*(tblCarryingExpenses[Include]="Yes")),_xlfn._xlws.FILTER(tblCarryingExpenses[Date],(tblCarryingExpenses[Category]="Casa Lending")*(tblCarryingExpenses[Include]="Yes")),1),ROWS($J$3:J36)),"")</f>
        <v/>
      </c>
      <c r="K36" s="340" t="str" cm="1">
        <f t="array" ref="K36">IFERROR(INDEX(_xlfn.SORTBY(_xlfn._xlws.FILTER(tblCarryingExpenses[Amount],(tblCarryingExpenses[Category]="Casa Lending")*(tblCarryingExpenses[Include]="Yes")),_xlfn._xlws.FILTER(tblCarryingExpenses[Date],(tblCarryingExpenses[Category]="Casa Lending")*(tblCarryingExpenses[Include]="Yes")),1),ROWS($J$3:J36)),"")</f>
        <v/>
      </c>
      <c r="L36" s="338"/>
      <c r="M36" s="339" t="str" cm="1">
        <f t="array" ref="M36">IFERROR(INDEX(_xlfn.SORTBY(_xlfn._xlws.FILTER(tblCarryingExpenses[Date],(tblCarryingExpenses[Category]="Insurance Payments")*(tblCarryingExpenses[Include]="Yes")),_xlfn._xlws.FILTER(tblCarryingExpenses[Date],(tblCarryingExpenses[Category]="Insurance Payments")*(tblCarryingExpenses[Include]="Yes")),1),ROWS($M$3:M36)),"")</f>
        <v/>
      </c>
      <c r="N36" s="340" t="str" cm="1">
        <f t="array" ref="N36">IFERROR(INDEX(_xlfn.SORTBY(_xlfn._xlws.FILTER(tblCarryingExpenses[Amount],(tblCarryingExpenses[Category]="Insurance Payments")*(tblCarryingExpenses[Include]="Yes")),_xlfn._xlws.FILTER(tblCarryingExpenses[Date],(tblCarryingExpenses[Category]="Insurance Payments")*(tblCarryingExpenses[Include]="Yes")),1),ROWS($M$3:M36)),"")</f>
        <v/>
      </c>
      <c r="O36" s="338"/>
      <c r="P36" s="339" t="str" cm="1">
        <f t="array" ref="P36">IFERROR(INDEX(_xlfn.SORTBY(_xlfn._xlws.FILTER(tblCarryingExpenses[Date],(tblCarryingExpenses[Category]="Water")*(tblCarryingExpenses[Include]="Yes")),_xlfn._xlws.FILTER(tblCarryingExpenses[Date],(tblCarryingExpenses[Category]="Water")*(tblCarryingExpenses[Include]="Yes")),1),ROWS($P$3:P36)),"")</f>
        <v/>
      </c>
      <c r="Q36" s="340" t="str" cm="1">
        <f t="array" ref="Q36">IFERROR(INDEX(_xlfn.SORTBY(_xlfn._xlws.FILTER(tblCarryingExpenses[Amount],(tblCarryingExpenses[Category]="Water")*(tblCarryingExpenses[Include]="Yes")),_xlfn._xlws.FILTER(tblCarryingExpenses[Date],(tblCarryingExpenses[Category]="Water")*(tblCarryingExpenses[Include]="Yes")),1),ROWS($P$3:P36)),"")</f>
        <v/>
      </c>
      <c r="R36" s="338"/>
      <c r="S36" s="339" t="str" cm="1">
        <f t="array" ref="S36">IFERROR(INDEX(_xlfn.SORTBY(_xlfn._xlws.FILTER(tblCarryingExpenses[Date],(tblCarryingExpenses[Category]="Natural Gas")*(tblCarryingExpenses[Include]="Yes")),_xlfn._xlws.FILTER(tblCarryingExpenses[Date],(tblCarryingExpenses[Category]="Natural Gas")*(tblCarryingExpenses[Include]="Yes")),1),ROWS($S$3:S36)),"")</f>
        <v/>
      </c>
      <c r="T36" s="340" t="str" cm="1">
        <f t="array" ref="T36">IFERROR(INDEX(_xlfn.SORTBY(_xlfn._xlws.FILTER(tblCarryingExpenses[Amount],(tblCarryingExpenses[Category]="Natural Gas")*(tblCarryingExpenses[Include]="Yes")),_xlfn._xlws.FILTER(tblCarryingExpenses[Date],(tblCarryingExpenses[Category]="Natural Gas")*(tblCarryingExpenses[Include]="Yes")),1),ROWS($S$3:S36)),"")</f>
        <v/>
      </c>
      <c r="U36" s="338"/>
      <c r="V36" s="339" t="str" cm="1">
        <f t="array" ref="V36">IFERROR(INDEX(_xlfn.SORTBY(_xlfn._xlws.FILTER(tblCarryingExpenses[Date],(tblCarryingExpenses[Category]="HOA")*(tblCarryingExpenses[Include]="Yes")),_xlfn._xlws.FILTER(tblCarryingExpenses[Date],(tblCarryingExpenses[Category]="HOA")*(tblCarryingExpenses[Include]="Yes")),1),ROWS($V$3:V36)),"")</f>
        <v/>
      </c>
      <c r="W36" s="340" t="str" cm="1">
        <f t="array" ref="W36">IFERROR(INDEX(_xlfn.SORTBY(_xlfn._xlws.FILTER(tblCarryingExpenses[Amount],(tblCarryingExpenses[Category]="HOA")*(tblCarryingExpenses[Include]="Yes")),_xlfn._xlws.FILTER(tblCarryingExpenses[Date],(tblCarryingExpenses[Category]="HOA")*(tblCarryingExpenses[Include]="Yes")),1),ROWS($V$3:V36)),"")</f>
        <v/>
      </c>
      <c r="X36" s="338"/>
      <c r="Y36" s="339" t="str" cm="1">
        <f t="array" ref="Y36">IFERROR(INDEX(_xlfn.SORTBY(_xlfn._xlws.FILTER(tblCarryingExpenses[Date],(tblCarryingExpenses[Category]="Property Taxes")*(tblCarryingExpenses[Include]="Yes")),_xlfn._xlws.FILTER(tblCarryingExpenses[Date],(tblCarryingExpenses[Category]="Property Taxes")*(tblCarryingExpenses[Include]="Yes")),1),ROWS($Y$3:Y36)),"")</f>
        <v/>
      </c>
      <c r="Z36" s="340" t="str" cm="1">
        <f t="array" ref="Z36">IFERROR(IF(INDEX(_xlfn.SORTBY(_xlfn._xlws.FILTER(tblCarryingExpenses[Amount],(tblCarryingExpenses[Category]="Property Taxes")*(tblCarryingExpenses[Include]="Yes")),_xlfn._xlws.FILTER(tblCarryingExpenses[Date],(tblCarryingExpenses[Category]="Property Taxes")*(tblCarryingExpenses[Include]="Yes")),1),ROWS($Y$3:Y36))&lt;0,"",INDEX(_xlfn.SORTBY(_xlfn._xlws.FILTER(tblCarryingExpenses[Amount],(tblCarryingExpenses[Category]="Property Taxes")*(tblCarryingExpenses[Include]="Yes")),_xlfn._xlws.FILTER(tblCarryingExpenses[Date],(tblCarryingExpenses[Category]="Property Taxes")*(tblCarryingExpenses[Include]="Yes")),1),ROWS($Y$3:Y36))),"")</f>
        <v/>
      </c>
      <c r="AA36" s="340" t="str" cm="1">
        <f t="array" ref="AA36">IFERROR(IF(ISNUMBER(SEARCH("escrow",INDEX(_xlfn.SORTBY(_xlfn._xlws.FILTER(tblCarryingExpenses[Notes],(tblCarryingExpenses[Category]="Property Taxes")*(tblCarryingExpenses[Include]="Yes")),_xlfn._xlws.FILTER(tblCarryingExpenses[Date],(tblCarryingExpenses[Category]="Property Taxes")*(tblCarryingExpenses[Include]="Yes")),1),ROWS($Y$3:Y36)))),INDEX(_xlfn.SORTBY(_xlfn._xlws.FILTER(tblCarryingExpenses[Amount],(tblCarryingExpenses[Category]="Property Taxes")*(tblCarryingExpenses[Include]="Yes")),_xlfn._xlws.FILTER(tblCarryingExpenses[Date],(tblCarryingExpenses[Category]="Property Taxes")*(tblCarryingExpenses[Include]="Yes")),1),ROWS($Y$3:Y36)),""),"")</f>
        <v/>
      </c>
      <c r="AB36" s="339" t="str" cm="1">
        <f t="array" ref="AB36">IFERROR(INDEX(_xlfn.SORTBY(_xlfn._xlws.FILTER(tblCarryingExpenses[Date],(tblCarryingExpenses[Category]="Excavator Rental")*(tblCarryingExpenses[Include]="Yes")),_xlfn._xlws.FILTER(tblCarryingExpenses[Date],(tblCarryingExpenses[Category]="Excavator Rental")*(tblCarryingExpenses[Include]="Yes")),1),ROWS($AB$3:AB36)),"")</f>
        <v/>
      </c>
      <c r="AC36" s="340" t="str" cm="1">
        <f t="array" ref="AC36">IFERROR(INDEX(_xlfn.SORTBY(_xlfn._xlws.FILTER(tblCarryingExpenses[Amount],(tblCarryingExpenses[Category]="Excavator Rental")*(tblCarryingExpenses[Include]="Yes")),_xlfn._xlws.FILTER(tblCarryingExpenses[Date],(tblCarryingExpenses[Category]="Excavator Rental")*(tblCarryingExpenses[Include]="Yes")),1),ROWS($AB$3:AB36)),"")</f>
        <v/>
      </c>
      <c r="AD36" s="338"/>
      <c r="AE36" s="339" t="str" cm="1">
        <f t="array" ref="AE36">IFERROR(INDEX(_xlfn.SORTBY(_xlfn._xlws.FILTER(tblCarryingExpenses[Date],(tblCarryingExpenses[Category]="Lawn")*(tblCarryingExpenses[Include]="Yes")),_xlfn._xlws.FILTER(tblCarryingExpenses[Date],(tblCarryingExpenses[Category]="Lawn")*(tblCarryingExpenses[Include]="Yes")),1),ROWS($AE$3:AE36)),"")</f>
        <v/>
      </c>
      <c r="AF36" s="340" t="str" cm="1">
        <f t="array" ref="AF36">IFERROR(INDEX(_xlfn.SORTBY(_xlfn._xlws.FILTER(tblCarryingExpenses[Amount],(tblCarryingExpenses[Category]="Lawn")*(tblCarryingExpenses[Include]="Yes")),_xlfn._xlws.FILTER(tblCarryingExpenses[Date],(tblCarryingExpenses[Category]="Lawn")*(tblCarryingExpenses[Include]="Yes")),1),ROWS($AE$3:AE36)),"")</f>
        <v/>
      </c>
      <c r="AL36" t="s">
        <v>7</v>
      </c>
      <c r="AM36" t="s">
        <v>791</v>
      </c>
      <c r="AN36" s="12">
        <v>46023</v>
      </c>
      <c r="AQ36" s="5">
        <v>1209.23</v>
      </c>
      <c r="AR36" t="s">
        <v>780</v>
      </c>
      <c r="AT36" t="s">
        <v>781</v>
      </c>
      <c r="AU36" t="s">
        <v>782</v>
      </c>
      <c r="AV36" t="s">
        <v>817</v>
      </c>
    </row>
    <row r="37" spans="1:48" x14ac:dyDescent="0.25">
      <c r="A37" s="339" t="str" cm="1">
        <f t="array" ref="A37">IFERROR(INDEX(_xlfn.SORTBY(_xlfn._xlws.FILTER(tblCarryingExpenses[Date],(tblCarryingExpenses[Category]="Duke Electric")*(tblCarryingExpenses[Include]="Yes")),_xlfn._xlws.FILTER(tblCarryingExpenses[Date],(tblCarryingExpenses[Category]="Duke Electric")*(tblCarryingExpenses[Include]="Yes")),1),ROWS($A$3:A37)),"")</f>
        <v/>
      </c>
      <c r="B37" s="340" t="str" cm="1">
        <f t="array" ref="B37">IFERROR(INDEX(_xlfn.SORTBY(_xlfn._xlws.FILTER(tblCarryingExpenses[Amount],(tblCarryingExpenses[Category]="Duke Electric")*(tblCarryingExpenses[Include]="Yes")),_xlfn._xlws.FILTER(tblCarryingExpenses[Date],(tblCarryingExpenses[Category]="Duke Electric")*(tblCarryingExpenses[Include]="Yes")),1),ROWS($A$3:A37)),"")</f>
        <v/>
      </c>
      <c r="C37" s="338"/>
      <c r="D37" s="339" t="str" cm="1">
        <f t="array" ref="D37">IFERROR(INDEX(_xlfn.SORTBY(_xlfn._xlws.FILTER(tblCarryingExpenses[Date],(tblCarryingExpenses[Category]="Mortgage Payment")*(tblCarryingExpenses[Include]="Yes")),_xlfn._xlws.FILTER(tblCarryingExpenses[Date],(tblCarryingExpenses[Category]="Mortgage Payment")*(tblCarryingExpenses[Include]="Yes")),1),ROWS($D$3:D37)),"")</f>
        <v/>
      </c>
      <c r="E37" s="340" t="str" cm="1">
        <f t="array" ref="E37">IFERROR(INDEX(_xlfn.SORTBY(_xlfn._xlws.FILTER(tblCarryingExpenses[Amount],(tblCarryingExpenses[Category]="Mortgage Payment")*(tblCarryingExpenses[Include]="Yes")),_xlfn._xlws.FILTER(tblCarryingExpenses[Date],(tblCarryingExpenses[Category]="Mortgage Payment")*(tblCarryingExpenses[Include]="Yes")),1),ROWS($D$3:D37)),"")</f>
        <v/>
      </c>
      <c r="F37" s="338"/>
      <c r="G37" s="339" t="str" cm="1">
        <f t="array" ref="G37">IFERROR(INDEX(_xlfn.SORTBY(_xlfn._xlws.FILTER(tblCarryingExpenses[Date],(tblCarryingExpenses[Category]="Private Money")*(tblCarryingExpenses[Include]="Yes")),_xlfn._xlws.FILTER(tblCarryingExpenses[Date],(tblCarryingExpenses[Category]="Private Money")*(tblCarryingExpenses[Include]="Yes")),1),ROWS($G$3:G37)),"")</f>
        <v/>
      </c>
      <c r="H37" s="340" t="str" cm="1">
        <f t="array" ref="H37">IFERROR(INDEX(_xlfn.SORTBY(_xlfn._xlws.FILTER(tblCarryingExpenses[Amount],(tblCarryingExpenses[Category]="Private Money")*(tblCarryingExpenses[Include]="Yes")),_xlfn._xlws.FILTER(tblCarryingExpenses[Date],(tblCarryingExpenses[Category]="Private Money")*(tblCarryingExpenses[Include]="Yes")),1),ROWS($G$3:G37)),"")</f>
        <v/>
      </c>
      <c r="I37" s="338"/>
      <c r="J37" s="339" t="str" cm="1">
        <f t="array" ref="J37">IFERROR(INDEX(_xlfn.SORTBY(_xlfn._xlws.FILTER(tblCarryingExpenses[Date],(tblCarryingExpenses[Category]="Casa Lending")*(tblCarryingExpenses[Include]="Yes")),_xlfn._xlws.FILTER(tblCarryingExpenses[Date],(tblCarryingExpenses[Category]="Casa Lending")*(tblCarryingExpenses[Include]="Yes")),1),ROWS($J$3:J37)),"")</f>
        <v/>
      </c>
      <c r="K37" s="340" t="str" cm="1">
        <f t="array" ref="K37">IFERROR(INDEX(_xlfn.SORTBY(_xlfn._xlws.FILTER(tblCarryingExpenses[Amount],(tblCarryingExpenses[Category]="Casa Lending")*(tblCarryingExpenses[Include]="Yes")),_xlfn._xlws.FILTER(tblCarryingExpenses[Date],(tblCarryingExpenses[Category]="Casa Lending")*(tblCarryingExpenses[Include]="Yes")),1),ROWS($J$3:J37)),"")</f>
        <v/>
      </c>
      <c r="L37" s="338"/>
      <c r="M37" s="339" t="str" cm="1">
        <f t="array" ref="M37">IFERROR(INDEX(_xlfn.SORTBY(_xlfn._xlws.FILTER(tblCarryingExpenses[Date],(tblCarryingExpenses[Category]="Insurance Payments")*(tblCarryingExpenses[Include]="Yes")),_xlfn._xlws.FILTER(tblCarryingExpenses[Date],(tblCarryingExpenses[Category]="Insurance Payments")*(tblCarryingExpenses[Include]="Yes")),1),ROWS($M$3:M37)),"")</f>
        <v/>
      </c>
      <c r="N37" s="340" t="str" cm="1">
        <f t="array" ref="N37">IFERROR(INDEX(_xlfn.SORTBY(_xlfn._xlws.FILTER(tblCarryingExpenses[Amount],(tblCarryingExpenses[Category]="Insurance Payments")*(tblCarryingExpenses[Include]="Yes")),_xlfn._xlws.FILTER(tblCarryingExpenses[Date],(tblCarryingExpenses[Category]="Insurance Payments")*(tblCarryingExpenses[Include]="Yes")),1),ROWS($M$3:M37)),"")</f>
        <v/>
      </c>
      <c r="O37" s="338"/>
      <c r="P37" s="339" t="str" cm="1">
        <f t="array" ref="P37">IFERROR(INDEX(_xlfn.SORTBY(_xlfn._xlws.FILTER(tblCarryingExpenses[Date],(tblCarryingExpenses[Category]="Water")*(tblCarryingExpenses[Include]="Yes")),_xlfn._xlws.FILTER(tblCarryingExpenses[Date],(tblCarryingExpenses[Category]="Water")*(tblCarryingExpenses[Include]="Yes")),1),ROWS($P$3:P37)),"")</f>
        <v/>
      </c>
      <c r="Q37" s="340" t="str" cm="1">
        <f t="array" ref="Q37">IFERROR(INDEX(_xlfn.SORTBY(_xlfn._xlws.FILTER(tblCarryingExpenses[Amount],(tblCarryingExpenses[Category]="Water")*(tblCarryingExpenses[Include]="Yes")),_xlfn._xlws.FILTER(tblCarryingExpenses[Date],(tblCarryingExpenses[Category]="Water")*(tblCarryingExpenses[Include]="Yes")),1),ROWS($P$3:P37)),"")</f>
        <v/>
      </c>
      <c r="R37" s="338"/>
      <c r="S37" s="339" t="str" cm="1">
        <f t="array" ref="S37">IFERROR(INDEX(_xlfn.SORTBY(_xlfn._xlws.FILTER(tblCarryingExpenses[Date],(tblCarryingExpenses[Category]="Natural Gas")*(tblCarryingExpenses[Include]="Yes")),_xlfn._xlws.FILTER(tblCarryingExpenses[Date],(tblCarryingExpenses[Category]="Natural Gas")*(tblCarryingExpenses[Include]="Yes")),1),ROWS($S$3:S37)),"")</f>
        <v/>
      </c>
      <c r="T37" s="340" t="str" cm="1">
        <f t="array" ref="T37">IFERROR(INDEX(_xlfn.SORTBY(_xlfn._xlws.FILTER(tblCarryingExpenses[Amount],(tblCarryingExpenses[Category]="Natural Gas")*(tblCarryingExpenses[Include]="Yes")),_xlfn._xlws.FILTER(tblCarryingExpenses[Date],(tblCarryingExpenses[Category]="Natural Gas")*(tblCarryingExpenses[Include]="Yes")),1),ROWS($S$3:S37)),"")</f>
        <v/>
      </c>
      <c r="U37" s="338"/>
      <c r="V37" s="339" t="str" cm="1">
        <f t="array" ref="V37">IFERROR(INDEX(_xlfn.SORTBY(_xlfn._xlws.FILTER(tblCarryingExpenses[Date],(tblCarryingExpenses[Category]="HOA")*(tblCarryingExpenses[Include]="Yes")),_xlfn._xlws.FILTER(tblCarryingExpenses[Date],(tblCarryingExpenses[Category]="HOA")*(tblCarryingExpenses[Include]="Yes")),1),ROWS($V$3:V37)),"")</f>
        <v/>
      </c>
      <c r="W37" s="340" t="str" cm="1">
        <f t="array" ref="W37">IFERROR(INDEX(_xlfn.SORTBY(_xlfn._xlws.FILTER(tblCarryingExpenses[Amount],(tblCarryingExpenses[Category]="HOA")*(tblCarryingExpenses[Include]="Yes")),_xlfn._xlws.FILTER(tblCarryingExpenses[Date],(tblCarryingExpenses[Category]="HOA")*(tblCarryingExpenses[Include]="Yes")),1),ROWS($V$3:V37)),"")</f>
        <v/>
      </c>
      <c r="X37" s="338"/>
      <c r="Y37" s="339" t="str" cm="1">
        <f t="array" ref="Y37">IFERROR(INDEX(_xlfn.SORTBY(_xlfn._xlws.FILTER(tblCarryingExpenses[Date],(tblCarryingExpenses[Category]="Property Taxes")*(tblCarryingExpenses[Include]="Yes")),_xlfn._xlws.FILTER(tblCarryingExpenses[Date],(tblCarryingExpenses[Category]="Property Taxes")*(tblCarryingExpenses[Include]="Yes")),1),ROWS($Y$3:Y37)),"")</f>
        <v/>
      </c>
      <c r="Z37" s="340" t="str" cm="1">
        <f t="array" ref="Z37">IFERROR(IF(INDEX(_xlfn.SORTBY(_xlfn._xlws.FILTER(tblCarryingExpenses[Amount],(tblCarryingExpenses[Category]="Property Taxes")*(tblCarryingExpenses[Include]="Yes")),_xlfn._xlws.FILTER(tblCarryingExpenses[Date],(tblCarryingExpenses[Category]="Property Taxes")*(tblCarryingExpenses[Include]="Yes")),1),ROWS($Y$3:Y37))&lt;0,"",INDEX(_xlfn.SORTBY(_xlfn._xlws.FILTER(tblCarryingExpenses[Amount],(tblCarryingExpenses[Category]="Property Taxes")*(tblCarryingExpenses[Include]="Yes")),_xlfn._xlws.FILTER(tblCarryingExpenses[Date],(tblCarryingExpenses[Category]="Property Taxes")*(tblCarryingExpenses[Include]="Yes")),1),ROWS($Y$3:Y37))),"")</f>
        <v/>
      </c>
      <c r="AA37" s="340" t="str" cm="1">
        <f t="array" ref="AA37">IFERROR(IF(ISNUMBER(SEARCH("escrow",INDEX(_xlfn.SORTBY(_xlfn._xlws.FILTER(tblCarryingExpenses[Notes],(tblCarryingExpenses[Category]="Property Taxes")*(tblCarryingExpenses[Include]="Yes")),_xlfn._xlws.FILTER(tblCarryingExpenses[Date],(tblCarryingExpenses[Category]="Property Taxes")*(tblCarryingExpenses[Include]="Yes")),1),ROWS($Y$3:Y37)))),INDEX(_xlfn.SORTBY(_xlfn._xlws.FILTER(tblCarryingExpenses[Amount],(tblCarryingExpenses[Category]="Property Taxes")*(tblCarryingExpenses[Include]="Yes")),_xlfn._xlws.FILTER(tblCarryingExpenses[Date],(tblCarryingExpenses[Category]="Property Taxes")*(tblCarryingExpenses[Include]="Yes")),1),ROWS($Y$3:Y37)),""),"")</f>
        <v/>
      </c>
      <c r="AB37" s="339" t="str" cm="1">
        <f t="array" ref="AB37">IFERROR(INDEX(_xlfn.SORTBY(_xlfn._xlws.FILTER(tblCarryingExpenses[Date],(tblCarryingExpenses[Category]="Excavator Rental")*(tblCarryingExpenses[Include]="Yes")),_xlfn._xlws.FILTER(tblCarryingExpenses[Date],(tblCarryingExpenses[Category]="Excavator Rental")*(tblCarryingExpenses[Include]="Yes")),1),ROWS($AB$3:AB37)),"")</f>
        <v/>
      </c>
      <c r="AC37" s="340" t="str" cm="1">
        <f t="array" ref="AC37">IFERROR(INDEX(_xlfn.SORTBY(_xlfn._xlws.FILTER(tblCarryingExpenses[Amount],(tblCarryingExpenses[Category]="Excavator Rental")*(tblCarryingExpenses[Include]="Yes")),_xlfn._xlws.FILTER(tblCarryingExpenses[Date],(tblCarryingExpenses[Category]="Excavator Rental")*(tblCarryingExpenses[Include]="Yes")),1),ROWS($AB$3:AB37)),"")</f>
        <v/>
      </c>
      <c r="AD37" s="338"/>
      <c r="AE37" s="339" t="str" cm="1">
        <f t="array" ref="AE37">IFERROR(INDEX(_xlfn.SORTBY(_xlfn._xlws.FILTER(tblCarryingExpenses[Date],(tblCarryingExpenses[Category]="Lawn")*(tblCarryingExpenses[Include]="Yes")),_xlfn._xlws.FILTER(tblCarryingExpenses[Date],(tblCarryingExpenses[Category]="Lawn")*(tblCarryingExpenses[Include]="Yes")),1),ROWS($AE$3:AE37)),"")</f>
        <v/>
      </c>
      <c r="AF37" s="340" t="str" cm="1">
        <f t="array" ref="AF37">IFERROR(INDEX(_xlfn.SORTBY(_xlfn._xlws.FILTER(tblCarryingExpenses[Amount],(tblCarryingExpenses[Category]="Lawn")*(tblCarryingExpenses[Include]="Yes")),_xlfn._xlws.FILTER(tblCarryingExpenses[Date],(tblCarryingExpenses[Category]="Lawn")*(tblCarryingExpenses[Include]="Yes")),1),ROWS($AE$3:AE37)),"")</f>
        <v/>
      </c>
      <c r="AL37" t="s">
        <v>7</v>
      </c>
      <c r="AM37" t="s">
        <v>791</v>
      </c>
      <c r="AN37" s="12">
        <v>46053</v>
      </c>
      <c r="AQ37" s="5">
        <v>980.87</v>
      </c>
      <c r="AR37" t="s">
        <v>780</v>
      </c>
      <c r="AT37" t="s">
        <v>781</v>
      </c>
      <c r="AU37" t="s">
        <v>782</v>
      </c>
      <c r="AV37" t="s">
        <v>818</v>
      </c>
    </row>
    <row r="38" spans="1:48" x14ac:dyDescent="0.25">
      <c r="A38" s="339" t="str" cm="1">
        <f t="array" ref="A38">IFERROR(INDEX(_xlfn.SORTBY(_xlfn._xlws.FILTER(tblCarryingExpenses[Date],(tblCarryingExpenses[Category]="Duke Electric")*(tblCarryingExpenses[Include]="Yes")),_xlfn._xlws.FILTER(tblCarryingExpenses[Date],(tblCarryingExpenses[Category]="Duke Electric")*(tblCarryingExpenses[Include]="Yes")),1),ROWS($A$3:A38)),"")</f>
        <v/>
      </c>
      <c r="B38" s="340" t="str" cm="1">
        <f t="array" ref="B38">IFERROR(INDEX(_xlfn.SORTBY(_xlfn._xlws.FILTER(tblCarryingExpenses[Amount],(tblCarryingExpenses[Category]="Duke Electric")*(tblCarryingExpenses[Include]="Yes")),_xlfn._xlws.FILTER(tblCarryingExpenses[Date],(tblCarryingExpenses[Category]="Duke Electric")*(tblCarryingExpenses[Include]="Yes")),1),ROWS($A$3:A38)),"")</f>
        <v/>
      </c>
      <c r="C38" s="338"/>
      <c r="D38" s="339" t="str" cm="1">
        <f t="array" ref="D38">IFERROR(INDEX(_xlfn.SORTBY(_xlfn._xlws.FILTER(tblCarryingExpenses[Date],(tblCarryingExpenses[Category]="Mortgage Payment")*(tblCarryingExpenses[Include]="Yes")),_xlfn._xlws.FILTER(tblCarryingExpenses[Date],(tblCarryingExpenses[Category]="Mortgage Payment")*(tblCarryingExpenses[Include]="Yes")),1),ROWS($D$3:D38)),"")</f>
        <v/>
      </c>
      <c r="E38" s="340" t="str" cm="1">
        <f t="array" ref="E38">IFERROR(INDEX(_xlfn.SORTBY(_xlfn._xlws.FILTER(tblCarryingExpenses[Amount],(tblCarryingExpenses[Category]="Mortgage Payment")*(tblCarryingExpenses[Include]="Yes")),_xlfn._xlws.FILTER(tblCarryingExpenses[Date],(tblCarryingExpenses[Category]="Mortgage Payment")*(tblCarryingExpenses[Include]="Yes")),1),ROWS($D$3:D38)),"")</f>
        <v/>
      </c>
      <c r="F38" s="338"/>
      <c r="G38" s="339" t="str" cm="1">
        <f t="array" ref="G38">IFERROR(INDEX(_xlfn.SORTBY(_xlfn._xlws.FILTER(tblCarryingExpenses[Date],(tblCarryingExpenses[Category]="Private Money")*(tblCarryingExpenses[Include]="Yes")),_xlfn._xlws.FILTER(tblCarryingExpenses[Date],(tblCarryingExpenses[Category]="Private Money")*(tblCarryingExpenses[Include]="Yes")),1),ROWS($G$3:G38)),"")</f>
        <v/>
      </c>
      <c r="H38" s="340" t="str" cm="1">
        <f t="array" ref="H38">IFERROR(INDEX(_xlfn.SORTBY(_xlfn._xlws.FILTER(tblCarryingExpenses[Amount],(tblCarryingExpenses[Category]="Private Money")*(tblCarryingExpenses[Include]="Yes")),_xlfn._xlws.FILTER(tblCarryingExpenses[Date],(tblCarryingExpenses[Category]="Private Money")*(tblCarryingExpenses[Include]="Yes")),1),ROWS($G$3:G38)),"")</f>
        <v/>
      </c>
      <c r="I38" s="338"/>
      <c r="J38" s="339" t="str" cm="1">
        <f t="array" ref="J38">IFERROR(INDEX(_xlfn.SORTBY(_xlfn._xlws.FILTER(tblCarryingExpenses[Date],(tblCarryingExpenses[Category]="Casa Lending")*(tblCarryingExpenses[Include]="Yes")),_xlfn._xlws.FILTER(tblCarryingExpenses[Date],(tblCarryingExpenses[Category]="Casa Lending")*(tblCarryingExpenses[Include]="Yes")),1),ROWS($J$3:J38)),"")</f>
        <v/>
      </c>
      <c r="K38" s="340" t="str" cm="1">
        <f t="array" ref="K38">IFERROR(INDEX(_xlfn.SORTBY(_xlfn._xlws.FILTER(tblCarryingExpenses[Amount],(tblCarryingExpenses[Category]="Casa Lending")*(tblCarryingExpenses[Include]="Yes")),_xlfn._xlws.FILTER(tblCarryingExpenses[Date],(tblCarryingExpenses[Category]="Casa Lending")*(tblCarryingExpenses[Include]="Yes")),1),ROWS($J$3:J38)),"")</f>
        <v/>
      </c>
      <c r="L38" s="338"/>
      <c r="M38" s="339" t="str" cm="1">
        <f t="array" ref="M38">IFERROR(INDEX(_xlfn.SORTBY(_xlfn._xlws.FILTER(tblCarryingExpenses[Date],(tblCarryingExpenses[Category]="Insurance Payments")*(tblCarryingExpenses[Include]="Yes")),_xlfn._xlws.FILTER(tblCarryingExpenses[Date],(tblCarryingExpenses[Category]="Insurance Payments")*(tblCarryingExpenses[Include]="Yes")),1),ROWS($M$3:M38)),"")</f>
        <v/>
      </c>
      <c r="N38" s="340" t="str" cm="1">
        <f t="array" ref="N38">IFERROR(INDEX(_xlfn.SORTBY(_xlfn._xlws.FILTER(tblCarryingExpenses[Amount],(tblCarryingExpenses[Category]="Insurance Payments")*(tblCarryingExpenses[Include]="Yes")),_xlfn._xlws.FILTER(tblCarryingExpenses[Date],(tblCarryingExpenses[Category]="Insurance Payments")*(tblCarryingExpenses[Include]="Yes")),1),ROWS($M$3:M38)),"")</f>
        <v/>
      </c>
      <c r="O38" s="338"/>
      <c r="P38" s="339" t="str" cm="1">
        <f t="array" ref="P38">IFERROR(INDEX(_xlfn.SORTBY(_xlfn._xlws.FILTER(tblCarryingExpenses[Date],(tblCarryingExpenses[Category]="Water")*(tblCarryingExpenses[Include]="Yes")),_xlfn._xlws.FILTER(tblCarryingExpenses[Date],(tblCarryingExpenses[Category]="Water")*(tblCarryingExpenses[Include]="Yes")),1),ROWS($P$3:P38)),"")</f>
        <v/>
      </c>
      <c r="Q38" s="340" t="str" cm="1">
        <f t="array" ref="Q38">IFERROR(INDEX(_xlfn.SORTBY(_xlfn._xlws.FILTER(tblCarryingExpenses[Amount],(tblCarryingExpenses[Category]="Water")*(tblCarryingExpenses[Include]="Yes")),_xlfn._xlws.FILTER(tblCarryingExpenses[Date],(tblCarryingExpenses[Category]="Water")*(tblCarryingExpenses[Include]="Yes")),1),ROWS($P$3:P38)),"")</f>
        <v/>
      </c>
      <c r="R38" s="338"/>
      <c r="S38" s="339" t="str" cm="1">
        <f t="array" ref="S38">IFERROR(INDEX(_xlfn.SORTBY(_xlfn._xlws.FILTER(tblCarryingExpenses[Date],(tblCarryingExpenses[Category]="Natural Gas")*(tblCarryingExpenses[Include]="Yes")),_xlfn._xlws.FILTER(tblCarryingExpenses[Date],(tblCarryingExpenses[Category]="Natural Gas")*(tblCarryingExpenses[Include]="Yes")),1),ROWS($S$3:S38)),"")</f>
        <v/>
      </c>
      <c r="T38" s="340" t="str" cm="1">
        <f t="array" ref="T38">IFERROR(INDEX(_xlfn.SORTBY(_xlfn._xlws.FILTER(tblCarryingExpenses[Amount],(tblCarryingExpenses[Category]="Natural Gas")*(tblCarryingExpenses[Include]="Yes")),_xlfn._xlws.FILTER(tblCarryingExpenses[Date],(tblCarryingExpenses[Category]="Natural Gas")*(tblCarryingExpenses[Include]="Yes")),1),ROWS($S$3:S38)),"")</f>
        <v/>
      </c>
      <c r="U38" s="338"/>
      <c r="V38" s="339" t="str" cm="1">
        <f t="array" ref="V38">IFERROR(INDEX(_xlfn.SORTBY(_xlfn._xlws.FILTER(tblCarryingExpenses[Date],(tblCarryingExpenses[Category]="HOA")*(tblCarryingExpenses[Include]="Yes")),_xlfn._xlws.FILTER(tblCarryingExpenses[Date],(tblCarryingExpenses[Category]="HOA")*(tblCarryingExpenses[Include]="Yes")),1),ROWS($V$3:V38)),"")</f>
        <v/>
      </c>
      <c r="W38" s="340" t="str" cm="1">
        <f t="array" ref="W38">IFERROR(INDEX(_xlfn.SORTBY(_xlfn._xlws.FILTER(tblCarryingExpenses[Amount],(tblCarryingExpenses[Category]="HOA")*(tblCarryingExpenses[Include]="Yes")),_xlfn._xlws.FILTER(tblCarryingExpenses[Date],(tblCarryingExpenses[Category]="HOA")*(tblCarryingExpenses[Include]="Yes")),1),ROWS($V$3:V38)),"")</f>
        <v/>
      </c>
      <c r="X38" s="338"/>
      <c r="Y38" s="339" t="str" cm="1">
        <f t="array" ref="Y38">IFERROR(INDEX(_xlfn.SORTBY(_xlfn._xlws.FILTER(tblCarryingExpenses[Date],(tblCarryingExpenses[Category]="Property Taxes")*(tblCarryingExpenses[Include]="Yes")),_xlfn._xlws.FILTER(tblCarryingExpenses[Date],(tblCarryingExpenses[Category]="Property Taxes")*(tblCarryingExpenses[Include]="Yes")),1),ROWS($Y$3:Y38)),"")</f>
        <v/>
      </c>
      <c r="Z38" s="340" t="str" cm="1">
        <f t="array" ref="Z38">IFERROR(IF(INDEX(_xlfn.SORTBY(_xlfn._xlws.FILTER(tblCarryingExpenses[Amount],(tblCarryingExpenses[Category]="Property Taxes")*(tblCarryingExpenses[Include]="Yes")),_xlfn._xlws.FILTER(tblCarryingExpenses[Date],(tblCarryingExpenses[Category]="Property Taxes")*(tblCarryingExpenses[Include]="Yes")),1),ROWS($Y$3:Y38))&lt;0,"",INDEX(_xlfn.SORTBY(_xlfn._xlws.FILTER(tblCarryingExpenses[Amount],(tblCarryingExpenses[Category]="Property Taxes")*(tblCarryingExpenses[Include]="Yes")),_xlfn._xlws.FILTER(tblCarryingExpenses[Date],(tblCarryingExpenses[Category]="Property Taxes")*(tblCarryingExpenses[Include]="Yes")),1),ROWS($Y$3:Y38))),"")</f>
        <v/>
      </c>
      <c r="AA38" s="340" t="str" cm="1">
        <f t="array" ref="AA38">IFERROR(IF(ISNUMBER(SEARCH("escrow",INDEX(_xlfn.SORTBY(_xlfn._xlws.FILTER(tblCarryingExpenses[Notes],(tblCarryingExpenses[Category]="Property Taxes")*(tblCarryingExpenses[Include]="Yes")),_xlfn._xlws.FILTER(tblCarryingExpenses[Date],(tblCarryingExpenses[Category]="Property Taxes")*(tblCarryingExpenses[Include]="Yes")),1),ROWS($Y$3:Y38)))),INDEX(_xlfn.SORTBY(_xlfn._xlws.FILTER(tblCarryingExpenses[Amount],(tblCarryingExpenses[Category]="Property Taxes")*(tblCarryingExpenses[Include]="Yes")),_xlfn._xlws.FILTER(tblCarryingExpenses[Date],(tblCarryingExpenses[Category]="Property Taxes")*(tblCarryingExpenses[Include]="Yes")),1),ROWS($Y$3:Y38)),""),"")</f>
        <v/>
      </c>
      <c r="AB38" s="339" t="str" cm="1">
        <f t="array" ref="AB38">IFERROR(INDEX(_xlfn.SORTBY(_xlfn._xlws.FILTER(tblCarryingExpenses[Date],(tblCarryingExpenses[Category]="Excavator Rental")*(tblCarryingExpenses[Include]="Yes")),_xlfn._xlws.FILTER(tblCarryingExpenses[Date],(tblCarryingExpenses[Category]="Excavator Rental")*(tblCarryingExpenses[Include]="Yes")),1),ROWS($AB$3:AB38)),"")</f>
        <v/>
      </c>
      <c r="AC38" s="340" t="str" cm="1">
        <f t="array" ref="AC38">IFERROR(INDEX(_xlfn.SORTBY(_xlfn._xlws.FILTER(tblCarryingExpenses[Amount],(tblCarryingExpenses[Category]="Excavator Rental")*(tblCarryingExpenses[Include]="Yes")),_xlfn._xlws.FILTER(tblCarryingExpenses[Date],(tblCarryingExpenses[Category]="Excavator Rental")*(tblCarryingExpenses[Include]="Yes")),1),ROWS($AB$3:AB38)),"")</f>
        <v/>
      </c>
      <c r="AD38" s="338"/>
      <c r="AE38" s="339" t="str" cm="1">
        <f t="array" ref="AE38">IFERROR(INDEX(_xlfn.SORTBY(_xlfn._xlws.FILTER(tblCarryingExpenses[Date],(tblCarryingExpenses[Category]="Lawn")*(tblCarryingExpenses[Include]="Yes")),_xlfn._xlws.FILTER(tblCarryingExpenses[Date],(tblCarryingExpenses[Category]="Lawn")*(tblCarryingExpenses[Include]="Yes")),1),ROWS($AE$3:AE38)),"")</f>
        <v/>
      </c>
      <c r="AF38" s="340" t="str" cm="1">
        <f t="array" ref="AF38">IFERROR(INDEX(_xlfn.SORTBY(_xlfn._xlws.FILTER(tblCarryingExpenses[Amount],(tblCarryingExpenses[Category]="Lawn")*(tblCarryingExpenses[Include]="Yes")),_xlfn._xlws.FILTER(tblCarryingExpenses[Date],(tblCarryingExpenses[Category]="Lawn")*(tblCarryingExpenses[Include]="Yes")),1),ROWS($AE$3:AE38)),"")</f>
        <v/>
      </c>
      <c r="AL38" t="s">
        <v>7</v>
      </c>
      <c r="AM38" t="s">
        <v>791</v>
      </c>
      <c r="AN38" s="12">
        <v>46083</v>
      </c>
      <c r="AQ38" s="5">
        <v>980.87</v>
      </c>
      <c r="AR38" t="s">
        <v>780</v>
      </c>
      <c r="AT38" t="s">
        <v>781</v>
      </c>
      <c r="AU38" t="s">
        <v>782</v>
      </c>
      <c r="AV38" t="s">
        <v>819</v>
      </c>
    </row>
    <row r="39" spans="1:48" x14ac:dyDescent="0.25">
      <c r="A39" s="339" t="str" cm="1">
        <f t="array" ref="A39">IFERROR(INDEX(_xlfn.SORTBY(_xlfn._xlws.FILTER(tblCarryingExpenses[Date],(tblCarryingExpenses[Category]="Duke Electric")*(tblCarryingExpenses[Include]="Yes")),_xlfn._xlws.FILTER(tblCarryingExpenses[Date],(tblCarryingExpenses[Category]="Duke Electric")*(tblCarryingExpenses[Include]="Yes")),1),ROWS($A$3:A39)),"")</f>
        <v/>
      </c>
      <c r="B39" s="340" t="str" cm="1">
        <f t="array" ref="B39">IFERROR(INDEX(_xlfn.SORTBY(_xlfn._xlws.FILTER(tblCarryingExpenses[Amount],(tblCarryingExpenses[Category]="Duke Electric")*(tblCarryingExpenses[Include]="Yes")),_xlfn._xlws.FILTER(tblCarryingExpenses[Date],(tblCarryingExpenses[Category]="Duke Electric")*(tblCarryingExpenses[Include]="Yes")),1),ROWS($A$3:A39)),"")</f>
        <v/>
      </c>
      <c r="C39" s="338"/>
      <c r="D39" s="339" t="str" cm="1">
        <f t="array" ref="D39">IFERROR(INDEX(_xlfn.SORTBY(_xlfn._xlws.FILTER(tblCarryingExpenses[Date],(tblCarryingExpenses[Category]="Mortgage Payment")*(tblCarryingExpenses[Include]="Yes")),_xlfn._xlws.FILTER(tblCarryingExpenses[Date],(tblCarryingExpenses[Category]="Mortgage Payment")*(tblCarryingExpenses[Include]="Yes")),1),ROWS($D$3:D39)),"")</f>
        <v/>
      </c>
      <c r="E39" s="340" t="str" cm="1">
        <f t="array" ref="E39">IFERROR(INDEX(_xlfn.SORTBY(_xlfn._xlws.FILTER(tblCarryingExpenses[Amount],(tblCarryingExpenses[Category]="Mortgage Payment")*(tblCarryingExpenses[Include]="Yes")),_xlfn._xlws.FILTER(tblCarryingExpenses[Date],(tblCarryingExpenses[Category]="Mortgage Payment")*(tblCarryingExpenses[Include]="Yes")),1),ROWS($D$3:D39)),"")</f>
        <v/>
      </c>
      <c r="F39" s="338"/>
      <c r="G39" s="339" t="str" cm="1">
        <f t="array" ref="G39">IFERROR(INDEX(_xlfn.SORTBY(_xlfn._xlws.FILTER(tblCarryingExpenses[Date],(tblCarryingExpenses[Category]="Private Money")*(tblCarryingExpenses[Include]="Yes")),_xlfn._xlws.FILTER(tblCarryingExpenses[Date],(tblCarryingExpenses[Category]="Private Money")*(tblCarryingExpenses[Include]="Yes")),1),ROWS($G$3:G39)),"")</f>
        <v/>
      </c>
      <c r="H39" s="340" t="str" cm="1">
        <f t="array" ref="H39">IFERROR(INDEX(_xlfn.SORTBY(_xlfn._xlws.FILTER(tblCarryingExpenses[Amount],(tblCarryingExpenses[Category]="Private Money")*(tblCarryingExpenses[Include]="Yes")),_xlfn._xlws.FILTER(tblCarryingExpenses[Date],(tblCarryingExpenses[Category]="Private Money")*(tblCarryingExpenses[Include]="Yes")),1),ROWS($G$3:G39)),"")</f>
        <v/>
      </c>
      <c r="I39" s="338"/>
      <c r="J39" s="339" t="str" cm="1">
        <f t="array" ref="J39">IFERROR(INDEX(_xlfn.SORTBY(_xlfn._xlws.FILTER(tblCarryingExpenses[Date],(tblCarryingExpenses[Category]="Casa Lending")*(tblCarryingExpenses[Include]="Yes")),_xlfn._xlws.FILTER(tblCarryingExpenses[Date],(tblCarryingExpenses[Category]="Casa Lending")*(tblCarryingExpenses[Include]="Yes")),1),ROWS($J$3:J39)),"")</f>
        <v/>
      </c>
      <c r="K39" s="340" t="str" cm="1">
        <f t="array" ref="K39">IFERROR(INDEX(_xlfn.SORTBY(_xlfn._xlws.FILTER(tblCarryingExpenses[Amount],(tblCarryingExpenses[Category]="Casa Lending")*(tblCarryingExpenses[Include]="Yes")),_xlfn._xlws.FILTER(tblCarryingExpenses[Date],(tblCarryingExpenses[Category]="Casa Lending")*(tblCarryingExpenses[Include]="Yes")),1),ROWS($J$3:J39)),"")</f>
        <v/>
      </c>
      <c r="L39" s="338"/>
      <c r="M39" s="339" t="str" cm="1">
        <f t="array" ref="M39">IFERROR(INDEX(_xlfn.SORTBY(_xlfn._xlws.FILTER(tblCarryingExpenses[Date],(tblCarryingExpenses[Category]="Insurance Payments")*(tblCarryingExpenses[Include]="Yes")),_xlfn._xlws.FILTER(tblCarryingExpenses[Date],(tblCarryingExpenses[Category]="Insurance Payments")*(tblCarryingExpenses[Include]="Yes")),1),ROWS($M$3:M39)),"")</f>
        <v/>
      </c>
      <c r="N39" s="340" t="str" cm="1">
        <f t="array" ref="N39">IFERROR(INDEX(_xlfn.SORTBY(_xlfn._xlws.FILTER(tblCarryingExpenses[Amount],(tblCarryingExpenses[Category]="Insurance Payments")*(tblCarryingExpenses[Include]="Yes")),_xlfn._xlws.FILTER(tblCarryingExpenses[Date],(tblCarryingExpenses[Category]="Insurance Payments")*(tblCarryingExpenses[Include]="Yes")),1),ROWS($M$3:M39)),"")</f>
        <v/>
      </c>
      <c r="O39" s="338"/>
      <c r="P39" s="339" t="str" cm="1">
        <f t="array" ref="P39">IFERROR(INDEX(_xlfn.SORTBY(_xlfn._xlws.FILTER(tblCarryingExpenses[Date],(tblCarryingExpenses[Category]="Water")*(tblCarryingExpenses[Include]="Yes")),_xlfn._xlws.FILTER(tblCarryingExpenses[Date],(tblCarryingExpenses[Category]="Water")*(tblCarryingExpenses[Include]="Yes")),1),ROWS($P$3:P39)),"")</f>
        <v/>
      </c>
      <c r="Q39" s="340" t="str" cm="1">
        <f t="array" ref="Q39">IFERROR(INDEX(_xlfn.SORTBY(_xlfn._xlws.FILTER(tblCarryingExpenses[Amount],(tblCarryingExpenses[Category]="Water")*(tblCarryingExpenses[Include]="Yes")),_xlfn._xlws.FILTER(tblCarryingExpenses[Date],(tblCarryingExpenses[Category]="Water")*(tblCarryingExpenses[Include]="Yes")),1),ROWS($P$3:P39)),"")</f>
        <v/>
      </c>
      <c r="R39" s="338"/>
      <c r="S39" s="339" t="str" cm="1">
        <f t="array" ref="S39">IFERROR(INDEX(_xlfn.SORTBY(_xlfn._xlws.FILTER(tblCarryingExpenses[Date],(tblCarryingExpenses[Category]="Natural Gas")*(tblCarryingExpenses[Include]="Yes")),_xlfn._xlws.FILTER(tblCarryingExpenses[Date],(tblCarryingExpenses[Category]="Natural Gas")*(tblCarryingExpenses[Include]="Yes")),1),ROWS($S$3:S39)),"")</f>
        <v/>
      </c>
      <c r="T39" s="340" t="str" cm="1">
        <f t="array" ref="T39">IFERROR(INDEX(_xlfn.SORTBY(_xlfn._xlws.FILTER(tblCarryingExpenses[Amount],(tblCarryingExpenses[Category]="Natural Gas")*(tblCarryingExpenses[Include]="Yes")),_xlfn._xlws.FILTER(tblCarryingExpenses[Date],(tblCarryingExpenses[Category]="Natural Gas")*(tblCarryingExpenses[Include]="Yes")),1),ROWS($S$3:S39)),"")</f>
        <v/>
      </c>
      <c r="U39" s="338"/>
      <c r="V39" s="339" t="str" cm="1">
        <f t="array" ref="V39">IFERROR(INDEX(_xlfn.SORTBY(_xlfn._xlws.FILTER(tblCarryingExpenses[Date],(tblCarryingExpenses[Category]="HOA")*(tblCarryingExpenses[Include]="Yes")),_xlfn._xlws.FILTER(tblCarryingExpenses[Date],(tblCarryingExpenses[Category]="HOA")*(tblCarryingExpenses[Include]="Yes")),1),ROWS($V$3:V39)),"")</f>
        <v/>
      </c>
      <c r="W39" s="340" t="str" cm="1">
        <f t="array" ref="W39">IFERROR(INDEX(_xlfn.SORTBY(_xlfn._xlws.FILTER(tblCarryingExpenses[Amount],(tblCarryingExpenses[Category]="HOA")*(tblCarryingExpenses[Include]="Yes")),_xlfn._xlws.FILTER(tblCarryingExpenses[Date],(tblCarryingExpenses[Category]="HOA")*(tblCarryingExpenses[Include]="Yes")),1),ROWS($V$3:V39)),"")</f>
        <v/>
      </c>
      <c r="X39" s="338"/>
      <c r="Y39" s="339" t="str" cm="1">
        <f t="array" ref="Y39">IFERROR(INDEX(_xlfn.SORTBY(_xlfn._xlws.FILTER(tblCarryingExpenses[Date],(tblCarryingExpenses[Category]="Property Taxes")*(tblCarryingExpenses[Include]="Yes")),_xlfn._xlws.FILTER(tblCarryingExpenses[Date],(tblCarryingExpenses[Category]="Property Taxes")*(tblCarryingExpenses[Include]="Yes")),1),ROWS($Y$3:Y39)),"")</f>
        <v/>
      </c>
      <c r="Z39" s="340" t="str" cm="1">
        <f t="array" ref="Z39">IFERROR(IF(INDEX(_xlfn.SORTBY(_xlfn._xlws.FILTER(tblCarryingExpenses[Amount],(tblCarryingExpenses[Category]="Property Taxes")*(tblCarryingExpenses[Include]="Yes")),_xlfn._xlws.FILTER(tblCarryingExpenses[Date],(tblCarryingExpenses[Category]="Property Taxes")*(tblCarryingExpenses[Include]="Yes")),1),ROWS($Y$3:Y39))&lt;0,"",INDEX(_xlfn.SORTBY(_xlfn._xlws.FILTER(tblCarryingExpenses[Amount],(tblCarryingExpenses[Category]="Property Taxes")*(tblCarryingExpenses[Include]="Yes")),_xlfn._xlws.FILTER(tblCarryingExpenses[Date],(tblCarryingExpenses[Category]="Property Taxes")*(tblCarryingExpenses[Include]="Yes")),1),ROWS($Y$3:Y39))),"")</f>
        <v/>
      </c>
      <c r="AA39" s="340" t="str" cm="1">
        <f t="array" ref="AA39">IFERROR(IF(ISNUMBER(SEARCH("escrow",INDEX(_xlfn.SORTBY(_xlfn._xlws.FILTER(tblCarryingExpenses[Notes],(tblCarryingExpenses[Category]="Property Taxes")*(tblCarryingExpenses[Include]="Yes")),_xlfn._xlws.FILTER(tblCarryingExpenses[Date],(tblCarryingExpenses[Category]="Property Taxes")*(tblCarryingExpenses[Include]="Yes")),1),ROWS($Y$3:Y39)))),INDEX(_xlfn.SORTBY(_xlfn._xlws.FILTER(tblCarryingExpenses[Amount],(tblCarryingExpenses[Category]="Property Taxes")*(tblCarryingExpenses[Include]="Yes")),_xlfn._xlws.FILTER(tblCarryingExpenses[Date],(tblCarryingExpenses[Category]="Property Taxes")*(tblCarryingExpenses[Include]="Yes")),1),ROWS($Y$3:Y39)),""),"")</f>
        <v/>
      </c>
      <c r="AB39" s="339" t="str" cm="1">
        <f t="array" ref="AB39">IFERROR(INDEX(_xlfn.SORTBY(_xlfn._xlws.FILTER(tblCarryingExpenses[Date],(tblCarryingExpenses[Category]="Excavator Rental")*(tblCarryingExpenses[Include]="Yes")),_xlfn._xlws.FILTER(tblCarryingExpenses[Date],(tblCarryingExpenses[Category]="Excavator Rental")*(tblCarryingExpenses[Include]="Yes")),1),ROWS($AB$3:AB39)),"")</f>
        <v/>
      </c>
      <c r="AC39" s="340" t="str" cm="1">
        <f t="array" ref="AC39">IFERROR(INDEX(_xlfn.SORTBY(_xlfn._xlws.FILTER(tblCarryingExpenses[Amount],(tblCarryingExpenses[Category]="Excavator Rental")*(tblCarryingExpenses[Include]="Yes")),_xlfn._xlws.FILTER(tblCarryingExpenses[Date],(tblCarryingExpenses[Category]="Excavator Rental")*(tblCarryingExpenses[Include]="Yes")),1),ROWS($AB$3:AB39)),"")</f>
        <v/>
      </c>
      <c r="AD39" s="338"/>
      <c r="AE39" s="339" t="str" cm="1">
        <f t="array" ref="AE39">IFERROR(INDEX(_xlfn.SORTBY(_xlfn._xlws.FILTER(tblCarryingExpenses[Date],(tblCarryingExpenses[Category]="Lawn")*(tblCarryingExpenses[Include]="Yes")),_xlfn._xlws.FILTER(tblCarryingExpenses[Date],(tblCarryingExpenses[Category]="Lawn")*(tblCarryingExpenses[Include]="Yes")),1),ROWS($AE$3:AE39)),"")</f>
        <v/>
      </c>
      <c r="AF39" s="340" t="str" cm="1">
        <f t="array" ref="AF39">IFERROR(INDEX(_xlfn.SORTBY(_xlfn._xlws.FILTER(tblCarryingExpenses[Amount],(tblCarryingExpenses[Category]="Lawn")*(tblCarryingExpenses[Include]="Yes")),_xlfn._xlws.FILTER(tblCarryingExpenses[Date],(tblCarryingExpenses[Category]="Lawn")*(tblCarryingExpenses[Include]="Yes")),1),ROWS($AE$3:AE39)),"")</f>
        <v/>
      </c>
      <c r="AL39" t="s">
        <v>7</v>
      </c>
      <c r="AM39" t="s">
        <v>791</v>
      </c>
      <c r="AN39" s="12">
        <v>46113</v>
      </c>
      <c r="AQ39" s="5">
        <v>980.87</v>
      </c>
      <c r="AR39" t="s">
        <v>780</v>
      </c>
      <c r="AT39" t="s">
        <v>781</v>
      </c>
      <c r="AU39" t="s">
        <v>782</v>
      </c>
      <c r="AV39" t="s">
        <v>820</v>
      </c>
    </row>
    <row r="40" spans="1:48" x14ac:dyDescent="0.25">
      <c r="A40" s="339" t="str" cm="1">
        <f t="array" ref="A40">IFERROR(INDEX(_xlfn.SORTBY(_xlfn._xlws.FILTER(tblCarryingExpenses[Date],(tblCarryingExpenses[Category]="Duke Electric")*(tblCarryingExpenses[Include]="Yes")),_xlfn._xlws.FILTER(tblCarryingExpenses[Date],(tblCarryingExpenses[Category]="Duke Electric")*(tblCarryingExpenses[Include]="Yes")),1),ROWS($A$3:A40)),"")</f>
        <v/>
      </c>
      <c r="B40" s="340" t="str" cm="1">
        <f t="array" ref="B40">IFERROR(INDEX(_xlfn.SORTBY(_xlfn._xlws.FILTER(tblCarryingExpenses[Amount],(tblCarryingExpenses[Category]="Duke Electric")*(tblCarryingExpenses[Include]="Yes")),_xlfn._xlws.FILTER(tblCarryingExpenses[Date],(tblCarryingExpenses[Category]="Duke Electric")*(tblCarryingExpenses[Include]="Yes")),1),ROWS($A$3:A40)),"")</f>
        <v/>
      </c>
      <c r="C40" s="338"/>
      <c r="D40" s="339" t="str" cm="1">
        <f t="array" ref="D40">IFERROR(INDEX(_xlfn.SORTBY(_xlfn._xlws.FILTER(tblCarryingExpenses[Date],(tblCarryingExpenses[Category]="Mortgage Payment")*(tblCarryingExpenses[Include]="Yes")),_xlfn._xlws.FILTER(tblCarryingExpenses[Date],(tblCarryingExpenses[Category]="Mortgage Payment")*(tblCarryingExpenses[Include]="Yes")),1),ROWS($D$3:D40)),"")</f>
        <v/>
      </c>
      <c r="E40" s="340" t="str" cm="1">
        <f t="array" ref="E40">IFERROR(INDEX(_xlfn.SORTBY(_xlfn._xlws.FILTER(tblCarryingExpenses[Amount],(tblCarryingExpenses[Category]="Mortgage Payment")*(tblCarryingExpenses[Include]="Yes")),_xlfn._xlws.FILTER(tblCarryingExpenses[Date],(tblCarryingExpenses[Category]="Mortgage Payment")*(tblCarryingExpenses[Include]="Yes")),1),ROWS($D$3:D40)),"")</f>
        <v/>
      </c>
      <c r="F40" s="338"/>
      <c r="G40" s="339" t="str" cm="1">
        <f t="array" ref="G40">IFERROR(INDEX(_xlfn.SORTBY(_xlfn._xlws.FILTER(tblCarryingExpenses[Date],(tblCarryingExpenses[Category]="Private Money")*(tblCarryingExpenses[Include]="Yes")),_xlfn._xlws.FILTER(tblCarryingExpenses[Date],(tblCarryingExpenses[Category]="Private Money")*(tblCarryingExpenses[Include]="Yes")),1),ROWS($G$3:G40)),"")</f>
        <v/>
      </c>
      <c r="H40" s="340" t="str" cm="1">
        <f t="array" ref="H40">IFERROR(INDEX(_xlfn.SORTBY(_xlfn._xlws.FILTER(tblCarryingExpenses[Amount],(tblCarryingExpenses[Category]="Private Money")*(tblCarryingExpenses[Include]="Yes")),_xlfn._xlws.FILTER(tblCarryingExpenses[Date],(tblCarryingExpenses[Category]="Private Money")*(tblCarryingExpenses[Include]="Yes")),1),ROWS($G$3:G40)),"")</f>
        <v/>
      </c>
      <c r="I40" s="338"/>
      <c r="J40" s="339" t="str" cm="1">
        <f t="array" ref="J40">IFERROR(INDEX(_xlfn.SORTBY(_xlfn._xlws.FILTER(tblCarryingExpenses[Date],(tblCarryingExpenses[Category]="Casa Lending")*(tblCarryingExpenses[Include]="Yes")),_xlfn._xlws.FILTER(tblCarryingExpenses[Date],(tblCarryingExpenses[Category]="Casa Lending")*(tblCarryingExpenses[Include]="Yes")),1),ROWS($J$3:J40)),"")</f>
        <v/>
      </c>
      <c r="K40" s="340" t="str" cm="1">
        <f t="array" ref="K40">IFERROR(INDEX(_xlfn.SORTBY(_xlfn._xlws.FILTER(tblCarryingExpenses[Amount],(tblCarryingExpenses[Category]="Casa Lending")*(tblCarryingExpenses[Include]="Yes")),_xlfn._xlws.FILTER(tblCarryingExpenses[Date],(tblCarryingExpenses[Category]="Casa Lending")*(tblCarryingExpenses[Include]="Yes")),1),ROWS($J$3:J40)),"")</f>
        <v/>
      </c>
      <c r="L40" s="338"/>
      <c r="M40" s="339" t="str" cm="1">
        <f t="array" ref="M40">IFERROR(INDEX(_xlfn.SORTBY(_xlfn._xlws.FILTER(tblCarryingExpenses[Date],(tblCarryingExpenses[Category]="Insurance Payments")*(tblCarryingExpenses[Include]="Yes")),_xlfn._xlws.FILTER(tblCarryingExpenses[Date],(tblCarryingExpenses[Category]="Insurance Payments")*(tblCarryingExpenses[Include]="Yes")),1),ROWS($M$3:M40)),"")</f>
        <v/>
      </c>
      <c r="N40" s="340" t="str" cm="1">
        <f t="array" ref="N40">IFERROR(INDEX(_xlfn.SORTBY(_xlfn._xlws.FILTER(tblCarryingExpenses[Amount],(tblCarryingExpenses[Category]="Insurance Payments")*(tblCarryingExpenses[Include]="Yes")),_xlfn._xlws.FILTER(tblCarryingExpenses[Date],(tblCarryingExpenses[Category]="Insurance Payments")*(tblCarryingExpenses[Include]="Yes")),1),ROWS($M$3:M40)),"")</f>
        <v/>
      </c>
      <c r="O40" s="338"/>
      <c r="P40" s="339" t="str" cm="1">
        <f t="array" ref="P40">IFERROR(INDEX(_xlfn.SORTBY(_xlfn._xlws.FILTER(tblCarryingExpenses[Date],(tblCarryingExpenses[Category]="Water")*(tblCarryingExpenses[Include]="Yes")),_xlfn._xlws.FILTER(tblCarryingExpenses[Date],(tblCarryingExpenses[Category]="Water")*(tblCarryingExpenses[Include]="Yes")),1),ROWS($P$3:P40)),"")</f>
        <v/>
      </c>
      <c r="Q40" s="340" t="str" cm="1">
        <f t="array" ref="Q40">IFERROR(INDEX(_xlfn.SORTBY(_xlfn._xlws.FILTER(tblCarryingExpenses[Amount],(tblCarryingExpenses[Category]="Water")*(tblCarryingExpenses[Include]="Yes")),_xlfn._xlws.FILTER(tblCarryingExpenses[Date],(tblCarryingExpenses[Category]="Water")*(tblCarryingExpenses[Include]="Yes")),1),ROWS($P$3:P40)),"")</f>
        <v/>
      </c>
      <c r="R40" s="338"/>
      <c r="S40" s="339" t="str" cm="1">
        <f t="array" ref="S40">IFERROR(INDEX(_xlfn.SORTBY(_xlfn._xlws.FILTER(tblCarryingExpenses[Date],(tblCarryingExpenses[Category]="Natural Gas")*(tblCarryingExpenses[Include]="Yes")),_xlfn._xlws.FILTER(tblCarryingExpenses[Date],(tblCarryingExpenses[Category]="Natural Gas")*(tblCarryingExpenses[Include]="Yes")),1),ROWS($S$3:S40)),"")</f>
        <v/>
      </c>
      <c r="T40" s="340" t="str" cm="1">
        <f t="array" ref="T40">IFERROR(INDEX(_xlfn.SORTBY(_xlfn._xlws.FILTER(tblCarryingExpenses[Amount],(tblCarryingExpenses[Category]="Natural Gas")*(tblCarryingExpenses[Include]="Yes")),_xlfn._xlws.FILTER(tblCarryingExpenses[Date],(tblCarryingExpenses[Category]="Natural Gas")*(tblCarryingExpenses[Include]="Yes")),1),ROWS($S$3:S40)),"")</f>
        <v/>
      </c>
      <c r="U40" s="338"/>
      <c r="V40" s="339" t="str" cm="1">
        <f t="array" ref="V40">IFERROR(INDEX(_xlfn.SORTBY(_xlfn._xlws.FILTER(tblCarryingExpenses[Date],(tblCarryingExpenses[Category]="HOA")*(tblCarryingExpenses[Include]="Yes")),_xlfn._xlws.FILTER(tblCarryingExpenses[Date],(tblCarryingExpenses[Category]="HOA")*(tblCarryingExpenses[Include]="Yes")),1),ROWS($V$3:V40)),"")</f>
        <v/>
      </c>
      <c r="W40" s="340" t="str" cm="1">
        <f t="array" ref="W40">IFERROR(INDEX(_xlfn.SORTBY(_xlfn._xlws.FILTER(tblCarryingExpenses[Amount],(tblCarryingExpenses[Category]="HOA")*(tblCarryingExpenses[Include]="Yes")),_xlfn._xlws.FILTER(tblCarryingExpenses[Date],(tblCarryingExpenses[Category]="HOA")*(tblCarryingExpenses[Include]="Yes")),1),ROWS($V$3:V40)),"")</f>
        <v/>
      </c>
      <c r="X40" s="338"/>
      <c r="Y40" s="339" t="str" cm="1">
        <f t="array" ref="Y40">IFERROR(INDEX(_xlfn.SORTBY(_xlfn._xlws.FILTER(tblCarryingExpenses[Date],(tblCarryingExpenses[Category]="Property Taxes")*(tblCarryingExpenses[Include]="Yes")),_xlfn._xlws.FILTER(tblCarryingExpenses[Date],(tblCarryingExpenses[Category]="Property Taxes")*(tblCarryingExpenses[Include]="Yes")),1),ROWS($Y$3:Y40)),"")</f>
        <v/>
      </c>
      <c r="Z40" s="340" t="str" cm="1">
        <f t="array" ref="Z40">IFERROR(IF(INDEX(_xlfn.SORTBY(_xlfn._xlws.FILTER(tblCarryingExpenses[Amount],(tblCarryingExpenses[Category]="Property Taxes")*(tblCarryingExpenses[Include]="Yes")),_xlfn._xlws.FILTER(tblCarryingExpenses[Date],(tblCarryingExpenses[Category]="Property Taxes")*(tblCarryingExpenses[Include]="Yes")),1),ROWS($Y$3:Y40))&lt;0,"",INDEX(_xlfn.SORTBY(_xlfn._xlws.FILTER(tblCarryingExpenses[Amount],(tblCarryingExpenses[Category]="Property Taxes")*(tblCarryingExpenses[Include]="Yes")),_xlfn._xlws.FILTER(tblCarryingExpenses[Date],(tblCarryingExpenses[Category]="Property Taxes")*(tblCarryingExpenses[Include]="Yes")),1),ROWS($Y$3:Y40))),"")</f>
        <v/>
      </c>
      <c r="AA40" s="340" t="str" cm="1">
        <f t="array" ref="AA40">IFERROR(IF(ISNUMBER(SEARCH("escrow",INDEX(_xlfn.SORTBY(_xlfn._xlws.FILTER(tblCarryingExpenses[Notes],(tblCarryingExpenses[Category]="Property Taxes")*(tblCarryingExpenses[Include]="Yes")),_xlfn._xlws.FILTER(tblCarryingExpenses[Date],(tblCarryingExpenses[Category]="Property Taxes")*(tblCarryingExpenses[Include]="Yes")),1),ROWS($Y$3:Y40)))),INDEX(_xlfn.SORTBY(_xlfn._xlws.FILTER(tblCarryingExpenses[Amount],(tblCarryingExpenses[Category]="Property Taxes")*(tblCarryingExpenses[Include]="Yes")),_xlfn._xlws.FILTER(tblCarryingExpenses[Date],(tblCarryingExpenses[Category]="Property Taxes")*(tblCarryingExpenses[Include]="Yes")),1),ROWS($Y$3:Y40)),""),"")</f>
        <v/>
      </c>
      <c r="AB40" s="339" t="str" cm="1">
        <f t="array" ref="AB40">IFERROR(INDEX(_xlfn.SORTBY(_xlfn._xlws.FILTER(tblCarryingExpenses[Date],(tblCarryingExpenses[Category]="Excavator Rental")*(tblCarryingExpenses[Include]="Yes")),_xlfn._xlws.FILTER(tblCarryingExpenses[Date],(tblCarryingExpenses[Category]="Excavator Rental")*(tblCarryingExpenses[Include]="Yes")),1),ROWS($AB$3:AB40)),"")</f>
        <v/>
      </c>
      <c r="AC40" s="340" t="str" cm="1">
        <f t="array" ref="AC40">IFERROR(INDEX(_xlfn.SORTBY(_xlfn._xlws.FILTER(tblCarryingExpenses[Amount],(tblCarryingExpenses[Category]="Excavator Rental")*(tblCarryingExpenses[Include]="Yes")),_xlfn._xlws.FILTER(tblCarryingExpenses[Date],(tblCarryingExpenses[Category]="Excavator Rental")*(tblCarryingExpenses[Include]="Yes")),1),ROWS($AB$3:AB40)),"")</f>
        <v/>
      </c>
      <c r="AD40" s="338"/>
      <c r="AE40" s="339" t="str" cm="1">
        <f t="array" ref="AE40">IFERROR(INDEX(_xlfn.SORTBY(_xlfn._xlws.FILTER(tblCarryingExpenses[Date],(tblCarryingExpenses[Category]="Lawn")*(tblCarryingExpenses[Include]="Yes")),_xlfn._xlws.FILTER(tblCarryingExpenses[Date],(tblCarryingExpenses[Category]="Lawn")*(tblCarryingExpenses[Include]="Yes")),1),ROWS($AE$3:AE40)),"")</f>
        <v/>
      </c>
      <c r="AF40" s="340" t="str" cm="1">
        <f t="array" ref="AF40">IFERROR(INDEX(_xlfn.SORTBY(_xlfn._xlws.FILTER(tblCarryingExpenses[Amount],(tblCarryingExpenses[Category]="Lawn")*(tblCarryingExpenses[Include]="Yes")),_xlfn._xlws.FILTER(tblCarryingExpenses[Date],(tblCarryingExpenses[Category]="Lawn")*(tblCarryingExpenses[Include]="Yes")),1),ROWS($AE$3:AE40)),"")</f>
        <v/>
      </c>
      <c r="AL40" t="s">
        <v>7</v>
      </c>
      <c r="AM40" t="s">
        <v>791</v>
      </c>
      <c r="AN40" s="12">
        <v>46143</v>
      </c>
      <c r="AQ40" s="5">
        <v>980.87</v>
      </c>
      <c r="AR40" t="s">
        <v>780</v>
      </c>
      <c r="AT40" t="s">
        <v>781</v>
      </c>
      <c r="AU40" t="s">
        <v>782</v>
      </c>
      <c r="AV40" t="s">
        <v>821</v>
      </c>
    </row>
    <row r="41" spans="1:48" x14ac:dyDescent="0.25">
      <c r="A41" s="339" t="str" cm="1">
        <f t="array" ref="A41">IFERROR(INDEX(_xlfn.SORTBY(_xlfn._xlws.FILTER(tblCarryingExpenses[Date],(tblCarryingExpenses[Category]="Duke Electric")*(tblCarryingExpenses[Include]="Yes")),_xlfn._xlws.FILTER(tblCarryingExpenses[Date],(tblCarryingExpenses[Category]="Duke Electric")*(tblCarryingExpenses[Include]="Yes")),1),ROWS($A$3:A41)),"")</f>
        <v/>
      </c>
      <c r="B41" s="340" t="str" cm="1">
        <f t="array" ref="B41">IFERROR(INDEX(_xlfn.SORTBY(_xlfn._xlws.FILTER(tblCarryingExpenses[Amount],(tblCarryingExpenses[Category]="Duke Electric")*(tblCarryingExpenses[Include]="Yes")),_xlfn._xlws.FILTER(tblCarryingExpenses[Date],(tblCarryingExpenses[Category]="Duke Electric")*(tblCarryingExpenses[Include]="Yes")),1),ROWS($A$3:A41)),"")</f>
        <v/>
      </c>
      <c r="C41" s="338"/>
      <c r="D41" s="339" t="str" cm="1">
        <f t="array" ref="D41">IFERROR(INDEX(_xlfn.SORTBY(_xlfn._xlws.FILTER(tblCarryingExpenses[Date],(tblCarryingExpenses[Category]="Mortgage Payment")*(tblCarryingExpenses[Include]="Yes")),_xlfn._xlws.FILTER(tblCarryingExpenses[Date],(tblCarryingExpenses[Category]="Mortgage Payment")*(tblCarryingExpenses[Include]="Yes")),1),ROWS($D$3:D41)),"")</f>
        <v/>
      </c>
      <c r="E41" s="340" t="str" cm="1">
        <f t="array" ref="E41">IFERROR(INDEX(_xlfn.SORTBY(_xlfn._xlws.FILTER(tblCarryingExpenses[Amount],(tblCarryingExpenses[Category]="Mortgage Payment")*(tblCarryingExpenses[Include]="Yes")),_xlfn._xlws.FILTER(tblCarryingExpenses[Date],(tblCarryingExpenses[Category]="Mortgage Payment")*(tblCarryingExpenses[Include]="Yes")),1),ROWS($D$3:D41)),"")</f>
        <v/>
      </c>
      <c r="F41" s="338"/>
      <c r="G41" s="339" t="str" cm="1">
        <f t="array" ref="G41">IFERROR(INDEX(_xlfn.SORTBY(_xlfn._xlws.FILTER(tblCarryingExpenses[Date],(tblCarryingExpenses[Category]="Private Money")*(tblCarryingExpenses[Include]="Yes")),_xlfn._xlws.FILTER(tblCarryingExpenses[Date],(tblCarryingExpenses[Category]="Private Money")*(tblCarryingExpenses[Include]="Yes")),1),ROWS($G$3:G41)),"")</f>
        <v/>
      </c>
      <c r="H41" s="340" t="str" cm="1">
        <f t="array" ref="H41">IFERROR(INDEX(_xlfn.SORTBY(_xlfn._xlws.FILTER(tblCarryingExpenses[Amount],(tblCarryingExpenses[Category]="Private Money")*(tblCarryingExpenses[Include]="Yes")),_xlfn._xlws.FILTER(tblCarryingExpenses[Date],(tblCarryingExpenses[Category]="Private Money")*(tblCarryingExpenses[Include]="Yes")),1),ROWS($G$3:G41)),"")</f>
        <v/>
      </c>
      <c r="I41" s="338"/>
      <c r="J41" s="339" t="str" cm="1">
        <f t="array" ref="J41">IFERROR(INDEX(_xlfn.SORTBY(_xlfn._xlws.FILTER(tblCarryingExpenses[Date],(tblCarryingExpenses[Category]="Casa Lending")*(tblCarryingExpenses[Include]="Yes")),_xlfn._xlws.FILTER(tblCarryingExpenses[Date],(tblCarryingExpenses[Category]="Casa Lending")*(tblCarryingExpenses[Include]="Yes")),1),ROWS($J$3:J41)),"")</f>
        <v/>
      </c>
      <c r="K41" s="340" t="str" cm="1">
        <f t="array" ref="K41">IFERROR(INDEX(_xlfn.SORTBY(_xlfn._xlws.FILTER(tblCarryingExpenses[Amount],(tblCarryingExpenses[Category]="Casa Lending")*(tblCarryingExpenses[Include]="Yes")),_xlfn._xlws.FILTER(tblCarryingExpenses[Date],(tblCarryingExpenses[Category]="Casa Lending")*(tblCarryingExpenses[Include]="Yes")),1),ROWS($J$3:J41)),"")</f>
        <v/>
      </c>
      <c r="L41" s="338"/>
      <c r="M41" s="339" t="str" cm="1">
        <f t="array" ref="M41">IFERROR(INDEX(_xlfn.SORTBY(_xlfn._xlws.FILTER(tblCarryingExpenses[Date],(tblCarryingExpenses[Category]="Insurance Payments")*(tblCarryingExpenses[Include]="Yes")),_xlfn._xlws.FILTER(tblCarryingExpenses[Date],(tblCarryingExpenses[Category]="Insurance Payments")*(tblCarryingExpenses[Include]="Yes")),1),ROWS($M$3:M41)),"")</f>
        <v/>
      </c>
      <c r="N41" s="340" t="str" cm="1">
        <f t="array" ref="N41">IFERROR(INDEX(_xlfn.SORTBY(_xlfn._xlws.FILTER(tblCarryingExpenses[Amount],(tblCarryingExpenses[Category]="Insurance Payments")*(tblCarryingExpenses[Include]="Yes")),_xlfn._xlws.FILTER(tblCarryingExpenses[Date],(tblCarryingExpenses[Category]="Insurance Payments")*(tblCarryingExpenses[Include]="Yes")),1),ROWS($M$3:M41)),"")</f>
        <v/>
      </c>
      <c r="O41" s="338"/>
      <c r="P41" s="339" t="str" cm="1">
        <f t="array" ref="P41">IFERROR(INDEX(_xlfn.SORTBY(_xlfn._xlws.FILTER(tblCarryingExpenses[Date],(tblCarryingExpenses[Category]="Water")*(tblCarryingExpenses[Include]="Yes")),_xlfn._xlws.FILTER(tblCarryingExpenses[Date],(tblCarryingExpenses[Category]="Water")*(tblCarryingExpenses[Include]="Yes")),1),ROWS($P$3:P41)),"")</f>
        <v/>
      </c>
      <c r="Q41" s="340" t="str" cm="1">
        <f t="array" ref="Q41">IFERROR(INDEX(_xlfn.SORTBY(_xlfn._xlws.FILTER(tblCarryingExpenses[Amount],(tblCarryingExpenses[Category]="Water")*(tblCarryingExpenses[Include]="Yes")),_xlfn._xlws.FILTER(tblCarryingExpenses[Date],(tblCarryingExpenses[Category]="Water")*(tblCarryingExpenses[Include]="Yes")),1),ROWS($P$3:P41)),"")</f>
        <v/>
      </c>
      <c r="R41" s="338"/>
      <c r="S41" s="339" t="str" cm="1">
        <f t="array" ref="S41">IFERROR(INDEX(_xlfn.SORTBY(_xlfn._xlws.FILTER(tblCarryingExpenses[Date],(tblCarryingExpenses[Category]="Natural Gas")*(tblCarryingExpenses[Include]="Yes")),_xlfn._xlws.FILTER(tblCarryingExpenses[Date],(tblCarryingExpenses[Category]="Natural Gas")*(tblCarryingExpenses[Include]="Yes")),1),ROWS($S$3:S41)),"")</f>
        <v/>
      </c>
      <c r="T41" s="340" t="str" cm="1">
        <f t="array" ref="T41">IFERROR(INDEX(_xlfn.SORTBY(_xlfn._xlws.FILTER(tblCarryingExpenses[Amount],(tblCarryingExpenses[Category]="Natural Gas")*(tblCarryingExpenses[Include]="Yes")),_xlfn._xlws.FILTER(tblCarryingExpenses[Date],(tblCarryingExpenses[Category]="Natural Gas")*(tblCarryingExpenses[Include]="Yes")),1),ROWS($S$3:S41)),"")</f>
        <v/>
      </c>
      <c r="U41" s="338"/>
      <c r="V41" s="339" t="str" cm="1">
        <f t="array" ref="V41">IFERROR(INDEX(_xlfn.SORTBY(_xlfn._xlws.FILTER(tblCarryingExpenses[Date],(tblCarryingExpenses[Category]="HOA")*(tblCarryingExpenses[Include]="Yes")),_xlfn._xlws.FILTER(tblCarryingExpenses[Date],(tblCarryingExpenses[Category]="HOA")*(tblCarryingExpenses[Include]="Yes")),1),ROWS($V$3:V41)),"")</f>
        <v/>
      </c>
      <c r="W41" s="340" t="str" cm="1">
        <f t="array" ref="W41">IFERROR(INDEX(_xlfn.SORTBY(_xlfn._xlws.FILTER(tblCarryingExpenses[Amount],(tblCarryingExpenses[Category]="HOA")*(tblCarryingExpenses[Include]="Yes")),_xlfn._xlws.FILTER(tblCarryingExpenses[Date],(tblCarryingExpenses[Category]="HOA")*(tblCarryingExpenses[Include]="Yes")),1),ROWS($V$3:V41)),"")</f>
        <v/>
      </c>
      <c r="X41" s="338"/>
      <c r="Y41" s="339" t="str" cm="1">
        <f t="array" ref="Y41">IFERROR(INDEX(_xlfn.SORTBY(_xlfn._xlws.FILTER(tblCarryingExpenses[Date],(tblCarryingExpenses[Category]="Property Taxes")*(tblCarryingExpenses[Include]="Yes")),_xlfn._xlws.FILTER(tblCarryingExpenses[Date],(tblCarryingExpenses[Category]="Property Taxes")*(tblCarryingExpenses[Include]="Yes")),1),ROWS($Y$3:Y41)),"")</f>
        <v/>
      </c>
      <c r="Z41" s="340" t="str" cm="1">
        <f t="array" ref="Z41">IFERROR(IF(INDEX(_xlfn.SORTBY(_xlfn._xlws.FILTER(tblCarryingExpenses[Amount],(tblCarryingExpenses[Category]="Property Taxes")*(tblCarryingExpenses[Include]="Yes")),_xlfn._xlws.FILTER(tblCarryingExpenses[Date],(tblCarryingExpenses[Category]="Property Taxes")*(tblCarryingExpenses[Include]="Yes")),1),ROWS($Y$3:Y41))&lt;0,"",INDEX(_xlfn.SORTBY(_xlfn._xlws.FILTER(tblCarryingExpenses[Amount],(tblCarryingExpenses[Category]="Property Taxes")*(tblCarryingExpenses[Include]="Yes")),_xlfn._xlws.FILTER(tblCarryingExpenses[Date],(tblCarryingExpenses[Category]="Property Taxes")*(tblCarryingExpenses[Include]="Yes")),1),ROWS($Y$3:Y41))),"")</f>
        <v/>
      </c>
      <c r="AA41" s="340" t="str" cm="1">
        <f t="array" ref="AA41">IFERROR(IF(ISNUMBER(SEARCH("escrow",INDEX(_xlfn.SORTBY(_xlfn._xlws.FILTER(tblCarryingExpenses[Notes],(tblCarryingExpenses[Category]="Property Taxes")*(tblCarryingExpenses[Include]="Yes")),_xlfn._xlws.FILTER(tblCarryingExpenses[Date],(tblCarryingExpenses[Category]="Property Taxes")*(tblCarryingExpenses[Include]="Yes")),1),ROWS($Y$3:Y41)))),INDEX(_xlfn.SORTBY(_xlfn._xlws.FILTER(tblCarryingExpenses[Amount],(tblCarryingExpenses[Category]="Property Taxes")*(tblCarryingExpenses[Include]="Yes")),_xlfn._xlws.FILTER(tblCarryingExpenses[Date],(tblCarryingExpenses[Category]="Property Taxes")*(tblCarryingExpenses[Include]="Yes")),1),ROWS($Y$3:Y41)),""),"")</f>
        <v/>
      </c>
      <c r="AB41" s="339" t="str" cm="1">
        <f t="array" ref="AB41">IFERROR(INDEX(_xlfn.SORTBY(_xlfn._xlws.FILTER(tblCarryingExpenses[Date],(tblCarryingExpenses[Category]="Excavator Rental")*(tblCarryingExpenses[Include]="Yes")),_xlfn._xlws.FILTER(tblCarryingExpenses[Date],(tblCarryingExpenses[Category]="Excavator Rental")*(tblCarryingExpenses[Include]="Yes")),1),ROWS($AB$3:AB41)),"")</f>
        <v/>
      </c>
      <c r="AC41" s="340" t="str" cm="1">
        <f t="array" ref="AC41">IFERROR(INDEX(_xlfn.SORTBY(_xlfn._xlws.FILTER(tblCarryingExpenses[Amount],(tblCarryingExpenses[Category]="Excavator Rental")*(tblCarryingExpenses[Include]="Yes")),_xlfn._xlws.FILTER(tblCarryingExpenses[Date],(tblCarryingExpenses[Category]="Excavator Rental")*(tblCarryingExpenses[Include]="Yes")),1),ROWS($AB$3:AB41)),"")</f>
        <v/>
      </c>
      <c r="AD41" s="338"/>
      <c r="AE41" s="339" t="str" cm="1">
        <f t="array" ref="AE41">IFERROR(INDEX(_xlfn.SORTBY(_xlfn._xlws.FILTER(tblCarryingExpenses[Date],(tblCarryingExpenses[Category]="Lawn")*(tblCarryingExpenses[Include]="Yes")),_xlfn._xlws.FILTER(tblCarryingExpenses[Date],(tblCarryingExpenses[Category]="Lawn")*(tblCarryingExpenses[Include]="Yes")),1),ROWS($AE$3:AE41)),"")</f>
        <v/>
      </c>
      <c r="AF41" s="340" t="str" cm="1">
        <f t="array" ref="AF41">IFERROR(INDEX(_xlfn.SORTBY(_xlfn._xlws.FILTER(tblCarryingExpenses[Amount],(tblCarryingExpenses[Category]="Lawn")*(tblCarryingExpenses[Include]="Yes")),_xlfn._xlws.FILTER(tblCarryingExpenses[Date],(tblCarryingExpenses[Category]="Lawn")*(tblCarryingExpenses[Include]="Yes")),1),ROWS($AE$3:AE41)),"")</f>
        <v/>
      </c>
      <c r="AL41" t="s">
        <v>7</v>
      </c>
      <c r="AM41" t="s">
        <v>738</v>
      </c>
      <c r="AN41" s="12">
        <v>45231</v>
      </c>
      <c r="AQ41" s="5">
        <v>925</v>
      </c>
      <c r="AR41" t="s">
        <v>780</v>
      </c>
      <c r="AT41" t="s">
        <v>781</v>
      </c>
      <c r="AU41" t="s">
        <v>782</v>
      </c>
      <c r="AV41" t="s">
        <v>822</v>
      </c>
    </row>
    <row r="42" spans="1:48" x14ac:dyDescent="0.25">
      <c r="A42" s="339" t="str" cm="1">
        <f t="array" ref="A42">IFERROR(INDEX(_xlfn.SORTBY(_xlfn._xlws.FILTER(tblCarryingExpenses[Date],(tblCarryingExpenses[Category]="Duke Electric")*(tblCarryingExpenses[Include]="Yes")),_xlfn._xlws.FILTER(tblCarryingExpenses[Date],(tblCarryingExpenses[Category]="Duke Electric")*(tblCarryingExpenses[Include]="Yes")),1),ROWS($A$3:A42)),"")</f>
        <v/>
      </c>
      <c r="B42" s="340" t="str" cm="1">
        <f t="array" ref="B42">IFERROR(INDEX(_xlfn.SORTBY(_xlfn._xlws.FILTER(tblCarryingExpenses[Amount],(tblCarryingExpenses[Category]="Duke Electric")*(tblCarryingExpenses[Include]="Yes")),_xlfn._xlws.FILTER(tblCarryingExpenses[Date],(tblCarryingExpenses[Category]="Duke Electric")*(tblCarryingExpenses[Include]="Yes")),1),ROWS($A$3:A42)),"")</f>
        <v/>
      </c>
      <c r="C42" s="338"/>
      <c r="D42" s="339" t="str" cm="1">
        <f t="array" ref="D42">IFERROR(INDEX(_xlfn.SORTBY(_xlfn._xlws.FILTER(tblCarryingExpenses[Date],(tblCarryingExpenses[Category]="Mortgage Payment")*(tblCarryingExpenses[Include]="Yes")),_xlfn._xlws.FILTER(tblCarryingExpenses[Date],(tblCarryingExpenses[Category]="Mortgage Payment")*(tblCarryingExpenses[Include]="Yes")),1),ROWS($D$3:D42)),"")</f>
        <v/>
      </c>
      <c r="E42" s="340" t="str" cm="1">
        <f t="array" ref="E42">IFERROR(INDEX(_xlfn.SORTBY(_xlfn._xlws.FILTER(tblCarryingExpenses[Amount],(tblCarryingExpenses[Category]="Mortgage Payment")*(tblCarryingExpenses[Include]="Yes")),_xlfn._xlws.FILTER(tblCarryingExpenses[Date],(tblCarryingExpenses[Category]="Mortgage Payment")*(tblCarryingExpenses[Include]="Yes")),1),ROWS($D$3:D42)),"")</f>
        <v/>
      </c>
      <c r="F42" s="338"/>
      <c r="G42" s="339" t="str" cm="1">
        <f t="array" ref="G42">IFERROR(INDEX(_xlfn.SORTBY(_xlfn._xlws.FILTER(tblCarryingExpenses[Date],(tblCarryingExpenses[Category]="Private Money")*(tblCarryingExpenses[Include]="Yes")),_xlfn._xlws.FILTER(tblCarryingExpenses[Date],(tblCarryingExpenses[Category]="Private Money")*(tblCarryingExpenses[Include]="Yes")),1),ROWS($G$3:G42)),"")</f>
        <v/>
      </c>
      <c r="H42" s="340" t="str" cm="1">
        <f t="array" ref="H42">IFERROR(INDEX(_xlfn.SORTBY(_xlfn._xlws.FILTER(tblCarryingExpenses[Amount],(tblCarryingExpenses[Category]="Private Money")*(tblCarryingExpenses[Include]="Yes")),_xlfn._xlws.FILTER(tblCarryingExpenses[Date],(tblCarryingExpenses[Category]="Private Money")*(tblCarryingExpenses[Include]="Yes")),1),ROWS($G$3:G42)),"")</f>
        <v/>
      </c>
      <c r="I42" s="338"/>
      <c r="J42" s="339" t="str" cm="1">
        <f t="array" ref="J42">IFERROR(INDEX(_xlfn.SORTBY(_xlfn._xlws.FILTER(tblCarryingExpenses[Date],(tblCarryingExpenses[Category]="Casa Lending")*(tblCarryingExpenses[Include]="Yes")),_xlfn._xlws.FILTER(tblCarryingExpenses[Date],(tblCarryingExpenses[Category]="Casa Lending")*(tblCarryingExpenses[Include]="Yes")),1),ROWS($J$3:J42)),"")</f>
        <v/>
      </c>
      <c r="K42" s="340" t="str" cm="1">
        <f t="array" ref="K42">IFERROR(INDEX(_xlfn.SORTBY(_xlfn._xlws.FILTER(tblCarryingExpenses[Amount],(tblCarryingExpenses[Category]="Casa Lending")*(tblCarryingExpenses[Include]="Yes")),_xlfn._xlws.FILTER(tblCarryingExpenses[Date],(tblCarryingExpenses[Category]="Casa Lending")*(tblCarryingExpenses[Include]="Yes")),1),ROWS($J$3:J42)),"")</f>
        <v/>
      </c>
      <c r="L42" s="338"/>
      <c r="M42" s="339" t="str" cm="1">
        <f t="array" ref="M42">IFERROR(INDEX(_xlfn.SORTBY(_xlfn._xlws.FILTER(tblCarryingExpenses[Date],(tblCarryingExpenses[Category]="Insurance Payments")*(tblCarryingExpenses[Include]="Yes")),_xlfn._xlws.FILTER(tblCarryingExpenses[Date],(tblCarryingExpenses[Category]="Insurance Payments")*(tblCarryingExpenses[Include]="Yes")),1),ROWS($M$3:M42)),"")</f>
        <v/>
      </c>
      <c r="N42" s="340" t="str" cm="1">
        <f t="array" ref="N42">IFERROR(INDEX(_xlfn.SORTBY(_xlfn._xlws.FILTER(tblCarryingExpenses[Amount],(tblCarryingExpenses[Category]="Insurance Payments")*(tblCarryingExpenses[Include]="Yes")),_xlfn._xlws.FILTER(tblCarryingExpenses[Date],(tblCarryingExpenses[Category]="Insurance Payments")*(tblCarryingExpenses[Include]="Yes")),1),ROWS($M$3:M42)),"")</f>
        <v/>
      </c>
      <c r="O42" s="338"/>
      <c r="P42" s="339" t="str" cm="1">
        <f t="array" ref="P42">IFERROR(INDEX(_xlfn.SORTBY(_xlfn._xlws.FILTER(tblCarryingExpenses[Date],(tblCarryingExpenses[Category]="Water")*(tblCarryingExpenses[Include]="Yes")),_xlfn._xlws.FILTER(tblCarryingExpenses[Date],(tblCarryingExpenses[Category]="Water")*(tblCarryingExpenses[Include]="Yes")),1),ROWS($P$3:P42)),"")</f>
        <v/>
      </c>
      <c r="Q42" s="340" t="str" cm="1">
        <f t="array" ref="Q42">IFERROR(INDEX(_xlfn.SORTBY(_xlfn._xlws.FILTER(tblCarryingExpenses[Amount],(tblCarryingExpenses[Category]="Water")*(tblCarryingExpenses[Include]="Yes")),_xlfn._xlws.FILTER(tblCarryingExpenses[Date],(tblCarryingExpenses[Category]="Water")*(tblCarryingExpenses[Include]="Yes")),1),ROWS($P$3:P42)),"")</f>
        <v/>
      </c>
      <c r="R42" s="338"/>
      <c r="S42" s="339" t="str" cm="1">
        <f t="array" ref="S42">IFERROR(INDEX(_xlfn.SORTBY(_xlfn._xlws.FILTER(tblCarryingExpenses[Date],(tblCarryingExpenses[Category]="Natural Gas")*(tblCarryingExpenses[Include]="Yes")),_xlfn._xlws.FILTER(tblCarryingExpenses[Date],(tblCarryingExpenses[Category]="Natural Gas")*(tblCarryingExpenses[Include]="Yes")),1),ROWS($S$3:S42)),"")</f>
        <v/>
      </c>
      <c r="T42" s="340" t="str" cm="1">
        <f t="array" ref="T42">IFERROR(INDEX(_xlfn.SORTBY(_xlfn._xlws.FILTER(tblCarryingExpenses[Amount],(tblCarryingExpenses[Category]="Natural Gas")*(tblCarryingExpenses[Include]="Yes")),_xlfn._xlws.FILTER(tblCarryingExpenses[Date],(tblCarryingExpenses[Category]="Natural Gas")*(tblCarryingExpenses[Include]="Yes")),1),ROWS($S$3:S42)),"")</f>
        <v/>
      </c>
      <c r="U42" s="338"/>
      <c r="V42" s="339" t="str" cm="1">
        <f t="array" ref="V42">IFERROR(INDEX(_xlfn.SORTBY(_xlfn._xlws.FILTER(tblCarryingExpenses[Date],(tblCarryingExpenses[Category]="HOA")*(tblCarryingExpenses[Include]="Yes")),_xlfn._xlws.FILTER(tblCarryingExpenses[Date],(tblCarryingExpenses[Category]="HOA")*(tblCarryingExpenses[Include]="Yes")),1),ROWS($V$3:V42)),"")</f>
        <v/>
      </c>
      <c r="W42" s="340" t="str" cm="1">
        <f t="array" ref="W42">IFERROR(INDEX(_xlfn.SORTBY(_xlfn._xlws.FILTER(tblCarryingExpenses[Amount],(tblCarryingExpenses[Category]="HOA")*(tblCarryingExpenses[Include]="Yes")),_xlfn._xlws.FILTER(tblCarryingExpenses[Date],(tblCarryingExpenses[Category]="HOA")*(tblCarryingExpenses[Include]="Yes")),1),ROWS($V$3:V42)),"")</f>
        <v/>
      </c>
      <c r="X42" s="338"/>
      <c r="Y42" s="339" t="str" cm="1">
        <f t="array" ref="Y42">IFERROR(INDEX(_xlfn.SORTBY(_xlfn._xlws.FILTER(tblCarryingExpenses[Date],(tblCarryingExpenses[Category]="Property Taxes")*(tblCarryingExpenses[Include]="Yes")),_xlfn._xlws.FILTER(tblCarryingExpenses[Date],(tblCarryingExpenses[Category]="Property Taxes")*(tblCarryingExpenses[Include]="Yes")),1),ROWS($Y$3:Y42)),"")</f>
        <v/>
      </c>
      <c r="Z42" s="340" t="str" cm="1">
        <f t="array" ref="Z42">IFERROR(IF(INDEX(_xlfn.SORTBY(_xlfn._xlws.FILTER(tblCarryingExpenses[Amount],(tblCarryingExpenses[Category]="Property Taxes")*(tblCarryingExpenses[Include]="Yes")),_xlfn._xlws.FILTER(tblCarryingExpenses[Date],(tblCarryingExpenses[Category]="Property Taxes")*(tblCarryingExpenses[Include]="Yes")),1),ROWS($Y$3:Y42))&lt;0,"",INDEX(_xlfn.SORTBY(_xlfn._xlws.FILTER(tblCarryingExpenses[Amount],(tblCarryingExpenses[Category]="Property Taxes")*(tblCarryingExpenses[Include]="Yes")),_xlfn._xlws.FILTER(tblCarryingExpenses[Date],(tblCarryingExpenses[Category]="Property Taxes")*(tblCarryingExpenses[Include]="Yes")),1),ROWS($Y$3:Y42))),"")</f>
        <v/>
      </c>
      <c r="AA42" s="340" t="str" cm="1">
        <f t="array" ref="AA42">IFERROR(IF(ISNUMBER(SEARCH("escrow",INDEX(_xlfn.SORTBY(_xlfn._xlws.FILTER(tblCarryingExpenses[Notes],(tblCarryingExpenses[Category]="Property Taxes")*(tblCarryingExpenses[Include]="Yes")),_xlfn._xlws.FILTER(tblCarryingExpenses[Date],(tblCarryingExpenses[Category]="Property Taxes")*(tblCarryingExpenses[Include]="Yes")),1),ROWS($Y$3:Y42)))),INDEX(_xlfn.SORTBY(_xlfn._xlws.FILTER(tblCarryingExpenses[Amount],(tblCarryingExpenses[Category]="Property Taxes")*(tblCarryingExpenses[Include]="Yes")),_xlfn._xlws.FILTER(tblCarryingExpenses[Date],(tblCarryingExpenses[Category]="Property Taxes")*(tblCarryingExpenses[Include]="Yes")),1),ROWS($Y$3:Y42)),""),"")</f>
        <v/>
      </c>
      <c r="AB42" s="339" t="str" cm="1">
        <f t="array" ref="AB42">IFERROR(INDEX(_xlfn.SORTBY(_xlfn._xlws.FILTER(tblCarryingExpenses[Date],(tblCarryingExpenses[Category]="Excavator Rental")*(tblCarryingExpenses[Include]="Yes")),_xlfn._xlws.FILTER(tblCarryingExpenses[Date],(tblCarryingExpenses[Category]="Excavator Rental")*(tblCarryingExpenses[Include]="Yes")),1),ROWS($AB$3:AB42)),"")</f>
        <v/>
      </c>
      <c r="AC42" s="340" t="str" cm="1">
        <f t="array" ref="AC42">IFERROR(INDEX(_xlfn.SORTBY(_xlfn._xlws.FILTER(tblCarryingExpenses[Amount],(tblCarryingExpenses[Category]="Excavator Rental")*(tblCarryingExpenses[Include]="Yes")),_xlfn._xlws.FILTER(tblCarryingExpenses[Date],(tblCarryingExpenses[Category]="Excavator Rental")*(tblCarryingExpenses[Include]="Yes")),1),ROWS($AB$3:AB42)),"")</f>
        <v/>
      </c>
      <c r="AD42" s="338"/>
      <c r="AE42" s="339" t="str" cm="1">
        <f t="array" ref="AE42">IFERROR(INDEX(_xlfn.SORTBY(_xlfn._xlws.FILTER(tblCarryingExpenses[Date],(tblCarryingExpenses[Category]="Lawn")*(tblCarryingExpenses[Include]="Yes")),_xlfn._xlws.FILTER(tblCarryingExpenses[Date],(tblCarryingExpenses[Category]="Lawn")*(tblCarryingExpenses[Include]="Yes")),1),ROWS($AE$3:AE42)),"")</f>
        <v/>
      </c>
      <c r="AF42" s="340" t="str" cm="1">
        <f t="array" ref="AF42">IFERROR(INDEX(_xlfn.SORTBY(_xlfn._xlws.FILTER(tblCarryingExpenses[Amount],(tblCarryingExpenses[Category]="Lawn")*(tblCarryingExpenses[Include]="Yes")),_xlfn._xlws.FILTER(tblCarryingExpenses[Date],(tblCarryingExpenses[Category]="Lawn")*(tblCarryingExpenses[Include]="Yes")),1),ROWS($AE$3:AE42)),"")</f>
        <v/>
      </c>
      <c r="AL42" t="s">
        <v>7</v>
      </c>
      <c r="AM42" t="s">
        <v>738</v>
      </c>
      <c r="AN42" s="12">
        <v>45261</v>
      </c>
      <c r="AQ42" s="5">
        <v>925</v>
      </c>
      <c r="AR42" t="s">
        <v>780</v>
      </c>
      <c r="AT42" t="s">
        <v>781</v>
      </c>
      <c r="AU42" t="s">
        <v>782</v>
      </c>
      <c r="AV42" t="s">
        <v>823</v>
      </c>
    </row>
    <row r="43" spans="1:48" x14ac:dyDescent="0.25">
      <c r="A43" s="339" t="str" cm="1">
        <f t="array" ref="A43">IFERROR(INDEX(_xlfn.SORTBY(_xlfn._xlws.FILTER(tblCarryingExpenses[Date],(tblCarryingExpenses[Category]="Duke Electric")*(tblCarryingExpenses[Include]="Yes")),_xlfn._xlws.FILTER(tblCarryingExpenses[Date],(tblCarryingExpenses[Category]="Duke Electric")*(tblCarryingExpenses[Include]="Yes")),1),ROWS($A$3:A43)),"")</f>
        <v/>
      </c>
      <c r="B43" s="340" t="str" cm="1">
        <f t="array" ref="B43">IFERROR(INDEX(_xlfn.SORTBY(_xlfn._xlws.FILTER(tblCarryingExpenses[Amount],(tblCarryingExpenses[Category]="Duke Electric")*(tblCarryingExpenses[Include]="Yes")),_xlfn._xlws.FILTER(tblCarryingExpenses[Date],(tblCarryingExpenses[Category]="Duke Electric")*(tblCarryingExpenses[Include]="Yes")),1),ROWS($A$3:A43)),"")</f>
        <v/>
      </c>
      <c r="C43" s="338"/>
      <c r="D43" s="339" t="str" cm="1">
        <f t="array" ref="D43">IFERROR(INDEX(_xlfn.SORTBY(_xlfn._xlws.FILTER(tblCarryingExpenses[Date],(tblCarryingExpenses[Category]="Mortgage Payment")*(tblCarryingExpenses[Include]="Yes")),_xlfn._xlws.FILTER(tblCarryingExpenses[Date],(tblCarryingExpenses[Category]="Mortgage Payment")*(tblCarryingExpenses[Include]="Yes")),1),ROWS($D$3:D43)),"")</f>
        <v/>
      </c>
      <c r="E43" s="340" t="str" cm="1">
        <f t="array" ref="E43">IFERROR(INDEX(_xlfn.SORTBY(_xlfn._xlws.FILTER(tblCarryingExpenses[Amount],(tblCarryingExpenses[Category]="Mortgage Payment")*(tblCarryingExpenses[Include]="Yes")),_xlfn._xlws.FILTER(tblCarryingExpenses[Date],(tblCarryingExpenses[Category]="Mortgage Payment")*(tblCarryingExpenses[Include]="Yes")),1),ROWS($D$3:D43)),"")</f>
        <v/>
      </c>
      <c r="F43" s="338"/>
      <c r="G43" s="339" t="str" cm="1">
        <f t="array" ref="G43">IFERROR(INDEX(_xlfn.SORTBY(_xlfn._xlws.FILTER(tblCarryingExpenses[Date],(tblCarryingExpenses[Category]="Private Money")*(tblCarryingExpenses[Include]="Yes")),_xlfn._xlws.FILTER(tblCarryingExpenses[Date],(tblCarryingExpenses[Category]="Private Money")*(tblCarryingExpenses[Include]="Yes")),1),ROWS($G$3:G43)),"")</f>
        <v/>
      </c>
      <c r="H43" s="340" t="str" cm="1">
        <f t="array" ref="H43">IFERROR(INDEX(_xlfn.SORTBY(_xlfn._xlws.FILTER(tblCarryingExpenses[Amount],(tblCarryingExpenses[Category]="Private Money")*(tblCarryingExpenses[Include]="Yes")),_xlfn._xlws.FILTER(tblCarryingExpenses[Date],(tblCarryingExpenses[Category]="Private Money")*(tblCarryingExpenses[Include]="Yes")),1),ROWS($G$3:G43)),"")</f>
        <v/>
      </c>
      <c r="I43" s="338"/>
      <c r="J43" s="339" t="str" cm="1">
        <f t="array" ref="J43">IFERROR(INDEX(_xlfn.SORTBY(_xlfn._xlws.FILTER(tblCarryingExpenses[Date],(tblCarryingExpenses[Category]="Casa Lending")*(tblCarryingExpenses[Include]="Yes")),_xlfn._xlws.FILTER(tblCarryingExpenses[Date],(tblCarryingExpenses[Category]="Casa Lending")*(tblCarryingExpenses[Include]="Yes")),1),ROWS($J$3:J43)),"")</f>
        <v/>
      </c>
      <c r="K43" s="340" t="str" cm="1">
        <f t="array" ref="K43">IFERROR(INDEX(_xlfn.SORTBY(_xlfn._xlws.FILTER(tblCarryingExpenses[Amount],(tblCarryingExpenses[Category]="Casa Lending")*(tblCarryingExpenses[Include]="Yes")),_xlfn._xlws.FILTER(tblCarryingExpenses[Date],(tblCarryingExpenses[Category]="Casa Lending")*(tblCarryingExpenses[Include]="Yes")),1),ROWS($J$3:J43)),"")</f>
        <v/>
      </c>
      <c r="L43" s="338"/>
      <c r="M43" s="339" t="str" cm="1">
        <f t="array" ref="M43">IFERROR(INDEX(_xlfn.SORTBY(_xlfn._xlws.FILTER(tblCarryingExpenses[Date],(tblCarryingExpenses[Category]="Insurance Payments")*(tblCarryingExpenses[Include]="Yes")),_xlfn._xlws.FILTER(tblCarryingExpenses[Date],(tblCarryingExpenses[Category]="Insurance Payments")*(tblCarryingExpenses[Include]="Yes")),1),ROWS($M$3:M43)),"")</f>
        <v/>
      </c>
      <c r="N43" s="340" t="str" cm="1">
        <f t="array" ref="N43">IFERROR(INDEX(_xlfn.SORTBY(_xlfn._xlws.FILTER(tblCarryingExpenses[Amount],(tblCarryingExpenses[Category]="Insurance Payments")*(tblCarryingExpenses[Include]="Yes")),_xlfn._xlws.FILTER(tblCarryingExpenses[Date],(tblCarryingExpenses[Category]="Insurance Payments")*(tblCarryingExpenses[Include]="Yes")),1),ROWS($M$3:M43)),"")</f>
        <v/>
      </c>
      <c r="O43" s="338"/>
      <c r="P43" s="339" t="str" cm="1">
        <f t="array" ref="P43">IFERROR(INDEX(_xlfn.SORTBY(_xlfn._xlws.FILTER(tblCarryingExpenses[Date],(tblCarryingExpenses[Category]="Water")*(tblCarryingExpenses[Include]="Yes")),_xlfn._xlws.FILTER(tblCarryingExpenses[Date],(tblCarryingExpenses[Category]="Water")*(tblCarryingExpenses[Include]="Yes")),1),ROWS($P$3:P43)),"")</f>
        <v/>
      </c>
      <c r="Q43" s="340" t="str" cm="1">
        <f t="array" ref="Q43">IFERROR(INDEX(_xlfn.SORTBY(_xlfn._xlws.FILTER(tblCarryingExpenses[Amount],(tblCarryingExpenses[Category]="Water")*(tblCarryingExpenses[Include]="Yes")),_xlfn._xlws.FILTER(tblCarryingExpenses[Date],(tblCarryingExpenses[Category]="Water")*(tblCarryingExpenses[Include]="Yes")),1),ROWS($P$3:P43)),"")</f>
        <v/>
      </c>
      <c r="R43" s="338"/>
      <c r="S43" s="339" t="str" cm="1">
        <f t="array" ref="S43">IFERROR(INDEX(_xlfn.SORTBY(_xlfn._xlws.FILTER(tblCarryingExpenses[Date],(tblCarryingExpenses[Category]="Natural Gas")*(tblCarryingExpenses[Include]="Yes")),_xlfn._xlws.FILTER(tblCarryingExpenses[Date],(tblCarryingExpenses[Category]="Natural Gas")*(tblCarryingExpenses[Include]="Yes")),1),ROWS($S$3:S43)),"")</f>
        <v/>
      </c>
      <c r="T43" s="340" t="str" cm="1">
        <f t="array" ref="T43">IFERROR(INDEX(_xlfn.SORTBY(_xlfn._xlws.FILTER(tblCarryingExpenses[Amount],(tblCarryingExpenses[Category]="Natural Gas")*(tblCarryingExpenses[Include]="Yes")),_xlfn._xlws.FILTER(tblCarryingExpenses[Date],(tblCarryingExpenses[Category]="Natural Gas")*(tblCarryingExpenses[Include]="Yes")),1),ROWS($S$3:S43)),"")</f>
        <v/>
      </c>
      <c r="U43" s="338"/>
      <c r="V43" s="339" t="str" cm="1">
        <f t="array" ref="V43">IFERROR(INDEX(_xlfn.SORTBY(_xlfn._xlws.FILTER(tblCarryingExpenses[Date],(tblCarryingExpenses[Category]="HOA")*(tblCarryingExpenses[Include]="Yes")),_xlfn._xlws.FILTER(tblCarryingExpenses[Date],(tblCarryingExpenses[Category]="HOA")*(tblCarryingExpenses[Include]="Yes")),1),ROWS($V$3:V43)),"")</f>
        <v/>
      </c>
      <c r="W43" s="340" t="str" cm="1">
        <f t="array" ref="W43">IFERROR(INDEX(_xlfn.SORTBY(_xlfn._xlws.FILTER(tblCarryingExpenses[Amount],(tblCarryingExpenses[Category]="HOA")*(tblCarryingExpenses[Include]="Yes")),_xlfn._xlws.FILTER(tblCarryingExpenses[Date],(tblCarryingExpenses[Category]="HOA")*(tblCarryingExpenses[Include]="Yes")),1),ROWS($V$3:V43)),"")</f>
        <v/>
      </c>
      <c r="X43" s="338"/>
      <c r="Y43" s="339" t="str" cm="1">
        <f t="array" ref="Y43">IFERROR(INDEX(_xlfn.SORTBY(_xlfn._xlws.FILTER(tblCarryingExpenses[Date],(tblCarryingExpenses[Category]="Property Taxes")*(tblCarryingExpenses[Include]="Yes")),_xlfn._xlws.FILTER(tblCarryingExpenses[Date],(tblCarryingExpenses[Category]="Property Taxes")*(tblCarryingExpenses[Include]="Yes")),1),ROWS($Y$3:Y43)),"")</f>
        <v/>
      </c>
      <c r="Z43" s="340" t="str" cm="1">
        <f t="array" ref="Z43">IFERROR(IF(INDEX(_xlfn.SORTBY(_xlfn._xlws.FILTER(tblCarryingExpenses[Amount],(tblCarryingExpenses[Category]="Property Taxes")*(tblCarryingExpenses[Include]="Yes")),_xlfn._xlws.FILTER(tblCarryingExpenses[Date],(tblCarryingExpenses[Category]="Property Taxes")*(tblCarryingExpenses[Include]="Yes")),1),ROWS($Y$3:Y43))&lt;0,"",INDEX(_xlfn.SORTBY(_xlfn._xlws.FILTER(tblCarryingExpenses[Amount],(tblCarryingExpenses[Category]="Property Taxes")*(tblCarryingExpenses[Include]="Yes")),_xlfn._xlws.FILTER(tblCarryingExpenses[Date],(tblCarryingExpenses[Category]="Property Taxes")*(tblCarryingExpenses[Include]="Yes")),1),ROWS($Y$3:Y43))),"")</f>
        <v/>
      </c>
      <c r="AA43" s="340" t="str" cm="1">
        <f t="array" ref="AA43">IFERROR(IF(ISNUMBER(SEARCH("escrow",INDEX(_xlfn.SORTBY(_xlfn._xlws.FILTER(tblCarryingExpenses[Notes],(tblCarryingExpenses[Category]="Property Taxes")*(tblCarryingExpenses[Include]="Yes")),_xlfn._xlws.FILTER(tblCarryingExpenses[Date],(tblCarryingExpenses[Category]="Property Taxes")*(tblCarryingExpenses[Include]="Yes")),1),ROWS($Y$3:Y43)))),INDEX(_xlfn.SORTBY(_xlfn._xlws.FILTER(tblCarryingExpenses[Amount],(tblCarryingExpenses[Category]="Property Taxes")*(tblCarryingExpenses[Include]="Yes")),_xlfn._xlws.FILTER(tblCarryingExpenses[Date],(tblCarryingExpenses[Category]="Property Taxes")*(tblCarryingExpenses[Include]="Yes")),1),ROWS($Y$3:Y43)),""),"")</f>
        <v/>
      </c>
      <c r="AB43" s="339" t="str" cm="1">
        <f t="array" ref="AB43">IFERROR(INDEX(_xlfn.SORTBY(_xlfn._xlws.FILTER(tblCarryingExpenses[Date],(tblCarryingExpenses[Category]="Excavator Rental")*(tblCarryingExpenses[Include]="Yes")),_xlfn._xlws.FILTER(tblCarryingExpenses[Date],(tblCarryingExpenses[Category]="Excavator Rental")*(tblCarryingExpenses[Include]="Yes")),1),ROWS($AB$3:AB43)),"")</f>
        <v/>
      </c>
      <c r="AC43" s="340" t="str" cm="1">
        <f t="array" ref="AC43">IFERROR(INDEX(_xlfn.SORTBY(_xlfn._xlws.FILTER(tblCarryingExpenses[Amount],(tblCarryingExpenses[Category]="Excavator Rental")*(tblCarryingExpenses[Include]="Yes")),_xlfn._xlws.FILTER(tblCarryingExpenses[Date],(tblCarryingExpenses[Category]="Excavator Rental")*(tblCarryingExpenses[Include]="Yes")),1),ROWS($AB$3:AB43)),"")</f>
        <v/>
      </c>
      <c r="AD43" s="338"/>
      <c r="AE43" s="339" t="str" cm="1">
        <f t="array" ref="AE43">IFERROR(INDEX(_xlfn.SORTBY(_xlfn._xlws.FILTER(tblCarryingExpenses[Date],(tblCarryingExpenses[Category]="Lawn")*(tblCarryingExpenses[Include]="Yes")),_xlfn._xlws.FILTER(tblCarryingExpenses[Date],(tblCarryingExpenses[Category]="Lawn")*(tblCarryingExpenses[Include]="Yes")),1),ROWS($AE$3:AE43)),"")</f>
        <v/>
      </c>
      <c r="AF43" s="340" t="str" cm="1">
        <f t="array" ref="AF43">IFERROR(INDEX(_xlfn.SORTBY(_xlfn._xlws.FILTER(tblCarryingExpenses[Amount],(tblCarryingExpenses[Category]="Lawn")*(tblCarryingExpenses[Include]="Yes")),_xlfn._xlws.FILTER(tblCarryingExpenses[Date],(tblCarryingExpenses[Category]="Lawn")*(tblCarryingExpenses[Include]="Yes")),1),ROWS($AE$3:AE43)),"")</f>
        <v/>
      </c>
      <c r="AL43" t="s">
        <v>7</v>
      </c>
      <c r="AM43" t="s">
        <v>738</v>
      </c>
      <c r="AN43" s="12">
        <v>45291</v>
      </c>
      <c r="AQ43" s="5">
        <v>925</v>
      </c>
      <c r="AR43" t="s">
        <v>780</v>
      </c>
      <c r="AT43" t="s">
        <v>781</v>
      </c>
      <c r="AU43" t="s">
        <v>782</v>
      </c>
      <c r="AV43" t="s">
        <v>824</v>
      </c>
    </row>
    <row r="44" spans="1:48" x14ac:dyDescent="0.25">
      <c r="A44" s="339" t="str" cm="1">
        <f t="array" ref="A44">IFERROR(INDEX(_xlfn.SORTBY(_xlfn._xlws.FILTER(tblCarryingExpenses[Date],(tblCarryingExpenses[Category]="Duke Electric")*(tblCarryingExpenses[Include]="Yes")),_xlfn._xlws.FILTER(tblCarryingExpenses[Date],(tblCarryingExpenses[Category]="Duke Electric")*(tblCarryingExpenses[Include]="Yes")),1),ROWS($A$3:A44)),"")</f>
        <v/>
      </c>
      <c r="B44" s="340" t="str" cm="1">
        <f t="array" ref="B44">IFERROR(INDEX(_xlfn.SORTBY(_xlfn._xlws.FILTER(tblCarryingExpenses[Amount],(tblCarryingExpenses[Category]="Duke Electric")*(tblCarryingExpenses[Include]="Yes")),_xlfn._xlws.FILTER(tblCarryingExpenses[Date],(tblCarryingExpenses[Category]="Duke Electric")*(tblCarryingExpenses[Include]="Yes")),1),ROWS($A$3:A44)),"")</f>
        <v/>
      </c>
      <c r="C44" s="338"/>
      <c r="D44" s="339" t="str" cm="1">
        <f t="array" ref="D44">IFERROR(INDEX(_xlfn.SORTBY(_xlfn._xlws.FILTER(tblCarryingExpenses[Date],(tblCarryingExpenses[Category]="Mortgage Payment")*(tblCarryingExpenses[Include]="Yes")),_xlfn._xlws.FILTER(tblCarryingExpenses[Date],(tblCarryingExpenses[Category]="Mortgage Payment")*(tblCarryingExpenses[Include]="Yes")),1),ROWS($D$3:D44)),"")</f>
        <v/>
      </c>
      <c r="E44" s="340" t="str" cm="1">
        <f t="array" ref="E44">IFERROR(INDEX(_xlfn.SORTBY(_xlfn._xlws.FILTER(tblCarryingExpenses[Amount],(tblCarryingExpenses[Category]="Mortgage Payment")*(tblCarryingExpenses[Include]="Yes")),_xlfn._xlws.FILTER(tblCarryingExpenses[Date],(tblCarryingExpenses[Category]="Mortgage Payment")*(tblCarryingExpenses[Include]="Yes")),1),ROWS($D$3:D44)),"")</f>
        <v/>
      </c>
      <c r="F44" s="338"/>
      <c r="G44" s="339" t="str" cm="1">
        <f t="array" ref="G44">IFERROR(INDEX(_xlfn.SORTBY(_xlfn._xlws.FILTER(tblCarryingExpenses[Date],(tblCarryingExpenses[Category]="Private Money")*(tblCarryingExpenses[Include]="Yes")),_xlfn._xlws.FILTER(tblCarryingExpenses[Date],(tblCarryingExpenses[Category]="Private Money")*(tblCarryingExpenses[Include]="Yes")),1),ROWS($G$3:G44)),"")</f>
        <v/>
      </c>
      <c r="H44" s="340" t="str" cm="1">
        <f t="array" ref="H44">IFERROR(INDEX(_xlfn.SORTBY(_xlfn._xlws.FILTER(tblCarryingExpenses[Amount],(tblCarryingExpenses[Category]="Private Money")*(tblCarryingExpenses[Include]="Yes")),_xlfn._xlws.FILTER(tblCarryingExpenses[Date],(tblCarryingExpenses[Category]="Private Money")*(tblCarryingExpenses[Include]="Yes")),1),ROWS($G$3:G44)),"")</f>
        <v/>
      </c>
      <c r="I44" s="338"/>
      <c r="J44" s="339" t="str" cm="1">
        <f t="array" ref="J44">IFERROR(INDEX(_xlfn.SORTBY(_xlfn._xlws.FILTER(tblCarryingExpenses[Date],(tblCarryingExpenses[Category]="Casa Lending")*(tblCarryingExpenses[Include]="Yes")),_xlfn._xlws.FILTER(tblCarryingExpenses[Date],(tblCarryingExpenses[Category]="Casa Lending")*(tblCarryingExpenses[Include]="Yes")),1),ROWS($J$3:J44)),"")</f>
        <v/>
      </c>
      <c r="K44" s="340" t="str" cm="1">
        <f t="array" ref="K44">IFERROR(INDEX(_xlfn.SORTBY(_xlfn._xlws.FILTER(tblCarryingExpenses[Amount],(tblCarryingExpenses[Category]="Casa Lending")*(tblCarryingExpenses[Include]="Yes")),_xlfn._xlws.FILTER(tblCarryingExpenses[Date],(tblCarryingExpenses[Category]="Casa Lending")*(tblCarryingExpenses[Include]="Yes")),1),ROWS($J$3:J44)),"")</f>
        <v/>
      </c>
      <c r="L44" s="338"/>
      <c r="M44" s="339" t="str" cm="1">
        <f t="array" ref="M44">IFERROR(INDEX(_xlfn.SORTBY(_xlfn._xlws.FILTER(tblCarryingExpenses[Date],(tblCarryingExpenses[Category]="Insurance Payments")*(tblCarryingExpenses[Include]="Yes")),_xlfn._xlws.FILTER(tblCarryingExpenses[Date],(tblCarryingExpenses[Category]="Insurance Payments")*(tblCarryingExpenses[Include]="Yes")),1),ROWS($M$3:M44)),"")</f>
        <v/>
      </c>
      <c r="N44" s="340" t="str" cm="1">
        <f t="array" ref="N44">IFERROR(INDEX(_xlfn.SORTBY(_xlfn._xlws.FILTER(tblCarryingExpenses[Amount],(tblCarryingExpenses[Category]="Insurance Payments")*(tblCarryingExpenses[Include]="Yes")),_xlfn._xlws.FILTER(tblCarryingExpenses[Date],(tblCarryingExpenses[Category]="Insurance Payments")*(tblCarryingExpenses[Include]="Yes")),1),ROWS($M$3:M44)),"")</f>
        <v/>
      </c>
      <c r="O44" s="338"/>
      <c r="P44" s="339" t="str" cm="1">
        <f t="array" ref="P44">IFERROR(INDEX(_xlfn.SORTBY(_xlfn._xlws.FILTER(tblCarryingExpenses[Date],(tblCarryingExpenses[Category]="Water")*(tblCarryingExpenses[Include]="Yes")),_xlfn._xlws.FILTER(tblCarryingExpenses[Date],(tblCarryingExpenses[Category]="Water")*(tblCarryingExpenses[Include]="Yes")),1),ROWS($P$3:P44)),"")</f>
        <v/>
      </c>
      <c r="Q44" s="340" t="str" cm="1">
        <f t="array" ref="Q44">IFERROR(INDEX(_xlfn.SORTBY(_xlfn._xlws.FILTER(tblCarryingExpenses[Amount],(tblCarryingExpenses[Category]="Water")*(tblCarryingExpenses[Include]="Yes")),_xlfn._xlws.FILTER(tblCarryingExpenses[Date],(tblCarryingExpenses[Category]="Water")*(tblCarryingExpenses[Include]="Yes")),1),ROWS($P$3:P44)),"")</f>
        <v/>
      </c>
      <c r="R44" s="338"/>
      <c r="S44" s="339" t="str" cm="1">
        <f t="array" ref="S44">IFERROR(INDEX(_xlfn.SORTBY(_xlfn._xlws.FILTER(tblCarryingExpenses[Date],(tblCarryingExpenses[Category]="Natural Gas")*(tblCarryingExpenses[Include]="Yes")),_xlfn._xlws.FILTER(tblCarryingExpenses[Date],(tblCarryingExpenses[Category]="Natural Gas")*(tblCarryingExpenses[Include]="Yes")),1),ROWS($S$3:S44)),"")</f>
        <v/>
      </c>
      <c r="T44" s="340" t="str" cm="1">
        <f t="array" ref="T44">IFERROR(INDEX(_xlfn.SORTBY(_xlfn._xlws.FILTER(tblCarryingExpenses[Amount],(tblCarryingExpenses[Category]="Natural Gas")*(tblCarryingExpenses[Include]="Yes")),_xlfn._xlws.FILTER(tblCarryingExpenses[Date],(tblCarryingExpenses[Category]="Natural Gas")*(tblCarryingExpenses[Include]="Yes")),1),ROWS($S$3:S44)),"")</f>
        <v/>
      </c>
      <c r="U44" s="338"/>
      <c r="V44" s="339" t="str" cm="1">
        <f t="array" ref="V44">IFERROR(INDEX(_xlfn.SORTBY(_xlfn._xlws.FILTER(tblCarryingExpenses[Date],(tblCarryingExpenses[Category]="HOA")*(tblCarryingExpenses[Include]="Yes")),_xlfn._xlws.FILTER(tblCarryingExpenses[Date],(tblCarryingExpenses[Category]="HOA")*(tblCarryingExpenses[Include]="Yes")),1),ROWS($V$3:V44)),"")</f>
        <v/>
      </c>
      <c r="W44" s="340" t="str" cm="1">
        <f t="array" ref="W44">IFERROR(INDEX(_xlfn.SORTBY(_xlfn._xlws.FILTER(tblCarryingExpenses[Amount],(tblCarryingExpenses[Category]="HOA")*(tblCarryingExpenses[Include]="Yes")),_xlfn._xlws.FILTER(tblCarryingExpenses[Date],(tblCarryingExpenses[Category]="HOA")*(tblCarryingExpenses[Include]="Yes")),1),ROWS($V$3:V44)),"")</f>
        <v/>
      </c>
      <c r="X44" s="338"/>
      <c r="Y44" s="339" t="str" cm="1">
        <f t="array" ref="Y44">IFERROR(INDEX(_xlfn.SORTBY(_xlfn._xlws.FILTER(tblCarryingExpenses[Date],(tblCarryingExpenses[Category]="Property Taxes")*(tblCarryingExpenses[Include]="Yes")),_xlfn._xlws.FILTER(tblCarryingExpenses[Date],(tblCarryingExpenses[Category]="Property Taxes")*(tblCarryingExpenses[Include]="Yes")),1),ROWS($Y$3:Y44)),"")</f>
        <v/>
      </c>
      <c r="Z44" s="340" t="str" cm="1">
        <f t="array" ref="Z44">IFERROR(IF(INDEX(_xlfn.SORTBY(_xlfn._xlws.FILTER(tblCarryingExpenses[Amount],(tblCarryingExpenses[Category]="Property Taxes")*(tblCarryingExpenses[Include]="Yes")),_xlfn._xlws.FILTER(tblCarryingExpenses[Date],(tblCarryingExpenses[Category]="Property Taxes")*(tblCarryingExpenses[Include]="Yes")),1),ROWS($Y$3:Y44))&lt;0,"",INDEX(_xlfn.SORTBY(_xlfn._xlws.FILTER(tblCarryingExpenses[Amount],(tblCarryingExpenses[Category]="Property Taxes")*(tblCarryingExpenses[Include]="Yes")),_xlfn._xlws.FILTER(tblCarryingExpenses[Date],(tblCarryingExpenses[Category]="Property Taxes")*(tblCarryingExpenses[Include]="Yes")),1),ROWS($Y$3:Y44))),"")</f>
        <v/>
      </c>
      <c r="AA44" s="340" t="str" cm="1">
        <f t="array" ref="AA44">IFERROR(IF(ISNUMBER(SEARCH("escrow",INDEX(_xlfn.SORTBY(_xlfn._xlws.FILTER(tblCarryingExpenses[Notes],(tblCarryingExpenses[Category]="Property Taxes")*(tblCarryingExpenses[Include]="Yes")),_xlfn._xlws.FILTER(tblCarryingExpenses[Date],(tblCarryingExpenses[Category]="Property Taxes")*(tblCarryingExpenses[Include]="Yes")),1),ROWS($Y$3:Y44)))),INDEX(_xlfn.SORTBY(_xlfn._xlws.FILTER(tblCarryingExpenses[Amount],(tblCarryingExpenses[Category]="Property Taxes")*(tblCarryingExpenses[Include]="Yes")),_xlfn._xlws.FILTER(tblCarryingExpenses[Date],(tblCarryingExpenses[Category]="Property Taxes")*(tblCarryingExpenses[Include]="Yes")),1),ROWS($Y$3:Y44)),""),"")</f>
        <v/>
      </c>
      <c r="AB44" s="339" t="str" cm="1">
        <f t="array" ref="AB44">IFERROR(INDEX(_xlfn.SORTBY(_xlfn._xlws.FILTER(tblCarryingExpenses[Date],(tblCarryingExpenses[Category]="Excavator Rental")*(tblCarryingExpenses[Include]="Yes")),_xlfn._xlws.FILTER(tblCarryingExpenses[Date],(tblCarryingExpenses[Category]="Excavator Rental")*(tblCarryingExpenses[Include]="Yes")),1),ROWS($AB$3:AB44)),"")</f>
        <v/>
      </c>
      <c r="AC44" s="340" t="str" cm="1">
        <f t="array" ref="AC44">IFERROR(INDEX(_xlfn.SORTBY(_xlfn._xlws.FILTER(tblCarryingExpenses[Amount],(tblCarryingExpenses[Category]="Excavator Rental")*(tblCarryingExpenses[Include]="Yes")),_xlfn._xlws.FILTER(tblCarryingExpenses[Date],(tblCarryingExpenses[Category]="Excavator Rental")*(tblCarryingExpenses[Include]="Yes")),1),ROWS($AB$3:AB44)),"")</f>
        <v/>
      </c>
      <c r="AD44" s="338"/>
      <c r="AE44" s="339" t="str" cm="1">
        <f t="array" ref="AE44">IFERROR(INDEX(_xlfn.SORTBY(_xlfn._xlws.FILTER(tblCarryingExpenses[Date],(tblCarryingExpenses[Category]="Lawn")*(tblCarryingExpenses[Include]="Yes")),_xlfn._xlws.FILTER(tblCarryingExpenses[Date],(tblCarryingExpenses[Category]="Lawn")*(tblCarryingExpenses[Include]="Yes")),1),ROWS($AE$3:AE44)),"")</f>
        <v/>
      </c>
      <c r="AF44" s="340" t="str" cm="1">
        <f t="array" ref="AF44">IFERROR(INDEX(_xlfn.SORTBY(_xlfn._xlws.FILTER(tblCarryingExpenses[Amount],(tblCarryingExpenses[Category]="Lawn")*(tblCarryingExpenses[Include]="Yes")),_xlfn._xlws.FILTER(tblCarryingExpenses[Date],(tblCarryingExpenses[Category]="Lawn")*(tblCarryingExpenses[Include]="Yes")),1),ROWS($AE$3:AE44)),"")</f>
        <v/>
      </c>
      <c r="AL44" t="s">
        <v>7</v>
      </c>
      <c r="AM44" t="s">
        <v>738</v>
      </c>
      <c r="AN44" s="12">
        <v>45295</v>
      </c>
      <c r="AQ44" s="5">
        <v>925</v>
      </c>
      <c r="AR44" t="s">
        <v>780</v>
      </c>
      <c r="AT44" t="s">
        <v>781</v>
      </c>
      <c r="AU44" t="s">
        <v>782</v>
      </c>
      <c r="AV44" t="s">
        <v>825</v>
      </c>
    </row>
    <row r="45" spans="1:48" x14ac:dyDescent="0.25">
      <c r="A45" s="339" t="str" cm="1">
        <f t="array" ref="A45">IFERROR(INDEX(_xlfn.SORTBY(_xlfn._xlws.FILTER(tblCarryingExpenses[Date],(tblCarryingExpenses[Category]="Duke Electric")*(tblCarryingExpenses[Include]="Yes")),_xlfn._xlws.FILTER(tblCarryingExpenses[Date],(tblCarryingExpenses[Category]="Duke Electric")*(tblCarryingExpenses[Include]="Yes")),1),ROWS($A$3:A45)),"")</f>
        <v/>
      </c>
      <c r="B45" s="340" t="str" cm="1">
        <f t="array" ref="B45">IFERROR(INDEX(_xlfn.SORTBY(_xlfn._xlws.FILTER(tblCarryingExpenses[Amount],(tblCarryingExpenses[Category]="Duke Electric")*(tblCarryingExpenses[Include]="Yes")),_xlfn._xlws.FILTER(tblCarryingExpenses[Date],(tblCarryingExpenses[Category]="Duke Electric")*(tblCarryingExpenses[Include]="Yes")),1),ROWS($A$3:A45)),"")</f>
        <v/>
      </c>
      <c r="C45" s="338"/>
      <c r="D45" s="339" t="str" cm="1">
        <f t="array" ref="D45">IFERROR(INDEX(_xlfn.SORTBY(_xlfn._xlws.FILTER(tblCarryingExpenses[Date],(tblCarryingExpenses[Category]="Mortgage Payment")*(tblCarryingExpenses[Include]="Yes")),_xlfn._xlws.FILTER(tblCarryingExpenses[Date],(tblCarryingExpenses[Category]="Mortgage Payment")*(tblCarryingExpenses[Include]="Yes")),1),ROWS($D$3:D45)),"")</f>
        <v/>
      </c>
      <c r="E45" s="340" t="str" cm="1">
        <f t="array" ref="E45">IFERROR(INDEX(_xlfn.SORTBY(_xlfn._xlws.FILTER(tblCarryingExpenses[Amount],(tblCarryingExpenses[Category]="Mortgage Payment")*(tblCarryingExpenses[Include]="Yes")),_xlfn._xlws.FILTER(tblCarryingExpenses[Date],(tblCarryingExpenses[Category]="Mortgage Payment")*(tblCarryingExpenses[Include]="Yes")),1),ROWS($D$3:D45)),"")</f>
        <v/>
      </c>
      <c r="F45" s="338"/>
      <c r="G45" s="339" t="str" cm="1">
        <f t="array" ref="G45">IFERROR(INDEX(_xlfn.SORTBY(_xlfn._xlws.FILTER(tblCarryingExpenses[Date],(tblCarryingExpenses[Category]="Private Money")*(tblCarryingExpenses[Include]="Yes")),_xlfn._xlws.FILTER(tblCarryingExpenses[Date],(tblCarryingExpenses[Category]="Private Money")*(tblCarryingExpenses[Include]="Yes")),1),ROWS($G$3:G45)),"")</f>
        <v/>
      </c>
      <c r="H45" s="340" t="str" cm="1">
        <f t="array" ref="H45">IFERROR(INDEX(_xlfn.SORTBY(_xlfn._xlws.FILTER(tblCarryingExpenses[Amount],(tblCarryingExpenses[Category]="Private Money")*(tblCarryingExpenses[Include]="Yes")),_xlfn._xlws.FILTER(tblCarryingExpenses[Date],(tblCarryingExpenses[Category]="Private Money")*(tblCarryingExpenses[Include]="Yes")),1),ROWS($G$3:G45)),"")</f>
        <v/>
      </c>
      <c r="I45" s="338"/>
      <c r="J45" s="339" t="str" cm="1">
        <f t="array" ref="J45">IFERROR(INDEX(_xlfn.SORTBY(_xlfn._xlws.FILTER(tblCarryingExpenses[Date],(tblCarryingExpenses[Category]="Casa Lending")*(tblCarryingExpenses[Include]="Yes")),_xlfn._xlws.FILTER(tblCarryingExpenses[Date],(tblCarryingExpenses[Category]="Casa Lending")*(tblCarryingExpenses[Include]="Yes")),1),ROWS($J$3:J45)),"")</f>
        <v/>
      </c>
      <c r="K45" s="340" t="str" cm="1">
        <f t="array" ref="K45">IFERROR(INDEX(_xlfn.SORTBY(_xlfn._xlws.FILTER(tblCarryingExpenses[Amount],(tblCarryingExpenses[Category]="Casa Lending")*(tblCarryingExpenses[Include]="Yes")),_xlfn._xlws.FILTER(tblCarryingExpenses[Date],(tblCarryingExpenses[Category]="Casa Lending")*(tblCarryingExpenses[Include]="Yes")),1),ROWS($J$3:J45)),"")</f>
        <v/>
      </c>
      <c r="L45" s="338"/>
      <c r="M45" s="339" t="str" cm="1">
        <f t="array" ref="M45">IFERROR(INDEX(_xlfn.SORTBY(_xlfn._xlws.FILTER(tblCarryingExpenses[Date],(tblCarryingExpenses[Category]="Insurance Payments")*(tblCarryingExpenses[Include]="Yes")),_xlfn._xlws.FILTER(tblCarryingExpenses[Date],(tblCarryingExpenses[Category]="Insurance Payments")*(tblCarryingExpenses[Include]="Yes")),1),ROWS($M$3:M45)),"")</f>
        <v/>
      </c>
      <c r="N45" s="340" t="str" cm="1">
        <f t="array" ref="N45">IFERROR(INDEX(_xlfn.SORTBY(_xlfn._xlws.FILTER(tblCarryingExpenses[Amount],(tblCarryingExpenses[Category]="Insurance Payments")*(tblCarryingExpenses[Include]="Yes")),_xlfn._xlws.FILTER(tblCarryingExpenses[Date],(tblCarryingExpenses[Category]="Insurance Payments")*(tblCarryingExpenses[Include]="Yes")),1),ROWS($M$3:M45)),"")</f>
        <v/>
      </c>
      <c r="O45" s="338"/>
      <c r="P45" s="339" t="str" cm="1">
        <f t="array" ref="P45">IFERROR(INDEX(_xlfn.SORTBY(_xlfn._xlws.FILTER(tblCarryingExpenses[Date],(tblCarryingExpenses[Category]="Water")*(tblCarryingExpenses[Include]="Yes")),_xlfn._xlws.FILTER(tblCarryingExpenses[Date],(tblCarryingExpenses[Category]="Water")*(tblCarryingExpenses[Include]="Yes")),1),ROWS($P$3:P45)),"")</f>
        <v/>
      </c>
      <c r="Q45" s="340" t="str" cm="1">
        <f t="array" ref="Q45">IFERROR(INDEX(_xlfn.SORTBY(_xlfn._xlws.FILTER(tblCarryingExpenses[Amount],(tblCarryingExpenses[Category]="Water")*(tblCarryingExpenses[Include]="Yes")),_xlfn._xlws.FILTER(tblCarryingExpenses[Date],(tblCarryingExpenses[Category]="Water")*(tblCarryingExpenses[Include]="Yes")),1),ROWS($P$3:P45)),"")</f>
        <v/>
      </c>
      <c r="R45" s="338"/>
      <c r="S45" s="339" t="str" cm="1">
        <f t="array" ref="S45">IFERROR(INDEX(_xlfn.SORTBY(_xlfn._xlws.FILTER(tblCarryingExpenses[Date],(tblCarryingExpenses[Category]="Natural Gas")*(tblCarryingExpenses[Include]="Yes")),_xlfn._xlws.FILTER(tblCarryingExpenses[Date],(tblCarryingExpenses[Category]="Natural Gas")*(tblCarryingExpenses[Include]="Yes")),1),ROWS($S$3:S45)),"")</f>
        <v/>
      </c>
      <c r="T45" s="340" t="str" cm="1">
        <f t="array" ref="T45">IFERROR(INDEX(_xlfn.SORTBY(_xlfn._xlws.FILTER(tblCarryingExpenses[Amount],(tblCarryingExpenses[Category]="Natural Gas")*(tblCarryingExpenses[Include]="Yes")),_xlfn._xlws.FILTER(tblCarryingExpenses[Date],(tblCarryingExpenses[Category]="Natural Gas")*(tblCarryingExpenses[Include]="Yes")),1),ROWS($S$3:S45)),"")</f>
        <v/>
      </c>
      <c r="U45" s="338"/>
      <c r="V45" s="339" t="str" cm="1">
        <f t="array" ref="V45">IFERROR(INDEX(_xlfn.SORTBY(_xlfn._xlws.FILTER(tblCarryingExpenses[Date],(tblCarryingExpenses[Category]="HOA")*(tblCarryingExpenses[Include]="Yes")),_xlfn._xlws.FILTER(tblCarryingExpenses[Date],(tblCarryingExpenses[Category]="HOA")*(tblCarryingExpenses[Include]="Yes")),1),ROWS($V$3:V45)),"")</f>
        <v/>
      </c>
      <c r="W45" s="340" t="str" cm="1">
        <f t="array" ref="W45">IFERROR(INDEX(_xlfn.SORTBY(_xlfn._xlws.FILTER(tblCarryingExpenses[Amount],(tblCarryingExpenses[Category]="HOA")*(tblCarryingExpenses[Include]="Yes")),_xlfn._xlws.FILTER(tblCarryingExpenses[Date],(tblCarryingExpenses[Category]="HOA")*(tblCarryingExpenses[Include]="Yes")),1),ROWS($V$3:V45)),"")</f>
        <v/>
      </c>
      <c r="X45" s="338"/>
      <c r="Y45" s="339" t="str" cm="1">
        <f t="array" ref="Y45">IFERROR(INDEX(_xlfn.SORTBY(_xlfn._xlws.FILTER(tblCarryingExpenses[Date],(tblCarryingExpenses[Category]="Property Taxes")*(tblCarryingExpenses[Include]="Yes")),_xlfn._xlws.FILTER(tblCarryingExpenses[Date],(tblCarryingExpenses[Category]="Property Taxes")*(tblCarryingExpenses[Include]="Yes")),1),ROWS($Y$3:Y45)),"")</f>
        <v/>
      </c>
      <c r="Z45" s="340" t="str" cm="1">
        <f t="array" ref="Z45">IFERROR(IF(INDEX(_xlfn.SORTBY(_xlfn._xlws.FILTER(tblCarryingExpenses[Amount],(tblCarryingExpenses[Category]="Property Taxes")*(tblCarryingExpenses[Include]="Yes")),_xlfn._xlws.FILTER(tblCarryingExpenses[Date],(tblCarryingExpenses[Category]="Property Taxes")*(tblCarryingExpenses[Include]="Yes")),1),ROWS($Y$3:Y45))&lt;0,"",INDEX(_xlfn.SORTBY(_xlfn._xlws.FILTER(tblCarryingExpenses[Amount],(tblCarryingExpenses[Category]="Property Taxes")*(tblCarryingExpenses[Include]="Yes")),_xlfn._xlws.FILTER(tblCarryingExpenses[Date],(tblCarryingExpenses[Category]="Property Taxes")*(tblCarryingExpenses[Include]="Yes")),1),ROWS($Y$3:Y45))),"")</f>
        <v/>
      </c>
      <c r="AA45" s="340" t="str" cm="1">
        <f t="array" ref="AA45">IFERROR(IF(ISNUMBER(SEARCH("escrow",INDEX(_xlfn.SORTBY(_xlfn._xlws.FILTER(tblCarryingExpenses[Notes],(tblCarryingExpenses[Category]="Property Taxes")*(tblCarryingExpenses[Include]="Yes")),_xlfn._xlws.FILTER(tblCarryingExpenses[Date],(tblCarryingExpenses[Category]="Property Taxes")*(tblCarryingExpenses[Include]="Yes")),1),ROWS($Y$3:Y45)))),INDEX(_xlfn.SORTBY(_xlfn._xlws.FILTER(tblCarryingExpenses[Amount],(tblCarryingExpenses[Category]="Property Taxes")*(tblCarryingExpenses[Include]="Yes")),_xlfn._xlws.FILTER(tblCarryingExpenses[Date],(tblCarryingExpenses[Category]="Property Taxes")*(tblCarryingExpenses[Include]="Yes")),1),ROWS($Y$3:Y45)),""),"")</f>
        <v/>
      </c>
      <c r="AB45" s="339" t="str" cm="1">
        <f t="array" ref="AB45">IFERROR(INDEX(_xlfn.SORTBY(_xlfn._xlws.FILTER(tblCarryingExpenses[Date],(tblCarryingExpenses[Category]="Excavator Rental")*(tblCarryingExpenses[Include]="Yes")),_xlfn._xlws.FILTER(tblCarryingExpenses[Date],(tblCarryingExpenses[Category]="Excavator Rental")*(tblCarryingExpenses[Include]="Yes")),1),ROWS($AB$3:AB45)),"")</f>
        <v/>
      </c>
      <c r="AC45" s="340" t="str" cm="1">
        <f t="array" ref="AC45">IFERROR(INDEX(_xlfn.SORTBY(_xlfn._xlws.FILTER(tblCarryingExpenses[Amount],(tblCarryingExpenses[Category]="Excavator Rental")*(tblCarryingExpenses[Include]="Yes")),_xlfn._xlws.FILTER(tblCarryingExpenses[Date],(tblCarryingExpenses[Category]="Excavator Rental")*(tblCarryingExpenses[Include]="Yes")),1),ROWS($AB$3:AB45)),"")</f>
        <v/>
      </c>
      <c r="AD45" s="338"/>
      <c r="AE45" s="339" t="str" cm="1">
        <f t="array" ref="AE45">IFERROR(INDEX(_xlfn.SORTBY(_xlfn._xlws.FILTER(tblCarryingExpenses[Date],(tblCarryingExpenses[Category]="Lawn")*(tblCarryingExpenses[Include]="Yes")),_xlfn._xlws.FILTER(tblCarryingExpenses[Date],(tblCarryingExpenses[Category]="Lawn")*(tblCarryingExpenses[Include]="Yes")),1),ROWS($AE$3:AE45)),"")</f>
        <v/>
      </c>
      <c r="AF45" s="340" t="str" cm="1">
        <f t="array" ref="AF45">IFERROR(INDEX(_xlfn.SORTBY(_xlfn._xlws.FILTER(tblCarryingExpenses[Amount],(tblCarryingExpenses[Category]="Lawn")*(tblCarryingExpenses[Include]="Yes")),_xlfn._xlws.FILTER(tblCarryingExpenses[Date],(tblCarryingExpenses[Category]="Lawn")*(tblCarryingExpenses[Include]="Yes")),1),ROWS($AE$3:AE45)),"")</f>
        <v/>
      </c>
      <c r="AL45" t="s">
        <v>7</v>
      </c>
      <c r="AM45" t="s">
        <v>738</v>
      </c>
      <c r="AN45" s="12">
        <v>45363</v>
      </c>
      <c r="AQ45" s="5">
        <v>925</v>
      </c>
      <c r="AR45" t="s">
        <v>780</v>
      </c>
      <c r="AT45" t="s">
        <v>781</v>
      </c>
      <c r="AU45" t="s">
        <v>782</v>
      </c>
      <c r="AV45" t="s">
        <v>826</v>
      </c>
    </row>
    <row r="46" spans="1:48" x14ac:dyDescent="0.25">
      <c r="AL46" t="s">
        <v>7</v>
      </c>
      <c r="AM46" t="s">
        <v>738</v>
      </c>
      <c r="AN46" s="12">
        <v>45383</v>
      </c>
      <c r="AQ46" s="5">
        <v>925</v>
      </c>
      <c r="AR46" t="s">
        <v>780</v>
      </c>
      <c r="AT46" t="s">
        <v>781</v>
      </c>
      <c r="AU46" t="s">
        <v>782</v>
      </c>
      <c r="AV46" t="s">
        <v>827</v>
      </c>
    </row>
    <row r="47" spans="1:48" x14ac:dyDescent="0.25">
      <c r="A47" s="341"/>
      <c r="B47" s="342">
        <f>SUMIFS(tblCarryingExpenses[Amount],tblCarryingExpenses[Category],"Duke Electric",tblCarryingExpenses[Include],"Yes")</f>
        <v>358.85999999999996</v>
      </c>
      <c r="C47" s="341"/>
      <c r="D47" s="341"/>
      <c r="E47" s="342">
        <f>SUMIFS(tblCarryingExpenses[Amount],tblCarryingExpenses[Category],"Mortgage Payment",tblCarryingExpenses[Include],"Yes")</f>
        <v>35916.269999999997</v>
      </c>
      <c r="F47" s="341"/>
      <c r="G47" s="341"/>
      <c r="H47" s="342">
        <f>SUMIFS(tblCarryingExpenses[Amount],tblCarryingExpenses[Category],"Private Money",tblCarryingExpenses[Include],"Yes")</f>
        <v>29600</v>
      </c>
      <c r="I47" s="341"/>
      <c r="J47" s="341"/>
      <c r="K47" s="342">
        <f>SUMIFS(tblCarryingExpenses[Amount],tblCarryingExpenses[Category],"Casa Lending",tblCarryingExpenses[Include],"Yes")</f>
        <v>0</v>
      </c>
      <c r="L47" s="341"/>
      <c r="M47" s="341"/>
      <c r="N47" s="342">
        <f>SUMIFS(tblCarryingExpenses[Amount],tblCarryingExpenses[Category],"Insurance Payments",tblCarryingExpenses[Include],"Yes")</f>
        <v>3317.6600000000021</v>
      </c>
      <c r="O47" s="341"/>
      <c r="P47" s="341"/>
      <c r="Q47" s="342">
        <f>SUMIFS(tblCarryingExpenses[Amount],tblCarryingExpenses[Category],"Water",tblCarryingExpenses[Include],"Yes")</f>
        <v>414.09000000000003</v>
      </c>
      <c r="R47" s="341"/>
      <c r="S47" s="341"/>
      <c r="T47" s="342">
        <f>SUMIFS(tblCarryingExpenses[Amount],tblCarryingExpenses[Category],"Natural Gas",tblCarryingExpenses[Include],"Yes")</f>
        <v>87.72</v>
      </c>
      <c r="U47" s="341"/>
      <c r="V47" s="341"/>
      <c r="W47" s="342">
        <f>SUMIFS(tblCarryingExpenses[Amount],tblCarryingExpenses[Category],"HOA",tblCarryingExpenses[Include],"Yes")</f>
        <v>1373.75</v>
      </c>
      <c r="X47" s="341"/>
      <c r="Y47" s="341"/>
      <c r="Z47" s="342">
        <f>SUMIFS(tblCarryingExpenses[Amount],tblCarryingExpenses[Category],"Property Taxes",tblCarryingExpenses[Include],"Yes")</f>
        <v>2334.5300000000007</v>
      </c>
      <c r="AA47" s="342"/>
      <c r="AB47" s="341"/>
      <c r="AC47" s="342">
        <f>SUMIFS(tblCarryingExpenses[Amount],tblCarryingExpenses[Category],"Excavator Rental",tblCarryingExpenses[Include],"Yes")</f>
        <v>0</v>
      </c>
      <c r="AD47" s="341"/>
      <c r="AE47" s="341"/>
      <c r="AF47" s="342">
        <f>SUMIFS(tblCarryingExpenses[Amount],tblCarryingExpenses[Category],"Lawn",tblCarryingExpenses[Include],"Yes")</f>
        <v>0</v>
      </c>
      <c r="AL47" t="s">
        <v>7</v>
      </c>
      <c r="AM47" t="s">
        <v>738</v>
      </c>
      <c r="AN47" s="12">
        <v>45413</v>
      </c>
      <c r="AQ47" s="5">
        <v>925</v>
      </c>
      <c r="AR47" t="s">
        <v>780</v>
      </c>
      <c r="AT47" t="s">
        <v>781</v>
      </c>
      <c r="AU47" t="s">
        <v>782</v>
      </c>
      <c r="AV47" t="s">
        <v>828</v>
      </c>
    </row>
    <row r="48" spans="1:48" x14ac:dyDescent="0.25">
      <c r="AL48" t="s">
        <v>7</v>
      </c>
      <c r="AM48" t="s">
        <v>738</v>
      </c>
      <c r="AN48" s="12">
        <v>45443</v>
      </c>
      <c r="AQ48" s="5">
        <v>925</v>
      </c>
      <c r="AR48" t="s">
        <v>780</v>
      </c>
      <c r="AT48" t="s">
        <v>781</v>
      </c>
      <c r="AU48" t="s">
        <v>782</v>
      </c>
      <c r="AV48" t="s">
        <v>829</v>
      </c>
    </row>
    <row r="49" spans="38:48" x14ac:dyDescent="0.25">
      <c r="AL49" t="s">
        <v>7</v>
      </c>
      <c r="AM49" t="s">
        <v>738</v>
      </c>
      <c r="AN49" s="12">
        <v>45471</v>
      </c>
      <c r="AQ49" s="5">
        <v>925</v>
      </c>
      <c r="AR49" t="s">
        <v>780</v>
      </c>
      <c r="AT49" t="s">
        <v>781</v>
      </c>
      <c r="AU49" t="s">
        <v>782</v>
      </c>
      <c r="AV49" t="s">
        <v>830</v>
      </c>
    </row>
    <row r="50" spans="38:48" x14ac:dyDescent="0.25">
      <c r="AL50" t="s">
        <v>7</v>
      </c>
      <c r="AM50" t="s">
        <v>738</v>
      </c>
      <c r="AN50" s="12">
        <v>45501</v>
      </c>
      <c r="AQ50" s="5">
        <v>925</v>
      </c>
      <c r="AR50" t="s">
        <v>780</v>
      </c>
      <c r="AT50" t="s">
        <v>781</v>
      </c>
      <c r="AU50" t="s">
        <v>782</v>
      </c>
      <c r="AV50" t="s">
        <v>831</v>
      </c>
    </row>
    <row r="51" spans="38:48" x14ac:dyDescent="0.25">
      <c r="AL51" t="s">
        <v>7</v>
      </c>
      <c r="AM51" t="s">
        <v>738</v>
      </c>
      <c r="AN51" s="12">
        <v>45531</v>
      </c>
      <c r="AQ51" s="5">
        <v>925</v>
      </c>
      <c r="AR51" t="s">
        <v>780</v>
      </c>
      <c r="AT51" t="s">
        <v>781</v>
      </c>
      <c r="AU51" t="s">
        <v>782</v>
      </c>
      <c r="AV51" t="s">
        <v>832</v>
      </c>
    </row>
    <row r="52" spans="38:48" x14ac:dyDescent="0.25">
      <c r="AL52" t="s">
        <v>7</v>
      </c>
      <c r="AM52" t="s">
        <v>738</v>
      </c>
      <c r="AN52" s="12">
        <v>45561</v>
      </c>
      <c r="AQ52" s="5">
        <v>925</v>
      </c>
      <c r="AR52" t="s">
        <v>780</v>
      </c>
      <c r="AT52" t="s">
        <v>781</v>
      </c>
      <c r="AU52" t="s">
        <v>782</v>
      </c>
      <c r="AV52" t="s">
        <v>833</v>
      </c>
    </row>
    <row r="53" spans="38:48" x14ac:dyDescent="0.25">
      <c r="AL53" t="s">
        <v>7</v>
      </c>
      <c r="AM53" t="s">
        <v>738</v>
      </c>
      <c r="AN53" s="12">
        <v>45591</v>
      </c>
      <c r="AQ53" s="5">
        <v>925</v>
      </c>
      <c r="AR53" t="s">
        <v>780</v>
      </c>
      <c r="AT53" t="s">
        <v>781</v>
      </c>
      <c r="AU53" t="s">
        <v>782</v>
      </c>
      <c r="AV53" t="s">
        <v>834</v>
      </c>
    </row>
    <row r="54" spans="38:48" x14ac:dyDescent="0.25">
      <c r="AL54" t="s">
        <v>7</v>
      </c>
      <c r="AM54" t="s">
        <v>738</v>
      </c>
      <c r="AN54" s="12">
        <v>45621</v>
      </c>
      <c r="AQ54" s="5">
        <v>925</v>
      </c>
      <c r="AR54" t="s">
        <v>780</v>
      </c>
      <c r="AT54" t="s">
        <v>781</v>
      </c>
      <c r="AU54" t="s">
        <v>782</v>
      </c>
      <c r="AV54" t="s">
        <v>835</v>
      </c>
    </row>
    <row r="55" spans="38:48" x14ac:dyDescent="0.25">
      <c r="AL55" t="s">
        <v>7</v>
      </c>
      <c r="AM55" t="s">
        <v>738</v>
      </c>
      <c r="AN55" s="12">
        <v>45651</v>
      </c>
      <c r="AQ55" s="5">
        <v>925</v>
      </c>
      <c r="AR55" t="s">
        <v>780</v>
      </c>
      <c r="AT55" t="s">
        <v>781</v>
      </c>
      <c r="AU55" t="s">
        <v>782</v>
      </c>
      <c r="AV55" t="s">
        <v>836</v>
      </c>
    </row>
    <row r="56" spans="38:48" x14ac:dyDescent="0.25">
      <c r="AL56" t="s">
        <v>7</v>
      </c>
      <c r="AM56" t="s">
        <v>738</v>
      </c>
      <c r="AN56" s="12">
        <v>45685</v>
      </c>
      <c r="AQ56" s="5">
        <v>925</v>
      </c>
      <c r="AR56" t="s">
        <v>780</v>
      </c>
      <c r="AT56" t="s">
        <v>781</v>
      </c>
      <c r="AU56" t="s">
        <v>782</v>
      </c>
      <c r="AV56" t="s">
        <v>837</v>
      </c>
    </row>
    <row r="57" spans="38:48" x14ac:dyDescent="0.25">
      <c r="AL57" t="s">
        <v>7</v>
      </c>
      <c r="AM57" t="s">
        <v>738</v>
      </c>
      <c r="AN57" s="12">
        <v>45715</v>
      </c>
      <c r="AQ57" s="5">
        <v>925</v>
      </c>
      <c r="AR57" t="s">
        <v>780</v>
      </c>
      <c r="AT57" t="s">
        <v>781</v>
      </c>
      <c r="AU57" t="s">
        <v>782</v>
      </c>
      <c r="AV57" t="s">
        <v>838</v>
      </c>
    </row>
    <row r="58" spans="38:48" x14ac:dyDescent="0.25">
      <c r="AL58" t="s">
        <v>7</v>
      </c>
      <c r="AM58" t="s">
        <v>738</v>
      </c>
      <c r="AN58" s="12">
        <v>45745</v>
      </c>
      <c r="AQ58" s="5">
        <v>925</v>
      </c>
      <c r="AR58" t="s">
        <v>780</v>
      </c>
      <c r="AT58" t="s">
        <v>781</v>
      </c>
      <c r="AU58" t="s">
        <v>782</v>
      </c>
      <c r="AV58" t="s">
        <v>839</v>
      </c>
    </row>
    <row r="59" spans="38:48" x14ac:dyDescent="0.25">
      <c r="AL59" t="s">
        <v>7</v>
      </c>
      <c r="AM59" t="s">
        <v>738</v>
      </c>
      <c r="AN59" s="12">
        <v>45775</v>
      </c>
      <c r="AQ59" s="5">
        <v>925</v>
      </c>
      <c r="AR59" t="s">
        <v>780</v>
      </c>
      <c r="AT59" t="s">
        <v>781</v>
      </c>
      <c r="AU59" t="s">
        <v>782</v>
      </c>
      <c r="AV59" t="s">
        <v>840</v>
      </c>
    </row>
    <row r="60" spans="38:48" x14ac:dyDescent="0.25">
      <c r="AL60" t="s">
        <v>7</v>
      </c>
      <c r="AM60" t="s">
        <v>738</v>
      </c>
      <c r="AN60" s="12">
        <v>45805</v>
      </c>
      <c r="AQ60" s="5">
        <v>925</v>
      </c>
      <c r="AR60" t="s">
        <v>780</v>
      </c>
      <c r="AT60" t="s">
        <v>781</v>
      </c>
      <c r="AU60" t="s">
        <v>782</v>
      </c>
      <c r="AV60" t="s">
        <v>841</v>
      </c>
    </row>
    <row r="61" spans="38:48" x14ac:dyDescent="0.25">
      <c r="AL61" t="s">
        <v>7</v>
      </c>
      <c r="AM61" t="s">
        <v>738</v>
      </c>
      <c r="AN61" s="12">
        <v>45835</v>
      </c>
      <c r="AQ61" s="5">
        <v>925</v>
      </c>
      <c r="AR61" t="s">
        <v>780</v>
      </c>
      <c r="AT61" t="s">
        <v>781</v>
      </c>
      <c r="AU61" t="s">
        <v>782</v>
      </c>
      <c r="AV61" t="s">
        <v>842</v>
      </c>
    </row>
    <row r="62" spans="38:48" x14ac:dyDescent="0.25">
      <c r="AL62" t="s">
        <v>7</v>
      </c>
      <c r="AM62" t="s">
        <v>738</v>
      </c>
      <c r="AN62" s="12">
        <v>45865</v>
      </c>
      <c r="AQ62" s="5">
        <v>925</v>
      </c>
      <c r="AR62" t="s">
        <v>780</v>
      </c>
      <c r="AT62" t="s">
        <v>781</v>
      </c>
      <c r="AU62" t="s">
        <v>782</v>
      </c>
      <c r="AV62" t="s">
        <v>843</v>
      </c>
    </row>
    <row r="63" spans="38:48" x14ac:dyDescent="0.25">
      <c r="AL63" t="s">
        <v>7</v>
      </c>
      <c r="AM63" t="s">
        <v>738</v>
      </c>
      <c r="AN63" s="12">
        <v>45895</v>
      </c>
      <c r="AQ63" s="5">
        <v>925</v>
      </c>
      <c r="AR63" t="s">
        <v>780</v>
      </c>
      <c r="AT63" t="s">
        <v>781</v>
      </c>
      <c r="AU63" t="s">
        <v>782</v>
      </c>
      <c r="AV63" t="s">
        <v>844</v>
      </c>
    </row>
    <row r="64" spans="38:48" x14ac:dyDescent="0.25">
      <c r="AL64" t="s">
        <v>7</v>
      </c>
      <c r="AM64" t="s">
        <v>738</v>
      </c>
      <c r="AN64" s="12">
        <v>45925</v>
      </c>
      <c r="AQ64" s="5">
        <v>925</v>
      </c>
      <c r="AR64" t="s">
        <v>780</v>
      </c>
      <c r="AT64" t="s">
        <v>781</v>
      </c>
      <c r="AU64" t="s">
        <v>782</v>
      </c>
      <c r="AV64" t="s">
        <v>845</v>
      </c>
    </row>
    <row r="65" spans="38:48" x14ac:dyDescent="0.25">
      <c r="AL65" t="s">
        <v>7</v>
      </c>
      <c r="AM65" t="s">
        <v>738</v>
      </c>
      <c r="AN65" s="12">
        <v>45955</v>
      </c>
      <c r="AQ65" s="5">
        <v>925</v>
      </c>
      <c r="AR65" t="s">
        <v>780</v>
      </c>
      <c r="AT65" t="s">
        <v>781</v>
      </c>
      <c r="AU65" t="s">
        <v>782</v>
      </c>
      <c r="AV65" t="s">
        <v>846</v>
      </c>
    </row>
    <row r="66" spans="38:48" x14ac:dyDescent="0.25">
      <c r="AL66" t="s">
        <v>7</v>
      </c>
      <c r="AM66" t="s">
        <v>738</v>
      </c>
      <c r="AN66" s="12">
        <v>45985</v>
      </c>
      <c r="AQ66" s="5">
        <v>925</v>
      </c>
      <c r="AR66" t="s">
        <v>780</v>
      </c>
      <c r="AT66" t="s">
        <v>781</v>
      </c>
      <c r="AU66" t="s">
        <v>782</v>
      </c>
      <c r="AV66" t="s">
        <v>847</v>
      </c>
    </row>
    <row r="67" spans="38:48" x14ac:dyDescent="0.25">
      <c r="AL67" t="s">
        <v>7</v>
      </c>
      <c r="AM67" t="s">
        <v>738</v>
      </c>
      <c r="AN67" s="12">
        <v>46015</v>
      </c>
      <c r="AQ67" s="5">
        <v>925</v>
      </c>
      <c r="AR67" t="s">
        <v>780</v>
      </c>
      <c r="AT67" t="s">
        <v>781</v>
      </c>
      <c r="AU67" t="s">
        <v>782</v>
      </c>
      <c r="AV67" t="s">
        <v>848</v>
      </c>
    </row>
    <row r="68" spans="38:48" x14ac:dyDescent="0.25">
      <c r="AL68" t="s">
        <v>7</v>
      </c>
      <c r="AM68" t="s">
        <v>738</v>
      </c>
      <c r="AN68" s="12">
        <v>46045</v>
      </c>
      <c r="AQ68" s="5">
        <v>925</v>
      </c>
      <c r="AR68" t="s">
        <v>780</v>
      </c>
      <c r="AT68" t="s">
        <v>781</v>
      </c>
      <c r="AU68" t="s">
        <v>782</v>
      </c>
      <c r="AV68" t="s">
        <v>849</v>
      </c>
    </row>
    <row r="69" spans="38:48" x14ac:dyDescent="0.25">
      <c r="AL69" t="s">
        <v>7</v>
      </c>
      <c r="AM69" t="s">
        <v>738</v>
      </c>
      <c r="AN69" s="12">
        <v>46075</v>
      </c>
      <c r="AQ69" s="5">
        <v>925</v>
      </c>
      <c r="AR69" t="s">
        <v>780</v>
      </c>
      <c r="AT69" t="s">
        <v>781</v>
      </c>
      <c r="AU69" t="s">
        <v>782</v>
      </c>
      <c r="AV69" t="s">
        <v>850</v>
      </c>
    </row>
    <row r="70" spans="38:48" x14ac:dyDescent="0.25">
      <c r="AL70" t="s">
        <v>7</v>
      </c>
      <c r="AM70" t="s">
        <v>738</v>
      </c>
      <c r="AN70" s="12">
        <v>46105</v>
      </c>
      <c r="AQ70" s="5">
        <v>925</v>
      </c>
      <c r="AR70" t="s">
        <v>780</v>
      </c>
      <c r="AT70" t="s">
        <v>781</v>
      </c>
      <c r="AU70" t="s">
        <v>782</v>
      </c>
      <c r="AV70" t="s">
        <v>851</v>
      </c>
    </row>
    <row r="71" spans="38:48" x14ac:dyDescent="0.25">
      <c r="AL71" t="s">
        <v>7</v>
      </c>
      <c r="AM71" t="s">
        <v>738</v>
      </c>
      <c r="AN71" s="12">
        <v>46135</v>
      </c>
      <c r="AQ71" s="5">
        <v>925</v>
      </c>
      <c r="AR71" t="s">
        <v>780</v>
      </c>
      <c r="AT71" t="s">
        <v>781</v>
      </c>
      <c r="AU71" t="s">
        <v>782</v>
      </c>
      <c r="AV71" t="s">
        <v>852</v>
      </c>
    </row>
    <row r="72" spans="38:48" x14ac:dyDescent="0.25">
      <c r="AL72" t="s">
        <v>7</v>
      </c>
      <c r="AM72" t="s">
        <v>738</v>
      </c>
      <c r="AN72" s="12">
        <v>46165</v>
      </c>
      <c r="AQ72" s="5">
        <v>925</v>
      </c>
      <c r="AR72" t="s">
        <v>780</v>
      </c>
      <c r="AT72" t="s">
        <v>781</v>
      </c>
      <c r="AU72" t="s">
        <v>782</v>
      </c>
      <c r="AV72" t="s">
        <v>853</v>
      </c>
    </row>
    <row r="73" spans="38:48" x14ac:dyDescent="0.25">
      <c r="AL73" t="s">
        <v>7</v>
      </c>
      <c r="AM73" t="s">
        <v>699</v>
      </c>
      <c r="AN73" s="12">
        <v>45263</v>
      </c>
      <c r="AQ73" s="5">
        <v>199.39</v>
      </c>
      <c r="AR73" t="s">
        <v>780</v>
      </c>
      <c r="AT73" t="s">
        <v>781</v>
      </c>
      <c r="AU73" t="s">
        <v>782</v>
      </c>
      <c r="AV73" t="s">
        <v>854</v>
      </c>
    </row>
    <row r="74" spans="38:48" x14ac:dyDescent="0.25">
      <c r="AL74" t="s">
        <v>7</v>
      </c>
      <c r="AM74" t="s">
        <v>699</v>
      </c>
      <c r="AN74" s="12">
        <v>45294</v>
      </c>
      <c r="AQ74" s="5">
        <v>199.39</v>
      </c>
      <c r="AR74" t="s">
        <v>780</v>
      </c>
      <c r="AT74" t="s">
        <v>781</v>
      </c>
      <c r="AU74" t="s">
        <v>782</v>
      </c>
      <c r="AV74" t="s">
        <v>855</v>
      </c>
    </row>
    <row r="75" spans="38:48" x14ac:dyDescent="0.25">
      <c r="AL75" t="s">
        <v>7</v>
      </c>
      <c r="AM75" t="s">
        <v>699</v>
      </c>
      <c r="AN75" s="12">
        <v>45325</v>
      </c>
      <c r="AQ75" s="5">
        <v>134.34</v>
      </c>
      <c r="AR75" t="s">
        <v>780</v>
      </c>
      <c r="AT75" t="s">
        <v>781</v>
      </c>
      <c r="AU75" t="s">
        <v>782</v>
      </c>
      <c r="AV75" t="s">
        <v>856</v>
      </c>
    </row>
    <row r="76" spans="38:48" x14ac:dyDescent="0.25">
      <c r="AL76" t="s">
        <v>7</v>
      </c>
      <c r="AM76" t="s">
        <v>699</v>
      </c>
      <c r="AN76" s="12">
        <v>45354</v>
      </c>
      <c r="AQ76" s="5">
        <v>134.34</v>
      </c>
      <c r="AR76" t="s">
        <v>780</v>
      </c>
      <c r="AT76" t="s">
        <v>781</v>
      </c>
      <c r="AU76" t="s">
        <v>782</v>
      </c>
      <c r="AV76" t="s">
        <v>857</v>
      </c>
    </row>
    <row r="77" spans="38:48" x14ac:dyDescent="0.25">
      <c r="AL77" t="s">
        <v>7</v>
      </c>
      <c r="AM77" t="s">
        <v>699</v>
      </c>
      <c r="AN77" s="12">
        <v>45383</v>
      </c>
      <c r="AQ77" s="5">
        <v>94.65</v>
      </c>
      <c r="AR77" t="s">
        <v>780</v>
      </c>
      <c r="AT77" t="s">
        <v>781</v>
      </c>
      <c r="AU77" t="s">
        <v>782</v>
      </c>
      <c r="AV77" t="s">
        <v>858</v>
      </c>
    </row>
    <row r="78" spans="38:48" x14ac:dyDescent="0.25">
      <c r="AL78" t="s">
        <v>7</v>
      </c>
      <c r="AM78" t="s">
        <v>699</v>
      </c>
      <c r="AN78" s="12">
        <v>45413</v>
      </c>
      <c r="AQ78" s="5">
        <v>94.65</v>
      </c>
      <c r="AR78" t="s">
        <v>780</v>
      </c>
      <c r="AT78" t="s">
        <v>781</v>
      </c>
      <c r="AU78" t="s">
        <v>782</v>
      </c>
      <c r="AV78" t="s">
        <v>859</v>
      </c>
    </row>
    <row r="79" spans="38:48" x14ac:dyDescent="0.25">
      <c r="AL79" t="s">
        <v>7</v>
      </c>
      <c r="AM79" t="s">
        <v>699</v>
      </c>
      <c r="AN79" s="12">
        <v>45443</v>
      </c>
      <c r="AQ79" s="5">
        <v>94.65</v>
      </c>
      <c r="AR79" t="s">
        <v>780</v>
      </c>
      <c r="AT79" t="s">
        <v>781</v>
      </c>
      <c r="AU79" t="s">
        <v>782</v>
      </c>
      <c r="AV79" t="s">
        <v>860</v>
      </c>
    </row>
    <row r="80" spans="38:48" x14ac:dyDescent="0.25">
      <c r="AL80" t="s">
        <v>7</v>
      </c>
      <c r="AM80" t="s">
        <v>699</v>
      </c>
      <c r="AN80" s="12">
        <v>45473</v>
      </c>
      <c r="AQ80" s="5">
        <v>94.65</v>
      </c>
      <c r="AR80" t="s">
        <v>780</v>
      </c>
      <c r="AT80" t="s">
        <v>781</v>
      </c>
      <c r="AU80" t="s">
        <v>782</v>
      </c>
      <c r="AV80" t="s">
        <v>861</v>
      </c>
    </row>
    <row r="81" spans="38:48" x14ac:dyDescent="0.25">
      <c r="AL81" t="s">
        <v>7</v>
      </c>
      <c r="AM81" t="s">
        <v>699</v>
      </c>
      <c r="AN81" s="12">
        <v>45503</v>
      </c>
      <c r="AQ81" s="5">
        <v>94.65</v>
      </c>
      <c r="AR81" t="s">
        <v>780</v>
      </c>
      <c r="AT81" t="s">
        <v>781</v>
      </c>
      <c r="AU81" t="s">
        <v>782</v>
      </c>
      <c r="AV81" t="s">
        <v>862</v>
      </c>
    </row>
    <row r="82" spans="38:48" x14ac:dyDescent="0.25">
      <c r="AL82" t="s">
        <v>7</v>
      </c>
      <c r="AM82" t="s">
        <v>699</v>
      </c>
      <c r="AN82" s="12">
        <v>45533</v>
      </c>
      <c r="AQ82" s="5">
        <v>94.65</v>
      </c>
      <c r="AR82" t="s">
        <v>780</v>
      </c>
      <c r="AT82" t="s">
        <v>781</v>
      </c>
      <c r="AU82" t="s">
        <v>782</v>
      </c>
      <c r="AV82" t="s">
        <v>863</v>
      </c>
    </row>
    <row r="83" spans="38:48" x14ac:dyDescent="0.25">
      <c r="AL83" t="s">
        <v>7</v>
      </c>
      <c r="AM83" t="s">
        <v>699</v>
      </c>
      <c r="AN83" s="12">
        <v>45563</v>
      </c>
      <c r="AQ83" s="5">
        <v>94.65</v>
      </c>
      <c r="AR83" t="s">
        <v>780</v>
      </c>
      <c r="AT83" t="s">
        <v>781</v>
      </c>
      <c r="AU83" t="s">
        <v>782</v>
      </c>
      <c r="AV83" t="s">
        <v>864</v>
      </c>
    </row>
    <row r="84" spans="38:48" x14ac:dyDescent="0.25">
      <c r="AL84" t="s">
        <v>7</v>
      </c>
      <c r="AM84" t="s">
        <v>699</v>
      </c>
      <c r="AN84" s="12">
        <v>45593</v>
      </c>
      <c r="AQ84" s="5">
        <v>94.65</v>
      </c>
      <c r="AR84" t="s">
        <v>780</v>
      </c>
      <c r="AT84" t="s">
        <v>781</v>
      </c>
      <c r="AU84" t="s">
        <v>782</v>
      </c>
      <c r="AV84" t="s">
        <v>865</v>
      </c>
    </row>
    <row r="85" spans="38:48" x14ac:dyDescent="0.25">
      <c r="AL85" t="s">
        <v>7</v>
      </c>
      <c r="AM85" t="s">
        <v>699</v>
      </c>
      <c r="AN85" s="12">
        <v>45623</v>
      </c>
      <c r="AQ85" s="5">
        <v>94.65</v>
      </c>
      <c r="AR85" t="s">
        <v>780</v>
      </c>
      <c r="AT85" t="s">
        <v>781</v>
      </c>
      <c r="AU85" t="s">
        <v>782</v>
      </c>
      <c r="AV85" t="s">
        <v>866</v>
      </c>
    </row>
    <row r="86" spans="38:48" x14ac:dyDescent="0.25">
      <c r="AL86" t="s">
        <v>7</v>
      </c>
      <c r="AM86" t="s">
        <v>699</v>
      </c>
      <c r="AN86" s="12">
        <v>45653</v>
      </c>
      <c r="AQ86" s="5">
        <v>94.65</v>
      </c>
      <c r="AR86" t="s">
        <v>780</v>
      </c>
      <c r="AT86" t="s">
        <v>781</v>
      </c>
      <c r="AU86" t="s">
        <v>782</v>
      </c>
      <c r="AV86" t="s">
        <v>867</v>
      </c>
    </row>
    <row r="87" spans="38:48" x14ac:dyDescent="0.25">
      <c r="AL87" t="s">
        <v>7</v>
      </c>
      <c r="AM87" t="s">
        <v>699</v>
      </c>
      <c r="AN87" s="12">
        <v>45660</v>
      </c>
      <c r="AQ87" s="5">
        <v>94.65</v>
      </c>
      <c r="AR87" t="s">
        <v>780</v>
      </c>
      <c r="AT87" t="s">
        <v>781</v>
      </c>
      <c r="AU87" t="s">
        <v>782</v>
      </c>
      <c r="AV87" t="s">
        <v>868</v>
      </c>
    </row>
    <row r="88" spans="38:48" x14ac:dyDescent="0.25">
      <c r="AL88" t="s">
        <v>7</v>
      </c>
      <c r="AM88" t="s">
        <v>699</v>
      </c>
      <c r="AN88" s="12">
        <v>45690</v>
      </c>
      <c r="AQ88" s="5">
        <v>94.65</v>
      </c>
      <c r="AR88" t="s">
        <v>780</v>
      </c>
      <c r="AT88" t="s">
        <v>781</v>
      </c>
      <c r="AU88" t="s">
        <v>782</v>
      </c>
      <c r="AV88" t="s">
        <v>869</v>
      </c>
    </row>
    <row r="89" spans="38:48" x14ac:dyDescent="0.25">
      <c r="AL89" t="s">
        <v>7</v>
      </c>
      <c r="AM89" t="s">
        <v>699</v>
      </c>
      <c r="AN89" s="12">
        <v>45720</v>
      </c>
      <c r="AQ89" s="5">
        <v>94.65</v>
      </c>
      <c r="AR89" t="s">
        <v>780</v>
      </c>
      <c r="AT89" t="s">
        <v>781</v>
      </c>
      <c r="AU89" t="s">
        <v>782</v>
      </c>
      <c r="AV89" t="s">
        <v>870</v>
      </c>
    </row>
    <row r="90" spans="38:48" x14ac:dyDescent="0.25">
      <c r="AL90" t="s">
        <v>7</v>
      </c>
      <c r="AM90" t="s">
        <v>699</v>
      </c>
      <c r="AN90" s="12">
        <v>45750</v>
      </c>
      <c r="AQ90" s="5">
        <v>94.65</v>
      </c>
      <c r="AR90" t="s">
        <v>780</v>
      </c>
      <c r="AT90" t="s">
        <v>781</v>
      </c>
      <c r="AU90" t="s">
        <v>782</v>
      </c>
      <c r="AV90" t="s">
        <v>871</v>
      </c>
    </row>
    <row r="91" spans="38:48" x14ac:dyDescent="0.25">
      <c r="AL91" t="s">
        <v>7</v>
      </c>
      <c r="AM91" t="s">
        <v>699</v>
      </c>
      <c r="AN91" s="12">
        <v>45780</v>
      </c>
      <c r="AQ91" s="5">
        <v>94.65</v>
      </c>
      <c r="AR91" t="s">
        <v>780</v>
      </c>
      <c r="AT91" t="s">
        <v>781</v>
      </c>
      <c r="AU91" t="s">
        <v>782</v>
      </c>
      <c r="AV91" t="s">
        <v>872</v>
      </c>
    </row>
    <row r="92" spans="38:48" x14ac:dyDescent="0.25">
      <c r="AL92" t="s">
        <v>7</v>
      </c>
      <c r="AM92" t="s">
        <v>699</v>
      </c>
      <c r="AN92" s="12">
        <v>45810</v>
      </c>
      <c r="AQ92" s="5">
        <v>94.65</v>
      </c>
      <c r="AR92" t="s">
        <v>780</v>
      </c>
      <c r="AT92" t="s">
        <v>781</v>
      </c>
      <c r="AU92" t="s">
        <v>782</v>
      </c>
      <c r="AV92" t="s">
        <v>873</v>
      </c>
    </row>
    <row r="93" spans="38:48" x14ac:dyDescent="0.25">
      <c r="AL93" t="s">
        <v>7</v>
      </c>
      <c r="AM93" t="s">
        <v>699</v>
      </c>
      <c r="AN93" s="12">
        <v>45840</v>
      </c>
      <c r="AQ93" s="5">
        <v>94.65</v>
      </c>
      <c r="AR93" t="s">
        <v>780</v>
      </c>
      <c r="AT93" t="s">
        <v>781</v>
      </c>
      <c r="AU93" t="s">
        <v>782</v>
      </c>
      <c r="AV93" t="s">
        <v>874</v>
      </c>
    </row>
    <row r="94" spans="38:48" x14ac:dyDescent="0.25">
      <c r="AL94" t="s">
        <v>7</v>
      </c>
      <c r="AM94" t="s">
        <v>699</v>
      </c>
      <c r="AN94" s="12">
        <v>45870</v>
      </c>
      <c r="AQ94" s="5">
        <v>94.65</v>
      </c>
      <c r="AR94" t="s">
        <v>780</v>
      </c>
      <c r="AT94" t="s">
        <v>781</v>
      </c>
      <c r="AU94" t="s">
        <v>782</v>
      </c>
      <c r="AV94" t="s">
        <v>875</v>
      </c>
    </row>
    <row r="95" spans="38:48" x14ac:dyDescent="0.25">
      <c r="AL95" t="s">
        <v>7</v>
      </c>
      <c r="AM95" t="s">
        <v>699</v>
      </c>
      <c r="AN95" s="12">
        <v>45900</v>
      </c>
      <c r="AQ95" s="5">
        <v>94.65</v>
      </c>
      <c r="AR95" t="s">
        <v>780</v>
      </c>
      <c r="AT95" t="s">
        <v>781</v>
      </c>
      <c r="AU95" t="s">
        <v>782</v>
      </c>
      <c r="AV95" t="s">
        <v>876</v>
      </c>
    </row>
    <row r="96" spans="38:48" x14ac:dyDescent="0.25">
      <c r="AL96" t="s">
        <v>7</v>
      </c>
      <c r="AM96" t="s">
        <v>699</v>
      </c>
      <c r="AN96" s="12">
        <v>45930</v>
      </c>
      <c r="AQ96" s="5">
        <v>94.65</v>
      </c>
      <c r="AR96" t="s">
        <v>780</v>
      </c>
      <c r="AT96" t="s">
        <v>781</v>
      </c>
      <c r="AU96" t="s">
        <v>782</v>
      </c>
      <c r="AV96" t="s">
        <v>877</v>
      </c>
    </row>
    <row r="97" spans="38:48" x14ac:dyDescent="0.25">
      <c r="AL97" t="s">
        <v>7</v>
      </c>
      <c r="AM97" t="s">
        <v>699</v>
      </c>
      <c r="AN97" s="12">
        <v>45960</v>
      </c>
      <c r="AQ97" s="5">
        <v>94.65</v>
      </c>
      <c r="AR97" t="s">
        <v>780</v>
      </c>
      <c r="AT97" t="s">
        <v>781</v>
      </c>
      <c r="AU97" t="s">
        <v>782</v>
      </c>
      <c r="AV97" t="s">
        <v>878</v>
      </c>
    </row>
    <row r="98" spans="38:48" x14ac:dyDescent="0.25">
      <c r="AL98" t="s">
        <v>7</v>
      </c>
      <c r="AM98" t="s">
        <v>699</v>
      </c>
      <c r="AN98" s="12">
        <v>45990</v>
      </c>
      <c r="AQ98" s="5">
        <v>94.65</v>
      </c>
      <c r="AR98" t="s">
        <v>780</v>
      </c>
      <c r="AT98" t="s">
        <v>781</v>
      </c>
      <c r="AU98" t="s">
        <v>782</v>
      </c>
      <c r="AV98" t="s">
        <v>879</v>
      </c>
    </row>
    <row r="99" spans="38:48" x14ac:dyDescent="0.25">
      <c r="AL99" t="s">
        <v>7</v>
      </c>
      <c r="AM99" t="s">
        <v>699</v>
      </c>
      <c r="AN99" s="12">
        <v>46020</v>
      </c>
      <c r="AQ99" s="5">
        <v>94.65</v>
      </c>
      <c r="AR99" t="s">
        <v>780</v>
      </c>
      <c r="AT99" t="s">
        <v>781</v>
      </c>
      <c r="AU99" t="s">
        <v>782</v>
      </c>
      <c r="AV99" t="s">
        <v>880</v>
      </c>
    </row>
    <row r="100" spans="38:48" x14ac:dyDescent="0.25">
      <c r="AL100" t="s">
        <v>7</v>
      </c>
      <c r="AM100" t="s">
        <v>699</v>
      </c>
      <c r="AN100" s="12">
        <v>46050</v>
      </c>
      <c r="AQ100" s="5">
        <v>94.65</v>
      </c>
      <c r="AR100" t="s">
        <v>780</v>
      </c>
      <c r="AT100" t="s">
        <v>781</v>
      </c>
      <c r="AU100" t="s">
        <v>782</v>
      </c>
      <c r="AV100" t="s">
        <v>881</v>
      </c>
    </row>
    <row r="101" spans="38:48" x14ac:dyDescent="0.25">
      <c r="AL101" t="s">
        <v>7</v>
      </c>
      <c r="AM101" t="s">
        <v>699</v>
      </c>
      <c r="AN101" s="12">
        <v>46080</v>
      </c>
      <c r="AQ101" s="5">
        <v>94.65</v>
      </c>
      <c r="AR101" t="s">
        <v>780</v>
      </c>
      <c r="AT101" t="s">
        <v>781</v>
      </c>
      <c r="AU101" t="s">
        <v>782</v>
      </c>
      <c r="AV101" t="s">
        <v>882</v>
      </c>
    </row>
    <row r="102" spans="38:48" x14ac:dyDescent="0.25">
      <c r="AL102" t="s">
        <v>7</v>
      </c>
      <c r="AM102" t="s">
        <v>699</v>
      </c>
      <c r="AN102" s="12">
        <v>46110</v>
      </c>
      <c r="AQ102" s="5">
        <v>94.65</v>
      </c>
      <c r="AR102" t="s">
        <v>780</v>
      </c>
      <c r="AT102" t="s">
        <v>781</v>
      </c>
      <c r="AU102" t="s">
        <v>782</v>
      </c>
      <c r="AV102" t="s">
        <v>883</v>
      </c>
    </row>
    <row r="103" spans="38:48" x14ac:dyDescent="0.25">
      <c r="AL103" t="s">
        <v>7</v>
      </c>
      <c r="AM103" t="s">
        <v>699</v>
      </c>
      <c r="AN103" s="12">
        <v>46140</v>
      </c>
      <c r="AQ103" s="5">
        <v>94.65</v>
      </c>
      <c r="AR103" t="s">
        <v>780</v>
      </c>
      <c r="AT103" t="s">
        <v>781</v>
      </c>
      <c r="AU103" t="s">
        <v>782</v>
      </c>
      <c r="AV103" t="s">
        <v>884</v>
      </c>
    </row>
    <row r="104" spans="38:48" x14ac:dyDescent="0.25">
      <c r="AL104" t="s">
        <v>7</v>
      </c>
      <c r="AM104" t="s">
        <v>699</v>
      </c>
      <c r="AN104" s="12">
        <v>46170</v>
      </c>
      <c r="AQ104" s="5">
        <v>94.65</v>
      </c>
      <c r="AR104" t="s">
        <v>780</v>
      </c>
      <c r="AT104" t="s">
        <v>781</v>
      </c>
      <c r="AU104" t="s">
        <v>782</v>
      </c>
      <c r="AV104" t="s">
        <v>885</v>
      </c>
    </row>
    <row r="105" spans="38:48" x14ac:dyDescent="0.25">
      <c r="AL105" t="s">
        <v>7</v>
      </c>
      <c r="AM105" t="s">
        <v>767</v>
      </c>
      <c r="AN105" s="12">
        <v>45201</v>
      </c>
      <c r="AQ105" s="5">
        <v>53.96</v>
      </c>
      <c r="AR105" t="s">
        <v>780</v>
      </c>
      <c r="AT105" t="s">
        <v>781</v>
      </c>
      <c r="AU105" t="s">
        <v>782</v>
      </c>
      <c r="AV105" t="s">
        <v>886</v>
      </c>
    </row>
    <row r="106" spans="38:48" x14ac:dyDescent="0.25">
      <c r="AL106" t="s">
        <v>7</v>
      </c>
      <c r="AM106" t="s">
        <v>767</v>
      </c>
      <c r="AN106" s="12">
        <v>45231</v>
      </c>
      <c r="AQ106" s="5">
        <v>66.12</v>
      </c>
      <c r="AR106" t="s">
        <v>780</v>
      </c>
      <c r="AT106" t="s">
        <v>781</v>
      </c>
      <c r="AU106" t="s">
        <v>782</v>
      </c>
      <c r="AV106" t="s">
        <v>887</v>
      </c>
    </row>
    <row r="107" spans="38:48" x14ac:dyDescent="0.25">
      <c r="AL107" t="s">
        <v>7</v>
      </c>
      <c r="AM107" t="s">
        <v>767</v>
      </c>
      <c r="AN107" s="12">
        <v>45261</v>
      </c>
      <c r="AQ107" s="5">
        <v>50.62</v>
      </c>
      <c r="AR107" t="s">
        <v>780</v>
      </c>
      <c r="AT107" t="s">
        <v>781</v>
      </c>
      <c r="AU107" t="s">
        <v>782</v>
      </c>
      <c r="AV107" t="s">
        <v>888</v>
      </c>
    </row>
    <row r="108" spans="38:48" x14ac:dyDescent="0.25">
      <c r="AL108" t="s">
        <v>7</v>
      </c>
      <c r="AM108" t="s">
        <v>767</v>
      </c>
      <c r="AN108" s="12">
        <v>45293</v>
      </c>
      <c r="AQ108" s="5">
        <v>50.62</v>
      </c>
      <c r="AR108" t="s">
        <v>780</v>
      </c>
      <c r="AT108" t="s">
        <v>781</v>
      </c>
      <c r="AU108" t="s">
        <v>782</v>
      </c>
      <c r="AV108" t="s">
        <v>889</v>
      </c>
    </row>
    <row r="109" spans="38:48" x14ac:dyDescent="0.25">
      <c r="AL109" t="s">
        <v>7</v>
      </c>
      <c r="AM109" t="s">
        <v>767</v>
      </c>
      <c r="AN109" s="12">
        <v>45322</v>
      </c>
      <c r="AQ109" s="5">
        <v>50.62</v>
      </c>
      <c r="AR109" t="s">
        <v>780</v>
      </c>
      <c r="AT109" t="s">
        <v>781</v>
      </c>
      <c r="AU109" t="s">
        <v>782</v>
      </c>
      <c r="AV109" t="s">
        <v>890</v>
      </c>
    </row>
    <row r="110" spans="38:48" x14ac:dyDescent="0.25">
      <c r="AL110" t="s">
        <v>7</v>
      </c>
      <c r="AM110" t="s">
        <v>767</v>
      </c>
      <c r="AN110" s="12">
        <v>45352</v>
      </c>
      <c r="AQ110" s="5">
        <v>50.62</v>
      </c>
      <c r="AR110" t="s">
        <v>780</v>
      </c>
      <c r="AT110" t="s">
        <v>781</v>
      </c>
      <c r="AU110" t="s">
        <v>782</v>
      </c>
      <c r="AV110" t="s">
        <v>891</v>
      </c>
    </row>
    <row r="111" spans="38:48" x14ac:dyDescent="0.25">
      <c r="AL111" t="s">
        <v>7</v>
      </c>
      <c r="AM111" t="s">
        <v>767</v>
      </c>
      <c r="AN111" s="12">
        <v>45384</v>
      </c>
      <c r="AQ111" s="5">
        <v>50.62</v>
      </c>
      <c r="AR111" t="s">
        <v>780</v>
      </c>
      <c r="AT111" t="s">
        <v>781</v>
      </c>
      <c r="AU111" t="s">
        <v>782</v>
      </c>
      <c r="AV111" t="s">
        <v>892</v>
      </c>
    </row>
    <row r="112" spans="38:48" x14ac:dyDescent="0.25">
      <c r="AL112" t="s">
        <v>7</v>
      </c>
      <c r="AM112" t="s">
        <v>767</v>
      </c>
      <c r="AN112" s="12">
        <v>45414</v>
      </c>
      <c r="AQ112" s="5">
        <v>50.62</v>
      </c>
      <c r="AR112" t="s">
        <v>780</v>
      </c>
      <c r="AT112" t="s">
        <v>781</v>
      </c>
      <c r="AU112" t="s">
        <v>782</v>
      </c>
      <c r="AV112" t="s">
        <v>893</v>
      </c>
    </row>
    <row r="113" spans="38:48" x14ac:dyDescent="0.25">
      <c r="AL113" t="s">
        <v>7</v>
      </c>
      <c r="AM113" t="s">
        <v>767</v>
      </c>
      <c r="AN113" s="12">
        <v>45418</v>
      </c>
      <c r="AQ113" s="5">
        <v>-9.7100000000000009</v>
      </c>
      <c r="AR113" t="s">
        <v>780</v>
      </c>
      <c r="AT113" t="s">
        <v>781</v>
      </c>
      <c r="AU113" t="s">
        <v>782</v>
      </c>
      <c r="AV113" t="s">
        <v>894</v>
      </c>
    </row>
    <row r="114" spans="38:48" x14ac:dyDescent="0.25">
      <c r="AL114" t="s">
        <v>7</v>
      </c>
      <c r="AM114" t="s">
        <v>768</v>
      </c>
      <c r="AN114" s="12">
        <v>45209</v>
      </c>
      <c r="AQ114" s="5">
        <v>30.7</v>
      </c>
      <c r="AR114" t="s">
        <v>780</v>
      </c>
      <c r="AT114" t="s">
        <v>781</v>
      </c>
      <c r="AU114" t="s">
        <v>782</v>
      </c>
      <c r="AV114" t="s">
        <v>895</v>
      </c>
    </row>
    <row r="115" spans="38:48" x14ac:dyDescent="0.25">
      <c r="AL115" t="s">
        <v>7</v>
      </c>
      <c r="AM115" t="s">
        <v>768</v>
      </c>
      <c r="AN115" s="12">
        <v>45237</v>
      </c>
      <c r="AQ115" s="5">
        <v>10.7</v>
      </c>
      <c r="AR115" t="s">
        <v>780</v>
      </c>
      <c r="AT115" t="s">
        <v>781</v>
      </c>
      <c r="AU115" t="s">
        <v>782</v>
      </c>
      <c r="AV115" t="s">
        <v>896</v>
      </c>
    </row>
    <row r="116" spans="38:48" x14ac:dyDescent="0.25">
      <c r="AL116" t="s">
        <v>7</v>
      </c>
      <c r="AM116" t="s">
        <v>768</v>
      </c>
      <c r="AN116" s="12">
        <v>45268</v>
      </c>
      <c r="AQ116" s="5">
        <v>10.7</v>
      </c>
      <c r="AR116" t="s">
        <v>780</v>
      </c>
      <c r="AT116" t="s">
        <v>781</v>
      </c>
      <c r="AU116" t="s">
        <v>782</v>
      </c>
      <c r="AV116" t="s">
        <v>897</v>
      </c>
    </row>
    <row r="117" spans="38:48" x14ac:dyDescent="0.25">
      <c r="AL117" t="s">
        <v>7</v>
      </c>
      <c r="AM117" t="s">
        <v>768</v>
      </c>
      <c r="AN117" s="12">
        <v>45300</v>
      </c>
      <c r="AQ117" s="5">
        <v>10.7</v>
      </c>
      <c r="AR117" t="s">
        <v>780</v>
      </c>
      <c r="AT117" t="s">
        <v>781</v>
      </c>
      <c r="AU117" t="s">
        <v>782</v>
      </c>
      <c r="AV117" t="s">
        <v>898</v>
      </c>
    </row>
    <row r="118" spans="38:48" x14ac:dyDescent="0.25">
      <c r="AL118" t="s">
        <v>7</v>
      </c>
      <c r="AM118" t="s">
        <v>768</v>
      </c>
      <c r="AN118" s="12">
        <v>45331</v>
      </c>
      <c r="AQ118" s="5">
        <v>11.99</v>
      </c>
      <c r="AR118" t="s">
        <v>780</v>
      </c>
      <c r="AT118" t="s">
        <v>781</v>
      </c>
      <c r="AU118" t="s">
        <v>782</v>
      </c>
      <c r="AV118" t="s">
        <v>899</v>
      </c>
    </row>
    <row r="119" spans="38:48" x14ac:dyDescent="0.25">
      <c r="AL119" t="s">
        <v>7</v>
      </c>
      <c r="AM119" t="s">
        <v>768</v>
      </c>
      <c r="AN119" s="12">
        <v>45359</v>
      </c>
      <c r="AQ119" s="5">
        <v>11.94</v>
      </c>
      <c r="AR119" t="s">
        <v>780</v>
      </c>
      <c r="AT119" t="s">
        <v>781</v>
      </c>
      <c r="AU119" t="s">
        <v>782</v>
      </c>
      <c r="AV119" t="s">
        <v>900</v>
      </c>
    </row>
    <row r="120" spans="38:48" x14ac:dyDescent="0.25">
      <c r="AL120" t="s">
        <v>7</v>
      </c>
      <c r="AM120" t="s">
        <v>768</v>
      </c>
      <c r="AN120" s="12">
        <v>45391</v>
      </c>
      <c r="AQ120" s="5">
        <v>10.7</v>
      </c>
      <c r="AR120" t="s">
        <v>780</v>
      </c>
      <c r="AT120" t="s">
        <v>781</v>
      </c>
      <c r="AU120" t="s">
        <v>782</v>
      </c>
      <c r="AV120" t="s">
        <v>901</v>
      </c>
    </row>
    <row r="121" spans="38:48" x14ac:dyDescent="0.25">
      <c r="AL121" t="s">
        <v>7</v>
      </c>
      <c r="AM121" t="s">
        <v>768</v>
      </c>
      <c r="AN121" s="12">
        <v>45418</v>
      </c>
      <c r="AQ121" s="5">
        <v>-9.7100000000000009</v>
      </c>
      <c r="AR121" t="s">
        <v>780</v>
      </c>
      <c r="AT121" t="s">
        <v>781</v>
      </c>
      <c r="AU121" t="s">
        <v>782</v>
      </c>
      <c r="AV121" t="s">
        <v>902</v>
      </c>
    </row>
    <row r="122" spans="38:48" x14ac:dyDescent="0.25">
      <c r="AL122" t="s">
        <v>7</v>
      </c>
      <c r="AM122" t="s">
        <v>739</v>
      </c>
      <c r="AN122" s="12">
        <v>45446</v>
      </c>
      <c r="AQ122" s="5">
        <v>346.23</v>
      </c>
      <c r="AR122" t="s">
        <v>780</v>
      </c>
      <c r="AT122" t="s">
        <v>781</v>
      </c>
      <c r="AU122" t="s">
        <v>782</v>
      </c>
      <c r="AV122" t="s">
        <v>903</v>
      </c>
    </row>
    <row r="123" spans="38:48" x14ac:dyDescent="0.25">
      <c r="AL123" t="s">
        <v>7</v>
      </c>
      <c r="AM123" t="s">
        <v>739</v>
      </c>
      <c r="AN123" s="12">
        <v>45482</v>
      </c>
      <c r="AQ123" s="5">
        <v>241.57</v>
      </c>
      <c r="AR123" t="s">
        <v>780</v>
      </c>
      <c r="AT123" t="s">
        <v>781</v>
      </c>
      <c r="AU123" t="s">
        <v>782</v>
      </c>
      <c r="AV123" t="s">
        <v>904</v>
      </c>
    </row>
    <row r="124" spans="38:48" x14ac:dyDescent="0.25">
      <c r="AL124" t="s">
        <v>7</v>
      </c>
      <c r="AM124" t="s">
        <v>739</v>
      </c>
      <c r="AN124" s="12">
        <v>45670</v>
      </c>
      <c r="AQ124" s="5">
        <v>253.65</v>
      </c>
      <c r="AR124" t="s">
        <v>780</v>
      </c>
      <c r="AT124" t="s">
        <v>781</v>
      </c>
      <c r="AU124" t="s">
        <v>782</v>
      </c>
      <c r="AV124" t="s">
        <v>905</v>
      </c>
    </row>
    <row r="125" spans="38:48" x14ac:dyDescent="0.25">
      <c r="AL125" t="s">
        <v>7</v>
      </c>
      <c r="AM125" t="s">
        <v>739</v>
      </c>
      <c r="AN125" s="12">
        <v>45792</v>
      </c>
      <c r="AQ125" s="5">
        <v>25</v>
      </c>
      <c r="AR125" t="s">
        <v>780</v>
      </c>
      <c r="AT125" t="s">
        <v>781</v>
      </c>
      <c r="AU125" t="s">
        <v>782</v>
      </c>
      <c r="AV125" t="s">
        <v>906</v>
      </c>
    </row>
    <row r="126" spans="38:48" x14ac:dyDescent="0.25">
      <c r="AL126" t="s">
        <v>7</v>
      </c>
      <c r="AM126" t="s">
        <v>739</v>
      </c>
      <c r="AN126" s="12">
        <v>45854</v>
      </c>
      <c r="AQ126" s="5">
        <v>253.65</v>
      </c>
      <c r="AR126" t="s">
        <v>780</v>
      </c>
      <c r="AT126" t="s">
        <v>781</v>
      </c>
      <c r="AU126" t="s">
        <v>782</v>
      </c>
      <c r="AV126" t="s">
        <v>907</v>
      </c>
    </row>
    <row r="127" spans="38:48" x14ac:dyDescent="0.25">
      <c r="AL127" t="s">
        <v>7</v>
      </c>
      <c r="AM127" t="s">
        <v>739</v>
      </c>
      <c r="AN127" s="12">
        <v>46037</v>
      </c>
      <c r="AQ127" s="5">
        <v>253.65</v>
      </c>
      <c r="AR127" t="s">
        <v>780</v>
      </c>
      <c r="AT127" t="s">
        <v>781</v>
      </c>
      <c r="AU127" t="s">
        <v>782</v>
      </c>
      <c r="AV127" t="s">
        <v>908</v>
      </c>
    </row>
    <row r="128" spans="38:48" x14ac:dyDescent="0.25">
      <c r="AL128" t="s">
        <v>7</v>
      </c>
      <c r="AM128" t="s">
        <v>739</v>
      </c>
      <c r="AN128" s="12">
        <v>45838</v>
      </c>
      <c r="AQ128" s="5">
        <v>0</v>
      </c>
      <c r="AR128" t="s">
        <v>780</v>
      </c>
      <c r="AT128" t="s">
        <v>781</v>
      </c>
      <c r="AU128" t="s">
        <v>782</v>
      </c>
      <c r="AV128" t="s">
        <v>909</v>
      </c>
    </row>
    <row r="129" spans="38:48" x14ac:dyDescent="0.25">
      <c r="AL129" t="s">
        <v>7</v>
      </c>
      <c r="AM129" t="s">
        <v>739</v>
      </c>
      <c r="AN129" s="12">
        <v>46018</v>
      </c>
      <c r="AQ129" s="5">
        <v>0</v>
      </c>
      <c r="AR129" t="s">
        <v>780</v>
      </c>
      <c r="AT129" t="s">
        <v>781</v>
      </c>
      <c r="AU129" t="s">
        <v>782</v>
      </c>
      <c r="AV129" t="s">
        <v>910</v>
      </c>
    </row>
    <row r="130" spans="38:48" x14ac:dyDescent="0.25">
      <c r="AL130" t="s">
        <v>7</v>
      </c>
      <c r="AM130" t="s">
        <v>769</v>
      </c>
      <c r="AN130" s="12">
        <v>45243</v>
      </c>
      <c r="AQ130" s="5">
        <v>2334.5300000000002</v>
      </c>
      <c r="AR130" t="s">
        <v>780</v>
      </c>
      <c r="AT130" t="s">
        <v>781</v>
      </c>
      <c r="AU130" t="s">
        <v>782</v>
      </c>
      <c r="AV130" t="s">
        <v>911</v>
      </c>
    </row>
    <row r="131" spans="38:48" x14ac:dyDescent="0.25">
      <c r="AL131" t="s">
        <v>7</v>
      </c>
      <c r="AM131" t="s">
        <v>769</v>
      </c>
      <c r="AN131" s="12">
        <v>45546</v>
      </c>
      <c r="AQ131" s="5">
        <v>3101.83</v>
      </c>
      <c r="AR131" t="s">
        <v>780</v>
      </c>
      <c r="AT131" t="s">
        <v>781</v>
      </c>
      <c r="AU131" t="s">
        <v>782</v>
      </c>
      <c r="AV131" t="s">
        <v>912</v>
      </c>
    </row>
    <row r="132" spans="38:48" x14ac:dyDescent="0.25">
      <c r="AL132" t="s">
        <v>7</v>
      </c>
      <c r="AM132" t="s">
        <v>769</v>
      </c>
      <c r="AN132" s="12">
        <v>45911</v>
      </c>
      <c r="AQ132" s="5">
        <v>-3101.83</v>
      </c>
      <c r="AR132" t="s">
        <v>780</v>
      </c>
      <c r="AT132" t="s">
        <v>781</v>
      </c>
      <c r="AU132" t="s">
        <v>782</v>
      </c>
      <c r="AV132" t="s">
        <v>913</v>
      </c>
    </row>
  </sheetData>
  <mergeCells count="11">
    <mergeCell ref="A1:B1"/>
    <mergeCell ref="M1:N1"/>
    <mergeCell ref="P1:Q1"/>
    <mergeCell ref="S1:T1"/>
    <mergeCell ref="V1:W1"/>
    <mergeCell ref="Y1:AA1"/>
    <mergeCell ref="AB1:AC1"/>
    <mergeCell ref="AE1:AF1"/>
    <mergeCell ref="D1:E1"/>
    <mergeCell ref="G1:H1"/>
    <mergeCell ref="J1:K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84"/>
  <sheetViews>
    <sheetView zoomScaleNormal="100" workbookViewId="0">
      <pane ySplit="11" topLeftCell="A47" activePane="bottomLeft" state="frozen"/>
      <selection activeCell="H28" sqref="H28"/>
      <selection pane="bottomLeft" activeCell="G66" sqref="G66"/>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498" t="str">
        <f>"Preassigned Rows Indicating Payment or Scheduling by " &amp;Profit!E1&amp;" Your Home"</f>
        <v>Preassigned Rows Indicating Payment or Scheduling by Buy Your Home</v>
      </c>
      <c r="C2" s="499"/>
      <c r="E2" s="56"/>
    </row>
    <row r="3" spans="1:13" ht="15.75" hidden="1" thickBot="1" x14ac:dyDescent="0.3">
      <c r="B3" s="500"/>
      <c r="C3" s="501"/>
      <c r="E3" s="56"/>
    </row>
    <row r="4" spans="1:13" hidden="1" x14ac:dyDescent="0.25">
      <c r="B4" s="506" t="s">
        <v>188</v>
      </c>
      <c r="C4" s="507"/>
      <c r="E4" s="56"/>
    </row>
    <row r="5" spans="1:13" ht="15.75" hidden="1" thickBot="1" x14ac:dyDescent="0.3">
      <c r="B5" s="508"/>
      <c r="C5" s="509"/>
      <c r="E5" s="56"/>
    </row>
    <row r="6" spans="1:13" hidden="1" x14ac:dyDescent="0.25">
      <c r="B6" s="502" t="s">
        <v>189</v>
      </c>
      <c r="C6" s="503"/>
      <c r="E6" s="56"/>
    </row>
    <row r="7" spans="1:13" ht="15.75" hidden="1" thickBot="1" x14ac:dyDescent="0.3">
      <c r="B7" s="504"/>
      <c r="C7" s="505"/>
    </row>
    <row r="8" spans="1:13" hidden="1" x14ac:dyDescent="0.25">
      <c r="B8" s="510" t="s">
        <v>190</v>
      </c>
      <c r="C8" s="511"/>
    </row>
    <row r="9" spans="1:13" ht="15.75" hidden="1" thickBot="1" x14ac:dyDescent="0.3">
      <c r="B9" s="512"/>
      <c r="C9" s="513"/>
    </row>
    <row r="10" spans="1:13" hidden="1" x14ac:dyDescent="0.25"/>
    <row r="11" spans="1:13" s="50" customFormat="1" ht="15.75" thickBot="1" x14ac:dyDescent="0.3">
      <c r="A11" s="49" t="s">
        <v>191</v>
      </c>
      <c r="B11" s="49" t="s">
        <v>192</v>
      </c>
      <c r="C11" s="49" t="s">
        <v>193</v>
      </c>
      <c r="D11" s="66" t="s">
        <v>194</v>
      </c>
      <c r="E11" s="67" t="s">
        <v>195</v>
      </c>
      <c r="G11" s="56"/>
      <c r="H11" s="56"/>
      <c r="I11" s="56"/>
      <c r="J11" s="56"/>
      <c r="K11" s="56"/>
      <c r="L11" s="56"/>
      <c r="M11" s="56"/>
    </row>
    <row r="12" spans="1:13" s="50" customFormat="1" ht="15.75" thickTop="1" x14ac:dyDescent="0.25">
      <c r="A12" s="52" t="s">
        <v>196</v>
      </c>
      <c r="B12" s="52" t="s">
        <v>196</v>
      </c>
      <c r="C12" s="52" t="s">
        <v>197</v>
      </c>
      <c r="D12" s="64">
        <v>0</v>
      </c>
      <c r="E12" s="65">
        <v>7016</v>
      </c>
      <c r="G12" s="56"/>
      <c r="H12" s="56"/>
      <c r="I12" s="56"/>
      <c r="J12" s="56"/>
      <c r="K12" s="56"/>
      <c r="L12" s="56"/>
      <c r="M12" s="56"/>
    </row>
    <row r="13" spans="1:13" s="50" customFormat="1" x14ac:dyDescent="0.25">
      <c r="A13" s="52" t="s">
        <v>198</v>
      </c>
      <c r="B13" s="52" t="s">
        <v>199</v>
      </c>
      <c r="C13" s="52" t="s">
        <v>200</v>
      </c>
      <c r="D13" s="64">
        <v>0</v>
      </c>
      <c r="E13" s="65">
        <v>10505.74</v>
      </c>
      <c r="G13" s="56"/>
      <c r="H13" s="56"/>
      <c r="I13" s="56"/>
      <c r="J13" s="56"/>
      <c r="K13" s="56"/>
      <c r="L13" s="56"/>
      <c r="M13" s="56"/>
    </row>
    <row r="14" spans="1:13" s="50" customFormat="1" x14ac:dyDescent="0.25">
      <c r="A14" s="52" t="s">
        <v>198</v>
      </c>
      <c r="B14" s="52" t="s">
        <v>201</v>
      </c>
      <c r="C14" s="52" t="s">
        <v>201</v>
      </c>
      <c r="D14" s="64">
        <v>0</v>
      </c>
      <c r="E14" s="65">
        <v>9940</v>
      </c>
      <c r="G14" s="56"/>
      <c r="H14" s="56"/>
      <c r="I14" s="56"/>
      <c r="J14" s="56"/>
      <c r="K14" s="56"/>
      <c r="L14" s="56"/>
      <c r="M14" s="56"/>
    </row>
    <row r="15" spans="1:13" s="50" customFormat="1" x14ac:dyDescent="0.25">
      <c r="A15" s="52"/>
      <c r="B15" s="52" t="s">
        <v>202</v>
      </c>
      <c r="C15" s="52" t="s">
        <v>203</v>
      </c>
      <c r="D15" s="64">
        <v>6</v>
      </c>
      <c r="E15" s="65"/>
      <c r="G15" s="56"/>
      <c r="H15" s="56"/>
      <c r="I15" s="56"/>
      <c r="J15" s="56"/>
      <c r="K15" s="56"/>
      <c r="L15" s="56"/>
      <c r="M15" s="56"/>
    </row>
    <row r="16" spans="1:13" s="50" customFormat="1" x14ac:dyDescent="0.25">
      <c r="A16" s="53" t="s">
        <v>204</v>
      </c>
      <c r="B16" s="53" t="s">
        <v>205</v>
      </c>
      <c r="C16" s="53" t="s">
        <v>204</v>
      </c>
      <c r="D16" s="54">
        <v>0</v>
      </c>
      <c r="E16" s="55">
        <v>0</v>
      </c>
      <c r="G16" s="56"/>
      <c r="H16" s="56"/>
      <c r="I16" s="56"/>
      <c r="J16" s="56"/>
      <c r="K16" s="56"/>
      <c r="L16" s="56"/>
      <c r="M16" s="56"/>
    </row>
    <row r="17" spans="1:13" s="50" customFormat="1" x14ac:dyDescent="0.25">
      <c r="A17" s="53" t="s">
        <v>206</v>
      </c>
      <c r="B17" s="53" t="s">
        <v>205</v>
      </c>
      <c r="C17" s="53" t="s">
        <v>207</v>
      </c>
      <c r="D17" s="54">
        <v>0</v>
      </c>
      <c r="E17" s="55">
        <v>0</v>
      </c>
      <c r="G17" s="56"/>
      <c r="H17" s="56"/>
      <c r="I17" s="56"/>
      <c r="J17" s="56"/>
      <c r="K17" s="56"/>
      <c r="L17" s="56"/>
      <c r="M17" s="56"/>
    </row>
    <row r="18" spans="1:13" s="50" customFormat="1" x14ac:dyDescent="0.25">
      <c r="A18" s="53" t="s">
        <v>208</v>
      </c>
      <c r="B18" s="53" t="s">
        <v>205</v>
      </c>
      <c r="C18" s="53" t="s">
        <v>209</v>
      </c>
      <c r="D18" s="54">
        <v>0</v>
      </c>
      <c r="E18" s="55">
        <v>0</v>
      </c>
      <c r="G18" s="56"/>
      <c r="H18" s="56"/>
      <c r="I18" s="56"/>
      <c r="J18" s="56"/>
      <c r="K18" s="56"/>
      <c r="L18" s="56"/>
      <c r="M18" s="56"/>
    </row>
    <row r="19" spans="1:13" s="50" customFormat="1" x14ac:dyDescent="0.25">
      <c r="A19" s="53" t="s">
        <v>210</v>
      </c>
      <c r="B19" s="53" t="s">
        <v>205</v>
      </c>
      <c r="C19" s="53" t="s">
        <v>211</v>
      </c>
      <c r="D19" s="54">
        <v>0</v>
      </c>
      <c r="E19" s="55">
        <v>0</v>
      </c>
      <c r="G19" s="56"/>
      <c r="H19" s="56"/>
      <c r="I19" s="56"/>
      <c r="J19" s="56"/>
      <c r="K19" s="56"/>
      <c r="L19" s="56"/>
      <c r="M19" s="56"/>
    </row>
    <row r="20" spans="1:13" s="50" customFormat="1" x14ac:dyDescent="0.25">
      <c r="A20" s="53" t="s">
        <v>212</v>
      </c>
      <c r="B20" s="53" t="s">
        <v>205</v>
      </c>
      <c r="C20" s="53" t="s">
        <v>213</v>
      </c>
      <c r="D20" s="54">
        <v>0</v>
      </c>
      <c r="E20" s="55">
        <v>0</v>
      </c>
      <c r="G20" s="51"/>
    </row>
    <row r="21" spans="1:13" x14ac:dyDescent="0.25">
      <c r="A21" s="270" t="s">
        <v>214</v>
      </c>
      <c r="B21" s="270" t="s">
        <v>215</v>
      </c>
      <c r="C21" s="270" t="s">
        <v>216</v>
      </c>
      <c r="D21" s="288">
        <v>1</v>
      </c>
      <c r="E21" s="289">
        <v>3800</v>
      </c>
    </row>
    <row r="22" spans="1:13" x14ac:dyDescent="0.25">
      <c r="A22" s="274" t="s">
        <v>214</v>
      </c>
      <c r="B22" s="274"/>
      <c r="C22" s="274" t="s">
        <v>217</v>
      </c>
      <c r="D22" s="276">
        <v>0</v>
      </c>
      <c r="E22" s="277"/>
    </row>
    <row r="23" spans="1:13" x14ac:dyDescent="0.25">
      <c r="A23" s="270" t="s">
        <v>214</v>
      </c>
      <c r="B23" s="270"/>
      <c r="C23" s="270" t="s">
        <v>218</v>
      </c>
      <c r="D23" s="288">
        <v>0</v>
      </c>
      <c r="E23" s="289"/>
    </row>
    <row r="24" spans="1:13" x14ac:dyDescent="0.25">
      <c r="A24" s="270" t="s">
        <v>219</v>
      </c>
      <c r="B24" s="270"/>
      <c r="C24" s="270" t="s">
        <v>220</v>
      </c>
      <c r="D24" s="288">
        <v>1</v>
      </c>
      <c r="E24" s="289">
        <v>4950</v>
      </c>
    </row>
    <row r="25" spans="1:13" x14ac:dyDescent="0.25">
      <c r="A25" s="270" t="s">
        <v>221</v>
      </c>
      <c r="B25" s="270"/>
      <c r="C25" s="270" t="s">
        <v>222</v>
      </c>
      <c r="D25" s="288">
        <v>1</v>
      </c>
      <c r="E25" s="289">
        <v>590</v>
      </c>
    </row>
    <row r="26" spans="1:13" x14ac:dyDescent="0.25">
      <c r="A26" s="270" t="s">
        <v>206</v>
      </c>
      <c r="B26" s="270" t="s">
        <v>223</v>
      </c>
      <c r="C26" s="270" t="s">
        <v>224</v>
      </c>
      <c r="D26" s="288">
        <v>1</v>
      </c>
      <c r="E26" s="289">
        <v>3790</v>
      </c>
    </row>
    <row r="27" spans="1:13" x14ac:dyDescent="0.25">
      <c r="A27" s="270" t="s">
        <v>206</v>
      </c>
      <c r="B27" s="270"/>
      <c r="C27" s="270" t="s">
        <v>225</v>
      </c>
      <c r="D27" s="288"/>
      <c r="E27" s="289"/>
    </row>
    <row r="28" spans="1:13" x14ac:dyDescent="0.25">
      <c r="A28" s="270" t="s">
        <v>206</v>
      </c>
      <c r="B28" s="270"/>
      <c r="C28" s="270" t="s">
        <v>226</v>
      </c>
      <c r="D28" s="288"/>
      <c r="E28" s="289"/>
    </row>
    <row r="29" spans="1:13" x14ac:dyDescent="0.25">
      <c r="A29" s="270" t="s">
        <v>206</v>
      </c>
      <c r="B29" s="270" t="s">
        <v>227</v>
      </c>
      <c r="C29" s="270" t="s">
        <v>228</v>
      </c>
      <c r="D29" s="288">
        <v>1</v>
      </c>
      <c r="E29" s="289">
        <v>1200</v>
      </c>
    </row>
    <row r="30" spans="1:13" x14ac:dyDescent="0.25">
      <c r="A30" s="270" t="s">
        <v>212</v>
      </c>
      <c r="B30" s="270" t="s">
        <v>229</v>
      </c>
      <c r="C30" s="270" t="s">
        <v>230</v>
      </c>
      <c r="D30" s="288">
        <v>1</v>
      </c>
      <c r="E30" s="289">
        <v>3190</v>
      </c>
    </row>
    <row r="31" spans="1:13" x14ac:dyDescent="0.25">
      <c r="A31" s="270" t="s">
        <v>212</v>
      </c>
      <c r="B31" s="270" t="s">
        <v>229</v>
      </c>
      <c r="C31" s="270" t="s">
        <v>231</v>
      </c>
      <c r="D31" s="288">
        <v>0</v>
      </c>
      <c r="E31" s="289"/>
    </row>
    <row r="32" spans="1:13" x14ac:dyDescent="0.25">
      <c r="A32" s="270" t="s">
        <v>212</v>
      </c>
      <c r="B32" s="270" t="s">
        <v>232</v>
      </c>
      <c r="C32" s="270" t="s">
        <v>233</v>
      </c>
      <c r="D32" s="288">
        <v>1</v>
      </c>
      <c r="E32" s="289">
        <v>4345</v>
      </c>
    </row>
    <row r="33" spans="1:5" x14ac:dyDescent="0.25">
      <c r="A33" s="270" t="s">
        <v>234</v>
      </c>
      <c r="B33" s="270" t="s">
        <v>235</v>
      </c>
      <c r="C33" s="270" t="s">
        <v>234</v>
      </c>
      <c r="D33" s="288">
        <v>1</v>
      </c>
      <c r="E33" s="289">
        <v>4252.5</v>
      </c>
    </row>
    <row r="34" spans="1:5" x14ac:dyDescent="0.25">
      <c r="A34" s="270" t="s">
        <v>234</v>
      </c>
      <c r="B34" s="270" t="s">
        <v>235</v>
      </c>
      <c r="C34" s="274" t="s">
        <v>236</v>
      </c>
      <c r="D34" s="288">
        <v>1</v>
      </c>
      <c r="E34" s="289"/>
    </row>
    <row r="35" spans="1:5" x14ac:dyDescent="0.25">
      <c r="A35" s="270" t="s">
        <v>234</v>
      </c>
      <c r="B35" s="270" t="s">
        <v>235</v>
      </c>
      <c r="C35" s="270" t="s">
        <v>237</v>
      </c>
      <c r="D35" s="288">
        <v>1</v>
      </c>
      <c r="E35" s="289"/>
    </row>
    <row r="36" spans="1:5" x14ac:dyDescent="0.25">
      <c r="A36" s="270" t="s">
        <v>234</v>
      </c>
      <c r="B36" s="270" t="s">
        <v>235</v>
      </c>
      <c r="C36" s="270" t="s">
        <v>238</v>
      </c>
      <c r="D36" s="288">
        <v>1</v>
      </c>
      <c r="E36" s="289"/>
    </row>
    <row r="37" spans="1:5" x14ac:dyDescent="0.25">
      <c r="A37" s="270" t="s">
        <v>234</v>
      </c>
      <c r="B37" s="270" t="s">
        <v>235</v>
      </c>
      <c r="C37" s="270" t="s">
        <v>239</v>
      </c>
      <c r="D37" s="288">
        <v>1</v>
      </c>
      <c r="E37" s="289"/>
    </row>
    <row r="38" spans="1:5" x14ac:dyDescent="0.25">
      <c r="A38" s="270" t="s">
        <v>234</v>
      </c>
      <c r="B38" s="270" t="s">
        <v>235</v>
      </c>
      <c r="C38" s="270" t="s">
        <v>240</v>
      </c>
      <c r="D38" s="288">
        <v>1</v>
      </c>
      <c r="E38" s="289"/>
    </row>
    <row r="39" spans="1:5" x14ac:dyDescent="0.25">
      <c r="A39" s="270" t="s">
        <v>234</v>
      </c>
      <c r="B39" s="270" t="s">
        <v>235</v>
      </c>
      <c r="C39" s="270" t="s">
        <v>675</v>
      </c>
      <c r="D39" s="288">
        <v>1</v>
      </c>
      <c r="E39" s="289"/>
    </row>
    <row r="40" spans="1:5" x14ac:dyDescent="0.25">
      <c r="A40" s="270" t="s">
        <v>234</v>
      </c>
      <c r="B40" s="270" t="s">
        <v>235</v>
      </c>
      <c r="C40" s="270" t="s">
        <v>241</v>
      </c>
      <c r="D40" s="288">
        <v>1</v>
      </c>
      <c r="E40" s="289"/>
    </row>
    <row r="41" spans="1:5" x14ac:dyDescent="0.25">
      <c r="A41" s="270" t="s">
        <v>234</v>
      </c>
      <c r="B41" s="270" t="s">
        <v>235</v>
      </c>
      <c r="C41" s="270" t="s">
        <v>242</v>
      </c>
      <c r="D41" s="288">
        <v>1</v>
      </c>
      <c r="E41" s="289"/>
    </row>
    <row r="42" spans="1:5" x14ac:dyDescent="0.25">
      <c r="A42" s="270" t="s">
        <v>234</v>
      </c>
      <c r="B42" s="270" t="s">
        <v>235</v>
      </c>
      <c r="C42" s="270" t="s">
        <v>243</v>
      </c>
      <c r="D42" s="288">
        <v>1</v>
      </c>
      <c r="E42" s="289"/>
    </row>
    <row r="43" spans="1:5" x14ac:dyDescent="0.25">
      <c r="A43" s="270" t="s">
        <v>234</v>
      </c>
      <c r="B43" s="270" t="s">
        <v>235</v>
      </c>
      <c r="C43" s="270" t="s">
        <v>244</v>
      </c>
      <c r="D43" s="288">
        <v>1</v>
      </c>
      <c r="E43" s="289"/>
    </row>
    <row r="44" spans="1:5" x14ac:dyDescent="0.25">
      <c r="A44" s="270" t="s">
        <v>234</v>
      </c>
      <c r="B44" s="270" t="s">
        <v>235</v>
      </c>
      <c r="C44" s="270" t="s">
        <v>245</v>
      </c>
      <c r="D44" s="288">
        <v>1</v>
      </c>
      <c r="E44" s="289"/>
    </row>
    <row r="45" spans="1:5" x14ac:dyDescent="0.25">
      <c r="A45" s="270" t="s">
        <v>234</v>
      </c>
      <c r="B45" s="270" t="s">
        <v>235</v>
      </c>
      <c r="C45" s="270" t="s">
        <v>246</v>
      </c>
      <c r="D45" s="288">
        <v>1</v>
      </c>
      <c r="E45" s="289"/>
    </row>
    <row r="46" spans="1:5" x14ac:dyDescent="0.25">
      <c r="A46" s="270" t="s">
        <v>234</v>
      </c>
      <c r="B46" s="270" t="s">
        <v>235</v>
      </c>
      <c r="C46" s="270" t="s">
        <v>247</v>
      </c>
      <c r="D46" s="288">
        <v>1</v>
      </c>
      <c r="E46" s="289"/>
    </row>
    <row r="47" spans="1:5" x14ac:dyDescent="0.25">
      <c r="A47" s="270" t="s">
        <v>234</v>
      </c>
      <c r="B47" s="270" t="s">
        <v>248</v>
      </c>
      <c r="C47" s="270" t="s">
        <v>249</v>
      </c>
      <c r="D47" s="288">
        <v>1</v>
      </c>
      <c r="E47" s="289">
        <v>600</v>
      </c>
    </row>
    <row r="48" spans="1:5" x14ac:dyDescent="0.25">
      <c r="A48" s="270" t="s">
        <v>206</v>
      </c>
      <c r="B48" s="270" t="s">
        <v>250</v>
      </c>
      <c r="C48" s="270" t="s">
        <v>251</v>
      </c>
      <c r="D48" s="288">
        <v>1</v>
      </c>
      <c r="E48" s="289">
        <v>1800</v>
      </c>
    </row>
    <row r="49" spans="1:5" x14ac:dyDescent="0.25">
      <c r="A49" s="270" t="s">
        <v>206</v>
      </c>
      <c r="B49" s="270" t="s">
        <v>252</v>
      </c>
      <c r="C49" s="270" t="s">
        <v>253</v>
      </c>
      <c r="D49" s="288">
        <v>1</v>
      </c>
      <c r="E49" s="289">
        <v>50</v>
      </c>
    </row>
    <row r="50" spans="1:5" x14ac:dyDescent="0.25">
      <c r="A50" s="270" t="s">
        <v>234</v>
      </c>
      <c r="B50" s="270" t="s">
        <v>254</v>
      </c>
      <c r="C50" s="270" t="s">
        <v>255</v>
      </c>
      <c r="D50" s="288">
        <v>1</v>
      </c>
      <c r="E50" s="289">
        <v>75</v>
      </c>
    </row>
    <row r="51" spans="1:5" x14ac:dyDescent="0.25">
      <c r="A51" s="270" t="s">
        <v>234</v>
      </c>
      <c r="B51" s="270" t="s">
        <v>256</v>
      </c>
      <c r="C51" s="270" t="s">
        <v>257</v>
      </c>
      <c r="D51" s="288">
        <v>1</v>
      </c>
      <c r="E51" s="289">
        <v>75</v>
      </c>
    </row>
    <row r="52" spans="1:5" x14ac:dyDescent="0.25">
      <c r="A52" s="270" t="s">
        <v>206</v>
      </c>
      <c r="B52" s="270" t="s">
        <v>258</v>
      </c>
      <c r="C52" s="270" t="s">
        <v>259</v>
      </c>
      <c r="D52" s="288">
        <v>1</v>
      </c>
      <c r="E52" s="289">
        <v>2980.24</v>
      </c>
    </row>
    <row r="53" spans="1:5" x14ac:dyDescent="0.25">
      <c r="A53" s="270" t="s">
        <v>219</v>
      </c>
      <c r="B53" s="270" t="s">
        <v>260</v>
      </c>
      <c r="C53" s="270" t="s">
        <v>261</v>
      </c>
      <c r="D53" s="288">
        <v>1</v>
      </c>
      <c r="E53" s="289">
        <v>294</v>
      </c>
    </row>
    <row r="54" spans="1:5" x14ac:dyDescent="0.25">
      <c r="A54" s="310" t="s">
        <v>234</v>
      </c>
      <c r="B54" s="310" t="s">
        <v>262</v>
      </c>
      <c r="C54" s="310" t="s">
        <v>652</v>
      </c>
      <c r="D54" s="311">
        <v>1</v>
      </c>
      <c r="E54" s="312">
        <v>-125</v>
      </c>
    </row>
    <row r="55" spans="1:5" x14ac:dyDescent="0.25">
      <c r="A55" s="310" t="s">
        <v>212</v>
      </c>
      <c r="B55" s="310" t="s">
        <v>232</v>
      </c>
      <c r="C55" s="310" t="s">
        <v>263</v>
      </c>
      <c r="D55" s="311">
        <v>1</v>
      </c>
      <c r="E55" s="312">
        <v>-3190</v>
      </c>
    </row>
    <row r="56" spans="1:5" x14ac:dyDescent="0.25">
      <c r="A56" s="310" t="s">
        <v>234</v>
      </c>
      <c r="B56" s="310" t="s">
        <v>264</v>
      </c>
      <c r="C56" s="310" t="s">
        <v>655</v>
      </c>
      <c r="D56" s="311">
        <v>1</v>
      </c>
      <c r="E56" s="312">
        <v>0</v>
      </c>
    </row>
    <row r="57" spans="1:5" x14ac:dyDescent="0.25">
      <c r="A57" s="310" t="s">
        <v>234</v>
      </c>
      <c r="B57" s="310" t="s">
        <v>265</v>
      </c>
      <c r="C57" s="310" t="s">
        <v>653</v>
      </c>
      <c r="D57" s="311">
        <v>1</v>
      </c>
      <c r="E57" s="312">
        <v>-125</v>
      </c>
    </row>
    <row r="58" spans="1:5" x14ac:dyDescent="0.25">
      <c r="A58" s="310" t="s">
        <v>234</v>
      </c>
      <c r="B58" s="310" t="s">
        <v>266</v>
      </c>
      <c r="C58" s="310" t="s">
        <v>654</v>
      </c>
      <c r="D58" s="311">
        <v>1</v>
      </c>
      <c r="E58" s="312">
        <v>-50</v>
      </c>
    </row>
    <row r="59" spans="1:5" x14ac:dyDescent="0.25">
      <c r="A59" s="310" t="s">
        <v>234</v>
      </c>
      <c r="B59" s="310" t="s">
        <v>267</v>
      </c>
      <c r="C59" s="310" t="s">
        <v>268</v>
      </c>
      <c r="D59" s="311">
        <v>1</v>
      </c>
      <c r="E59" s="312">
        <v>75</v>
      </c>
    </row>
    <row r="60" spans="1:5" x14ac:dyDescent="0.25">
      <c r="A60" s="310" t="s">
        <v>234</v>
      </c>
      <c r="B60" s="310" t="s">
        <v>269</v>
      </c>
      <c r="C60" s="310" t="s">
        <v>270</v>
      </c>
      <c r="D60" s="311">
        <v>1</v>
      </c>
      <c r="E60" s="312">
        <v>75</v>
      </c>
    </row>
    <row r="61" spans="1:5" x14ac:dyDescent="0.25">
      <c r="A61" s="310" t="s">
        <v>234</v>
      </c>
      <c r="B61" s="310" t="s">
        <v>271</v>
      </c>
      <c r="C61" s="310" t="s">
        <v>647</v>
      </c>
      <c r="D61" s="311">
        <v>1</v>
      </c>
      <c r="E61" s="312">
        <v>0</v>
      </c>
    </row>
    <row r="62" spans="1:5" x14ac:dyDescent="0.25">
      <c r="A62" s="310" t="s">
        <v>234</v>
      </c>
      <c r="B62" s="310" t="s">
        <v>272</v>
      </c>
      <c r="C62" s="310" t="s">
        <v>648</v>
      </c>
      <c r="D62" s="311">
        <v>0</v>
      </c>
      <c r="E62" s="312">
        <v>125</v>
      </c>
    </row>
    <row r="63" spans="1:5" x14ac:dyDescent="0.25">
      <c r="A63" s="310" t="s">
        <v>234</v>
      </c>
      <c r="B63" s="310" t="s">
        <v>273</v>
      </c>
      <c r="C63" s="310" t="s">
        <v>274</v>
      </c>
      <c r="D63" s="311">
        <v>1</v>
      </c>
      <c r="E63" s="312">
        <v>50</v>
      </c>
    </row>
    <row r="64" spans="1:5" x14ac:dyDescent="0.25">
      <c r="A64" s="316" t="s">
        <v>234</v>
      </c>
      <c r="B64" s="316" t="s">
        <v>275</v>
      </c>
      <c r="C64" s="316" t="s">
        <v>276</v>
      </c>
      <c r="D64" s="311">
        <v>1</v>
      </c>
      <c r="E64" s="312">
        <v>50</v>
      </c>
    </row>
    <row r="65" spans="1:13" x14ac:dyDescent="0.25">
      <c r="A65" s="316" t="s">
        <v>234</v>
      </c>
      <c r="B65" s="316" t="s">
        <v>277</v>
      </c>
      <c r="C65" s="316" t="s">
        <v>278</v>
      </c>
      <c r="D65" s="317">
        <v>1</v>
      </c>
      <c r="E65" s="318">
        <v>50</v>
      </c>
    </row>
    <row r="66" spans="1:13" x14ac:dyDescent="0.25">
      <c r="A66" s="316" t="s">
        <v>279</v>
      </c>
      <c r="B66" s="316" t="s">
        <v>280</v>
      </c>
      <c r="C66" s="316" t="s">
        <v>281</v>
      </c>
      <c r="D66" s="311">
        <v>1</v>
      </c>
      <c r="E66" s="312">
        <v>75</v>
      </c>
    </row>
    <row r="67" spans="1:13" x14ac:dyDescent="0.25">
      <c r="A67" s="316" t="s">
        <v>234</v>
      </c>
      <c r="B67" s="316" t="s">
        <v>282</v>
      </c>
      <c r="C67" s="274" t="s">
        <v>283</v>
      </c>
      <c r="D67" s="317">
        <v>1</v>
      </c>
      <c r="E67" s="318">
        <v>50</v>
      </c>
    </row>
    <row r="68" spans="1:13" x14ac:dyDescent="0.25">
      <c r="A68" s="316" t="s">
        <v>279</v>
      </c>
      <c r="B68" s="316" t="s">
        <v>284</v>
      </c>
      <c r="C68" s="274" t="s">
        <v>285</v>
      </c>
      <c r="D68" s="311">
        <v>1</v>
      </c>
      <c r="E68" s="312">
        <v>150</v>
      </c>
    </row>
    <row r="69" spans="1:13" x14ac:dyDescent="0.25">
      <c r="A69" s="316" t="s">
        <v>286</v>
      </c>
      <c r="B69" s="316" t="s">
        <v>287</v>
      </c>
      <c r="C69" s="274" t="s">
        <v>288</v>
      </c>
      <c r="D69" s="317">
        <v>1</v>
      </c>
      <c r="E69" s="318">
        <v>75</v>
      </c>
    </row>
    <row r="70" spans="1:13" x14ac:dyDescent="0.25">
      <c r="A70" s="316" t="s">
        <v>279</v>
      </c>
      <c r="B70" s="316" t="s">
        <v>289</v>
      </c>
      <c r="C70" s="274" t="s">
        <v>649</v>
      </c>
      <c r="D70" s="311">
        <v>1</v>
      </c>
      <c r="E70" s="312">
        <v>50</v>
      </c>
    </row>
    <row r="71" spans="1:13" x14ac:dyDescent="0.25">
      <c r="A71" s="274" t="s">
        <v>637</v>
      </c>
      <c r="B71" s="316" t="s">
        <v>290</v>
      </c>
      <c r="C71" s="274" t="s">
        <v>656</v>
      </c>
      <c r="D71" s="317">
        <v>1</v>
      </c>
      <c r="E71" s="318">
        <v>0</v>
      </c>
    </row>
    <row r="72" spans="1:13" ht="15.75" thickBot="1" x14ac:dyDescent="0.3">
      <c r="A72" s="274" t="s">
        <v>234</v>
      </c>
      <c r="B72" s="316" t="s">
        <v>628</v>
      </c>
      <c r="C72" s="274" t="s">
        <v>627</v>
      </c>
      <c r="D72" s="317">
        <v>1</v>
      </c>
      <c r="E72" s="318">
        <v>75</v>
      </c>
    </row>
    <row r="73" spans="1:13" ht="15.75" thickBot="1" x14ac:dyDescent="0.3">
      <c r="A73" s="274" t="s">
        <v>234</v>
      </c>
      <c r="B73" s="316" t="s">
        <v>629</v>
      </c>
      <c r="C73" s="328" t="s">
        <v>650</v>
      </c>
      <c r="D73" s="317">
        <v>1</v>
      </c>
      <c r="E73" s="318">
        <v>200</v>
      </c>
    </row>
    <row r="74" spans="1:13" ht="15.75" thickBot="1" x14ac:dyDescent="0.3">
      <c r="A74" s="274" t="s">
        <v>234</v>
      </c>
      <c r="B74" s="316" t="s">
        <v>630</v>
      </c>
      <c r="C74" s="328" t="s">
        <v>651</v>
      </c>
      <c r="D74" s="317">
        <v>1</v>
      </c>
      <c r="E74" s="318">
        <v>50</v>
      </c>
    </row>
    <row r="75" spans="1:13" x14ac:dyDescent="0.25">
      <c r="A75" s="274" t="s">
        <v>234</v>
      </c>
      <c r="B75" s="316" t="s">
        <v>631</v>
      </c>
      <c r="C75" s="274" t="s">
        <v>633</v>
      </c>
      <c r="D75" s="317">
        <v>1</v>
      </c>
      <c r="E75" s="318">
        <v>100</v>
      </c>
    </row>
    <row r="76" spans="1:13" x14ac:dyDescent="0.25">
      <c r="A76" s="274" t="s">
        <v>234</v>
      </c>
      <c r="B76" s="316" t="s">
        <v>632</v>
      </c>
      <c r="C76" s="274" t="s">
        <v>634</v>
      </c>
      <c r="D76" s="317">
        <v>1</v>
      </c>
      <c r="E76" s="318">
        <v>150</v>
      </c>
    </row>
    <row r="77" spans="1:13" x14ac:dyDescent="0.25">
      <c r="A77" s="274" t="s">
        <v>234</v>
      </c>
      <c r="B77" s="274" t="s">
        <v>636</v>
      </c>
      <c r="C77" s="274" t="s">
        <v>635</v>
      </c>
      <c r="D77" s="276">
        <v>1</v>
      </c>
      <c r="E77" s="277">
        <v>75</v>
      </c>
    </row>
    <row r="78" spans="1:13" x14ac:dyDescent="0.25">
      <c r="A78" s="316" t="s">
        <v>234</v>
      </c>
      <c r="B78" s="316" t="s">
        <v>657</v>
      </c>
      <c r="C78" s="316" t="s">
        <v>658</v>
      </c>
      <c r="D78" s="317">
        <v>1</v>
      </c>
      <c r="E78" s="318">
        <v>797.37</v>
      </c>
    </row>
    <row r="79" spans="1:13" x14ac:dyDescent="0.25">
      <c r="A79" s="274" t="s">
        <v>234</v>
      </c>
      <c r="B79" s="274" t="s">
        <v>672</v>
      </c>
      <c r="C79" s="274" t="s">
        <v>673</v>
      </c>
      <c r="D79" s="276">
        <v>1</v>
      </c>
      <c r="E79" s="277">
        <v>50</v>
      </c>
    </row>
    <row r="80" spans="1:13" s="50" customFormat="1" x14ac:dyDescent="0.25">
      <c r="A80" s="330" t="s">
        <v>198</v>
      </c>
      <c r="B80" s="330" t="s">
        <v>689</v>
      </c>
      <c r="C80" s="330" t="s">
        <v>689</v>
      </c>
      <c r="D80" s="317">
        <v>0</v>
      </c>
      <c r="E80" s="318">
        <v>2990</v>
      </c>
      <c r="G80" s="56"/>
      <c r="H80" s="56"/>
      <c r="I80" s="56"/>
      <c r="J80" s="56"/>
      <c r="K80" s="56"/>
      <c r="L80" s="56"/>
      <c r="M80" s="56"/>
    </row>
    <row r="81" spans="1:13" x14ac:dyDescent="0.25">
      <c r="A81" s="316" t="s">
        <v>234</v>
      </c>
      <c r="B81" s="316" t="s">
        <v>690</v>
      </c>
      <c r="C81" s="316" t="s">
        <v>693</v>
      </c>
      <c r="D81" s="317">
        <v>1</v>
      </c>
      <c r="E81" s="318">
        <v>50</v>
      </c>
    </row>
    <row r="82" spans="1:13" x14ac:dyDescent="0.25">
      <c r="A82" s="316" t="s">
        <v>234</v>
      </c>
      <c r="B82" s="316" t="s">
        <v>691</v>
      </c>
      <c r="C82" s="316" t="s">
        <v>694</v>
      </c>
      <c r="D82" s="317">
        <v>1</v>
      </c>
      <c r="E82" s="318">
        <v>375</v>
      </c>
    </row>
    <row r="83" spans="1:13" x14ac:dyDescent="0.25">
      <c r="A83" s="316" t="s">
        <v>234</v>
      </c>
      <c r="B83" s="316" t="s">
        <v>692</v>
      </c>
      <c r="C83" s="316" t="s">
        <v>695</v>
      </c>
      <c r="D83" s="317">
        <v>1</v>
      </c>
      <c r="E83" s="318">
        <v>50</v>
      </c>
    </row>
    <row r="84" spans="1:13" s="50" customFormat="1" x14ac:dyDescent="0.25">
      <c r="A84" s="330" t="s">
        <v>198</v>
      </c>
      <c r="B84" s="330" t="s">
        <v>696</v>
      </c>
      <c r="C84" s="330" t="s">
        <v>696</v>
      </c>
      <c r="D84" s="317">
        <v>0</v>
      </c>
      <c r="E84" s="318">
        <v>1322.37</v>
      </c>
      <c r="G84" s="56"/>
      <c r="H84" s="56"/>
      <c r="I84" s="56"/>
      <c r="J84" s="56"/>
      <c r="K84" s="56"/>
      <c r="L84" s="56"/>
      <c r="M84" s="56"/>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20"/>
  <sheetViews>
    <sheetView workbookViewId="0">
      <pane ySplit="4" topLeftCell="A47" activePane="bottomLeft" state="frozen"/>
      <selection activeCell="H28" sqref="H28"/>
      <selection pane="bottomLeft" activeCell="N70" sqref="N70"/>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273"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23" t="s">
        <v>291</v>
      </c>
      <c r="B1" s="524"/>
      <c r="C1" s="524"/>
      <c r="D1" s="524"/>
      <c r="E1" s="524"/>
      <c r="F1" s="524"/>
      <c r="G1" s="524"/>
      <c r="H1" s="525"/>
      <c r="I1" s="514" t="s">
        <v>292</v>
      </c>
      <c r="J1" s="515"/>
      <c r="K1" s="515"/>
      <c r="L1" s="515"/>
      <c r="M1" s="515"/>
      <c r="N1" s="516"/>
      <c r="P1" s="31" t="s">
        <v>293</v>
      </c>
      <c r="Q1" s="15">
        <v>1</v>
      </c>
      <c r="R1" s="61" t="s">
        <v>294</v>
      </c>
      <c r="S1" s="15">
        <v>4</v>
      </c>
    </row>
    <row r="2" spans="1:19" x14ac:dyDescent="0.25">
      <c r="A2" s="526"/>
      <c r="B2" s="488"/>
      <c r="C2" s="488"/>
      <c r="D2" s="488"/>
      <c r="E2" s="488"/>
      <c r="F2" s="488"/>
      <c r="G2" s="488"/>
      <c r="H2" s="527"/>
      <c r="I2" s="517"/>
      <c r="J2" s="518"/>
      <c r="K2" s="518"/>
      <c r="L2" s="518"/>
      <c r="M2" s="518"/>
      <c r="N2" s="519"/>
      <c r="P2" s="31" t="s">
        <v>295</v>
      </c>
      <c r="Q2" s="15">
        <v>2</v>
      </c>
      <c r="R2" s="31" t="s">
        <v>296</v>
      </c>
      <c r="S2" s="15">
        <v>0</v>
      </c>
    </row>
    <row r="3" spans="1:19" ht="15.75" thickBot="1" x14ac:dyDescent="0.3">
      <c r="A3" s="528"/>
      <c r="B3" s="529"/>
      <c r="C3" s="529"/>
      <c r="D3" s="529"/>
      <c r="E3" s="529"/>
      <c r="F3" s="529"/>
      <c r="G3" s="529"/>
      <c r="H3" s="530"/>
      <c r="I3" s="520"/>
      <c r="J3" s="521"/>
      <c r="K3" s="521"/>
      <c r="L3" s="521"/>
      <c r="M3" s="521"/>
      <c r="N3" s="522"/>
      <c r="P3" s="31" t="s">
        <v>297</v>
      </c>
      <c r="Q3" s="15">
        <v>3</v>
      </c>
      <c r="R3" s="15" t="s">
        <v>298</v>
      </c>
      <c r="S3" s="15">
        <v>5</v>
      </c>
    </row>
    <row r="4" spans="1:19" s="63" customFormat="1" ht="30.75" thickTop="1" x14ac:dyDescent="0.25">
      <c r="A4" s="110" t="s">
        <v>299</v>
      </c>
      <c r="B4" s="111" t="s">
        <v>300</v>
      </c>
      <c r="C4" s="110" t="s">
        <v>301</v>
      </c>
      <c r="D4" s="110" t="s">
        <v>302</v>
      </c>
      <c r="E4" s="110" t="s">
        <v>303</v>
      </c>
      <c r="F4" s="110" t="s">
        <v>194</v>
      </c>
      <c r="G4" s="112" t="s">
        <v>195</v>
      </c>
      <c r="H4" s="112" t="s">
        <v>304</v>
      </c>
      <c r="I4" s="271" t="s">
        <v>305</v>
      </c>
      <c r="J4" s="69" t="s">
        <v>306</v>
      </c>
      <c r="K4" s="283" t="s">
        <v>307</v>
      </c>
      <c r="L4" s="69" t="s">
        <v>308</v>
      </c>
      <c r="M4" s="69" t="s">
        <v>309</v>
      </c>
      <c r="N4" s="69" t="s">
        <v>145</v>
      </c>
    </row>
    <row r="5" spans="1:19" x14ac:dyDescent="0.25">
      <c r="A5" s="74" t="str">
        <f>+IF(FromProposal[[#This Row],[Cost Code]]&lt;&gt;0,+'Gnatt Chart'!$A$2,"")</f>
        <v xml:space="preserve">AvilaCRI </v>
      </c>
      <c r="B5" s="72">
        <v>1</v>
      </c>
      <c r="C5" s="74" t="s">
        <v>196</v>
      </c>
      <c r="D5" s="74" t="s">
        <v>196</v>
      </c>
      <c r="E5" s="74" t="s">
        <v>197</v>
      </c>
      <c r="F5" s="74">
        <v>0</v>
      </c>
      <c r="G5" s="324">
        <v>7016</v>
      </c>
      <c r="H5" s="324">
        <v>0</v>
      </c>
      <c r="I5" s="272" t="s">
        <v>7</v>
      </c>
      <c r="J5" s="70">
        <v>4</v>
      </c>
      <c r="K5" s="287">
        <v>45212</v>
      </c>
      <c r="L5" s="70"/>
      <c r="M5" s="286">
        <v>7016</v>
      </c>
      <c r="N5" s="71"/>
    </row>
    <row r="6" spans="1:19" x14ac:dyDescent="0.25">
      <c r="A6" s="74" t="str">
        <f>+IF(FromProposal[[#This Row],[Cost Code]]&lt;&gt;0,+'Gnatt Chart'!$A$2,"")</f>
        <v xml:space="preserve">AvilaCRI </v>
      </c>
      <c r="B6" s="72">
        <v>2</v>
      </c>
      <c r="C6" s="74" t="s">
        <v>198</v>
      </c>
      <c r="D6" s="74" t="s">
        <v>199</v>
      </c>
      <c r="E6" s="74" t="s">
        <v>200</v>
      </c>
      <c r="F6" s="74">
        <v>0</v>
      </c>
      <c r="G6" s="324">
        <v>10505.74</v>
      </c>
      <c r="H6" s="324">
        <v>0</v>
      </c>
      <c r="I6" s="272" t="s">
        <v>44</v>
      </c>
      <c r="J6" s="70">
        <v>4</v>
      </c>
      <c r="K6" s="287">
        <v>45218</v>
      </c>
      <c r="L6" s="70"/>
      <c r="M6" s="286">
        <v>10505.74</v>
      </c>
      <c r="N6" s="71"/>
    </row>
    <row r="7" spans="1:19" x14ac:dyDescent="0.25">
      <c r="A7" s="74" t="str">
        <f>+IF(FromProposal[[#This Row],[Cost Code]]&lt;&gt;0,+'Gnatt Chart'!$A$2,"")</f>
        <v xml:space="preserve">AvilaCRI </v>
      </c>
      <c r="B7" s="72">
        <v>3</v>
      </c>
      <c r="C7" s="74" t="s">
        <v>198</v>
      </c>
      <c r="D7" s="74" t="s">
        <v>201</v>
      </c>
      <c r="E7" s="74" t="s">
        <v>201</v>
      </c>
      <c r="F7" s="74">
        <v>0</v>
      </c>
      <c r="G7" s="324">
        <v>9940</v>
      </c>
      <c r="H7" s="324">
        <v>0</v>
      </c>
      <c r="I7" s="272" t="s">
        <v>7</v>
      </c>
      <c r="J7" s="70">
        <v>4</v>
      </c>
      <c r="K7" s="287">
        <v>45226</v>
      </c>
      <c r="L7" s="70"/>
      <c r="M7" s="286">
        <v>9940</v>
      </c>
      <c r="N7" s="71"/>
    </row>
    <row r="8" spans="1:19" x14ac:dyDescent="0.25">
      <c r="A8" s="74" t="str">
        <f>+IF(FromProposal[[#This Row],[Cost Code]]&lt;&gt;0,+'Gnatt Chart'!$A$2,"")</f>
        <v/>
      </c>
      <c r="B8" s="72">
        <v>4</v>
      </c>
      <c r="D8" s="74" t="s">
        <v>202</v>
      </c>
      <c r="E8" s="74" t="s">
        <v>203</v>
      </c>
      <c r="F8" s="74">
        <v>6</v>
      </c>
      <c r="G8" s="324"/>
      <c r="H8" s="324"/>
      <c r="I8" s="272"/>
      <c r="J8" s="70">
        <v>5</v>
      </c>
      <c r="K8" s="287"/>
      <c r="L8" s="70"/>
      <c r="M8" s="286"/>
      <c r="N8" s="71"/>
    </row>
    <row r="9" spans="1:19" x14ac:dyDescent="0.25">
      <c r="A9" s="74" t="str">
        <f>+IF(FromProposal[[#This Row],[Cost Code]]&lt;&gt;0,+'Gnatt Chart'!$A$2,"")</f>
        <v xml:space="preserve">AvilaCRI </v>
      </c>
      <c r="B9" s="72">
        <v>5</v>
      </c>
      <c r="C9" s="74" t="s">
        <v>204</v>
      </c>
      <c r="D9" s="74" t="s">
        <v>205</v>
      </c>
      <c r="E9" s="74" t="s">
        <v>204</v>
      </c>
      <c r="F9" s="74">
        <v>0</v>
      </c>
      <c r="G9" s="324">
        <v>0</v>
      </c>
      <c r="H9" s="324">
        <v>0</v>
      </c>
      <c r="I9" s="272" t="s">
        <v>7</v>
      </c>
      <c r="J9" s="70">
        <v>0</v>
      </c>
      <c r="K9" s="287"/>
      <c r="L9" s="70"/>
      <c r="M9" s="286"/>
      <c r="N9" s="71"/>
    </row>
    <row r="10" spans="1:19" x14ac:dyDescent="0.25">
      <c r="A10" s="74" t="str">
        <f>+IF(FromProposal[[#This Row],[Cost Code]]&lt;&gt;0,+'Gnatt Chart'!$A$2,"")</f>
        <v xml:space="preserve">AvilaCRI </v>
      </c>
      <c r="B10" s="72">
        <v>6</v>
      </c>
      <c r="C10" s="74" t="s">
        <v>206</v>
      </c>
      <c r="D10" s="74" t="s">
        <v>205</v>
      </c>
      <c r="E10" s="74" t="s">
        <v>207</v>
      </c>
      <c r="F10" s="74">
        <v>0</v>
      </c>
      <c r="G10" s="324">
        <v>0</v>
      </c>
      <c r="H10" s="324">
        <v>0</v>
      </c>
      <c r="I10" s="272" t="s">
        <v>7</v>
      </c>
      <c r="J10" s="70">
        <v>0</v>
      </c>
      <c r="K10" s="287"/>
      <c r="L10" s="70">
        <v>5</v>
      </c>
      <c r="M10" s="286"/>
      <c r="N10" s="71"/>
    </row>
    <row r="11" spans="1:19" x14ac:dyDescent="0.25">
      <c r="A11" s="74" t="str">
        <f>+IF(FromProposal[[#This Row],[Cost Code]]&lt;&gt;0,+'Gnatt Chart'!$A$2,"")</f>
        <v xml:space="preserve">AvilaCRI </v>
      </c>
      <c r="B11" s="72">
        <v>7</v>
      </c>
      <c r="C11" s="74" t="s">
        <v>208</v>
      </c>
      <c r="D11" s="74" t="s">
        <v>205</v>
      </c>
      <c r="E11" s="74" t="s">
        <v>209</v>
      </c>
      <c r="F11" s="74">
        <v>0</v>
      </c>
      <c r="G11" s="324">
        <v>0</v>
      </c>
      <c r="H11" s="324">
        <v>0</v>
      </c>
      <c r="I11" s="272" t="s">
        <v>7</v>
      </c>
      <c r="J11" s="70">
        <v>0</v>
      </c>
      <c r="K11" s="287"/>
      <c r="L11" s="70"/>
      <c r="M11" s="286"/>
      <c r="N11" s="71"/>
    </row>
    <row r="12" spans="1:19" x14ac:dyDescent="0.25">
      <c r="A12" s="74" t="str">
        <f>+IF(FromProposal[[#This Row],[Cost Code]]&lt;&gt;0,+'Gnatt Chart'!$A$2,"")</f>
        <v xml:space="preserve">AvilaCRI </v>
      </c>
      <c r="B12" s="72">
        <v>8</v>
      </c>
      <c r="C12" s="74" t="s">
        <v>210</v>
      </c>
      <c r="D12" s="74" t="s">
        <v>205</v>
      </c>
      <c r="E12" s="74" t="s">
        <v>211</v>
      </c>
      <c r="F12" s="74">
        <v>0</v>
      </c>
      <c r="G12" s="324">
        <v>0</v>
      </c>
      <c r="H12" s="324">
        <v>0</v>
      </c>
      <c r="I12" s="272" t="s">
        <v>7</v>
      </c>
      <c r="J12" s="70">
        <v>0</v>
      </c>
      <c r="K12" s="287"/>
      <c r="L12" s="70"/>
      <c r="M12" s="286"/>
      <c r="N12" s="71"/>
    </row>
    <row r="13" spans="1:19" x14ac:dyDescent="0.25">
      <c r="A13" s="74" t="str">
        <f>+IF(FromProposal[[#This Row],[Cost Code]]&lt;&gt;0,+'Gnatt Chart'!$A$2,"")</f>
        <v xml:space="preserve">AvilaCRI </v>
      </c>
      <c r="B13" s="72">
        <v>9</v>
      </c>
      <c r="C13" s="74" t="s">
        <v>212</v>
      </c>
      <c r="D13" s="74" t="s">
        <v>205</v>
      </c>
      <c r="E13" s="74" t="s">
        <v>213</v>
      </c>
      <c r="F13" s="74">
        <v>0</v>
      </c>
      <c r="G13" s="324">
        <v>0</v>
      </c>
      <c r="H13" s="324">
        <v>0</v>
      </c>
      <c r="I13" s="272" t="s">
        <v>44</v>
      </c>
      <c r="J13" s="70">
        <v>0</v>
      </c>
      <c r="K13" s="287"/>
      <c r="L13" s="70"/>
      <c r="M13" s="286"/>
      <c r="N13" s="71"/>
    </row>
    <row r="14" spans="1:19" x14ac:dyDescent="0.25">
      <c r="A14" s="74" t="str">
        <f>+IF(FromProposal[[#This Row],[Cost Code]]&lt;&gt;0,+'Gnatt Chart'!$A$2,"")</f>
        <v xml:space="preserve">AvilaCRI </v>
      </c>
      <c r="B14" s="72">
        <v>10</v>
      </c>
      <c r="C14" s="74" t="s">
        <v>214</v>
      </c>
      <c r="D14" s="74" t="s">
        <v>215</v>
      </c>
      <c r="E14" s="74" t="s">
        <v>216</v>
      </c>
      <c r="F14" s="74">
        <v>1</v>
      </c>
      <c r="G14" s="323">
        <v>3800</v>
      </c>
      <c r="H14" s="323">
        <v>3800</v>
      </c>
      <c r="I14" s="272" t="s">
        <v>44</v>
      </c>
      <c r="J14" s="70">
        <v>1</v>
      </c>
      <c r="K14" s="287">
        <v>45213</v>
      </c>
      <c r="L14" s="70">
        <v>1</v>
      </c>
      <c r="M14" s="286"/>
      <c r="N14" s="71"/>
    </row>
    <row r="15" spans="1:19" x14ac:dyDescent="0.25">
      <c r="A15" s="74" t="str">
        <f>+IF(FromProposal[[#This Row],[Cost Code]]&lt;&gt;0,+'Gnatt Chart'!$A$2,"")</f>
        <v xml:space="preserve">AvilaCRI </v>
      </c>
      <c r="B15" s="72">
        <v>11</v>
      </c>
      <c r="C15" s="74" t="s">
        <v>214</v>
      </c>
      <c r="E15" s="74" t="s">
        <v>217</v>
      </c>
      <c r="F15" s="74">
        <v>0</v>
      </c>
      <c r="G15" s="324"/>
      <c r="H15" s="324"/>
      <c r="I15" s="272" t="s">
        <v>44</v>
      </c>
      <c r="J15" s="70">
        <v>1</v>
      </c>
      <c r="K15" s="287">
        <v>45213</v>
      </c>
      <c r="L15" s="70">
        <v>1</v>
      </c>
      <c r="M15" s="286"/>
      <c r="N15" s="71"/>
    </row>
    <row r="16" spans="1:19" x14ac:dyDescent="0.25">
      <c r="A16" s="74" t="str">
        <f>+IF(FromProposal[[#This Row],[Cost Code]]&lt;&gt;0,+'Gnatt Chart'!$A$2,"")</f>
        <v xml:space="preserve">AvilaCRI </v>
      </c>
      <c r="B16" s="72">
        <v>12</v>
      </c>
      <c r="C16" s="74" t="s">
        <v>214</v>
      </c>
      <c r="E16" s="74" t="s">
        <v>218</v>
      </c>
      <c r="F16" s="74">
        <v>0</v>
      </c>
      <c r="G16" s="324"/>
      <c r="H16" s="324"/>
      <c r="I16" s="272" t="s">
        <v>44</v>
      </c>
      <c r="J16" s="70">
        <v>1</v>
      </c>
      <c r="K16" s="287">
        <v>45213</v>
      </c>
      <c r="L16" s="70">
        <v>1</v>
      </c>
      <c r="M16" s="286"/>
      <c r="N16" s="71"/>
    </row>
    <row r="17" spans="1:14" x14ac:dyDescent="0.25">
      <c r="A17" s="74" t="str">
        <f>+IF(FromProposal[[#This Row],[Cost Code]]&lt;&gt;0,+'Gnatt Chart'!$A$2,"")</f>
        <v xml:space="preserve">AvilaCRI </v>
      </c>
      <c r="B17" s="72">
        <v>13</v>
      </c>
      <c r="C17" s="74" t="s">
        <v>219</v>
      </c>
      <c r="E17" s="74" t="s">
        <v>220</v>
      </c>
      <c r="F17" s="74">
        <v>1</v>
      </c>
      <c r="G17" s="324">
        <v>4950</v>
      </c>
      <c r="H17" s="324">
        <v>4950</v>
      </c>
      <c r="I17" s="272" t="s">
        <v>44</v>
      </c>
      <c r="J17" s="70">
        <v>1</v>
      </c>
      <c r="K17" s="287">
        <v>45216</v>
      </c>
      <c r="L17" s="70">
        <v>7</v>
      </c>
      <c r="M17" s="286"/>
      <c r="N17" s="71"/>
    </row>
    <row r="18" spans="1:14" x14ac:dyDescent="0.25">
      <c r="A18" s="74" t="str">
        <f>+IF(FromProposal[[#This Row],[Cost Code]]&lt;&gt;0,+'Gnatt Chart'!$A$2,"")</f>
        <v xml:space="preserve">AvilaCRI </v>
      </c>
      <c r="B18" s="72">
        <v>14</v>
      </c>
      <c r="C18" s="74" t="s">
        <v>221</v>
      </c>
      <c r="E18" s="74" t="s">
        <v>222</v>
      </c>
      <c r="F18" s="74">
        <v>1</v>
      </c>
      <c r="G18" s="324">
        <v>590</v>
      </c>
      <c r="H18" s="324">
        <v>590</v>
      </c>
      <c r="I18" s="272" t="s">
        <v>7</v>
      </c>
      <c r="J18" s="70">
        <v>1</v>
      </c>
      <c r="K18" s="287"/>
      <c r="L18" s="70">
        <v>1</v>
      </c>
      <c r="M18" s="286"/>
      <c r="N18" s="71"/>
    </row>
    <row r="19" spans="1:14" x14ac:dyDescent="0.25">
      <c r="A19" s="74" t="str">
        <f>+IF(FromProposal[[#This Row],[Cost Code]]&lt;&gt;0,+'Gnatt Chart'!$A$2,"")</f>
        <v xml:space="preserve">AvilaCRI </v>
      </c>
      <c r="B19" s="72">
        <v>15</v>
      </c>
      <c r="C19" s="74" t="s">
        <v>206</v>
      </c>
      <c r="D19" s="74" t="s">
        <v>223</v>
      </c>
      <c r="E19" s="74" t="s">
        <v>224</v>
      </c>
      <c r="F19" s="74">
        <v>1</v>
      </c>
      <c r="G19" s="324">
        <v>3790</v>
      </c>
      <c r="H19" s="324">
        <v>3790</v>
      </c>
      <c r="I19" s="272" t="s">
        <v>7</v>
      </c>
      <c r="J19" s="70">
        <v>1</v>
      </c>
      <c r="K19" s="287">
        <v>45226</v>
      </c>
      <c r="L19" s="70">
        <v>2</v>
      </c>
      <c r="M19" s="286"/>
      <c r="N19" s="71"/>
    </row>
    <row r="20" spans="1:14" x14ac:dyDescent="0.25">
      <c r="A20" s="74" t="str">
        <f>+IF(FromProposal[[#This Row],[Cost Code]]&lt;&gt;0,+'Gnatt Chart'!$A$2,"")</f>
        <v xml:space="preserve">AvilaCRI </v>
      </c>
      <c r="B20" s="72">
        <v>16</v>
      </c>
      <c r="C20" s="74" t="s">
        <v>206</v>
      </c>
      <c r="E20" s="74" t="s">
        <v>225</v>
      </c>
      <c r="G20" s="324"/>
      <c r="H20" s="324"/>
      <c r="I20" s="272" t="s">
        <v>7</v>
      </c>
      <c r="J20" s="70">
        <v>1</v>
      </c>
      <c r="K20" s="287"/>
      <c r="L20" s="70"/>
      <c r="M20" s="286"/>
      <c r="N20" s="71"/>
    </row>
    <row r="21" spans="1:14" x14ac:dyDescent="0.25">
      <c r="A21" s="74" t="str">
        <f>+IF(FromProposal[[#This Row],[Cost Code]]&lt;&gt;0,+'Gnatt Chart'!$A$2,"")</f>
        <v xml:space="preserve">AvilaCRI </v>
      </c>
      <c r="B21" s="72">
        <v>17</v>
      </c>
      <c r="C21" s="74" t="s">
        <v>206</v>
      </c>
      <c r="E21" s="74" t="s">
        <v>226</v>
      </c>
      <c r="G21" s="324"/>
      <c r="H21" s="324"/>
      <c r="I21" s="272" t="s">
        <v>7</v>
      </c>
      <c r="J21" s="70">
        <v>1</v>
      </c>
      <c r="K21" s="287"/>
      <c r="L21" s="70"/>
      <c r="M21" s="286"/>
      <c r="N21" s="71"/>
    </row>
    <row r="22" spans="1:14" x14ac:dyDescent="0.25">
      <c r="A22" s="74" t="str">
        <f>+IF(FromProposal[[#This Row],[Cost Code]]&lt;&gt;0,+'Gnatt Chart'!$A$2,"")</f>
        <v xml:space="preserve">AvilaCRI </v>
      </c>
      <c r="B22" s="72">
        <v>18</v>
      </c>
      <c r="C22" s="74" t="s">
        <v>206</v>
      </c>
      <c r="D22" s="74" t="s">
        <v>227</v>
      </c>
      <c r="E22" s="74" t="s">
        <v>228</v>
      </c>
      <c r="F22" s="74">
        <v>1</v>
      </c>
      <c r="G22" s="324">
        <v>1200</v>
      </c>
      <c r="H22" s="324">
        <v>1200</v>
      </c>
      <c r="I22" s="272" t="s">
        <v>44</v>
      </c>
      <c r="J22" s="70">
        <v>1</v>
      </c>
      <c r="K22" s="287">
        <v>45225</v>
      </c>
      <c r="L22" s="70">
        <v>1</v>
      </c>
      <c r="M22" s="286"/>
      <c r="N22" s="71"/>
    </row>
    <row r="23" spans="1:14" x14ac:dyDescent="0.25">
      <c r="A23" s="74" t="str">
        <f>+IF(FromProposal[[#This Row],[Cost Code]]&lt;&gt;0,+'Gnatt Chart'!$A$2,"")</f>
        <v xml:space="preserve">AvilaCRI </v>
      </c>
      <c r="B23" s="72">
        <v>19</v>
      </c>
      <c r="C23" s="74" t="s">
        <v>212</v>
      </c>
      <c r="D23" s="74" t="s">
        <v>229</v>
      </c>
      <c r="E23" s="74" t="s">
        <v>230</v>
      </c>
      <c r="F23" s="74">
        <v>1</v>
      </c>
      <c r="G23" s="324">
        <v>3190</v>
      </c>
      <c r="H23" s="324">
        <v>3190</v>
      </c>
      <c r="I23" s="272" t="s">
        <v>44</v>
      </c>
      <c r="J23" s="70">
        <v>1</v>
      </c>
      <c r="K23" s="287">
        <v>45219</v>
      </c>
      <c r="L23" s="70">
        <v>1</v>
      </c>
      <c r="M23" s="286"/>
      <c r="N23" s="71" t="s">
        <v>617</v>
      </c>
    </row>
    <row r="24" spans="1:14" x14ac:dyDescent="0.25">
      <c r="A24" s="74" t="str">
        <f>+IF(FromProposal[[#This Row],[Cost Code]]&lt;&gt;0,+'Gnatt Chart'!$A$2,"")</f>
        <v xml:space="preserve">AvilaCRI </v>
      </c>
      <c r="B24" s="72">
        <v>20</v>
      </c>
      <c r="C24" s="74" t="s">
        <v>212</v>
      </c>
      <c r="D24" s="74" t="s">
        <v>229</v>
      </c>
      <c r="E24" s="74" t="s">
        <v>231</v>
      </c>
      <c r="F24" s="74">
        <v>0</v>
      </c>
      <c r="G24" s="324"/>
      <c r="H24" s="324"/>
      <c r="I24" s="272" t="s">
        <v>7</v>
      </c>
      <c r="J24" s="70">
        <v>1</v>
      </c>
      <c r="K24" s="287">
        <v>45219</v>
      </c>
      <c r="L24" s="70"/>
      <c r="M24" s="286"/>
      <c r="N24" s="71"/>
    </row>
    <row r="25" spans="1:14" x14ac:dyDescent="0.25">
      <c r="A25" s="74" t="str">
        <f>+IF(FromProposal[[#This Row],[Cost Code]]&lt;&gt;0,+'Gnatt Chart'!$A$2,"")</f>
        <v xml:space="preserve">AvilaCRI </v>
      </c>
      <c r="B25" s="72">
        <v>21</v>
      </c>
      <c r="C25" s="74" t="s">
        <v>212</v>
      </c>
      <c r="D25" s="74" t="s">
        <v>232</v>
      </c>
      <c r="E25" s="74" t="s">
        <v>233</v>
      </c>
      <c r="F25" s="74">
        <v>1</v>
      </c>
      <c r="G25" s="324">
        <v>4345</v>
      </c>
      <c r="H25" s="324">
        <v>4345</v>
      </c>
      <c r="I25" s="272" t="s">
        <v>44</v>
      </c>
      <c r="J25" s="70">
        <v>2</v>
      </c>
      <c r="K25" s="287">
        <v>45219</v>
      </c>
      <c r="L25" s="70"/>
      <c r="M25" s="286"/>
      <c r="N25" s="71"/>
    </row>
    <row r="26" spans="1:14" x14ac:dyDescent="0.25">
      <c r="A26" s="74" t="str">
        <f>+IF(FromProposal[[#This Row],[Cost Code]]&lt;&gt;0,+'Gnatt Chart'!$A$2,"")</f>
        <v xml:space="preserve">AvilaCRI </v>
      </c>
      <c r="B26" s="72">
        <v>22</v>
      </c>
      <c r="C26" s="74" t="s">
        <v>234</v>
      </c>
      <c r="D26" s="74" t="s">
        <v>235</v>
      </c>
      <c r="E26" s="301" t="s">
        <v>234</v>
      </c>
      <c r="F26" s="301">
        <v>1</v>
      </c>
      <c r="G26" s="325">
        <v>4252.5</v>
      </c>
      <c r="H26" s="325">
        <v>4252.5</v>
      </c>
      <c r="I26" s="272" t="s">
        <v>44</v>
      </c>
      <c r="J26" s="70">
        <v>1</v>
      </c>
      <c r="K26" s="287">
        <v>45229</v>
      </c>
      <c r="L26" s="70">
        <v>7</v>
      </c>
      <c r="M26" s="286"/>
      <c r="N26" s="71"/>
    </row>
    <row r="27" spans="1:14" x14ac:dyDescent="0.25">
      <c r="A27" s="74" t="str">
        <f>+IF(FromProposal[[#This Row],[Cost Code]]&lt;&gt;0,+'Gnatt Chart'!$A$2,"")</f>
        <v xml:space="preserve">AvilaCRI </v>
      </c>
      <c r="B27" s="72">
        <v>23</v>
      </c>
      <c r="C27" s="74" t="s">
        <v>234</v>
      </c>
      <c r="D27" s="74" t="s">
        <v>235</v>
      </c>
      <c r="E27" s="74" t="s">
        <v>236</v>
      </c>
      <c r="F27" s="74">
        <v>1</v>
      </c>
      <c r="G27" s="324"/>
      <c r="H27" s="324"/>
      <c r="I27" s="272" t="s">
        <v>7</v>
      </c>
      <c r="J27" s="70">
        <v>1</v>
      </c>
      <c r="K27" s="287">
        <v>45229</v>
      </c>
      <c r="L27" s="70"/>
      <c r="M27" s="286"/>
      <c r="N27" s="71"/>
    </row>
    <row r="28" spans="1:14" x14ac:dyDescent="0.25">
      <c r="A28" s="74" t="str">
        <f>+IF(FromProposal[[#This Row],[Cost Code]]&lt;&gt;0,+'Gnatt Chart'!$A$2,"")</f>
        <v xml:space="preserve">AvilaCRI </v>
      </c>
      <c r="B28" s="72">
        <v>24</v>
      </c>
      <c r="C28" s="74" t="s">
        <v>234</v>
      </c>
      <c r="D28" s="74" t="s">
        <v>235</v>
      </c>
      <c r="E28" s="74" t="s">
        <v>237</v>
      </c>
      <c r="F28" s="74">
        <v>1</v>
      </c>
      <c r="G28" s="324"/>
      <c r="H28" s="324"/>
      <c r="I28" s="272" t="s">
        <v>7</v>
      </c>
      <c r="J28" s="70">
        <v>1</v>
      </c>
      <c r="K28" s="287">
        <v>45229</v>
      </c>
      <c r="L28" s="70"/>
      <c r="M28" s="286"/>
      <c r="N28" s="71"/>
    </row>
    <row r="29" spans="1:14" x14ac:dyDescent="0.25">
      <c r="A29" s="74" t="str">
        <f>+IF(FromProposal[[#This Row],[Cost Code]]&lt;&gt;0,+'Gnatt Chart'!$A$2,"")</f>
        <v xml:space="preserve">AvilaCRI </v>
      </c>
      <c r="B29" s="72">
        <v>25</v>
      </c>
      <c r="C29" s="74" t="s">
        <v>234</v>
      </c>
      <c r="D29" s="74" t="s">
        <v>235</v>
      </c>
      <c r="E29" s="74" t="s">
        <v>238</v>
      </c>
      <c r="F29" s="74">
        <v>1</v>
      </c>
      <c r="G29" s="324"/>
      <c r="H29" s="324"/>
      <c r="I29" s="272" t="s">
        <v>7</v>
      </c>
      <c r="J29" s="70">
        <v>1</v>
      </c>
      <c r="K29" s="287">
        <v>45229</v>
      </c>
      <c r="L29" s="70"/>
      <c r="M29" s="286"/>
      <c r="N29" s="71"/>
    </row>
    <row r="30" spans="1:14" x14ac:dyDescent="0.25">
      <c r="A30" s="74" t="str">
        <f>+IF(FromProposal[[#This Row],[Cost Code]]&lt;&gt;0,+'Gnatt Chart'!$A$2,"")</f>
        <v xml:space="preserve">AvilaCRI </v>
      </c>
      <c r="B30" s="72">
        <v>26</v>
      </c>
      <c r="C30" s="74" t="s">
        <v>234</v>
      </c>
      <c r="D30" s="74" t="s">
        <v>235</v>
      </c>
      <c r="E30" s="74" t="s">
        <v>239</v>
      </c>
      <c r="F30" s="74">
        <v>1</v>
      </c>
      <c r="G30" s="324"/>
      <c r="H30" s="324"/>
      <c r="I30" s="272" t="s">
        <v>7</v>
      </c>
      <c r="J30" s="70">
        <v>1</v>
      </c>
      <c r="K30" s="287">
        <v>45229</v>
      </c>
      <c r="L30" s="70"/>
      <c r="M30" s="286"/>
      <c r="N30" s="71"/>
    </row>
    <row r="31" spans="1:14" x14ac:dyDescent="0.25">
      <c r="A31" s="74" t="str">
        <f>+IF(FromProposal[[#This Row],[Cost Code]]&lt;&gt;0,+'Gnatt Chart'!$A$2,"")</f>
        <v xml:space="preserve">AvilaCRI </v>
      </c>
      <c r="B31" s="72">
        <v>27</v>
      </c>
      <c r="C31" s="74" t="s">
        <v>234</v>
      </c>
      <c r="D31" s="74" t="s">
        <v>235</v>
      </c>
      <c r="E31" s="74" t="s">
        <v>240</v>
      </c>
      <c r="F31" s="74">
        <v>1</v>
      </c>
      <c r="G31" s="324"/>
      <c r="H31" s="324"/>
      <c r="I31" s="272" t="s">
        <v>7</v>
      </c>
      <c r="J31" s="70">
        <v>1</v>
      </c>
      <c r="K31" s="287">
        <v>45229</v>
      </c>
      <c r="L31" s="70"/>
      <c r="M31" s="286"/>
      <c r="N31" s="71"/>
    </row>
    <row r="32" spans="1:14" x14ac:dyDescent="0.25">
      <c r="A32" s="74" t="str">
        <f>+IF(FromProposal[[#This Row],[Cost Code]]&lt;&gt;0,+'Gnatt Chart'!$A$2,"")</f>
        <v xml:space="preserve">AvilaCRI </v>
      </c>
      <c r="B32" s="72">
        <v>28</v>
      </c>
      <c r="C32" s="74" t="s">
        <v>234</v>
      </c>
      <c r="D32" s="74" t="s">
        <v>235</v>
      </c>
      <c r="E32" s="74" t="s">
        <v>675</v>
      </c>
      <c r="F32" s="74">
        <v>1</v>
      </c>
      <c r="G32" s="324"/>
      <c r="H32" s="324"/>
      <c r="I32" s="272" t="s">
        <v>7</v>
      </c>
      <c r="J32" s="70">
        <v>1</v>
      </c>
      <c r="K32" s="287">
        <v>45229</v>
      </c>
      <c r="L32" s="70"/>
      <c r="M32" s="286"/>
      <c r="N32" s="71"/>
    </row>
    <row r="33" spans="1:14" x14ac:dyDescent="0.25">
      <c r="A33" s="74" t="str">
        <f>+IF(FromProposal[[#This Row],[Cost Code]]&lt;&gt;0,+'Gnatt Chart'!$A$2,"")</f>
        <v xml:space="preserve">AvilaCRI </v>
      </c>
      <c r="B33" s="72">
        <v>29</v>
      </c>
      <c r="C33" s="74" t="s">
        <v>234</v>
      </c>
      <c r="D33" s="74" t="s">
        <v>235</v>
      </c>
      <c r="E33" s="74" t="s">
        <v>241</v>
      </c>
      <c r="F33" s="74">
        <v>1</v>
      </c>
      <c r="G33" s="324"/>
      <c r="H33" s="324"/>
      <c r="I33" s="272" t="s">
        <v>7</v>
      </c>
      <c r="J33" s="70">
        <v>1</v>
      </c>
      <c r="K33" s="287">
        <v>45229</v>
      </c>
      <c r="L33" s="70"/>
      <c r="M33" s="286"/>
      <c r="N33" s="71"/>
    </row>
    <row r="34" spans="1:14" x14ac:dyDescent="0.25">
      <c r="A34" s="74" t="str">
        <f>+IF(FromProposal[[#This Row],[Cost Code]]&lt;&gt;0,+'Gnatt Chart'!$A$2,"")</f>
        <v xml:space="preserve">AvilaCRI </v>
      </c>
      <c r="B34" s="72">
        <v>30</v>
      </c>
      <c r="C34" s="74" t="s">
        <v>234</v>
      </c>
      <c r="D34" s="74" t="s">
        <v>235</v>
      </c>
      <c r="E34" s="74" t="s">
        <v>242</v>
      </c>
      <c r="F34" s="74">
        <v>1</v>
      </c>
      <c r="G34" s="324"/>
      <c r="H34" s="324"/>
      <c r="I34" s="272" t="s">
        <v>7</v>
      </c>
      <c r="J34" s="70">
        <v>1</v>
      </c>
      <c r="K34" s="287">
        <v>45229</v>
      </c>
      <c r="L34" s="70"/>
      <c r="M34" s="286"/>
      <c r="N34" s="71"/>
    </row>
    <row r="35" spans="1:14" x14ac:dyDescent="0.25">
      <c r="A35" s="74" t="str">
        <f>+IF(FromProposal[[#This Row],[Cost Code]]&lt;&gt;0,+'Gnatt Chart'!$A$2,"")</f>
        <v xml:space="preserve">AvilaCRI </v>
      </c>
      <c r="B35" s="72">
        <v>31</v>
      </c>
      <c r="C35" s="74" t="s">
        <v>234</v>
      </c>
      <c r="D35" s="74" t="s">
        <v>235</v>
      </c>
      <c r="E35" s="74" t="s">
        <v>243</v>
      </c>
      <c r="F35" s="74">
        <v>1</v>
      </c>
      <c r="G35" s="324"/>
      <c r="H35" s="324"/>
      <c r="I35" s="272" t="s">
        <v>7</v>
      </c>
      <c r="J35" s="70">
        <v>1</v>
      </c>
      <c r="K35" s="287">
        <v>45229</v>
      </c>
      <c r="L35" s="70"/>
      <c r="M35" s="286"/>
      <c r="N35" s="71"/>
    </row>
    <row r="36" spans="1:14" x14ac:dyDescent="0.25">
      <c r="A36" s="74" t="str">
        <f>+IF(FromProposal[[#This Row],[Cost Code]]&lt;&gt;0,+'Gnatt Chart'!$A$2,"")</f>
        <v xml:space="preserve">AvilaCRI </v>
      </c>
      <c r="B36" s="72">
        <v>32</v>
      </c>
      <c r="C36" s="74" t="s">
        <v>234</v>
      </c>
      <c r="D36" s="74" t="s">
        <v>235</v>
      </c>
      <c r="E36" s="74" t="s">
        <v>244</v>
      </c>
      <c r="F36" s="74">
        <v>1</v>
      </c>
      <c r="G36" s="324"/>
      <c r="H36" s="324"/>
      <c r="I36" s="272" t="s">
        <v>7</v>
      </c>
      <c r="J36" s="70">
        <v>1</v>
      </c>
      <c r="K36" s="287">
        <v>45229</v>
      </c>
      <c r="L36" s="70"/>
      <c r="M36" s="286"/>
      <c r="N36" s="71"/>
    </row>
    <row r="37" spans="1:14" x14ac:dyDescent="0.25">
      <c r="A37" s="74" t="str">
        <f>+IF(FromProposal[[#This Row],[Cost Code]]&lt;&gt;0,+'Gnatt Chart'!$A$2,"")</f>
        <v xml:space="preserve">AvilaCRI </v>
      </c>
      <c r="B37" s="72">
        <v>33</v>
      </c>
      <c r="C37" s="74" t="s">
        <v>234</v>
      </c>
      <c r="D37" s="74" t="s">
        <v>235</v>
      </c>
      <c r="E37" s="74" t="s">
        <v>245</v>
      </c>
      <c r="F37" s="74">
        <v>1</v>
      </c>
      <c r="G37" s="324"/>
      <c r="H37" s="324"/>
      <c r="I37" s="272" t="s">
        <v>7</v>
      </c>
      <c r="J37" s="70">
        <v>1</v>
      </c>
      <c r="K37" s="287">
        <v>45229</v>
      </c>
      <c r="L37" s="70"/>
      <c r="M37" s="286"/>
      <c r="N37" s="71"/>
    </row>
    <row r="38" spans="1:14" x14ac:dyDescent="0.25">
      <c r="A38" s="74" t="str">
        <f>+IF(FromProposal[[#This Row],[Cost Code]]&lt;&gt;0,+'Gnatt Chart'!$A$2,"")</f>
        <v xml:space="preserve">AvilaCRI </v>
      </c>
      <c r="B38" s="72">
        <v>34</v>
      </c>
      <c r="C38" s="74" t="s">
        <v>234</v>
      </c>
      <c r="D38" s="74" t="s">
        <v>235</v>
      </c>
      <c r="E38" s="74" t="s">
        <v>246</v>
      </c>
      <c r="F38" s="74">
        <v>1</v>
      </c>
      <c r="G38" s="324"/>
      <c r="H38" s="324"/>
      <c r="I38" s="272" t="s">
        <v>7</v>
      </c>
      <c r="J38" s="70">
        <v>1</v>
      </c>
      <c r="K38" s="287">
        <v>45229</v>
      </c>
      <c r="L38" s="70"/>
      <c r="M38" s="286"/>
      <c r="N38" s="71"/>
    </row>
    <row r="39" spans="1:14" x14ac:dyDescent="0.25">
      <c r="A39" s="74" t="str">
        <f>+IF(FromProposal[[#This Row],[Cost Code]]&lt;&gt;0,+'Gnatt Chart'!$A$2,"")</f>
        <v xml:space="preserve">AvilaCRI </v>
      </c>
      <c r="B39" s="72">
        <v>35</v>
      </c>
      <c r="C39" s="74" t="s">
        <v>234</v>
      </c>
      <c r="D39" s="74" t="s">
        <v>235</v>
      </c>
      <c r="E39" s="74" t="s">
        <v>247</v>
      </c>
      <c r="F39" s="74">
        <v>1</v>
      </c>
      <c r="G39" s="324"/>
      <c r="H39" s="324"/>
      <c r="I39" s="272" t="s">
        <v>7</v>
      </c>
      <c r="J39" s="70">
        <v>1</v>
      </c>
      <c r="K39" s="287">
        <v>45216</v>
      </c>
      <c r="L39" s="70">
        <v>1</v>
      </c>
      <c r="M39" s="286"/>
      <c r="N39" s="71"/>
    </row>
    <row r="40" spans="1:14" x14ac:dyDescent="0.25">
      <c r="A40" s="74" t="str">
        <f>+IF(FromProposal[[#This Row],[Cost Code]]&lt;&gt;0,+'Gnatt Chart'!$A$2,"")</f>
        <v xml:space="preserve">AvilaCRI </v>
      </c>
      <c r="B40" s="72">
        <v>36</v>
      </c>
      <c r="C40" s="74" t="s">
        <v>234</v>
      </c>
      <c r="D40" s="74" t="s">
        <v>248</v>
      </c>
      <c r="E40" s="74" t="s">
        <v>249</v>
      </c>
      <c r="F40" s="74">
        <v>1</v>
      </c>
      <c r="G40" s="324">
        <v>600</v>
      </c>
      <c r="H40" s="324">
        <v>600</v>
      </c>
      <c r="I40" s="272" t="s">
        <v>7</v>
      </c>
      <c r="J40" s="70">
        <v>2</v>
      </c>
      <c r="K40" s="287"/>
      <c r="L40" s="70"/>
      <c r="M40" s="286"/>
      <c r="N40" s="71" t="s">
        <v>44</v>
      </c>
    </row>
    <row r="41" spans="1:14" x14ac:dyDescent="0.25">
      <c r="A41" s="74" t="str">
        <f>+IF(FromProposal[[#This Row],[Cost Code]]&lt;&gt;0,+'Gnatt Chart'!$A$2,"")</f>
        <v xml:space="preserve">AvilaCRI </v>
      </c>
      <c r="B41" s="72">
        <v>37</v>
      </c>
      <c r="C41" s="74" t="s">
        <v>206</v>
      </c>
      <c r="D41" s="74" t="s">
        <v>250</v>
      </c>
      <c r="E41" s="74" t="s">
        <v>251</v>
      </c>
      <c r="F41" s="74">
        <v>1</v>
      </c>
      <c r="G41" s="324">
        <v>1800</v>
      </c>
      <c r="H41" s="324">
        <v>1800</v>
      </c>
      <c r="I41" s="272" t="s">
        <v>44</v>
      </c>
      <c r="J41" s="70">
        <v>2</v>
      </c>
      <c r="K41" s="287">
        <v>45218</v>
      </c>
      <c r="L41" s="70"/>
      <c r="M41" s="286"/>
      <c r="N41" s="71" t="s">
        <v>44</v>
      </c>
    </row>
    <row r="42" spans="1:14" x14ac:dyDescent="0.25">
      <c r="A42" s="74" t="str">
        <f>+IF(FromProposal[[#This Row],[Cost Code]]&lt;&gt;0,+'Gnatt Chart'!$A$2,"")</f>
        <v xml:space="preserve">AvilaCRI </v>
      </c>
      <c r="B42" s="72">
        <v>38</v>
      </c>
      <c r="C42" s="74" t="s">
        <v>206</v>
      </c>
      <c r="D42" s="74" t="s">
        <v>252</v>
      </c>
      <c r="E42" s="74" t="s">
        <v>253</v>
      </c>
      <c r="F42" s="74">
        <v>1</v>
      </c>
      <c r="G42" s="324">
        <v>50</v>
      </c>
      <c r="H42" s="324">
        <v>50</v>
      </c>
      <c r="I42" s="272" t="s">
        <v>7</v>
      </c>
      <c r="J42" s="70">
        <v>2</v>
      </c>
      <c r="K42" s="287"/>
      <c r="L42" s="70"/>
      <c r="M42" s="286"/>
      <c r="N42" s="71"/>
    </row>
    <row r="43" spans="1:14" x14ac:dyDescent="0.25">
      <c r="A43" s="74" t="str">
        <f>+IF(FromProposal[[#This Row],[Cost Code]]&lt;&gt;0,+'Gnatt Chart'!$A$2,"")</f>
        <v xml:space="preserve">AvilaCRI </v>
      </c>
      <c r="B43" s="72">
        <v>39</v>
      </c>
      <c r="C43" s="74" t="s">
        <v>234</v>
      </c>
      <c r="D43" s="74" t="s">
        <v>254</v>
      </c>
      <c r="E43" s="74" t="s">
        <v>255</v>
      </c>
      <c r="F43" s="74">
        <v>1</v>
      </c>
      <c r="G43" s="324">
        <v>75</v>
      </c>
      <c r="H43" s="324">
        <v>75</v>
      </c>
      <c r="I43" s="272" t="s">
        <v>7</v>
      </c>
      <c r="J43" s="70">
        <v>2</v>
      </c>
      <c r="K43" s="287">
        <v>45233</v>
      </c>
      <c r="L43" s="70"/>
      <c r="M43" s="286"/>
      <c r="N43" s="71" t="s">
        <v>44</v>
      </c>
    </row>
    <row r="44" spans="1:14" x14ac:dyDescent="0.25">
      <c r="A44" s="74" t="str">
        <f>+IF(FromProposal[[#This Row],[Cost Code]]&lt;&gt;0,+'Gnatt Chart'!$A$2,"")</f>
        <v xml:space="preserve">AvilaCRI </v>
      </c>
      <c r="B44" s="72">
        <v>40</v>
      </c>
      <c r="C44" s="74" t="s">
        <v>234</v>
      </c>
      <c r="D44" s="74" t="s">
        <v>256</v>
      </c>
      <c r="E44" s="74" t="s">
        <v>257</v>
      </c>
      <c r="F44" s="74">
        <v>1</v>
      </c>
      <c r="G44" s="324">
        <v>75</v>
      </c>
      <c r="H44" s="324">
        <v>75</v>
      </c>
      <c r="I44" s="272" t="s">
        <v>7</v>
      </c>
      <c r="J44" s="70">
        <v>2</v>
      </c>
      <c r="K44" s="287">
        <v>45226</v>
      </c>
      <c r="L44" s="70"/>
      <c r="M44" s="286"/>
      <c r="N44" s="71" t="s">
        <v>44</v>
      </c>
    </row>
    <row r="45" spans="1:14" x14ac:dyDescent="0.25">
      <c r="A45" s="74" t="str">
        <f>+IF(FromProposal[[#This Row],[Cost Code]]&lt;&gt;0,+'Gnatt Chart'!$A$2,"")</f>
        <v xml:space="preserve">AvilaCRI </v>
      </c>
      <c r="B45" s="72">
        <v>41</v>
      </c>
      <c r="C45" s="74" t="s">
        <v>206</v>
      </c>
      <c r="D45" s="74" t="s">
        <v>258</v>
      </c>
      <c r="E45" s="74" t="s">
        <v>259</v>
      </c>
      <c r="F45" s="74">
        <v>1</v>
      </c>
      <c r="G45" s="324">
        <v>2980.24</v>
      </c>
      <c r="H45" s="324">
        <v>2980.24</v>
      </c>
      <c r="I45" s="272" t="s">
        <v>44</v>
      </c>
      <c r="J45" s="70">
        <v>2</v>
      </c>
      <c r="K45" s="287">
        <v>45218</v>
      </c>
      <c r="L45" s="70"/>
      <c r="M45" s="286"/>
      <c r="N45" s="71" t="s">
        <v>44</v>
      </c>
    </row>
    <row r="46" spans="1:14" x14ac:dyDescent="0.25">
      <c r="A46" s="74" t="str">
        <f>+IF(FromProposal[[#This Row],[Cost Code]]&lt;&gt;0,+'Gnatt Chart'!$A$2,"")</f>
        <v xml:space="preserve">AvilaCRI </v>
      </c>
      <c r="B46" s="72">
        <v>42</v>
      </c>
      <c r="C46" s="74" t="s">
        <v>219</v>
      </c>
      <c r="D46" s="74" t="s">
        <v>260</v>
      </c>
      <c r="E46" s="74" t="s">
        <v>261</v>
      </c>
      <c r="F46" s="74">
        <v>1</v>
      </c>
      <c r="G46" s="324">
        <v>294</v>
      </c>
      <c r="H46" s="324">
        <v>294</v>
      </c>
      <c r="I46" s="272" t="s">
        <v>7</v>
      </c>
      <c r="J46" s="70">
        <v>2</v>
      </c>
      <c r="K46" s="287">
        <v>45226</v>
      </c>
      <c r="L46" s="70"/>
      <c r="M46" s="286"/>
      <c r="N46" s="71" t="s">
        <v>44</v>
      </c>
    </row>
    <row r="47" spans="1:14" x14ac:dyDescent="0.25">
      <c r="A47" s="74" t="str">
        <f>+IF(FromProposal[[#This Row],[Cost Code]]&lt;&gt;0,+'Gnatt Chart'!$A$2,"")</f>
        <v xml:space="preserve">AvilaCRI </v>
      </c>
      <c r="B47" s="72">
        <v>43</v>
      </c>
      <c r="C47" s="74" t="s">
        <v>234</v>
      </c>
      <c r="D47" s="74" t="s">
        <v>262</v>
      </c>
      <c r="E47" s="74" t="s">
        <v>652</v>
      </c>
      <c r="F47" s="74">
        <v>1</v>
      </c>
      <c r="G47" s="324">
        <v>-125</v>
      </c>
      <c r="H47" s="324">
        <v>-125</v>
      </c>
      <c r="I47" s="272" t="s">
        <v>7</v>
      </c>
      <c r="J47" s="70">
        <v>2</v>
      </c>
      <c r="K47" s="287">
        <v>45233</v>
      </c>
      <c r="L47" s="70"/>
      <c r="M47" s="286"/>
      <c r="N47" s="71" t="s">
        <v>44</v>
      </c>
    </row>
    <row r="48" spans="1:14" x14ac:dyDescent="0.25">
      <c r="A48" s="74" t="str">
        <f>+IF(FromProposal[[#This Row],[Cost Code]]&lt;&gt;0,+'Gnatt Chart'!$A$2,"")</f>
        <v xml:space="preserve">AvilaCRI </v>
      </c>
      <c r="B48" s="72">
        <v>44</v>
      </c>
      <c r="C48" s="74" t="s">
        <v>212</v>
      </c>
      <c r="D48" s="74" t="s">
        <v>232</v>
      </c>
      <c r="E48" s="74" t="s">
        <v>263</v>
      </c>
      <c r="F48" s="74">
        <v>1</v>
      </c>
      <c r="G48" s="324">
        <v>-3190</v>
      </c>
      <c r="H48" s="324">
        <v>-3190</v>
      </c>
      <c r="I48" s="272" t="s">
        <v>44</v>
      </c>
      <c r="J48" s="70">
        <v>2</v>
      </c>
      <c r="K48" s="287">
        <v>45219</v>
      </c>
      <c r="L48" s="70"/>
      <c r="M48" s="286"/>
      <c r="N48" s="71" t="s">
        <v>44</v>
      </c>
    </row>
    <row r="49" spans="1:14" x14ac:dyDescent="0.25">
      <c r="A49" s="74" t="str">
        <f>+IF(FromProposal[[#This Row],[Cost Code]]&lt;&gt;0,+'Gnatt Chart'!$A$2,"")</f>
        <v xml:space="preserve">AvilaCRI </v>
      </c>
      <c r="B49" s="72">
        <v>45</v>
      </c>
      <c r="C49" s="74" t="s">
        <v>234</v>
      </c>
      <c r="D49" s="74" t="s">
        <v>264</v>
      </c>
      <c r="E49" s="74" t="s">
        <v>655</v>
      </c>
      <c r="F49" s="74">
        <v>1</v>
      </c>
      <c r="G49" s="324">
        <v>0</v>
      </c>
      <c r="H49" s="324">
        <v>0</v>
      </c>
      <c r="I49" s="272"/>
      <c r="J49" s="70">
        <v>2</v>
      </c>
      <c r="K49" s="287"/>
      <c r="L49" s="70"/>
      <c r="M49" s="286"/>
      <c r="N49" s="71"/>
    </row>
    <row r="50" spans="1:14" x14ac:dyDescent="0.25">
      <c r="A50" s="74" t="str">
        <f>+IF(FromProposal[[#This Row],[Cost Code]]&lt;&gt;0,+'Gnatt Chart'!$A$2,"")</f>
        <v xml:space="preserve">AvilaCRI </v>
      </c>
      <c r="B50" s="72">
        <v>46</v>
      </c>
      <c r="C50" s="74" t="s">
        <v>234</v>
      </c>
      <c r="D50" s="74" t="s">
        <v>265</v>
      </c>
      <c r="E50" s="74" t="s">
        <v>653</v>
      </c>
      <c r="F50" s="74">
        <v>1</v>
      </c>
      <c r="G50" s="324">
        <v>-125</v>
      </c>
      <c r="H50" s="324">
        <v>-125</v>
      </c>
      <c r="I50" s="272" t="s">
        <v>44</v>
      </c>
      <c r="J50" s="70">
        <v>2</v>
      </c>
      <c r="K50" s="287">
        <v>45233</v>
      </c>
      <c r="L50" s="70"/>
      <c r="M50" s="286"/>
      <c r="N50" s="71" t="s">
        <v>44</v>
      </c>
    </row>
    <row r="51" spans="1:14" x14ac:dyDescent="0.25">
      <c r="A51" s="74" t="str">
        <f>+IF(FromProposal[[#This Row],[Cost Code]]&lt;&gt;0,+'Gnatt Chart'!$A$2,"")</f>
        <v xml:space="preserve">AvilaCRI </v>
      </c>
      <c r="B51" s="72">
        <v>47</v>
      </c>
      <c r="C51" s="74" t="s">
        <v>234</v>
      </c>
      <c r="D51" s="74" t="s">
        <v>266</v>
      </c>
      <c r="E51" s="74" t="s">
        <v>654</v>
      </c>
      <c r="F51" s="74">
        <v>1</v>
      </c>
      <c r="G51" s="324">
        <v>-50</v>
      </c>
      <c r="H51" s="324">
        <v>-50</v>
      </c>
      <c r="I51" s="272" t="s">
        <v>7</v>
      </c>
      <c r="J51" s="70">
        <v>2</v>
      </c>
      <c r="K51" s="287"/>
      <c r="L51" s="70"/>
      <c r="M51" s="286"/>
      <c r="N51" s="71" t="s">
        <v>44</v>
      </c>
    </row>
    <row r="52" spans="1:14" x14ac:dyDescent="0.25">
      <c r="A52" s="74" t="str">
        <f>+IF(FromProposal[[#This Row],[Cost Code]]&lt;&gt;0,+'Gnatt Chart'!$A$2,"")</f>
        <v xml:space="preserve">AvilaCRI </v>
      </c>
      <c r="B52" s="72">
        <v>48</v>
      </c>
      <c r="C52" s="74" t="s">
        <v>234</v>
      </c>
      <c r="D52" s="74" t="s">
        <v>267</v>
      </c>
      <c r="E52" s="74" t="s">
        <v>268</v>
      </c>
      <c r="F52" s="74">
        <v>1</v>
      </c>
      <c r="G52" s="324">
        <v>75</v>
      </c>
      <c r="H52" s="324">
        <v>75</v>
      </c>
      <c r="I52" s="272" t="s">
        <v>7</v>
      </c>
      <c r="J52" s="70">
        <v>2</v>
      </c>
      <c r="K52" s="287">
        <v>45233</v>
      </c>
      <c r="L52" s="70"/>
      <c r="M52" s="286"/>
      <c r="N52" s="71" t="s">
        <v>44</v>
      </c>
    </row>
    <row r="53" spans="1:14" x14ac:dyDescent="0.25">
      <c r="A53" s="74" t="str">
        <f>+IF(FromProposal[[#This Row],[Cost Code]]&lt;&gt;0,+'Gnatt Chart'!$A$2,"")</f>
        <v xml:space="preserve">AvilaCRI </v>
      </c>
      <c r="B53" s="72">
        <v>49</v>
      </c>
      <c r="C53" s="74" t="s">
        <v>234</v>
      </c>
      <c r="D53" s="74" t="s">
        <v>269</v>
      </c>
      <c r="E53" s="74" t="s">
        <v>270</v>
      </c>
      <c r="F53" s="74">
        <v>1</v>
      </c>
      <c r="G53" s="324">
        <v>75</v>
      </c>
      <c r="H53" s="324">
        <v>75</v>
      </c>
      <c r="I53" s="272" t="s">
        <v>7</v>
      </c>
      <c r="J53" s="70">
        <v>2</v>
      </c>
      <c r="K53" s="287">
        <v>45233</v>
      </c>
      <c r="L53" s="70"/>
      <c r="M53" s="286"/>
      <c r="N53" s="71" t="s">
        <v>44</v>
      </c>
    </row>
    <row r="54" spans="1:14" x14ac:dyDescent="0.25">
      <c r="A54" s="74" t="str">
        <f>+IF(FromProposal[[#This Row],[Cost Code]]&lt;&gt;0,+'Gnatt Chart'!$A$2,"")</f>
        <v xml:space="preserve">AvilaCRI </v>
      </c>
      <c r="B54" s="72">
        <v>50</v>
      </c>
      <c r="C54" s="74" t="s">
        <v>234</v>
      </c>
      <c r="D54" s="74" t="s">
        <v>271</v>
      </c>
      <c r="E54" s="74" t="s">
        <v>647</v>
      </c>
      <c r="F54" s="74">
        <v>1</v>
      </c>
      <c r="G54" s="324">
        <v>0</v>
      </c>
      <c r="H54" s="324">
        <v>0</v>
      </c>
      <c r="I54" s="272"/>
      <c r="J54" s="70">
        <v>2</v>
      </c>
      <c r="K54" s="287"/>
      <c r="L54" s="70"/>
      <c r="M54" s="286"/>
      <c r="N54" s="71"/>
    </row>
    <row r="55" spans="1:14" x14ac:dyDescent="0.25">
      <c r="A55" s="74" t="str">
        <f>+IF(FromProposal[[#This Row],[Cost Code]]&lt;&gt;0,+'Gnatt Chart'!$A$2,"")</f>
        <v xml:space="preserve">AvilaCRI </v>
      </c>
      <c r="B55" s="72">
        <v>51</v>
      </c>
      <c r="C55" s="74" t="s">
        <v>234</v>
      </c>
      <c r="D55" s="74" t="s">
        <v>272</v>
      </c>
      <c r="E55" s="74" t="s">
        <v>648</v>
      </c>
      <c r="F55" s="74">
        <v>0</v>
      </c>
      <c r="G55" s="324">
        <v>125</v>
      </c>
      <c r="H55" s="324">
        <v>0</v>
      </c>
      <c r="I55" s="272"/>
      <c r="J55" s="70">
        <v>2</v>
      </c>
      <c r="K55" s="287">
        <v>45233</v>
      </c>
      <c r="L55" s="70"/>
      <c r="M55" s="286"/>
      <c r="N55" s="71"/>
    </row>
    <row r="56" spans="1:14" x14ac:dyDescent="0.25">
      <c r="A56" s="74" t="str">
        <f>+IF(FromProposal[[#This Row],[Cost Code]]&lt;&gt;0,+'Gnatt Chart'!$A$2,"")</f>
        <v xml:space="preserve">AvilaCRI </v>
      </c>
      <c r="B56" s="72">
        <v>52</v>
      </c>
      <c r="C56" s="74" t="s">
        <v>234</v>
      </c>
      <c r="D56" s="74" t="s">
        <v>273</v>
      </c>
      <c r="E56" s="74" t="s">
        <v>274</v>
      </c>
      <c r="F56" s="74">
        <v>1</v>
      </c>
      <c r="G56" s="324">
        <v>50</v>
      </c>
      <c r="H56" s="324">
        <v>50</v>
      </c>
      <c r="I56" s="272" t="s">
        <v>7</v>
      </c>
      <c r="J56" s="70">
        <v>2</v>
      </c>
      <c r="K56" s="287">
        <v>45233</v>
      </c>
      <c r="L56" s="70"/>
      <c r="M56" s="286"/>
      <c r="N56" s="71" t="s">
        <v>44</v>
      </c>
    </row>
    <row r="57" spans="1:14" x14ac:dyDescent="0.25">
      <c r="A57" s="74" t="str">
        <f>+IF(FromProposal[[#This Row],[Cost Code]]&lt;&gt;0,+'Gnatt Chart'!$A$2,"")</f>
        <v xml:space="preserve">AvilaCRI </v>
      </c>
      <c r="B57" s="72">
        <v>53</v>
      </c>
      <c r="C57" s="74" t="s">
        <v>234</v>
      </c>
      <c r="D57" s="74" t="s">
        <v>275</v>
      </c>
      <c r="E57" s="74" t="s">
        <v>276</v>
      </c>
      <c r="F57" s="74">
        <v>1</v>
      </c>
      <c r="G57" s="324">
        <v>50</v>
      </c>
      <c r="H57" s="324">
        <v>50</v>
      </c>
      <c r="I57" s="272" t="s">
        <v>7</v>
      </c>
      <c r="J57" s="70">
        <v>2</v>
      </c>
      <c r="K57" s="287"/>
      <c r="L57" s="70"/>
      <c r="M57" s="286"/>
      <c r="N57" s="71" t="s">
        <v>44</v>
      </c>
    </row>
    <row r="58" spans="1:14" x14ac:dyDescent="0.25">
      <c r="A58" s="74" t="str">
        <f>+IF(FromProposal[[#This Row],[Cost Code]]&lt;&gt;0,+'Gnatt Chart'!$A$2,"")</f>
        <v xml:space="preserve">AvilaCRI </v>
      </c>
      <c r="B58" s="72">
        <v>54</v>
      </c>
      <c r="C58" s="74" t="s">
        <v>234</v>
      </c>
      <c r="D58" s="74" t="s">
        <v>277</v>
      </c>
      <c r="E58" s="74" t="s">
        <v>278</v>
      </c>
      <c r="F58" s="74">
        <v>1</v>
      </c>
      <c r="G58" s="324">
        <v>50</v>
      </c>
      <c r="H58" s="324">
        <v>50</v>
      </c>
      <c r="I58" s="272" t="s">
        <v>7</v>
      </c>
      <c r="J58" s="70">
        <v>2</v>
      </c>
      <c r="K58" s="287">
        <v>45233</v>
      </c>
      <c r="L58" s="70"/>
      <c r="M58" s="286"/>
      <c r="N58" s="71" t="s">
        <v>44</v>
      </c>
    </row>
    <row r="59" spans="1:14" x14ac:dyDescent="0.25">
      <c r="A59" s="74" t="str">
        <f>+IF(FromProposal[[#This Row],[Cost Code]]&lt;&gt;0,+'Gnatt Chart'!$A$2,"")</f>
        <v xml:space="preserve">AvilaCRI </v>
      </c>
      <c r="B59" s="72">
        <v>55</v>
      </c>
      <c r="C59" s="74" t="s">
        <v>279</v>
      </c>
      <c r="D59" s="74" t="s">
        <v>280</v>
      </c>
      <c r="E59" s="74" t="s">
        <v>281</v>
      </c>
      <c r="F59" s="74">
        <v>1</v>
      </c>
      <c r="G59" s="324">
        <v>75</v>
      </c>
      <c r="H59" s="324">
        <v>75</v>
      </c>
      <c r="I59" s="272" t="s">
        <v>7</v>
      </c>
      <c r="J59" s="70">
        <v>2</v>
      </c>
      <c r="K59" s="287">
        <v>45233</v>
      </c>
      <c r="L59" s="70"/>
      <c r="M59" s="286"/>
      <c r="N59" s="71" t="s">
        <v>44</v>
      </c>
    </row>
    <row r="60" spans="1:14" x14ac:dyDescent="0.25">
      <c r="A60" s="74" t="str">
        <f>+IF(FromProposal[[#This Row],[Cost Code]]&lt;&gt;0,+'Gnatt Chart'!$A$2,"")</f>
        <v xml:space="preserve">AvilaCRI </v>
      </c>
      <c r="B60" s="72">
        <v>56</v>
      </c>
      <c r="C60" s="74" t="s">
        <v>234</v>
      </c>
      <c r="D60" s="74" t="s">
        <v>282</v>
      </c>
      <c r="E60" s="74" t="s">
        <v>283</v>
      </c>
      <c r="F60" s="74">
        <v>1</v>
      </c>
      <c r="G60" s="324">
        <v>50</v>
      </c>
      <c r="H60" s="324">
        <v>50</v>
      </c>
      <c r="I60" s="272" t="s">
        <v>7</v>
      </c>
      <c r="J60" s="70">
        <v>2</v>
      </c>
      <c r="K60" s="287">
        <v>45233</v>
      </c>
      <c r="L60" s="70"/>
      <c r="M60" s="286"/>
      <c r="N60" s="71" t="s">
        <v>44</v>
      </c>
    </row>
    <row r="61" spans="1:14" x14ac:dyDescent="0.25">
      <c r="A61" s="74" t="str">
        <f>+IF(FromProposal[[#This Row],[Cost Code]]&lt;&gt;0,+'Gnatt Chart'!$A$2,"")</f>
        <v xml:space="preserve">AvilaCRI </v>
      </c>
      <c r="B61" s="72">
        <v>57</v>
      </c>
      <c r="C61" s="74" t="s">
        <v>279</v>
      </c>
      <c r="D61" s="74" t="s">
        <v>284</v>
      </c>
      <c r="E61" s="74" t="s">
        <v>285</v>
      </c>
      <c r="F61" s="74">
        <v>1</v>
      </c>
      <c r="G61" s="324">
        <v>150</v>
      </c>
      <c r="H61" s="324">
        <v>150</v>
      </c>
      <c r="I61" s="272" t="s">
        <v>7</v>
      </c>
      <c r="J61" s="70">
        <v>2</v>
      </c>
      <c r="K61" s="287">
        <v>45233</v>
      </c>
      <c r="L61" s="70"/>
      <c r="M61" s="286"/>
      <c r="N61" s="71" t="s">
        <v>44</v>
      </c>
    </row>
    <row r="62" spans="1:14" x14ac:dyDescent="0.25">
      <c r="A62" s="74" t="str">
        <f>+IF(FromProposal[[#This Row],[Cost Code]]&lt;&gt;0,+'Gnatt Chart'!$A$2,"")</f>
        <v xml:space="preserve">AvilaCRI </v>
      </c>
      <c r="B62" s="72">
        <v>58</v>
      </c>
      <c r="C62" s="74" t="s">
        <v>286</v>
      </c>
      <c r="D62" s="74" t="s">
        <v>287</v>
      </c>
      <c r="E62" s="74" t="s">
        <v>288</v>
      </c>
      <c r="F62" s="74">
        <v>1</v>
      </c>
      <c r="G62" s="324">
        <v>75</v>
      </c>
      <c r="H62" s="324">
        <v>75</v>
      </c>
      <c r="I62" s="272" t="s">
        <v>7</v>
      </c>
      <c r="J62" s="70">
        <v>2</v>
      </c>
      <c r="K62" s="287">
        <v>45233</v>
      </c>
      <c r="L62" s="70"/>
      <c r="M62" s="286"/>
      <c r="N62" s="71" t="s">
        <v>44</v>
      </c>
    </row>
    <row r="63" spans="1:14" x14ac:dyDescent="0.25">
      <c r="A63" s="74" t="str">
        <f>+IF(FromProposal[[#This Row],[Cost Code]]&lt;&gt;0,+'Gnatt Chart'!$A$2,"")</f>
        <v xml:space="preserve">AvilaCRI </v>
      </c>
      <c r="B63" s="72">
        <v>59</v>
      </c>
      <c r="C63" s="74" t="s">
        <v>279</v>
      </c>
      <c r="D63" s="74" t="s">
        <v>289</v>
      </c>
      <c r="E63" s="74" t="s">
        <v>649</v>
      </c>
      <c r="F63" s="74">
        <v>1</v>
      </c>
      <c r="G63" s="324">
        <v>50</v>
      </c>
      <c r="H63" s="324">
        <v>50</v>
      </c>
      <c r="I63" s="272" t="s">
        <v>7</v>
      </c>
      <c r="J63" s="70">
        <v>2</v>
      </c>
      <c r="K63" s="287">
        <v>45233</v>
      </c>
      <c r="L63" s="70"/>
      <c r="M63" s="286"/>
      <c r="N63" s="71"/>
    </row>
    <row r="64" spans="1:14" x14ac:dyDescent="0.25">
      <c r="A64" s="74" t="str">
        <f>+IF(FromProposal[[#This Row],[Cost Code]]&lt;&gt;0,+'Gnatt Chart'!$A$2,"")</f>
        <v xml:space="preserve">AvilaCRI </v>
      </c>
      <c r="B64" s="72">
        <v>60</v>
      </c>
      <c r="C64" s="74" t="s">
        <v>637</v>
      </c>
      <c r="D64" s="74" t="s">
        <v>290</v>
      </c>
      <c r="E64" s="74" t="s">
        <v>656</v>
      </c>
      <c r="F64" s="74">
        <v>1</v>
      </c>
      <c r="G64" s="324">
        <v>0</v>
      </c>
      <c r="H64" s="324">
        <v>0</v>
      </c>
      <c r="I64" s="272"/>
      <c r="J64" s="70">
        <v>2</v>
      </c>
      <c r="K64" s="287"/>
      <c r="L64" s="70"/>
      <c r="M64" s="286"/>
      <c r="N64" s="71"/>
    </row>
    <row r="65" spans="1:14" x14ac:dyDescent="0.25">
      <c r="A65" s="74" t="str">
        <f>+IF(FromProposal[[#This Row],[Cost Code]]&lt;&gt;0,+'Gnatt Chart'!$A$2,"")</f>
        <v xml:space="preserve">AvilaCRI </v>
      </c>
      <c r="B65" s="72">
        <v>61</v>
      </c>
      <c r="C65" s="74" t="s">
        <v>234</v>
      </c>
      <c r="D65" s="74" t="s">
        <v>628</v>
      </c>
      <c r="E65" s="74" t="s">
        <v>627</v>
      </c>
      <c r="F65" s="74">
        <v>1</v>
      </c>
      <c r="G65" s="324">
        <v>75</v>
      </c>
      <c r="H65" s="324">
        <v>75</v>
      </c>
      <c r="I65" s="272" t="s">
        <v>7</v>
      </c>
      <c r="J65" s="70">
        <v>2</v>
      </c>
      <c r="K65" s="287">
        <v>45233</v>
      </c>
      <c r="L65" s="70"/>
      <c r="M65" s="286"/>
      <c r="N65" s="71" t="s">
        <v>44</v>
      </c>
    </row>
    <row r="66" spans="1:14" x14ac:dyDescent="0.25">
      <c r="A66" s="74" t="str">
        <f>+IF(FromProposal[[#This Row],[Cost Code]]&lt;&gt;0,+'Gnatt Chart'!$A$2,"")</f>
        <v xml:space="preserve">AvilaCRI </v>
      </c>
      <c r="B66" s="72">
        <v>62</v>
      </c>
      <c r="C66" s="74" t="s">
        <v>234</v>
      </c>
      <c r="D66" s="74" t="s">
        <v>629</v>
      </c>
      <c r="E66" s="74" t="s">
        <v>650</v>
      </c>
      <c r="F66" s="74">
        <v>1</v>
      </c>
      <c r="G66" s="324">
        <v>200</v>
      </c>
      <c r="H66" s="324">
        <v>200</v>
      </c>
      <c r="I66" s="272" t="s">
        <v>44</v>
      </c>
      <c r="J66" s="70">
        <v>2</v>
      </c>
      <c r="K66" s="287">
        <v>45233</v>
      </c>
      <c r="L66" s="70"/>
      <c r="M66" s="286"/>
      <c r="N66" s="71" t="s">
        <v>44</v>
      </c>
    </row>
    <row r="67" spans="1:14" x14ac:dyDescent="0.25">
      <c r="A67" s="74" t="str">
        <f>+IF(FromProposal[[#This Row],[Cost Code]]&lt;&gt;0,+'Gnatt Chart'!$A$2,"")</f>
        <v xml:space="preserve">AvilaCRI </v>
      </c>
      <c r="B67" s="72">
        <v>63</v>
      </c>
      <c r="C67" s="74" t="s">
        <v>234</v>
      </c>
      <c r="D67" s="74" t="s">
        <v>630</v>
      </c>
      <c r="E67" s="74" t="s">
        <v>651</v>
      </c>
      <c r="F67" s="74">
        <v>1</v>
      </c>
      <c r="G67" s="324">
        <v>50</v>
      </c>
      <c r="H67" s="324">
        <v>50</v>
      </c>
      <c r="I67" s="272" t="s">
        <v>44</v>
      </c>
      <c r="J67" s="70">
        <v>2</v>
      </c>
      <c r="K67" s="287">
        <v>45233</v>
      </c>
      <c r="L67" s="70"/>
      <c r="M67" s="286"/>
      <c r="N67" s="71"/>
    </row>
    <row r="68" spans="1:14" x14ac:dyDescent="0.25">
      <c r="A68" s="74" t="str">
        <f>+IF(FromProposal[[#This Row],[Cost Code]]&lt;&gt;0,+'Gnatt Chart'!$A$2,"")</f>
        <v xml:space="preserve">AvilaCRI </v>
      </c>
      <c r="B68" s="72">
        <v>64</v>
      </c>
      <c r="C68" s="74" t="s">
        <v>234</v>
      </c>
      <c r="D68" s="74" t="s">
        <v>631</v>
      </c>
      <c r="E68" s="74" t="s">
        <v>633</v>
      </c>
      <c r="F68" s="74">
        <v>1</v>
      </c>
      <c r="G68" s="324">
        <v>100</v>
      </c>
      <c r="H68" s="324">
        <v>100</v>
      </c>
      <c r="I68" s="272" t="s">
        <v>7</v>
      </c>
      <c r="J68" s="70">
        <v>2</v>
      </c>
      <c r="K68" s="287">
        <v>45233</v>
      </c>
      <c r="L68" s="70"/>
      <c r="M68" s="286"/>
      <c r="N68" s="71" t="s">
        <v>44</v>
      </c>
    </row>
    <row r="69" spans="1:14" x14ac:dyDescent="0.25">
      <c r="A69" s="74" t="str">
        <f>+IF(FromProposal[[#This Row],[Cost Code]]&lt;&gt;0,+'Gnatt Chart'!$A$2,"")</f>
        <v xml:space="preserve">AvilaCRI </v>
      </c>
      <c r="B69" s="72">
        <v>65</v>
      </c>
      <c r="C69" s="74" t="s">
        <v>234</v>
      </c>
      <c r="D69" s="74" t="s">
        <v>632</v>
      </c>
      <c r="E69" s="74" t="s">
        <v>634</v>
      </c>
      <c r="F69" s="74">
        <v>1</v>
      </c>
      <c r="G69" s="324">
        <v>150</v>
      </c>
      <c r="H69" s="324">
        <v>150</v>
      </c>
      <c r="I69" s="272" t="s">
        <v>7</v>
      </c>
      <c r="J69" s="70">
        <v>2</v>
      </c>
      <c r="K69" s="287">
        <v>45233</v>
      </c>
      <c r="L69" s="70"/>
      <c r="M69" s="286"/>
      <c r="N69" s="71" t="s">
        <v>44</v>
      </c>
    </row>
    <row r="70" spans="1:14" x14ac:dyDescent="0.25">
      <c r="A70" s="74" t="str">
        <f>+IF(FromProposal[[#This Row],[Cost Code]]&lt;&gt;0,+'Gnatt Chart'!$A$2,"")</f>
        <v xml:space="preserve">AvilaCRI </v>
      </c>
      <c r="B70" s="72">
        <v>66</v>
      </c>
      <c r="C70" s="74" t="s">
        <v>234</v>
      </c>
      <c r="D70" s="74" t="s">
        <v>636</v>
      </c>
      <c r="E70" s="74" t="s">
        <v>635</v>
      </c>
      <c r="F70" s="74">
        <v>1</v>
      </c>
      <c r="G70" s="324">
        <v>75</v>
      </c>
      <c r="H70" s="324">
        <v>75</v>
      </c>
      <c r="I70" s="272" t="s">
        <v>7</v>
      </c>
      <c r="J70" s="70">
        <v>2</v>
      </c>
      <c r="K70" s="287"/>
      <c r="L70" s="70"/>
      <c r="M70" s="286"/>
      <c r="N70" s="71" t="s">
        <v>44</v>
      </c>
    </row>
    <row r="71" spans="1:14" x14ac:dyDescent="0.25">
      <c r="A71" s="74" t="str">
        <f>+IF(FromProposal[[#This Row],[Cost Code]]&lt;&gt;0,+'Gnatt Chart'!$A$2,"")</f>
        <v xml:space="preserve">AvilaCRI </v>
      </c>
      <c r="B71" s="72">
        <v>67</v>
      </c>
      <c r="C71" s="74" t="s">
        <v>234</v>
      </c>
      <c r="D71" s="74" t="s">
        <v>657</v>
      </c>
      <c r="E71" s="74" t="s">
        <v>658</v>
      </c>
      <c r="F71" s="74">
        <v>1</v>
      </c>
      <c r="G71" s="324">
        <v>797.37</v>
      </c>
      <c r="H71" s="324">
        <v>797.37</v>
      </c>
      <c r="I71" s="272" t="s">
        <v>7</v>
      </c>
      <c r="J71" s="70">
        <v>2</v>
      </c>
      <c r="K71" s="287"/>
      <c r="L71" s="70"/>
      <c r="M71" s="286"/>
      <c r="N71" s="71"/>
    </row>
    <row r="72" spans="1:14" x14ac:dyDescent="0.25">
      <c r="A72" s="74" t="str">
        <f>+IF(FromProposal[[#This Row],[Cost Code]]&lt;&gt;0,+'Gnatt Chart'!$A$2,"")</f>
        <v xml:space="preserve">AvilaCRI </v>
      </c>
      <c r="B72" s="72">
        <v>68</v>
      </c>
      <c r="C72" s="74" t="s">
        <v>234</v>
      </c>
      <c r="D72" s="74" t="s">
        <v>672</v>
      </c>
      <c r="E72" s="74" t="s">
        <v>673</v>
      </c>
      <c r="F72" s="74">
        <v>1</v>
      </c>
      <c r="G72" s="324">
        <v>50</v>
      </c>
      <c r="H72" s="324">
        <v>50</v>
      </c>
      <c r="I72" s="272" t="s">
        <v>7</v>
      </c>
      <c r="J72" s="70">
        <v>2</v>
      </c>
      <c r="K72" s="287"/>
      <c r="L72" s="70"/>
      <c r="M72" s="286"/>
      <c r="N72" s="71" t="s">
        <v>44</v>
      </c>
    </row>
    <row r="73" spans="1:14" x14ac:dyDescent="0.25">
      <c r="A73" s="74" t="str">
        <f>+IF(FromProposal[[#This Row],[Cost Code]]&lt;&gt;0,+'Gnatt Chart'!$A$2,"")</f>
        <v xml:space="preserve">AvilaCRI </v>
      </c>
      <c r="B73" s="72">
        <v>69</v>
      </c>
      <c r="C73" s="74" t="s">
        <v>198</v>
      </c>
      <c r="D73" s="74" t="s">
        <v>689</v>
      </c>
      <c r="E73" s="74" t="s">
        <v>689</v>
      </c>
      <c r="F73" s="74">
        <v>0</v>
      </c>
      <c r="G73" s="324">
        <v>2990</v>
      </c>
      <c r="H73" s="324">
        <v>0</v>
      </c>
      <c r="I73" s="272" t="s">
        <v>7</v>
      </c>
      <c r="J73" s="70">
        <v>4</v>
      </c>
      <c r="K73" s="287">
        <v>45237</v>
      </c>
      <c r="L73" s="70"/>
      <c r="M73" s="286">
        <v>2900</v>
      </c>
      <c r="N73" s="71" t="s">
        <v>44</v>
      </c>
    </row>
    <row r="74" spans="1:14" x14ac:dyDescent="0.25">
      <c r="A74" s="74" t="str">
        <f>+IF(FromProposal[[#This Row],[Cost Code]]&lt;&gt;0,+'Gnatt Chart'!$A$2,"")</f>
        <v xml:space="preserve">AvilaCRI </v>
      </c>
      <c r="B74" s="72">
        <v>70</v>
      </c>
      <c r="C74" s="74" t="s">
        <v>234</v>
      </c>
      <c r="D74" s="74" t="s">
        <v>690</v>
      </c>
      <c r="E74" s="74" t="s">
        <v>693</v>
      </c>
      <c r="F74" s="74">
        <v>1</v>
      </c>
      <c r="G74" s="324">
        <v>50</v>
      </c>
      <c r="H74" s="324">
        <v>50</v>
      </c>
      <c r="I74" s="272" t="s">
        <v>7</v>
      </c>
      <c r="J74" s="70">
        <v>2</v>
      </c>
      <c r="K74" s="287"/>
      <c r="L74" s="70"/>
      <c r="M74" s="286"/>
      <c r="N74" s="71" t="s">
        <v>44</v>
      </c>
    </row>
    <row r="75" spans="1:14" x14ac:dyDescent="0.25">
      <c r="A75" s="74" t="str">
        <f>+IF(FromProposal[[#This Row],[Cost Code]]&lt;&gt;0,+'Gnatt Chart'!$A$2,"")</f>
        <v xml:space="preserve">AvilaCRI </v>
      </c>
      <c r="B75" s="72">
        <v>71</v>
      </c>
      <c r="C75" s="74" t="s">
        <v>234</v>
      </c>
      <c r="D75" s="74" t="s">
        <v>691</v>
      </c>
      <c r="E75" s="74" t="s">
        <v>694</v>
      </c>
      <c r="F75" s="74">
        <v>1</v>
      </c>
      <c r="G75" s="324">
        <v>375</v>
      </c>
      <c r="H75" s="324">
        <v>375</v>
      </c>
      <c r="I75" s="272" t="s">
        <v>7</v>
      </c>
      <c r="J75" s="70">
        <v>2</v>
      </c>
      <c r="K75" s="287"/>
      <c r="L75" s="70"/>
      <c r="M75" s="286"/>
      <c r="N75" s="71" t="s">
        <v>44</v>
      </c>
    </row>
    <row r="76" spans="1:14" x14ac:dyDescent="0.25">
      <c r="A76" s="74" t="str">
        <f>+IF(FromProposal[[#This Row],[Cost Code]]&lt;&gt;0,+'Gnatt Chart'!$A$2,"")</f>
        <v xml:space="preserve">AvilaCRI </v>
      </c>
      <c r="B76" s="72">
        <v>72</v>
      </c>
      <c r="C76" s="74" t="s">
        <v>234</v>
      </c>
      <c r="D76" s="74" t="s">
        <v>692</v>
      </c>
      <c r="E76" s="74" t="s">
        <v>695</v>
      </c>
      <c r="F76" s="74">
        <v>1</v>
      </c>
      <c r="G76" s="324">
        <v>50</v>
      </c>
      <c r="H76" s="324">
        <v>50</v>
      </c>
      <c r="I76" s="272" t="s">
        <v>7</v>
      </c>
      <c r="J76" s="70">
        <v>2</v>
      </c>
      <c r="K76" s="287"/>
      <c r="L76" s="70"/>
      <c r="M76" s="286"/>
      <c r="N76" s="71" t="s">
        <v>44</v>
      </c>
    </row>
    <row r="77" spans="1:14" x14ac:dyDescent="0.25">
      <c r="A77" s="74" t="str">
        <f>+IF(FromProposal[[#This Row],[Cost Code]]&lt;&gt;0,+'Gnatt Chart'!$A$2,"")</f>
        <v xml:space="preserve">AvilaCRI </v>
      </c>
      <c r="B77" s="72">
        <v>73</v>
      </c>
      <c r="C77" s="74" t="s">
        <v>198</v>
      </c>
      <c r="D77" s="74" t="s">
        <v>696</v>
      </c>
      <c r="E77" s="74" t="s">
        <v>696</v>
      </c>
      <c r="F77" s="74">
        <v>0</v>
      </c>
      <c r="G77" s="324">
        <v>1322.37</v>
      </c>
      <c r="H77" s="324">
        <v>0</v>
      </c>
      <c r="I77" s="272" t="s">
        <v>7</v>
      </c>
      <c r="J77" s="70">
        <v>4</v>
      </c>
      <c r="K77" s="287">
        <v>47445</v>
      </c>
      <c r="L77" s="70"/>
      <c r="M77" s="286">
        <v>1322.37</v>
      </c>
      <c r="N77" s="71" t="s">
        <v>44</v>
      </c>
    </row>
    <row r="78" spans="1:14" x14ac:dyDescent="0.25">
      <c r="G78" s="74"/>
      <c r="H78" s="74"/>
      <c r="K78" s="284"/>
    </row>
    <row r="79" spans="1:14" x14ac:dyDescent="0.25">
      <c r="G79" s="74"/>
      <c r="H79" s="74"/>
      <c r="K79" s="284"/>
    </row>
    <row r="80" spans="1:14" x14ac:dyDescent="0.25">
      <c r="G80" s="74"/>
      <c r="H80" s="74"/>
      <c r="K80" s="284"/>
    </row>
    <row r="81" spans="7:11" x14ac:dyDescent="0.25">
      <c r="G81" s="74"/>
      <c r="H81" s="74"/>
      <c r="K81" s="284"/>
    </row>
    <row r="82" spans="7:11" x14ac:dyDescent="0.25">
      <c r="G82" s="74"/>
      <c r="H82" s="74"/>
      <c r="K82" s="284"/>
    </row>
    <row r="83" spans="7:11" x14ac:dyDescent="0.25">
      <c r="G83" s="74"/>
      <c r="H83" s="74"/>
      <c r="K83" s="284"/>
    </row>
    <row r="84" spans="7:11" x14ac:dyDescent="0.25">
      <c r="G84" s="74"/>
      <c r="H84" s="74"/>
      <c r="K84" s="284"/>
    </row>
    <row r="85" spans="7:11" x14ac:dyDescent="0.25">
      <c r="G85" s="74"/>
      <c r="H85" s="74"/>
      <c r="K85" s="284"/>
    </row>
    <row r="86" spans="7:11" x14ac:dyDescent="0.25">
      <c r="G86" s="74"/>
      <c r="H86" s="74"/>
      <c r="K86" s="284"/>
    </row>
    <row r="87" spans="7:11" x14ac:dyDescent="0.25">
      <c r="G87" s="74"/>
      <c r="H87" s="74"/>
      <c r="K87" s="284"/>
    </row>
    <row r="88" spans="7:11" x14ac:dyDescent="0.25">
      <c r="G88" s="74"/>
      <c r="H88" s="74"/>
      <c r="K88" s="284"/>
    </row>
    <row r="89" spans="7:11" x14ac:dyDescent="0.25">
      <c r="G89" s="74"/>
      <c r="H89" s="74"/>
      <c r="K89" s="284"/>
    </row>
    <row r="90" spans="7:11" x14ac:dyDescent="0.25">
      <c r="G90" s="74"/>
      <c r="H90" s="74"/>
      <c r="K90" s="284"/>
    </row>
    <row r="91" spans="7:11" x14ac:dyDescent="0.25">
      <c r="G91" s="74"/>
      <c r="H91" s="74"/>
      <c r="K91" s="284"/>
    </row>
    <row r="92" spans="7:11" x14ac:dyDescent="0.25">
      <c r="G92" s="74"/>
      <c r="H92" s="74"/>
      <c r="K92" s="284"/>
    </row>
    <row r="93" spans="7:11" x14ac:dyDescent="0.25">
      <c r="G93" s="74"/>
      <c r="H93" s="74"/>
      <c r="K93" s="284"/>
    </row>
    <row r="94" spans="7:11" x14ac:dyDescent="0.25">
      <c r="G94" s="74"/>
      <c r="H94" s="74"/>
      <c r="K94" s="284"/>
    </row>
    <row r="95" spans="7:11" x14ac:dyDescent="0.25">
      <c r="G95" s="74"/>
      <c r="H95" s="74"/>
      <c r="K95" s="284"/>
    </row>
    <row r="96" spans="7:11" x14ac:dyDescent="0.25">
      <c r="G96" s="74"/>
      <c r="H96" s="74"/>
      <c r="K96" s="284"/>
    </row>
    <row r="97" spans="7:11" x14ac:dyDescent="0.25">
      <c r="G97" s="74"/>
      <c r="H97" s="74"/>
      <c r="K97" s="284"/>
    </row>
    <row r="98" spans="7:11" x14ac:dyDescent="0.25">
      <c r="G98" s="74"/>
      <c r="H98" s="74"/>
      <c r="K98" s="284"/>
    </row>
    <row r="99" spans="7:11" x14ac:dyDescent="0.25">
      <c r="G99" s="74"/>
      <c r="H99" s="74"/>
      <c r="K99" s="284"/>
    </row>
    <row r="100" spans="7:11" x14ac:dyDescent="0.25">
      <c r="G100" s="74"/>
      <c r="H100" s="74"/>
      <c r="K100" s="284"/>
    </row>
    <row r="101" spans="7:11" x14ac:dyDescent="0.25">
      <c r="G101" s="74"/>
      <c r="H101" s="74"/>
      <c r="K101" s="284"/>
    </row>
    <row r="102" spans="7:11" x14ac:dyDescent="0.25">
      <c r="G102" s="74"/>
      <c r="H102" s="74"/>
      <c r="K102" s="284"/>
    </row>
    <row r="103" spans="7:11" x14ac:dyDescent="0.25">
      <c r="G103" s="74"/>
      <c r="H103" s="74"/>
      <c r="K103" s="284"/>
    </row>
    <row r="104" spans="7:11" x14ac:dyDescent="0.25">
      <c r="G104" s="74"/>
      <c r="H104" s="74"/>
      <c r="K104" s="284"/>
    </row>
    <row r="105" spans="7:11" x14ac:dyDescent="0.25">
      <c r="G105" s="74"/>
      <c r="H105" s="74"/>
      <c r="K105" s="284"/>
    </row>
    <row r="106" spans="7:11" x14ac:dyDescent="0.25">
      <c r="G106" s="74"/>
      <c r="H106" s="74"/>
      <c r="K106" s="284"/>
    </row>
    <row r="107" spans="7:11" x14ac:dyDescent="0.25">
      <c r="G107" s="74"/>
      <c r="H107" s="74"/>
      <c r="K107" s="284"/>
    </row>
    <row r="108" spans="7:11" x14ac:dyDescent="0.25">
      <c r="G108" s="74"/>
      <c r="H108" s="74"/>
      <c r="K108" s="284"/>
    </row>
    <row r="109" spans="7:11" x14ac:dyDescent="0.25">
      <c r="G109" s="74"/>
      <c r="H109" s="74"/>
      <c r="K109" s="284"/>
    </row>
    <row r="110" spans="7:11" x14ac:dyDescent="0.25">
      <c r="G110" s="74"/>
      <c r="H110" s="74"/>
      <c r="K110" s="284"/>
    </row>
    <row r="111" spans="7:11" x14ac:dyDescent="0.25">
      <c r="G111" s="74"/>
      <c r="H111" s="74"/>
      <c r="K111" s="284"/>
    </row>
    <row r="112" spans="7:11" x14ac:dyDescent="0.25">
      <c r="G112" s="74"/>
      <c r="H112" s="74"/>
      <c r="K112" s="284"/>
    </row>
    <row r="113" spans="7:11" x14ac:dyDescent="0.25">
      <c r="G113" s="74"/>
      <c r="H113" s="74"/>
      <c r="K113" s="284"/>
    </row>
    <row r="114" spans="7:11" x14ac:dyDescent="0.25">
      <c r="G114" s="74"/>
      <c r="H114" s="74"/>
      <c r="K114" s="284"/>
    </row>
    <row r="115" spans="7:11" x14ac:dyDescent="0.25">
      <c r="G115" s="74"/>
      <c r="H115" s="74"/>
      <c r="K115" s="284"/>
    </row>
    <row r="116" spans="7:11" x14ac:dyDescent="0.25">
      <c r="G116" s="74"/>
      <c r="H116" s="74"/>
      <c r="K116" s="284"/>
    </row>
    <row r="117" spans="7:11" x14ac:dyDescent="0.25">
      <c r="G117" s="74"/>
      <c r="H117" s="74"/>
      <c r="K117" s="284"/>
    </row>
    <row r="118" spans="7:11" x14ac:dyDescent="0.25">
      <c r="G118" s="74"/>
      <c r="H118" s="74"/>
      <c r="K118" s="284"/>
    </row>
    <row r="119" spans="7:11" x14ac:dyDescent="0.25">
      <c r="G119" s="74"/>
      <c r="H119" s="74"/>
      <c r="K119" s="284"/>
    </row>
    <row r="120" spans="7:11" x14ac:dyDescent="0.25">
      <c r="K120" s="284"/>
    </row>
    <row r="121" spans="7:11" x14ac:dyDescent="0.25">
      <c r="K121" s="284"/>
    </row>
    <row r="122" spans="7:11" x14ac:dyDescent="0.25">
      <c r="K122" s="284"/>
    </row>
    <row r="123" spans="7:11" x14ac:dyDescent="0.25">
      <c r="K123" s="284"/>
    </row>
    <row r="124" spans="7:11" x14ac:dyDescent="0.25">
      <c r="K124" s="284"/>
    </row>
    <row r="125" spans="7:11" x14ac:dyDescent="0.25">
      <c r="K125" s="284"/>
    </row>
    <row r="126" spans="7:11" x14ac:dyDescent="0.25">
      <c r="K126" s="284"/>
    </row>
    <row r="127" spans="7:11" x14ac:dyDescent="0.25">
      <c r="K127" s="284"/>
    </row>
    <row r="128" spans="7:11" x14ac:dyDescent="0.25">
      <c r="K128" s="284"/>
    </row>
    <row r="129" spans="11:11" x14ac:dyDescent="0.25">
      <c r="K129" s="284"/>
    </row>
    <row r="130" spans="11:11" x14ac:dyDescent="0.25">
      <c r="K130" s="284"/>
    </row>
    <row r="131" spans="11:11" x14ac:dyDescent="0.25">
      <c r="K131" s="284"/>
    </row>
    <row r="132" spans="11:11" x14ac:dyDescent="0.25">
      <c r="K132" s="284"/>
    </row>
    <row r="133" spans="11:11" x14ac:dyDescent="0.25">
      <c r="K133" s="284"/>
    </row>
    <row r="134" spans="11:11" x14ac:dyDescent="0.25">
      <c r="K134" s="284"/>
    </row>
    <row r="135" spans="11:11" x14ac:dyDescent="0.25">
      <c r="K135" s="284"/>
    </row>
    <row r="136" spans="11:11" x14ac:dyDescent="0.25">
      <c r="K136" s="284"/>
    </row>
    <row r="137" spans="11:11" x14ac:dyDescent="0.25">
      <c r="K137" s="284"/>
    </row>
    <row r="138" spans="11:11" x14ac:dyDescent="0.25">
      <c r="K138" s="284"/>
    </row>
    <row r="139" spans="11:11" x14ac:dyDescent="0.25">
      <c r="K139" s="284"/>
    </row>
    <row r="140" spans="11:11" x14ac:dyDescent="0.25">
      <c r="K140" s="284"/>
    </row>
    <row r="141" spans="11:11" x14ac:dyDescent="0.25">
      <c r="K141" s="284"/>
    </row>
    <row r="142" spans="11:11" x14ac:dyDescent="0.25">
      <c r="K142" s="284"/>
    </row>
    <row r="143" spans="11:11" x14ac:dyDescent="0.25">
      <c r="K143" s="284"/>
    </row>
    <row r="144" spans="11:11" x14ac:dyDescent="0.25">
      <c r="K144" s="284"/>
    </row>
    <row r="145" spans="11:11" x14ac:dyDescent="0.25">
      <c r="K145" s="284"/>
    </row>
    <row r="146" spans="11:11" x14ac:dyDescent="0.25">
      <c r="K146" s="284"/>
    </row>
    <row r="147" spans="11:11" x14ac:dyDescent="0.25">
      <c r="K147" s="284"/>
    </row>
    <row r="148" spans="11:11" x14ac:dyDescent="0.25">
      <c r="K148" s="284"/>
    </row>
    <row r="149" spans="11:11" x14ac:dyDescent="0.25">
      <c r="K149" s="284"/>
    </row>
    <row r="150" spans="11:11" x14ac:dyDescent="0.25">
      <c r="K150" s="284"/>
    </row>
    <row r="151" spans="11:11" x14ac:dyDescent="0.25">
      <c r="K151" s="284"/>
    </row>
    <row r="152" spans="11:11" x14ac:dyDescent="0.25">
      <c r="K152" s="284"/>
    </row>
    <row r="153" spans="11:11" x14ac:dyDescent="0.25">
      <c r="K153" s="284"/>
    </row>
    <row r="154" spans="11:11" x14ac:dyDescent="0.25">
      <c r="K154" s="284"/>
    </row>
    <row r="155" spans="11:11" x14ac:dyDescent="0.25">
      <c r="K155" s="284"/>
    </row>
    <row r="156" spans="11:11" x14ac:dyDescent="0.25">
      <c r="K156" s="284"/>
    </row>
    <row r="157" spans="11:11" x14ac:dyDescent="0.25">
      <c r="K157" s="284"/>
    </row>
    <row r="158" spans="11:11" x14ac:dyDescent="0.25">
      <c r="K158" s="284"/>
    </row>
    <row r="159" spans="11:11" x14ac:dyDescent="0.25">
      <c r="K159" s="284"/>
    </row>
    <row r="160" spans="11:11" x14ac:dyDescent="0.25">
      <c r="K160" s="284"/>
    </row>
    <row r="161" spans="11:11" x14ac:dyDescent="0.25">
      <c r="K161" s="284"/>
    </row>
    <row r="162" spans="11:11" x14ac:dyDescent="0.25">
      <c r="K162" s="284"/>
    </row>
    <row r="163" spans="11:11" x14ac:dyDescent="0.25">
      <c r="K163" s="284"/>
    </row>
    <row r="164" spans="11:11" x14ac:dyDescent="0.25">
      <c r="K164" s="284"/>
    </row>
    <row r="165" spans="11:11" x14ac:dyDescent="0.25">
      <c r="K165" s="284"/>
    </row>
    <row r="166" spans="11:11" x14ac:dyDescent="0.25">
      <c r="K166" s="284"/>
    </row>
    <row r="167" spans="11:11" x14ac:dyDescent="0.25">
      <c r="K167" s="284"/>
    </row>
    <row r="168" spans="11:11" x14ac:dyDescent="0.25">
      <c r="K168" s="284"/>
    </row>
    <row r="169" spans="11:11" x14ac:dyDescent="0.25">
      <c r="K169" s="284"/>
    </row>
    <row r="170" spans="11:11" x14ac:dyDescent="0.25">
      <c r="K170" s="284"/>
    </row>
    <row r="171" spans="11:11" x14ac:dyDescent="0.25">
      <c r="K171" s="284"/>
    </row>
    <row r="172" spans="11:11" x14ac:dyDescent="0.25">
      <c r="K172" s="284"/>
    </row>
    <row r="173" spans="11:11" x14ac:dyDescent="0.25">
      <c r="K173" s="284"/>
    </row>
    <row r="174" spans="11:11" x14ac:dyDescent="0.25">
      <c r="K174" s="284"/>
    </row>
    <row r="175" spans="11:11" x14ac:dyDescent="0.25">
      <c r="K175" s="284"/>
    </row>
    <row r="176" spans="11:11" x14ac:dyDescent="0.25">
      <c r="K176" s="284"/>
    </row>
    <row r="177" spans="11:11" x14ac:dyDescent="0.25">
      <c r="K177" s="284"/>
    </row>
    <row r="178" spans="11:11" x14ac:dyDescent="0.25">
      <c r="K178" s="284"/>
    </row>
    <row r="179" spans="11:11" x14ac:dyDescent="0.25">
      <c r="K179" s="284"/>
    </row>
    <row r="180" spans="11:11" x14ac:dyDescent="0.25">
      <c r="K180" s="284"/>
    </row>
    <row r="181" spans="11:11" x14ac:dyDescent="0.25">
      <c r="K181" s="284"/>
    </row>
    <row r="182" spans="11:11" x14ac:dyDescent="0.25">
      <c r="K182" s="284"/>
    </row>
    <row r="183" spans="11:11" x14ac:dyDescent="0.25">
      <c r="K183" s="284"/>
    </row>
    <row r="184" spans="11:11" x14ac:dyDescent="0.25">
      <c r="K184" s="284"/>
    </row>
    <row r="185" spans="11:11" x14ac:dyDescent="0.25">
      <c r="K185" s="284"/>
    </row>
    <row r="186" spans="11:11" x14ac:dyDescent="0.25">
      <c r="K186" s="284"/>
    </row>
    <row r="187" spans="11:11" x14ac:dyDescent="0.25">
      <c r="K187" s="284"/>
    </row>
    <row r="188" spans="11:11" x14ac:dyDescent="0.25">
      <c r="K188" s="284"/>
    </row>
    <row r="189" spans="11:11" x14ac:dyDescent="0.25">
      <c r="K189" s="284"/>
    </row>
    <row r="190" spans="11:11" x14ac:dyDescent="0.25">
      <c r="K190" s="284"/>
    </row>
    <row r="191" spans="11:11" x14ac:dyDescent="0.25">
      <c r="K191" s="284"/>
    </row>
    <row r="192" spans="11:11" x14ac:dyDescent="0.25">
      <c r="K192" s="284"/>
    </row>
    <row r="193" spans="11:11" x14ac:dyDescent="0.25">
      <c r="K193" s="284"/>
    </row>
    <row r="194" spans="11:11" x14ac:dyDescent="0.25">
      <c r="K194" s="284"/>
    </row>
    <row r="195" spans="11:11" x14ac:dyDescent="0.25">
      <c r="K195" s="284"/>
    </row>
    <row r="196" spans="11:11" x14ac:dyDescent="0.25">
      <c r="K196" s="284"/>
    </row>
    <row r="197" spans="11:11" x14ac:dyDescent="0.25">
      <c r="K197" s="284"/>
    </row>
    <row r="198" spans="11:11" x14ac:dyDescent="0.25">
      <c r="K198" s="284"/>
    </row>
    <row r="199" spans="11:11" x14ac:dyDescent="0.25">
      <c r="K199" s="284"/>
    </row>
    <row r="200" spans="11:11" x14ac:dyDescent="0.25">
      <c r="K200" s="284"/>
    </row>
    <row r="201" spans="11:11" x14ac:dyDescent="0.25">
      <c r="K201" s="284"/>
    </row>
    <row r="202" spans="11:11" x14ac:dyDescent="0.25">
      <c r="K202" s="284"/>
    </row>
    <row r="203" spans="11:11" x14ac:dyDescent="0.25">
      <c r="K203" s="284"/>
    </row>
    <row r="204" spans="11:11" x14ac:dyDescent="0.25">
      <c r="K204" s="284"/>
    </row>
    <row r="205" spans="11:11" x14ac:dyDescent="0.25">
      <c r="K205" s="284"/>
    </row>
    <row r="206" spans="11:11" x14ac:dyDescent="0.25">
      <c r="K206" s="284"/>
    </row>
    <row r="207" spans="11:11" x14ac:dyDescent="0.25">
      <c r="K207" s="284"/>
    </row>
    <row r="208" spans="11:11" x14ac:dyDescent="0.25">
      <c r="K208" s="284"/>
    </row>
    <row r="209" spans="11:11" x14ac:dyDescent="0.25">
      <c r="K209" s="284"/>
    </row>
    <row r="210" spans="11:11" x14ac:dyDescent="0.25">
      <c r="K210" s="284"/>
    </row>
    <row r="211" spans="11:11" x14ac:dyDescent="0.25">
      <c r="K211" s="284"/>
    </row>
    <row r="212" spans="11:11" x14ac:dyDescent="0.25">
      <c r="K212" s="284"/>
    </row>
    <row r="213" spans="11:11" x14ac:dyDescent="0.25">
      <c r="K213" s="284"/>
    </row>
    <row r="214" spans="11:11" x14ac:dyDescent="0.25">
      <c r="K214" s="284"/>
    </row>
    <row r="215" spans="11:11" x14ac:dyDescent="0.25">
      <c r="K215" s="284"/>
    </row>
    <row r="216" spans="11:11" x14ac:dyDescent="0.25">
      <c r="K216" s="284"/>
    </row>
    <row r="217" spans="11:11" x14ac:dyDescent="0.25">
      <c r="K217" s="284"/>
    </row>
    <row r="218" spans="11:11" x14ac:dyDescent="0.25">
      <c r="K218" s="284"/>
    </row>
    <row r="219" spans="11:11" x14ac:dyDescent="0.25">
      <c r="K219" s="284"/>
    </row>
    <row r="220" spans="11:11" x14ac:dyDescent="0.25">
      <c r="K220" s="284"/>
    </row>
  </sheetData>
  <mergeCells count="2">
    <mergeCell ref="I1:N3"/>
    <mergeCell ref="A1:H3"/>
  </mergeCells>
  <phoneticPr fontId="26" type="noConversion"/>
  <pageMargins left="0.7" right="0.7" top="0.75" bottom="0.75" header="0.3" footer="0.3"/>
  <pageSetup scale="43"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102"/>
  <sheetViews>
    <sheetView workbookViewId="0">
      <pane ySplit="7" topLeftCell="A93" activePane="bottomLeft" state="frozen"/>
      <selection activeCell="H28" sqref="H28"/>
      <selection pane="bottomLeft" activeCell="H62" sqref="H62"/>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26" bestFit="1" customWidth="1"/>
    <col min="8" max="8" width="10.140625" style="326" bestFit="1" customWidth="1"/>
    <col min="9" max="9" width="5.5703125" style="36" customWidth="1"/>
    <col min="10" max="10" width="6.28515625" style="36" customWidth="1"/>
    <col min="11" max="11" width="13" style="36" customWidth="1"/>
    <col min="12" max="12" width="5.28515625" style="36" customWidth="1"/>
    <col min="13" max="13" width="9.42578125" style="326" customWidth="1"/>
    <col min="14" max="14" width="9" style="326"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187"/>
      <c r="B1" s="188"/>
      <c r="C1" s="189"/>
      <c r="D1" s="190"/>
      <c r="E1" s="191"/>
      <c r="F1" s="192"/>
      <c r="G1" s="192"/>
      <c r="H1" s="192"/>
      <c r="I1" s="192"/>
      <c r="J1" s="535" t="s">
        <v>310</v>
      </c>
      <c r="K1" s="535"/>
      <c r="L1" s="192"/>
      <c r="M1" s="531" t="s">
        <v>311</v>
      </c>
      <c r="N1" s="532"/>
      <c r="O1" s="302" t="s">
        <v>312</v>
      </c>
    </row>
    <row r="2" spans="1:125" ht="30" customHeight="1" thickBot="1" x14ac:dyDescent="0.35">
      <c r="A2" s="563" t="s">
        <v>313</v>
      </c>
      <c r="B2" s="564"/>
      <c r="C2" s="561" t="str">
        <f>Profit!E1&amp; " Your Home"</f>
        <v>Buy Your Home</v>
      </c>
      <c r="D2" s="562"/>
      <c r="E2" s="201" t="s">
        <v>314</v>
      </c>
      <c r="F2" s="559">
        <f>+MIN(ProposalToGnatt[Start Date])</f>
        <v>45212</v>
      </c>
      <c r="G2" s="560"/>
      <c r="H2" s="538" t="s">
        <v>315</v>
      </c>
      <c r="I2" s="539"/>
      <c r="J2" s="549">
        <f>+SUM(H8:H22)</f>
        <v>16237.9463</v>
      </c>
      <c r="K2" s="553"/>
      <c r="L2" s="193"/>
      <c r="M2" s="549">
        <f>+SUM(N8:N22)-SUM(M8:M22)</f>
        <v>3068.7963</v>
      </c>
      <c r="N2" s="545"/>
      <c r="O2" s="303">
        <f>+SUM(H8:H22)-SUM(M8:M22)</f>
        <v>9673.7963</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550"/>
      <c r="B3" s="551"/>
      <c r="C3" s="551"/>
      <c r="D3" s="551"/>
      <c r="E3" s="202"/>
      <c r="G3" s="36"/>
      <c r="H3" s="540" t="s">
        <v>316</v>
      </c>
      <c r="I3" s="541"/>
      <c r="J3" s="548">
        <f>SUM(H24:H27)</f>
        <v>0</v>
      </c>
      <c r="K3" s="556"/>
      <c r="L3" s="194"/>
      <c r="M3" s="548">
        <f>+J3-SUM(M24:M27)</f>
        <v>0</v>
      </c>
      <c r="N3" s="545"/>
      <c r="O3" s="304">
        <f>+SUM(H24:H27)-SUM(M24:M27)</f>
        <v>0</v>
      </c>
      <c r="AP3" s="15"/>
      <c r="AQ3" s="15"/>
      <c r="AR3" s="15"/>
    </row>
    <row r="4" spans="1:125" ht="30" customHeight="1" x14ac:dyDescent="0.3">
      <c r="A4" s="550" t="str">
        <f>+Profit!B2</f>
        <v>1426 Pleasant Garden Ln, Raleigh, NC 27604</v>
      </c>
      <c r="B4" s="551" t="str">
        <f>+Profit!B2</f>
        <v>1426 Pleasant Garden Ln, Raleigh, NC 27604</v>
      </c>
      <c r="C4" s="551"/>
      <c r="D4" s="551"/>
      <c r="E4" s="536" t="s">
        <v>317</v>
      </c>
      <c r="F4" s="537"/>
      <c r="G4" s="78">
        <v>1</v>
      </c>
      <c r="H4" s="542" t="str">
        <f>+A2 &amp; "Total:"</f>
        <v>AvilaCRI Total:</v>
      </c>
      <c r="I4" s="543"/>
      <c r="J4" s="544">
        <f>+SUM(ProposalToGnatt[Price])</f>
        <v>31174.109999999997</v>
      </c>
      <c r="K4" s="545"/>
      <c r="L4" s="195"/>
      <c r="M4" s="544" cm="1">
        <f t="array" ref="M4">+SUM(ProposalToGnatt[Due]-ProposalToGnatt[Paid])</f>
        <v>-510.00000000000273</v>
      </c>
      <c r="N4" s="545"/>
      <c r="O4" s="305">
        <f>+SUM(ProposalToGnatt[Price])-SUM(ProposalToGnatt[Paid])</f>
        <v>-510</v>
      </c>
      <c r="AP4" s="15"/>
      <c r="AQ4" s="15"/>
      <c r="AR4" s="15"/>
    </row>
    <row r="5" spans="1:125" ht="18" customHeight="1" thickBot="1" x14ac:dyDescent="0.3">
      <c r="A5" s="196"/>
      <c r="B5" s="197" t="s">
        <v>318</v>
      </c>
      <c r="C5" s="198"/>
      <c r="D5" s="199"/>
      <c r="E5" s="554" t="s">
        <v>319</v>
      </c>
      <c r="F5" s="555"/>
      <c r="G5" s="200">
        <v>2</v>
      </c>
      <c r="H5" s="552" t="s">
        <v>320</v>
      </c>
      <c r="I5" s="552"/>
      <c r="J5" s="557">
        <f>+SUM(J2:K4)</f>
        <v>47412.056299999997</v>
      </c>
      <c r="K5" s="558"/>
      <c r="L5" s="24"/>
      <c r="M5" s="546">
        <f>+SUM(M2:M4)</f>
        <v>2558.7962999999972</v>
      </c>
      <c r="N5" s="547"/>
      <c r="O5" s="308">
        <f>+SUM(O2:Q4)</f>
        <v>9163.7963</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321</v>
      </c>
      <c r="B7" s="80" t="s">
        <v>322</v>
      </c>
      <c r="C7" s="81" t="s">
        <v>301</v>
      </c>
      <c r="D7" s="79" t="s">
        <v>302</v>
      </c>
      <c r="E7" s="79" t="s">
        <v>303</v>
      </c>
      <c r="F7" s="79" t="s">
        <v>194</v>
      </c>
      <c r="G7" s="83" t="s">
        <v>195</v>
      </c>
      <c r="H7" s="83" t="s">
        <v>304</v>
      </c>
      <c r="I7" s="79" t="s">
        <v>305</v>
      </c>
      <c r="J7" s="79" t="s">
        <v>306</v>
      </c>
      <c r="K7" s="84" t="s">
        <v>307</v>
      </c>
      <c r="L7" s="79" t="s">
        <v>308</v>
      </c>
      <c r="M7" s="79" t="s">
        <v>309</v>
      </c>
      <c r="N7" s="79" t="s">
        <v>311</v>
      </c>
      <c r="O7" s="79" t="s">
        <v>145</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323</v>
      </c>
      <c r="F8" s="86">
        <v>1</v>
      </c>
      <c r="G8" s="88">
        <f>+'Demo &amp; Trash Haul'!G17</f>
        <v>0</v>
      </c>
      <c r="H8" s="88">
        <f t="shared" ref="H8:H22" si="0">+F8*G8</f>
        <v>0</v>
      </c>
      <c r="I8" s="89" t="s">
        <v>44</v>
      </c>
      <c r="J8" s="88"/>
      <c r="K8" s="90"/>
      <c r="L8" s="88"/>
      <c r="M8" s="88">
        <v>1623.75</v>
      </c>
      <c r="N8" s="88">
        <f t="shared" ref="N8:N22" si="1">IF(I8="Yes",H8,0)</f>
        <v>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324</v>
      </c>
      <c r="F9" s="86">
        <v>0</v>
      </c>
      <c r="G9" s="88">
        <f>+Taxes!E19</f>
        <v>0</v>
      </c>
      <c r="H9" s="88">
        <f t="shared" si="0"/>
        <v>0</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325</v>
      </c>
      <c r="F10" s="86">
        <v>1</v>
      </c>
      <c r="G10" s="88">
        <f>+Appliances!G20</f>
        <v>1740.4501749999999</v>
      </c>
      <c r="H10" s="88">
        <f t="shared" si="0"/>
        <v>1740.4501749999999</v>
      </c>
      <c r="I10" s="89" t="s">
        <v>44</v>
      </c>
      <c r="J10" s="88"/>
      <c r="K10" s="90"/>
      <c r="L10" s="88"/>
      <c r="M10" s="88">
        <v>1725.47</v>
      </c>
      <c r="N10" s="88">
        <f t="shared" si="1"/>
        <v>1740.4501749999999</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326</v>
      </c>
      <c r="F11" s="86">
        <v>1</v>
      </c>
      <c r="G11" s="88">
        <f>+'Plumbing Fixtures'!G22</f>
        <v>1279.5461249999998</v>
      </c>
      <c r="H11" s="88">
        <f t="shared" si="0"/>
        <v>1279.5461249999998</v>
      </c>
      <c r="I11" s="89" t="s">
        <v>44</v>
      </c>
      <c r="J11" s="88"/>
      <c r="K11" s="90"/>
      <c r="L11" s="88"/>
      <c r="M11" s="88">
        <v>706.39</v>
      </c>
      <c r="N11" s="88">
        <f t="shared" si="1"/>
        <v>1279.5461249999998</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327</v>
      </c>
      <c r="F12" s="86">
        <v>0</v>
      </c>
      <c r="G12" s="88">
        <f>+'Windows &amp; Doors'!F34</f>
        <v>2024.3100000000002</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328</v>
      </c>
      <c r="F13" s="86">
        <v>0</v>
      </c>
      <c r="G13" s="88">
        <f>+Cabinets!H44</f>
        <v>4165</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329</v>
      </c>
      <c r="F14" s="86">
        <v>1</v>
      </c>
      <c r="G14" s="88">
        <f>+Paint!I31</f>
        <v>5750</v>
      </c>
      <c r="H14" s="88">
        <f t="shared" si="0"/>
        <v>5750</v>
      </c>
      <c r="I14" s="89" t="s">
        <v>44</v>
      </c>
      <c r="J14" s="88"/>
      <c r="K14" s="90"/>
      <c r="L14" s="88"/>
      <c r="M14" s="88">
        <v>1788.82</v>
      </c>
      <c r="N14" s="88">
        <f t="shared" si="1"/>
        <v>5750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330</v>
      </c>
      <c r="F15" s="86">
        <v>1</v>
      </c>
      <c r="G15" s="88">
        <f>+Flooring!G10</f>
        <v>6605</v>
      </c>
      <c r="H15" s="88">
        <f t="shared" si="0"/>
        <v>6605</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331</v>
      </c>
      <c r="F16" s="86">
        <v>1</v>
      </c>
      <c r="G16" s="88">
        <f>+'Electrical Fixtures'!F28</f>
        <v>581.91000000000008</v>
      </c>
      <c r="H16" s="88">
        <f t="shared" si="0"/>
        <v>581.91000000000008</v>
      </c>
      <c r="I16" s="89" t="s">
        <v>44</v>
      </c>
      <c r="J16" s="88"/>
      <c r="K16" s="90"/>
      <c r="L16" s="88"/>
      <c r="M16" s="88">
        <v>568.65</v>
      </c>
      <c r="N16" s="88">
        <f t="shared" si="1"/>
        <v>581.91000000000008</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332</v>
      </c>
      <c r="F17" s="86">
        <v>1</v>
      </c>
      <c r="G17" s="88">
        <f>+Exterior!H20</f>
        <v>71.040000000000006</v>
      </c>
      <c r="H17" s="88">
        <f t="shared" si="0"/>
        <v>71.040000000000006</v>
      </c>
      <c r="I17" s="89" t="s">
        <v>44</v>
      </c>
      <c r="J17" s="88"/>
      <c r="K17" s="90"/>
      <c r="L17" s="88"/>
      <c r="M17" s="88">
        <v>61.07</v>
      </c>
      <c r="N17" s="88">
        <f t="shared" si="1"/>
        <v>71.040000000000006</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333</v>
      </c>
      <c r="F18" s="86">
        <v>1</v>
      </c>
      <c r="G18" s="88">
        <f>+Landscape!G17</f>
        <v>210</v>
      </c>
      <c r="H18" s="88">
        <f>+F18*G18</f>
        <v>210</v>
      </c>
      <c r="I18" s="89" t="s">
        <v>44</v>
      </c>
      <c r="J18" s="88"/>
      <c r="K18" s="90"/>
      <c r="L18" s="88"/>
      <c r="M18" s="88">
        <v>90</v>
      </c>
      <c r="N18" s="88">
        <f t="shared" si="1"/>
        <v>210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334</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335</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336</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337</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338</v>
      </c>
      <c r="B24" s="98">
        <f>+B22+1</f>
        <v>15</v>
      </c>
      <c r="C24" s="99"/>
      <c r="D24" s="100"/>
      <c r="E24" s="101" t="s">
        <v>339</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533" t="s">
        <v>340</v>
      </c>
      <c r="AB24" s="534"/>
      <c r="AC24" s="534"/>
      <c r="AD24" s="534"/>
      <c r="AE24" s="534"/>
      <c r="AF24" s="534"/>
      <c r="AG24" s="534"/>
      <c r="AH24" s="534"/>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338</v>
      </c>
      <c r="B25" s="98">
        <f>+B24+1</f>
        <v>16</v>
      </c>
      <c r="C25" s="99"/>
      <c r="D25" s="100"/>
      <c r="E25" s="101" t="s">
        <v>339</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534"/>
      <c r="AB25" s="534"/>
      <c r="AC25" s="534"/>
      <c r="AD25" s="534"/>
      <c r="AE25" s="534"/>
      <c r="AF25" s="534"/>
      <c r="AG25" s="534"/>
      <c r="AH25" s="534"/>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341</v>
      </c>
      <c r="B26" s="98">
        <f>+B25+1</f>
        <v>17</v>
      </c>
      <c r="C26" s="99"/>
      <c r="D26" s="100"/>
      <c r="E26" s="101" t="s">
        <v>342</v>
      </c>
      <c r="F26" s="102">
        <v>0</v>
      </c>
      <c r="G26" s="103">
        <f>+HVAC!F13</f>
        <v>9504.5</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341</v>
      </c>
      <c r="B27" s="98">
        <f>+B26+1</f>
        <v>18</v>
      </c>
      <c r="C27" s="99"/>
      <c r="D27" s="100"/>
      <c r="E27" s="101" t="s">
        <v>343</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285" t="s">
        <v>299</v>
      </c>
      <c r="B29" s="285" t="s">
        <v>300</v>
      </c>
      <c r="C29" s="285" t="s">
        <v>301</v>
      </c>
      <c r="D29" s="285" t="s">
        <v>302</v>
      </c>
      <c r="E29" s="285" t="s">
        <v>303</v>
      </c>
      <c r="F29" s="285" t="s">
        <v>194</v>
      </c>
      <c r="G29" s="306" t="s">
        <v>195</v>
      </c>
      <c r="H29" s="306" t="s">
        <v>304</v>
      </c>
      <c r="I29" s="285" t="s">
        <v>305</v>
      </c>
      <c r="J29" s="285" t="s">
        <v>306</v>
      </c>
      <c r="K29" s="307" t="s">
        <v>307</v>
      </c>
      <c r="L29" s="285" t="s">
        <v>308</v>
      </c>
      <c r="M29" s="285" t="s">
        <v>309</v>
      </c>
      <c r="N29" s="22" t="s">
        <v>311</v>
      </c>
      <c r="O29" s="22" t="s">
        <v>145</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313</v>
      </c>
      <c r="B30">
        <v>5</v>
      </c>
      <c r="C30" t="s">
        <v>204</v>
      </c>
      <c r="D30" t="s">
        <v>205</v>
      </c>
      <c r="E30" t="s">
        <v>204</v>
      </c>
      <c r="F30">
        <v>0</v>
      </c>
      <c r="G30" s="14">
        <v>0</v>
      </c>
      <c r="H30" s="14">
        <v>0</v>
      </c>
      <c r="I30" t="s">
        <v>7</v>
      </c>
      <c r="J30">
        <v>0</v>
      </c>
      <c r="K30" s="275"/>
      <c r="L30"/>
      <c r="M30" s="14"/>
      <c r="N30" s="327">
        <v>0</v>
      </c>
      <c r="O30" s="309"/>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313</v>
      </c>
      <c r="B31">
        <v>6</v>
      </c>
      <c r="C31" t="s">
        <v>206</v>
      </c>
      <c r="D31" t="s">
        <v>205</v>
      </c>
      <c r="E31" t="s">
        <v>207</v>
      </c>
      <c r="F31">
        <v>0</v>
      </c>
      <c r="G31" s="14">
        <v>0</v>
      </c>
      <c r="H31" s="14">
        <v>0</v>
      </c>
      <c r="I31" t="s">
        <v>7</v>
      </c>
      <c r="J31">
        <v>0</v>
      </c>
      <c r="K31" s="275"/>
      <c r="L31">
        <v>5</v>
      </c>
      <c r="M31" s="14"/>
      <c r="N31" s="327">
        <v>0</v>
      </c>
      <c r="O31" s="309"/>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313</v>
      </c>
      <c r="B32">
        <v>7</v>
      </c>
      <c r="C32" t="s">
        <v>208</v>
      </c>
      <c r="D32" t="s">
        <v>205</v>
      </c>
      <c r="E32" t="s">
        <v>209</v>
      </c>
      <c r="F32">
        <v>0</v>
      </c>
      <c r="G32" s="14">
        <v>0</v>
      </c>
      <c r="H32" s="14">
        <v>0</v>
      </c>
      <c r="I32" t="s">
        <v>7</v>
      </c>
      <c r="J32">
        <v>0</v>
      </c>
      <c r="K32" s="275"/>
      <c r="L32"/>
      <c r="M32" s="14"/>
      <c r="N32" s="327">
        <v>0</v>
      </c>
      <c r="O32" s="309"/>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313</v>
      </c>
      <c r="B33">
        <v>8</v>
      </c>
      <c r="C33" t="s">
        <v>210</v>
      </c>
      <c r="D33" t="s">
        <v>205</v>
      </c>
      <c r="E33" t="s">
        <v>211</v>
      </c>
      <c r="F33">
        <v>0</v>
      </c>
      <c r="G33" s="14">
        <v>0</v>
      </c>
      <c r="H33" s="14">
        <v>0</v>
      </c>
      <c r="I33" t="s">
        <v>7</v>
      </c>
      <c r="J33">
        <v>0</v>
      </c>
      <c r="K33" s="275"/>
      <c r="L33"/>
      <c r="M33" s="14"/>
      <c r="N33" s="327">
        <v>0</v>
      </c>
      <c r="O33" s="309"/>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313</v>
      </c>
      <c r="B34">
        <v>9</v>
      </c>
      <c r="C34" t="s">
        <v>212</v>
      </c>
      <c r="D34" t="s">
        <v>205</v>
      </c>
      <c r="E34" t="s">
        <v>213</v>
      </c>
      <c r="F34">
        <v>0</v>
      </c>
      <c r="G34" s="14">
        <v>0</v>
      </c>
      <c r="H34" s="14">
        <v>0</v>
      </c>
      <c r="I34" t="s">
        <v>44</v>
      </c>
      <c r="J34">
        <v>0</v>
      </c>
      <c r="K34" s="275"/>
      <c r="L34"/>
      <c r="M34" s="14"/>
      <c r="N34" s="327">
        <v>0</v>
      </c>
      <c r="O34" s="309"/>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313</v>
      </c>
      <c r="B35">
        <v>10</v>
      </c>
      <c r="C35" t="s">
        <v>214</v>
      </c>
      <c r="D35" t="s">
        <v>215</v>
      </c>
      <c r="E35" t="s">
        <v>216</v>
      </c>
      <c r="F35">
        <v>1</v>
      </c>
      <c r="G35" s="331">
        <v>3800</v>
      </c>
      <c r="H35" s="14">
        <v>3800</v>
      </c>
      <c r="I35" t="s">
        <v>44</v>
      </c>
      <c r="J35">
        <v>1</v>
      </c>
      <c r="K35" s="275">
        <v>45213</v>
      </c>
      <c r="L35">
        <v>1</v>
      </c>
      <c r="M35" s="14"/>
      <c r="N35" s="327">
        <v>3800</v>
      </c>
      <c r="O35" s="309"/>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313</v>
      </c>
      <c r="B36">
        <v>11</v>
      </c>
      <c r="C36" t="s">
        <v>214</v>
      </c>
      <c r="D36"/>
      <c r="E36" t="s">
        <v>217</v>
      </c>
      <c r="F36">
        <v>0</v>
      </c>
      <c r="G36" s="14"/>
      <c r="H36" s="14"/>
      <c r="I36" t="s">
        <v>44</v>
      </c>
      <c r="J36">
        <v>1</v>
      </c>
      <c r="K36" s="275">
        <v>45213</v>
      </c>
      <c r="L36">
        <v>1</v>
      </c>
      <c r="M36" s="14"/>
      <c r="N36" s="327"/>
      <c r="O36" s="309"/>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313</v>
      </c>
      <c r="B37">
        <v>12</v>
      </c>
      <c r="C37" t="s">
        <v>214</v>
      </c>
      <c r="D37"/>
      <c r="E37" t="s">
        <v>218</v>
      </c>
      <c r="F37">
        <v>0</v>
      </c>
      <c r="G37" s="14"/>
      <c r="H37" s="14"/>
      <c r="I37" t="s">
        <v>44</v>
      </c>
      <c r="J37">
        <v>1</v>
      </c>
      <c r="K37" s="275">
        <v>45213</v>
      </c>
      <c r="L37">
        <v>1</v>
      </c>
      <c r="M37" s="14"/>
      <c r="N37" s="327"/>
      <c r="O37" s="309"/>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313</v>
      </c>
      <c r="B38">
        <v>13</v>
      </c>
      <c r="C38" t="s">
        <v>219</v>
      </c>
      <c r="D38"/>
      <c r="E38" t="s">
        <v>220</v>
      </c>
      <c r="F38">
        <v>1</v>
      </c>
      <c r="G38" s="331">
        <v>4950</v>
      </c>
      <c r="H38" s="14">
        <v>4950</v>
      </c>
      <c r="I38" t="s">
        <v>44</v>
      </c>
      <c r="J38">
        <v>1</v>
      </c>
      <c r="K38" s="275">
        <v>45216</v>
      </c>
      <c r="L38">
        <v>7</v>
      </c>
      <c r="M38" s="14"/>
      <c r="N38" s="327">
        <v>4950</v>
      </c>
      <c r="O38" s="309"/>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313</v>
      </c>
      <c r="B39">
        <v>35</v>
      </c>
      <c r="C39" t="s">
        <v>234</v>
      </c>
      <c r="D39" t="s">
        <v>235</v>
      </c>
      <c r="E39" t="s">
        <v>247</v>
      </c>
      <c r="F39">
        <v>1</v>
      </c>
      <c r="G39" s="14"/>
      <c r="H39" s="14"/>
      <c r="I39" t="s">
        <v>7</v>
      </c>
      <c r="J39">
        <v>1</v>
      </c>
      <c r="K39" s="275">
        <v>45216</v>
      </c>
      <c r="L39">
        <v>1</v>
      </c>
      <c r="M39" s="14"/>
      <c r="N39" s="327"/>
      <c r="O39" s="309"/>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313</v>
      </c>
      <c r="B40">
        <v>19</v>
      </c>
      <c r="C40" t="s">
        <v>212</v>
      </c>
      <c r="D40" t="s">
        <v>229</v>
      </c>
      <c r="E40" t="s">
        <v>230</v>
      </c>
      <c r="F40">
        <v>1</v>
      </c>
      <c r="G40" s="331">
        <v>3190</v>
      </c>
      <c r="H40" s="14">
        <v>3190</v>
      </c>
      <c r="I40" t="s">
        <v>44</v>
      </c>
      <c r="J40">
        <v>1</v>
      </c>
      <c r="K40" s="275">
        <v>45219</v>
      </c>
      <c r="L40">
        <v>1</v>
      </c>
      <c r="M40" s="14"/>
      <c r="N40" s="327">
        <v>3190</v>
      </c>
      <c r="O40" s="309" t="s">
        <v>617</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313</v>
      </c>
      <c r="B41">
        <v>20</v>
      </c>
      <c r="C41" t="s">
        <v>212</v>
      </c>
      <c r="D41" t="s">
        <v>229</v>
      </c>
      <c r="E41" t="s">
        <v>231</v>
      </c>
      <c r="F41">
        <v>0</v>
      </c>
      <c r="G41" s="14"/>
      <c r="H41" s="14"/>
      <c r="I41" t="s">
        <v>7</v>
      </c>
      <c r="J41">
        <v>1</v>
      </c>
      <c r="K41" s="275">
        <v>45219</v>
      </c>
      <c r="L41"/>
      <c r="M41" s="14"/>
      <c r="N41" s="327"/>
      <c r="O41" s="309"/>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f ca="1">IFERROR(+IF(W$29=ProposalToGnatt[[#This Row],[Start Date]],Milestone_Marker,IF(AND(W$29&gt;ProposalToGnatt[[#This Row],[Start Date]],W$29&lt;ProposalToGnatt[[#This Row],[Start Date]]+ProposalToGnatt[[#This Row],[Days]]),$G$5,"")),"")</f>
        <v>1</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313</v>
      </c>
      <c r="B42">
        <v>18</v>
      </c>
      <c r="C42" t="s">
        <v>206</v>
      </c>
      <c r="D42" t="s">
        <v>227</v>
      </c>
      <c r="E42" t="s">
        <v>228</v>
      </c>
      <c r="F42">
        <v>1</v>
      </c>
      <c r="G42" s="331">
        <v>1200</v>
      </c>
      <c r="H42" s="14">
        <v>1200</v>
      </c>
      <c r="I42" t="s">
        <v>44</v>
      </c>
      <c r="J42">
        <v>1</v>
      </c>
      <c r="K42" s="275">
        <v>45225</v>
      </c>
      <c r="L42">
        <v>1</v>
      </c>
      <c r="M42" s="14"/>
      <c r="N42" s="327">
        <v>1200</v>
      </c>
      <c r="O42" s="309"/>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f ca="1">IFERROR(+IF(AC$29=ProposalToGnatt[[#This Row],[Start Date]],Milestone_Marker,IF(AND(AC$29&gt;ProposalToGnatt[[#This Row],[Start Date]],AC$29&lt;ProposalToGnatt[[#This Row],[Start Date]]+ProposalToGnatt[[#This Row],[Days]]),$G$5,"")),"")</f>
        <v>1</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313</v>
      </c>
      <c r="B43">
        <v>15</v>
      </c>
      <c r="C43" t="s">
        <v>206</v>
      </c>
      <c r="D43" t="s">
        <v>223</v>
      </c>
      <c r="E43" t="s">
        <v>224</v>
      </c>
      <c r="F43">
        <v>1</v>
      </c>
      <c r="G43" s="331">
        <v>3790</v>
      </c>
      <c r="H43" s="14">
        <v>3790</v>
      </c>
      <c r="I43" t="s">
        <v>7</v>
      </c>
      <c r="J43">
        <v>1</v>
      </c>
      <c r="K43" s="275">
        <v>45226</v>
      </c>
      <c r="L43">
        <v>2</v>
      </c>
      <c r="M43" s="14"/>
      <c r="N43" s="327">
        <v>3790</v>
      </c>
      <c r="O43" s="309"/>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f ca="1">IFERROR(+IF(AD$29=ProposalToGnatt[[#This Row],[Start Date]],Milestone_Marker,IF(AND(AD$29&gt;ProposalToGnatt[[#This Row],[Start Date]],AD$29&lt;ProposalToGnatt[[#This Row],[Start Date]]+ProposalToGnatt[[#This Row],[Days]]),$G$5,"")),"")</f>
        <v>1</v>
      </c>
      <c r="AE43" s="37">
        <f ca="1">IFERROR(+IF(AE$29=ProposalToGnatt[[#This Row],[Start Date]],Milestone_Marker,IF(AND(AE$29&gt;ProposalToGnatt[[#This Row],[Start Date]],AE$29&lt;ProposalToGnatt[[#This Row],[Start Date]]+ProposalToGnatt[[#This Row],[Days]]),$G$5,"")),"")</f>
        <v>2</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313</v>
      </c>
      <c r="B44">
        <v>22</v>
      </c>
      <c r="C44" t="s">
        <v>234</v>
      </c>
      <c r="D44" t="s">
        <v>235</v>
      </c>
      <c r="E44" t="s">
        <v>234</v>
      </c>
      <c r="F44">
        <v>1</v>
      </c>
      <c r="G44" s="331">
        <v>4252.5</v>
      </c>
      <c r="H44" s="14">
        <v>4252.5</v>
      </c>
      <c r="I44" t="s">
        <v>44</v>
      </c>
      <c r="J44">
        <v>1</v>
      </c>
      <c r="K44" s="275">
        <v>45229</v>
      </c>
      <c r="L44">
        <v>7</v>
      </c>
      <c r="M44" s="14"/>
      <c r="N44" s="327">
        <v>4252.5</v>
      </c>
      <c r="O44" s="309"/>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f ca="1">IFERROR(+IF(AH$29=ProposalToGnatt[[#This Row],[Start Date]],Milestone_Marker,IF(AND(AH$29&gt;ProposalToGnatt[[#This Row],[Start Date]],AH$29&lt;ProposalToGnatt[[#This Row],[Start Date]]+ProposalToGnatt[[#This Row],[Days]]),$G$5,"")),"")</f>
        <v>2</v>
      </c>
      <c r="AI44" s="37">
        <f ca="1">IFERROR(+IF(AI$29=ProposalToGnatt[[#This Row],[Start Date]],Milestone_Marker,IF(AND(AI$29&gt;ProposalToGnatt[[#This Row],[Start Date]],AI$29&lt;ProposalToGnatt[[#This Row],[Start Date]]+ProposalToGnatt[[#This Row],[Days]]),$G$5,"")),"")</f>
        <v>2</v>
      </c>
      <c r="AJ44" s="37">
        <f ca="1">IFERROR(+IF(AJ$29=ProposalToGnatt[[#This Row],[Start Date]],Milestone_Marker,IF(AND(AJ$29&gt;ProposalToGnatt[[#This Row],[Start Date]],AJ$29&lt;ProposalToGnatt[[#This Row],[Start Date]]+ProposalToGnatt[[#This Row],[Days]]),$G$5,"")),"")</f>
        <v>2</v>
      </c>
      <c r="AK44" s="37">
        <f ca="1">IFERROR(+IF(AK$29=ProposalToGnatt[[#This Row],[Start Date]],Milestone_Marker,IF(AND(AK$29&gt;ProposalToGnatt[[#This Row],[Start Date]],AK$29&lt;ProposalToGnatt[[#This Row],[Start Date]]+ProposalToGnatt[[#This Row],[Days]]),$G$5,"")),"")</f>
        <v>2</v>
      </c>
      <c r="AL44" s="37">
        <f ca="1">IFERROR(+IF(AL$29=ProposalToGnatt[[#This Row],[Start Date]],Milestone_Marker,IF(AND(AL$29&gt;ProposalToGnatt[[#This Row],[Start Date]],AL$29&lt;ProposalToGnatt[[#This Row],[Start Date]]+ProposalToGnatt[[#This Row],[Days]]),$G$5,"")),"")</f>
        <v>2</v>
      </c>
      <c r="AM44" s="37">
        <f ca="1">IFERROR(+IF(AM$29=ProposalToGnatt[[#This Row],[Start Date]],Milestone_Marker,IF(AND(AM$29&gt;ProposalToGnatt[[#This Row],[Start Date]],AM$29&lt;ProposalToGnatt[[#This Row],[Start Date]]+ProposalToGnatt[[#This Row],[Days]]),$G$5,"")),"")</f>
        <v>2</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313</v>
      </c>
      <c r="B45">
        <v>23</v>
      </c>
      <c r="C45" t="s">
        <v>234</v>
      </c>
      <c r="D45" t="s">
        <v>235</v>
      </c>
      <c r="E45" t="s">
        <v>236</v>
      </c>
      <c r="F45">
        <v>1</v>
      </c>
      <c r="G45" s="14"/>
      <c r="H45" s="14"/>
      <c r="I45" t="s">
        <v>7</v>
      </c>
      <c r="J45">
        <v>1</v>
      </c>
      <c r="K45" s="275">
        <v>45229</v>
      </c>
      <c r="L45"/>
      <c r="M45" s="14"/>
      <c r="N45" s="327"/>
      <c r="O45" s="309"/>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313</v>
      </c>
      <c r="B46">
        <v>24</v>
      </c>
      <c r="C46" t="s">
        <v>234</v>
      </c>
      <c r="D46" t="s">
        <v>235</v>
      </c>
      <c r="E46" t="s">
        <v>237</v>
      </c>
      <c r="F46">
        <v>1</v>
      </c>
      <c r="G46" s="14"/>
      <c r="H46" s="14"/>
      <c r="I46" t="s">
        <v>7</v>
      </c>
      <c r="J46">
        <v>1</v>
      </c>
      <c r="K46" s="275">
        <v>45229</v>
      </c>
      <c r="L46"/>
      <c r="M46" s="14"/>
      <c r="N46" s="327"/>
      <c r="O46" s="309"/>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313</v>
      </c>
      <c r="B47">
        <v>25</v>
      </c>
      <c r="C47" t="s">
        <v>234</v>
      </c>
      <c r="D47" t="s">
        <v>235</v>
      </c>
      <c r="E47" t="s">
        <v>238</v>
      </c>
      <c r="F47">
        <v>1</v>
      </c>
      <c r="G47" s="14"/>
      <c r="H47" s="14"/>
      <c r="I47" t="s">
        <v>7</v>
      </c>
      <c r="J47">
        <v>1</v>
      </c>
      <c r="K47" s="275">
        <v>45229</v>
      </c>
      <c r="L47"/>
      <c r="M47" s="14"/>
      <c r="N47" s="327"/>
      <c r="O47" s="309"/>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313</v>
      </c>
      <c r="B48">
        <v>26</v>
      </c>
      <c r="C48" t="s">
        <v>234</v>
      </c>
      <c r="D48" t="s">
        <v>235</v>
      </c>
      <c r="E48" t="s">
        <v>239</v>
      </c>
      <c r="F48">
        <v>1</v>
      </c>
      <c r="G48" s="14"/>
      <c r="H48" s="14"/>
      <c r="I48" t="s">
        <v>7</v>
      </c>
      <c r="J48">
        <v>1</v>
      </c>
      <c r="K48" s="275">
        <v>45229</v>
      </c>
      <c r="L48"/>
      <c r="M48" s="14"/>
      <c r="N48" s="327"/>
      <c r="O48" s="309"/>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313</v>
      </c>
      <c r="B49">
        <v>27</v>
      </c>
      <c r="C49" t="s">
        <v>234</v>
      </c>
      <c r="D49" t="s">
        <v>235</v>
      </c>
      <c r="E49" t="s">
        <v>240</v>
      </c>
      <c r="F49">
        <v>1</v>
      </c>
      <c r="G49" s="14"/>
      <c r="H49" s="14"/>
      <c r="I49" t="s">
        <v>7</v>
      </c>
      <c r="J49">
        <v>1</v>
      </c>
      <c r="K49" s="275">
        <v>45229</v>
      </c>
      <c r="L49"/>
      <c r="M49" s="14"/>
      <c r="N49" s="327"/>
      <c r="O49" s="309"/>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313</v>
      </c>
      <c r="B50">
        <v>28</v>
      </c>
      <c r="C50" t="s">
        <v>234</v>
      </c>
      <c r="D50" t="s">
        <v>235</v>
      </c>
      <c r="E50" t="s">
        <v>675</v>
      </c>
      <c r="F50">
        <v>1</v>
      </c>
      <c r="G50" s="14"/>
      <c r="H50" s="14"/>
      <c r="I50" t="s">
        <v>7</v>
      </c>
      <c r="J50">
        <v>1</v>
      </c>
      <c r="K50" s="275">
        <v>45229</v>
      </c>
      <c r="L50"/>
      <c r="M50" s="14"/>
      <c r="N50" s="327"/>
      <c r="O50" s="309"/>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313</v>
      </c>
      <c r="B51">
        <v>29</v>
      </c>
      <c r="C51" t="s">
        <v>234</v>
      </c>
      <c r="D51" t="s">
        <v>235</v>
      </c>
      <c r="E51" t="s">
        <v>241</v>
      </c>
      <c r="F51">
        <v>1</v>
      </c>
      <c r="G51" s="14"/>
      <c r="H51" s="14"/>
      <c r="I51" t="s">
        <v>7</v>
      </c>
      <c r="J51">
        <v>1</v>
      </c>
      <c r="K51" s="275">
        <v>45229</v>
      </c>
      <c r="L51"/>
      <c r="M51" s="14"/>
      <c r="N51" s="327"/>
      <c r="O51" s="309"/>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313</v>
      </c>
      <c r="B52">
        <v>30</v>
      </c>
      <c r="C52" t="s">
        <v>234</v>
      </c>
      <c r="D52" t="s">
        <v>235</v>
      </c>
      <c r="E52" t="s">
        <v>242</v>
      </c>
      <c r="F52">
        <v>1</v>
      </c>
      <c r="G52" s="14"/>
      <c r="H52" s="14"/>
      <c r="I52" t="s">
        <v>7</v>
      </c>
      <c r="J52">
        <v>1</v>
      </c>
      <c r="K52" s="275">
        <v>45229</v>
      </c>
      <c r="L52"/>
      <c r="M52" s="14"/>
      <c r="N52" s="327"/>
      <c r="O52" s="309"/>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313</v>
      </c>
      <c r="B53">
        <v>31</v>
      </c>
      <c r="C53" t="s">
        <v>234</v>
      </c>
      <c r="D53" t="s">
        <v>235</v>
      </c>
      <c r="E53" t="s">
        <v>243</v>
      </c>
      <c r="F53">
        <v>1</v>
      </c>
      <c r="G53" s="14"/>
      <c r="H53" s="14"/>
      <c r="I53" t="s">
        <v>7</v>
      </c>
      <c r="J53">
        <v>1</v>
      </c>
      <c r="K53" s="275">
        <v>45229</v>
      </c>
      <c r="L53"/>
      <c r="M53" s="14"/>
      <c r="N53" s="327"/>
      <c r="O53" s="309"/>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313</v>
      </c>
      <c r="B54">
        <v>32</v>
      </c>
      <c r="C54" t="s">
        <v>234</v>
      </c>
      <c r="D54" t="s">
        <v>235</v>
      </c>
      <c r="E54" t="s">
        <v>244</v>
      </c>
      <c r="F54">
        <v>1</v>
      </c>
      <c r="G54" s="14"/>
      <c r="H54" s="14"/>
      <c r="I54" t="s">
        <v>7</v>
      </c>
      <c r="J54">
        <v>1</v>
      </c>
      <c r="K54" s="275">
        <v>45229</v>
      </c>
      <c r="L54"/>
      <c r="M54" s="14"/>
      <c r="N54" s="327"/>
      <c r="O54" s="309"/>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313</v>
      </c>
      <c r="B55">
        <v>33</v>
      </c>
      <c r="C55" t="s">
        <v>234</v>
      </c>
      <c r="D55" t="s">
        <v>235</v>
      </c>
      <c r="E55" t="s">
        <v>245</v>
      </c>
      <c r="F55">
        <v>1</v>
      </c>
      <c r="G55" s="14"/>
      <c r="H55" s="14"/>
      <c r="I55" t="s">
        <v>7</v>
      </c>
      <c r="J55">
        <v>1</v>
      </c>
      <c r="K55" s="275">
        <v>45229</v>
      </c>
      <c r="L55"/>
      <c r="M55" s="14"/>
      <c r="N55" s="327"/>
      <c r="O55" s="309"/>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313</v>
      </c>
      <c r="B56">
        <v>34</v>
      </c>
      <c r="C56" t="s">
        <v>234</v>
      </c>
      <c r="D56" t="s">
        <v>235</v>
      </c>
      <c r="E56" t="s">
        <v>246</v>
      </c>
      <c r="F56">
        <v>1</v>
      </c>
      <c r="G56" s="14"/>
      <c r="H56" s="14"/>
      <c r="I56" t="s">
        <v>7</v>
      </c>
      <c r="J56">
        <v>1</v>
      </c>
      <c r="K56" s="275">
        <v>45229</v>
      </c>
      <c r="L56"/>
      <c r="M56" s="14"/>
      <c r="N56" s="327"/>
      <c r="O56" s="309"/>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f ca="1">IFERROR(+IF(AG$29=ProposalToGnatt[[#This Row],[Start Date]],Milestone_Marker,IF(AND(AG$29&gt;ProposalToGnatt[[#This Row],[Start Date]],AG$29&lt;ProposalToGnatt[[#This Row],[Start Date]]+ProposalToGnatt[[#This Row],[Days]]),$G$5,"")),"")</f>
        <v>1</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313</v>
      </c>
      <c r="B57">
        <v>14</v>
      </c>
      <c r="C57" t="s">
        <v>221</v>
      </c>
      <c r="D57"/>
      <c r="E57" t="s">
        <v>222</v>
      </c>
      <c r="F57">
        <v>1</v>
      </c>
      <c r="G57" s="331">
        <v>590</v>
      </c>
      <c r="H57" s="14">
        <v>590</v>
      </c>
      <c r="I57" t="s">
        <v>7</v>
      </c>
      <c r="J57">
        <v>1</v>
      </c>
      <c r="K57" s="275"/>
      <c r="L57">
        <v>1</v>
      </c>
      <c r="M57" s="14"/>
      <c r="N57" s="327">
        <v>590</v>
      </c>
      <c r="O57" s="309"/>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313</v>
      </c>
      <c r="B58">
        <v>16</v>
      </c>
      <c r="C58" t="s">
        <v>206</v>
      </c>
      <c r="D58"/>
      <c r="E58" t="s">
        <v>225</v>
      </c>
      <c r="F58"/>
      <c r="G58" s="14"/>
      <c r="H58" s="14"/>
      <c r="I58" t="s">
        <v>7</v>
      </c>
      <c r="J58">
        <v>1</v>
      </c>
      <c r="K58" s="275"/>
      <c r="L58"/>
      <c r="M58" s="14"/>
      <c r="N58" s="327"/>
      <c r="O58" s="309"/>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313</v>
      </c>
      <c r="B59">
        <v>17</v>
      </c>
      <c r="C59" t="s">
        <v>206</v>
      </c>
      <c r="D59"/>
      <c r="E59" t="s">
        <v>226</v>
      </c>
      <c r="F59"/>
      <c r="G59" s="14"/>
      <c r="H59" s="14"/>
      <c r="I59" t="s">
        <v>7</v>
      </c>
      <c r="J59">
        <v>1</v>
      </c>
      <c r="K59" s="275"/>
      <c r="L59"/>
      <c r="M59" s="14"/>
      <c r="N59" s="327"/>
      <c r="O59" s="309"/>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313</v>
      </c>
      <c r="B60">
        <v>37</v>
      </c>
      <c r="C60" t="s">
        <v>206</v>
      </c>
      <c r="D60" t="s">
        <v>250</v>
      </c>
      <c r="E60" t="s">
        <v>251</v>
      </c>
      <c r="F60">
        <v>1</v>
      </c>
      <c r="G60" s="331">
        <v>1800</v>
      </c>
      <c r="H60" s="14">
        <v>1800</v>
      </c>
      <c r="I60" t="s">
        <v>44</v>
      </c>
      <c r="J60">
        <v>2</v>
      </c>
      <c r="K60" s="275">
        <v>45218</v>
      </c>
      <c r="L60"/>
      <c r="M60" s="14"/>
      <c r="N60" s="327">
        <v>1800</v>
      </c>
      <c r="O60" s="309" t="s">
        <v>44</v>
      </c>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f ca="1">IFERROR(+IF(V$29=ProposalToGnatt[[#This Row],[Start Date]],Milestone_Marker,IF(AND(V$29&gt;ProposalToGnatt[[#This Row],[Start Date]],V$29&lt;ProposalToGnatt[[#This Row],[Start Date]]+ProposalToGnatt[[#This Row],[Days]]),$G$5,"")),"")</f>
        <v>1</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313</v>
      </c>
      <c r="B61">
        <v>41</v>
      </c>
      <c r="C61" t="s">
        <v>206</v>
      </c>
      <c r="D61" t="s">
        <v>258</v>
      </c>
      <c r="E61" t="s">
        <v>259</v>
      </c>
      <c r="F61">
        <v>1</v>
      </c>
      <c r="G61" s="331">
        <v>2980.24</v>
      </c>
      <c r="H61" s="14">
        <v>2980.24</v>
      </c>
      <c r="I61" t="s">
        <v>44</v>
      </c>
      <c r="J61">
        <v>2</v>
      </c>
      <c r="K61" s="275">
        <v>45218</v>
      </c>
      <c r="L61"/>
      <c r="M61" s="14"/>
      <c r="N61" s="327">
        <v>2980.24</v>
      </c>
      <c r="O61" s="309" t="s">
        <v>44</v>
      </c>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f ca="1">IFERROR(+IF(V$29=ProposalToGnatt[[#This Row],[Start Date]],Milestone_Marker,IF(AND(V$29&gt;ProposalToGnatt[[#This Row],[Start Date]],V$29&lt;ProposalToGnatt[[#This Row],[Start Date]]+ProposalToGnatt[[#This Row],[Days]]),$G$5,"")),"")</f>
        <v>1</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313</v>
      </c>
      <c r="B62">
        <v>21</v>
      </c>
      <c r="C62" t="s">
        <v>212</v>
      </c>
      <c r="D62" t="s">
        <v>232</v>
      </c>
      <c r="E62" t="s">
        <v>233</v>
      </c>
      <c r="F62">
        <v>1</v>
      </c>
      <c r="G62" s="331">
        <v>4345</v>
      </c>
      <c r="H62" s="14">
        <v>4345</v>
      </c>
      <c r="I62" t="s">
        <v>44</v>
      </c>
      <c r="J62">
        <v>2</v>
      </c>
      <c r="K62" s="275">
        <v>45219</v>
      </c>
      <c r="L62"/>
      <c r="M62" s="14"/>
      <c r="N62" s="327">
        <v>4345</v>
      </c>
      <c r="O62" s="309"/>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f ca="1">IFERROR(+IF(W$29=ProposalToGnatt[[#This Row],[Start Date]],Milestone_Marker,IF(AND(W$29&gt;ProposalToGnatt[[#This Row],[Start Date]],W$29&lt;ProposalToGnatt[[#This Row],[Start Date]]+ProposalToGnatt[[#This Row],[Days]]),$G$5,"")),"")</f>
        <v>1</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313</v>
      </c>
      <c r="B63">
        <v>44</v>
      </c>
      <c r="C63" t="s">
        <v>212</v>
      </c>
      <c r="D63" t="s">
        <v>232</v>
      </c>
      <c r="E63" t="s">
        <v>263</v>
      </c>
      <c r="F63">
        <v>1</v>
      </c>
      <c r="G63" s="331">
        <v>-3190</v>
      </c>
      <c r="H63" s="14">
        <v>-3190</v>
      </c>
      <c r="I63" t="s">
        <v>44</v>
      </c>
      <c r="J63">
        <v>2</v>
      </c>
      <c r="K63" s="275">
        <v>45219</v>
      </c>
      <c r="L63"/>
      <c r="M63" s="14"/>
      <c r="N63" s="327">
        <v>-3190</v>
      </c>
      <c r="O63" s="309" t="s">
        <v>44</v>
      </c>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f ca="1">IFERROR(+IF(W$29=ProposalToGnatt[[#This Row],[Start Date]],Milestone_Marker,IF(AND(W$29&gt;ProposalToGnatt[[#This Row],[Start Date]],W$29&lt;ProposalToGnatt[[#This Row],[Start Date]]+ProposalToGnatt[[#This Row],[Days]]),$G$5,"")),"")</f>
        <v>1</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313</v>
      </c>
      <c r="B64">
        <v>40</v>
      </c>
      <c r="C64" t="s">
        <v>234</v>
      </c>
      <c r="D64" t="s">
        <v>256</v>
      </c>
      <c r="E64" t="s">
        <v>257</v>
      </c>
      <c r="F64">
        <v>1</v>
      </c>
      <c r="G64" s="331">
        <v>75</v>
      </c>
      <c r="H64" s="14">
        <v>75</v>
      </c>
      <c r="I64" t="s">
        <v>7</v>
      </c>
      <c r="J64">
        <v>2</v>
      </c>
      <c r="K64" s="275">
        <v>45226</v>
      </c>
      <c r="L64"/>
      <c r="M64" s="14"/>
      <c r="N64" s="327">
        <v>75</v>
      </c>
      <c r="O64" s="309" t="s">
        <v>44</v>
      </c>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f ca="1">IFERROR(+IF(AD$29=ProposalToGnatt[[#This Row],[Start Date]],Milestone_Marker,IF(AND(AD$29&gt;ProposalToGnatt[[#This Row],[Start Date]],AD$29&lt;ProposalToGnatt[[#This Row],[Start Date]]+ProposalToGnatt[[#This Row],[Days]]),$G$5,"")),"")</f>
        <v>1</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313</v>
      </c>
      <c r="B65">
        <v>42</v>
      </c>
      <c r="C65" t="s">
        <v>219</v>
      </c>
      <c r="D65" t="s">
        <v>260</v>
      </c>
      <c r="E65" t="s">
        <v>261</v>
      </c>
      <c r="F65">
        <v>1</v>
      </c>
      <c r="G65" s="331">
        <v>294</v>
      </c>
      <c r="H65" s="14">
        <v>294</v>
      </c>
      <c r="I65" t="s">
        <v>7</v>
      </c>
      <c r="J65">
        <v>2</v>
      </c>
      <c r="K65" s="275">
        <v>45226</v>
      </c>
      <c r="L65"/>
      <c r="M65" s="14"/>
      <c r="N65" s="327">
        <v>294</v>
      </c>
      <c r="O65" s="309" t="s">
        <v>44</v>
      </c>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f ca="1">IFERROR(+IF(AD$29=ProposalToGnatt[[#This Row],[Start Date]],Milestone_Marker,IF(AND(AD$29&gt;ProposalToGnatt[[#This Row],[Start Date]],AD$29&lt;ProposalToGnatt[[#This Row],[Start Date]]+ProposalToGnatt[[#This Row],[Days]]),$G$5,"")),"")</f>
        <v>1</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313</v>
      </c>
      <c r="B66">
        <v>39</v>
      </c>
      <c r="C66" t="s">
        <v>234</v>
      </c>
      <c r="D66" t="s">
        <v>254</v>
      </c>
      <c r="E66" t="s">
        <v>255</v>
      </c>
      <c r="F66">
        <v>1</v>
      </c>
      <c r="G66" s="331">
        <v>75</v>
      </c>
      <c r="H66" s="14">
        <v>75</v>
      </c>
      <c r="I66" t="s">
        <v>7</v>
      </c>
      <c r="J66">
        <v>2</v>
      </c>
      <c r="K66" s="275">
        <v>45233</v>
      </c>
      <c r="L66"/>
      <c r="M66" s="14"/>
      <c r="N66" s="327">
        <v>75</v>
      </c>
      <c r="O66" s="309" t="s">
        <v>44</v>
      </c>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f ca="1">IFERROR(+IF(AK$29=ProposalToGnatt[[#This Row],[Start Date]],Milestone_Marker,IF(AND(AK$29&gt;ProposalToGnatt[[#This Row],[Start Date]],AK$29&lt;ProposalToGnatt[[#This Row],[Start Date]]+ProposalToGnatt[[#This Row],[Days]]),$G$5,"")),"")</f>
        <v>1</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313</v>
      </c>
      <c r="B67">
        <v>43</v>
      </c>
      <c r="C67" t="s">
        <v>234</v>
      </c>
      <c r="D67" t="s">
        <v>262</v>
      </c>
      <c r="E67" t="s">
        <v>652</v>
      </c>
      <c r="F67">
        <v>1</v>
      </c>
      <c r="G67" s="331">
        <v>-125</v>
      </c>
      <c r="H67" s="14">
        <v>-125</v>
      </c>
      <c r="I67" t="s">
        <v>7</v>
      </c>
      <c r="J67">
        <v>2</v>
      </c>
      <c r="K67" s="275">
        <v>45233</v>
      </c>
      <c r="L67"/>
      <c r="M67" s="14"/>
      <c r="N67" s="327">
        <v>-125</v>
      </c>
      <c r="O67" s="309" t="s">
        <v>44</v>
      </c>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f ca="1">IFERROR(+IF(AK$29=ProposalToGnatt[[#This Row],[Start Date]],Milestone_Marker,IF(AND(AK$29&gt;ProposalToGnatt[[#This Row],[Start Date]],AK$29&lt;ProposalToGnatt[[#This Row],[Start Date]]+ProposalToGnatt[[#This Row],[Days]]),$G$5,"")),"")</f>
        <v>1</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313</v>
      </c>
      <c r="B68">
        <v>46</v>
      </c>
      <c r="C68" t="s">
        <v>234</v>
      </c>
      <c r="D68" t="s">
        <v>265</v>
      </c>
      <c r="E68" t="s">
        <v>653</v>
      </c>
      <c r="F68">
        <v>1</v>
      </c>
      <c r="G68" s="331">
        <v>-125</v>
      </c>
      <c r="H68" s="14">
        <v>-125</v>
      </c>
      <c r="I68" t="s">
        <v>44</v>
      </c>
      <c r="J68">
        <v>2</v>
      </c>
      <c r="K68" s="275">
        <v>45233</v>
      </c>
      <c r="L68"/>
      <c r="M68" s="14"/>
      <c r="N68" s="327">
        <v>-125</v>
      </c>
      <c r="O68" s="309" t="s">
        <v>44</v>
      </c>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f ca="1">IFERROR(+IF(AK$29=ProposalToGnatt[[#This Row],[Start Date]],Milestone_Marker,IF(AND(AK$29&gt;ProposalToGnatt[[#This Row],[Start Date]],AK$29&lt;ProposalToGnatt[[#This Row],[Start Date]]+ProposalToGnatt[[#This Row],[Days]]),$G$5,"")),"")</f>
        <v>1</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313</v>
      </c>
      <c r="B69">
        <v>48</v>
      </c>
      <c r="C69" t="s">
        <v>234</v>
      </c>
      <c r="D69" t="s">
        <v>267</v>
      </c>
      <c r="E69" t="s">
        <v>268</v>
      </c>
      <c r="F69">
        <v>1</v>
      </c>
      <c r="G69" s="331">
        <v>75</v>
      </c>
      <c r="H69" s="14">
        <v>75</v>
      </c>
      <c r="I69" t="s">
        <v>7</v>
      </c>
      <c r="J69">
        <v>2</v>
      </c>
      <c r="K69" s="275">
        <v>45233</v>
      </c>
      <c r="L69"/>
      <c r="M69" s="14"/>
      <c r="N69" s="327">
        <v>75</v>
      </c>
      <c r="O69" s="309" t="s">
        <v>44</v>
      </c>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f ca="1">IFERROR(+IF(AK$29=ProposalToGnatt[[#This Row],[Start Date]],Milestone_Marker,IF(AND(AK$29&gt;ProposalToGnatt[[#This Row],[Start Date]],AK$29&lt;ProposalToGnatt[[#This Row],[Start Date]]+ProposalToGnatt[[#This Row],[Days]]),$G$5,"")),"")</f>
        <v>1</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313</v>
      </c>
      <c r="B70">
        <v>49</v>
      </c>
      <c r="C70" t="s">
        <v>234</v>
      </c>
      <c r="D70" t="s">
        <v>269</v>
      </c>
      <c r="E70" t="s">
        <v>270</v>
      </c>
      <c r="F70">
        <v>1</v>
      </c>
      <c r="G70" s="331">
        <v>75</v>
      </c>
      <c r="H70" s="14">
        <v>75</v>
      </c>
      <c r="I70" t="s">
        <v>7</v>
      </c>
      <c r="J70">
        <v>2</v>
      </c>
      <c r="K70" s="275">
        <v>45233</v>
      </c>
      <c r="L70"/>
      <c r="M70" s="14"/>
      <c r="N70" s="327">
        <v>75</v>
      </c>
      <c r="O70" s="309" t="s">
        <v>44</v>
      </c>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f ca="1">IFERROR(+IF(AK$29=ProposalToGnatt[[#This Row],[Start Date]],Milestone_Marker,IF(AND(AK$29&gt;ProposalToGnatt[[#This Row],[Start Date]],AK$29&lt;ProposalToGnatt[[#This Row],[Start Date]]+ProposalToGnatt[[#This Row],[Days]]),$G$5,"")),"")</f>
        <v>1</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313</v>
      </c>
      <c r="B71">
        <v>51</v>
      </c>
      <c r="C71" t="s">
        <v>234</v>
      </c>
      <c r="D71" t="s">
        <v>272</v>
      </c>
      <c r="E71" t="s">
        <v>648</v>
      </c>
      <c r="F71">
        <v>0</v>
      </c>
      <c r="G71" s="331">
        <v>125</v>
      </c>
      <c r="H71" s="14">
        <v>0</v>
      </c>
      <c r="I71"/>
      <c r="J71">
        <v>2</v>
      </c>
      <c r="K71" s="275">
        <v>45233</v>
      </c>
      <c r="L71"/>
      <c r="M71" s="14"/>
      <c r="N71" s="327"/>
      <c r="O71" s="309"/>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f ca="1">IFERROR(+IF(AK$29=ProposalToGnatt[[#This Row],[Start Date]],Milestone_Marker,IF(AND(AK$29&gt;ProposalToGnatt[[#This Row],[Start Date]],AK$29&lt;ProposalToGnatt[[#This Row],[Start Date]]+ProposalToGnatt[[#This Row],[Days]]),$G$5,"")),"")</f>
        <v>1</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313</v>
      </c>
      <c r="B72">
        <v>52</v>
      </c>
      <c r="C72" t="s">
        <v>234</v>
      </c>
      <c r="D72" t="s">
        <v>273</v>
      </c>
      <c r="E72" t="s">
        <v>274</v>
      </c>
      <c r="F72">
        <v>1</v>
      </c>
      <c r="G72" s="331">
        <v>50</v>
      </c>
      <c r="H72" s="14">
        <v>50</v>
      </c>
      <c r="I72" t="s">
        <v>7</v>
      </c>
      <c r="J72">
        <v>2</v>
      </c>
      <c r="K72" s="275">
        <v>45233</v>
      </c>
      <c r="L72"/>
      <c r="M72" s="14"/>
      <c r="N72" s="327">
        <v>50</v>
      </c>
      <c r="O72" s="309" t="s">
        <v>44</v>
      </c>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f ca="1">IFERROR(+IF(AK$29=ProposalToGnatt[[#This Row],[Start Date]],Milestone_Marker,IF(AND(AK$29&gt;ProposalToGnatt[[#This Row],[Start Date]],AK$29&lt;ProposalToGnatt[[#This Row],[Start Date]]+ProposalToGnatt[[#This Row],[Days]]),$G$5,"")),"")</f>
        <v>1</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313</v>
      </c>
      <c r="B73">
        <v>54</v>
      </c>
      <c r="C73" t="s">
        <v>234</v>
      </c>
      <c r="D73" t="s">
        <v>277</v>
      </c>
      <c r="E73" t="s">
        <v>278</v>
      </c>
      <c r="F73">
        <v>1</v>
      </c>
      <c r="G73" s="331">
        <v>50</v>
      </c>
      <c r="H73" s="14">
        <v>50</v>
      </c>
      <c r="I73" t="s">
        <v>7</v>
      </c>
      <c r="J73">
        <v>2</v>
      </c>
      <c r="K73" s="275">
        <v>45233</v>
      </c>
      <c r="L73"/>
      <c r="M73" s="14"/>
      <c r="N73" s="327">
        <v>50</v>
      </c>
      <c r="O73" s="309" t="s">
        <v>44</v>
      </c>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f ca="1">IFERROR(+IF(AK$29=ProposalToGnatt[[#This Row],[Start Date]],Milestone_Marker,IF(AND(AK$29&gt;ProposalToGnatt[[#This Row],[Start Date]],AK$29&lt;ProposalToGnatt[[#This Row],[Start Date]]+ProposalToGnatt[[#This Row],[Days]]),$G$5,"")),"")</f>
        <v>1</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313</v>
      </c>
      <c r="B74">
        <v>55</v>
      </c>
      <c r="C74" t="s">
        <v>279</v>
      </c>
      <c r="D74" t="s">
        <v>280</v>
      </c>
      <c r="E74" t="s">
        <v>281</v>
      </c>
      <c r="F74">
        <v>1</v>
      </c>
      <c r="G74" s="331">
        <v>75</v>
      </c>
      <c r="H74" s="14">
        <v>75</v>
      </c>
      <c r="I74" t="s">
        <v>7</v>
      </c>
      <c r="J74">
        <v>2</v>
      </c>
      <c r="K74" s="275">
        <v>45233</v>
      </c>
      <c r="L74"/>
      <c r="M74" s="14"/>
      <c r="N74" s="327">
        <v>75</v>
      </c>
      <c r="O74" s="309" t="s">
        <v>44</v>
      </c>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f ca="1">IFERROR(+IF(AK$29=ProposalToGnatt[[#This Row],[Start Date]],Milestone_Marker,IF(AND(AK$29&gt;ProposalToGnatt[[#This Row],[Start Date]],AK$29&lt;ProposalToGnatt[[#This Row],[Start Date]]+ProposalToGnatt[[#This Row],[Days]]),$G$5,"")),"")</f>
        <v>1</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313</v>
      </c>
      <c r="B75">
        <v>56</v>
      </c>
      <c r="C75" t="s">
        <v>234</v>
      </c>
      <c r="D75" t="s">
        <v>282</v>
      </c>
      <c r="E75" t="s">
        <v>283</v>
      </c>
      <c r="F75">
        <v>1</v>
      </c>
      <c r="G75" s="331">
        <v>50</v>
      </c>
      <c r="H75" s="14">
        <v>50</v>
      </c>
      <c r="I75" t="s">
        <v>7</v>
      </c>
      <c r="J75">
        <v>2</v>
      </c>
      <c r="K75" s="275">
        <v>45233</v>
      </c>
      <c r="L75"/>
      <c r="M75" s="14"/>
      <c r="N75" s="327">
        <v>50</v>
      </c>
      <c r="O75" s="309" t="s">
        <v>44</v>
      </c>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f ca="1">IFERROR(+IF(AK$29=ProposalToGnatt[[#This Row],[Start Date]],Milestone_Marker,IF(AND(AK$29&gt;ProposalToGnatt[[#This Row],[Start Date]],AK$29&lt;ProposalToGnatt[[#This Row],[Start Date]]+ProposalToGnatt[[#This Row],[Days]]),$G$5,"")),"")</f>
        <v>1</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313</v>
      </c>
      <c r="B76">
        <v>57</v>
      </c>
      <c r="C76" t="s">
        <v>279</v>
      </c>
      <c r="D76" t="s">
        <v>284</v>
      </c>
      <c r="E76" t="s">
        <v>285</v>
      </c>
      <c r="F76">
        <v>1</v>
      </c>
      <c r="G76" s="331">
        <v>150</v>
      </c>
      <c r="H76" s="14">
        <v>150</v>
      </c>
      <c r="I76" t="s">
        <v>7</v>
      </c>
      <c r="J76">
        <v>2</v>
      </c>
      <c r="K76" s="275">
        <v>45233</v>
      </c>
      <c r="L76"/>
      <c r="M76" s="14"/>
      <c r="N76" s="327">
        <v>150</v>
      </c>
      <c r="O76" s="309" t="s">
        <v>44</v>
      </c>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f ca="1">IFERROR(+IF(AK$29=ProposalToGnatt[[#This Row],[Start Date]],Milestone_Marker,IF(AND(AK$29&gt;ProposalToGnatt[[#This Row],[Start Date]],AK$29&lt;ProposalToGnatt[[#This Row],[Start Date]]+ProposalToGnatt[[#This Row],[Days]]),$G$5,"")),"")</f>
        <v>1</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313</v>
      </c>
      <c r="B77">
        <v>58</v>
      </c>
      <c r="C77" t="s">
        <v>286</v>
      </c>
      <c r="D77" t="s">
        <v>287</v>
      </c>
      <c r="E77" t="s">
        <v>288</v>
      </c>
      <c r="F77">
        <v>1</v>
      </c>
      <c r="G77" s="331">
        <v>75</v>
      </c>
      <c r="H77" s="14">
        <v>75</v>
      </c>
      <c r="I77" t="s">
        <v>7</v>
      </c>
      <c r="J77">
        <v>2</v>
      </c>
      <c r="K77" s="275">
        <v>45233</v>
      </c>
      <c r="L77"/>
      <c r="M77" s="14"/>
      <c r="N77" s="327">
        <v>75</v>
      </c>
      <c r="O77" s="309" t="s">
        <v>44</v>
      </c>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f ca="1">IFERROR(+IF(AK$29=ProposalToGnatt[[#This Row],[Start Date]],Milestone_Marker,IF(AND(AK$29&gt;ProposalToGnatt[[#This Row],[Start Date]],AK$29&lt;ProposalToGnatt[[#This Row],[Start Date]]+ProposalToGnatt[[#This Row],[Days]]),$G$5,"")),"")</f>
        <v>1</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313</v>
      </c>
      <c r="B78">
        <v>59</v>
      </c>
      <c r="C78" t="s">
        <v>279</v>
      </c>
      <c r="D78" t="s">
        <v>289</v>
      </c>
      <c r="E78" t="s">
        <v>649</v>
      </c>
      <c r="F78">
        <v>1</v>
      </c>
      <c r="G78" s="331">
        <v>50</v>
      </c>
      <c r="H78" s="14">
        <v>50</v>
      </c>
      <c r="I78" t="s">
        <v>7</v>
      </c>
      <c r="J78">
        <v>2</v>
      </c>
      <c r="K78" s="275">
        <v>45233</v>
      </c>
      <c r="L78"/>
      <c r="M78" s="14"/>
      <c r="N78" s="327">
        <v>50</v>
      </c>
      <c r="O78" s="309"/>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f ca="1">IFERROR(+IF(AK$29=ProposalToGnatt[[#This Row],[Start Date]],Milestone_Marker,IF(AND(AK$29&gt;ProposalToGnatt[[#This Row],[Start Date]],AK$29&lt;ProposalToGnatt[[#This Row],[Start Date]]+ProposalToGnatt[[#This Row],[Days]]),$G$5,"")),"")</f>
        <v>1</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313</v>
      </c>
      <c r="B79">
        <v>61</v>
      </c>
      <c r="C79" t="s">
        <v>234</v>
      </c>
      <c r="D79" t="s">
        <v>628</v>
      </c>
      <c r="E79" t="s">
        <v>627</v>
      </c>
      <c r="F79">
        <v>1</v>
      </c>
      <c r="G79" s="331">
        <v>75</v>
      </c>
      <c r="H79" s="14">
        <v>75</v>
      </c>
      <c r="I79" t="s">
        <v>7</v>
      </c>
      <c r="J79">
        <v>2</v>
      </c>
      <c r="K79" s="275">
        <v>45233</v>
      </c>
      <c r="L79"/>
      <c r="M79" s="14"/>
      <c r="N79" s="327">
        <v>75</v>
      </c>
      <c r="O79" s="309" t="s">
        <v>44</v>
      </c>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f ca="1">IFERROR(+IF(AK$29=ProposalToGnatt[[#This Row],[Start Date]],Milestone_Marker,IF(AND(AK$29&gt;ProposalToGnatt[[#This Row],[Start Date]],AK$29&lt;ProposalToGnatt[[#This Row],[Start Date]]+ProposalToGnatt[[#This Row],[Days]]),$G$5,"")),"")</f>
        <v>1</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313</v>
      </c>
      <c r="B80">
        <v>62</v>
      </c>
      <c r="C80" t="s">
        <v>234</v>
      </c>
      <c r="D80" t="s">
        <v>629</v>
      </c>
      <c r="E80" t="s">
        <v>650</v>
      </c>
      <c r="F80">
        <v>1</v>
      </c>
      <c r="G80" s="331">
        <v>200</v>
      </c>
      <c r="H80" s="14">
        <v>200</v>
      </c>
      <c r="I80" t="s">
        <v>44</v>
      </c>
      <c r="J80">
        <v>2</v>
      </c>
      <c r="K80" s="275">
        <v>45233</v>
      </c>
      <c r="L80"/>
      <c r="M80" s="14"/>
      <c r="N80" s="327">
        <v>200</v>
      </c>
      <c r="O80" s="309" t="s">
        <v>44</v>
      </c>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f ca="1">IFERROR(+IF(AK$29=ProposalToGnatt[[#This Row],[Start Date]],Milestone_Marker,IF(AND(AK$29&gt;ProposalToGnatt[[#This Row],[Start Date]],AK$29&lt;ProposalToGnatt[[#This Row],[Start Date]]+ProposalToGnatt[[#This Row],[Days]]),$G$5,"")),"")</f>
        <v>1</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313</v>
      </c>
      <c r="B81">
        <v>63</v>
      </c>
      <c r="C81" t="s">
        <v>234</v>
      </c>
      <c r="D81" t="s">
        <v>630</v>
      </c>
      <c r="E81" t="s">
        <v>651</v>
      </c>
      <c r="F81">
        <v>1</v>
      </c>
      <c r="G81" s="331">
        <v>50</v>
      </c>
      <c r="H81" s="14">
        <v>50</v>
      </c>
      <c r="I81" t="s">
        <v>44</v>
      </c>
      <c r="J81">
        <v>2</v>
      </c>
      <c r="K81" s="275">
        <v>45233</v>
      </c>
      <c r="L81"/>
      <c r="M81" s="14"/>
      <c r="N81" s="327">
        <v>50</v>
      </c>
      <c r="O81" s="309"/>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f ca="1">IFERROR(+IF(AK$29=ProposalToGnatt[[#This Row],[Start Date]],Milestone_Marker,IF(AND(AK$29&gt;ProposalToGnatt[[#This Row],[Start Date]],AK$29&lt;ProposalToGnatt[[#This Row],[Start Date]]+ProposalToGnatt[[#This Row],[Days]]),$G$5,"")),"")</f>
        <v>1</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313</v>
      </c>
      <c r="B82">
        <v>64</v>
      </c>
      <c r="C82" t="s">
        <v>234</v>
      </c>
      <c r="D82" t="s">
        <v>631</v>
      </c>
      <c r="E82" t="s">
        <v>633</v>
      </c>
      <c r="F82">
        <v>1</v>
      </c>
      <c r="G82" s="331">
        <v>100</v>
      </c>
      <c r="H82" s="14">
        <v>100</v>
      </c>
      <c r="I82" t="s">
        <v>7</v>
      </c>
      <c r="J82">
        <v>2</v>
      </c>
      <c r="K82" s="275">
        <v>45233</v>
      </c>
      <c r="L82"/>
      <c r="M82" s="14"/>
      <c r="N82" s="327">
        <v>100</v>
      </c>
      <c r="O82" s="309" t="s">
        <v>44</v>
      </c>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f ca="1">IFERROR(+IF(AK$29=ProposalToGnatt[[#This Row],[Start Date]],Milestone_Marker,IF(AND(AK$29&gt;ProposalToGnatt[[#This Row],[Start Date]],AK$29&lt;ProposalToGnatt[[#This Row],[Start Date]]+ProposalToGnatt[[#This Row],[Days]]),$G$5,"")),"")</f>
        <v>1</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313</v>
      </c>
      <c r="B83">
        <v>65</v>
      </c>
      <c r="C83" t="s">
        <v>234</v>
      </c>
      <c r="D83" t="s">
        <v>632</v>
      </c>
      <c r="E83" t="s">
        <v>634</v>
      </c>
      <c r="F83">
        <v>1</v>
      </c>
      <c r="G83" s="331">
        <v>150</v>
      </c>
      <c r="H83" s="14">
        <v>150</v>
      </c>
      <c r="I83" t="s">
        <v>7</v>
      </c>
      <c r="J83">
        <v>2</v>
      </c>
      <c r="K83" s="275">
        <v>45233</v>
      </c>
      <c r="L83"/>
      <c r="M83" s="14"/>
      <c r="N83" s="327">
        <v>150</v>
      </c>
      <c r="O83" s="309" t="s">
        <v>44</v>
      </c>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f ca="1">IFERROR(+IF(AK$29=ProposalToGnatt[[#This Row],[Start Date]],Milestone_Marker,IF(AND(AK$29&gt;ProposalToGnatt[[#This Row],[Start Date]],AK$29&lt;ProposalToGnatt[[#This Row],[Start Date]]+ProposalToGnatt[[#This Row],[Days]]),$G$5,"")),"")</f>
        <v>1</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313</v>
      </c>
      <c r="B84">
        <v>36</v>
      </c>
      <c r="C84" t="s">
        <v>234</v>
      </c>
      <c r="D84" t="s">
        <v>248</v>
      </c>
      <c r="E84" t="s">
        <v>249</v>
      </c>
      <c r="F84">
        <v>1</v>
      </c>
      <c r="G84" s="331">
        <v>600</v>
      </c>
      <c r="H84" s="14">
        <v>600</v>
      </c>
      <c r="I84" t="s">
        <v>7</v>
      </c>
      <c r="J84">
        <v>2</v>
      </c>
      <c r="K84" s="275"/>
      <c r="L84"/>
      <c r="M84" s="14"/>
      <c r="N84" s="327">
        <v>600</v>
      </c>
      <c r="O84" s="309" t="s">
        <v>44</v>
      </c>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313</v>
      </c>
      <c r="B85">
        <v>38</v>
      </c>
      <c r="C85" t="s">
        <v>206</v>
      </c>
      <c r="D85" t="s">
        <v>252</v>
      </c>
      <c r="E85" t="s">
        <v>253</v>
      </c>
      <c r="F85">
        <v>1</v>
      </c>
      <c r="G85" s="331">
        <v>50</v>
      </c>
      <c r="H85" s="14">
        <v>50</v>
      </c>
      <c r="I85" t="s">
        <v>7</v>
      </c>
      <c r="J85">
        <v>2</v>
      </c>
      <c r="K85" s="275"/>
      <c r="L85"/>
      <c r="M85" s="14"/>
      <c r="N85" s="327">
        <v>50</v>
      </c>
      <c r="O85" s="309"/>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313</v>
      </c>
      <c r="B86">
        <v>45</v>
      </c>
      <c r="C86" t="s">
        <v>234</v>
      </c>
      <c r="D86" t="s">
        <v>264</v>
      </c>
      <c r="E86" t="s">
        <v>655</v>
      </c>
      <c r="F86">
        <v>1</v>
      </c>
      <c r="G86" s="331">
        <v>0</v>
      </c>
      <c r="H86" s="14">
        <v>0</v>
      </c>
      <c r="I86"/>
      <c r="J86">
        <v>2</v>
      </c>
      <c r="K86" s="275"/>
      <c r="L86"/>
      <c r="M86" s="14"/>
      <c r="N86" s="327"/>
      <c r="O86" s="309"/>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313</v>
      </c>
      <c r="B87">
        <v>47</v>
      </c>
      <c r="C87" t="s">
        <v>234</v>
      </c>
      <c r="D87" t="s">
        <v>266</v>
      </c>
      <c r="E87" t="s">
        <v>654</v>
      </c>
      <c r="F87">
        <v>1</v>
      </c>
      <c r="G87" s="331">
        <v>-50</v>
      </c>
      <c r="H87" s="14">
        <v>-50</v>
      </c>
      <c r="I87" t="s">
        <v>7</v>
      </c>
      <c r="J87">
        <v>2</v>
      </c>
      <c r="K87" s="275"/>
      <c r="L87"/>
      <c r="M87" s="14"/>
      <c r="N87" s="327">
        <v>-50</v>
      </c>
      <c r="O87" s="309" t="s">
        <v>44</v>
      </c>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313</v>
      </c>
      <c r="B88">
        <v>50</v>
      </c>
      <c r="C88" t="s">
        <v>234</v>
      </c>
      <c r="D88" t="s">
        <v>271</v>
      </c>
      <c r="E88" t="s">
        <v>647</v>
      </c>
      <c r="F88">
        <v>1</v>
      </c>
      <c r="G88" s="331">
        <v>0</v>
      </c>
      <c r="H88" s="14">
        <v>0</v>
      </c>
      <c r="I88"/>
      <c r="J88">
        <v>2</v>
      </c>
      <c r="K88" s="275"/>
      <c r="L88"/>
      <c r="M88" s="14"/>
      <c r="N88" s="327"/>
      <c r="O88" s="309"/>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313</v>
      </c>
      <c r="B89">
        <v>53</v>
      </c>
      <c r="C89" t="s">
        <v>234</v>
      </c>
      <c r="D89" t="s">
        <v>275</v>
      </c>
      <c r="E89" t="s">
        <v>276</v>
      </c>
      <c r="F89">
        <v>1</v>
      </c>
      <c r="G89" s="331">
        <v>50</v>
      </c>
      <c r="H89" s="14">
        <v>50</v>
      </c>
      <c r="I89" t="s">
        <v>7</v>
      </c>
      <c r="J89">
        <v>2</v>
      </c>
      <c r="K89" s="275"/>
      <c r="L89"/>
      <c r="M89" s="14"/>
      <c r="N89" s="327">
        <v>50</v>
      </c>
      <c r="O89" s="309" t="s">
        <v>44</v>
      </c>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A90" t="s">
        <v>313</v>
      </c>
      <c r="B90">
        <v>60</v>
      </c>
      <c r="C90" t="s">
        <v>637</v>
      </c>
      <c r="D90" t="s">
        <v>290</v>
      </c>
      <c r="E90" t="s">
        <v>656</v>
      </c>
      <c r="F90">
        <v>1</v>
      </c>
      <c r="G90" s="331">
        <v>0</v>
      </c>
      <c r="H90" s="14">
        <v>0</v>
      </c>
      <c r="I90"/>
      <c r="J90">
        <v>2</v>
      </c>
      <c r="K90" s="275"/>
      <c r="L90"/>
      <c r="M90" s="14"/>
      <c r="N90" s="327"/>
      <c r="O90" s="309"/>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A91" t="s">
        <v>313</v>
      </c>
      <c r="B91">
        <v>66</v>
      </c>
      <c r="C91" t="s">
        <v>234</v>
      </c>
      <c r="D91" t="s">
        <v>636</v>
      </c>
      <c r="E91" t="s">
        <v>635</v>
      </c>
      <c r="F91">
        <v>1</v>
      </c>
      <c r="G91" s="331">
        <v>75</v>
      </c>
      <c r="H91" s="14">
        <v>75</v>
      </c>
      <c r="I91" t="s">
        <v>7</v>
      </c>
      <c r="J91">
        <v>2</v>
      </c>
      <c r="K91" s="275"/>
      <c r="L91"/>
      <c r="M91" s="14"/>
      <c r="N91" s="327">
        <v>75</v>
      </c>
      <c r="O91" s="309" t="s">
        <v>44</v>
      </c>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A92" t="s">
        <v>313</v>
      </c>
      <c r="B92">
        <v>67</v>
      </c>
      <c r="C92" t="s">
        <v>234</v>
      </c>
      <c r="D92" t="s">
        <v>657</v>
      </c>
      <c r="E92" t="s">
        <v>658</v>
      </c>
      <c r="F92">
        <v>1</v>
      </c>
      <c r="G92" s="331">
        <v>797.37</v>
      </c>
      <c r="H92" s="14">
        <v>797.37</v>
      </c>
      <c r="I92" t="s">
        <v>7</v>
      </c>
      <c r="J92">
        <v>2</v>
      </c>
      <c r="K92" s="275"/>
      <c r="L92"/>
      <c r="M92" s="14"/>
      <c r="N92" s="327">
        <v>797.37</v>
      </c>
      <c r="O92" s="309"/>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A93" t="s">
        <v>313</v>
      </c>
      <c r="B93">
        <v>68</v>
      </c>
      <c r="C93" t="s">
        <v>234</v>
      </c>
      <c r="D93" t="s">
        <v>672</v>
      </c>
      <c r="E93" t="s">
        <v>673</v>
      </c>
      <c r="F93">
        <v>1</v>
      </c>
      <c r="G93" s="331">
        <v>50</v>
      </c>
      <c r="H93" s="14">
        <v>50</v>
      </c>
      <c r="I93" t="s">
        <v>7</v>
      </c>
      <c r="J93">
        <v>2</v>
      </c>
      <c r="K93" s="275"/>
      <c r="L93"/>
      <c r="M93" s="14"/>
      <c r="N93" s="327">
        <v>50</v>
      </c>
      <c r="O93" s="309" t="s">
        <v>44</v>
      </c>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A94" t="s">
        <v>313</v>
      </c>
      <c r="B94">
        <v>70</v>
      </c>
      <c r="C94" t="s">
        <v>234</v>
      </c>
      <c r="D94" t="s">
        <v>690</v>
      </c>
      <c r="E94" t="s">
        <v>693</v>
      </c>
      <c r="F94">
        <v>1</v>
      </c>
      <c r="G94" s="331">
        <v>50</v>
      </c>
      <c r="H94" s="14">
        <v>50</v>
      </c>
      <c r="I94" t="s">
        <v>7</v>
      </c>
      <c r="J94">
        <v>2</v>
      </c>
      <c r="K94" s="275"/>
      <c r="L94"/>
      <c r="M94" s="14"/>
      <c r="N94" s="327">
        <v>50</v>
      </c>
      <c r="O94" s="309" t="s">
        <v>44</v>
      </c>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A95" t="s">
        <v>313</v>
      </c>
      <c r="B95">
        <v>71</v>
      </c>
      <c r="C95" t="s">
        <v>234</v>
      </c>
      <c r="D95" t="s">
        <v>691</v>
      </c>
      <c r="E95" t="s">
        <v>694</v>
      </c>
      <c r="F95">
        <v>1</v>
      </c>
      <c r="G95" s="331">
        <v>375</v>
      </c>
      <c r="H95" s="14">
        <v>375</v>
      </c>
      <c r="I95" t="s">
        <v>7</v>
      </c>
      <c r="J95">
        <v>2</v>
      </c>
      <c r="K95" s="275"/>
      <c r="L95"/>
      <c r="M95" s="14"/>
      <c r="N95" s="327">
        <v>375</v>
      </c>
      <c r="O95" s="309" t="s">
        <v>44</v>
      </c>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A96" t="s">
        <v>313</v>
      </c>
      <c r="B96">
        <v>72</v>
      </c>
      <c r="C96" t="s">
        <v>234</v>
      </c>
      <c r="D96" t="s">
        <v>692</v>
      </c>
      <c r="E96" t="s">
        <v>695</v>
      </c>
      <c r="F96">
        <v>1</v>
      </c>
      <c r="G96" s="331">
        <v>50</v>
      </c>
      <c r="H96" s="14">
        <v>50</v>
      </c>
      <c r="I96" t="s">
        <v>7</v>
      </c>
      <c r="J96">
        <v>2</v>
      </c>
      <c r="K96" s="275"/>
      <c r="L96"/>
      <c r="M96" s="14"/>
      <c r="N96" s="327">
        <v>50</v>
      </c>
      <c r="O96" s="309" t="s">
        <v>44</v>
      </c>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row r="97" spans="1:15" ht="18" customHeight="1" x14ac:dyDescent="0.25">
      <c r="A97" t="s">
        <v>313</v>
      </c>
      <c r="B97">
        <v>1</v>
      </c>
      <c r="C97" t="s">
        <v>196</v>
      </c>
      <c r="D97" t="s">
        <v>196</v>
      </c>
      <c r="E97" t="s">
        <v>197</v>
      </c>
      <c r="F97">
        <v>0</v>
      </c>
      <c r="G97" s="14">
        <v>7016</v>
      </c>
      <c r="H97" s="14">
        <v>0</v>
      </c>
      <c r="I97" t="s">
        <v>7</v>
      </c>
      <c r="J97">
        <v>4</v>
      </c>
      <c r="K97" s="275">
        <v>45212</v>
      </c>
      <c r="L97"/>
      <c r="M97" s="14">
        <v>7016</v>
      </c>
      <c r="N97" s="327">
        <v>0</v>
      </c>
      <c r="O97" s="309"/>
    </row>
    <row r="98" spans="1:15" ht="18" customHeight="1" x14ac:dyDescent="0.25">
      <c r="A98" t="s">
        <v>313</v>
      </c>
      <c r="B98">
        <v>2</v>
      </c>
      <c r="C98" t="s">
        <v>198</v>
      </c>
      <c r="D98" t="s">
        <v>199</v>
      </c>
      <c r="E98" t="s">
        <v>200</v>
      </c>
      <c r="F98">
        <v>0</v>
      </c>
      <c r="G98" s="14">
        <v>10505.74</v>
      </c>
      <c r="H98" s="14">
        <v>0</v>
      </c>
      <c r="I98" t="s">
        <v>44</v>
      </c>
      <c r="J98">
        <v>4</v>
      </c>
      <c r="K98" s="275">
        <v>45218</v>
      </c>
      <c r="L98"/>
      <c r="M98" s="14">
        <v>10505.74</v>
      </c>
      <c r="N98" s="327">
        <v>0</v>
      </c>
      <c r="O98" s="309"/>
    </row>
    <row r="99" spans="1:15" ht="18" customHeight="1" x14ac:dyDescent="0.25">
      <c r="A99" t="s">
        <v>313</v>
      </c>
      <c r="B99">
        <v>3</v>
      </c>
      <c r="C99" t="s">
        <v>198</v>
      </c>
      <c r="D99" t="s">
        <v>201</v>
      </c>
      <c r="E99" t="s">
        <v>201</v>
      </c>
      <c r="F99">
        <v>0</v>
      </c>
      <c r="G99" s="14">
        <v>9940</v>
      </c>
      <c r="H99" s="14">
        <v>0</v>
      </c>
      <c r="I99" t="s">
        <v>7</v>
      </c>
      <c r="J99">
        <v>4</v>
      </c>
      <c r="K99" s="275">
        <v>45226</v>
      </c>
      <c r="L99"/>
      <c r="M99" s="14">
        <v>9940</v>
      </c>
      <c r="N99" s="327">
        <v>0</v>
      </c>
      <c r="O99" s="309"/>
    </row>
    <row r="100" spans="1:15" ht="18" customHeight="1" x14ac:dyDescent="0.25">
      <c r="A100" t="s">
        <v>313</v>
      </c>
      <c r="B100">
        <v>69</v>
      </c>
      <c r="C100" t="s">
        <v>198</v>
      </c>
      <c r="D100" t="s">
        <v>689</v>
      </c>
      <c r="E100" t="s">
        <v>689</v>
      </c>
      <c r="F100">
        <v>0</v>
      </c>
      <c r="G100" s="14">
        <v>2990</v>
      </c>
      <c r="H100" s="14">
        <v>0</v>
      </c>
      <c r="I100" t="s">
        <v>7</v>
      </c>
      <c r="J100">
        <v>4</v>
      </c>
      <c r="K100" s="275">
        <v>45237</v>
      </c>
      <c r="L100"/>
      <c r="M100" s="14">
        <v>2900</v>
      </c>
      <c r="N100" s="327">
        <v>0</v>
      </c>
      <c r="O100" s="309" t="s">
        <v>44</v>
      </c>
    </row>
    <row r="101" spans="1:15" ht="18" customHeight="1" x14ac:dyDescent="0.25">
      <c r="A101" t="s">
        <v>313</v>
      </c>
      <c r="B101">
        <v>73</v>
      </c>
      <c r="C101" t="s">
        <v>198</v>
      </c>
      <c r="D101" t="s">
        <v>696</v>
      </c>
      <c r="E101" t="s">
        <v>696</v>
      </c>
      <c r="F101">
        <v>0</v>
      </c>
      <c r="G101" s="14">
        <v>1322.37</v>
      </c>
      <c r="H101" s="14">
        <v>0</v>
      </c>
      <c r="I101" t="s">
        <v>7</v>
      </c>
      <c r="J101">
        <v>4</v>
      </c>
      <c r="K101" s="275">
        <v>47445</v>
      </c>
      <c r="L101"/>
      <c r="M101" s="14">
        <v>1322.37</v>
      </c>
      <c r="N101" s="327">
        <v>0</v>
      </c>
      <c r="O101" s="309" t="s">
        <v>44</v>
      </c>
    </row>
    <row r="102" spans="1:15" ht="18" customHeight="1" x14ac:dyDescent="0.25">
      <c r="A102" t="s">
        <v>344</v>
      </c>
      <c r="B102">
        <v>4</v>
      </c>
      <c r="C102"/>
      <c r="D102" t="s">
        <v>202</v>
      </c>
      <c r="E102" t="s">
        <v>203</v>
      </c>
      <c r="F102">
        <v>6</v>
      </c>
      <c r="G102" s="14"/>
      <c r="H102" s="14"/>
      <c r="I102"/>
      <c r="J102">
        <v>5</v>
      </c>
      <c r="K102" s="275"/>
      <c r="L102"/>
      <c r="M102" s="14"/>
      <c r="N102" s="327"/>
      <c r="O102" s="309"/>
    </row>
  </sheetData>
  <mergeCells count="22">
    <mergeCell ref="A3:D3"/>
    <mergeCell ref="A4:D4"/>
    <mergeCell ref="H5:I5"/>
    <mergeCell ref="J2:K2"/>
    <mergeCell ref="E5:F5"/>
    <mergeCell ref="J3:K3"/>
    <mergeCell ref="J4:K4"/>
    <mergeCell ref="J5:K5"/>
    <mergeCell ref="F2:G2"/>
    <mergeCell ref="C2:D2"/>
    <mergeCell ref="A2:B2"/>
    <mergeCell ref="M1:N1"/>
    <mergeCell ref="AA24:AH25"/>
    <mergeCell ref="J1:K1"/>
    <mergeCell ref="E4:F4"/>
    <mergeCell ref="H2:I2"/>
    <mergeCell ref="H3:I3"/>
    <mergeCell ref="H4:I4"/>
    <mergeCell ref="M4:N4"/>
    <mergeCell ref="M5:N5"/>
    <mergeCell ref="M3:N3"/>
    <mergeCell ref="M2:N2"/>
  </mergeCells>
  <phoneticPr fontId="26" type="noConversion"/>
  <conditionalFormatting sqref="P28:CU84 P30:DU36 AA37:DU37 P38:DU78 AP75:DU83 R75:CW84 P75:CT96">
    <cfRule type="expression" dxfId="5" priority="3">
      <formula>#REF!&lt;=Today</formula>
    </cfRule>
  </conditionalFormatting>
  <conditionalFormatting sqref="P29:CU29">
    <cfRule type="expression" dxfId="4" priority="26">
      <formula>P$29&lt;=TODAY()</formula>
    </cfRule>
  </conditionalFormatting>
  <conditionalFormatting sqref="AO7:DT7">
    <cfRule type="expression" dxfId="3" priority="5">
      <formula>#REF!&lt;=Today</formula>
    </cfRule>
  </conditionalFormatting>
  <conditionalFormatting sqref="AP79:DR83">
    <cfRule type="expression" dxfId="2" priority="1">
      <formula>#REF!&lt;=Today</formula>
    </cfRule>
  </conditionalFormatting>
  <conditionalFormatting sqref="AQ8:DU10 AQ11:AQ25 AP15:AP23">
    <cfRule type="expression" dxfId="1" priority="11">
      <formula>#REF!&lt;=Today</formula>
    </cfRule>
  </conditionalFormatting>
  <conditionalFormatting sqref="AR11:DU12 AR14:DU25">
    <cfRule type="expression" dxfId="0"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32"/>
  <sheetViews>
    <sheetView topLeftCell="D1" workbookViewId="0">
      <pane ySplit="4" topLeftCell="A8" activePane="bottomLeft" state="frozen"/>
      <selection pane="bottomLeft" activeCell="U33" sqref="U33"/>
    </sheetView>
  </sheetViews>
  <sheetFormatPr defaultRowHeight="15" x14ac:dyDescent="0.25"/>
  <cols>
    <col min="1" max="1" width="9.7109375" bestFit="1" customWidth="1"/>
    <col min="2" max="2" width="16.28515625" bestFit="1" customWidth="1"/>
    <col min="3" max="3" width="50.7109375" bestFit="1" customWidth="1"/>
    <col min="4" max="4" width="10.7109375" bestFit="1" customWidth="1"/>
    <col min="5" max="5" width="14.28515625" style="282" bestFit="1" customWidth="1"/>
    <col min="6" max="6" width="10" style="282" bestFit="1" customWidth="1"/>
    <col min="7" max="8" width="10.28515625" style="282" bestFit="1" customWidth="1"/>
    <col min="9" max="9" width="5.42578125" style="11" customWidth="1"/>
    <col min="10" max="10" width="50.7109375" bestFit="1" customWidth="1"/>
    <col min="11" max="12" width="9.7109375" bestFit="1" customWidth="1"/>
    <col min="13" max="13" width="8.7109375" style="275" customWidth="1"/>
    <col min="14" max="14" width="9.7109375" bestFit="1" customWidth="1"/>
    <col min="15" max="15" width="16.28515625" bestFit="1" customWidth="1"/>
    <col min="16" max="16" width="50.7109375" bestFit="1" customWidth="1"/>
    <col min="17" max="17" width="53.42578125" bestFit="1" customWidth="1"/>
    <col min="18" max="18" width="9.7109375" bestFit="1" customWidth="1"/>
    <col min="19" max="20" width="10.28515625" bestFit="1" customWidth="1"/>
    <col min="21" max="21" width="8" bestFit="1" customWidth="1"/>
    <col min="22" max="22" width="12" bestFit="1" customWidth="1"/>
    <col min="23" max="23" width="12" style="275" bestFit="1" customWidth="1"/>
    <col min="24" max="25" width="14.28515625" bestFit="1" customWidth="1"/>
  </cols>
  <sheetData>
    <row r="1" spans="1:23" x14ac:dyDescent="0.25">
      <c r="A1" s="579" t="s">
        <v>345</v>
      </c>
      <c r="B1" s="580"/>
      <c r="C1" s="553"/>
      <c r="D1" s="553"/>
      <c r="E1" s="553"/>
      <c r="F1" s="553"/>
      <c r="G1" s="488"/>
      <c r="I1" s="575" t="s">
        <v>346</v>
      </c>
      <c r="J1" s="576"/>
      <c r="K1" s="577"/>
      <c r="L1" s="578"/>
      <c r="M1"/>
      <c r="N1" s="565" t="s">
        <v>347</v>
      </c>
      <c r="O1" s="566"/>
      <c r="P1" s="566"/>
      <c r="Q1" s="566"/>
      <c r="R1" s="566"/>
      <c r="S1" s="567"/>
      <c r="W1"/>
    </row>
    <row r="2" spans="1:23" ht="15.75" thickBot="1" x14ac:dyDescent="0.3">
      <c r="A2" s="579" t="s">
        <v>348</v>
      </c>
      <c r="B2" s="580"/>
      <c r="C2" s="553"/>
      <c r="D2" s="553"/>
      <c r="E2" s="553"/>
      <c r="F2" s="553"/>
      <c r="G2" s="488"/>
      <c r="I2" s="571" t="s">
        <v>349</v>
      </c>
      <c r="J2" s="572"/>
      <c r="K2" s="573"/>
      <c r="L2" s="574"/>
      <c r="M2"/>
      <c r="N2" s="568" t="str">
        <f>"Recap Summary Table - " &amp; +Profit!B2</f>
        <v>Recap Summary Table - 1426 Pleasant Garden Ln, Raleigh, NC 27604</v>
      </c>
      <c r="O2" s="569"/>
      <c r="P2" s="569"/>
      <c r="Q2" s="569"/>
      <c r="R2" s="569"/>
      <c r="S2" s="570"/>
      <c r="W2"/>
    </row>
    <row r="4" spans="1:23" s="63" customFormat="1" x14ac:dyDescent="0.25">
      <c r="A4" s="63" t="s">
        <v>300</v>
      </c>
      <c r="B4" s="22" t="s">
        <v>302</v>
      </c>
      <c r="C4" s="63" t="s">
        <v>303</v>
      </c>
      <c r="D4" s="3" t="s">
        <v>350</v>
      </c>
      <c r="E4" s="313" t="s">
        <v>307</v>
      </c>
      <c r="F4" s="3" t="s">
        <v>304</v>
      </c>
      <c r="G4" s="63" t="s">
        <v>305</v>
      </c>
      <c r="I4" s="329" t="s">
        <v>300</v>
      </c>
      <c r="J4" s="63" t="s">
        <v>351</v>
      </c>
      <c r="K4" s="314" t="s">
        <v>352</v>
      </c>
      <c r="L4" s="63" t="s">
        <v>305</v>
      </c>
      <c r="N4" s="3" t="s">
        <v>300</v>
      </c>
      <c r="O4" s="22" t="s">
        <v>302</v>
      </c>
      <c r="P4" s="3" t="s">
        <v>303</v>
      </c>
      <c r="Q4" s="3" t="s">
        <v>351</v>
      </c>
      <c r="R4" s="3" t="s">
        <v>352</v>
      </c>
      <c r="S4" s="3" t="s">
        <v>305</v>
      </c>
    </row>
    <row r="5" spans="1:23" x14ac:dyDescent="0.25">
      <c r="A5">
        <v>45</v>
      </c>
      <c r="B5" t="s">
        <v>264</v>
      </c>
      <c r="C5" t="s">
        <v>655</v>
      </c>
      <c r="D5">
        <v>2</v>
      </c>
      <c r="F5" s="315">
        <v>0</v>
      </c>
      <c r="G5"/>
      <c r="H5"/>
      <c r="I5" s="11">
        <v>15</v>
      </c>
      <c r="J5" t="s">
        <v>353</v>
      </c>
      <c r="K5" s="275">
        <v>45217</v>
      </c>
      <c r="L5" t="s">
        <v>44</v>
      </c>
      <c r="M5"/>
      <c r="N5">
        <v>51</v>
      </c>
      <c r="O5" t="s">
        <v>272</v>
      </c>
      <c r="P5" t="s">
        <v>648</v>
      </c>
      <c r="Q5" t="s">
        <v>663</v>
      </c>
      <c r="R5" s="275">
        <v>45237</v>
      </c>
      <c r="W5"/>
    </row>
    <row r="6" spans="1:23" x14ac:dyDescent="0.25">
      <c r="A6">
        <v>50</v>
      </c>
      <c r="B6" t="s">
        <v>271</v>
      </c>
      <c r="C6" t="s">
        <v>647</v>
      </c>
      <c r="D6">
        <v>2</v>
      </c>
      <c r="F6" s="315">
        <v>0</v>
      </c>
      <c r="G6"/>
      <c r="H6"/>
      <c r="I6" s="11">
        <v>31</v>
      </c>
      <c r="J6" t="s">
        <v>354</v>
      </c>
      <c r="K6" s="275">
        <v>45217</v>
      </c>
      <c r="L6" t="s">
        <v>44</v>
      </c>
      <c r="M6"/>
      <c r="W6"/>
    </row>
    <row r="7" spans="1:23" x14ac:dyDescent="0.25">
      <c r="A7">
        <v>60</v>
      </c>
      <c r="B7" t="s">
        <v>290</v>
      </c>
      <c r="C7" t="s">
        <v>656</v>
      </c>
      <c r="D7">
        <v>2</v>
      </c>
      <c r="F7" s="315">
        <v>0</v>
      </c>
      <c r="G7"/>
      <c r="H7"/>
      <c r="I7" s="11">
        <v>23</v>
      </c>
      <c r="J7" t="s">
        <v>355</v>
      </c>
      <c r="K7" s="275">
        <v>45217</v>
      </c>
      <c r="L7" t="s">
        <v>44</v>
      </c>
      <c r="M7"/>
      <c r="W7"/>
    </row>
    <row r="8" spans="1:23" x14ac:dyDescent="0.25">
      <c r="A8">
        <v>51</v>
      </c>
      <c r="B8" t="s">
        <v>272</v>
      </c>
      <c r="C8" t="s">
        <v>648</v>
      </c>
      <c r="D8">
        <v>2</v>
      </c>
      <c r="E8" s="282">
        <v>45233</v>
      </c>
      <c r="F8" s="315">
        <v>0</v>
      </c>
      <c r="G8"/>
      <c r="H8"/>
      <c r="I8" s="11">
        <v>50</v>
      </c>
      <c r="J8" t="s">
        <v>638</v>
      </c>
      <c r="K8" s="275">
        <v>45223</v>
      </c>
      <c r="L8" t="s">
        <v>44</v>
      </c>
      <c r="M8"/>
      <c r="U8" s="275"/>
      <c r="W8"/>
    </row>
    <row r="9" spans="1:23" x14ac:dyDescent="0.25">
      <c r="A9">
        <v>4</v>
      </c>
      <c r="B9" t="s">
        <v>202</v>
      </c>
      <c r="C9" t="s">
        <v>203</v>
      </c>
      <c r="D9">
        <v>5</v>
      </c>
      <c r="F9" s="315"/>
      <c r="G9"/>
      <c r="H9"/>
      <c r="I9" s="11">
        <v>53</v>
      </c>
      <c r="J9" t="s">
        <v>639</v>
      </c>
      <c r="K9" s="275">
        <v>45223</v>
      </c>
      <c r="L9" t="s">
        <v>44</v>
      </c>
      <c r="M9"/>
      <c r="U9" s="275"/>
      <c r="W9"/>
    </row>
    <row r="10" spans="1:23" x14ac:dyDescent="0.25">
      <c r="H10"/>
      <c r="I10" s="11">
        <v>54</v>
      </c>
      <c r="J10" t="s">
        <v>640</v>
      </c>
      <c r="K10" s="275">
        <v>45223</v>
      </c>
      <c r="L10" t="s">
        <v>44</v>
      </c>
      <c r="M10"/>
      <c r="U10" s="275"/>
      <c r="W10"/>
    </row>
    <row r="11" spans="1:23" x14ac:dyDescent="0.25">
      <c r="H11"/>
      <c r="I11" s="11">
        <v>55</v>
      </c>
      <c r="J11" t="s">
        <v>641</v>
      </c>
      <c r="K11" s="275">
        <v>45223</v>
      </c>
      <c r="L11" t="s">
        <v>44</v>
      </c>
      <c r="M11"/>
      <c r="U11" s="275"/>
      <c r="W11"/>
    </row>
    <row r="12" spans="1:23" x14ac:dyDescent="0.25">
      <c r="H12"/>
      <c r="I12" s="11">
        <v>56</v>
      </c>
      <c r="J12" t="s">
        <v>642</v>
      </c>
      <c r="K12" s="275">
        <v>45223</v>
      </c>
      <c r="L12" t="s">
        <v>44</v>
      </c>
      <c r="M12"/>
      <c r="U12" s="275"/>
      <c r="W12"/>
    </row>
    <row r="13" spans="1:23" x14ac:dyDescent="0.25">
      <c r="I13" s="11">
        <v>57</v>
      </c>
      <c r="J13" t="s">
        <v>643</v>
      </c>
      <c r="K13" s="275">
        <v>45223</v>
      </c>
      <c r="L13" s="275" t="s">
        <v>44</v>
      </c>
      <c r="M13"/>
      <c r="V13" s="275"/>
      <c r="W13"/>
    </row>
    <row r="14" spans="1:23" x14ac:dyDescent="0.25">
      <c r="I14" s="11">
        <v>58</v>
      </c>
      <c r="J14" t="s">
        <v>644</v>
      </c>
      <c r="K14" s="275">
        <v>45223</v>
      </c>
      <c r="L14" s="275" t="s">
        <v>44</v>
      </c>
      <c r="M14"/>
      <c r="V14" s="275"/>
      <c r="W14"/>
    </row>
    <row r="15" spans="1:23" x14ac:dyDescent="0.25">
      <c r="I15" s="11">
        <v>59</v>
      </c>
      <c r="J15" t="s">
        <v>645</v>
      </c>
      <c r="K15" s="275">
        <v>45223</v>
      </c>
      <c r="L15" s="275" t="s">
        <v>44</v>
      </c>
      <c r="M15"/>
      <c r="V15" s="275"/>
      <c r="W15"/>
    </row>
    <row r="16" spans="1:23" x14ac:dyDescent="0.25">
      <c r="I16" s="11">
        <v>60</v>
      </c>
      <c r="J16" t="s">
        <v>646</v>
      </c>
      <c r="K16" s="275">
        <v>45223</v>
      </c>
      <c r="L16" s="275" t="s">
        <v>44</v>
      </c>
      <c r="M16"/>
      <c r="V16" s="275"/>
      <c r="W16"/>
    </row>
    <row r="17" spans="9:12" x14ac:dyDescent="0.25">
      <c r="I17" s="11">
        <v>67</v>
      </c>
      <c r="J17" t="s">
        <v>659</v>
      </c>
      <c r="K17" s="275">
        <v>45237</v>
      </c>
    </row>
    <row r="18" spans="9:12" x14ac:dyDescent="0.25">
      <c r="I18" s="11">
        <v>59</v>
      </c>
      <c r="J18" t="s">
        <v>660</v>
      </c>
      <c r="K18" s="275">
        <v>45237</v>
      </c>
    </row>
    <row r="19" spans="9:12" x14ac:dyDescent="0.25">
      <c r="J19" t="s">
        <v>661</v>
      </c>
      <c r="K19" s="275">
        <v>45237</v>
      </c>
    </row>
    <row r="20" spans="9:12" x14ac:dyDescent="0.25">
      <c r="I20" s="11">
        <v>48</v>
      </c>
      <c r="J20" t="s">
        <v>662</v>
      </c>
      <c r="K20" s="275">
        <v>45237</v>
      </c>
    </row>
    <row r="21" spans="9:12" x14ac:dyDescent="0.25">
      <c r="I21" s="11">
        <v>51</v>
      </c>
      <c r="J21" t="s">
        <v>663</v>
      </c>
      <c r="K21" s="275">
        <v>45237</v>
      </c>
    </row>
    <row r="22" spans="9:12" x14ac:dyDescent="0.25">
      <c r="I22" s="11">
        <v>63</v>
      </c>
      <c r="J22" t="s">
        <v>664</v>
      </c>
      <c r="K22" s="275">
        <v>45237</v>
      </c>
    </row>
    <row r="23" spans="9:12" x14ac:dyDescent="0.25">
      <c r="I23" s="11">
        <v>65</v>
      </c>
      <c r="J23" t="s">
        <v>665</v>
      </c>
      <c r="K23" s="275">
        <v>45237</v>
      </c>
    </row>
    <row r="24" spans="9:12" x14ac:dyDescent="0.25">
      <c r="I24" s="11">
        <v>66</v>
      </c>
      <c r="J24" t="s">
        <v>666</v>
      </c>
      <c r="K24" s="275">
        <v>45237</v>
      </c>
    </row>
    <row r="25" spans="9:12" x14ac:dyDescent="0.25">
      <c r="I25" s="11">
        <v>53</v>
      </c>
      <c r="J25" t="s">
        <v>667</v>
      </c>
      <c r="K25" s="275">
        <v>45237</v>
      </c>
    </row>
    <row r="26" spans="9:12" x14ac:dyDescent="0.25">
      <c r="I26" s="11">
        <v>25</v>
      </c>
      <c r="J26" t="s">
        <v>668</v>
      </c>
      <c r="K26" s="275">
        <v>45237</v>
      </c>
      <c r="L26" t="s">
        <v>44</v>
      </c>
    </row>
    <row r="27" spans="9:12" x14ac:dyDescent="0.25">
      <c r="I27" s="11">
        <v>36</v>
      </c>
      <c r="J27" t="s">
        <v>669</v>
      </c>
      <c r="K27" s="275">
        <v>45237</v>
      </c>
    </row>
    <row r="28" spans="9:12" x14ac:dyDescent="0.25">
      <c r="I28" s="11">
        <v>38</v>
      </c>
      <c r="J28" t="s">
        <v>670</v>
      </c>
      <c r="K28" s="275">
        <v>45237</v>
      </c>
    </row>
    <row r="29" spans="9:12" x14ac:dyDescent="0.25">
      <c r="I29" s="11">
        <v>25</v>
      </c>
      <c r="J29" t="s">
        <v>671</v>
      </c>
      <c r="K29" s="275">
        <v>45237</v>
      </c>
    </row>
    <row r="30" spans="9:12" x14ac:dyDescent="0.25">
      <c r="I30" s="11">
        <v>14</v>
      </c>
      <c r="J30" t="s">
        <v>669</v>
      </c>
      <c r="K30" s="275">
        <v>45237</v>
      </c>
    </row>
    <row r="31" spans="9:12" x14ac:dyDescent="0.25">
      <c r="I31" s="11">
        <v>68</v>
      </c>
      <c r="J31" t="s">
        <v>674</v>
      </c>
      <c r="K31" s="275">
        <v>45237</v>
      </c>
    </row>
    <row r="32" spans="9:12" x14ac:dyDescent="0.25">
      <c r="I32" s="11">
        <v>62</v>
      </c>
      <c r="J32" t="s">
        <v>676</v>
      </c>
      <c r="K32" s="275"/>
    </row>
  </sheetData>
  <mergeCells count="6">
    <mergeCell ref="N1:S1"/>
    <mergeCell ref="N2:S2"/>
    <mergeCell ref="I2:L2"/>
    <mergeCell ref="I1:L1"/>
    <mergeCell ref="A1:G1"/>
    <mergeCell ref="A2:G2"/>
  </mergeCells>
  <pageMargins left="0.7" right="0.7" top="0.75" bottom="0.75" header="0.3" footer="0.3"/>
  <pageSetup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N33" sqref="N33"/>
    </sheetView>
  </sheetViews>
  <sheetFormatPr defaultRowHeight="15" x14ac:dyDescent="0.25"/>
  <cols>
    <col min="1" max="1" width="12.7109375" bestFit="1" customWidth="1"/>
    <col min="2" max="2" width="10.7109375" bestFit="1" customWidth="1"/>
  </cols>
  <sheetData>
    <row r="1" spans="1:5" x14ac:dyDescent="0.25">
      <c r="A1" s="488" t="s">
        <v>356</v>
      </c>
      <c r="B1" s="488"/>
      <c r="C1" s="488"/>
      <c r="D1" s="488"/>
      <c r="E1" s="488"/>
    </row>
    <row r="3" spans="1:5" x14ac:dyDescent="0.25">
      <c r="A3" s="3" t="s">
        <v>357</v>
      </c>
      <c r="B3" s="3" t="s">
        <v>352</v>
      </c>
      <c r="C3" s="13" t="s">
        <v>358</v>
      </c>
      <c r="D3" s="13" t="s">
        <v>359</v>
      </c>
      <c r="E3" s="3"/>
    </row>
    <row r="4" spans="1:5" x14ac:dyDescent="0.25">
      <c r="A4" s="2"/>
      <c r="C4" s="14"/>
      <c r="D4" s="14"/>
      <c r="E4" s="14"/>
    </row>
    <row r="5" spans="1:5" x14ac:dyDescent="0.25">
      <c r="A5" s="2" t="s">
        <v>360</v>
      </c>
      <c r="B5" s="12" t="s">
        <v>361</v>
      </c>
      <c r="C5" s="14" t="s">
        <v>362</v>
      </c>
      <c r="D5" s="14">
        <v>0</v>
      </c>
      <c r="E5" s="14"/>
    </row>
    <row r="6" spans="1:5" x14ac:dyDescent="0.25">
      <c r="A6" s="2"/>
      <c r="C6" s="14"/>
      <c r="D6" s="14"/>
      <c r="E6" s="14"/>
    </row>
    <row r="7" spans="1:5" x14ac:dyDescent="0.25">
      <c r="A7" s="2"/>
      <c r="C7" s="14"/>
      <c r="D7" s="14"/>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0</v>
      </c>
    </row>
  </sheetData>
  <mergeCells count="1">
    <mergeCell ref="A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363</v>
      </c>
      <c r="B1" s="7" t="s">
        <v>364</v>
      </c>
    </row>
    <row r="2" spans="1:5" x14ac:dyDescent="0.25">
      <c r="A2" s="3" t="s">
        <v>365</v>
      </c>
      <c r="B2" s="6"/>
      <c r="C2" s="4"/>
    </row>
    <row r="4" spans="1:5" x14ac:dyDescent="0.25">
      <c r="A4" s="2" t="s">
        <v>366</v>
      </c>
      <c r="B4" s="1">
        <v>0</v>
      </c>
      <c r="C4" s="1">
        <v>0</v>
      </c>
    </row>
    <row r="5" spans="1:5" x14ac:dyDescent="0.25">
      <c r="A5" s="2" t="s">
        <v>367</v>
      </c>
      <c r="B5" s="1">
        <v>33</v>
      </c>
      <c r="C5"/>
      <c r="D5" s="1"/>
    </row>
    <row r="6" spans="1:5" ht="15.75" thickBot="1" x14ac:dyDescent="0.3">
      <c r="A6" s="2" t="s">
        <v>368</v>
      </c>
      <c r="B6" s="20">
        <v>0</v>
      </c>
      <c r="C6" s="20">
        <f>B5*B6</f>
        <v>0</v>
      </c>
      <c r="D6" s="30"/>
    </row>
    <row r="7" spans="1:5" x14ac:dyDescent="0.25">
      <c r="C7" s="9" t="s">
        <v>369</v>
      </c>
      <c r="D7" s="1">
        <f>SUM(C4:C6)</f>
        <v>0</v>
      </c>
    </row>
    <row r="8" spans="1:5" x14ac:dyDescent="0.25">
      <c r="D8" s="1"/>
    </row>
    <row r="10" spans="1:5" ht="15.75" thickBot="1" x14ac:dyDescent="0.3">
      <c r="D10" s="30"/>
    </row>
    <row r="11" spans="1:5" x14ac:dyDescent="0.25">
      <c r="D11" s="31" t="s">
        <v>370</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3" activePane="bottomLeft" state="frozen"/>
      <selection pane="bottomLeft" activeCell="C47" sqref="C47"/>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371</v>
      </c>
    </row>
    <row r="2" spans="1:7" s="3" customFormat="1" x14ac:dyDescent="0.25">
      <c r="B2" s="3" t="s">
        <v>372</v>
      </c>
      <c r="C2" s="3" t="s">
        <v>373</v>
      </c>
      <c r="D2" s="8" t="s">
        <v>374</v>
      </c>
      <c r="E2" s="3" t="s">
        <v>375</v>
      </c>
      <c r="F2" s="8" t="s">
        <v>359</v>
      </c>
      <c r="G2" s="3" t="s">
        <v>376</v>
      </c>
    </row>
    <row r="3" spans="1:7" x14ac:dyDescent="0.25">
      <c r="A3" s="210" t="s">
        <v>377</v>
      </c>
      <c r="B3" s="210"/>
      <c r="C3" s="211">
        <v>0</v>
      </c>
      <c r="D3" s="212">
        <v>0</v>
      </c>
      <c r="E3">
        <f>+C3*D3</f>
        <v>0</v>
      </c>
      <c r="F3" s="26">
        <f t="shared" ref="F3:F44" si="0">+E3*0.0725</f>
        <v>0</v>
      </c>
    </row>
    <row r="4" spans="1:7" x14ac:dyDescent="0.25">
      <c r="A4" s="210" t="s">
        <v>378</v>
      </c>
      <c r="B4" s="210"/>
      <c r="C4" s="211">
        <v>0</v>
      </c>
      <c r="D4" s="212">
        <v>0</v>
      </c>
      <c r="E4">
        <f t="shared" ref="E4:E61" si="1">+C4*D4</f>
        <v>0</v>
      </c>
      <c r="F4" s="26">
        <f t="shared" si="0"/>
        <v>0</v>
      </c>
    </row>
    <row r="5" spans="1:7" x14ac:dyDescent="0.25">
      <c r="A5" s="210" t="s">
        <v>379</v>
      </c>
      <c r="B5" s="210"/>
      <c r="C5" s="211">
        <v>0</v>
      </c>
      <c r="D5" s="212">
        <v>0</v>
      </c>
      <c r="E5">
        <f t="shared" si="1"/>
        <v>0</v>
      </c>
      <c r="F5" s="26">
        <f t="shared" si="0"/>
        <v>0</v>
      </c>
    </row>
    <row r="6" spans="1:7" x14ac:dyDescent="0.25">
      <c r="A6" s="210" t="s">
        <v>380</v>
      </c>
      <c r="B6" s="210"/>
      <c r="C6" s="211">
        <v>0</v>
      </c>
      <c r="D6" s="212">
        <v>0</v>
      </c>
      <c r="E6">
        <f t="shared" si="1"/>
        <v>0</v>
      </c>
      <c r="F6" s="26">
        <f t="shared" si="0"/>
        <v>0</v>
      </c>
    </row>
    <row r="7" spans="1:7" x14ac:dyDescent="0.25">
      <c r="A7" s="210" t="s">
        <v>381</v>
      </c>
      <c r="B7" s="210"/>
      <c r="C7" s="211">
        <v>0</v>
      </c>
      <c r="D7" s="212">
        <v>0</v>
      </c>
      <c r="E7">
        <f t="shared" si="1"/>
        <v>0</v>
      </c>
      <c r="F7" s="26">
        <f t="shared" si="0"/>
        <v>0</v>
      </c>
    </row>
    <row r="8" spans="1:7" x14ac:dyDescent="0.25">
      <c r="A8" s="210" t="s">
        <v>382</v>
      </c>
      <c r="B8" s="210"/>
      <c r="C8" s="211">
        <v>0</v>
      </c>
      <c r="D8" s="212">
        <v>0</v>
      </c>
      <c r="E8">
        <f t="shared" si="1"/>
        <v>0</v>
      </c>
      <c r="F8" s="26">
        <f t="shared" si="0"/>
        <v>0</v>
      </c>
    </row>
    <row r="9" spans="1:7" x14ac:dyDescent="0.25">
      <c r="A9" s="210" t="s">
        <v>383</v>
      </c>
      <c r="B9" s="210"/>
      <c r="C9" s="211">
        <v>0</v>
      </c>
      <c r="D9" s="212">
        <v>0</v>
      </c>
      <c r="E9">
        <f t="shared" si="1"/>
        <v>0</v>
      </c>
      <c r="F9" s="26">
        <f t="shared" si="0"/>
        <v>0</v>
      </c>
    </row>
    <row r="10" spans="1:7" x14ac:dyDescent="0.25">
      <c r="A10" s="210" t="s">
        <v>146</v>
      </c>
      <c r="B10" s="210"/>
      <c r="C10" s="211">
        <v>0</v>
      </c>
      <c r="D10" s="212">
        <v>0</v>
      </c>
      <c r="E10">
        <f t="shared" si="1"/>
        <v>0</v>
      </c>
      <c r="F10" s="26">
        <f t="shared" si="0"/>
        <v>0</v>
      </c>
    </row>
    <row r="11" spans="1:7" x14ac:dyDescent="0.25">
      <c r="A11" s="210"/>
      <c r="B11" s="210"/>
      <c r="C11" s="211">
        <v>0</v>
      </c>
      <c r="D11" s="212">
        <v>0</v>
      </c>
      <c r="E11">
        <f t="shared" si="1"/>
        <v>0</v>
      </c>
      <c r="F11" s="26">
        <f t="shared" si="0"/>
        <v>0</v>
      </c>
    </row>
    <row r="12" spans="1:7" x14ac:dyDescent="0.25">
      <c r="A12" s="210" t="s">
        <v>384</v>
      </c>
      <c r="B12" s="210"/>
      <c r="C12" s="211">
        <v>0</v>
      </c>
      <c r="D12" s="212">
        <v>0</v>
      </c>
      <c r="E12">
        <f t="shared" si="1"/>
        <v>0</v>
      </c>
      <c r="F12" s="26">
        <f t="shared" si="0"/>
        <v>0</v>
      </c>
    </row>
    <row r="13" spans="1:7" x14ac:dyDescent="0.25">
      <c r="A13" s="210" t="s">
        <v>385</v>
      </c>
      <c r="B13" s="210"/>
      <c r="C13" s="211">
        <v>0</v>
      </c>
      <c r="D13" s="212">
        <v>0</v>
      </c>
      <c r="E13">
        <f t="shared" si="1"/>
        <v>0</v>
      </c>
      <c r="F13" s="26">
        <f t="shared" si="0"/>
        <v>0</v>
      </c>
    </row>
    <row r="14" spans="1:7" x14ac:dyDescent="0.25">
      <c r="A14" s="210" t="s">
        <v>386</v>
      </c>
      <c r="B14" s="210"/>
      <c r="C14" s="211">
        <v>0</v>
      </c>
      <c r="D14" s="212">
        <v>0</v>
      </c>
      <c r="E14">
        <f t="shared" si="1"/>
        <v>0</v>
      </c>
      <c r="F14" s="26">
        <f t="shared" si="0"/>
        <v>0</v>
      </c>
    </row>
    <row r="15" spans="1:7" x14ac:dyDescent="0.25">
      <c r="A15" s="210" t="s">
        <v>387</v>
      </c>
      <c r="B15" s="210"/>
      <c r="C15" s="211">
        <v>0</v>
      </c>
      <c r="D15" s="212">
        <v>0</v>
      </c>
      <c r="E15">
        <f t="shared" si="1"/>
        <v>0</v>
      </c>
      <c r="F15" s="26">
        <f t="shared" si="0"/>
        <v>0</v>
      </c>
    </row>
    <row r="16" spans="1:7" x14ac:dyDescent="0.25">
      <c r="A16" s="210"/>
      <c r="B16" s="210"/>
      <c r="C16" s="211">
        <v>0</v>
      </c>
      <c r="D16" s="212">
        <v>0</v>
      </c>
      <c r="E16">
        <f t="shared" si="1"/>
        <v>0</v>
      </c>
      <c r="F16" s="26">
        <f t="shared" si="0"/>
        <v>0</v>
      </c>
    </row>
    <row r="17" spans="1:6" x14ac:dyDescent="0.25">
      <c r="A17" s="210" t="s">
        <v>388</v>
      </c>
      <c r="B17" s="210"/>
      <c r="C17" s="211">
        <v>0</v>
      </c>
      <c r="D17" s="212">
        <v>0</v>
      </c>
      <c r="E17">
        <f t="shared" si="1"/>
        <v>0</v>
      </c>
      <c r="F17" s="26">
        <f t="shared" si="0"/>
        <v>0</v>
      </c>
    </row>
    <row r="18" spans="1:6" x14ac:dyDescent="0.25">
      <c r="A18" s="210" t="s">
        <v>389</v>
      </c>
      <c r="B18" s="210"/>
      <c r="C18" s="211">
        <v>0</v>
      </c>
      <c r="D18" s="212">
        <v>0</v>
      </c>
      <c r="E18">
        <f t="shared" si="1"/>
        <v>0</v>
      </c>
      <c r="F18" s="26">
        <f t="shared" si="0"/>
        <v>0</v>
      </c>
    </row>
    <row r="19" spans="1:6" x14ac:dyDescent="0.25">
      <c r="A19" s="210"/>
      <c r="B19" s="210"/>
      <c r="C19" s="211">
        <v>0</v>
      </c>
      <c r="D19" s="212">
        <v>0</v>
      </c>
      <c r="E19">
        <f t="shared" si="1"/>
        <v>0</v>
      </c>
      <c r="F19" s="26">
        <f t="shared" si="0"/>
        <v>0</v>
      </c>
    </row>
    <row r="20" spans="1:6" x14ac:dyDescent="0.25">
      <c r="A20" s="210" t="s">
        <v>390</v>
      </c>
      <c r="B20" s="210"/>
      <c r="C20" s="211">
        <v>0</v>
      </c>
      <c r="D20" s="212">
        <v>0</v>
      </c>
      <c r="E20">
        <f t="shared" si="1"/>
        <v>0</v>
      </c>
      <c r="F20" s="26">
        <f t="shared" si="0"/>
        <v>0</v>
      </c>
    </row>
    <row r="21" spans="1:6" x14ac:dyDescent="0.25">
      <c r="A21" s="210" t="s">
        <v>391</v>
      </c>
      <c r="B21" s="210"/>
      <c r="C21" s="211">
        <v>0</v>
      </c>
      <c r="D21" s="212">
        <v>0</v>
      </c>
      <c r="E21">
        <f t="shared" si="1"/>
        <v>0</v>
      </c>
      <c r="F21" s="26">
        <f t="shared" si="0"/>
        <v>0</v>
      </c>
    </row>
    <row r="22" spans="1:6" x14ac:dyDescent="0.25">
      <c r="A22" s="210"/>
      <c r="B22" s="210"/>
      <c r="C22" s="211">
        <v>0</v>
      </c>
      <c r="D22" s="212">
        <v>0</v>
      </c>
      <c r="E22">
        <f t="shared" si="1"/>
        <v>0</v>
      </c>
      <c r="F22" s="26">
        <f t="shared" si="0"/>
        <v>0</v>
      </c>
    </row>
    <row r="23" spans="1:6" x14ac:dyDescent="0.25">
      <c r="A23" s="210" t="s">
        <v>392</v>
      </c>
      <c r="B23" s="210"/>
      <c r="C23" s="211">
        <v>0</v>
      </c>
      <c r="D23" s="212">
        <v>0</v>
      </c>
      <c r="E23">
        <f t="shared" si="1"/>
        <v>0</v>
      </c>
      <c r="F23" s="26">
        <f t="shared" si="0"/>
        <v>0</v>
      </c>
    </row>
    <row r="24" spans="1:6" x14ac:dyDescent="0.25">
      <c r="A24" s="210"/>
      <c r="B24" s="210"/>
      <c r="C24" s="211">
        <v>0</v>
      </c>
      <c r="D24" s="212">
        <v>0</v>
      </c>
      <c r="E24">
        <f t="shared" si="1"/>
        <v>0</v>
      </c>
      <c r="F24" s="26">
        <f t="shared" si="0"/>
        <v>0</v>
      </c>
    </row>
    <row r="25" spans="1:6" x14ac:dyDescent="0.25">
      <c r="A25" s="210"/>
      <c r="B25" s="210"/>
      <c r="C25" s="211">
        <v>0</v>
      </c>
      <c r="D25" s="212">
        <v>0</v>
      </c>
      <c r="E25">
        <f t="shared" si="1"/>
        <v>0</v>
      </c>
      <c r="F25" s="26">
        <f t="shared" si="0"/>
        <v>0</v>
      </c>
    </row>
    <row r="26" spans="1:6" x14ac:dyDescent="0.25">
      <c r="A26" s="210" t="s">
        <v>393</v>
      </c>
      <c r="B26" s="210"/>
      <c r="C26" s="211">
        <v>0</v>
      </c>
      <c r="D26" s="212">
        <v>0</v>
      </c>
      <c r="E26">
        <f t="shared" si="1"/>
        <v>0</v>
      </c>
      <c r="F26" s="26">
        <f t="shared" si="0"/>
        <v>0</v>
      </c>
    </row>
    <row r="27" spans="1:6" x14ac:dyDescent="0.25">
      <c r="A27" s="210" t="s">
        <v>394</v>
      </c>
      <c r="B27" s="210"/>
      <c r="C27" s="211">
        <v>0</v>
      </c>
      <c r="D27" s="212">
        <v>0</v>
      </c>
      <c r="E27">
        <f t="shared" si="1"/>
        <v>0</v>
      </c>
      <c r="F27" s="26">
        <f t="shared" si="0"/>
        <v>0</v>
      </c>
    </row>
    <row r="28" spans="1:6" x14ac:dyDescent="0.25">
      <c r="A28" s="210" t="s">
        <v>395</v>
      </c>
      <c r="B28" s="210"/>
      <c r="C28" s="211">
        <v>0</v>
      </c>
      <c r="D28" s="212">
        <v>0</v>
      </c>
      <c r="E28">
        <f t="shared" si="1"/>
        <v>0</v>
      </c>
      <c r="F28" s="26">
        <f t="shared" si="0"/>
        <v>0</v>
      </c>
    </row>
    <row r="29" spans="1:6" x14ac:dyDescent="0.25">
      <c r="A29" s="210" t="s">
        <v>396</v>
      </c>
      <c r="B29" s="210"/>
      <c r="C29" s="211">
        <v>0</v>
      </c>
      <c r="D29" s="212">
        <v>0</v>
      </c>
      <c r="E29">
        <f t="shared" si="1"/>
        <v>0</v>
      </c>
      <c r="F29" s="26">
        <f t="shared" si="0"/>
        <v>0</v>
      </c>
    </row>
    <row r="30" spans="1:6" x14ac:dyDescent="0.25">
      <c r="A30" s="210" t="s">
        <v>397</v>
      </c>
      <c r="B30" s="210"/>
      <c r="C30" s="211">
        <v>0</v>
      </c>
      <c r="D30" s="212">
        <v>0</v>
      </c>
      <c r="E30">
        <f t="shared" si="1"/>
        <v>0</v>
      </c>
      <c r="F30" s="26">
        <f t="shared" si="0"/>
        <v>0</v>
      </c>
    </row>
    <row r="31" spans="1:6" x14ac:dyDescent="0.25">
      <c r="A31" s="210" t="s">
        <v>398</v>
      </c>
      <c r="B31" s="210"/>
      <c r="C31" s="211">
        <v>0</v>
      </c>
      <c r="D31" s="212">
        <v>0</v>
      </c>
      <c r="E31">
        <f t="shared" si="1"/>
        <v>0</v>
      </c>
      <c r="F31" s="26">
        <f t="shared" si="0"/>
        <v>0</v>
      </c>
    </row>
    <row r="32" spans="1:6" x14ac:dyDescent="0.25">
      <c r="A32" s="210" t="s">
        <v>399</v>
      </c>
      <c r="B32" s="210"/>
      <c r="C32" s="211">
        <v>0</v>
      </c>
      <c r="D32" s="212">
        <v>0</v>
      </c>
      <c r="E32">
        <f t="shared" si="1"/>
        <v>0</v>
      </c>
      <c r="F32" s="26">
        <f t="shared" si="0"/>
        <v>0</v>
      </c>
    </row>
    <row r="33" spans="1:6" x14ac:dyDescent="0.25">
      <c r="A33" s="210" t="s">
        <v>400</v>
      </c>
      <c r="B33" s="210"/>
      <c r="C33" s="211">
        <v>0</v>
      </c>
      <c r="D33" s="212">
        <v>0</v>
      </c>
      <c r="E33">
        <f t="shared" si="1"/>
        <v>0</v>
      </c>
      <c r="F33" s="26">
        <f t="shared" si="0"/>
        <v>0</v>
      </c>
    </row>
    <row r="34" spans="1:6" x14ac:dyDescent="0.25">
      <c r="A34" s="210" t="s">
        <v>401</v>
      </c>
      <c r="B34" s="210"/>
      <c r="C34" s="211">
        <v>0</v>
      </c>
      <c r="D34" s="212">
        <v>0</v>
      </c>
      <c r="E34">
        <f t="shared" si="1"/>
        <v>0</v>
      </c>
      <c r="F34" s="26">
        <f t="shared" si="0"/>
        <v>0</v>
      </c>
    </row>
    <row r="35" spans="1:6" x14ac:dyDescent="0.25">
      <c r="A35" s="210" t="s">
        <v>402</v>
      </c>
      <c r="B35" s="210"/>
      <c r="C35" s="211">
        <v>0</v>
      </c>
      <c r="D35" s="212">
        <v>0</v>
      </c>
      <c r="E35">
        <f t="shared" si="1"/>
        <v>0</v>
      </c>
      <c r="F35" s="26">
        <f t="shared" si="0"/>
        <v>0</v>
      </c>
    </row>
    <row r="36" spans="1:6" x14ac:dyDescent="0.25">
      <c r="A36" s="210" t="s">
        <v>403</v>
      </c>
      <c r="B36" s="210"/>
      <c r="C36" s="211">
        <v>0</v>
      </c>
      <c r="D36" s="212">
        <v>0</v>
      </c>
      <c r="E36">
        <f t="shared" si="1"/>
        <v>0</v>
      </c>
      <c r="F36" s="26">
        <f t="shared" si="0"/>
        <v>0</v>
      </c>
    </row>
    <row r="37" spans="1:6" x14ac:dyDescent="0.25">
      <c r="A37" s="210"/>
      <c r="B37" s="210"/>
      <c r="C37" s="211">
        <v>0</v>
      </c>
      <c r="D37" s="212">
        <v>0</v>
      </c>
      <c r="E37">
        <f t="shared" si="1"/>
        <v>0</v>
      </c>
      <c r="F37" s="26">
        <f t="shared" si="0"/>
        <v>0</v>
      </c>
    </row>
    <row r="38" spans="1:6" x14ac:dyDescent="0.25">
      <c r="A38" s="210" t="s">
        <v>404</v>
      </c>
      <c r="B38" s="210"/>
      <c r="C38" s="211">
        <v>0</v>
      </c>
      <c r="D38" s="212">
        <v>0</v>
      </c>
      <c r="E38">
        <f t="shared" si="1"/>
        <v>0</v>
      </c>
      <c r="F38" s="26">
        <f t="shared" si="0"/>
        <v>0</v>
      </c>
    </row>
    <row r="39" spans="1:6" x14ac:dyDescent="0.25">
      <c r="A39" s="210" t="s">
        <v>405</v>
      </c>
      <c r="B39" s="210"/>
      <c r="C39" s="211">
        <v>0</v>
      </c>
      <c r="D39" s="212">
        <v>0</v>
      </c>
      <c r="E39">
        <f t="shared" si="1"/>
        <v>0</v>
      </c>
      <c r="F39" s="26">
        <f t="shared" si="0"/>
        <v>0</v>
      </c>
    </row>
    <row r="40" spans="1:6" x14ac:dyDescent="0.25">
      <c r="A40" s="210" t="s">
        <v>406</v>
      </c>
      <c r="B40" s="210"/>
      <c r="C40" s="211">
        <v>0</v>
      </c>
      <c r="D40" s="212">
        <v>0</v>
      </c>
      <c r="E40">
        <f t="shared" si="1"/>
        <v>0</v>
      </c>
      <c r="F40" s="26">
        <f t="shared" si="0"/>
        <v>0</v>
      </c>
    </row>
    <row r="41" spans="1:6" x14ac:dyDescent="0.25">
      <c r="A41" s="210" t="s">
        <v>407</v>
      </c>
      <c r="B41" s="210"/>
      <c r="C41" s="211">
        <v>0</v>
      </c>
      <c r="D41" s="212">
        <v>0</v>
      </c>
      <c r="E41">
        <f t="shared" si="1"/>
        <v>0</v>
      </c>
      <c r="F41" s="26">
        <f t="shared" si="0"/>
        <v>0</v>
      </c>
    </row>
    <row r="42" spans="1:6" x14ac:dyDescent="0.25">
      <c r="A42" s="210"/>
      <c r="B42" s="210"/>
      <c r="C42" s="211">
        <v>0</v>
      </c>
      <c r="D42" s="212">
        <v>0</v>
      </c>
      <c r="E42">
        <f t="shared" si="1"/>
        <v>0</v>
      </c>
      <c r="F42" s="26">
        <f t="shared" si="0"/>
        <v>0</v>
      </c>
    </row>
    <row r="43" spans="1:6" x14ac:dyDescent="0.25">
      <c r="A43" s="210" t="s">
        <v>408</v>
      </c>
      <c r="B43" s="210"/>
      <c r="C43" s="211">
        <v>0</v>
      </c>
      <c r="D43" s="212">
        <v>0</v>
      </c>
      <c r="E43">
        <f t="shared" ref="E43:E57" si="2">+C43*D43</f>
        <v>0</v>
      </c>
      <c r="F43" s="26">
        <f t="shared" si="0"/>
        <v>0</v>
      </c>
    </row>
    <row r="44" spans="1:6" x14ac:dyDescent="0.25">
      <c r="A44" s="210" t="s">
        <v>409</v>
      </c>
      <c r="B44" s="210"/>
      <c r="C44" s="211">
        <v>0</v>
      </c>
      <c r="D44" s="212">
        <v>0</v>
      </c>
      <c r="E44">
        <f t="shared" si="2"/>
        <v>0</v>
      </c>
      <c r="F44" s="26">
        <f t="shared" si="0"/>
        <v>0</v>
      </c>
    </row>
    <row r="45" spans="1:6" x14ac:dyDescent="0.25">
      <c r="A45" s="210" t="s">
        <v>410</v>
      </c>
      <c r="B45" s="210">
        <v>6973242570225</v>
      </c>
      <c r="C45" s="211">
        <v>2</v>
      </c>
      <c r="D45" s="212">
        <v>49.97</v>
      </c>
      <c r="E45">
        <f t="shared" si="2"/>
        <v>99.94</v>
      </c>
      <c r="F45" s="26">
        <f>+E45*0.0725</f>
        <v>7.2456499999999995</v>
      </c>
    </row>
    <row r="46" spans="1:6" x14ac:dyDescent="0.25">
      <c r="A46" s="210" t="s">
        <v>411</v>
      </c>
      <c r="B46" s="210"/>
      <c r="C46" s="211">
        <v>1</v>
      </c>
      <c r="D46" s="212">
        <v>69.989999999999995</v>
      </c>
      <c r="E46">
        <f t="shared" si="2"/>
        <v>69.989999999999995</v>
      </c>
      <c r="F46" s="26">
        <f t="shared" ref="F46:F60" si="3">+E46*0.0725</f>
        <v>5.0742749999999992</v>
      </c>
    </row>
    <row r="47" spans="1:6" x14ac:dyDescent="0.25">
      <c r="A47" s="210"/>
      <c r="B47" s="210"/>
      <c r="C47" s="211">
        <v>0</v>
      </c>
      <c r="D47" s="212">
        <v>0</v>
      </c>
      <c r="E47">
        <f t="shared" si="2"/>
        <v>0</v>
      </c>
      <c r="F47" s="26">
        <f t="shared" si="3"/>
        <v>0</v>
      </c>
    </row>
    <row r="48" spans="1:6" x14ac:dyDescent="0.25">
      <c r="A48" s="210"/>
      <c r="B48" s="210"/>
      <c r="C48" s="211">
        <v>0</v>
      </c>
      <c r="D48" s="212">
        <v>0</v>
      </c>
      <c r="E48">
        <f t="shared" si="2"/>
        <v>0</v>
      </c>
      <c r="F48" s="26">
        <f t="shared" si="3"/>
        <v>0</v>
      </c>
    </row>
    <row r="49" spans="1:7" x14ac:dyDescent="0.25">
      <c r="A49" s="210"/>
      <c r="B49" s="210"/>
      <c r="C49" s="211">
        <v>0</v>
      </c>
      <c r="D49" s="212">
        <v>0</v>
      </c>
      <c r="E49">
        <f t="shared" si="2"/>
        <v>0</v>
      </c>
      <c r="F49" s="26">
        <f t="shared" si="3"/>
        <v>0</v>
      </c>
    </row>
    <row r="50" spans="1:7" x14ac:dyDescent="0.25">
      <c r="A50" s="210"/>
      <c r="B50" s="210"/>
      <c r="C50" s="211">
        <v>0</v>
      </c>
      <c r="D50" s="212">
        <v>0</v>
      </c>
      <c r="E50">
        <f t="shared" si="2"/>
        <v>0</v>
      </c>
      <c r="F50" s="26">
        <f t="shared" si="3"/>
        <v>0</v>
      </c>
    </row>
    <row r="51" spans="1:7" x14ac:dyDescent="0.25">
      <c r="A51" s="210"/>
      <c r="B51" s="210"/>
      <c r="C51" s="211">
        <v>0</v>
      </c>
      <c r="D51" s="212">
        <v>0</v>
      </c>
      <c r="E51">
        <f t="shared" si="2"/>
        <v>0</v>
      </c>
      <c r="F51" s="26">
        <f t="shared" si="3"/>
        <v>0</v>
      </c>
    </row>
    <row r="52" spans="1:7" x14ac:dyDescent="0.25">
      <c r="A52" s="210"/>
      <c r="B52" s="210"/>
      <c r="C52" s="211">
        <v>0</v>
      </c>
      <c r="D52" s="212">
        <v>0</v>
      </c>
      <c r="E52">
        <f t="shared" si="2"/>
        <v>0</v>
      </c>
      <c r="F52" s="26">
        <f t="shared" si="3"/>
        <v>0</v>
      </c>
    </row>
    <row r="53" spans="1:7" x14ac:dyDescent="0.25">
      <c r="A53" s="210"/>
      <c r="B53" s="210"/>
      <c r="C53" s="211">
        <v>0</v>
      </c>
      <c r="D53" s="212">
        <v>0</v>
      </c>
      <c r="E53">
        <f t="shared" si="2"/>
        <v>0</v>
      </c>
      <c r="F53" s="26">
        <f t="shared" si="3"/>
        <v>0</v>
      </c>
    </row>
    <row r="54" spans="1:7" x14ac:dyDescent="0.25">
      <c r="A54" s="210"/>
      <c r="B54" s="210"/>
      <c r="C54" s="211">
        <v>0</v>
      </c>
      <c r="D54" s="212">
        <v>0</v>
      </c>
      <c r="E54">
        <f t="shared" si="2"/>
        <v>0</v>
      </c>
      <c r="F54" s="26">
        <f t="shared" si="3"/>
        <v>0</v>
      </c>
    </row>
    <row r="55" spans="1:7" x14ac:dyDescent="0.25">
      <c r="A55" s="210"/>
      <c r="B55" s="210"/>
      <c r="C55" s="211">
        <v>0</v>
      </c>
      <c r="D55" s="212">
        <v>0</v>
      </c>
      <c r="E55">
        <f t="shared" si="2"/>
        <v>0</v>
      </c>
      <c r="F55" s="26">
        <f t="shared" si="3"/>
        <v>0</v>
      </c>
    </row>
    <row r="56" spans="1:7" x14ac:dyDescent="0.25">
      <c r="A56" s="210"/>
      <c r="B56" s="210"/>
      <c r="C56" s="211">
        <v>0</v>
      </c>
      <c r="D56" s="212">
        <v>0</v>
      </c>
      <c r="E56">
        <f t="shared" si="2"/>
        <v>0</v>
      </c>
      <c r="F56" s="26">
        <f t="shared" si="3"/>
        <v>0</v>
      </c>
    </row>
    <row r="57" spans="1:7" x14ac:dyDescent="0.25">
      <c r="A57" s="210"/>
      <c r="B57" s="210"/>
      <c r="C57" s="211">
        <v>0</v>
      </c>
      <c r="D57" s="212">
        <v>0</v>
      </c>
      <c r="E57">
        <f t="shared" si="2"/>
        <v>0</v>
      </c>
      <c r="F57" s="26">
        <f t="shared" si="3"/>
        <v>0</v>
      </c>
    </row>
    <row r="58" spans="1:7" x14ac:dyDescent="0.25">
      <c r="A58" s="210"/>
      <c r="B58" s="210"/>
      <c r="C58" s="211">
        <v>0</v>
      </c>
      <c r="D58" s="212">
        <v>0</v>
      </c>
      <c r="E58">
        <f t="shared" si="1"/>
        <v>0</v>
      </c>
      <c r="F58" s="26">
        <f t="shared" si="3"/>
        <v>0</v>
      </c>
    </row>
    <row r="59" spans="1:7" x14ac:dyDescent="0.25">
      <c r="A59" s="210" t="s">
        <v>412</v>
      </c>
      <c r="B59" s="210"/>
      <c r="C59" s="211">
        <v>0</v>
      </c>
      <c r="D59" s="212">
        <v>0</v>
      </c>
      <c r="E59">
        <f t="shared" si="1"/>
        <v>0</v>
      </c>
      <c r="F59" s="26">
        <f t="shared" si="3"/>
        <v>0</v>
      </c>
    </row>
    <row r="60" spans="1:7" x14ac:dyDescent="0.25">
      <c r="A60" s="209"/>
      <c r="B60" s="210"/>
      <c r="C60" s="211">
        <v>0</v>
      </c>
      <c r="D60" s="212">
        <v>0</v>
      </c>
      <c r="E60">
        <f t="shared" si="1"/>
        <v>0</v>
      </c>
      <c r="F60" s="26">
        <f t="shared" si="3"/>
        <v>0</v>
      </c>
    </row>
    <row r="61" spans="1:7" ht="15.75" thickBot="1" x14ac:dyDescent="0.3">
      <c r="A61" s="209"/>
      <c r="B61" s="210"/>
      <c r="C61" s="211">
        <v>0</v>
      </c>
      <c r="D61" s="212">
        <v>0</v>
      </c>
      <c r="E61">
        <f t="shared" si="1"/>
        <v>0</v>
      </c>
      <c r="G61" s="23"/>
    </row>
    <row r="62" spans="1:7" x14ac:dyDescent="0.25">
      <c r="G62" s="26">
        <f>+SUM(E3:E61)+SUM(F3:F61)</f>
        <v>182.24992500000002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C30" sqref="C30"/>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413</v>
      </c>
      <c r="B1" s="3" t="s">
        <v>352</v>
      </c>
      <c r="C1" s="13" t="s">
        <v>414</v>
      </c>
      <c r="D1" s="3" t="s">
        <v>415</v>
      </c>
      <c r="E1" s="13" t="s">
        <v>416</v>
      </c>
      <c r="F1" s="3" t="s">
        <v>417</v>
      </c>
    </row>
    <row r="2" spans="1:9" x14ac:dyDescent="0.25">
      <c r="B2"/>
      <c r="C2" s="14"/>
      <c r="D2"/>
      <c r="E2" s="14"/>
      <c r="F2" s="14">
        <v>0</v>
      </c>
    </row>
    <row r="3" spans="1:9" s="22" customFormat="1" x14ac:dyDescent="0.25">
      <c r="A3" s="2" t="s">
        <v>418</v>
      </c>
      <c r="B3" s="12">
        <v>45211</v>
      </c>
      <c r="C3" s="14" t="s">
        <v>419</v>
      </c>
      <c r="D3">
        <v>1</v>
      </c>
      <c r="E3" s="14">
        <v>78.75</v>
      </c>
      <c r="F3" s="14">
        <v>78.75</v>
      </c>
      <c r="G3"/>
      <c r="H3" s="3"/>
      <c r="I3" s="3"/>
    </row>
    <row r="4" spans="1:9" x14ac:dyDescent="0.25">
      <c r="A4" s="2" t="s">
        <v>418</v>
      </c>
      <c r="B4" s="205">
        <v>45233</v>
      </c>
      <c r="C4" s="14" t="s">
        <v>420</v>
      </c>
      <c r="D4">
        <v>1</v>
      </c>
      <c r="E4" s="14">
        <v>325</v>
      </c>
      <c r="F4" s="14">
        <f t="shared" ref="F4:F14" si="0">+D4*E4</f>
        <v>325</v>
      </c>
    </row>
    <row r="5" spans="1:9" x14ac:dyDescent="0.25">
      <c r="A5" s="2" t="s">
        <v>418</v>
      </c>
      <c r="B5"/>
      <c r="C5" s="14" t="s">
        <v>421</v>
      </c>
      <c r="D5">
        <v>0</v>
      </c>
      <c r="E5" s="14">
        <v>104</v>
      </c>
      <c r="F5" s="14">
        <f t="shared" si="0"/>
        <v>0</v>
      </c>
    </row>
    <row r="6" spans="1:9" x14ac:dyDescent="0.25">
      <c r="A6" s="2" t="s">
        <v>418</v>
      </c>
      <c r="B6"/>
      <c r="C6" s="14" t="s">
        <v>422</v>
      </c>
      <c r="D6">
        <v>0</v>
      </c>
      <c r="E6" s="14">
        <f>+(12.13+31.46+41.63)/3</f>
        <v>28.406666666666666</v>
      </c>
      <c r="F6" s="14">
        <f t="shared" si="0"/>
        <v>0</v>
      </c>
    </row>
    <row r="7" spans="1:9" x14ac:dyDescent="0.25">
      <c r="A7" s="2" t="s">
        <v>418</v>
      </c>
      <c r="B7"/>
      <c r="C7" s="14" t="s">
        <v>423</v>
      </c>
      <c r="D7">
        <v>0</v>
      </c>
      <c r="E7" s="14">
        <v>6.35</v>
      </c>
      <c r="F7" s="14">
        <f t="shared" si="0"/>
        <v>0</v>
      </c>
    </row>
    <row r="8" spans="1:9" x14ac:dyDescent="0.25">
      <c r="A8" s="2" t="s">
        <v>418</v>
      </c>
      <c r="B8"/>
      <c r="C8" s="14" t="s">
        <v>424</v>
      </c>
      <c r="D8">
        <v>0</v>
      </c>
      <c r="E8" s="14">
        <v>2.5</v>
      </c>
      <c r="F8" s="14">
        <f t="shared" si="0"/>
        <v>0</v>
      </c>
    </row>
    <row r="9" spans="1:9" x14ac:dyDescent="0.25">
      <c r="A9" s="2" t="s">
        <v>418</v>
      </c>
      <c r="B9"/>
      <c r="C9" s="14" t="s">
        <v>425</v>
      </c>
      <c r="D9">
        <v>0</v>
      </c>
      <c r="E9" s="14">
        <f>(8.5+10+17.34)/3</f>
        <v>11.946666666666667</v>
      </c>
      <c r="F9" s="14">
        <f t="shared" si="0"/>
        <v>0</v>
      </c>
    </row>
    <row r="10" spans="1:9" x14ac:dyDescent="0.25">
      <c r="A10" s="2" t="s">
        <v>418</v>
      </c>
      <c r="B10" s="205"/>
      <c r="C10" s="14" t="s">
        <v>426</v>
      </c>
      <c r="D10">
        <v>0</v>
      </c>
      <c r="E10" s="14">
        <v>73.13</v>
      </c>
      <c r="F10" s="14">
        <f t="shared" si="0"/>
        <v>0</v>
      </c>
    </row>
    <row r="11" spans="1:9" x14ac:dyDescent="0.25">
      <c r="A11" s="2" t="s">
        <v>418</v>
      </c>
      <c r="B11" s="205"/>
      <c r="C11" s="14" t="s">
        <v>427</v>
      </c>
      <c r="D11">
        <v>0</v>
      </c>
      <c r="E11" s="14">
        <v>472</v>
      </c>
      <c r="F11" s="14">
        <f t="shared" si="0"/>
        <v>0</v>
      </c>
    </row>
    <row r="12" spans="1:9" x14ac:dyDescent="0.25">
      <c r="A12" s="2" t="s">
        <v>428</v>
      </c>
      <c r="B12" s="205">
        <v>45210</v>
      </c>
      <c r="C12" s="14"/>
      <c r="D12">
        <v>1</v>
      </c>
      <c r="E12" s="14">
        <v>800</v>
      </c>
      <c r="F12" s="14">
        <f t="shared" si="0"/>
        <v>800</v>
      </c>
    </row>
    <row r="13" spans="1:9" x14ac:dyDescent="0.25">
      <c r="A13" s="2" t="s">
        <v>704</v>
      </c>
      <c r="B13" t="s">
        <v>705</v>
      </c>
      <c r="C13" s="14"/>
      <c r="D13">
        <v>1</v>
      </c>
      <c r="E13" s="14">
        <v>150</v>
      </c>
      <c r="F13" s="14">
        <f t="shared" si="0"/>
        <v>150</v>
      </c>
    </row>
    <row r="14" spans="1:9" x14ac:dyDescent="0.25">
      <c r="A14" s="2" t="s">
        <v>685</v>
      </c>
      <c r="B14" t="s">
        <v>686</v>
      </c>
      <c r="C14" s="14"/>
      <c r="D14">
        <v>1</v>
      </c>
      <c r="E14" s="14">
        <v>420</v>
      </c>
      <c r="F14" s="14">
        <f t="shared" si="0"/>
        <v>420</v>
      </c>
    </row>
    <row r="15" spans="1:9" x14ac:dyDescent="0.25">
      <c r="B15"/>
      <c r="C15" s="14"/>
      <c r="D15"/>
      <c r="E15" s="14"/>
      <c r="I15" s="3" t="s">
        <v>429</v>
      </c>
    </row>
    <row r="16" spans="1:9" ht="15.75" thickBot="1" x14ac:dyDescent="0.3">
      <c r="B16"/>
      <c r="C16" s="14"/>
      <c r="D16"/>
      <c r="E16" s="14"/>
      <c r="F16" s="23"/>
      <c r="G16" s="23"/>
    </row>
    <row r="17" spans="1:10" x14ac:dyDescent="0.25">
      <c r="B17"/>
      <c r="C17" s="14"/>
      <c r="D17"/>
      <c r="E17" s="14"/>
      <c r="F17" s="14"/>
      <c r="G17" s="5">
        <f>IF(Profit!O2="yes",+SUM(F2:F16),I17)</f>
        <v>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workbookViewId="0">
      <selection activeCell="F10" sqref="F10"/>
    </sheetView>
  </sheetViews>
  <sheetFormatPr defaultRowHeight="15" x14ac:dyDescent="0.25"/>
  <cols>
    <col min="1" max="1" width="18" customWidth="1"/>
    <col min="2" max="2" width="11" bestFit="1" customWidth="1"/>
  </cols>
  <sheetData>
    <row r="1" spans="1:7" x14ac:dyDescent="0.25">
      <c r="A1" s="3" t="s">
        <v>430</v>
      </c>
      <c r="B1" s="3"/>
      <c r="D1" s="5"/>
      <c r="E1" s="14"/>
      <c r="F1" s="14"/>
      <c r="G1" s="14"/>
    </row>
    <row r="2" spans="1:7" x14ac:dyDescent="0.25">
      <c r="A2" s="2"/>
      <c r="B2" s="2"/>
      <c r="C2" s="3"/>
      <c r="D2" s="8"/>
      <c r="E2" s="13"/>
      <c r="F2" s="13"/>
      <c r="G2" s="13"/>
    </row>
    <row r="3" spans="1:7" x14ac:dyDescent="0.25">
      <c r="A3" s="3" t="s">
        <v>303</v>
      </c>
      <c r="B3" s="3" t="s">
        <v>431</v>
      </c>
      <c r="C3" s="3" t="s">
        <v>373</v>
      </c>
      <c r="D3" s="8" t="s">
        <v>374</v>
      </c>
      <c r="E3" s="13" t="s">
        <v>375</v>
      </c>
      <c r="F3" s="13" t="s">
        <v>359</v>
      </c>
      <c r="G3" s="13" t="s">
        <v>376</v>
      </c>
    </row>
    <row r="4" spans="1:7" x14ac:dyDescent="0.25">
      <c r="A4" s="184" t="s">
        <v>622</v>
      </c>
      <c r="B4" s="184">
        <v>1002724373</v>
      </c>
      <c r="C4" s="291">
        <v>1</v>
      </c>
      <c r="D4" s="280">
        <v>348</v>
      </c>
      <c r="E4" s="14">
        <f>+C4*D4</f>
        <v>348</v>
      </c>
      <c r="F4" s="26">
        <f>+E4*0.0725</f>
        <v>25.229999999999997</v>
      </c>
      <c r="G4" s="13"/>
    </row>
    <row r="5" spans="1:7" x14ac:dyDescent="0.25">
      <c r="A5" s="184" t="s">
        <v>432</v>
      </c>
      <c r="B5" s="184"/>
      <c r="C5" s="291">
        <v>0</v>
      </c>
      <c r="D5" s="280">
        <v>400</v>
      </c>
      <c r="E5" s="14">
        <f>+C5*D5</f>
        <v>0</v>
      </c>
      <c r="F5" s="26">
        <f>+E5*0.0725</f>
        <v>0</v>
      </c>
      <c r="G5" s="14"/>
    </row>
    <row r="6" spans="1:7" x14ac:dyDescent="0.25">
      <c r="A6" s="184" t="s">
        <v>433</v>
      </c>
      <c r="B6" s="184" t="s">
        <v>146</v>
      </c>
      <c r="C6" s="291">
        <v>1</v>
      </c>
      <c r="D6" s="280">
        <v>448</v>
      </c>
      <c r="E6" s="14">
        <f>+C6*D6</f>
        <v>448</v>
      </c>
      <c r="F6" s="26">
        <f>+E6*0.0725</f>
        <v>32.479999999999997</v>
      </c>
      <c r="G6" s="14"/>
    </row>
    <row r="7" spans="1:7" ht="15.75" thickBot="1" x14ac:dyDescent="0.3">
      <c r="A7" s="184" t="s">
        <v>620</v>
      </c>
      <c r="B7" s="184">
        <v>1006201314</v>
      </c>
      <c r="C7" s="291">
        <v>1</v>
      </c>
      <c r="D7" s="280">
        <v>748</v>
      </c>
      <c r="E7" s="21">
        <v>748</v>
      </c>
      <c r="F7" s="26">
        <f>+E7*0.0725</f>
        <v>54.23</v>
      </c>
      <c r="G7" s="21"/>
    </row>
    <row r="8" spans="1:7" x14ac:dyDescent="0.25">
      <c r="A8" s="184"/>
      <c r="B8" s="184"/>
      <c r="C8" s="291"/>
      <c r="D8" s="292" t="s">
        <v>146</v>
      </c>
      <c r="E8" s="14"/>
      <c r="F8" s="14"/>
      <c r="G8" s="14">
        <f>+SUM(E4:F7)</f>
        <v>1655.94</v>
      </c>
    </row>
    <row r="9" spans="1:7" x14ac:dyDescent="0.25">
      <c r="A9" s="184" t="s">
        <v>434</v>
      </c>
      <c r="B9" s="184"/>
      <c r="C9" s="291">
        <v>1</v>
      </c>
      <c r="D9" s="292">
        <v>31.98</v>
      </c>
      <c r="E9" s="14">
        <v>31.98</v>
      </c>
      <c r="F9" s="26">
        <f>+E9*0.0725</f>
        <v>2.3185499999999997</v>
      </c>
      <c r="G9" s="14">
        <v>0</v>
      </c>
    </row>
    <row r="10" spans="1:7" x14ac:dyDescent="0.25">
      <c r="A10" s="184" t="s">
        <v>723</v>
      </c>
      <c r="B10" s="184" t="s">
        <v>724</v>
      </c>
      <c r="C10" s="291">
        <v>1</v>
      </c>
      <c r="D10" s="280">
        <v>14.98</v>
      </c>
      <c r="E10" s="14">
        <v>14.98</v>
      </c>
      <c r="F10" s="14"/>
      <c r="G10" s="14"/>
    </row>
    <row r="11" spans="1:7" x14ac:dyDescent="0.25">
      <c r="A11" s="184" t="s">
        <v>434</v>
      </c>
      <c r="B11" s="184">
        <v>1630551</v>
      </c>
      <c r="C11" s="291">
        <v>0</v>
      </c>
      <c r="D11" s="280">
        <v>32.979999999999997</v>
      </c>
      <c r="E11" s="14">
        <f>+C11*D11</f>
        <v>0</v>
      </c>
      <c r="F11" s="26">
        <f>+E11*0.0725</f>
        <v>0</v>
      </c>
      <c r="G11" s="14"/>
    </row>
    <row r="12" spans="1:7" x14ac:dyDescent="0.25">
      <c r="A12" s="184" t="s">
        <v>435</v>
      </c>
      <c r="B12" s="184">
        <v>3648606</v>
      </c>
      <c r="C12" s="291">
        <v>0</v>
      </c>
      <c r="D12" s="280">
        <v>560.30999999999995</v>
      </c>
      <c r="E12" s="14">
        <f>+C12*D12</f>
        <v>0</v>
      </c>
      <c r="F12" s="26">
        <f t="shared" ref="F12:F19" si="0">+E12*0.0725</f>
        <v>0</v>
      </c>
      <c r="G12" s="14"/>
    </row>
    <row r="13" spans="1:7" x14ac:dyDescent="0.25">
      <c r="A13" s="184" t="s">
        <v>436</v>
      </c>
      <c r="B13" s="184">
        <v>1654366</v>
      </c>
      <c r="C13" s="291">
        <v>0</v>
      </c>
      <c r="D13" s="280">
        <v>374.29</v>
      </c>
      <c r="E13" s="14">
        <f>+C13*D13</f>
        <v>0</v>
      </c>
      <c r="F13" s="26">
        <f t="shared" si="0"/>
        <v>0</v>
      </c>
      <c r="G13" s="14"/>
    </row>
    <row r="14" spans="1:7" x14ac:dyDescent="0.25">
      <c r="A14" s="184" t="s">
        <v>437</v>
      </c>
      <c r="B14" s="184">
        <v>118694</v>
      </c>
      <c r="C14" s="291">
        <v>0</v>
      </c>
      <c r="D14" s="280">
        <v>39.28</v>
      </c>
      <c r="E14" s="14">
        <f>+C14*D14</f>
        <v>0</v>
      </c>
      <c r="F14" s="26">
        <f t="shared" si="0"/>
        <v>0</v>
      </c>
      <c r="G14" s="14"/>
    </row>
    <row r="15" spans="1:7" x14ac:dyDescent="0.25">
      <c r="A15" s="184" t="s">
        <v>438</v>
      </c>
      <c r="B15" s="293"/>
      <c r="C15" s="291">
        <v>0</v>
      </c>
      <c r="D15" s="280">
        <v>189</v>
      </c>
      <c r="E15" s="14">
        <f>+C15*D15</f>
        <v>0</v>
      </c>
      <c r="F15" s="26">
        <f t="shared" si="0"/>
        <v>0</v>
      </c>
      <c r="G15" s="14"/>
    </row>
    <row r="16" spans="1:7" x14ac:dyDescent="0.25">
      <c r="A16" s="184" t="s">
        <v>621</v>
      </c>
      <c r="B16" s="293">
        <v>206332</v>
      </c>
      <c r="C16" s="291">
        <v>1</v>
      </c>
      <c r="D16" s="280">
        <v>32.85</v>
      </c>
      <c r="E16" s="14">
        <v>32.85</v>
      </c>
      <c r="F16" s="26">
        <f t="shared" si="0"/>
        <v>2.3816250000000001</v>
      </c>
      <c r="G16" s="14"/>
    </row>
    <row r="17" spans="1:7" x14ac:dyDescent="0.25">
      <c r="A17" s="184" t="s">
        <v>439</v>
      </c>
      <c r="B17" s="293"/>
      <c r="C17" s="291">
        <v>0</v>
      </c>
      <c r="D17" s="280">
        <v>169</v>
      </c>
      <c r="E17" s="14">
        <f>+C17*D17</f>
        <v>0</v>
      </c>
      <c r="F17" s="26">
        <f t="shared" si="0"/>
        <v>0</v>
      </c>
      <c r="G17" s="14"/>
    </row>
    <row r="18" spans="1:7" x14ac:dyDescent="0.25">
      <c r="A18" s="293" t="s">
        <v>440</v>
      </c>
      <c r="B18" s="293">
        <v>1692925</v>
      </c>
      <c r="C18" s="291">
        <v>0</v>
      </c>
      <c r="D18" s="280">
        <v>170.39</v>
      </c>
      <c r="E18" s="14">
        <f>+C18*D18</f>
        <v>0</v>
      </c>
      <c r="F18" s="26">
        <f t="shared" si="0"/>
        <v>0</v>
      </c>
      <c r="G18" s="14"/>
    </row>
    <row r="19" spans="1:7" ht="15.75" thickBot="1" x14ac:dyDescent="0.3">
      <c r="A19" s="184" t="s">
        <v>441</v>
      </c>
      <c r="B19" s="293"/>
      <c r="C19" s="291">
        <v>0</v>
      </c>
      <c r="D19" s="280">
        <v>400</v>
      </c>
      <c r="E19" s="14">
        <f>+C19*D19</f>
        <v>0</v>
      </c>
      <c r="F19" s="26">
        <f t="shared" si="0"/>
        <v>0</v>
      </c>
      <c r="G19" s="21"/>
    </row>
    <row r="20" spans="1:7" x14ac:dyDescent="0.25">
      <c r="B20" s="2"/>
      <c r="C20" s="581" t="s">
        <v>442</v>
      </c>
      <c r="D20" s="581"/>
      <c r="E20" s="581"/>
      <c r="F20" s="31"/>
      <c r="G20" s="14">
        <f>SUM(E4:E19)+SUM(F4:F19)</f>
        <v>1740.4501749999999</v>
      </c>
    </row>
  </sheetData>
  <mergeCells count="1">
    <mergeCell ref="C20:E20"/>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workbookViewId="0">
      <selection activeCell="F21" sqref="F21"/>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443</v>
      </c>
      <c r="B1" s="3"/>
    </row>
    <row r="2" spans="1:7" x14ac:dyDescent="0.25">
      <c r="C2" s="3"/>
      <c r="D2" s="8"/>
      <c r="E2" s="13"/>
      <c r="F2" s="13"/>
      <c r="G2" s="13"/>
    </row>
    <row r="3" spans="1:7" x14ac:dyDescent="0.25">
      <c r="A3" s="3" t="s">
        <v>303</v>
      </c>
      <c r="B3" s="3" t="s">
        <v>431</v>
      </c>
      <c r="C3" s="3" t="s">
        <v>373</v>
      </c>
      <c r="D3" s="8" t="s">
        <v>374</v>
      </c>
      <c r="E3" s="13" t="s">
        <v>375</v>
      </c>
      <c r="F3" s="13" t="s">
        <v>359</v>
      </c>
      <c r="G3" s="13" t="s">
        <v>376</v>
      </c>
    </row>
    <row r="4" spans="1:7" x14ac:dyDescent="0.25">
      <c r="A4" s="293"/>
      <c r="B4" s="293"/>
      <c r="C4" s="291">
        <v>0</v>
      </c>
      <c r="D4" s="280">
        <v>107.1</v>
      </c>
      <c r="E4" s="14">
        <f>+C4*D4</f>
        <v>0</v>
      </c>
      <c r="F4" s="26">
        <f t="shared" ref="F4:F21" si="0">+E4*0.0725</f>
        <v>0</v>
      </c>
      <c r="G4" s="13"/>
    </row>
    <row r="5" spans="1:7" x14ac:dyDescent="0.25">
      <c r="A5" s="293" t="s">
        <v>444</v>
      </c>
      <c r="B5" s="293">
        <v>1255143</v>
      </c>
      <c r="C5" s="291">
        <v>0</v>
      </c>
      <c r="D5" s="280">
        <v>107.1</v>
      </c>
      <c r="E5" s="14">
        <f>+C5*D5</f>
        <v>0</v>
      </c>
      <c r="F5" s="26">
        <f t="shared" si="0"/>
        <v>0</v>
      </c>
    </row>
    <row r="6" spans="1:7" x14ac:dyDescent="0.25">
      <c r="A6" s="293" t="s">
        <v>445</v>
      </c>
      <c r="B6" s="293">
        <v>2131173</v>
      </c>
      <c r="C6" s="291">
        <v>0</v>
      </c>
      <c r="D6" s="280">
        <v>53.98</v>
      </c>
      <c r="E6" s="14">
        <f>+C6*D6</f>
        <v>0</v>
      </c>
      <c r="F6" s="26">
        <f t="shared" si="0"/>
        <v>0</v>
      </c>
    </row>
    <row r="7" spans="1:7" x14ac:dyDescent="0.25">
      <c r="A7" s="293" t="s">
        <v>446</v>
      </c>
      <c r="B7" s="293">
        <v>1227792</v>
      </c>
      <c r="C7" s="291">
        <v>0</v>
      </c>
      <c r="D7" s="280">
        <v>15.47</v>
      </c>
      <c r="E7" s="14">
        <f>+C7*D7</f>
        <v>0</v>
      </c>
      <c r="F7" s="26">
        <f t="shared" si="0"/>
        <v>0</v>
      </c>
    </row>
    <row r="8" spans="1:7" x14ac:dyDescent="0.25">
      <c r="A8" s="293" t="s">
        <v>447</v>
      </c>
      <c r="B8" s="293">
        <v>1233228</v>
      </c>
      <c r="C8" s="291">
        <v>0</v>
      </c>
      <c r="D8" s="280">
        <v>39.979999999999997</v>
      </c>
      <c r="E8" s="14">
        <v>0</v>
      </c>
      <c r="F8" s="26">
        <f t="shared" si="0"/>
        <v>0</v>
      </c>
    </row>
    <row r="9" spans="1:7" x14ac:dyDescent="0.25">
      <c r="A9" s="293" t="s">
        <v>448</v>
      </c>
      <c r="B9" s="293" t="s">
        <v>146</v>
      </c>
      <c r="C9" s="291">
        <v>2</v>
      </c>
      <c r="D9" s="280">
        <v>6.99</v>
      </c>
      <c r="E9" s="14">
        <f t="shared" ref="E9:E20" si="1">+C9*D9</f>
        <v>13.98</v>
      </c>
      <c r="F9" s="26">
        <f t="shared" si="0"/>
        <v>1.01355</v>
      </c>
    </row>
    <row r="10" spans="1:7" x14ac:dyDescent="0.25">
      <c r="A10" s="293" t="s">
        <v>449</v>
      </c>
      <c r="B10" s="293"/>
      <c r="C10" s="291">
        <v>1</v>
      </c>
      <c r="D10" s="280">
        <v>24.4</v>
      </c>
      <c r="E10" s="14">
        <f t="shared" si="1"/>
        <v>24.4</v>
      </c>
      <c r="F10" s="26">
        <f t="shared" si="0"/>
        <v>1.7689999999999997</v>
      </c>
    </row>
    <row r="11" spans="1:7" x14ac:dyDescent="0.25">
      <c r="A11" s="293" t="s">
        <v>450</v>
      </c>
      <c r="B11" s="293"/>
      <c r="C11" s="291">
        <v>0</v>
      </c>
      <c r="D11" s="280">
        <v>99</v>
      </c>
      <c r="E11" s="14">
        <f t="shared" si="1"/>
        <v>0</v>
      </c>
      <c r="F11" s="26">
        <f t="shared" si="0"/>
        <v>0</v>
      </c>
    </row>
    <row r="12" spans="1:7" x14ac:dyDescent="0.25">
      <c r="A12" s="293" t="s">
        <v>451</v>
      </c>
      <c r="B12" s="319">
        <v>26508261804</v>
      </c>
      <c r="C12" s="291">
        <v>1</v>
      </c>
      <c r="D12" s="280">
        <v>114</v>
      </c>
      <c r="E12" s="14">
        <f t="shared" si="1"/>
        <v>114</v>
      </c>
      <c r="F12" s="26">
        <f t="shared" si="0"/>
        <v>8.2649999999999988</v>
      </c>
    </row>
    <row r="13" spans="1:7" x14ac:dyDescent="0.25">
      <c r="A13" s="293" t="s">
        <v>396</v>
      </c>
      <c r="B13" s="293">
        <v>6925699939094</v>
      </c>
      <c r="C13" s="291">
        <v>2</v>
      </c>
      <c r="D13" s="280">
        <v>34.979999999999997</v>
      </c>
      <c r="E13" s="14">
        <f t="shared" si="1"/>
        <v>69.959999999999994</v>
      </c>
      <c r="F13" s="26">
        <f t="shared" si="0"/>
        <v>5.0720999999999989</v>
      </c>
    </row>
    <row r="14" spans="1:7" x14ac:dyDescent="0.25">
      <c r="A14" s="293" t="s">
        <v>452</v>
      </c>
      <c r="B14" s="293"/>
      <c r="C14" s="291">
        <v>0</v>
      </c>
      <c r="D14" s="280"/>
      <c r="E14" s="14">
        <f t="shared" si="1"/>
        <v>0</v>
      </c>
      <c r="F14" s="26">
        <f t="shared" si="0"/>
        <v>0</v>
      </c>
    </row>
    <row r="15" spans="1:7" x14ac:dyDescent="0.25">
      <c r="A15" s="293" t="s">
        <v>453</v>
      </c>
      <c r="B15" s="293">
        <v>38877656754</v>
      </c>
      <c r="C15" s="291">
        <v>1</v>
      </c>
      <c r="D15" s="280">
        <v>169</v>
      </c>
      <c r="E15" s="14">
        <f t="shared" si="1"/>
        <v>169</v>
      </c>
      <c r="F15" s="26">
        <f t="shared" si="0"/>
        <v>12.2525</v>
      </c>
    </row>
    <row r="16" spans="1:7" x14ac:dyDescent="0.25">
      <c r="A16" s="293" t="s">
        <v>450</v>
      </c>
      <c r="B16" s="293">
        <v>732291231619</v>
      </c>
      <c r="C16" s="291">
        <v>3</v>
      </c>
      <c r="D16" s="280">
        <v>99</v>
      </c>
      <c r="E16" s="14">
        <f t="shared" si="1"/>
        <v>297</v>
      </c>
      <c r="F16" s="26">
        <f t="shared" si="0"/>
        <v>21.532499999999999</v>
      </c>
    </row>
    <row r="17" spans="1:10" x14ac:dyDescent="0.25">
      <c r="A17" s="293" t="s">
        <v>454</v>
      </c>
      <c r="B17" s="293"/>
      <c r="C17" s="291">
        <v>1</v>
      </c>
      <c r="D17" s="280">
        <v>-29.7</v>
      </c>
      <c r="E17" s="14">
        <f t="shared" si="1"/>
        <v>-29.7</v>
      </c>
      <c r="F17" s="26">
        <f t="shared" si="0"/>
        <v>-2.1532499999999999</v>
      </c>
    </row>
    <row r="18" spans="1:10" x14ac:dyDescent="0.25">
      <c r="A18" s="293" t="s">
        <v>721</v>
      </c>
      <c r="B18" s="293" t="s">
        <v>722</v>
      </c>
      <c r="C18" s="291">
        <v>1</v>
      </c>
      <c r="D18" s="280">
        <v>34.479999999999997</v>
      </c>
      <c r="E18" s="14">
        <f t="shared" si="1"/>
        <v>34.479999999999997</v>
      </c>
      <c r="F18" s="26">
        <f t="shared" si="0"/>
        <v>2.4997999999999996</v>
      </c>
    </row>
    <row r="19" spans="1:10" x14ac:dyDescent="0.25">
      <c r="A19" s="293" t="s">
        <v>721</v>
      </c>
      <c r="B19" s="293" t="s">
        <v>725</v>
      </c>
      <c r="C19" s="291">
        <v>1</v>
      </c>
      <c r="D19" s="280">
        <v>38.29</v>
      </c>
      <c r="E19" s="14">
        <f t="shared" si="1"/>
        <v>38.29</v>
      </c>
      <c r="F19" s="26">
        <f t="shared" si="0"/>
        <v>2.7760249999999997</v>
      </c>
    </row>
    <row r="20" spans="1:10" x14ac:dyDescent="0.25">
      <c r="A20" s="293" t="s">
        <v>729</v>
      </c>
      <c r="B20" s="293" t="s">
        <v>730</v>
      </c>
      <c r="C20" s="291">
        <v>1</v>
      </c>
      <c r="D20" s="280">
        <v>431.66</v>
      </c>
      <c r="E20" s="14">
        <f t="shared" si="1"/>
        <v>431.66</v>
      </c>
      <c r="F20" s="26">
        <f t="shared" si="0"/>
        <v>31.295349999999999</v>
      </c>
    </row>
    <row r="21" spans="1:10" ht="15.75" thickBot="1" x14ac:dyDescent="0.3">
      <c r="A21" s="293" t="s">
        <v>731</v>
      </c>
      <c r="B21" s="293" t="s">
        <v>732</v>
      </c>
      <c r="C21" s="291">
        <v>1</v>
      </c>
      <c r="D21" s="280">
        <v>29.98</v>
      </c>
      <c r="E21" s="21">
        <f t="shared" ref="E21" si="2">+C21*D21</f>
        <v>29.98</v>
      </c>
      <c r="F21" s="21">
        <f t="shared" si="0"/>
        <v>2.1735500000000001</v>
      </c>
      <c r="G21" s="21"/>
    </row>
    <row r="22" spans="1:10" x14ac:dyDescent="0.25">
      <c r="G22" s="14">
        <f>+SUM(E4:E21)+SUM(F4:F21)</f>
        <v>1279.5461249999998</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workbookViewId="0">
      <selection activeCell="C15" sqref="C15"/>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7" x14ac:dyDescent="0.25">
      <c r="A1" s="33" t="s">
        <v>455</v>
      </c>
      <c r="B1" s="33"/>
    </row>
    <row r="2" spans="1:7" x14ac:dyDescent="0.25">
      <c r="C2" s="3"/>
      <c r="D2" s="8"/>
      <c r="E2" s="13"/>
      <c r="F2" s="13"/>
    </row>
    <row r="3" spans="1:7" s="22" customFormat="1" ht="14.25" customHeight="1" x14ac:dyDescent="0.25">
      <c r="A3" s="3" t="s">
        <v>303</v>
      </c>
      <c r="B3" s="3" t="s">
        <v>431</v>
      </c>
      <c r="C3" s="3" t="s">
        <v>373</v>
      </c>
      <c r="D3" s="8" t="s">
        <v>374</v>
      </c>
      <c r="E3" s="13" t="s">
        <v>375</v>
      </c>
      <c r="F3" s="13" t="s">
        <v>376</v>
      </c>
    </row>
    <row r="4" spans="1:7" ht="14.25" customHeight="1" x14ac:dyDescent="0.25">
      <c r="A4" s="33" t="s">
        <v>456</v>
      </c>
      <c r="B4" s="33">
        <v>935605</v>
      </c>
      <c r="C4" s="293">
        <v>0</v>
      </c>
      <c r="D4" s="280">
        <v>209</v>
      </c>
      <c r="E4" s="14">
        <f t="shared" ref="E4:E15" si="0">+C4*D4</f>
        <v>0</v>
      </c>
      <c r="F4" s="13"/>
    </row>
    <row r="5" spans="1:7" ht="14.25" customHeight="1" x14ac:dyDescent="0.25">
      <c r="A5" s="33" t="s">
        <v>457</v>
      </c>
      <c r="B5" s="33">
        <v>935604</v>
      </c>
      <c r="C5" s="293">
        <v>0</v>
      </c>
      <c r="D5" s="280">
        <v>209</v>
      </c>
      <c r="E5" s="14">
        <f t="shared" si="0"/>
        <v>0</v>
      </c>
      <c r="F5" s="13"/>
    </row>
    <row r="6" spans="1:7" ht="14.25" customHeight="1" x14ac:dyDescent="0.25">
      <c r="A6" s="33" t="s">
        <v>458</v>
      </c>
      <c r="B6" s="33">
        <v>935599</v>
      </c>
      <c r="C6" s="293">
        <v>0</v>
      </c>
      <c r="D6" s="280">
        <v>198.56</v>
      </c>
      <c r="E6" s="14">
        <f>+C6*D6</f>
        <v>0</v>
      </c>
      <c r="F6" s="13"/>
    </row>
    <row r="7" spans="1:7" ht="14.25" customHeight="1" x14ac:dyDescent="0.25">
      <c r="A7" s="33" t="s">
        <v>459</v>
      </c>
      <c r="B7" s="33">
        <v>14005</v>
      </c>
      <c r="C7" s="291">
        <v>0</v>
      </c>
      <c r="D7" s="280">
        <v>179</v>
      </c>
      <c r="E7" s="14">
        <f t="shared" si="0"/>
        <v>0</v>
      </c>
    </row>
    <row r="8" spans="1:7" ht="14.25" customHeight="1" x14ac:dyDescent="0.25">
      <c r="A8" s="33" t="s">
        <v>460</v>
      </c>
      <c r="B8" s="33">
        <v>14006</v>
      </c>
      <c r="C8" s="291">
        <v>0</v>
      </c>
      <c r="D8" s="280">
        <v>179</v>
      </c>
      <c r="E8" s="14">
        <f t="shared" si="0"/>
        <v>0</v>
      </c>
    </row>
    <row r="9" spans="1:7" ht="14.25" customHeight="1" x14ac:dyDescent="0.25">
      <c r="A9" s="33" t="s">
        <v>461</v>
      </c>
      <c r="B9" s="33">
        <v>935587</v>
      </c>
      <c r="C9" s="291">
        <v>0</v>
      </c>
      <c r="D9" s="280">
        <v>198.55</v>
      </c>
      <c r="E9" s="14">
        <f>+C9*D9</f>
        <v>0</v>
      </c>
    </row>
    <row r="10" spans="1:7" ht="14.25" customHeight="1" x14ac:dyDescent="0.25">
      <c r="A10" s="33" t="s">
        <v>462</v>
      </c>
      <c r="B10" s="33">
        <v>49504</v>
      </c>
      <c r="C10" s="291">
        <v>0</v>
      </c>
      <c r="D10" s="280">
        <v>103</v>
      </c>
      <c r="E10" s="14">
        <f t="shared" si="0"/>
        <v>0</v>
      </c>
    </row>
    <row r="11" spans="1:7" ht="14.25" customHeight="1" x14ac:dyDescent="0.25">
      <c r="A11" s="33" t="s">
        <v>463</v>
      </c>
      <c r="B11" s="33">
        <v>49706</v>
      </c>
      <c r="C11" s="291">
        <v>0</v>
      </c>
      <c r="D11" s="280">
        <v>103</v>
      </c>
      <c r="E11" s="14">
        <f t="shared" si="0"/>
        <v>0</v>
      </c>
    </row>
    <row r="12" spans="1:7" ht="14.25" customHeight="1" x14ac:dyDescent="0.25">
      <c r="A12" s="33" t="s">
        <v>464</v>
      </c>
      <c r="B12" s="33">
        <v>47025</v>
      </c>
      <c r="C12" s="291">
        <v>0</v>
      </c>
      <c r="D12" s="280">
        <v>99</v>
      </c>
      <c r="E12" s="14">
        <f t="shared" si="0"/>
        <v>0</v>
      </c>
    </row>
    <row r="13" spans="1:7" ht="14.25" customHeight="1" x14ac:dyDescent="0.25">
      <c r="A13" s="33" t="s">
        <v>465</v>
      </c>
      <c r="B13" s="33">
        <v>47422</v>
      </c>
      <c r="C13" s="291">
        <v>0</v>
      </c>
      <c r="D13" s="280">
        <v>99</v>
      </c>
      <c r="E13" s="14">
        <f t="shared" si="0"/>
        <v>0</v>
      </c>
    </row>
    <row r="14" spans="1:7" ht="14.25" customHeight="1" x14ac:dyDescent="0.25">
      <c r="A14" s="33" t="s">
        <v>466</v>
      </c>
      <c r="B14" s="33">
        <v>43359</v>
      </c>
      <c r="C14" s="291">
        <v>0</v>
      </c>
      <c r="D14" s="280">
        <v>95</v>
      </c>
      <c r="E14" s="14">
        <f t="shared" si="0"/>
        <v>0</v>
      </c>
    </row>
    <row r="15" spans="1:7" ht="14.25" customHeight="1" x14ac:dyDescent="0.25">
      <c r="A15" s="33" t="s">
        <v>763</v>
      </c>
      <c r="B15" s="33" t="s">
        <v>762</v>
      </c>
      <c r="C15" s="291">
        <v>1</v>
      </c>
      <c r="D15" s="280">
        <v>536.25</v>
      </c>
      <c r="E15" s="14">
        <f t="shared" si="0"/>
        <v>536.25</v>
      </c>
    </row>
    <row r="16" spans="1:7" ht="14.25" customHeight="1" x14ac:dyDescent="0.25">
      <c r="A16" s="33" t="s">
        <v>707</v>
      </c>
      <c r="B16" s="33" t="s">
        <v>708</v>
      </c>
      <c r="C16" s="291">
        <v>5</v>
      </c>
      <c r="D16" s="280">
        <v>75.48</v>
      </c>
      <c r="E16" s="14">
        <f t="shared" ref="E16:E33" si="1">+C16*D16</f>
        <v>377.40000000000003</v>
      </c>
      <c r="G16" t="s">
        <v>709</v>
      </c>
    </row>
    <row r="17" spans="1:7" ht="14.25" customHeight="1" x14ac:dyDescent="0.25">
      <c r="A17" s="33" t="s">
        <v>710</v>
      </c>
      <c r="B17" s="33" t="s">
        <v>711</v>
      </c>
      <c r="C17" s="291">
        <v>1</v>
      </c>
      <c r="D17" s="280">
        <v>3.29</v>
      </c>
      <c r="E17" s="14">
        <f t="shared" si="1"/>
        <v>3.29</v>
      </c>
      <c r="G17" t="s">
        <v>712</v>
      </c>
    </row>
    <row r="18" spans="1:7" ht="14.25" customHeight="1" x14ac:dyDescent="0.25">
      <c r="A18" s="33" t="s">
        <v>713</v>
      </c>
      <c r="B18" s="33" t="s">
        <v>714</v>
      </c>
      <c r="C18" s="291">
        <v>4</v>
      </c>
      <c r="D18" s="280">
        <v>15.48</v>
      </c>
      <c r="E18" s="14">
        <f t="shared" si="1"/>
        <v>61.92</v>
      </c>
      <c r="G18" t="s">
        <v>715</v>
      </c>
    </row>
    <row r="19" spans="1:7" ht="14.25" customHeight="1" x14ac:dyDescent="0.25">
      <c r="A19" s="33" t="s">
        <v>716</v>
      </c>
      <c r="B19" s="33" t="s">
        <v>717</v>
      </c>
      <c r="C19" s="291">
        <v>1</v>
      </c>
      <c r="D19" s="280">
        <v>7.48</v>
      </c>
      <c r="E19" s="14">
        <f>+C19*D19</f>
        <v>7.48</v>
      </c>
      <c r="G19" t="s">
        <v>715</v>
      </c>
    </row>
    <row r="20" spans="1:7" ht="14.25" customHeight="1" x14ac:dyDescent="0.25">
      <c r="A20" s="33" t="s">
        <v>718</v>
      </c>
      <c r="B20" s="33" t="s">
        <v>719</v>
      </c>
      <c r="C20" s="291">
        <v>1</v>
      </c>
      <c r="D20" s="280">
        <v>20.98</v>
      </c>
      <c r="E20" s="14">
        <f t="shared" si="1"/>
        <v>20.98</v>
      </c>
      <c r="G20" t="s">
        <v>715</v>
      </c>
    </row>
    <row r="21" spans="1:7" ht="14.25" customHeight="1" x14ac:dyDescent="0.25">
      <c r="A21" s="33" t="s">
        <v>726</v>
      </c>
      <c r="B21" s="33" t="s">
        <v>727</v>
      </c>
      <c r="C21" s="291">
        <v>1</v>
      </c>
      <c r="D21" s="280">
        <v>41.98</v>
      </c>
      <c r="E21" s="14">
        <f t="shared" si="1"/>
        <v>41.98</v>
      </c>
    </row>
    <row r="22" spans="1:7" ht="14.25" customHeight="1" x14ac:dyDescent="0.25">
      <c r="A22" s="33" t="s">
        <v>728</v>
      </c>
      <c r="B22" s="33" t="s">
        <v>146</v>
      </c>
      <c r="C22" s="291">
        <v>1</v>
      </c>
      <c r="D22" s="280">
        <v>85</v>
      </c>
      <c r="E22" s="14">
        <f t="shared" si="1"/>
        <v>85</v>
      </c>
    </row>
    <row r="23" spans="1:7" ht="14.25" customHeight="1" x14ac:dyDescent="0.25">
      <c r="A23" s="33" t="s">
        <v>467</v>
      </c>
      <c r="B23" s="33" t="s">
        <v>684</v>
      </c>
      <c r="C23" s="291">
        <v>4</v>
      </c>
      <c r="D23" s="280">
        <v>2.4700000000000002</v>
      </c>
      <c r="E23" s="14">
        <f t="shared" si="1"/>
        <v>9.8800000000000008</v>
      </c>
    </row>
    <row r="24" spans="1:7" ht="14.25" customHeight="1" x14ac:dyDescent="0.25">
      <c r="A24" s="33" t="s">
        <v>468</v>
      </c>
      <c r="B24" s="33">
        <v>100619</v>
      </c>
      <c r="C24" s="291">
        <v>0</v>
      </c>
      <c r="D24" s="280">
        <v>79.98</v>
      </c>
      <c r="E24" s="14">
        <f t="shared" si="1"/>
        <v>0</v>
      </c>
    </row>
    <row r="25" spans="1:7" ht="14.25" customHeight="1" x14ac:dyDescent="0.25">
      <c r="A25" s="33" t="s">
        <v>469</v>
      </c>
      <c r="B25" s="33">
        <v>287027</v>
      </c>
      <c r="C25" s="291">
        <v>0</v>
      </c>
      <c r="D25" s="280">
        <v>50.48</v>
      </c>
      <c r="E25" s="14">
        <f t="shared" si="1"/>
        <v>0</v>
      </c>
    </row>
    <row r="26" spans="1:7" ht="14.25" customHeight="1" x14ac:dyDescent="0.25">
      <c r="A26" s="33" t="s">
        <v>470</v>
      </c>
      <c r="B26" s="33"/>
      <c r="C26" s="291">
        <v>0</v>
      </c>
      <c r="D26" s="280">
        <v>69.47</v>
      </c>
      <c r="E26" s="14">
        <f t="shared" si="1"/>
        <v>0</v>
      </c>
    </row>
    <row r="27" spans="1:7" ht="14.25" customHeight="1" x14ac:dyDescent="0.25">
      <c r="A27" s="33" t="s">
        <v>697</v>
      </c>
      <c r="B27" s="33" t="s">
        <v>698</v>
      </c>
      <c r="C27" s="291">
        <v>1</v>
      </c>
      <c r="D27" s="280">
        <v>396.83</v>
      </c>
      <c r="E27" s="14">
        <f t="shared" si="1"/>
        <v>396.83</v>
      </c>
    </row>
    <row r="28" spans="1:7" ht="14.25" customHeight="1" x14ac:dyDescent="0.25">
      <c r="A28" s="33" t="s">
        <v>677</v>
      </c>
      <c r="B28" s="33" t="s">
        <v>678</v>
      </c>
      <c r="C28" s="291">
        <v>1</v>
      </c>
      <c r="D28" s="280">
        <v>213.43</v>
      </c>
      <c r="E28" s="14">
        <f t="shared" si="1"/>
        <v>213.43</v>
      </c>
    </row>
    <row r="29" spans="1:7" ht="14.25" customHeight="1" thickBot="1" x14ac:dyDescent="0.3">
      <c r="A29" s="33" t="s">
        <v>471</v>
      </c>
      <c r="B29" s="33"/>
      <c r="C29" s="291"/>
      <c r="D29" s="280"/>
      <c r="E29" s="14">
        <f t="shared" si="1"/>
        <v>0</v>
      </c>
      <c r="F29" s="21"/>
    </row>
    <row r="30" spans="1:7" ht="14.25" customHeight="1" x14ac:dyDescent="0.25">
      <c r="A30" s="33" t="s">
        <v>471</v>
      </c>
      <c r="B30" s="33">
        <v>30699285174</v>
      </c>
      <c r="C30" s="291">
        <v>1</v>
      </c>
      <c r="D30" s="280">
        <v>12.93</v>
      </c>
      <c r="E30" s="14">
        <f t="shared" si="1"/>
        <v>12.93</v>
      </c>
    </row>
    <row r="31" spans="1:7" ht="14.25" customHeight="1" x14ac:dyDescent="0.25">
      <c r="A31" s="33" t="s">
        <v>472</v>
      </c>
      <c r="B31" s="320">
        <v>883351469845</v>
      </c>
      <c r="C31" s="291">
        <v>1</v>
      </c>
      <c r="D31" s="280">
        <v>47.97</v>
      </c>
      <c r="E31" s="14">
        <f t="shared" si="1"/>
        <v>47.97</v>
      </c>
    </row>
    <row r="32" spans="1:7" ht="14.25" customHeight="1" x14ac:dyDescent="0.25">
      <c r="A32" s="33" t="s">
        <v>473</v>
      </c>
      <c r="B32" s="320">
        <v>883351891448</v>
      </c>
      <c r="C32" s="291">
        <v>1</v>
      </c>
      <c r="D32" s="280">
        <v>69.97</v>
      </c>
      <c r="E32" s="14">
        <f t="shared" si="1"/>
        <v>69.97</v>
      </c>
    </row>
    <row r="33" spans="1:9" ht="14.25" customHeight="1" x14ac:dyDescent="0.25">
      <c r="A33" s="33" t="s">
        <v>474</v>
      </c>
      <c r="B33" s="320">
        <v>883351396332</v>
      </c>
      <c r="C33" s="291">
        <v>1</v>
      </c>
      <c r="D33" s="280">
        <v>139</v>
      </c>
      <c r="E33" s="14">
        <f t="shared" si="1"/>
        <v>139</v>
      </c>
    </row>
    <row r="34" spans="1:9" ht="14.25" customHeight="1" x14ac:dyDescent="0.25">
      <c r="A34" s="33"/>
      <c r="B34" s="320"/>
      <c r="C34" s="322"/>
      <c r="D34" s="321"/>
      <c r="E34" s="14">
        <f>+C34*D34</f>
        <v>0</v>
      </c>
      <c r="F34" s="14">
        <f>SUM(E4:E33)</f>
        <v>2024.3100000000002</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2024.3100000000002</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22" activePane="bottomLeft" state="frozen"/>
      <selection pane="bottomLeft" activeCell="I28" sqref="I28"/>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475</v>
      </c>
      <c r="B1" s="3"/>
    </row>
    <row r="2" spans="1:7" x14ac:dyDescent="0.25">
      <c r="C2" s="3"/>
      <c r="D2" s="8"/>
      <c r="E2" s="13"/>
      <c r="F2" s="13"/>
      <c r="G2" s="13"/>
    </row>
    <row r="3" spans="1:7" ht="15.75" thickBot="1" x14ac:dyDescent="0.3">
      <c r="A3" s="32" t="s">
        <v>303</v>
      </c>
      <c r="B3" s="32" t="s">
        <v>431</v>
      </c>
      <c r="C3" s="32" t="s">
        <v>373</v>
      </c>
      <c r="D3" s="298" t="s">
        <v>374</v>
      </c>
      <c r="E3" s="299" t="s">
        <v>375</v>
      </c>
      <c r="F3" s="299" t="s">
        <v>359</v>
      </c>
      <c r="G3" s="299" t="s">
        <v>376</v>
      </c>
    </row>
    <row r="4" spans="1:7" x14ac:dyDescent="0.25">
      <c r="A4" s="296"/>
      <c r="B4" s="296" t="s">
        <v>476</v>
      </c>
      <c r="C4" s="293">
        <v>0</v>
      </c>
      <c r="D4" s="297">
        <v>154</v>
      </c>
      <c r="E4" s="14">
        <f>+C4*D4</f>
        <v>0</v>
      </c>
      <c r="F4" s="26">
        <f t="shared" ref="F4:F22" si="0">+E4*0.0725</f>
        <v>0</v>
      </c>
      <c r="G4" s="13"/>
    </row>
    <row r="5" spans="1:7" x14ac:dyDescent="0.25">
      <c r="A5" s="293" t="s">
        <v>477</v>
      </c>
      <c r="B5" s="293">
        <v>795984</v>
      </c>
      <c r="C5" s="291">
        <v>0</v>
      </c>
      <c r="D5" s="280">
        <v>144</v>
      </c>
      <c r="E5" s="14">
        <f>+C5*D5</f>
        <v>0</v>
      </c>
      <c r="F5" s="26">
        <f t="shared" si="0"/>
        <v>0</v>
      </c>
    </row>
    <row r="6" spans="1:7" x14ac:dyDescent="0.25">
      <c r="A6" s="293" t="s">
        <v>478</v>
      </c>
      <c r="B6" s="293" t="s">
        <v>478</v>
      </c>
      <c r="C6" s="291">
        <v>0</v>
      </c>
      <c r="D6" s="280">
        <v>224</v>
      </c>
      <c r="E6" s="14">
        <f>+C6*D6</f>
        <v>0</v>
      </c>
      <c r="F6" s="26">
        <f t="shared" si="0"/>
        <v>0</v>
      </c>
    </row>
    <row r="7" spans="1:7" x14ac:dyDescent="0.25">
      <c r="A7" s="293" t="s">
        <v>479</v>
      </c>
      <c r="B7" s="293" t="s">
        <v>480</v>
      </c>
      <c r="C7" s="291">
        <v>0</v>
      </c>
      <c r="D7" s="280">
        <v>152</v>
      </c>
      <c r="E7" s="14">
        <f>+C7*D7</f>
        <v>0</v>
      </c>
      <c r="F7" s="26">
        <f t="shared" si="0"/>
        <v>0</v>
      </c>
    </row>
    <row r="8" spans="1:7" x14ac:dyDescent="0.25">
      <c r="A8" s="293" t="s">
        <v>481</v>
      </c>
      <c r="B8" s="293" t="s">
        <v>482</v>
      </c>
      <c r="C8" s="291">
        <v>0</v>
      </c>
      <c r="D8" s="280">
        <v>50</v>
      </c>
      <c r="E8" s="14">
        <f>+C8*D8</f>
        <v>0</v>
      </c>
      <c r="F8" s="26">
        <f t="shared" si="0"/>
        <v>0</v>
      </c>
    </row>
    <row r="9" spans="1:7" x14ac:dyDescent="0.25">
      <c r="A9" s="293" t="s">
        <v>483</v>
      </c>
      <c r="B9" s="293" t="s">
        <v>484</v>
      </c>
      <c r="C9" s="291">
        <v>0</v>
      </c>
      <c r="D9" s="280">
        <v>166</v>
      </c>
      <c r="E9" s="14">
        <f t="shared" ref="E9:E22" si="1">+C9*D9</f>
        <v>0</v>
      </c>
      <c r="F9" s="26">
        <f t="shared" si="0"/>
        <v>0</v>
      </c>
    </row>
    <row r="10" spans="1:7" x14ac:dyDescent="0.25">
      <c r="A10" s="293" t="s">
        <v>485</v>
      </c>
      <c r="B10" s="293" t="s">
        <v>486</v>
      </c>
      <c r="C10" s="291">
        <v>0</v>
      </c>
      <c r="D10" s="280">
        <v>104</v>
      </c>
      <c r="E10" s="14">
        <f t="shared" si="1"/>
        <v>0</v>
      </c>
      <c r="F10" s="26">
        <f t="shared" si="0"/>
        <v>0</v>
      </c>
    </row>
    <row r="11" spans="1:7" x14ac:dyDescent="0.25">
      <c r="A11" s="293" t="s">
        <v>487</v>
      </c>
      <c r="B11" s="293" t="s">
        <v>488</v>
      </c>
      <c r="C11" s="291">
        <v>0</v>
      </c>
      <c r="D11" s="280">
        <v>81.98</v>
      </c>
      <c r="E11" s="14">
        <f t="shared" si="1"/>
        <v>0</v>
      </c>
      <c r="F11" s="26">
        <f t="shared" si="0"/>
        <v>0</v>
      </c>
    </row>
    <row r="12" spans="1:7" x14ac:dyDescent="0.25">
      <c r="A12" s="293" t="s">
        <v>487</v>
      </c>
      <c r="B12" s="293" t="s">
        <v>489</v>
      </c>
      <c r="C12" s="291">
        <v>0</v>
      </c>
      <c r="D12" s="280">
        <v>143</v>
      </c>
      <c r="E12" s="14">
        <f t="shared" si="1"/>
        <v>0</v>
      </c>
      <c r="F12" s="26">
        <f t="shared" si="0"/>
        <v>0</v>
      </c>
    </row>
    <row r="13" spans="1:7" x14ac:dyDescent="0.25">
      <c r="A13" s="293" t="s">
        <v>487</v>
      </c>
      <c r="B13" s="293" t="s">
        <v>490</v>
      </c>
      <c r="C13" s="291">
        <v>0</v>
      </c>
      <c r="D13" s="280">
        <v>98.98</v>
      </c>
      <c r="E13" s="14">
        <f t="shared" si="1"/>
        <v>0</v>
      </c>
      <c r="F13" s="26">
        <f t="shared" si="0"/>
        <v>0</v>
      </c>
    </row>
    <row r="14" spans="1:7" x14ac:dyDescent="0.25">
      <c r="A14" s="293" t="s">
        <v>491</v>
      </c>
      <c r="B14" s="293" t="s">
        <v>492</v>
      </c>
      <c r="C14" s="291">
        <v>0</v>
      </c>
      <c r="D14" s="280">
        <v>165</v>
      </c>
      <c r="E14" s="14">
        <f t="shared" si="1"/>
        <v>0</v>
      </c>
      <c r="F14" s="26">
        <f t="shared" si="0"/>
        <v>0</v>
      </c>
    </row>
    <row r="15" spans="1:7" x14ac:dyDescent="0.25">
      <c r="A15" s="293" t="s">
        <v>493</v>
      </c>
      <c r="B15" s="293">
        <v>795984</v>
      </c>
      <c r="C15" s="291">
        <v>0</v>
      </c>
      <c r="D15" s="280">
        <v>144</v>
      </c>
      <c r="E15" s="14">
        <f t="shared" si="1"/>
        <v>0</v>
      </c>
      <c r="F15" s="26">
        <f t="shared" si="0"/>
        <v>0</v>
      </c>
    </row>
    <row r="16" spans="1:7" x14ac:dyDescent="0.25">
      <c r="A16" s="293"/>
      <c r="B16" s="293" t="s">
        <v>494</v>
      </c>
      <c r="C16" s="291">
        <v>0</v>
      </c>
      <c r="D16" s="280">
        <v>107</v>
      </c>
      <c r="E16" s="14">
        <f t="shared" si="1"/>
        <v>0</v>
      </c>
      <c r="F16" s="26">
        <f t="shared" si="0"/>
        <v>0</v>
      </c>
    </row>
    <row r="17" spans="1:10" x14ac:dyDescent="0.25">
      <c r="A17" s="293" t="s">
        <v>487</v>
      </c>
      <c r="B17" s="293" t="s">
        <v>495</v>
      </c>
      <c r="C17" s="291">
        <v>0</v>
      </c>
      <c r="D17" s="280">
        <v>112</v>
      </c>
      <c r="E17" s="14">
        <f t="shared" si="1"/>
        <v>0</v>
      </c>
      <c r="F17" s="26">
        <f t="shared" si="0"/>
        <v>0</v>
      </c>
    </row>
    <row r="18" spans="1:10" x14ac:dyDescent="0.25">
      <c r="A18" s="293" t="s">
        <v>496</v>
      </c>
      <c r="B18" s="293" t="s">
        <v>496</v>
      </c>
      <c r="C18" s="291">
        <v>0</v>
      </c>
      <c r="D18" s="280">
        <v>40.96</v>
      </c>
      <c r="E18" s="14">
        <f t="shared" si="1"/>
        <v>0</v>
      </c>
      <c r="F18" s="26">
        <f t="shared" si="0"/>
        <v>0</v>
      </c>
    </row>
    <row r="19" spans="1:10" x14ac:dyDescent="0.25">
      <c r="A19" s="293"/>
      <c r="B19" s="293" t="s">
        <v>497</v>
      </c>
      <c r="C19" s="291">
        <v>0</v>
      </c>
      <c r="D19" s="280">
        <v>18.28</v>
      </c>
      <c r="E19" s="14">
        <f t="shared" si="1"/>
        <v>0</v>
      </c>
      <c r="F19" s="26">
        <f t="shared" si="0"/>
        <v>0</v>
      </c>
    </row>
    <row r="20" spans="1:10" x14ac:dyDescent="0.25">
      <c r="A20" s="293"/>
      <c r="B20" s="293" t="s">
        <v>146</v>
      </c>
      <c r="C20" s="291">
        <v>0</v>
      </c>
      <c r="D20" s="280">
        <v>0</v>
      </c>
      <c r="E20" s="14">
        <f t="shared" si="1"/>
        <v>0</v>
      </c>
      <c r="F20" s="26">
        <f t="shared" si="0"/>
        <v>0</v>
      </c>
    </row>
    <row r="21" spans="1:10" x14ac:dyDescent="0.25">
      <c r="A21" s="293" t="s">
        <v>498</v>
      </c>
      <c r="B21" s="293"/>
      <c r="C21" s="291">
        <v>0</v>
      </c>
      <c r="D21" s="280">
        <v>0</v>
      </c>
      <c r="E21" s="14">
        <f t="shared" si="1"/>
        <v>0</v>
      </c>
      <c r="F21" s="26">
        <f t="shared" si="0"/>
        <v>0</v>
      </c>
    </row>
    <row r="22" spans="1:10" ht="15.75" thickBot="1" x14ac:dyDescent="0.3">
      <c r="A22" s="293" t="s">
        <v>499</v>
      </c>
      <c r="B22" s="293"/>
      <c r="C22" s="291">
        <v>0</v>
      </c>
      <c r="D22" s="280">
        <v>935.09</v>
      </c>
      <c r="E22" s="21">
        <f t="shared" si="1"/>
        <v>0</v>
      </c>
      <c r="F22" s="21">
        <f t="shared" si="0"/>
        <v>0</v>
      </c>
      <c r="G22" s="21"/>
    </row>
    <row r="23" spans="1:10" x14ac:dyDescent="0.25">
      <c r="G23" s="14">
        <f>+SUM(E4:E22)+SUM(F4:F22)</f>
        <v>0</v>
      </c>
      <c r="J23" s="1"/>
    </row>
    <row r="24" spans="1:10" x14ac:dyDescent="0.25">
      <c r="A24" s="33" t="s">
        <v>500</v>
      </c>
    </row>
    <row r="25" spans="1:10" x14ac:dyDescent="0.25">
      <c r="A25" s="3" t="s">
        <v>303</v>
      </c>
      <c r="B25" s="3" t="s">
        <v>431</v>
      </c>
      <c r="C25" s="3" t="s">
        <v>373</v>
      </c>
      <c r="D25" s="8" t="s">
        <v>374</v>
      </c>
      <c r="E25" s="13" t="s">
        <v>375</v>
      </c>
      <c r="F25" s="13"/>
      <c r="G25" s="13" t="s">
        <v>376</v>
      </c>
    </row>
    <row r="26" spans="1:10" x14ac:dyDescent="0.25">
      <c r="A26" s="184"/>
      <c r="B26" s="184" t="s">
        <v>501</v>
      </c>
      <c r="C26" s="291">
        <v>0</v>
      </c>
      <c r="D26" s="280">
        <v>0</v>
      </c>
      <c r="E26" s="14">
        <f>+C26*D26</f>
        <v>0</v>
      </c>
      <c r="F26" s="26">
        <f>+E26*0.0725</f>
        <v>0</v>
      </c>
    </row>
    <row r="27" spans="1:10" x14ac:dyDescent="0.25">
      <c r="A27" s="184"/>
      <c r="B27" s="184" t="s">
        <v>502</v>
      </c>
      <c r="C27" s="291">
        <v>0</v>
      </c>
      <c r="D27" s="280">
        <v>0</v>
      </c>
      <c r="E27" s="14">
        <f>+C27*D27</f>
        <v>0</v>
      </c>
      <c r="F27" s="26">
        <f>+E27*0.0725</f>
        <v>0</v>
      </c>
    </row>
    <row r="28" spans="1:10" x14ac:dyDescent="0.25">
      <c r="A28" s="184"/>
      <c r="B28" s="184" t="s">
        <v>503</v>
      </c>
      <c r="C28" s="291">
        <v>0</v>
      </c>
      <c r="D28" s="280">
        <v>0</v>
      </c>
      <c r="E28" s="14">
        <f>+C28*D28</f>
        <v>0</v>
      </c>
      <c r="F28" s="26">
        <f>+E28*0.0725</f>
        <v>0</v>
      </c>
    </row>
    <row r="29" spans="1:10" x14ac:dyDescent="0.25">
      <c r="A29" s="29" t="s">
        <v>504</v>
      </c>
      <c r="B29" s="184"/>
      <c r="C29" s="291">
        <v>0</v>
      </c>
      <c r="D29" s="280">
        <v>4345</v>
      </c>
      <c r="E29" s="14">
        <f>+C29*D29</f>
        <v>0</v>
      </c>
      <c r="F29" s="26">
        <f>+E29*0.0725</f>
        <v>0</v>
      </c>
    </row>
    <row r="30" spans="1:10" x14ac:dyDescent="0.25">
      <c r="A30" s="184"/>
      <c r="B30" s="184"/>
      <c r="C30" s="291">
        <v>0</v>
      </c>
      <c r="D30" s="280">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505</v>
      </c>
    </row>
    <row r="35" spans="1:10" x14ac:dyDescent="0.25">
      <c r="A35" s="3" t="s">
        <v>303</v>
      </c>
      <c r="B35" s="3" t="s">
        <v>431</v>
      </c>
      <c r="C35" s="3" t="s">
        <v>373</v>
      </c>
      <c r="D35" s="8" t="s">
        <v>374</v>
      </c>
      <c r="E35" s="13" t="s">
        <v>375</v>
      </c>
      <c r="F35" s="13"/>
      <c r="G35" s="13" t="s">
        <v>376</v>
      </c>
    </row>
    <row r="36" spans="1:10" x14ac:dyDescent="0.25">
      <c r="A36" s="296" t="s">
        <v>506</v>
      </c>
      <c r="B36" s="296"/>
      <c r="C36" s="296">
        <v>0</v>
      </c>
      <c r="D36" s="297">
        <v>1100</v>
      </c>
      <c r="E36" s="14">
        <f t="shared" ref="E36:E41" si="2">+C36*D36</f>
        <v>0</v>
      </c>
      <c r="F36" s="26">
        <f t="shared" ref="F36:F41" si="3">+E36*0.0725</f>
        <v>0</v>
      </c>
      <c r="G36" s="13"/>
    </row>
    <row r="37" spans="1:10" x14ac:dyDescent="0.25">
      <c r="A37" s="184" t="s">
        <v>507</v>
      </c>
      <c r="B37" s="184">
        <v>400390</v>
      </c>
      <c r="C37" s="291">
        <v>0</v>
      </c>
      <c r="D37" s="280">
        <v>2.0499999999999998</v>
      </c>
      <c r="E37" s="14">
        <f t="shared" si="2"/>
        <v>0</v>
      </c>
      <c r="F37" s="26">
        <f t="shared" si="3"/>
        <v>0</v>
      </c>
    </row>
    <row r="38" spans="1:10" x14ac:dyDescent="0.25">
      <c r="A38" s="184" t="s">
        <v>508</v>
      </c>
      <c r="B38" s="184">
        <v>376787</v>
      </c>
      <c r="C38" s="291">
        <v>0</v>
      </c>
      <c r="D38" s="280">
        <v>4.9800000000000004</v>
      </c>
      <c r="E38" s="14">
        <f t="shared" si="2"/>
        <v>0</v>
      </c>
      <c r="F38" s="26">
        <f t="shared" si="3"/>
        <v>0</v>
      </c>
    </row>
    <row r="39" spans="1:10" x14ac:dyDescent="0.25">
      <c r="A39" s="184" t="s">
        <v>146</v>
      </c>
      <c r="B39" s="184" t="s">
        <v>146</v>
      </c>
      <c r="C39" s="291">
        <v>0</v>
      </c>
      <c r="D39" s="280">
        <v>0</v>
      </c>
      <c r="E39" s="14">
        <f t="shared" si="2"/>
        <v>0</v>
      </c>
      <c r="F39" s="26">
        <f t="shared" si="3"/>
        <v>0</v>
      </c>
    </row>
    <row r="40" spans="1:10" x14ac:dyDescent="0.25">
      <c r="A40" s="184" t="s">
        <v>509</v>
      </c>
      <c r="B40" s="184">
        <v>2280072</v>
      </c>
      <c r="C40" s="291">
        <v>0</v>
      </c>
      <c r="D40" s="280">
        <v>18.97</v>
      </c>
      <c r="E40" s="14">
        <f t="shared" si="2"/>
        <v>0</v>
      </c>
      <c r="F40" s="26">
        <f t="shared" si="3"/>
        <v>0</v>
      </c>
    </row>
    <row r="41" spans="1:10" ht="15.75" thickBot="1" x14ac:dyDescent="0.3">
      <c r="A41" s="184" t="s">
        <v>510</v>
      </c>
      <c r="B41" s="184">
        <v>1000707539</v>
      </c>
      <c r="C41" s="291">
        <v>0</v>
      </c>
      <c r="D41" s="280">
        <v>1.98</v>
      </c>
      <c r="E41" s="21">
        <f t="shared" si="2"/>
        <v>0</v>
      </c>
      <c r="F41" s="21">
        <f t="shared" si="3"/>
        <v>0</v>
      </c>
      <c r="G41" s="21"/>
    </row>
    <row r="42" spans="1:10" x14ac:dyDescent="0.25">
      <c r="G42" s="14">
        <f>+SUM(E36:E41)+SUM(F36:F41)</f>
        <v>0</v>
      </c>
    </row>
    <row r="43" spans="1:10" ht="15.75" thickBot="1" x14ac:dyDescent="0.3">
      <c r="H43" s="21"/>
      <c r="J43" s="3" t="s">
        <v>429</v>
      </c>
    </row>
    <row r="44" spans="1:10" x14ac:dyDescent="0.25">
      <c r="H44" s="14">
        <f>IF(Profit!O2="yes",+SUM(G23:G42),J44)</f>
        <v>4165</v>
      </c>
      <c r="J44" s="14">
        <v>4165</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workbookViewId="0">
      <selection activeCell="H5" sqref="H5"/>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219</v>
      </c>
      <c r="B1" s="33"/>
      <c r="D1" s="484" t="s">
        <v>511</v>
      </c>
      <c r="J1" s="3"/>
    </row>
    <row r="2" spans="1:12" s="3" customFormat="1" x14ac:dyDescent="0.25">
      <c r="A2" s="3" t="s">
        <v>303</v>
      </c>
      <c r="B2" s="3" t="s">
        <v>512</v>
      </c>
      <c r="C2" s="3" t="s">
        <v>322</v>
      </c>
      <c r="D2" s="484"/>
      <c r="E2" s="3" t="s">
        <v>194</v>
      </c>
      <c r="F2" s="8" t="s">
        <v>374</v>
      </c>
      <c r="G2" s="6" t="s">
        <v>375</v>
      </c>
      <c r="H2" s="13" t="s">
        <v>359</v>
      </c>
      <c r="I2" s="3" t="s">
        <v>376</v>
      </c>
      <c r="J2"/>
    </row>
    <row r="3" spans="1:12" s="3" customFormat="1" x14ac:dyDescent="0.25">
      <c r="A3" s="33" t="s">
        <v>513</v>
      </c>
      <c r="B3" s="215">
        <f>+Profit!K8</f>
        <v>1898</v>
      </c>
      <c r="F3" s="8"/>
      <c r="G3" s="6"/>
      <c r="H3" s="26">
        <f t="shared" ref="H3:H16" si="0">+G3*0.0725</f>
        <v>0</v>
      </c>
    </row>
    <row r="4" spans="1:12" x14ac:dyDescent="0.25">
      <c r="A4" s="184" t="s">
        <v>514</v>
      </c>
      <c r="C4" s="184" t="s">
        <v>515</v>
      </c>
      <c r="D4" s="2">
        <f>20/2526</f>
        <v>7.91765637371338E-3</v>
      </c>
      <c r="E4" s="291">
        <v>0</v>
      </c>
      <c r="F4" s="280">
        <v>68.540000000000006</v>
      </c>
      <c r="G4" s="1">
        <f>IF(E4&lt;&gt;"",+E4*F4,F4*D4*$B$3)</f>
        <v>0</v>
      </c>
      <c r="H4" s="26">
        <f t="shared" si="0"/>
        <v>0</v>
      </c>
      <c r="I4"/>
      <c r="L4" s="5"/>
    </row>
    <row r="5" spans="1:12" x14ac:dyDescent="0.25">
      <c r="A5" s="184" t="s">
        <v>623</v>
      </c>
      <c r="C5" s="184" t="s">
        <v>529</v>
      </c>
      <c r="E5" s="291">
        <v>5</v>
      </c>
      <c r="F5" s="280">
        <v>50.24</v>
      </c>
      <c r="G5" s="1">
        <f t="shared" ref="G5:G16" si="1">IF(E5&lt;&gt;"",+E5*F5,F5*D5*$B$3)</f>
        <v>251.20000000000002</v>
      </c>
      <c r="H5" s="26">
        <f t="shared" si="0"/>
        <v>18.212</v>
      </c>
      <c r="I5"/>
    </row>
    <row r="6" spans="1:12" x14ac:dyDescent="0.25">
      <c r="A6" s="184" t="s">
        <v>516</v>
      </c>
      <c r="C6" s="184" t="s">
        <v>517</v>
      </c>
      <c r="E6" s="291">
        <v>0</v>
      </c>
      <c r="F6" s="280">
        <v>85.89</v>
      </c>
      <c r="G6" s="1">
        <f t="shared" ref="G6" si="2">IF(E6&lt;&gt;"",+E6*F6,F6*D6*$B$3)</f>
        <v>0</v>
      </c>
      <c r="H6" s="26">
        <f t="shared" ref="H6" si="3">+G6*0.0725</f>
        <v>0</v>
      </c>
      <c r="I6"/>
    </row>
    <row r="7" spans="1:12" x14ac:dyDescent="0.25">
      <c r="A7" s="184" t="s">
        <v>518</v>
      </c>
      <c r="C7" s="184" t="s">
        <v>519</v>
      </c>
      <c r="E7" s="291">
        <v>5</v>
      </c>
      <c r="F7" s="280">
        <v>65.64</v>
      </c>
      <c r="G7" s="1">
        <f t="shared" ref="G7" si="4">IF(E7&lt;&gt;"",+E7*F7,F7*D7*$B$3)</f>
        <v>328.2</v>
      </c>
      <c r="H7" s="26">
        <f t="shared" ref="H7" si="5">+G7*0.0725</f>
        <v>23.794499999999996</v>
      </c>
      <c r="I7"/>
    </row>
    <row r="8" spans="1:12" x14ac:dyDescent="0.25">
      <c r="A8" s="184" t="s">
        <v>520</v>
      </c>
      <c r="C8" s="184">
        <v>185342</v>
      </c>
      <c r="D8" s="2">
        <f>10/2526</f>
        <v>3.95882818685669E-3</v>
      </c>
      <c r="E8" s="291">
        <v>0</v>
      </c>
      <c r="F8" s="291">
        <f>147/5</f>
        <v>29.4</v>
      </c>
      <c r="G8" s="1">
        <f t="shared" si="1"/>
        <v>0</v>
      </c>
      <c r="H8" s="26">
        <f t="shared" si="0"/>
        <v>0</v>
      </c>
      <c r="I8"/>
    </row>
    <row r="9" spans="1:12" x14ac:dyDescent="0.25">
      <c r="A9" s="184" t="s">
        <v>521</v>
      </c>
      <c r="C9" s="184" t="s">
        <v>522</v>
      </c>
      <c r="E9" s="291">
        <v>10</v>
      </c>
      <c r="F9" s="280">
        <v>33.49</v>
      </c>
      <c r="G9" s="1">
        <f t="shared" si="1"/>
        <v>334.90000000000003</v>
      </c>
      <c r="H9" s="26">
        <f t="shared" si="0"/>
        <v>24.280250000000002</v>
      </c>
      <c r="I9"/>
    </row>
    <row r="10" spans="1:12" x14ac:dyDescent="0.25">
      <c r="A10" s="184" t="s">
        <v>523</v>
      </c>
      <c r="C10" s="184">
        <v>389832</v>
      </c>
      <c r="E10" s="291">
        <v>0</v>
      </c>
      <c r="F10" s="280">
        <v>39.979999999999997</v>
      </c>
      <c r="G10" s="1">
        <f t="shared" si="1"/>
        <v>0</v>
      </c>
      <c r="H10" s="26">
        <f t="shared" si="0"/>
        <v>0</v>
      </c>
      <c r="I10"/>
    </row>
    <row r="11" spans="1:12" x14ac:dyDescent="0.25">
      <c r="A11" s="184" t="s">
        <v>524</v>
      </c>
      <c r="C11" s="184">
        <v>985007</v>
      </c>
      <c r="D11" s="2">
        <f>3/2526</f>
        <v>1.1876484560570072E-3</v>
      </c>
      <c r="E11" s="291">
        <v>0</v>
      </c>
      <c r="F11" s="280">
        <v>52.23</v>
      </c>
      <c r="G11" s="1">
        <f t="shared" si="1"/>
        <v>0</v>
      </c>
      <c r="H11" s="26">
        <f t="shared" si="0"/>
        <v>0</v>
      </c>
      <c r="I11"/>
    </row>
    <row r="12" spans="1:12" x14ac:dyDescent="0.25">
      <c r="A12" s="184" t="s">
        <v>525</v>
      </c>
      <c r="C12" s="184">
        <v>814917</v>
      </c>
      <c r="D12" s="2">
        <f>15/2526</f>
        <v>5.9382422802850355E-3</v>
      </c>
      <c r="E12" s="291">
        <v>0</v>
      </c>
      <c r="F12" s="280">
        <f>109/5</f>
        <v>21.8</v>
      </c>
      <c r="G12" s="1">
        <f t="shared" si="1"/>
        <v>0</v>
      </c>
      <c r="H12" s="26">
        <f t="shared" si="0"/>
        <v>0</v>
      </c>
      <c r="I12"/>
    </row>
    <row r="13" spans="1:12" x14ac:dyDescent="0.25">
      <c r="A13" s="184" t="s">
        <v>526</v>
      </c>
      <c r="C13" s="184" t="s">
        <v>527</v>
      </c>
      <c r="E13" s="291">
        <v>0</v>
      </c>
      <c r="F13" s="280">
        <v>40</v>
      </c>
      <c r="G13" s="1">
        <f t="shared" si="1"/>
        <v>0</v>
      </c>
      <c r="H13" s="26">
        <f t="shared" si="0"/>
        <v>0</v>
      </c>
      <c r="I13"/>
    </row>
    <row r="14" spans="1:12" x14ac:dyDescent="0.25">
      <c r="A14" s="2" t="s">
        <v>528</v>
      </c>
      <c r="C14" s="184" t="s">
        <v>529</v>
      </c>
      <c r="E14" s="291">
        <v>15</v>
      </c>
      <c r="F14" s="280">
        <v>50.24</v>
      </c>
      <c r="G14" s="1">
        <f t="shared" si="1"/>
        <v>753.6</v>
      </c>
      <c r="H14" s="26">
        <f t="shared" si="0"/>
        <v>54.635999999999996</v>
      </c>
    </row>
    <row r="15" spans="1:12" x14ac:dyDescent="0.25">
      <c r="A15" s="33" t="s">
        <v>530</v>
      </c>
      <c r="B15" s="185">
        <v>0</v>
      </c>
      <c r="E15"/>
      <c r="F15" s="5"/>
      <c r="G15" s="1"/>
      <c r="H15" s="1"/>
      <c r="I15"/>
    </row>
    <row r="16" spans="1:12" x14ac:dyDescent="0.25">
      <c r="A16" s="2" t="s">
        <v>531</v>
      </c>
      <c r="E16"/>
      <c r="F16" s="5"/>
      <c r="G16" s="1">
        <f t="shared" si="1"/>
        <v>0</v>
      </c>
      <c r="H16" s="26">
        <f t="shared" si="0"/>
        <v>0</v>
      </c>
      <c r="I16"/>
    </row>
    <row r="17" spans="1:14" x14ac:dyDescent="0.25">
      <c r="B17" s="215">
        <f>+B3</f>
        <v>1898</v>
      </c>
      <c r="E17"/>
      <c r="F17" s="5"/>
      <c r="G17" s="1"/>
      <c r="H17" s="1"/>
      <c r="I17"/>
    </row>
    <row r="18" spans="1:14" x14ac:dyDescent="0.25">
      <c r="A18" s="33" t="s">
        <v>532</v>
      </c>
      <c r="B18" s="185">
        <v>0</v>
      </c>
      <c r="E18"/>
      <c r="F18" s="5"/>
      <c r="G18" s="1"/>
      <c r="H18" s="1"/>
      <c r="I18"/>
    </row>
    <row r="19" spans="1:14" x14ac:dyDescent="0.25">
      <c r="A19" s="184" t="s">
        <v>533</v>
      </c>
      <c r="C19" s="184" t="s">
        <v>534</v>
      </c>
      <c r="E19" s="291">
        <v>0</v>
      </c>
      <c r="F19" s="280">
        <v>93</v>
      </c>
      <c r="G19" s="1">
        <f>IF(E19&lt;&gt;"",+E19*F19,F19*D19*$B$3)</f>
        <v>0</v>
      </c>
      <c r="H19" s="26">
        <f t="shared" ref="H19:H24" si="6">+G19*0.0725</f>
        <v>0</v>
      </c>
      <c r="I19"/>
    </row>
    <row r="20" spans="1:14" x14ac:dyDescent="0.25">
      <c r="A20" s="33" t="s">
        <v>535</v>
      </c>
      <c r="B20" s="185">
        <v>500</v>
      </c>
      <c r="E20" s="291"/>
      <c r="F20" s="280"/>
      <c r="G20" s="1">
        <f>+E20*F20</f>
        <v>0</v>
      </c>
      <c r="H20" s="26">
        <f t="shared" si="6"/>
        <v>0</v>
      </c>
      <c r="I20"/>
    </row>
    <row r="21" spans="1:14" x14ac:dyDescent="0.25">
      <c r="A21" s="184" t="s">
        <v>536</v>
      </c>
      <c r="C21" s="184" t="s">
        <v>537</v>
      </c>
      <c r="E21" s="291">
        <v>0</v>
      </c>
      <c r="F21" s="280">
        <v>47.98</v>
      </c>
      <c r="G21" s="1">
        <f>IF(E21&lt;&gt;"",+E21*F21,F21*D21*$B$3)</f>
        <v>0</v>
      </c>
      <c r="H21" s="26">
        <f t="shared" si="6"/>
        <v>0</v>
      </c>
      <c r="I21"/>
    </row>
    <row r="22" spans="1:14" x14ac:dyDescent="0.25">
      <c r="A22" s="2" t="s">
        <v>538</v>
      </c>
      <c r="C22" s="184" t="s">
        <v>539</v>
      </c>
      <c r="E22" s="291">
        <v>0</v>
      </c>
      <c r="F22" s="280">
        <v>48.98</v>
      </c>
      <c r="G22" s="1">
        <f>IF(E22&lt;&gt;"",+E22*F22,F22*D22*$B$3)</f>
        <v>0</v>
      </c>
      <c r="H22" s="26">
        <f t="shared" si="6"/>
        <v>0</v>
      </c>
      <c r="I22"/>
      <c r="J22" s="2"/>
    </row>
    <row r="23" spans="1:14" x14ac:dyDescent="0.25">
      <c r="E23" s="291">
        <v>0</v>
      </c>
      <c r="F23" s="280"/>
      <c r="G23" s="1">
        <f>IF(E23&lt;&gt;"",+E23*F23,F23*D23*$B$3)</f>
        <v>0</v>
      </c>
      <c r="H23" s="26">
        <f t="shared" si="6"/>
        <v>0</v>
      </c>
      <c r="J23" s="2"/>
    </row>
    <row r="24" spans="1:14" ht="15.75" thickBot="1" x14ac:dyDescent="0.3">
      <c r="E24"/>
      <c r="F24" s="5"/>
      <c r="G24" s="30">
        <f>IF(E24&lt;&gt;"",+E24*F24,F24*D24*$B$3)</f>
        <v>0</v>
      </c>
      <c r="H24" s="295">
        <f t="shared" si="6"/>
        <v>0</v>
      </c>
      <c r="I24" s="30"/>
    </row>
    <row r="25" spans="1:14" x14ac:dyDescent="0.25">
      <c r="E25"/>
      <c r="F25" s="5"/>
      <c r="G25" s="1"/>
      <c r="H25" s="1"/>
      <c r="N25" s="2"/>
    </row>
    <row r="26" spans="1:14" x14ac:dyDescent="0.25">
      <c r="E26" s="582" t="s">
        <v>540</v>
      </c>
      <c r="F26" s="581"/>
      <c r="G26" s="581"/>
      <c r="H26" s="31"/>
      <c r="I26" s="1">
        <f>SUM(G4:G24)+SUM(H4:H24)</f>
        <v>1788.82275</v>
      </c>
    </row>
    <row r="27" spans="1:14" x14ac:dyDescent="0.25">
      <c r="A27" s="2" t="s">
        <v>541</v>
      </c>
      <c r="E27"/>
      <c r="F27" s="5"/>
      <c r="G27" s="1">
        <v>0</v>
      </c>
      <c r="H27" s="1"/>
      <c r="I27">
        <v>0</v>
      </c>
    </row>
    <row r="28" spans="1:14" x14ac:dyDescent="0.25">
      <c r="A28" s="184" t="s">
        <v>542</v>
      </c>
      <c r="B28" s="215">
        <f>+$B$3</f>
        <v>1898</v>
      </c>
      <c r="C28" s="184" t="s">
        <v>543</v>
      </c>
      <c r="E28" s="294" t="s">
        <v>92</v>
      </c>
      <c r="F28" s="280">
        <v>2.41</v>
      </c>
      <c r="G28" s="1">
        <f>IF(E28="yes",F28*B28,0)</f>
        <v>0</v>
      </c>
      <c r="H28" s="1"/>
      <c r="I28"/>
    </row>
    <row r="29" spans="1:14" x14ac:dyDescent="0.25">
      <c r="A29" s="184" t="s">
        <v>541</v>
      </c>
      <c r="B29" s="215">
        <f>+$B$3</f>
        <v>1898</v>
      </c>
      <c r="C29" s="184" t="s">
        <v>544</v>
      </c>
      <c r="E29" s="291" t="s">
        <v>13</v>
      </c>
      <c r="F29" s="280">
        <v>3.37</v>
      </c>
      <c r="G29" s="1">
        <f>IF(E29="yes",F29*B29,0)</f>
        <v>0</v>
      </c>
      <c r="H29" s="1"/>
      <c r="I29"/>
    </row>
    <row r="30" spans="1:14" ht="15.75" thickBot="1" x14ac:dyDescent="0.3">
      <c r="A30" s="184" t="s">
        <v>541</v>
      </c>
      <c r="B30" s="215">
        <f>+$B$3</f>
        <v>1898</v>
      </c>
      <c r="C30" s="184" t="s">
        <v>545</v>
      </c>
      <c r="E30" s="291" t="s">
        <v>13</v>
      </c>
      <c r="F30" s="280">
        <v>1</v>
      </c>
      <c r="G30" s="1">
        <f>IF(E30="yes",F30*B30,0)</f>
        <v>0</v>
      </c>
      <c r="H30" s="1"/>
      <c r="I30" s="23"/>
      <c r="K30" s="3" t="s">
        <v>429</v>
      </c>
    </row>
    <row r="31" spans="1:14" x14ac:dyDescent="0.25">
      <c r="E31"/>
      <c r="F31" s="5"/>
      <c r="G31" s="1"/>
      <c r="H31" s="1"/>
      <c r="I31" s="1">
        <f>IF(Profit!O2="yes",+SUM(G28:G30)+I26,K31)</f>
        <v>5750</v>
      </c>
      <c r="K31" s="1">
        <v>5750</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D6" sqref="D6"/>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546</v>
      </c>
      <c r="B1" s="33"/>
      <c r="I1" s="3"/>
    </row>
    <row r="2" spans="1:10" s="3" customFormat="1" x14ac:dyDescent="0.25">
      <c r="A2" s="3" t="s">
        <v>303</v>
      </c>
      <c r="B2" s="3" t="s">
        <v>512</v>
      </c>
      <c r="C2" s="3" t="s">
        <v>322</v>
      </c>
      <c r="D2" s="3" t="s">
        <v>194</v>
      </c>
      <c r="E2" s="8" t="s">
        <v>374</v>
      </c>
      <c r="F2" s="6" t="s">
        <v>375</v>
      </c>
      <c r="G2" s="3" t="s">
        <v>376</v>
      </c>
      <c r="I2"/>
    </row>
    <row r="3" spans="1:10" x14ac:dyDescent="0.25">
      <c r="B3" s="215">
        <f>+Profit!K8</f>
        <v>1898</v>
      </c>
      <c r="D3"/>
      <c r="E3" s="5"/>
      <c r="F3" s="1"/>
      <c r="G3"/>
      <c r="I3" s="3"/>
    </row>
    <row r="4" spans="1:10" x14ac:dyDescent="0.25">
      <c r="A4" s="184" t="s">
        <v>547</v>
      </c>
      <c r="B4" s="232">
        <f>+B3/2</f>
        <v>949</v>
      </c>
      <c r="C4" s="184" t="s">
        <v>543</v>
      </c>
      <c r="D4" t="s">
        <v>92</v>
      </c>
      <c r="E4" s="5">
        <f>8146/2526</f>
        <v>3.2248614410134602</v>
      </c>
      <c r="F4" s="1">
        <f>IF(D4="yes",E4*B4,0)</f>
        <v>0</v>
      </c>
      <c r="G4"/>
      <c r="H4" s="281" t="s">
        <v>548</v>
      </c>
    </row>
    <row r="5" spans="1:10" x14ac:dyDescent="0.25">
      <c r="A5" s="184" t="s">
        <v>549</v>
      </c>
      <c r="B5" s="232">
        <f>+B3/2</f>
        <v>949</v>
      </c>
      <c r="C5" s="184"/>
      <c r="D5" t="s">
        <v>92</v>
      </c>
      <c r="E5" s="5">
        <v>2.69</v>
      </c>
      <c r="F5" s="1">
        <f>IF(D5="yes",E5*B5,0)</f>
        <v>0</v>
      </c>
      <c r="G5"/>
    </row>
    <row r="6" spans="1:10" ht="15.75" thickBot="1" x14ac:dyDescent="0.3">
      <c r="A6" s="184" t="s">
        <v>550</v>
      </c>
      <c r="B6" s="232">
        <f>+B3</f>
        <v>1898</v>
      </c>
      <c r="C6" s="184"/>
      <c r="D6" t="s">
        <v>13</v>
      </c>
      <c r="E6" s="5">
        <v>1</v>
      </c>
      <c r="F6" s="1">
        <f>IF(D6="yes",E6*B6,0)</f>
        <v>0</v>
      </c>
      <c r="G6" s="23"/>
      <c r="J6" s="3" t="s">
        <v>429</v>
      </c>
    </row>
    <row r="7" spans="1:10" x14ac:dyDescent="0.25">
      <c r="D7"/>
      <c r="E7" s="5"/>
      <c r="F7" s="1"/>
      <c r="I7" s="2" t="s">
        <v>223</v>
      </c>
      <c r="J7">
        <v>3790</v>
      </c>
    </row>
    <row r="8" spans="1:10" x14ac:dyDescent="0.25">
      <c r="A8" s="2" t="s">
        <v>551</v>
      </c>
      <c r="D8"/>
      <c r="F8" s="5">
        <v>0</v>
      </c>
      <c r="I8" s="2" t="s">
        <v>552</v>
      </c>
      <c r="J8">
        <v>2815</v>
      </c>
    </row>
    <row r="9" spans="1:10" x14ac:dyDescent="0.25">
      <c r="A9" s="2" t="s">
        <v>146</v>
      </c>
      <c r="D9" t="s">
        <v>146</v>
      </c>
      <c r="E9" s="5" t="s">
        <v>146</v>
      </c>
      <c r="I9" s="2"/>
    </row>
    <row r="10" spans="1:10" x14ac:dyDescent="0.25">
      <c r="G10" s="1">
        <f>IF(Profit!O2="yes",SUM(F4:F8),J10)</f>
        <v>6605</v>
      </c>
      <c r="I10" s="2" t="s">
        <v>376</v>
      </c>
      <c r="J10" s="1">
        <f>SUM(J7:J9)</f>
        <v>6605</v>
      </c>
    </row>
    <row r="21" spans="9:9" x14ac:dyDescent="0.25">
      <c r="I21" s="2"/>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topLeftCell="A7" workbookViewId="0">
      <selection activeCell="E10" sqref="E10"/>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204</v>
      </c>
    </row>
    <row r="3" spans="1:14" s="22" customFormat="1" x14ac:dyDescent="0.25">
      <c r="A3" s="3" t="s">
        <v>303</v>
      </c>
      <c r="B3" s="3" t="s">
        <v>553</v>
      </c>
      <c r="C3" s="3" t="s">
        <v>373</v>
      </c>
      <c r="D3" s="8" t="s">
        <v>374</v>
      </c>
      <c r="E3" s="16" t="s">
        <v>417</v>
      </c>
      <c r="F3" s="3" t="s">
        <v>376</v>
      </c>
      <c r="H3" s="3"/>
      <c r="I3" s="3"/>
    </row>
    <row r="4" spans="1:14" x14ac:dyDescent="0.25">
      <c r="A4" t="s">
        <v>554</v>
      </c>
      <c r="B4" s="2" t="s">
        <v>555</v>
      </c>
      <c r="C4" s="11">
        <v>0</v>
      </c>
      <c r="D4" s="5">
        <v>7000</v>
      </c>
      <c r="E4" s="26">
        <f>+C4*D4</f>
        <v>0</v>
      </c>
    </row>
    <row r="5" spans="1:14" x14ac:dyDescent="0.25">
      <c r="A5" t="s">
        <v>556</v>
      </c>
      <c r="B5" s="2" t="s">
        <v>557</v>
      </c>
      <c r="C5" s="11">
        <v>0</v>
      </c>
      <c r="D5" s="5">
        <v>8.98</v>
      </c>
      <c r="E5" s="26">
        <f>+C5*D5</f>
        <v>0</v>
      </c>
    </row>
    <row r="6" spans="1:14" x14ac:dyDescent="0.25">
      <c r="A6" t="s">
        <v>556</v>
      </c>
      <c r="B6" s="2" t="s">
        <v>558</v>
      </c>
      <c r="C6" s="11">
        <v>0</v>
      </c>
      <c r="D6" s="5">
        <v>7.98</v>
      </c>
      <c r="E6" s="26">
        <f t="shared" ref="E6:E11" si="0">+C6*D6</f>
        <v>0</v>
      </c>
    </row>
    <row r="7" spans="1:14" x14ac:dyDescent="0.25">
      <c r="A7" t="s">
        <v>559</v>
      </c>
      <c r="B7" s="2" t="s">
        <v>560</v>
      </c>
      <c r="C7" s="11">
        <v>0</v>
      </c>
      <c r="D7" s="5">
        <v>44.93</v>
      </c>
      <c r="E7" s="26">
        <f t="shared" si="0"/>
        <v>0</v>
      </c>
    </row>
    <row r="8" spans="1:14" x14ac:dyDescent="0.25">
      <c r="A8" t="s">
        <v>561</v>
      </c>
      <c r="B8" s="2" t="s">
        <v>562</v>
      </c>
      <c r="C8" s="11">
        <v>0</v>
      </c>
      <c r="D8" s="5">
        <v>4.47</v>
      </c>
      <c r="E8" s="26">
        <f t="shared" si="0"/>
        <v>0</v>
      </c>
    </row>
    <row r="9" spans="1:14" x14ac:dyDescent="0.25">
      <c r="A9" t="s">
        <v>561</v>
      </c>
      <c r="B9" s="2" t="s">
        <v>563</v>
      </c>
      <c r="C9" s="11">
        <v>0</v>
      </c>
      <c r="D9" s="5">
        <v>4.97</v>
      </c>
      <c r="E9" s="26">
        <f t="shared" si="0"/>
        <v>0</v>
      </c>
      <c r="I9" s="33"/>
      <c r="J9" s="2"/>
      <c r="L9" s="5"/>
      <c r="M9" s="26"/>
    </row>
    <row r="10" spans="1:14" x14ac:dyDescent="0.25">
      <c r="A10" t="s">
        <v>746</v>
      </c>
      <c r="B10" s="2" t="s">
        <v>146</v>
      </c>
      <c r="C10" s="11">
        <v>1</v>
      </c>
      <c r="D10" s="5">
        <v>101.89</v>
      </c>
      <c r="E10" s="26">
        <f t="shared" si="0"/>
        <v>101.89</v>
      </c>
      <c r="I10" s="3"/>
      <c r="J10" s="3"/>
      <c r="K10" s="3"/>
      <c r="L10" s="8"/>
      <c r="M10" s="16"/>
      <c r="N10" s="3"/>
    </row>
    <row r="11" spans="1:14" x14ac:dyDescent="0.25">
      <c r="A11" t="s">
        <v>204</v>
      </c>
      <c r="B11" s="2" t="s">
        <v>555</v>
      </c>
      <c r="C11" s="11">
        <v>1</v>
      </c>
      <c r="D11" s="5">
        <v>9402.61</v>
      </c>
      <c r="E11" s="26">
        <f t="shared" si="0"/>
        <v>9402.61</v>
      </c>
      <c r="J11" s="2"/>
      <c r="K11" s="11"/>
      <c r="L11" s="5"/>
      <c r="M11" s="26"/>
    </row>
    <row r="12" spans="1:14" ht="15.75" thickBot="1" x14ac:dyDescent="0.3">
      <c r="A12" s="2" t="s">
        <v>564</v>
      </c>
      <c r="C12">
        <v>0</v>
      </c>
      <c r="D12" s="5">
        <v>11504</v>
      </c>
      <c r="E12" s="30">
        <f>+C12*D12</f>
        <v>0</v>
      </c>
      <c r="F12" s="30"/>
      <c r="J12" s="2"/>
      <c r="K12" s="11"/>
      <c r="L12" s="5"/>
      <c r="M12" s="26"/>
    </row>
    <row r="13" spans="1:14" x14ac:dyDescent="0.25">
      <c r="C13" s="582"/>
      <c r="D13" s="581"/>
      <c r="E13" s="581"/>
      <c r="F13" s="4">
        <f>+SUM(E4:E12)</f>
        <v>9504.5</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582"/>
      <c r="L20" s="581"/>
      <c r="M20" s="581"/>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topLeftCell="A7" workbookViewId="0">
      <selection activeCell="P23" sqref="P23"/>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565</v>
      </c>
      <c r="B1" s="3"/>
    </row>
    <row r="2" spans="1:6" x14ac:dyDescent="0.25">
      <c r="C2" s="3"/>
      <c r="D2" s="8"/>
      <c r="E2" s="13"/>
      <c r="F2" s="13"/>
    </row>
    <row r="3" spans="1:6" x14ac:dyDescent="0.25">
      <c r="A3" s="3" t="s">
        <v>303</v>
      </c>
      <c r="B3" s="3" t="s">
        <v>431</v>
      </c>
      <c r="C3" s="3" t="s">
        <v>373</v>
      </c>
      <c r="D3" s="8" t="s">
        <v>374</v>
      </c>
      <c r="E3" s="13" t="s">
        <v>375</v>
      </c>
      <c r="F3" s="13" t="s">
        <v>376</v>
      </c>
    </row>
    <row r="4" spans="1:6" x14ac:dyDescent="0.25">
      <c r="A4" s="3"/>
      <c r="B4" s="3"/>
      <c r="C4" s="31"/>
      <c r="D4" s="8"/>
      <c r="E4" s="14">
        <f>+C4*D4</f>
        <v>0</v>
      </c>
      <c r="F4" s="13"/>
    </row>
    <row r="5" spans="1:6" x14ac:dyDescent="0.25">
      <c r="A5" s="31" t="s">
        <v>566</v>
      </c>
      <c r="B5" s="31">
        <v>2599776</v>
      </c>
      <c r="C5">
        <v>0</v>
      </c>
      <c r="D5" s="5">
        <v>124.98</v>
      </c>
      <c r="E5" s="14">
        <f>+C5*D5</f>
        <v>0</v>
      </c>
    </row>
    <row r="6" spans="1:6" x14ac:dyDescent="0.25">
      <c r="A6" s="31" t="s">
        <v>567</v>
      </c>
      <c r="B6" s="31">
        <v>807421</v>
      </c>
      <c r="C6">
        <v>0</v>
      </c>
      <c r="D6" s="5">
        <v>112.48</v>
      </c>
      <c r="E6" s="14">
        <f>+C6*D6</f>
        <v>0</v>
      </c>
    </row>
    <row r="7" spans="1:6" x14ac:dyDescent="0.25">
      <c r="A7" s="31" t="s">
        <v>568</v>
      </c>
      <c r="B7" s="31">
        <v>321702</v>
      </c>
      <c r="C7">
        <v>0</v>
      </c>
      <c r="D7" s="5">
        <v>89.98</v>
      </c>
      <c r="E7" s="14">
        <f>+C7*D7</f>
        <v>0</v>
      </c>
    </row>
    <row r="8" spans="1:6" x14ac:dyDescent="0.25">
      <c r="A8" s="31" t="s">
        <v>569</v>
      </c>
      <c r="B8" s="31">
        <v>649829</v>
      </c>
      <c r="C8">
        <v>0</v>
      </c>
      <c r="D8" s="5">
        <v>129.97999999999999</v>
      </c>
      <c r="E8" s="14">
        <f>+C8*D8</f>
        <v>0</v>
      </c>
    </row>
    <row r="9" spans="1:6" x14ac:dyDescent="0.25">
      <c r="A9" s="31" t="s">
        <v>570</v>
      </c>
      <c r="B9" s="31">
        <v>2296055</v>
      </c>
      <c r="C9">
        <v>0</v>
      </c>
      <c r="D9" s="5">
        <v>179.98</v>
      </c>
      <c r="E9" s="14">
        <f t="shared" ref="E9:E26" si="0">+C9*D9</f>
        <v>0</v>
      </c>
    </row>
    <row r="10" spans="1:6" x14ac:dyDescent="0.25">
      <c r="A10" s="31" t="s">
        <v>571</v>
      </c>
      <c r="B10" s="31">
        <v>482287</v>
      </c>
      <c r="C10">
        <v>0</v>
      </c>
      <c r="D10" s="5">
        <v>62.98</v>
      </c>
      <c r="E10" s="14">
        <f t="shared" si="0"/>
        <v>0</v>
      </c>
    </row>
    <row r="11" spans="1:6" x14ac:dyDescent="0.25">
      <c r="A11" s="31" t="s">
        <v>572</v>
      </c>
      <c r="B11" s="31">
        <v>2535475</v>
      </c>
      <c r="C11">
        <v>0</v>
      </c>
      <c r="D11" s="5">
        <v>24.98</v>
      </c>
      <c r="E11" s="14">
        <f t="shared" si="0"/>
        <v>0</v>
      </c>
    </row>
    <row r="12" spans="1:6" x14ac:dyDescent="0.25">
      <c r="A12" s="31" t="s">
        <v>573</v>
      </c>
      <c r="B12" s="31" t="s">
        <v>574</v>
      </c>
      <c r="C12">
        <v>0</v>
      </c>
      <c r="D12" s="5">
        <v>10.9</v>
      </c>
      <c r="E12" s="14">
        <f t="shared" si="0"/>
        <v>0</v>
      </c>
    </row>
    <row r="13" spans="1:6" x14ac:dyDescent="0.25">
      <c r="A13" s="31" t="s">
        <v>618</v>
      </c>
      <c r="B13" s="31" t="s">
        <v>619</v>
      </c>
      <c r="C13">
        <v>1</v>
      </c>
      <c r="D13" s="5">
        <v>28.98</v>
      </c>
      <c r="E13" s="14">
        <f t="shared" si="0"/>
        <v>28.98</v>
      </c>
    </row>
    <row r="14" spans="1:6" x14ac:dyDescent="0.25">
      <c r="A14" s="31" t="s">
        <v>575</v>
      </c>
      <c r="B14" s="31" t="s">
        <v>576</v>
      </c>
      <c r="C14">
        <v>0</v>
      </c>
      <c r="D14" s="5">
        <v>19.97</v>
      </c>
      <c r="E14" s="14">
        <f t="shared" si="0"/>
        <v>0</v>
      </c>
    </row>
    <row r="15" spans="1:6" x14ac:dyDescent="0.25">
      <c r="A15" s="31" t="s">
        <v>681</v>
      </c>
      <c r="B15" s="31" t="s">
        <v>682</v>
      </c>
      <c r="C15">
        <v>1</v>
      </c>
      <c r="D15" s="5">
        <v>59.97</v>
      </c>
      <c r="E15" s="14">
        <f t="shared" si="0"/>
        <v>59.97</v>
      </c>
    </row>
    <row r="16" spans="1:6" x14ac:dyDescent="0.25">
      <c r="A16" s="31" t="s">
        <v>577</v>
      </c>
      <c r="B16" s="31" t="s">
        <v>578</v>
      </c>
      <c r="C16">
        <v>0</v>
      </c>
      <c r="D16" s="5">
        <v>16.98</v>
      </c>
      <c r="E16" s="14">
        <f t="shared" si="0"/>
        <v>0</v>
      </c>
    </row>
    <row r="17" spans="1:9" x14ac:dyDescent="0.25">
      <c r="A17" s="31" t="s">
        <v>743</v>
      </c>
      <c r="B17" s="31" t="s">
        <v>744</v>
      </c>
      <c r="C17">
        <v>2</v>
      </c>
      <c r="D17" s="5">
        <v>6.63</v>
      </c>
      <c r="E17" s="14">
        <f t="shared" si="0"/>
        <v>13.26</v>
      </c>
    </row>
    <row r="18" spans="1:9" x14ac:dyDescent="0.25">
      <c r="A18" s="31" t="s">
        <v>579</v>
      </c>
      <c r="B18" s="31" t="s">
        <v>580</v>
      </c>
      <c r="C18">
        <v>1</v>
      </c>
      <c r="D18" s="5">
        <v>39.979999999999997</v>
      </c>
      <c r="E18" s="14">
        <f t="shared" si="0"/>
        <v>39.979999999999997</v>
      </c>
    </row>
    <row r="19" spans="1:9" x14ac:dyDescent="0.25">
      <c r="A19" s="31" t="s">
        <v>581</v>
      </c>
      <c r="B19" s="31" t="s">
        <v>582</v>
      </c>
      <c r="C19">
        <v>2</v>
      </c>
      <c r="D19" s="5">
        <v>19.98</v>
      </c>
      <c r="E19" s="14">
        <f t="shared" si="0"/>
        <v>39.96</v>
      </c>
    </row>
    <row r="20" spans="1:9" x14ac:dyDescent="0.25">
      <c r="A20" s="31" t="s">
        <v>583</v>
      </c>
      <c r="B20" s="31" t="s">
        <v>584</v>
      </c>
      <c r="C20">
        <v>1</v>
      </c>
      <c r="D20" s="5">
        <v>13.98</v>
      </c>
      <c r="E20" s="14">
        <f t="shared" si="0"/>
        <v>13.98</v>
      </c>
    </row>
    <row r="21" spans="1:9" x14ac:dyDescent="0.25">
      <c r="A21" s="31" t="s">
        <v>679</v>
      </c>
      <c r="B21" s="31" t="s">
        <v>680</v>
      </c>
      <c r="C21">
        <v>4</v>
      </c>
      <c r="D21" s="5">
        <v>19.97</v>
      </c>
      <c r="E21" s="14">
        <f t="shared" si="0"/>
        <v>79.88</v>
      </c>
    </row>
    <row r="22" spans="1:9" x14ac:dyDescent="0.25">
      <c r="A22" s="31" t="s">
        <v>585</v>
      </c>
      <c r="B22" s="320">
        <v>46335120372</v>
      </c>
      <c r="C22">
        <v>1</v>
      </c>
      <c r="D22" s="5">
        <v>99.97</v>
      </c>
      <c r="E22" s="14">
        <f t="shared" si="0"/>
        <v>99.97</v>
      </c>
    </row>
    <row r="23" spans="1:9" x14ac:dyDescent="0.25">
      <c r="A23" s="31" t="s">
        <v>586</v>
      </c>
      <c r="B23" s="320">
        <v>792145370178</v>
      </c>
      <c r="C23">
        <v>1</v>
      </c>
      <c r="D23" s="5">
        <v>59.97</v>
      </c>
      <c r="E23" s="14">
        <f t="shared" si="0"/>
        <v>59.97</v>
      </c>
    </row>
    <row r="24" spans="1:9" ht="15.75" thickBot="1" x14ac:dyDescent="0.3">
      <c r="A24" s="31" t="s">
        <v>587</v>
      </c>
      <c r="B24" s="31">
        <v>82392573331</v>
      </c>
      <c r="C24">
        <v>1</v>
      </c>
      <c r="D24" s="5">
        <v>109</v>
      </c>
      <c r="E24" s="21">
        <f t="shared" si="0"/>
        <v>109</v>
      </c>
      <c r="F24" s="21"/>
    </row>
    <row r="25" spans="1:9" x14ac:dyDescent="0.25">
      <c r="A25" s="31" t="s">
        <v>588</v>
      </c>
      <c r="B25" s="31">
        <v>5190530</v>
      </c>
      <c r="C25">
        <v>3</v>
      </c>
      <c r="D25" s="5">
        <v>18.98</v>
      </c>
      <c r="E25" s="14">
        <f t="shared" si="0"/>
        <v>56.94</v>
      </c>
    </row>
    <row r="26" spans="1:9" x14ac:dyDescent="0.25">
      <c r="A26" s="31" t="s">
        <v>589</v>
      </c>
      <c r="B26" s="31"/>
      <c r="C26">
        <v>1</v>
      </c>
      <c r="D26" s="5">
        <v>-19.98</v>
      </c>
      <c r="E26" s="14">
        <f t="shared" si="0"/>
        <v>-19.98</v>
      </c>
    </row>
    <row r="27" spans="1:9" x14ac:dyDescent="0.25">
      <c r="A27" s="31"/>
      <c r="B27" s="31"/>
    </row>
    <row r="28" spans="1:9" x14ac:dyDescent="0.25">
      <c r="F28" s="14">
        <f>SUM(E4:E26)</f>
        <v>581.91000000000008</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topLeftCell="A4" workbookViewId="0">
      <selection activeCell="G9" sqref="G9"/>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335</v>
      </c>
      <c r="B1" s="16"/>
    </row>
    <row r="2" spans="1:7" s="15" customFormat="1" x14ac:dyDescent="0.25">
      <c r="A2" s="3" t="s">
        <v>300</v>
      </c>
      <c r="B2" s="17" t="s">
        <v>590</v>
      </c>
      <c r="C2" s="31" t="s">
        <v>591</v>
      </c>
      <c r="D2" s="3" t="s">
        <v>373</v>
      </c>
      <c r="E2" s="8" t="s">
        <v>592</v>
      </c>
      <c r="F2" s="6" t="s">
        <v>593</v>
      </c>
      <c r="G2" s="15" t="s">
        <v>376</v>
      </c>
    </row>
    <row r="4" spans="1:7" x14ac:dyDescent="0.25">
      <c r="A4" s="2" t="s">
        <v>594</v>
      </c>
      <c r="B4" s="18">
        <v>0.79</v>
      </c>
      <c r="C4" s="2">
        <v>500</v>
      </c>
      <c r="D4">
        <v>0</v>
      </c>
      <c r="E4" s="5">
        <v>60</v>
      </c>
      <c r="F4" s="1">
        <f>+C4*B4*D4</f>
        <v>0</v>
      </c>
    </row>
    <row r="5" spans="1:7" x14ac:dyDescent="0.25">
      <c r="A5" s="2" t="s">
        <v>595</v>
      </c>
      <c r="B5" s="18">
        <v>1</v>
      </c>
      <c r="C5" s="2">
        <f>24*10</f>
        <v>240</v>
      </c>
      <c r="D5">
        <v>0</v>
      </c>
      <c r="E5" s="5">
        <v>60</v>
      </c>
      <c r="F5" s="1">
        <f>+C5*B5*D5</f>
        <v>0</v>
      </c>
    </row>
    <row r="6" spans="1:7" x14ac:dyDescent="0.25">
      <c r="A6" s="2" t="s">
        <v>596</v>
      </c>
      <c r="D6">
        <v>0</v>
      </c>
      <c r="E6" s="5">
        <v>150</v>
      </c>
      <c r="F6" s="1">
        <f t="shared" ref="F6:F11" si="0">+D6*E6</f>
        <v>0</v>
      </c>
    </row>
    <row r="7" spans="1:7" x14ac:dyDescent="0.25">
      <c r="A7" s="2" t="s">
        <v>597</v>
      </c>
      <c r="D7">
        <v>0</v>
      </c>
      <c r="E7" s="5">
        <v>3000</v>
      </c>
      <c r="F7" s="1">
        <f t="shared" si="0"/>
        <v>0</v>
      </c>
    </row>
    <row r="8" spans="1:7" x14ac:dyDescent="0.25">
      <c r="A8" s="2" t="s">
        <v>598</v>
      </c>
      <c r="D8">
        <v>0</v>
      </c>
      <c r="E8" s="5">
        <v>165</v>
      </c>
      <c r="F8" s="1">
        <f t="shared" si="0"/>
        <v>0</v>
      </c>
    </row>
    <row r="9" spans="1:7" x14ac:dyDescent="0.25">
      <c r="A9" s="2" t="s">
        <v>720</v>
      </c>
      <c r="B9" s="18" t="s">
        <v>626</v>
      </c>
      <c r="D9">
        <v>1</v>
      </c>
      <c r="E9" s="5">
        <v>60</v>
      </c>
      <c r="F9" s="1">
        <f t="shared" si="0"/>
        <v>60</v>
      </c>
    </row>
    <row r="10" spans="1:7" x14ac:dyDescent="0.25">
      <c r="A10" s="2" t="s">
        <v>599</v>
      </c>
      <c r="D10">
        <v>0</v>
      </c>
      <c r="E10" s="5">
        <v>15</v>
      </c>
      <c r="F10" s="1">
        <f t="shared" si="0"/>
        <v>0</v>
      </c>
    </row>
    <row r="11" spans="1:7" x14ac:dyDescent="0.25">
      <c r="A11" s="2" t="s">
        <v>600</v>
      </c>
      <c r="D11">
        <v>0</v>
      </c>
      <c r="E11" s="5">
        <v>1100</v>
      </c>
      <c r="F11" s="1">
        <f t="shared" si="0"/>
        <v>0</v>
      </c>
    </row>
    <row r="12" spans="1:7" x14ac:dyDescent="0.25">
      <c r="A12" s="2" t="s">
        <v>706</v>
      </c>
      <c r="B12" s="18" t="s">
        <v>626</v>
      </c>
      <c r="D12">
        <v>1</v>
      </c>
      <c r="E12" s="5">
        <v>60</v>
      </c>
      <c r="F12" s="1">
        <f>+D12*E12</f>
        <v>60</v>
      </c>
    </row>
    <row r="13" spans="1:7" x14ac:dyDescent="0.25">
      <c r="A13" s="2" t="s">
        <v>601</v>
      </c>
      <c r="E13" s="5">
        <v>1000</v>
      </c>
      <c r="F13" s="1">
        <f>+D13*E13</f>
        <v>0</v>
      </c>
    </row>
    <row r="14" spans="1:7" x14ac:dyDescent="0.25">
      <c r="A14" s="2" t="s">
        <v>625</v>
      </c>
      <c r="B14" s="18" t="s">
        <v>626</v>
      </c>
      <c r="D14">
        <v>1</v>
      </c>
      <c r="E14" s="5">
        <v>90</v>
      </c>
      <c r="F14" s="1">
        <f>+D14*E14</f>
        <v>90</v>
      </c>
    </row>
    <row r="15" spans="1:7" x14ac:dyDescent="0.25">
      <c r="A15" s="2" t="s">
        <v>624</v>
      </c>
      <c r="D15">
        <v>0</v>
      </c>
      <c r="E15" s="5">
        <v>800</v>
      </c>
      <c r="F15" s="1">
        <f>+D15*E15</f>
        <v>0</v>
      </c>
    </row>
    <row r="16" spans="1:7" ht="15.75" thickBot="1" x14ac:dyDescent="0.3">
      <c r="F16" s="30"/>
      <c r="G16" s="23"/>
    </row>
    <row r="17" spans="3:7" x14ac:dyDescent="0.25">
      <c r="C17" s="2">
        <f>+SUM(C4:C16)</f>
        <v>740</v>
      </c>
      <c r="F17" s="15" t="s">
        <v>376</v>
      </c>
      <c r="G17" s="1">
        <f>+SUM(F4:F16)</f>
        <v>210</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5"/>
  <sheetViews>
    <sheetView workbookViewId="0">
      <selection activeCell="H26" sqref="H26"/>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602</v>
      </c>
      <c r="B1" s="33"/>
      <c r="C1" s="16"/>
    </row>
    <row r="2" spans="1:9" s="15" customFormat="1" x14ac:dyDescent="0.25">
      <c r="A2" s="3" t="s">
        <v>300</v>
      </c>
      <c r="B2" s="3" t="s">
        <v>194</v>
      </c>
      <c r="C2" s="17" t="s">
        <v>603</v>
      </c>
      <c r="D2" s="15" t="s">
        <v>376</v>
      </c>
      <c r="E2" s="581" t="s">
        <v>604</v>
      </c>
      <c r="F2" s="488"/>
      <c r="G2" s="27">
        <v>20</v>
      </c>
      <c r="I2"/>
    </row>
    <row r="3" spans="1:9" x14ac:dyDescent="0.25">
      <c r="I3" s="3"/>
    </row>
    <row r="4" spans="1:9" x14ac:dyDescent="0.25">
      <c r="A4" s="2" t="s">
        <v>209</v>
      </c>
      <c r="B4" s="2">
        <v>0</v>
      </c>
      <c r="C4" s="18">
        <v>800</v>
      </c>
      <c r="D4" s="5">
        <f>+B4*C4</f>
        <v>0</v>
      </c>
    </row>
    <row r="5" spans="1:9" x14ac:dyDescent="0.25">
      <c r="A5" s="2" t="s">
        <v>605</v>
      </c>
      <c r="B5" s="2">
        <v>0</v>
      </c>
      <c r="C5" s="18">
        <v>28.46</v>
      </c>
      <c r="D5" s="5">
        <f t="shared" ref="D5:D15" si="0">+B5*C5</f>
        <v>0</v>
      </c>
    </row>
    <row r="6" spans="1:9" x14ac:dyDescent="0.25">
      <c r="A6" s="2" t="s">
        <v>606</v>
      </c>
      <c r="B6" s="2">
        <v>0</v>
      </c>
      <c r="C6" s="18">
        <v>32.979999999999997</v>
      </c>
      <c r="D6" s="5">
        <f t="shared" si="0"/>
        <v>0</v>
      </c>
    </row>
    <row r="7" spans="1:9" x14ac:dyDescent="0.25">
      <c r="A7" s="2" t="s">
        <v>607</v>
      </c>
      <c r="B7" s="2">
        <v>1</v>
      </c>
      <c r="C7" s="18">
        <v>28.47</v>
      </c>
      <c r="D7" s="5">
        <f t="shared" si="0"/>
        <v>28.47</v>
      </c>
    </row>
    <row r="8" spans="1:9" x14ac:dyDescent="0.25">
      <c r="A8" s="2" t="s">
        <v>683</v>
      </c>
      <c r="B8" s="2">
        <v>4</v>
      </c>
      <c r="C8" s="18">
        <v>2.83</v>
      </c>
      <c r="D8" s="5">
        <f t="shared" si="0"/>
        <v>11.32</v>
      </c>
    </row>
    <row r="9" spans="1:9" x14ac:dyDescent="0.25">
      <c r="A9" s="2" t="s">
        <v>608</v>
      </c>
      <c r="C9" s="18">
        <v>1000</v>
      </c>
      <c r="D9" s="5">
        <f t="shared" si="0"/>
        <v>0</v>
      </c>
    </row>
    <row r="10" spans="1:9" x14ac:dyDescent="0.25">
      <c r="A10" s="2" t="s">
        <v>609</v>
      </c>
      <c r="D10" s="5">
        <f t="shared" si="0"/>
        <v>0</v>
      </c>
    </row>
    <row r="11" spans="1:9" x14ac:dyDescent="0.25">
      <c r="A11" s="2" t="s">
        <v>609</v>
      </c>
      <c r="D11" s="5">
        <f t="shared" si="0"/>
        <v>0</v>
      </c>
    </row>
    <row r="12" spans="1:9" x14ac:dyDescent="0.25">
      <c r="A12" s="2" t="s">
        <v>610</v>
      </c>
      <c r="B12" s="2">
        <v>0</v>
      </c>
      <c r="C12" s="18">
        <v>5500</v>
      </c>
      <c r="D12" s="5">
        <f t="shared" si="0"/>
        <v>0</v>
      </c>
    </row>
    <row r="13" spans="1:9" x14ac:dyDescent="0.25">
      <c r="A13" s="2" t="s">
        <v>611</v>
      </c>
      <c r="C13" s="18">
        <v>1604326</v>
      </c>
      <c r="D13" s="5">
        <f t="shared" si="0"/>
        <v>0</v>
      </c>
    </row>
    <row r="14" spans="1:9" x14ac:dyDescent="0.25">
      <c r="A14" s="2" t="s">
        <v>612</v>
      </c>
      <c r="C14" s="18">
        <v>228556</v>
      </c>
      <c r="D14" s="5">
        <f t="shared" si="0"/>
        <v>0</v>
      </c>
    </row>
    <row r="15" spans="1:9" x14ac:dyDescent="0.25">
      <c r="A15" s="2" t="s">
        <v>613</v>
      </c>
      <c r="B15" s="2">
        <v>0</v>
      </c>
      <c r="C15" s="18">
        <v>400</v>
      </c>
      <c r="D15" s="5">
        <f t="shared" si="0"/>
        <v>0</v>
      </c>
      <c r="I15" s="3" t="s">
        <v>429</v>
      </c>
    </row>
    <row r="16" spans="1:9" x14ac:dyDescent="0.25">
      <c r="A16" s="2" t="s">
        <v>614</v>
      </c>
      <c r="B16" s="2">
        <v>1</v>
      </c>
      <c r="C16" s="18">
        <v>7.33</v>
      </c>
      <c r="D16" s="5">
        <f>+B16*C16</f>
        <v>7.33</v>
      </c>
      <c r="I16" s="3"/>
    </row>
    <row r="17" spans="1:9" x14ac:dyDescent="0.25">
      <c r="A17" s="2" t="s">
        <v>615</v>
      </c>
      <c r="B17" s="2">
        <v>1</v>
      </c>
      <c r="C17" s="18">
        <v>9.9700000000000006</v>
      </c>
      <c r="D17" s="5">
        <f>+B17*C17</f>
        <v>9.9700000000000006</v>
      </c>
      <c r="I17" s="3"/>
    </row>
    <row r="18" spans="1:9" x14ac:dyDescent="0.25">
      <c r="B18" s="2">
        <v>1</v>
      </c>
      <c r="C18" s="18">
        <v>9.9700000000000006</v>
      </c>
      <c r="D18" s="5">
        <f>+B18*C18</f>
        <v>9.9700000000000006</v>
      </c>
      <c r="I18" s="3"/>
    </row>
    <row r="19" spans="1:9" x14ac:dyDescent="0.25">
      <c r="A19" s="2" t="s">
        <v>616</v>
      </c>
      <c r="B19" s="2">
        <v>1</v>
      </c>
      <c r="C19" s="18">
        <v>3.98</v>
      </c>
      <c r="D19" s="5">
        <f>+B19*C19</f>
        <v>3.98</v>
      </c>
      <c r="I19" s="3"/>
    </row>
    <row r="20" spans="1:9" x14ac:dyDescent="0.25">
      <c r="A20" s="2" t="s">
        <v>745</v>
      </c>
      <c r="B20" s="2">
        <v>1</v>
      </c>
      <c r="C20" s="18">
        <v>830</v>
      </c>
      <c r="D20" s="5">
        <f>+B20*C20</f>
        <v>830</v>
      </c>
      <c r="H20" s="1">
        <f>+SUM(D4:D19)</f>
        <v>71.040000000000006</v>
      </c>
    </row>
    <row r="24" spans="1:9" x14ac:dyDescent="0.25">
      <c r="I24" s="2"/>
    </row>
    <row r="25" spans="1:9" x14ac:dyDescent="0.25">
      <c r="I25" s="2"/>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Props1.xml><?xml version="1.0" encoding="utf-8"?>
<ds:datastoreItem xmlns:ds="http://schemas.openxmlformats.org/officeDocument/2006/customXml" ds:itemID="{C8DEC3D8-E357-4A8C-AFF9-645AD3C1C068}">
  <ds:schemaRefs>
    <ds:schemaRef ds:uri="http://schemas.microsoft.com/DataMashup"/>
  </ds:schemaRefs>
</ds:datastoreItem>
</file>

<file path=customXml/itemProps2.xml><?xml version="1.0" encoding="utf-8"?>
<ds:datastoreItem xmlns:ds="http://schemas.openxmlformats.org/officeDocument/2006/customXml" ds:itemID="{853A812C-4029-43E8-BC23-FECE959FA8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C4DA37-4AFD-4CD2-9A66-0C8B8DF4AF27}">
  <ds:schemaRefs>
    <ds:schemaRef ds:uri="http://purl.org/dc/terms/"/>
    <ds:schemaRef ds:uri="http://schemas.microsoft.com/office/2006/metadata/properties"/>
    <ds:schemaRef ds:uri="http://purl.org/dc/dcmitype/"/>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42cc25d9-27fe-4f07-accb-ded05ec47eee"/>
    <ds:schemaRef ds:uri="ab9fedca-001d-4cc9-b244-d9c3be5a27d3"/>
  </ds:schemaRefs>
</ds:datastoreItem>
</file>

<file path=customXml/itemProps4.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5.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6.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7.xml><?xml version="1.0" encoding="utf-8"?>
<ds:datastoreItem xmlns:ds="http://schemas.openxmlformats.org/officeDocument/2006/customXml" ds:itemID="{B9BB8BBB-3EF8-4D4F-B500-A2E6B5335F5B}">
  <ds:schemaRefs>
    <ds:schemaRef ds:uri="http://gemini/pivotcustomization/TableWidget"/>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7</vt:i4>
      </vt:variant>
    </vt:vector>
  </HeadingPairs>
  <TitlesOfParts>
    <vt:vector size="30" baseType="lpstr">
      <vt:lpstr>Profit</vt:lpstr>
      <vt:lpstr>Trade Properties</vt:lpstr>
      <vt:lpstr>MOG</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Milestone_Marker</vt:lpstr>
      <vt:lpstr>Project_Start</vt:lpstr>
      <vt:lpstr>Scrolling_Increment</vt:lpstr>
      <vt:lpstr>tradeMonthlyNetSpread</vt:lpstr>
      <vt:lpstr>tradeNetCreditIncluded</vt:lpstr>
      <vt:lpstr>tradePropertyConditionsForDocs</vt:lpstr>
      <vt:lpstr>tradePropertyListForDocs</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cp:lastPrinted>2024-02-07T13:49:51Z</cp:lastPrinted>
  <dcterms:created xsi:type="dcterms:W3CDTF">2019-07-25T11:32:14Z</dcterms:created>
  <dcterms:modified xsi:type="dcterms:W3CDTF">2026-06-30T17:06:32Z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