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d6742dc74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Review" sheetId="1" r:id="Rae9b22f5973f44ee"/>
    <x:sheet xmlns:r="http://schemas.openxmlformats.org/officeDocument/2006/relationships" name="Category Summary" sheetId="2" r:id="Rc606b56e3d56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m/d/yyyy"/>
    <x:numFmt numFmtId="202" formatCode="$#,##0"/>
    <x:numFmt numFmtId="203" formatCode="$#,##0;[Red]-$#,##0"/>
    <x:numFmt numFmtId="204" formatCode="0"/>
    <x:numFmt numFmtId="205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i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4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202" fontId="6" fillId="3" borderId="7" xfId="0" applyNumberFormat="1" applyFont="1" applyFill="1" applyBorder="1"/>
    <x:xf numFmtId="204" fontId="6" fillId="3" borderId="7" xfId="0" applyNumberFormat="1" applyFont="1" applyFill="1" applyBorder="1"/>
    <x:xf numFmtId="205" fontId="6" fillId="3" borderId="7" xfId="0" applyNumberFormat="1" applyFont="1" applyFill="1" applyBorder="1"/>
    <x:xf numFmtId="203" fontId="6" fillId="3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d90edf8be44c7" /><Relationship Type="http://schemas.openxmlformats.org/officeDocument/2006/relationships/theme" Target="/xl/theme/theme1.xml" Id="R23782772bd4a4cd6" /><Relationship Type="http://schemas.openxmlformats.org/officeDocument/2006/relationships/sharedStrings" Target="/xl/sharedStrings.xml" Id="R3112e07c20a7429e" /><Relationship Type="http://schemas.openxmlformats.org/officeDocument/2006/relationships/worksheet" Target="/xl/worksheets/sheet1.xml" Id="Rae9b22f5973f44ee" /><Relationship Type="http://schemas.openxmlformats.org/officeDocument/2006/relationships/worksheet" Target="/xl/worksheets/sheet2.xml" Id="Rc606b56e3d564f9d" /></Relationships>
</file>

<file path=xl/tables/table1.xml><?xml version="1.0" encoding="utf-8"?>
<x:table xmlns:x="http://schemas.openxmlformats.org/spreadsheetml/2006/main" id="1" name="EstateSalePricing" displayName="EstateSalePricing" ref="A7:L84" headerRowCount="1" totalsRowCount="0" totalsRowShown="0">
  <x:tableColumns count="12">
    <x:tableColumn id="1" name="Category"/>
    <x:tableColumn id="2" name="Listing / item"/>
    <x:tableColumn id="3" name="Listed price"/>
    <x:tableColumn id="4" name="Clicks"/>
    <x:tableColumn id="5" name="Listed date"/>
    <x:tableColumn id="6" name="Days live"/>
    <x:tableColumn id="7" name="Clicks / day"/>
    <x:tableColumn id="8" name="Interest"/>
    <x:tableColumn id="9" name="Post-sale suggested price"/>
    <x:tableColumn id="10" name="Price change"/>
    <x:tableColumn id="11" name="Recommendation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2afe4db5c947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5" hidden="0" customWidth="1"/>
    <x:col min="3" max="3" width="13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3" hidden="0" customWidth="1"/>
    <x:col min="9" max="9" width="18" hidden="0" customWidth="1"/>
    <x:col min="10" max="10" width="13" hidden="0" customWidth="1"/>
    <x:col min="11" max="11" width="58" hidden="0" customWidth="1"/>
    <x:col min="12" max="12" width="16" hidden="0" customWidth="1"/>
  </x:cols>
  <x:sheetData>
    <x:row r="1" ht="30" customHeight="1">
      <x:c r="A1" s="10" t="str">
        <x:v>Estate Sale Marketplace Pricing Review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13" t="str">
        <x:v>Current Facebook listing metrics as of August 13, 2026. Price recommendations are advisory only; prices remain protected through August 15.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9" t="str">
        <x:v>Report date</x:v>
      </x:c>
      <x:c r="B3" s="20" t="n">
        <x:v>46247</x:v>
      </x:c>
      <x:c r="D3" s="19" t="str">
        <x:v>Listings reviewed</x:v>
      </x:c>
      <x:c r="E3" s="25" t="n">
        <x:v>77</x:v>
      </x:c>
    </x:row>
    <x:row r="4">
      <x:c r="A4" s="21" t="str">
        <x:v>Price protected through</x:v>
      </x:c>
      <x:c r="B4" s="22" t="n">
        <x:v>46249</x:v>
      </x:c>
      <x:c r="D4" s="21" t="str">
        <x:v>Sum of listing price fields</x:v>
      </x:c>
      <x:c r="E4" s="26" t="n">
        <x:v>3490</x:v>
      </x:c>
    </x:row>
    <x:row r="5">
      <x:c r="A5" s="23" t="str">
        <x:v>Source</x:v>
      </x:c>
      <x:c r="B5" s="24" t="str">
        <x:v>https://www.facebook.com/marketplace/you/selling</x:v>
      </x:c>
      <x:c r="D5" s="23" t="str">
        <x:v>Total clicks</x:v>
      </x:c>
      <x:c r="E5" s="24" t="n">
        <x:v>2343</x:v>
      </x:c>
    </x:row>
    <x:row r="7" ht="26.399999618530273" hidden="0" customHeight="1">
      <x:c r="A7" s="18" t="str">
        <x:v>Category</x:v>
      </x:c>
      <x:c r="B7" s="18" t="str">
        <x:v>Listing / item</x:v>
      </x:c>
      <x:c r="C7" s="18" t="str">
        <x:v>Listed price</x:v>
      </x:c>
      <x:c r="D7" s="18" t="str">
        <x:v>Clicks</x:v>
      </x:c>
      <x:c r="E7" s="18" t="str">
        <x:v>Listed date</x:v>
      </x:c>
      <x:c r="F7" s="18" t="str">
        <x:v>Days live</x:v>
      </x:c>
      <x:c r="G7" s="18" t="str">
        <x:v>Clicks / day</x:v>
      </x:c>
      <x:c r="H7" s="18" t="str">
        <x:v>Interest</x:v>
      </x:c>
      <x:c r="I7" s="18" t="str">
        <x:v>Post-sale suggested price</x:v>
      </x:c>
      <x:c r="J7" s="18" t="str">
        <x:v>Price change</x:v>
      </x:c>
      <x:c r="K7" s="18" t="str">
        <x:v>Recommendation</x:v>
      </x:c>
      <x:c r="L7" s="18" t="str">
        <x:v>Status</x:v>
      </x:c>
    </x:row>
    <x:row r="8" ht="26.399999618530273" hidden="0" customHeight="1">
      <x:c r="A8" s="32" t="str">
        <x:v>Appliances</x:v>
      </x:c>
      <x:c r="B8" s="32" t="str">
        <x:v>Frigidaire Top-Freezer Refrigerator</x:v>
      </x:c>
      <x:c r="C8" s="28" t="n">
        <x:v>125</x:v>
      </x:c>
      <x:c r="D8" s="29" t="n">
        <x:v>94</x:v>
      </x:c>
      <x:c r="E8" s="38" t="n">
        <x:v>46244</x:v>
      </x:c>
      <x:c r="F8" s="29" t="n">
        <x:f>MAX(1,$B$3-E8)</x:f>
        <x:v>3</x:v>
      </x:c>
      <x:c r="G8" s="30" t="n">
        <x:f>D8/F8</x:f>
        <x:v>31.333333333333332</x:v>
      </x:c>
      <x:c r="H8" s="27" t="str">
        <x:f>IF(L8="Needs attention","Blocked",IF(G8&gt;=20,"Very High",IF(G8&gt;=8,"High",IF(G8&gt;=2,"Moderate","Low"))))</x:f>
        <x:v>Very High</x:v>
      </x:c>
      <x:c r="I8" s="31" t="n">
        <x:f>IF(L8="Needs attention",C8,IF(G8&gt;=8,C8,MAX(5,MROUND(C8*IF(G8&gt;=2,0.9,0.8),5))))</x:f>
        <x:v>125</x:v>
      </x:c>
      <x:c r="J8" s="31" t="n">
        <x:f>I8-C8</x:f>
        <x:v>0</x:v>
      </x:c>
      <x:c r="K8" s="32" t="str">
        <x:f>IF(L8="Needs attention","Resolve Facebook policy flag; click data are not a valid price signal.",IF(G8&gt;=20,"Keep price through Aug 15; strong interest. If unsold, verify buyer follow-through before any reduction.",IF(G8&gt;=8,"Keep price through Aug 15. If unsold, hold price 24-48 hours before reducing.",IF(G8&gt;=2,"Keep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8" s="27" t="str">
        <x:v>Active</x:v>
      </x:c>
    </x:row>
    <x:row r="9" ht="26.399999618530273" hidden="0" customHeight="1">
      <x:c r="A9" s="32" t="str">
        <x:v>Appliances</x:v>
      </x:c>
      <x:c r="B9" s="32" t="str">
        <x:v>Maytag Washer and Whirlpool Dryer Pair</x:v>
      </x:c>
      <x:c r="C9" s="28" t="n">
        <x:v>200</x:v>
      </x:c>
      <x:c r="D9" s="29" t="n">
        <x:v>84</x:v>
      </x:c>
      <x:c r="E9" s="38" t="n">
        <x:v>46244</x:v>
      </x:c>
      <x:c r="F9" s="29" t="n">
        <x:f>MAX(1,$B$3-E9)</x:f>
        <x:v>3</x:v>
      </x:c>
      <x:c r="G9" s="30" t="n">
        <x:f>D9/F9</x:f>
        <x:v>28</x:v>
      </x:c>
      <x:c r="H9" s="27" t="str">
        <x:f>IF(L9="Needs attention","Blocked",IF(G9&gt;=20,"Very High",IF(G9&gt;=8,"High",IF(G9&gt;=2,"Moderate","Low"))))</x:f>
        <x:v>Very High</x:v>
      </x:c>
      <x:c r="I9" s="31" t="n">
        <x:f>IF(L9="Needs attention",C9,IF(G9&gt;=8,C9,MAX(5,MROUND(C9*IF(G9&gt;=2,0.9,0.8),5))))</x:f>
        <x:v>200</x:v>
      </x:c>
      <x:c r="J9" s="31" t="n">
        <x:f>I9-C9</x:f>
        <x:v>0</x:v>
      </x:c>
      <x:c r="K9" s="32" t="str">
        <x:f>IF(L9="Needs attention","Resolve Facebook policy flag; click data are not a valid price signal.",IF(G9&gt;=20,"Keep price through Aug 15; strong interest. If unsold, verify buyer follow-through before any reduction.",IF(G9&gt;=8,"Keep price through Aug 15. If unsold, hold price 24-48 hours before reducing.",IF(G9&gt;=2,"Keep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9" s="27" t="str">
        <x:v>Active</x:v>
      </x:c>
    </x:row>
    <x:row r="10" ht="15" hidden="0" customHeight="1">
      <x:c r="A10" s="32" t="str">
        <x:v>Appliances</x:v>
      </x:c>
      <x:c r="B10" s="32" t="str">
        <x:v>Avantco Double Commercial Panini Grill</x:v>
      </x:c>
      <x:c r="C10" s="28" t="n">
        <x:v>175</x:v>
      </x:c>
      <x:c r="D10" s="29" t="n">
        <x:v>28</x:v>
      </x:c>
      <x:c r="E10" s="38" t="n">
        <x:v>46245</x:v>
      </x:c>
      <x:c r="F10" s="29" t="n">
        <x:f>MAX(1,$B$3-E10)</x:f>
        <x:v>2</x:v>
      </x:c>
      <x:c r="G10" s="30" t="n">
        <x:f>D10/F10</x:f>
        <x:v>14</x:v>
      </x:c>
      <x:c r="H10" s="27" t="str">
        <x:f>IF(L10="Needs attention","Blocked",IF(G10&gt;=20,"Very High",IF(G10&gt;=8,"High",IF(G10&gt;=2,"Moderate","Low"))))</x:f>
        <x:v>High</x:v>
      </x:c>
      <x:c r="I10" s="31" t="n">
        <x:f>IF(L10="Needs attention",C10,IF(G10&gt;=8,C10,MAX(5,MROUND(C10*IF(G10&gt;=2,0.9,0.8),5))))</x:f>
        <x:v>175</x:v>
      </x:c>
      <x:c r="J10" s="31" t="n">
        <x:f>I10-C10</x:f>
        <x:v>0</x:v>
      </x:c>
      <x:c r="K10" s="32" t="str">
        <x:f>IF(L10="Needs attention","Resolve Facebook policy flag; click data are not a valid price signal.",IF(G10&gt;=20,"Keep price through Aug 15; strong interest. If unsold, verify buyer follow-through before any reduction.",IF(G10&gt;=8,"Keep price through Aug 15. If unsold, hold price 24-48 hours before reducing.",IF(G10&gt;=2,"Keep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10" s="27" t="str">
        <x:v>Active</x:v>
      </x:c>
    </x:row>
    <x:row r="11" ht="15" hidden="0" customHeight="1">
      <x:c r="A11" s="32" t="str">
        <x:v>Appliances</x:v>
      </x:c>
      <x:c r="B11" s="32" t="str">
        <x:v>GE Countertop Microwave</x:v>
      </x:c>
      <x:c r="C11" s="28" t="n">
        <x:v>30</x:v>
      </x:c>
      <x:c r="D11" s="29" t="n">
        <x:v>26</x:v>
      </x:c>
      <x:c r="E11" s="38" t="n">
        <x:v>46244</x:v>
      </x:c>
      <x:c r="F11" s="29" t="n">
        <x:f>MAX(1,$B$3-E11)</x:f>
        <x:v>3</x:v>
      </x:c>
      <x:c r="G11" s="30" t="n">
        <x:f>D11/F11</x:f>
        <x:v>8.666666666666666</x:v>
      </x:c>
      <x:c r="H11" s="27" t="str">
        <x:f>IF(L11="Needs attention","Blocked",IF(G11&gt;=20,"Very High",IF(G11&gt;=8,"High",IF(G11&gt;=2,"Moderate","Low"))))</x:f>
        <x:v>High</x:v>
      </x:c>
      <x:c r="I11" s="31" t="n">
        <x:f>IF(L11="Needs attention",C11,IF(G11&gt;=8,C11,MAX(5,MROUND(C11*IF(G11&gt;=2,0.9,0.8),5))))</x:f>
        <x:v>30</x:v>
      </x:c>
      <x:c r="J11" s="31" t="n">
        <x:f>I11-C11</x:f>
        <x:v>0</x:v>
      </x:c>
      <x:c r="K11" s="32" t="str">
        <x:f>IF(L11="Needs attention","Resolve Facebook policy flag; click data are not a valid price signal.",IF(G11&gt;=20,"Keep price through Aug 15; strong interest. If unsold, verify buyer follow-through before any reduction.",IF(G11&gt;=8,"Keep price through Aug 15. If unsold, hold price 24-48 hours before reducing.",IF(G11&gt;=2,"Keep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11" s="27" t="str">
        <x:v>Active</x:v>
      </x:c>
    </x:row>
    <x:row r="12" ht="26.399999618530273" hidden="0" customHeight="1">
      <x:c r="A12" s="32" t="str">
        <x:v>Furniture, Storage &amp; Lighting</x:v>
      </x:c>
      <x:c r="B12" s="32" t="str">
        <x:v>Oak-Finish Microwave Cabinet or Stand</x:v>
      </x:c>
      <x:c r="C12" s="28" t="n">
        <x:v>45</x:v>
      </x:c>
      <x:c r="D12" s="29" t="n">
        <x:v>15</x:v>
      </x:c>
      <x:c r="E12" s="38" t="n">
        <x:v>46244</x:v>
      </x:c>
      <x:c r="F12" s="29" t="n">
        <x:f>MAX(1,$B$3-E12)</x:f>
        <x:v>3</x:v>
      </x:c>
      <x:c r="G12" s="30" t="n">
        <x:f>D12/F12</x:f>
        <x:v>5</x:v>
      </x:c>
      <x:c r="H12" s="27" t="str">
        <x:f>IF(L12="Needs attention","Blocked",IF(G12&gt;=20,"Very High",IF(G12&gt;=8,"High",IF(G12&gt;=2,"Moderate","Low"))))</x:f>
        <x:v>Moderate</x:v>
      </x:c>
      <x:c r="I12" s="31" t="n">
        <x:f>IF(L12="Needs attention",C12,IF(G12&gt;=8,C12,MAX(5,MROUND(C12*IF(G12&gt;=2,0.9,0.8),5))))</x:f>
        <x:v>40</x:v>
      </x:c>
      <x:c r="J12" s="31" t="n">
        <x:f>I12-C12</x:f>
        <x:v>-5</x:v>
      </x:c>
      <x:c r="K12" s="32" t="str">
        <x:f>IF(L12="Needs attention","Resolve Facebook policy flag; click data are not a valid price signal.",IF(G12&gt;=20,"Keep price through Aug 15; strong interest. If unsold, verify buyer follow-through before any reduction.",IF(G12&gt;=8,"Keep price through Aug 15. If unsold, hold price 24-48 hours before reducing.",IF(G12&gt;=2,"Keep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12" s="27" t="str">
        <x:v>Active</x:v>
      </x:c>
    </x:row>
    <x:row r="13" ht="26.399999618530273" hidden="0" customHeight="1">
      <x:c r="A13" s="32" t="str">
        <x:v>Appliances</x:v>
      </x:c>
      <x:c r="B13" s="32" t="str">
        <x:v>Household Iron with Metal Rest</x:v>
      </x:c>
      <x:c r="C13" s="28" t="n">
        <x:v>15</x:v>
      </x:c>
      <x:c r="D13" s="29" t="n">
        <x:v>4</x:v>
      </x:c>
      <x:c r="E13" s="38" t="n">
        <x:v>46244</x:v>
      </x:c>
      <x:c r="F13" s="29" t="n">
        <x:f>MAX(1,$B$3-E13)</x:f>
        <x:v>3</x:v>
      </x:c>
      <x:c r="G13" s="30" t="n">
        <x:f>D13/F13</x:f>
        <x:v>1.3333333333333333</x:v>
      </x:c>
      <x:c r="H13" s="27" t="str">
        <x:f>IF(L13="Needs attention","Blocked",IF(G13&gt;=20,"Very High",IF(G13&gt;=8,"High",IF(G13&gt;=2,"Moderate","Low"))))</x:f>
        <x:v>Low</x:v>
      </x:c>
      <x:c r="I13" s="31" t="n">
        <x:f>IF(L13="Needs attention",C13,IF(G13&gt;=8,C13,MAX(5,MROUND(C13*IF(G13&gt;=2,0.9,0.8),5))))</x:f>
        <x:v>10</x:v>
      </x:c>
      <x:c r="J13" s="31" t="n">
        <x:f>I13-C13</x:f>
        <x:v>-5</x:v>
      </x:c>
      <x:c r="K13" s="32" t="str">
        <x:f>IF(L13="Needs attention","Resolve Facebook policy flag; click data are not a valid price signal.",IF(G13&gt;=20,"Keep price through Aug 15; strong interest. If unsold, verify buyer follow-through before any reduction.",IF(G13&gt;=8,"Keep price through Aug 15. If unsold, hold price 24-48 hours before reducing.",IF(G13&gt;=2,"Keep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13" s="27" t="str">
        <x:v>Active</x:v>
      </x:c>
    </x:row>
    <x:row r="14" ht="26.399999618530273" hidden="0" customHeight="1">
      <x:c r="A14" s="32" t="str">
        <x:v>Appliances</x:v>
      </x:c>
      <x:c r="B14" s="32" t="str">
        <x:v>Hamilton Beach Red Oval Slow Cooker</x:v>
      </x:c>
      <x:c r="C14" s="28" t="n">
        <x:v>15</x:v>
      </x:c>
      <x:c r="D14" s="29" t="n">
        <x:v>3</x:v>
      </x:c>
      <x:c r="E14" s="38" t="n">
        <x:v>46245</x:v>
      </x:c>
      <x:c r="F14" s="29" t="n">
        <x:f>MAX(1,$B$3-E14)</x:f>
        <x:v>2</x:v>
      </x:c>
      <x:c r="G14" s="30" t="n">
        <x:f>D14/F14</x:f>
        <x:v>1.5</x:v>
      </x:c>
      <x:c r="H14" s="27" t="str">
        <x:f>IF(L14="Needs attention","Blocked",IF(G14&gt;=20,"Very High",IF(G14&gt;=8,"High",IF(G14&gt;=2,"Moderate","Low"))))</x:f>
        <x:v>Low</x:v>
      </x:c>
      <x:c r="I14" s="31" t="n">
        <x:f>IF(L14="Needs attention",C14,IF(G14&gt;=8,C14,MAX(5,MROUND(C14*IF(G14&gt;=2,0.9,0.8),5))))</x:f>
        <x:v>10</x:v>
      </x:c>
      <x:c r="J14" s="31" t="n">
        <x:f>I14-C14</x:f>
        <x:v>-5</x:v>
      </x:c>
      <x:c r="K14" s="32" t="str">
        <x:f>IF(L14="Needs attention","Resolve Facebook policy flag; click data are not a valid price signal.",IF(G14&gt;=20,"Keep price through Aug 15; strong interest. If unsold, verify buyer follow-through before any reduction.",IF(G14&gt;=8,"Keep price through Aug 15. If unsold, hold price 24-48 hours before reducing.",IF(G14&gt;=2,"Keep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14" s="27" t="str">
        <x:v>Active</x:v>
      </x:c>
    </x:row>
    <x:row r="15" ht="26.399999618530273" hidden="0" customHeight="1">
      <x:c r="A15" s="32" t="str">
        <x:v>Clothing &amp; Accessories</x:v>
      </x:c>
      <x:c r="B15" s="32" t="str">
        <x:v>Fur-Look Cape or Coat</x:v>
      </x:c>
      <x:c r="C15" s="28" t="n">
        <x:v>40</x:v>
      </x:c>
      <x:c r="D15" s="29" t="n">
        <x:v>17</x:v>
      </x:c>
      <x:c r="E15" s="38" t="n">
        <x:v>46244</x:v>
      </x:c>
      <x:c r="F15" s="29" t="n">
        <x:f>MAX(1,$B$3-E15)</x:f>
        <x:v>3</x:v>
      </x:c>
      <x:c r="G15" s="30" t="n">
        <x:f>D15/F15</x:f>
        <x:v>5.666666666666667</x:v>
      </x:c>
      <x:c r="H15" s="27" t="str">
        <x:f>IF(L15="Needs attention","Blocked",IF(G15&gt;=20,"Very High",IF(G15&gt;=8,"High",IF(G15&gt;=2,"Moderate","Low"))))</x:f>
        <x:v>Moderate</x:v>
      </x:c>
      <x:c r="I15" s="31" t="n">
        <x:f>IF(L15="Needs attention",C15,IF(G15&gt;=8,C15,MAX(5,MROUND(C15*IF(G15&gt;=2,0.9,0.8),5))))</x:f>
        <x:v>35</x:v>
      </x:c>
      <x:c r="J15" s="31" t="n">
        <x:f>I15-C15</x:f>
        <x:v>-5</x:v>
      </x:c>
      <x:c r="K15" s="32" t="str">
        <x:f>IF(L15="Needs attention","Resolve Facebook policy flag; click data are not a valid price signal.",IF(G15&gt;=20,"Keep price through Aug 15; strong interest. If unsold, verify buyer follow-through before any reduction.",IF(G15&gt;=8,"Keep price through Aug 15. If unsold, hold price 24-48 hours before reducing.",IF(G15&gt;=2,"Keep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15" s="27" t="str">
        <x:v>Active</x:v>
      </x:c>
    </x:row>
    <x:row r="16" ht="26.399999618530273" hidden="0" customHeight="1">
      <x:c r="A16" s="32" t="str">
        <x:v>Clothing &amp; Accessories</x:v>
      </x:c>
      <x:c r="B16" s="32" t="str">
        <x:v>Handbag and Wallet Lot</x:v>
      </x:c>
      <x:c r="C16" s="28" t="n">
        <x:v>25</x:v>
      </x:c>
      <x:c r="D16" s="29" t="n">
        <x:v>16</x:v>
      </x:c>
      <x:c r="E16" s="38" t="n">
        <x:v>46244</x:v>
      </x:c>
      <x:c r="F16" s="29" t="n">
        <x:f>MAX(1,$B$3-E16)</x:f>
        <x:v>3</x:v>
      </x:c>
      <x:c r="G16" s="30" t="n">
        <x:f>D16/F16</x:f>
        <x:v>5.333333333333333</x:v>
      </x:c>
      <x:c r="H16" s="27" t="str">
        <x:f>IF(L16="Needs attention","Blocked",IF(G16&gt;=20,"Very High",IF(G16&gt;=8,"High",IF(G16&gt;=2,"Moderate","Low"))))</x:f>
        <x:v>Moderate</x:v>
      </x:c>
      <x:c r="I16" s="31" t="n">
        <x:f>IF(L16="Needs attention",C16,IF(G16&gt;=8,C16,MAX(5,MROUND(C16*IF(G16&gt;=2,0.9,0.8),5))))</x:f>
        <x:v>25</x:v>
      </x:c>
      <x:c r="J16" s="31" t="n">
        <x:f>I16-C16</x:f>
        <x:v>0</x:v>
      </x:c>
      <x:c r="K16" s="32" t="str">
        <x:f>IF(L16="Needs attention","Resolve Facebook policy flag; click data are not a valid price signal.",IF(G16&gt;=20,"Keep price through Aug 15; strong interest. If unsold, verify buyer follow-through before any reduction.",IF(G16&gt;=8,"Keep price through Aug 15. If unsold, hold price 24-48 hours before reducing.",IF(G16&gt;=2,"Keep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16" s="27" t="str">
        <x:v>Active</x:v>
      </x:c>
    </x:row>
    <x:row r="17" ht="26.399999618530273" hidden="0" customHeight="1">
      <x:c r="A17" s="32" t="str">
        <x:v>Tools, Office &amp; Household</x:v>
      </x:c>
      <x:c r="B17" s="32" t="str">
        <x:v>Cased Sewing Machine Model 2468 with Notions</x:v>
      </x:c>
      <x:c r="C17" s="28" t="n">
        <x:v>55</x:v>
      </x:c>
      <x:c r="D17" s="29" t="n">
        <x:v>83</x:v>
      </x:c>
      <x:c r="E17" s="38" t="n">
        <x:v>46244</x:v>
      </x:c>
      <x:c r="F17" s="29" t="n">
        <x:f>MAX(1,$B$3-E17)</x:f>
        <x:v>3</x:v>
      </x:c>
      <x:c r="G17" s="30" t="n">
        <x:f>D17/F17</x:f>
        <x:v>27.666666666666668</x:v>
      </x:c>
      <x:c r="H17" s="27" t="str">
        <x:f>IF(L17="Needs attention","Blocked",IF(G17&gt;=20,"Very High",IF(G17&gt;=8,"High",IF(G17&gt;=2,"Moderate","Low"))))</x:f>
        <x:v>Very High</x:v>
      </x:c>
      <x:c r="I17" s="31" t="n">
        <x:f>IF(L17="Needs attention",C17,IF(G17&gt;=8,C17,MAX(5,MROUND(C17*IF(G17&gt;=2,0.9,0.8),5))))</x:f>
        <x:v>55</x:v>
      </x:c>
      <x:c r="J17" s="31" t="n">
        <x:f>I17-C17</x:f>
        <x:v>0</x:v>
      </x:c>
      <x:c r="K17" s="32" t="str">
        <x:f>IF(L17="Needs attention","Resolve Facebook policy flag; click data are not a valid price signal.",IF(G17&gt;=20,"Keep price through Aug 15; strong interest. If unsold, verify buyer follow-through before any reduction.",IF(G17&gt;=8,"Keep price through Aug 15. If unsold, hold price 24-48 hours before reducing.",IF(G17&gt;=2,"Keep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17" s="27" t="str">
        <x:v>Active</x:v>
      </x:c>
    </x:row>
    <x:row r="18" ht="26.399999618530273" hidden="0" customHeight="1">
      <x:c r="A18" s="32" t="str">
        <x:v>Furniture, Storage &amp; Lighting</x:v>
      </x:c>
      <x:c r="B18" s="32" t="str">
        <x:v>Estate Sale Furniture &amp; Lighting - $25 and Up</x:v>
      </x:c>
      <x:c r="C18" s="28" t="n">
        <x:v>25</x:v>
      </x:c>
      <x:c r="D18" s="29" t="n">
        <x:v>79</x:v>
      </x:c>
      <x:c r="E18" s="38" t="n">
        <x:v>46245</x:v>
      </x:c>
      <x:c r="F18" s="29" t="n">
        <x:f>MAX(1,$B$3-E18)</x:f>
        <x:v>2</x:v>
      </x:c>
      <x:c r="G18" s="30" t="n">
        <x:f>D18/F18</x:f>
        <x:v>39.5</x:v>
      </x:c>
      <x:c r="H18" s="27" t="str">
        <x:f>IF(L18="Needs attention","Blocked",IF(G18&gt;=20,"Very High",IF(G18&gt;=8,"High",IF(G18&gt;=2,"Moderate","Low"))))</x:f>
        <x:v>Very High</x:v>
      </x:c>
      <x:c r="I18" s="31" t="n">
        <x:f>IF(L18="Needs attention",C18,IF(G18&gt;=8,C18,MAX(5,MROUND(C18*IF(G18&gt;=2,0.9,0.8),5))))</x:f>
        <x:v>25</x:v>
      </x:c>
      <x:c r="J18" s="31" t="n">
        <x:f>I18-C18</x:f>
        <x:v>0</x:v>
      </x:c>
      <x:c r="K18" s="32" t="str">
        <x:f>IF(L18="Needs attention","Resolve Facebook policy flag; click data are not a valid price signal.",IF(G18&gt;=20,"Keep price through Aug 15; strong interest. If unsold, verify buyer follow-through before any reduction.",IF(G18&gt;=8,"Keep price through Aug 15. If unsold, hold price 24-48 hours before reducing.",IF(G18&gt;=2,"Keep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18" s="27" t="str">
        <x:v>Active</x:v>
      </x:c>
    </x:row>
    <x:row r="19" ht="26.399999618530273" hidden="0" customHeight="1">
      <x:c r="A19" s="32" t="str">
        <x:v>Decor, Collectibles &amp; Books</x:v>
      </x:c>
      <x:c r="B19" s="32" t="str">
        <x:v>Franklin Mint Gone With the Wind Collectible Lot</x:v>
      </x:c>
      <x:c r="C19" s="28" t="n">
        <x:v>175</x:v>
      </x:c>
      <x:c r="D19" s="29" t="n">
        <x:v>50</x:v>
      </x:c>
      <x:c r="E19" s="38" t="n">
        <x:v>46245</x:v>
      </x:c>
      <x:c r="F19" s="29" t="n">
        <x:f>MAX(1,$B$3-E19)</x:f>
        <x:v>2</x:v>
      </x:c>
      <x:c r="G19" s="30" t="n">
        <x:f>D19/F19</x:f>
        <x:v>25</x:v>
      </x:c>
      <x:c r="H19" s="27" t="str">
        <x:f>IF(L19="Needs attention","Blocked",IF(G19&gt;=20,"Very High",IF(G19&gt;=8,"High",IF(G19&gt;=2,"Moderate","Low"))))</x:f>
        <x:v>Very High</x:v>
      </x:c>
      <x:c r="I19" s="31" t="n">
        <x:f>IF(L19="Needs attention",C19,IF(G19&gt;=8,C19,MAX(5,MROUND(C19*IF(G19&gt;=2,0.9,0.8),5))))</x:f>
        <x:v>175</x:v>
      </x:c>
      <x:c r="J19" s="31" t="n">
        <x:f>I19-C19</x:f>
        <x:v>0</x:v>
      </x:c>
      <x:c r="K19" s="32" t="str">
        <x:f>IF(L19="Needs attention","Resolve Facebook policy flag; click data are not a valid price signal.",IF(G19&gt;=20,"Keep price through Aug 15; strong interest. If unsold, verify buyer follow-through before any reduction.",IF(G19&gt;=8,"Keep price through Aug 15. If unsold, hold price 24-48 hours before reducing.",IF(G19&gt;=2,"Keep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19" s="27" t="str">
        <x:v>Active</x:v>
      </x:c>
    </x:row>
    <x:row r="20" ht="15" hidden="0" customHeight="1">
      <x:c r="A20" s="32" t="str">
        <x:v>Decor, Collectibles &amp; Books</x:v>
      </x:c>
      <x:c r="B20" s="32" t="str">
        <x:v>Stained-Glass-Style Hanging Pendant Light</x:v>
      </x:c>
      <x:c r="C20" s="28" t="n">
        <x:v>75</x:v>
      </x:c>
      <x:c r="D20" s="29" t="n">
        <x:v>41</x:v>
      </x:c>
      <x:c r="E20" s="38" t="n">
        <x:v>46244</x:v>
      </x:c>
      <x:c r="F20" s="29" t="n">
        <x:f>MAX(1,$B$3-E20)</x:f>
        <x:v>3</x:v>
      </x:c>
      <x:c r="G20" s="30" t="n">
        <x:f>D20/F20</x:f>
        <x:v>13.666666666666666</x:v>
      </x:c>
      <x:c r="H20" s="27" t="str">
        <x:f>IF(L20="Needs attention","Blocked",IF(G20&gt;=20,"Very High",IF(G20&gt;=8,"High",IF(G20&gt;=2,"Moderate","Low"))))</x:f>
        <x:v>High</x:v>
      </x:c>
      <x:c r="I20" s="31" t="n">
        <x:f>IF(L20="Needs attention",C20,IF(G20&gt;=8,C20,MAX(5,MROUND(C20*IF(G20&gt;=2,0.9,0.8),5))))</x:f>
        <x:v>75</x:v>
      </x:c>
      <x:c r="J20" s="31" t="n">
        <x:f>I20-C20</x:f>
        <x:v>0</x:v>
      </x:c>
      <x:c r="K20" s="32" t="str">
        <x:f>IF(L20="Needs attention","Resolve Facebook policy flag; click data are not a valid price signal.",IF(G20&gt;=20,"Keep price through Aug 15; strong interest. If unsold, verify buyer follow-through before any reduction.",IF(G20&gt;=8,"Keep price through Aug 15. If unsold, hold price 24-48 hours before reducing.",IF(G20&gt;=2,"Keep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0" s="27" t="str">
        <x:v>Active</x:v>
      </x:c>
    </x:row>
    <x:row r="21" ht="15" hidden="0" customHeight="1">
      <x:c r="A21" s="32" t="str">
        <x:v>Decor, Collectibles &amp; Books</x:v>
      </x:c>
      <x:c r="B21" s="32" t="str">
        <x:v>Small Wood-Look Jewelry Box Lot</x:v>
      </x:c>
      <x:c r="C21" s="28" t="n">
        <x:v>20</x:v>
      </x:c>
      <x:c r="D21" s="29" t="n">
        <x:v>31</x:v>
      </x:c>
      <x:c r="E21" s="38" t="n">
        <x:v>46245</x:v>
      </x:c>
      <x:c r="F21" s="29" t="n">
        <x:f>MAX(1,$B$3-E21)</x:f>
        <x:v>2</x:v>
      </x:c>
      <x:c r="G21" s="30" t="n">
        <x:f>D21/F21</x:f>
        <x:v>15.5</x:v>
      </x:c>
      <x:c r="H21" s="27" t="str">
        <x:f>IF(L21="Needs attention","Blocked",IF(G21&gt;=20,"Very High",IF(G21&gt;=8,"High",IF(G21&gt;=2,"Moderate","Low"))))</x:f>
        <x:v>High</x:v>
      </x:c>
      <x:c r="I21" s="31" t="n">
        <x:f>IF(L21="Needs attention",C21,IF(G21&gt;=8,C21,MAX(5,MROUND(C21*IF(G21&gt;=2,0.9,0.8),5))))</x:f>
        <x:v>20</x:v>
      </x:c>
      <x:c r="J21" s="31" t="n">
        <x:f>I21-C21</x:f>
        <x:v>0</x:v>
      </x:c>
      <x:c r="K21" s="32" t="str">
        <x:f>IF(L21="Needs attention","Resolve Facebook policy flag; click data are not a valid price signal.",IF(G21&gt;=20,"Keep price through Aug 15; strong interest. If unsold, verify buyer follow-through before any reduction.",IF(G21&gt;=8,"Keep price through Aug 15. If unsold, hold price 24-48 hours before reducing.",IF(G21&gt;=2,"Keep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1" s="27" t="str">
        <x:v>Active</x:v>
      </x:c>
    </x:row>
    <x:row r="22" ht="26.399999618530273" hidden="0" customHeight="1">
      <x:c r="A22" s="32" t="str">
        <x:v>Decor, Collectibles &amp; Books</x:v>
      </x:c>
      <x:c r="B22" s="32" t="str">
        <x:v>Decorative Music Box Lot - 3</x:v>
      </x:c>
      <x:c r="C22" s="28" t="n">
        <x:v>25</x:v>
      </x:c>
      <x:c r="D22" s="29" t="n">
        <x:v>21</x:v>
      </x:c>
      <x:c r="E22" s="38" t="n">
        <x:v>46247</x:v>
      </x:c>
      <x:c r="F22" s="29" t="n">
        <x:f>MAX(1,$B$3-E22)</x:f>
        <x:v>1</x:v>
      </x:c>
      <x:c r="G22" s="30" t="n">
        <x:f>D22/F22</x:f>
        <x:v>21</x:v>
      </x:c>
      <x:c r="H22" s="27" t="str">
        <x:f>IF(L22="Needs attention","Blocked",IF(G22&gt;=20,"Very High",IF(G22&gt;=8,"High",IF(G22&gt;=2,"Moderate","Low"))))</x:f>
        <x:v>Very High</x:v>
      </x:c>
      <x:c r="I22" s="31" t="n">
        <x:f>IF(L22="Needs attention",C22,IF(G22&gt;=8,C22,MAX(5,MROUND(C22*IF(G22&gt;=2,0.9,0.8),5))))</x:f>
        <x:v>25</x:v>
      </x:c>
      <x:c r="J22" s="31" t="n">
        <x:f>I22-C22</x:f>
        <x:v>0</x:v>
      </x:c>
      <x:c r="K22" s="32" t="str">
        <x:f>IF(L22="Needs attention","Resolve Facebook policy flag; click data are not a valid price signal.",IF(G22&gt;=20,"Keep price through Aug 15; strong interest. If unsold, verify buyer follow-through before any reduction.",IF(G22&gt;=8,"Keep price through Aug 15. If unsold, hold price 24-48 hours before reducing.",IF(G22&gt;=2,"Keep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22" s="27" t="str">
        <x:v>Active</x:v>
      </x:c>
    </x:row>
    <x:row r="23" ht="15" hidden="0" customHeight="1">
      <x:c r="A23" s="32" t="str">
        <x:v>Decor, Collectibles &amp; Books</x:v>
      </x:c>
      <x:c r="B23" s="32" t="str">
        <x:v>Estate Sale Collectibles &amp; Decor - $20 and Up</x:v>
      </x:c>
      <x:c r="C23" s="28" t="n">
        <x:v>20</x:v>
      </x:c>
      <x:c r="D23" s="29" t="n">
        <x:v>19</x:v>
      </x:c>
      <x:c r="E23" s="38" t="n">
        <x:v>46245</x:v>
      </x:c>
      <x:c r="F23" s="29" t="n">
        <x:f>MAX(1,$B$3-E23)</x:f>
        <x:v>2</x:v>
      </x:c>
      <x:c r="G23" s="30" t="n">
        <x:f>D23/F23</x:f>
        <x:v>9.5</x:v>
      </x:c>
      <x:c r="H23" s="27" t="str">
        <x:f>IF(L23="Needs attention","Blocked",IF(G23&gt;=20,"Very High",IF(G23&gt;=8,"High",IF(G23&gt;=2,"Moderate","Low"))))</x:f>
        <x:v>High</x:v>
      </x:c>
      <x:c r="I23" s="31" t="n">
        <x:f>IF(L23="Needs attention",C23,IF(G23&gt;=8,C23,MAX(5,MROUND(C23*IF(G23&gt;=2,0.9,0.8),5))))</x:f>
        <x:v>20</x:v>
      </x:c>
      <x:c r="J23" s="31" t="n">
        <x:f>I23-C23</x:f>
        <x:v>0</x:v>
      </x:c>
      <x:c r="K23" s="32" t="str">
        <x:f>IF(L23="Needs attention","Resolve Facebook policy flag; click data are not a valid price signal.",IF(G23&gt;=20,"Keep price through Aug 15; strong interest. If unsold, verify buyer follow-through before any reduction.",IF(G23&gt;=8,"Keep price through Aug 15. If unsold, hold price 24-48 hours before reducing.",IF(G23&gt;=2,"Keep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3" s="27" t="str">
        <x:v>Active</x:v>
      </x:c>
    </x:row>
    <x:row r="24" ht="15" hidden="0" customHeight="1">
      <x:c r="A24" s="32" t="str">
        <x:v>Decor, Collectibles &amp; Books</x:v>
      </x:c>
      <x:c r="B24" s="32" t="str">
        <x:v>Estate Sale Ceramic Kitchen &amp; Decor Pieces</x:v>
      </x:c>
      <x:c r="C24" s="28" t="n">
        <x:v>15</x:v>
      </x:c>
      <x:c r="D24" s="29" t="n">
        <x:v>15</x:v>
      </x:c>
      <x:c r="E24" s="38" t="n">
        <x:v>46247</x:v>
      </x:c>
      <x:c r="F24" s="29" t="n">
        <x:f>MAX(1,$B$3-E24)</x:f>
        <x:v>1</x:v>
      </x:c>
      <x:c r="G24" s="30" t="n">
        <x:f>D24/F24</x:f>
        <x:v>15</x:v>
      </x:c>
      <x:c r="H24" s="27" t="str">
        <x:f>IF(L24="Needs attention","Blocked",IF(G24&gt;=20,"Very High",IF(G24&gt;=8,"High",IF(G24&gt;=2,"Moderate","Low"))))</x:f>
        <x:v>High</x:v>
      </x:c>
      <x:c r="I24" s="31" t="n">
        <x:f>IF(L24="Needs attention",C24,IF(G24&gt;=8,C24,MAX(5,MROUND(C24*IF(G24&gt;=2,0.9,0.8),5))))</x:f>
        <x:v>15</x:v>
      </x:c>
      <x:c r="J24" s="31" t="n">
        <x:f>I24-C24</x:f>
        <x:v>0</x:v>
      </x:c>
      <x:c r="K24" s="32" t="str">
        <x:f>IF(L24="Needs attention","Resolve Facebook policy flag; click data are not a valid price signal.",IF(G24&gt;=20,"Keep price through Aug 15; strong interest. If unsold, verify buyer follow-through before any reduction.",IF(G24&gt;=8,"Keep price through Aug 15. If unsold, hold price 24-48 hours before reducing.",IF(G24&gt;=2,"Keep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4" s="27" t="str">
        <x:v>Active</x:v>
      </x:c>
    </x:row>
    <x:row r="25" ht="26.399999618530273" hidden="0" customHeight="1">
      <x:c r="A25" s="32" t="str">
        <x:v>Decor, Collectibles &amp; Books</x:v>
      </x:c>
      <x:c r="B25" s="32" t="str">
        <x:v>Estate Sale Small Decor - $5 and Up</x:v>
      </x:c>
      <x:c r="C25" s="28" t="n">
        <x:v>5</x:v>
      </x:c>
      <x:c r="D25" s="29" t="n">
        <x:v>15</x:v>
      </x:c>
      <x:c r="E25" s="38" t="n">
        <x:v>46245</x:v>
      </x:c>
      <x:c r="F25" s="29" t="n">
        <x:f>MAX(1,$B$3-E25)</x:f>
        <x:v>2</x:v>
      </x:c>
      <x:c r="G25" s="30" t="n">
        <x:f>D25/F25</x:f>
        <x:v>7.5</x:v>
      </x:c>
      <x:c r="H25" s="27" t="str">
        <x:f>IF(L25="Needs attention","Blocked",IF(G25&gt;=20,"Very High",IF(G25&gt;=8,"High",IF(G25&gt;=2,"Moderate","Low"))))</x:f>
        <x:v>Moderate</x:v>
      </x:c>
      <x:c r="I25" s="31" t="n">
        <x:f>IF(L25="Needs attention",C25,IF(G25&gt;=8,C25,MAX(5,MROUND(C25*IF(G25&gt;=2,0.9,0.8),5))))</x:f>
        <x:v>5</x:v>
      </x:c>
      <x:c r="J25" s="31" t="n">
        <x:f>I25-C25</x:f>
        <x:v>0</x:v>
      </x:c>
      <x:c r="K25" s="32" t="str">
        <x:f>IF(L25="Needs attention","Resolve Facebook policy flag; click data are not a valid price signal.",IF(G25&gt;=20,"Keep price through Aug 15; strong interest. If unsold, verify buyer follow-through before any reduction.",IF(G25&gt;=8,"Keep price through Aug 15. If unsold, hold price 24-48 hours before reducing.",IF(G25&gt;=2,"Keep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25" s="27" t="str">
        <x:v>Active</x:v>
      </x:c>
    </x:row>
    <x:row r="26" ht="15" hidden="0" customHeight="1">
      <x:c r="A26" s="32" t="str">
        <x:v>Decor, Collectibles &amp; Books</x:v>
      </x:c>
      <x:c r="B26" s="32" t="str">
        <x:v>Estate Sale Nurse &amp; Medical Collectible Figurine Lot</x:v>
      </x:c>
      <x:c r="C26" s="28" t="n">
        <x:v>45</x:v>
      </x:c>
      <x:c r="D26" s="29" t="n">
        <x:v>14</x:v>
      </x:c>
      <x:c r="E26" s="38" t="n">
        <x:v>46246</x:v>
      </x:c>
      <x:c r="F26" s="29" t="n">
        <x:f>MAX(1,$B$3-E26)</x:f>
        <x:v>1</x:v>
      </x:c>
      <x:c r="G26" s="30" t="n">
        <x:f>D26/F26</x:f>
        <x:v>14</x:v>
      </x:c>
      <x:c r="H26" s="27" t="str">
        <x:f>IF(L26="Needs attention","Blocked",IF(G26&gt;=20,"Very High",IF(G26&gt;=8,"High",IF(G26&gt;=2,"Moderate","Low"))))</x:f>
        <x:v>High</x:v>
      </x:c>
      <x:c r="I26" s="31" t="n">
        <x:f>IF(L26="Needs attention",C26,IF(G26&gt;=8,C26,MAX(5,MROUND(C26*IF(G26&gt;=2,0.9,0.8),5))))</x:f>
        <x:v>45</x:v>
      </x:c>
      <x:c r="J26" s="31" t="n">
        <x:f>I26-C26</x:f>
        <x:v>0</x:v>
      </x:c>
      <x:c r="K26" s="32" t="str">
        <x:f>IF(L26="Needs attention","Resolve Facebook policy flag; click data are not a valid price signal.",IF(G26&gt;=20,"Keep price through Aug 15; strong interest. If unsold, verify buyer follow-through before any reduction.",IF(G26&gt;=8,"Keep price through Aug 15. If unsold, hold price 24-48 hours before reducing.",IF(G26&gt;=2,"Keep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6" s="27" t="str">
        <x:v>Active</x:v>
      </x:c>
    </x:row>
    <x:row r="27" ht="15" hidden="0" customHeight="1">
      <x:c r="A27" s="32" t="str">
        <x:v>Decor, Collectibles &amp; Books</x:v>
      </x:c>
      <x:c r="B27" s="32" t="str">
        <x:v>Estate Sale Orioles Baseball &amp; Framed Prints</x:v>
      </x:c>
      <x:c r="C27" s="28" t="n">
        <x:v>15</x:v>
      </x:c>
      <x:c r="D27" s="29" t="n">
        <x:v>14</x:v>
      </x:c>
      <x:c r="E27" s="38" t="n">
        <x:v>46247</x:v>
      </x:c>
      <x:c r="F27" s="29" t="n">
        <x:f>MAX(1,$B$3-E27)</x:f>
        <x:v>1</x:v>
      </x:c>
      <x:c r="G27" s="30" t="n">
        <x:f>D27/F27</x:f>
        <x:v>14</x:v>
      </x:c>
      <x:c r="H27" s="27" t="str">
        <x:f>IF(L27="Needs attention","Blocked",IF(G27&gt;=20,"Very High",IF(G27&gt;=8,"High",IF(G27&gt;=2,"Moderate","Low"))))</x:f>
        <x:v>High</x:v>
      </x:c>
      <x:c r="I27" s="31" t="n">
        <x:f>IF(L27="Needs attention",C27,IF(G27&gt;=8,C27,MAX(5,MROUND(C27*IF(G27&gt;=2,0.9,0.8),5))))</x:f>
        <x:v>15</x:v>
      </x:c>
      <x:c r="J27" s="31" t="n">
        <x:f>I27-C27</x:f>
        <x:v>0</x:v>
      </x:c>
      <x:c r="K27" s="32" t="str">
        <x:f>IF(L27="Needs attention","Resolve Facebook policy flag; click data are not a valid price signal.",IF(G27&gt;=20,"Keep price through Aug 15; strong interest. If unsold, verify buyer follow-through before any reduction.",IF(G27&gt;=8,"Keep price through Aug 15. If unsold, hold price 24-48 hours before reducing.",IF(G27&gt;=2,"Keep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7" s="27" t="str">
        <x:v>Active</x:v>
      </x:c>
    </x:row>
    <x:row r="28" ht="26.399999618530273" hidden="0" customHeight="1">
      <x:c r="A28" s="32" t="str">
        <x:v>Decor, Collectibles &amp; Books</x:v>
      </x:c>
      <x:c r="B28" s="32" t="str">
        <x:v>Handled Wicker Basket</x:v>
      </x:c>
      <x:c r="C28" s="28" t="n">
        <x:v>10</x:v>
      </x:c>
      <x:c r="D28" s="29" t="n">
        <x:v>11</x:v>
      </x:c>
      <x:c r="E28" s="38" t="n">
        <x:v>46244</x:v>
      </x:c>
      <x:c r="F28" s="29" t="n">
        <x:f>MAX(1,$B$3-E28)</x:f>
        <x:v>3</x:v>
      </x:c>
      <x:c r="G28" s="30" t="n">
        <x:f>D28/F28</x:f>
        <x:v>3.6666666666666665</x:v>
      </x:c>
      <x:c r="H28" s="27" t="str">
        <x:f>IF(L28="Needs attention","Blocked",IF(G28&gt;=20,"Very High",IF(G28&gt;=8,"High",IF(G28&gt;=2,"Moderate","Low"))))</x:f>
        <x:v>Moderate</x:v>
      </x:c>
      <x:c r="I28" s="31" t="n">
        <x:f>IF(L28="Needs attention",C28,IF(G28&gt;=8,C28,MAX(5,MROUND(C28*IF(G28&gt;=2,0.9,0.8),5))))</x:f>
        <x:v>10</x:v>
      </x:c>
      <x:c r="J28" s="31" t="n">
        <x:f>I28-C28</x:f>
        <x:v>0</x:v>
      </x:c>
      <x:c r="K28" s="32" t="str">
        <x:f>IF(L28="Needs attention","Resolve Facebook policy flag; click data are not a valid price signal.",IF(G28&gt;=20,"Keep price through Aug 15; strong interest. If unsold, verify buyer follow-through before any reduction.",IF(G28&gt;=8,"Keep price through Aug 15. If unsold, hold price 24-48 hours before reducing.",IF(G28&gt;=2,"Keep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28" s="27" t="str">
        <x:v>Active</x:v>
      </x:c>
    </x:row>
    <x:row r="29" ht="15" hidden="0" customHeight="1">
      <x:c r="A29" s="32" t="str">
        <x:v>Decor, Collectibles &amp; Books</x:v>
      </x:c>
      <x:c r="B29" s="32" t="str">
        <x:v>Estate Sale Bushnell PowerView 12x50 Binoculars</x:v>
      </x:c>
      <x:c r="C29" s="28" t="n">
        <x:v>40</x:v>
      </x:c>
      <x:c r="D29" s="29" t="n">
        <x:v>9</x:v>
      </x:c>
      <x:c r="E29" s="38" t="n">
        <x:v>46247</x:v>
      </x:c>
      <x:c r="F29" s="29" t="n">
        <x:f>MAX(1,$B$3-E29)</x:f>
        <x:v>1</x:v>
      </x:c>
      <x:c r="G29" s="30" t="n">
        <x:f>D29/F29</x:f>
        <x:v>9</x:v>
      </x:c>
      <x:c r="H29" s="27" t="str">
        <x:f>IF(L29="Needs attention","Blocked",IF(G29&gt;=20,"Very High",IF(G29&gt;=8,"High",IF(G29&gt;=2,"Moderate","Low"))))</x:f>
        <x:v>High</x:v>
      </x:c>
      <x:c r="I29" s="31" t="n">
        <x:f>IF(L29="Needs attention",C29,IF(G29&gt;=8,C29,MAX(5,MROUND(C29*IF(G29&gt;=2,0.9,0.8),5))))</x:f>
        <x:v>40</x:v>
      </x:c>
      <x:c r="J29" s="31" t="n">
        <x:f>I29-C29</x:f>
        <x:v>0</x:v>
      </x:c>
      <x:c r="K29" s="32" t="str">
        <x:f>IF(L29="Needs attention","Resolve Facebook policy flag; click data are not a valid price signal.",IF(G29&gt;=20,"Keep price through Aug 15; strong interest. If unsold, verify buyer follow-through before any reduction.",IF(G29&gt;=8,"Keep price through Aug 15. If unsold, hold price 24-48 hours before reducing.",IF(G29&gt;=2,"Keep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29" s="27" t="str">
        <x:v>Active</x:v>
      </x:c>
    </x:row>
    <x:row r="30" ht="26.399999618530273" hidden="0" customHeight="1">
      <x:c r="A30" s="32" t="str">
        <x:v>Decor, Collectibles &amp; Books</x:v>
      </x:c>
      <x:c r="B30" s="32" t="str">
        <x:v>Mixed Hardcover Book Lot</x:v>
      </x:c>
      <x:c r="C30" s="28" t="n">
        <x:v>25</x:v>
      </x:c>
      <x:c r="D30" s="29" t="n">
        <x:v>7</x:v>
      </x:c>
      <x:c r="E30" s="38" t="n">
        <x:v>46244</x:v>
      </x:c>
      <x:c r="F30" s="29" t="n">
        <x:f>MAX(1,$B$3-E30)</x:f>
        <x:v>3</x:v>
      </x:c>
      <x:c r="G30" s="30" t="n">
        <x:f>D30/F30</x:f>
        <x:v>2.3333333333333335</x:v>
      </x:c>
      <x:c r="H30" s="27" t="str">
        <x:f>IF(L30="Needs attention","Blocked",IF(G30&gt;=20,"Very High",IF(G30&gt;=8,"High",IF(G30&gt;=2,"Moderate","Low"))))</x:f>
        <x:v>Moderate</x:v>
      </x:c>
      <x:c r="I30" s="31" t="n">
        <x:f>IF(L30="Needs attention",C30,IF(G30&gt;=8,C30,MAX(5,MROUND(C30*IF(G30&gt;=2,0.9,0.8),5))))</x:f>
        <x:v>25</x:v>
      </x:c>
      <x:c r="J30" s="31" t="n">
        <x:f>I30-C30</x:f>
        <x:v>0</x:v>
      </x:c>
      <x:c r="K30" s="32" t="str">
        <x:f>IF(L30="Needs attention","Resolve Facebook policy flag; click data are not a valid price signal.",IF(G30&gt;=20,"Keep price through Aug 15; strong interest. If unsold, verify buyer follow-through before any reduction.",IF(G30&gt;=8,"Keep price through Aug 15. If unsold, hold price 24-48 hours before reducing.",IF(G30&gt;=2,"Keep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30" s="27" t="str">
        <x:v>Active</x:v>
      </x:c>
    </x:row>
    <x:row r="31" ht="26.399999618530273" hidden="0" customHeight="1">
      <x:c r="A31" s="32" t="str">
        <x:v>Decor, Collectibles &amp; Books</x:v>
      </x:c>
      <x:c r="B31" s="32" t="str">
        <x:v>Floral Ceramic Decor Trio</x:v>
      </x:c>
      <x:c r="C31" s="28" t="n">
        <x:v>35</x:v>
      </x:c>
      <x:c r="D31" s="29" t="n">
        <x:v>6</x:v>
      </x:c>
      <x:c r="E31" s="38" t="n">
        <x:v>46245</x:v>
      </x:c>
      <x:c r="F31" s="29" t="n">
        <x:f>MAX(1,$B$3-E31)</x:f>
        <x:v>2</x:v>
      </x:c>
      <x:c r="G31" s="30" t="n">
        <x:f>D31/F31</x:f>
        <x:v>3</x:v>
      </x:c>
      <x:c r="H31" s="27" t="str">
        <x:f>IF(L31="Needs attention","Blocked",IF(G31&gt;=20,"Very High",IF(G31&gt;=8,"High",IF(G31&gt;=2,"Moderate","Low"))))</x:f>
        <x:v>Moderate</x:v>
      </x:c>
      <x:c r="I31" s="31" t="n">
        <x:f>IF(L31="Needs attention",C31,IF(G31&gt;=8,C31,MAX(5,MROUND(C31*IF(G31&gt;=2,0.9,0.8),5))))</x:f>
        <x:v>30</x:v>
      </x:c>
      <x:c r="J31" s="31" t="n">
        <x:f>I31-C31</x:f>
        <x:v>-5</x:v>
      </x:c>
      <x:c r="K31" s="32" t="str">
        <x:f>IF(L31="Needs attention","Resolve Facebook policy flag; click data are not a valid price signal.",IF(G31&gt;=20,"Keep price through Aug 15; strong interest. If unsold, verify buyer follow-through before any reduction.",IF(G31&gt;=8,"Keep price through Aug 15. If unsold, hold price 24-48 hours before reducing.",IF(G31&gt;=2,"Keep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31" s="27" t="str">
        <x:v>Active</x:v>
      </x:c>
    </x:row>
    <x:row r="32" ht="26.399999618530273" hidden="0" customHeight="1">
      <x:c r="A32" s="32" t="str">
        <x:v>Decor, Collectibles &amp; Books</x:v>
      </x:c>
      <x:c r="B32" s="32" t="str">
        <x:v>Estate Sale Decorative Figurine &amp; Music Box Collection</x:v>
      </x:c>
      <x:c r="C32" s="28" t="n">
        <x:v>60</x:v>
      </x:c>
      <x:c r="D32" s="29" t="n">
        <x:v>5</x:v>
      </x:c>
      <x:c r="E32" s="38" t="n">
        <x:v>46246</x:v>
      </x:c>
      <x:c r="F32" s="29" t="n">
        <x:f>MAX(1,$B$3-E32)</x:f>
        <x:v>1</x:v>
      </x:c>
      <x:c r="G32" s="30" t="n">
        <x:f>D32/F32</x:f>
        <x:v>5</x:v>
      </x:c>
      <x:c r="H32" s="27" t="str">
        <x:f>IF(L32="Needs attention","Blocked",IF(G32&gt;=20,"Very High",IF(G32&gt;=8,"High",IF(G32&gt;=2,"Moderate","Low"))))</x:f>
        <x:v>Moderate</x:v>
      </x:c>
      <x:c r="I32" s="31" t="n">
        <x:f>IF(L32="Needs attention",C32,IF(G32&gt;=8,C32,MAX(5,MROUND(C32*IF(G32&gt;=2,0.9,0.8),5))))</x:f>
        <x:v>55</x:v>
      </x:c>
      <x:c r="J32" s="31" t="n">
        <x:f>I32-C32</x:f>
        <x:v>-5</x:v>
      </x:c>
      <x:c r="K32" s="32" t="str">
        <x:f>IF(L32="Needs attention","Resolve Facebook policy flag; click data are not a valid price signal.",IF(G32&gt;=20,"Keep price through Aug 15; strong interest. If unsold, verify buyer follow-through before any reduction.",IF(G32&gt;=8,"Keep price through Aug 15. If unsold, hold price 24-48 hours before reducing.",IF(G32&gt;=2,"Keep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32" s="27" t="str">
        <x:v>Active</x:v>
      </x:c>
    </x:row>
    <x:row r="33" ht="26.399999618530273" hidden="0" customHeight="1">
      <x:c r="A33" s="32" t="str">
        <x:v>Decor, Collectibles &amp; Books</x:v>
      </x:c>
      <x:c r="B33" s="32" t="str">
        <x:v>Ornate Carved Mantel Clock</x:v>
      </x:c>
      <x:c r="C33" s="28" t="n">
        <x:v>65</x:v>
      </x:c>
      <x:c r="D33" s="29" t="n">
        <x:v>4</x:v>
      </x:c>
      <x:c r="E33" s="38" t="n">
        <x:v>46244</x:v>
      </x:c>
      <x:c r="F33" s="29" t="n">
        <x:f>MAX(1,$B$3-E33)</x:f>
        <x:v>3</x:v>
      </x:c>
      <x:c r="G33" s="30" t="n">
        <x:f>D33/F33</x:f>
        <x:v>1.3333333333333333</x:v>
      </x:c>
      <x:c r="H33" s="27" t="str">
        <x:f>IF(L33="Needs attention","Blocked",IF(G33&gt;=20,"Very High",IF(G33&gt;=8,"High",IF(G33&gt;=2,"Moderate","Low"))))</x:f>
        <x:v>Low</x:v>
      </x:c>
      <x:c r="I33" s="31" t="n">
        <x:f>IF(L33="Needs attention",C33,IF(G33&gt;=8,C33,MAX(5,MROUND(C33*IF(G33&gt;=2,0.9,0.8),5))))</x:f>
        <x:v>50</x:v>
      </x:c>
      <x:c r="J33" s="31" t="n">
        <x:f>I33-C33</x:f>
        <x:v>-15</x:v>
      </x:c>
      <x:c r="K33" s="32" t="str">
        <x:f>IF(L33="Needs attention","Resolve Facebook policy flag; click data are not a valid price signal.",IF(G33&gt;=20,"Keep price through Aug 15; strong interest. If unsold, verify buyer follow-through before any reduction.",IF(G33&gt;=8,"Keep price through Aug 15. If unsold, hold price 24-48 hours before reducing.",IF(G33&gt;=2,"Keep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33" s="27" t="str">
        <x:v>Active</x:v>
      </x:c>
    </x:row>
    <x:row r="34" ht="26.399999618530273" hidden="0" customHeight="1">
      <x:c r="A34" s="32" t="str">
        <x:v>Decor, Collectibles &amp; Books</x:v>
      </x:c>
      <x:c r="B34" s="32" t="str">
        <x:v>Decorative Doll and Angel Lot</x:v>
      </x:c>
      <x:c r="C34" s="28" t="n">
        <x:v>45</x:v>
      </x:c>
      <x:c r="D34" s="29" t="n">
        <x:v>2</x:v>
      </x:c>
      <x:c r="E34" s="38" t="n">
        <x:v>46244</x:v>
      </x:c>
      <x:c r="F34" s="29" t="n">
        <x:f>MAX(1,$B$3-E34)</x:f>
        <x:v>3</x:v>
      </x:c>
      <x:c r="G34" s="30" t="n">
        <x:f>D34/F34</x:f>
        <x:v>0.6666666666666666</x:v>
      </x:c>
      <x:c r="H34" s="27" t="str">
        <x:f>IF(L34="Needs attention","Blocked",IF(G34&gt;=20,"Very High",IF(G34&gt;=8,"High",IF(G34&gt;=2,"Moderate","Low"))))</x:f>
        <x:v>Low</x:v>
      </x:c>
      <x:c r="I34" s="31" t="n">
        <x:f>IF(L34="Needs attention",C34,IF(G34&gt;=8,C34,MAX(5,MROUND(C34*IF(G34&gt;=2,0.9,0.8),5))))</x:f>
        <x:v>35</x:v>
      </x:c>
      <x:c r="J34" s="31" t="n">
        <x:f>I34-C34</x:f>
        <x:v>-10</x:v>
      </x:c>
      <x:c r="K34" s="32" t="str">
        <x:f>IF(L34="Needs attention","Resolve Facebook policy flag; click data are not a valid price signal.",IF(G34&gt;=20,"Keep price through Aug 15; strong interest. If unsold, verify buyer follow-through before any reduction.",IF(G34&gt;=8,"Keep price through Aug 15. If unsold, hold price 24-48 hours before reducing.",IF(G34&gt;=2,"Keep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34" s="27" t="str">
        <x:v>Active</x:v>
      </x:c>
    </x:row>
    <x:row r="35" ht="26.399999618530273" hidden="0" customHeight="1">
      <x:c r="A35" s="32" t="str">
        <x:v>Decor, Collectibles &amp; Books</x:v>
      </x:c>
      <x:c r="B35" s="32" t="str">
        <x:v>Gone With the Wind Playing Card Set</x:v>
      </x:c>
      <x:c r="C35" s="28" t="n">
        <x:v>20</x:v>
      </x:c>
      <x:c r="D35" s="29" t="n">
        <x:v>2</x:v>
      </x:c>
      <x:c r="E35" s="38" t="n">
        <x:v>46245</x:v>
      </x:c>
      <x:c r="F35" s="29" t="n">
        <x:f>MAX(1,$B$3-E35)</x:f>
        <x:v>2</x:v>
      </x:c>
      <x:c r="G35" s="30" t="n">
        <x:f>D35/F35</x:f>
        <x:v>1</x:v>
      </x:c>
      <x:c r="H35" s="27" t="str">
        <x:f>IF(L35="Needs attention","Blocked",IF(G35&gt;=20,"Very High",IF(G35&gt;=8,"High",IF(G35&gt;=2,"Moderate","Low"))))</x:f>
        <x:v>Low</x:v>
      </x:c>
      <x:c r="I35" s="31" t="n">
        <x:f>IF(L35="Needs attention",C35,IF(G35&gt;=8,C35,MAX(5,MROUND(C35*IF(G35&gt;=2,0.9,0.8),5))))</x:f>
        <x:v>15</x:v>
      </x:c>
      <x:c r="J35" s="31" t="n">
        <x:f>I35-C35</x:f>
        <x:v>-5</x:v>
      </x:c>
      <x:c r="K35" s="32" t="str">
        <x:f>IF(L35="Needs attention","Resolve Facebook policy flag; click data are not a valid price signal.",IF(G35&gt;=20,"Keep price through Aug 15; strong interest. If unsold, verify buyer follow-through before any reduction.",IF(G35&gt;=8,"Keep price through Aug 15. If unsold, hold price 24-48 hours before reducing.",IF(G35&gt;=2,"Keep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35" s="27" t="str">
        <x:v>Active</x:v>
      </x:c>
    </x:row>
    <x:row r="36" ht="26.399999618530273" hidden="0" customHeight="1">
      <x:c r="A36" s="32" t="str">
        <x:v>Decor, Collectibles &amp; Books</x:v>
      </x:c>
      <x:c r="B36" s="32" t="str">
        <x:v>Mixed Decorative Figurine Lot</x:v>
      </x:c>
      <x:c r="C36" s="28" t="n">
        <x:v>45</x:v>
      </x:c>
      <x:c r="D36" s="29" t="n">
        <x:v>2</x:v>
      </x:c>
      <x:c r="E36" s="38" t="n">
        <x:v>46244</x:v>
      </x:c>
      <x:c r="F36" s="29" t="n">
        <x:f>MAX(1,$B$3-E36)</x:f>
        <x:v>3</x:v>
      </x:c>
      <x:c r="G36" s="30" t="n">
        <x:f>D36/F36</x:f>
        <x:v>0.6666666666666666</x:v>
      </x:c>
      <x:c r="H36" s="27" t="str">
        <x:f>IF(L36="Needs attention","Blocked",IF(G36&gt;=20,"Very High",IF(G36&gt;=8,"High",IF(G36&gt;=2,"Moderate","Low"))))</x:f>
        <x:v>Low</x:v>
      </x:c>
      <x:c r="I36" s="31" t="n">
        <x:f>IF(L36="Needs attention",C36,IF(G36&gt;=8,C36,MAX(5,MROUND(C36*IF(G36&gt;=2,0.9,0.8),5))))</x:f>
        <x:v>35</x:v>
      </x:c>
      <x:c r="J36" s="31" t="n">
        <x:f>I36-C36</x:f>
        <x:v>-10</x:v>
      </x:c>
      <x:c r="K36" s="32" t="str">
        <x:f>IF(L36="Needs attention","Resolve Facebook policy flag; click data are not a valid price signal.",IF(G36&gt;=20,"Keep price through Aug 15; strong interest. If unsold, verify buyer follow-through before any reduction.",IF(G36&gt;=8,"Keep price through Aug 15. If unsold, hold price 24-48 hours before reducing.",IF(G36&gt;=2,"Keep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36" s="27" t="str">
        <x:v>Active</x:v>
      </x:c>
    </x:row>
    <x:row r="37" ht="26.399999618530273" hidden="0" customHeight="1">
      <x:c r="A37" s="32" t="str">
        <x:v>Decor, Collectibles &amp; Books</x:v>
      </x:c>
      <x:c r="B37" s="32" t="str">
        <x:v>Decorative Bear Figurine Trio</x:v>
      </x:c>
      <x:c r="C37" s="28" t="n">
        <x:v>15</x:v>
      </x:c>
      <x:c r="D37" s="29" t="n">
        <x:v>1</x:v>
      </x:c>
      <x:c r="E37" s="38" t="n">
        <x:v>46245</x:v>
      </x:c>
      <x:c r="F37" s="29" t="n">
        <x:f>MAX(1,$B$3-E37)</x:f>
        <x:v>2</x:v>
      </x:c>
      <x:c r="G37" s="30" t="n">
        <x:f>D37/F37</x:f>
        <x:v>0.5</x:v>
      </x:c>
      <x:c r="H37" s="27" t="str">
        <x:f>IF(L37="Needs attention","Blocked",IF(G37&gt;=20,"Very High",IF(G37&gt;=8,"High",IF(G37&gt;=2,"Moderate","Low"))))</x:f>
        <x:v>Low</x:v>
      </x:c>
      <x:c r="I37" s="31" t="n">
        <x:f>IF(L37="Needs attention",C37,IF(G37&gt;=8,C37,MAX(5,MROUND(C37*IF(G37&gt;=2,0.9,0.8),5))))</x:f>
        <x:v>10</x:v>
      </x:c>
      <x:c r="J37" s="31" t="n">
        <x:f>I37-C37</x:f>
        <x:v>-5</x:v>
      </x:c>
      <x:c r="K37" s="32" t="str">
        <x:f>IF(L37="Needs attention","Resolve Facebook policy flag; click data are not a valid price signal.",IF(G37&gt;=20,"Keep price through Aug 15; strong interest. If unsold, verify buyer follow-through before any reduction.",IF(G37&gt;=8,"Keep price through Aug 15. If unsold, hold price 24-48 hours before reducing.",IF(G37&gt;=2,"Keep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37" s="27" t="str">
        <x:v>Active</x:v>
      </x:c>
    </x:row>
    <x:row r="38" ht="26.399999618530273" hidden="0" customHeight="1">
      <x:c r="A38" s="32" t="str">
        <x:v>Electronics &amp; Media</x:v>
      </x:c>
      <x:c r="B38" s="32" t="str">
        <x:v>Sony Walkman D-E350 Portable CD Player</x:v>
      </x:c>
      <x:c r="C38" s="28" t="n">
        <x:v>15</x:v>
      </x:c>
      <x:c r="D38" s="29" t="n">
        <x:v>147</x:v>
      </x:c>
      <x:c r="E38" s="38" t="n">
        <x:v>46245</x:v>
      </x:c>
      <x:c r="F38" s="29" t="n">
        <x:f>MAX(1,$B$3-E38)</x:f>
        <x:v>2</x:v>
      </x:c>
      <x:c r="G38" s="30" t="n">
        <x:f>D38/F38</x:f>
        <x:v>73.5</x:v>
      </x:c>
      <x:c r="H38" s="27" t="str">
        <x:f>IF(L38="Needs attention","Blocked",IF(G38&gt;=20,"Very High",IF(G38&gt;=8,"High",IF(G38&gt;=2,"Moderate","Low"))))</x:f>
        <x:v>Very High</x:v>
      </x:c>
      <x:c r="I38" s="31" t="n">
        <x:f>IF(L38="Needs attention",C38,IF(G38&gt;=8,C38,MAX(5,MROUND(C38*IF(G38&gt;=2,0.9,0.8),5))))</x:f>
        <x:v>15</x:v>
      </x:c>
      <x:c r="J38" s="31" t="n">
        <x:f>I38-C38</x:f>
        <x:v>0</x:v>
      </x:c>
      <x:c r="K38" s="32" t="str">
        <x:f>IF(L38="Needs attention","Resolve Facebook policy flag; click data are not a valid price signal.",IF(G38&gt;=20,"Keep price through Aug 15; strong interest. If unsold, verify buyer follow-through before any reduction.",IF(G38&gt;=8,"Keep price through Aug 15. If unsold, hold price 24-48 hours before reducing.",IF(G38&gt;=2,"Keep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38" s="27" t="str">
        <x:v>Active</x:v>
      </x:c>
    </x:row>
    <x:row r="39" ht="26.399999618530273" hidden="0" customHeight="1">
      <x:c r="A39" s="32" t="str">
        <x:v>Electronics &amp; Media</x:v>
      </x:c>
      <x:c r="B39" s="32" t="str">
        <x:v>Assortment of Vinyl Records</x:v>
      </x:c>
      <x:c r="C39" s="28" t="n">
        <x:v>30</x:v>
      </x:c>
      <x:c r="D39" s="29" t="n">
        <x:v>66</x:v>
      </x:c>
      <x:c r="E39" s="38" t="n">
        <x:v>46244</x:v>
      </x:c>
      <x:c r="F39" s="29" t="n">
        <x:f>MAX(1,$B$3-E39)</x:f>
        <x:v>3</x:v>
      </x:c>
      <x:c r="G39" s="30" t="n">
        <x:f>D39/F39</x:f>
        <x:v>22</x:v>
      </x:c>
      <x:c r="H39" s="27" t="str">
        <x:f>IF(L39="Needs attention","Blocked",IF(G39&gt;=20,"Very High",IF(G39&gt;=8,"High",IF(G39&gt;=2,"Moderate","Low"))))</x:f>
        <x:v>Very High</x:v>
      </x:c>
      <x:c r="I39" s="31" t="n">
        <x:f>IF(L39="Needs attention",C39,IF(G39&gt;=8,C39,MAX(5,MROUND(C39*IF(G39&gt;=2,0.9,0.8),5))))</x:f>
        <x:v>30</x:v>
      </x:c>
      <x:c r="J39" s="31" t="n">
        <x:f>I39-C39</x:f>
        <x:v>0</x:v>
      </x:c>
      <x:c r="K39" s="32" t="str">
        <x:f>IF(L39="Needs attention","Resolve Facebook policy flag; click data are not a valid price signal.",IF(G39&gt;=20,"Keep price through Aug 15; strong interest. If unsold, verify buyer follow-through before any reduction.",IF(G39&gt;=8,"Keep price through Aug 15. If unsold, hold price 24-48 hours before reducing.",IF(G39&gt;=2,"Keep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39" s="27" t="str">
        <x:v>Active</x:v>
      </x:c>
    </x:row>
    <x:row r="40" ht="26.399999618530273" hidden="0" customHeight="1">
      <x:c r="A40" s="32" t="str">
        <x:v>Electronics &amp; Media</x:v>
      </x:c>
      <x:c r="B40" s="32" t="str">
        <x:v>Vintage GE Clock Cassette Recorder</x:v>
      </x:c>
      <x:c r="C40" s="28" t="n">
        <x:v>20</x:v>
      </x:c>
      <x:c r="D40" s="29" t="n">
        <x:v>50</x:v>
      </x:c>
      <x:c r="E40" s="38" t="n">
        <x:v>46245</x:v>
      </x:c>
      <x:c r="F40" s="29" t="n">
        <x:f>MAX(1,$B$3-E40)</x:f>
        <x:v>2</x:v>
      </x:c>
      <x:c r="G40" s="30" t="n">
        <x:f>D40/F40</x:f>
        <x:v>25</x:v>
      </x:c>
      <x:c r="H40" s="27" t="str">
        <x:f>IF(L40="Needs attention","Blocked",IF(G40&gt;=20,"Very High",IF(G40&gt;=8,"High",IF(G40&gt;=2,"Moderate","Low"))))</x:f>
        <x:v>Very High</x:v>
      </x:c>
      <x:c r="I40" s="31" t="n">
        <x:f>IF(L40="Needs attention",C40,IF(G40&gt;=8,C40,MAX(5,MROUND(C40*IF(G40&gt;=2,0.9,0.8),5))))</x:f>
        <x:v>20</x:v>
      </x:c>
      <x:c r="J40" s="31" t="n">
        <x:f>I40-C40</x:f>
        <x:v>0</x:v>
      </x:c>
      <x:c r="K40" s="32" t="str">
        <x:f>IF(L40="Needs attention","Resolve Facebook policy flag; click data are not a valid price signal.",IF(G40&gt;=20,"Keep price through Aug 15; strong interest. If unsold, verify buyer follow-through before any reduction.",IF(G40&gt;=8,"Keep price through Aug 15. If unsold, hold price 24-48 hours before reducing.",IF(G40&gt;=2,"Keep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40" s="27" t="str">
        <x:v>Active</x:v>
      </x:c>
    </x:row>
    <x:row r="41" ht="15" hidden="0" customHeight="1">
      <x:c r="A41" s="32" t="str">
        <x:v>Electronics &amp; Media</x:v>
      </x:c>
      <x:c r="B41" s="32" t="str">
        <x:v>Wood Lift-Top File or Record Cabinet</x:v>
      </x:c>
      <x:c r="C41" s="28" t="n">
        <x:v>50</x:v>
      </x:c>
      <x:c r="D41" s="29" t="n">
        <x:v>25</x:v>
      </x:c>
      <x:c r="E41" s="38" t="n">
        <x:v>46244</x:v>
      </x:c>
      <x:c r="F41" s="29" t="n">
        <x:f>MAX(1,$B$3-E41)</x:f>
        <x:v>3</x:v>
      </x:c>
      <x:c r="G41" s="30" t="n">
        <x:f>D41/F41</x:f>
        <x:v>8.333333333333334</x:v>
      </x:c>
      <x:c r="H41" s="27" t="str">
        <x:f>IF(L41="Needs attention","Blocked",IF(G41&gt;=20,"Very High",IF(G41&gt;=8,"High",IF(G41&gt;=2,"Moderate","Low"))))</x:f>
        <x:v>High</x:v>
      </x:c>
      <x:c r="I41" s="31" t="n">
        <x:f>IF(L41="Needs attention",C41,IF(G41&gt;=8,C41,MAX(5,MROUND(C41*IF(G41&gt;=2,0.9,0.8),5))))</x:f>
        <x:v>50</x:v>
      </x:c>
      <x:c r="J41" s="31" t="n">
        <x:f>I41-C41</x:f>
        <x:v>0</x:v>
      </x:c>
      <x:c r="K41" s="32" t="str">
        <x:f>IF(L41="Needs attention","Resolve Facebook policy flag; click data are not a valid price signal.",IF(G41&gt;=20,"Keep price through Aug 15; strong interest. If unsold, verify buyer follow-through before any reduction.",IF(G41&gt;=8,"Keep price through Aug 15. If unsold, hold price 24-48 hours before reducing.",IF(G41&gt;=2,"Keep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41" s="27" t="str">
        <x:v>Active</x:v>
      </x:c>
    </x:row>
    <x:row r="42" ht="26.399999618530273" hidden="0" customHeight="1">
      <x:c r="A42" s="32" t="str">
        <x:v>Electronics &amp; Media</x:v>
      </x:c>
      <x:c r="B42" s="32" t="str">
        <x:v>Sony CCD-F35 Video8 Camcorder Kit</x:v>
      </x:c>
      <x:c r="C42" s="28" t="n">
        <x:v>75</x:v>
      </x:c>
      <x:c r="D42" s="29" t="n">
        <x:v>16</x:v>
      </x:c>
      <x:c r="E42" s="38" t="n">
        <x:v>46244</x:v>
      </x:c>
      <x:c r="F42" s="29" t="n">
        <x:f>MAX(1,$B$3-E42)</x:f>
        <x:v>3</x:v>
      </x:c>
      <x:c r="G42" s="30" t="n">
        <x:f>D42/F42</x:f>
        <x:v>5.333333333333333</x:v>
      </x:c>
      <x:c r="H42" s="27" t="str">
        <x:f>IF(L42="Needs attention","Blocked",IF(G42&gt;=20,"Very High",IF(G42&gt;=8,"High",IF(G42&gt;=2,"Moderate","Low"))))</x:f>
        <x:v>Moderate</x:v>
      </x:c>
      <x:c r="I42" s="31" t="n">
        <x:f>IF(L42="Needs attention",C42,IF(G42&gt;=8,C42,MAX(5,MROUND(C42*IF(G42&gt;=2,0.9,0.8),5))))</x:f>
        <x:v>70</x:v>
      </x:c>
      <x:c r="J42" s="31" t="n">
        <x:f>I42-C42</x:f>
        <x:v>-5</x:v>
      </x:c>
      <x:c r="K42" s="32" t="str">
        <x:f>IF(L42="Needs attention","Resolve Facebook policy flag; click data are not a valid price signal.",IF(G42&gt;=20,"Keep price through Aug 15; strong interest. If unsold, verify buyer follow-through before any reduction.",IF(G42&gt;=8,"Keep price through Aug 15. If unsold, hold price 24-48 hours before reducing.",IF(G42&gt;=2,"Keep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42" s="27" t="str">
        <x:v>Active</x:v>
      </x:c>
    </x:row>
    <x:row r="43" ht="26.399999618530273" hidden="0" customHeight="1">
      <x:c r="A43" s="32" t="str">
        <x:v>Electronics &amp; Media</x:v>
      </x:c>
      <x:c r="B43" s="32" t="str">
        <x:v>LG and GoVideo DVD-Player Pair</x:v>
      </x:c>
      <x:c r="C43" s="28" t="n">
        <x:v>30</x:v>
      </x:c>
      <x:c r="D43" s="29" t="n">
        <x:v>5</x:v>
      </x:c>
      <x:c r="E43" s="38" t="n">
        <x:v>46244</x:v>
      </x:c>
      <x:c r="F43" s="29" t="n">
        <x:f>MAX(1,$B$3-E43)</x:f>
        <x:v>3</x:v>
      </x:c>
      <x:c r="G43" s="30" t="n">
        <x:f>D43/F43</x:f>
        <x:v>1.6666666666666667</x:v>
      </x:c>
      <x:c r="H43" s="27" t="str">
        <x:f>IF(L43="Needs attention","Blocked",IF(G43&gt;=20,"Very High",IF(G43&gt;=8,"High",IF(G43&gt;=2,"Moderate","Low"))))</x:f>
        <x:v>Low</x:v>
      </x:c>
      <x:c r="I43" s="31" t="n">
        <x:f>IF(L43="Needs attention",C43,IF(G43&gt;=8,C43,MAX(5,MROUND(C43*IF(G43&gt;=2,0.9,0.8),5))))</x:f>
        <x:v>25</x:v>
      </x:c>
      <x:c r="J43" s="31" t="n">
        <x:f>I43-C43</x:f>
        <x:v>-5</x:v>
      </x:c>
      <x:c r="K43" s="32" t="str">
        <x:f>IF(L43="Needs attention","Resolve Facebook policy flag; click data are not a valid price signal.",IF(G43&gt;=20,"Keep price through Aug 15; strong interest. If unsold, verify buyer follow-through before any reduction.",IF(G43&gt;=8,"Keep price through Aug 15. If unsold, hold price 24-48 hours before reducing.",IF(G43&gt;=2,"Keep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43" s="27" t="str">
        <x:v>Active</x:v>
      </x:c>
    </x:row>
    <x:row r="44" ht="26.399999618530273" hidden="0" customHeight="1">
      <x:c r="A44" s="32" t="str">
        <x:v>Electronics &amp; Media</x:v>
      </x:c>
      <x:c r="B44" s="32" t="str">
        <x:v>Sony 5-Disc DVD/CD Changer DVP-NC675P</x:v>
      </x:c>
      <x:c r="C44" s="28" t="n">
        <x:v>45</x:v>
      </x:c>
      <x:c r="D44" s="29" t="n">
        <x:v>5</x:v>
      </x:c>
      <x:c r="E44" s="38" t="n">
        <x:v>46245</x:v>
      </x:c>
      <x:c r="F44" s="29" t="n">
        <x:f>MAX(1,$B$3-E44)</x:f>
        <x:v>2</x:v>
      </x:c>
      <x:c r="G44" s="30" t="n">
        <x:f>D44/F44</x:f>
        <x:v>2.5</x:v>
      </x:c>
      <x:c r="H44" s="27" t="str">
        <x:f>IF(L44="Needs attention","Blocked",IF(G44&gt;=20,"Very High",IF(G44&gt;=8,"High",IF(G44&gt;=2,"Moderate","Low"))))</x:f>
        <x:v>Moderate</x:v>
      </x:c>
      <x:c r="I44" s="31" t="n">
        <x:f>IF(L44="Needs attention",C44,IF(G44&gt;=8,C44,MAX(5,MROUND(C44*IF(G44&gt;=2,0.9,0.8),5))))</x:f>
        <x:v>40</x:v>
      </x:c>
      <x:c r="J44" s="31" t="n">
        <x:f>I44-C44</x:f>
        <x:v>-5</x:v>
      </x:c>
      <x:c r="K44" s="32" t="str">
        <x:f>IF(L44="Needs attention","Resolve Facebook policy flag; click data are not a valid price signal.",IF(G44&gt;=20,"Keep price through Aug 15; strong interest. If unsold, verify buyer follow-through before any reduction.",IF(G44&gt;=8,"Keep price through Aug 15. If unsold, hold price 24-48 hours before reducing.",IF(G44&gt;=2,"Keep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44" s="27" t="str">
        <x:v>Active</x:v>
      </x:c>
    </x:row>
    <x:row r="45" ht="26.399999618530273" hidden="0" customHeight="1">
      <x:c r="A45" s="32" t="str">
        <x:v>Electronics &amp; Media</x:v>
      </x:c>
      <x:c r="B45" s="32" t="str">
        <x:v>RCA RP-9515 Stereo and Speaker Set</x:v>
      </x:c>
      <x:c r="C45" s="28" t="n">
        <x:v>35</x:v>
      </x:c>
      <x:c r="D45" s="29" t="n">
        <x:v>2</x:v>
      </x:c>
      <x:c r="E45" s="38" t="n">
        <x:v>46244</x:v>
      </x:c>
      <x:c r="F45" s="29" t="n">
        <x:f>MAX(1,$B$3-E45)</x:f>
        <x:v>3</x:v>
      </x:c>
      <x:c r="G45" s="30" t="n">
        <x:f>D45/F45</x:f>
        <x:v>0.6666666666666666</x:v>
      </x:c>
      <x:c r="H45" s="27" t="str">
        <x:f>IF(L45="Needs attention","Blocked",IF(G45&gt;=20,"Very High",IF(G45&gt;=8,"High",IF(G45&gt;=2,"Moderate","Low"))))</x:f>
        <x:v>Low</x:v>
      </x:c>
      <x:c r="I45" s="31" t="n">
        <x:f>IF(L45="Needs attention",C45,IF(G45&gt;=8,C45,MAX(5,MROUND(C45*IF(G45&gt;=2,0.9,0.8),5))))</x:f>
        <x:v>30</x:v>
      </x:c>
      <x:c r="J45" s="31" t="n">
        <x:f>I45-C45</x:f>
        <x:v>-5</x:v>
      </x:c>
      <x:c r="K45" s="32" t="str">
        <x:f>IF(L45="Needs attention","Resolve Facebook policy flag; click data are not a valid price signal.",IF(G45&gt;=20,"Keep price through Aug 15; strong interest. If unsold, verify buyer follow-through before any reduction.",IF(G45&gt;=8,"Keep price through Aug 15. If unsold, hold price 24-48 hours before reducing.",IF(G45&gt;=2,"Keep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45" s="27" t="str">
        <x:v>Active</x:v>
      </x:c>
    </x:row>
    <x:row r="46" ht="26.399999618530273" hidden="0" customHeight="1">
      <x:c r="A46" s="32" t="str">
        <x:v>Furniture, Storage &amp; Lighting</x:v>
      </x:c>
      <x:c r="B46" s="32" t="str">
        <x:v>Wood Corner Cabinet or Hutch</x:v>
      </x:c>
      <x:c r="C46" s="28" t="n">
        <x:v>125</x:v>
      </x:c>
      <x:c r="D46" s="29" t="n">
        <x:v>541</x:v>
      </x:c>
      <x:c r="E46" s="38" t="n">
        <x:v>46244</x:v>
      </x:c>
      <x:c r="F46" s="29" t="n">
        <x:f>MAX(1,$B$3-E46)</x:f>
        <x:v>3</x:v>
      </x:c>
      <x:c r="G46" s="30" t="n">
        <x:f>D46/F46</x:f>
        <x:v>180.33333333333334</x:v>
      </x:c>
      <x:c r="H46" s="27" t="str">
        <x:f>IF(L46="Needs attention","Blocked",IF(G46&gt;=20,"Very High",IF(G46&gt;=8,"High",IF(G46&gt;=2,"Moderate","Low"))))</x:f>
        <x:v>Very High</x:v>
      </x:c>
      <x:c r="I46" s="31" t="n">
        <x:f>IF(L46="Needs attention",C46,IF(G46&gt;=8,C46,MAX(5,MROUND(C46*IF(G46&gt;=2,0.9,0.8),5))))</x:f>
        <x:v>125</x:v>
      </x:c>
      <x:c r="J46" s="31" t="n">
        <x:f>I46-C46</x:f>
        <x:v>0</x:v>
      </x:c>
      <x:c r="K46" s="32" t="str">
        <x:f>IF(L46="Needs attention","Resolve Facebook policy flag; click data are not a valid price signal.",IF(G46&gt;=20,"Keep price through Aug 15; strong interest. If unsold, verify buyer follow-through before any reduction.",IF(G46&gt;=8,"Keep price through Aug 15. If unsold, hold price 24-48 hours before reducing.",IF(G46&gt;=2,"Keep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46" s="27" t="str">
        <x:v>Active</x:v>
      </x:c>
    </x:row>
    <x:row r="47" ht="26.399999618530273" hidden="0" customHeight="1">
      <x:c r="A47" s="32" t="str">
        <x:v>Furniture, Storage &amp; Lighting</x:v>
      </x:c>
      <x:c r="B47" s="32" t="str">
        <x:v>Wood Rolling Kitchen Cart</x:v>
      </x:c>
      <x:c r="C47" s="28" t="n">
        <x:v>50</x:v>
      </x:c>
      <x:c r="D47" s="29" t="n">
        <x:v>95</x:v>
      </x:c>
      <x:c r="E47" s="38" t="n">
        <x:v>46244</x:v>
      </x:c>
      <x:c r="F47" s="29" t="n">
        <x:f>MAX(1,$B$3-E47)</x:f>
        <x:v>3</x:v>
      </x:c>
      <x:c r="G47" s="30" t="n">
        <x:f>D47/F47</x:f>
        <x:v>31.666666666666668</x:v>
      </x:c>
      <x:c r="H47" s="27" t="str">
        <x:f>IF(L47="Needs attention","Blocked",IF(G47&gt;=20,"Very High",IF(G47&gt;=8,"High",IF(G47&gt;=2,"Moderate","Low"))))</x:f>
        <x:v>Very High</x:v>
      </x:c>
      <x:c r="I47" s="31" t="n">
        <x:f>IF(L47="Needs attention",C47,IF(G47&gt;=8,C47,MAX(5,MROUND(C47*IF(G47&gt;=2,0.9,0.8),5))))</x:f>
        <x:v>50</x:v>
      </x:c>
      <x:c r="J47" s="31" t="n">
        <x:f>I47-C47</x:f>
        <x:v>0</x:v>
      </x:c>
      <x:c r="K47" s="32" t="str">
        <x:f>IF(L47="Needs attention","Resolve Facebook policy flag; click data are not a valid price signal.",IF(G47&gt;=20,"Keep price through Aug 15; strong interest. If unsold, verify buyer follow-through before any reduction.",IF(G47&gt;=8,"Keep price through Aug 15. If unsold, hold price 24-48 hours before reducing.",IF(G47&gt;=2,"Keep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47" s="27" t="str">
        <x:v>Active</x:v>
      </x:c>
    </x:row>
    <x:row r="48" ht="26.399999618530273" hidden="0" customHeight="1">
      <x:c r="A48" s="32" t="str">
        <x:v>Furniture, Storage &amp; Lighting</x:v>
      </x:c>
      <x:c r="B48" s="32" t="str">
        <x:v>Wood Pedestal Book or Bible Stand</x:v>
      </x:c>
      <x:c r="C48" s="28" t="n">
        <x:v>30</x:v>
      </x:c>
      <x:c r="D48" s="29" t="n">
        <x:v>87</x:v>
      </x:c>
      <x:c r="E48" s="38" t="n">
        <x:v>46244</x:v>
      </x:c>
      <x:c r="F48" s="29" t="n">
        <x:f>MAX(1,$B$3-E48)</x:f>
        <x:v>3</x:v>
      </x:c>
      <x:c r="G48" s="30" t="n">
        <x:f>D48/F48</x:f>
        <x:v>29</x:v>
      </x:c>
      <x:c r="H48" s="27" t="str">
        <x:f>IF(L48="Needs attention","Blocked",IF(G48&gt;=20,"Very High",IF(G48&gt;=8,"High",IF(G48&gt;=2,"Moderate","Low"))))</x:f>
        <x:v>Very High</x:v>
      </x:c>
      <x:c r="I48" s="31" t="n">
        <x:f>IF(L48="Needs attention",C48,IF(G48&gt;=8,C48,MAX(5,MROUND(C48*IF(G48&gt;=2,0.9,0.8),5))))</x:f>
        <x:v>30</x:v>
      </x:c>
      <x:c r="J48" s="31" t="n">
        <x:f>I48-C48</x:f>
        <x:v>0</x:v>
      </x:c>
      <x:c r="K48" s="32" t="str">
        <x:f>IF(L48="Needs attention","Resolve Facebook policy flag; click data are not a valid price signal.",IF(G48&gt;=20,"Keep price through Aug 15; strong interest. If unsold, verify buyer follow-through before any reduction.",IF(G48&gt;=8,"Keep price through Aug 15. If unsold, hold price 24-48 hours before reducing.",IF(G48&gt;=2,"Keep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48" s="27" t="str">
        <x:v>Active</x:v>
      </x:c>
    </x:row>
    <x:row r="49" ht="15" hidden="0" customHeight="1">
      <x:c r="A49" s="32" t="str">
        <x:v>Furniture, Storage &amp; Lighting</x:v>
      </x:c>
      <x:c r="B49" s="32" t="str">
        <x:v>Marble-Look Pedestal Side Table</x:v>
      </x:c>
      <x:c r="C49" s="28" t="n">
        <x:v>35</x:v>
      </x:c>
      <x:c r="D49" s="29" t="n">
        <x:v>50</x:v>
      </x:c>
      <x:c r="E49" s="38" t="n">
        <x:v>46244</x:v>
      </x:c>
      <x:c r="F49" s="29" t="n">
        <x:f>MAX(1,$B$3-E49)</x:f>
        <x:v>3</x:v>
      </x:c>
      <x:c r="G49" s="30" t="n">
        <x:f>D49/F49</x:f>
        <x:v>16.666666666666668</x:v>
      </x:c>
      <x:c r="H49" s="27" t="str">
        <x:f>IF(L49="Needs attention","Blocked",IF(G49&gt;=20,"Very High",IF(G49&gt;=8,"High",IF(G49&gt;=2,"Moderate","Low"))))</x:f>
        <x:v>High</x:v>
      </x:c>
      <x:c r="I49" s="31" t="n">
        <x:f>IF(L49="Needs attention",C49,IF(G49&gt;=8,C49,MAX(5,MROUND(C49*IF(G49&gt;=2,0.9,0.8),5))))</x:f>
        <x:v>35</x:v>
      </x:c>
      <x:c r="J49" s="31" t="n">
        <x:f>I49-C49</x:f>
        <x:v>0</x:v>
      </x:c>
      <x:c r="K49" s="32" t="str">
        <x:f>IF(L49="Needs attention","Resolve Facebook policy flag; click data are not a valid price signal.",IF(G49&gt;=20,"Keep price through Aug 15; strong interest. If unsold, verify buyer follow-through before any reduction.",IF(G49&gt;=8,"Keep price through Aug 15. If unsold, hold price 24-48 hours before reducing.",IF(G49&gt;=2,"Keep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49" s="27" t="str">
        <x:v>Active</x:v>
      </x:c>
    </x:row>
    <x:row r="50" ht="15" hidden="0" customHeight="1">
      <x:c r="A50" s="32" t="str">
        <x:v>Furniture, Storage &amp; Lighting</x:v>
      </x:c>
      <x:c r="B50" s="32" t="str">
        <x:v>Wood and Metal Bed Frame</x:v>
      </x:c>
      <x:c r="C50" s="28" t="n">
        <x:v>75</x:v>
      </x:c>
      <x:c r="D50" s="29" t="n">
        <x:v>50</x:v>
      </x:c>
      <x:c r="E50" s="38" t="n">
        <x:v>46244</x:v>
      </x:c>
      <x:c r="F50" s="29" t="n">
        <x:f>MAX(1,$B$3-E50)</x:f>
        <x:v>3</x:v>
      </x:c>
      <x:c r="G50" s="30" t="n">
        <x:f>D50/F50</x:f>
        <x:v>16.666666666666668</x:v>
      </x:c>
      <x:c r="H50" s="27" t="str">
        <x:f>IF(L50="Needs attention","Blocked",IF(G50&gt;=20,"Very High",IF(G50&gt;=8,"High",IF(G50&gt;=2,"Moderate","Low"))))</x:f>
        <x:v>High</x:v>
      </x:c>
      <x:c r="I50" s="31" t="n">
        <x:f>IF(L50="Needs attention",C50,IF(G50&gt;=8,C50,MAX(5,MROUND(C50*IF(G50&gt;=2,0.9,0.8),5))))</x:f>
        <x:v>75</x:v>
      </x:c>
      <x:c r="J50" s="31" t="n">
        <x:f>I50-C50</x:f>
        <x:v>0</x:v>
      </x:c>
      <x:c r="K50" s="32" t="str">
        <x:f>IF(L50="Needs attention","Resolve Facebook policy flag; click data are not a valid price signal.",IF(G50&gt;=20,"Keep price through Aug 15; strong interest. If unsold, verify buyer follow-through before any reduction.",IF(G50&gt;=8,"Keep price through Aug 15. If unsold, hold price 24-48 hours before reducing.",IF(G50&gt;=2,"Keep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0" s="27" t="str">
        <x:v>Active</x:v>
      </x:c>
    </x:row>
    <x:row r="51" ht="15" hidden="0" customHeight="1">
      <x:c r="A51" s="32" t="str">
        <x:v>Furniture, Storage &amp; Lighting</x:v>
      </x:c>
      <x:c r="B51" s="32" t="str">
        <x:v>Folding Rollaway Bed with Mattress</x:v>
      </x:c>
      <x:c r="C51" s="28" t="n">
        <x:v>50</x:v>
      </x:c>
      <x:c r="D51" s="29" t="n">
        <x:v>40</x:v>
      </x:c>
      <x:c r="E51" s="38" t="n">
        <x:v>46244</x:v>
      </x:c>
      <x:c r="F51" s="29" t="n">
        <x:f>MAX(1,$B$3-E51)</x:f>
        <x:v>3</x:v>
      </x:c>
      <x:c r="G51" s="30" t="n">
        <x:f>D51/F51</x:f>
        <x:v>13.333333333333334</x:v>
      </x:c>
      <x:c r="H51" s="27" t="str">
        <x:f>IF(L51="Needs attention","Blocked",IF(G51&gt;=20,"Very High",IF(G51&gt;=8,"High",IF(G51&gt;=2,"Moderate","Low"))))</x:f>
        <x:v>High</x:v>
      </x:c>
      <x:c r="I51" s="31" t="n">
        <x:f>IF(L51="Needs attention",C51,IF(G51&gt;=8,C51,MAX(5,MROUND(C51*IF(G51&gt;=2,0.9,0.8),5))))</x:f>
        <x:v>50</x:v>
      </x:c>
      <x:c r="J51" s="31" t="n">
        <x:f>I51-C51</x:f>
        <x:v>0</x:v>
      </x:c>
      <x:c r="K51" s="32" t="str">
        <x:f>IF(L51="Needs attention","Resolve Facebook policy flag; click data are not a valid price signal.",IF(G51&gt;=20,"Keep price through Aug 15; strong interest. If unsold, verify buyer follow-through before any reduction.",IF(G51&gt;=8,"Keep price through Aug 15. If unsold, hold price 24-48 hours before reducing.",IF(G51&gt;=2,"Keep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1" s="27" t="str">
        <x:v>Active</x:v>
      </x:c>
    </x:row>
    <x:row r="52" ht="15" hidden="0" customHeight="1">
      <x:c r="A52" s="32" t="str">
        <x:v>Furniture, Storage &amp; Lighting</x:v>
      </x:c>
      <x:c r="B52" s="32" t="str">
        <x:v>Ornate Gold-Tone Oval Mirror</x:v>
      </x:c>
      <x:c r="C52" s="28" t="n">
        <x:v>75</x:v>
      </x:c>
      <x:c r="D52" s="29" t="n">
        <x:v>33</x:v>
      </x:c>
      <x:c r="E52" s="38" t="n">
        <x:v>46245</x:v>
      </x:c>
      <x:c r="F52" s="29" t="n">
        <x:f>MAX(1,$B$3-E52)</x:f>
        <x:v>2</x:v>
      </x:c>
      <x:c r="G52" s="30" t="n">
        <x:f>D52/F52</x:f>
        <x:v>16.5</x:v>
      </x:c>
      <x:c r="H52" s="27" t="str">
        <x:f>IF(L52="Needs attention","Blocked",IF(G52&gt;=20,"Very High",IF(G52&gt;=8,"High",IF(G52&gt;=2,"Moderate","Low"))))</x:f>
        <x:v>High</x:v>
      </x:c>
      <x:c r="I52" s="31" t="n">
        <x:f>IF(L52="Needs attention",C52,IF(G52&gt;=8,C52,MAX(5,MROUND(C52*IF(G52&gt;=2,0.9,0.8),5))))</x:f>
        <x:v>75</x:v>
      </x:c>
      <x:c r="J52" s="31" t="n">
        <x:f>I52-C52</x:f>
        <x:v>0</x:v>
      </x:c>
      <x:c r="K52" s="32" t="str">
        <x:f>IF(L52="Needs attention","Resolve Facebook policy flag; click data are not a valid price signal.",IF(G52&gt;=20,"Keep price through Aug 15; strong interest. If unsold, verify buyer follow-through before any reduction.",IF(G52&gt;=8,"Keep price through Aug 15. If unsold, hold price 24-48 hours before reducing.",IF(G52&gt;=2,"Keep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2" s="27" t="str">
        <x:v>Active</x:v>
      </x:c>
    </x:row>
    <x:row r="53" ht="15" hidden="0" customHeight="1">
      <x:c r="A53" s="32" t="str">
        <x:v>Furniture, Storage &amp; Lighting</x:v>
      </x:c>
      <x:c r="B53" s="32" t="str">
        <x:v>Tall Media Storage Cabinet</x:v>
      </x:c>
      <x:c r="C53" s="28" t="n">
        <x:v>40</x:v>
      </x:c>
      <x:c r="D53" s="29" t="n">
        <x:v>32</x:v>
      </x:c>
      <x:c r="E53" s="38" t="n">
        <x:v>46244</x:v>
      </x:c>
      <x:c r="F53" s="29" t="n">
        <x:f>MAX(1,$B$3-E53)</x:f>
        <x:v>3</x:v>
      </x:c>
      <x:c r="G53" s="30" t="n">
        <x:f>D53/F53</x:f>
        <x:v>10.666666666666666</x:v>
      </x:c>
      <x:c r="H53" s="27" t="str">
        <x:f>IF(L53="Needs attention","Blocked",IF(G53&gt;=20,"Very High",IF(G53&gt;=8,"High",IF(G53&gt;=2,"Moderate","Low"))))</x:f>
        <x:v>High</x:v>
      </x:c>
      <x:c r="I53" s="31" t="n">
        <x:f>IF(L53="Needs attention",C53,IF(G53&gt;=8,C53,MAX(5,MROUND(C53*IF(G53&gt;=2,0.9,0.8),5))))</x:f>
        <x:v>40</x:v>
      </x:c>
      <x:c r="J53" s="31" t="n">
        <x:f>I53-C53</x:f>
        <x:v>0</x:v>
      </x:c>
      <x:c r="K53" s="32" t="str">
        <x:f>IF(L53="Needs attention","Resolve Facebook policy flag; click data are not a valid price signal.",IF(G53&gt;=20,"Keep price through Aug 15; strong interest. If unsold, verify buyer follow-through before any reduction.",IF(G53&gt;=8,"Keep price through Aug 15. If unsold, hold price 24-48 hours before reducing.",IF(G53&gt;=2,"Keep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3" s="27" t="str">
        <x:v>Active</x:v>
      </x:c>
    </x:row>
    <x:row r="54" ht="15" hidden="0" customHeight="1">
      <x:c r="A54" s="32" t="str">
        <x:v>Furniture, Storage &amp; Lighting</x:v>
      </x:c>
      <x:c r="B54" s="32" t="str">
        <x:v>Wood Slat-Back Rocking Chair</x:v>
      </x:c>
      <x:c r="C54" s="28" t="n">
        <x:v>45</x:v>
      </x:c>
      <x:c r="D54" s="29" t="n">
        <x:v>23</x:v>
      </x:c>
      <x:c r="E54" s="38" t="n">
        <x:v>46245</x:v>
      </x:c>
      <x:c r="F54" s="29" t="n">
        <x:f>MAX(1,$B$3-E54)</x:f>
        <x:v>2</x:v>
      </x:c>
      <x:c r="G54" s="30" t="n">
        <x:f>D54/F54</x:f>
        <x:v>11.5</x:v>
      </x:c>
      <x:c r="H54" s="27" t="str">
        <x:f>IF(L54="Needs attention","Blocked",IF(G54&gt;=20,"Very High",IF(G54&gt;=8,"High",IF(G54&gt;=2,"Moderate","Low"))))</x:f>
        <x:v>High</x:v>
      </x:c>
      <x:c r="I54" s="31" t="n">
        <x:f>IF(L54="Needs attention",C54,IF(G54&gt;=8,C54,MAX(5,MROUND(C54*IF(G54&gt;=2,0.9,0.8),5))))</x:f>
        <x:v>45</x:v>
      </x:c>
      <x:c r="J54" s="31" t="n">
        <x:f>I54-C54</x:f>
        <x:v>0</x:v>
      </x:c>
      <x:c r="K54" s="32" t="str">
        <x:f>IF(L54="Needs attention","Resolve Facebook policy flag; click data are not a valid price signal.",IF(G54&gt;=20,"Keep price through Aug 15; strong interest. If unsold, verify buyer follow-through before any reduction.",IF(G54&gt;=8,"Keep price through Aug 15. If unsold, hold price 24-48 hours before reducing.",IF(G54&gt;=2,"Keep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4" s="27" t="str">
        <x:v>Active</x:v>
      </x:c>
    </x:row>
    <x:row r="55" ht="26.399999618530273" hidden="0" customHeight="1">
      <x:c r="A55" s="32" t="str">
        <x:v>Furniture, Storage &amp; Lighting</x:v>
      </x:c>
      <x:c r="B55" s="32" t="str">
        <x:v>Wood Cubby Display Shelf with Figurines</x:v>
      </x:c>
      <x:c r="C55" s="28" t="n">
        <x:v>55</x:v>
      </x:c>
      <x:c r="D55" s="29" t="n">
        <x:v>21</x:v>
      </x:c>
      <x:c r="E55" s="38" t="n">
        <x:v>46244</x:v>
      </x:c>
      <x:c r="F55" s="29" t="n">
        <x:f>MAX(1,$B$3-E55)</x:f>
        <x:v>3</x:v>
      </x:c>
      <x:c r="G55" s="30" t="n">
        <x:f>D55/F55</x:f>
        <x:v>7</x:v>
      </x:c>
      <x:c r="H55" s="27" t="str">
        <x:f>IF(L55="Needs attention","Blocked",IF(G55&gt;=20,"Very High",IF(G55&gt;=8,"High",IF(G55&gt;=2,"Moderate","Low"))))</x:f>
        <x:v>Moderate</x:v>
      </x:c>
      <x:c r="I55" s="31" t="n">
        <x:f>IF(L55="Needs attention",C55,IF(G55&gt;=8,C55,MAX(5,MROUND(C55*IF(G55&gt;=2,0.9,0.8),5))))</x:f>
        <x:v>50</x:v>
      </x:c>
      <x:c r="J55" s="31" t="n">
        <x:f>I55-C55</x:f>
        <x:v>-5</x:v>
      </x:c>
      <x:c r="K55" s="32" t="str">
        <x:f>IF(L55="Needs attention","Resolve Facebook policy flag; click data are not a valid price signal.",IF(G55&gt;=20,"Keep price through Aug 15; strong interest. If unsold, verify buyer follow-through before any reduction.",IF(G55&gt;=8,"Keep price through Aug 15. If unsold, hold price 24-48 hours before reducing.",IF(G55&gt;=2,"Keep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55" s="27" t="str">
        <x:v>Active</x:v>
      </x:c>
    </x:row>
    <x:row r="56" ht="15" hidden="0" customHeight="1">
      <x:c r="A56" s="32" t="str">
        <x:v>Furniture, Storage &amp; Lighting</x:v>
      </x:c>
      <x:c r="B56" s="32" t="str">
        <x:v>Pair of Torchiere Floor Lamps</x:v>
      </x:c>
      <x:c r="C56" s="28" t="n">
        <x:v>25</x:v>
      </x:c>
      <x:c r="D56" s="29" t="n">
        <x:v>17</x:v>
      </x:c>
      <x:c r="E56" s="38" t="n">
        <x:v>46245</x:v>
      </x:c>
      <x:c r="F56" s="29" t="n">
        <x:f>MAX(1,$B$3-E56)</x:f>
        <x:v>2</x:v>
      </x:c>
      <x:c r="G56" s="30" t="n">
        <x:f>D56/F56</x:f>
        <x:v>8.5</x:v>
      </x:c>
      <x:c r="H56" s="27" t="str">
        <x:f>IF(L56="Needs attention","Blocked",IF(G56&gt;=20,"Very High",IF(G56&gt;=8,"High",IF(G56&gt;=2,"Moderate","Low"))))</x:f>
        <x:v>High</x:v>
      </x:c>
      <x:c r="I56" s="31" t="n">
        <x:f>IF(L56="Needs attention",C56,IF(G56&gt;=8,C56,MAX(5,MROUND(C56*IF(G56&gt;=2,0.9,0.8),5))))</x:f>
        <x:v>25</x:v>
      </x:c>
      <x:c r="J56" s="31" t="n">
        <x:f>I56-C56</x:f>
        <x:v>0</x:v>
      </x:c>
      <x:c r="K56" s="32" t="str">
        <x:f>IF(L56="Needs attention","Resolve Facebook policy flag; click data are not a valid price signal.",IF(G56&gt;=20,"Keep price through Aug 15; strong interest. If unsold, verify buyer follow-through before any reduction.",IF(G56&gt;=8,"Keep price through Aug 15. If unsold, hold price 24-48 hours before reducing.",IF(G56&gt;=2,"Keep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56" s="27" t="str">
        <x:v>Active</x:v>
      </x:c>
    </x:row>
    <x:row r="57" ht="26.399999618530273" hidden="0" customHeight="1">
      <x:c r="A57" s="32" t="str">
        <x:v>Furniture, Storage &amp; Lighting</x:v>
      </x:c>
      <x:c r="B57" s="32" t="str">
        <x:v>Oak-Finish Desk with Hutch</x:v>
      </x:c>
      <x:c r="C57" s="28" t="n">
        <x:v>100</x:v>
      </x:c>
      <x:c r="D57" s="29" t="n">
        <x:v>15</x:v>
      </x:c>
      <x:c r="E57" s="38" t="n">
        <x:v>46244</x:v>
      </x:c>
      <x:c r="F57" s="29" t="n">
        <x:f>MAX(1,$B$3-E57)</x:f>
        <x:v>3</x:v>
      </x:c>
      <x:c r="G57" s="30" t="n">
        <x:f>D57/F57</x:f>
        <x:v>5</x:v>
      </x:c>
      <x:c r="H57" s="27" t="str">
        <x:f>IF(L57="Needs attention","Blocked",IF(G57&gt;=20,"Very High",IF(G57&gt;=8,"High",IF(G57&gt;=2,"Moderate","Low"))))</x:f>
        <x:v>Moderate</x:v>
      </x:c>
      <x:c r="I57" s="31" t="n">
        <x:f>IF(L57="Needs attention",C57,IF(G57&gt;=8,C57,MAX(5,MROUND(C57*IF(G57&gt;=2,0.9,0.8),5))))</x:f>
        <x:v>90</x:v>
      </x:c>
      <x:c r="J57" s="31" t="n">
        <x:f>I57-C57</x:f>
        <x:v>-10</x:v>
      </x:c>
      <x:c r="K57" s="32" t="str">
        <x:f>IF(L57="Needs attention","Resolve Facebook policy flag; click data are not a valid price signal.",IF(G57&gt;=20,"Keep price through Aug 15; strong interest. If unsold, verify buyer follow-through before any reduction.",IF(G57&gt;=8,"Keep price through Aug 15. If unsold, hold price 24-48 hours before reducing.",IF(G57&gt;=2,"Keep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57" s="27" t="str">
        <x:v>Active</x:v>
      </x:c>
    </x:row>
    <x:row r="58" ht="26.399999618530273" hidden="0" customHeight="1">
      <x:c r="A58" s="32" t="str">
        <x:v>Furniture, Storage &amp; Lighting</x:v>
      </x:c>
      <x:c r="B58" s="32" t="str">
        <x:v>Wood Folding TV Tray Table</x:v>
      </x:c>
      <x:c r="C58" s="28" t="n">
        <x:v>15</x:v>
      </x:c>
      <x:c r="D58" s="29" t="n">
        <x:v>10</x:v>
      </x:c>
      <x:c r="E58" s="38" t="n">
        <x:v>46244</x:v>
      </x:c>
      <x:c r="F58" s="29" t="n">
        <x:f>MAX(1,$B$3-E58)</x:f>
        <x:v>3</x:v>
      </x:c>
      <x:c r="G58" s="30" t="n">
        <x:f>D58/F58</x:f>
        <x:v>3.3333333333333335</x:v>
      </x:c>
      <x:c r="H58" s="27" t="str">
        <x:f>IF(L58="Needs attention","Blocked",IF(G58&gt;=20,"Very High",IF(G58&gt;=8,"High",IF(G58&gt;=2,"Moderate","Low"))))</x:f>
        <x:v>Moderate</x:v>
      </x:c>
      <x:c r="I58" s="31" t="n">
        <x:f>IF(L58="Needs attention",C58,IF(G58&gt;=8,C58,MAX(5,MROUND(C58*IF(G58&gt;=2,0.9,0.8),5))))</x:f>
        <x:v>15</x:v>
      </x:c>
      <x:c r="J58" s="31" t="n">
        <x:f>I58-C58</x:f>
        <x:v>0</x:v>
      </x:c>
      <x:c r="K58" s="32" t="str">
        <x:f>IF(L58="Needs attention","Resolve Facebook policy flag; click data are not a valid price signal.",IF(G58&gt;=20,"Keep price through Aug 15; strong interest. If unsold, verify buyer follow-through before any reduction.",IF(G58&gt;=8,"Keep price through Aug 15. If unsold, hold price 24-48 hours before reducing.",IF(G58&gt;=2,"Keep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58" s="27" t="str">
        <x:v>Active</x:v>
      </x:c>
    </x:row>
    <x:row r="59" ht="26.399999618530273" hidden="0" customHeight="1">
      <x:c r="A59" s="32" t="str">
        <x:v>Furniture, Storage &amp; Lighting</x:v>
      </x:c>
      <x:c r="B59" s="32" t="str">
        <x:v>Fruit Decor and Green Oil-Lamp-Style Piece</x:v>
      </x:c>
      <x:c r="C59" s="28" t="n">
        <x:v>25</x:v>
      </x:c>
      <x:c r="D59" s="29" t="n">
        <x:v>9</x:v>
      </x:c>
      <x:c r="E59" s="38" t="n">
        <x:v>46244</x:v>
      </x:c>
      <x:c r="F59" s="29" t="n">
        <x:f>MAX(1,$B$3-E59)</x:f>
        <x:v>3</x:v>
      </x:c>
      <x:c r="G59" s="30" t="n">
        <x:f>D59/F59</x:f>
        <x:v>3</x:v>
      </x:c>
      <x:c r="H59" s="27" t="str">
        <x:f>IF(L59="Needs attention","Blocked",IF(G59&gt;=20,"Very High",IF(G59&gt;=8,"High",IF(G59&gt;=2,"Moderate","Low"))))</x:f>
        <x:v>Moderate</x:v>
      </x:c>
      <x:c r="I59" s="31" t="n">
        <x:f>IF(L59="Needs attention",C59,IF(G59&gt;=8,C59,MAX(5,MROUND(C59*IF(G59&gt;=2,0.9,0.8),5))))</x:f>
        <x:v>25</x:v>
      </x:c>
      <x:c r="J59" s="31" t="n">
        <x:f>I59-C59</x:f>
        <x:v>0</x:v>
      </x:c>
      <x:c r="K59" s="32" t="str">
        <x:f>IF(L59="Needs attention","Resolve Facebook policy flag; click data are not a valid price signal.",IF(G59&gt;=20,"Keep price through Aug 15; strong interest. If unsold, verify buyer follow-through before any reduction.",IF(G59&gt;=8,"Keep price through Aug 15. If unsold, hold price 24-48 hours before reducing.",IF(G59&gt;=2,"Keep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59" s="27" t="str">
        <x:v>Active</x:v>
      </x:c>
    </x:row>
    <x:row r="60" ht="26.399999618530273" hidden="0" customHeight="1">
      <x:c r="A60" s="32" t="str">
        <x:v>Furniture, Storage &amp; Lighting</x:v>
      </x:c>
      <x:c r="B60" s="32" t="str">
        <x:v>Oak-Finish Entertainment Center</x:v>
      </x:c>
      <x:c r="C60" s="28" t="n">
        <x:v>60</x:v>
      </x:c>
      <x:c r="D60" s="29" t="n">
        <x:v>3</x:v>
      </x:c>
      <x:c r="E60" s="38" t="n">
        <x:v>46244</x:v>
      </x:c>
      <x:c r="F60" s="29" t="n">
        <x:f>MAX(1,$B$3-E60)</x:f>
        <x:v>3</x:v>
      </x:c>
      <x:c r="G60" s="30" t="n">
        <x:f>D60/F60</x:f>
        <x:v>1</x:v>
      </x:c>
      <x:c r="H60" s="27" t="str">
        <x:f>IF(L60="Needs attention","Blocked",IF(G60&gt;=20,"Very High",IF(G60&gt;=8,"High",IF(G60&gt;=2,"Moderate","Low"))))</x:f>
        <x:v>Low</x:v>
      </x:c>
      <x:c r="I60" s="31" t="n">
        <x:f>IF(L60="Needs attention",C60,IF(G60&gt;=8,C60,MAX(5,MROUND(C60*IF(G60&gt;=2,0.9,0.8),5))))</x:f>
        <x:v>50</x:v>
      </x:c>
      <x:c r="J60" s="31" t="n">
        <x:f>I60-C60</x:f>
        <x:v>-10</x:v>
      </x:c>
      <x:c r="K60" s="32" t="str">
        <x:f>IF(L60="Needs attention","Resolve Facebook policy flag; click data are not a valid price signal.",IF(G60&gt;=20,"Keep price through Aug 15; strong interest. If unsold, verify buyer follow-through before any reduction.",IF(G60&gt;=8,"Keep price through Aug 15. If unsold, hold price 24-48 hours before reducing.",IF(G60&gt;=2,"Keep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60" s="27" t="str">
        <x:v>Active</x:v>
      </x:c>
    </x:row>
    <x:row r="61" ht="26.399999618530273" hidden="0" customHeight="1">
      <x:c r="A61" s="32" t="str">
        <x:v>Furniture, Storage &amp; Lighting</x:v>
      </x:c>
      <x:c r="B61" s="32" t="str">
        <x:v>Turquoise Table Lamp with Pleated Shade</x:v>
      </x:c>
      <x:c r="C61" s="28" t="n">
        <x:v>30</x:v>
      </x:c>
      <x:c r="D61" s="29" t="n">
        <x:v>3</x:v>
      </x:c>
      <x:c r="E61" s="38" t="n">
        <x:v>46244</x:v>
      </x:c>
      <x:c r="F61" s="29" t="n">
        <x:f>MAX(1,$B$3-E61)</x:f>
        <x:v>3</x:v>
      </x:c>
      <x:c r="G61" s="30" t="n">
        <x:f>D61/F61</x:f>
        <x:v>1</x:v>
      </x:c>
      <x:c r="H61" s="27" t="str">
        <x:f>IF(L61="Needs attention","Blocked",IF(G61&gt;=20,"Very High",IF(G61&gt;=8,"High",IF(G61&gt;=2,"Moderate","Low"))))</x:f>
        <x:v>Low</x:v>
      </x:c>
      <x:c r="I61" s="31" t="n">
        <x:f>IF(L61="Needs attention",C61,IF(G61&gt;=8,C61,MAX(5,MROUND(C61*IF(G61&gt;=2,0.9,0.8),5))))</x:f>
        <x:v>25</x:v>
      </x:c>
      <x:c r="J61" s="31" t="n">
        <x:f>I61-C61</x:f>
        <x:v>-5</x:v>
      </x:c>
      <x:c r="K61" s="32" t="str">
        <x:f>IF(L61="Needs attention","Resolve Facebook policy flag; click data are not a valid price signal.",IF(G61&gt;=20,"Keep price through Aug 15; strong interest. If unsold, verify buyer follow-through before any reduction.",IF(G61&gt;=8,"Keep price through Aug 15. If unsold, hold price 24-48 hours before reducing.",IF(G61&gt;=2,"Keep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61" s="27" t="str">
        <x:v>Active</x:v>
      </x:c>
    </x:row>
    <x:row r="62" ht="26.399999618530273" hidden="0" customHeight="1">
      <x:c r="A62" s="32" t="str">
        <x:v>Furniture, Storage &amp; Lighting</x:v>
      </x:c>
      <x:c r="B62" s="32" t="str">
        <x:v>Estate Sale Western Figurines &amp; Oil Lamp Decor</x:v>
      </x:c>
      <x:c r="C62" s="28" t="n">
        <x:v>25</x:v>
      </x:c>
      <x:c r="D62" s="29" t="n">
        <x:v>2</x:v>
      </x:c>
      <x:c r="E62" s="38" t="n">
        <x:v>46247</x:v>
      </x:c>
      <x:c r="F62" s="29" t="n">
        <x:f>MAX(1,$B$3-E62)</x:f>
        <x:v>1</x:v>
      </x:c>
      <x:c r="G62" s="30" t="n">
        <x:f>D62/F62</x:f>
        <x:v>2</x:v>
      </x:c>
      <x:c r="H62" s="27" t="str">
        <x:f>IF(L62="Needs attention","Blocked",IF(G62&gt;=20,"Very High",IF(G62&gt;=8,"High",IF(G62&gt;=2,"Moderate","Low"))))</x:f>
        <x:v>Moderate</x:v>
      </x:c>
      <x:c r="I62" s="31" t="n">
        <x:f>IF(L62="Needs attention",C62,IF(G62&gt;=8,C62,MAX(5,MROUND(C62*IF(G62&gt;=2,0.9,0.8),5))))</x:f>
        <x:v>25</x:v>
      </x:c>
      <x:c r="J62" s="31" t="n">
        <x:f>I62-C62</x:f>
        <x:v>0</x:v>
      </x:c>
      <x:c r="K62" s="32" t="str">
        <x:f>IF(L62="Needs attention","Resolve Facebook policy flag; click data are not a valid price signal.",IF(G62&gt;=20,"Keep price through Aug 15; strong interest. If unsold, verify buyer follow-through before any reduction.",IF(G62&gt;=8,"Keep price through Aug 15. If unsold, hold price 24-48 hours before reducing.",IF(G62&gt;=2,"Keep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62" s="27" t="str">
        <x:v>Active</x:v>
      </x:c>
    </x:row>
    <x:row r="63" ht="26.399999618530273" hidden="0" customHeight="1">
      <x:c r="A63" s="32" t="str">
        <x:v>Furniture, Storage &amp; Lighting</x:v>
      </x:c>
      <x:c r="B63" s="32" t="str">
        <x:v>Large Wood-Framed Dresser Mirror with Side Shelves</x:v>
      </x:c>
      <x:c r="C63" s="28" t="n">
        <x:v>60</x:v>
      </x:c>
      <x:c r="D63" s="29" t="n">
        <x:v>1</x:v>
      </x:c>
      <x:c r="E63" s="38" t="n">
        <x:v>46247</x:v>
      </x:c>
      <x:c r="F63" s="29" t="n">
        <x:f>MAX(1,$B$3-E63)</x:f>
        <x:v>1</x:v>
      </x:c>
      <x:c r="G63" s="30" t="n">
        <x:f>D63/F63</x:f>
        <x:v>1</x:v>
      </x:c>
      <x:c r="H63" s="27" t="str">
        <x:f>IF(L63="Needs attention","Blocked",IF(G63&gt;=20,"Very High",IF(G63&gt;=8,"High",IF(G63&gt;=2,"Moderate","Low"))))</x:f>
        <x:v>Low</x:v>
      </x:c>
      <x:c r="I63" s="31" t="n">
        <x:f>IF(L63="Needs attention",C63,IF(G63&gt;=8,C63,MAX(5,MROUND(C63*IF(G63&gt;=2,0.9,0.8),5))))</x:f>
        <x:v>50</x:v>
      </x:c>
      <x:c r="J63" s="31" t="n">
        <x:f>I63-C63</x:f>
        <x:v>-10</x:v>
      </x:c>
      <x:c r="K63" s="32" t="str">
        <x:f>IF(L63="Needs attention","Resolve Facebook policy flag; click data are not a valid price signal.",IF(G63&gt;=20,"Keep price through Aug 15; strong interest. If unsold, verify buyer follow-through before any reduction.",IF(G63&gt;=8,"Keep price through Aug 15. If unsold, hold price 24-48 hours before reducing.",IF(G63&gt;=2,"Keep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63" s="27" t="str">
        <x:v>Active</x:v>
      </x:c>
    </x:row>
    <x:row r="64" ht="26.399999618530273" hidden="0" customHeight="1">
      <x:c r="A64" s="32" t="str">
        <x:v>Health, Mobility &amp; Fitness</x:v>
      </x:c>
      <x:c r="B64" s="32" t="str">
        <x:v>Detecto 350-lb Physician Balance-Beam Scale</x:v>
      </x:c>
      <x:c r="C64" s="28" t="n">
        <x:v>95</x:v>
      </x:c>
      <x:c r="D64" s="29" t="n">
        <x:v>7</x:v>
      </x:c>
      <x:c r="E64" s="38" t="n">
        <x:v>46244</x:v>
      </x:c>
      <x:c r="F64" s="29" t="n">
        <x:f>MAX(1,$B$3-E64)</x:f>
        <x:v>3</x:v>
      </x:c>
      <x:c r="G64" s="30" t="n">
        <x:f>D64/F64</x:f>
        <x:v>2.3333333333333335</x:v>
      </x:c>
      <x:c r="H64" s="27" t="str">
        <x:f>IF(L64="Needs attention","Blocked",IF(G64&gt;=20,"Very High",IF(G64&gt;=8,"High",IF(G64&gt;=2,"Moderate","Low"))))</x:f>
        <x:v>Moderate</x:v>
      </x:c>
      <x:c r="I64" s="31" t="n">
        <x:f>IF(L64="Needs attention",C64,IF(G64&gt;=8,C64,MAX(5,MROUND(C64*IF(G64&gt;=2,0.9,0.8),5))))</x:f>
        <x:v>85</x:v>
      </x:c>
      <x:c r="J64" s="31" t="n">
        <x:f>I64-C64</x:f>
        <x:v>-10</x:v>
      </x:c>
      <x:c r="K64" s="32" t="str">
        <x:f>IF(L64="Needs attention","Resolve Facebook policy flag; click data are not a valid price signal.",IF(G64&gt;=20,"Keep price through Aug 15; strong interest. If unsold, verify buyer follow-through before any reduction.",IF(G64&gt;=8,"Keep price through Aug 15. If unsold, hold price 24-48 hours before reducing.",IF(G64&gt;=2,"Keep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64" s="27" t="str">
        <x:v>Active</x:v>
      </x:c>
    </x:row>
    <x:row r="65" ht="26.399999618530273" hidden="0" customHeight="1">
      <x:c r="A65" s="32" t="str">
        <x:v>Appliances</x:v>
      </x:c>
      <x:c r="B65" s="32" t="str">
        <x:v>Lasko Digital Ceramic Heater</x:v>
      </x:c>
      <x:c r="C65" s="28" t="n">
        <x:v>35</x:v>
      </x:c>
      <x:c r="D65" s="29" t="n">
        <x:v>5</x:v>
      </x:c>
      <x:c r="E65" s="38" t="n">
        <x:v>46244</x:v>
      </x:c>
      <x:c r="F65" s="29" t="n">
        <x:f>MAX(1,$B$3-E65)</x:f>
        <x:v>3</x:v>
      </x:c>
      <x:c r="G65" s="30" t="n">
        <x:f>D65/F65</x:f>
        <x:v>1.6666666666666667</x:v>
      </x:c>
      <x:c r="H65" s="27" t="str">
        <x:f>IF(L65="Needs attention","Blocked",IF(G65&gt;=20,"Very High",IF(G65&gt;=8,"High",IF(G65&gt;=2,"Moderate","Low"))))</x:f>
        <x:v>Low</x:v>
      </x:c>
      <x:c r="I65" s="31" t="n">
        <x:f>IF(L65="Needs attention",C65,IF(G65&gt;=8,C65,MAX(5,MROUND(C65*IF(G65&gt;=2,0.9,0.8),5))))</x:f>
        <x:v>30</x:v>
      </x:c>
      <x:c r="J65" s="31" t="n">
        <x:f>I65-C65</x:f>
        <x:v>-5</x:v>
      </x:c>
      <x:c r="K65" s="32" t="str">
        <x:f>IF(L65="Needs attention","Resolve Facebook policy flag; click data are not a valid price signal.",IF(G65&gt;=20,"Keep price through Aug 15; strong interest. If unsold, verify buyer follow-through before any reduction.",IF(G65&gt;=8,"Keep price through Aug 15. If unsold, hold price 24-48 hours before reducing.",IF(G65&gt;=2,"Keep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65" s="27" t="str">
        <x:v>Active</x:v>
      </x:c>
    </x:row>
    <x:row r="66" ht="26.399999618530273" hidden="0" customHeight="1">
      <x:c r="A66" s="32" t="str">
        <x:v>Health, Mobility &amp; Fitness</x:v>
      </x:c>
      <x:c r="B66" s="32" t="str">
        <x:v>Estate Sale Tony Little Gazelle Edge Exercise Glider</x:v>
      </x:c>
      <x:c r="C66" s="28" t="n">
        <x:v>50</x:v>
      </x:c>
      <x:c r="D66" s="29" t="n">
        <x:v>1</x:v>
      </x:c>
      <x:c r="E66" s="38" t="n">
        <x:v>46247</x:v>
      </x:c>
      <x:c r="F66" s="29" t="n">
        <x:f>MAX(1,$B$3-E66)</x:f>
        <x:v>1</x:v>
      </x:c>
      <x:c r="G66" s="30" t="n">
        <x:f>D66/F66</x:f>
        <x:v>1</x:v>
      </x:c>
      <x:c r="H66" s="27" t="str">
        <x:f>IF(L66="Needs attention","Blocked",IF(G66&gt;=20,"Very High",IF(G66&gt;=8,"High",IF(G66&gt;=2,"Moderate","Low"))))</x:f>
        <x:v>Low</x:v>
      </x:c>
      <x:c r="I66" s="31" t="n">
        <x:f>IF(L66="Needs attention",C66,IF(G66&gt;=8,C66,MAX(5,MROUND(C66*IF(G66&gt;=2,0.9,0.8),5))))</x:f>
        <x:v>40</x:v>
      </x:c>
      <x:c r="J66" s="31" t="n">
        <x:f>I66-C66</x:f>
        <x:v>-10</x:v>
      </x:c>
      <x:c r="K66" s="32" t="str">
        <x:f>IF(L66="Needs attention","Resolve Facebook policy flag; click data are not a valid price signal.",IF(G66&gt;=20,"Keep price through Aug 15; strong interest. If unsold, verify buyer follow-through before any reduction.",IF(G66&gt;=8,"Keep price through Aug 15. If unsold, hold price 24-48 hours before reducing.",IF(G66&gt;=2,"Keep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66" s="27" t="str">
        <x:v>Active</x:v>
      </x:c>
    </x:row>
    <x:row r="67" ht="15" hidden="0" customHeight="1">
      <x:c r="A67" s="32" t="str">
        <x:v>Health, Mobility &amp; Fitness</x:v>
      </x:c>
      <x:c r="B67" s="32" t="str">
        <x:v>Folding Walker with Front Wheels</x:v>
      </x:c>
      <x:c r="C67" s="28" t="n">
        <x:v>20</x:v>
      </x:c>
      <x:c r="D67" s="29" t="n">
        <x:v>0</x:v>
      </x:c>
      <x:c r="E67" s="38" t="n">
        <x:v>46244</x:v>
      </x:c>
      <x:c r="F67" s="29" t="n">
        <x:f>MAX(1,$B$3-E67)</x:f>
        <x:v>3</x:v>
      </x:c>
      <x:c r="G67" s="30" t="n">
        <x:f>D67/F67</x:f>
        <x:v>0</x:v>
      </x:c>
      <x:c r="H67" s="27" t="str">
        <x:f>IF(L67="Needs attention","Blocked",IF(G67&gt;=20,"Very High",IF(G67&gt;=8,"High",IF(G67&gt;=2,"Moderate","Low"))))</x:f>
        <x:v>Blocked</x:v>
      </x:c>
      <x:c r="I67" s="31" t="n">
        <x:f>IF(L67="Needs attention",C67,IF(G67&gt;=8,C67,MAX(5,MROUND(C67*IF(G67&gt;=2,0.9,0.8),5))))</x:f>
        <x:v>20</x:v>
      </x:c>
      <x:c r="J67" s="31" t="n">
        <x:f>I67-C67</x:f>
        <x:v>0</x:v>
      </x:c>
      <x:c r="K67" s="32" t="str">
        <x:f>IF(L67="Needs attention","Resolve Facebook policy flag; click data are not a valid price signal.",IF(G67&gt;=20,"Keep price through Aug 15; strong interest. If unsold, verify buyer follow-through before any reduction.",IF(G67&gt;=8,"Keep price through Aug 15. If unsold, hold price 24-48 hours before reducing.",IF(G67&gt;=2,"Keep price through Aug 15; if unsold, test about 10% lower or improve the lead photo/title.","Keep price through Aug 15; if unsold, reduce about 20%, bundle, or relist with a stronger lead photo."))))</x:f>
        <x:v>Resolve Facebook policy flag; click data are not a valid price signal.</x:v>
      </x:c>
      <x:c r="L67" s="27" t="str">
        <x:v>Needs attention</x:v>
      </x:c>
    </x:row>
    <x:row r="68" ht="15" hidden="0" customHeight="1">
      <x:c r="A68" s="32" t="str">
        <x:v>Health, Mobility &amp; Fitness</x:v>
      </x:c>
      <x:c r="B68" s="32" t="str">
        <x:v>Nova 4215RD Red Rollator with Seat</x:v>
      </x:c>
      <x:c r="C68" s="28" t="n">
        <x:v>85</x:v>
      </x:c>
      <x:c r="D68" s="29" t="n">
        <x:v>0</x:v>
      </x:c>
      <x:c r="E68" s="38" t="n">
        <x:v>46244</x:v>
      </x:c>
      <x:c r="F68" s="29" t="n">
        <x:f>MAX(1,$B$3-E68)</x:f>
        <x:v>3</x:v>
      </x:c>
      <x:c r="G68" s="30" t="n">
        <x:f>D68/F68</x:f>
        <x:v>0</x:v>
      </x:c>
      <x:c r="H68" s="27" t="str">
        <x:f>IF(L68="Needs attention","Blocked",IF(G68&gt;=20,"Very High",IF(G68&gt;=8,"High",IF(G68&gt;=2,"Moderate","Low"))))</x:f>
        <x:v>Blocked</x:v>
      </x:c>
      <x:c r="I68" s="31" t="n">
        <x:f>IF(L68="Needs attention",C68,IF(G68&gt;=8,C68,MAX(5,MROUND(C68*IF(G68&gt;=2,0.9,0.8),5))))</x:f>
        <x:v>85</x:v>
      </x:c>
      <x:c r="J68" s="31" t="n">
        <x:f>I68-C68</x:f>
        <x:v>0</x:v>
      </x:c>
      <x:c r="K68" s="32" t="str">
        <x:f>IF(L68="Needs attention","Resolve Facebook policy flag; click data are not a valid price signal.",IF(G68&gt;=20,"Keep price through Aug 15; strong interest. If unsold, verify buyer follow-through before any reduction.",IF(G68&gt;=8,"Keep price through Aug 15. If unsold, hold price 24-48 hours before reducing.",IF(G68&gt;=2,"Keep price through Aug 15; if unsold, test about 10% lower or improve the lead photo/title.","Keep price through Aug 15; if unsold, reduce about 20%, bundle, or relist with a stronger lead photo."))))</x:f>
        <x:v>Resolve Facebook policy flag; click data are not a valid price signal.</x:v>
      </x:c>
      <x:c r="L68" s="27" t="str">
        <x:v>Needs attention</x:v>
      </x:c>
    </x:row>
    <x:row r="69" ht="15" hidden="0" customHeight="1">
      <x:c r="A69" s="32" t="str">
        <x:v>Kitchen &amp; Dining</x:v>
      </x:c>
      <x:c r="B69" s="32" t="str">
        <x:v>Vintage Gold-Tone Rose-Pattern Flatware Set with Case</x:v>
      </x:c>
      <x:c r="C69" s="28" t="n">
        <x:v>75</x:v>
      </x:c>
      <x:c r="D69" s="29" t="n">
        <x:v>19</x:v>
      </x:c>
      <x:c r="E69" s="38" t="n">
        <x:v>46246</x:v>
      </x:c>
      <x:c r="F69" s="29" t="n">
        <x:f>MAX(1,$B$3-E69)</x:f>
        <x:v>1</x:v>
      </x:c>
      <x:c r="G69" s="30" t="n">
        <x:f>D69/F69</x:f>
        <x:v>19</x:v>
      </x:c>
      <x:c r="H69" s="27" t="str">
        <x:f>IF(L69="Needs attention","Blocked",IF(G69&gt;=20,"Very High",IF(G69&gt;=8,"High",IF(G69&gt;=2,"Moderate","Low"))))</x:f>
        <x:v>High</x:v>
      </x:c>
      <x:c r="I69" s="31" t="n">
        <x:f>IF(L69="Needs attention",C69,IF(G69&gt;=8,C69,MAX(5,MROUND(C69*IF(G69&gt;=2,0.9,0.8),5))))</x:f>
        <x:v>75</x:v>
      </x:c>
      <x:c r="J69" s="31" t="n">
        <x:f>I69-C69</x:f>
        <x:v>0</x:v>
      </x:c>
      <x:c r="K69" s="32" t="str">
        <x:f>IF(L69="Needs attention","Resolve Facebook policy flag; click data are not a valid price signal.",IF(G69&gt;=20,"Keep price through Aug 15; strong interest. If unsold, verify buyer follow-through before any reduction.",IF(G69&gt;=8,"Keep price through Aug 15. If unsold, hold price 24-48 hours before reducing.",IF(G69&gt;=2,"Keep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69" s="27" t="str">
        <x:v>Active</x:v>
      </x:c>
    </x:row>
    <x:row r="70" ht="26.399999618530273" hidden="0" customHeight="1">
      <x:c r="A70" s="32" t="str">
        <x:v>Kitchen &amp; Dining</x:v>
      </x:c>
      <x:c r="B70" s="32" t="str">
        <x:v>Green Frog Children's Plate</x:v>
      </x:c>
      <x:c r="C70" s="28" t="n">
        <x:v>5</x:v>
      </x:c>
      <x:c r="D70" s="29" t="n">
        <x:v>5</x:v>
      </x:c>
      <x:c r="E70" s="38" t="n">
        <x:v>46245</x:v>
      </x:c>
      <x:c r="F70" s="29" t="n">
        <x:f>MAX(1,$B$3-E70)</x:f>
        <x:v>2</x:v>
      </x:c>
      <x:c r="G70" s="30" t="n">
        <x:f>D70/F70</x:f>
        <x:v>2.5</x:v>
      </x:c>
      <x:c r="H70" s="27" t="str">
        <x:f>IF(L70="Needs attention","Blocked",IF(G70&gt;=20,"Very High",IF(G70&gt;=8,"High",IF(G70&gt;=2,"Moderate","Low"))))</x:f>
        <x:v>Moderate</x:v>
      </x:c>
      <x:c r="I70" s="31" t="n">
        <x:f>IF(L70="Needs attention",C70,IF(G70&gt;=8,C70,MAX(5,MROUND(C70*IF(G70&gt;=2,0.9,0.8),5))))</x:f>
        <x:v>5</x:v>
      </x:c>
      <x:c r="J70" s="31" t="n">
        <x:f>I70-C70</x:f>
        <x:v>0</x:v>
      </x:c>
      <x:c r="K70" s="32" t="str">
        <x:f>IF(L70="Needs attention","Resolve Facebook policy flag; click data are not a valid price signal.",IF(G70&gt;=20,"Keep price through Aug 15; strong interest. If unsold, verify buyer follow-through before any reduction.",IF(G70&gt;=8,"Keep price through Aug 15. If unsold, hold price 24-48 hours before reducing.",IF(G70&gt;=2,"Keep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70" s="27" t="str">
        <x:v>Active</x:v>
      </x:c>
    </x:row>
    <x:row r="71" ht="26.399999618530273" hidden="0" customHeight="1">
      <x:c r="A71" s="32" t="str">
        <x:v>Kitchen &amp; Dining</x:v>
      </x:c>
      <x:c r="B71" s="32" t="str">
        <x:v>Estate Sale Decor &amp; Kitchen Pieces</x:v>
      </x:c>
      <x:c r="C71" s="28" t="n">
        <x:v>10</x:v>
      </x:c>
      <x:c r="D71" s="29" t="n">
        <x:v>4</x:v>
      </x:c>
      <x:c r="E71" s="38" t="n">
        <x:v>46247</x:v>
      </x:c>
      <x:c r="F71" s="29" t="n">
        <x:f>MAX(1,$B$3-E71)</x:f>
        <x:v>1</x:v>
      </x:c>
      <x:c r="G71" s="30" t="n">
        <x:f>D71/F71</x:f>
        <x:v>4</x:v>
      </x:c>
      <x:c r="H71" s="27" t="str">
        <x:f>IF(L71="Needs attention","Blocked",IF(G71&gt;=20,"Very High",IF(G71&gt;=8,"High",IF(G71&gt;=2,"Moderate","Low"))))</x:f>
        <x:v>Moderate</x:v>
      </x:c>
      <x:c r="I71" s="31" t="n">
        <x:f>IF(L71="Needs attention",C71,IF(G71&gt;=8,C71,MAX(5,MROUND(C71*IF(G71&gt;=2,0.9,0.8),5))))</x:f>
        <x:v>10</x:v>
      </x:c>
      <x:c r="J71" s="31" t="n">
        <x:f>I71-C71</x:f>
        <x:v>0</x:v>
      </x:c>
      <x:c r="K71" s="32" t="str">
        <x:f>IF(L71="Needs attention","Resolve Facebook policy flag; click data are not a valid price signal.",IF(G71&gt;=20,"Keep price through Aug 15; strong interest. If unsold, verify buyer follow-through before any reduction.",IF(G71&gt;=8,"Keep price through Aug 15. If unsold, hold price 24-48 hours before reducing.",IF(G71&gt;=2,"Keep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71" s="27" t="str">
        <x:v>Active</x:v>
      </x:c>
    </x:row>
    <x:row r="72" ht="26.399999618530273" hidden="0" customHeight="1">
      <x:c r="A72" s="32" t="str">
        <x:v>Kitchen &amp; Dining</x:v>
      </x:c>
      <x:c r="B72" s="32" t="str">
        <x:v>Estate Sale Cookware &amp; Small Appliances</x:v>
      </x:c>
      <x:c r="C72" s="28" t="n">
        <x:v>20</x:v>
      </x:c>
      <x:c r="D72" s="29" t="n">
        <x:v>2</x:v>
      </x:c>
      <x:c r="E72" s="38" t="n">
        <x:v>46247</x:v>
      </x:c>
      <x:c r="F72" s="29" t="n">
        <x:f>MAX(1,$B$3-E72)</x:f>
        <x:v>1</x:v>
      </x:c>
      <x:c r="G72" s="30" t="n">
        <x:f>D72/F72</x:f>
        <x:v>2</x:v>
      </x:c>
      <x:c r="H72" s="27" t="str">
        <x:f>IF(L72="Needs attention","Blocked",IF(G72&gt;=20,"Very High",IF(G72&gt;=8,"High",IF(G72&gt;=2,"Moderate","Low"))))</x:f>
        <x:v>Moderate</x:v>
      </x:c>
      <x:c r="I72" s="31" t="n">
        <x:f>IF(L72="Needs attention",C72,IF(G72&gt;=8,C72,MAX(5,MROUND(C72*IF(G72&gt;=2,0.9,0.8),5))))</x:f>
        <x:v>20</x:v>
      </x:c>
      <x:c r="J72" s="31" t="n">
        <x:f>I72-C72</x:f>
        <x:v>0</x:v>
      </x:c>
      <x:c r="K72" s="32" t="str">
        <x:f>IF(L72="Needs attention","Resolve Facebook policy flag; click data are not a valid price signal.",IF(G72&gt;=20,"Keep price through Aug 15; strong interest. If unsold, verify buyer follow-through before any reduction.",IF(G72&gt;=8,"Keep price through Aug 15. If unsold, hold price 24-48 hours before reducing.",IF(G72&gt;=2,"Keep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72" s="27" t="str">
        <x:v>Active</x:v>
      </x:c>
    </x:row>
    <x:row r="73" ht="26.399999618530273" hidden="0" customHeight="1">
      <x:c r="A73" s="32" t="str">
        <x:v>Kitchen &amp; Dining</x:v>
      </x:c>
      <x:c r="B73" s="32" t="str">
        <x:v>Estate Sale Poppytrail by Metlox Floral Dinnerware</x:v>
      </x:c>
      <x:c r="C73" s="28" t="n">
        <x:v>75</x:v>
      </x:c>
      <x:c r="D73" s="29" t="n">
        <x:v>2</x:v>
      </x:c>
      <x:c r="E73" s="38" t="n">
        <x:v>46247</x:v>
      </x:c>
      <x:c r="F73" s="29" t="n">
        <x:f>MAX(1,$B$3-E73)</x:f>
        <x:v>1</x:v>
      </x:c>
      <x:c r="G73" s="30" t="n">
        <x:f>D73/F73</x:f>
        <x:v>2</x:v>
      </x:c>
      <x:c r="H73" s="27" t="str">
        <x:f>IF(L73="Needs attention","Blocked",IF(G73&gt;=20,"Very High",IF(G73&gt;=8,"High",IF(G73&gt;=2,"Moderate","Low"))))</x:f>
        <x:v>Moderate</x:v>
      </x:c>
      <x:c r="I73" s="31" t="n">
        <x:f>IF(L73="Needs attention",C73,IF(G73&gt;=8,C73,MAX(5,MROUND(C73*IF(G73&gt;=2,0.9,0.8),5))))</x:f>
        <x:v>70</x:v>
      </x:c>
      <x:c r="J73" s="31" t="n">
        <x:f>I73-C73</x:f>
        <x:v>-5</x:v>
      </x:c>
      <x:c r="K73" s="32" t="str">
        <x:f>IF(L73="Needs attention","Resolve Facebook policy flag; click data are not a valid price signal.",IF(G73&gt;=20,"Keep price through Aug 15; strong interest. If unsold, verify buyer follow-through before any reduction.",IF(G73&gt;=8,"Keep price through Aug 15. If unsold, hold price 24-48 hours before reducing.",IF(G73&gt;=2,"Keep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73" s="27" t="str">
        <x:v>Active</x:v>
      </x:c>
    </x:row>
    <x:row r="74" ht="26.399999618530273" hidden="0" customHeight="1">
      <x:c r="A74" s="32" t="str">
        <x:v>Kitchen &amp; Dining</x:v>
      </x:c>
      <x:c r="B74" s="32" t="str">
        <x:v>Estate Sale Crystal &amp; Glassware Collection</x:v>
      </x:c>
      <x:c r="C74" s="28" t="n">
        <x:v>60</x:v>
      </x:c>
      <x:c r="D74" s="29" t="n">
        <x:v>1</x:v>
      </x:c>
      <x:c r="E74" s="38" t="n">
        <x:v>46247</x:v>
      </x:c>
      <x:c r="F74" s="29" t="n">
        <x:f>MAX(1,$B$3-E74)</x:f>
        <x:v>1</x:v>
      </x:c>
      <x:c r="G74" s="30" t="n">
        <x:f>D74/F74</x:f>
        <x:v>1</x:v>
      </x:c>
      <x:c r="H74" s="27" t="str">
        <x:f>IF(L74="Needs attention","Blocked",IF(G74&gt;=20,"Very High",IF(G74&gt;=8,"High",IF(G74&gt;=2,"Moderate","Low"))))</x:f>
        <x:v>Low</x:v>
      </x:c>
      <x:c r="I74" s="31" t="n">
        <x:f>IF(L74="Needs attention",C74,IF(G74&gt;=8,C74,MAX(5,MROUND(C74*IF(G74&gt;=2,0.9,0.8),5))))</x:f>
        <x:v>50</x:v>
      </x:c>
      <x:c r="J74" s="31" t="n">
        <x:f>I74-C74</x:f>
        <x:v>-10</x:v>
      </x:c>
      <x:c r="K74" s="32" t="str">
        <x:f>IF(L74="Needs attention","Resolve Facebook policy flag; click data are not a valid price signal.",IF(G74&gt;=20,"Keep price through Aug 15; strong interest. If unsold, verify buyer follow-through before any reduction.",IF(G74&gt;=8,"Keep price through Aug 15. If unsold, hold price 24-48 hours before reducing.",IF(G74&gt;=2,"Keep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74" s="27" t="str">
        <x:v>Active</x:v>
      </x:c>
    </x:row>
    <x:row r="75" ht="15" hidden="0" customHeight="1">
      <x:c r="A75" s="32" t="str">
        <x:v>Tools, Office &amp; Household</x:v>
      </x:c>
      <x:c r="B75" s="32" t="str">
        <x:v>Wall-Mounted Toilet-Paper Storage Cabinet</x:v>
      </x:c>
      <x:c r="C75" s="28" t="n">
        <x:v>20</x:v>
      </x:c>
      <x:c r="D75" s="29" t="n">
        <x:v>57</x:v>
      </x:c>
      <x:c r="E75" s="38" t="n">
        <x:v>46244</x:v>
      </x:c>
      <x:c r="F75" s="29" t="n">
        <x:f>MAX(1,$B$3-E75)</x:f>
        <x:v>3</x:v>
      </x:c>
      <x:c r="G75" s="30" t="n">
        <x:f>D75/F75</x:f>
        <x:v>19</x:v>
      </x:c>
      <x:c r="H75" s="27" t="str">
        <x:f>IF(L75="Needs attention","Blocked",IF(G75&gt;=20,"Very High",IF(G75&gt;=8,"High",IF(G75&gt;=2,"Moderate","Low"))))</x:f>
        <x:v>High</x:v>
      </x:c>
      <x:c r="I75" s="31" t="n">
        <x:f>IF(L75="Needs attention",C75,IF(G75&gt;=8,C75,MAX(5,MROUND(C75*IF(G75&gt;=2,0.9,0.8),5))))</x:f>
        <x:v>20</x:v>
      </x:c>
      <x:c r="J75" s="31" t="n">
        <x:f>I75-C75</x:f>
        <x:v>0</x:v>
      </x:c>
      <x:c r="K75" s="32" t="str">
        <x:f>IF(L75="Needs attention","Resolve Facebook policy flag; click data are not a valid price signal.",IF(G75&gt;=20,"Keep price through Aug 15; strong interest. If unsold, verify buyer follow-through before any reduction.",IF(G75&gt;=8,"Keep price through Aug 15. If unsold, hold price 24-48 hours before reducing.",IF(G75&gt;=2,"Keep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75" s="27" t="str">
        <x:v>Active</x:v>
      </x:c>
    </x:row>
    <x:row r="76" ht="26.399999618530273" hidden="0" customHeight="1">
      <x:c r="A76" s="32" t="str">
        <x:v>Tools, Office &amp; Household</x:v>
      </x:c>
      <x:c r="B76" s="32" t="str">
        <x:v>Shower Curtain Hooks</x:v>
      </x:c>
      <x:c r="C76" s="28" t="n">
        <x:v>5</x:v>
      </x:c>
      <x:c r="D76" s="29" t="n">
        <x:v>55</x:v>
      </x:c>
      <x:c r="E76" s="38" t="n">
        <x:v>46245</x:v>
      </x:c>
      <x:c r="F76" s="29" t="n">
        <x:f>MAX(1,$B$3-E76)</x:f>
        <x:v>2</x:v>
      </x:c>
      <x:c r="G76" s="30" t="n">
        <x:f>D76/F76</x:f>
        <x:v>27.5</x:v>
      </x:c>
      <x:c r="H76" s="27" t="str">
        <x:f>IF(L76="Needs attention","Blocked",IF(G76&gt;=20,"Very High",IF(G76&gt;=8,"High",IF(G76&gt;=2,"Moderate","Low"))))</x:f>
        <x:v>Very High</x:v>
      </x:c>
      <x:c r="I76" s="31" t="n">
        <x:f>IF(L76="Needs attention",C76,IF(G76&gt;=8,C76,MAX(5,MROUND(C76*IF(G76&gt;=2,0.9,0.8),5))))</x:f>
        <x:v>5</x:v>
      </x:c>
      <x:c r="J76" s="31" t="n">
        <x:f>I76-C76</x:f>
        <x:v>0</x:v>
      </x:c>
      <x:c r="K76" s="32" t="str">
        <x:f>IF(L76="Needs attention","Resolve Facebook policy flag; click data are not a valid price signal.",IF(G76&gt;=20,"Keep price through Aug 15; strong interest. If unsold, verify buyer follow-through before any reduction.",IF(G76&gt;=8,"Keep price through Aug 15. If unsold, hold price 24-48 hours before reducing.",IF(G76&gt;=2,"Keep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76" s="27" t="str">
        <x:v>Active</x:v>
      </x:c>
    </x:row>
    <x:row r="77" ht="26.399999618530273" hidden="0" customHeight="1">
      <x:c r="A77" s="32" t="str">
        <x:v>Tools, Office &amp; Household</x:v>
      </x:c>
      <x:c r="B77" s="32" t="str">
        <x:v>Estate Sale Tools &amp; Useful Household Items</x:v>
      </x:c>
      <x:c r="C77" s="28" t="n">
        <x:v>10</x:v>
      </x:c>
      <x:c r="D77" s="29" t="n">
        <x:v>35</x:v>
      </x:c>
      <x:c r="E77" s="38" t="n">
        <x:v>46247</x:v>
      </x:c>
      <x:c r="F77" s="29" t="n">
        <x:f>MAX(1,$B$3-E77)</x:f>
        <x:v>1</x:v>
      </x:c>
      <x:c r="G77" s="30" t="n">
        <x:f>D77/F77</x:f>
        <x:v>35</x:v>
      </x:c>
      <x:c r="H77" s="27" t="str">
        <x:f>IF(L77="Needs attention","Blocked",IF(G77&gt;=20,"Very High",IF(G77&gt;=8,"High",IF(G77&gt;=2,"Moderate","Low"))))</x:f>
        <x:v>Very High</x:v>
      </x:c>
      <x:c r="I77" s="31" t="n">
        <x:f>IF(L77="Needs attention",C77,IF(G77&gt;=8,C77,MAX(5,MROUND(C77*IF(G77&gt;=2,0.9,0.8),5))))</x:f>
        <x:v>10</x:v>
      </x:c>
      <x:c r="J77" s="31" t="n">
        <x:f>I77-C77</x:f>
        <x:v>0</x:v>
      </x:c>
      <x:c r="K77" s="32" t="str">
        <x:f>IF(L77="Needs attention","Resolve Facebook policy flag; click data are not a valid price signal.",IF(G77&gt;=20,"Keep price through Aug 15; strong interest. If unsold, verify buyer follow-through before any reduction.",IF(G77&gt;=8,"Keep price through Aug 15. If unsold, hold price 24-48 hours before reducing.",IF(G77&gt;=2,"Keep price through Aug 15; if unsold, test about 10% lower or improve the lead photo/title.","Keep price through Aug 15; if unsold, reduce about 20%, bundle, or relist with a stronger lead photo."))))</x:f>
        <x:v>Keep price through Aug 15; strong interest. If unsold, verify buyer follow-through before any reduction.</x:v>
      </x:c>
      <x:c r="L77" s="27" t="str">
        <x:v>Active</x:v>
      </x:c>
    </x:row>
    <x:row r="78" ht="15" hidden="0" customHeight="1">
      <x:c r="A78" s="32" t="str">
        <x:v>Tools, Office &amp; Household</x:v>
      </x:c>
      <x:c r="B78" s="32" t="str">
        <x:v>Four-Tier Basket Shelf</x:v>
      </x:c>
      <x:c r="C78" s="28" t="n">
        <x:v>20</x:v>
      </x:c>
      <x:c r="D78" s="29" t="n">
        <x:v>35</x:v>
      </x:c>
      <x:c r="E78" s="38" t="n">
        <x:v>46244</x:v>
      </x:c>
      <x:c r="F78" s="29" t="n">
        <x:f>MAX(1,$B$3-E78)</x:f>
        <x:v>3</x:v>
      </x:c>
      <x:c r="G78" s="30" t="n">
        <x:f>D78/F78</x:f>
        <x:v>11.666666666666666</x:v>
      </x:c>
      <x:c r="H78" s="27" t="str">
        <x:f>IF(L78="Needs attention","Blocked",IF(G78&gt;=20,"Very High",IF(G78&gt;=8,"High",IF(G78&gt;=2,"Moderate","Low"))))</x:f>
        <x:v>High</x:v>
      </x:c>
      <x:c r="I78" s="31" t="n">
        <x:f>IF(L78="Needs attention",C78,IF(G78&gt;=8,C78,MAX(5,MROUND(C78*IF(G78&gt;=2,0.9,0.8),5))))</x:f>
        <x:v>20</x:v>
      </x:c>
      <x:c r="J78" s="31" t="n">
        <x:f>I78-C78</x:f>
        <x:v>0</x:v>
      </x:c>
      <x:c r="K78" s="32" t="str">
        <x:f>IF(L78="Needs attention","Resolve Facebook policy flag; click data are not a valid price signal.",IF(G78&gt;=20,"Keep price through Aug 15; strong interest. If unsold, verify buyer follow-through before any reduction.",IF(G78&gt;=8,"Keep price through Aug 15. If unsold, hold price 24-48 hours before reducing.",IF(G78&gt;=2,"Keep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78" s="27" t="str">
        <x:v>Active</x:v>
      </x:c>
    </x:row>
    <x:row r="79" ht="15" hidden="0" customHeight="1">
      <x:c r="A79" s="32" t="str">
        <x:v>Tools, Office &amp; Household</x:v>
      </x:c>
      <x:c r="B79" s="32" t="str">
        <x:v>Folding Drying-Rack Pair</x:v>
      </x:c>
      <x:c r="C79" s="28" t="n">
        <x:v>25</x:v>
      </x:c>
      <x:c r="D79" s="29" t="n">
        <x:v>28</x:v>
      </x:c>
      <x:c r="E79" s="38" t="n">
        <x:v>46244</x:v>
      </x:c>
      <x:c r="F79" s="29" t="n">
        <x:f>MAX(1,$B$3-E79)</x:f>
        <x:v>3</x:v>
      </x:c>
      <x:c r="G79" s="30" t="n">
        <x:f>D79/F79</x:f>
        <x:v>9.333333333333334</x:v>
      </x:c>
      <x:c r="H79" s="27" t="str">
        <x:f>IF(L79="Needs attention","Blocked",IF(G79&gt;=20,"Very High",IF(G79&gt;=8,"High",IF(G79&gt;=2,"Moderate","Low"))))</x:f>
        <x:v>High</x:v>
      </x:c>
      <x:c r="I79" s="31" t="n">
        <x:f>IF(L79="Needs attention",C79,IF(G79&gt;=8,C79,MAX(5,MROUND(C79*IF(G79&gt;=2,0.9,0.8),5))))</x:f>
        <x:v>25</x:v>
      </x:c>
      <x:c r="J79" s="31" t="n">
        <x:f>I79-C79</x:f>
        <x:v>0</x:v>
      </x:c>
      <x:c r="K79" s="32" t="str">
        <x:f>IF(L79="Needs attention","Resolve Facebook policy flag; click data are not a valid price signal.",IF(G79&gt;=20,"Keep price through Aug 15; strong interest. If unsold, verify buyer follow-through before any reduction.",IF(G79&gt;=8,"Keep price through Aug 15. If unsold, hold price 24-48 hours before reducing.",IF(G79&gt;=2,"Keep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79" s="27" t="str">
        <x:v>Active</x:v>
      </x:c>
    </x:row>
    <x:row r="80" ht="15" hidden="0" customHeight="1">
      <x:c r="A80" s="32" t="str">
        <x:v>Tools, Office &amp; Household</x:v>
      </x:c>
      <x:c r="B80" s="32" t="str">
        <x:v>TIANSE 21-Hole Comb Binding Machine</x:v>
      </x:c>
      <x:c r="C80" s="28" t="n">
        <x:v>25</x:v>
      </x:c>
      <x:c r="D80" s="29" t="n">
        <x:v>12</x:v>
      </x:c>
      <x:c r="E80" s="38" t="n">
        <x:v>46247</x:v>
      </x:c>
      <x:c r="F80" s="29" t="n">
        <x:f>MAX(1,$B$3-E80)</x:f>
        <x:v>1</x:v>
      </x:c>
      <x:c r="G80" s="30" t="n">
        <x:f>D80/F80</x:f>
        <x:v>12</x:v>
      </x:c>
      <x:c r="H80" s="27" t="str">
        <x:f>IF(L80="Needs attention","Blocked",IF(G80&gt;=20,"Very High",IF(G80&gt;=8,"High",IF(G80&gt;=2,"Moderate","Low"))))</x:f>
        <x:v>High</x:v>
      </x:c>
      <x:c r="I80" s="31" t="n">
        <x:f>IF(L80="Needs attention",C80,IF(G80&gt;=8,C80,MAX(5,MROUND(C80*IF(G80&gt;=2,0.9,0.8),5))))</x:f>
        <x:v>25</x:v>
      </x:c>
      <x:c r="J80" s="31" t="n">
        <x:f>I80-C80</x:f>
        <x:v>0</x:v>
      </x:c>
      <x:c r="K80" s="32" t="str">
        <x:f>IF(L80="Needs attention","Resolve Facebook policy flag; click data are not a valid price signal.",IF(G80&gt;=20,"Keep price through Aug 15; strong interest. If unsold, verify buyer follow-through before any reduction.",IF(G80&gt;=8,"Keep price through Aug 15. If unsold, hold price 24-48 hours before reducing.",IF(G80&gt;=2,"Keep price through Aug 15; if unsold, test about 10% lower or improve the lead photo/title.","Keep price through Aug 15; if unsold, reduce about 20%, bundle, or relist with a stronger lead photo."))))</x:f>
        <x:v>Keep price through Aug 15. If unsold, hold price 24-48 hours before reducing.</x:v>
      </x:c>
      <x:c r="L80" s="27" t="str">
        <x:v>Active</x:v>
      </x:c>
    </x:row>
    <x:row r="81" ht="26.399999618530273" hidden="0" customHeight="1">
      <x:c r="A81" s="32" t="str">
        <x:v>Tools, Office &amp; Household</x:v>
      </x:c>
      <x:c r="B81" s="32" t="str">
        <x:v>First Alert Locking Fire/Water Document Chest with Keys</x:v>
      </x:c>
      <x:c r="C81" s="28" t="n">
        <x:v>35</x:v>
      </x:c>
      <x:c r="D81" s="29" t="n">
        <x:v>4</x:v>
      </x:c>
      <x:c r="E81" s="38" t="n">
        <x:v>46247</x:v>
      </x:c>
      <x:c r="F81" s="29" t="n">
        <x:f>MAX(1,$B$3-E81)</x:f>
        <x:v>1</x:v>
      </x:c>
      <x:c r="G81" s="30" t="n">
        <x:f>D81/F81</x:f>
        <x:v>4</x:v>
      </x:c>
      <x:c r="H81" s="27" t="str">
        <x:f>IF(L81="Needs attention","Blocked",IF(G81&gt;=20,"Very High",IF(G81&gt;=8,"High",IF(G81&gt;=2,"Moderate","Low"))))</x:f>
        <x:v>Moderate</x:v>
      </x:c>
      <x:c r="I81" s="31" t="n">
        <x:f>IF(L81="Needs attention",C81,IF(G81&gt;=8,C81,MAX(5,MROUND(C81*IF(G81&gt;=2,0.9,0.8),5))))</x:f>
        <x:v>30</x:v>
      </x:c>
      <x:c r="J81" s="31" t="n">
        <x:f>I81-C81</x:f>
        <x:v>-5</x:v>
      </x:c>
      <x:c r="K81" s="32" t="str">
        <x:f>IF(L81="Needs attention","Resolve Facebook policy flag; click data are not a valid price signal.",IF(G81&gt;=20,"Keep price through Aug 15; strong interest. If unsold, verify buyer follow-through before any reduction.",IF(G81&gt;=8,"Keep price through Aug 15. If unsold, hold price 24-48 hours before reducing.",IF(G81&gt;=2,"Keep price through Aug 15; if unsold, test about 10% lower or improve the lead photo/title.","Keep price through Aug 15; if unsold, reduce about 20%, bundle, or relist with a stronger lead photo."))))</x:f>
        <x:v>Keep price through Aug 15; if unsold, test about 10% lower or improve the lead photo/title.</x:v>
      </x:c>
      <x:c r="L81" s="27" t="str">
        <x:v>Active</x:v>
      </x:c>
    </x:row>
    <x:row r="82" ht="26.399999618530273" hidden="0" customHeight="1">
      <x:c r="A82" s="32" t="str">
        <x:v>Tools, Office &amp; Household</x:v>
      </x:c>
      <x:c r="B82" s="32" t="str">
        <x:v>Mixed Hand-Tool Lot</x:v>
      </x:c>
      <x:c r="C82" s="28" t="n">
        <x:v>45</x:v>
      </x:c>
      <x:c r="D82" s="29" t="n">
        <x:v>3</x:v>
      </x:c>
      <x:c r="E82" s="38" t="n">
        <x:v>46244</x:v>
      </x:c>
      <x:c r="F82" s="29" t="n">
        <x:f>MAX(1,$B$3-E82)</x:f>
        <x:v>3</x:v>
      </x:c>
      <x:c r="G82" s="30" t="n">
        <x:f>D82/F82</x:f>
        <x:v>1</x:v>
      </x:c>
      <x:c r="H82" s="27" t="str">
        <x:f>IF(L82="Needs attention","Blocked",IF(G82&gt;=20,"Very High",IF(G82&gt;=8,"High",IF(G82&gt;=2,"Moderate","Low"))))</x:f>
        <x:v>Low</x:v>
      </x:c>
      <x:c r="I82" s="31" t="n">
        <x:f>IF(L82="Needs attention",C82,IF(G82&gt;=8,C82,MAX(5,MROUND(C82*IF(G82&gt;=2,0.9,0.8),5))))</x:f>
        <x:v>35</x:v>
      </x:c>
      <x:c r="J82" s="31" t="n">
        <x:f>I82-C82</x:f>
        <x:v>-10</x:v>
      </x:c>
      <x:c r="K82" s="32" t="str">
        <x:f>IF(L82="Needs attention","Resolve Facebook policy flag; click data are not a valid price signal.",IF(G82&gt;=20,"Keep price through Aug 15; strong interest. If unsold, verify buyer follow-through before any reduction.",IF(G82&gt;=8,"Keep price through Aug 15. If unsold, hold price 24-48 hours before reducing.",IF(G82&gt;=2,"Keep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82" s="27" t="str">
        <x:v>Active</x:v>
      </x:c>
    </x:row>
    <x:row r="83" ht="26.399999618530273" hidden="0" customHeight="1">
      <x:c r="A83" s="32" t="str">
        <x:v>Tools, Office &amp; Household</x:v>
      </x:c>
      <x:c r="B83" s="32" t="str">
        <x:v>Round Wood Stool</x:v>
      </x:c>
      <x:c r="C83" s="28" t="n">
        <x:v>20</x:v>
      </x:c>
      <x:c r="D83" s="29" t="n">
        <x:v>2</x:v>
      </x:c>
      <x:c r="E83" s="38" t="n">
        <x:v>46244</x:v>
      </x:c>
      <x:c r="F83" s="29" t="n">
        <x:f>MAX(1,$B$3-E83)</x:f>
        <x:v>3</x:v>
      </x:c>
      <x:c r="G83" s="30" t="n">
        <x:f>D83/F83</x:f>
        <x:v>0.6666666666666666</x:v>
      </x:c>
      <x:c r="H83" s="27" t="str">
        <x:f>IF(L83="Needs attention","Blocked",IF(G83&gt;=20,"Very High",IF(G83&gt;=8,"High",IF(G83&gt;=2,"Moderate","Low"))))</x:f>
        <x:v>Low</x:v>
      </x:c>
      <x:c r="I83" s="31" t="n">
        <x:f>IF(L83="Needs attention",C83,IF(G83&gt;=8,C83,MAX(5,MROUND(C83*IF(G83&gt;=2,0.9,0.8),5))))</x:f>
        <x:v>15</x:v>
      </x:c>
      <x:c r="J83" s="31" t="n">
        <x:f>I83-C83</x:f>
        <x:v>-5</x:v>
      </x:c>
      <x:c r="K83" s="32" t="str">
        <x:f>IF(L83="Needs attention","Resolve Facebook policy flag; click data are not a valid price signal.",IF(G83&gt;=20,"Keep price through Aug 15; strong interest. If unsold, verify buyer follow-through before any reduction.",IF(G83&gt;=8,"Keep price through Aug 15. If unsold, hold price 24-48 hours before reducing.",IF(G83&gt;=2,"Keep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83" s="27" t="str">
        <x:v>Active</x:v>
      </x:c>
    </x:row>
    <x:row r="84" ht="26.399999618530273" hidden="0" customHeight="1">
      <x:c r="A84" s="32" t="str">
        <x:v>Tools, Office &amp; Household</x:v>
      </x:c>
      <x:c r="B84" s="32" t="str">
        <x:v>Boxed Household Item Lot</x:v>
      </x:c>
      <x:c r="C84" s="28" t="n">
        <x:v>30</x:v>
      </x:c>
      <x:c r="D84" s="29" t="n">
        <x:v>0</x:v>
      </x:c>
      <x:c r="E84" s="38" t="n">
        <x:v>46245</x:v>
      </x:c>
      <x:c r="F84" s="29" t="n">
        <x:f>MAX(1,$B$3-E84)</x:f>
        <x:v>2</x:v>
      </x:c>
      <x:c r="G84" s="30" t="n">
        <x:f>D84/F84</x:f>
        <x:v>0</x:v>
      </x:c>
      <x:c r="H84" s="27" t="str">
        <x:f>IF(L84="Needs attention","Blocked",IF(G84&gt;=20,"Very High",IF(G84&gt;=8,"High",IF(G84&gt;=2,"Moderate","Low"))))</x:f>
        <x:v>Low</x:v>
      </x:c>
      <x:c r="I84" s="31" t="n">
        <x:f>IF(L84="Needs attention",C84,IF(G84&gt;=8,C84,MAX(5,MROUND(C84*IF(G84&gt;=2,0.9,0.8),5))))</x:f>
        <x:v>25</x:v>
      </x:c>
      <x:c r="J84" s="31" t="n">
        <x:f>I84-C84</x:f>
        <x:v>-5</x:v>
      </x:c>
      <x:c r="K84" s="32" t="str">
        <x:f>IF(L84="Needs attention","Resolve Facebook policy flag; click data are not a valid price signal.",IF(G84&gt;=20,"Keep price through Aug 15; strong interest. If unsold, verify buyer follow-through before any reduction.",IF(G84&gt;=8,"Keep price through Aug 15. If unsold, hold price 24-48 hours before reducing.",IF(G84&gt;=2,"Keep price through Aug 15; if unsold, test about 10% lower or improve the lead photo/title.","Keep price through Aug 15; if unsold, reduce about 20%, bundle, or relist with a stronger lead photo."))))</x:f>
        <x:v>Keep price through Aug 15; if unsold, reduce about 20%, bundle, or relist with a stronger lead photo.</x:v>
      </x:c>
      <x:c r="L84" s="27" t="str">
        <x:v>Active</x:v>
      </x:c>
    </x:row>
  </x:sheetData>
  <x:mergeCells>
    <x:mergeCell ref="A1:L1"/>
    <x:mergeCell ref="A2:L2"/>
  </x:mergeCells>
  <x:conditionalFormatting sqref="H8:H84">
    <x:cfRule type="containsText" dxfId="0" priority="1" operator="containsText" text="Very High"/>
    <x:cfRule type="containsText" dxfId="1" priority="2" operator="containsText" text="Low"/>
    <x:cfRule type="containsText" dxfId="2" priority="3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c12afe4db5c947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8" hidden="0" customWidth="1"/>
    <x:col min="4" max="4" width="14" hidden="0" customWidth="1"/>
    <x:col min="5" max="5" width="16" hidden="0" customWidth="1"/>
    <x:col min="6" max="6" width="20" hidden="0" customWidth="1"/>
    <x:col min="7" max="7" width="18" hidden="0" customWidth="1"/>
  </x:cols>
  <x:sheetData>
    <x:row r="1" ht="21.600000381469727" hidden="0" customHeight="1">
      <x:c r="A1" s="9" t="str">
        <x:v>Estate Sale Category Summary</x:v>
      </x:c>
      <x:c r="B1" s="9"/>
      <x:c r="C1" s="9"/>
      <x:c r="D1" s="9"/>
      <x:c r="E1" s="9"/>
      <x:c r="F1" s="9"/>
      <x:c r="G1" s="9"/>
    </x:row>
    <x:row r="2" ht="15" hidden="0" customHeight="1">
      <x:c r="A2" s="37" t="str">
        <x:v>Use click rate—not raw clicks alone—because listings were posted on different dates. Suggested prices apply only after August 15 and still require Wes approval.</x:v>
      </x:c>
      <x:c r="B2" s="37"/>
      <x:c r="C2" s="37"/>
      <x:c r="D2" s="37"/>
      <x:c r="E2" s="37"/>
      <x:c r="F2" s="37"/>
      <x:c r="G2" s="37"/>
    </x:row>
    <x:row r="3"/>
    <x:row r="4" ht="15" hidden="0" customHeight="1">
      <x:c r="A4" s="17" t="str">
        <x:v>Category</x:v>
      </x:c>
      <x:c r="B4" s="17" t="str">
        <x:v>Listings</x:v>
      </x:c>
      <x:c r="C4" s="17" t="str">
        <x:v>Listed-price sum</x:v>
      </x:c>
      <x:c r="D4" s="17" t="str">
        <x:v>Total clicks</x:v>
      </x:c>
      <x:c r="E4" s="17" t="str">
        <x:v>Avg clicks/day</x:v>
      </x:c>
      <x:c r="F4" s="17" t="str">
        <x:v>Suggested-price sum</x:v>
      </x:c>
      <x:c r="G4" s="17" t="str">
        <x:v>Potential reduction</x:v>
      </x:c>
    </x:row>
    <x:row r="5" ht="15" hidden="0" customHeight="1">
      <x:c r="A5" t="str">
        <x:v>Appliances</x:v>
      </x:c>
      <x:c r="B5" t="n">
        <x:f>COUNTIF('Pricing Review'!$A$8:$A$84,A5)</x:f>
        <x:v>7</x:v>
      </x:c>
      <x:c r="C5" s="3" t="n">
        <x:f>SUMIF('Pricing Review'!$A$8:$A$84,A5,'Pricing Review'!$C$8:$C$84)</x:f>
        <x:v>595</x:v>
      </x:c>
      <x:c r="D5" s="5" t="n">
        <x:f>SUMIF('Pricing Review'!$A$8:$A$84,A5,'Pricing Review'!$D$8:$D$84)</x:f>
        <x:v>244</x:v>
      </x:c>
      <x:c r="E5" s="6" t="n">
        <x:f>AVERAGEIF('Pricing Review'!$A$8:$A$84,A5,'Pricing Review'!$G$8:$G$84)</x:f>
        <x:v>12.357142857142858</x:v>
      </x:c>
      <x:c r="F5" s="4" t="n">
        <x:f>SUMIF('Pricing Review'!$A$8:$A$84,A5,'Pricing Review'!$I$8:$I$84)</x:f>
        <x:v>580</x:v>
      </x:c>
      <x:c r="G5" s="4" t="n">
        <x:f>F5-C5</x:f>
        <x:v>-15</x:v>
      </x:c>
    </x:row>
    <x:row r="6" ht="15" hidden="0" customHeight="1">
      <x:c r="A6" t="str">
        <x:v>Clothing &amp; Accessories</x:v>
      </x:c>
      <x:c r="B6" t="n">
        <x:f>COUNTIF('Pricing Review'!$A$8:$A$84,A6)</x:f>
        <x:v>2</x:v>
      </x:c>
      <x:c r="C6" s="3" t="n">
        <x:f>SUMIF('Pricing Review'!$A$8:$A$84,A6,'Pricing Review'!$C$8:$C$84)</x:f>
        <x:v>65</x:v>
      </x:c>
      <x:c r="D6" s="5" t="n">
        <x:f>SUMIF('Pricing Review'!$A$8:$A$84,A6,'Pricing Review'!$D$8:$D$84)</x:f>
        <x:v>33</x:v>
      </x:c>
      <x:c r="E6" s="6" t="n">
        <x:f>AVERAGEIF('Pricing Review'!$A$8:$A$84,A6,'Pricing Review'!$G$8:$G$84)</x:f>
        <x:v>5.5</x:v>
      </x:c>
      <x:c r="F6" s="4" t="n">
        <x:f>SUMIF('Pricing Review'!$A$8:$A$84,A6,'Pricing Review'!$I$8:$I$84)</x:f>
        <x:v>60</x:v>
      </x:c>
      <x:c r="G6" s="4" t="n">
        <x:f>F6-C6</x:f>
        <x:v>-5</x:v>
      </x:c>
    </x:row>
    <x:row r="7" ht="15" hidden="0" customHeight="1">
      <x:c r="A7" t="str">
        <x:v>Decor, Collectibles &amp; Books</x:v>
      </x:c>
      <x:c r="B7" t="n">
        <x:f>COUNTIF('Pricing Review'!$A$8:$A$84,A7)</x:f>
        <x:v>19</x:v>
      </x:c>
      <x:c r="C7" s="3" t="n">
        <x:f>SUMIF('Pricing Review'!$A$8:$A$84,A7,'Pricing Review'!$C$8:$C$84)</x:f>
        <x:v>755</x:v>
      </x:c>
      <x:c r="D7" s="5" t="n">
        <x:f>SUMIF('Pricing Review'!$A$8:$A$84,A7,'Pricing Review'!$D$8:$D$84)</x:f>
        <x:v>269</x:v>
      </x:c>
      <x:c r="E7" s="6" t="n">
        <x:f>AVERAGEIF('Pricing Review'!$A$8:$A$84,A7,'Pricing Review'!$G$8:$G$84)</x:f>
        <x:v>8.543859649122806</x:v>
      </x:c>
      <x:c r="F7" s="4" t="n">
        <x:f>SUMIF('Pricing Review'!$A$8:$A$84,A7,'Pricing Review'!$I$8:$I$84)</x:f>
        <x:v>700</x:v>
      </x:c>
      <x:c r="G7" s="4" t="n">
        <x:f>F7-C7</x:f>
        <x:v>-55</x:v>
      </x:c>
    </x:row>
    <x:row r="8" ht="15" hidden="0" customHeight="1">
      <x:c r="A8" t="str">
        <x:v>Electronics &amp; Media</x:v>
      </x:c>
      <x:c r="B8" t="n">
        <x:f>COUNTIF('Pricing Review'!$A$8:$A$84,A8)</x:f>
        <x:v>8</x:v>
      </x:c>
      <x:c r="C8" s="3" t="n">
        <x:f>SUMIF('Pricing Review'!$A$8:$A$84,A8,'Pricing Review'!$C$8:$C$84)</x:f>
        <x:v>300</x:v>
      </x:c>
      <x:c r="D8" s="5" t="n">
        <x:f>SUMIF('Pricing Review'!$A$8:$A$84,A8,'Pricing Review'!$D$8:$D$84)</x:f>
        <x:v>316</x:v>
      </x:c>
      <x:c r="E8" s="6" t="n">
        <x:f>AVERAGEIF('Pricing Review'!$A$8:$A$84,A8,'Pricing Review'!$G$8:$G$84)</x:f>
        <x:v>17.375</x:v>
      </x:c>
      <x:c r="F8" s="4" t="n">
        <x:f>SUMIF('Pricing Review'!$A$8:$A$84,A8,'Pricing Review'!$I$8:$I$84)</x:f>
        <x:v>280</x:v>
      </x:c>
      <x:c r="G8" s="4" t="n">
        <x:f>F8-C8</x:f>
        <x:v>-20</x:v>
      </x:c>
    </x:row>
    <x:row r="9" ht="15" hidden="0" customHeight="1">
      <x:c r="A9" t="str">
        <x:v>Furniture, Storage &amp; Lighting</x:v>
      </x:c>
      <x:c r="B9" t="n">
        <x:f>COUNTIF('Pricing Review'!$A$8:$A$84,A9)</x:f>
        <x:v>20</x:v>
      </x:c>
      <x:c r="C9" s="3" t="n">
        <x:f>SUMIF('Pricing Review'!$A$8:$A$84,A9,'Pricing Review'!$C$8:$C$84)</x:f>
        <x:v>990</x:v>
      </x:c>
      <x:c r="D9" s="5" t="n">
        <x:f>SUMIF('Pricing Review'!$A$8:$A$84,A9,'Pricing Review'!$D$8:$D$84)</x:f>
        <x:v>1126</x:v>
      </x:c>
      <x:c r="E9" s="6" t="n">
        <x:f>AVERAGEIF('Pricing Review'!$A$8:$A$84,A9,'Pricing Review'!$G$8:$G$84)</x:f>
        <x:v>20.133333333333333</x:v>
      </x:c>
      <x:c r="F9" s="4" t="n">
        <x:f>SUMIF('Pricing Review'!$A$8:$A$84,A9,'Pricing Review'!$I$8:$I$84)</x:f>
        <x:v>945</x:v>
      </x:c>
      <x:c r="G9" s="4" t="n">
        <x:f>F9-C9</x:f>
        <x:v>-45</x:v>
      </x:c>
    </x:row>
    <x:row r="10" ht="15" hidden="0" customHeight="1">
      <x:c r="A10" t="str">
        <x:v>Health, Mobility &amp; Fitness</x:v>
      </x:c>
      <x:c r="B10" t="n">
        <x:f>COUNTIF('Pricing Review'!$A$8:$A$84,A10)</x:f>
        <x:v>4</x:v>
      </x:c>
      <x:c r="C10" s="3" t="n">
        <x:f>SUMIF('Pricing Review'!$A$8:$A$84,A10,'Pricing Review'!$C$8:$C$84)</x:f>
        <x:v>250</x:v>
      </x:c>
      <x:c r="D10" s="5" t="n">
        <x:f>SUMIF('Pricing Review'!$A$8:$A$84,A10,'Pricing Review'!$D$8:$D$84)</x:f>
        <x:v>8</x:v>
      </x:c>
      <x:c r="E10" s="6" t="n">
        <x:f>AVERAGEIF('Pricing Review'!$A$8:$A$84,A10,'Pricing Review'!$G$8:$G$84)</x:f>
        <x:v>0.8333333333333334</x:v>
      </x:c>
      <x:c r="F10" s="4" t="n">
        <x:f>SUMIF('Pricing Review'!$A$8:$A$84,A10,'Pricing Review'!$I$8:$I$84)</x:f>
        <x:v>230</x:v>
      </x:c>
      <x:c r="G10" s="4" t="n">
        <x:f>F10-C10</x:f>
        <x:v>-20</x:v>
      </x:c>
    </x:row>
    <x:row r="11" ht="15" hidden="0" customHeight="1">
      <x:c r="A11" t="str">
        <x:v>Kitchen &amp; Dining</x:v>
      </x:c>
      <x:c r="B11" t="n">
        <x:f>COUNTIF('Pricing Review'!$A$8:$A$84,A11)</x:f>
        <x:v>6</x:v>
      </x:c>
      <x:c r="C11" s="3" t="n">
        <x:f>SUMIF('Pricing Review'!$A$8:$A$84,A11,'Pricing Review'!$C$8:$C$84)</x:f>
        <x:v>245</x:v>
      </x:c>
      <x:c r="D11" s="5" t="n">
        <x:f>SUMIF('Pricing Review'!$A$8:$A$84,A11,'Pricing Review'!$D$8:$D$84)</x:f>
        <x:v>33</x:v>
      </x:c>
      <x:c r="E11" s="6" t="n">
        <x:f>AVERAGEIF('Pricing Review'!$A$8:$A$84,A11,'Pricing Review'!$G$8:$G$84)</x:f>
        <x:v>5.083333333333333</x:v>
      </x:c>
      <x:c r="F11" s="4" t="n">
        <x:f>SUMIF('Pricing Review'!$A$8:$A$84,A11,'Pricing Review'!$I$8:$I$84)</x:f>
        <x:v>230</x:v>
      </x:c>
      <x:c r="G11" s="4" t="n">
        <x:f>F11-C11</x:f>
        <x:v>-15</x:v>
      </x:c>
    </x:row>
    <x:row r="12" ht="15" hidden="0" customHeight="1">
      <x:c r="A12" t="str">
        <x:v>Tools, Office &amp; Household</x:v>
      </x:c>
      <x:c r="B12" t="n">
        <x:f>COUNTIF('Pricing Review'!$A$8:$A$84,A12)</x:f>
        <x:v>11</x:v>
      </x:c>
      <x:c r="C12" s="3" t="n">
        <x:f>SUMIF('Pricing Review'!$A$8:$A$84,A12,'Pricing Review'!$C$8:$C$84)</x:f>
        <x:v>290</x:v>
      </x:c>
      <x:c r="D12" s="5" t="n">
        <x:f>SUMIF('Pricing Review'!$A$8:$A$84,A12,'Pricing Review'!$D$8:$D$84)</x:f>
        <x:v>314</x:v>
      </x:c>
      <x:c r="E12" s="6" t="n">
        <x:f>AVERAGEIF('Pricing Review'!$A$8:$A$84,A12,'Pricing Review'!$G$8:$G$84)</x:f>
        <x:v>13.43939393939394</x:v>
      </x:c>
      <x:c r="F12" s="4" t="n">
        <x:f>SUMIF('Pricing Review'!$A$8:$A$84,A12,'Pricing Review'!$I$8:$I$84)</x:f>
        <x:v>265</x:v>
      </x:c>
      <x:c r="G12" s="4" t="n">
        <x:f>F12-C12</x:f>
        <x:v>-25</x:v>
      </x:c>
    </x:row>
    <x:row r="13" ht="15" hidden="0" customHeight="1">
      <x:c r="A13" s="40" t="str">
        <x:v>Grand total</x:v>
      </x:c>
      <x:c r="B13" s="40" t="n">
        <x:f>SUM(B5:B12)</x:f>
        <x:v>77</x:v>
      </x:c>
      <x:c r="C13" s="41" t="n">
        <x:f>SUM(C5:C12)</x:f>
        <x:v>3490</x:v>
      </x:c>
      <x:c r="D13" s="42" t="n">
        <x:f>SUM(D5:D12)</x:f>
        <x:v>2343</x:v>
      </x:c>
      <x:c r="E13" s="43" t="n">
        <x:f>AVERAGE('Pricing Review'!$G$8:$G$84)</x:f>
        <x:v>12.768398268398267</x:v>
      </x:c>
      <x:c r="F13" s="44" t="n">
        <x:f>SUM(F5:F12)</x:f>
        <x:v>3290</x:v>
      </x:c>
      <x:c r="G13" s="44" t="n">
        <x:f>SUM(G5:G12)</x:f>
        <x:v>-200</x:v>
      </x:c>
    </x:row>
    <x:row r="14" ht="26.399999618530273" hidden="0" customHeight="1">
      <x:c r="A14" s="35" t="str">
        <x:v>Important note</x:v>
      </x:c>
      <x:c r="B14" s="35"/>
      <x:c r="C14" s="35" t="str">
        <x:v>The $3,490 total is the sum of Facebook listing price fields, not a unique-item liquidation value. Group listings can overlap individual listings, and some group prices show the lowest item price rather than the bundle total.</x:v>
      </x:c>
      <x:c r="D14" s="35"/>
      <x:c r="E14" s="35"/>
      <x:c r="F14" s="35"/>
      <x:c r="G14" s="35"/>
    </x:row>
  </x:sheetData>
  <x:mergeCells>
    <x:mergeCell ref="A1:G1"/>
    <x:mergeCell ref="A2:G2"/>
    <x:mergeCell ref="A14:B14"/>
    <x:mergeCell ref="C14:G14"/>
  </x:mergeCells>
  <x:pageMargins left="0.7" right="0.7" top="0.75" bottom="0.75" header="0.3" footer="0.3"/>
</x:worksheet>
</file>