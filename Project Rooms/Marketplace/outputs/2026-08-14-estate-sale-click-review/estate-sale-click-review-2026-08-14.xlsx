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3c74ae7ad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6c7b89d25d4c5e"/>
    <x:sheet xmlns:r="http://schemas.openxmlformats.org/officeDocument/2006/relationships" name="Listing Analysis" sheetId="2" r:id="R0860463614244433"/>
    <x:sheet xmlns:r="http://schemas.openxmlformats.org/officeDocument/2006/relationships" name="Source Data" sheetId="3" r:id="Rcad76ab821c74a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mmm d, yyyy"/>
    <x:numFmt numFmtId="202" formatCode="$#,##0;[Red]-$#,##0"/>
    <x:numFmt numFmtId="203" formatCode="m/d/yyyy"/>
    <x:numFmt numFmtId="204" formatCode="0.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cd85db7b94eae" /><Relationship Type="http://schemas.openxmlformats.org/officeDocument/2006/relationships/theme" Target="/xl/theme/theme1.xml" Id="Rfa07b146ecd24108" /><Relationship Type="http://schemas.openxmlformats.org/officeDocument/2006/relationships/sharedStrings" Target="/xl/sharedStrings.xml" Id="Rd964fccff6234cea" /><Relationship Type="http://schemas.openxmlformats.org/officeDocument/2006/relationships/worksheet" Target="/xl/worksheets/sheet1.xml" Id="Rd56c7b89d25d4c5e" /><Relationship Type="http://schemas.openxmlformats.org/officeDocument/2006/relationships/worksheet" Target="/xl/worksheets/sheet2.xml" Id="R0860463614244433" /><Relationship Type="http://schemas.openxmlformats.org/officeDocument/2006/relationships/worksheet" Target="/xl/worksheets/sheet3.xml" Id="Rcad76ab821c74a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48bd04445d4bb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Listings by Clicks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Clicks</c:v>
          </c:tx>
          <c:cat>
            <c:strRef>
              <c:f>'Summary'!$A$13:$A$22</c:f>
              <c:strCache>
                <c:ptCount val="0"/>
              </c:strCache>
            </c:strRef>
          </c:cat>
          <c:val>
            <c:numRef>
              <c:f>'Summary'!$B$13:$B$22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48bd04445d4b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ListingAnalysisTable" displayName="ListingAnalysisTable" ref="A1:O78" headerRowCount="1" totalsRowCount="0" totalsRowShown="0">
  <x:tableColumns count="15">
    <x:tableColumn id="1" name="Category"/>
    <x:tableColumn id="2" name="Listing / item"/>
    <x:tableColumn id="3" name="Current price"/>
    <x:tableColumn id="4" name="Aug 13 clicks"/>
    <x:tableColumn id="5" name="Aug 14 clicks"/>
    <x:tableColumn id="6" name="Click gain"/>
    <x:tableColumn id="7" name="Listed date"/>
    <x:tableColumn id="8" name="Days live"/>
    <x:tableColumn id="9" name="Clicks / day"/>
    <x:tableColumn id="10" name="Interest"/>
    <x:tableColumn id="11" name="Post-sale suggested price"/>
    <x:tableColumn id="12" name="Price change"/>
    <x:tableColumn id="13" name="Momentum"/>
    <x:tableColumn id="14" name="Recommendation"/>
    <x:tableColumn id="1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DataTable" displayName="SourceDataTable" ref="A1:G78" headerRowCount="1" totalsRowCount="0" totalsRowShown="0">
  <x:tableColumns count="7">
    <x:tableColumn id="1" name="Listing / item"/>
    <x:tableColumn id="2" name="Listed price"/>
    <x:tableColumn id="3" name="Listed date"/>
    <x:tableColumn id="4" name="Current clicks"/>
    <x:tableColumn id="5" name="Status"/>
    <x:tableColumn id="6" name="Captured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66bb5b110a46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903be657634d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c3e202449349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4" hidden="0" customWidth="1"/>
    <x:col min="3" max="3" width="3" hidden="0" customWidth="1"/>
    <x:col min="4" max="4" width="42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</x:cols>
  <x:sheetData>
    <x:row r="1" ht="32" customHeight="1">
      <x:c r="A1" s="4" t="str">
        <x:v>Estate Sale Marketplace Click Review</x:v>
      </x:c>
      <x:c r="B1" s="4"/>
      <x:c r="C1" s="4"/>
      <x:c r="D1" s="4"/>
      <x:c r="E1" s="4"/>
      <x:c r="F1" s="4"/>
      <x:c r="G1" s="4"/>
      <x:c r="H1" s="4"/>
    </x:row>
    <x:row r="2" ht="38" customHeight="1">
      <x:c r="A2" s="8" t="str">
        <x:v>Live Facebook metrics refreshed August 14, 2026. Recommendations are advisory; no Facebook prices were changed and prices remain protected through August 15.</x:v>
      </x:c>
      <x:c r="B2" s="8"/>
      <x:c r="C2" s="8"/>
      <x:c r="D2" s="8"/>
      <x:c r="E2" s="8"/>
      <x:c r="F2" s="8"/>
      <x:c r="G2" s="8"/>
      <x:c r="H2" s="8"/>
    </x:row>
    <x:row r="4">
      <x:c r="A4" s="10" t="str">
        <x:v>Portfolio snapshot</x:v>
      </x:c>
      <x:c r="B4" s="10" t="str">
        <x:v>Value</x:v>
      </x:c>
      <x:c r="D4" s="10" t="str">
        <x:v>Recommendation snapshot</x:v>
      </x:c>
      <x:c r="E4" s="10" t="str">
        <x:v>Count</x:v>
      </x:c>
    </x:row>
    <x:row r="5">
      <x:c r="A5" s="14" t="str">
        <x:v>Listings reviewed</x:v>
      </x:c>
      <x:c r="B5" s="13" t="n">
        <x:f>COUNTA('Listing Analysis'!B2:B78)</x:f>
        <x:v>77</x:v>
      </x:c>
      <x:c r="D5" s="14" t="str">
        <x:v>Hold / no reduction</x:v>
      </x:c>
      <x:c r="E5" s="13" t="n">
        <x:f>COUNTIF('Listing Analysis'!N2:N78,"Hold price; strong demand signal")</x:f>
        <x:v>34</x:v>
      </x:c>
    </x:row>
    <x:row r="6">
      <x:c r="A6" s="14" t="str">
        <x:v>Active listings</x:v>
      </x:c>
      <x:c r="B6" s="13" t="n">
        <x:f>COUNTIF('Listing Analysis'!O2:O78,"Active")</x:f>
        <x:v>75</x:v>
      </x:c>
      <x:c r="D6" s="14" t="str">
        <x:v>Review after sale</x:v>
      </x:c>
      <x:c r="E6" s="13" t="n">
        <x:f>COUNTIF('Listing Analysis'!N2:N78,"Review after sale; modest reduction only if unsold")</x:f>
        <x:v>24</x:v>
      </x:c>
    </x:row>
    <x:row r="7">
      <x:c r="A7" s="14" t="str">
        <x:v>Needs attention</x:v>
      </x:c>
      <x:c r="B7" s="13" t="n">
        <x:f>COUNTIF('Listing Analysis'!O2:O78,"Needs attention")</x:f>
        <x:v>2</x:v>
      </x:c>
      <x:c r="D7" s="14" t="str">
        <x:v>Photo/title or bundle</x:v>
      </x:c>
      <x:c r="E7" s="13" t="n">
        <x:f>COUNTIF('Listing Analysis'!N2:N78,"Improve photo/title or bundle; consider post-sale reduction")</x:f>
        <x:v>17</x:v>
      </x:c>
    </x:row>
    <x:row r="8">
      <x:c r="A8" s="14" t="str">
        <x:v>Current listing price total</x:v>
      </x:c>
      <x:c r="B8" s="11" t="n">
        <x:f>SUM('Listing Analysis'!C2:C78)</x:f>
        <x:v>3790</x:v>
      </x:c>
      <x:c r="D8" s="14" t="str">
        <x:v>Resolve policy flag</x:v>
      </x:c>
      <x:c r="E8" s="13" t="n">
        <x:f>COUNTIF('Listing Analysis'!N2:N78,"Resolve Facebook policy flag before pricing")</x:f>
        <x:v>2</x:v>
      </x:c>
    </x:row>
    <x:row r="9">
      <x:c r="A9" s="14" t="str">
        <x:v>Total clicks</x:v>
      </x:c>
      <x:c r="B9" s="13" t="n">
        <x:f>SUM('Listing Analysis'!E2:E78)</x:f>
        <x:v>4178</x:v>
      </x:c>
      <x:c r="D9" s="14" t="str">
        <x:v>Price protected through</x:v>
      </x:c>
      <x:c r="E9" s="12" t="n">
        <x:v>46249.666666666664</x:v>
      </x:c>
    </x:row>
    <x:row r="10">
      <x:c r="A10" s="14" t="str">
        <x:v>Click gain since Aug 13</x:v>
      </x:c>
      <x:c r="B10" s="13" t="n">
        <x:f>SUM('Listing Analysis'!F2:F78)</x:f>
        <x:v>1835</x:v>
      </x:c>
    </x:row>
    <x:row r="12">
      <x:c r="A12" s="10" t="str">
        <x:v>Top listings by total clicks</x:v>
      </x:c>
      <x:c r="B12" s="10" t="str">
        <x:v>Clicks</x:v>
      </x:c>
      <x:c r="D12" s="10" t="str">
        <x:v>Fastest click gains since Aug 13</x:v>
      </x:c>
      <x:c r="E12" s="10" t="str">
        <x:v>Gain</x:v>
      </x:c>
      <x:c r="F12" s="10" t="str">
        <x:v>Current clicks</x:v>
      </x:c>
    </x:row>
    <x:row r="13">
      <x:c r="A13" s="15" t="str">
        <x:v>Wood Corner Cabinet or Hutch</x:v>
      </x:c>
      <x:c r="B13" s="13" t="n">
        <x:v>738</x:v>
      </x:c>
      <x:c r="D13" s="15" t="str">
        <x:v>Wood Corner Cabinet or Hutch</x:v>
      </x:c>
      <x:c r="E13" s="13" t="n">
        <x:v>197</x:v>
      </x:c>
      <x:c r="F13" s="13" t="n">
        <x:v>738</x:v>
      </x:c>
    </x:row>
    <x:row r="14">
      <x:c r="A14" s="15" t="str">
        <x:v>Sony Walkman D-E350 Portable CD Player</x:v>
      </x:c>
      <x:c r="B14" s="13" t="n">
        <x:v>299</x:v>
      </x:c>
      <x:c r="D14" s="15" t="str">
        <x:v>Estate Sale Tools &amp; Useful Household Items</x:v>
      </x:c>
      <x:c r="E14" s="13" t="n">
        <x:v>175</x:v>
      </x:c>
      <x:c r="F14" s="13" t="n">
        <x:v>210</x:v>
      </x:c>
    </x:row>
    <x:row r="15">
      <x:c r="A15" s="15" t="str">
        <x:v>Estate Sale Tools &amp; Useful Household Items</x:v>
      </x:c>
      <x:c r="B15" s="13" t="n">
        <x:v>210</x:v>
      </x:c>
      <x:c r="D15" s="15" t="str">
        <x:v>Sony Walkman D-E350 Portable CD Player</x:v>
      </x:c>
      <x:c r="E15" s="13" t="n">
        <x:v>152</x:v>
      </x:c>
      <x:c r="F15" s="13" t="n">
        <x:v>299</x:v>
      </x:c>
    </x:row>
    <x:row r="16">
      <x:c r="A16" s="15" t="str">
        <x:v>Wood Rolling Kitchen Cart</x:v>
      </x:c>
      <x:c r="B16" s="13" t="n">
        <x:v>200</x:v>
      </x:c>
      <x:c r="D16" s="15" t="str">
        <x:v>Wood Cubby Display Shelf with Figurines</x:v>
      </x:c>
      <x:c r="E16" s="13" t="n">
        <x:v>114</x:v>
      </x:c>
      <x:c r="F16" s="13" t="n">
        <x:v>135</x:v>
      </x:c>
    </x:row>
    <x:row r="17">
      <x:c r="A17" s="15" t="str">
        <x:v>Frigidaire Top-Freezer Refrigerator</x:v>
      </x:c>
      <x:c r="B17" s="13" t="n">
        <x:v>177</x:v>
      </x:c>
      <x:c r="D17" s="15" t="str">
        <x:v>Wood Rolling Kitchen Cart</x:v>
      </x:c>
      <x:c r="E17" s="13" t="n">
        <x:v>105</x:v>
      </x:c>
      <x:c r="F17" s="13" t="n">
        <x:v>200</x:v>
      </x:c>
    </x:row>
    <x:row r="18">
      <x:c r="A18" s="15" t="str">
        <x:v>Wood Pedestal Book or Bible Stand</x:v>
      </x:c>
      <x:c r="B18" s="13" t="n">
        <x:v>158</x:v>
      </x:c>
      <x:c r="D18" s="15" t="str">
        <x:v>Folding Rollaway Bed with Mattress</x:v>
      </x:c>
      <x:c r="E18" s="13" t="n">
        <x:v>100</x:v>
      </x:c>
      <x:c r="F18" s="13" t="n">
        <x:v>140</x:v>
      </x:c>
    </x:row>
    <x:row r="19">
      <x:c r="A19" s="15" t="str">
        <x:v>Folding Rollaway Bed with Mattress</x:v>
      </x:c>
      <x:c r="B19" s="13" t="n">
        <x:v>140</x:v>
      </x:c>
      <x:c r="D19" s="15" t="str">
        <x:v>Frigidaire Top-Freezer Refrigerator</x:v>
      </x:c>
      <x:c r="E19" s="13" t="n">
        <x:v>83</x:v>
      </x:c>
      <x:c r="F19" s="13" t="n">
        <x:v>177</x:v>
      </x:c>
    </x:row>
    <x:row r="20">
      <x:c r="A20" s="15" t="str">
        <x:v>Wood Cubby Display Shelf with Figurines</x:v>
      </x:c>
      <x:c r="B20" s="13" t="n">
        <x:v>135</x:v>
      </x:c>
      <x:c r="D20" s="15" t="str">
        <x:v>Wood Pedestal Book or Bible Stand</x:v>
      </x:c>
      <x:c r="E20" s="13" t="n">
        <x:v>71</x:v>
      </x:c>
      <x:c r="F20" s="13" t="n">
        <x:v>158</x:v>
      </x:c>
    </x:row>
    <x:row r="21">
      <x:c r="A21" s="15" t="str">
        <x:v>Franklin Mint Gone With the Wind Collectible Lot</x:v>
      </x:c>
      <x:c r="B21" s="13" t="n">
        <x:v>114</x:v>
      </x:c>
      <x:c r="D21" s="15" t="str">
        <x:v>Franklin Mint Gone With the Wind Collectible Lot</x:v>
      </x:c>
      <x:c r="E21" s="13" t="n">
        <x:v>64</x:v>
      </x:c>
      <x:c r="F21" s="13" t="n">
        <x:v>114</x:v>
      </x:c>
    </x:row>
    <x:row r="22">
      <x:c r="A22" s="15" t="str">
        <x:v>Marble-Look Pedestal Side Table</x:v>
      </x:c>
      <x:c r="B22" s="13" t="n">
        <x:v>110</x:v>
      </x:c>
      <x:c r="D22" s="15" t="str">
        <x:v>Marble-Look Pedestal Side Table</x:v>
      </x:c>
      <x:c r="E22" s="13" t="n">
        <x:v>60</x:v>
      </x:c>
      <x:c r="F22" s="13" t="n">
        <x:v>110</x:v>
      </x:c>
    </x:row>
    <x:row r="24">
      <x:c r="A24" s="18" t="str">
        <x:v>Recommended decision</x:v>
      </x:c>
      <x:c r="B24" s="18"/>
      <x:c r="C24" s="18"/>
      <x:c r="D24" s="18"/>
      <x:c r="E24" s="18"/>
      <x:c r="F24" s="18"/>
      <x:c r="G24" s="18"/>
      <x:c r="H24" s="18"/>
    </x:row>
    <x:row r="25" ht="26" customHeight="1">
      <x:c r="A25" s="21" t="str">
        <x:v>Hold all prices through the August 15 estate sale. After the sale, use the Listing Analysis tab to reduce only low-momentum unsold items, improve photos/titles or bundle weak listings, and keep high-interest prices intact until buyer follow-through is known. The two mobility listings marked Needs attention require policy resolution before click data can guide pricing.</x:v>
      </x:c>
      <x:c r="B25" s="21"/>
      <x:c r="C25" s="21"/>
      <x:c r="D25" s="21"/>
      <x:c r="E25" s="21"/>
      <x:c r="F25" s="21"/>
      <x:c r="G25" s="21"/>
      <x:c r="H25" s="21"/>
    </x:row>
    <x:row r="26" ht="26" customHeight="1">
      <x:c r="A26" s="21"/>
      <x:c r="B26" s="21"/>
      <x:c r="C26" s="21"/>
      <x:c r="D26" s="21"/>
      <x:c r="E26" s="21"/>
      <x:c r="F26" s="21"/>
      <x:c r="G26" s="21"/>
      <x:c r="H26" s="21"/>
    </x:row>
    <x:row r="27" ht="26" customHeight="1">
      <x:c r="A27" s="21"/>
      <x:c r="B27" s="21"/>
      <x:c r="C27" s="21"/>
      <x:c r="D27" s="21"/>
      <x:c r="E27" s="21"/>
      <x:c r="F27" s="21"/>
      <x:c r="G27" s="21"/>
      <x:c r="H27" s="21"/>
    </x:row>
  </x:sheetData>
  <x:mergeCells>
    <x:mergeCell ref="A1:H1"/>
    <x:mergeCell ref="A2:H2"/>
    <x:mergeCell ref="A24:H24"/>
    <x:mergeCell ref="A25:H27"/>
  </x:mergeCells>
  <x:pageMargins left="0.7" right="0.7" top="0.75" bottom="0.75" header="0.3" footer="0.3"/>
  <x:drawing xmlns:r="http://schemas.openxmlformats.org/officeDocument/2006/relationships" r:id="R9b66bb5b110a46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6" hidden="0" customWidth="1"/>
    <x:col min="15" max="15" width="16" hidden="0" customWidth="1"/>
  </x:cols>
  <x:sheetData>
    <x:row r="1" ht="34" customHeight="1">
      <x:c r="A1" s="24" t="str">
        <x:v>Category</x:v>
      </x:c>
      <x:c r="B1" s="24" t="str">
        <x:v>Listing / item</x:v>
      </x:c>
      <x:c r="C1" s="24" t="str">
        <x:v>Current price</x:v>
      </x:c>
      <x:c r="D1" s="24" t="str">
        <x:v>Aug 13 clicks</x:v>
      </x:c>
      <x:c r="E1" s="24" t="str">
        <x:v>Aug 14 clicks</x:v>
      </x:c>
      <x:c r="F1" s="24" t="str">
        <x:v>Click gain</x:v>
      </x:c>
      <x:c r="G1" s="24" t="str">
        <x:v>Listed date</x:v>
      </x:c>
      <x:c r="H1" s="24" t="str">
        <x:v>Days live</x:v>
      </x:c>
      <x:c r="I1" s="24" t="str">
        <x:v>Clicks / day</x:v>
      </x:c>
      <x:c r="J1" s="24" t="str">
        <x:v>Interest</x:v>
      </x:c>
      <x:c r="K1" s="24" t="str">
        <x:v>Post-sale suggested price</x:v>
      </x:c>
      <x:c r="L1" s="24" t="str">
        <x:v>Price change</x:v>
      </x:c>
      <x:c r="M1" s="24" t="str">
        <x:v>Momentum</x:v>
      </x:c>
      <x:c r="N1" s="24" t="str">
        <x:v>Recommendation</x:v>
      </x:c>
      <x:c r="O1" s="24" t="str">
        <x:v>Status</x:v>
      </x:c>
    </x:row>
    <x:row r="2">
      <x:c r="A2" s="28" t="str">
        <x:v>Electronics &amp; Media</x:v>
      </x:c>
      <x:c r="B2" s="33" t="str">
        <x:v>Assortment of Vinyl Records</x:v>
      </x:c>
      <x:c r="C2" s="29" t="n">
        <x:v>30</x:v>
      </x:c>
      <x:c r="D2" s="28" t="n">
        <x:v>66</x:v>
      </x:c>
      <x:c r="E2" s="28" t="n">
        <x:v>80</x:v>
      </x:c>
      <x:c r="F2" s="28" t="n">
        <x:f>E2-D2</x:f>
        <x:v>14</x:v>
      </x:c>
      <x:c r="G2" s="30" t="n">
        <x:v>46244</x:v>
      </x:c>
      <x:c r="H2" s="28" t="n">
        <x:f>DATE(2026,8,14)-G2+1</x:f>
        <x:v>5</x:v>
      </x:c>
      <x:c r="I2" s="31" t="n">
        <x:f>IF(H2&gt;0,E2/H2,0)</x:f>
        <x:v>16</x:v>
      </x:c>
      <x:c r="J2" s="28" t="str">
        <x:f>IF(O2&lt;&gt;"Active","Blocked",IF(I2&gt;=20,"Very High",IF(I2&gt;=8,"High",IF(I2&gt;=2,"Moderate","Low"))))</x:f>
        <x:v>High</x:v>
      </x:c>
      <x:c r="K2" s="32" t="n">
        <x:f>IF(J2="Blocked",C2,IF(OR(J2="Very High",J2="High"),C2,IF(J2="Moderate",MAX(5,ROUND(C2*0.9/5,0)*5),MAX(5,ROUND(C2*0.8/5,0)*5))))</x:f>
        <x:v>30</x:v>
      </x:c>
      <x:c r="L2" s="32" t="n">
        <x:f>K2-C2</x:f>
        <x:v>0</x:v>
      </x:c>
      <x:c r="M2" s="28" t="str">
        <x:f>IF(O2&lt;&gt;"Active","Blocked",IF(F2&gt;=20,"Surging",IF(F2&gt;=5,"Growing","Flat")))</x:f>
        <x:v>Growing</x:v>
      </x:c>
      <x:c r="N2" s="33" t="str">
        <x:f>IF(O2&lt;&gt;"Active","Resolve Facebook policy flag before pricing",IF(OR(J2="Very High",J2="High",M2="Surging"),"Hold price; strong demand signal",IF(AND(J2="Low",M2="Flat"),"Improve photo/title or bundle; consider post-sale reduction","Review after sale; modest reduction only if unsold")))</x:f>
        <x:v>Hold price; strong demand signal</x:v>
      </x:c>
      <x:c r="O2" s="28" t="str">
        <x:v>Active</x:v>
      </x:c>
    </x:row>
    <x:row r="3">
      <x:c r="A3" s="28" t="str">
        <x:v>Appliances</x:v>
      </x:c>
      <x:c r="B3" s="33" t="str">
        <x:v>Avantco Double Commercial Panini Grill</x:v>
      </x:c>
      <x:c r="C3" s="29" t="n">
        <x:v>175</x:v>
      </x:c>
      <x:c r="D3" s="28" t="n">
        <x:v>28</x:v>
      </x:c>
      <x:c r="E3" s="28" t="n">
        <x:v>39</x:v>
      </x:c>
      <x:c r="F3" s="28" t="n">
        <x:f>E3-D3</x:f>
        <x:v>11</x:v>
      </x:c>
      <x:c r="G3" s="30" t="n">
        <x:v>46245</x:v>
      </x:c>
      <x:c r="H3" s="28" t="n">
        <x:f>DATE(2026,8,14)-G3+1</x:f>
        <x:v>4</x:v>
      </x:c>
      <x:c r="I3" s="31" t="n">
        <x:f>IF(H3&gt;0,E3/H3,0)</x:f>
        <x:v>9.75</x:v>
      </x:c>
      <x:c r="J3" s="28" t="str">
        <x:f>IF(O3&lt;&gt;"Active","Blocked",IF(I3&gt;=20,"Very High",IF(I3&gt;=8,"High",IF(I3&gt;=2,"Moderate","Low"))))</x:f>
        <x:v>High</x:v>
      </x:c>
      <x:c r="K3" s="32" t="n">
        <x:f>IF(J3="Blocked",C3,IF(OR(J3="Very High",J3="High"),C3,IF(J3="Moderate",MAX(5,ROUND(C3*0.9/5,0)*5),MAX(5,ROUND(C3*0.8/5,0)*5))))</x:f>
        <x:v>175</x:v>
      </x:c>
      <x:c r="L3" s="32" t="n">
        <x:f>K3-C3</x:f>
        <x:v>0</x:v>
      </x:c>
      <x:c r="M3" s="28" t="str">
        <x:f>IF(O3&lt;&gt;"Active","Blocked",IF(F3&gt;=20,"Surging",IF(F3&gt;=5,"Growing","Flat")))</x:f>
        <x:v>Growing</x:v>
      </x:c>
      <x:c r="N3" s="33" t="str">
        <x:f>IF(O3&lt;&gt;"Active","Resolve Facebook policy flag before pricing",IF(OR(J3="Very High",J3="High",M3="Surging"),"Hold price; strong demand signal",IF(AND(J3="Low",M3="Flat"),"Improve photo/title or bundle; consider post-sale reduction","Review after sale; modest reduction only if unsold")))</x:f>
        <x:v>Hold price; strong demand signal</x:v>
      </x:c>
      <x:c r="O3" s="28" t="str">
        <x:v>Active</x:v>
      </x:c>
    </x:row>
    <x:row r="4">
      <x:c r="A4" s="28" t="str">
        <x:v>Tools, Office &amp; Household</x:v>
      </x:c>
      <x:c r="B4" s="33" t="str">
        <x:v>Boxed Household Item Lot</x:v>
      </x:c>
      <x:c r="C4" s="29" t="n">
        <x:v>30</x:v>
      </x:c>
      <x:c r="D4" s="28" t="n">
        <x:v>0</x:v>
      </x:c>
      <x:c r="E4" s="28" t="n">
        <x:v>1</x:v>
      </x:c>
      <x:c r="F4" s="28" t="n">
        <x:f>E4-D4</x:f>
        <x:v>1</x:v>
      </x:c>
      <x:c r="G4" s="30" t="n">
        <x:v>46245</x:v>
      </x:c>
      <x:c r="H4" s="28" t="n">
        <x:f>DATE(2026,8,14)-G4+1</x:f>
        <x:v>4</x:v>
      </x:c>
      <x:c r="I4" s="31" t="n">
        <x:f>IF(H4&gt;0,E4/H4,0)</x:f>
        <x:v>0.25</x:v>
      </x:c>
      <x:c r="J4" s="28" t="str">
        <x:f>IF(O4&lt;&gt;"Active","Blocked",IF(I4&gt;=20,"Very High",IF(I4&gt;=8,"High",IF(I4&gt;=2,"Moderate","Low"))))</x:f>
        <x:v>Low</x:v>
      </x:c>
      <x:c r="K4" s="32" t="n">
        <x:f>IF(J4="Blocked",C4,IF(OR(J4="Very High",J4="High"),C4,IF(J4="Moderate",MAX(5,ROUND(C4*0.9/5,0)*5),MAX(5,ROUND(C4*0.8/5,0)*5))))</x:f>
        <x:v>25</x:v>
      </x:c>
      <x:c r="L4" s="32" t="n">
        <x:f>K4-C4</x:f>
        <x:v>-5</x:v>
      </x:c>
      <x:c r="M4" s="28" t="str">
        <x:f>IF(O4&lt;&gt;"Active","Blocked",IF(F4&gt;=20,"Surging",IF(F4&gt;=5,"Growing","Flat")))</x:f>
        <x:v>Flat</x:v>
      </x:c>
      <x:c r="N4" s="33" t="str">
        <x:f>IF(O4&lt;&gt;"Active","Resolve Facebook policy flag before pricing",IF(OR(J4="Very High",J4="High",M4="Surging"),"Hold price; strong demand signal",IF(AND(J4="Low",M4="Flat"),"Improve photo/title or bundle; consider post-sale reduction","Review after sale; modest reduction only if unsold")))</x:f>
        <x:v>Improve photo/title or bundle; consider post-sale reduction</x:v>
      </x:c>
      <x:c r="O4" s="28" t="str">
        <x:v>Active</x:v>
      </x:c>
    </x:row>
    <x:row r="5">
      <x:c r="A5" s="28" t="str">
        <x:v>Tools, Office &amp; Household</x:v>
      </x:c>
      <x:c r="B5" s="33" t="str">
        <x:v>Cased Sewing Machine Model 2468 with Notions</x:v>
      </x:c>
      <x:c r="C5" s="29" t="n">
        <x:v>55</x:v>
      </x:c>
      <x:c r="D5" s="28" t="n">
        <x:v>83</x:v>
      </x:c>
      <x:c r="E5" s="28" t="n">
        <x:v>104</x:v>
      </x:c>
      <x:c r="F5" s="28" t="n">
        <x:f>E5-D5</x:f>
        <x:v>21</x:v>
      </x:c>
      <x:c r="G5" s="30" t="n">
        <x:v>46244</x:v>
      </x:c>
      <x:c r="H5" s="28" t="n">
        <x:f>DATE(2026,8,14)-G5+1</x:f>
        <x:v>5</x:v>
      </x:c>
      <x:c r="I5" s="31" t="n">
        <x:f>IF(H5&gt;0,E5/H5,0)</x:f>
        <x:v>20.8</x:v>
      </x:c>
      <x:c r="J5" s="28" t="str">
        <x:f>IF(O5&lt;&gt;"Active","Blocked",IF(I5&gt;=20,"Very High",IF(I5&gt;=8,"High",IF(I5&gt;=2,"Moderate","Low"))))</x:f>
        <x:v>Very High</x:v>
      </x:c>
      <x:c r="K5" s="32" t="n">
        <x:f>IF(J5="Blocked",C5,IF(OR(J5="Very High",J5="High"),C5,IF(J5="Moderate",MAX(5,ROUND(C5*0.9/5,0)*5),MAX(5,ROUND(C5*0.8/5,0)*5))))</x:f>
        <x:v>55</x:v>
      </x:c>
      <x:c r="L5" s="32" t="n">
        <x:f>K5-C5</x:f>
        <x:v>0</x:v>
      </x:c>
      <x:c r="M5" s="28" t="str">
        <x:f>IF(O5&lt;&gt;"Active","Blocked",IF(F5&gt;=20,"Surging",IF(F5&gt;=5,"Growing","Flat")))</x:f>
        <x:v>Surging</x:v>
      </x:c>
      <x:c r="N5" s="33" t="str">
        <x:f>IF(O5&lt;&gt;"Active","Resolve Facebook policy flag before pricing",IF(OR(J5="Very High",J5="High",M5="Surging"),"Hold price; strong demand signal",IF(AND(J5="Low",M5="Flat"),"Improve photo/title or bundle; consider post-sale reduction","Review after sale; modest reduction only if unsold")))</x:f>
        <x:v>Hold price; strong demand signal</x:v>
      </x:c>
      <x:c r="O5" s="28" t="str">
        <x:v>Active</x:v>
      </x:c>
    </x:row>
    <x:row r="6">
      <x:c r="A6" s="28" t="str">
        <x:v>Decor, Collectibles &amp; Books</x:v>
      </x:c>
      <x:c r="B6" s="33" t="str">
        <x:v>Decorative Bear Figurine Trio</x:v>
      </x:c>
      <x:c r="C6" s="29" t="n">
        <x:v>15</x:v>
      </x:c>
      <x:c r="D6" s="28" t="n">
        <x:v>1</x:v>
      </x:c>
      <x:c r="E6" s="28" t="n">
        <x:v>1</x:v>
      </x:c>
      <x:c r="F6" s="28" t="n">
        <x:f>E6-D6</x:f>
        <x:v>0</x:v>
      </x:c>
      <x:c r="G6" s="30" t="n">
        <x:v>46245</x:v>
      </x:c>
      <x:c r="H6" s="28" t="n">
        <x:f>DATE(2026,8,14)-G6+1</x:f>
        <x:v>4</x:v>
      </x:c>
      <x:c r="I6" s="31" t="n">
        <x:f>IF(H6&gt;0,E6/H6,0)</x:f>
        <x:v>0.25</x:v>
      </x:c>
      <x:c r="J6" s="28" t="str">
        <x:f>IF(O6&lt;&gt;"Active","Blocked",IF(I6&gt;=20,"Very High",IF(I6&gt;=8,"High",IF(I6&gt;=2,"Moderate","Low"))))</x:f>
        <x:v>Low</x:v>
      </x:c>
      <x:c r="K6" s="32" t="n">
        <x:f>IF(J6="Blocked",C6,IF(OR(J6="Very High",J6="High"),C6,IF(J6="Moderate",MAX(5,ROUND(C6*0.9/5,0)*5),MAX(5,ROUND(C6*0.8/5,0)*5))))</x:f>
        <x:v>10</x:v>
      </x:c>
      <x:c r="L6" s="32" t="n">
        <x:f>K6-C6</x:f>
        <x:v>-5</x:v>
      </x:c>
      <x:c r="M6" s="28" t="str">
        <x:f>IF(O6&lt;&gt;"Active","Blocked",IF(F6&gt;=20,"Surging",IF(F6&gt;=5,"Growing","Flat")))</x:f>
        <x:v>Flat</x:v>
      </x:c>
      <x:c r="N6" s="33" t="str">
        <x:f>IF(O6&lt;&gt;"Active","Resolve Facebook policy flag before pricing",IF(OR(J6="Very High",J6="High",M6="Surging"),"Hold price; strong demand signal",IF(AND(J6="Low",M6="Flat"),"Improve photo/title or bundle; consider post-sale reduction","Review after sale; modest reduction only if unsold")))</x:f>
        <x:v>Improve photo/title or bundle; consider post-sale reduction</x:v>
      </x:c>
      <x:c r="O6" s="28" t="str">
        <x:v>Active</x:v>
      </x:c>
    </x:row>
    <x:row r="7">
      <x:c r="A7" s="28" t="str">
        <x:v>Decor, Collectibles &amp; Books</x:v>
      </x:c>
      <x:c r="B7" s="33" t="str">
        <x:v>Decorative Doll and Angel Lot</x:v>
      </x:c>
      <x:c r="C7" s="29" t="n">
        <x:v>45</x:v>
      </x:c>
      <x:c r="D7" s="28" t="n">
        <x:v>2</x:v>
      </x:c>
      <x:c r="E7" s="28" t="n">
        <x:v>3</x:v>
      </x:c>
      <x:c r="F7" s="28" t="n">
        <x:f>E7-D7</x:f>
        <x:v>1</x:v>
      </x:c>
      <x:c r="G7" s="30" t="n">
        <x:v>46244</x:v>
      </x:c>
      <x:c r="H7" s="28" t="n">
        <x:f>DATE(2026,8,14)-G7+1</x:f>
        <x:v>5</x:v>
      </x:c>
      <x:c r="I7" s="31" t="n">
        <x:f>IF(H7&gt;0,E7/H7,0)</x:f>
        <x:v>0.6</x:v>
      </x:c>
      <x:c r="J7" s="28" t="str">
        <x:f>IF(O7&lt;&gt;"Active","Blocked",IF(I7&gt;=20,"Very High",IF(I7&gt;=8,"High",IF(I7&gt;=2,"Moderate","Low"))))</x:f>
        <x:v>Low</x:v>
      </x:c>
      <x:c r="K7" s="32" t="n">
        <x:f>IF(J7="Blocked",C7,IF(OR(J7="Very High",J7="High"),C7,IF(J7="Moderate",MAX(5,ROUND(C7*0.9/5,0)*5),MAX(5,ROUND(C7*0.8/5,0)*5))))</x:f>
        <x:v>35</x:v>
      </x:c>
      <x:c r="L7" s="32" t="n">
        <x:f>K7-C7</x:f>
        <x:v>-10</x:v>
      </x:c>
      <x:c r="M7" s="28" t="str">
        <x:f>IF(O7&lt;&gt;"Active","Blocked",IF(F7&gt;=20,"Surging",IF(F7&gt;=5,"Growing","Flat")))</x:f>
        <x:v>Flat</x:v>
      </x:c>
      <x:c r="N7" s="33" t="str">
        <x:f>IF(O7&lt;&gt;"Active","Resolve Facebook policy flag before pricing",IF(OR(J7="Very High",J7="High",M7="Surging"),"Hold price; strong demand signal",IF(AND(J7="Low",M7="Flat"),"Improve photo/title or bundle; consider post-sale reduction","Review after sale; modest reduction only if unsold")))</x:f>
        <x:v>Improve photo/title or bundle; consider post-sale reduction</x:v>
      </x:c>
      <x:c r="O7" s="28" t="str">
        <x:v>Active</x:v>
      </x:c>
    </x:row>
    <x:row r="8">
      <x:c r="A8" s="28" t="str">
        <x:v>Decor, Collectibles &amp; Books</x:v>
      </x:c>
      <x:c r="B8" s="33" t="str">
        <x:v>Decorative Music Box Lot - 3</x:v>
      </x:c>
      <x:c r="C8" s="29" t="n">
        <x:v>25</x:v>
      </x:c>
      <x:c r="D8" s="28" t="n">
        <x:v>21</x:v>
      </x:c>
      <x:c r="E8" s="28" t="n">
        <x:v>27</x:v>
      </x:c>
      <x:c r="F8" s="28" t="n">
        <x:f>E8-D8</x:f>
        <x:v>6</x:v>
      </x:c>
      <x:c r="G8" s="30" t="n">
        <x:v>46247</x:v>
      </x:c>
      <x:c r="H8" s="28" t="n">
        <x:f>DATE(2026,8,14)-G8+1</x:f>
        <x:v>2</x:v>
      </x:c>
      <x:c r="I8" s="31" t="n">
        <x:f>IF(H8&gt;0,E8/H8,0)</x:f>
        <x:v>13.5</x:v>
      </x:c>
      <x:c r="J8" s="28" t="str">
        <x:f>IF(O8&lt;&gt;"Active","Blocked",IF(I8&gt;=20,"Very High",IF(I8&gt;=8,"High",IF(I8&gt;=2,"Moderate","Low"))))</x:f>
        <x:v>High</x:v>
      </x:c>
      <x:c r="K8" s="32" t="n">
        <x:f>IF(J8="Blocked",C8,IF(OR(J8="Very High",J8="High"),C8,IF(J8="Moderate",MAX(5,ROUND(C8*0.9/5,0)*5),MAX(5,ROUND(C8*0.8/5,0)*5))))</x:f>
        <x:v>25</x:v>
      </x:c>
      <x:c r="L8" s="32" t="n">
        <x:f>K8-C8</x:f>
        <x:v>0</x:v>
      </x:c>
      <x:c r="M8" s="28" t="str">
        <x:f>IF(O8&lt;&gt;"Active","Blocked",IF(F8&gt;=20,"Surging",IF(F8&gt;=5,"Growing","Flat")))</x:f>
        <x:v>Growing</x:v>
      </x:c>
      <x:c r="N8" s="33" t="str">
        <x:f>IF(O8&lt;&gt;"Active","Resolve Facebook policy flag before pricing",IF(OR(J8="Very High",J8="High",M8="Surging"),"Hold price; strong demand signal",IF(AND(J8="Low",M8="Flat"),"Improve photo/title or bundle; consider post-sale reduction","Review after sale; modest reduction only if unsold")))</x:f>
        <x:v>Hold price; strong demand signal</x:v>
      </x:c>
      <x:c r="O8" s="28" t="str">
        <x:v>Active</x:v>
      </x:c>
    </x:row>
    <x:row r="9">
      <x:c r="A9" s="28" t="str">
        <x:v>Health, Mobility &amp; Fitness</x:v>
      </x:c>
      <x:c r="B9" s="33" t="str">
        <x:v>Detecto 350-lb Physician Balance-Beam Scale</x:v>
      </x:c>
      <x:c r="C9" s="29" t="n">
        <x:v>95</x:v>
      </x:c>
      <x:c r="D9" s="28" t="n">
        <x:v>7</x:v>
      </x:c>
      <x:c r="E9" s="28" t="n">
        <x:v>8</x:v>
      </x:c>
      <x:c r="F9" s="28" t="n">
        <x:f>E9-D9</x:f>
        <x:v>1</x:v>
      </x:c>
      <x:c r="G9" s="30" t="n">
        <x:v>46244</x:v>
      </x:c>
      <x:c r="H9" s="28" t="n">
        <x:f>DATE(2026,8,14)-G9+1</x:f>
        <x:v>5</x:v>
      </x:c>
      <x:c r="I9" s="31" t="n">
        <x:f>IF(H9&gt;0,E9/H9,0)</x:f>
        <x:v>1.6</x:v>
      </x:c>
      <x:c r="J9" s="28" t="str">
        <x:f>IF(O9&lt;&gt;"Active","Blocked",IF(I9&gt;=20,"Very High",IF(I9&gt;=8,"High",IF(I9&gt;=2,"Moderate","Low"))))</x:f>
        <x:v>Low</x:v>
      </x:c>
      <x:c r="K9" s="32" t="n">
        <x:f>IF(J9="Blocked",C9,IF(OR(J9="Very High",J9="High"),C9,IF(J9="Moderate",MAX(5,ROUND(C9*0.9/5,0)*5),MAX(5,ROUND(C9*0.8/5,0)*5))))</x:f>
        <x:v>75</x:v>
      </x:c>
      <x:c r="L9" s="32" t="n">
        <x:f>K9-C9</x:f>
        <x:v>-20</x:v>
      </x:c>
      <x:c r="M9" s="28" t="str">
        <x:f>IF(O9&lt;&gt;"Active","Blocked",IF(F9&gt;=20,"Surging",IF(F9&gt;=5,"Growing","Flat")))</x:f>
        <x:v>Flat</x:v>
      </x:c>
      <x:c r="N9" s="33" t="str">
        <x:f>IF(O9&lt;&gt;"Active","Resolve Facebook policy flag before pricing",IF(OR(J9="Very High",J9="High",M9="Surging"),"Hold price; strong demand signal",IF(AND(J9="Low",M9="Flat"),"Improve photo/title or bundle; consider post-sale reduction","Review after sale; modest reduction only if unsold")))</x:f>
        <x:v>Improve photo/title or bundle; consider post-sale reduction</x:v>
      </x:c>
      <x:c r="O9" s="28" t="str">
        <x:v>Active</x:v>
      </x:c>
    </x:row>
    <x:row r="10">
      <x:c r="A10" s="28" t="str">
        <x:v>Decor, Collectibles &amp; Books</x:v>
      </x:c>
      <x:c r="B10" s="33" t="str">
        <x:v>Estate Sale Bushnell PowerView 12x50 Binoculars</x:v>
      </x:c>
      <x:c r="C10" s="29" t="n">
        <x:v>40</x:v>
      </x:c>
      <x:c r="D10" s="28" t="n">
        <x:v>9</x:v>
      </x:c>
      <x:c r="E10" s="28" t="n">
        <x:v>21</x:v>
      </x:c>
      <x:c r="F10" s="28" t="n">
        <x:f>E10-D10</x:f>
        <x:v>12</x:v>
      </x:c>
      <x:c r="G10" s="30" t="n">
        <x:v>46247</x:v>
      </x:c>
      <x:c r="H10" s="28" t="n">
        <x:f>DATE(2026,8,14)-G10+1</x:f>
        <x:v>2</x:v>
      </x:c>
      <x:c r="I10" s="31" t="n">
        <x:f>IF(H10&gt;0,E10/H10,0)</x:f>
        <x:v>10.5</x:v>
      </x:c>
      <x:c r="J10" s="28" t="str">
        <x:f>IF(O10&lt;&gt;"Active","Blocked",IF(I10&gt;=20,"Very High",IF(I10&gt;=8,"High",IF(I10&gt;=2,"Moderate","Low"))))</x:f>
        <x:v>High</x:v>
      </x:c>
      <x:c r="K10" s="32" t="n">
        <x:f>IF(J10="Blocked",C10,IF(OR(J10="Very High",J10="High"),C10,IF(J10="Moderate",MAX(5,ROUND(C10*0.9/5,0)*5),MAX(5,ROUND(C10*0.8/5,0)*5))))</x:f>
        <x:v>40</x:v>
      </x:c>
      <x:c r="L10" s="32" t="n">
        <x:f>K10-C10</x:f>
        <x:v>0</x:v>
      </x:c>
      <x:c r="M10" s="28" t="str">
        <x:f>IF(O10&lt;&gt;"Active","Blocked",IF(F10&gt;=20,"Surging",IF(F10&gt;=5,"Growing","Flat")))</x:f>
        <x:v>Growing</x:v>
      </x:c>
      <x:c r="N10" s="33" t="str">
        <x:f>IF(O10&lt;&gt;"Active","Resolve Facebook policy flag before pricing",IF(OR(J10="Very High",J10="High",M10="Surging"),"Hold price; strong demand signal",IF(AND(J10="Low",M10="Flat"),"Improve photo/title or bundle; consider post-sale reduction","Review after sale; modest reduction only if unsold")))</x:f>
        <x:v>Hold price; strong demand signal</x:v>
      </x:c>
      <x:c r="O10" s="28" t="str">
        <x:v>Active</x:v>
      </x:c>
    </x:row>
    <x:row r="11">
      <x:c r="A11" s="28" t="str">
        <x:v>Decor, Collectibles &amp; Books</x:v>
      </x:c>
      <x:c r="B11" s="33" t="str">
        <x:v>Estate Sale Ceramic Kitchen &amp; Decor Pieces</x:v>
      </x:c>
      <x:c r="C11" s="29" t="n">
        <x:v>15</x:v>
      </x:c>
      <x:c r="D11" s="28" t="n">
        <x:v>15</x:v>
      </x:c>
      <x:c r="E11" s="28" t="n">
        <x:v>38</x:v>
      </x:c>
      <x:c r="F11" s="28" t="n">
        <x:f>E11-D11</x:f>
        <x:v>23</x:v>
      </x:c>
      <x:c r="G11" s="30" t="n">
        <x:v>46247</x:v>
      </x:c>
      <x:c r="H11" s="28" t="n">
        <x:f>DATE(2026,8,14)-G11+1</x:f>
        <x:v>2</x:v>
      </x:c>
      <x:c r="I11" s="31" t="n">
        <x:f>IF(H11&gt;0,E11/H11,0)</x:f>
        <x:v>19</x:v>
      </x:c>
      <x:c r="J11" s="28" t="str">
        <x:f>IF(O11&lt;&gt;"Active","Blocked",IF(I11&gt;=20,"Very High",IF(I11&gt;=8,"High",IF(I11&gt;=2,"Moderate","Low"))))</x:f>
        <x:v>High</x:v>
      </x:c>
      <x:c r="K11" s="32" t="n">
        <x:f>IF(J11="Blocked",C11,IF(OR(J11="Very High",J11="High"),C11,IF(J11="Moderate",MAX(5,ROUND(C11*0.9/5,0)*5),MAX(5,ROUND(C11*0.8/5,0)*5))))</x:f>
        <x:v>15</x:v>
      </x:c>
      <x:c r="L11" s="32" t="n">
        <x:f>K11-C11</x:f>
        <x:v>0</x:v>
      </x:c>
      <x:c r="M11" s="28" t="str">
        <x:f>IF(O11&lt;&gt;"Active","Blocked",IF(F11&gt;=20,"Surging",IF(F11&gt;=5,"Growing","Flat")))</x:f>
        <x:v>Surging</x:v>
      </x:c>
      <x:c r="N11" s="33" t="str">
        <x:f>IF(O11&lt;&gt;"Active","Resolve Facebook policy flag before pricing",IF(OR(J11="Very High",J11="High",M11="Surging"),"Hold price; strong demand signal",IF(AND(J11="Low",M11="Flat"),"Improve photo/title or bundle; consider post-sale reduction","Review after sale; modest reduction only if unsold")))</x:f>
        <x:v>Hold price; strong demand signal</x:v>
      </x:c>
      <x:c r="O11" s="28" t="str">
        <x:v>Active</x:v>
      </x:c>
    </x:row>
    <x:row r="12">
      <x:c r="A12" s="28" t="str">
        <x:v>Decor, Collectibles &amp; Books</x:v>
      </x:c>
      <x:c r="B12" s="33" t="str">
        <x:v>Estate Sale Collectibles &amp; Decor - $20 and Up</x:v>
      </x:c>
      <x:c r="C12" s="29" t="n">
        <x:v>20</x:v>
      </x:c>
      <x:c r="D12" s="28" t="n">
        <x:v>19</x:v>
      </x:c>
      <x:c r="E12" s="28" t="n">
        <x:v>27</x:v>
      </x:c>
      <x:c r="F12" s="28" t="n">
        <x:f>E12-D12</x:f>
        <x:v>8</x:v>
      </x:c>
      <x:c r="G12" s="30" t="n">
        <x:v>46245</x:v>
      </x:c>
      <x:c r="H12" s="28" t="n">
        <x:f>DATE(2026,8,14)-G12+1</x:f>
        <x:v>4</x:v>
      </x:c>
      <x:c r="I12" s="31" t="n">
        <x:f>IF(H12&gt;0,E12/H12,0)</x:f>
        <x:v>6.75</x:v>
      </x:c>
      <x:c r="J12" s="28" t="str">
        <x:f>IF(O12&lt;&gt;"Active","Blocked",IF(I12&gt;=20,"Very High",IF(I12&gt;=8,"High",IF(I12&gt;=2,"Moderate","Low"))))</x:f>
        <x:v>Moderate</x:v>
      </x:c>
      <x:c r="K12" s="32" t="n">
        <x:f>IF(J12="Blocked",C12,IF(OR(J12="Very High",J12="High"),C12,IF(J12="Moderate",MAX(5,ROUND(C12*0.9/5,0)*5),MAX(5,ROUND(C12*0.8/5,0)*5))))</x:f>
        <x:v>20</x:v>
      </x:c>
      <x:c r="L12" s="32" t="n">
        <x:f>K12-C12</x:f>
        <x:v>0</x:v>
      </x:c>
      <x:c r="M12" s="28" t="str">
        <x:f>IF(O12&lt;&gt;"Active","Blocked",IF(F12&gt;=20,"Surging",IF(F12&gt;=5,"Growing","Flat")))</x:f>
        <x:v>Growing</x:v>
      </x:c>
      <x:c r="N12" s="33" t="str">
        <x:f>IF(O12&lt;&gt;"Active","Resolve Facebook policy flag before pricing",IF(OR(J12="Very High",J12="High",M12="Surging"),"Hold price; strong demand signal",IF(AND(J12="Low",M12="Flat"),"Improve photo/title or bundle; consider post-sale reduction","Review after sale; modest reduction only if unsold")))</x:f>
        <x:v>Review after sale; modest reduction only if unsold</x:v>
      </x:c>
      <x:c r="O12" s="28" t="str">
        <x:v>Active</x:v>
      </x:c>
    </x:row>
    <x:row r="13">
      <x:c r="A13" s="28" t="str">
        <x:v>Kitchen &amp; Dining</x:v>
      </x:c>
      <x:c r="B13" s="33" t="str">
        <x:v>Estate Sale Cookware &amp; Small Appliances</x:v>
      </x:c>
      <x:c r="C13" s="29" t="n">
        <x:v>20</x:v>
      </x:c>
      <x:c r="D13" s="28" t="n">
        <x:v>2</x:v>
      </x:c>
      <x:c r="E13" s="28" t="n">
        <x:v>13</x:v>
      </x:c>
      <x:c r="F13" s="28" t="n">
        <x:f>E13-D13</x:f>
        <x:v>11</x:v>
      </x:c>
      <x:c r="G13" s="30" t="n">
        <x:v>46247</x:v>
      </x:c>
      <x:c r="H13" s="28" t="n">
        <x:f>DATE(2026,8,14)-G13+1</x:f>
        <x:v>2</x:v>
      </x:c>
      <x:c r="I13" s="31" t="n">
        <x:f>IF(H13&gt;0,E13/H13,0)</x:f>
        <x:v>6.5</x:v>
      </x:c>
      <x:c r="J13" s="28" t="str">
        <x:f>IF(O13&lt;&gt;"Active","Blocked",IF(I13&gt;=20,"Very High",IF(I13&gt;=8,"High",IF(I13&gt;=2,"Moderate","Low"))))</x:f>
        <x:v>Moderate</x:v>
      </x:c>
      <x:c r="K13" s="32" t="n">
        <x:f>IF(J13="Blocked",C13,IF(OR(J13="Very High",J13="High"),C13,IF(J13="Moderate",MAX(5,ROUND(C13*0.9/5,0)*5),MAX(5,ROUND(C13*0.8/5,0)*5))))</x:f>
        <x:v>20</x:v>
      </x:c>
      <x:c r="L13" s="32" t="n">
        <x:f>K13-C13</x:f>
        <x:v>0</x:v>
      </x:c>
      <x:c r="M13" s="28" t="str">
        <x:f>IF(O13&lt;&gt;"Active","Blocked",IF(F13&gt;=20,"Surging",IF(F13&gt;=5,"Growing","Flat")))</x:f>
        <x:v>Growing</x:v>
      </x:c>
      <x:c r="N13" s="33" t="str">
        <x:f>IF(O13&lt;&gt;"Active","Resolve Facebook policy flag before pricing",IF(OR(J13="Very High",J13="High",M13="Surging"),"Hold price; strong demand signal",IF(AND(J13="Low",M13="Flat"),"Improve photo/title or bundle; consider post-sale reduction","Review after sale; modest reduction only if unsold")))</x:f>
        <x:v>Review after sale; modest reduction only if unsold</x:v>
      </x:c>
      <x:c r="O13" s="28" t="str">
        <x:v>Active</x:v>
      </x:c>
    </x:row>
    <x:row r="14">
      <x:c r="A14" s="28" t="str">
        <x:v>Kitchen &amp; Dining</x:v>
      </x:c>
      <x:c r="B14" s="33" t="str">
        <x:v>Estate Sale Crystal &amp; Glassware Collection</x:v>
      </x:c>
      <x:c r="C14" s="29" t="n">
        <x:v>60</x:v>
      </x:c>
      <x:c r="D14" s="28" t="n">
        <x:v>1</x:v>
      </x:c>
      <x:c r="E14" s="28" t="n">
        <x:v>5</x:v>
      </x:c>
      <x:c r="F14" s="28" t="n">
        <x:f>E14-D14</x:f>
        <x:v>4</x:v>
      </x:c>
      <x:c r="G14" s="30" t="n">
        <x:v>46247</x:v>
      </x:c>
      <x:c r="H14" s="28" t="n">
        <x:f>DATE(2026,8,14)-G14+1</x:f>
        <x:v>2</x:v>
      </x:c>
      <x:c r="I14" s="31" t="n">
        <x:f>IF(H14&gt;0,E14/H14,0)</x:f>
        <x:v>2.5</x:v>
      </x:c>
      <x:c r="J14" s="28" t="str">
        <x:f>IF(O14&lt;&gt;"Active","Blocked",IF(I14&gt;=20,"Very High",IF(I14&gt;=8,"High",IF(I14&gt;=2,"Moderate","Low"))))</x:f>
        <x:v>Moderate</x:v>
      </x:c>
      <x:c r="K14" s="32" t="n">
        <x:f>IF(J14="Blocked",C14,IF(OR(J14="Very High",J14="High"),C14,IF(J14="Moderate",MAX(5,ROUND(C14*0.9/5,0)*5),MAX(5,ROUND(C14*0.8/5,0)*5))))</x:f>
        <x:v>55</x:v>
      </x:c>
      <x:c r="L14" s="32" t="n">
        <x:f>K14-C14</x:f>
        <x:v>-5</x:v>
      </x:c>
      <x:c r="M14" s="28" t="str">
        <x:f>IF(O14&lt;&gt;"Active","Blocked",IF(F14&gt;=20,"Surging",IF(F14&gt;=5,"Growing","Flat")))</x:f>
        <x:v>Flat</x:v>
      </x:c>
      <x:c r="N14" s="33" t="str">
        <x:f>IF(O14&lt;&gt;"Active","Resolve Facebook policy flag before pricing",IF(OR(J14="Very High",J14="High",M14="Surging"),"Hold price; strong demand signal",IF(AND(J14="Low",M14="Flat"),"Improve photo/title or bundle; consider post-sale reduction","Review after sale; modest reduction only if unsold")))</x:f>
        <x:v>Review after sale; modest reduction only if unsold</x:v>
      </x:c>
      <x:c r="O14" s="28" t="str">
        <x:v>Active</x:v>
      </x:c>
    </x:row>
    <x:row r="15">
      <x:c r="A15" s="28" t="str">
        <x:v>Kitchen &amp; Dining</x:v>
      </x:c>
      <x:c r="B15" s="33" t="str">
        <x:v>Estate Sale Decor &amp; Kitchen Pieces</x:v>
      </x:c>
      <x:c r="C15" s="29" t="n">
        <x:v>10</x:v>
      </x:c>
      <x:c r="D15" s="28" t="n">
        <x:v>4</x:v>
      </x:c>
      <x:c r="E15" s="28" t="n">
        <x:v>13</x:v>
      </x:c>
      <x:c r="F15" s="28" t="n">
        <x:f>E15-D15</x:f>
        <x:v>9</x:v>
      </x:c>
      <x:c r="G15" s="30" t="n">
        <x:v>46247</x:v>
      </x:c>
      <x:c r="H15" s="28" t="n">
        <x:f>DATE(2026,8,14)-G15+1</x:f>
        <x:v>2</x:v>
      </x:c>
      <x:c r="I15" s="31" t="n">
        <x:f>IF(H15&gt;0,E15/H15,0)</x:f>
        <x:v>6.5</x:v>
      </x:c>
      <x:c r="J15" s="28" t="str">
        <x:f>IF(O15&lt;&gt;"Active","Blocked",IF(I15&gt;=20,"Very High",IF(I15&gt;=8,"High",IF(I15&gt;=2,"Moderate","Low"))))</x:f>
        <x:v>Moderate</x:v>
      </x:c>
      <x:c r="K15" s="32" t="n">
        <x:f>IF(J15="Blocked",C15,IF(OR(J15="Very High",J15="High"),C15,IF(J15="Moderate",MAX(5,ROUND(C15*0.9/5,0)*5),MAX(5,ROUND(C15*0.8/5,0)*5))))</x:f>
        <x:v>10</x:v>
      </x:c>
      <x:c r="L15" s="32" t="n">
        <x:f>K15-C15</x:f>
        <x:v>0</x:v>
      </x:c>
      <x:c r="M15" s="28" t="str">
        <x:f>IF(O15&lt;&gt;"Active","Blocked",IF(F15&gt;=20,"Surging",IF(F15&gt;=5,"Growing","Flat")))</x:f>
        <x:v>Growing</x:v>
      </x:c>
      <x:c r="N15" s="33" t="str">
        <x:f>IF(O15&lt;&gt;"Active","Resolve Facebook policy flag before pricing",IF(OR(J15="Very High",J15="High",M15="Surging"),"Hold price; strong demand signal",IF(AND(J15="Low",M15="Flat"),"Improve photo/title or bundle; consider post-sale reduction","Review after sale; modest reduction only if unsold")))</x:f>
        <x:v>Review after sale; modest reduction only if unsold</x:v>
      </x:c>
      <x:c r="O15" s="28" t="str">
        <x:v>Active</x:v>
      </x:c>
    </x:row>
    <x:row r="16">
      <x:c r="A16" s="28" t="str">
        <x:v>Decor, Collectibles &amp; Books</x:v>
      </x:c>
      <x:c r="B16" s="33" t="str">
        <x:v>Estate Sale Decorative Figurine &amp; Music Box Collection</x:v>
      </x:c>
      <x:c r="C16" s="29" t="n">
        <x:v>60</x:v>
      </x:c>
      <x:c r="D16" s="28" t="n">
        <x:v>5</x:v>
      </x:c>
      <x:c r="E16" s="28" t="n">
        <x:v>11</x:v>
      </x:c>
      <x:c r="F16" s="28" t="n">
        <x:f>E16-D16</x:f>
        <x:v>6</x:v>
      </x:c>
      <x:c r="G16" s="30" t="n">
        <x:v>46246</x:v>
      </x:c>
      <x:c r="H16" s="28" t="n">
        <x:f>DATE(2026,8,14)-G16+1</x:f>
        <x:v>3</x:v>
      </x:c>
      <x:c r="I16" s="31" t="n">
        <x:f>IF(H16&gt;0,E16/H16,0)</x:f>
        <x:v>3.6666666666666665</x:v>
      </x:c>
      <x:c r="J16" s="28" t="str">
        <x:f>IF(O16&lt;&gt;"Active","Blocked",IF(I16&gt;=20,"Very High",IF(I16&gt;=8,"High",IF(I16&gt;=2,"Moderate","Low"))))</x:f>
        <x:v>Moderate</x:v>
      </x:c>
      <x:c r="K16" s="32" t="n">
        <x:f>IF(J16="Blocked",C16,IF(OR(J16="Very High",J16="High"),C16,IF(J16="Moderate",MAX(5,ROUND(C16*0.9/5,0)*5),MAX(5,ROUND(C16*0.8/5,0)*5))))</x:f>
        <x:v>55</x:v>
      </x:c>
      <x:c r="L16" s="32" t="n">
        <x:f>K16-C16</x:f>
        <x:v>-5</x:v>
      </x:c>
      <x:c r="M16" s="28" t="str">
        <x:f>IF(O16&lt;&gt;"Active","Blocked",IF(F16&gt;=20,"Surging",IF(F16&gt;=5,"Growing","Flat")))</x:f>
        <x:v>Growing</x:v>
      </x:c>
      <x:c r="N16" s="33" t="str">
        <x:f>IF(O16&lt;&gt;"Active","Resolve Facebook policy flag before pricing",IF(OR(J16="Very High",J16="High",M16="Surging"),"Hold price; strong demand signal",IF(AND(J16="Low",M16="Flat"),"Improve photo/title or bundle; consider post-sale reduction","Review after sale; modest reduction only if unsold")))</x:f>
        <x:v>Review after sale; modest reduction only if unsold</x:v>
      </x:c>
      <x:c r="O16" s="28" t="str">
        <x:v>Active</x:v>
      </x:c>
    </x:row>
    <x:row r="17">
      <x:c r="A17" s="28" t="str">
        <x:v>Furniture, Storage &amp; Lighting</x:v>
      </x:c>
      <x:c r="B17" s="33" t="str">
        <x:v>Estate Sale Furniture &amp; Lighting - $25 and Up</x:v>
      </x:c>
      <x:c r="C17" s="29" t="n">
        <x:v>25</x:v>
      </x:c>
      <x:c r="D17" s="28" t="n">
        <x:v>79</x:v>
      </x:c>
      <x:c r="E17" s="28" t="n">
        <x:v>103</x:v>
      </x:c>
      <x:c r="F17" s="28" t="n">
        <x:f>E17-D17</x:f>
        <x:v>24</x:v>
      </x:c>
      <x:c r="G17" s="30" t="n">
        <x:v>46245</x:v>
      </x:c>
      <x:c r="H17" s="28" t="n">
        <x:f>DATE(2026,8,14)-G17+1</x:f>
        <x:v>4</x:v>
      </x:c>
      <x:c r="I17" s="31" t="n">
        <x:f>IF(H17&gt;0,E17/H17,0)</x:f>
        <x:v>25.75</x:v>
      </x:c>
      <x:c r="J17" s="28" t="str">
        <x:f>IF(O17&lt;&gt;"Active","Blocked",IF(I17&gt;=20,"Very High",IF(I17&gt;=8,"High",IF(I17&gt;=2,"Moderate","Low"))))</x:f>
        <x:v>Very High</x:v>
      </x:c>
      <x:c r="K17" s="32" t="n">
        <x:f>IF(J17="Blocked",C17,IF(OR(J17="Very High",J17="High"),C17,IF(J17="Moderate",MAX(5,ROUND(C17*0.9/5,0)*5),MAX(5,ROUND(C17*0.8/5,0)*5))))</x:f>
        <x:v>25</x:v>
      </x:c>
      <x:c r="L17" s="32" t="n">
        <x:f>K17-C17</x:f>
        <x:v>0</x:v>
      </x:c>
      <x:c r="M17" s="28" t="str">
        <x:f>IF(O17&lt;&gt;"Active","Blocked",IF(F17&gt;=20,"Surging",IF(F17&gt;=5,"Growing","Flat")))</x:f>
        <x:v>Surging</x:v>
      </x:c>
      <x:c r="N17" s="33" t="str">
        <x:f>IF(O17&lt;&gt;"Active","Resolve Facebook policy flag before pricing",IF(OR(J17="Very High",J17="High",M17="Surging"),"Hold price; strong demand signal",IF(AND(J17="Low",M17="Flat"),"Improve photo/title or bundle; consider post-sale reduction","Review after sale; modest reduction only if unsold")))</x:f>
        <x:v>Hold price; strong demand signal</x:v>
      </x:c>
      <x:c r="O17" s="28" t="str">
        <x:v>Active</x:v>
      </x:c>
    </x:row>
    <x:row r="18">
      <x:c r="A18" s="28" t="str">
        <x:v>Decor, Collectibles &amp; Books</x:v>
      </x:c>
      <x:c r="B18" s="33" t="str">
        <x:v>Estate Sale Nurse &amp; Medical Collectible Figurine Lot</x:v>
      </x:c>
      <x:c r="C18" s="29" t="n">
        <x:v>45</x:v>
      </x:c>
      <x:c r="D18" s="28" t="n">
        <x:v>14</x:v>
      </x:c>
      <x:c r="E18" s="28" t="n">
        <x:v>27</x:v>
      </x:c>
      <x:c r="F18" s="28" t="n">
        <x:f>E18-D18</x:f>
        <x:v>13</x:v>
      </x:c>
      <x:c r="G18" s="30" t="n">
        <x:v>46246</x:v>
      </x:c>
      <x:c r="H18" s="28" t="n">
        <x:f>DATE(2026,8,14)-G18+1</x:f>
        <x:v>3</x:v>
      </x:c>
      <x:c r="I18" s="31" t="n">
        <x:f>IF(H18&gt;0,E18/H18,0)</x:f>
        <x:v>9</x:v>
      </x:c>
      <x:c r="J18" s="28" t="str">
        <x:f>IF(O18&lt;&gt;"Active","Blocked",IF(I18&gt;=20,"Very High",IF(I18&gt;=8,"High",IF(I18&gt;=2,"Moderate","Low"))))</x:f>
        <x:v>High</x:v>
      </x:c>
      <x:c r="K18" s="32" t="n">
        <x:f>IF(J18="Blocked",C18,IF(OR(J18="Very High",J18="High"),C18,IF(J18="Moderate",MAX(5,ROUND(C18*0.9/5,0)*5),MAX(5,ROUND(C18*0.8/5,0)*5))))</x:f>
        <x:v>45</x:v>
      </x:c>
      <x:c r="L18" s="32" t="n">
        <x:f>K18-C18</x:f>
        <x:v>0</x:v>
      </x:c>
      <x:c r="M18" s="28" t="str">
        <x:f>IF(O18&lt;&gt;"Active","Blocked",IF(F18&gt;=20,"Surging",IF(F18&gt;=5,"Growing","Flat")))</x:f>
        <x:v>Growing</x:v>
      </x:c>
      <x:c r="N18" s="33" t="str">
        <x:f>IF(O18&lt;&gt;"Active","Resolve Facebook policy flag before pricing",IF(OR(J18="Very High",J18="High",M18="Surging"),"Hold price; strong demand signal",IF(AND(J18="Low",M18="Flat"),"Improve photo/title or bundle; consider post-sale reduction","Review after sale; modest reduction only if unsold")))</x:f>
        <x:v>Hold price; strong demand signal</x:v>
      </x:c>
      <x:c r="O18" s="28" t="str">
        <x:v>Active</x:v>
      </x:c>
    </x:row>
    <x:row r="19">
      <x:c r="A19" s="28" t="str">
        <x:v>Decor, Collectibles &amp; Books</x:v>
      </x:c>
      <x:c r="B19" s="33" t="str">
        <x:v>Estate Sale Orioles Baseball &amp; Framed Prints</x:v>
      </x:c>
      <x:c r="C19" s="29" t="n">
        <x:v>15</x:v>
      </x:c>
      <x:c r="D19" s="28" t="n">
        <x:v>14</x:v>
      </x:c>
      <x:c r="E19" s="28" t="n">
        <x:v>35</x:v>
      </x:c>
      <x:c r="F19" s="28" t="n">
        <x:f>E19-D19</x:f>
        <x:v>21</x:v>
      </x:c>
      <x:c r="G19" s="30" t="n">
        <x:v>46247</x:v>
      </x:c>
      <x:c r="H19" s="28" t="n">
        <x:f>DATE(2026,8,14)-G19+1</x:f>
        <x:v>2</x:v>
      </x:c>
      <x:c r="I19" s="31" t="n">
        <x:f>IF(H19&gt;0,E19/H19,0)</x:f>
        <x:v>17.5</x:v>
      </x:c>
      <x:c r="J19" s="28" t="str">
        <x:f>IF(O19&lt;&gt;"Active","Blocked",IF(I19&gt;=20,"Very High",IF(I19&gt;=8,"High",IF(I19&gt;=2,"Moderate","Low"))))</x:f>
        <x:v>High</x:v>
      </x:c>
      <x:c r="K19" s="32" t="n">
        <x:f>IF(J19="Blocked",C19,IF(OR(J19="Very High",J19="High"),C19,IF(J19="Moderate",MAX(5,ROUND(C19*0.9/5,0)*5),MAX(5,ROUND(C19*0.8/5,0)*5))))</x:f>
        <x:v>15</x:v>
      </x:c>
      <x:c r="L19" s="32" t="n">
        <x:f>K19-C19</x:f>
        <x:v>0</x:v>
      </x:c>
      <x:c r="M19" s="28" t="str">
        <x:f>IF(O19&lt;&gt;"Active","Blocked",IF(F19&gt;=20,"Surging",IF(F19&gt;=5,"Growing","Flat")))</x:f>
        <x:v>Surging</x:v>
      </x:c>
      <x:c r="N19" s="33" t="str">
        <x:f>IF(O19&lt;&gt;"Active","Resolve Facebook policy flag before pricing",IF(OR(J19="Very High",J19="High",M19="Surging"),"Hold price; strong demand signal",IF(AND(J19="Low",M19="Flat"),"Improve photo/title or bundle; consider post-sale reduction","Review after sale; modest reduction only if unsold")))</x:f>
        <x:v>Hold price; strong demand signal</x:v>
      </x:c>
      <x:c r="O19" s="28" t="str">
        <x:v>Active</x:v>
      </x:c>
    </x:row>
    <x:row r="20">
      <x:c r="A20" s="28" t="str">
        <x:v>Kitchen &amp; Dining</x:v>
      </x:c>
      <x:c r="B20" s="33" t="str">
        <x:v>Estate Sale Poppytrail by Metlox Floral Dinnerware</x:v>
      </x:c>
      <x:c r="C20" s="29" t="n">
        <x:v>75</x:v>
      </x:c>
      <x:c r="D20" s="28" t="n">
        <x:v>2</x:v>
      </x:c>
      <x:c r="E20" s="28" t="n">
        <x:v>13</x:v>
      </x:c>
      <x:c r="F20" s="28" t="n">
        <x:f>E20-D20</x:f>
        <x:v>11</x:v>
      </x:c>
      <x:c r="G20" s="30" t="n">
        <x:v>46247</x:v>
      </x:c>
      <x:c r="H20" s="28" t="n">
        <x:f>DATE(2026,8,14)-G20+1</x:f>
        <x:v>2</x:v>
      </x:c>
      <x:c r="I20" s="31" t="n">
        <x:f>IF(H20&gt;0,E20/H20,0)</x:f>
        <x:v>6.5</x:v>
      </x:c>
      <x:c r="J20" s="28" t="str">
        <x:f>IF(O20&lt;&gt;"Active","Blocked",IF(I20&gt;=20,"Very High",IF(I20&gt;=8,"High",IF(I20&gt;=2,"Moderate","Low"))))</x:f>
        <x:v>Moderate</x:v>
      </x:c>
      <x:c r="K20" s="32" t="n">
        <x:f>IF(J20="Blocked",C20,IF(OR(J20="Very High",J20="High"),C20,IF(J20="Moderate",MAX(5,ROUND(C20*0.9/5,0)*5),MAX(5,ROUND(C20*0.8/5,0)*5))))</x:f>
        <x:v>70</x:v>
      </x:c>
      <x:c r="L20" s="32" t="n">
        <x:f>K20-C20</x:f>
        <x:v>-5</x:v>
      </x:c>
      <x:c r="M20" s="28" t="str">
        <x:f>IF(O20&lt;&gt;"Active","Blocked",IF(F20&gt;=20,"Surging",IF(F20&gt;=5,"Growing","Flat")))</x:f>
        <x:v>Growing</x:v>
      </x:c>
      <x:c r="N20" s="33" t="str">
        <x:f>IF(O20&lt;&gt;"Active","Resolve Facebook policy flag before pricing",IF(OR(J20="Very High",J20="High",M20="Surging"),"Hold price; strong demand signal",IF(AND(J20="Low",M20="Flat"),"Improve photo/title or bundle; consider post-sale reduction","Review after sale; modest reduction only if unsold")))</x:f>
        <x:v>Review after sale; modest reduction only if unsold</x:v>
      </x:c>
      <x:c r="O20" s="28" t="str">
        <x:v>Active</x:v>
      </x:c>
    </x:row>
    <x:row r="21">
      <x:c r="A21" s="28" t="str">
        <x:v>Decor, Collectibles &amp; Books</x:v>
      </x:c>
      <x:c r="B21" s="33" t="str">
        <x:v>Estate Sale Small Decor - $5 and Up</x:v>
      </x:c>
      <x:c r="C21" s="29" t="n">
        <x:v>5</x:v>
      </x:c>
      <x:c r="D21" s="28" t="n">
        <x:v>15</x:v>
      </x:c>
      <x:c r="E21" s="28" t="n">
        <x:v>19</x:v>
      </x:c>
      <x:c r="F21" s="28" t="n">
        <x:f>E21-D21</x:f>
        <x:v>4</x:v>
      </x:c>
      <x:c r="G21" s="30" t="n">
        <x:v>46245</x:v>
      </x:c>
      <x:c r="H21" s="28" t="n">
        <x:f>DATE(2026,8,14)-G21+1</x:f>
        <x:v>4</x:v>
      </x:c>
      <x:c r="I21" s="31" t="n">
        <x:f>IF(H21&gt;0,E21/H21,0)</x:f>
        <x:v>4.75</x:v>
      </x:c>
      <x:c r="J21" s="28" t="str">
        <x:f>IF(O21&lt;&gt;"Active","Blocked",IF(I21&gt;=20,"Very High",IF(I21&gt;=8,"High",IF(I21&gt;=2,"Moderate","Low"))))</x:f>
        <x:v>Moderate</x:v>
      </x:c>
      <x:c r="K21" s="32" t="n">
        <x:f>IF(J21="Blocked",C21,IF(OR(J21="Very High",J21="High"),C21,IF(J21="Moderate",MAX(5,ROUND(C21*0.9/5,0)*5),MAX(5,ROUND(C21*0.8/5,0)*5))))</x:f>
        <x:v>5</x:v>
      </x:c>
      <x:c r="L21" s="32" t="n">
        <x:f>K21-C21</x:f>
        <x:v>0</x:v>
      </x:c>
      <x:c r="M21" s="28" t="str">
        <x:f>IF(O21&lt;&gt;"Active","Blocked",IF(F21&gt;=20,"Surging",IF(F21&gt;=5,"Growing","Flat")))</x:f>
        <x:v>Flat</x:v>
      </x:c>
      <x:c r="N21" s="33" t="str">
        <x:f>IF(O21&lt;&gt;"Active","Resolve Facebook policy flag before pricing",IF(OR(J21="Very High",J21="High",M21="Surging"),"Hold price; strong demand signal",IF(AND(J21="Low",M21="Flat"),"Improve photo/title or bundle; consider post-sale reduction","Review after sale; modest reduction only if unsold")))</x:f>
        <x:v>Review after sale; modest reduction only if unsold</x:v>
      </x:c>
      <x:c r="O21" s="28" t="str">
        <x:v>Active</x:v>
      </x:c>
    </x:row>
    <x:row r="22">
      <x:c r="A22" s="28" t="str">
        <x:v>Health, Mobility &amp; Fitness</x:v>
      </x:c>
      <x:c r="B22" s="33" t="str">
        <x:v>Estate Sale Tony Little Gazelle Edge Exercise Glider</x:v>
      </x:c>
      <x:c r="C22" s="29" t="n">
        <x:v>50</x:v>
      </x:c>
      <x:c r="D22" s="28" t="n">
        <x:v>1</x:v>
      </x:c>
      <x:c r="E22" s="28" t="n">
        <x:v>8</x:v>
      </x:c>
      <x:c r="F22" s="28" t="n">
        <x:f>E22-D22</x:f>
        <x:v>7</x:v>
      </x:c>
      <x:c r="G22" s="30" t="n">
        <x:v>46247</x:v>
      </x:c>
      <x:c r="H22" s="28" t="n">
        <x:f>DATE(2026,8,14)-G22+1</x:f>
        <x:v>2</x:v>
      </x:c>
      <x:c r="I22" s="31" t="n">
        <x:f>IF(H22&gt;0,E22/H22,0)</x:f>
        <x:v>4</x:v>
      </x:c>
      <x:c r="J22" s="28" t="str">
        <x:f>IF(O22&lt;&gt;"Active","Blocked",IF(I22&gt;=20,"Very High",IF(I22&gt;=8,"High",IF(I22&gt;=2,"Moderate","Low"))))</x:f>
        <x:v>Moderate</x:v>
      </x:c>
      <x:c r="K22" s="32" t="n">
        <x:f>IF(J22="Blocked",C22,IF(OR(J22="Very High",J22="High"),C22,IF(J22="Moderate",MAX(5,ROUND(C22*0.9/5,0)*5),MAX(5,ROUND(C22*0.8/5,0)*5))))</x:f>
        <x:v>45</x:v>
      </x:c>
      <x:c r="L22" s="32" t="n">
        <x:f>K22-C22</x:f>
        <x:v>-5</x:v>
      </x:c>
      <x:c r="M22" s="28" t="str">
        <x:f>IF(O22&lt;&gt;"Active","Blocked",IF(F22&gt;=20,"Surging",IF(F22&gt;=5,"Growing","Flat")))</x:f>
        <x:v>Growing</x:v>
      </x:c>
      <x:c r="N22" s="33" t="str">
        <x:f>IF(O22&lt;&gt;"Active","Resolve Facebook policy flag before pricing",IF(OR(J22="Very High",J22="High",M22="Surging"),"Hold price; strong demand signal",IF(AND(J22="Low",M22="Flat"),"Improve photo/title or bundle; consider post-sale reduction","Review after sale; modest reduction only if unsold")))</x:f>
        <x:v>Review after sale; modest reduction only if unsold</x:v>
      </x:c>
      <x:c r="O22" s="28" t="str">
        <x:v>Active</x:v>
      </x:c>
    </x:row>
    <x:row r="23">
      <x:c r="A23" s="28" t="str">
        <x:v>Tools, Office &amp; Household</x:v>
      </x:c>
      <x:c r="B23" s="33" t="str">
        <x:v>Estate Sale Tools &amp; Useful Household Items</x:v>
      </x:c>
      <x:c r="C23" s="29" t="n">
        <x:v>10</x:v>
      </x:c>
      <x:c r="D23" s="28" t="n">
        <x:v>35</x:v>
      </x:c>
      <x:c r="E23" s="28" t="n">
        <x:v>210</x:v>
      </x:c>
      <x:c r="F23" s="28" t="n">
        <x:f>E23-D23</x:f>
        <x:v>175</x:v>
      </x:c>
      <x:c r="G23" s="30" t="n">
        <x:v>46247</x:v>
      </x:c>
      <x:c r="H23" s="28" t="n">
        <x:f>DATE(2026,8,14)-G23+1</x:f>
        <x:v>2</x:v>
      </x:c>
      <x:c r="I23" s="31" t="n">
        <x:f>IF(H23&gt;0,E23/H23,0)</x:f>
        <x:v>105</x:v>
      </x:c>
      <x:c r="J23" s="28" t="str">
        <x:f>IF(O23&lt;&gt;"Active","Blocked",IF(I23&gt;=20,"Very High",IF(I23&gt;=8,"High",IF(I23&gt;=2,"Moderate","Low"))))</x:f>
        <x:v>Very High</x:v>
      </x:c>
      <x:c r="K23" s="32" t="n">
        <x:f>IF(J23="Blocked",C23,IF(OR(J23="Very High",J23="High"),C23,IF(J23="Moderate",MAX(5,ROUND(C23*0.9/5,0)*5),MAX(5,ROUND(C23*0.8/5,0)*5))))</x:f>
        <x:v>10</x:v>
      </x:c>
      <x:c r="L23" s="32" t="n">
        <x:f>K23-C23</x:f>
        <x:v>0</x:v>
      </x:c>
      <x:c r="M23" s="28" t="str">
        <x:f>IF(O23&lt;&gt;"Active","Blocked",IF(F23&gt;=20,"Surging",IF(F23&gt;=5,"Growing","Flat")))</x:f>
        <x:v>Surging</x:v>
      </x:c>
      <x:c r="N23" s="33" t="str">
        <x:f>IF(O23&lt;&gt;"Active","Resolve Facebook policy flag before pricing",IF(OR(J23="Very High",J23="High",M23="Surging"),"Hold price; strong demand signal",IF(AND(J23="Low",M23="Flat"),"Improve photo/title or bundle; consider post-sale reduction","Review after sale; modest reduction only if unsold")))</x:f>
        <x:v>Hold price; strong demand signal</x:v>
      </x:c>
      <x:c r="O23" s="28" t="str">
        <x:v>Active</x:v>
      </x:c>
    </x:row>
    <x:row r="24">
      <x:c r="A24" s="28" t="str">
        <x:v>Furniture, Storage &amp; Lighting</x:v>
      </x:c>
      <x:c r="B24" s="33" t="str">
        <x:v>Estate Sale Western Figurines &amp; Oil Lamp Decor</x:v>
      </x:c>
      <x:c r="C24" s="29" t="n">
        <x:v>25</x:v>
      </x:c>
      <x:c r="D24" s="28" t="n">
        <x:v>2</x:v>
      </x:c>
      <x:c r="E24" s="28" t="n">
        <x:v>25</x:v>
      </x:c>
      <x:c r="F24" s="28" t="n">
        <x:f>E24-D24</x:f>
        <x:v>23</x:v>
      </x:c>
      <x:c r="G24" s="30" t="n">
        <x:v>46247</x:v>
      </x:c>
      <x:c r="H24" s="28" t="n">
        <x:f>DATE(2026,8,14)-G24+1</x:f>
        <x:v>2</x:v>
      </x:c>
      <x:c r="I24" s="31" t="n">
        <x:f>IF(H24&gt;0,E24/H24,0)</x:f>
        <x:v>12.5</x:v>
      </x:c>
      <x:c r="J24" s="28" t="str">
        <x:f>IF(O24&lt;&gt;"Active","Blocked",IF(I24&gt;=20,"Very High",IF(I24&gt;=8,"High",IF(I24&gt;=2,"Moderate","Low"))))</x:f>
        <x:v>High</x:v>
      </x:c>
      <x:c r="K24" s="32" t="n">
        <x:f>IF(J24="Blocked",C24,IF(OR(J24="Very High",J24="High"),C24,IF(J24="Moderate",MAX(5,ROUND(C24*0.9/5,0)*5),MAX(5,ROUND(C24*0.8/5,0)*5))))</x:f>
        <x:v>25</x:v>
      </x:c>
      <x:c r="L24" s="32" t="n">
        <x:f>K24-C24</x:f>
        <x:v>0</x:v>
      </x:c>
      <x:c r="M24" s="28" t="str">
        <x:f>IF(O24&lt;&gt;"Active","Blocked",IF(F24&gt;=20,"Surging",IF(F24&gt;=5,"Growing","Flat")))</x:f>
        <x:v>Surging</x:v>
      </x:c>
      <x:c r="N24" s="33" t="str">
        <x:f>IF(O24&lt;&gt;"Active","Resolve Facebook policy flag before pricing",IF(OR(J24="Very High",J24="High",M24="Surging"),"Hold price; strong demand signal",IF(AND(J24="Low",M24="Flat"),"Improve photo/title or bundle; consider post-sale reduction","Review after sale; modest reduction only if unsold")))</x:f>
        <x:v>Hold price; strong demand signal</x:v>
      </x:c>
      <x:c r="O24" s="28" t="str">
        <x:v>Active</x:v>
      </x:c>
    </x:row>
    <x:row r="25">
      <x:c r="A25" s="28" t="str">
        <x:v>Tools, Office &amp; Household</x:v>
      </x:c>
      <x:c r="B25" s="33" t="str">
        <x:v>First Alert Locking Fire/Water Document Chest with Keys</x:v>
      </x:c>
      <x:c r="C25" s="29" t="n">
        <x:v>35</x:v>
      </x:c>
      <x:c r="D25" s="28" t="n">
        <x:v>4</x:v>
      </x:c>
      <x:c r="E25" s="28" t="n">
        <x:v>7</x:v>
      </x:c>
      <x:c r="F25" s="28" t="n">
        <x:f>E25-D25</x:f>
        <x:v>3</x:v>
      </x:c>
      <x:c r="G25" s="30" t="n">
        <x:v>46247</x:v>
      </x:c>
      <x:c r="H25" s="28" t="n">
        <x:f>DATE(2026,8,14)-G25+1</x:f>
        <x:v>2</x:v>
      </x:c>
      <x:c r="I25" s="31" t="n">
        <x:f>IF(H25&gt;0,E25/H25,0)</x:f>
        <x:v>3.5</x:v>
      </x:c>
      <x:c r="J25" s="28" t="str">
        <x:f>IF(O25&lt;&gt;"Active","Blocked",IF(I25&gt;=20,"Very High",IF(I25&gt;=8,"High",IF(I25&gt;=2,"Moderate","Low"))))</x:f>
        <x:v>Moderate</x:v>
      </x:c>
      <x:c r="K25" s="32" t="n">
        <x:f>IF(J25="Blocked",C25,IF(OR(J25="Very High",J25="High"),C25,IF(J25="Moderate",MAX(5,ROUND(C25*0.9/5,0)*5),MAX(5,ROUND(C25*0.8/5,0)*5))))</x:f>
        <x:v>30</x:v>
      </x:c>
      <x:c r="L25" s="32" t="n">
        <x:f>K25-C25</x:f>
        <x:v>-5</x:v>
      </x:c>
      <x:c r="M25" s="28" t="str">
        <x:f>IF(O25&lt;&gt;"Active","Blocked",IF(F25&gt;=20,"Surging",IF(F25&gt;=5,"Growing","Flat")))</x:f>
        <x:v>Flat</x:v>
      </x:c>
      <x:c r="N25" s="33" t="str">
        <x:f>IF(O25&lt;&gt;"Active","Resolve Facebook policy flag before pricing",IF(OR(J25="Very High",J25="High",M25="Surging"),"Hold price; strong demand signal",IF(AND(J25="Low",M25="Flat"),"Improve photo/title or bundle; consider post-sale reduction","Review after sale; modest reduction only if unsold")))</x:f>
        <x:v>Review after sale; modest reduction only if unsold</x:v>
      </x:c>
      <x:c r="O25" s="28" t="str">
        <x:v>Active</x:v>
      </x:c>
    </x:row>
    <x:row r="26">
      <x:c r="A26" s="28" t="str">
        <x:v>Decor, Collectibles &amp; Books</x:v>
      </x:c>
      <x:c r="B26" s="33" t="str">
        <x:v>Floral Ceramic Decor Trio</x:v>
      </x:c>
      <x:c r="C26" s="29" t="n">
        <x:v>35</x:v>
      </x:c>
      <x:c r="D26" s="28" t="n">
        <x:v>6</x:v>
      </x:c>
      <x:c r="E26" s="28" t="n">
        <x:v>8</x:v>
      </x:c>
      <x:c r="F26" s="28" t="n">
        <x:f>E26-D26</x:f>
        <x:v>2</x:v>
      </x:c>
      <x:c r="G26" s="30" t="n">
        <x:v>46245</x:v>
      </x:c>
      <x:c r="H26" s="28" t="n">
        <x:f>DATE(2026,8,14)-G26+1</x:f>
        <x:v>4</x:v>
      </x:c>
      <x:c r="I26" s="31" t="n">
        <x:f>IF(H26&gt;0,E26/H26,0)</x:f>
        <x:v>2</x:v>
      </x:c>
      <x:c r="J26" s="28" t="str">
        <x:f>IF(O26&lt;&gt;"Active","Blocked",IF(I26&gt;=20,"Very High",IF(I26&gt;=8,"High",IF(I26&gt;=2,"Moderate","Low"))))</x:f>
        <x:v>Moderate</x:v>
      </x:c>
      <x:c r="K26" s="32" t="n">
        <x:f>IF(J26="Blocked",C26,IF(OR(J26="Very High",J26="High"),C26,IF(J26="Moderate",MAX(5,ROUND(C26*0.9/5,0)*5),MAX(5,ROUND(C26*0.8/5,0)*5))))</x:f>
        <x:v>30</x:v>
      </x:c>
      <x:c r="L26" s="32" t="n">
        <x:f>K26-C26</x:f>
        <x:v>-5</x:v>
      </x:c>
      <x:c r="M26" s="28" t="str">
        <x:f>IF(O26&lt;&gt;"Active","Blocked",IF(F26&gt;=20,"Surging",IF(F26&gt;=5,"Growing","Flat")))</x:f>
        <x:v>Flat</x:v>
      </x:c>
      <x:c r="N26" s="33" t="str">
        <x:f>IF(O26&lt;&gt;"Active","Resolve Facebook policy flag before pricing",IF(OR(J26="Very High",J26="High",M26="Surging"),"Hold price; strong demand signal",IF(AND(J26="Low",M26="Flat"),"Improve photo/title or bundle; consider post-sale reduction","Review after sale; modest reduction only if unsold")))</x:f>
        <x:v>Review after sale; modest reduction only if unsold</x:v>
      </x:c>
      <x:c r="O26" s="28" t="str">
        <x:v>Active</x:v>
      </x:c>
    </x:row>
    <x:row r="27">
      <x:c r="A27" s="28" t="str">
        <x:v>Tools, Office &amp; Household</x:v>
      </x:c>
      <x:c r="B27" s="33" t="str">
        <x:v>Folding Drying-Rack Pair</x:v>
      </x:c>
      <x:c r="C27" s="29" t="n">
        <x:v>25</x:v>
      </x:c>
      <x:c r="D27" s="28" t="n">
        <x:v>28</x:v>
      </x:c>
      <x:c r="E27" s="28" t="n">
        <x:v>55</x:v>
      </x:c>
      <x:c r="F27" s="28" t="n">
        <x:f>E27-D27</x:f>
        <x:v>27</x:v>
      </x:c>
      <x:c r="G27" s="30" t="n">
        <x:v>46244</x:v>
      </x:c>
      <x:c r="H27" s="28" t="n">
        <x:f>DATE(2026,8,14)-G27+1</x:f>
        <x:v>5</x:v>
      </x:c>
      <x:c r="I27" s="31" t="n">
        <x:f>IF(H27&gt;0,E27/H27,0)</x:f>
        <x:v>11</x:v>
      </x:c>
      <x:c r="J27" s="28" t="str">
        <x:f>IF(O27&lt;&gt;"Active","Blocked",IF(I27&gt;=20,"Very High",IF(I27&gt;=8,"High",IF(I27&gt;=2,"Moderate","Low"))))</x:f>
        <x:v>High</x:v>
      </x:c>
      <x:c r="K27" s="32" t="n">
        <x:f>IF(J27="Blocked",C27,IF(OR(J27="Very High",J27="High"),C27,IF(J27="Moderate",MAX(5,ROUND(C27*0.9/5,0)*5),MAX(5,ROUND(C27*0.8/5,0)*5))))</x:f>
        <x:v>25</x:v>
      </x:c>
      <x:c r="L27" s="32" t="n">
        <x:f>K27-C27</x:f>
        <x:v>0</x:v>
      </x:c>
      <x:c r="M27" s="28" t="str">
        <x:f>IF(O27&lt;&gt;"Active","Blocked",IF(F27&gt;=20,"Surging",IF(F27&gt;=5,"Growing","Flat")))</x:f>
        <x:v>Surging</x:v>
      </x:c>
      <x:c r="N27" s="33" t="str">
        <x:f>IF(O27&lt;&gt;"Active","Resolve Facebook policy flag before pricing",IF(OR(J27="Very High",J27="High",M27="Surging"),"Hold price; strong demand signal",IF(AND(J27="Low",M27="Flat"),"Improve photo/title or bundle; consider post-sale reduction","Review after sale; modest reduction only if unsold")))</x:f>
        <x:v>Hold price; strong demand signal</x:v>
      </x:c>
      <x:c r="O27" s="28" t="str">
        <x:v>Active</x:v>
      </x:c>
    </x:row>
    <x:row r="28">
      <x:c r="A28" s="28" t="str">
        <x:v>Furniture, Storage &amp; Lighting</x:v>
      </x:c>
      <x:c r="B28" s="33" t="str">
        <x:v>Folding Rollaway Bed with Mattress</x:v>
      </x:c>
      <x:c r="C28" s="29" t="n">
        <x:v>50</x:v>
      </x:c>
      <x:c r="D28" s="28" t="n">
        <x:v>40</x:v>
      </x:c>
      <x:c r="E28" s="28" t="n">
        <x:v>140</x:v>
      </x:c>
      <x:c r="F28" s="28" t="n">
        <x:f>E28-D28</x:f>
        <x:v>100</x:v>
      </x:c>
      <x:c r="G28" s="30" t="n">
        <x:v>46244</x:v>
      </x:c>
      <x:c r="H28" s="28" t="n">
        <x:f>DATE(2026,8,14)-G28+1</x:f>
        <x:v>5</x:v>
      </x:c>
      <x:c r="I28" s="31" t="n">
        <x:f>IF(H28&gt;0,E28/H28,0)</x:f>
        <x:v>28</x:v>
      </x:c>
      <x:c r="J28" s="28" t="str">
        <x:f>IF(O28&lt;&gt;"Active","Blocked",IF(I28&gt;=20,"Very High",IF(I28&gt;=8,"High",IF(I28&gt;=2,"Moderate","Low"))))</x:f>
        <x:v>Very High</x:v>
      </x:c>
      <x:c r="K28" s="32" t="n">
        <x:f>IF(J28="Blocked",C28,IF(OR(J28="Very High",J28="High"),C28,IF(J28="Moderate",MAX(5,ROUND(C28*0.9/5,0)*5),MAX(5,ROUND(C28*0.8/5,0)*5))))</x:f>
        <x:v>50</x:v>
      </x:c>
      <x:c r="L28" s="32" t="n">
        <x:f>K28-C28</x:f>
        <x:v>0</x:v>
      </x:c>
      <x:c r="M28" s="28" t="str">
        <x:f>IF(O28&lt;&gt;"Active","Blocked",IF(F28&gt;=20,"Surging",IF(F28&gt;=5,"Growing","Flat")))</x:f>
        <x:v>Surging</x:v>
      </x:c>
      <x:c r="N28" s="33" t="str">
        <x:f>IF(O28&lt;&gt;"Active","Resolve Facebook policy flag before pricing",IF(OR(J28="Very High",J28="High",M28="Surging"),"Hold price; strong demand signal",IF(AND(J28="Low",M28="Flat"),"Improve photo/title or bundle; consider post-sale reduction","Review after sale; modest reduction only if unsold")))</x:f>
        <x:v>Hold price; strong demand signal</x:v>
      </x:c>
      <x:c r="O28" s="28" t="str">
        <x:v>Active</x:v>
      </x:c>
    </x:row>
    <x:row r="29">
      <x:c r="A29" s="28" t="str">
        <x:v>Health, Mobility &amp; Fitness</x:v>
      </x:c>
      <x:c r="B29" s="33" t="str">
        <x:v>Folding Walker with Front Wheels</x:v>
      </x:c>
      <x:c r="C29" s="29" t="n">
        <x:v>20</x:v>
      </x:c>
      <x:c r="D29" s="28" t="n">
        <x:v>0</x:v>
      </x:c>
      <x:c r="E29" s="28" t="n">
        <x:v>0</x:v>
      </x:c>
      <x:c r="F29" s="28" t="n">
        <x:f>E29-D29</x:f>
        <x:v>0</x:v>
      </x:c>
      <x:c r="G29" s="30" t="n">
        <x:v>46244</x:v>
      </x:c>
      <x:c r="H29" s="28" t="n">
        <x:f>DATE(2026,8,14)-G29+1</x:f>
        <x:v>5</x:v>
      </x:c>
      <x:c r="I29" s="31" t="n">
        <x:f>IF(H29&gt;0,E29/H29,0)</x:f>
        <x:v>0</x:v>
      </x:c>
      <x:c r="J29" s="28" t="str">
        <x:f>IF(O29&lt;&gt;"Active","Blocked",IF(I29&gt;=20,"Very High",IF(I29&gt;=8,"High",IF(I29&gt;=2,"Moderate","Low"))))</x:f>
        <x:v>Blocked</x:v>
      </x:c>
      <x:c r="K29" s="32" t="n">
        <x:f>IF(J29="Blocked",C29,IF(OR(J29="Very High",J29="High"),C29,IF(J29="Moderate",MAX(5,ROUND(C29*0.9/5,0)*5),MAX(5,ROUND(C29*0.8/5,0)*5))))</x:f>
        <x:v>20</x:v>
      </x:c>
      <x:c r="L29" s="32" t="n">
        <x:f>K29-C29</x:f>
        <x:v>0</x:v>
      </x:c>
      <x:c r="M29" s="28" t="str">
        <x:f>IF(O29&lt;&gt;"Active","Blocked",IF(F29&gt;=20,"Surging",IF(F29&gt;=5,"Growing","Flat")))</x:f>
        <x:v>Blocked</x:v>
      </x:c>
      <x:c r="N29" s="33" t="str">
        <x:f>IF(O29&lt;&gt;"Active","Resolve Facebook policy flag before pricing",IF(OR(J29="Very High",J29="High",M29="Surging"),"Hold price; strong demand signal",IF(AND(J29="Low",M29="Flat"),"Improve photo/title or bundle; consider post-sale reduction","Review after sale; modest reduction only if unsold")))</x:f>
        <x:v>Resolve Facebook policy flag before pricing</x:v>
      </x:c>
      <x:c r="O29" s="28" t="str">
        <x:v>Needs attention</x:v>
      </x:c>
    </x:row>
    <x:row r="30">
      <x:c r="A30" s="28" t="str">
        <x:v>Tools, Office &amp; Household</x:v>
      </x:c>
      <x:c r="B30" s="33" t="str">
        <x:v>Four-Tier Basket Shelf</x:v>
      </x:c>
      <x:c r="C30" s="29" t="n">
        <x:v>20</x:v>
      </x:c>
      <x:c r="D30" s="28" t="n">
        <x:v>35</x:v>
      </x:c>
      <x:c r="E30" s="28" t="n">
        <x:v>60</x:v>
      </x:c>
      <x:c r="F30" s="28" t="n">
        <x:f>E30-D30</x:f>
        <x:v>25</x:v>
      </x:c>
      <x:c r="G30" s="30" t="n">
        <x:v>46244</x:v>
      </x:c>
      <x:c r="H30" s="28" t="n">
        <x:f>DATE(2026,8,14)-G30+1</x:f>
        <x:v>5</x:v>
      </x:c>
      <x:c r="I30" s="31" t="n">
        <x:f>IF(H30&gt;0,E30/H30,0)</x:f>
        <x:v>12</x:v>
      </x:c>
      <x:c r="J30" s="28" t="str">
        <x:f>IF(O30&lt;&gt;"Active","Blocked",IF(I30&gt;=20,"Very High",IF(I30&gt;=8,"High",IF(I30&gt;=2,"Moderate","Low"))))</x:f>
        <x:v>High</x:v>
      </x:c>
      <x:c r="K30" s="32" t="n">
        <x:f>IF(J30="Blocked",C30,IF(OR(J30="Very High",J30="High"),C30,IF(J30="Moderate",MAX(5,ROUND(C30*0.9/5,0)*5),MAX(5,ROUND(C30*0.8/5,0)*5))))</x:f>
        <x:v>20</x:v>
      </x:c>
      <x:c r="L30" s="32" t="n">
        <x:f>K30-C30</x:f>
        <x:v>0</x:v>
      </x:c>
      <x:c r="M30" s="28" t="str">
        <x:f>IF(O30&lt;&gt;"Active","Blocked",IF(F30&gt;=20,"Surging",IF(F30&gt;=5,"Growing","Flat")))</x:f>
        <x:v>Surging</x:v>
      </x:c>
      <x:c r="N30" s="33" t="str">
        <x:f>IF(O30&lt;&gt;"Active","Resolve Facebook policy flag before pricing",IF(OR(J30="Very High",J30="High",M30="Surging"),"Hold price; strong demand signal",IF(AND(J30="Low",M30="Flat"),"Improve photo/title or bundle; consider post-sale reduction","Review after sale; modest reduction only if unsold")))</x:f>
        <x:v>Hold price; strong demand signal</x:v>
      </x:c>
      <x:c r="O30" s="28" t="str">
        <x:v>Active</x:v>
      </x:c>
    </x:row>
    <x:row r="31">
      <x:c r="A31" s="28" t="str">
        <x:v>Decor, Collectibles &amp; Books</x:v>
      </x:c>
      <x:c r="B31" s="33" t="str">
        <x:v>Franklin Mint Gone With the Wind Collectible Lot</x:v>
      </x:c>
      <x:c r="C31" s="29" t="n">
        <x:v>175</x:v>
      </x:c>
      <x:c r="D31" s="28" t="n">
        <x:v>50</x:v>
      </x:c>
      <x:c r="E31" s="28" t="n">
        <x:v>114</x:v>
      </x:c>
      <x:c r="F31" s="28" t="n">
        <x:f>E31-D31</x:f>
        <x:v>64</x:v>
      </x:c>
      <x:c r="G31" s="30" t="n">
        <x:v>46245</x:v>
      </x:c>
      <x:c r="H31" s="28" t="n">
        <x:f>DATE(2026,8,14)-G31+1</x:f>
        <x:v>4</x:v>
      </x:c>
      <x:c r="I31" s="31" t="n">
        <x:f>IF(H31&gt;0,E31/H31,0)</x:f>
        <x:v>28.5</x:v>
      </x:c>
      <x:c r="J31" s="28" t="str">
        <x:f>IF(O31&lt;&gt;"Active","Blocked",IF(I31&gt;=20,"Very High",IF(I31&gt;=8,"High",IF(I31&gt;=2,"Moderate","Low"))))</x:f>
        <x:v>Very High</x:v>
      </x:c>
      <x:c r="K31" s="32" t="n">
        <x:f>IF(J31="Blocked",C31,IF(OR(J31="Very High",J31="High"),C31,IF(J31="Moderate",MAX(5,ROUND(C31*0.9/5,0)*5),MAX(5,ROUND(C31*0.8/5,0)*5))))</x:f>
        <x:v>175</x:v>
      </x:c>
      <x:c r="L31" s="32" t="n">
        <x:f>K31-C31</x:f>
        <x:v>0</x:v>
      </x:c>
      <x:c r="M31" s="28" t="str">
        <x:f>IF(O31&lt;&gt;"Active","Blocked",IF(F31&gt;=20,"Surging",IF(F31&gt;=5,"Growing","Flat")))</x:f>
        <x:v>Surging</x:v>
      </x:c>
      <x:c r="N31" s="33" t="str">
        <x:f>IF(O31&lt;&gt;"Active","Resolve Facebook policy flag before pricing",IF(OR(J31="Very High",J31="High",M31="Surging"),"Hold price; strong demand signal",IF(AND(J31="Low",M31="Flat"),"Improve photo/title or bundle; consider post-sale reduction","Review after sale; modest reduction only if unsold")))</x:f>
        <x:v>Hold price; strong demand signal</x:v>
      </x:c>
      <x:c r="O31" s="28" t="str">
        <x:v>Active</x:v>
      </x:c>
    </x:row>
    <x:row r="32">
      <x:c r="A32" s="28" t="str">
        <x:v>Appliances</x:v>
      </x:c>
      <x:c r="B32" s="33" t="str">
        <x:v>Frigidaire Top-Freezer Refrigerator</x:v>
      </x:c>
      <x:c r="C32" s="29" t="n">
        <x:v>125</x:v>
      </x:c>
      <x:c r="D32" s="28" t="n">
        <x:v>94</x:v>
      </x:c>
      <x:c r="E32" s="28" t="n">
        <x:v>177</x:v>
      </x:c>
      <x:c r="F32" s="28" t="n">
        <x:f>E32-D32</x:f>
        <x:v>83</x:v>
      </x:c>
      <x:c r="G32" s="30" t="n">
        <x:v>46244</x:v>
      </x:c>
      <x:c r="H32" s="28" t="n">
        <x:f>DATE(2026,8,14)-G32+1</x:f>
        <x:v>5</x:v>
      </x:c>
      <x:c r="I32" s="31" t="n">
        <x:f>IF(H32&gt;0,E32/H32,0)</x:f>
        <x:v>35.4</x:v>
      </x:c>
      <x:c r="J32" s="28" t="str">
        <x:f>IF(O32&lt;&gt;"Active","Blocked",IF(I32&gt;=20,"Very High",IF(I32&gt;=8,"High",IF(I32&gt;=2,"Moderate","Low"))))</x:f>
        <x:v>Very High</x:v>
      </x:c>
      <x:c r="K32" s="32" t="n">
        <x:f>IF(J32="Blocked",C32,IF(OR(J32="Very High",J32="High"),C32,IF(J32="Moderate",MAX(5,ROUND(C32*0.9/5,0)*5),MAX(5,ROUND(C32*0.8/5,0)*5))))</x:f>
        <x:v>125</x:v>
      </x:c>
      <x:c r="L32" s="32" t="n">
        <x:f>K32-C32</x:f>
        <x:v>0</x:v>
      </x:c>
      <x:c r="M32" s="28" t="str">
        <x:f>IF(O32&lt;&gt;"Active","Blocked",IF(F32&gt;=20,"Surging",IF(F32&gt;=5,"Growing","Flat")))</x:f>
        <x:v>Surging</x:v>
      </x:c>
      <x:c r="N32" s="33" t="str">
        <x:f>IF(O32&lt;&gt;"Active","Resolve Facebook policy flag before pricing",IF(OR(J32="Very High",J32="High",M32="Surging"),"Hold price; strong demand signal",IF(AND(J32="Low",M32="Flat"),"Improve photo/title or bundle; consider post-sale reduction","Review after sale; modest reduction only if unsold")))</x:f>
        <x:v>Hold price; strong demand signal</x:v>
      </x:c>
      <x:c r="O32" s="28" t="str">
        <x:v>Active</x:v>
      </x:c>
    </x:row>
    <x:row r="33">
      <x:c r="A33" s="28" t="str">
        <x:v>Furniture, Storage &amp; Lighting</x:v>
      </x:c>
      <x:c r="B33" s="33" t="str">
        <x:v>Fruit Decor and Green Oil-Lamp-Style Piece</x:v>
      </x:c>
      <x:c r="C33" s="29" t="n">
        <x:v>25</x:v>
      </x:c>
      <x:c r="D33" s="28" t="n">
        <x:v>9</x:v>
      </x:c>
      <x:c r="E33" s="28" t="n">
        <x:v>11</x:v>
      </x:c>
      <x:c r="F33" s="28" t="n">
        <x:f>E33-D33</x:f>
        <x:v>2</x:v>
      </x:c>
      <x:c r="G33" s="30" t="n">
        <x:v>46244</x:v>
      </x:c>
      <x:c r="H33" s="28" t="n">
        <x:f>DATE(2026,8,14)-G33+1</x:f>
        <x:v>5</x:v>
      </x:c>
      <x:c r="I33" s="31" t="n">
        <x:f>IF(H33&gt;0,E33/H33,0)</x:f>
        <x:v>2.2</x:v>
      </x:c>
      <x:c r="J33" s="28" t="str">
        <x:f>IF(O33&lt;&gt;"Active","Blocked",IF(I33&gt;=20,"Very High",IF(I33&gt;=8,"High",IF(I33&gt;=2,"Moderate","Low"))))</x:f>
        <x:v>Moderate</x:v>
      </x:c>
      <x:c r="K33" s="32" t="n">
        <x:f>IF(J33="Blocked",C33,IF(OR(J33="Very High",J33="High"),C33,IF(J33="Moderate",MAX(5,ROUND(C33*0.9/5,0)*5),MAX(5,ROUND(C33*0.8/5,0)*5))))</x:f>
        <x:v>25</x:v>
      </x:c>
      <x:c r="L33" s="32" t="n">
        <x:f>K33-C33</x:f>
        <x:v>0</x:v>
      </x:c>
      <x:c r="M33" s="28" t="str">
        <x:f>IF(O33&lt;&gt;"Active","Blocked",IF(F33&gt;=20,"Surging",IF(F33&gt;=5,"Growing","Flat")))</x:f>
        <x:v>Flat</x:v>
      </x:c>
      <x:c r="N33" s="33" t="str">
        <x:f>IF(O33&lt;&gt;"Active","Resolve Facebook policy flag before pricing",IF(OR(J33="Very High",J33="High",M33="Surging"),"Hold price; strong demand signal",IF(AND(J33="Low",M33="Flat"),"Improve photo/title or bundle; consider post-sale reduction","Review after sale; modest reduction only if unsold")))</x:f>
        <x:v>Review after sale; modest reduction only if unsold</x:v>
      </x:c>
      <x:c r="O33" s="28" t="str">
        <x:v>Active</x:v>
      </x:c>
    </x:row>
    <x:row r="34">
      <x:c r="A34" s="28" t="str">
        <x:v>Clothing &amp; Accessories</x:v>
      </x:c>
      <x:c r="B34" s="33" t="str">
        <x:v>Fur-Look Cape or Coat</x:v>
      </x:c>
      <x:c r="C34" s="29" t="n">
        <x:v>40</x:v>
      </x:c>
      <x:c r="D34" s="28" t="n">
        <x:v>17</x:v>
      </x:c>
      <x:c r="E34" s="28" t="n">
        <x:v>25</x:v>
      </x:c>
      <x:c r="F34" s="28" t="n">
        <x:f>E34-D34</x:f>
        <x:v>8</x:v>
      </x:c>
      <x:c r="G34" s="30" t="n">
        <x:v>46244</x:v>
      </x:c>
      <x:c r="H34" s="28" t="n">
        <x:f>DATE(2026,8,14)-G34+1</x:f>
        <x:v>5</x:v>
      </x:c>
      <x:c r="I34" s="31" t="n">
        <x:f>IF(H34&gt;0,E34/H34,0)</x:f>
        <x:v>5</x:v>
      </x:c>
      <x:c r="J34" s="28" t="str">
        <x:f>IF(O34&lt;&gt;"Active","Blocked",IF(I34&gt;=20,"Very High",IF(I34&gt;=8,"High",IF(I34&gt;=2,"Moderate","Low"))))</x:f>
        <x:v>Moderate</x:v>
      </x:c>
      <x:c r="K34" s="32" t="n">
        <x:f>IF(J34="Blocked",C34,IF(OR(J34="Very High",J34="High"),C34,IF(J34="Moderate",MAX(5,ROUND(C34*0.9/5,0)*5),MAX(5,ROUND(C34*0.8/5,0)*5))))</x:f>
        <x:v>35</x:v>
      </x:c>
      <x:c r="L34" s="32" t="n">
        <x:f>K34-C34</x:f>
        <x:v>-5</x:v>
      </x:c>
      <x:c r="M34" s="28" t="str">
        <x:f>IF(O34&lt;&gt;"Active","Blocked",IF(F34&gt;=20,"Surging",IF(F34&gt;=5,"Growing","Flat")))</x:f>
        <x:v>Growing</x:v>
      </x:c>
      <x:c r="N34" s="33" t="str">
        <x:f>IF(O34&lt;&gt;"Active","Resolve Facebook policy flag before pricing",IF(OR(J34="Very High",J34="High",M34="Surging"),"Hold price; strong demand signal",IF(AND(J34="Low",M34="Flat"),"Improve photo/title or bundle; consider post-sale reduction","Review after sale; modest reduction only if unsold")))</x:f>
        <x:v>Review after sale; modest reduction only if unsold</x:v>
      </x:c>
      <x:c r="O34" s="28" t="str">
        <x:v>Active</x:v>
      </x:c>
    </x:row>
    <x:row r="35">
      <x:c r="A35" s="28" t="str">
        <x:v>Appliances</x:v>
      </x:c>
      <x:c r="B35" s="33" t="str">
        <x:v>GE Countertop Microwave</x:v>
      </x:c>
      <x:c r="C35" s="29" t="n">
        <x:v>30</x:v>
      </x:c>
      <x:c r="D35" s="28" t="n">
        <x:v>26</x:v>
      </x:c>
      <x:c r="E35" s="28" t="n">
        <x:v>35</x:v>
      </x:c>
      <x:c r="F35" s="28" t="n">
        <x:f>E35-D35</x:f>
        <x:v>9</x:v>
      </x:c>
      <x:c r="G35" s="30" t="n">
        <x:v>46244</x:v>
      </x:c>
      <x:c r="H35" s="28" t="n">
        <x:f>DATE(2026,8,14)-G35+1</x:f>
        <x:v>5</x:v>
      </x:c>
      <x:c r="I35" s="31" t="n">
        <x:f>IF(H35&gt;0,E35/H35,0)</x:f>
        <x:v>7</x:v>
      </x:c>
      <x:c r="J35" s="28" t="str">
        <x:f>IF(O35&lt;&gt;"Active","Blocked",IF(I35&gt;=20,"Very High",IF(I35&gt;=8,"High",IF(I35&gt;=2,"Moderate","Low"))))</x:f>
        <x:v>Moderate</x:v>
      </x:c>
      <x:c r="K35" s="32" t="n">
        <x:f>IF(J35="Blocked",C35,IF(OR(J35="Very High",J35="High"),C35,IF(J35="Moderate",MAX(5,ROUND(C35*0.9/5,0)*5),MAX(5,ROUND(C35*0.8/5,0)*5))))</x:f>
        <x:v>25</x:v>
      </x:c>
      <x:c r="L35" s="32" t="n">
        <x:f>K35-C35</x:f>
        <x:v>-5</x:v>
      </x:c>
      <x:c r="M35" s="28" t="str">
        <x:f>IF(O35&lt;&gt;"Active","Blocked",IF(F35&gt;=20,"Surging",IF(F35&gt;=5,"Growing","Flat")))</x:f>
        <x:v>Growing</x:v>
      </x:c>
      <x:c r="N35" s="33" t="str">
        <x:f>IF(O35&lt;&gt;"Active","Resolve Facebook policy flag before pricing",IF(OR(J35="Very High",J35="High",M35="Surging"),"Hold price; strong demand signal",IF(AND(J35="Low",M35="Flat"),"Improve photo/title or bundle; consider post-sale reduction","Review after sale; modest reduction only if unsold")))</x:f>
        <x:v>Review after sale; modest reduction only if unsold</x:v>
      </x:c>
      <x:c r="O35" s="28" t="str">
        <x:v>Active</x:v>
      </x:c>
    </x:row>
    <x:row r="36">
      <x:c r="A36" s="28" t="str">
        <x:v>Decor, Collectibles &amp; Books</x:v>
      </x:c>
      <x:c r="B36" s="33" t="str">
        <x:v>Gone With the Wind Playing Card Set</x:v>
      </x:c>
      <x:c r="C36" s="29" t="n">
        <x:v>20</x:v>
      </x:c>
      <x:c r="D36" s="28" t="n">
        <x:v>2</x:v>
      </x:c>
      <x:c r="E36" s="28" t="n">
        <x:v>2</x:v>
      </x:c>
      <x:c r="F36" s="28" t="n">
        <x:f>E36-D36</x:f>
        <x:v>0</x:v>
      </x:c>
      <x:c r="G36" s="30" t="n">
        <x:v>46245</x:v>
      </x:c>
      <x:c r="H36" s="28" t="n">
        <x:f>DATE(2026,8,14)-G36+1</x:f>
        <x:v>4</x:v>
      </x:c>
      <x:c r="I36" s="31" t="n">
        <x:f>IF(H36&gt;0,E36/H36,0)</x:f>
        <x:v>0.5</x:v>
      </x:c>
      <x:c r="J36" s="28" t="str">
        <x:f>IF(O36&lt;&gt;"Active","Blocked",IF(I36&gt;=20,"Very High",IF(I36&gt;=8,"High",IF(I36&gt;=2,"Moderate","Low"))))</x:f>
        <x:v>Low</x:v>
      </x:c>
      <x:c r="K36" s="32" t="n">
        <x:f>IF(J36="Blocked",C36,IF(OR(J36="Very High",J36="High"),C36,IF(J36="Moderate",MAX(5,ROUND(C36*0.9/5,0)*5),MAX(5,ROUND(C36*0.8/5,0)*5))))</x:f>
        <x:v>15</x:v>
      </x:c>
      <x:c r="L36" s="32" t="n">
        <x:f>K36-C36</x:f>
        <x:v>-5</x:v>
      </x:c>
      <x:c r="M36" s="28" t="str">
        <x:f>IF(O36&lt;&gt;"Active","Blocked",IF(F36&gt;=20,"Surging",IF(F36&gt;=5,"Growing","Flat")))</x:f>
        <x:v>Flat</x:v>
      </x:c>
      <x:c r="N36" s="33" t="str">
        <x:f>IF(O36&lt;&gt;"Active","Resolve Facebook policy flag before pricing",IF(OR(J36="Very High",J36="High",M36="Surging"),"Hold price; strong demand signal",IF(AND(J36="Low",M36="Flat"),"Improve photo/title or bundle; consider post-sale reduction","Review after sale; modest reduction only if unsold")))</x:f>
        <x:v>Improve photo/title or bundle; consider post-sale reduction</x:v>
      </x:c>
      <x:c r="O36" s="28" t="str">
        <x:v>Active</x:v>
      </x:c>
    </x:row>
    <x:row r="37">
      <x:c r="A37" s="28" t="str">
        <x:v>Kitchen &amp; Dining</x:v>
      </x:c>
      <x:c r="B37" s="33" t="str">
        <x:v>Green Frog Children's Plate</x:v>
      </x:c>
      <x:c r="C37" s="29" t="n">
        <x:v>5</x:v>
      </x:c>
      <x:c r="D37" s="28" t="n">
        <x:v>5</x:v>
      </x:c>
      <x:c r="E37" s="28" t="n">
        <x:v>7</x:v>
      </x:c>
      <x:c r="F37" s="28" t="n">
        <x:f>E37-D37</x:f>
        <x:v>2</x:v>
      </x:c>
      <x:c r="G37" s="30" t="n">
        <x:v>46245</x:v>
      </x:c>
      <x:c r="H37" s="28" t="n">
        <x:f>DATE(2026,8,14)-G37+1</x:f>
        <x:v>4</x:v>
      </x:c>
      <x:c r="I37" s="31" t="n">
        <x:f>IF(H37&gt;0,E37/H37,0)</x:f>
        <x:v>1.75</x:v>
      </x:c>
      <x:c r="J37" s="28" t="str">
        <x:f>IF(O37&lt;&gt;"Active","Blocked",IF(I37&gt;=20,"Very High",IF(I37&gt;=8,"High",IF(I37&gt;=2,"Moderate","Low"))))</x:f>
        <x:v>Low</x:v>
      </x:c>
      <x:c r="K37" s="32" t="n">
        <x:f>IF(J37="Blocked",C37,IF(OR(J37="Very High",J37="High"),C37,IF(J37="Moderate",MAX(5,ROUND(C37*0.9/5,0)*5),MAX(5,ROUND(C37*0.8/5,0)*5))))</x:f>
        <x:v>5</x:v>
      </x:c>
      <x:c r="L37" s="32" t="n">
        <x:f>K37-C37</x:f>
        <x:v>0</x:v>
      </x:c>
      <x:c r="M37" s="28" t="str">
        <x:f>IF(O37&lt;&gt;"Active","Blocked",IF(F37&gt;=20,"Surging",IF(F37&gt;=5,"Growing","Flat")))</x:f>
        <x:v>Flat</x:v>
      </x:c>
      <x:c r="N37" s="33" t="str">
        <x:f>IF(O37&lt;&gt;"Active","Resolve Facebook policy flag before pricing",IF(OR(J37="Very High",J37="High",M37="Surging"),"Hold price; strong demand signal",IF(AND(J37="Low",M37="Flat"),"Improve photo/title or bundle; consider post-sale reduction","Review after sale; modest reduction only if unsold")))</x:f>
        <x:v>Improve photo/title or bundle; consider post-sale reduction</x:v>
      </x:c>
      <x:c r="O37" s="28" t="str">
        <x:v>Active</x:v>
      </x:c>
    </x:row>
    <x:row r="38">
      <x:c r="A38" s="28" t="str">
        <x:v>Appliances</x:v>
      </x:c>
      <x:c r="B38" s="33" t="str">
        <x:v>Hamilton Beach Red Oval Slow Cooker</x:v>
      </x:c>
      <x:c r="C38" s="29" t="n">
        <x:v>15</x:v>
      </x:c>
      <x:c r="D38" s="28" t="n">
        <x:v>3</x:v>
      </x:c>
      <x:c r="E38" s="28" t="n">
        <x:v>3</x:v>
      </x:c>
      <x:c r="F38" s="28" t="n">
        <x:f>E38-D38</x:f>
        <x:v>0</x:v>
      </x:c>
      <x:c r="G38" s="30" t="n">
        <x:v>46245</x:v>
      </x:c>
      <x:c r="H38" s="28" t="n">
        <x:f>DATE(2026,8,14)-G38+1</x:f>
        <x:v>4</x:v>
      </x:c>
      <x:c r="I38" s="31" t="n">
        <x:f>IF(H38&gt;0,E38/H38,0)</x:f>
        <x:v>0.75</x:v>
      </x:c>
      <x:c r="J38" s="28" t="str">
        <x:f>IF(O38&lt;&gt;"Active","Blocked",IF(I38&gt;=20,"Very High",IF(I38&gt;=8,"High",IF(I38&gt;=2,"Moderate","Low"))))</x:f>
        <x:v>Low</x:v>
      </x:c>
      <x:c r="K38" s="32" t="n">
        <x:f>IF(J38="Blocked",C38,IF(OR(J38="Very High",J38="High"),C38,IF(J38="Moderate",MAX(5,ROUND(C38*0.9/5,0)*5),MAX(5,ROUND(C38*0.8/5,0)*5))))</x:f>
        <x:v>10</x:v>
      </x:c>
      <x:c r="L38" s="32" t="n">
        <x:f>K38-C38</x:f>
        <x:v>-5</x:v>
      </x:c>
      <x:c r="M38" s="28" t="str">
        <x:f>IF(O38&lt;&gt;"Active","Blocked",IF(F38&gt;=20,"Surging",IF(F38&gt;=5,"Growing","Flat")))</x:f>
        <x:v>Flat</x:v>
      </x:c>
      <x:c r="N38" s="33" t="str">
        <x:f>IF(O38&lt;&gt;"Active","Resolve Facebook policy flag before pricing",IF(OR(J38="Very High",J38="High",M38="Surging"),"Hold price; strong demand signal",IF(AND(J38="Low",M38="Flat"),"Improve photo/title or bundle; consider post-sale reduction","Review after sale; modest reduction only if unsold")))</x:f>
        <x:v>Improve photo/title or bundle; consider post-sale reduction</x:v>
      </x:c>
      <x:c r="O38" s="28" t="str">
        <x:v>Active</x:v>
      </x:c>
    </x:row>
    <x:row r="39">
      <x:c r="A39" s="28" t="str">
        <x:v>Clothing &amp; Accessories</x:v>
      </x:c>
      <x:c r="B39" s="33" t="str">
        <x:v>Handbag and Wallet Lot</x:v>
      </x:c>
      <x:c r="C39" s="29" t="n">
        <x:v>25</x:v>
      </x:c>
      <x:c r="D39" s="28" t="n">
        <x:v>16</x:v>
      </x:c>
      <x:c r="E39" s="28" t="n">
        <x:v>23</x:v>
      </x:c>
      <x:c r="F39" s="28" t="n">
        <x:f>E39-D39</x:f>
        <x:v>7</x:v>
      </x:c>
      <x:c r="G39" s="30" t="n">
        <x:v>46244</x:v>
      </x:c>
      <x:c r="H39" s="28" t="n">
        <x:f>DATE(2026,8,14)-G39+1</x:f>
        <x:v>5</x:v>
      </x:c>
      <x:c r="I39" s="31" t="n">
        <x:f>IF(H39&gt;0,E39/H39,0)</x:f>
        <x:v>4.6</x:v>
      </x:c>
      <x:c r="J39" s="28" t="str">
        <x:f>IF(O39&lt;&gt;"Active","Blocked",IF(I39&gt;=20,"Very High",IF(I39&gt;=8,"High",IF(I39&gt;=2,"Moderate","Low"))))</x:f>
        <x:v>Moderate</x:v>
      </x:c>
      <x:c r="K39" s="32" t="n">
        <x:f>IF(J39="Blocked",C39,IF(OR(J39="Very High",J39="High"),C39,IF(J39="Moderate",MAX(5,ROUND(C39*0.9/5,0)*5),MAX(5,ROUND(C39*0.8/5,0)*5))))</x:f>
        <x:v>25</x:v>
      </x:c>
      <x:c r="L39" s="32" t="n">
        <x:f>K39-C39</x:f>
        <x:v>0</x:v>
      </x:c>
      <x:c r="M39" s="28" t="str">
        <x:f>IF(O39&lt;&gt;"Active","Blocked",IF(F39&gt;=20,"Surging",IF(F39&gt;=5,"Growing","Flat")))</x:f>
        <x:v>Growing</x:v>
      </x:c>
      <x:c r="N39" s="33" t="str">
        <x:f>IF(O39&lt;&gt;"Active","Resolve Facebook policy flag before pricing",IF(OR(J39="Very High",J39="High",M39="Surging"),"Hold price; strong demand signal",IF(AND(J39="Low",M39="Flat"),"Improve photo/title or bundle; consider post-sale reduction","Review after sale; modest reduction only if unsold")))</x:f>
        <x:v>Review after sale; modest reduction only if unsold</x:v>
      </x:c>
      <x:c r="O39" s="28" t="str">
        <x:v>Active</x:v>
      </x:c>
    </x:row>
    <x:row r="40">
      <x:c r="A40" s="28" t="str">
        <x:v>Decor, Collectibles &amp; Books</x:v>
      </x:c>
      <x:c r="B40" s="33" t="str">
        <x:v>Handled Wicker Basket</x:v>
      </x:c>
      <x:c r="C40" s="29" t="n">
        <x:v>10</x:v>
      </x:c>
      <x:c r="D40" s="28" t="n">
        <x:v>11</x:v>
      </x:c>
      <x:c r="E40" s="28" t="n">
        <x:v>11</x:v>
      </x:c>
      <x:c r="F40" s="28" t="n">
        <x:f>E40-D40</x:f>
        <x:v>0</x:v>
      </x:c>
      <x:c r="G40" s="30" t="n">
        <x:v>46244</x:v>
      </x:c>
      <x:c r="H40" s="28" t="n">
        <x:f>DATE(2026,8,14)-G40+1</x:f>
        <x:v>5</x:v>
      </x:c>
      <x:c r="I40" s="31" t="n">
        <x:f>IF(H40&gt;0,E40/H40,0)</x:f>
        <x:v>2.2</x:v>
      </x:c>
      <x:c r="J40" s="28" t="str">
        <x:f>IF(O40&lt;&gt;"Active","Blocked",IF(I40&gt;=20,"Very High",IF(I40&gt;=8,"High",IF(I40&gt;=2,"Moderate","Low"))))</x:f>
        <x:v>Moderate</x:v>
      </x:c>
      <x:c r="K40" s="32" t="n">
        <x:f>IF(J40="Blocked",C40,IF(OR(J40="Very High",J40="High"),C40,IF(J40="Moderate",MAX(5,ROUND(C40*0.9/5,0)*5),MAX(5,ROUND(C40*0.8/5,0)*5))))</x:f>
        <x:v>10</x:v>
      </x:c>
      <x:c r="L40" s="32" t="n">
        <x:f>K40-C40</x:f>
        <x:v>0</x:v>
      </x:c>
      <x:c r="M40" s="28" t="str">
        <x:f>IF(O40&lt;&gt;"Active","Blocked",IF(F40&gt;=20,"Surging",IF(F40&gt;=5,"Growing","Flat")))</x:f>
        <x:v>Flat</x:v>
      </x:c>
      <x:c r="N40" s="33" t="str">
        <x:f>IF(O40&lt;&gt;"Active","Resolve Facebook policy flag before pricing",IF(OR(J40="Very High",J40="High",M40="Surging"),"Hold price; strong demand signal",IF(AND(J40="Low",M40="Flat"),"Improve photo/title or bundle; consider post-sale reduction","Review after sale; modest reduction only if unsold")))</x:f>
        <x:v>Review after sale; modest reduction only if unsold</x:v>
      </x:c>
      <x:c r="O40" s="28" t="str">
        <x:v>Active</x:v>
      </x:c>
    </x:row>
    <x:row r="41">
      <x:c r="A41" s="28" t="str">
        <x:v>Appliances</x:v>
      </x:c>
      <x:c r="B41" s="33" t="str">
        <x:v>Household Iron with Metal Rest</x:v>
      </x:c>
      <x:c r="C41" s="29" t="n">
        <x:v>15</x:v>
      </x:c>
      <x:c r="D41" s="28" t="n">
        <x:v>4</x:v>
      </x:c>
      <x:c r="E41" s="28" t="n">
        <x:v>6</x:v>
      </x:c>
      <x:c r="F41" s="28" t="n">
        <x:f>E41-D41</x:f>
        <x:v>2</x:v>
      </x:c>
      <x:c r="G41" s="30" t="n">
        <x:v>46244</x:v>
      </x:c>
      <x:c r="H41" s="28" t="n">
        <x:f>DATE(2026,8,14)-G41+1</x:f>
        <x:v>5</x:v>
      </x:c>
      <x:c r="I41" s="31" t="n">
        <x:f>IF(H41&gt;0,E41/H41,0)</x:f>
        <x:v>1.2</x:v>
      </x:c>
      <x:c r="J41" s="28" t="str">
        <x:f>IF(O41&lt;&gt;"Active","Blocked",IF(I41&gt;=20,"Very High",IF(I41&gt;=8,"High",IF(I41&gt;=2,"Moderate","Low"))))</x:f>
        <x:v>Low</x:v>
      </x:c>
      <x:c r="K41" s="32" t="n">
        <x:f>IF(J41="Blocked",C41,IF(OR(J41="Very High",J41="High"),C41,IF(J41="Moderate",MAX(5,ROUND(C41*0.9/5,0)*5),MAX(5,ROUND(C41*0.8/5,0)*5))))</x:f>
        <x:v>10</x:v>
      </x:c>
      <x:c r="L41" s="32" t="n">
        <x:f>K41-C41</x:f>
        <x:v>-5</x:v>
      </x:c>
      <x:c r="M41" s="28" t="str">
        <x:f>IF(O41&lt;&gt;"Active","Blocked",IF(F41&gt;=20,"Surging",IF(F41&gt;=5,"Growing","Flat")))</x:f>
        <x:v>Flat</x:v>
      </x:c>
      <x:c r="N41" s="33" t="str">
        <x:f>IF(O41&lt;&gt;"Active","Resolve Facebook policy flag before pricing",IF(OR(J41="Very High",J41="High",M41="Surging"),"Hold price; strong demand signal",IF(AND(J41="Low",M41="Flat"),"Improve photo/title or bundle; consider post-sale reduction","Review after sale; modest reduction only if unsold")))</x:f>
        <x:v>Improve photo/title or bundle; consider post-sale reduction</x:v>
      </x:c>
      <x:c r="O41" s="28" t="str">
        <x:v>Active</x:v>
      </x:c>
    </x:row>
    <x:row r="42">
      <x:c r="A42" s="28" t="str">
        <x:v>Furniture, Storage &amp; Lighting</x:v>
      </x:c>
      <x:c r="B42" s="33" t="str">
        <x:v>Large Wood-Framed Dresser Mirror with Side Shelves</x:v>
      </x:c>
      <x:c r="C42" s="29" t="n">
        <x:v>60</x:v>
      </x:c>
      <x:c r="D42" s="28" t="n">
        <x:v>1</x:v>
      </x:c>
      <x:c r="E42" s="28" t="n">
        <x:v>4</x:v>
      </x:c>
      <x:c r="F42" s="28" t="n">
        <x:f>E42-D42</x:f>
        <x:v>3</x:v>
      </x:c>
      <x:c r="G42" s="30" t="n">
        <x:v>46247</x:v>
      </x:c>
      <x:c r="H42" s="28" t="n">
        <x:f>DATE(2026,8,14)-G42+1</x:f>
        <x:v>2</x:v>
      </x:c>
      <x:c r="I42" s="31" t="n">
        <x:f>IF(H42&gt;0,E42/H42,0)</x:f>
        <x:v>2</x:v>
      </x:c>
      <x:c r="J42" s="28" t="str">
        <x:f>IF(O42&lt;&gt;"Active","Blocked",IF(I42&gt;=20,"Very High",IF(I42&gt;=8,"High",IF(I42&gt;=2,"Moderate","Low"))))</x:f>
        <x:v>Moderate</x:v>
      </x:c>
      <x:c r="K42" s="32" t="n">
        <x:f>IF(J42="Blocked",C42,IF(OR(J42="Very High",J42="High"),C42,IF(J42="Moderate",MAX(5,ROUND(C42*0.9/5,0)*5),MAX(5,ROUND(C42*0.8/5,0)*5))))</x:f>
        <x:v>55</x:v>
      </x:c>
      <x:c r="L42" s="32" t="n">
        <x:f>K42-C42</x:f>
        <x:v>-5</x:v>
      </x:c>
      <x:c r="M42" s="28" t="str">
        <x:f>IF(O42&lt;&gt;"Active","Blocked",IF(F42&gt;=20,"Surging",IF(F42&gt;=5,"Growing","Flat")))</x:f>
        <x:v>Flat</x:v>
      </x:c>
      <x:c r="N42" s="33" t="str">
        <x:f>IF(O42&lt;&gt;"Active","Resolve Facebook policy flag before pricing",IF(OR(J42="Very High",J42="High",M42="Surging"),"Hold price; strong demand signal",IF(AND(J42="Low",M42="Flat"),"Improve photo/title or bundle; consider post-sale reduction","Review after sale; modest reduction only if unsold")))</x:f>
        <x:v>Review after sale; modest reduction only if unsold</x:v>
      </x:c>
      <x:c r="O42" s="28" t="str">
        <x:v>Active</x:v>
      </x:c>
    </x:row>
    <x:row r="43">
      <x:c r="A43" s="28" t="str">
        <x:v>Appliances</x:v>
      </x:c>
      <x:c r="B43" s="33" t="str">
        <x:v>Lasko Digital Ceramic Heater</x:v>
      </x:c>
      <x:c r="C43" s="29" t="n">
        <x:v>35</x:v>
      </x:c>
      <x:c r="D43" s="28" t="n">
        <x:v>5</x:v>
      </x:c>
      <x:c r="E43" s="28" t="n">
        <x:v>7</x:v>
      </x:c>
      <x:c r="F43" s="28" t="n">
        <x:f>E43-D43</x:f>
        <x:v>2</x:v>
      </x:c>
      <x:c r="G43" s="30" t="n">
        <x:v>46244</x:v>
      </x:c>
      <x:c r="H43" s="28" t="n">
        <x:f>DATE(2026,8,14)-G43+1</x:f>
        <x:v>5</x:v>
      </x:c>
      <x:c r="I43" s="31" t="n">
        <x:f>IF(H43&gt;0,E43/H43,0)</x:f>
        <x:v>1.4</x:v>
      </x:c>
      <x:c r="J43" s="28" t="str">
        <x:f>IF(O43&lt;&gt;"Active","Blocked",IF(I43&gt;=20,"Very High",IF(I43&gt;=8,"High",IF(I43&gt;=2,"Moderate","Low"))))</x:f>
        <x:v>Low</x:v>
      </x:c>
      <x:c r="K43" s="32" t="n">
        <x:f>IF(J43="Blocked",C43,IF(OR(J43="Very High",J43="High"),C43,IF(J43="Moderate",MAX(5,ROUND(C43*0.9/5,0)*5),MAX(5,ROUND(C43*0.8/5,0)*5))))</x:f>
        <x:v>30</x:v>
      </x:c>
      <x:c r="L43" s="32" t="n">
        <x:f>K43-C43</x:f>
        <x:v>-5</x:v>
      </x:c>
      <x:c r="M43" s="28" t="str">
        <x:f>IF(O43&lt;&gt;"Active","Blocked",IF(F43&gt;=20,"Surging",IF(F43&gt;=5,"Growing","Flat")))</x:f>
        <x:v>Flat</x:v>
      </x:c>
      <x:c r="N43" s="33" t="str">
        <x:f>IF(O43&lt;&gt;"Active","Resolve Facebook policy flag before pricing",IF(OR(J43="Very High",J43="High",M43="Surging"),"Hold price; strong demand signal",IF(AND(J43="Low",M43="Flat"),"Improve photo/title or bundle; consider post-sale reduction","Review after sale; modest reduction only if unsold")))</x:f>
        <x:v>Improve photo/title or bundle; consider post-sale reduction</x:v>
      </x:c>
      <x:c r="O43" s="28" t="str">
        <x:v>Active</x:v>
      </x:c>
    </x:row>
    <x:row r="44">
      <x:c r="A44" s="28" t="str">
        <x:v>Electronics &amp; Media</x:v>
      </x:c>
      <x:c r="B44" s="33" t="str">
        <x:v>LG and GoVideo DVD-Player Pair</x:v>
      </x:c>
      <x:c r="C44" s="29" t="n">
        <x:v>30</x:v>
      </x:c>
      <x:c r="D44" s="28" t="n">
        <x:v>5</x:v>
      </x:c>
      <x:c r="E44" s="28" t="n">
        <x:v>10</x:v>
      </x:c>
      <x:c r="F44" s="28" t="n">
        <x:f>E44-D44</x:f>
        <x:v>5</x:v>
      </x:c>
      <x:c r="G44" s="30" t="n">
        <x:v>46244</x:v>
      </x:c>
      <x:c r="H44" s="28" t="n">
        <x:f>DATE(2026,8,14)-G44+1</x:f>
        <x:v>5</x:v>
      </x:c>
      <x:c r="I44" s="31" t="n">
        <x:f>IF(H44&gt;0,E44/H44,0)</x:f>
        <x:v>2</x:v>
      </x:c>
      <x:c r="J44" s="28" t="str">
        <x:f>IF(O44&lt;&gt;"Active","Blocked",IF(I44&gt;=20,"Very High",IF(I44&gt;=8,"High",IF(I44&gt;=2,"Moderate","Low"))))</x:f>
        <x:v>Moderate</x:v>
      </x:c>
      <x:c r="K44" s="32" t="n">
        <x:f>IF(J44="Blocked",C44,IF(OR(J44="Very High",J44="High"),C44,IF(J44="Moderate",MAX(5,ROUND(C44*0.9/5,0)*5),MAX(5,ROUND(C44*0.8/5,0)*5))))</x:f>
        <x:v>25</x:v>
      </x:c>
      <x:c r="L44" s="32" t="n">
        <x:f>K44-C44</x:f>
        <x:v>-5</x:v>
      </x:c>
      <x:c r="M44" s="28" t="str">
        <x:f>IF(O44&lt;&gt;"Active","Blocked",IF(F44&gt;=20,"Surging",IF(F44&gt;=5,"Growing","Flat")))</x:f>
        <x:v>Growing</x:v>
      </x:c>
      <x:c r="N44" s="33" t="str">
        <x:f>IF(O44&lt;&gt;"Active","Resolve Facebook policy flag before pricing",IF(OR(J44="Very High",J44="High",M44="Surging"),"Hold price; strong demand signal",IF(AND(J44="Low",M44="Flat"),"Improve photo/title or bundle; consider post-sale reduction","Review after sale; modest reduction only if unsold")))</x:f>
        <x:v>Review after sale; modest reduction only if unsold</x:v>
      </x:c>
      <x:c r="O44" s="28" t="str">
        <x:v>Active</x:v>
      </x:c>
    </x:row>
    <x:row r="45">
      <x:c r="A45" s="28" t="str">
        <x:v>Furniture, Storage &amp; Lighting</x:v>
      </x:c>
      <x:c r="B45" s="33" t="str">
        <x:v>Marble-Look Pedestal Side Table</x:v>
      </x:c>
      <x:c r="C45" s="29" t="n">
        <x:v>35</x:v>
      </x:c>
      <x:c r="D45" s="28" t="n">
        <x:v>50</x:v>
      </x:c>
      <x:c r="E45" s="28" t="n">
        <x:v>110</x:v>
      </x:c>
      <x:c r="F45" s="28" t="n">
        <x:f>E45-D45</x:f>
        <x:v>60</x:v>
      </x:c>
      <x:c r="G45" s="30" t="n">
        <x:v>46244</x:v>
      </x:c>
      <x:c r="H45" s="28" t="n">
        <x:f>DATE(2026,8,14)-G45+1</x:f>
        <x:v>5</x:v>
      </x:c>
      <x:c r="I45" s="31" t="n">
        <x:f>IF(H45&gt;0,E45/H45,0)</x:f>
        <x:v>22</x:v>
      </x:c>
      <x:c r="J45" s="28" t="str">
        <x:f>IF(O45&lt;&gt;"Active","Blocked",IF(I45&gt;=20,"Very High",IF(I45&gt;=8,"High",IF(I45&gt;=2,"Moderate","Low"))))</x:f>
        <x:v>Very High</x:v>
      </x:c>
      <x:c r="K45" s="32" t="n">
        <x:f>IF(J45="Blocked",C45,IF(OR(J45="Very High",J45="High"),C45,IF(J45="Moderate",MAX(5,ROUND(C45*0.9/5,0)*5),MAX(5,ROUND(C45*0.8/5,0)*5))))</x:f>
        <x:v>35</x:v>
      </x:c>
      <x:c r="L45" s="32" t="n">
        <x:f>K45-C45</x:f>
        <x:v>0</x:v>
      </x:c>
      <x:c r="M45" s="28" t="str">
        <x:f>IF(O45&lt;&gt;"Active","Blocked",IF(F45&gt;=20,"Surging",IF(F45&gt;=5,"Growing","Flat")))</x:f>
        <x:v>Surging</x:v>
      </x:c>
      <x:c r="N45" s="33" t="str">
        <x:f>IF(O45&lt;&gt;"Active","Resolve Facebook policy flag before pricing",IF(OR(J45="Very High",J45="High",M45="Surging"),"Hold price; strong demand signal",IF(AND(J45="Low",M45="Flat"),"Improve photo/title or bundle; consider post-sale reduction","Review after sale; modest reduction only if unsold")))</x:f>
        <x:v>Hold price; strong demand signal</x:v>
      </x:c>
      <x:c r="O45" s="28" t="str">
        <x:v>Active</x:v>
      </x:c>
    </x:row>
    <x:row r="46">
      <x:c r="A46" s="28" t="str">
        <x:v>Appliances</x:v>
      </x:c>
      <x:c r="B46" s="33" t="str">
        <x:v>Maytag Washer and Whirlpool Dryer Pair</x:v>
      </x:c>
      <x:c r="C46" s="29" t="n">
        <x:v>500</x:v>
      </x:c>
      <x:c r="D46" s="28" t="n">
        <x:v>84</x:v>
      </x:c>
      <x:c r="E46" s="28" t="n">
        <x:v>94</x:v>
      </x:c>
      <x:c r="F46" s="28" t="n">
        <x:f>E46-D46</x:f>
        <x:v>10</x:v>
      </x:c>
      <x:c r="G46" s="30" t="n">
        <x:v>46244</x:v>
      </x:c>
      <x:c r="H46" s="28" t="n">
        <x:f>DATE(2026,8,14)-G46+1</x:f>
        <x:v>5</x:v>
      </x:c>
      <x:c r="I46" s="31" t="n">
        <x:f>IF(H46&gt;0,E46/H46,0)</x:f>
        <x:v>18.8</x:v>
      </x:c>
      <x:c r="J46" s="28" t="str">
        <x:f>IF(O46&lt;&gt;"Active","Blocked",IF(I46&gt;=20,"Very High",IF(I46&gt;=8,"High",IF(I46&gt;=2,"Moderate","Low"))))</x:f>
        <x:v>High</x:v>
      </x:c>
      <x:c r="K46" s="32" t="n">
        <x:f>IF(J46="Blocked",C46,IF(OR(J46="Very High",J46="High"),C46,IF(J46="Moderate",MAX(5,ROUND(C46*0.9/5,0)*5),MAX(5,ROUND(C46*0.8/5,0)*5))))</x:f>
        <x:v>500</x:v>
      </x:c>
      <x:c r="L46" s="32" t="n">
        <x:f>K46-C46</x:f>
        <x:v>0</x:v>
      </x:c>
      <x:c r="M46" s="28" t="str">
        <x:f>IF(O46&lt;&gt;"Active","Blocked",IF(F46&gt;=20,"Surging",IF(F46&gt;=5,"Growing","Flat")))</x:f>
        <x:v>Growing</x:v>
      </x:c>
      <x:c r="N46" s="33" t="str">
        <x:f>IF(O46&lt;&gt;"Active","Resolve Facebook policy flag before pricing",IF(OR(J46="Very High",J46="High",M46="Surging"),"Hold price; strong demand signal",IF(AND(J46="Low",M46="Flat"),"Improve photo/title or bundle; consider post-sale reduction","Review after sale; modest reduction only if unsold")))</x:f>
        <x:v>Hold price; strong demand signal</x:v>
      </x:c>
      <x:c r="O46" s="28" t="str">
        <x:v>Active</x:v>
      </x:c>
    </x:row>
    <x:row r="47">
      <x:c r="A47" s="28" t="str">
        <x:v>Decor, Collectibles &amp; Books</x:v>
      </x:c>
      <x:c r="B47" s="33" t="str">
        <x:v>Mixed Decorative Figurine Lot</x:v>
      </x:c>
      <x:c r="C47" s="29" t="n">
        <x:v>45</x:v>
      </x:c>
      <x:c r="D47" s="28" t="n">
        <x:v>2</x:v>
      </x:c>
      <x:c r="E47" s="28" t="n">
        <x:v>2</x:v>
      </x:c>
      <x:c r="F47" s="28" t="n">
        <x:f>E47-D47</x:f>
        <x:v>0</x:v>
      </x:c>
      <x:c r="G47" s="30" t="n">
        <x:v>46244</x:v>
      </x:c>
      <x:c r="H47" s="28" t="n">
        <x:f>DATE(2026,8,14)-G47+1</x:f>
        <x:v>5</x:v>
      </x:c>
      <x:c r="I47" s="31" t="n">
        <x:f>IF(H47&gt;0,E47/H47,0)</x:f>
        <x:v>0.4</x:v>
      </x:c>
      <x:c r="J47" s="28" t="str">
        <x:f>IF(O47&lt;&gt;"Active","Blocked",IF(I47&gt;=20,"Very High",IF(I47&gt;=8,"High",IF(I47&gt;=2,"Moderate","Low"))))</x:f>
        <x:v>Low</x:v>
      </x:c>
      <x:c r="K47" s="32" t="n">
        <x:f>IF(J47="Blocked",C47,IF(OR(J47="Very High",J47="High"),C47,IF(J47="Moderate",MAX(5,ROUND(C47*0.9/5,0)*5),MAX(5,ROUND(C47*0.8/5,0)*5))))</x:f>
        <x:v>35</x:v>
      </x:c>
      <x:c r="L47" s="32" t="n">
        <x:f>K47-C47</x:f>
        <x:v>-10</x:v>
      </x:c>
      <x:c r="M47" s="28" t="str">
        <x:f>IF(O47&lt;&gt;"Active","Blocked",IF(F47&gt;=20,"Surging",IF(F47&gt;=5,"Growing","Flat")))</x:f>
        <x:v>Flat</x:v>
      </x:c>
      <x:c r="N47" s="33" t="str">
        <x:f>IF(O47&lt;&gt;"Active","Resolve Facebook policy flag before pricing",IF(OR(J47="Very High",J47="High",M47="Surging"),"Hold price; strong demand signal",IF(AND(J47="Low",M47="Flat"),"Improve photo/title or bundle; consider post-sale reduction","Review after sale; modest reduction only if unsold")))</x:f>
        <x:v>Improve photo/title or bundle; consider post-sale reduction</x:v>
      </x:c>
      <x:c r="O47" s="28" t="str">
        <x:v>Active</x:v>
      </x:c>
    </x:row>
    <x:row r="48">
      <x:c r="A48" s="28" t="str">
        <x:v>Tools, Office &amp; Household</x:v>
      </x:c>
      <x:c r="B48" s="33" t="str">
        <x:v>Mixed Hand-Tool Lot</x:v>
      </x:c>
      <x:c r="C48" s="29" t="n">
        <x:v>45</x:v>
      </x:c>
      <x:c r="D48" s="28" t="n">
        <x:v>3</x:v>
      </x:c>
      <x:c r="E48" s="28" t="n">
        <x:v>5</x:v>
      </x:c>
      <x:c r="F48" s="28" t="n">
        <x:f>E48-D48</x:f>
        <x:v>2</x:v>
      </x:c>
      <x:c r="G48" s="30" t="n">
        <x:v>46244</x:v>
      </x:c>
      <x:c r="H48" s="28" t="n">
        <x:f>DATE(2026,8,14)-G48+1</x:f>
        <x:v>5</x:v>
      </x:c>
      <x:c r="I48" s="31" t="n">
        <x:f>IF(H48&gt;0,E48/H48,0)</x:f>
        <x:v>1</x:v>
      </x:c>
      <x:c r="J48" s="28" t="str">
        <x:f>IF(O48&lt;&gt;"Active","Blocked",IF(I48&gt;=20,"Very High",IF(I48&gt;=8,"High",IF(I48&gt;=2,"Moderate","Low"))))</x:f>
        <x:v>Low</x:v>
      </x:c>
      <x:c r="K48" s="32" t="n">
        <x:f>IF(J48="Blocked",C48,IF(OR(J48="Very High",J48="High"),C48,IF(J48="Moderate",MAX(5,ROUND(C48*0.9/5,0)*5),MAX(5,ROUND(C48*0.8/5,0)*5))))</x:f>
        <x:v>35</x:v>
      </x:c>
      <x:c r="L48" s="32" t="n">
        <x:f>K48-C48</x:f>
        <x:v>-10</x:v>
      </x:c>
      <x:c r="M48" s="28" t="str">
        <x:f>IF(O48&lt;&gt;"Active","Blocked",IF(F48&gt;=20,"Surging",IF(F48&gt;=5,"Growing","Flat")))</x:f>
        <x:v>Flat</x:v>
      </x:c>
      <x:c r="N48" s="33" t="str">
        <x:f>IF(O48&lt;&gt;"Active","Resolve Facebook policy flag before pricing",IF(OR(J48="Very High",J48="High",M48="Surging"),"Hold price; strong demand signal",IF(AND(J48="Low",M48="Flat"),"Improve photo/title or bundle; consider post-sale reduction","Review after sale; modest reduction only if unsold")))</x:f>
        <x:v>Improve photo/title or bundle; consider post-sale reduction</x:v>
      </x:c>
      <x:c r="O48" s="28" t="str">
        <x:v>Active</x:v>
      </x:c>
    </x:row>
    <x:row r="49">
      <x:c r="A49" s="28" t="str">
        <x:v>Decor, Collectibles &amp; Books</x:v>
      </x:c>
      <x:c r="B49" s="33" t="str">
        <x:v>Mixed Hardcover Book Lot</x:v>
      </x:c>
      <x:c r="C49" s="29" t="n">
        <x:v>25</x:v>
      </x:c>
      <x:c r="D49" s="28" t="n">
        <x:v>7</x:v>
      </x:c>
      <x:c r="E49" s="28" t="n">
        <x:v>9</x:v>
      </x:c>
      <x:c r="F49" s="28" t="n">
        <x:f>E49-D49</x:f>
        <x:v>2</x:v>
      </x:c>
      <x:c r="G49" s="30" t="n">
        <x:v>46244</x:v>
      </x:c>
      <x:c r="H49" s="28" t="n">
        <x:f>DATE(2026,8,14)-G49+1</x:f>
        <x:v>5</x:v>
      </x:c>
      <x:c r="I49" s="31" t="n">
        <x:f>IF(H49&gt;0,E49/H49,0)</x:f>
        <x:v>1.8</x:v>
      </x:c>
      <x:c r="J49" s="28" t="str">
        <x:f>IF(O49&lt;&gt;"Active","Blocked",IF(I49&gt;=20,"Very High",IF(I49&gt;=8,"High",IF(I49&gt;=2,"Moderate","Low"))))</x:f>
        <x:v>Low</x:v>
      </x:c>
      <x:c r="K49" s="32" t="n">
        <x:f>IF(J49="Blocked",C49,IF(OR(J49="Very High",J49="High"),C49,IF(J49="Moderate",MAX(5,ROUND(C49*0.9/5,0)*5),MAX(5,ROUND(C49*0.8/5,0)*5))))</x:f>
        <x:v>20</x:v>
      </x:c>
      <x:c r="L49" s="32" t="n">
        <x:f>K49-C49</x:f>
        <x:v>-5</x:v>
      </x:c>
      <x:c r="M49" s="28" t="str">
        <x:f>IF(O49&lt;&gt;"Active","Blocked",IF(F49&gt;=20,"Surging",IF(F49&gt;=5,"Growing","Flat")))</x:f>
        <x:v>Flat</x:v>
      </x:c>
      <x:c r="N49" s="33" t="str">
        <x:f>IF(O49&lt;&gt;"Active","Resolve Facebook policy flag before pricing",IF(OR(J49="Very High",J49="High",M49="Surging"),"Hold price; strong demand signal",IF(AND(J49="Low",M49="Flat"),"Improve photo/title or bundle; consider post-sale reduction","Review after sale; modest reduction only if unsold")))</x:f>
        <x:v>Improve photo/title or bundle; consider post-sale reduction</x:v>
      </x:c>
      <x:c r="O49" s="28" t="str">
        <x:v>Active</x:v>
      </x:c>
    </x:row>
    <x:row r="50">
      <x:c r="A50" s="28" t="str">
        <x:v>Health, Mobility &amp; Fitness</x:v>
      </x:c>
      <x:c r="B50" s="33" t="str">
        <x:v>Nova 4215RD Red Rollator with Seat</x:v>
      </x:c>
      <x:c r="C50" s="29" t="n">
        <x:v>85</x:v>
      </x:c>
      <x:c r="D50" s="28" t="n">
        <x:v>0</x:v>
      </x:c>
      <x:c r="E50" s="28" t="n">
        <x:v>0</x:v>
      </x:c>
      <x:c r="F50" s="28" t="n">
        <x:f>E50-D50</x:f>
        <x:v>0</x:v>
      </x:c>
      <x:c r="G50" s="30" t="n">
        <x:v>46244</x:v>
      </x:c>
      <x:c r="H50" s="28" t="n">
        <x:f>DATE(2026,8,14)-G50+1</x:f>
        <x:v>5</x:v>
      </x:c>
      <x:c r="I50" s="31" t="n">
        <x:f>IF(H50&gt;0,E50/H50,0)</x:f>
        <x:v>0</x:v>
      </x:c>
      <x:c r="J50" s="28" t="str">
        <x:f>IF(O50&lt;&gt;"Active","Blocked",IF(I50&gt;=20,"Very High",IF(I50&gt;=8,"High",IF(I50&gt;=2,"Moderate","Low"))))</x:f>
        <x:v>Blocked</x:v>
      </x:c>
      <x:c r="K50" s="32" t="n">
        <x:f>IF(J50="Blocked",C50,IF(OR(J50="Very High",J50="High"),C50,IF(J50="Moderate",MAX(5,ROUND(C50*0.9/5,0)*5),MAX(5,ROUND(C50*0.8/5,0)*5))))</x:f>
        <x:v>85</x:v>
      </x:c>
      <x:c r="L50" s="32" t="n">
        <x:f>K50-C50</x:f>
        <x:v>0</x:v>
      </x:c>
      <x:c r="M50" s="28" t="str">
        <x:f>IF(O50&lt;&gt;"Active","Blocked",IF(F50&gt;=20,"Surging",IF(F50&gt;=5,"Growing","Flat")))</x:f>
        <x:v>Blocked</x:v>
      </x:c>
      <x:c r="N50" s="33" t="str">
        <x:f>IF(O50&lt;&gt;"Active","Resolve Facebook policy flag before pricing",IF(OR(J50="Very High",J50="High",M50="Surging"),"Hold price; strong demand signal",IF(AND(J50="Low",M50="Flat"),"Improve photo/title or bundle; consider post-sale reduction","Review after sale; modest reduction only if unsold")))</x:f>
        <x:v>Resolve Facebook policy flag before pricing</x:v>
      </x:c>
      <x:c r="O50" s="28" t="str">
        <x:v>Needs attention</x:v>
      </x:c>
    </x:row>
    <x:row r="51">
      <x:c r="A51" s="28" t="str">
        <x:v>Furniture, Storage &amp; Lighting</x:v>
      </x:c>
      <x:c r="B51" s="33" t="str">
        <x:v>Oak-Finish Desk with Hutch</x:v>
      </x:c>
      <x:c r="C51" s="29" t="n">
        <x:v>100</x:v>
      </x:c>
      <x:c r="D51" s="28" t="n">
        <x:v>15</x:v>
      </x:c>
      <x:c r="E51" s="28" t="n">
        <x:v>24</x:v>
      </x:c>
      <x:c r="F51" s="28" t="n">
        <x:f>E51-D51</x:f>
        <x:v>9</x:v>
      </x:c>
      <x:c r="G51" s="30" t="n">
        <x:v>46244</x:v>
      </x:c>
      <x:c r="H51" s="28" t="n">
        <x:f>DATE(2026,8,14)-G51+1</x:f>
        <x:v>5</x:v>
      </x:c>
      <x:c r="I51" s="31" t="n">
        <x:f>IF(H51&gt;0,E51/H51,0)</x:f>
        <x:v>4.8</x:v>
      </x:c>
      <x:c r="J51" s="28" t="str">
        <x:f>IF(O51&lt;&gt;"Active","Blocked",IF(I51&gt;=20,"Very High",IF(I51&gt;=8,"High",IF(I51&gt;=2,"Moderate","Low"))))</x:f>
        <x:v>Moderate</x:v>
      </x:c>
      <x:c r="K51" s="32" t="n">
        <x:f>IF(J51="Blocked",C51,IF(OR(J51="Very High",J51="High"),C51,IF(J51="Moderate",MAX(5,ROUND(C51*0.9/5,0)*5),MAX(5,ROUND(C51*0.8/5,0)*5))))</x:f>
        <x:v>90</x:v>
      </x:c>
      <x:c r="L51" s="32" t="n">
        <x:f>K51-C51</x:f>
        <x:v>-10</x:v>
      </x:c>
      <x:c r="M51" s="28" t="str">
        <x:f>IF(O51&lt;&gt;"Active","Blocked",IF(F51&gt;=20,"Surging",IF(F51&gt;=5,"Growing","Flat")))</x:f>
        <x:v>Growing</x:v>
      </x:c>
      <x:c r="N51" s="33" t="str">
        <x:f>IF(O51&lt;&gt;"Active","Resolve Facebook policy flag before pricing",IF(OR(J51="Very High",J51="High",M51="Surging"),"Hold price; strong demand signal",IF(AND(J51="Low",M51="Flat"),"Improve photo/title or bundle; consider post-sale reduction","Review after sale; modest reduction only if unsold")))</x:f>
        <x:v>Review after sale; modest reduction only if unsold</x:v>
      </x:c>
      <x:c r="O51" s="28" t="str">
        <x:v>Active</x:v>
      </x:c>
    </x:row>
    <x:row r="52">
      <x:c r="A52" s="28" t="str">
        <x:v>Furniture, Storage &amp; Lighting</x:v>
      </x:c>
      <x:c r="B52" s="33" t="str">
        <x:v>Oak-Finish Entertainment Center</x:v>
      </x:c>
      <x:c r="C52" s="29" t="n">
        <x:v>60</x:v>
      </x:c>
      <x:c r="D52" s="28" t="n">
        <x:v>3</x:v>
      </x:c>
      <x:c r="E52" s="28" t="n">
        <x:v>4</x:v>
      </x:c>
      <x:c r="F52" s="28" t="n">
        <x:f>E52-D52</x:f>
        <x:v>1</x:v>
      </x:c>
      <x:c r="G52" s="30" t="n">
        <x:v>46244</x:v>
      </x:c>
      <x:c r="H52" s="28" t="n">
        <x:f>DATE(2026,8,14)-G52+1</x:f>
        <x:v>5</x:v>
      </x:c>
      <x:c r="I52" s="31" t="n">
        <x:f>IF(H52&gt;0,E52/H52,0)</x:f>
        <x:v>0.8</x:v>
      </x:c>
      <x:c r="J52" s="28" t="str">
        <x:f>IF(O52&lt;&gt;"Active","Blocked",IF(I52&gt;=20,"Very High",IF(I52&gt;=8,"High",IF(I52&gt;=2,"Moderate","Low"))))</x:f>
        <x:v>Low</x:v>
      </x:c>
      <x:c r="K52" s="32" t="n">
        <x:f>IF(J52="Blocked",C52,IF(OR(J52="Very High",J52="High"),C52,IF(J52="Moderate",MAX(5,ROUND(C52*0.9/5,0)*5),MAX(5,ROUND(C52*0.8/5,0)*5))))</x:f>
        <x:v>50</x:v>
      </x:c>
      <x:c r="L52" s="32" t="n">
        <x:f>K52-C52</x:f>
        <x:v>-10</x:v>
      </x:c>
      <x:c r="M52" s="28" t="str">
        <x:f>IF(O52&lt;&gt;"Active","Blocked",IF(F52&gt;=20,"Surging",IF(F52&gt;=5,"Growing","Flat")))</x:f>
        <x:v>Flat</x:v>
      </x:c>
      <x:c r="N52" s="33" t="str">
        <x:f>IF(O52&lt;&gt;"Active","Resolve Facebook policy flag before pricing",IF(OR(J52="Very High",J52="High",M52="Surging"),"Hold price; strong demand signal",IF(AND(J52="Low",M52="Flat"),"Improve photo/title or bundle; consider post-sale reduction","Review after sale; modest reduction only if unsold")))</x:f>
        <x:v>Improve photo/title or bundle; consider post-sale reduction</x:v>
      </x:c>
      <x:c r="O52" s="28" t="str">
        <x:v>Active</x:v>
      </x:c>
    </x:row>
    <x:row r="53">
      <x:c r="A53" s="28" t="str">
        <x:v>Furniture, Storage &amp; Lighting</x:v>
      </x:c>
      <x:c r="B53" s="33" t="str">
        <x:v>Oak-Finish Microwave Cabinet or Stand</x:v>
      </x:c>
      <x:c r="C53" s="29" t="n">
        <x:v>45</x:v>
      </x:c>
      <x:c r="D53" s="28" t="n">
        <x:v>15</x:v>
      </x:c>
      <x:c r="E53" s="28" t="n">
        <x:v>31</x:v>
      </x:c>
      <x:c r="F53" s="28" t="n">
        <x:f>E53-D53</x:f>
        <x:v>16</x:v>
      </x:c>
      <x:c r="G53" s="30" t="n">
        <x:v>46244</x:v>
      </x:c>
      <x:c r="H53" s="28" t="n">
        <x:f>DATE(2026,8,14)-G53+1</x:f>
        <x:v>5</x:v>
      </x:c>
      <x:c r="I53" s="31" t="n">
        <x:f>IF(H53&gt;0,E53/H53,0)</x:f>
        <x:v>6.2</x:v>
      </x:c>
      <x:c r="J53" s="28" t="str">
        <x:f>IF(O53&lt;&gt;"Active","Blocked",IF(I53&gt;=20,"Very High",IF(I53&gt;=8,"High",IF(I53&gt;=2,"Moderate","Low"))))</x:f>
        <x:v>Moderate</x:v>
      </x:c>
      <x:c r="K53" s="32" t="n">
        <x:f>IF(J53="Blocked",C53,IF(OR(J53="Very High",J53="High"),C53,IF(J53="Moderate",MAX(5,ROUND(C53*0.9/5,0)*5),MAX(5,ROUND(C53*0.8/5,0)*5))))</x:f>
        <x:v>40</x:v>
      </x:c>
      <x:c r="L53" s="32" t="n">
        <x:f>K53-C53</x:f>
        <x:v>-5</x:v>
      </x:c>
      <x:c r="M53" s="28" t="str">
        <x:f>IF(O53&lt;&gt;"Active","Blocked",IF(F53&gt;=20,"Surging",IF(F53&gt;=5,"Growing","Flat")))</x:f>
        <x:v>Growing</x:v>
      </x:c>
      <x:c r="N53" s="33" t="str">
        <x:f>IF(O53&lt;&gt;"Active","Resolve Facebook policy flag before pricing",IF(OR(J53="Very High",J53="High",M53="Surging"),"Hold price; strong demand signal",IF(AND(J53="Low",M53="Flat"),"Improve photo/title or bundle; consider post-sale reduction","Review after sale; modest reduction only if unsold")))</x:f>
        <x:v>Review after sale; modest reduction only if unsold</x:v>
      </x:c>
      <x:c r="O53" s="28" t="str">
        <x:v>Active</x:v>
      </x:c>
    </x:row>
    <x:row r="54">
      <x:c r="A54" s="28" t="str">
        <x:v>Decor, Collectibles &amp; Books</x:v>
      </x:c>
      <x:c r="B54" s="33" t="str">
        <x:v>Ornate Carved Mantel Clock</x:v>
      </x:c>
      <x:c r="C54" s="29" t="n">
        <x:v>65</x:v>
      </x:c>
      <x:c r="D54" s="28" t="n">
        <x:v>4</x:v>
      </x:c>
      <x:c r="E54" s="28" t="n">
        <x:v>6</x:v>
      </x:c>
      <x:c r="F54" s="28" t="n">
        <x:f>E54-D54</x:f>
        <x:v>2</x:v>
      </x:c>
      <x:c r="G54" s="30" t="n">
        <x:v>46244</x:v>
      </x:c>
      <x:c r="H54" s="28" t="n">
        <x:f>DATE(2026,8,14)-G54+1</x:f>
        <x:v>5</x:v>
      </x:c>
      <x:c r="I54" s="31" t="n">
        <x:f>IF(H54&gt;0,E54/H54,0)</x:f>
        <x:v>1.2</x:v>
      </x:c>
      <x:c r="J54" s="28" t="str">
        <x:f>IF(O54&lt;&gt;"Active","Blocked",IF(I54&gt;=20,"Very High",IF(I54&gt;=8,"High",IF(I54&gt;=2,"Moderate","Low"))))</x:f>
        <x:v>Low</x:v>
      </x:c>
      <x:c r="K54" s="32" t="n">
        <x:f>IF(J54="Blocked",C54,IF(OR(J54="Very High",J54="High"),C54,IF(J54="Moderate",MAX(5,ROUND(C54*0.9/5,0)*5),MAX(5,ROUND(C54*0.8/5,0)*5))))</x:f>
        <x:v>50</x:v>
      </x:c>
      <x:c r="L54" s="32" t="n">
        <x:f>K54-C54</x:f>
        <x:v>-15</x:v>
      </x:c>
      <x:c r="M54" s="28" t="str">
        <x:f>IF(O54&lt;&gt;"Active","Blocked",IF(F54&gt;=20,"Surging",IF(F54&gt;=5,"Growing","Flat")))</x:f>
        <x:v>Flat</x:v>
      </x:c>
      <x:c r="N54" s="33" t="str">
        <x:f>IF(O54&lt;&gt;"Active","Resolve Facebook policy flag before pricing",IF(OR(J54="Very High",J54="High",M54="Surging"),"Hold price; strong demand signal",IF(AND(J54="Low",M54="Flat"),"Improve photo/title or bundle; consider post-sale reduction","Review after sale; modest reduction only if unsold")))</x:f>
        <x:v>Improve photo/title or bundle; consider post-sale reduction</x:v>
      </x:c>
      <x:c r="O54" s="28" t="str">
        <x:v>Active</x:v>
      </x:c>
    </x:row>
    <x:row r="55">
      <x:c r="A55" s="28" t="str">
        <x:v>Furniture, Storage &amp; Lighting</x:v>
      </x:c>
      <x:c r="B55" s="33" t="str">
        <x:v>Ornate Gold-Tone Oval Mirror</x:v>
      </x:c>
      <x:c r="C55" s="29" t="n">
        <x:v>75</x:v>
      </x:c>
      <x:c r="D55" s="28" t="n">
        <x:v>33</x:v>
      </x:c>
      <x:c r="E55" s="28" t="n">
        <x:v>58</x:v>
      </x:c>
      <x:c r="F55" s="28" t="n">
        <x:f>E55-D55</x:f>
        <x:v>25</x:v>
      </x:c>
      <x:c r="G55" s="30" t="n">
        <x:v>46245</x:v>
      </x:c>
      <x:c r="H55" s="28" t="n">
        <x:f>DATE(2026,8,14)-G55+1</x:f>
        <x:v>4</x:v>
      </x:c>
      <x:c r="I55" s="31" t="n">
        <x:f>IF(H55&gt;0,E55/H55,0)</x:f>
        <x:v>14.5</x:v>
      </x:c>
      <x:c r="J55" s="28" t="str">
        <x:f>IF(O55&lt;&gt;"Active","Blocked",IF(I55&gt;=20,"Very High",IF(I55&gt;=8,"High",IF(I55&gt;=2,"Moderate","Low"))))</x:f>
        <x:v>High</x:v>
      </x:c>
      <x:c r="K55" s="32" t="n">
        <x:f>IF(J55="Blocked",C55,IF(OR(J55="Very High",J55="High"),C55,IF(J55="Moderate",MAX(5,ROUND(C55*0.9/5,0)*5),MAX(5,ROUND(C55*0.8/5,0)*5))))</x:f>
        <x:v>75</x:v>
      </x:c>
      <x:c r="L55" s="32" t="n">
        <x:f>K55-C55</x:f>
        <x:v>0</x:v>
      </x:c>
      <x:c r="M55" s="28" t="str">
        <x:f>IF(O55&lt;&gt;"Active","Blocked",IF(F55&gt;=20,"Surging",IF(F55&gt;=5,"Growing","Flat")))</x:f>
        <x:v>Surging</x:v>
      </x:c>
      <x:c r="N55" s="33" t="str">
        <x:f>IF(O55&lt;&gt;"Active","Resolve Facebook policy flag before pricing",IF(OR(J55="Very High",J55="High",M55="Surging"),"Hold price; strong demand signal",IF(AND(J55="Low",M55="Flat"),"Improve photo/title or bundle; consider post-sale reduction","Review after sale; modest reduction only if unsold")))</x:f>
        <x:v>Hold price; strong demand signal</x:v>
      </x:c>
      <x:c r="O55" s="28" t="str">
        <x:v>Active</x:v>
      </x:c>
    </x:row>
    <x:row r="56">
      <x:c r="A56" s="28" t="str">
        <x:v>Furniture, Storage &amp; Lighting</x:v>
      </x:c>
      <x:c r="B56" s="33" t="str">
        <x:v>Pair of Torchiere Floor Lamps</x:v>
      </x:c>
      <x:c r="C56" s="29" t="n">
        <x:v>25</x:v>
      </x:c>
      <x:c r="D56" s="28" t="n">
        <x:v>17</x:v>
      </x:c>
      <x:c r="E56" s="28" t="n">
        <x:v>23</x:v>
      </x:c>
      <x:c r="F56" s="28" t="n">
        <x:f>E56-D56</x:f>
        <x:v>6</x:v>
      </x:c>
      <x:c r="G56" s="30" t="n">
        <x:v>46245</x:v>
      </x:c>
      <x:c r="H56" s="28" t="n">
        <x:f>DATE(2026,8,14)-G56+1</x:f>
        <x:v>4</x:v>
      </x:c>
      <x:c r="I56" s="31" t="n">
        <x:f>IF(H56&gt;0,E56/H56,0)</x:f>
        <x:v>5.75</x:v>
      </x:c>
      <x:c r="J56" s="28" t="str">
        <x:f>IF(O56&lt;&gt;"Active","Blocked",IF(I56&gt;=20,"Very High",IF(I56&gt;=8,"High",IF(I56&gt;=2,"Moderate","Low"))))</x:f>
        <x:v>Moderate</x:v>
      </x:c>
      <x:c r="K56" s="32" t="n">
        <x:f>IF(J56="Blocked",C56,IF(OR(J56="Very High",J56="High"),C56,IF(J56="Moderate",MAX(5,ROUND(C56*0.9/5,0)*5),MAX(5,ROUND(C56*0.8/5,0)*5))))</x:f>
        <x:v>25</x:v>
      </x:c>
      <x:c r="L56" s="32" t="n">
        <x:f>K56-C56</x:f>
        <x:v>0</x:v>
      </x:c>
      <x:c r="M56" s="28" t="str">
        <x:f>IF(O56&lt;&gt;"Active","Blocked",IF(F56&gt;=20,"Surging",IF(F56&gt;=5,"Growing","Flat")))</x:f>
        <x:v>Growing</x:v>
      </x:c>
      <x:c r="N56" s="33" t="str">
        <x:f>IF(O56&lt;&gt;"Active","Resolve Facebook policy flag before pricing",IF(OR(J56="Very High",J56="High",M56="Surging"),"Hold price; strong demand signal",IF(AND(J56="Low",M56="Flat"),"Improve photo/title or bundle; consider post-sale reduction","Review after sale; modest reduction only if unsold")))</x:f>
        <x:v>Review after sale; modest reduction only if unsold</x:v>
      </x:c>
      <x:c r="O56" s="28" t="str">
        <x:v>Active</x:v>
      </x:c>
    </x:row>
    <x:row r="57">
      <x:c r="A57" s="28" t="str">
        <x:v>Electronics &amp; Media</x:v>
      </x:c>
      <x:c r="B57" s="33" t="str">
        <x:v>RCA RP-9515 Stereo and Speaker Set</x:v>
      </x:c>
      <x:c r="C57" s="29" t="n">
        <x:v>35</x:v>
      </x:c>
      <x:c r="D57" s="28" t="n">
        <x:v>2</x:v>
      </x:c>
      <x:c r="E57" s="28" t="n">
        <x:v>5</x:v>
      </x:c>
      <x:c r="F57" s="28" t="n">
        <x:f>E57-D57</x:f>
        <x:v>3</x:v>
      </x:c>
      <x:c r="G57" s="30" t="n">
        <x:v>46244</x:v>
      </x:c>
      <x:c r="H57" s="28" t="n">
        <x:f>DATE(2026,8,14)-G57+1</x:f>
        <x:v>5</x:v>
      </x:c>
      <x:c r="I57" s="31" t="n">
        <x:f>IF(H57&gt;0,E57/H57,0)</x:f>
        <x:v>1</x:v>
      </x:c>
      <x:c r="J57" s="28" t="str">
        <x:f>IF(O57&lt;&gt;"Active","Blocked",IF(I57&gt;=20,"Very High",IF(I57&gt;=8,"High",IF(I57&gt;=2,"Moderate","Low"))))</x:f>
        <x:v>Low</x:v>
      </x:c>
      <x:c r="K57" s="32" t="n">
        <x:f>IF(J57="Blocked",C57,IF(OR(J57="Very High",J57="High"),C57,IF(J57="Moderate",MAX(5,ROUND(C57*0.9/5,0)*5),MAX(5,ROUND(C57*0.8/5,0)*5))))</x:f>
        <x:v>30</x:v>
      </x:c>
      <x:c r="L57" s="32" t="n">
        <x:f>K57-C57</x:f>
        <x:v>-5</x:v>
      </x:c>
      <x:c r="M57" s="28" t="str">
        <x:f>IF(O57&lt;&gt;"Active","Blocked",IF(F57&gt;=20,"Surging",IF(F57&gt;=5,"Growing","Flat")))</x:f>
        <x:v>Flat</x:v>
      </x:c>
      <x:c r="N57" s="33" t="str">
        <x:f>IF(O57&lt;&gt;"Active","Resolve Facebook policy flag before pricing",IF(OR(J57="Very High",J57="High",M57="Surging"),"Hold price; strong demand signal",IF(AND(J57="Low",M57="Flat"),"Improve photo/title or bundle; consider post-sale reduction","Review after sale; modest reduction only if unsold")))</x:f>
        <x:v>Improve photo/title or bundle; consider post-sale reduction</x:v>
      </x:c>
      <x:c r="O57" s="28" t="str">
        <x:v>Active</x:v>
      </x:c>
    </x:row>
    <x:row r="58">
      <x:c r="A58" s="28" t="str">
        <x:v>Tools, Office &amp; Household</x:v>
      </x:c>
      <x:c r="B58" s="33" t="str">
        <x:v>Round Wood Stool</x:v>
      </x:c>
      <x:c r="C58" s="29" t="n">
        <x:v>20</x:v>
      </x:c>
      <x:c r="D58" s="28" t="n">
        <x:v>2</x:v>
      </x:c>
      <x:c r="E58" s="28" t="n">
        <x:v>5</x:v>
      </x:c>
      <x:c r="F58" s="28" t="n">
        <x:f>E58-D58</x:f>
        <x:v>3</x:v>
      </x:c>
      <x:c r="G58" s="30" t="n">
        <x:v>46244</x:v>
      </x:c>
      <x:c r="H58" s="28" t="n">
        <x:f>DATE(2026,8,14)-G58+1</x:f>
        <x:v>5</x:v>
      </x:c>
      <x:c r="I58" s="31" t="n">
        <x:f>IF(H58&gt;0,E58/H58,0)</x:f>
        <x:v>1</x:v>
      </x:c>
      <x:c r="J58" s="28" t="str">
        <x:f>IF(O58&lt;&gt;"Active","Blocked",IF(I58&gt;=20,"Very High",IF(I58&gt;=8,"High",IF(I58&gt;=2,"Moderate","Low"))))</x:f>
        <x:v>Low</x:v>
      </x:c>
      <x:c r="K58" s="32" t="n">
        <x:f>IF(J58="Blocked",C58,IF(OR(J58="Very High",J58="High"),C58,IF(J58="Moderate",MAX(5,ROUND(C58*0.9/5,0)*5),MAX(5,ROUND(C58*0.8/5,0)*5))))</x:f>
        <x:v>15</x:v>
      </x:c>
      <x:c r="L58" s="32" t="n">
        <x:f>K58-C58</x:f>
        <x:v>-5</x:v>
      </x:c>
      <x:c r="M58" s="28" t="str">
        <x:f>IF(O58&lt;&gt;"Active","Blocked",IF(F58&gt;=20,"Surging",IF(F58&gt;=5,"Growing","Flat")))</x:f>
        <x:v>Flat</x:v>
      </x:c>
      <x:c r="N58" s="33" t="str">
        <x:f>IF(O58&lt;&gt;"Active","Resolve Facebook policy flag before pricing",IF(OR(J58="Very High",J58="High",M58="Surging"),"Hold price; strong demand signal",IF(AND(J58="Low",M58="Flat"),"Improve photo/title or bundle; consider post-sale reduction","Review after sale; modest reduction only if unsold")))</x:f>
        <x:v>Improve photo/title or bundle; consider post-sale reduction</x:v>
      </x:c>
      <x:c r="O58" s="28" t="str">
        <x:v>Active</x:v>
      </x:c>
    </x:row>
    <x:row r="59">
      <x:c r="A59" s="28" t="str">
        <x:v>Tools, Office &amp; Household</x:v>
      </x:c>
      <x:c r="B59" s="33" t="str">
        <x:v>Shower Curtain Hooks</x:v>
      </x:c>
      <x:c r="C59" s="29" t="n">
        <x:v>5</x:v>
      </x:c>
      <x:c r="D59" s="28" t="n">
        <x:v>55</x:v>
      </x:c>
      <x:c r="E59" s="28" t="n">
        <x:v>82</x:v>
      </x:c>
      <x:c r="F59" s="28" t="n">
        <x:f>E59-D59</x:f>
        <x:v>27</x:v>
      </x:c>
      <x:c r="G59" s="30" t="n">
        <x:v>46245</x:v>
      </x:c>
      <x:c r="H59" s="28" t="n">
        <x:f>DATE(2026,8,14)-G59+1</x:f>
        <x:v>4</x:v>
      </x:c>
      <x:c r="I59" s="31" t="n">
        <x:f>IF(H59&gt;0,E59/H59,0)</x:f>
        <x:v>20.5</x:v>
      </x:c>
      <x:c r="J59" s="28" t="str">
        <x:f>IF(O59&lt;&gt;"Active","Blocked",IF(I59&gt;=20,"Very High",IF(I59&gt;=8,"High",IF(I59&gt;=2,"Moderate","Low"))))</x:f>
        <x:v>Very High</x:v>
      </x:c>
      <x:c r="K59" s="32" t="n">
        <x:f>IF(J59="Blocked",C59,IF(OR(J59="Very High",J59="High"),C59,IF(J59="Moderate",MAX(5,ROUND(C59*0.9/5,0)*5),MAX(5,ROUND(C59*0.8/5,0)*5))))</x:f>
        <x:v>5</x:v>
      </x:c>
      <x:c r="L59" s="32" t="n">
        <x:f>K59-C59</x:f>
        <x:v>0</x:v>
      </x:c>
      <x:c r="M59" s="28" t="str">
        <x:f>IF(O59&lt;&gt;"Active","Blocked",IF(F59&gt;=20,"Surging",IF(F59&gt;=5,"Growing","Flat")))</x:f>
        <x:v>Surging</x:v>
      </x:c>
      <x:c r="N59" s="33" t="str">
        <x:f>IF(O59&lt;&gt;"Active","Resolve Facebook policy flag before pricing",IF(OR(J59="Very High",J59="High",M59="Surging"),"Hold price; strong demand signal",IF(AND(J59="Low",M59="Flat"),"Improve photo/title or bundle; consider post-sale reduction","Review after sale; modest reduction only if unsold")))</x:f>
        <x:v>Hold price; strong demand signal</x:v>
      </x:c>
      <x:c r="O59" s="28" t="str">
        <x:v>Active</x:v>
      </x:c>
    </x:row>
    <x:row r="60">
      <x:c r="A60" s="28" t="str">
        <x:v>Decor, Collectibles &amp; Books</x:v>
      </x:c>
      <x:c r="B60" s="33" t="str">
        <x:v>Small Wood-Look Jewelry Box Lot</x:v>
      </x:c>
      <x:c r="C60" s="29" t="n">
        <x:v>20</x:v>
      </x:c>
      <x:c r="D60" s="28" t="n">
        <x:v>31</x:v>
      </x:c>
      <x:c r="E60" s="28" t="n">
        <x:v>41</x:v>
      </x:c>
      <x:c r="F60" s="28" t="n">
        <x:f>E60-D60</x:f>
        <x:v>10</x:v>
      </x:c>
      <x:c r="G60" s="30" t="n">
        <x:v>46245</x:v>
      </x:c>
      <x:c r="H60" s="28" t="n">
        <x:f>DATE(2026,8,14)-G60+1</x:f>
        <x:v>4</x:v>
      </x:c>
      <x:c r="I60" s="31" t="n">
        <x:f>IF(H60&gt;0,E60/H60,0)</x:f>
        <x:v>10.25</x:v>
      </x:c>
      <x:c r="J60" s="28" t="str">
        <x:f>IF(O60&lt;&gt;"Active","Blocked",IF(I60&gt;=20,"Very High",IF(I60&gt;=8,"High",IF(I60&gt;=2,"Moderate","Low"))))</x:f>
        <x:v>High</x:v>
      </x:c>
      <x:c r="K60" s="32" t="n">
        <x:f>IF(J60="Blocked",C60,IF(OR(J60="Very High",J60="High"),C60,IF(J60="Moderate",MAX(5,ROUND(C60*0.9/5,0)*5),MAX(5,ROUND(C60*0.8/5,0)*5))))</x:f>
        <x:v>20</x:v>
      </x:c>
      <x:c r="L60" s="32" t="n">
        <x:f>K60-C60</x:f>
        <x:v>0</x:v>
      </x:c>
      <x:c r="M60" s="28" t="str">
        <x:f>IF(O60&lt;&gt;"Active","Blocked",IF(F60&gt;=20,"Surging",IF(F60&gt;=5,"Growing","Flat")))</x:f>
        <x:v>Growing</x:v>
      </x:c>
      <x:c r="N60" s="33" t="str">
        <x:f>IF(O60&lt;&gt;"Active","Resolve Facebook policy flag before pricing",IF(OR(J60="Very High",J60="High",M60="Surging"),"Hold price; strong demand signal",IF(AND(J60="Low",M60="Flat"),"Improve photo/title or bundle; consider post-sale reduction","Review after sale; modest reduction only if unsold")))</x:f>
        <x:v>Hold price; strong demand signal</x:v>
      </x:c>
      <x:c r="O60" s="28" t="str">
        <x:v>Active</x:v>
      </x:c>
    </x:row>
    <x:row r="61">
      <x:c r="A61" s="28" t="str">
        <x:v>Electronics &amp; Media</x:v>
      </x:c>
      <x:c r="B61" s="33" t="str">
        <x:v>Sony 5-Disc DVD/CD Changer DVP-NC675P</x:v>
      </x:c>
      <x:c r="C61" s="29" t="n">
        <x:v>45</x:v>
      </x:c>
      <x:c r="D61" s="28" t="n">
        <x:v>5</x:v>
      </x:c>
      <x:c r="E61" s="28" t="n">
        <x:v>9</x:v>
      </x:c>
      <x:c r="F61" s="28" t="n">
        <x:f>E61-D61</x:f>
        <x:v>4</x:v>
      </x:c>
      <x:c r="G61" s="30" t="n">
        <x:v>46245</x:v>
      </x:c>
      <x:c r="H61" s="28" t="n">
        <x:f>DATE(2026,8,14)-G61+1</x:f>
        <x:v>4</x:v>
      </x:c>
      <x:c r="I61" s="31" t="n">
        <x:f>IF(H61&gt;0,E61/H61,0)</x:f>
        <x:v>2.25</x:v>
      </x:c>
      <x:c r="J61" s="28" t="str">
        <x:f>IF(O61&lt;&gt;"Active","Blocked",IF(I61&gt;=20,"Very High",IF(I61&gt;=8,"High",IF(I61&gt;=2,"Moderate","Low"))))</x:f>
        <x:v>Moderate</x:v>
      </x:c>
      <x:c r="K61" s="32" t="n">
        <x:f>IF(J61="Blocked",C61,IF(OR(J61="Very High",J61="High"),C61,IF(J61="Moderate",MAX(5,ROUND(C61*0.9/5,0)*5),MAX(5,ROUND(C61*0.8/5,0)*5))))</x:f>
        <x:v>40</x:v>
      </x:c>
      <x:c r="L61" s="32" t="n">
        <x:f>K61-C61</x:f>
        <x:v>-5</x:v>
      </x:c>
      <x:c r="M61" s="28" t="str">
        <x:f>IF(O61&lt;&gt;"Active","Blocked",IF(F61&gt;=20,"Surging",IF(F61&gt;=5,"Growing","Flat")))</x:f>
        <x:v>Flat</x:v>
      </x:c>
      <x:c r="N61" s="33" t="str">
        <x:f>IF(O61&lt;&gt;"Active","Resolve Facebook policy flag before pricing",IF(OR(J61="Very High",J61="High",M61="Surging"),"Hold price; strong demand signal",IF(AND(J61="Low",M61="Flat"),"Improve photo/title or bundle; consider post-sale reduction","Review after sale; modest reduction only if unsold")))</x:f>
        <x:v>Review after sale; modest reduction only if unsold</x:v>
      </x:c>
      <x:c r="O61" s="28" t="str">
        <x:v>Active</x:v>
      </x:c>
    </x:row>
    <x:row r="62">
      <x:c r="A62" s="28" t="str">
        <x:v>Electronics &amp; Media</x:v>
      </x:c>
      <x:c r="B62" s="33" t="str">
        <x:v>Sony CCD-F35 Video8 Camcorder Kit</x:v>
      </x:c>
      <x:c r="C62" s="29" t="n">
        <x:v>75</x:v>
      </x:c>
      <x:c r="D62" s="28" t="n">
        <x:v>16</x:v>
      </x:c>
      <x:c r="E62" s="28" t="n">
        <x:v>28</x:v>
      </x:c>
      <x:c r="F62" s="28" t="n">
        <x:f>E62-D62</x:f>
        <x:v>12</x:v>
      </x:c>
      <x:c r="G62" s="30" t="n">
        <x:v>46244</x:v>
      </x:c>
      <x:c r="H62" s="28" t="n">
        <x:f>DATE(2026,8,14)-G62+1</x:f>
        <x:v>5</x:v>
      </x:c>
      <x:c r="I62" s="31" t="n">
        <x:f>IF(H62&gt;0,E62/H62,0)</x:f>
        <x:v>5.6</x:v>
      </x:c>
      <x:c r="J62" s="28" t="str">
        <x:f>IF(O62&lt;&gt;"Active","Blocked",IF(I62&gt;=20,"Very High",IF(I62&gt;=8,"High",IF(I62&gt;=2,"Moderate","Low"))))</x:f>
        <x:v>Moderate</x:v>
      </x:c>
      <x:c r="K62" s="32" t="n">
        <x:f>IF(J62="Blocked",C62,IF(OR(J62="Very High",J62="High"),C62,IF(J62="Moderate",MAX(5,ROUND(C62*0.9/5,0)*5),MAX(5,ROUND(C62*0.8/5,0)*5))))</x:f>
        <x:v>70</x:v>
      </x:c>
      <x:c r="L62" s="32" t="n">
        <x:f>K62-C62</x:f>
        <x:v>-5</x:v>
      </x:c>
      <x:c r="M62" s="28" t="str">
        <x:f>IF(O62&lt;&gt;"Active","Blocked",IF(F62&gt;=20,"Surging",IF(F62&gt;=5,"Growing","Flat")))</x:f>
        <x:v>Growing</x:v>
      </x:c>
      <x:c r="N62" s="33" t="str">
        <x:f>IF(O62&lt;&gt;"Active","Resolve Facebook policy flag before pricing",IF(OR(J62="Very High",J62="High",M62="Surging"),"Hold price; strong demand signal",IF(AND(J62="Low",M62="Flat"),"Improve photo/title or bundle; consider post-sale reduction","Review after sale; modest reduction only if unsold")))</x:f>
        <x:v>Review after sale; modest reduction only if unsold</x:v>
      </x:c>
      <x:c r="O62" s="28" t="str">
        <x:v>Active</x:v>
      </x:c>
    </x:row>
    <x:row r="63">
      <x:c r="A63" s="28" t="str">
        <x:v>Electronics &amp; Media</x:v>
      </x:c>
      <x:c r="B63" s="33" t="str">
        <x:v>Sony Walkman D-E350 Portable CD Player</x:v>
      </x:c>
      <x:c r="C63" s="29" t="n">
        <x:v>15</x:v>
      </x:c>
      <x:c r="D63" s="28" t="n">
        <x:v>147</x:v>
      </x:c>
      <x:c r="E63" s="28" t="n">
        <x:v>299</x:v>
      </x:c>
      <x:c r="F63" s="28" t="n">
        <x:f>E63-D63</x:f>
        <x:v>152</x:v>
      </x:c>
      <x:c r="G63" s="30" t="n">
        <x:v>46245</x:v>
      </x:c>
      <x:c r="H63" s="28" t="n">
        <x:f>DATE(2026,8,14)-G63+1</x:f>
        <x:v>4</x:v>
      </x:c>
      <x:c r="I63" s="31" t="n">
        <x:f>IF(H63&gt;0,E63/H63,0)</x:f>
        <x:v>74.75</x:v>
      </x:c>
      <x:c r="J63" s="28" t="str">
        <x:f>IF(O63&lt;&gt;"Active","Blocked",IF(I63&gt;=20,"Very High",IF(I63&gt;=8,"High",IF(I63&gt;=2,"Moderate","Low"))))</x:f>
        <x:v>Very High</x:v>
      </x:c>
      <x:c r="K63" s="32" t="n">
        <x:f>IF(J63="Blocked",C63,IF(OR(J63="Very High",J63="High"),C63,IF(J63="Moderate",MAX(5,ROUND(C63*0.9/5,0)*5),MAX(5,ROUND(C63*0.8/5,0)*5))))</x:f>
        <x:v>15</x:v>
      </x:c>
      <x:c r="L63" s="32" t="n">
        <x:f>K63-C63</x:f>
        <x:v>0</x:v>
      </x:c>
      <x:c r="M63" s="28" t="str">
        <x:f>IF(O63&lt;&gt;"Active","Blocked",IF(F63&gt;=20,"Surging",IF(F63&gt;=5,"Growing","Flat")))</x:f>
        <x:v>Surging</x:v>
      </x:c>
      <x:c r="N63" s="33" t="str">
        <x:f>IF(O63&lt;&gt;"Active","Resolve Facebook policy flag before pricing",IF(OR(J63="Very High",J63="High",M63="Surging"),"Hold price; strong demand signal",IF(AND(J63="Low",M63="Flat"),"Improve photo/title or bundle; consider post-sale reduction","Review after sale; modest reduction only if unsold")))</x:f>
        <x:v>Hold price; strong demand signal</x:v>
      </x:c>
      <x:c r="O63" s="28" t="str">
        <x:v>Active</x:v>
      </x:c>
    </x:row>
    <x:row r="64">
      <x:c r="A64" s="28" t="str">
        <x:v>Decor, Collectibles &amp; Books</x:v>
      </x:c>
      <x:c r="B64" s="33" t="str">
        <x:v>Stained-Glass-Style Hanging Pendant Light</x:v>
      </x:c>
      <x:c r="C64" s="29" t="n">
        <x:v>75</x:v>
      </x:c>
      <x:c r="D64" s="28" t="n">
        <x:v>41</x:v>
      </x:c>
      <x:c r="E64" s="28" t="n">
        <x:v>57</x:v>
      </x:c>
      <x:c r="F64" s="28" t="n">
        <x:f>E64-D64</x:f>
        <x:v>16</x:v>
      </x:c>
      <x:c r="G64" s="30" t="n">
        <x:v>46244</x:v>
      </x:c>
      <x:c r="H64" s="28" t="n">
        <x:f>DATE(2026,8,14)-G64+1</x:f>
        <x:v>5</x:v>
      </x:c>
      <x:c r="I64" s="31" t="n">
        <x:f>IF(H64&gt;0,E64/H64,0)</x:f>
        <x:v>11.4</x:v>
      </x:c>
      <x:c r="J64" s="28" t="str">
        <x:f>IF(O64&lt;&gt;"Active","Blocked",IF(I64&gt;=20,"Very High",IF(I64&gt;=8,"High",IF(I64&gt;=2,"Moderate","Low"))))</x:f>
        <x:v>High</x:v>
      </x:c>
      <x:c r="K64" s="32" t="n">
        <x:f>IF(J64="Blocked",C64,IF(OR(J64="Very High",J64="High"),C64,IF(J64="Moderate",MAX(5,ROUND(C64*0.9/5,0)*5),MAX(5,ROUND(C64*0.8/5,0)*5))))</x:f>
        <x:v>75</x:v>
      </x:c>
      <x:c r="L64" s="32" t="n">
        <x:f>K64-C64</x:f>
        <x:v>0</x:v>
      </x:c>
      <x:c r="M64" s="28" t="str">
        <x:f>IF(O64&lt;&gt;"Active","Blocked",IF(F64&gt;=20,"Surging",IF(F64&gt;=5,"Growing","Flat")))</x:f>
        <x:v>Growing</x:v>
      </x:c>
      <x:c r="N64" s="33" t="str">
        <x:f>IF(O64&lt;&gt;"Active","Resolve Facebook policy flag before pricing",IF(OR(J64="Very High",J64="High",M64="Surging"),"Hold price; strong demand signal",IF(AND(J64="Low",M64="Flat"),"Improve photo/title or bundle; consider post-sale reduction","Review after sale; modest reduction only if unsold")))</x:f>
        <x:v>Hold price; strong demand signal</x:v>
      </x:c>
      <x:c r="O64" s="28" t="str">
        <x:v>Active</x:v>
      </x:c>
    </x:row>
    <x:row r="65">
      <x:c r="A65" s="28" t="str">
        <x:v>Furniture, Storage &amp; Lighting</x:v>
      </x:c>
      <x:c r="B65" s="33" t="str">
        <x:v>Tall Media Storage Cabinet</x:v>
      </x:c>
      <x:c r="C65" s="29" t="n">
        <x:v>40</x:v>
      </x:c>
      <x:c r="D65" s="28" t="n">
        <x:v>32</x:v>
      </x:c>
      <x:c r="E65" s="28" t="n">
        <x:v>41</x:v>
      </x:c>
      <x:c r="F65" s="28" t="n">
        <x:f>E65-D65</x:f>
        <x:v>9</x:v>
      </x:c>
      <x:c r="G65" s="30" t="n">
        <x:v>46244</x:v>
      </x:c>
      <x:c r="H65" s="28" t="n">
        <x:f>DATE(2026,8,14)-G65+1</x:f>
        <x:v>5</x:v>
      </x:c>
      <x:c r="I65" s="31" t="n">
        <x:f>IF(H65&gt;0,E65/H65,0)</x:f>
        <x:v>8.2</x:v>
      </x:c>
      <x:c r="J65" s="28" t="str">
        <x:f>IF(O65&lt;&gt;"Active","Blocked",IF(I65&gt;=20,"Very High",IF(I65&gt;=8,"High",IF(I65&gt;=2,"Moderate","Low"))))</x:f>
        <x:v>High</x:v>
      </x:c>
      <x:c r="K65" s="32" t="n">
        <x:f>IF(J65="Blocked",C65,IF(OR(J65="Very High",J65="High"),C65,IF(J65="Moderate",MAX(5,ROUND(C65*0.9/5,0)*5),MAX(5,ROUND(C65*0.8/5,0)*5))))</x:f>
        <x:v>40</x:v>
      </x:c>
      <x:c r="L65" s="32" t="n">
        <x:f>K65-C65</x:f>
        <x:v>0</x:v>
      </x:c>
      <x:c r="M65" s="28" t="str">
        <x:f>IF(O65&lt;&gt;"Active","Blocked",IF(F65&gt;=20,"Surging",IF(F65&gt;=5,"Growing","Flat")))</x:f>
        <x:v>Growing</x:v>
      </x:c>
      <x:c r="N65" s="33" t="str">
        <x:f>IF(O65&lt;&gt;"Active","Resolve Facebook policy flag before pricing",IF(OR(J65="Very High",J65="High",M65="Surging"),"Hold price; strong demand signal",IF(AND(J65="Low",M65="Flat"),"Improve photo/title or bundle; consider post-sale reduction","Review after sale; modest reduction only if unsold")))</x:f>
        <x:v>Hold price; strong demand signal</x:v>
      </x:c>
      <x:c r="O65" s="28" t="str">
        <x:v>Active</x:v>
      </x:c>
    </x:row>
    <x:row r="66">
      <x:c r="A66" s="28" t="str">
        <x:v>Tools, Office &amp; Household</x:v>
      </x:c>
      <x:c r="B66" s="33" t="str">
        <x:v>TIANSE 21-Hole Comb Binding Machine</x:v>
      </x:c>
      <x:c r="C66" s="29" t="n">
        <x:v>25</x:v>
      </x:c>
      <x:c r="D66" s="28" t="n">
        <x:v>12</x:v>
      </x:c>
      <x:c r="E66" s="28" t="n">
        <x:v>71</x:v>
      </x:c>
      <x:c r="F66" s="28" t="n">
        <x:f>E66-D66</x:f>
        <x:v>59</x:v>
      </x:c>
      <x:c r="G66" s="30" t="n">
        <x:v>46247</x:v>
      </x:c>
      <x:c r="H66" s="28" t="n">
        <x:f>DATE(2026,8,14)-G66+1</x:f>
        <x:v>2</x:v>
      </x:c>
      <x:c r="I66" s="31" t="n">
        <x:f>IF(H66&gt;0,E66/H66,0)</x:f>
        <x:v>35.5</x:v>
      </x:c>
      <x:c r="J66" s="28" t="str">
        <x:f>IF(O66&lt;&gt;"Active","Blocked",IF(I66&gt;=20,"Very High",IF(I66&gt;=8,"High",IF(I66&gt;=2,"Moderate","Low"))))</x:f>
        <x:v>Very High</x:v>
      </x:c>
      <x:c r="K66" s="32" t="n">
        <x:f>IF(J66="Blocked",C66,IF(OR(J66="Very High",J66="High"),C66,IF(J66="Moderate",MAX(5,ROUND(C66*0.9/5,0)*5),MAX(5,ROUND(C66*0.8/5,0)*5))))</x:f>
        <x:v>25</x:v>
      </x:c>
      <x:c r="L66" s="32" t="n">
        <x:f>K66-C66</x:f>
        <x:v>0</x:v>
      </x:c>
      <x:c r="M66" s="28" t="str">
        <x:f>IF(O66&lt;&gt;"Active","Blocked",IF(F66&gt;=20,"Surging",IF(F66&gt;=5,"Growing","Flat")))</x:f>
        <x:v>Surging</x:v>
      </x:c>
      <x:c r="N66" s="33" t="str">
        <x:f>IF(O66&lt;&gt;"Active","Resolve Facebook policy flag before pricing",IF(OR(J66="Very High",J66="High",M66="Surging"),"Hold price; strong demand signal",IF(AND(J66="Low",M66="Flat"),"Improve photo/title or bundle; consider post-sale reduction","Review after sale; modest reduction only if unsold")))</x:f>
        <x:v>Hold price; strong demand signal</x:v>
      </x:c>
      <x:c r="O66" s="28" t="str">
        <x:v>Active</x:v>
      </x:c>
    </x:row>
    <x:row r="67">
      <x:c r="A67" s="28" t="str">
        <x:v>Furniture, Storage &amp; Lighting</x:v>
      </x:c>
      <x:c r="B67" s="33" t="str">
        <x:v>Turquoise Table Lamp with Pleated Shade</x:v>
      </x:c>
      <x:c r="C67" s="29" t="n">
        <x:v>30</x:v>
      </x:c>
      <x:c r="D67" s="28" t="n">
        <x:v>3</x:v>
      </x:c>
      <x:c r="E67" s="28" t="n">
        <x:v>3</x:v>
      </x:c>
      <x:c r="F67" s="28" t="n">
        <x:f>E67-D67</x:f>
        <x:v>0</x:v>
      </x:c>
      <x:c r="G67" s="30" t="n">
        <x:v>46244</x:v>
      </x:c>
      <x:c r="H67" s="28" t="n">
        <x:f>DATE(2026,8,14)-G67+1</x:f>
        <x:v>5</x:v>
      </x:c>
      <x:c r="I67" s="31" t="n">
        <x:f>IF(H67&gt;0,E67/H67,0)</x:f>
        <x:v>0.6</x:v>
      </x:c>
      <x:c r="J67" s="28" t="str">
        <x:f>IF(O67&lt;&gt;"Active","Blocked",IF(I67&gt;=20,"Very High",IF(I67&gt;=8,"High",IF(I67&gt;=2,"Moderate","Low"))))</x:f>
        <x:v>Low</x:v>
      </x:c>
      <x:c r="K67" s="32" t="n">
        <x:f>IF(J67="Blocked",C67,IF(OR(J67="Very High",J67="High"),C67,IF(J67="Moderate",MAX(5,ROUND(C67*0.9/5,0)*5),MAX(5,ROUND(C67*0.8/5,0)*5))))</x:f>
        <x:v>25</x:v>
      </x:c>
      <x:c r="L67" s="32" t="n">
        <x:f>K67-C67</x:f>
        <x:v>-5</x:v>
      </x:c>
      <x:c r="M67" s="28" t="str">
        <x:f>IF(O67&lt;&gt;"Active","Blocked",IF(F67&gt;=20,"Surging",IF(F67&gt;=5,"Growing","Flat")))</x:f>
        <x:v>Flat</x:v>
      </x:c>
      <x:c r="N67" s="33" t="str">
        <x:f>IF(O67&lt;&gt;"Active","Resolve Facebook policy flag before pricing",IF(OR(J67="Very High",J67="High",M67="Surging"),"Hold price; strong demand signal",IF(AND(J67="Low",M67="Flat"),"Improve photo/title or bundle; consider post-sale reduction","Review after sale; modest reduction only if unsold")))</x:f>
        <x:v>Improve photo/title or bundle; consider post-sale reduction</x:v>
      </x:c>
      <x:c r="O67" s="28" t="str">
        <x:v>Active</x:v>
      </x:c>
    </x:row>
    <x:row r="68">
      <x:c r="A68" s="28" t="str">
        <x:v>Electronics &amp; Media</x:v>
      </x:c>
      <x:c r="B68" s="33" t="str">
        <x:v>Vintage GE Clock Cassette Recorder</x:v>
      </x:c>
      <x:c r="C68" s="29" t="n">
        <x:v>20</x:v>
      </x:c>
      <x:c r="D68" s="28" t="n">
        <x:v>50</x:v>
      </x:c>
      <x:c r="E68" s="28" t="n">
        <x:v>68</x:v>
      </x:c>
      <x:c r="F68" s="28" t="n">
        <x:f>E68-D68</x:f>
        <x:v>18</x:v>
      </x:c>
      <x:c r="G68" s="30" t="n">
        <x:v>46245</x:v>
      </x:c>
      <x:c r="H68" s="28" t="n">
        <x:f>DATE(2026,8,14)-G68+1</x:f>
        <x:v>4</x:v>
      </x:c>
      <x:c r="I68" s="31" t="n">
        <x:f>IF(H68&gt;0,E68/H68,0)</x:f>
        <x:v>17</x:v>
      </x:c>
      <x:c r="J68" s="28" t="str">
        <x:f>IF(O68&lt;&gt;"Active","Blocked",IF(I68&gt;=20,"Very High",IF(I68&gt;=8,"High",IF(I68&gt;=2,"Moderate","Low"))))</x:f>
        <x:v>High</x:v>
      </x:c>
      <x:c r="K68" s="32" t="n">
        <x:f>IF(J68="Blocked",C68,IF(OR(J68="Very High",J68="High"),C68,IF(J68="Moderate",MAX(5,ROUND(C68*0.9/5,0)*5),MAX(5,ROUND(C68*0.8/5,0)*5))))</x:f>
        <x:v>20</x:v>
      </x:c>
      <x:c r="L68" s="32" t="n">
        <x:f>K68-C68</x:f>
        <x:v>0</x:v>
      </x:c>
      <x:c r="M68" s="28" t="str">
        <x:f>IF(O68&lt;&gt;"Active","Blocked",IF(F68&gt;=20,"Surging",IF(F68&gt;=5,"Growing","Flat")))</x:f>
        <x:v>Growing</x:v>
      </x:c>
      <x:c r="N68" s="33" t="str">
        <x:f>IF(O68&lt;&gt;"Active","Resolve Facebook policy flag before pricing",IF(OR(J68="Very High",J68="High",M68="Surging"),"Hold price; strong demand signal",IF(AND(J68="Low",M68="Flat"),"Improve photo/title or bundle; consider post-sale reduction","Review after sale; modest reduction only if unsold")))</x:f>
        <x:v>Hold price; strong demand signal</x:v>
      </x:c>
      <x:c r="O68" s="28" t="str">
        <x:v>Active</x:v>
      </x:c>
    </x:row>
    <x:row r="69">
      <x:c r="A69" s="28" t="str">
        <x:v>Kitchen &amp; Dining</x:v>
      </x:c>
      <x:c r="B69" s="33" t="str">
        <x:v>Vintage Gold-Tone Rose-Pattern Flatware Set with Case</x:v>
      </x:c>
      <x:c r="C69" s="29" t="n">
        <x:v>75</x:v>
      </x:c>
      <x:c r="D69" s="28" t="n">
        <x:v>19</x:v>
      </x:c>
      <x:c r="E69" s="28" t="n">
        <x:v>25</x:v>
      </x:c>
      <x:c r="F69" s="28" t="n">
        <x:f>E69-D69</x:f>
        <x:v>6</x:v>
      </x:c>
      <x:c r="G69" s="30" t="n">
        <x:v>46246</x:v>
      </x:c>
      <x:c r="H69" s="28" t="n">
        <x:f>DATE(2026,8,14)-G69+1</x:f>
        <x:v>3</x:v>
      </x:c>
      <x:c r="I69" s="31" t="n">
        <x:f>IF(H69&gt;0,E69/H69,0)</x:f>
        <x:v>8.333333333333334</x:v>
      </x:c>
      <x:c r="J69" s="28" t="str">
        <x:f>IF(O69&lt;&gt;"Active","Blocked",IF(I69&gt;=20,"Very High",IF(I69&gt;=8,"High",IF(I69&gt;=2,"Moderate","Low"))))</x:f>
        <x:v>High</x:v>
      </x:c>
      <x:c r="K69" s="32" t="n">
        <x:f>IF(J69="Blocked",C69,IF(OR(J69="Very High",J69="High"),C69,IF(J69="Moderate",MAX(5,ROUND(C69*0.9/5,0)*5),MAX(5,ROUND(C69*0.8/5,0)*5))))</x:f>
        <x:v>75</x:v>
      </x:c>
      <x:c r="L69" s="32" t="n">
        <x:f>K69-C69</x:f>
        <x:v>0</x:v>
      </x:c>
      <x:c r="M69" s="28" t="str">
        <x:f>IF(O69&lt;&gt;"Active","Blocked",IF(F69&gt;=20,"Surging",IF(F69&gt;=5,"Growing","Flat")))</x:f>
        <x:v>Growing</x:v>
      </x:c>
      <x:c r="N69" s="33" t="str">
        <x:f>IF(O69&lt;&gt;"Active","Resolve Facebook policy flag before pricing",IF(OR(J69="Very High",J69="High",M69="Surging"),"Hold price; strong demand signal",IF(AND(J69="Low",M69="Flat"),"Improve photo/title or bundle; consider post-sale reduction","Review after sale; modest reduction only if unsold")))</x:f>
        <x:v>Hold price; strong demand signal</x:v>
      </x:c>
      <x:c r="O69" s="28" t="str">
        <x:v>Active</x:v>
      </x:c>
    </x:row>
    <x:row r="70">
      <x:c r="A70" s="28" t="str">
        <x:v>Tools, Office &amp; Household</x:v>
      </x:c>
      <x:c r="B70" s="33" t="str">
        <x:v>Wall-Mounted Toilet-Paper Storage Cabinet</x:v>
      </x:c>
      <x:c r="C70" s="29" t="n">
        <x:v>20</x:v>
      </x:c>
      <x:c r="D70" s="28" t="n">
        <x:v>57</x:v>
      </x:c>
      <x:c r="E70" s="28" t="n">
        <x:v>99</x:v>
      </x:c>
      <x:c r="F70" s="28" t="n">
        <x:f>E70-D70</x:f>
        <x:v>42</x:v>
      </x:c>
      <x:c r="G70" s="30" t="n">
        <x:v>46244</x:v>
      </x:c>
      <x:c r="H70" s="28" t="n">
        <x:f>DATE(2026,8,14)-G70+1</x:f>
        <x:v>5</x:v>
      </x:c>
      <x:c r="I70" s="31" t="n">
        <x:f>IF(H70&gt;0,E70/H70,0)</x:f>
        <x:v>19.8</x:v>
      </x:c>
      <x:c r="J70" s="28" t="str">
        <x:f>IF(O70&lt;&gt;"Active","Blocked",IF(I70&gt;=20,"Very High",IF(I70&gt;=8,"High",IF(I70&gt;=2,"Moderate","Low"))))</x:f>
        <x:v>High</x:v>
      </x:c>
      <x:c r="K70" s="32" t="n">
        <x:f>IF(J70="Blocked",C70,IF(OR(J70="Very High",J70="High"),C70,IF(J70="Moderate",MAX(5,ROUND(C70*0.9/5,0)*5),MAX(5,ROUND(C70*0.8/5,0)*5))))</x:f>
        <x:v>20</x:v>
      </x:c>
      <x:c r="L70" s="32" t="n">
        <x:f>K70-C70</x:f>
        <x:v>0</x:v>
      </x:c>
      <x:c r="M70" s="28" t="str">
        <x:f>IF(O70&lt;&gt;"Active","Blocked",IF(F70&gt;=20,"Surging",IF(F70&gt;=5,"Growing","Flat")))</x:f>
        <x:v>Surging</x:v>
      </x:c>
      <x:c r="N70" s="33" t="str">
        <x:f>IF(O70&lt;&gt;"Active","Resolve Facebook policy flag before pricing",IF(OR(J70="Very High",J70="High",M70="Surging"),"Hold price; strong demand signal",IF(AND(J70="Low",M70="Flat"),"Improve photo/title or bundle; consider post-sale reduction","Review after sale; modest reduction only if unsold")))</x:f>
        <x:v>Hold price; strong demand signal</x:v>
      </x:c>
      <x:c r="O70" s="28" t="str">
        <x:v>Active</x:v>
      </x:c>
    </x:row>
    <x:row r="71">
      <x:c r="A71" s="28" t="str">
        <x:v>Furniture, Storage &amp; Lighting</x:v>
      </x:c>
      <x:c r="B71" s="33" t="str">
        <x:v>Wood and Metal Bed Frame</x:v>
      </x:c>
      <x:c r="C71" s="29" t="n">
        <x:v>75</x:v>
      </x:c>
      <x:c r="D71" s="28" t="n">
        <x:v>50</x:v>
      </x:c>
      <x:c r="E71" s="28" t="n">
        <x:v>87</x:v>
      </x:c>
      <x:c r="F71" s="28" t="n">
        <x:f>E71-D71</x:f>
        <x:v>37</x:v>
      </x:c>
      <x:c r="G71" s="30" t="n">
        <x:v>46244</x:v>
      </x:c>
      <x:c r="H71" s="28" t="n">
        <x:f>DATE(2026,8,14)-G71+1</x:f>
        <x:v>5</x:v>
      </x:c>
      <x:c r="I71" s="31" t="n">
        <x:f>IF(H71&gt;0,E71/H71,0)</x:f>
        <x:v>17.4</x:v>
      </x:c>
      <x:c r="J71" s="28" t="str">
        <x:f>IF(O71&lt;&gt;"Active","Blocked",IF(I71&gt;=20,"Very High",IF(I71&gt;=8,"High",IF(I71&gt;=2,"Moderate","Low"))))</x:f>
        <x:v>High</x:v>
      </x:c>
      <x:c r="K71" s="32" t="n">
        <x:f>IF(J71="Blocked",C71,IF(OR(J71="Very High",J71="High"),C71,IF(J71="Moderate",MAX(5,ROUND(C71*0.9/5,0)*5),MAX(5,ROUND(C71*0.8/5,0)*5))))</x:f>
        <x:v>75</x:v>
      </x:c>
      <x:c r="L71" s="32" t="n">
        <x:f>K71-C71</x:f>
        <x:v>0</x:v>
      </x:c>
      <x:c r="M71" s="28" t="str">
        <x:f>IF(O71&lt;&gt;"Active","Blocked",IF(F71&gt;=20,"Surging",IF(F71&gt;=5,"Growing","Flat")))</x:f>
        <x:v>Surging</x:v>
      </x:c>
      <x:c r="N71" s="33" t="str">
        <x:f>IF(O71&lt;&gt;"Active","Resolve Facebook policy flag before pricing",IF(OR(J71="Very High",J71="High",M71="Surging"),"Hold price; strong demand signal",IF(AND(J71="Low",M71="Flat"),"Improve photo/title or bundle; consider post-sale reduction","Review after sale; modest reduction only if unsold")))</x:f>
        <x:v>Hold price; strong demand signal</x:v>
      </x:c>
      <x:c r="O71" s="28" t="str">
        <x:v>Active</x:v>
      </x:c>
    </x:row>
    <x:row r="72">
      <x:c r="A72" s="28" t="str">
        <x:v>Furniture, Storage &amp; Lighting</x:v>
      </x:c>
      <x:c r="B72" s="33" t="str">
        <x:v>Wood Corner Cabinet or Hutch</x:v>
      </x:c>
      <x:c r="C72" s="29" t="n">
        <x:v>125</x:v>
      </x:c>
      <x:c r="D72" s="28" t="n">
        <x:v>541</x:v>
      </x:c>
      <x:c r="E72" s="28" t="n">
        <x:v>738</x:v>
      </x:c>
      <x:c r="F72" s="28" t="n">
        <x:f>E72-D72</x:f>
        <x:v>197</x:v>
      </x:c>
      <x:c r="G72" s="30" t="n">
        <x:v>46244</x:v>
      </x:c>
      <x:c r="H72" s="28" t="n">
        <x:f>DATE(2026,8,14)-G72+1</x:f>
        <x:v>5</x:v>
      </x:c>
      <x:c r="I72" s="31" t="n">
        <x:f>IF(H72&gt;0,E72/H72,0)</x:f>
        <x:v>147.6</x:v>
      </x:c>
      <x:c r="J72" s="28" t="str">
        <x:f>IF(O72&lt;&gt;"Active","Blocked",IF(I72&gt;=20,"Very High",IF(I72&gt;=8,"High",IF(I72&gt;=2,"Moderate","Low"))))</x:f>
        <x:v>Very High</x:v>
      </x:c>
      <x:c r="K72" s="32" t="n">
        <x:f>IF(J72="Blocked",C72,IF(OR(J72="Very High",J72="High"),C72,IF(J72="Moderate",MAX(5,ROUND(C72*0.9/5,0)*5),MAX(5,ROUND(C72*0.8/5,0)*5))))</x:f>
        <x:v>125</x:v>
      </x:c>
      <x:c r="L72" s="32" t="n">
        <x:f>K72-C72</x:f>
        <x:v>0</x:v>
      </x:c>
      <x:c r="M72" s="28" t="str">
        <x:f>IF(O72&lt;&gt;"Active","Blocked",IF(F72&gt;=20,"Surging",IF(F72&gt;=5,"Growing","Flat")))</x:f>
        <x:v>Surging</x:v>
      </x:c>
      <x:c r="N72" s="33" t="str">
        <x:f>IF(O72&lt;&gt;"Active","Resolve Facebook policy flag before pricing",IF(OR(J72="Very High",J72="High",M72="Surging"),"Hold price; strong demand signal",IF(AND(J72="Low",M72="Flat"),"Improve photo/title or bundle; consider post-sale reduction","Review after sale; modest reduction only if unsold")))</x:f>
        <x:v>Hold price; strong demand signal</x:v>
      </x:c>
      <x:c r="O72" s="28" t="str">
        <x:v>Active</x:v>
      </x:c>
    </x:row>
    <x:row r="73">
      <x:c r="A73" s="28" t="str">
        <x:v>Furniture, Storage &amp; Lighting</x:v>
      </x:c>
      <x:c r="B73" s="33" t="str">
        <x:v>Wood Cubby Display Shelf with Figurines</x:v>
      </x:c>
      <x:c r="C73" s="29" t="n">
        <x:v>55</x:v>
      </x:c>
      <x:c r="D73" s="28" t="n">
        <x:v>21</x:v>
      </x:c>
      <x:c r="E73" s="28" t="n">
        <x:v>135</x:v>
      </x:c>
      <x:c r="F73" s="28" t="n">
        <x:f>E73-D73</x:f>
        <x:v>114</x:v>
      </x:c>
      <x:c r="G73" s="30" t="n">
        <x:v>46244</x:v>
      </x:c>
      <x:c r="H73" s="28" t="n">
        <x:f>DATE(2026,8,14)-G73+1</x:f>
        <x:v>5</x:v>
      </x:c>
      <x:c r="I73" s="31" t="n">
        <x:f>IF(H73&gt;0,E73/H73,0)</x:f>
        <x:v>27</x:v>
      </x:c>
      <x:c r="J73" s="28" t="str">
        <x:f>IF(O73&lt;&gt;"Active","Blocked",IF(I73&gt;=20,"Very High",IF(I73&gt;=8,"High",IF(I73&gt;=2,"Moderate","Low"))))</x:f>
        <x:v>Very High</x:v>
      </x:c>
      <x:c r="K73" s="32" t="n">
        <x:f>IF(J73="Blocked",C73,IF(OR(J73="Very High",J73="High"),C73,IF(J73="Moderate",MAX(5,ROUND(C73*0.9/5,0)*5),MAX(5,ROUND(C73*0.8/5,0)*5))))</x:f>
        <x:v>55</x:v>
      </x:c>
      <x:c r="L73" s="32" t="n">
        <x:f>K73-C73</x:f>
        <x:v>0</x:v>
      </x:c>
      <x:c r="M73" s="28" t="str">
        <x:f>IF(O73&lt;&gt;"Active","Blocked",IF(F73&gt;=20,"Surging",IF(F73&gt;=5,"Growing","Flat")))</x:f>
        <x:v>Surging</x:v>
      </x:c>
      <x:c r="N73" s="33" t="str">
        <x:f>IF(O73&lt;&gt;"Active","Resolve Facebook policy flag before pricing",IF(OR(J73="Very High",J73="High",M73="Surging"),"Hold price; strong demand signal",IF(AND(J73="Low",M73="Flat"),"Improve photo/title or bundle; consider post-sale reduction","Review after sale; modest reduction only if unsold")))</x:f>
        <x:v>Hold price; strong demand signal</x:v>
      </x:c>
      <x:c r="O73" s="28" t="str">
        <x:v>Active</x:v>
      </x:c>
    </x:row>
    <x:row r="74">
      <x:c r="A74" s="28" t="str">
        <x:v>Furniture, Storage &amp; Lighting</x:v>
      </x:c>
      <x:c r="B74" s="33" t="str">
        <x:v>Wood Folding TV Tray Table</x:v>
      </x:c>
      <x:c r="C74" s="29" t="n">
        <x:v>15</x:v>
      </x:c>
      <x:c r="D74" s="28" t="n">
        <x:v>10</x:v>
      </x:c>
      <x:c r="E74" s="28" t="n">
        <x:v>10</x:v>
      </x:c>
      <x:c r="F74" s="28" t="n">
        <x:f>E74-D74</x:f>
        <x:v>0</x:v>
      </x:c>
      <x:c r="G74" s="30" t="n">
        <x:v>46244</x:v>
      </x:c>
      <x:c r="H74" s="28" t="n">
        <x:f>DATE(2026,8,14)-G74+1</x:f>
        <x:v>5</x:v>
      </x:c>
      <x:c r="I74" s="31" t="n">
        <x:f>IF(H74&gt;0,E74/H74,0)</x:f>
        <x:v>2</x:v>
      </x:c>
      <x:c r="J74" s="28" t="str">
        <x:f>IF(O74&lt;&gt;"Active","Blocked",IF(I74&gt;=20,"Very High",IF(I74&gt;=8,"High",IF(I74&gt;=2,"Moderate","Low"))))</x:f>
        <x:v>Moderate</x:v>
      </x:c>
      <x:c r="K74" s="32" t="n">
        <x:f>IF(J74="Blocked",C74,IF(OR(J74="Very High",J74="High"),C74,IF(J74="Moderate",MAX(5,ROUND(C74*0.9/5,0)*5),MAX(5,ROUND(C74*0.8/5,0)*5))))</x:f>
        <x:v>15</x:v>
      </x:c>
      <x:c r="L74" s="32" t="n">
        <x:f>K74-C74</x:f>
        <x:v>0</x:v>
      </x:c>
      <x:c r="M74" s="28" t="str">
        <x:f>IF(O74&lt;&gt;"Active","Blocked",IF(F74&gt;=20,"Surging",IF(F74&gt;=5,"Growing","Flat")))</x:f>
        <x:v>Flat</x:v>
      </x:c>
      <x:c r="N74" s="33" t="str">
        <x:f>IF(O74&lt;&gt;"Active","Resolve Facebook policy flag before pricing",IF(OR(J74="Very High",J74="High",M74="Surging"),"Hold price; strong demand signal",IF(AND(J74="Low",M74="Flat"),"Improve photo/title or bundle; consider post-sale reduction","Review after sale; modest reduction only if unsold")))</x:f>
        <x:v>Review after sale; modest reduction only if unsold</x:v>
      </x:c>
      <x:c r="O74" s="28" t="str">
        <x:v>Active</x:v>
      </x:c>
    </x:row>
    <x:row r="75">
      <x:c r="A75" s="28" t="str">
        <x:v>Electronics &amp; Media</x:v>
      </x:c>
      <x:c r="B75" s="33" t="str">
        <x:v>Wood Lift-Top File or Record Cabinet</x:v>
      </x:c>
      <x:c r="C75" s="29" t="n">
        <x:v>50</x:v>
      </x:c>
      <x:c r="D75" s="28" t="n">
        <x:v>25</x:v>
      </x:c>
      <x:c r="E75" s="28" t="n">
        <x:v>35</x:v>
      </x:c>
      <x:c r="F75" s="28" t="n">
        <x:f>E75-D75</x:f>
        <x:v>10</x:v>
      </x:c>
      <x:c r="G75" s="30" t="n">
        <x:v>46244</x:v>
      </x:c>
      <x:c r="H75" s="28" t="n">
        <x:f>DATE(2026,8,14)-G75+1</x:f>
        <x:v>5</x:v>
      </x:c>
      <x:c r="I75" s="31" t="n">
        <x:f>IF(H75&gt;0,E75/H75,0)</x:f>
        <x:v>7</x:v>
      </x:c>
      <x:c r="J75" s="28" t="str">
        <x:f>IF(O75&lt;&gt;"Active","Blocked",IF(I75&gt;=20,"Very High",IF(I75&gt;=8,"High",IF(I75&gt;=2,"Moderate","Low"))))</x:f>
        <x:v>Moderate</x:v>
      </x:c>
      <x:c r="K75" s="32" t="n">
        <x:f>IF(J75="Blocked",C75,IF(OR(J75="Very High",J75="High"),C75,IF(J75="Moderate",MAX(5,ROUND(C75*0.9/5,0)*5),MAX(5,ROUND(C75*0.8/5,0)*5))))</x:f>
        <x:v>45</x:v>
      </x:c>
      <x:c r="L75" s="32" t="n">
        <x:f>K75-C75</x:f>
        <x:v>-5</x:v>
      </x:c>
      <x:c r="M75" s="28" t="str">
        <x:f>IF(O75&lt;&gt;"Active","Blocked",IF(F75&gt;=20,"Surging",IF(F75&gt;=5,"Growing","Flat")))</x:f>
        <x:v>Growing</x:v>
      </x:c>
      <x:c r="N75" s="33" t="str">
        <x:f>IF(O75&lt;&gt;"Active","Resolve Facebook policy flag before pricing",IF(OR(J75="Very High",J75="High",M75="Surging"),"Hold price; strong demand signal",IF(AND(J75="Low",M75="Flat"),"Improve photo/title or bundle; consider post-sale reduction","Review after sale; modest reduction only if unsold")))</x:f>
        <x:v>Review after sale; modest reduction only if unsold</x:v>
      </x:c>
      <x:c r="O75" s="28" t="str">
        <x:v>Active</x:v>
      </x:c>
    </x:row>
    <x:row r="76">
      <x:c r="A76" s="28" t="str">
        <x:v>Furniture, Storage &amp; Lighting</x:v>
      </x:c>
      <x:c r="B76" s="33" t="str">
        <x:v>Wood Pedestal Book or Bible Stand</x:v>
      </x:c>
      <x:c r="C76" s="29" t="n">
        <x:v>30</x:v>
      </x:c>
      <x:c r="D76" s="28" t="n">
        <x:v>87</x:v>
      </x:c>
      <x:c r="E76" s="28" t="n">
        <x:v>158</x:v>
      </x:c>
      <x:c r="F76" s="28" t="n">
        <x:f>E76-D76</x:f>
        <x:v>71</x:v>
      </x:c>
      <x:c r="G76" s="30" t="n">
        <x:v>46244</x:v>
      </x:c>
      <x:c r="H76" s="28" t="n">
        <x:f>DATE(2026,8,14)-G76+1</x:f>
        <x:v>5</x:v>
      </x:c>
      <x:c r="I76" s="31" t="n">
        <x:f>IF(H76&gt;0,E76/H76,0)</x:f>
        <x:v>31.6</x:v>
      </x:c>
      <x:c r="J76" s="28" t="str">
        <x:f>IF(O76&lt;&gt;"Active","Blocked",IF(I76&gt;=20,"Very High",IF(I76&gt;=8,"High",IF(I76&gt;=2,"Moderate","Low"))))</x:f>
        <x:v>Very High</x:v>
      </x:c>
      <x:c r="K76" s="32" t="n">
        <x:f>IF(J76="Blocked",C76,IF(OR(J76="Very High",J76="High"),C76,IF(J76="Moderate",MAX(5,ROUND(C76*0.9/5,0)*5),MAX(5,ROUND(C76*0.8/5,0)*5))))</x:f>
        <x:v>30</x:v>
      </x:c>
      <x:c r="L76" s="32" t="n">
        <x:f>K76-C76</x:f>
        <x:v>0</x:v>
      </x:c>
      <x:c r="M76" s="28" t="str">
        <x:f>IF(O76&lt;&gt;"Active","Blocked",IF(F76&gt;=20,"Surging",IF(F76&gt;=5,"Growing","Flat")))</x:f>
        <x:v>Surging</x:v>
      </x:c>
      <x:c r="N76" s="33" t="str">
        <x:f>IF(O76&lt;&gt;"Active","Resolve Facebook policy flag before pricing",IF(OR(J76="Very High",J76="High",M76="Surging"),"Hold price; strong demand signal",IF(AND(J76="Low",M76="Flat"),"Improve photo/title or bundle; consider post-sale reduction","Review after sale; modest reduction only if unsold")))</x:f>
        <x:v>Hold price; strong demand signal</x:v>
      </x:c>
      <x:c r="O76" s="28" t="str">
        <x:v>Active</x:v>
      </x:c>
    </x:row>
    <x:row r="77">
      <x:c r="A77" s="28" t="str">
        <x:v>Furniture, Storage &amp; Lighting</x:v>
      </x:c>
      <x:c r="B77" s="33" t="str">
        <x:v>Wood Rolling Kitchen Cart</x:v>
      </x:c>
      <x:c r="C77" s="29" t="n">
        <x:v>50</x:v>
      </x:c>
      <x:c r="D77" s="28" t="n">
        <x:v>95</x:v>
      </x:c>
      <x:c r="E77" s="28" t="n">
        <x:v>200</x:v>
      </x:c>
      <x:c r="F77" s="28" t="n">
        <x:f>E77-D77</x:f>
        <x:v>105</x:v>
      </x:c>
      <x:c r="G77" s="30" t="n">
        <x:v>46244</x:v>
      </x:c>
      <x:c r="H77" s="28" t="n">
        <x:f>DATE(2026,8,14)-G77+1</x:f>
        <x:v>5</x:v>
      </x:c>
      <x:c r="I77" s="31" t="n">
        <x:f>IF(H77&gt;0,E77/H77,0)</x:f>
        <x:v>40</x:v>
      </x:c>
      <x:c r="J77" s="28" t="str">
        <x:f>IF(O77&lt;&gt;"Active","Blocked",IF(I77&gt;=20,"Very High",IF(I77&gt;=8,"High",IF(I77&gt;=2,"Moderate","Low"))))</x:f>
        <x:v>Very High</x:v>
      </x:c>
      <x:c r="K77" s="32" t="n">
        <x:f>IF(J77="Blocked",C77,IF(OR(J77="Very High",J77="High"),C77,IF(J77="Moderate",MAX(5,ROUND(C77*0.9/5,0)*5),MAX(5,ROUND(C77*0.8/5,0)*5))))</x:f>
        <x:v>50</x:v>
      </x:c>
      <x:c r="L77" s="32" t="n">
        <x:f>K77-C77</x:f>
        <x:v>0</x:v>
      </x:c>
      <x:c r="M77" s="28" t="str">
        <x:f>IF(O77&lt;&gt;"Active","Blocked",IF(F77&gt;=20,"Surging",IF(F77&gt;=5,"Growing","Flat")))</x:f>
        <x:v>Surging</x:v>
      </x:c>
      <x:c r="N77" s="33" t="str">
        <x:f>IF(O77&lt;&gt;"Active","Resolve Facebook policy flag before pricing",IF(OR(J77="Very High",J77="High",M77="Surging"),"Hold price; strong demand signal",IF(AND(J77="Low",M77="Flat"),"Improve photo/title or bundle; consider post-sale reduction","Review after sale; modest reduction only if unsold")))</x:f>
        <x:v>Hold price; strong demand signal</x:v>
      </x:c>
      <x:c r="O77" s="28" t="str">
        <x:v>Active</x:v>
      </x:c>
    </x:row>
    <x:row r="78">
      <x:c r="A78" s="28" t="str">
        <x:v>Furniture, Storage &amp; Lighting</x:v>
      </x:c>
      <x:c r="B78" s="33" t="str">
        <x:v>Wood Slat-Back Rocking Chair</x:v>
      </x:c>
      <x:c r="C78" s="29" t="n">
        <x:v>45</x:v>
      </x:c>
      <x:c r="D78" s="28" t="n">
        <x:v>23</x:v>
      </x:c>
      <x:c r="E78" s="28" t="n">
        <x:v>80</x:v>
      </x:c>
      <x:c r="F78" s="28" t="n">
        <x:f>E78-D78</x:f>
        <x:v>57</x:v>
      </x:c>
      <x:c r="G78" s="30" t="n">
        <x:v>46245</x:v>
      </x:c>
      <x:c r="H78" s="28" t="n">
        <x:f>DATE(2026,8,14)-G78+1</x:f>
        <x:v>4</x:v>
      </x:c>
      <x:c r="I78" s="31" t="n">
        <x:f>IF(H78&gt;0,E78/H78,0)</x:f>
        <x:v>20</x:v>
      </x:c>
      <x:c r="J78" s="28" t="str">
        <x:f>IF(O78&lt;&gt;"Active","Blocked",IF(I78&gt;=20,"Very High",IF(I78&gt;=8,"High",IF(I78&gt;=2,"Moderate","Low"))))</x:f>
        <x:v>Very High</x:v>
      </x:c>
      <x:c r="K78" s="32" t="n">
        <x:f>IF(J78="Blocked",C78,IF(OR(J78="Very High",J78="High"),C78,IF(J78="Moderate",MAX(5,ROUND(C78*0.9/5,0)*5),MAX(5,ROUND(C78*0.8/5,0)*5))))</x:f>
        <x:v>45</x:v>
      </x:c>
      <x:c r="L78" s="32" t="n">
        <x:f>K78-C78</x:f>
        <x:v>0</x:v>
      </x:c>
      <x:c r="M78" s="28" t="str">
        <x:f>IF(O78&lt;&gt;"Active","Blocked",IF(F78&gt;=20,"Surging",IF(F78&gt;=5,"Growing","Flat")))</x:f>
        <x:v>Surging</x:v>
      </x:c>
      <x:c r="N78" s="33" t="str">
        <x:f>IF(O78&lt;&gt;"Active","Resolve Facebook policy flag before pricing",IF(OR(J78="Very High",J78="High",M78="Surging"),"Hold price; strong demand signal",IF(AND(J78="Low",M78="Flat"),"Improve photo/title or bundle; consider post-sale reduction","Review after sale; modest reduction only if unsold")))</x:f>
        <x:v>Hold price; strong demand signal</x:v>
      </x:c>
      <x:c r="O78" s="28" t="str">
        <x:v>Active</x:v>
      </x:c>
    </x:row>
  </x:sheetData>
  <x:conditionalFormatting sqref="F2:F78">
    <x:cfRule type="colorScale" priority="1">
      <x:colorScale>
        <x:cfvo type="min"/>
        <x:cfvo type="percentile" val="50"/>
        <x:cfvo type="max"/>
        <x:color rgb="FFFFFFFF"/>
        <x:color rgb="FFFFF2CC"/>
        <x:color rgb="FF70AD47"/>
      </x:colorScale>
    </x:cfRule>
  </x:conditionalFormatting>
  <x:conditionalFormatting sqref="O2:O78">
    <x:cfRule type="expression" dxfId="0" priority="2">
      <x:formula>$O2="Needs attention"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903be657634d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6" hidden="0" customWidth="1"/>
  </x:cols>
  <x:sheetData>
    <x:row r="1">
      <x:c r="A1" s="22" t="str">
        <x:v>Listing / item</x:v>
      </x:c>
      <x:c r="B1" s="22" t="str">
        <x:v>Listed price</x:v>
      </x:c>
      <x:c r="C1" s="22" t="str">
        <x:v>Listed date</x:v>
      </x:c>
      <x:c r="D1" s="22" t="str">
        <x:v>Current clicks</x:v>
      </x:c>
      <x:c r="E1" s="22" t="str">
        <x:v>Status</x:v>
      </x:c>
      <x:c r="F1" s="22" t="str">
        <x:v>Captured</x:v>
      </x:c>
      <x:c r="G1" s="22" t="str">
        <x:v>Source</x:v>
      </x:c>
    </x:row>
    <x:row r="2">
      <x:c r="A2" s="15" t="str">
        <x:v>Assortment of Vinyl Records</x:v>
      </x:c>
      <x:c r="B2" s="11" t="n">
        <x:v>30</x:v>
      </x:c>
      <x:c r="C2" s="26" t="n">
        <x:v>46244</x:v>
      </x:c>
      <x:c r="D2" s="13" t="n">
        <x:v>80</x:v>
      </x:c>
      <x:c r="E2" s="13" t="str">
        <x:v>Active</x:v>
      </x:c>
      <x:c r="F2" s="26" t="n">
        <x:v>46248</x:v>
      </x:c>
      <x:c r="G2" s="13" t="str">
        <x:v>Facebook Marketplace / Your listings</x:v>
      </x:c>
    </x:row>
    <x:row r="3">
      <x:c r="A3" s="15" t="str">
        <x:v>Avantco Double Commercial Panini Grill</x:v>
      </x:c>
      <x:c r="B3" s="11" t="n">
        <x:v>175</x:v>
      </x:c>
      <x:c r="C3" s="26" t="n">
        <x:v>46245</x:v>
      </x:c>
      <x:c r="D3" s="13" t="n">
        <x:v>39</x:v>
      </x:c>
      <x:c r="E3" s="13" t="str">
        <x:v>Active</x:v>
      </x:c>
      <x:c r="F3" s="26" t="n">
        <x:v>46248</x:v>
      </x:c>
      <x:c r="G3" s="13" t="str">
        <x:v>Facebook Marketplace / Your listings</x:v>
      </x:c>
    </x:row>
    <x:row r="4">
      <x:c r="A4" s="15" t="str">
        <x:v>Boxed Household Item Lot</x:v>
      </x:c>
      <x:c r="B4" s="11" t="n">
        <x:v>30</x:v>
      </x:c>
      <x:c r="C4" s="26" t="n">
        <x:v>46245</x:v>
      </x:c>
      <x:c r="D4" s="13" t="n">
        <x:v>1</x:v>
      </x:c>
      <x:c r="E4" s="13" t="str">
        <x:v>Active</x:v>
      </x:c>
      <x:c r="F4" s="26" t="n">
        <x:v>46248</x:v>
      </x:c>
      <x:c r="G4" s="13" t="str">
        <x:v>Facebook Marketplace / Your listings</x:v>
      </x:c>
    </x:row>
    <x:row r="5">
      <x:c r="A5" s="15" t="str">
        <x:v>Cased Sewing Machine Model 2468 with Notions</x:v>
      </x:c>
      <x:c r="B5" s="11" t="n">
        <x:v>55</x:v>
      </x:c>
      <x:c r="C5" s="26" t="n">
        <x:v>46244</x:v>
      </x:c>
      <x:c r="D5" s="13" t="n">
        <x:v>104</x:v>
      </x:c>
      <x:c r="E5" s="13" t="str">
        <x:v>Active</x:v>
      </x:c>
      <x:c r="F5" s="26" t="n">
        <x:v>46248</x:v>
      </x:c>
      <x:c r="G5" s="13" t="str">
        <x:v>Facebook Marketplace / Your listings</x:v>
      </x:c>
    </x:row>
    <x:row r="6">
      <x:c r="A6" s="15" t="str">
        <x:v>Decorative Bear Figurine Trio</x:v>
      </x:c>
      <x:c r="B6" s="11" t="n">
        <x:v>15</x:v>
      </x:c>
      <x:c r="C6" s="26" t="n">
        <x:v>46245</x:v>
      </x:c>
      <x:c r="D6" s="13" t="n">
        <x:v>1</x:v>
      </x:c>
      <x:c r="E6" s="13" t="str">
        <x:v>Active</x:v>
      </x:c>
      <x:c r="F6" s="26" t="n">
        <x:v>46248</x:v>
      </x:c>
      <x:c r="G6" s="13" t="str">
        <x:v>Facebook Marketplace / Your listings</x:v>
      </x:c>
    </x:row>
    <x:row r="7">
      <x:c r="A7" s="15" t="str">
        <x:v>Decorative Doll and Angel Lot</x:v>
      </x:c>
      <x:c r="B7" s="11" t="n">
        <x:v>45</x:v>
      </x:c>
      <x:c r="C7" s="26" t="n">
        <x:v>46244</x:v>
      </x:c>
      <x:c r="D7" s="13" t="n">
        <x:v>3</x:v>
      </x:c>
      <x:c r="E7" s="13" t="str">
        <x:v>Active</x:v>
      </x:c>
      <x:c r="F7" s="26" t="n">
        <x:v>46248</x:v>
      </x:c>
      <x:c r="G7" s="13" t="str">
        <x:v>Facebook Marketplace / Your listings</x:v>
      </x:c>
    </x:row>
    <x:row r="8">
      <x:c r="A8" s="15" t="str">
        <x:v>Decorative Music Box Lot - 3</x:v>
      </x:c>
      <x:c r="B8" s="11" t="n">
        <x:v>25</x:v>
      </x:c>
      <x:c r="C8" s="26" t="n">
        <x:v>46247</x:v>
      </x:c>
      <x:c r="D8" s="13" t="n">
        <x:v>27</x:v>
      </x:c>
      <x:c r="E8" s="13" t="str">
        <x:v>Active</x:v>
      </x:c>
      <x:c r="F8" s="26" t="n">
        <x:v>46248</x:v>
      </x:c>
      <x:c r="G8" s="13" t="str">
        <x:v>Facebook Marketplace / Your listings</x:v>
      </x:c>
    </x:row>
    <x:row r="9">
      <x:c r="A9" s="15" t="str">
        <x:v>Detecto 350-lb Physician Balance-Beam Scale</x:v>
      </x:c>
      <x:c r="B9" s="11" t="n">
        <x:v>95</x:v>
      </x:c>
      <x:c r="C9" s="26" t="n">
        <x:v>46244</x:v>
      </x:c>
      <x:c r="D9" s="13" t="n">
        <x:v>8</x:v>
      </x:c>
      <x:c r="E9" s="13" t="str">
        <x:v>Active</x:v>
      </x:c>
      <x:c r="F9" s="26" t="n">
        <x:v>46248</x:v>
      </x:c>
      <x:c r="G9" s="13" t="str">
        <x:v>Facebook Marketplace / Your listings</x:v>
      </x:c>
    </x:row>
    <x:row r="10">
      <x:c r="A10" s="15" t="str">
        <x:v>Estate Sale Bushnell PowerView 12x50 Binoculars</x:v>
      </x:c>
      <x:c r="B10" s="11" t="n">
        <x:v>40</x:v>
      </x:c>
      <x:c r="C10" s="26" t="n">
        <x:v>46247</x:v>
      </x:c>
      <x:c r="D10" s="13" t="n">
        <x:v>21</x:v>
      </x:c>
      <x:c r="E10" s="13" t="str">
        <x:v>Active</x:v>
      </x:c>
      <x:c r="F10" s="26" t="n">
        <x:v>46248</x:v>
      </x:c>
      <x:c r="G10" s="13" t="str">
        <x:v>Facebook Marketplace / Your listings</x:v>
      </x:c>
    </x:row>
    <x:row r="11">
      <x:c r="A11" s="15" t="str">
        <x:v>Estate Sale Ceramic Kitchen &amp; Decor Pieces</x:v>
      </x:c>
      <x:c r="B11" s="11" t="n">
        <x:v>15</x:v>
      </x:c>
      <x:c r="C11" s="26" t="n">
        <x:v>46247</x:v>
      </x:c>
      <x:c r="D11" s="13" t="n">
        <x:v>38</x:v>
      </x:c>
      <x:c r="E11" s="13" t="str">
        <x:v>Active</x:v>
      </x:c>
      <x:c r="F11" s="26" t="n">
        <x:v>46248</x:v>
      </x:c>
      <x:c r="G11" s="13" t="str">
        <x:v>Facebook Marketplace / Your listings</x:v>
      </x:c>
    </x:row>
    <x:row r="12">
      <x:c r="A12" s="15" t="str">
        <x:v>Estate Sale Collectibles &amp; Decor - $20 and Up</x:v>
      </x:c>
      <x:c r="B12" s="11" t="n">
        <x:v>20</x:v>
      </x:c>
      <x:c r="C12" s="26" t="n">
        <x:v>46245</x:v>
      </x:c>
      <x:c r="D12" s="13" t="n">
        <x:v>27</x:v>
      </x:c>
      <x:c r="E12" s="13" t="str">
        <x:v>Active</x:v>
      </x:c>
      <x:c r="F12" s="26" t="n">
        <x:v>46248</x:v>
      </x:c>
      <x:c r="G12" s="13" t="str">
        <x:v>Facebook Marketplace / Your listings</x:v>
      </x:c>
    </x:row>
    <x:row r="13">
      <x:c r="A13" s="15" t="str">
        <x:v>Estate Sale Cookware &amp; Small Appliances</x:v>
      </x:c>
      <x:c r="B13" s="11" t="n">
        <x:v>20</x:v>
      </x:c>
      <x:c r="C13" s="26" t="n">
        <x:v>46247</x:v>
      </x:c>
      <x:c r="D13" s="13" t="n">
        <x:v>13</x:v>
      </x:c>
      <x:c r="E13" s="13" t="str">
        <x:v>Active</x:v>
      </x:c>
      <x:c r="F13" s="26" t="n">
        <x:v>46248</x:v>
      </x:c>
      <x:c r="G13" s="13" t="str">
        <x:v>Facebook Marketplace / Your listings</x:v>
      </x:c>
    </x:row>
    <x:row r="14">
      <x:c r="A14" s="15" t="str">
        <x:v>Estate Sale Crystal &amp; Glassware Collection</x:v>
      </x:c>
      <x:c r="B14" s="11" t="n">
        <x:v>60</x:v>
      </x:c>
      <x:c r="C14" s="26" t="n">
        <x:v>46247</x:v>
      </x:c>
      <x:c r="D14" s="13" t="n">
        <x:v>5</x:v>
      </x:c>
      <x:c r="E14" s="13" t="str">
        <x:v>Active</x:v>
      </x:c>
      <x:c r="F14" s="26" t="n">
        <x:v>46248</x:v>
      </x:c>
      <x:c r="G14" s="13" t="str">
        <x:v>Facebook Marketplace / Your listings</x:v>
      </x:c>
    </x:row>
    <x:row r="15">
      <x:c r="A15" s="15" t="str">
        <x:v>Estate Sale Decor &amp; Kitchen Pieces</x:v>
      </x:c>
      <x:c r="B15" s="11" t="n">
        <x:v>10</x:v>
      </x:c>
      <x:c r="C15" s="26" t="n">
        <x:v>46247</x:v>
      </x:c>
      <x:c r="D15" s="13" t="n">
        <x:v>13</x:v>
      </x:c>
      <x:c r="E15" s="13" t="str">
        <x:v>Active</x:v>
      </x:c>
      <x:c r="F15" s="26" t="n">
        <x:v>46248</x:v>
      </x:c>
      <x:c r="G15" s="13" t="str">
        <x:v>Facebook Marketplace / Your listings</x:v>
      </x:c>
    </x:row>
    <x:row r="16">
      <x:c r="A16" s="15" t="str">
        <x:v>Estate Sale Decorative Figurine &amp; Music Box Collection</x:v>
      </x:c>
      <x:c r="B16" s="11" t="n">
        <x:v>60</x:v>
      </x:c>
      <x:c r="C16" s="26" t="n">
        <x:v>46246</x:v>
      </x:c>
      <x:c r="D16" s="13" t="n">
        <x:v>11</x:v>
      </x:c>
      <x:c r="E16" s="13" t="str">
        <x:v>Active</x:v>
      </x:c>
      <x:c r="F16" s="26" t="n">
        <x:v>46248</x:v>
      </x:c>
      <x:c r="G16" s="13" t="str">
        <x:v>Facebook Marketplace / Your listings</x:v>
      </x:c>
    </x:row>
    <x:row r="17">
      <x:c r="A17" s="15" t="str">
        <x:v>Estate Sale Furniture &amp; Lighting - $25 and Up</x:v>
      </x:c>
      <x:c r="B17" s="11" t="n">
        <x:v>25</x:v>
      </x:c>
      <x:c r="C17" s="26" t="n">
        <x:v>46245</x:v>
      </x:c>
      <x:c r="D17" s="13" t="n">
        <x:v>103</x:v>
      </x:c>
      <x:c r="E17" s="13" t="str">
        <x:v>Active</x:v>
      </x:c>
      <x:c r="F17" s="26" t="n">
        <x:v>46248</x:v>
      </x:c>
      <x:c r="G17" s="13" t="str">
        <x:v>Facebook Marketplace / Your listings</x:v>
      </x:c>
    </x:row>
    <x:row r="18">
      <x:c r="A18" s="15" t="str">
        <x:v>Estate Sale Nurse &amp; Medical Collectible Figurine Lot</x:v>
      </x:c>
      <x:c r="B18" s="11" t="n">
        <x:v>45</x:v>
      </x:c>
      <x:c r="C18" s="26" t="n">
        <x:v>46246</x:v>
      </x:c>
      <x:c r="D18" s="13" t="n">
        <x:v>27</x:v>
      </x:c>
      <x:c r="E18" s="13" t="str">
        <x:v>Active</x:v>
      </x:c>
      <x:c r="F18" s="26" t="n">
        <x:v>46248</x:v>
      </x:c>
      <x:c r="G18" s="13" t="str">
        <x:v>Facebook Marketplace / Your listings</x:v>
      </x:c>
    </x:row>
    <x:row r="19">
      <x:c r="A19" s="15" t="str">
        <x:v>Estate Sale Orioles Baseball &amp; Framed Prints</x:v>
      </x:c>
      <x:c r="B19" s="11" t="n">
        <x:v>15</x:v>
      </x:c>
      <x:c r="C19" s="26" t="n">
        <x:v>46247</x:v>
      </x:c>
      <x:c r="D19" s="13" t="n">
        <x:v>35</x:v>
      </x:c>
      <x:c r="E19" s="13" t="str">
        <x:v>Active</x:v>
      </x:c>
      <x:c r="F19" s="26" t="n">
        <x:v>46248</x:v>
      </x:c>
      <x:c r="G19" s="13" t="str">
        <x:v>Facebook Marketplace / Your listings</x:v>
      </x:c>
    </x:row>
    <x:row r="20">
      <x:c r="A20" s="15" t="str">
        <x:v>Estate Sale Poppytrail by Metlox Floral Dinnerware</x:v>
      </x:c>
      <x:c r="B20" s="11" t="n">
        <x:v>75</x:v>
      </x:c>
      <x:c r="C20" s="26" t="n">
        <x:v>46247</x:v>
      </x:c>
      <x:c r="D20" s="13" t="n">
        <x:v>13</x:v>
      </x:c>
      <x:c r="E20" s="13" t="str">
        <x:v>Active</x:v>
      </x:c>
      <x:c r="F20" s="26" t="n">
        <x:v>46248</x:v>
      </x:c>
      <x:c r="G20" s="13" t="str">
        <x:v>Facebook Marketplace / Your listings</x:v>
      </x:c>
    </x:row>
    <x:row r="21">
      <x:c r="A21" s="15" t="str">
        <x:v>Estate Sale Small Decor - $5 and Up</x:v>
      </x:c>
      <x:c r="B21" s="11" t="n">
        <x:v>5</x:v>
      </x:c>
      <x:c r="C21" s="26" t="n">
        <x:v>46245</x:v>
      </x:c>
      <x:c r="D21" s="13" t="n">
        <x:v>19</x:v>
      </x:c>
      <x:c r="E21" s="13" t="str">
        <x:v>Active</x:v>
      </x:c>
      <x:c r="F21" s="26" t="n">
        <x:v>46248</x:v>
      </x:c>
      <x:c r="G21" s="13" t="str">
        <x:v>Facebook Marketplace / Your listings</x:v>
      </x:c>
    </x:row>
    <x:row r="22">
      <x:c r="A22" s="15" t="str">
        <x:v>Estate Sale Tony Little Gazelle Edge Exercise Glider</x:v>
      </x:c>
      <x:c r="B22" s="11" t="n">
        <x:v>50</x:v>
      </x:c>
      <x:c r="C22" s="26" t="n">
        <x:v>46247</x:v>
      </x:c>
      <x:c r="D22" s="13" t="n">
        <x:v>8</x:v>
      </x:c>
      <x:c r="E22" s="13" t="str">
        <x:v>Active</x:v>
      </x:c>
      <x:c r="F22" s="26" t="n">
        <x:v>46248</x:v>
      </x:c>
      <x:c r="G22" s="13" t="str">
        <x:v>Facebook Marketplace / Your listings</x:v>
      </x:c>
    </x:row>
    <x:row r="23">
      <x:c r="A23" s="15" t="str">
        <x:v>Estate Sale Tools &amp; Useful Household Items</x:v>
      </x:c>
      <x:c r="B23" s="11" t="n">
        <x:v>10</x:v>
      </x:c>
      <x:c r="C23" s="26" t="n">
        <x:v>46247</x:v>
      </x:c>
      <x:c r="D23" s="13" t="n">
        <x:v>210</x:v>
      </x:c>
      <x:c r="E23" s="13" t="str">
        <x:v>Active</x:v>
      </x:c>
      <x:c r="F23" s="26" t="n">
        <x:v>46248</x:v>
      </x:c>
      <x:c r="G23" s="13" t="str">
        <x:v>Facebook Marketplace / Your listings</x:v>
      </x:c>
    </x:row>
    <x:row r="24">
      <x:c r="A24" s="15" t="str">
        <x:v>Estate Sale Western Figurines &amp; Oil Lamp Decor</x:v>
      </x:c>
      <x:c r="B24" s="11" t="n">
        <x:v>25</x:v>
      </x:c>
      <x:c r="C24" s="26" t="n">
        <x:v>46247</x:v>
      </x:c>
      <x:c r="D24" s="13" t="n">
        <x:v>25</x:v>
      </x:c>
      <x:c r="E24" s="13" t="str">
        <x:v>Active</x:v>
      </x:c>
      <x:c r="F24" s="26" t="n">
        <x:v>46248</x:v>
      </x:c>
      <x:c r="G24" s="13" t="str">
        <x:v>Facebook Marketplace / Your listings</x:v>
      </x:c>
    </x:row>
    <x:row r="25">
      <x:c r="A25" s="15" t="str">
        <x:v>First Alert Locking Fire/Water Document Chest with Keys</x:v>
      </x:c>
      <x:c r="B25" s="11" t="n">
        <x:v>35</x:v>
      </x:c>
      <x:c r="C25" s="26" t="n">
        <x:v>46247</x:v>
      </x:c>
      <x:c r="D25" s="13" t="n">
        <x:v>7</x:v>
      </x:c>
      <x:c r="E25" s="13" t="str">
        <x:v>Active</x:v>
      </x:c>
      <x:c r="F25" s="26" t="n">
        <x:v>46248</x:v>
      </x:c>
      <x:c r="G25" s="13" t="str">
        <x:v>Facebook Marketplace / Your listings</x:v>
      </x:c>
    </x:row>
    <x:row r="26">
      <x:c r="A26" s="15" t="str">
        <x:v>Floral Ceramic Decor Trio</x:v>
      </x:c>
      <x:c r="B26" s="11" t="n">
        <x:v>35</x:v>
      </x:c>
      <x:c r="C26" s="26" t="n">
        <x:v>46245</x:v>
      </x:c>
      <x:c r="D26" s="13" t="n">
        <x:v>8</x:v>
      </x:c>
      <x:c r="E26" s="13" t="str">
        <x:v>Active</x:v>
      </x:c>
      <x:c r="F26" s="26" t="n">
        <x:v>46248</x:v>
      </x:c>
      <x:c r="G26" s="13" t="str">
        <x:v>Facebook Marketplace / Your listings</x:v>
      </x:c>
    </x:row>
    <x:row r="27">
      <x:c r="A27" s="15" t="str">
        <x:v>Folding Drying-Rack Pair</x:v>
      </x:c>
      <x:c r="B27" s="11" t="n">
        <x:v>25</x:v>
      </x:c>
      <x:c r="C27" s="26" t="n">
        <x:v>46244</x:v>
      </x:c>
      <x:c r="D27" s="13" t="n">
        <x:v>55</x:v>
      </x:c>
      <x:c r="E27" s="13" t="str">
        <x:v>Active</x:v>
      </x:c>
      <x:c r="F27" s="26" t="n">
        <x:v>46248</x:v>
      </x:c>
      <x:c r="G27" s="13" t="str">
        <x:v>Facebook Marketplace / Your listings</x:v>
      </x:c>
    </x:row>
    <x:row r="28">
      <x:c r="A28" s="15" t="str">
        <x:v>Folding Rollaway Bed with Mattress</x:v>
      </x:c>
      <x:c r="B28" s="11" t="n">
        <x:v>50</x:v>
      </x:c>
      <x:c r="C28" s="26" t="n">
        <x:v>46244</x:v>
      </x:c>
      <x:c r="D28" s="13" t="n">
        <x:v>140</x:v>
      </x:c>
      <x:c r="E28" s="13" t="str">
        <x:v>Active</x:v>
      </x:c>
      <x:c r="F28" s="26" t="n">
        <x:v>46248</x:v>
      </x:c>
      <x:c r="G28" s="13" t="str">
        <x:v>Facebook Marketplace / Your listings</x:v>
      </x:c>
    </x:row>
    <x:row r="29">
      <x:c r="A29" s="15" t="str">
        <x:v>Folding Walker with Front Wheels</x:v>
      </x:c>
      <x:c r="B29" s="11" t="n">
        <x:v>20</x:v>
      </x:c>
      <x:c r="C29" s="26" t="n">
        <x:v>46244</x:v>
      </x:c>
      <x:c r="D29" s="13" t="n">
        <x:v>0</x:v>
      </x:c>
      <x:c r="E29" s="13" t="str">
        <x:v>Needs attention</x:v>
      </x:c>
      <x:c r="F29" s="26" t="n">
        <x:v>46248</x:v>
      </x:c>
      <x:c r="G29" s="13" t="str">
        <x:v>Facebook Marketplace / Your listings</x:v>
      </x:c>
    </x:row>
    <x:row r="30">
      <x:c r="A30" s="15" t="str">
        <x:v>Four-Tier Basket Shelf</x:v>
      </x:c>
      <x:c r="B30" s="11" t="n">
        <x:v>20</x:v>
      </x:c>
      <x:c r="C30" s="26" t="n">
        <x:v>46244</x:v>
      </x:c>
      <x:c r="D30" s="13" t="n">
        <x:v>60</x:v>
      </x:c>
      <x:c r="E30" s="13" t="str">
        <x:v>Active</x:v>
      </x:c>
      <x:c r="F30" s="26" t="n">
        <x:v>46248</x:v>
      </x:c>
      <x:c r="G30" s="13" t="str">
        <x:v>Facebook Marketplace / Your listings</x:v>
      </x:c>
    </x:row>
    <x:row r="31">
      <x:c r="A31" s="15" t="str">
        <x:v>Franklin Mint Gone With the Wind Collectible Lot</x:v>
      </x:c>
      <x:c r="B31" s="11" t="n">
        <x:v>175</x:v>
      </x:c>
      <x:c r="C31" s="26" t="n">
        <x:v>46245</x:v>
      </x:c>
      <x:c r="D31" s="13" t="n">
        <x:v>114</x:v>
      </x:c>
      <x:c r="E31" s="13" t="str">
        <x:v>Active</x:v>
      </x:c>
      <x:c r="F31" s="26" t="n">
        <x:v>46248</x:v>
      </x:c>
      <x:c r="G31" s="13" t="str">
        <x:v>Facebook Marketplace / Your listings</x:v>
      </x:c>
    </x:row>
    <x:row r="32">
      <x:c r="A32" s="15" t="str">
        <x:v>Frigidaire Top-Freezer Refrigerator</x:v>
      </x:c>
      <x:c r="B32" s="11" t="n">
        <x:v>125</x:v>
      </x:c>
      <x:c r="C32" s="26" t="n">
        <x:v>46244</x:v>
      </x:c>
      <x:c r="D32" s="13" t="n">
        <x:v>177</x:v>
      </x:c>
      <x:c r="E32" s="13" t="str">
        <x:v>Active</x:v>
      </x:c>
      <x:c r="F32" s="26" t="n">
        <x:v>46248</x:v>
      </x:c>
      <x:c r="G32" s="13" t="str">
        <x:v>Facebook Marketplace / Your listings</x:v>
      </x:c>
    </x:row>
    <x:row r="33">
      <x:c r="A33" s="15" t="str">
        <x:v>Fruit Decor and Green Oil-Lamp-Style Piece</x:v>
      </x:c>
      <x:c r="B33" s="11" t="n">
        <x:v>25</x:v>
      </x:c>
      <x:c r="C33" s="26" t="n">
        <x:v>46244</x:v>
      </x:c>
      <x:c r="D33" s="13" t="n">
        <x:v>11</x:v>
      </x:c>
      <x:c r="E33" s="13" t="str">
        <x:v>Active</x:v>
      </x:c>
      <x:c r="F33" s="26" t="n">
        <x:v>46248</x:v>
      </x:c>
      <x:c r="G33" s="13" t="str">
        <x:v>Facebook Marketplace / Your listings</x:v>
      </x:c>
    </x:row>
    <x:row r="34">
      <x:c r="A34" s="15" t="str">
        <x:v>Fur-Look Cape or Coat</x:v>
      </x:c>
      <x:c r="B34" s="11" t="n">
        <x:v>40</x:v>
      </x:c>
      <x:c r="C34" s="26" t="n">
        <x:v>46244</x:v>
      </x:c>
      <x:c r="D34" s="13" t="n">
        <x:v>25</x:v>
      </x:c>
      <x:c r="E34" s="13" t="str">
        <x:v>Active</x:v>
      </x:c>
      <x:c r="F34" s="26" t="n">
        <x:v>46248</x:v>
      </x:c>
      <x:c r="G34" s="13" t="str">
        <x:v>Facebook Marketplace / Your listings</x:v>
      </x:c>
    </x:row>
    <x:row r="35">
      <x:c r="A35" s="15" t="str">
        <x:v>GE Countertop Microwave</x:v>
      </x:c>
      <x:c r="B35" s="11" t="n">
        <x:v>30</x:v>
      </x:c>
      <x:c r="C35" s="26" t="n">
        <x:v>46244</x:v>
      </x:c>
      <x:c r="D35" s="13" t="n">
        <x:v>35</x:v>
      </x:c>
      <x:c r="E35" s="13" t="str">
        <x:v>Active</x:v>
      </x:c>
      <x:c r="F35" s="26" t="n">
        <x:v>46248</x:v>
      </x:c>
      <x:c r="G35" s="13" t="str">
        <x:v>Facebook Marketplace / Your listings</x:v>
      </x:c>
    </x:row>
    <x:row r="36">
      <x:c r="A36" s="15" t="str">
        <x:v>Gone With the Wind Playing Card Set</x:v>
      </x:c>
      <x:c r="B36" s="11" t="n">
        <x:v>20</x:v>
      </x:c>
      <x:c r="C36" s="26" t="n">
        <x:v>46245</x:v>
      </x:c>
      <x:c r="D36" s="13" t="n">
        <x:v>2</x:v>
      </x:c>
      <x:c r="E36" s="13" t="str">
        <x:v>Active</x:v>
      </x:c>
      <x:c r="F36" s="26" t="n">
        <x:v>46248</x:v>
      </x:c>
      <x:c r="G36" s="13" t="str">
        <x:v>Facebook Marketplace / Your listings</x:v>
      </x:c>
    </x:row>
    <x:row r="37">
      <x:c r="A37" s="15" t="str">
        <x:v>Green Frog Children's Plate</x:v>
      </x:c>
      <x:c r="B37" s="11" t="n">
        <x:v>5</x:v>
      </x:c>
      <x:c r="C37" s="26" t="n">
        <x:v>46245</x:v>
      </x:c>
      <x:c r="D37" s="13" t="n">
        <x:v>7</x:v>
      </x:c>
      <x:c r="E37" s="13" t="str">
        <x:v>Active</x:v>
      </x:c>
      <x:c r="F37" s="26" t="n">
        <x:v>46248</x:v>
      </x:c>
      <x:c r="G37" s="13" t="str">
        <x:v>Facebook Marketplace / Your listings</x:v>
      </x:c>
    </x:row>
    <x:row r="38">
      <x:c r="A38" s="15" t="str">
        <x:v>Hamilton Beach Red Oval Slow Cooker</x:v>
      </x:c>
      <x:c r="B38" s="11" t="n">
        <x:v>15</x:v>
      </x:c>
      <x:c r="C38" s="26" t="n">
        <x:v>46245</x:v>
      </x:c>
      <x:c r="D38" s="13" t="n">
        <x:v>3</x:v>
      </x:c>
      <x:c r="E38" s="13" t="str">
        <x:v>Active</x:v>
      </x:c>
      <x:c r="F38" s="26" t="n">
        <x:v>46248</x:v>
      </x:c>
      <x:c r="G38" s="13" t="str">
        <x:v>Facebook Marketplace / Your listings</x:v>
      </x:c>
    </x:row>
    <x:row r="39">
      <x:c r="A39" s="15" t="str">
        <x:v>Handbag and Wallet Lot</x:v>
      </x:c>
      <x:c r="B39" s="11" t="n">
        <x:v>25</x:v>
      </x:c>
      <x:c r="C39" s="26" t="n">
        <x:v>46244</x:v>
      </x:c>
      <x:c r="D39" s="13" t="n">
        <x:v>23</x:v>
      </x:c>
      <x:c r="E39" s="13" t="str">
        <x:v>Active</x:v>
      </x:c>
      <x:c r="F39" s="26" t="n">
        <x:v>46248</x:v>
      </x:c>
      <x:c r="G39" s="13" t="str">
        <x:v>Facebook Marketplace / Your listings</x:v>
      </x:c>
    </x:row>
    <x:row r="40">
      <x:c r="A40" s="15" t="str">
        <x:v>Handled Wicker Basket</x:v>
      </x:c>
      <x:c r="B40" s="11" t="n">
        <x:v>10</x:v>
      </x:c>
      <x:c r="C40" s="26" t="n">
        <x:v>46244</x:v>
      </x:c>
      <x:c r="D40" s="13" t="n">
        <x:v>11</x:v>
      </x:c>
      <x:c r="E40" s="13" t="str">
        <x:v>Active</x:v>
      </x:c>
      <x:c r="F40" s="26" t="n">
        <x:v>46248</x:v>
      </x:c>
      <x:c r="G40" s="13" t="str">
        <x:v>Facebook Marketplace / Your listings</x:v>
      </x:c>
    </x:row>
    <x:row r="41">
      <x:c r="A41" s="15" t="str">
        <x:v>Household Iron with Metal Rest</x:v>
      </x:c>
      <x:c r="B41" s="11" t="n">
        <x:v>15</x:v>
      </x:c>
      <x:c r="C41" s="26" t="n">
        <x:v>46244</x:v>
      </x:c>
      <x:c r="D41" s="13" t="n">
        <x:v>6</x:v>
      </x:c>
      <x:c r="E41" s="13" t="str">
        <x:v>Active</x:v>
      </x:c>
      <x:c r="F41" s="26" t="n">
        <x:v>46248</x:v>
      </x:c>
      <x:c r="G41" s="13" t="str">
        <x:v>Facebook Marketplace / Your listings</x:v>
      </x:c>
    </x:row>
    <x:row r="42">
      <x:c r="A42" s="15" t="str">
        <x:v>Large Wood-Framed Dresser Mirror with Side Shelves</x:v>
      </x:c>
      <x:c r="B42" s="11" t="n">
        <x:v>60</x:v>
      </x:c>
      <x:c r="C42" s="26" t="n">
        <x:v>46247</x:v>
      </x:c>
      <x:c r="D42" s="13" t="n">
        <x:v>4</x:v>
      </x:c>
      <x:c r="E42" s="13" t="str">
        <x:v>Active</x:v>
      </x:c>
      <x:c r="F42" s="26" t="n">
        <x:v>46248</x:v>
      </x:c>
      <x:c r="G42" s="13" t="str">
        <x:v>Facebook Marketplace / Your listings</x:v>
      </x:c>
    </x:row>
    <x:row r="43">
      <x:c r="A43" s="15" t="str">
        <x:v>Lasko Digital Ceramic Heater</x:v>
      </x:c>
      <x:c r="B43" s="11" t="n">
        <x:v>35</x:v>
      </x:c>
      <x:c r="C43" s="26" t="n">
        <x:v>46244</x:v>
      </x:c>
      <x:c r="D43" s="13" t="n">
        <x:v>7</x:v>
      </x:c>
      <x:c r="E43" s="13" t="str">
        <x:v>Active</x:v>
      </x:c>
      <x:c r="F43" s="26" t="n">
        <x:v>46248</x:v>
      </x:c>
      <x:c r="G43" s="13" t="str">
        <x:v>Facebook Marketplace / Your listings</x:v>
      </x:c>
    </x:row>
    <x:row r="44">
      <x:c r="A44" s="15" t="str">
        <x:v>LG and GoVideo DVD-Player Pair</x:v>
      </x:c>
      <x:c r="B44" s="11" t="n">
        <x:v>30</x:v>
      </x:c>
      <x:c r="C44" s="26" t="n">
        <x:v>46244</x:v>
      </x:c>
      <x:c r="D44" s="13" t="n">
        <x:v>10</x:v>
      </x:c>
      <x:c r="E44" s="13" t="str">
        <x:v>Active</x:v>
      </x:c>
      <x:c r="F44" s="26" t="n">
        <x:v>46248</x:v>
      </x:c>
      <x:c r="G44" s="13" t="str">
        <x:v>Facebook Marketplace / Your listings</x:v>
      </x:c>
    </x:row>
    <x:row r="45">
      <x:c r="A45" s="15" t="str">
        <x:v>Marble-Look Pedestal Side Table</x:v>
      </x:c>
      <x:c r="B45" s="11" t="n">
        <x:v>35</x:v>
      </x:c>
      <x:c r="C45" s="26" t="n">
        <x:v>46244</x:v>
      </x:c>
      <x:c r="D45" s="13" t="n">
        <x:v>110</x:v>
      </x:c>
      <x:c r="E45" s="13" t="str">
        <x:v>Active</x:v>
      </x:c>
      <x:c r="F45" s="26" t="n">
        <x:v>46248</x:v>
      </x:c>
      <x:c r="G45" s="13" t="str">
        <x:v>Facebook Marketplace / Your listings</x:v>
      </x:c>
    </x:row>
    <x:row r="46">
      <x:c r="A46" s="15" t="str">
        <x:v>Maytag Washer and Whirlpool Dryer Pair</x:v>
      </x:c>
      <x:c r="B46" s="11" t="n">
        <x:v>500</x:v>
      </x:c>
      <x:c r="C46" s="26" t="n">
        <x:v>46244</x:v>
      </x:c>
      <x:c r="D46" s="13" t="n">
        <x:v>94</x:v>
      </x:c>
      <x:c r="E46" s="13" t="str">
        <x:v>Active</x:v>
      </x:c>
      <x:c r="F46" s="26" t="n">
        <x:v>46248</x:v>
      </x:c>
      <x:c r="G46" s="13" t="str">
        <x:v>Facebook Marketplace / Your listings</x:v>
      </x:c>
    </x:row>
    <x:row r="47">
      <x:c r="A47" s="15" t="str">
        <x:v>Mixed Decorative Figurine Lot</x:v>
      </x:c>
      <x:c r="B47" s="11" t="n">
        <x:v>45</x:v>
      </x:c>
      <x:c r="C47" s="26" t="n">
        <x:v>46244</x:v>
      </x:c>
      <x:c r="D47" s="13" t="n">
        <x:v>2</x:v>
      </x:c>
      <x:c r="E47" s="13" t="str">
        <x:v>Active</x:v>
      </x:c>
      <x:c r="F47" s="26" t="n">
        <x:v>46248</x:v>
      </x:c>
      <x:c r="G47" s="13" t="str">
        <x:v>Facebook Marketplace / Your listings</x:v>
      </x:c>
    </x:row>
    <x:row r="48">
      <x:c r="A48" s="15" t="str">
        <x:v>Mixed Hand-Tool Lot</x:v>
      </x:c>
      <x:c r="B48" s="11" t="n">
        <x:v>45</x:v>
      </x:c>
      <x:c r="C48" s="26" t="n">
        <x:v>46244</x:v>
      </x:c>
      <x:c r="D48" s="13" t="n">
        <x:v>5</x:v>
      </x:c>
      <x:c r="E48" s="13" t="str">
        <x:v>Active</x:v>
      </x:c>
      <x:c r="F48" s="26" t="n">
        <x:v>46248</x:v>
      </x:c>
      <x:c r="G48" s="13" t="str">
        <x:v>Facebook Marketplace / Your listings</x:v>
      </x:c>
    </x:row>
    <x:row r="49">
      <x:c r="A49" s="15" t="str">
        <x:v>Mixed Hardcover Book Lot</x:v>
      </x:c>
      <x:c r="B49" s="11" t="n">
        <x:v>25</x:v>
      </x:c>
      <x:c r="C49" s="26" t="n">
        <x:v>46244</x:v>
      </x:c>
      <x:c r="D49" s="13" t="n">
        <x:v>9</x:v>
      </x:c>
      <x:c r="E49" s="13" t="str">
        <x:v>Active</x:v>
      </x:c>
      <x:c r="F49" s="26" t="n">
        <x:v>46248</x:v>
      </x:c>
      <x:c r="G49" s="13" t="str">
        <x:v>Facebook Marketplace / Your listings</x:v>
      </x:c>
    </x:row>
    <x:row r="50">
      <x:c r="A50" s="15" t="str">
        <x:v>Nova 4215RD Red Rollator with Seat</x:v>
      </x:c>
      <x:c r="B50" s="11" t="n">
        <x:v>85</x:v>
      </x:c>
      <x:c r="C50" s="26" t="n">
        <x:v>46244</x:v>
      </x:c>
      <x:c r="D50" s="13" t="n">
        <x:v>0</x:v>
      </x:c>
      <x:c r="E50" s="13" t="str">
        <x:v>Needs attention</x:v>
      </x:c>
      <x:c r="F50" s="26" t="n">
        <x:v>46248</x:v>
      </x:c>
      <x:c r="G50" s="13" t="str">
        <x:v>Facebook Marketplace / Your listings</x:v>
      </x:c>
    </x:row>
    <x:row r="51">
      <x:c r="A51" s="15" t="str">
        <x:v>Oak-Finish Desk with Hutch</x:v>
      </x:c>
      <x:c r="B51" s="11" t="n">
        <x:v>100</x:v>
      </x:c>
      <x:c r="C51" s="26" t="n">
        <x:v>46244</x:v>
      </x:c>
      <x:c r="D51" s="13" t="n">
        <x:v>24</x:v>
      </x:c>
      <x:c r="E51" s="13" t="str">
        <x:v>Active</x:v>
      </x:c>
      <x:c r="F51" s="26" t="n">
        <x:v>46248</x:v>
      </x:c>
      <x:c r="G51" s="13" t="str">
        <x:v>Facebook Marketplace / Your listings</x:v>
      </x:c>
    </x:row>
    <x:row r="52">
      <x:c r="A52" s="15" t="str">
        <x:v>Oak-Finish Entertainment Center</x:v>
      </x:c>
      <x:c r="B52" s="11" t="n">
        <x:v>60</x:v>
      </x:c>
      <x:c r="C52" s="26" t="n">
        <x:v>46244</x:v>
      </x:c>
      <x:c r="D52" s="13" t="n">
        <x:v>4</x:v>
      </x:c>
      <x:c r="E52" s="13" t="str">
        <x:v>Active</x:v>
      </x:c>
      <x:c r="F52" s="26" t="n">
        <x:v>46248</x:v>
      </x:c>
      <x:c r="G52" s="13" t="str">
        <x:v>Facebook Marketplace / Your listings</x:v>
      </x:c>
    </x:row>
    <x:row r="53">
      <x:c r="A53" s="15" t="str">
        <x:v>Oak-Finish Microwave Cabinet or Stand</x:v>
      </x:c>
      <x:c r="B53" s="11" t="n">
        <x:v>45</x:v>
      </x:c>
      <x:c r="C53" s="26" t="n">
        <x:v>46244</x:v>
      </x:c>
      <x:c r="D53" s="13" t="n">
        <x:v>31</x:v>
      </x:c>
      <x:c r="E53" s="13" t="str">
        <x:v>Active</x:v>
      </x:c>
      <x:c r="F53" s="26" t="n">
        <x:v>46248</x:v>
      </x:c>
      <x:c r="G53" s="13" t="str">
        <x:v>Facebook Marketplace / Your listings</x:v>
      </x:c>
    </x:row>
    <x:row r="54">
      <x:c r="A54" s="15" t="str">
        <x:v>Ornate Carved Mantel Clock</x:v>
      </x:c>
      <x:c r="B54" s="11" t="n">
        <x:v>65</x:v>
      </x:c>
      <x:c r="C54" s="26" t="n">
        <x:v>46244</x:v>
      </x:c>
      <x:c r="D54" s="13" t="n">
        <x:v>6</x:v>
      </x:c>
      <x:c r="E54" s="13" t="str">
        <x:v>Active</x:v>
      </x:c>
      <x:c r="F54" s="26" t="n">
        <x:v>46248</x:v>
      </x:c>
      <x:c r="G54" s="13" t="str">
        <x:v>Facebook Marketplace / Your listings</x:v>
      </x:c>
    </x:row>
    <x:row r="55">
      <x:c r="A55" s="15" t="str">
        <x:v>Ornate Gold-Tone Oval Mirror</x:v>
      </x:c>
      <x:c r="B55" s="11" t="n">
        <x:v>75</x:v>
      </x:c>
      <x:c r="C55" s="26" t="n">
        <x:v>46245</x:v>
      </x:c>
      <x:c r="D55" s="13" t="n">
        <x:v>58</x:v>
      </x:c>
      <x:c r="E55" s="13" t="str">
        <x:v>Active</x:v>
      </x:c>
      <x:c r="F55" s="26" t="n">
        <x:v>46248</x:v>
      </x:c>
      <x:c r="G55" s="13" t="str">
        <x:v>Facebook Marketplace / Your listings</x:v>
      </x:c>
    </x:row>
    <x:row r="56">
      <x:c r="A56" s="15" t="str">
        <x:v>Pair of Torchiere Floor Lamps</x:v>
      </x:c>
      <x:c r="B56" s="11" t="n">
        <x:v>25</x:v>
      </x:c>
      <x:c r="C56" s="26" t="n">
        <x:v>46245</x:v>
      </x:c>
      <x:c r="D56" s="13" t="n">
        <x:v>23</x:v>
      </x:c>
      <x:c r="E56" s="13" t="str">
        <x:v>Active</x:v>
      </x:c>
      <x:c r="F56" s="26" t="n">
        <x:v>46248</x:v>
      </x:c>
      <x:c r="G56" s="13" t="str">
        <x:v>Facebook Marketplace / Your listings</x:v>
      </x:c>
    </x:row>
    <x:row r="57">
      <x:c r="A57" s="15" t="str">
        <x:v>RCA RP-9515 Stereo and Speaker Set</x:v>
      </x:c>
      <x:c r="B57" s="11" t="n">
        <x:v>35</x:v>
      </x:c>
      <x:c r="C57" s="26" t="n">
        <x:v>46244</x:v>
      </x:c>
      <x:c r="D57" s="13" t="n">
        <x:v>5</x:v>
      </x:c>
      <x:c r="E57" s="13" t="str">
        <x:v>Active</x:v>
      </x:c>
      <x:c r="F57" s="26" t="n">
        <x:v>46248</x:v>
      </x:c>
      <x:c r="G57" s="13" t="str">
        <x:v>Facebook Marketplace / Your listings</x:v>
      </x:c>
    </x:row>
    <x:row r="58">
      <x:c r="A58" s="15" t="str">
        <x:v>Round Wood Stool</x:v>
      </x:c>
      <x:c r="B58" s="11" t="n">
        <x:v>20</x:v>
      </x:c>
      <x:c r="C58" s="26" t="n">
        <x:v>46244</x:v>
      </x:c>
      <x:c r="D58" s="13" t="n">
        <x:v>5</x:v>
      </x:c>
      <x:c r="E58" s="13" t="str">
        <x:v>Active</x:v>
      </x:c>
      <x:c r="F58" s="26" t="n">
        <x:v>46248</x:v>
      </x:c>
      <x:c r="G58" s="13" t="str">
        <x:v>Facebook Marketplace / Your listings</x:v>
      </x:c>
    </x:row>
    <x:row r="59">
      <x:c r="A59" s="15" t="str">
        <x:v>Shower Curtain Hooks</x:v>
      </x:c>
      <x:c r="B59" s="11" t="n">
        <x:v>5</x:v>
      </x:c>
      <x:c r="C59" s="26" t="n">
        <x:v>46245</x:v>
      </x:c>
      <x:c r="D59" s="13" t="n">
        <x:v>82</x:v>
      </x:c>
      <x:c r="E59" s="13" t="str">
        <x:v>Active</x:v>
      </x:c>
      <x:c r="F59" s="26" t="n">
        <x:v>46248</x:v>
      </x:c>
      <x:c r="G59" s="13" t="str">
        <x:v>Facebook Marketplace / Your listings</x:v>
      </x:c>
    </x:row>
    <x:row r="60">
      <x:c r="A60" s="15" t="str">
        <x:v>Small Wood-Look Jewelry Box Lot</x:v>
      </x:c>
      <x:c r="B60" s="11" t="n">
        <x:v>20</x:v>
      </x:c>
      <x:c r="C60" s="26" t="n">
        <x:v>46245</x:v>
      </x:c>
      <x:c r="D60" s="13" t="n">
        <x:v>41</x:v>
      </x:c>
      <x:c r="E60" s="13" t="str">
        <x:v>Active</x:v>
      </x:c>
      <x:c r="F60" s="26" t="n">
        <x:v>46248</x:v>
      </x:c>
      <x:c r="G60" s="13" t="str">
        <x:v>Facebook Marketplace / Your listings</x:v>
      </x:c>
    </x:row>
    <x:row r="61">
      <x:c r="A61" s="15" t="str">
        <x:v>Sony 5-Disc DVD/CD Changer DVP-NC675P</x:v>
      </x:c>
      <x:c r="B61" s="11" t="n">
        <x:v>45</x:v>
      </x:c>
      <x:c r="C61" s="26" t="n">
        <x:v>46245</x:v>
      </x:c>
      <x:c r="D61" s="13" t="n">
        <x:v>9</x:v>
      </x:c>
      <x:c r="E61" s="13" t="str">
        <x:v>Active</x:v>
      </x:c>
      <x:c r="F61" s="26" t="n">
        <x:v>46248</x:v>
      </x:c>
      <x:c r="G61" s="13" t="str">
        <x:v>Facebook Marketplace / Your listings</x:v>
      </x:c>
    </x:row>
    <x:row r="62">
      <x:c r="A62" s="15" t="str">
        <x:v>Sony CCD-F35 Video8 Camcorder Kit</x:v>
      </x:c>
      <x:c r="B62" s="11" t="n">
        <x:v>75</x:v>
      </x:c>
      <x:c r="C62" s="26" t="n">
        <x:v>46244</x:v>
      </x:c>
      <x:c r="D62" s="13" t="n">
        <x:v>28</x:v>
      </x:c>
      <x:c r="E62" s="13" t="str">
        <x:v>Active</x:v>
      </x:c>
      <x:c r="F62" s="26" t="n">
        <x:v>46248</x:v>
      </x:c>
      <x:c r="G62" s="13" t="str">
        <x:v>Facebook Marketplace / Your listings</x:v>
      </x:c>
    </x:row>
    <x:row r="63">
      <x:c r="A63" s="15" t="str">
        <x:v>Sony Walkman D-E350 Portable CD Player</x:v>
      </x:c>
      <x:c r="B63" s="11" t="n">
        <x:v>15</x:v>
      </x:c>
      <x:c r="C63" s="26" t="n">
        <x:v>46245</x:v>
      </x:c>
      <x:c r="D63" s="13" t="n">
        <x:v>299</x:v>
      </x:c>
      <x:c r="E63" s="13" t="str">
        <x:v>Active</x:v>
      </x:c>
      <x:c r="F63" s="26" t="n">
        <x:v>46248</x:v>
      </x:c>
      <x:c r="G63" s="13" t="str">
        <x:v>Facebook Marketplace / Your listings</x:v>
      </x:c>
    </x:row>
    <x:row r="64">
      <x:c r="A64" s="15" t="str">
        <x:v>Stained-Glass-Style Hanging Pendant Light</x:v>
      </x:c>
      <x:c r="B64" s="11" t="n">
        <x:v>75</x:v>
      </x:c>
      <x:c r="C64" s="26" t="n">
        <x:v>46244</x:v>
      </x:c>
      <x:c r="D64" s="13" t="n">
        <x:v>57</x:v>
      </x:c>
      <x:c r="E64" s="13" t="str">
        <x:v>Active</x:v>
      </x:c>
      <x:c r="F64" s="26" t="n">
        <x:v>46248</x:v>
      </x:c>
      <x:c r="G64" s="13" t="str">
        <x:v>Facebook Marketplace / Your listings</x:v>
      </x:c>
    </x:row>
    <x:row r="65">
      <x:c r="A65" s="15" t="str">
        <x:v>Tall Media Storage Cabinet</x:v>
      </x:c>
      <x:c r="B65" s="11" t="n">
        <x:v>40</x:v>
      </x:c>
      <x:c r="C65" s="26" t="n">
        <x:v>46244</x:v>
      </x:c>
      <x:c r="D65" s="13" t="n">
        <x:v>41</x:v>
      </x:c>
      <x:c r="E65" s="13" t="str">
        <x:v>Active</x:v>
      </x:c>
      <x:c r="F65" s="26" t="n">
        <x:v>46248</x:v>
      </x:c>
      <x:c r="G65" s="13" t="str">
        <x:v>Facebook Marketplace / Your listings</x:v>
      </x:c>
    </x:row>
    <x:row r="66">
      <x:c r="A66" s="15" t="str">
        <x:v>TIANSE 21-Hole Comb Binding Machine</x:v>
      </x:c>
      <x:c r="B66" s="11" t="n">
        <x:v>25</x:v>
      </x:c>
      <x:c r="C66" s="26" t="n">
        <x:v>46247</x:v>
      </x:c>
      <x:c r="D66" s="13" t="n">
        <x:v>71</x:v>
      </x:c>
      <x:c r="E66" s="13" t="str">
        <x:v>Active</x:v>
      </x:c>
      <x:c r="F66" s="26" t="n">
        <x:v>46248</x:v>
      </x:c>
      <x:c r="G66" s="13" t="str">
        <x:v>Facebook Marketplace / Your listings</x:v>
      </x:c>
    </x:row>
    <x:row r="67">
      <x:c r="A67" s="15" t="str">
        <x:v>Turquoise Table Lamp with Pleated Shade</x:v>
      </x:c>
      <x:c r="B67" s="11" t="n">
        <x:v>30</x:v>
      </x:c>
      <x:c r="C67" s="26" t="n">
        <x:v>46244</x:v>
      </x:c>
      <x:c r="D67" s="13" t="n">
        <x:v>3</x:v>
      </x:c>
      <x:c r="E67" s="13" t="str">
        <x:v>Active</x:v>
      </x:c>
      <x:c r="F67" s="26" t="n">
        <x:v>46248</x:v>
      </x:c>
      <x:c r="G67" s="13" t="str">
        <x:v>Facebook Marketplace / Your listings</x:v>
      </x:c>
    </x:row>
    <x:row r="68">
      <x:c r="A68" s="15" t="str">
        <x:v>Vintage GE Clock Cassette Recorder</x:v>
      </x:c>
      <x:c r="B68" s="11" t="n">
        <x:v>20</x:v>
      </x:c>
      <x:c r="C68" s="26" t="n">
        <x:v>46245</x:v>
      </x:c>
      <x:c r="D68" s="13" t="n">
        <x:v>68</x:v>
      </x:c>
      <x:c r="E68" s="13" t="str">
        <x:v>Active</x:v>
      </x:c>
      <x:c r="F68" s="26" t="n">
        <x:v>46248</x:v>
      </x:c>
      <x:c r="G68" s="13" t="str">
        <x:v>Facebook Marketplace / Your listings</x:v>
      </x:c>
    </x:row>
    <x:row r="69">
      <x:c r="A69" s="15" t="str">
        <x:v>Vintage Gold-Tone Rose-Pattern Flatware Set with Case</x:v>
      </x:c>
      <x:c r="B69" s="11" t="n">
        <x:v>75</x:v>
      </x:c>
      <x:c r="C69" s="26" t="n">
        <x:v>46246</x:v>
      </x:c>
      <x:c r="D69" s="13" t="n">
        <x:v>25</x:v>
      </x:c>
      <x:c r="E69" s="13" t="str">
        <x:v>Active</x:v>
      </x:c>
      <x:c r="F69" s="26" t="n">
        <x:v>46248</x:v>
      </x:c>
      <x:c r="G69" s="13" t="str">
        <x:v>Facebook Marketplace / Your listings</x:v>
      </x:c>
    </x:row>
    <x:row r="70">
      <x:c r="A70" s="15" t="str">
        <x:v>Wall-Mounted Toilet-Paper Storage Cabinet</x:v>
      </x:c>
      <x:c r="B70" s="11" t="n">
        <x:v>20</x:v>
      </x:c>
      <x:c r="C70" s="26" t="n">
        <x:v>46244</x:v>
      </x:c>
      <x:c r="D70" s="13" t="n">
        <x:v>99</x:v>
      </x:c>
      <x:c r="E70" s="13" t="str">
        <x:v>Active</x:v>
      </x:c>
      <x:c r="F70" s="26" t="n">
        <x:v>46248</x:v>
      </x:c>
      <x:c r="G70" s="13" t="str">
        <x:v>Facebook Marketplace / Your listings</x:v>
      </x:c>
    </x:row>
    <x:row r="71">
      <x:c r="A71" s="15" t="str">
        <x:v>Wood and Metal Bed Frame</x:v>
      </x:c>
      <x:c r="B71" s="11" t="n">
        <x:v>75</x:v>
      </x:c>
      <x:c r="C71" s="26" t="n">
        <x:v>46244</x:v>
      </x:c>
      <x:c r="D71" s="13" t="n">
        <x:v>87</x:v>
      </x:c>
      <x:c r="E71" s="13" t="str">
        <x:v>Active</x:v>
      </x:c>
      <x:c r="F71" s="26" t="n">
        <x:v>46248</x:v>
      </x:c>
      <x:c r="G71" s="13" t="str">
        <x:v>Facebook Marketplace / Your listings</x:v>
      </x:c>
    </x:row>
    <x:row r="72">
      <x:c r="A72" s="15" t="str">
        <x:v>Wood Corner Cabinet or Hutch</x:v>
      </x:c>
      <x:c r="B72" s="11" t="n">
        <x:v>125</x:v>
      </x:c>
      <x:c r="C72" s="26" t="n">
        <x:v>46244</x:v>
      </x:c>
      <x:c r="D72" s="13" t="n">
        <x:v>738</x:v>
      </x:c>
      <x:c r="E72" s="13" t="str">
        <x:v>Active</x:v>
      </x:c>
      <x:c r="F72" s="26" t="n">
        <x:v>46248</x:v>
      </x:c>
      <x:c r="G72" s="13" t="str">
        <x:v>Facebook Marketplace / Your listings</x:v>
      </x:c>
    </x:row>
    <x:row r="73">
      <x:c r="A73" s="15" t="str">
        <x:v>Wood Cubby Display Shelf with Figurines</x:v>
      </x:c>
      <x:c r="B73" s="11" t="n">
        <x:v>55</x:v>
      </x:c>
      <x:c r="C73" s="26" t="n">
        <x:v>46244</x:v>
      </x:c>
      <x:c r="D73" s="13" t="n">
        <x:v>135</x:v>
      </x:c>
      <x:c r="E73" s="13" t="str">
        <x:v>Active</x:v>
      </x:c>
      <x:c r="F73" s="26" t="n">
        <x:v>46248</x:v>
      </x:c>
      <x:c r="G73" s="13" t="str">
        <x:v>Facebook Marketplace / Your listings</x:v>
      </x:c>
    </x:row>
    <x:row r="74">
      <x:c r="A74" s="15" t="str">
        <x:v>Wood Folding TV Tray Table</x:v>
      </x:c>
      <x:c r="B74" s="11" t="n">
        <x:v>15</x:v>
      </x:c>
      <x:c r="C74" s="26" t="n">
        <x:v>46244</x:v>
      </x:c>
      <x:c r="D74" s="13" t="n">
        <x:v>10</x:v>
      </x:c>
      <x:c r="E74" s="13" t="str">
        <x:v>Active</x:v>
      </x:c>
      <x:c r="F74" s="26" t="n">
        <x:v>46248</x:v>
      </x:c>
      <x:c r="G74" s="13" t="str">
        <x:v>Facebook Marketplace / Your listings</x:v>
      </x:c>
    </x:row>
    <x:row r="75">
      <x:c r="A75" s="15" t="str">
        <x:v>Wood Lift-Top File or Record Cabinet</x:v>
      </x:c>
      <x:c r="B75" s="11" t="n">
        <x:v>50</x:v>
      </x:c>
      <x:c r="C75" s="26" t="n">
        <x:v>46244</x:v>
      </x:c>
      <x:c r="D75" s="13" t="n">
        <x:v>35</x:v>
      </x:c>
      <x:c r="E75" s="13" t="str">
        <x:v>Active</x:v>
      </x:c>
      <x:c r="F75" s="26" t="n">
        <x:v>46248</x:v>
      </x:c>
      <x:c r="G75" s="13" t="str">
        <x:v>Facebook Marketplace / Your listings</x:v>
      </x:c>
    </x:row>
    <x:row r="76">
      <x:c r="A76" s="15" t="str">
        <x:v>Wood Pedestal Book or Bible Stand</x:v>
      </x:c>
      <x:c r="B76" s="11" t="n">
        <x:v>30</x:v>
      </x:c>
      <x:c r="C76" s="26" t="n">
        <x:v>46244</x:v>
      </x:c>
      <x:c r="D76" s="13" t="n">
        <x:v>158</x:v>
      </x:c>
      <x:c r="E76" s="13" t="str">
        <x:v>Active</x:v>
      </x:c>
      <x:c r="F76" s="26" t="n">
        <x:v>46248</x:v>
      </x:c>
      <x:c r="G76" s="13" t="str">
        <x:v>Facebook Marketplace / Your listings</x:v>
      </x:c>
    </x:row>
    <x:row r="77">
      <x:c r="A77" s="15" t="str">
        <x:v>Wood Rolling Kitchen Cart</x:v>
      </x:c>
      <x:c r="B77" s="11" t="n">
        <x:v>50</x:v>
      </x:c>
      <x:c r="C77" s="26" t="n">
        <x:v>46244</x:v>
      </x:c>
      <x:c r="D77" s="13" t="n">
        <x:v>200</x:v>
      </x:c>
      <x:c r="E77" s="13" t="str">
        <x:v>Active</x:v>
      </x:c>
      <x:c r="F77" s="26" t="n">
        <x:v>46248</x:v>
      </x:c>
      <x:c r="G77" s="13" t="str">
        <x:v>Facebook Marketplace / Your listings</x:v>
      </x:c>
    </x:row>
    <x:row r="78">
      <x:c r="A78" s="15" t="str">
        <x:v>Wood Slat-Back Rocking Chair</x:v>
      </x:c>
      <x:c r="B78" s="11" t="n">
        <x:v>45</x:v>
      </x:c>
      <x:c r="C78" s="26" t="n">
        <x:v>46245</x:v>
      </x:c>
      <x:c r="D78" s="13" t="n">
        <x:v>80</x:v>
      </x:c>
      <x:c r="E78" s="13" t="str">
        <x:v>Active</x:v>
      </x:c>
      <x:c r="F78" s="26" t="n">
        <x:v>46248</x:v>
      </x:c>
      <x:c r="G78" s="13" t="str">
        <x:v>Facebook Marketplace / Your listings</x:v>
      </x:c>
    </x:row>
  </x:sheetData>
  <x:pageMargins left="0.7" right="0.7" top="0.75" bottom="0.75" header="0.3" footer="0.3"/>
  <x:tableParts count="1">
    <x:tablePart xmlns:r="http://schemas.openxmlformats.org/officeDocument/2006/relationships" r:id="R02c3e202449349d2"/>
  </x:tableParts>
</x:worksheet>
</file>