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drawings/drawing2.xml" ContentType="application/vnd.openxmlformats-officedocument.drawing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"/>
    </mc:Choice>
  </mc:AlternateContent>
  <xr:revisionPtr revIDLastSave="5798" documentId="11_C2D3A71E8DC278460291C1750AABD13884ACA19B" xr6:coauthVersionLast="47" xr6:coauthVersionMax="47" xr10:uidLastSave="{72E40CE5-1A8D-4FEA-9CE8-DF428B1D69CA}"/>
  <bookViews>
    <workbookView xWindow="-120" yWindow="-120" windowWidth="38640" windowHeight="15720" activeTab="3" xr2:uid="{00000000-000D-0000-FFFF-FFFF00000000}"/>
  </bookViews>
  <sheets>
    <sheet name="Cards" sheetId="1" r:id="rId1"/>
    <sheet name="Balances" sheetId="2" r:id="rId2"/>
    <sheet name="Mega Success" sheetId="3" r:id="rId3"/>
    <sheet name="Mortgages" sheetId="4" r:id="rId4"/>
    <sheet name="Private Lenders" sheetId="5" r:id="rId5"/>
    <sheet name="Projects" sheetId="6" r:id="rId6"/>
    <sheet name="Past Projects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0" hidden="1">Cards!$A$1:$AC$55</definedName>
    <definedName name="_xlnm._FilterDatabase" localSheetId="3" hidden="1">Mortgages!$A$1:$W$13</definedName>
    <definedName name="_xlnm._FilterDatabase" localSheetId="4" hidden="1">'Private Lenders'!$A$3:$W$36</definedName>
  </definedNames>
  <calcPr calcId="191029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5" i="1" l="1"/>
  <c r="N6" i="6"/>
  <c r="N5" i="6"/>
  <c r="M5" i="6" l="1"/>
  <c r="N3" i="6"/>
  <c r="N9" i="6"/>
  <c r="L3" i="6"/>
  <c r="N4" i="6" l="1"/>
  <c r="N7" i="6"/>
  <c r="N8" i="6" l="1"/>
  <c r="M9" i="6" l="1"/>
  <c r="M6" i="6"/>
  <c r="M4" i="6" l="1"/>
  <c r="M7" i="6" l="1"/>
  <c r="M3" i="6" l="1"/>
  <c r="J3" i="6"/>
  <c r="J6" i="6" l="1"/>
  <c r="J4" i="6" l="1"/>
  <c r="J5" i="6" l="1"/>
  <c r="J7" i="6" l="1"/>
  <c r="J9" i="6" l="1"/>
  <c r="K6" i="6" l="1"/>
  <c r="K4" i="6" l="1"/>
  <c r="K5" i="6" l="1"/>
  <c r="K9" i="6" l="1"/>
  <c r="K8" i="6"/>
  <c r="K7" i="6"/>
  <c r="K3" i="6"/>
  <c r="L6" i="6"/>
  <c r="L4" i="6" l="1"/>
  <c r="L5" i="6" l="1"/>
  <c r="L8" i="6" l="1"/>
  <c r="L7" i="6" l="1"/>
  <c r="L9" i="6" l="1"/>
  <c r="L2" i="6" l="1"/>
  <c r="K2" i="6"/>
  <c r="I6" i="6" l="1"/>
  <c r="I3" i="6"/>
  <c r="I4" i="6" l="1"/>
  <c r="I5" i="6" l="1"/>
  <c r="I7" i="6" l="1"/>
  <c r="I8" i="6" l="1"/>
  <c r="I9" i="6" l="1"/>
  <c r="H3" i="6" l="1"/>
  <c r="H6" i="6"/>
  <c r="H7" i="6" l="1"/>
  <c r="H4" i="6" l="1"/>
  <c r="H5" i="6" l="1"/>
  <c r="H9" i="6" l="1"/>
  <c r="G11" i="6" l="1"/>
  <c r="G10" i="6"/>
  <c r="G6" i="6"/>
  <c r="G7" i="6" l="1"/>
  <c r="G4" i="6" l="1"/>
  <c r="G5" i="6" l="1"/>
  <c r="G8" i="6" l="1"/>
  <c r="G9" i="6" l="1"/>
  <c r="F5" i="6" l="1"/>
  <c r="H8" i="6"/>
  <c r="G3" i="6" l="1"/>
  <c r="E6" i="6" l="1"/>
  <c r="E4" i="6"/>
  <c r="E3" i="6"/>
  <c r="F6" i="6"/>
  <c r="F4" i="6"/>
  <c r="F3" i="6"/>
  <c r="E7" i="6" l="1"/>
  <c r="E8" i="6" l="1"/>
  <c r="E5" i="6" l="1"/>
  <c r="E9" i="6" l="1"/>
  <c r="F7" i="6" l="1"/>
  <c r="F8" i="6" l="1"/>
  <c r="F9" i="6" l="1"/>
  <c r="N4" i="1" l="1"/>
  <c r="U6" i="1"/>
  <c r="U38" i="1"/>
  <c r="I16" i="4"/>
  <c r="I17" i="4"/>
  <c r="N18" i="1" l="1"/>
  <c r="N75" i="1"/>
  <c r="P31" i="1"/>
  <c r="V31" i="1"/>
  <c r="W31" i="1"/>
  <c r="U27" i="1" l="1"/>
  <c r="G11" i="1"/>
  <c r="W13" i="1" l="1"/>
  <c r="Y13" i="1" s="1"/>
  <c r="V13" i="1"/>
  <c r="X13" i="1" s="1"/>
  <c r="U13" i="1"/>
  <c r="P13" i="1"/>
  <c r="G13" i="1"/>
  <c r="W5" i="1"/>
  <c r="Y5" i="1" s="1"/>
  <c r="V5" i="1"/>
  <c r="X5" i="1" s="1"/>
  <c r="U5" i="1"/>
  <c r="P5" i="1"/>
  <c r="G5" i="1"/>
  <c r="Z13" i="1" l="1"/>
  <c r="Z5" i="1"/>
  <c r="G31" i="1"/>
  <c r="W12" i="1"/>
  <c r="Y12" i="1" s="1"/>
  <c r="V12" i="1"/>
  <c r="X12" i="1" s="1"/>
  <c r="U12" i="1"/>
  <c r="P12" i="1"/>
  <c r="G12" i="1"/>
  <c r="Z12" i="1" l="1"/>
  <c r="Q12" i="4"/>
  <c r="Q4" i="4"/>
  <c r="Q7" i="4"/>
  <c r="Q9" i="4"/>
  <c r="N71" i="7"/>
  <c r="O71" i="7" s="1"/>
  <c r="P71" i="7" s="1"/>
  <c r="L71" i="7"/>
  <c r="L72" i="7" s="1"/>
  <c r="L73" i="7" s="1"/>
  <c r="L74" i="7" s="1"/>
  <c r="L75" i="7" s="1"/>
  <c r="L76" i="7" s="1"/>
  <c r="L77" i="7" s="1"/>
  <c r="L78" i="7" s="1"/>
  <c r="L79" i="7" s="1"/>
  <c r="N68" i="7"/>
  <c r="O68" i="7" s="1"/>
  <c r="P68" i="7" s="1"/>
  <c r="V30" i="1"/>
  <c r="X30" i="1" s="1"/>
  <c r="J36" i="5"/>
  <c r="H36" i="5"/>
  <c r="I36" i="5" s="1"/>
  <c r="J35" i="5"/>
  <c r="H35" i="5"/>
  <c r="I35" i="5" s="1"/>
  <c r="R15" i="4" l="1"/>
  <c r="L36" i="5"/>
  <c r="L35" i="5"/>
  <c r="O69" i="1" l="1"/>
  <c r="N69" i="1"/>
  <c r="O68" i="1"/>
  <c r="N68" i="1"/>
  <c r="O67" i="1"/>
  <c r="N67" i="1"/>
  <c r="O66" i="1"/>
  <c r="N66" i="1"/>
  <c r="O65" i="1"/>
  <c r="N65" i="1"/>
  <c r="O64" i="1"/>
  <c r="N64" i="1"/>
  <c r="N63" i="1"/>
  <c r="O63" i="1"/>
  <c r="W2" i="6"/>
  <c r="V2" i="6"/>
  <c r="U2" i="6"/>
  <c r="T2" i="6"/>
  <c r="R2" i="6"/>
  <c r="S2" i="6"/>
  <c r="C82" i="7"/>
  <c r="C81" i="7"/>
  <c r="C80" i="7"/>
  <c r="C79" i="7"/>
  <c r="G78" i="7"/>
  <c r="C78" i="7" s="1"/>
  <c r="C77" i="7"/>
  <c r="C76" i="7"/>
  <c r="R10" i="6" s="1"/>
  <c r="C75" i="7"/>
  <c r="R5" i="6" s="1"/>
  <c r="C74" i="7"/>
  <c r="R4" i="6" s="1"/>
  <c r="C73" i="7"/>
  <c r="R3" i="6" s="1"/>
  <c r="C68" i="7"/>
  <c r="C67" i="7"/>
  <c r="C66" i="7"/>
  <c r="C65" i="7"/>
  <c r="C64" i="7"/>
  <c r="C63" i="7"/>
  <c r="C62" i="7"/>
  <c r="S10" i="6" s="1"/>
  <c r="C61" i="7"/>
  <c r="S5" i="6" s="1"/>
  <c r="C60" i="7"/>
  <c r="S4" i="6" s="1"/>
  <c r="C59" i="7"/>
  <c r="S3" i="6" s="1"/>
  <c r="C54" i="7"/>
  <c r="C52" i="7"/>
  <c r="C51" i="7"/>
  <c r="C50" i="7"/>
  <c r="F49" i="7"/>
  <c r="P13" i="7" s="1"/>
  <c r="E49" i="7"/>
  <c r="P14" i="7" s="1"/>
  <c r="C48" i="7"/>
  <c r="T10" i="6" s="1"/>
  <c r="F47" i="7"/>
  <c r="C53" i="7" s="1"/>
  <c r="C46" i="7"/>
  <c r="T4" i="6" s="1"/>
  <c r="C45" i="7"/>
  <c r="T3" i="6" s="1"/>
  <c r="C40" i="7"/>
  <c r="C39" i="7"/>
  <c r="C38" i="7"/>
  <c r="C37" i="7"/>
  <c r="C36" i="7"/>
  <c r="H35" i="7"/>
  <c r="P9" i="7" s="1"/>
  <c r="F35" i="7"/>
  <c r="P11" i="7" s="1"/>
  <c r="C34" i="7"/>
  <c r="U10" i="6" s="1"/>
  <c r="C33" i="7"/>
  <c r="U5" i="6" s="1"/>
  <c r="C32" i="7"/>
  <c r="U4" i="6" s="1"/>
  <c r="C31" i="7"/>
  <c r="U3" i="6" s="1"/>
  <c r="C26" i="7"/>
  <c r="C25" i="7"/>
  <c r="C24" i="7"/>
  <c r="C23" i="7"/>
  <c r="C22" i="7"/>
  <c r="G21" i="7"/>
  <c r="P6" i="7" s="1"/>
  <c r="F21" i="7"/>
  <c r="E21" i="7"/>
  <c r="P8" i="7" s="1"/>
  <c r="C20" i="7"/>
  <c r="V10" i="6" s="1"/>
  <c r="C19" i="7"/>
  <c r="V5" i="6" s="1"/>
  <c r="P18" i="7"/>
  <c r="O18" i="7"/>
  <c r="N18" i="7"/>
  <c r="M18" i="7"/>
  <c r="K18" i="7"/>
  <c r="C18" i="7"/>
  <c r="V4" i="6" s="1"/>
  <c r="P17" i="7"/>
  <c r="O17" i="7"/>
  <c r="N17" i="7"/>
  <c r="M17" i="7"/>
  <c r="K17" i="7"/>
  <c r="C17" i="7"/>
  <c r="V3" i="6" s="1"/>
  <c r="P16" i="7"/>
  <c r="O16" i="7"/>
  <c r="N16" i="7"/>
  <c r="M16" i="7"/>
  <c r="K16" i="7"/>
  <c r="P15" i="7"/>
  <c r="O15" i="7"/>
  <c r="N15" i="7"/>
  <c r="M15" i="7"/>
  <c r="K15" i="7"/>
  <c r="O14" i="7"/>
  <c r="N14" i="7"/>
  <c r="M14" i="7"/>
  <c r="K14" i="7"/>
  <c r="O13" i="7"/>
  <c r="M13" i="7"/>
  <c r="K13" i="7"/>
  <c r="P12" i="7"/>
  <c r="O12" i="7"/>
  <c r="N12" i="7"/>
  <c r="M12" i="7"/>
  <c r="K12" i="7"/>
  <c r="C12" i="7"/>
  <c r="O11" i="7"/>
  <c r="N11" i="7"/>
  <c r="M11" i="7"/>
  <c r="K11" i="7"/>
  <c r="C11" i="7"/>
  <c r="P10" i="7"/>
  <c r="O10" i="7"/>
  <c r="N10" i="7"/>
  <c r="M10" i="7"/>
  <c r="K10" i="7"/>
  <c r="C10" i="7"/>
  <c r="O9" i="7"/>
  <c r="N9" i="7"/>
  <c r="M9" i="7"/>
  <c r="K9" i="7"/>
  <c r="C9" i="7"/>
  <c r="O8" i="7"/>
  <c r="N8" i="7"/>
  <c r="M8" i="7"/>
  <c r="K8" i="7"/>
  <c r="C8" i="7"/>
  <c r="O7" i="7"/>
  <c r="N7" i="7"/>
  <c r="M7" i="7"/>
  <c r="K7" i="7"/>
  <c r="C7" i="7"/>
  <c r="O6" i="7"/>
  <c r="N6" i="7"/>
  <c r="M6" i="7"/>
  <c r="K6" i="7"/>
  <c r="C6" i="7"/>
  <c r="W10" i="6" s="1"/>
  <c r="P5" i="7"/>
  <c r="Q5" i="7" s="1"/>
  <c r="O5" i="7"/>
  <c r="N5" i="7"/>
  <c r="M5" i="7"/>
  <c r="C5" i="7"/>
  <c r="W5" i="6" s="1"/>
  <c r="P4" i="7"/>
  <c r="O4" i="7"/>
  <c r="N4" i="7"/>
  <c r="M4" i="7"/>
  <c r="J4" i="7"/>
  <c r="J5" i="7" s="1"/>
  <c r="J6" i="7" s="1"/>
  <c r="J7" i="7" s="1"/>
  <c r="J8" i="7" s="1"/>
  <c r="J9" i="7" s="1"/>
  <c r="J10" i="7" s="1"/>
  <c r="J11" i="7" s="1"/>
  <c r="J12" i="7" s="1"/>
  <c r="J13" i="7" s="1"/>
  <c r="J14" i="7" s="1"/>
  <c r="J15" i="7" s="1"/>
  <c r="J16" i="7" s="1"/>
  <c r="J17" i="7" s="1"/>
  <c r="J18" i="7" s="1"/>
  <c r="C4" i="7"/>
  <c r="W4" i="6" s="1"/>
  <c r="P3" i="7"/>
  <c r="O3" i="7"/>
  <c r="N3" i="7"/>
  <c r="M3" i="7"/>
  <c r="C3" i="7"/>
  <c r="W3" i="6" s="1"/>
  <c r="C47" i="7" l="1"/>
  <c r="T5" i="6" s="1"/>
  <c r="Q4" i="7"/>
  <c r="Q3" i="7" s="1"/>
  <c r="Q6" i="7" s="1"/>
  <c r="N13" i="7"/>
  <c r="C21" i="7"/>
  <c r="C49" i="7"/>
  <c r="C35" i="7"/>
  <c r="P7" i="7"/>
  <c r="Q7" i="7" l="1"/>
  <c r="Q8" i="7" s="1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T80" i="1" l="1"/>
  <c r="S65" i="1"/>
  <c r="S69" i="1"/>
  <c r="G27" i="1"/>
  <c r="W20" i="1"/>
  <c r="Y20" i="1" s="1"/>
  <c r="V33" i="1"/>
  <c r="X33" i="1" s="1"/>
  <c r="E29" i="6"/>
  <c r="C19" i="6"/>
  <c r="B18" i="6"/>
  <c r="W11" i="6"/>
  <c r="V11" i="6"/>
  <c r="U11" i="6"/>
  <c r="T11" i="6"/>
  <c r="S11" i="6"/>
  <c r="R11" i="6"/>
  <c r="P11" i="6"/>
  <c r="O11" i="6"/>
  <c r="N11" i="6"/>
  <c r="L11" i="6"/>
  <c r="K11" i="6"/>
  <c r="J11" i="6"/>
  <c r="I11" i="6"/>
  <c r="H11" i="6"/>
  <c r="F11" i="6"/>
  <c r="E11" i="6"/>
  <c r="C10" i="6"/>
  <c r="P10" i="6"/>
  <c r="O10" i="6"/>
  <c r="M10" i="6"/>
  <c r="L10" i="6"/>
  <c r="K10" i="6"/>
  <c r="J10" i="6"/>
  <c r="I10" i="6"/>
  <c r="H10" i="6"/>
  <c r="F10" i="6"/>
  <c r="E10" i="6"/>
  <c r="P9" i="6"/>
  <c r="O9" i="6"/>
  <c r="P8" i="6"/>
  <c r="O8" i="6"/>
  <c r="P7" i="6"/>
  <c r="O7" i="6"/>
  <c r="P6" i="6"/>
  <c r="O6" i="6"/>
  <c r="P5" i="6"/>
  <c r="O5" i="6"/>
  <c r="P4" i="6"/>
  <c r="O4" i="6"/>
  <c r="P3" i="6"/>
  <c r="O3" i="6"/>
  <c r="P2" i="6"/>
  <c r="O2" i="6"/>
  <c r="N2" i="6"/>
  <c r="M2" i="6"/>
  <c r="J2" i="6"/>
  <c r="I2" i="6"/>
  <c r="H2" i="6"/>
  <c r="G2" i="6"/>
  <c r="F2" i="6"/>
  <c r="E2" i="6"/>
  <c r="N55" i="1"/>
  <c r="T3" i="1"/>
  <c r="S73" i="1" s="1"/>
  <c r="S74" i="1"/>
  <c r="O74" i="1"/>
  <c r="N74" i="1"/>
  <c r="P52" i="1"/>
  <c r="V52" i="1"/>
  <c r="X52" i="1" s="1"/>
  <c r="W52" i="1"/>
  <c r="Y52" i="1" s="1"/>
  <c r="G52" i="1"/>
  <c r="G48" i="1"/>
  <c r="J34" i="5"/>
  <c r="H34" i="5"/>
  <c r="I34" i="5" s="1"/>
  <c r="J33" i="5"/>
  <c r="H33" i="5"/>
  <c r="I33" i="5" s="1"/>
  <c r="Z52" i="1" l="1"/>
  <c r="Y55" i="1"/>
  <c r="X55" i="1"/>
  <c r="C11" i="6"/>
  <c r="R65" i="1"/>
  <c r="R69" i="1"/>
  <c r="R74" i="1"/>
  <c r="P14" i="6"/>
  <c r="B2" i="6"/>
  <c r="C3" i="6"/>
  <c r="C8" i="6"/>
  <c r="C13" i="6"/>
  <c r="C6" i="6"/>
  <c r="P13" i="6"/>
  <c r="F14" i="6"/>
  <c r="C4" i="6"/>
  <c r="E12" i="6"/>
  <c r="F13" i="6"/>
  <c r="C14" i="6"/>
  <c r="L34" i="5"/>
  <c r="L33" i="5"/>
  <c r="G41" i="1"/>
  <c r="D32" i="4"/>
  <c r="D28" i="4"/>
  <c r="D29" i="4"/>
  <c r="D26" i="4"/>
  <c r="A36" i="4"/>
  <c r="B36" i="4"/>
  <c r="C36" i="4"/>
  <c r="D36" i="4"/>
  <c r="D25" i="4"/>
  <c r="D27" i="4"/>
  <c r="D30" i="4"/>
  <c r="D31" i="4"/>
  <c r="D33" i="4"/>
  <c r="D34" i="4"/>
  <c r="D35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P55" i="1"/>
  <c r="P28" i="1"/>
  <c r="P30" i="1"/>
  <c r="W48" i="1"/>
  <c r="Y48" i="1" s="1"/>
  <c r="V48" i="1"/>
  <c r="X48" i="1" s="1"/>
  <c r="Z48" i="1" l="1"/>
  <c r="Z55" i="1"/>
  <c r="T79" i="1"/>
  <c r="G46" i="1"/>
  <c r="P46" i="1"/>
  <c r="U46" i="1"/>
  <c r="V46" i="1"/>
  <c r="X46" i="1" s="1"/>
  <c r="W46" i="1"/>
  <c r="Y46" i="1" s="1"/>
  <c r="G43" i="1"/>
  <c r="P43" i="1"/>
  <c r="U43" i="1"/>
  <c r="V43" i="1"/>
  <c r="W43" i="1"/>
  <c r="Y43" i="1" s="1"/>
  <c r="Y75" i="1" s="1"/>
  <c r="G32" i="5"/>
  <c r="H32" i="5" s="1"/>
  <c r="I32" i="5" s="1"/>
  <c r="L32" i="5" s="1"/>
  <c r="J31" i="5"/>
  <c r="T31" i="5" s="1"/>
  <c r="H31" i="5"/>
  <c r="I31" i="5" s="1"/>
  <c r="J30" i="5"/>
  <c r="H30" i="5"/>
  <c r="I30" i="5" s="1"/>
  <c r="J29" i="5"/>
  <c r="H29" i="5"/>
  <c r="I29" i="5" s="1"/>
  <c r="J28" i="5"/>
  <c r="H28" i="5"/>
  <c r="I28" i="5" s="1"/>
  <c r="J27" i="5"/>
  <c r="H27" i="5"/>
  <c r="J26" i="5"/>
  <c r="H26" i="5"/>
  <c r="I26" i="5" s="1"/>
  <c r="J25" i="5"/>
  <c r="H25" i="5"/>
  <c r="I25" i="5" s="1"/>
  <c r="J24" i="5"/>
  <c r="H24" i="5"/>
  <c r="I24" i="5" s="1"/>
  <c r="J23" i="5"/>
  <c r="H23" i="5"/>
  <c r="I23" i="5" s="1"/>
  <c r="J22" i="5"/>
  <c r="H22" i="5"/>
  <c r="I22" i="5" s="1"/>
  <c r="J21" i="5"/>
  <c r="H21" i="5"/>
  <c r="I21" i="5" s="1"/>
  <c r="J20" i="5"/>
  <c r="H20" i="5"/>
  <c r="I20" i="5" s="1"/>
  <c r="J19" i="5"/>
  <c r="H19" i="5"/>
  <c r="I19" i="5" s="1"/>
  <c r="J18" i="5"/>
  <c r="H18" i="5"/>
  <c r="I18" i="5" s="1"/>
  <c r="O18" i="5" s="1"/>
  <c r="H17" i="5"/>
  <c r="I17" i="5" s="1"/>
  <c r="J17" i="5" s="1"/>
  <c r="L17" i="5" s="1"/>
  <c r="J16" i="5"/>
  <c r="H16" i="5"/>
  <c r="I16" i="5" s="1"/>
  <c r="J15" i="5"/>
  <c r="H15" i="5"/>
  <c r="I15" i="5" s="1"/>
  <c r="J14" i="5"/>
  <c r="H14" i="5"/>
  <c r="I14" i="5" s="1"/>
  <c r="J13" i="5"/>
  <c r="H13" i="5"/>
  <c r="I13" i="5" s="1"/>
  <c r="J12" i="5"/>
  <c r="H12" i="5"/>
  <c r="I12" i="5" s="1"/>
  <c r="J11" i="5"/>
  <c r="H11" i="5"/>
  <c r="I11" i="5" s="1"/>
  <c r="H10" i="5"/>
  <c r="I10" i="5" s="1"/>
  <c r="J10" i="5" s="1"/>
  <c r="L10" i="5" s="1"/>
  <c r="I9" i="5"/>
  <c r="J9" i="5" s="1"/>
  <c r="L9" i="5" s="1"/>
  <c r="H9" i="5"/>
  <c r="I8" i="5"/>
  <c r="L8" i="5" s="1"/>
  <c r="H8" i="5"/>
  <c r="H7" i="5"/>
  <c r="I6" i="5"/>
  <c r="H6" i="5"/>
  <c r="H5" i="5"/>
  <c r="I4" i="5"/>
  <c r="H4" i="5"/>
  <c r="C1" i="5"/>
  <c r="G15" i="1"/>
  <c r="P38" i="1"/>
  <c r="G32" i="1"/>
  <c r="P48" i="1"/>
  <c r="W32" i="1"/>
  <c r="Y32" i="1" s="1"/>
  <c r="V32" i="1"/>
  <c r="X32" i="1" s="1"/>
  <c r="U32" i="1"/>
  <c r="P32" i="1"/>
  <c r="W28" i="1"/>
  <c r="Y28" i="1" s="1"/>
  <c r="V28" i="1"/>
  <c r="X28" i="1" s="1"/>
  <c r="U28" i="1"/>
  <c r="G28" i="1"/>
  <c r="N73" i="1"/>
  <c r="O73" i="1"/>
  <c r="O75" i="1"/>
  <c r="S75" i="1"/>
  <c r="S77" i="1"/>
  <c r="O77" i="1"/>
  <c r="N77" i="1"/>
  <c r="W3" i="1"/>
  <c r="V3" i="1"/>
  <c r="U3" i="1"/>
  <c r="P3" i="1"/>
  <c r="W15" i="1"/>
  <c r="V15" i="1"/>
  <c r="U15" i="1"/>
  <c r="Q74" i="1" s="1"/>
  <c r="P15" i="1"/>
  <c r="P74" i="1" s="1"/>
  <c r="S68" i="1"/>
  <c r="W18" i="1"/>
  <c r="Y18" i="1" s="1"/>
  <c r="V18" i="1"/>
  <c r="X18" i="1" s="1"/>
  <c r="U18" i="1"/>
  <c r="P18" i="1"/>
  <c r="G18" i="1"/>
  <c r="R75" i="1" l="1"/>
  <c r="Z28" i="1"/>
  <c r="L21" i="5"/>
  <c r="L22" i="5"/>
  <c r="Z32" i="1"/>
  <c r="Z46" i="1"/>
  <c r="Z18" i="1"/>
  <c r="X3" i="1"/>
  <c r="X15" i="1"/>
  <c r="Y15" i="1"/>
  <c r="Y74" i="1" s="1"/>
  <c r="Y3" i="1"/>
  <c r="Y73" i="1" s="1"/>
  <c r="X43" i="1"/>
  <c r="Z43" i="1" s="1"/>
  <c r="L19" i="5"/>
  <c r="S80" i="1"/>
  <c r="E22" i="6" s="1"/>
  <c r="N80" i="1"/>
  <c r="O80" i="1"/>
  <c r="O79" i="1"/>
  <c r="Q73" i="1"/>
  <c r="P73" i="1"/>
  <c r="L20" i="5"/>
  <c r="L16" i="5"/>
  <c r="L29" i="5"/>
  <c r="Q31" i="5"/>
  <c r="L14" i="5"/>
  <c r="L12" i="5"/>
  <c r="L18" i="5"/>
  <c r="W31" i="5"/>
  <c r="Q75" i="1"/>
  <c r="P75" i="1"/>
  <c r="L11" i="5"/>
  <c r="L30" i="5"/>
  <c r="L15" i="5"/>
  <c r="W32" i="5"/>
  <c r="T32" i="5"/>
  <c r="Q32" i="5"/>
  <c r="L13" i="5"/>
  <c r="L31" i="5"/>
  <c r="R73" i="1"/>
  <c r="R77" i="1"/>
  <c r="R67" i="1"/>
  <c r="N79" i="1"/>
  <c r="R79" i="1" l="1"/>
  <c r="R80" i="1"/>
  <c r="X75" i="1"/>
  <c r="X74" i="1"/>
  <c r="Z15" i="1"/>
  <c r="X73" i="1"/>
  <c r="Z3" i="1"/>
  <c r="Q80" i="1"/>
  <c r="P80" i="1"/>
  <c r="V38" i="1"/>
  <c r="X38" i="1" s="1"/>
  <c r="W38" i="1"/>
  <c r="Y38" i="1" s="1"/>
  <c r="U17" i="1"/>
  <c r="V17" i="1"/>
  <c r="X17" i="1" s="1"/>
  <c r="W17" i="1"/>
  <c r="Y17" i="1" s="1"/>
  <c r="U53" i="1"/>
  <c r="V53" i="1"/>
  <c r="X53" i="1" s="1"/>
  <c r="W53" i="1"/>
  <c r="Y53" i="1" s="1"/>
  <c r="U4" i="1"/>
  <c r="V4" i="1"/>
  <c r="X4" i="1" s="1"/>
  <c r="W4" i="1"/>
  <c r="Y4" i="1" s="1"/>
  <c r="P17" i="1"/>
  <c r="P53" i="1"/>
  <c r="P4" i="1"/>
  <c r="V6" i="1"/>
  <c r="X6" i="1" s="1"/>
  <c r="W6" i="1"/>
  <c r="Y6" i="1" s="1"/>
  <c r="P6" i="1"/>
  <c r="G6" i="1"/>
  <c r="G38" i="1"/>
  <c r="G17" i="1"/>
  <c r="G53" i="1"/>
  <c r="G4" i="1"/>
  <c r="G47" i="1"/>
  <c r="G14" i="1"/>
  <c r="G51" i="1"/>
  <c r="G20" i="1"/>
  <c r="G22" i="1"/>
  <c r="G37" i="1"/>
  <c r="G42" i="1"/>
  <c r="G39" i="1"/>
  <c r="G25" i="1"/>
  <c r="G10" i="1"/>
  <c r="G23" i="1"/>
  <c r="G26" i="1"/>
  <c r="G21" i="1"/>
  <c r="G24" i="1"/>
  <c r="G9" i="1"/>
  <c r="G34" i="1"/>
  <c r="G29" i="1"/>
  <c r="G40" i="1"/>
  <c r="G44" i="1"/>
  <c r="G35" i="1"/>
  <c r="G54" i="1"/>
  <c r="G7" i="1"/>
  <c r="G19" i="1"/>
  <c r="G49" i="1"/>
  <c r="G16" i="1"/>
  <c r="G8" i="1"/>
  <c r="G50" i="1"/>
  <c r="G36" i="1"/>
  <c r="G30" i="1"/>
  <c r="G33" i="1"/>
  <c r="G45" i="1"/>
  <c r="U11" i="1"/>
  <c r="S81" i="1"/>
  <c r="S66" i="1"/>
  <c r="S67" i="1"/>
  <c r="S64" i="1"/>
  <c r="S63" i="1"/>
  <c r="P2" i="1"/>
  <c r="V2" i="1"/>
  <c r="X2" i="1" s="1"/>
  <c r="W2" i="1"/>
  <c r="Y2" i="1" s="1"/>
  <c r="E23" i="6" l="1"/>
  <c r="Z4" i="1"/>
  <c r="Z17" i="1"/>
  <c r="Z38" i="1"/>
  <c r="Z6" i="1"/>
  <c r="Z53" i="1"/>
  <c r="Z2" i="1"/>
  <c r="Y68" i="1"/>
  <c r="Q68" i="1"/>
  <c r="P68" i="1"/>
  <c r="S79" i="1"/>
  <c r="T82" i="1" s="1"/>
  <c r="X68" i="1"/>
  <c r="R68" i="1"/>
  <c r="P16" i="1"/>
  <c r="P11" i="1"/>
  <c r="P25" i="1"/>
  <c r="W25" i="1"/>
  <c r="Y25" i="1" s="1"/>
  <c r="V25" i="1"/>
  <c r="X25" i="1" s="1"/>
  <c r="Z25" i="1" l="1"/>
  <c r="C27" i="2"/>
  <c r="W36" i="1"/>
  <c r="Y36" i="1" s="1"/>
  <c r="V36" i="1"/>
  <c r="X36" i="1" s="1"/>
  <c r="U36" i="1"/>
  <c r="P36" i="1"/>
  <c r="W9" i="1"/>
  <c r="Y9" i="1" s="1"/>
  <c r="V9" i="1"/>
  <c r="X9" i="1" s="1"/>
  <c r="U9" i="1"/>
  <c r="P9" i="1"/>
  <c r="F11" i="3"/>
  <c r="W8" i="1"/>
  <c r="Y8" i="1" s="1"/>
  <c r="V8" i="1"/>
  <c r="X8" i="1" s="1"/>
  <c r="U8" i="1"/>
  <c r="P8" i="1"/>
  <c r="P8" i="3"/>
  <c r="R8" i="3" s="1"/>
  <c r="O8" i="3"/>
  <c r="Q8" i="3" s="1"/>
  <c r="N8" i="3"/>
  <c r="J8" i="3"/>
  <c r="P7" i="3"/>
  <c r="R7" i="3" s="1"/>
  <c r="O7" i="3"/>
  <c r="Q7" i="3" s="1"/>
  <c r="N7" i="3"/>
  <c r="J7" i="3"/>
  <c r="Z9" i="1" l="1"/>
  <c r="Z36" i="1"/>
  <c r="Z8" i="1"/>
  <c r="P14" i="1"/>
  <c r="P7" i="1"/>
  <c r="P49" i="1"/>
  <c r="O81" i="1"/>
  <c r="O82" i="1" s="1"/>
  <c r="N81" i="1"/>
  <c r="N82" i="1" s="1"/>
  <c r="R64" i="1" l="1"/>
  <c r="R81" i="1"/>
  <c r="R66" i="1"/>
  <c r="R63" i="1"/>
  <c r="P20" i="1" l="1"/>
  <c r="P42" i="1" l="1"/>
  <c r="P35" i="1"/>
  <c r="W42" i="1" l="1"/>
  <c r="Y42" i="1" s="1"/>
  <c r="V42" i="1"/>
  <c r="X42" i="1" s="1"/>
  <c r="U42" i="1"/>
  <c r="P27" i="1"/>
  <c r="P69" i="1" s="1"/>
  <c r="P22" i="1"/>
  <c r="P54" i="1"/>
  <c r="P34" i="1"/>
  <c r="P66" i="1" s="1"/>
  <c r="P23" i="1"/>
  <c r="P21" i="1"/>
  <c r="P44" i="1"/>
  <c r="P37" i="1"/>
  <c r="P39" i="1"/>
  <c r="P29" i="1"/>
  <c r="P24" i="1"/>
  <c r="P50" i="1"/>
  <c r="P26" i="1"/>
  <c r="P10" i="1"/>
  <c r="P40" i="1"/>
  <c r="P19" i="1"/>
  <c r="P33" i="1"/>
  <c r="P47" i="1"/>
  <c r="W16" i="1"/>
  <c r="Y16" i="1" s="1"/>
  <c r="V16" i="1"/>
  <c r="X16" i="1" s="1"/>
  <c r="U16" i="1"/>
  <c r="C8" i="2"/>
  <c r="U40" i="1"/>
  <c r="V44" i="1"/>
  <c r="X44" i="1" s="1"/>
  <c r="V34" i="1"/>
  <c r="X34" i="1" s="1"/>
  <c r="V50" i="1"/>
  <c r="X50" i="1" s="1"/>
  <c r="V29" i="1"/>
  <c r="X29" i="1" s="1"/>
  <c r="V26" i="1"/>
  <c r="X26" i="1" s="1"/>
  <c r="V24" i="1"/>
  <c r="X24" i="1" s="1"/>
  <c r="V11" i="1"/>
  <c r="X11" i="1" s="1"/>
  <c r="V10" i="1"/>
  <c r="X10" i="1" s="1"/>
  <c r="V47" i="1"/>
  <c r="X47" i="1" s="1"/>
  <c r="V49" i="1"/>
  <c r="X49" i="1" s="1"/>
  <c r="W44" i="1"/>
  <c r="Y44" i="1" s="1"/>
  <c r="U44" i="1"/>
  <c r="U7" i="1"/>
  <c r="P45" i="1"/>
  <c r="U34" i="1"/>
  <c r="U30" i="1"/>
  <c r="U21" i="1"/>
  <c r="U23" i="1"/>
  <c r="U14" i="1"/>
  <c r="U51" i="1"/>
  <c r="U45" i="1"/>
  <c r="U22" i="1"/>
  <c r="U54" i="1"/>
  <c r="U19" i="1"/>
  <c r="U47" i="1"/>
  <c r="U49" i="1"/>
  <c r="U10" i="1"/>
  <c r="U37" i="1"/>
  <c r="U35" i="1"/>
  <c r="U20" i="1"/>
  <c r="U39" i="1"/>
  <c r="U50" i="1"/>
  <c r="U29" i="1"/>
  <c r="U26" i="1"/>
  <c r="U24" i="1"/>
  <c r="U41" i="1"/>
  <c r="V20" i="1"/>
  <c r="X20" i="1" s="1"/>
  <c r="Z20" i="1" s="1"/>
  <c r="C70" i="1"/>
  <c r="C3" i="2"/>
  <c r="D3" i="2"/>
  <c r="C24" i="2"/>
  <c r="E19" i="2"/>
  <c r="E21" i="2"/>
  <c r="E15" i="2"/>
  <c r="Z42" i="1" l="1"/>
  <c r="Z16" i="1"/>
  <c r="Z44" i="1"/>
  <c r="P67" i="1"/>
  <c r="Q67" i="1"/>
  <c r="P65" i="1"/>
  <c r="Q66" i="1"/>
  <c r="Q64" i="1"/>
  <c r="P64" i="1"/>
  <c r="E21" i="6"/>
  <c r="Q69" i="1"/>
  <c r="Q65" i="1"/>
  <c r="Q63" i="1"/>
  <c r="Q77" i="1"/>
  <c r="X66" i="1"/>
  <c r="X67" i="1"/>
  <c r="P77" i="1"/>
  <c r="Q81" i="1"/>
  <c r="F20" i="2"/>
  <c r="P81" i="1"/>
  <c r="B4" i="2"/>
  <c r="P41" i="1"/>
  <c r="P63" i="1" s="1"/>
  <c r="W23" i="1"/>
  <c r="Y23" i="1" s="1"/>
  <c r="W21" i="1"/>
  <c r="Y21" i="1" s="1"/>
  <c r="W49" i="1"/>
  <c r="Y49" i="1" s="1"/>
  <c r="Z49" i="1" s="1"/>
  <c r="W47" i="1"/>
  <c r="Y47" i="1" s="1"/>
  <c r="Z47" i="1" s="1"/>
  <c r="W14" i="1"/>
  <c r="Y14" i="1" s="1"/>
  <c r="W51" i="1"/>
  <c r="Y51" i="1" s="1"/>
  <c r="W27" i="1"/>
  <c r="W22" i="1"/>
  <c r="Y22" i="1" s="1"/>
  <c r="W41" i="1"/>
  <c r="Y41" i="1" s="1"/>
  <c r="W54" i="1"/>
  <c r="Y54" i="1" s="1"/>
  <c r="W39" i="1"/>
  <c r="Y39" i="1" s="1"/>
  <c r="W37" i="1"/>
  <c r="Y37" i="1" s="1"/>
  <c r="W35" i="1"/>
  <c r="Y35" i="1" s="1"/>
  <c r="V39" i="1"/>
  <c r="X39" i="1" s="1"/>
  <c r="W10" i="1"/>
  <c r="Y10" i="1" s="1"/>
  <c r="Z10" i="1" s="1"/>
  <c r="B5" i="2"/>
  <c r="B7" i="2"/>
  <c r="B8" i="2" s="1"/>
  <c r="Z39" i="1" l="1"/>
  <c r="Y27" i="1"/>
  <c r="Y69" i="1" s="1"/>
  <c r="Q79" i="1"/>
  <c r="Q82" i="1" s="1"/>
  <c r="P79" i="1"/>
  <c r="P82" i="1" s="1"/>
  <c r="Y81" i="1"/>
  <c r="Y77" i="1"/>
  <c r="B6" i="2"/>
  <c r="W19" i="1"/>
  <c r="Y19" i="1" s="1"/>
  <c r="V19" i="1"/>
  <c r="X19" i="1" s="1"/>
  <c r="Z19" i="1" l="1"/>
  <c r="W45" i="1"/>
  <c r="Y45" i="1" s="1"/>
  <c r="V45" i="1"/>
  <c r="X45" i="1" s="1"/>
  <c r="Z45" i="1" l="1"/>
  <c r="W7" i="1"/>
  <c r="V7" i="1"/>
  <c r="X7" i="1" s="1"/>
  <c r="V40" i="1"/>
  <c r="X40" i="1" s="1"/>
  <c r="W40" i="1"/>
  <c r="Y40" i="1" s="1"/>
  <c r="Z40" i="1" l="1"/>
  <c r="Y7" i="1"/>
  <c r="Y63" i="1" s="1"/>
  <c r="W26" i="1"/>
  <c r="Y26" i="1" s="1"/>
  <c r="Z26" i="1" s="1"/>
  <c r="W30" i="1"/>
  <c r="Y30" i="1" s="1"/>
  <c r="Z30" i="1" s="1"/>
  <c r="W34" i="1"/>
  <c r="Y34" i="1" s="1"/>
  <c r="Z34" i="1" s="1"/>
  <c r="W33" i="1"/>
  <c r="W50" i="1"/>
  <c r="Y50" i="1" s="1"/>
  <c r="Z50" i="1" s="1"/>
  <c r="W24" i="1"/>
  <c r="Y24" i="1" s="1"/>
  <c r="Z24" i="1" s="1"/>
  <c r="W11" i="1"/>
  <c r="Y11" i="1" s="1"/>
  <c r="Z11" i="1" s="1"/>
  <c r="W29" i="1"/>
  <c r="Y29" i="1" s="1"/>
  <c r="Z29" i="1" s="1"/>
  <c r="V37" i="1"/>
  <c r="X37" i="1" s="1"/>
  <c r="Z37" i="1" s="1"/>
  <c r="Z7" i="1" l="1"/>
  <c r="Y33" i="1"/>
  <c r="Z33" i="1" s="1"/>
  <c r="Y66" i="1"/>
  <c r="Y67" i="1"/>
  <c r="V14" i="1"/>
  <c r="X14" i="1" s="1"/>
  <c r="Z14" i="1" s="1"/>
  <c r="V51" i="1"/>
  <c r="X51" i="1" s="1"/>
  <c r="Z51" i="1" s="1"/>
  <c r="V22" i="1"/>
  <c r="X22" i="1" s="1"/>
  <c r="Z22" i="1" s="1"/>
  <c r="V54" i="1"/>
  <c r="X54" i="1" s="1"/>
  <c r="Z54" i="1" s="1"/>
  <c r="V41" i="1"/>
  <c r="X41" i="1" s="1"/>
  <c r="Z41" i="1" s="1"/>
  <c r="V35" i="1"/>
  <c r="X35" i="1" s="1"/>
  <c r="Z35" i="1" s="1"/>
  <c r="V23" i="1"/>
  <c r="X23" i="1" s="1"/>
  <c r="Z23" i="1" s="1"/>
  <c r="V27" i="1"/>
  <c r="V21" i="1"/>
  <c r="X21" i="1" s="1"/>
  <c r="Z21" i="1" s="1"/>
  <c r="D4" i="2" l="1"/>
  <c r="C25" i="2"/>
  <c r="Y65" i="1"/>
  <c r="X27" i="1"/>
  <c r="Z27" i="1" s="1"/>
  <c r="X63" i="1"/>
  <c r="X77" i="1"/>
  <c r="X81" i="1"/>
  <c r="Y64" i="1"/>
  <c r="C4" i="2" l="1"/>
  <c r="C28" i="2"/>
  <c r="X69" i="1"/>
  <c r="Y79" i="1"/>
  <c r="Y80" i="1"/>
  <c r="X64" i="1"/>
  <c r="X65" i="1"/>
  <c r="X80" i="1" l="1"/>
  <c r="X79" i="1"/>
  <c r="C7" i="6" l="1"/>
  <c r="E20" i="6" s="1"/>
  <c r="B33" i="6" s="1"/>
  <c r="F15" i="6" l="1"/>
  <c r="P15" i="6"/>
  <c r="C15" i="6"/>
  <c r="C5" i="6"/>
  <c r="C9" i="6" l="1"/>
  <c r="C18" i="6" s="1"/>
  <c r="E19" i="6" s="1"/>
  <c r="D33" i="6" s="1"/>
  <c r="F16" i="6"/>
  <c r="P16" i="6"/>
  <c r="C16" i="6"/>
</calcChain>
</file>

<file path=xl/sharedStrings.xml><?xml version="1.0" encoding="utf-8"?>
<sst xmlns="http://schemas.openxmlformats.org/spreadsheetml/2006/main" count="1123" uniqueCount="511">
  <si>
    <t>Lender</t>
  </si>
  <si>
    <t>Entity ID</t>
  </si>
  <si>
    <t>Corp/ Pers</t>
  </si>
  <si>
    <t>Name</t>
  </si>
  <si>
    <t>Used By</t>
  </si>
  <si>
    <t>Paid By</t>
  </si>
  <si>
    <t>Last 4</t>
  </si>
  <si>
    <t>Card Number</t>
  </si>
  <si>
    <t>Bal Xfer</t>
  </si>
  <si>
    <t>CVV Code</t>
  </si>
  <si>
    <t>Expire Date</t>
  </si>
  <si>
    <t>St Date</t>
  </si>
  <si>
    <t>Points</t>
  </si>
  <si>
    <t>Current Balance</t>
  </si>
  <si>
    <t>Credit Limit</t>
  </si>
  <si>
    <t>Available Credit</t>
  </si>
  <si>
    <t>Free Interest</t>
  </si>
  <si>
    <t>Interest Rate</t>
  </si>
  <si>
    <t>PIN</t>
  </si>
  <si>
    <t>Monthly Payment</t>
  </si>
  <si>
    <t>Interest Paid</t>
  </si>
  <si>
    <t>paydown for 35%</t>
  </si>
  <si>
    <t>paydown for 50%</t>
  </si>
  <si>
    <t>Paydown</t>
  </si>
  <si>
    <t>User</t>
  </si>
  <si>
    <t>Password</t>
  </si>
  <si>
    <t>URL</t>
  </si>
  <si>
    <t>AmEx</t>
  </si>
  <si>
    <t>C</t>
  </si>
  <si>
    <t>Hollinger Investments</t>
  </si>
  <si>
    <t>BYH</t>
  </si>
  <si>
    <t>Truist-BYH</t>
  </si>
  <si>
    <t>3798 241742 11009</t>
  </si>
  <si>
    <t>4004</t>
  </si>
  <si>
    <t>Jenny3638</t>
  </si>
  <si>
    <t>BuyYourHome1</t>
  </si>
  <si>
    <t>https://global.americanexpress.com/dashboard?inav=MYCA_Home</t>
  </si>
  <si>
    <t>Buy Your Home</t>
  </si>
  <si>
    <t>3767 418424 02013-3767 418424 01007</t>
  </si>
  <si>
    <t>7288</t>
  </si>
  <si>
    <t>P</t>
  </si>
  <si>
    <t>Wes</t>
  </si>
  <si>
    <t>3792 965024 01000</t>
  </si>
  <si>
    <t>3862</t>
  </si>
  <si>
    <t>wesbrowning1</t>
  </si>
  <si>
    <t>w3638B0&amp;</t>
  </si>
  <si>
    <t>https://global.americanexpress.com/dashboard</t>
  </si>
  <si>
    <t>AmEx (Delta  SkyMiles)</t>
  </si>
  <si>
    <t>Jenny</t>
  </si>
  <si>
    <t>3797 883673 01002</t>
  </si>
  <si>
    <t>9101</t>
  </si>
  <si>
    <t>AmEx (New)</t>
  </si>
  <si>
    <t>Heritage Mangement</t>
  </si>
  <si>
    <t>3729 822518 61000</t>
  </si>
  <si>
    <t>6</t>
  </si>
  <si>
    <t>3729  905291 11009</t>
  </si>
  <si>
    <t>2578</t>
  </si>
  <si>
    <t>AmEx(closed)</t>
  </si>
  <si>
    <t>3716 972512 11003</t>
  </si>
  <si>
    <t>0864</t>
  </si>
  <si>
    <t xml:space="preserve">w3638B0&amp; </t>
  </si>
  <si>
    <t>Bank of America</t>
  </si>
  <si>
    <t>773</t>
  </si>
  <si>
    <t>Ilovevince1</t>
  </si>
  <si>
    <t>5524 3365 6660 1450</t>
  </si>
  <si>
    <t>196</t>
  </si>
  <si>
    <t>w3638B0)</t>
  </si>
  <si>
    <t>5474 1522 0807 7789, 5474 1517 2892 6525</t>
  </si>
  <si>
    <t>125</t>
  </si>
  <si>
    <t>wesbrowning2</t>
  </si>
  <si>
    <t>w3638B0*</t>
  </si>
  <si>
    <t>5524 3305 1017 6677</t>
  </si>
  <si>
    <t>069</t>
  </si>
  <si>
    <t>Best Buy</t>
  </si>
  <si>
    <t>4269 3800 8114 4127</t>
  </si>
  <si>
    <t>569</t>
  </si>
  <si>
    <t>Wes@myBrowning.net</t>
  </si>
  <si>
    <t>w3638B0@</t>
  </si>
  <si>
    <t>https://citiretailservices.citibankonline.com/RSnextgen/svc/launch/index.action?siteId=PLCN_BESTBUY#signon</t>
  </si>
  <si>
    <t>Capital One</t>
  </si>
  <si>
    <t>5156 7678 5579 6426</t>
  </si>
  <si>
    <t>067</t>
  </si>
  <si>
    <t>free</t>
  </si>
  <si>
    <t>WesBrowning</t>
  </si>
  <si>
    <t>4246 3154 3751 6337</t>
  </si>
  <si>
    <t>No</t>
  </si>
  <si>
    <t>124</t>
  </si>
  <si>
    <t>HeritageManagementLLC1</t>
  </si>
  <si>
    <t>w3638B0!Wes</t>
  </si>
  <si>
    <t>https://secure.chase.com/web/auth/dashboard#/dashboard/overview</t>
  </si>
  <si>
    <t xml:space="preserve">Chase (new) </t>
  </si>
  <si>
    <t>HM</t>
  </si>
  <si>
    <t>0779,4246 3154 7243 0030</t>
  </si>
  <si>
    <t>718</t>
  </si>
  <si>
    <t>HeritageManagementLLC2</t>
  </si>
  <si>
    <t>w3638B0#</t>
  </si>
  <si>
    <t>Chase Ink</t>
  </si>
  <si>
    <t>4246 3152 8198 5323</t>
  </si>
  <si>
    <t>510</t>
  </si>
  <si>
    <t>JennyHollinger2</t>
  </si>
  <si>
    <t>Greatnewlife1!</t>
  </si>
  <si>
    <t>https://www.chase.com/personal/credit-cards/verify-credit-card</t>
  </si>
  <si>
    <t>Chase Slate</t>
  </si>
  <si>
    <t>4266-8415-1032-6281</t>
  </si>
  <si>
    <t>466</t>
  </si>
  <si>
    <t>Chase Slate - Southwest</t>
  </si>
  <si>
    <t>4147 2025 7845 9883</t>
  </si>
  <si>
    <t>831</t>
  </si>
  <si>
    <t>JennyHollinger1</t>
  </si>
  <si>
    <t>https://secure07ea.chase.com/web/auth/dashboard#/dashboard/overviewAccounts/overview/index</t>
  </si>
  <si>
    <t>Chase Slate (closed)</t>
  </si>
  <si>
    <t>4266 8415 1028 6246</t>
  </si>
  <si>
    <t>623</t>
  </si>
  <si>
    <t>Citi</t>
  </si>
  <si>
    <t>5424 1816 9839 7127</t>
  </si>
  <si>
    <t>076</t>
  </si>
  <si>
    <t>old 5285-4600-7127-3065 5189-4102-2469-6289</t>
  </si>
  <si>
    <t>359</t>
  </si>
  <si>
    <t>Jenny@BuyYourHomeLLC.com</t>
  </si>
  <si>
    <t>Citi (Closed)</t>
  </si>
  <si>
    <t xml:space="preserve"> </t>
  </si>
  <si>
    <t>wesBrowning</t>
  </si>
  <si>
    <t>Civic Federal CU</t>
  </si>
  <si>
    <t>SYH</t>
  </si>
  <si>
    <t>4670 0501 2200 3318 - 4361 2004 4106 7320</t>
  </si>
  <si>
    <t>969</t>
  </si>
  <si>
    <t>5815940116418469</t>
  </si>
  <si>
    <t>w3638B0@Wes</t>
  </si>
  <si>
    <t>https://my.civicfcu.org/Authentication</t>
  </si>
  <si>
    <t>Discover</t>
  </si>
  <si>
    <t>3823</t>
  </si>
  <si>
    <t>WesBrowning2</t>
  </si>
  <si>
    <t>40017942 3500 0030</t>
  </si>
  <si>
    <t>Yes</t>
  </si>
  <si>
    <t>664</t>
  </si>
  <si>
    <t>HeritageManagement1</t>
  </si>
  <si>
    <t>w3638B0!Wesley</t>
  </si>
  <si>
    <t>https://www.mycardstatement.com/</t>
  </si>
  <si>
    <t>First Bank</t>
  </si>
  <si>
    <t>3901, 5592 222 0652 7750</t>
  </si>
  <si>
    <t>633</t>
  </si>
  <si>
    <t>WesWill@BuyYourHomeLLC.com</t>
  </si>
  <si>
    <t>https://spendtrack.fiservapp.com/first-bank/signOut</t>
  </si>
  <si>
    <t>First Citizens</t>
  </si>
  <si>
    <t>Sell Your Home</t>
  </si>
  <si>
    <t>FC-SYH</t>
  </si>
  <si>
    <t>4053 0133 0114 6222 - 4053 0134 5068 5103 - Master 4882</t>
  </si>
  <si>
    <t>674</t>
  </si>
  <si>
    <t>4053 0133 0114 2866  -  Master  4053 0134 5068 1839</t>
  </si>
  <si>
    <t>BYH 401k</t>
  </si>
  <si>
    <t>FC-BYH  401K</t>
  </si>
  <si>
    <t>4053 0133 0116  4696</t>
  </si>
  <si>
    <t>551</t>
  </si>
  <si>
    <t>wesbrowning</t>
  </si>
  <si>
    <t>w3638B0!</t>
  </si>
  <si>
    <t>https://digitalbanking.firstcitizens.com/FCBTCOnline/uux.aspx#/landingPage</t>
  </si>
  <si>
    <t>First Citizens - Wes</t>
  </si>
  <si>
    <t>4118 7096 5858 7867</t>
  </si>
  <si>
    <t>First Citizens-401K-LoC</t>
  </si>
  <si>
    <t>LoC</t>
  </si>
  <si>
    <t>BYH 401K-LoC</t>
  </si>
  <si>
    <t>First Citizens-LoC</t>
  </si>
  <si>
    <t>Heritage Mangement-LoC</t>
  </si>
  <si>
    <t>910013137286</t>
  </si>
  <si>
    <t>FirstBank-Northern Equip</t>
  </si>
  <si>
    <t>buyyourhome</t>
  </si>
  <si>
    <t>www.card.fnbo.com</t>
  </si>
  <si>
    <t>Flagstar Bank</t>
  </si>
  <si>
    <t>4251-3690-1817-9124</t>
  </si>
  <si>
    <t>258</t>
  </si>
  <si>
    <t>JennyBrowning</t>
  </si>
  <si>
    <t>https://www.card.fnbo.com/</t>
  </si>
  <si>
    <t>4988 6562 0082 9569</t>
  </si>
  <si>
    <t>107</t>
  </si>
  <si>
    <t>HeritageManagement</t>
  </si>
  <si>
    <t>w3638B0%</t>
  </si>
  <si>
    <t>card.fnbo.com</t>
  </si>
  <si>
    <t>Fundbox</t>
  </si>
  <si>
    <t>Buy Your Home-LoC</t>
  </si>
  <si>
    <t>Home Depot(closed)</t>
  </si>
  <si>
    <t>8439</t>
  </si>
  <si>
    <t>BuyYourHome</t>
  </si>
  <si>
    <t>w3638B02</t>
  </si>
  <si>
    <t xml:space="preserve">https://www.retailservicescommercial.citi.com/USCRSF/CMLSVC/index.html?siteId=PLNP_HOMEDEPOT#sec/signon </t>
  </si>
  <si>
    <t>Lowes Pro</t>
  </si>
  <si>
    <t>383</t>
  </si>
  <si>
    <t>WesWill@BuyYourHomeRaleigh.com</t>
  </si>
  <si>
    <t>https://lowes.syf.com/commercial/</t>
  </si>
  <si>
    <t>821 313 4248 5997</t>
  </si>
  <si>
    <t>649</t>
  </si>
  <si>
    <t>5594 9510 5590 1651</t>
  </si>
  <si>
    <t>870</t>
  </si>
  <si>
    <t>https://www.24-7cardaccess.com/Login</t>
  </si>
  <si>
    <t>Quickbooks</t>
  </si>
  <si>
    <t>https://qbo.intuit.com/app/lineofcredit?src=LoC_6613_Shell_Not&amp;track=62132</t>
  </si>
  <si>
    <t>SECU - Home Equity</t>
  </si>
  <si>
    <t>Personal Home</t>
  </si>
  <si>
    <t>53-96</t>
  </si>
  <si>
    <t>SECU - Personal</t>
  </si>
  <si>
    <t>53-93</t>
  </si>
  <si>
    <t>State Farm US Bank</t>
  </si>
  <si>
    <t>4107 9305 1836 8966</t>
  </si>
  <si>
    <t>https://www.usbank.com/logged-out.html</t>
  </si>
  <si>
    <t>TD Bank</t>
  </si>
  <si>
    <t>p</t>
  </si>
  <si>
    <t>Wes Browning</t>
  </si>
  <si>
    <t>4839 5053 3320 9390</t>
  </si>
  <si>
    <t>065</t>
  </si>
  <si>
    <t>w3638B0$</t>
  </si>
  <si>
    <t>https://www.td.com/us/en/personal-banking</t>
  </si>
  <si>
    <t>TownBank</t>
  </si>
  <si>
    <t>4037 6600 6901 7366</t>
  </si>
  <si>
    <t>598</t>
  </si>
  <si>
    <t>w3638B03</t>
  </si>
  <si>
    <t>https://www.myaccountaccess.com/onlineCard/login.do</t>
  </si>
  <si>
    <t>Truist</t>
  </si>
  <si>
    <t>4046 0112 0021 8522, 5943</t>
  </si>
  <si>
    <t>4046 0112 0210 5081, 6008</t>
  </si>
  <si>
    <t>574</t>
  </si>
  <si>
    <t>Truist (formally CP)</t>
  </si>
  <si>
    <r>
      <rPr>
        <strike/>
        <sz val="11"/>
        <color theme="1"/>
        <rFont val="Calibri"/>
        <family val="2"/>
        <scheme val="minor"/>
      </rPr>
      <t>4616 0811 2120 7912</t>
    </r>
    <r>
      <rPr>
        <sz val="11"/>
        <color theme="1"/>
        <rFont val="Calibri"/>
        <family val="2"/>
        <scheme val="minor"/>
      </rPr>
      <t>- 4616 0820 0894 4528</t>
    </r>
  </si>
  <si>
    <t>259</t>
  </si>
  <si>
    <t>jennyincredible</t>
  </si>
  <si>
    <t>gotojailnow9</t>
  </si>
  <si>
    <t>Truist-SunTrust</t>
  </si>
  <si>
    <t>3793, 2043, 5589 6600 0191 2202</t>
  </si>
  <si>
    <t>792</t>
  </si>
  <si>
    <t>FC-HM</t>
  </si>
  <si>
    <t>4798 5322 1337 5991</t>
  </si>
  <si>
    <t>013</t>
  </si>
  <si>
    <t>https://onlinebanking.usbank.com/auth/login/</t>
  </si>
  <si>
    <t>Wells Fargo (closed)</t>
  </si>
  <si>
    <t>4465 4205 9474 1357</t>
  </si>
  <si>
    <t>946</t>
  </si>
  <si>
    <t>WesBrowning1</t>
  </si>
  <si>
    <t>https://www.wellsfargo.com/</t>
  </si>
  <si>
    <t>Wes(Project)</t>
  </si>
  <si>
    <t>Home</t>
  </si>
  <si>
    <t>9269</t>
  </si>
  <si>
    <t>https://www.wellsfargo.com/usemycard</t>
  </si>
  <si>
    <t>Monthly Interest</t>
  </si>
  <si>
    <t>Credit Utilization</t>
  </si>
  <si>
    <t>Payments</t>
  </si>
  <si>
    <t>Summing for Entity</t>
  </si>
  <si>
    <t>BYH 401K</t>
  </si>
  <si>
    <t>Credit Card Balances:</t>
  </si>
  <si>
    <t>Line of Credit Balances:</t>
  </si>
  <si>
    <t>Cash Reserve:</t>
  </si>
  <si>
    <t>Current Balnce</t>
  </si>
  <si>
    <t>Pay Down for 35%</t>
  </si>
  <si>
    <t>Pay Down for 50%</t>
  </si>
  <si>
    <t>Total Credit</t>
  </si>
  <si>
    <t>Total Balance</t>
  </si>
  <si>
    <t>Available</t>
  </si>
  <si>
    <t>Annual Interest Paid</t>
  </si>
  <si>
    <t>Intity Key</t>
  </si>
  <si>
    <t>Over Ratio:</t>
  </si>
  <si>
    <t>Hollinger Investments or CP</t>
  </si>
  <si>
    <t>Heritage Management</t>
  </si>
  <si>
    <t xml:space="preserve">Business Entity ID = </t>
  </si>
  <si>
    <t>Paydown to get below 50%</t>
  </si>
  <si>
    <t xml:space="preserve">Personal Entity ID = </t>
  </si>
  <si>
    <t>Paydown to get below 35%</t>
  </si>
  <si>
    <t>Paid</t>
  </si>
  <si>
    <t>Total</t>
  </si>
  <si>
    <t>Empire Builders</t>
  </si>
  <si>
    <t>Cole Mastermind</t>
  </si>
  <si>
    <t>2 installments</t>
  </si>
  <si>
    <t>The One Expeience Stage with Picture</t>
  </si>
  <si>
    <t>by 11/29</t>
  </si>
  <si>
    <t>Cruise Planners</t>
  </si>
  <si>
    <t>CP</t>
  </si>
  <si>
    <t>4616 0811 2120 7912</t>
  </si>
  <si>
    <t>361</t>
  </si>
  <si>
    <t>351</t>
  </si>
  <si>
    <t>split 23,000 over these two</t>
  </si>
  <si>
    <t>Number</t>
  </si>
  <si>
    <t xml:space="preserve">Property </t>
  </si>
  <si>
    <t>Benificial Interest</t>
  </si>
  <si>
    <t>Deed</t>
  </si>
  <si>
    <t>loan#</t>
  </si>
  <si>
    <t xml:space="preserve">Payment </t>
  </si>
  <si>
    <t>Balance</t>
  </si>
  <si>
    <t>Status</t>
  </si>
  <si>
    <t xml:space="preserve">Checking </t>
  </si>
  <si>
    <t>Insurance</t>
  </si>
  <si>
    <t>Company</t>
  </si>
  <si>
    <t>Phone</t>
  </si>
  <si>
    <t>email</t>
  </si>
  <si>
    <t>Premium</t>
  </si>
  <si>
    <t>New P</t>
  </si>
  <si>
    <t>Login</t>
  </si>
  <si>
    <t>UserName</t>
  </si>
  <si>
    <t>7001 Outrigger Rd</t>
  </si>
  <si>
    <t>7001 Outrigger Drive Real Estate Trust date May 2, 2025</t>
  </si>
  <si>
    <t>Village Capital</t>
  </si>
  <si>
    <t>Open</t>
  </si>
  <si>
    <t>Autopay</t>
  </si>
  <si>
    <t>FC HM</t>
  </si>
  <si>
    <t>Andrew Hamp</t>
  </si>
  <si>
    <t>State Farm</t>
  </si>
  <si>
    <t>https://loansphereservicingdigital.bkiconnect.com/villagecapital/#/login</t>
  </si>
  <si>
    <t>OutRigger</t>
  </si>
  <si>
    <t>Have to download statements</t>
  </si>
  <si>
    <t>612 Britton Ct</t>
  </si>
  <si>
    <t>The Tunnard Real Estate Trust on 612 Brittion ct dated March, 5 2025</t>
  </si>
  <si>
    <t>Coastal Federal CU</t>
  </si>
  <si>
    <t>Bill Pay</t>
  </si>
  <si>
    <t>FC 401K</t>
  </si>
  <si>
    <t>https://www.coastal24.com/</t>
  </si>
  <si>
    <t>185564LT</t>
  </si>
  <si>
    <t>Five927bek34$</t>
  </si>
  <si>
    <t>908 Pond St</t>
  </si>
  <si>
    <t>908 Pond St Real Estate Trust dated March, 5 2025</t>
  </si>
  <si>
    <t>Casa Lending</t>
  </si>
  <si>
    <t>Truist BYH</t>
  </si>
  <si>
    <t>Allison Hasenbank</t>
  </si>
  <si>
    <t xml:space="preserve">888-741-8454 Ext.694 </t>
  </si>
  <si>
    <t>ahasenbank@nreig.com</t>
  </si>
  <si>
    <t>https://borrowers.constructionloanservices.com/</t>
  </si>
  <si>
    <t>4121 Tensity Dr</t>
  </si>
  <si>
    <t>The Tensity Dr Real Estate Trust date Jan 22, 2025</t>
  </si>
  <si>
    <t>no login</t>
  </si>
  <si>
    <t>6316 Willowdell Dr</t>
  </si>
  <si>
    <t>The 6316 Willowdell Drive Real Estate Trust date January 13, 2025</t>
  </si>
  <si>
    <t>SECU</t>
  </si>
  <si>
    <t>Closed</t>
  </si>
  <si>
    <t>FC SYH</t>
  </si>
  <si>
    <t>2325 Cool Springs Rd</t>
  </si>
  <si>
    <t>The Cool Springs Rd Real Estate Trust date Sep, 05,2024</t>
  </si>
  <si>
    <t>Planet Home Lending</t>
  </si>
  <si>
    <t>AutoPay</t>
  </si>
  <si>
    <t>https://loansphereservicingdigital.bkiconnect.com/planetservicing/#/login</t>
  </si>
  <si>
    <t>CoolSprings</t>
  </si>
  <si>
    <t>1343 Old Buckhorn</t>
  </si>
  <si>
    <t>The 1343 Old Buckhorn Real Estate Trust date April 10, 2024</t>
  </si>
  <si>
    <t>myaccount.shellpointmtg.com. </t>
  </si>
  <si>
    <t>Wes@BYHLLC.com</t>
  </si>
  <si>
    <t>115 Rosebrooks Dr</t>
  </si>
  <si>
    <t>Buy  Your Home, LLC - need to go back into trust</t>
  </si>
  <si>
    <t>https://signin.shellpointmtg.com/signin</t>
  </si>
  <si>
    <t>1426 Pleasant Garden Ln</t>
  </si>
  <si>
    <t>Wells Fargo</t>
  </si>
  <si>
    <t>‪(919) 782-6666‬</t>
  </si>
  <si>
    <t>jennifer.blankenship.vabhka@statefarm.com</t>
  </si>
  <si>
    <t>3413 Pinetree Ln</t>
  </si>
  <si>
    <t>The 3413 Pinetree Lane Real Estate Trust dated August 22,2023</t>
  </si>
  <si>
    <t>Mr Cooper</t>
  </si>
  <si>
    <t>wes@bycllc.com</t>
  </si>
  <si>
    <t>2325 Banks Rd</t>
  </si>
  <si>
    <t>3325 Banks Rd Trust dated July 1, 2021- BYH trustee</t>
  </si>
  <si>
    <t>Rushmore</t>
  </si>
  <si>
    <t>https://www.rushmoreservicing.com</t>
  </si>
  <si>
    <t>320 Rose Pl</t>
  </si>
  <si>
    <t>320 Rose Pl Real Estate Trust dated June 17, 2025</t>
  </si>
  <si>
    <t>Shellpoint</t>
  </si>
  <si>
    <t>savings</t>
  </si>
  <si>
    <t>Holding Recorded Deed</t>
  </si>
  <si>
    <t>Recorded Trust Docs</t>
  </si>
  <si>
    <t>no</t>
  </si>
  <si>
    <t>Yes, QCD</t>
  </si>
  <si>
    <t>yes</t>
  </si>
  <si>
    <t>n/a</t>
  </si>
  <si>
    <t>Total Loans</t>
  </si>
  <si>
    <t>Business</t>
  </si>
  <si>
    <t>Property</t>
  </si>
  <si>
    <t>Amount</t>
  </si>
  <si>
    <t>Int Rate</t>
  </si>
  <si>
    <t>Start date</t>
  </si>
  <si>
    <t>Paid Date</t>
  </si>
  <si>
    <t>Days</t>
  </si>
  <si>
    <t>Interest Earned</t>
  </si>
  <si>
    <t>Monthly Payments</t>
  </si>
  <si>
    <t>payments made</t>
  </si>
  <si>
    <t>Principal Paid</t>
  </si>
  <si>
    <t>Borrowed/Lent</t>
  </si>
  <si>
    <t>Janie Lanabarger</t>
  </si>
  <si>
    <t>1201 Hazlenut Dr</t>
  </si>
  <si>
    <t>Jim Monroe</t>
  </si>
  <si>
    <t>178 Patricia Dr</t>
  </si>
  <si>
    <t>closed</t>
  </si>
  <si>
    <t>3325 Banks Rd</t>
  </si>
  <si>
    <t>Tim &amp; Robin Maura</t>
  </si>
  <si>
    <t>2153 Haig Point Way</t>
  </si>
  <si>
    <t>Bill &amp; Chloa Romick</t>
  </si>
  <si>
    <t>1900 Red Quartz</t>
  </si>
  <si>
    <t>Scoot Moore</t>
  </si>
  <si>
    <t>2608 Alton Pl</t>
  </si>
  <si>
    <t>Ann Chellman</t>
  </si>
  <si>
    <t>164 Churchill Downs Dr</t>
  </si>
  <si>
    <t>Dave &amp; Jana</t>
  </si>
  <si>
    <t>2608 Allton Pl</t>
  </si>
  <si>
    <t>Neal Isaacs</t>
  </si>
  <si>
    <t>John Fish</t>
  </si>
  <si>
    <t>5008 Larchmont</t>
  </si>
  <si>
    <t>amortized for 120 months. Payments of $920.83. ballon at 60 months</t>
  </si>
  <si>
    <t xml:space="preserve">5008 Larchmont </t>
  </si>
  <si>
    <t>Michael Obrien</t>
  </si>
  <si>
    <t>8225 Burgwyn Ln</t>
  </si>
  <si>
    <t>Note</t>
  </si>
  <si>
    <t>Dianne Lipman</t>
  </si>
  <si>
    <t>N/A</t>
  </si>
  <si>
    <t>Borrowed</t>
  </si>
  <si>
    <t>Lent</t>
  </si>
  <si>
    <t>Sampson Wodes</t>
  </si>
  <si>
    <t>1343 Old BuckHorn Rd</t>
  </si>
  <si>
    <t>401K</t>
  </si>
  <si>
    <t>open</t>
  </si>
  <si>
    <t>Jana Willers Roth</t>
  </si>
  <si>
    <t>David Willers Roth</t>
  </si>
  <si>
    <t>David Willers Trad</t>
  </si>
  <si>
    <t>Lola Williams</t>
  </si>
  <si>
    <t>7001 Outrigger Dr</t>
  </si>
  <si>
    <t>7001 Outrigger</t>
  </si>
  <si>
    <t>612 Britton  Ct</t>
  </si>
  <si>
    <t>6316 Willow Dell</t>
  </si>
  <si>
    <t>1343 Old Buckhorn Rd</t>
  </si>
  <si>
    <t>1426 Pleasant Garden</t>
  </si>
  <si>
    <t>3325 Banks</t>
  </si>
  <si>
    <t>2025</t>
  </si>
  <si>
    <t>2024</t>
  </si>
  <si>
    <t>2023</t>
  </si>
  <si>
    <t>2022</t>
  </si>
  <si>
    <t>2021</t>
  </si>
  <si>
    <t>2020</t>
  </si>
  <si>
    <t>Total CMA:</t>
  </si>
  <si>
    <t>Total Purchase Cost:</t>
  </si>
  <si>
    <t>Total Rehab Expense:</t>
  </si>
  <si>
    <t>Total Debt</t>
  </si>
  <si>
    <t>Monthly Carrying Cost:</t>
  </si>
  <si>
    <t>Monthly Income:</t>
  </si>
  <si>
    <t>Total Expected Profit:</t>
  </si>
  <si>
    <t>Total Realized Profit:</t>
  </si>
  <si>
    <t>Total Chartable Contribution:</t>
  </si>
  <si>
    <t>Averages for Held Properties</t>
  </si>
  <si>
    <t>Total for all Years</t>
  </si>
  <si>
    <t>Average CMA:</t>
  </si>
  <si>
    <t>Average Purchase Cost:</t>
  </si>
  <si>
    <t>Average Rehab Expense:</t>
  </si>
  <si>
    <t>Average Profit:</t>
  </si>
  <si>
    <t>Total Profit:</t>
  </si>
  <si>
    <t>Completed Previous Years</t>
  </si>
  <si>
    <t>Cash Reserves:</t>
  </si>
  <si>
    <t>Monthly Cash Flow:</t>
  </si>
  <si>
    <t>Credit Card  Monthly Payments</t>
  </si>
  <si>
    <t>Line of Credit Monthly Payments</t>
  </si>
  <si>
    <t>Monthly Personal Loan  Payments:</t>
  </si>
  <si>
    <t>Admin:</t>
  </si>
  <si>
    <t>Admin(SYH):</t>
  </si>
  <si>
    <t>Marketing:</t>
  </si>
  <si>
    <t>Operations:</t>
  </si>
  <si>
    <t>Tech:</t>
  </si>
  <si>
    <t>Monthly Business Expense :</t>
  </si>
  <si>
    <t>Monthly Personal Dispersment:</t>
  </si>
  <si>
    <t>Business Cash Flow</t>
  </si>
  <si>
    <t>Runway (years)</t>
  </si>
  <si>
    <t>Properties Completed in 2020</t>
  </si>
  <si>
    <t>Notes</t>
  </si>
  <si>
    <t>1223 Roffler</t>
  </si>
  <si>
    <t>2025 Metacomet</t>
  </si>
  <si>
    <t xml:space="preserve">5619 Marthonna </t>
  </si>
  <si>
    <t xml:space="preserve">Year </t>
  </si>
  <si>
    <t>Purchase   Price</t>
  </si>
  <si>
    <t>Rehab</t>
  </si>
  <si>
    <t>Sale Price</t>
  </si>
  <si>
    <t>Repaid Loans</t>
  </si>
  <si>
    <t>Total Borrowed</t>
  </si>
  <si>
    <t>Total Repaid Debt:</t>
  </si>
  <si>
    <t>Completed for Sell Your Home</t>
  </si>
  <si>
    <t>Completed for Buy Your Home</t>
  </si>
  <si>
    <t>Properties Completed in 2021</t>
  </si>
  <si>
    <t>2153 Haig Point</t>
  </si>
  <si>
    <t>178 Patricia</t>
  </si>
  <si>
    <t>1201 Hazelnut</t>
  </si>
  <si>
    <t>Properties Completed in 2022</t>
  </si>
  <si>
    <t>202 Avery</t>
  </si>
  <si>
    <t>120 Keith</t>
  </si>
  <si>
    <t>3007 Eric</t>
  </si>
  <si>
    <t>Properties Completed in 2023</t>
  </si>
  <si>
    <t>164 Churchill Dr</t>
  </si>
  <si>
    <t>2608 Alton</t>
  </si>
  <si>
    <t>Properties Completed in 2024</t>
  </si>
  <si>
    <t>3021 Pearces Rd</t>
  </si>
  <si>
    <t>6004  Sandy Run</t>
  </si>
  <si>
    <t>Properties Completed in 2025</t>
  </si>
  <si>
    <t>Bank of America(new)</t>
  </si>
  <si>
    <t>887</t>
  </si>
  <si>
    <t>Chase</t>
  </si>
  <si>
    <t>Dogwood State Bank</t>
  </si>
  <si>
    <t>M&amp;F Bank</t>
  </si>
  <si>
    <t>US Bank (new)</t>
  </si>
  <si>
    <t>4400 6696 3175 1286</t>
  </si>
  <si>
    <t>902</t>
  </si>
  <si>
    <t>5589 6214 8047 6648, 4126</t>
  </si>
  <si>
    <t>Totals</t>
  </si>
  <si>
    <t>https://www.bankofamerica.com/business/</t>
  </si>
  <si>
    <t>https://www.coastal24.com/products/credit-cards-loans/insurance-coverage-verification</t>
  </si>
  <si>
    <t>046</t>
  </si>
  <si>
    <t>NCJUA</t>
  </si>
  <si>
    <t>https://rocket.com/mortgage/servicing/onboarding?loanNumber=623844180</t>
  </si>
  <si>
    <t>5358 2492 2350 9027</t>
  </si>
  <si>
    <t>834</t>
  </si>
  <si>
    <t>https://rocket.com/mortgage/servicing</t>
  </si>
  <si>
    <t>NREIG</t>
  </si>
  <si>
    <t>Angela Saverino &lt;angela@reinsurepro.com&gt;</t>
  </si>
  <si>
    <t>Int%</t>
  </si>
  <si>
    <t>185564-43201</t>
  </si>
  <si>
    <t>Effective Interes Rate:</t>
  </si>
  <si>
    <t>Total Balance:</t>
  </si>
  <si>
    <t>256</t>
  </si>
  <si>
    <t>910013291439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</si>
</sst>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;@"/>
    <numFmt numFmtId="165" formatCode="&quot;$&quot;#,##0"/>
    <numFmt numFmtId="166" formatCode="m/d/yy;@"/>
    <numFmt numFmtId="167" formatCode="&quot;$&quot;#,##0.00"/>
    <numFmt numFmtId="168" formatCode="yyyy\-mm\-dd;@"/>
    <numFmt numFmtId="169" formatCode="#,##0.000000000"/>
    <numFmt numFmtId="170" formatCode="0.000%"/>
    <numFmt numFmtId="171" formatCode="[$-409]mmm\-yy;@"/>
    <numFmt numFmtId="172" formatCode="#,##0.0"/>
  </numFmts>
  <fonts count="1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373A3C"/>
      <name val="Open Sans"/>
      <family val="2"/>
    </font>
    <font>
      <sz val="12"/>
      <color theme="1"/>
      <name val="Apto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8" fillId="3" borderId="0" applyNumberFormat="0" applyBorder="0" applyAlignment="0" applyProtection="0"/>
  </cellStyleXfs>
  <cellXfs count="248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0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165" fontId="0" fillId="2" borderId="0" xfId="0" applyNumberFormat="1" applyFill="1"/>
    <xf numFmtId="165" fontId="0" fillId="2" borderId="4" xfId="0" applyNumberFormat="1" applyFill="1" applyBorder="1"/>
    <xf numFmtId="165" fontId="0" fillId="0" borderId="4" xfId="0" applyNumberFormat="1" applyBorder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165" fontId="0" fillId="0" borderId="5" xfId="0" applyNumberFormat="1" applyBorder="1"/>
    <xf numFmtId="166" fontId="0" fillId="0" borderId="0" xfId="0" applyNumberFormat="1"/>
    <xf numFmtId="3" fontId="0" fillId="0" borderId="0" xfId="0" applyNumberFormat="1"/>
    <xf numFmtId="0" fontId="2" fillId="0" borderId="0" xfId="1"/>
    <xf numFmtId="4" fontId="0" fillId="0" borderId="0" xfId="0" applyNumberFormat="1"/>
    <xf numFmtId="0" fontId="3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 wrapText="1"/>
    </xf>
    <xf numFmtId="3" fontId="5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3" fillId="0" borderId="0" xfId="0" applyFont="1"/>
    <xf numFmtId="0" fontId="0" fillId="2" borderId="0" xfId="0" applyFill="1"/>
    <xf numFmtId="0" fontId="3" fillId="2" borderId="9" xfId="0" applyFont="1" applyFill="1" applyBorder="1" applyAlignment="1">
      <alignment horizontal="left"/>
    </xf>
    <xf numFmtId="0" fontId="0" fillId="2" borderId="10" xfId="0" applyFill="1" applyBorder="1"/>
    <xf numFmtId="0" fontId="0" fillId="2" borderId="11" xfId="0" applyFill="1" applyBorder="1"/>
    <xf numFmtId="0" fontId="0" fillId="2" borderId="5" xfId="0" applyFill="1" applyBorder="1"/>
    <xf numFmtId="0" fontId="3" fillId="2" borderId="5" xfId="0" applyFont="1" applyFill="1" applyBorder="1" applyAlignment="1">
      <alignment horizontal="left"/>
    </xf>
    <xf numFmtId="0" fontId="0" fillId="2" borderId="12" xfId="0" applyFill="1" applyBorder="1"/>
    <xf numFmtId="167" fontId="0" fillId="0" borderId="0" xfId="0" applyNumberFormat="1"/>
    <xf numFmtId="0" fontId="7" fillId="0" borderId="0" xfId="0" applyFont="1"/>
    <xf numFmtId="0" fontId="8" fillId="3" borderId="0" xfId="2" applyBorder="1" applyAlignment="1">
      <alignment horizontal="right" vertical="center"/>
    </xf>
    <xf numFmtId="165" fontId="8" fillId="3" borderId="0" xfId="2" applyNumberFormat="1" applyAlignment="1">
      <alignment horizontal="right"/>
    </xf>
    <xf numFmtId="3" fontId="8" fillId="3" borderId="0" xfId="2" applyNumberFormat="1" applyBorder="1"/>
    <xf numFmtId="3" fontId="8" fillId="3" borderId="0" xfId="2" applyNumberFormat="1"/>
    <xf numFmtId="166" fontId="8" fillId="3" borderId="0" xfId="2" applyNumberFormat="1" applyBorder="1"/>
    <xf numFmtId="10" fontId="8" fillId="3" borderId="0" xfId="2" applyNumberFormat="1" applyBorder="1" applyAlignment="1">
      <alignment horizontal="right"/>
    </xf>
    <xf numFmtId="0" fontId="8" fillId="3" borderId="0" xfId="2" applyBorder="1"/>
    <xf numFmtId="167" fontId="8" fillId="3" borderId="0" xfId="2" applyNumberFormat="1" applyBorder="1"/>
    <xf numFmtId="0" fontId="8" fillId="3" borderId="0" xfId="2"/>
    <xf numFmtId="49" fontId="8" fillId="3" borderId="0" xfId="2" applyNumberFormat="1" applyBorder="1" applyAlignment="1">
      <alignment horizontal="right"/>
    </xf>
    <xf numFmtId="0" fontId="3" fillId="0" borderId="0" xfId="0" applyFont="1" applyAlignment="1">
      <alignment horizontal="center" wrapText="1"/>
    </xf>
    <xf numFmtId="166" fontId="0" fillId="4" borderId="0" xfId="0" applyNumberFormat="1" applyFill="1"/>
    <xf numFmtId="49" fontId="3" fillId="0" borderId="0" xfId="0" applyNumberFormat="1" applyFont="1" applyAlignment="1">
      <alignment horizontal="right"/>
    </xf>
    <xf numFmtId="0" fontId="1" fillId="5" borderId="0" xfId="0" applyFont="1" applyFill="1" applyAlignment="1">
      <alignment horizontal="right" vertical="center"/>
    </xf>
    <xf numFmtId="9" fontId="0" fillId="0" borderId="0" xfId="0" applyNumberFormat="1"/>
    <xf numFmtId="16" fontId="0" fillId="0" borderId="0" xfId="0" applyNumberFormat="1"/>
    <xf numFmtId="0" fontId="5" fillId="0" borderId="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10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1" applyBorder="1"/>
    <xf numFmtId="0" fontId="5" fillId="5" borderId="0" xfId="0" applyFont="1" applyFill="1" applyAlignment="1">
      <alignment horizontal="right" vertical="center"/>
    </xf>
    <xf numFmtId="1" fontId="4" fillId="0" borderId="0" xfId="0" applyNumberFormat="1" applyFont="1" applyAlignment="1">
      <alignment horizontal="center" vertical="center" wrapText="1"/>
    </xf>
    <xf numFmtId="1" fontId="0" fillId="0" borderId="0" xfId="0" applyNumberFormat="1"/>
    <xf numFmtId="1" fontId="8" fillId="3" borderId="0" xfId="2" applyNumberFormat="1" applyBorder="1"/>
    <xf numFmtId="1" fontId="0" fillId="2" borderId="0" xfId="0" applyNumberFormat="1" applyFill="1"/>
    <xf numFmtId="49" fontId="0" fillId="2" borderId="0" xfId="0" applyNumberFormat="1" applyFill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165" fontId="3" fillId="0" borderId="0" xfId="0" applyNumberFormat="1" applyFont="1"/>
    <xf numFmtId="168" fontId="0" fillId="0" borderId="0" xfId="0" applyNumberFormat="1"/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0" fillId="2" borderId="0" xfId="0" applyNumberFormat="1" applyFill="1"/>
    <xf numFmtId="168" fontId="0" fillId="2" borderId="0" xfId="0" applyNumberFormat="1" applyFill="1"/>
    <xf numFmtId="4" fontId="0" fillId="2" borderId="0" xfId="0" applyNumberFormat="1" applyFill="1"/>
    <xf numFmtId="0" fontId="0" fillId="2" borderId="0" xfId="0" applyFill="1" applyAlignment="1">
      <alignment horizontal="center"/>
    </xf>
    <xf numFmtId="167" fontId="0" fillId="0" borderId="0" xfId="0" applyNumberFormat="1" applyAlignment="1">
      <alignment horizontal="center"/>
    </xf>
    <xf numFmtId="169" fontId="0" fillId="0" borderId="0" xfId="0" applyNumberFormat="1"/>
    <xf numFmtId="14" fontId="0" fillId="0" borderId="0" xfId="0" applyNumberFormat="1"/>
    <xf numFmtId="0" fontId="11" fillId="0" borderId="0" xfId="0" applyFont="1"/>
    <xf numFmtId="170" fontId="0" fillId="0" borderId="0" xfId="0" applyNumberFormat="1"/>
    <xf numFmtId="2" fontId="0" fillId="0" borderId="0" xfId="0" applyNumberFormat="1"/>
    <xf numFmtId="171" fontId="5" fillId="0" borderId="0" xfId="0" applyNumberFormat="1" applyFont="1" applyAlignment="1">
      <alignment horizontal="center" vertical="center" wrapText="1"/>
    </xf>
    <xf numFmtId="171" fontId="0" fillId="0" borderId="0" xfId="0" applyNumberFormat="1"/>
    <xf numFmtId="171" fontId="8" fillId="3" borderId="0" xfId="2" applyNumberFormat="1"/>
    <xf numFmtId="0" fontId="8" fillId="3" borderId="0" xfId="2" applyBorder="1" applyAlignment="1">
      <alignment horizontal="left" vertical="center"/>
    </xf>
    <xf numFmtId="0" fontId="13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164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3" fillId="0" borderId="13" xfId="0" applyFont="1" applyBorder="1" applyAlignment="1">
      <alignment horizontal="right" wrapText="1"/>
    </xf>
    <xf numFmtId="49" fontId="3" fillId="6" borderId="2" xfId="0" quotePrefix="1" applyNumberFormat="1" applyFont="1" applyFill="1" applyBorder="1" applyAlignment="1">
      <alignment horizontal="center" wrapText="1"/>
    </xf>
    <xf numFmtId="49" fontId="14" fillId="7" borderId="8" xfId="0" applyNumberFormat="1" applyFont="1" applyFill="1" applyBorder="1" applyAlignment="1">
      <alignment horizontal="center" vertical="center" wrapText="1"/>
    </xf>
    <xf numFmtId="49" fontId="3" fillId="8" borderId="2" xfId="0" quotePrefix="1" applyNumberFormat="1" applyFont="1" applyFill="1" applyBorder="1" applyAlignment="1">
      <alignment horizontal="center" wrapText="1"/>
    </xf>
    <xf numFmtId="49" fontId="3" fillId="5" borderId="2" xfId="0" quotePrefix="1" applyNumberFormat="1" applyFont="1" applyFill="1" applyBorder="1" applyAlignment="1">
      <alignment horizontal="center" wrapText="1"/>
    </xf>
    <xf numFmtId="49" fontId="14" fillId="9" borderId="2" xfId="0" quotePrefix="1" applyNumberFormat="1" applyFont="1" applyFill="1" applyBorder="1" applyAlignment="1">
      <alignment horizontal="center" wrapText="1"/>
    </xf>
    <xf numFmtId="0" fontId="3" fillId="0" borderId="0" xfId="0" quotePrefix="1" applyFont="1" applyAlignment="1">
      <alignment horizontal="center" wrapText="1"/>
    </xf>
    <xf numFmtId="49" fontId="0" fillId="0" borderId="0" xfId="0" applyNumberFormat="1"/>
    <xf numFmtId="0" fontId="0" fillId="0" borderId="3" xfId="0" applyBorder="1"/>
    <xf numFmtId="49" fontId="3" fillId="6" borderId="8" xfId="0" applyNumberFormat="1" applyFont="1" applyFill="1" applyBorder="1" applyAlignment="1">
      <alignment horizontal="center" vertical="center" wrapText="1"/>
    </xf>
    <xf numFmtId="49" fontId="3" fillId="8" borderId="8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" fontId="14" fillId="9" borderId="2" xfId="0" quotePrefix="1" applyNumberFormat="1" applyFont="1" applyFill="1" applyBorder="1" applyAlignment="1">
      <alignment horizontal="center" wrapText="1"/>
    </xf>
    <xf numFmtId="0" fontId="14" fillId="10" borderId="7" xfId="0" applyFont="1" applyFill="1" applyBorder="1" applyAlignment="1">
      <alignment horizontal="right"/>
    </xf>
    <xf numFmtId="3" fontId="3" fillId="6" borderId="16" xfId="0" applyNumberFormat="1" applyFont="1" applyFill="1" applyBorder="1"/>
    <xf numFmtId="3" fontId="14" fillId="7" borderId="16" xfId="0" applyNumberFormat="1" applyFont="1" applyFill="1" applyBorder="1"/>
    <xf numFmtId="3" fontId="3" fillId="8" borderId="16" xfId="0" applyNumberFormat="1" applyFont="1" applyFill="1" applyBorder="1"/>
    <xf numFmtId="49" fontId="3" fillId="5" borderId="10" xfId="0" applyNumberFormat="1" applyFont="1" applyFill="1" applyBorder="1" applyAlignment="1">
      <alignment horizontal="center" vertical="center" wrapText="1"/>
    </xf>
    <xf numFmtId="3" fontId="14" fillId="9" borderId="16" xfId="0" applyNumberFormat="1" applyFont="1" applyFill="1" applyBorder="1"/>
    <xf numFmtId="3" fontId="3" fillId="5" borderId="10" xfId="0" applyNumberFormat="1" applyFont="1" applyFill="1" applyBorder="1"/>
    <xf numFmtId="165" fontId="14" fillId="11" borderId="15" xfId="0" applyNumberFormat="1" applyFont="1" applyFill="1" applyBorder="1"/>
    <xf numFmtId="165" fontId="14" fillId="11" borderId="2" xfId="0" applyNumberFormat="1" applyFont="1" applyFill="1" applyBorder="1"/>
    <xf numFmtId="3" fontId="14" fillId="11" borderId="16" xfId="0" applyNumberFormat="1" applyFont="1" applyFill="1" applyBorder="1"/>
    <xf numFmtId="3" fontId="14" fillId="12" borderId="16" xfId="0" applyNumberFormat="1" applyFont="1" applyFill="1" applyBorder="1"/>
    <xf numFmtId="3" fontId="3" fillId="5" borderId="12" xfId="0" applyNumberFormat="1" applyFont="1" applyFill="1" applyBorder="1"/>
    <xf numFmtId="3" fontId="14" fillId="9" borderId="17" xfId="0" applyNumberFormat="1" applyFont="1" applyFill="1" applyBorder="1"/>
    <xf numFmtId="0" fontId="14" fillId="9" borderId="11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right"/>
    </xf>
    <xf numFmtId="165" fontId="3" fillId="5" borderId="1" xfId="0" applyNumberFormat="1" applyFont="1" applyFill="1" applyBorder="1"/>
    <xf numFmtId="3" fontId="14" fillId="12" borderId="21" xfId="0" applyNumberFormat="1" applyFont="1" applyFill="1" applyBorder="1"/>
    <xf numFmtId="165" fontId="14" fillId="11" borderId="22" xfId="0" applyNumberFormat="1" applyFont="1" applyFill="1" applyBorder="1"/>
    <xf numFmtId="165" fontId="14" fillId="11" borderId="1" xfId="0" applyNumberFormat="1" applyFont="1" applyFill="1" applyBorder="1"/>
    <xf numFmtId="49" fontId="3" fillId="5" borderId="14" xfId="0" applyNumberFormat="1" applyFont="1" applyFill="1" applyBorder="1" applyAlignment="1">
      <alignment horizontal="center" wrapText="1"/>
    </xf>
    <xf numFmtId="49" fontId="14" fillId="8" borderId="2" xfId="0" quotePrefix="1" applyNumberFormat="1" applyFont="1" applyFill="1" applyBorder="1" applyAlignment="1">
      <alignment horizontal="center" wrapText="1"/>
    </xf>
    <xf numFmtId="49" fontId="14" fillId="6" borderId="2" xfId="0" quotePrefix="1" applyNumberFormat="1" applyFont="1" applyFill="1" applyBorder="1" applyAlignment="1">
      <alignment horizontal="center" wrapText="1"/>
    </xf>
    <xf numFmtId="0" fontId="3" fillId="5" borderId="23" xfId="0" applyFont="1" applyFill="1" applyBorder="1" applyAlignment="1">
      <alignment horizontal="right"/>
    </xf>
    <xf numFmtId="165" fontId="3" fillId="5" borderId="24" xfId="0" applyNumberFormat="1" applyFont="1" applyFill="1" applyBorder="1"/>
    <xf numFmtId="3" fontId="3" fillId="8" borderId="25" xfId="0" applyNumberFormat="1" applyFont="1" applyFill="1" applyBorder="1"/>
    <xf numFmtId="3" fontId="14" fillId="6" borderId="26" xfId="0" applyNumberFormat="1" applyFont="1" applyFill="1" applyBorder="1"/>
    <xf numFmtId="3" fontId="0" fillId="0" borderId="0" xfId="0" applyNumberFormat="1" applyAlignment="1">
      <alignment horizontal="center"/>
    </xf>
    <xf numFmtId="3" fontId="3" fillId="8" borderId="27" xfId="0" applyNumberFormat="1" applyFont="1" applyFill="1" applyBorder="1"/>
    <xf numFmtId="3" fontId="14" fillId="6" borderId="28" xfId="0" applyNumberFormat="1" applyFont="1" applyFill="1" applyBorder="1"/>
    <xf numFmtId="0" fontId="3" fillId="5" borderId="29" xfId="0" applyFont="1" applyFill="1" applyBorder="1" applyAlignment="1">
      <alignment horizontal="right"/>
    </xf>
    <xf numFmtId="165" fontId="3" fillId="5" borderId="30" xfId="0" applyNumberFormat="1" applyFont="1" applyFill="1" applyBorder="1"/>
    <xf numFmtId="165" fontId="3" fillId="5" borderId="5" xfId="0" applyNumberFormat="1" applyFont="1" applyFill="1" applyBorder="1"/>
    <xf numFmtId="3" fontId="3" fillId="8" borderId="17" xfId="0" applyNumberFormat="1" applyFont="1" applyFill="1" applyBorder="1"/>
    <xf numFmtId="3" fontId="3" fillId="8" borderId="31" xfId="0" applyNumberFormat="1" applyFont="1" applyFill="1" applyBorder="1"/>
    <xf numFmtId="3" fontId="14" fillId="6" borderId="32" xfId="0" applyNumberFormat="1" applyFont="1" applyFill="1" applyBorder="1"/>
    <xf numFmtId="3" fontId="3" fillId="8" borderId="33" xfId="0" applyNumberFormat="1" applyFont="1" applyFill="1" applyBorder="1"/>
    <xf numFmtId="3" fontId="3" fillId="8" borderId="34" xfId="0" applyNumberFormat="1" applyFont="1" applyFill="1" applyBorder="1"/>
    <xf numFmtId="3" fontId="14" fillId="6" borderId="35" xfId="0" applyNumberFormat="1" applyFont="1" applyFill="1" applyBorder="1"/>
    <xf numFmtId="3" fontId="14" fillId="6" borderId="16" xfId="0" applyNumberFormat="1" applyFont="1" applyFill="1" applyBorder="1"/>
    <xf numFmtId="3" fontId="14" fillId="6" borderId="17" xfId="0" applyNumberFormat="1" applyFont="1" applyFill="1" applyBorder="1"/>
    <xf numFmtId="3" fontId="14" fillId="6" borderId="33" xfId="0" applyNumberFormat="1" applyFont="1" applyFill="1" applyBorder="1"/>
    <xf numFmtId="3" fontId="14" fillId="6" borderId="12" xfId="0" applyNumberFormat="1" applyFont="1" applyFill="1" applyBorder="1"/>
    <xf numFmtId="3" fontId="3" fillId="8" borderId="36" xfId="0" applyNumberFormat="1" applyFont="1" applyFill="1" applyBorder="1"/>
    <xf numFmtId="1" fontId="5" fillId="0" borderId="0" xfId="0" applyNumberFormat="1" applyFont="1" applyAlignment="1">
      <alignment horizontal="center" vertical="center" wrapText="1"/>
    </xf>
    <xf numFmtId="1" fontId="8" fillId="3" borderId="0" xfId="2" applyNumberFormat="1"/>
    <xf numFmtId="1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5" fontId="0" fillId="0" borderId="5" xfId="0" applyNumberFormat="1" applyBorder="1" applyAlignment="1">
      <alignment horizontal="right"/>
    </xf>
    <xf numFmtId="9" fontId="0" fillId="0" borderId="5" xfId="0" applyNumberFormat="1" applyBorder="1"/>
    <xf numFmtId="10" fontId="3" fillId="0" borderId="0" xfId="0" applyNumberFormat="1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10" fontId="3" fillId="0" borderId="0" xfId="0" applyNumberFormat="1" applyFont="1"/>
    <xf numFmtId="3" fontId="3" fillId="0" borderId="0" xfId="0" applyNumberFormat="1" applyFont="1"/>
    <xf numFmtId="0" fontId="8" fillId="3" borderId="3" xfId="2" applyBorder="1" applyAlignment="1">
      <alignment horizontal="left" vertical="center"/>
    </xf>
    <xf numFmtId="165" fontId="0" fillId="0" borderId="5" xfId="0" applyNumberFormat="1" applyBorder="1"/>
    <xf numFmtId="165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71" fontId="0" fillId="0" borderId="0" xfId="0" applyNumberFormat="1" applyAlignment="1">
      <alignment horizontal="right"/>
    </xf>
    <xf numFmtId="0" fontId="3" fillId="2" borderId="7" xfId="0" applyFont="1" applyFill="1" applyBorder="1" applyAlignment="1">
      <alignment horizontal="center" wrapText="1"/>
    </xf>
    <xf numFmtId="0" fontId="0" fillId="0" borderId="6" xfId="0" applyBorder="1"/>
    <xf numFmtId="0" fontId="0" fillId="0" borderId="8" xfId="0" applyBorder="1"/>
    <xf numFmtId="0" fontId="0" fillId="0" borderId="0" xfId="0"/>
    <xf numFmtId="165" fontId="5" fillId="0" borderId="6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4" fillId="12" borderId="18" xfId="0" applyNumberFormat="1" applyFont="1" applyFill="1" applyBorder="1"/>
    <xf numFmtId="0" fontId="0" fillId="0" borderId="19" xfId="0" applyBorder="1"/>
    <xf numFmtId="0" fontId="0" fillId="0" borderId="20" xfId="0" applyBorder="1"/>
    <xf numFmtId="0" fontId="14" fillId="10" borderId="14" xfId="0" applyFont="1" applyFill="1" applyBorder="1" applyAlignment="1">
      <alignment horizontal="center" wrapText="1"/>
    </xf>
    <xf numFmtId="0" fontId="0" fillId="0" borderId="2" xfId="0" applyBorder="1" applyAlignment="1">
      <alignment wrapText="1"/>
    </xf>
    <xf numFmtId="165" fontId="14" fillId="11" borderId="9" xfId="0" applyNumberFormat="1" applyFont="1" applyFill="1" applyBorder="1"/>
    <xf numFmtId="0" fontId="0" fillId="0" borderId="10" xfId="0" applyBorder="1"/>
    <xf numFmtId="172" fontId="14" fillId="11" borderId="14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5" fontId="3" fillId="5" borderId="15" xfId="0" applyNumberFormat="1" applyFont="1" applyFill="1" applyBorder="1"/>
    <xf numFmtId="0" fontId="0" fillId="0" borderId="2" xfId="0" applyBorder="1"/>
    <xf numFmtId="165" fontId="3" fillId="5" borderId="7" xfId="0" applyNumberFormat="1" applyFont="1" applyFill="1" applyBorder="1"/>
    <xf numFmtId="0" fontId="3" fillId="5" borderId="14" xfId="0" applyFont="1" applyFill="1" applyBorder="1" applyAlignment="1">
      <alignment horizontal="right"/>
    </xf>
    <xf numFmtId="0" fontId="0" fillId="0" borderId="15" xfId="0" applyBorder="1"/>
    <xf numFmtId="3" fontId="4" fillId="9" borderId="14" xfId="0" applyNumberFormat="1" applyFont="1" applyFill="1" applyBorder="1" applyAlignment="1">
      <alignment horizontal="center"/>
    </xf>
    <xf numFmtId="3" fontId="4" fillId="9" borderId="15" xfId="0" applyNumberFormat="1" applyFont="1" applyFill="1" applyBorder="1" applyAlignment="1">
      <alignment horizontal="center"/>
    </xf>
    <xf numFmtId="3" fontId="14" fillId="6" borderId="14" xfId="0" applyNumberFormat="1" applyFont="1" applyFill="1" applyBorder="1" applyAlignment="1">
      <alignment horizontal="center"/>
    </xf>
    <xf numFmtId="3" fontId="14" fillId="6" borderId="15" xfId="0" applyNumberFormat="1" applyFont="1" applyFill="1" applyBorder="1" applyAlignment="1">
      <alignment horizontal="center"/>
    </xf>
    <xf numFmtId="0" fontId="3" fillId="5" borderId="7" xfId="0" applyFont="1" applyFill="1" applyBorder="1" applyAlignment="1">
      <alignment horizontal="right"/>
    </xf>
    <xf numFmtId="165" fontId="3" fillId="5" borderId="6" xfId="0" applyNumberFormat="1" applyFont="1" applyFill="1" applyBorder="1"/>
    <xf numFmtId="3" fontId="4" fillId="8" borderId="14" xfId="0" applyNumberFormat="1" applyFont="1" applyFill="1" applyBorder="1" applyAlignment="1">
      <alignment horizontal="center"/>
    </xf>
    <xf numFmtId="3" fontId="4" fillId="8" borderId="15" xfId="0" applyNumberFormat="1" applyFont="1" applyFill="1" applyBorder="1" applyAlignment="1">
      <alignment horizontal="center"/>
    </xf>
    <xf numFmtId="165" fontId="14" fillId="9" borderId="14" xfId="0" applyNumberFormat="1" applyFont="1" applyFill="1" applyBorder="1" applyAlignment="1">
      <alignment horizontal="center"/>
    </xf>
    <xf numFmtId="0" fontId="15" fillId="0" borderId="15" xfId="0" applyFont="1" applyBorder="1"/>
    <xf numFmtId="0" fontId="15" fillId="0" borderId="2" xfId="0" applyFont="1" applyBorder="1"/>
    <xf numFmtId="3" fontId="14" fillId="7" borderId="14" xfId="0" applyNumberFormat="1" applyFont="1" applyFill="1" applyBorder="1" applyAlignment="1">
      <alignment horizontal="center"/>
    </xf>
    <xf numFmtId="3" fontId="14" fillId="7" borderId="15" xfId="0" applyNumberFormat="1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3" fontId="14" fillId="13" borderId="14" xfId="0" applyNumberFormat="1" applyFont="1" applyFill="1" applyBorder="1" applyAlignment="1">
      <alignment horizontal="center"/>
    </xf>
    <xf numFmtId="3" fontId="14" fillId="13" borderId="15" xfId="0" applyNumberFormat="1" applyFont="1" applyFill="1" applyBorder="1" applyAlignment="1">
      <alignment horizontal="center"/>
    </xf>
    <xf numFmtId="0" fontId="0" fillId="13" borderId="15" xfId="0" applyFill="1" applyBorder="1"/>
    <xf numFmtId="0" fontId="0" fillId="13" borderId="2" xfId="0" applyFill="1" applyBorder="1"/>
    <xf numFmtId="0" fontId="14" fillId="9" borderId="15" xfId="0" applyFont="1" applyFill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165" fontId="14" fillId="11" borderId="15" xfId="0" applyNumberFormat="1" applyFont="1" applyFill="1" applyBorder="1"/>
    <xf numFmtId="165" fontId="14" fillId="11" borderId="2" xfId="0" applyNumberFormat="1" applyFont="1" applyFill="1" applyBorder="1"/>
    <xf numFmtId="165" fontId="14" fillId="10" borderId="6" xfId="0" applyNumberFormat="1" applyFont="1" applyFill="1" applyBorder="1"/>
    <xf numFmtId="0" fontId="14" fillId="10" borderId="8" xfId="0" applyFont="1" applyFill="1" applyBorder="1"/>
    <xf numFmtId="0" fontId="3" fillId="5" borderId="1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3" fillId="5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6" fillId="8" borderId="15" xfId="0" applyFont="1" applyFill="1" applyBorder="1" applyAlignment="1">
      <alignment horizontal="center"/>
    </xf>
    <xf numFmtId="0" fontId="16" fillId="8" borderId="2" xfId="0" applyFont="1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3" fontId="3" fillId="5" borderId="9" xfId="0" applyNumberFormat="1" applyFont="1" applyFill="1" applyBorder="1"/>
    <xf numFmtId="3" fontId="3" fillId="5" borderId="0" xfId="0" applyNumberFormat="1" applyFont="1" applyFill="1"/>
    <xf numFmtId="0" fontId="0" fillId="0" borderId="11" xfId="0" applyBorder="1"/>
    <xf numFmtId="0" fontId="0" fillId="0" borderId="5" xfId="0" applyBorder="1"/>
    <xf numFmtId="0" fontId="0" fillId="0" borderId="12" xfId="0" applyBorder="1"/>
    <xf numFmtId="165" fontId="3" fillId="5" borderId="2" xfId="0" applyNumberFormat="1" applyFont="1" applyFill="1" applyBorder="1"/>
    <xf numFmtId="3" fontId="14" fillId="6" borderId="2" xfId="0" applyNumberFormat="1" applyFont="1" applyFill="1" applyBorder="1" applyAlignment="1">
      <alignment horizontal="center"/>
    </xf>
    <xf numFmtId="3" fontId="4" fillId="8" borderId="2" xfId="0" applyNumberFormat="1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1.xml"/><Relationship Id="rId21" Type="http://schemas.openxmlformats.org/officeDocument/2006/relationships/customXml" Target="../ink/ink16.xml"/><Relationship Id="rId42" Type="http://schemas.openxmlformats.org/officeDocument/2006/relationships/customXml" Target="../ink/ink37.xml"/><Relationship Id="rId47" Type="http://schemas.openxmlformats.org/officeDocument/2006/relationships/customXml" Target="../ink/ink42.xml"/><Relationship Id="rId63" Type="http://schemas.openxmlformats.org/officeDocument/2006/relationships/customXml" Target="../ink/ink58.xml"/><Relationship Id="rId68" Type="http://schemas.openxmlformats.org/officeDocument/2006/relationships/customXml" Target="../ink/ink63.xml"/><Relationship Id="rId84" Type="http://schemas.openxmlformats.org/officeDocument/2006/relationships/customXml" Target="../ink/ink79.xml"/><Relationship Id="rId89" Type="http://schemas.openxmlformats.org/officeDocument/2006/relationships/customXml" Target="../ink/ink84.xml"/><Relationship Id="rId16" Type="http://schemas.openxmlformats.org/officeDocument/2006/relationships/customXml" Target="../ink/ink12.xml"/><Relationship Id="rId107" Type="http://schemas.openxmlformats.org/officeDocument/2006/relationships/customXml" Target="../ink/ink102.xml"/><Relationship Id="rId11" Type="http://schemas.openxmlformats.org/officeDocument/2006/relationships/image" Target="../media/image10.png"/><Relationship Id="rId32" Type="http://schemas.openxmlformats.org/officeDocument/2006/relationships/customXml" Target="../ink/ink27.xml"/><Relationship Id="rId37" Type="http://schemas.openxmlformats.org/officeDocument/2006/relationships/customXml" Target="../ink/ink32.xml"/><Relationship Id="rId53" Type="http://schemas.openxmlformats.org/officeDocument/2006/relationships/customXml" Target="../ink/ink48.xml"/><Relationship Id="rId58" Type="http://schemas.openxmlformats.org/officeDocument/2006/relationships/customXml" Target="../ink/ink53.xml"/><Relationship Id="rId74" Type="http://schemas.openxmlformats.org/officeDocument/2006/relationships/customXml" Target="../ink/ink69.xml"/><Relationship Id="rId79" Type="http://schemas.openxmlformats.org/officeDocument/2006/relationships/customXml" Target="../ink/ink74.xml"/><Relationship Id="rId102" Type="http://schemas.openxmlformats.org/officeDocument/2006/relationships/customXml" Target="../ink/ink97.xml"/><Relationship Id="rId5" Type="http://schemas.openxmlformats.org/officeDocument/2006/relationships/customXml" Target="../ink/ink4.xml"/><Relationship Id="rId90" Type="http://schemas.openxmlformats.org/officeDocument/2006/relationships/customXml" Target="../ink/ink85.xml"/><Relationship Id="rId95" Type="http://schemas.openxmlformats.org/officeDocument/2006/relationships/customXml" Target="../ink/ink90.xml"/><Relationship Id="rId22" Type="http://schemas.openxmlformats.org/officeDocument/2006/relationships/customXml" Target="../ink/ink17.xml"/><Relationship Id="rId27" Type="http://schemas.openxmlformats.org/officeDocument/2006/relationships/customXml" Target="../ink/ink22.xml"/><Relationship Id="rId43" Type="http://schemas.openxmlformats.org/officeDocument/2006/relationships/customXml" Target="../ink/ink38.xml"/><Relationship Id="rId48" Type="http://schemas.openxmlformats.org/officeDocument/2006/relationships/customXml" Target="../ink/ink43.xml"/><Relationship Id="rId64" Type="http://schemas.openxmlformats.org/officeDocument/2006/relationships/customXml" Target="../ink/ink59.xml"/><Relationship Id="rId69" Type="http://schemas.openxmlformats.org/officeDocument/2006/relationships/customXml" Target="../ink/ink64.xml"/><Relationship Id="rId80" Type="http://schemas.openxmlformats.org/officeDocument/2006/relationships/customXml" Target="../ink/ink75.xml"/><Relationship Id="rId85" Type="http://schemas.openxmlformats.org/officeDocument/2006/relationships/customXml" Target="../ink/ink80.xml"/><Relationship Id="rId12" Type="http://schemas.openxmlformats.org/officeDocument/2006/relationships/customXml" Target="../ink/ink9.xml"/><Relationship Id="rId17" Type="http://schemas.openxmlformats.org/officeDocument/2006/relationships/customXml" Target="../ink/ink13.xml"/><Relationship Id="rId33" Type="http://schemas.openxmlformats.org/officeDocument/2006/relationships/customXml" Target="../ink/ink28.xml"/><Relationship Id="rId38" Type="http://schemas.openxmlformats.org/officeDocument/2006/relationships/customXml" Target="../ink/ink33.xml"/><Relationship Id="rId59" Type="http://schemas.openxmlformats.org/officeDocument/2006/relationships/customXml" Target="../ink/ink54.xml"/><Relationship Id="rId103" Type="http://schemas.openxmlformats.org/officeDocument/2006/relationships/customXml" Target="../ink/ink98.xml"/><Relationship Id="rId108" Type="http://schemas.openxmlformats.org/officeDocument/2006/relationships/customXml" Target="../ink/ink103.xml"/><Relationship Id="rId20" Type="http://schemas.openxmlformats.org/officeDocument/2006/relationships/customXml" Target="../ink/ink15.xml"/><Relationship Id="rId41" Type="http://schemas.openxmlformats.org/officeDocument/2006/relationships/customXml" Target="../ink/ink36.xml"/><Relationship Id="rId54" Type="http://schemas.openxmlformats.org/officeDocument/2006/relationships/customXml" Target="../ink/ink49.xml"/><Relationship Id="rId62" Type="http://schemas.openxmlformats.org/officeDocument/2006/relationships/customXml" Target="../ink/ink57.xml"/><Relationship Id="rId70" Type="http://schemas.openxmlformats.org/officeDocument/2006/relationships/customXml" Target="../ink/ink65.xml"/><Relationship Id="rId75" Type="http://schemas.openxmlformats.org/officeDocument/2006/relationships/customXml" Target="../ink/ink70.xml"/><Relationship Id="rId83" Type="http://schemas.openxmlformats.org/officeDocument/2006/relationships/customXml" Target="../ink/ink78.xml"/><Relationship Id="rId88" Type="http://schemas.openxmlformats.org/officeDocument/2006/relationships/customXml" Target="../ink/ink83.xml"/><Relationship Id="rId91" Type="http://schemas.openxmlformats.org/officeDocument/2006/relationships/customXml" Target="../ink/ink86.xml"/><Relationship Id="rId96" Type="http://schemas.openxmlformats.org/officeDocument/2006/relationships/customXml" Target="../ink/ink91.xml"/><Relationship Id="rId1" Type="http://schemas.openxmlformats.org/officeDocument/2006/relationships/customXml" Target="../ink/ink1.xml"/><Relationship Id="rId6" Type="http://schemas.openxmlformats.org/officeDocument/2006/relationships/customXml" Target="../ink/ink5.xml"/><Relationship Id="rId15" Type="http://schemas.openxmlformats.org/officeDocument/2006/relationships/image" Target="../media/image110.png"/><Relationship Id="rId23" Type="http://schemas.openxmlformats.org/officeDocument/2006/relationships/customXml" Target="../ink/ink18.xml"/><Relationship Id="rId28" Type="http://schemas.openxmlformats.org/officeDocument/2006/relationships/customXml" Target="../ink/ink23.xml"/><Relationship Id="rId36" Type="http://schemas.openxmlformats.org/officeDocument/2006/relationships/customXml" Target="../ink/ink31.xml"/><Relationship Id="rId49" Type="http://schemas.openxmlformats.org/officeDocument/2006/relationships/customXml" Target="../ink/ink44.xml"/><Relationship Id="rId57" Type="http://schemas.openxmlformats.org/officeDocument/2006/relationships/customXml" Target="../ink/ink52.xml"/><Relationship Id="rId106" Type="http://schemas.openxmlformats.org/officeDocument/2006/relationships/customXml" Target="../ink/ink101.xml"/><Relationship Id="rId10" Type="http://schemas.openxmlformats.org/officeDocument/2006/relationships/customXml" Target="../ink/ink8.xml"/><Relationship Id="rId31" Type="http://schemas.openxmlformats.org/officeDocument/2006/relationships/customXml" Target="../ink/ink26.xml"/><Relationship Id="rId44" Type="http://schemas.openxmlformats.org/officeDocument/2006/relationships/customXml" Target="../ink/ink39.xml"/><Relationship Id="rId52" Type="http://schemas.openxmlformats.org/officeDocument/2006/relationships/customXml" Target="../ink/ink47.xml"/><Relationship Id="rId60" Type="http://schemas.openxmlformats.org/officeDocument/2006/relationships/customXml" Target="../ink/ink55.xml"/><Relationship Id="rId65" Type="http://schemas.openxmlformats.org/officeDocument/2006/relationships/customXml" Target="../ink/ink60.xml"/><Relationship Id="rId73" Type="http://schemas.openxmlformats.org/officeDocument/2006/relationships/customXml" Target="../ink/ink68.xml"/><Relationship Id="rId78" Type="http://schemas.openxmlformats.org/officeDocument/2006/relationships/customXml" Target="../ink/ink73.xml"/><Relationship Id="rId81" Type="http://schemas.openxmlformats.org/officeDocument/2006/relationships/customXml" Target="../ink/ink76.xml"/><Relationship Id="rId86" Type="http://schemas.openxmlformats.org/officeDocument/2006/relationships/customXml" Target="../ink/ink81.xml"/><Relationship Id="rId94" Type="http://schemas.openxmlformats.org/officeDocument/2006/relationships/customXml" Target="../ink/ink89.xml"/><Relationship Id="rId99" Type="http://schemas.openxmlformats.org/officeDocument/2006/relationships/customXml" Target="../ink/ink94.xml"/><Relationship Id="rId101" Type="http://schemas.openxmlformats.org/officeDocument/2006/relationships/customXml" Target="../ink/ink96.xml"/><Relationship Id="rId4" Type="http://schemas.openxmlformats.org/officeDocument/2006/relationships/customXml" Target="../ink/ink3.xml"/><Relationship Id="rId9" Type="http://schemas.openxmlformats.org/officeDocument/2006/relationships/customXml" Target="../ink/ink7.xml"/><Relationship Id="rId13" Type="http://schemas.openxmlformats.org/officeDocument/2006/relationships/customXml" Target="../ink/ink10.xml"/><Relationship Id="rId18" Type="http://schemas.openxmlformats.org/officeDocument/2006/relationships/image" Target="../media/image100.png"/><Relationship Id="rId39" Type="http://schemas.openxmlformats.org/officeDocument/2006/relationships/customXml" Target="../ink/ink34.xml"/><Relationship Id="rId34" Type="http://schemas.openxmlformats.org/officeDocument/2006/relationships/customXml" Target="../ink/ink29.xml"/><Relationship Id="rId50" Type="http://schemas.openxmlformats.org/officeDocument/2006/relationships/customXml" Target="../ink/ink45.xml"/><Relationship Id="rId55" Type="http://schemas.openxmlformats.org/officeDocument/2006/relationships/customXml" Target="../ink/ink50.xml"/><Relationship Id="rId76" Type="http://schemas.openxmlformats.org/officeDocument/2006/relationships/customXml" Target="../ink/ink71.xml"/><Relationship Id="rId97" Type="http://schemas.openxmlformats.org/officeDocument/2006/relationships/customXml" Target="../ink/ink92.xml"/><Relationship Id="rId104" Type="http://schemas.openxmlformats.org/officeDocument/2006/relationships/customXml" Target="../ink/ink99.xml"/><Relationship Id="rId7" Type="http://schemas.openxmlformats.org/officeDocument/2006/relationships/customXml" Target="../ink/ink6.xml"/><Relationship Id="rId71" Type="http://schemas.openxmlformats.org/officeDocument/2006/relationships/customXml" Target="../ink/ink66.xml"/><Relationship Id="rId92" Type="http://schemas.openxmlformats.org/officeDocument/2006/relationships/customXml" Target="../ink/ink87.xml"/><Relationship Id="rId2" Type="http://schemas.openxmlformats.org/officeDocument/2006/relationships/image" Target="../media/image1.png"/><Relationship Id="rId29" Type="http://schemas.openxmlformats.org/officeDocument/2006/relationships/customXml" Target="../ink/ink24.xml"/><Relationship Id="rId24" Type="http://schemas.openxmlformats.org/officeDocument/2006/relationships/customXml" Target="../ink/ink19.xml"/><Relationship Id="rId40" Type="http://schemas.openxmlformats.org/officeDocument/2006/relationships/customXml" Target="../ink/ink35.xml"/><Relationship Id="rId45" Type="http://schemas.openxmlformats.org/officeDocument/2006/relationships/customXml" Target="../ink/ink40.xml"/><Relationship Id="rId66" Type="http://schemas.openxmlformats.org/officeDocument/2006/relationships/customXml" Target="../ink/ink61.xml"/><Relationship Id="rId87" Type="http://schemas.openxmlformats.org/officeDocument/2006/relationships/customXml" Target="../ink/ink82.xml"/><Relationship Id="rId61" Type="http://schemas.openxmlformats.org/officeDocument/2006/relationships/customXml" Target="../ink/ink56.xml"/><Relationship Id="rId82" Type="http://schemas.openxmlformats.org/officeDocument/2006/relationships/customXml" Target="../ink/ink77.xml"/><Relationship Id="rId19" Type="http://schemas.openxmlformats.org/officeDocument/2006/relationships/customXml" Target="../ink/ink14.xml"/><Relationship Id="rId14" Type="http://schemas.openxmlformats.org/officeDocument/2006/relationships/customXml" Target="../ink/ink11.xml"/><Relationship Id="rId30" Type="http://schemas.openxmlformats.org/officeDocument/2006/relationships/customXml" Target="../ink/ink25.xml"/><Relationship Id="rId35" Type="http://schemas.openxmlformats.org/officeDocument/2006/relationships/customXml" Target="../ink/ink30.xml"/><Relationship Id="rId56" Type="http://schemas.openxmlformats.org/officeDocument/2006/relationships/customXml" Target="../ink/ink51.xml"/><Relationship Id="rId77" Type="http://schemas.openxmlformats.org/officeDocument/2006/relationships/customXml" Target="../ink/ink72.xml"/><Relationship Id="rId100" Type="http://schemas.openxmlformats.org/officeDocument/2006/relationships/customXml" Target="../ink/ink95.xml"/><Relationship Id="rId105" Type="http://schemas.openxmlformats.org/officeDocument/2006/relationships/customXml" Target="../ink/ink100.xml"/><Relationship Id="rId8" Type="http://schemas.openxmlformats.org/officeDocument/2006/relationships/image" Target="../media/image11.png"/><Relationship Id="rId51" Type="http://schemas.openxmlformats.org/officeDocument/2006/relationships/customXml" Target="../ink/ink46.xml"/><Relationship Id="rId72" Type="http://schemas.openxmlformats.org/officeDocument/2006/relationships/customXml" Target="../ink/ink67.xml"/><Relationship Id="rId93" Type="http://schemas.openxmlformats.org/officeDocument/2006/relationships/customXml" Target="../ink/ink88.xml"/><Relationship Id="rId98" Type="http://schemas.openxmlformats.org/officeDocument/2006/relationships/customXml" Target="../ink/ink93.xml"/><Relationship Id="rId3" Type="http://schemas.openxmlformats.org/officeDocument/2006/relationships/customXml" Target="../ink/ink2.xml"/><Relationship Id="rId25" Type="http://schemas.openxmlformats.org/officeDocument/2006/relationships/customXml" Target="../ink/ink20.xml"/><Relationship Id="rId46" Type="http://schemas.openxmlformats.org/officeDocument/2006/relationships/customXml" Target="../ink/ink41.xml"/><Relationship Id="rId67" Type="http://schemas.openxmlformats.org/officeDocument/2006/relationships/customXml" Target="../ink/ink6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customXml" Target="../ink/ink105.xml"/><Relationship Id="rId7" Type="http://schemas.openxmlformats.org/officeDocument/2006/relationships/customXml" Target="../ink/ink107.xml"/><Relationship Id="rId12" Type="http://schemas.openxmlformats.org/officeDocument/2006/relationships/image" Target="../media/image12.png"/><Relationship Id="rId2" Type="http://schemas.openxmlformats.org/officeDocument/2006/relationships/image" Target="../media/image12.png"/><Relationship Id="rId1" Type="http://schemas.openxmlformats.org/officeDocument/2006/relationships/customXml" Target="../ink/ink104.xml"/><Relationship Id="rId6" Type="http://schemas.openxmlformats.org/officeDocument/2006/relationships/image" Target="../media/image12.png"/><Relationship Id="rId11" Type="http://schemas.openxmlformats.org/officeDocument/2006/relationships/customXml" Target="../ink/ink109.xml"/><Relationship Id="rId5" Type="http://schemas.openxmlformats.org/officeDocument/2006/relationships/customXml" Target="../ink/ink106.xml"/><Relationship Id="rId10" Type="http://schemas.openxmlformats.org/officeDocument/2006/relationships/image" Target="../media/image12.png"/><Relationship Id="rId4" Type="http://schemas.openxmlformats.org/officeDocument/2006/relationships/image" Target="../media/image12.png"/><Relationship Id="rId9" Type="http://schemas.openxmlformats.org/officeDocument/2006/relationships/customXml" Target="../ink/ink10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359571</xdr:colOff>
      <xdr:row>14</xdr:row>
      <xdr:rowOff>155606</xdr:rowOff>
    </xdr:from>
    <xdr:to>
      <xdr:col>15</xdr:col>
      <xdr:colOff>403647</xdr:colOff>
      <xdr:row>15</xdr:row>
      <xdr:rowOff>17652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16F65E6-81E2-4ECF-8242-56DBB1FAA77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359571</xdr:colOff>
      <xdr:row>4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05866FB-5380-4C2C-93FB-F8804AD3586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6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4CA5B59-D1CA-47EE-BCEE-4B9EE2CBCCFF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6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EC65671-6BF3-43F0-911E-1CB0CECD505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DA77740-2656-4EC5-B56D-5D0918D49A2D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16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9C51363-7B39-4810-A036-A32AAC5F61EE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B422265-611B-419D-97E2-B65155CE9A9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91C2A9E-8384-4DD0-B944-91986339BBE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5CCA447-6EA8-4DFB-8538-8641D11CFA9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6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F35C8A3-99E6-418E-9BB1-1A873CF00A4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16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9159022-38C0-46D9-9445-22A25B831C27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D89D9E6-FC17-40B0-85AC-DF4D793AEC13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5C572D6-DB67-4526-A64C-CD49816BD13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FED7DAA-6D3E-46AC-B14B-D00586013017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AD01DF8-BD86-427A-8B67-555F75F74EA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245F5BD-899F-48D1-956F-589F09B8E2AE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907CD84-97B5-4F49-AC80-57BC2DAF63A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746F13F-CD5D-4DEA-8F1A-7D59B5BD158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75FA486E-C1C4-427C-ABBF-83C15AF491AD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4C77FBA-D5C4-437B-A26F-C47808C5D2C3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3538B16-E703-4F67-BE1C-43A8105A256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05FD3DF2-5F6F-4A65-996D-1F3FEF9936F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0BB53EFB-1FC6-4F73-9B39-CBC12E4B6B7D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E8DBB51-0362-423F-B0B1-2BEBB7414EF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4D6EF077-892C-44CE-8AEA-9C24F0409ECE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35E7B7D-76A0-4D03-A6B9-6953ECCABC9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793EA82-A511-469A-AE97-40998E419B9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D52DD6B5-917C-4418-B743-255417BD297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E8665617-C016-4703-B374-119CCBD77E1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E2AE2D0-B17A-45D9-A16E-B024B9F110C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E0598E7-9879-4517-8E99-17E7962AE3D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22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31C6269-EBBD-4603-B1EB-B3625A64183D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1B04AD4-5673-4602-ABC9-DBA0925BB42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6B71DA6-0CD7-4CE8-83AF-9772230DB68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A55E2E8-F501-4D92-907C-40AA324507D1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6CE8BD4C-2679-4035-B824-E2C7E4297D01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8543424D-18B7-4BE7-B64E-19514F43CCDD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306EBE40-11DB-4457-8489-CB425E413BC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A522EA2-AA91-4F2B-9E63-4E32D0209271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739797A3-569E-4CF0-AA79-5C5A137F1AA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26D8B362-0158-4FCD-AF7F-E82C601696E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ADF54403-A229-46AB-B9F3-7E18FAA77E5F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EF53B6F-D84C-4612-BD5E-6C56A91FF27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3CA1D9F-F6DC-4220-B543-7DA46FF9FA4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28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C35DDA9-E339-4239-9F98-6B1DAEF18043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7AB97B2E-AA4D-4D61-B2F7-37A88A5AE95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8705DD6-CD7A-46E8-933B-6AADEB05E083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9791EA9-CB59-4F6A-B744-4B4DA3C356D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D9F0431-4C05-4341-B74D-42C2DE42B50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A231B5D2-005D-47A9-86C4-7973202134F5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72C0CA67-9CF3-4B11-A278-0DAA272261AF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98F3C3EC-0F65-43EC-843F-AA4AC7A05A3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3E88940-BE4A-4130-A949-3640E57D403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6445B20-9EF1-4E38-9F7D-90A3ED55078D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3304FFBB-FFE0-4C56-A898-3D644514F561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077A2EE-6AF8-48BC-AAD8-C5078CAA4F6E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A187F35-4690-405E-9E1B-F066EA1FAE5B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8C3DE578-AEE7-4A07-82A0-C1A8BC8CCC9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742A157-0164-46AA-85C0-D4870B9410D5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01C29250-7AA5-4BDE-AE3F-A02101F60D2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C9718289-5711-4269-B4F2-1960BA9ED27B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882C8495-8DDA-4C65-B332-A52EBCCAE4C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C280A13E-7F4A-444F-8309-D7B21D26697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6447B6E2-9B99-4CD0-8F5F-DEF9315B1B3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BDD7550-6D3F-458C-81F8-7456B7959C0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02BB4C7-87CE-4802-8B59-AE86065D441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CA448EAA-9C17-438D-B863-DB2CFD3E578B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949DC78D-7FBA-4C1E-BCED-61B3556EC1C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57AFD0E-3AD8-469C-965F-B7663B12E0F7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8558DCC0-E9F7-4E30-95BA-A390EA52FBD1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12111F4-BDCC-4A73-ABCB-5060D1013B27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1FA6C7C0-FDD6-4298-B279-7D870922F0E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A6080751-6E2A-4856-B282-10B2365DA3FF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6B14966-77DA-46BF-B1A1-90E958CB2A0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4FFC366-FA23-42EF-A67E-DB1DD13C855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F8A7FE6-BFAC-407B-8E13-DD804024FB7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69C35E6-A8D9-425E-92AF-29884F4D71F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0CE66E4F-4EF8-433F-8A00-36ADBAEDBA1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8947F572-F031-41E5-BEC7-54E4BAF41D0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3F890CAE-92D1-4D4A-A25F-916DE01CBE0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B30DEB77-3920-4F42-BD8B-F30CDD21107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7E4C81C2-3BE4-4AB3-A910-D27F459589A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359571</xdr:colOff>
      <xdr:row>18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E194E085-5C60-473C-9F6E-E03808A9103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8CFA623-2754-46A4-83D3-AD70DB38561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5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B647738F-405B-430C-A76A-1866FABC6F7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15ABF6BB-1A09-474D-977C-8E1262ACC15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A23DE77-CEDF-4926-B304-741C25F529D3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033462D9-6B3B-4D09-9ED5-7AD38CD99D1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7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5C35406C-6822-4BF7-8880-A1043E9EC75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3A421273-139B-4935-8142-C3737BBBA9F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82728ED-E70A-409B-918B-6BCE8E36692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464B6951-D852-4CE8-B0DA-AA288D47F774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8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D7CF1A14-6ABC-43C4-8840-2C56B6A33FEE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065F5D4F-6BE6-4639-9ECE-A777BC4B2B21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7D12A115-2C05-4A0D-97B8-D29791F3999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40BC9147-142F-45B7-ABDC-9A6FE5795DDF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5968261-FD4B-4BB1-9C3B-FBE3B5084EA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2B39EDC8-E58B-415F-9105-546FF84661DA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3E5EF91E-7122-4CAF-A8CA-6CDAD33C0432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9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589333B6-0283-4339-8F25-7EF858E06FC9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D0978700-D711-43DC-A5F7-C79E278B6A8E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A5AD4EFB-B1A6-46FE-A0E7-C8DDB764F898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359571</xdr:colOff>
      <xdr:row>10</xdr:row>
      <xdr:rowOff>155606</xdr:rowOff>
    </xdr:from>
    <xdr:ext cx="44076" cy="52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C42334E1-E931-42B7-B8F1-1A8C3DB7D17B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359571</xdr:colOff>
      <xdr:row>4</xdr:row>
      <xdr:rowOff>155606</xdr:rowOff>
    </xdr:from>
    <xdr:to>
      <xdr:col>3</xdr:col>
      <xdr:colOff>403647</xdr:colOff>
      <xdr:row>5</xdr:row>
      <xdr:rowOff>17653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8530376-51A7-421D-992D-3B6D48983E7B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359571</xdr:colOff>
      <xdr:row>18</xdr:row>
      <xdr:rowOff>155606</xdr:rowOff>
    </xdr:from>
    <xdr:ext cx="44076" cy="5254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64BADD2-29B0-4EBF-96CD-5E70674BE150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359571</xdr:colOff>
      <xdr:row>32</xdr:row>
      <xdr:rowOff>155606</xdr:rowOff>
    </xdr:from>
    <xdr:ext cx="44076" cy="5254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498A245-7FC9-455F-88E9-A34B02C700DC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359571</xdr:colOff>
      <xdr:row>46</xdr:row>
      <xdr:rowOff>155606</xdr:rowOff>
    </xdr:from>
    <xdr:ext cx="44076" cy="5254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E291C9A-7A7D-4C7F-A08B-6756868F970F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359571</xdr:colOff>
      <xdr:row>60</xdr:row>
      <xdr:rowOff>155606</xdr:rowOff>
    </xdr:from>
    <xdr:ext cx="44076" cy="5254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A4F6983-06FC-4D30-B286-815802F8457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359571</xdr:colOff>
      <xdr:row>74</xdr:row>
      <xdr:rowOff>155606</xdr:rowOff>
    </xdr:from>
    <xdr:ext cx="44076" cy="52547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CEF2204-29E1-436E-9B14-B086EAED03D6}"/>
                </a:ext>
              </a:extLst>
            </xdr14:cNvPr>
            <xdr14:cNvContentPartPr/>
          </xdr14:nvContentPartPr>
          <xdr14:nvPr macro=""/>
          <xdr14:xfrm>
            <a:off x="4528800" y="8368877"/>
            <a:ext cx="46800" cy="424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76C6D63D-9BA0-44C1-AC70-6B1ECD8B62F4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519800" y="8360237"/>
              <a:ext cx="64440" cy="6012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8_Project%20Management%20-%20320%20Rose%20Pl.xlsm" TargetMode="External"/><Relationship Id="rId1" Type="http://schemas.openxmlformats.org/officeDocument/2006/relationships/externalLinkPath" Target="28_Project%20Management%20-%20320%20Rose%20Pl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7_Project%20Management%20-%207001%20Outrigger%20Dr.xlsm" TargetMode="External"/><Relationship Id="rId1" Type="http://schemas.openxmlformats.org/officeDocument/2006/relationships/externalLinkPath" Target="27_Project%20Management%20-%207001%20Outrigger%20Dr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6_Project%20Management%20-%20908%20Pond%20St%203.xlsm" TargetMode="External"/><Relationship Id="rId1" Type="http://schemas.openxmlformats.org/officeDocument/2006/relationships/externalLinkPath" Target="26_Project%20Management%20-%20908%20Pond%20St%203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5_Project%20Management%20-%20612%20Britton%20Ct.xlsm" TargetMode="External"/><Relationship Id="rId1" Type="http://schemas.openxmlformats.org/officeDocument/2006/relationships/externalLinkPath" Target="25_Project%20Management%20-%20612%20Britton%20Ct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4_Project%20Management%20-%204121%20Tensity%20Dr%202.xlsm" TargetMode="External"/><Relationship Id="rId1" Type="http://schemas.openxmlformats.org/officeDocument/2006/relationships/externalLinkPath" Target="24_Project%20Management%20-%204121%20Tensity%20Dr%202.xlsm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3_Project%20Management%20-%206316%20Willowdell%20Dr%204.xlsm" TargetMode="External"/><Relationship Id="rId1" Type="http://schemas.openxmlformats.org/officeDocument/2006/relationships/externalLinkPath" Target="23_Project%20Management%20-%206316%20Willowdell%20Dr%204.xlsm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3_Project%20Management%20-%202325%20Cool%20Springs%20Rd%204.xlsm" TargetMode="External"/><Relationship Id="rId1" Type="http://schemas.openxmlformats.org/officeDocument/2006/relationships/externalLinkPath" Target="23_Project%20Management%20-%202325%20Cool%20Springs%20Rd%204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2_Project%20Management%20-%201343%20Old%20Buckhorn%20Rd.xlsm" TargetMode="External"/><Relationship Id="rId1" Type="http://schemas.openxmlformats.org/officeDocument/2006/relationships/externalLinkPath" Target="22_Project%20Management%20-%201343%20Old%20Buckhorn%20Rd.xlsm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20_Project%20Management%20-%20115%20Rosebrooks%20Dr.xlsx" TargetMode="External"/><Relationship Id="rId1" Type="http://schemas.openxmlformats.org/officeDocument/2006/relationships/externalLinkPath" Target="20_Project%20Management%20-%20115%20Rosebrooks%20D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19_Project%20Management%20-%201426%20Pleasant%20Garden%20Ln.xlsx" TargetMode="External"/><Relationship Id="rId1" Type="http://schemas.openxmlformats.org/officeDocument/2006/relationships/externalLinkPath" Target="19_Project%20Management%20-%201426%20Pleasant%20Garden%20L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17_Project%20Management%20-%203413%20Pinetree%20Ln.xlsx" TargetMode="External"/><Relationship Id="rId1" Type="http://schemas.openxmlformats.org/officeDocument/2006/relationships/externalLinkPath" Target="17_Project%20Management%20-%203413%20Pinetree%20Ln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13_Project%20Management%20%20-%203325%20Banks%20Rd.xlsx" TargetMode="External"/><Relationship Id="rId1" Type="http://schemas.openxmlformats.org/officeDocument/2006/relationships/externalLinkPath" Target="13_Project%20Management%20%20-%203325%20Banks%20R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feisanadventure.sharepoint.com/sites/SellYourHome/Shared%20Documents/Property/Business%20Plan.xlsm" TargetMode="External"/><Relationship Id="rId1" Type="http://schemas.openxmlformats.org/officeDocument/2006/relationships/externalLinkPath" Target="Business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"/>
      <sheetName val="Amortization"/>
      <sheetName val="Docs"/>
      <sheetName val="MOG"/>
      <sheetName val="Contact"/>
      <sheetName val="Carrying"/>
      <sheetName val="Contract"/>
      <sheetName val="Base"/>
      <sheetName val="Glasgow"/>
      <sheetName val="Tim"/>
      <sheetName val="Others"/>
      <sheetName val="Gnatt Chart"/>
      <sheetName val="Sheet1"/>
      <sheetName val="Draws"/>
      <sheetName val="Legal"/>
      <sheetName val="Seller Advance"/>
      <sheetName val="MISC"/>
      <sheetName val="Lumber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Exterior"/>
      <sheetName val="2024"/>
      <sheetName val="2023"/>
      <sheetName val="2022"/>
      <sheetName val="2021"/>
      <sheetName val="2020"/>
      <sheetName val="STR"/>
      <sheetName val="Furnishing"/>
    </sheetNames>
    <sheetDataSet>
      <sheetData sheetId="0">
        <row r="4">
          <cell r="B4">
            <v>330000</v>
          </cell>
        </row>
        <row r="41">
          <cell r="K41">
            <v>80.933166298342542</v>
          </cell>
        </row>
        <row r="44">
          <cell r="K44">
            <v>197245</v>
          </cell>
        </row>
        <row r="47">
          <cell r="K47">
            <v>222245</v>
          </cell>
        </row>
        <row r="54">
          <cell r="D54">
            <v>-278753.05756574997</v>
          </cell>
          <cell r="I54">
            <v>2025.4831662983422</v>
          </cell>
        </row>
        <row r="62">
          <cell r="K62">
            <v>159927.31506911264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LI2T63UQHIQVGZVZH4LRMVCLTC">
      <xxl21:absoluteUrl r:id="rId2"/>
    </xxl21:alternateUrls>
    <sheetNames>
      <sheetName val="Profit"/>
      <sheetName val="Amortization"/>
      <sheetName val="Docs"/>
      <sheetName val="MOG"/>
      <sheetName val="Past"/>
      <sheetName val="Contact"/>
      <sheetName val="Carrying"/>
      <sheetName val="Contract"/>
      <sheetName val="UpdateContract"/>
      <sheetName val="Gnatt Chart"/>
      <sheetName val="Recap"/>
      <sheetName val="Legal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STR"/>
      <sheetName val="Landscape"/>
      <sheetName val="Exterior"/>
      <sheetName val="Furnishing"/>
    </sheetNames>
    <sheetDataSet>
      <sheetData sheetId="0">
        <row r="4">
          <cell r="B4">
            <v>257300</v>
          </cell>
        </row>
        <row r="41">
          <cell r="K41">
            <v>954.63202580645157</v>
          </cell>
        </row>
        <row r="44">
          <cell r="K44">
            <v>158169.53</v>
          </cell>
        </row>
        <row r="47">
          <cell r="K47">
            <v>112039.66</v>
          </cell>
        </row>
        <row r="54">
          <cell r="I54">
            <v>1503.8920258064516</v>
          </cell>
        </row>
        <row r="62">
          <cell r="K62">
            <v>179458.23842224455</v>
          </cell>
        </row>
        <row r="67">
          <cell r="D67">
            <v>-18552.64035971223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JX4TR5QBFBDBG2RQTZNGHMZVZV">
      <xxl21:absoluteUrl r:id="rId2"/>
    </xxl21:alternateUrls>
    <sheetNames>
      <sheetName val="Profit"/>
      <sheetName val="Amortization"/>
      <sheetName val="Docs"/>
      <sheetName val="MOG"/>
      <sheetName val="Contact"/>
      <sheetName val="Carrying"/>
      <sheetName val="Contract"/>
      <sheetName val="Depends"/>
      <sheetName val="Glasgow"/>
      <sheetName val="Tim"/>
      <sheetName val="Others"/>
      <sheetName val="Gnatt Chart"/>
      <sheetName val="Sheet1"/>
      <sheetName val="Draws"/>
      <sheetName val="Legal"/>
      <sheetName val="Seller Advance"/>
      <sheetName val="Lumber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Smart"/>
      <sheetName val="Electrical Fixtures"/>
      <sheetName val="Landscape"/>
      <sheetName val="Exterior"/>
      <sheetName val="2024"/>
      <sheetName val="2023"/>
      <sheetName val="2022"/>
      <sheetName val="2021"/>
      <sheetName val="2020"/>
      <sheetName val="STR"/>
      <sheetName val="Furnishing"/>
    </sheetNames>
    <sheetDataSet>
      <sheetData sheetId="0">
        <row r="4">
          <cell r="B4">
            <v>625000</v>
          </cell>
        </row>
        <row r="41">
          <cell r="K41">
            <v>2537.3345162436549</v>
          </cell>
        </row>
        <row r="44">
          <cell r="K44">
            <v>25600</v>
          </cell>
        </row>
        <row r="47">
          <cell r="K47">
            <v>221572.01</v>
          </cell>
        </row>
        <row r="54">
          <cell r="I54">
            <v>0</v>
          </cell>
        </row>
        <row r="62">
          <cell r="K62">
            <v>110005.26423904806</v>
          </cell>
        </row>
        <row r="67">
          <cell r="D67">
            <v>-322046.89702998754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O5QEQ7M544BRELUSIAOY3CVLKE">
      <xxl21:absoluteUrl r:id="rId2"/>
    </xxl21:alternateUrls>
    <sheetNames>
      <sheetName val="Profit"/>
      <sheetName val="Amortization"/>
      <sheetName val="Docs"/>
      <sheetName val="Sheet1"/>
      <sheetName val="MOG"/>
      <sheetName val="Contact"/>
      <sheetName val="Carrying"/>
      <sheetName val="Contract"/>
      <sheetName val="UpdateContract"/>
      <sheetName val="Gnatt Chart"/>
      <sheetName val="Recap"/>
      <sheetName val="Legal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Exterior"/>
      <sheetName val="Landscape"/>
      <sheetName val="2024"/>
      <sheetName val="STR"/>
      <sheetName val="2023"/>
      <sheetName val="2022"/>
      <sheetName val="2021"/>
      <sheetName val="2020"/>
      <sheetName val="Furnishing"/>
      <sheetName val="Todo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</sheetNames>
    <sheetDataSet>
      <sheetData sheetId="0">
        <row r="4">
          <cell r="B4">
            <v>399000</v>
          </cell>
        </row>
        <row r="41">
          <cell r="K41">
            <v>1519.017685714286</v>
          </cell>
        </row>
        <row r="44">
          <cell r="K44">
            <v>223480.66999999998</v>
          </cell>
        </row>
        <row r="47">
          <cell r="K47">
            <v>136402.79</v>
          </cell>
        </row>
        <row r="54">
          <cell r="I54">
            <v>2</v>
          </cell>
        </row>
        <row r="62">
          <cell r="K62">
            <v>193865.39934424998</v>
          </cell>
        </row>
        <row r="67">
          <cell r="D67">
            <v>-9836.542594999999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NQEWEPX3YGHZFYAFNBA3XOUXD4">
      <xxl21:absoluteUrl r:id="rId2"/>
    </xxl21:alternateUrls>
    <sheetNames>
      <sheetName val="Profit"/>
      <sheetName val="Amortization"/>
      <sheetName val="Docs"/>
      <sheetName val="MOG"/>
      <sheetName val="Contact"/>
      <sheetName val="Carrying"/>
      <sheetName val="Contract"/>
      <sheetName val="UpdateContract"/>
      <sheetName val="Gnatt Chart"/>
      <sheetName val="Invoice"/>
      <sheetName val="Recap"/>
      <sheetName val="Legal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Exterior"/>
      <sheetName val="STR"/>
      <sheetName val="2024"/>
      <sheetName val="2023"/>
      <sheetName val="2022"/>
      <sheetName val="2021"/>
      <sheetName val="2020"/>
      <sheetName val="Furnishing"/>
      <sheetName val="Todo"/>
    </sheetNames>
    <sheetDataSet>
      <sheetData sheetId="0">
        <row r="4">
          <cell r="B4">
            <v>276800</v>
          </cell>
        </row>
        <row r="41">
          <cell r="K41">
            <v>1493.6555672131149</v>
          </cell>
        </row>
        <row r="44">
          <cell r="K44">
            <v>174694</v>
          </cell>
        </row>
        <row r="47">
          <cell r="K47">
            <v>130291.26</v>
          </cell>
        </row>
        <row r="54">
          <cell r="I54">
            <v>1403.137813114754</v>
          </cell>
        </row>
        <row r="62">
          <cell r="K62">
            <v>149081.32179919883</v>
          </cell>
        </row>
        <row r="67">
          <cell r="D67">
            <v>-27991.342402099999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MTHOTI2KZAVBFL5JLX7SQQKMCB">
      <xxl21:absoluteUrl r:id="rId2"/>
    </xxl21:alternateUrls>
    <sheetNames>
      <sheetName val="Profit"/>
      <sheetName val="Amortization"/>
      <sheetName val="Docs"/>
      <sheetName val="MOG"/>
      <sheetName val="Contact"/>
      <sheetName val="Carrying"/>
      <sheetName val="Contract"/>
      <sheetName val="UpdateContract"/>
      <sheetName val="Gnatt Chart"/>
      <sheetName val="Recap"/>
      <sheetName val="Legal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Exterior"/>
      <sheetName val="2024"/>
      <sheetName val="2023"/>
      <sheetName val="2022"/>
      <sheetName val="2021"/>
      <sheetName val="2020"/>
      <sheetName val="STR"/>
      <sheetName val="Furnishing"/>
    </sheetNames>
    <sheetDataSet>
      <sheetData sheetId="0">
        <row r="4">
          <cell r="B4">
            <v>425000</v>
          </cell>
        </row>
        <row r="42">
          <cell r="K42">
            <v>1885.2550000000001</v>
          </cell>
        </row>
        <row r="45">
          <cell r="K45">
            <v>256982.44</v>
          </cell>
        </row>
        <row r="48">
          <cell r="K48">
            <v>281338.38</v>
          </cell>
        </row>
        <row r="61">
          <cell r="K61">
            <v>39419.87397499998</v>
          </cell>
        </row>
        <row r="67">
          <cell r="D67">
            <v>-56164.766025000004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MNVSURGFMGXNBZUOMLQBCSV4MU">
      <xxl21:absoluteUrl r:id="rId2"/>
    </xxl21:alternateUrls>
    <sheetNames>
      <sheetName val="Profit"/>
      <sheetName val="Amortization"/>
      <sheetName val="Docs"/>
      <sheetName val="MOG"/>
      <sheetName val="Contact"/>
      <sheetName val="Carrying"/>
      <sheetName val="Contract"/>
      <sheetName val="UpdateContract"/>
      <sheetName val="Gnatt Chart"/>
      <sheetName val="Recap"/>
      <sheetName val="Legal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2024"/>
      <sheetName val="STR"/>
      <sheetName val="Landscape"/>
      <sheetName val="Exterior"/>
      <sheetName val="2023"/>
      <sheetName val="2022"/>
      <sheetName val="2021"/>
      <sheetName val="2020"/>
      <sheetName val="Furnishing"/>
    </sheetNames>
    <sheetDataSet>
      <sheetData sheetId="0">
        <row r="4">
          <cell r="B4">
            <v>239000</v>
          </cell>
        </row>
        <row r="41">
          <cell r="K41">
            <v>18.34395770392749</v>
          </cell>
        </row>
        <row r="44">
          <cell r="K44">
            <v>174164</v>
          </cell>
        </row>
        <row r="47">
          <cell r="K47">
            <v>204823.02</v>
          </cell>
        </row>
        <row r="55">
          <cell r="I55">
            <v>429.60000000000014</v>
          </cell>
        </row>
        <row r="62">
          <cell r="K62">
            <v>68361.07707344096</v>
          </cell>
        </row>
        <row r="67">
          <cell r="D67">
            <v>-11744.259443010687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MJ3S5AVZASJNGLECZJKKVUGZBJ">
      <xxl21:absoluteUrl r:id="rId2"/>
    </xxl21:alternateUrls>
    <sheetNames>
      <sheetName val="Profit"/>
      <sheetName val="Amortization"/>
      <sheetName val="Docs"/>
      <sheetName val="MOG"/>
      <sheetName val="Contact"/>
      <sheetName val="Carrying"/>
      <sheetName val="Contract"/>
      <sheetName val="UpdateContract"/>
      <sheetName val="Gnatt Chart"/>
      <sheetName val="Recap"/>
      <sheetName val="Legal"/>
      <sheetName val="Seller Advance"/>
      <sheetName val="MISC"/>
      <sheetName val="Exterior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STR"/>
      <sheetName val="Landscape"/>
      <sheetName val="2024"/>
      <sheetName val="2023"/>
      <sheetName val="2022"/>
      <sheetName val="2021"/>
      <sheetName val="2020"/>
      <sheetName val="Furnishing"/>
    </sheetNames>
    <sheetDataSet>
      <sheetData sheetId="0">
        <row r="4">
          <cell r="B4">
            <v>375000</v>
          </cell>
        </row>
        <row r="41">
          <cell r="K41">
            <v>665.33282051282049</v>
          </cell>
        </row>
        <row r="44">
          <cell r="K44">
            <v>197509.1</v>
          </cell>
        </row>
        <row r="48">
          <cell r="K48">
            <v>106750.1</v>
          </cell>
        </row>
        <row r="55">
          <cell r="I55">
            <v>0</v>
          </cell>
        </row>
        <row r="62">
          <cell r="K62">
            <v>123695.0674996258</v>
          </cell>
        </row>
        <row r="68">
          <cell r="D68">
            <v>-59670.685549999995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M4XSAG27XHWRBZGUMAPNZGIIGX">
      <xxl21:absoluteUrl r:id="rId2"/>
    </xxl21:alternateUrls>
    <sheetNames>
      <sheetName val="Profit"/>
      <sheetName val="MOG"/>
      <sheetName val="Contact"/>
      <sheetName val="Carrying"/>
      <sheetName val="Contract"/>
      <sheetName val="UpdateContract"/>
      <sheetName val="Gnatt Chart"/>
      <sheetName val="Recap"/>
      <sheetName val="Taxes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Exterior"/>
      <sheetName val="2023"/>
      <sheetName val="2022"/>
      <sheetName val="2021"/>
      <sheetName val="2020"/>
    </sheetNames>
    <sheetDataSet>
      <sheetData sheetId="0">
        <row r="4">
          <cell r="B4">
            <v>289000</v>
          </cell>
        </row>
        <row r="41">
          <cell r="K41">
            <v>1477.3036016949154</v>
          </cell>
        </row>
        <row r="44">
          <cell r="K44">
            <v>181057.16</v>
          </cell>
        </row>
        <row r="47">
          <cell r="K47">
            <v>187323.94</v>
          </cell>
        </row>
        <row r="65">
          <cell r="D65">
            <v>-37573.025187499996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KYSK4JAZNXNNHYSFLXXGA45WJR">
      <xxl21:absoluteUrl r:id="rId2"/>
    </xxl21:alternateUrls>
    <sheetNames>
      <sheetName val="Profit"/>
      <sheetName val="MOG"/>
      <sheetName val="Contact"/>
      <sheetName val="Carrying"/>
      <sheetName val="Contract"/>
      <sheetName val="UpdateContract"/>
      <sheetName val="Gnatt Chart"/>
      <sheetName val="Recap"/>
      <sheetName val="Taxes"/>
      <sheetName val="Seller Advance"/>
      <sheetName val="MISC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Exterior"/>
    </sheetNames>
    <sheetDataSet>
      <sheetData sheetId="0">
        <row r="4">
          <cell r="B4">
            <v>341700</v>
          </cell>
        </row>
        <row r="41">
          <cell r="K41">
            <v>68.119458635662198</v>
          </cell>
        </row>
        <row r="44">
          <cell r="K44">
            <v>273784</v>
          </cell>
        </row>
        <row r="57">
          <cell r="K57">
            <v>-145850.91159498086</v>
          </cell>
        </row>
        <row r="63">
          <cell r="D63">
            <v>-47412.056299999997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POZ4WDEWUUXZEYUZSMQ2KG2W3J">
      <xxl21:absoluteUrl r:id="rId2"/>
    </xxl21:alternateUrls>
    <sheetNames>
      <sheetName val="Profit"/>
      <sheetName val="MOG"/>
      <sheetName val="Todo"/>
      <sheetName val="Contact"/>
      <sheetName val="Example Proposal"/>
      <sheetName val="Proposal"/>
      <sheetName val="ProposalUpdate"/>
      <sheetName val="Gnatt Chart"/>
      <sheetName val="Taxes"/>
      <sheetName val="Financing"/>
      <sheetName val="Seller Advance"/>
      <sheetName val="MISC 2"/>
      <sheetName val="Demo &amp; Trash Haul"/>
      <sheetName val="Appliances"/>
      <sheetName val="Plumbing Fixtures"/>
      <sheetName val="Sheet1"/>
      <sheetName val="Sheet2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Sheet5"/>
      <sheetName val="Exterior"/>
      <sheetName val="Sheet3"/>
      <sheetName val="Sheet4"/>
      <sheetName val="17_Project Management - 3413 Pi"/>
    </sheetNames>
    <sheetDataSet>
      <sheetData sheetId="0"/>
      <sheetData sheetId="1"/>
      <sheetData sheetId="2">
        <row r="44">
          <cell r="E44">
            <v>287000</v>
          </cell>
        </row>
        <row r="45">
          <cell r="E45">
            <v>185424.13125000001</v>
          </cell>
        </row>
        <row r="46">
          <cell r="E46">
            <v>5676.2640000000001</v>
          </cell>
        </row>
        <row r="47">
          <cell r="E47">
            <v>142424</v>
          </cell>
        </row>
        <row r="48">
          <cell r="E48">
            <v>890.28000000000009</v>
          </cell>
        </row>
        <row r="49">
          <cell r="E49">
            <v>890.3</v>
          </cell>
        </row>
        <row r="50">
          <cell r="E50">
            <v>104394.49600000001</v>
          </cell>
        </row>
        <row r="51">
          <cell r="E51">
            <v>10439.449600000002</v>
          </cell>
        </row>
        <row r="52">
          <cell r="E52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NWO5RG472LJRFJXGO6Y3E27XWB">
      <xxl21:absoluteUrl r:id="rId2"/>
    </xxl21:alternateUrls>
    <sheetNames>
      <sheetName val="Profit"/>
      <sheetName val="MOG"/>
      <sheetName val="Todo"/>
      <sheetName val="Contact"/>
      <sheetName val="Carrying"/>
      <sheetName val="Proposal"/>
      <sheetName val="ProposalUpdate"/>
      <sheetName val="Gnatt Chart"/>
      <sheetName val="Taxes"/>
      <sheetName val="Financing"/>
      <sheetName val="Seller Advance"/>
      <sheetName val="MISC 2"/>
      <sheetName val="Demo &amp; Trash Haul"/>
      <sheetName val="Appliances"/>
      <sheetName val="Plumbing Fixtures"/>
      <sheetName val="Windows &amp; Doors"/>
      <sheetName val="Cabinets"/>
      <sheetName val="Paint"/>
      <sheetName val="Flooring"/>
      <sheetName val="HVAC"/>
      <sheetName val="Electrical Fixtures"/>
      <sheetName val="Landscape"/>
      <sheetName val="Exterior"/>
      <sheetName val="13_Project Management  - 3325 B"/>
    </sheetNames>
    <sheetDataSet>
      <sheetData sheetId="0"/>
      <sheetData sheetId="1"/>
      <sheetData sheetId="2">
        <row r="44">
          <cell r="E44">
            <v>439000</v>
          </cell>
        </row>
        <row r="45">
          <cell r="E45">
            <v>147682.86124999999</v>
          </cell>
        </row>
        <row r="46">
          <cell r="E46">
            <v>31424.184000000001</v>
          </cell>
        </row>
        <row r="47">
          <cell r="E47">
            <v>200037.72999999998</v>
          </cell>
        </row>
        <row r="48">
          <cell r="E48">
            <v>1275.0192134831468</v>
          </cell>
        </row>
        <row r="49">
          <cell r="E49">
            <v>0</v>
          </cell>
        </row>
        <row r="50">
          <cell r="E50">
            <v>129335.61266666662</v>
          </cell>
        </row>
        <row r="51">
          <cell r="E51">
            <v>12933.561266666664</v>
          </cell>
        </row>
        <row r="52">
          <cell r="E52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4mDJWAoUZEiObH1uIc-tPNklzEL-JwdPrMve0F7Efu7K7Z-rHQDJTLJE2cO-WifT" itemId="01ZGFUBDLUVZ2CUQDA4VH3O6U5OFBITSE4">
      <xxl21:absoluteUrl r:id="rId2"/>
    </xxl21:alternateUrls>
    <sheetNames>
      <sheetName val="Todo"/>
      <sheetName val="Past"/>
    </sheetNames>
    <sheetDataSet>
      <sheetData sheetId="0"/>
      <sheetData sheetId="1">
        <row r="8">
          <cell r="C8">
            <v>0</v>
          </cell>
        </row>
        <row r="22">
          <cell r="C22">
            <v>0</v>
          </cell>
        </row>
        <row r="36">
          <cell r="C36">
            <v>15470.803800000003</v>
          </cell>
        </row>
        <row r="50">
          <cell r="C50">
            <v>0</v>
          </cell>
        </row>
        <row r="64">
          <cell r="C64">
            <v>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122 1 17047 0 0,'-18'3'1575'0'0,"14"-3"-1507"0"0,0 1 0 0 0,0-1 0 0 0,0 2 0 0 0,-1-1 0 0 0,-4 4 0 0 0,7-2 211 0 0,-1 0 0 0 0,1 0 0 0 0,0-1 0 0 0,0 1 0 0 0,1 0 0 0 0,-1 2 0 0 0,0-2 0 0 0,0 0 0 0 0,-3 8 0 0 0,-2 8-718 0 0,-23 46-2274 0 0,24-48 1471 0 0,-2 3-97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1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3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4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6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39.99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.00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.0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.0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.00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.0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4T21:09:40.0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5T12:28:05.70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5T12:28:05.7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5T12:28:05.70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5T12:28:05.7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5T12:28:05.71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1-25T12:28:05.7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129 1 17047 0 0,'-19'2'1575'0'0,"15"-2"-1507"0"0,-1 1 0 0 0,1-1 0 0 0,0 1 0 0 0,-1 0 0 0 0,-5 2 0 0 0,8-1 211 0 0,-1 0 0 0 0,1 0 0 0 0,0 0 0 0 0,0 0 0 0 0,0 0 0 0 0,0 1 0 0 0,0-1 0 0 0,0 0 0 0 0,-3 6 0 0 0,-3 5-718 0 0,-23 31-2274 0 0,24-32 1471 0 0,-1 1-97 0 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lobal.americanexpress.com/dashboard" TargetMode="External"/><Relationship Id="rId18" Type="http://schemas.openxmlformats.org/officeDocument/2006/relationships/hyperlink" Target="mailto:w3638B0@" TargetMode="External"/><Relationship Id="rId26" Type="http://schemas.openxmlformats.org/officeDocument/2006/relationships/hyperlink" Target="https://secure.chase.com/web/auth/dashboard" TargetMode="External"/><Relationship Id="rId39" Type="http://schemas.openxmlformats.org/officeDocument/2006/relationships/hyperlink" Target="https://citiretailservices.citibankonline.com/RSnextgen/svc/launch/index.action?siteId=PLCN_BESTBUY" TargetMode="External"/><Relationship Id="rId21" Type="http://schemas.openxmlformats.org/officeDocument/2006/relationships/hyperlink" Target="mailto:w3638B0@" TargetMode="External"/><Relationship Id="rId34" Type="http://schemas.openxmlformats.org/officeDocument/2006/relationships/hyperlink" Target="https://digitalbanking.firstcitizens.com/FCBTCOnline/uux.aspx" TargetMode="External"/><Relationship Id="rId42" Type="http://schemas.openxmlformats.org/officeDocument/2006/relationships/hyperlink" Target="https://onlinebanking.usbank.com/auth/login/" TargetMode="External"/><Relationship Id="rId7" Type="http://schemas.openxmlformats.org/officeDocument/2006/relationships/hyperlink" Target="mailto:w3638B0@" TargetMode="External"/><Relationship Id="rId2" Type="http://schemas.openxmlformats.org/officeDocument/2006/relationships/hyperlink" Target="mailto:w3638B0@" TargetMode="External"/><Relationship Id="rId16" Type="http://schemas.openxmlformats.org/officeDocument/2006/relationships/hyperlink" Target="mailto:w3638B0@" TargetMode="External"/><Relationship Id="rId20" Type="http://schemas.openxmlformats.org/officeDocument/2006/relationships/hyperlink" Target="mailto:Wes@myBrowning.net" TargetMode="External"/><Relationship Id="rId29" Type="http://schemas.openxmlformats.org/officeDocument/2006/relationships/hyperlink" Target="https://www.card.fnbo.com/" TargetMode="External"/><Relationship Id="rId41" Type="http://schemas.openxmlformats.org/officeDocument/2006/relationships/hyperlink" Target="https://secure.chase.com/web/auth/dashboard" TargetMode="External"/><Relationship Id="rId1" Type="http://schemas.openxmlformats.org/officeDocument/2006/relationships/hyperlink" Target="mailto:w3638B0@" TargetMode="External"/><Relationship Id="rId6" Type="http://schemas.openxmlformats.org/officeDocument/2006/relationships/hyperlink" Target="mailto:w3638B0@" TargetMode="External"/><Relationship Id="rId11" Type="http://schemas.openxmlformats.org/officeDocument/2006/relationships/hyperlink" Target="https://www.wellsfargo.com/usemycard" TargetMode="External"/><Relationship Id="rId24" Type="http://schemas.openxmlformats.org/officeDocument/2006/relationships/hyperlink" Target="https://digitalbanking.firstcitizens.com/FCBTCOnline/uux.aspx" TargetMode="External"/><Relationship Id="rId32" Type="http://schemas.openxmlformats.org/officeDocument/2006/relationships/hyperlink" Target="mailto:w3638B0@" TargetMode="External"/><Relationship Id="rId37" Type="http://schemas.openxmlformats.org/officeDocument/2006/relationships/hyperlink" Target="https://global.americanexpress.com/dashboard?inav=MYCA_Home" TargetMode="External"/><Relationship Id="rId40" Type="http://schemas.openxmlformats.org/officeDocument/2006/relationships/hyperlink" Target="https://global.americanexpress.com/dashboard" TargetMode="External"/><Relationship Id="rId5" Type="http://schemas.openxmlformats.org/officeDocument/2006/relationships/hyperlink" Target="mailto:w3638B0@" TargetMode="External"/><Relationship Id="rId15" Type="http://schemas.openxmlformats.org/officeDocument/2006/relationships/hyperlink" Target="https://global.americanexpress.com/dashboard" TargetMode="External"/><Relationship Id="rId23" Type="http://schemas.openxmlformats.org/officeDocument/2006/relationships/hyperlink" Target="mailto:w3638B0@Wes" TargetMode="External"/><Relationship Id="rId28" Type="http://schemas.openxmlformats.org/officeDocument/2006/relationships/hyperlink" Target="https://www.mycardstatement.com/" TargetMode="External"/><Relationship Id="rId36" Type="http://schemas.openxmlformats.org/officeDocument/2006/relationships/hyperlink" Target="mailto:w3638B0@Wes" TargetMode="External"/><Relationship Id="rId10" Type="http://schemas.openxmlformats.org/officeDocument/2006/relationships/hyperlink" Target="mailto:w3638B0@" TargetMode="External"/><Relationship Id="rId19" Type="http://schemas.openxmlformats.org/officeDocument/2006/relationships/hyperlink" Target="mailto:WesWill@BuyYourHomeRaleigh.com" TargetMode="External"/><Relationship Id="rId31" Type="http://schemas.openxmlformats.org/officeDocument/2006/relationships/hyperlink" Target="https://www.mycardstatement.com/" TargetMode="External"/><Relationship Id="rId4" Type="http://schemas.openxmlformats.org/officeDocument/2006/relationships/hyperlink" Target="mailto:w3638B0@" TargetMode="External"/><Relationship Id="rId9" Type="http://schemas.openxmlformats.org/officeDocument/2006/relationships/hyperlink" Target="https://www.retailservicescommercial.citi.com/USCRSF/CMLSVC/index.html?siteId=PLNP_HOMEDEPOT" TargetMode="External"/><Relationship Id="rId14" Type="http://schemas.openxmlformats.org/officeDocument/2006/relationships/hyperlink" Target="https://www.myaccountaccess.com/onlineCard/login.do" TargetMode="External"/><Relationship Id="rId22" Type="http://schemas.openxmlformats.org/officeDocument/2006/relationships/hyperlink" Target="https://secure07ea.chase.com/web/auth/dashboard" TargetMode="External"/><Relationship Id="rId27" Type="http://schemas.openxmlformats.org/officeDocument/2006/relationships/hyperlink" Target="https://www.24-7cardaccess.com/Login" TargetMode="External"/><Relationship Id="rId30" Type="http://schemas.openxmlformats.org/officeDocument/2006/relationships/hyperlink" Target="https://www.mycardstatement.com/" TargetMode="External"/><Relationship Id="rId35" Type="http://schemas.openxmlformats.org/officeDocument/2006/relationships/hyperlink" Target="https://www.mycardstatement.com/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://www.card.fnbo.com/" TargetMode="External"/><Relationship Id="rId3" Type="http://schemas.openxmlformats.org/officeDocument/2006/relationships/hyperlink" Target="mailto:w3638B0@" TargetMode="External"/><Relationship Id="rId12" Type="http://schemas.openxmlformats.org/officeDocument/2006/relationships/hyperlink" Target="https://global.americanexpress.com/dashboard?inav=MYCA_Home" TargetMode="External"/><Relationship Id="rId17" Type="http://schemas.openxmlformats.org/officeDocument/2006/relationships/hyperlink" Target="mailto:Jenny@BuyYourHomeLLC.com" TargetMode="External"/><Relationship Id="rId25" Type="http://schemas.openxmlformats.org/officeDocument/2006/relationships/hyperlink" Target="https://global.americanexpress.com/dashboard" TargetMode="External"/><Relationship Id="rId33" Type="http://schemas.openxmlformats.org/officeDocument/2006/relationships/hyperlink" Target="mailto:WesWill@BuyYourHomeRaleigh.com" TargetMode="External"/><Relationship Id="rId38" Type="http://schemas.openxmlformats.org/officeDocument/2006/relationships/hyperlink" Target="https://www.chase.com/personal/credit-cards/verify-credit-car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astal24.com/" TargetMode="External"/><Relationship Id="rId13" Type="http://schemas.openxmlformats.org/officeDocument/2006/relationships/hyperlink" Target="mailto:WesWill@BuyYourHomeLLC.com" TargetMode="External"/><Relationship Id="rId18" Type="http://schemas.openxmlformats.org/officeDocument/2006/relationships/hyperlink" Target="mailto:jennifer.blankenship.vabhka@statefarm.com" TargetMode="External"/><Relationship Id="rId3" Type="http://schemas.openxmlformats.org/officeDocument/2006/relationships/hyperlink" Target="https://myaccount.shellpointmtg.com/" TargetMode="External"/><Relationship Id="rId21" Type="http://schemas.openxmlformats.org/officeDocument/2006/relationships/hyperlink" Target="mailto:wes@bycllc.com" TargetMode="External"/><Relationship Id="rId7" Type="http://schemas.openxmlformats.org/officeDocument/2006/relationships/hyperlink" Target="mailto:WesWill@BuyYourHomeLLC.com" TargetMode="External"/><Relationship Id="rId12" Type="http://schemas.openxmlformats.org/officeDocument/2006/relationships/hyperlink" Target="https://loansphereservicingdigital.bkiconnect.com/villagecapital/" TargetMode="External"/><Relationship Id="rId17" Type="http://schemas.openxmlformats.org/officeDocument/2006/relationships/hyperlink" Target="mailto:ahasenbank@nreig.com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mailto:Jenny@BuyYourHomeLLC.com" TargetMode="External"/><Relationship Id="rId16" Type="http://schemas.openxmlformats.org/officeDocument/2006/relationships/hyperlink" Target="https://borrowers.constructionloanservices.com/" TargetMode="External"/><Relationship Id="rId20" Type="http://schemas.openxmlformats.org/officeDocument/2006/relationships/hyperlink" Target="mailto:ahasenbank@nreig.com" TargetMode="External"/><Relationship Id="rId1" Type="http://schemas.openxmlformats.org/officeDocument/2006/relationships/hyperlink" Target="mailto:w3638B0@" TargetMode="External"/><Relationship Id="rId6" Type="http://schemas.openxmlformats.org/officeDocument/2006/relationships/hyperlink" Target="mailto:w3638B0@" TargetMode="External"/><Relationship Id="rId11" Type="http://schemas.openxmlformats.org/officeDocument/2006/relationships/hyperlink" Target="https://myaccount.shellpointmtg.com/" TargetMode="External"/><Relationship Id="rId24" Type="http://schemas.openxmlformats.org/officeDocument/2006/relationships/hyperlink" Target="https://rocket.com/mortgage/servicing/onboarding?loanNumber=623844180" TargetMode="External"/><Relationship Id="rId5" Type="http://schemas.openxmlformats.org/officeDocument/2006/relationships/hyperlink" Target="https://www.rushmoreservicing.com/" TargetMode="External"/><Relationship Id="rId15" Type="http://schemas.openxmlformats.org/officeDocument/2006/relationships/hyperlink" Target="mailto:w3638B0@" TargetMode="External"/><Relationship Id="rId23" Type="http://schemas.openxmlformats.org/officeDocument/2006/relationships/hyperlink" Target="https://rocket.com/mortgage/servicing" TargetMode="External"/><Relationship Id="rId10" Type="http://schemas.openxmlformats.org/officeDocument/2006/relationships/hyperlink" Target="https://loansphereservicingdigital.bkiconnect.com/planetservicing/" TargetMode="External"/><Relationship Id="rId19" Type="http://schemas.openxmlformats.org/officeDocument/2006/relationships/hyperlink" Target="mailto:ahasenbank@nreig.com" TargetMode="External"/><Relationship Id="rId4" Type="http://schemas.openxmlformats.org/officeDocument/2006/relationships/hyperlink" Target="mailto:Wes@BYHLLC.com" TargetMode="External"/><Relationship Id="rId9" Type="http://schemas.openxmlformats.org/officeDocument/2006/relationships/hyperlink" Target="mailto:w3638B0@" TargetMode="External"/><Relationship Id="rId14" Type="http://schemas.openxmlformats.org/officeDocument/2006/relationships/hyperlink" Target="mailto:WesWill@BuyYourHomeLLC.com" TargetMode="External"/><Relationship Id="rId22" Type="http://schemas.openxmlformats.org/officeDocument/2006/relationships/hyperlink" Target="https://signin.shellpointmtg.com/signi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85"/>
  <sheetViews>
    <sheetView workbookViewId="0">
      <pane ySplit="2" topLeftCell="A21" activePane="bottomLeft" state="frozen"/>
      <selection pane="bottomLeft" activeCell="T26" sqref="T26"/>
    </sheetView>
  </sheetViews>
  <sheetFormatPr defaultRowHeight="15" x14ac:dyDescent="0.25"/>
  <cols>
    <col min="1" max="1" width="23.5703125" style="13" customWidth="1"/>
    <col min="2" max="3" width="6.28515625" style="3" customWidth="1"/>
    <col min="4" max="4" width="24" style="3" bestFit="1" customWidth="1"/>
    <col min="5" max="5" width="8" style="3" customWidth="1"/>
    <col min="6" max="6" width="12" style="3" bestFit="1" customWidth="1"/>
    <col min="7" max="7" width="9.28515625" style="3" customWidth="1"/>
    <col min="8" max="8" width="40.28515625" style="4" customWidth="1"/>
    <col min="9" max="9" width="19.5703125" style="4" customWidth="1"/>
    <col min="10" max="10" width="21.5703125" style="4" customWidth="1"/>
    <col min="11" max="11" width="9.5703125" style="98" customWidth="1"/>
    <col min="12" max="13" width="7.5703125" style="74" customWidth="1"/>
    <col min="14" max="14" width="12.85546875" style="2" customWidth="1"/>
    <col min="15" max="16" width="10.140625" style="17" customWidth="1"/>
    <col min="17" max="17" width="11.140625" style="16" customWidth="1"/>
    <col min="18" max="18" width="10" style="7" customWidth="1"/>
    <col min="19" max="19" width="4.140625" customWidth="1"/>
    <col min="20" max="20" width="8.5703125" style="74" customWidth="1"/>
    <col min="21" max="22" width="9.140625" customWidth="1"/>
    <col min="23" max="23" width="7.85546875" customWidth="1"/>
    <col min="24" max="24" width="9.140625" customWidth="1"/>
    <col min="25" max="26" width="9" customWidth="1"/>
    <col min="27" max="27" width="28.5703125" bestFit="1" customWidth="1"/>
    <col min="28" max="28" width="20.5703125" customWidth="1"/>
    <col min="29" max="29" width="106.5703125" bestFit="1" customWidth="1"/>
    <col min="30" max="30" width="7.5703125" bestFit="1" customWidth="1"/>
  </cols>
  <sheetData>
    <row r="1" spans="1:29" ht="14.25" customHeight="1" x14ac:dyDescent="0.25">
      <c r="A1" s="61" t="s">
        <v>0</v>
      </c>
      <c r="B1" s="62" t="s">
        <v>1</v>
      </c>
      <c r="C1" s="62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4" t="s">
        <v>7</v>
      </c>
      <c r="I1" s="64" t="s">
        <v>8</v>
      </c>
      <c r="J1" s="62" t="s">
        <v>9</v>
      </c>
      <c r="K1" s="97" t="s">
        <v>10</v>
      </c>
      <c r="L1" s="165" t="s">
        <v>11</v>
      </c>
      <c r="M1" s="165" t="s">
        <v>12</v>
      </c>
      <c r="N1" s="64" t="s">
        <v>13</v>
      </c>
      <c r="O1" s="65" t="s">
        <v>14</v>
      </c>
      <c r="P1" s="65" t="s">
        <v>15</v>
      </c>
      <c r="Q1" s="66" t="s">
        <v>16</v>
      </c>
      <c r="R1" s="67" t="s">
        <v>17</v>
      </c>
      <c r="S1" s="68" t="s">
        <v>18</v>
      </c>
      <c r="T1" s="73" t="s">
        <v>19</v>
      </c>
      <c r="U1" s="68" t="s">
        <v>20</v>
      </c>
      <c r="V1" s="69">
        <v>0.35</v>
      </c>
      <c r="W1" s="69">
        <v>0.5</v>
      </c>
      <c r="X1" s="70" t="s">
        <v>21</v>
      </c>
      <c r="Y1" s="70" t="s">
        <v>22</v>
      </c>
      <c r="Z1" s="70" t="s">
        <v>23</v>
      </c>
      <c r="AA1" s="68" t="s">
        <v>24</v>
      </c>
      <c r="AB1" s="68" t="s">
        <v>25</v>
      </c>
      <c r="AC1" s="68" t="s">
        <v>26</v>
      </c>
    </row>
    <row r="2" spans="1:29" x14ac:dyDescent="0.25">
      <c r="A2" s="34" t="s">
        <v>138</v>
      </c>
      <c r="B2" s="3">
        <v>3</v>
      </c>
      <c r="C2" s="3" t="s">
        <v>28</v>
      </c>
      <c r="D2" s="3" t="s">
        <v>37</v>
      </c>
      <c r="E2" s="3" t="s">
        <v>30</v>
      </c>
      <c r="F2" s="5" t="s">
        <v>31</v>
      </c>
      <c r="G2" s="5">
        <v>3901</v>
      </c>
      <c r="H2" s="4" t="s">
        <v>139</v>
      </c>
      <c r="J2" s="4" t="s">
        <v>140</v>
      </c>
      <c r="K2" s="16">
        <v>11324</v>
      </c>
      <c r="L2" s="74">
        <v>30</v>
      </c>
      <c r="N2" s="2">
        <v>11769</v>
      </c>
      <c r="O2" s="17">
        <v>25000</v>
      </c>
      <c r="P2" s="17">
        <f t="shared" ref="P2:P33" si="0">+O2-N2</f>
        <v>13231</v>
      </c>
      <c r="R2" s="7">
        <v>0.19900000000000001</v>
      </c>
      <c r="T2" s="74">
        <v>355</v>
      </c>
      <c r="V2">
        <f t="shared" ref="V2:V33" si="1">+O2*0.35</f>
        <v>8750</v>
      </c>
      <c r="W2">
        <f t="shared" ref="W2:W33" si="2">+O2*0.5</f>
        <v>12500</v>
      </c>
      <c r="X2" s="8">
        <f t="shared" ref="X2:X30" si="3">+(N2-V2)*IF(C2="P",1,0)</f>
        <v>0</v>
      </c>
      <c r="Y2" s="8">
        <f t="shared" ref="Y2:Y30" si="4">+(N2-W2)*IF(C2="C",1,0)</f>
        <v>-731</v>
      </c>
      <c r="Z2" s="8">
        <f t="shared" ref="Z2:Z30" si="5">+X2+Y2</f>
        <v>-731</v>
      </c>
      <c r="AA2" t="s">
        <v>141</v>
      </c>
      <c r="AB2" s="18" t="s">
        <v>127</v>
      </c>
      <c r="AC2" s="18" t="s">
        <v>142</v>
      </c>
    </row>
    <row r="3" spans="1:29" x14ac:dyDescent="0.25">
      <c r="A3" s="34" t="s">
        <v>177</v>
      </c>
      <c r="B3" s="3">
        <v>7</v>
      </c>
      <c r="C3" s="3" t="s">
        <v>159</v>
      </c>
      <c r="D3" s="3" t="s">
        <v>178</v>
      </c>
      <c r="E3" s="3" t="s">
        <v>30</v>
      </c>
      <c r="F3" s="5" t="s">
        <v>31</v>
      </c>
      <c r="G3" s="5">
        <v>7867</v>
      </c>
      <c r="N3" s="2">
        <v>10354.129999999999</v>
      </c>
      <c r="O3" s="17">
        <v>39000</v>
      </c>
      <c r="P3" s="17">
        <f t="shared" si="0"/>
        <v>28645.870000000003</v>
      </c>
      <c r="R3" s="7">
        <v>0.19500000000000001</v>
      </c>
      <c r="T3" s="74">
        <f>1725.67*4.33333333333333</f>
        <v>7477.9033333333282</v>
      </c>
      <c r="U3" s="43">
        <f t="shared" ref="U3:U11" si="6">IF(Q3="",+N3*R3/12,0)</f>
        <v>168.25461249999998</v>
      </c>
      <c r="V3">
        <f t="shared" si="1"/>
        <v>13650</v>
      </c>
      <c r="W3">
        <f t="shared" si="2"/>
        <v>19500</v>
      </c>
      <c r="X3" s="8">
        <f t="shared" si="3"/>
        <v>0</v>
      </c>
      <c r="Y3" s="8">
        <f t="shared" si="4"/>
        <v>0</v>
      </c>
      <c r="Z3" s="8">
        <f t="shared" si="5"/>
        <v>0</v>
      </c>
      <c r="AA3" t="s">
        <v>135</v>
      </c>
      <c r="AB3" t="s">
        <v>136</v>
      </c>
      <c r="AC3" s="18" t="s">
        <v>137</v>
      </c>
    </row>
    <row r="4" spans="1:29" x14ac:dyDescent="0.25">
      <c r="A4" s="34" t="s">
        <v>488</v>
      </c>
      <c r="B4" s="3">
        <v>7</v>
      </c>
      <c r="C4" s="3" t="s">
        <v>28</v>
      </c>
      <c r="D4" s="3" t="s">
        <v>52</v>
      </c>
      <c r="E4" s="3" t="s">
        <v>30</v>
      </c>
      <c r="F4" s="5" t="s">
        <v>31</v>
      </c>
      <c r="G4" s="5" t="str">
        <f t="shared" ref="G4:G35" si="7">RIGHT(H4,4)</f>
        <v>0030</v>
      </c>
      <c r="H4" s="4" t="s">
        <v>132</v>
      </c>
      <c r="I4" s="4" t="s">
        <v>133</v>
      </c>
      <c r="J4" s="4" t="s">
        <v>134</v>
      </c>
      <c r="K4" s="98">
        <v>46813</v>
      </c>
      <c r="N4" s="2">
        <f>2730+5842</f>
        <v>8572</v>
      </c>
      <c r="O4" s="17">
        <v>12500</v>
      </c>
      <c r="P4" s="17">
        <f t="shared" si="0"/>
        <v>3928</v>
      </c>
      <c r="Q4" s="16">
        <v>46096</v>
      </c>
      <c r="R4" s="7">
        <v>0</v>
      </c>
      <c r="T4" s="74">
        <v>178</v>
      </c>
      <c r="U4" s="43">
        <f t="shared" si="6"/>
        <v>0</v>
      </c>
      <c r="V4">
        <f t="shared" si="1"/>
        <v>4375</v>
      </c>
      <c r="W4">
        <f t="shared" si="2"/>
        <v>6250</v>
      </c>
      <c r="X4" s="8">
        <f t="shared" si="3"/>
        <v>0</v>
      </c>
      <c r="Y4" s="8">
        <f t="shared" si="4"/>
        <v>2322</v>
      </c>
      <c r="Z4" s="8">
        <f t="shared" si="5"/>
        <v>2322</v>
      </c>
      <c r="AA4" t="s">
        <v>135</v>
      </c>
      <c r="AB4" t="s">
        <v>136</v>
      </c>
      <c r="AC4" s="18" t="s">
        <v>137</v>
      </c>
    </row>
    <row r="5" spans="1:29" x14ac:dyDescent="0.25">
      <c r="A5" s="34" t="s">
        <v>90</v>
      </c>
      <c r="B5" s="3">
        <v>7</v>
      </c>
      <c r="C5" s="3" t="s">
        <v>28</v>
      </c>
      <c r="D5" s="3" t="s">
        <v>52</v>
      </c>
      <c r="E5" s="3" t="s">
        <v>91</v>
      </c>
      <c r="F5" s="5" t="s">
        <v>31</v>
      </c>
      <c r="G5" s="5" t="str">
        <f t="shared" si="7"/>
        <v>0030</v>
      </c>
      <c r="H5" s="4" t="s">
        <v>92</v>
      </c>
      <c r="I5" s="4" t="s">
        <v>85</v>
      </c>
      <c r="J5" s="4" t="s">
        <v>93</v>
      </c>
      <c r="K5" s="98">
        <v>11355</v>
      </c>
      <c r="L5" s="74">
        <v>15</v>
      </c>
      <c r="N5" s="2">
        <v>23286</v>
      </c>
      <c r="O5" s="17">
        <v>23000</v>
      </c>
      <c r="P5" s="17">
        <f t="shared" si="0"/>
        <v>-286</v>
      </c>
      <c r="R5" s="7">
        <v>0</v>
      </c>
      <c r="T5" s="74">
        <v>233</v>
      </c>
      <c r="U5" s="43">
        <f t="shared" si="6"/>
        <v>0</v>
      </c>
      <c r="V5">
        <f t="shared" si="1"/>
        <v>8049.9999999999991</v>
      </c>
      <c r="W5">
        <f t="shared" si="2"/>
        <v>11500</v>
      </c>
      <c r="X5" s="8">
        <f t="shared" si="3"/>
        <v>0</v>
      </c>
      <c r="Y5" s="8">
        <f t="shared" si="4"/>
        <v>11786</v>
      </c>
      <c r="Z5" s="8">
        <f t="shared" si="5"/>
        <v>11786</v>
      </c>
      <c r="AA5" t="s">
        <v>94</v>
      </c>
      <c r="AB5" t="s">
        <v>95</v>
      </c>
      <c r="AC5" s="18" t="s">
        <v>89</v>
      </c>
    </row>
    <row r="6" spans="1:29" x14ac:dyDescent="0.25">
      <c r="A6" s="34" t="s">
        <v>27</v>
      </c>
      <c r="B6" s="3">
        <v>7</v>
      </c>
      <c r="C6" s="3" t="s">
        <v>28</v>
      </c>
      <c r="D6" s="3" t="s">
        <v>52</v>
      </c>
      <c r="E6" s="3" t="s">
        <v>30</v>
      </c>
      <c r="F6" s="5" t="s">
        <v>31</v>
      </c>
      <c r="G6" s="5" t="str">
        <f t="shared" si="7"/>
        <v>1000</v>
      </c>
      <c r="H6" s="4" t="s">
        <v>53</v>
      </c>
      <c r="J6" s="4" t="s">
        <v>54</v>
      </c>
      <c r="K6" s="98">
        <v>10990</v>
      </c>
      <c r="L6" s="74">
        <v>4</v>
      </c>
      <c r="N6" s="2">
        <v>8218</v>
      </c>
      <c r="O6" s="17">
        <v>16300</v>
      </c>
      <c r="P6" s="17">
        <f t="shared" si="0"/>
        <v>8082</v>
      </c>
      <c r="Q6" s="16">
        <v>46109</v>
      </c>
      <c r="R6" s="7">
        <v>0</v>
      </c>
      <c r="T6" s="74">
        <v>292</v>
      </c>
      <c r="U6" s="43">
        <f t="shared" si="6"/>
        <v>0</v>
      </c>
      <c r="V6">
        <f t="shared" si="1"/>
        <v>5705</v>
      </c>
      <c r="W6">
        <f t="shared" si="2"/>
        <v>8150</v>
      </c>
      <c r="X6" s="8">
        <f t="shared" si="3"/>
        <v>0</v>
      </c>
      <c r="Y6" s="8">
        <f t="shared" si="4"/>
        <v>68</v>
      </c>
      <c r="Z6" s="8">
        <f t="shared" si="5"/>
        <v>68</v>
      </c>
      <c r="AA6" t="s">
        <v>44</v>
      </c>
      <c r="AB6" t="s">
        <v>45</v>
      </c>
      <c r="AC6" s="18" t="s">
        <v>46</v>
      </c>
    </row>
    <row r="7" spans="1:29" x14ac:dyDescent="0.25">
      <c r="A7" s="33" t="s">
        <v>27</v>
      </c>
      <c r="B7" s="5">
        <v>2</v>
      </c>
      <c r="C7" s="5" t="s">
        <v>40</v>
      </c>
      <c r="D7" s="5" t="s">
        <v>41</v>
      </c>
      <c r="E7" s="5" t="s">
        <v>30</v>
      </c>
      <c r="F7" s="5" t="s">
        <v>31</v>
      </c>
      <c r="G7" s="5" t="str">
        <f t="shared" si="7"/>
        <v>1000</v>
      </c>
      <c r="H7" s="5" t="s">
        <v>42</v>
      </c>
      <c r="I7" s="5"/>
      <c r="J7" s="4" t="s">
        <v>43</v>
      </c>
      <c r="K7" s="98">
        <v>11202</v>
      </c>
      <c r="L7" s="74">
        <v>14</v>
      </c>
      <c r="N7" s="2">
        <v>909</v>
      </c>
      <c r="O7" s="17">
        <v>1000</v>
      </c>
      <c r="P7" s="17">
        <f t="shared" si="0"/>
        <v>91</v>
      </c>
      <c r="R7" s="7">
        <v>0.1399</v>
      </c>
      <c r="T7" s="76">
        <v>43</v>
      </c>
      <c r="U7" s="43">
        <f t="shared" si="6"/>
        <v>10.597424999999999</v>
      </c>
      <c r="V7">
        <f t="shared" si="1"/>
        <v>350</v>
      </c>
      <c r="W7">
        <f t="shared" si="2"/>
        <v>500</v>
      </c>
      <c r="X7" s="8">
        <f t="shared" si="3"/>
        <v>559</v>
      </c>
      <c r="Y7" s="8">
        <f t="shared" si="4"/>
        <v>0</v>
      </c>
      <c r="Z7" s="8">
        <f t="shared" si="5"/>
        <v>559</v>
      </c>
      <c r="AA7" t="s">
        <v>44</v>
      </c>
      <c r="AB7" t="s">
        <v>45</v>
      </c>
      <c r="AC7" s="18" t="s">
        <v>46</v>
      </c>
    </row>
    <row r="8" spans="1:29" x14ac:dyDescent="0.25">
      <c r="A8" s="33" t="s">
        <v>47</v>
      </c>
      <c r="B8" s="5">
        <v>3</v>
      </c>
      <c r="C8" s="5" t="s">
        <v>40</v>
      </c>
      <c r="D8" s="5" t="s">
        <v>48</v>
      </c>
      <c r="E8" s="5" t="s">
        <v>30</v>
      </c>
      <c r="F8" s="5" t="s">
        <v>31</v>
      </c>
      <c r="G8" s="5" t="str">
        <f t="shared" si="7"/>
        <v>1002</v>
      </c>
      <c r="H8" s="4" t="s">
        <v>49</v>
      </c>
      <c r="J8" s="4" t="s">
        <v>50</v>
      </c>
      <c r="K8" s="98">
        <v>46631</v>
      </c>
      <c r="L8" s="74">
        <v>14</v>
      </c>
      <c r="N8" s="2">
        <v>5824</v>
      </c>
      <c r="O8" s="17">
        <v>17200</v>
      </c>
      <c r="P8" s="17">
        <f t="shared" si="0"/>
        <v>11376</v>
      </c>
      <c r="R8" s="7">
        <v>0.22489999999999999</v>
      </c>
      <c r="T8" s="74">
        <v>175</v>
      </c>
      <c r="U8" s="43">
        <f t="shared" si="6"/>
        <v>109.15146666666665</v>
      </c>
      <c r="V8">
        <f t="shared" si="1"/>
        <v>6020</v>
      </c>
      <c r="W8">
        <f t="shared" si="2"/>
        <v>8600</v>
      </c>
      <c r="X8" s="8">
        <f t="shared" si="3"/>
        <v>-196</v>
      </c>
      <c r="Y8" s="8">
        <f t="shared" si="4"/>
        <v>0</v>
      </c>
      <c r="Z8" s="8">
        <f t="shared" si="5"/>
        <v>-196</v>
      </c>
      <c r="AA8" t="s">
        <v>34</v>
      </c>
      <c r="AB8" t="s">
        <v>35</v>
      </c>
      <c r="AC8" s="71" t="s">
        <v>36</v>
      </c>
    </row>
    <row r="9" spans="1:29" x14ac:dyDescent="0.25">
      <c r="A9" s="33" t="s">
        <v>57</v>
      </c>
      <c r="B9" s="5">
        <v>4</v>
      </c>
      <c r="C9" s="5" t="s">
        <v>40</v>
      </c>
      <c r="D9" s="5" t="s">
        <v>41</v>
      </c>
      <c r="E9" s="5" t="s">
        <v>30</v>
      </c>
      <c r="F9" s="5" t="s">
        <v>31</v>
      </c>
      <c r="G9" s="5" t="str">
        <f t="shared" si="7"/>
        <v>1003</v>
      </c>
      <c r="H9" s="77" t="s">
        <v>58</v>
      </c>
      <c r="I9" s="77"/>
      <c r="J9" s="4" t="s">
        <v>59</v>
      </c>
      <c r="K9" s="99">
        <v>44922</v>
      </c>
      <c r="N9" s="2">
        <v>0</v>
      </c>
      <c r="O9" s="17">
        <v>2000</v>
      </c>
      <c r="P9" s="17">
        <f t="shared" si="0"/>
        <v>2000</v>
      </c>
      <c r="R9" s="7">
        <v>0.16239999999999999</v>
      </c>
      <c r="U9" s="43">
        <f t="shared" si="6"/>
        <v>0</v>
      </c>
      <c r="V9">
        <f t="shared" si="1"/>
        <v>700</v>
      </c>
      <c r="W9">
        <f t="shared" si="2"/>
        <v>1000</v>
      </c>
      <c r="X9" s="8">
        <f t="shared" si="3"/>
        <v>-700</v>
      </c>
      <c r="Y9" s="8">
        <f t="shared" si="4"/>
        <v>0</v>
      </c>
      <c r="Z9" s="8">
        <f t="shared" si="5"/>
        <v>-700</v>
      </c>
      <c r="AA9" t="s">
        <v>44</v>
      </c>
      <c r="AB9" t="s">
        <v>60</v>
      </c>
      <c r="AC9" s="71" t="s">
        <v>46</v>
      </c>
    </row>
    <row r="10" spans="1:29" x14ac:dyDescent="0.25">
      <c r="A10" s="33" t="s">
        <v>27</v>
      </c>
      <c r="B10" s="5">
        <v>3</v>
      </c>
      <c r="C10" s="5" t="s">
        <v>28</v>
      </c>
      <c r="D10" s="5" t="s">
        <v>37</v>
      </c>
      <c r="E10" s="5" t="s">
        <v>30</v>
      </c>
      <c r="F10" s="5" t="s">
        <v>31</v>
      </c>
      <c r="G10" s="5" t="str">
        <f t="shared" si="7"/>
        <v>1007</v>
      </c>
      <c r="H10" s="4" t="s">
        <v>38</v>
      </c>
      <c r="J10" s="4" t="s">
        <v>39</v>
      </c>
      <c r="K10" s="98">
        <v>46204</v>
      </c>
      <c r="L10" s="74">
        <v>12</v>
      </c>
      <c r="N10" s="2">
        <v>2357</v>
      </c>
      <c r="O10" s="17">
        <v>4000</v>
      </c>
      <c r="P10" s="17">
        <f t="shared" si="0"/>
        <v>1643</v>
      </c>
      <c r="R10" s="7">
        <v>0</v>
      </c>
      <c r="T10" s="74">
        <v>381</v>
      </c>
      <c r="U10" s="43">
        <f t="shared" si="6"/>
        <v>0</v>
      </c>
      <c r="V10">
        <f t="shared" si="1"/>
        <v>1400</v>
      </c>
      <c r="W10">
        <f t="shared" si="2"/>
        <v>2000</v>
      </c>
      <c r="X10" s="8">
        <f t="shared" si="3"/>
        <v>0</v>
      </c>
      <c r="Y10" s="8">
        <f t="shared" si="4"/>
        <v>357</v>
      </c>
      <c r="Z10" s="8">
        <f t="shared" si="5"/>
        <v>357</v>
      </c>
      <c r="AA10" t="s">
        <v>34</v>
      </c>
      <c r="AB10" t="s">
        <v>35</v>
      </c>
      <c r="AC10" t="s">
        <v>36</v>
      </c>
    </row>
    <row r="11" spans="1:29" x14ac:dyDescent="0.25">
      <c r="A11" s="33" t="s">
        <v>27</v>
      </c>
      <c r="B11" s="5">
        <v>1</v>
      </c>
      <c r="C11" s="5" t="s">
        <v>28</v>
      </c>
      <c r="D11" s="5" t="s">
        <v>29</v>
      </c>
      <c r="E11" s="5" t="s">
        <v>30</v>
      </c>
      <c r="F11" s="5" t="s">
        <v>31</v>
      </c>
      <c r="G11" s="5" t="str">
        <f t="shared" si="7"/>
        <v>1009</v>
      </c>
      <c r="H11" s="77" t="s">
        <v>32</v>
      </c>
      <c r="I11" s="77"/>
      <c r="J11" s="4" t="s">
        <v>33</v>
      </c>
      <c r="K11" s="98">
        <v>47300</v>
      </c>
      <c r="L11" s="74">
        <v>27</v>
      </c>
      <c r="N11" s="2">
        <v>3364</v>
      </c>
      <c r="O11" s="17">
        <v>7000</v>
      </c>
      <c r="P11" s="17">
        <f t="shared" si="0"/>
        <v>3636</v>
      </c>
      <c r="R11" s="7">
        <v>0.16239999999999999</v>
      </c>
      <c r="S11">
        <v>727</v>
      </c>
      <c r="T11" s="74">
        <v>111</v>
      </c>
      <c r="U11" s="43">
        <f t="shared" si="6"/>
        <v>45.526133333333327</v>
      </c>
      <c r="V11">
        <f t="shared" si="1"/>
        <v>2450</v>
      </c>
      <c r="W11">
        <f t="shared" si="2"/>
        <v>3500</v>
      </c>
      <c r="X11" s="8">
        <f t="shared" si="3"/>
        <v>0</v>
      </c>
      <c r="Y11" s="8">
        <f t="shared" si="4"/>
        <v>-136</v>
      </c>
      <c r="Z11" s="8">
        <f t="shared" si="5"/>
        <v>-136</v>
      </c>
      <c r="AA11" t="s">
        <v>34</v>
      </c>
      <c r="AB11" t="s">
        <v>35</v>
      </c>
      <c r="AC11" s="71" t="s">
        <v>36</v>
      </c>
    </row>
    <row r="12" spans="1:29" x14ac:dyDescent="0.25">
      <c r="A12" s="34" t="s">
        <v>51</v>
      </c>
      <c r="B12" s="3">
        <v>7</v>
      </c>
      <c r="C12" s="3" t="s">
        <v>28</v>
      </c>
      <c r="D12" s="3" t="s">
        <v>52</v>
      </c>
      <c r="E12" s="3" t="s">
        <v>30</v>
      </c>
      <c r="F12" s="5" t="s">
        <v>31</v>
      </c>
      <c r="G12" s="5" t="str">
        <f t="shared" si="7"/>
        <v>1009</v>
      </c>
      <c r="H12" s="4" t="s">
        <v>55</v>
      </c>
      <c r="J12" s="4" t="s">
        <v>56</v>
      </c>
      <c r="K12" s="99">
        <v>11324</v>
      </c>
      <c r="L12" s="74">
        <v>4</v>
      </c>
      <c r="O12" s="17">
        <v>2000</v>
      </c>
      <c r="P12" s="17">
        <f t="shared" si="0"/>
        <v>2000</v>
      </c>
      <c r="Q12" s="16">
        <v>46109</v>
      </c>
      <c r="R12" s="7">
        <v>0</v>
      </c>
      <c r="T12" s="74">
        <v>280</v>
      </c>
      <c r="U12" s="43" t="b">
        <f>T16=IF(Q12="",+N12*R12/12,0)</f>
        <v>0</v>
      </c>
      <c r="V12">
        <f t="shared" si="1"/>
        <v>700</v>
      </c>
      <c r="W12">
        <f t="shared" si="2"/>
        <v>1000</v>
      </c>
      <c r="X12" s="8">
        <f t="shared" si="3"/>
        <v>0</v>
      </c>
      <c r="Y12" s="8">
        <f t="shared" si="4"/>
        <v>-1000</v>
      </c>
      <c r="Z12" s="8">
        <f t="shared" si="5"/>
        <v>-1000</v>
      </c>
      <c r="AA12" t="s">
        <v>44</v>
      </c>
      <c r="AB12" t="s">
        <v>45</v>
      </c>
      <c r="AC12" s="18" t="s">
        <v>46</v>
      </c>
    </row>
    <row r="13" spans="1:29" x14ac:dyDescent="0.25">
      <c r="A13" s="33" t="s">
        <v>485</v>
      </c>
      <c r="B13" s="5">
        <v>1</v>
      </c>
      <c r="C13" s="5" t="s">
        <v>28</v>
      </c>
      <c r="D13" s="5" t="s">
        <v>48</v>
      </c>
      <c r="E13" s="5"/>
      <c r="F13" s="5" t="s">
        <v>31</v>
      </c>
      <c r="G13" s="5" t="str">
        <f t="shared" si="7"/>
        <v>1286</v>
      </c>
      <c r="H13" s="58" t="s">
        <v>491</v>
      </c>
      <c r="I13" s="58"/>
      <c r="J13" s="4" t="s">
        <v>492</v>
      </c>
      <c r="K13" s="98">
        <v>11232</v>
      </c>
      <c r="O13" s="17">
        <v>8000</v>
      </c>
      <c r="P13" s="17">
        <f t="shared" si="0"/>
        <v>8000</v>
      </c>
      <c r="R13" s="7">
        <v>0.15490000000000001</v>
      </c>
      <c r="T13" s="76">
        <v>149</v>
      </c>
      <c r="U13" s="43">
        <f t="shared" ref="U13:U24" si="8">IF(Q13="",+N13*R13/12,0)</f>
        <v>0</v>
      </c>
      <c r="V13">
        <f t="shared" si="1"/>
        <v>2800</v>
      </c>
      <c r="W13">
        <f t="shared" si="2"/>
        <v>4000</v>
      </c>
      <c r="X13" s="8">
        <f t="shared" si="3"/>
        <v>0</v>
      </c>
      <c r="Y13" s="8">
        <f t="shared" si="4"/>
        <v>-4000</v>
      </c>
      <c r="Z13" s="8">
        <f t="shared" si="5"/>
        <v>-4000</v>
      </c>
      <c r="AA13" t="s">
        <v>63</v>
      </c>
      <c r="AC13" s="71" t="s">
        <v>495</v>
      </c>
    </row>
    <row r="14" spans="1:29" x14ac:dyDescent="0.25">
      <c r="A14" s="33" t="s">
        <v>231</v>
      </c>
      <c r="B14" s="5">
        <v>4</v>
      </c>
      <c r="C14" s="5"/>
      <c r="D14" s="5" t="s">
        <v>41</v>
      </c>
      <c r="E14" s="5" t="s">
        <v>30</v>
      </c>
      <c r="F14" s="5" t="s">
        <v>31</v>
      </c>
      <c r="G14" s="5" t="str">
        <f t="shared" si="7"/>
        <v>1357</v>
      </c>
      <c r="H14" s="4" t="s">
        <v>232</v>
      </c>
      <c r="J14" s="4" t="s">
        <v>233</v>
      </c>
      <c r="K14" s="98">
        <v>44220</v>
      </c>
      <c r="N14" s="2">
        <v>0</v>
      </c>
      <c r="P14" s="17">
        <f t="shared" si="0"/>
        <v>0</v>
      </c>
      <c r="R14" s="7">
        <v>0</v>
      </c>
      <c r="U14" s="43">
        <f t="shared" si="8"/>
        <v>0</v>
      </c>
      <c r="V14">
        <f t="shared" si="1"/>
        <v>0</v>
      </c>
      <c r="W14">
        <f t="shared" si="2"/>
        <v>0</v>
      </c>
      <c r="X14" s="8">
        <f t="shared" si="3"/>
        <v>0</v>
      </c>
      <c r="Y14" s="8">
        <f t="shared" si="4"/>
        <v>0</v>
      </c>
      <c r="Z14" s="8">
        <f t="shared" si="5"/>
        <v>0</v>
      </c>
      <c r="AA14" t="s">
        <v>234</v>
      </c>
      <c r="AB14" s="71" t="s">
        <v>77</v>
      </c>
      <c r="AC14" s="71" t="s">
        <v>235</v>
      </c>
    </row>
    <row r="15" spans="1:29" x14ac:dyDescent="0.25">
      <c r="A15" s="34" t="s">
        <v>158</v>
      </c>
      <c r="B15" s="3">
        <v>7</v>
      </c>
      <c r="C15" s="3" t="s">
        <v>159</v>
      </c>
      <c r="D15" s="3" t="s">
        <v>160</v>
      </c>
      <c r="E15" s="3" t="s">
        <v>91</v>
      </c>
      <c r="F15" s="5" t="s">
        <v>150</v>
      </c>
      <c r="G15" s="5" t="str">
        <f t="shared" si="7"/>
        <v>1439</v>
      </c>
      <c r="H15" s="4" t="s">
        <v>510</v>
      </c>
      <c r="N15" s="2">
        <v>1500</v>
      </c>
      <c r="O15" s="17">
        <v>10000</v>
      </c>
      <c r="P15" s="17">
        <f t="shared" si="0"/>
        <v>8500</v>
      </c>
      <c r="R15" s="7">
        <v>0.11749999999999999</v>
      </c>
      <c r="T15" s="74">
        <v>13</v>
      </c>
      <c r="U15" s="43">
        <f t="shared" si="8"/>
        <v>14.6875</v>
      </c>
      <c r="V15">
        <f t="shared" si="1"/>
        <v>3500</v>
      </c>
      <c r="W15">
        <f t="shared" si="2"/>
        <v>5000</v>
      </c>
      <c r="X15" s="8">
        <f t="shared" si="3"/>
        <v>0</v>
      </c>
      <c r="Y15" s="8">
        <f t="shared" si="4"/>
        <v>0</v>
      </c>
      <c r="Z15" s="8">
        <f t="shared" si="5"/>
        <v>0</v>
      </c>
      <c r="AA15" t="s">
        <v>135</v>
      </c>
      <c r="AB15" t="s">
        <v>136</v>
      </c>
      <c r="AC15" s="18" t="s">
        <v>137</v>
      </c>
    </row>
    <row r="16" spans="1:29" x14ac:dyDescent="0.25">
      <c r="A16" s="14" t="s">
        <v>61</v>
      </c>
      <c r="B16" s="5">
        <v>2</v>
      </c>
      <c r="C16" s="5" t="s">
        <v>40</v>
      </c>
      <c r="D16" s="5" t="s">
        <v>48</v>
      </c>
      <c r="E16" s="5" t="s">
        <v>30</v>
      </c>
      <c r="F16" s="5" t="s">
        <v>31</v>
      </c>
      <c r="G16" s="5" t="str">
        <f t="shared" si="7"/>
        <v>1450</v>
      </c>
      <c r="H16" s="72" t="s">
        <v>64</v>
      </c>
      <c r="I16" s="72"/>
      <c r="J16" s="4" t="s">
        <v>65</v>
      </c>
      <c r="K16" s="98">
        <v>45591</v>
      </c>
      <c r="L16" s="74">
        <v>8</v>
      </c>
      <c r="N16" s="2">
        <v>4667</v>
      </c>
      <c r="O16" s="17">
        <v>13800</v>
      </c>
      <c r="P16" s="17">
        <f t="shared" si="0"/>
        <v>9133</v>
      </c>
      <c r="Q16" s="16">
        <v>45627</v>
      </c>
      <c r="R16" s="7">
        <v>0.22239999999999999</v>
      </c>
      <c r="T16" s="76">
        <v>125</v>
      </c>
      <c r="U16" s="43">
        <f t="shared" si="8"/>
        <v>0</v>
      </c>
      <c r="V16">
        <f t="shared" si="1"/>
        <v>4830</v>
      </c>
      <c r="W16">
        <f t="shared" si="2"/>
        <v>6900</v>
      </c>
      <c r="X16" s="8">
        <f t="shared" si="3"/>
        <v>-163</v>
      </c>
      <c r="Y16" s="8">
        <f t="shared" si="4"/>
        <v>0</v>
      </c>
      <c r="Z16" s="8">
        <f t="shared" si="5"/>
        <v>-163</v>
      </c>
      <c r="AA16" t="s">
        <v>63</v>
      </c>
      <c r="AB16" s="36" t="s">
        <v>66</v>
      </c>
      <c r="AC16" s="71"/>
    </row>
    <row r="17" spans="1:29" x14ac:dyDescent="0.25">
      <c r="A17" s="13" t="s">
        <v>489</v>
      </c>
      <c r="B17" s="3">
        <v>7</v>
      </c>
      <c r="C17" s="3" t="s">
        <v>28</v>
      </c>
      <c r="D17" s="3" t="s">
        <v>52</v>
      </c>
      <c r="E17" s="3" t="s">
        <v>30</v>
      </c>
      <c r="F17" s="5" t="s">
        <v>31</v>
      </c>
      <c r="G17" s="5" t="str">
        <f t="shared" si="7"/>
        <v>1651</v>
      </c>
      <c r="H17" s="4" t="s">
        <v>190</v>
      </c>
      <c r="J17" s="4" t="s">
        <v>191</v>
      </c>
      <c r="K17" s="98">
        <v>45745</v>
      </c>
      <c r="L17" s="74">
        <v>4</v>
      </c>
      <c r="N17" s="2">
        <v>3732</v>
      </c>
      <c r="O17" s="17">
        <v>10000</v>
      </c>
      <c r="P17" s="17">
        <f t="shared" si="0"/>
        <v>6268</v>
      </c>
      <c r="Q17" s="16">
        <v>45901</v>
      </c>
      <c r="R17" s="7">
        <v>0.2049</v>
      </c>
      <c r="T17" s="74">
        <v>218</v>
      </c>
      <c r="U17" s="43">
        <f t="shared" si="8"/>
        <v>0</v>
      </c>
      <c r="V17">
        <f t="shared" si="1"/>
        <v>3500</v>
      </c>
      <c r="W17">
        <f t="shared" si="2"/>
        <v>5000</v>
      </c>
      <c r="X17" s="8">
        <f t="shared" si="3"/>
        <v>0</v>
      </c>
      <c r="Y17" s="8">
        <f t="shared" si="4"/>
        <v>-1268</v>
      </c>
      <c r="Z17" s="8">
        <f t="shared" si="5"/>
        <v>-1268</v>
      </c>
      <c r="AA17" t="s">
        <v>174</v>
      </c>
      <c r="AB17" t="s">
        <v>45</v>
      </c>
      <c r="AC17" s="18" t="s">
        <v>192</v>
      </c>
    </row>
    <row r="18" spans="1:29" x14ac:dyDescent="0.25">
      <c r="A18" s="34" t="s">
        <v>143</v>
      </c>
      <c r="B18" s="3">
        <v>7</v>
      </c>
      <c r="C18" s="3" t="s">
        <v>28</v>
      </c>
      <c r="D18" s="3" t="s">
        <v>52</v>
      </c>
      <c r="E18" s="3" t="s">
        <v>91</v>
      </c>
      <c r="F18" s="5" t="s">
        <v>31</v>
      </c>
      <c r="G18" s="5" t="str">
        <f t="shared" si="7"/>
        <v>1839</v>
      </c>
      <c r="H18" s="4" t="s">
        <v>148</v>
      </c>
      <c r="J18" s="4" t="s">
        <v>497</v>
      </c>
      <c r="K18" s="98">
        <v>47543</v>
      </c>
      <c r="L18" s="74">
        <v>5</v>
      </c>
      <c r="N18" s="2">
        <f>17093+4500</f>
        <v>21593</v>
      </c>
      <c r="O18" s="17">
        <v>25000</v>
      </c>
      <c r="P18" s="17">
        <f t="shared" si="0"/>
        <v>3407</v>
      </c>
      <c r="R18" s="7">
        <v>0</v>
      </c>
      <c r="T18" s="74">
        <v>1076</v>
      </c>
      <c r="U18" s="43">
        <f t="shared" si="8"/>
        <v>0</v>
      </c>
      <c r="V18">
        <f t="shared" si="1"/>
        <v>8750</v>
      </c>
      <c r="W18">
        <f t="shared" si="2"/>
        <v>12500</v>
      </c>
      <c r="X18" s="8">
        <f t="shared" si="3"/>
        <v>0</v>
      </c>
      <c r="Y18" s="8">
        <f t="shared" si="4"/>
        <v>9093</v>
      </c>
      <c r="Z18" s="8">
        <f t="shared" si="5"/>
        <v>9093</v>
      </c>
      <c r="AA18" t="s">
        <v>135</v>
      </c>
      <c r="AB18" t="s">
        <v>136</v>
      </c>
      <c r="AC18" s="18"/>
    </row>
    <row r="19" spans="1:29" x14ac:dyDescent="0.25">
      <c r="A19" s="176" t="s">
        <v>224</v>
      </c>
      <c r="B19" s="45">
        <v>3</v>
      </c>
      <c r="C19" s="45" t="s">
        <v>28</v>
      </c>
      <c r="D19" s="45" t="s">
        <v>37</v>
      </c>
      <c r="E19" s="45" t="s">
        <v>30</v>
      </c>
      <c r="F19" s="5" t="s">
        <v>31</v>
      </c>
      <c r="G19" s="5" t="str">
        <f t="shared" si="7"/>
        <v>2202</v>
      </c>
      <c r="H19" s="45" t="s">
        <v>225</v>
      </c>
      <c r="I19" s="45"/>
      <c r="J19" s="54" t="s">
        <v>226</v>
      </c>
      <c r="K19" s="16">
        <v>44098</v>
      </c>
      <c r="L19" s="166">
        <v>17</v>
      </c>
      <c r="M19" s="166"/>
      <c r="N19" s="46">
        <v>7133</v>
      </c>
      <c r="O19" s="47">
        <v>9500</v>
      </c>
      <c r="P19" s="48">
        <f t="shared" si="0"/>
        <v>2367</v>
      </c>
      <c r="Q19" s="49" t="s">
        <v>120</v>
      </c>
      <c r="R19" s="50">
        <v>0.21490000000000001</v>
      </c>
      <c r="S19" s="51"/>
      <c r="T19" s="75">
        <v>204</v>
      </c>
      <c r="U19" s="52">
        <f t="shared" si="8"/>
        <v>0</v>
      </c>
      <c r="V19" s="53">
        <f t="shared" si="1"/>
        <v>3325</v>
      </c>
      <c r="W19" s="53">
        <f t="shared" si="2"/>
        <v>4750</v>
      </c>
      <c r="X19" s="8">
        <f t="shared" si="3"/>
        <v>0</v>
      </c>
      <c r="Y19" s="8">
        <f t="shared" si="4"/>
        <v>2383</v>
      </c>
      <c r="Z19" s="8">
        <f t="shared" si="5"/>
        <v>2383</v>
      </c>
      <c r="AA19" s="53"/>
      <c r="AB19" s="53"/>
      <c r="AC19" s="18"/>
    </row>
    <row r="20" spans="1:29" x14ac:dyDescent="0.25">
      <c r="A20" s="33" t="s">
        <v>129</v>
      </c>
      <c r="B20" s="5">
        <v>2</v>
      </c>
      <c r="C20" s="5" t="s">
        <v>40</v>
      </c>
      <c r="D20" s="5" t="s">
        <v>48</v>
      </c>
      <c r="E20" s="5" t="s">
        <v>30</v>
      </c>
      <c r="F20" s="5" t="s">
        <v>31</v>
      </c>
      <c r="G20" s="5" t="str">
        <f t="shared" si="7"/>
        <v>3823</v>
      </c>
      <c r="H20" s="4" t="s">
        <v>130</v>
      </c>
      <c r="N20" s="2">
        <v>0</v>
      </c>
      <c r="O20" s="17">
        <v>4000</v>
      </c>
      <c r="P20" s="17">
        <f t="shared" si="0"/>
        <v>4000</v>
      </c>
      <c r="R20" s="7">
        <v>0</v>
      </c>
      <c r="U20" s="43">
        <f t="shared" si="8"/>
        <v>0</v>
      </c>
      <c r="V20">
        <f t="shared" si="1"/>
        <v>1400</v>
      </c>
      <c r="W20">
        <f t="shared" si="2"/>
        <v>2000</v>
      </c>
      <c r="X20" s="8">
        <f t="shared" si="3"/>
        <v>-1400</v>
      </c>
      <c r="Y20" s="8">
        <f t="shared" si="4"/>
        <v>0</v>
      </c>
      <c r="Z20" s="8">
        <f t="shared" si="5"/>
        <v>-1400</v>
      </c>
      <c r="AA20" t="s">
        <v>131</v>
      </c>
      <c r="AB20" s="18" t="s">
        <v>77</v>
      </c>
    </row>
    <row r="21" spans="1:29" x14ac:dyDescent="0.25">
      <c r="A21" s="34" t="s">
        <v>198</v>
      </c>
      <c r="B21" s="3">
        <v>5</v>
      </c>
      <c r="C21" s="3" t="s">
        <v>159</v>
      </c>
      <c r="D21" s="3" t="s">
        <v>196</v>
      </c>
      <c r="E21" s="3" t="s">
        <v>30</v>
      </c>
      <c r="F21" s="5" t="s">
        <v>31</v>
      </c>
      <c r="G21" s="5" t="str">
        <f t="shared" si="7"/>
        <v>3-93</v>
      </c>
      <c r="H21" s="4" t="s">
        <v>199</v>
      </c>
      <c r="N21" s="19">
        <v>23169</v>
      </c>
      <c r="O21" s="17">
        <v>35000</v>
      </c>
      <c r="P21" s="17">
        <f t="shared" si="0"/>
        <v>11831</v>
      </c>
      <c r="R21" s="7">
        <v>0.1075</v>
      </c>
      <c r="T21" s="74">
        <v>444</v>
      </c>
      <c r="U21" s="43">
        <f t="shared" si="8"/>
        <v>207.55562499999999</v>
      </c>
      <c r="V21">
        <f t="shared" si="1"/>
        <v>12250</v>
      </c>
      <c r="W21">
        <f t="shared" si="2"/>
        <v>17500</v>
      </c>
      <c r="X21" s="8">
        <f t="shared" si="3"/>
        <v>0</v>
      </c>
      <c r="Y21" s="8">
        <f t="shared" si="4"/>
        <v>0</v>
      </c>
      <c r="Z21" s="8">
        <f t="shared" si="5"/>
        <v>0</v>
      </c>
    </row>
    <row r="22" spans="1:29" x14ac:dyDescent="0.25">
      <c r="A22" s="33" t="s">
        <v>119</v>
      </c>
      <c r="B22" s="5">
        <v>4</v>
      </c>
      <c r="C22" s="5" t="s">
        <v>40</v>
      </c>
      <c r="D22" s="5" t="s">
        <v>41</v>
      </c>
      <c r="E22" s="5" t="s">
        <v>30</v>
      </c>
      <c r="F22" s="5" t="s">
        <v>31</v>
      </c>
      <c r="G22" s="5" t="str">
        <f t="shared" si="7"/>
        <v>3945</v>
      </c>
      <c r="H22" s="57">
        <v>3945</v>
      </c>
      <c r="I22" s="57"/>
      <c r="N22">
        <v>0</v>
      </c>
      <c r="O22" s="17">
        <v>0</v>
      </c>
      <c r="P22" s="17">
        <f t="shared" si="0"/>
        <v>0</v>
      </c>
      <c r="Q22" s="16" t="s">
        <v>120</v>
      </c>
      <c r="R22" s="7">
        <v>0</v>
      </c>
      <c r="U22" s="43">
        <f t="shared" si="8"/>
        <v>0</v>
      </c>
      <c r="V22">
        <f t="shared" si="1"/>
        <v>0</v>
      </c>
      <c r="W22">
        <f t="shared" si="2"/>
        <v>0</v>
      </c>
      <c r="X22" s="8">
        <f t="shared" si="3"/>
        <v>0</v>
      </c>
      <c r="Y22" s="8">
        <f t="shared" si="4"/>
        <v>0</v>
      </c>
      <c r="Z22" s="8">
        <f t="shared" si="5"/>
        <v>0</v>
      </c>
      <c r="AA22" t="s">
        <v>121</v>
      </c>
      <c r="AB22" t="s">
        <v>95</v>
      </c>
    </row>
    <row r="23" spans="1:29" x14ac:dyDescent="0.25">
      <c r="A23" s="34" t="s">
        <v>195</v>
      </c>
      <c r="B23" s="3">
        <v>5</v>
      </c>
      <c r="D23" s="3" t="s">
        <v>196</v>
      </c>
      <c r="E23" s="3" t="s">
        <v>30</v>
      </c>
      <c r="F23" s="5" t="s">
        <v>31</v>
      </c>
      <c r="G23" s="5" t="str">
        <f t="shared" si="7"/>
        <v>3-96</v>
      </c>
      <c r="H23" s="4" t="s">
        <v>197</v>
      </c>
      <c r="N23" s="19">
        <v>30047</v>
      </c>
      <c r="O23" s="17">
        <v>37000</v>
      </c>
      <c r="P23" s="17">
        <f t="shared" si="0"/>
        <v>6953</v>
      </c>
      <c r="R23" s="7">
        <v>0.06</v>
      </c>
      <c r="T23" s="74">
        <v>720</v>
      </c>
      <c r="U23" s="43">
        <f t="shared" si="8"/>
        <v>150.23499999999999</v>
      </c>
      <c r="V23">
        <f t="shared" si="1"/>
        <v>12950</v>
      </c>
      <c r="W23">
        <f t="shared" si="2"/>
        <v>18500</v>
      </c>
      <c r="X23" s="8">
        <f t="shared" si="3"/>
        <v>0</v>
      </c>
      <c r="Y23" s="8">
        <f t="shared" si="4"/>
        <v>0</v>
      </c>
      <c r="Z23" s="8">
        <f t="shared" si="5"/>
        <v>0</v>
      </c>
    </row>
    <row r="24" spans="1:29" x14ac:dyDescent="0.25">
      <c r="A24" s="33" t="s">
        <v>61</v>
      </c>
      <c r="B24" s="5">
        <v>1</v>
      </c>
      <c r="C24" s="5" t="s">
        <v>28</v>
      </c>
      <c r="D24" s="5" t="s">
        <v>48</v>
      </c>
      <c r="E24" s="5" t="s">
        <v>30</v>
      </c>
      <c r="F24" s="5" t="s">
        <v>31</v>
      </c>
      <c r="G24" s="5" t="str">
        <f t="shared" si="7"/>
        <v>4126</v>
      </c>
      <c r="H24" s="58" t="s">
        <v>493</v>
      </c>
      <c r="I24" s="58"/>
      <c r="J24" s="4" t="s">
        <v>62</v>
      </c>
      <c r="K24" s="98">
        <v>47300</v>
      </c>
      <c r="L24" s="74">
        <v>8</v>
      </c>
      <c r="N24" s="2">
        <v>7229</v>
      </c>
      <c r="O24" s="17">
        <v>15000</v>
      </c>
      <c r="P24" s="17">
        <f t="shared" si="0"/>
        <v>7771</v>
      </c>
      <c r="R24" s="7">
        <v>0.15490000000000001</v>
      </c>
      <c r="T24" s="76">
        <v>177</v>
      </c>
      <c r="U24" s="43">
        <f t="shared" si="8"/>
        <v>93.314341666666678</v>
      </c>
      <c r="V24">
        <f t="shared" si="1"/>
        <v>5250</v>
      </c>
      <c r="W24">
        <f t="shared" si="2"/>
        <v>7500</v>
      </c>
      <c r="X24" s="8">
        <f t="shared" si="3"/>
        <v>0</v>
      </c>
      <c r="Y24" s="8">
        <f t="shared" si="4"/>
        <v>-271</v>
      </c>
      <c r="Z24" s="8">
        <f t="shared" si="5"/>
        <v>-271</v>
      </c>
      <c r="AA24" t="s">
        <v>63</v>
      </c>
      <c r="AC24" s="71"/>
    </row>
    <row r="25" spans="1:29" x14ac:dyDescent="0.25">
      <c r="A25" s="34" t="s">
        <v>73</v>
      </c>
      <c r="B25" s="3">
        <v>4</v>
      </c>
      <c r="C25" s="3" t="s">
        <v>40</v>
      </c>
      <c r="D25" s="3" t="s">
        <v>41</v>
      </c>
      <c r="E25" s="3" t="s">
        <v>30</v>
      </c>
      <c r="F25" s="5" t="s">
        <v>31</v>
      </c>
      <c r="G25" s="5" t="str">
        <f t="shared" si="7"/>
        <v>4127</v>
      </c>
      <c r="H25" s="4" t="s">
        <v>74</v>
      </c>
      <c r="J25" s="4" t="s">
        <v>75</v>
      </c>
      <c r="K25" s="98">
        <v>46327</v>
      </c>
      <c r="L25" s="74">
        <v>5</v>
      </c>
      <c r="N25" s="2">
        <v>1449</v>
      </c>
      <c r="O25" s="17">
        <v>5500</v>
      </c>
      <c r="P25" s="17">
        <f t="shared" si="0"/>
        <v>4051</v>
      </c>
      <c r="Q25" s="16">
        <v>45992</v>
      </c>
      <c r="R25" s="7">
        <v>0</v>
      </c>
      <c r="T25" s="74">
        <v>30</v>
      </c>
      <c r="V25">
        <f t="shared" si="1"/>
        <v>1924.9999999999998</v>
      </c>
      <c r="W25">
        <f t="shared" si="2"/>
        <v>2750</v>
      </c>
      <c r="X25" s="8">
        <f t="shared" si="3"/>
        <v>-475.99999999999977</v>
      </c>
      <c r="Y25" s="8">
        <f t="shared" si="4"/>
        <v>0</v>
      </c>
      <c r="Z25" s="8">
        <f t="shared" si="5"/>
        <v>-475.99999999999977</v>
      </c>
      <c r="AA25" s="18" t="s">
        <v>76</v>
      </c>
      <c r="AB25" s="18" t="s">
        <v>77</v>
      </c>
      <c r="AC25" s="71" t="s">
        <v>78</v>
      </c>
    </row>
    <row r="26" spans="1:29" x14ac:dyDescent="0.25">
      <c r="A26" s="33" t="s">
        <v>219</v>
      </c>
      <c r="B26" s="5">
        <v>2</v>
      </c>
      <c r="C26" s="5" t="s">
        <v>40</v>
      </c>
      <c r="D26" s="5" t="s">
        <v>48</v>
      </c>
      <c r="E26" s="5" t="s">
        <v>30</v>
      </c>
      <c r="F26" s="5" t="s">
        <v>31</v>
      </c>
      <c r="G26" s="5" t="str">
        <f t="shared" si="7"/>
        <v>4528</v>
      </c>
      <c r="H26" s="4" t="s">
        <v>220</v>
      </c>
      <c r="J26" s="4" t="s">
        <v>221</v>
      </c>
      <c r="K26" s="98">
        <v>46753</v>
      </c>
      <c r="L26" s="74">
        <v>5</v>
      </c>
      <c r="N26" s="2">
        <v>4040</v>
      </c>
      <c r="O26" s="17">
        <v>15000</v>
      </c>
      <c r="P26" s="17">
        <f t="shared" si="0"/>
        <v>10960</v>
      </c>
      <c r="R26" s="7">
        <v>8.5999999999999993E-2</v>
      </c>
      <c r="T26" s="74">
        <v>82</v>
      </c>
      <c r="U26" s="43">
        <f>IF(Q26="",+N26*R26/12,0)</f>
        <v>28.953333333333333</v>
      </c>
      <c r="V26">
        <f t="shared" si="1"/>
        <v>5250</v>
      </c>
      <c r="W26">
        <f t="shared" si="2"/>
        <v>7500</v>
      </c>
      <c r="X26" s="8">
        <f t="shared" si="3"/>
        <v>-1210</v>
      </c>
      <c r="Y26" s="8">
        <f t="shared" si="4"/>
        <v>0</v>
      </c>
      <c r="Z26" s="8">
        <f t="shared" si="5"/>
        <v>-1210</v>
      </c>
      <c r="AA26" t="s">
        <v>222</v>
      </c>
      <c r="AB26" t="s">
        <v>223</v>
      </c>
    </row>
    <row r="27" spans="1:29" x14ac:dyDescent="0.25">
      <c r="A27" s="33" t="s">
        <v>143</v>
      </c>
      <c r="B27" s="5">
        <v>4</v>
      </c>
      <c r="C27" s="5" t="s">
        <v>28</v>
      </c>
      <c r="D27" s="5" t="s">
        <v>149</v>
      </c>
      <c r="E27" s="5" t="s">
        <v>30</v>
      </c>
      <c r="F27" s="5" t="s">
        <v>150</v>
      </c>
      <c r="G27" s="5" t="str">
        <f t="shared" si="7"/>
        <v>4696</v>
      </c>
      <c r="H27" s="4" t="s">
        <v>151</v>
      </c>
      <c r="J27" s="4" t="s">
        <v>486</v>
      </c>
      <c r="K27" s="98">
        <v>47270</v>
      </c>
      <c r="L27" s="74">
        <v>5</v>
      </c>
      <c r="N27" s="2">
        <v>4023</v>
      </c>
      <c r="O27" s="17">
        <v>10000</v>
      </c>
      <c r="P27" s="17">
        <f t="shared" si="0"/>
        <v>5977</v>
      </c>
      <c r="R27" s="7">
        <v>7.4999999999999997E-2</v>
      </c>
      <c r="T27" s="76">
        <v>208</v>
      </c>
      <c r="U27" s="43" t="b">
        <f>A45=IF(Q27="",+N27*R27/12,0)</f>
        <v>0</v>
      </c>
      <c r="V27">
        <f t="shared" si="1"/>
        <v>3500</v>
      </c>
      <c r="W27">
        <f t="shared" si="2"/>
        <v>5000</v>
      </c>
      <c r="X27" s="8">
        <f t="shared" si="3"/>
        <v>0</v>
      </c>
      <c r="Y27" s="8">
        <f t="shared" si="4"/>
        <v>-977</v>
      </c>
      <c r="Z27" s="8">
        <f t="shared" si="5"/>
        <v>-977</v>
      </c>
      <c r="AA27" t="s">
        <v>153</v>
      </c>
      <c r="AB27" t="s">
        <v>154</v>
      </c>
      <c r="AC27" s="18" t="s">
        <v>155</v>
      </c>
    </row>
    <row r="28" spans="1:29" x14ac:dyDescent="0.25">
      <c r="A28" s="34" t="s">
        <v>143</v>
      </c>
      <c r="B28" s="3">
        <v>7</v>
      </c>
      <c r="C28" s="3" t="s">
        <v>28</v>
      </c>
      <c r="D28" s="3" t="s">
        <v>144</v>
      </c>
      <c r="E28" s="3" t="s">
        <v>123</v>
      </c>
      <c r="F28" s="3" t="s">
        <v>145</v>
      </c>
      <c r="G28" s="5" t="str">
        <f t="shared" si="7"/>
        <v>4882</v>
      </c>
      <c r="H28" s="4" t="s">
        <v>146</v>
      </c>
      <c r="J28" s="4" t="s">
        <v>509</v>
      </c>
      <c r="K28" s="98">
        <v>47362</v>
      </c>
      <c r="L28" s="74">
        <v>5</v>
      </c>
      <c r="N28" s="2">
        <v>15736</v>
      </c>
      <c r="O28" s="17">
        <v>25000</v>
      </c>
      <c r="P28" s="17">
        <f t="shared" si="0"/>
        <v>9264</v>
      </c>
      <c r="R28" s="7">
        <v>0</v>
      </c>
      <c r="T28" s="74">
        <v>787</v>
      </c>
      <c r="U28" s="43">
        <f>IF(Q28="",+N28*R28/12,0)</f>
        <v>0</v>
      </c>
      <c r="V28">
        <f t="shared" si="1"/>
        <v>8750</v>
      </c>
      <c r="W28">
        <f t="shared" si="2"/>
        <v>12500</v>
      </c>
      <c r="X28" s="8">
        <f t="shared" si="3"/>
        <v>0</v>
      </c>
      <c r="Y28" s="8">
        <f t="shared" si="4"/>
        <v>3236</v>
      </c>
      <c r="Z28" s="8">
        <f t="shared" si="5"/>
        <v>3236</v>
      </c>
      <c r="AA28" t="s">
        <v>135</v>
      </c>
      <c r="AB28" t="s">
        <v>136</v>
      </c>
      <c r="AC28" s="18"/>
    </row>
    <row r="29" spans="1:29" x14ac:dyDescent="0.25">
      <c r="A29" s="33" t="s">
        <v>96</v>
      </c>
      <c r="B29" s="5">
        <v>1</v>
      </c>
      <c r="C29" s="5" t="s">
        <v>28</v>
      </c>
      <c r="D29" s="5" t="s">
        <v>29</v>
      </c>
      <c r="E29" s="5" t="s">
        <v>30</v>
      </c>
      <c r="F29" s="5" t="s">
        <v>31</v>
      </c>
      <c r="G29" s="5" t="str">
        <f t="shared" si="7"/>
        <v>5323</v>
      </c>
      <c r="H29" s="4" t="s">
        <v>97</v>
      </c>
      <c r="J29" s="4" t="s">
        <v>98</v>
      </c>
      <c r="K29" s="98">
        <v>46722</v>
      </c>
      <c r="L29" s="74">
        <v>17</v>
      </c>
      <c r="N29" s="2">
        <v>7669</v>
      </c>
      <c r="O29" s="17">
        <v>16000</v>
      </c>
      <c r="P29" s="17">
        <f t="shared" si="0"/>
        <v>8331</v>
      </c>
      <c r="R29" s="7">
        <v>0.1699</v>
      </c>
      <c r="T29" s="74">
        <v>203</v>
      </c>
      <c r="U29" s="43">
        <f>IF(Q29="",+N29*R29/12,0)</f>
        <v>108.58025833333333</v>
      </c>
      <c r="V29">
        <f t="shared" si="1"/>
        <v>5600</v>
      </c>
      <c r="W29">
        <f t="shared" si="2"/>
        <v>8000</v>
      </c>
      <c r="X29" s="8">
        <f t="shared" si="3"/>
        <v>0</v>
      </c>
      <c r="Y29" s="8">
        <f t="shared" si="4"/>
        <v>-331</v>
      </c>
      <c r="Z29" s="8">
        <f t="shared" si="5"/>
        <v>-331</v>
      </c>
      <c r="AA29" t="s">
        <v>99</v>
      </c>
      <c r="AB29" s="44" t="s">
        <v>100</v>
      </c>
      <c r="AC29" s="18" t="s">
        <v>101</v>
      </c>
    </row>
    <row r="30" spans="1:29" x14ac:dyDescent="0.25">
      <c r="A30" s="33" t="s">
        <v>215</v>
      </c>
      <c r="B30" s="5">
        <v>6</v>
      </c>
      <c r="C30" s="5" t="s">
        <v>28</v>
      </c>
      <c r="D30" s="5" t="s">
        <v>144</v>
      </c>
      <c r="E30" s="5" t="s">
        <v>123</v>
      </c>
      <c r="F30" s="5" t="s">
        <v>31</v>
      </c>
      <c r="G30" s="5" t="str">
        <f t="shared" si="7"/>
        <v>5943</v>
      </c>
      <c r="H30" s="5" t="s">
        <v>216</v>
      </c>
      <c r="I30" s="5"/>
      <c r="J30" s="4" t="s">
        <v>147</v>
      </c>
      <c r="K30" s="98">
        <v>47604</v>
      </c>
      <c r="L30" s="74">
        <v>22</v>
      </c>
      <c r="N30" s="2">
        <v>9279</v>
      </c>
      <c r="O30" s="17">
        <v>20000</v>
      </c>
      <c r="P30" s="17">
        <f t="shared" si="0"/>
        <v>10721</v>
      </c>
      <c r="R30" s="7">
        <v>0.25990000000000002</v>
      </c>
      <c r="T30" s="74">
        <v>312</v>
      </c>
      <c r="U30" s="43">
        <f>IF(Q30="",+N30*R30/12,0)</f>
        <v>200.96767500000001</v>
      </c>
      <c r="V30">
        <f t="shared" si="1"/>
        <v>7000</v>
      </c>
      <c r="W30">
        <f t="shared" si="2"/>
        <v>10000</v>
      </c>
      <c r="X30" s="8">
        <f t="shared" si="3"/>
        <v>0</v>
      </c>
      <c r="Y30" s="8">
        <f t="shared" si="4"/>
        <v>-721</v>
      </c>
      <c r="Z30" s="8">
        <f t="shared" si="5"/>
        <v>-721</v>
      </c>
    </row>
    <row r="31" spans="1:29" x14ac:dyDescent="0.25">
      <c r="A31" s="176" t="s">
        <v>490</v>
      </c>
      <c r="B31" s="45"/>
      <c r="C31" s="45"/>
      <c r="D31" s="3" t="s">
        <v>52</v>
      </c>
      <c r="E31" s="45" t="s">
        <v>91</v>
      </c>
      <c r="F31" s="5" t="s">
        <v>227</v>
      </c>
      <c r="G31" s="5" t="str">
        <f t="shared" si="7"/>
        <v>5991</v>
      </c>
      <c r="H31" s="45" t="s">
        <v>228</v>
      </c>
      <c r="I31" s="45"/>
      <c r="J31" s="54" t="s">
        <v>229</v>
      </c>
      <c r="K31" s="98">
        <v>11324</v>
      </c>
      <c r="L31" s="166"/>
      <c r="M31" s="166"/>
      <c r="N31" s="46"/>
      <c r="O31" s="47">
        <v>3000</v>
      </c>
      <c r="P31" s="48">
        <f t="shared" si="0"/>
        <v>3000</v>
      </c>
      <c r="Q31" s="49"/>
      <c r="R31" s="50"/>
      <c r="S31" s="51"/>
      <c r="T31" s="75"/>
      <c r="U31" s="52"/>
      <c r="V31" s="53">
        <f t="shared" si="1"/>
        <v>1050</v>
      </c>
      <c r="W31" s="53">
        <f t="shared" si="2"/>
        <v>1500</v>
      </c>
      <c r="X31" s="8"/>
      <c r="Y31" s="8"/>
      <c r="Z31" s="8"/>
      <c r="AA31" s="53" t="s">
        <v>153</v>
      </c>
      <c r="AB31" s="53" t="s">
        <v>95</v>
      </c>
      <c r="AC31" s="18" t="s">
        <v>230</v>
      </c>
    </row>
    <row r="32" spans="1:29" x14ac:dyDescent="0.25">
      <c r="A32" s="33" t="s">
        <v>184</v>
      </c>
      <c r="B32" s="5">
        <v>6</v>
      </c>
      <c r="C32" s="5" t="s">
        <v>28</v>
      </c>
      <c r="D32" s="5" t="s">
        <v>37</v>
      </c>
      <c r="E32" s="5" t="s">
        <v>30</v>
      </c>
      <c r="F32" s="5" t="s">
        <v>31</v>
      </c>
      <c r="G32" s="5" t="str">
        <f t="shared" si="7"/>
        <v>5997</v>
      </c>
      <c r="H32" s="4" t="s">
        <v>188</v>
      </c>
      <c r="J32" s="4" t="s">
        <v>189</v>
      </c>
      <c r="K32" s="98">
        <v>11049</v>
      </c>
      <c r="L32" s="74">
        <v>17</v>
      </c>
      <c r="N32" s="2">
        <v>2878</v>
      </c>
      <c r="O32" s="17">
        <v>3300</v>
      </c>
      <c r="P32" s="17">
        <f t="shared" si="0"/>
        <v>422</v>
      </c>
      <c r="R32" s="7">
        <v>0.1699</v>
      </c>
      <c r="T32" s="74">
        <v>126</v>
      </c>
      <c r="U32" s="43">
        <f>IF(Q32="",+N32*R32/12,0)</f>
        <v>40.747683333333335</v>
      </c>
      <c r="V32">
        <f t="shared" si="1"/>
        <v>1155</v>
      </c>
      <c r="W32">
        <f t="shared" si="2"/>
        <v>1650</v>
      </c>
      <c r="X32" s="8">
        <f t="shared" ref="X32:X55" si="9">+(N32-V32)*IF(C32="P",1,0)</f>
        <v>0</v>
      </c>
      <c r="Y32" s="8">
        <f t="shared" ref="Y32:Y42" si="10">+(N32-W32)*IF(C32="C",1,0)</f>
        <v>1228</v>
      </c>
      <c r="Z32" s="8">
        <f t="shared" ref="Z32:Z55" si="11">+X32+Y32</f>
        <v>1228</v>
      </c>
      <c r="AA32" s="71" t="s">
        <v>186</v>
      </c>
      <c r="AB32" s="71" t="s">
        <v>77</v>
      </c>
      <c r="AC32" t="s">
        <v>187</v>
      </c>
    </row>
    <row r="33" spans="1:29" x14ac:dyDescent="0.25">
      <c r="A33" s="33" t="s">
        <v>215</v>
      </c>
      <c r="B33" s="5">
        <v>3</v>
      </c>
      <c r="C33" s="5" t="s">
        <v>28</v>
      </c>
      <c r="D33" s="5" t="s">
        <v>37</v>
      </c>
      <c r="E33" s="5" t="s">
        <v>30</v>
      </c>
      <c r="F33" s="5" t="s">
        <v>31</v>
      </c>
      <c r="G33" s="5" t="str">
        <f t="shared" si="7"/>
        <v>6008</v>
      </c>
      <c r="H33" s="5" t="s">
        <v>217</v>
      </c>
      <c r="I33" s="5"/>
      <c r="J33" s="4" t="s">
        <v>218</v>
      </c>
      <c r="K33" s="98">
        <v>46844</v>
      </c>
      <c r="L33" s="74">
        <v>16</v>
      </c>
      <c r="N33" s="2">
        <v>10564</v>
      </c>
      <c r="O33" s="17">
        <v>20000</v>
      </c>
      <c r="P33" s="17">
        <f t="shared" si="0"/>
        <v>9436</v>
      </c>
      <c r="R33" s="7">
        <v>0.25990000000000002</v>
      </c>
      <c r="T33" s="74">
        <v>335</v>
      </c>
      <c r="U33" s="43">
        <v>0</v>
      </c>
      <c r="V33">
        <f t="shared" si="1"/>
        <v>7000</v>
      </c>
      <c r="W33">
        <f t="shared" si="2"/>
        <v>10000</v>
      </c>
      <c r="X33" s="8">
        <f t="shared" si="9"/>
        <v>0</v>
      </c>
      <c r="Y33" s="8">
        <f t="shared" si="10"/>
        <v>564</v>
      </c>
      <c r="Z33" s="8">
        <f t="shared" si="11"/>
        <v>564</v>
      </c>
    </row>
    <row r="34" spans="1:29" x14ac:dyDescent="0.25">
      <c r="A34" s="33" t="s">
        <v>184</v>
      </c>
      <c r="B34" s="5">
        <v>6</v>
      </c>
      <c r="C34" s="5" t="s">
        <v>28</v>
      </c>
      <c r="D34" s="5" t="s">
        <v>144</v>
      </c>
      <c r="E34" s="5" t="s">
        <v>123</v>
      </c>
      <c r="F34" s="5" t="s">
        <v>145</v>
      </c>
      <c r="G34" s="5" t="str">
        <f t="shared" si="7"/>
        <v>6140</v>
      </c>
      <c r="H34" s="4">
        <v>6140</v>
      </c>
      <c r="J34" s="4" t="s">
        <v>185</v>
      </c>
      <c r="K34" s="98">
        <v>12175</v>
      </c>
      <c r="N34" s="2">
        <v>8373</v>
      </c>
      <c r="O34" s="17">
        <v>12000</v>
      </c>
      <c r="P34" s="17">
        <f t="shared" ref="P34:P65" si="12">+O34-N34</f>
        <v>3627</v>
      </c>
      <c r="R34" s="7">
        <v>0.1699</v>
      </c>
      <c r="T34" s="74">
        <v>350</v>
      </c>
      <c r="U34" s="43">
        <f t="shared" ref="U34:U47" si="13">IF(Q34="",+N34*R34/12,0)</f>
        <v>118.547725</v>
      </c>
      <c r="V34">
        <f t="shared" ref="V34:V54" si="14">+O34*0.35</f>
        <v>4200</v>
      </c>
      <c r="W34">
        <f t="shared" ref="W34:W54" si="15">+O34*0.5</f>
        <v>6000</v>
      </c>
      <c r="X34" s="8">
        <f t="shared" si="9"/>
        <v>0</v>
      </c>
      <c r="Y34" s="8">
        <f t="shared" si="10"/>
        <v>2373</v>
      </c>
      <c r="Z34" s="8">
        <f t="shared" si="11"/>
        <v>2373</v>
      </c>
      <c r="AA34" s="71" t="s">
        <v>186</v>
      </c>
      <c r="AB34" s="71" t="s">
        <v>77</v>
      </c>
      <c r="AC34" t="s">
        <v>187</v>
      </c>
    </row>
    <row r="35" spans="1:29" x14ac:dyDescent="0.25">
      <c r="A35" s="33" t="s">
        <v>110</v>
      </c>
      <c r="B35" s="5">
        <v>2</v>
      </c>
      <c r="C35" s="5" t="s">
        <v>40</v>
      </c>
      <c r="D35" s="5" t="s">
        <v>48</v>
      </c>
      <c r="E35" s="5" t="s">
        <v>30</v>
      </c>
      <c r="F35" s="5" t="s">
        <v>31</v>
      </c>
      <c r="G35" s="5" t="str">
        <f t="shared" si="7"/>
        <v>6246</v>
      </c>
      <c r="H35" s="4" t="s">
        <v>111</v>
      </c>
      <c r="J35" s="4" t="s">
        <v>112</v>
      </c>
      <c r="K35" s="98">
        <v>43856</v>
      </c>
      <c r="N35" s="2">
        <v>0</v>
      </c>
      <c r="O35" s="17">
        <v>0</v>
      </c>
      <c r="P35" s="17">
        <f t="shared" si="12"/>
        <v>0</v>
      </c>
      <c r="R35" s="7">
        <v>0.2074</v>
      </c>
      <c r="U35" s="43">
        <f t="shared" si="13"/>
        <v>0</v>
      </c>
      <c r="V35">
        <f t="shared" si="14"/>
        <v>0</v>
      </c>
      <c r="W35">
        <f t="shared" si="15"/>
        <v>0</v>
      </c>
      <c r="X35" s="8">
        <f t="shared" si="9"/>
        <v>0</v>
      </c>
      <c r="Y35" s="8">
        <f t="shared" si="10"/>
        <v>0</v>
      </c>
      <c r="Z35" s="8">
        <f t="shared" si="11"/>
        <v>0</v>
      </c>
      <c r="AA35" t="s">
        <v>108</v>
      </c>
      <c r="AB35" s="44" t="s">
        <v>100</v>
      </c>
    </row>
    <row r="36" spans="1:29" x14ac:dyDescent="0.25">
      <c r="A36" s="33" t="s">
        <v>102</v>
      </c>
      <c r="B36" s="5">
        <v>4</v>
      </c>
      <c r="C36" s="5" t="s">
        <v>40</v>
      </c>
      <c r="D36" s="5" t="s">
        <v>41</v>
      </c>
      <c r="E36" s="5" t="s">
        <v>30</v>
      </c>
      <c r="F36" s="5" t="s">
        <v>31</v>
      </c>
      <c r="G36" s="5" t="str">
        <f t="shared" ref="G36:G67" si="16">RIGHT(H36,4)</f>
        <v>6281</v>
      </c>
      <c r="H36" s="4" t="s">
        <v>103</v>
      </c>
      <c r="J36" s="4" t="s">
        <v>104</v>
      </c>
      <c r="K36" s="98">
        <v>46023</v>
      </c>
      <c r="L36" s="74">
        <v>20</v>
      </c>
      <c r="N36" s="6">
        <v>1732</v>
      </c>
      <c r="O36" s="17">
        <v>6200</v>
      </c>
      <c r="P36" s="17">
        <f t="shared" si="12"/>
        <v>4468</v>
      </c>
      <c r="R36" s="7">
        <v>0.25240000000000001</v>
      </c>
      <c r="T36" s="74">
        <v>56</v>
      </c>
      <c r="U36" s="43">
        <f t="shared" si="13"/>
        <v>36.429733333333338</v>
      </c>
      <c r="V36">
        <f t="shared" si="14"/>
        <v>2170</v>
      </c>
      <c r="W36">
        <f t="shared" si="15"/>
        <v>3100</v>
      </c>
      <c r="X36" s="8">
        <f t="shared" si="9"/>
        <v>-438</v>
      </c>
      <c r="Y36" s="8">
        <f t="shared" si="10"/>
        <v>0</v>
      </c>
      <c r="Z36" s="8">
        <f t="shared" si="11"/>
        <v>-438</v>
      </c>
      <c r="AA36" t="s">
        <v>44</v>
      </c>
      <c r="AB36" s="18" t="s">
        <v>77</v>
      </c>
    </row>
    <row r="37" spans="1:29" x14ac:dyDescent="0.25">
      <c r="A37" s="33" t="s">
        <v>113</v>
      </c>
      <c r="B37" s="5">
        <v>2</v>
      </c>
      <c r="C37" s="5" t="s">
        <v>40</v>
      </c>
      <c r="D37" s="5" t="s">
        <v>48</v>
      </c>
      <c r="E37" s="5" t="s">
        <v>30</v>
      </c>
      <c r="F37" s="5" t="s">
        <v>31</v>
      </c>
      <c r="G37" s="5" t="str">
        <f t="shared" si="16"/>
        <v>6289</v>
      </c>
      <c r="H37" s="4" t="s">
        <v>116</v>
      </c>
      <c r="J37" s="4" t="s">
        <v>117</v>
      </c>
      <c r="K37" s="16">
        <v>46539</v>
      </c>
      <c r="N37" s="2">
        <v>2671</v>
      </c>
      <c r="O37" s="17">
        <v>9210</v>
      </c>
      <c r="P37" s="17">
        <f t="shared" si="12"/>
        <v>6539</v>
      </c>
      <c r="Q37" s="16">
        <v>45778</v>
      </c>
      <c r="R37" s="7">
        <v>0</v>
      </c>
      <c r="T37" s="74">
        <v>93</v>
      </c>
      <c r="U37" s="43">
        <f t="shared" si="13"/>
        <v>0</v>
      </c>
      <c r="V37">
        <f t="shared" si="14"/>
        <v>3223.5</v>
      </c>
      <c r="W37">
        <f t="shared" si="15"/>
        <v>4605</v>
      </c>
      <c r="X37" s="8">
        <f t="shared" si="9"/>
        <v>-552.5</v>
      </c>
      <c r="Y37" s="8">
        <f t="shared" si="10"/>
        <v>0</v>
      </c>
      <c r="Z37" s="8">
        <f t="shared" si="11"/>
        <v>-552.5</v>
      </c>
      <c r="AA37" s="18" t="s">
        <v>118</v>
      </c>
      <c r="AB37" s="18" t="s">
        <v>77</v>
      </c>
    </row>
    <row r="38" spans="1:29" x14ac:dyDescent="0.25">
      <c r="A38" s="34" t="s">
        <v>487</v>
      </c>
      <c r="B38" s="3">
        <v>7</v>
      </c>
      <c r="C38" s="3" t="s">
        <v>28</v>
      </c>
      <c r="D38" s="3" t="s">
        <v>52</v>
      </c>
      <c r="E38" s="3" t="s">
        <v>30</v>
      </c>
      <c r="F38" s="5" t="s">
        <v>31</v>
      </c>
      <c r="G38" s="5" t="str">
        <f t="shared" si="16"/>
        <v>6337</v>
      </c>
      <c r="H38" s="4" t="s">
        <v>84</v>
      </c>
      <c r="I38" s="4" t="s">
        <v>85</v>
      </c>
      <c r="J38" s="4" t="s">
        <v>86</v>
      </c>
      <c r="K38" s="98">
        <v>10990</v>
      </c>
      <c r="L38" s="74">
        <v>15</v>
      </c>
      <c r="N38" s="2">
        <v>17697</v>
      </c>
      <c r="O38" s="17">
        <v>31000</v>
      </c>
      <c r="P38" s="17">
        <f t="shared" si="12"/>
        <v>13303</v>
      </c>
      <c r="R38" s="7">
        <v>0</v>
      </c>
      <c r="T38" s="74">
        <v>178</v>
      </c>
      <c r="U38" s="43">
        <f t="shared" si="13"/>
        <v>0</v>
      </c>
      <c r="V38">
        <f t="shared" si="14"/>
        <v>10850</v>
      </c>
      <c r="W38">
        <f t="shared" si="15"/>
        <v>15500</v>
      </c>
      <c r="X38" s="8">
        <f t="shared" si="9"/>
        <v>0</v>
      </c>
      <c r="Y38" s="8">
        <f t="shared" si="10"/>
        <v>2197</v>
      </c>
      <c r="Z38" s="8">
        <f t="shared" si="11"/>
        <v>2197</v>
      </c>
      <c r="AA38" t="s">
        <v>87</v>
      </c>
      <c r="AB38" t="s">
        <v>88</v>
      </c>
      <c r="AC38" s="18" t="s">
        <v>89</v>
      </c>
    </row>
    <row r="39" spans="1:29" x14ac:dyDescent="0.25">
      <c r="A39" s="33" t="s">
        <v>79</v>
      </c>
      <c r="B39" s="5">
        <v>2</v>
      </c>
      <c r="C39" s="5" t="s">
        <v>40</v>
      </c>
      <c r="D39" s="5" t="s">
        <v>48</v>
      </c>
      <c r="E39" s="5" t="s">
        <v>30</v>
      </c>
      <c r="F39" s="5" t="s">
        <v>31</v>
      </c>
      <c r="G39" s="5" t="str">
        <f t="shared" si="16"/>
        <v>6426</v>
      </c>
      <c r="H39" s="4" t="s">
        <v>80</v>
      </c>
      <c r="J39" s="4" t="s">
        <v>81</v>
      </c>
      <c r="K39" s="98">
        <v>11140</v>
      </c>
      <c r="N39" s="2">
        <v>0</v>
      </c>
      <c r="O39" s="17">
        <v>1000</v>
      </c>
      <c r="P39" s="17">
        <f t="shared" si="12"/>
        <v>1000</v>
      </c>
      <c r="Q39" s="16" t="s">
        <v>82</v>
      </c>
      <c r="R39" s="7">
        <v>0</v>
      </c>
      <c r="T39" s="74">
        <v>0</v>
      </c>
      <c r="U39" s="43">
        <f t="shared" si="13"/>
        <v>0</v>
      </c>
      <c r="V39">
        <f t="shared" si="14"/>
        <v>350</v>
      </c>
      <c r="W39">
        <f t="shared" si="15"/>
        <v>500</v>
      </c>
      <c r="X39" s="8">
        <f t="shared" si="9"/>
        <v>-350</v>
      </c>
      <c r="Y39" s="8">
        <f t="shared" si="10"/>
        <v>0</v>
      </c>
      <c r="Z39" s="8">
        <f t="shared" si="11"/>
        <v>-350</v>
      </c>
      <c r="AA39" t="s">
        <v>83</v>
      </c>
      <c r="AB39" s="18" t="s">
        <v>77</v>
      </c>
    </row>
    <row r="40" spans="1:29" x14ac:dyDescent="0.25">
      <c r="A40" s="33" t="s">
        <v>61</v>
      </c>
      <c r="B40" s="5">
        <v>3</v>
      </c>
      <c r="C40" s="5" t="s">
        <v>28</v>
      </c>
      <c r="D40" s="5" t="s">
        <v>37</v>
      </c>
      <c r="E40" s="5" t="s">
        <v>30</v>
      </c>
      <c r="F40" s="5" t="s">
        <v>31</v>
      </c>
      <c r="G40" s="5" t="str">
        <f t="shared" si="16"/>
        <v>6525</v>
      </c>
      <c r="H40" s="58" t="s">
        <v>67</v>
      </c>
      <c r="I40" s="58"/>
      <c r="J40" s="4" t="s">
        <v>68</v>
      </c>
      <c r="K40" s="98">
        <v>11202</v>
      </c>
      <c r="N40" s="2">
        <v>2966</v>
      </c>
      <c r="O40" s="17">
        <v>7900</v>
      </c>
      <c r="P40" s="17">
        <f t="shared" si="12"/>
        <v>4934</v>
      </c>
      <c r="R40" s="7">
        <v>0.1724</v>
      </c>
      <c r="T40" s="74">
        <v>85</v>
      </c>
      <c r="U40" s="43">
        <f t="shared" si="13"/>
        <v>42.611533333333334</v>
      </c>
      <c r="V40">
        <f t="shared" si="14"/>
        <v>2765</v>
      </c>
      <c r="W40">
        <f t="shared" si="15"/>
        <v>3950</v>
      </c>
      <c r="X40" s="8">
        <f t="shared" si="9"/>
        <v>0</v>
      </c>
      <c r="Y40" s="8">
        <f t="shared" si="10"/>
        <v>-984</v>
      </c>
      <c r="Z40" s="8">
        <f t="shared" si="11"/>
        <v>-984</v>
      </c>
      <c r="AA40" t="s">
        <v>69</v>
      </c>
      <c r="AB40" s="36" t="s">
        <v>70</v>
      </c>
      <c r="AC40" s="71"/>
    </row>
    <row r="41" spans="1:29" x14ac:dyDescent="0.25">
      <c r="A41" s="33" t="s">
        <v>61</v>
      </c>
      <c r="B41" s="5">
        <v>4</v>
      </c>
      <c r="C41" s="5" t="s">
        <v>40</v>
      </c>
      <c r="D41" s="5" t="s">
        <v>41</v>
      </c>
      <c r="E41" s="5" t="s">
        <v>30</v>
      </c>
      <c r="F41" s="5" t="s">
        <v>31</v>
      </c>
      <c r="G41" s="5" t="str">
        <f t="shared" si="16"/>
        <v>6677</v>
      </c>
      <c r="H41" s="58" t="s">
        <v>71</v>
      </c>
      <c r="I41" s="58"/>
      <c r="J41" s="4" t="s">
        <v>72</v>
      </c>
      <c r="K41" s="98">
        <v>11263</v>
      </c>
      <c r="L41" s="74">
        <v>6</v>
      </c>
      <c r="N41" s="2">
        <v>1284</v>
      </c>
      <c r="O41" s="17">
        <v>5400</v>
      </c>
      <c r="P41" s="17">
        <f t="shared" si="12"/>
        <v>4116</v>
      </c>
      <c r="R41" s="7">
        <v>0</v>
      </c>
      <c r="T41" s="74">
        <v>35</v>
      </c>
      <c r="U41" s="43">
        <f t="shared" si="13"/>
        <v>0</v>
      </c>
      <c r="V41">
        <f t="shared" si="14"/>
        <v>1889.9999999999998</v>
      </c>
      <c r="W41">
        <f t="shared" si="15"/>
        <v>2700</v>
      </c>
      <c r="X41" s="8">
        <f t="shared" si="9"/>
        <v>-605.99999999999977</v>
      </c>
      <c r="Y41" s="8">
        <f t="shared" si="10"/>
        <v>0</v>
      </c>
      <c r="Z41" s="8">
        <f t="shared" si="11"/>
        <v>-605.99999999999977</v>
      </c>
      <c r="AA41" t="s">
        <v>69</v>
      </c>
      <c r="AB41" s="36" t="s">
        <v>70</v>
      </c>
      <c r="AC41" s="71"/>
    </row>
    <row r="42" spans="1:29" x14ac:dyDescent="0.25">
      <c r="A42" s="14" t="s">
        <v>113</v>
      </c>
      <c r="B42" s="5">
        <v>4</v>
      </c>
      <c r="C42" s="5" t="s">
        <v>40</v>
      </c>
      <c r="D42" s="5" t="s">
        <v>41</v>
      </c>
      <c r="E42" s="5" t="s">
        <v>30</v>
      </c>
      <c r="F42" s="5" t="s">
        <v>31</v>
      </c>
      <c r="G42" s="5" t="str">
        <f t="shared" si="16"/>
        <v>7127</v>
      </c>
      <c r="H42" s="57" t="s">
        <v>114</v>
      </c>
      <c r="I42" s="57"/>
      <c r="J42" s="4" t="s">
        <v>115</v>
      </c>
      <c r="K42" s="98">
        <v>45532</v>
      </c>
      <c r="N42"/>
      <c r="O42" s="17">
        <v>1800</v>
      </c>
      <c r="P42" s="17">
        <f t="shared" si="12"/>
        <v>1800</v>
      </c>
      <c r="Q42" s="16">
        <v>45868</v>
      </c>
      <c r="R42" s="7">
        <v>0.255</v>
      </c>
      <c r="T42" s="74">
        <v>0</v>
      </c>
      <c r="U42" s="43">
        <f t="shared" si="13"/>
        <v>0</v>
      </c>
      <c r="V42">
        <f t="shared" si="14"/>
        <v>630</v>
      </c>
      <c r="W42">
        <f t="shared" si="15"/>
        <v>900</v>
      </c>
      <c r="X42" s="8">
        <f t="shared" si="9"/>
        <v>-630</v>
      </c>
      <c r="Y42" s="8">
        <f t="shared" si="10"/>
        <v>0</v>
      </c>
      <c r="Z42" s="8">
        <f t="shared" si="11"/>
        <v>-630</v>
      </c>
      <c r="AA42" t="s">
        <v>44</v>
      </c>
      <c r="AB42" t="s">
        <v>77</v>
      </c>
    </row>
    <row r="43" spans="1:29" x14ac:dyDescent="0.25">
      <c r="A43" s="13" t="s">
        <v>161</v>
      </c>
      <c r="B43" s="3">
        <v>7</v>
      </c>
      <c r="C43" s="3" t="s">
        <v>159</v>
      </c>
      <c r="D43" s="3" t="s">
        <v>162</v>
      </c>
      <c r="E43" s="3" t="s">
        <v>91</v>
      </c>
      <c r="F43" s="5" t="s">
        <v>31</v>
      </c>
      <c r="G43" s="5" t="str">
        <f t="shared" si="16"/>
        <v>7286</v>
      </c>
      <c r="H43" s="4" t="s">
        <v>163</v>
      </c>
      <c r="N43" s="2">
        <v>50512</v>
      </c>
      <c r="O43" s="17">
        <v>50000</v>
      </c>
      <c r="P43" s="17">
        <f t="shared" si="12"/>
        <v>-512</v>
      </c>
      <c r="R43" s="7">
        <v>0.125</v>
      </c>
      <c r="T43" s="74">
        <v>515</v>
      </c>
      <c r="U43" s="43">
        <f t="shared" si="13"/>
        <v>526.16666666666663</v>
      </c>
      <c r="V43">
        <f t="shared" si="14"/>
        <v>17500</v>
      </c>
      <c r="W43">
        <f t="shared" si="15"/>
        <v>25000</v>
      </c>
      <c r="X43" s="8">
        <f t="shared" si="9"/>
        <v>0</v>
      </c>
      <c r="Y43" s="8">
        <f>IF(N43-W43&lt;0,0,(N43-W43)*IF(C43="C",1,0))</f>
        <v>0</v>
      </c>
      <c r="Z43" s="8">
        <f t="shared" si="11"/>
        <v>0</v>
      </c>
      <c r="AA43" t="s">
        <v>135</v>
      </c>
      <c r="AB43" t="s">
        <v>136</v>
      </c>
      <c r="AC43" s="18" t="s">
        <v>137</v>
      </c>
    </row>
    <row r="44" spans="1:29" x14ac:dyDescent="0.25">
      <c r="A44" s="14" t="s">
        <v>122</v>
      </c>
      <c r="B44" s="5">
        <v>2</v>
      </c>
      <c r="C44" s="5" t="s">
        <v>40</v>
      </c>
      <c r="D44" s="5" t="s">
        <v>48</v>
      </c>
      <c r="E44" s="5" t="s">
        <v>123</v>
      </c>
      <c r="F44" s="5" t="s">
        <v>31</v>
      </c>
      <c r="G44" s="5" t="str">
        <f t="shared" si="16"/>
        <v>7320</v>
      </c>
      <c r="H44" s="4" t="s">
        <v>124</v>
      </c>
      <c r="J44" s="4" t="s">
        <v>125</v>
      </c>
      <c r="K44" s="98">
        <v>47300</v>
      </c>
      <c r="N44" s="2">
        <v>2707</v>
      </c>
      <c r="O44" s="17">
        <v>10000</v>
      </c>
      <c r="P44" s="17">
        <f t="shared" si="12"/>
        <v>7293</v>
      </c>
      <c r="R44" s="7">
        <v>0.18</v>
      </c>
      <c r="T44" s="76">
        <v>72</v>
      </c>
      <c r="U44" s="43">
        <f t="shared" si="13"/>
        <v>40.604999999999997</v>
      </c>
      <c r="V44">
        <f t="shared" si="14"/>
        <v>3500</v>
      </c>
      <c r="W44">
        <f t="shared" si="15"/>
        <v>5000</v>
      </c>
      <c r="X44" s="8">
        <f t="shared" si="9"/>
        <v>-793</v>
      </c>
      <c r="Y44" s="8">
        <f t="shared" ref="Y44:Y55" si="17">+(N44-W44)*IF(C44="C",1,0)</f>
        <v>0</v>
      </c>
      <c r="Z44" s="8">
        <f t="shared" si="11"/>
        <v>-793</v>
      </c>
      <c r="AA44" t="s">
        <v>126</v>
      </c>
      <c r="AB44" s="18" t="s">
        <v>127</v>
      </c>
      <c r="AC44" t="s">
        <v>128</v>
      </c>
    </row>
    <row r="45" spans="1:29" x14ac:dyDescent="0.25">
      <c r="A45" s="14" t="s">
        <v>210</v>
      </c>
      <c r="B45" s="5">
        <v>4</v>
      </c>
      <c r="C45" s="5" t="s">
        <v>40</v>
      </c>
      <c r="D45" s="5" t="s">
        <v>41</v>
      </c>
      <c r="E45" s="5" t="s">
        <v>30</v>
      </c>
      <c r="F45" s="5" t="s">
        <v>31</v>
      </c>
      <c r="G45" s="5" t="str">
        <f t="shared" si="16"/>
        <v>7366</v>
      </c>
      <c r="H45" s="5" t="s">
        <v>211</v>
      </c>
      <c r="I45" s="5"/>
      <c r="J45" s="4" t="s">
        <v>212</v>
      </c>
      <c r="K45" s="97">
        <v>11202</v>
      </c>
      <c r="L45" s="74">
        <v>27</v>
      </c>
      <c r="N45" s="2">
        <f>6860+1358</f>
        <v>8218</v>
      </c>
      <c r="O45" s="17">
        <v>22000</v>
      </c>
      <c r="P45" s="17">
        <f t="shared" si="12"/>
        <v>13782</v>
      </c>
      <c r="R45" s="7">
        <v>0.28239999999999998</v>
      </c>
      <c r="T45" s="76">
        <v>232</v>
      </c>
      <c r="U45" s="43">
        <f t="shared" si="13"/>
        <v>193.39693333333332</v>
      </c>
      <c r="V45">
        <f t="shared" si="14"/>
        <v>7699.9999999999991</v>
      </c>
      <c r="W45">
        <f t="shared" si="15"/>
        <v>11000</v>
      </c>
      <c r="X45" s="8">
        <f t="shared" si="9"/>
        <v>518.00000000000091</v>
      </c>
      <c r="Y45" s="8">
        <f t="shared" si="17"/>
        <v>0</v>
      </c>
      <c r="Z45" s="8">
        <f t="shared" si="11"/>
        <v>518.00000000000091</v>
      </c>
      <c r="AA45" t="s">
        <v>83</v>
      </c>
      <c r="AB45" t="s">
        <v>213</v>
      </c>
      <c r="AC45" t="s">
        <v>214</v>
      </c>
    </row>
    <row r="46" spans="1:29" x14ac:dyDescent="0.25">
      <c r="A46" s="14" t="s">
        <v>156</v>
      </c>
      <c r="B46" s="5">
        <v>4</v>
      </c>
      <c r="C46" s="5" t="s">
        <v>40</v>
      </c>
      <c r="D46" s="5" t="s">
        <v>41</v>
      </c>
      <c r="E46" s="5" t="s">
        <v>30</v>
      </c>
      <c r="F46" s="5" t="s">
        <v>31</v>
      </c>
      <c r="G46" s="5" t="str">
        <f t="shared" si="16"/>
        <v>7867</v>
      </c>
      <c r="H46" s="4" t="s">
        <v>157</v>
      </c>
      <c r="I46" s="4" t="s">
        <v>133</v>
      </c>
      <c r="J46" s="4" t="s">
        <v>152</v>
      </c>
      <c r="K46" s="98">
        <v>47300</v>
      </c>
      <c r="L46" s="74">
        <v>19</v>
      </c>
      <c r="N46" s="2">
        <v>9156</v>
      </c>
      <c r="O46" s="17">
        <v>15000</v>
      </c>
      <c r="P46" s="17">
        <f t="shared" si="12"/>
        <v>5844</v>
      </c>
      <c r="R46" s="7">
        <v>7.4999999999999997E-2</v>
      </c>
      <c r="T46" s="76">
        <v>101</v>
      </c>
      <c r="U46" s="43">
        <f t="shared" si="13"/>
        <v>57.224999999999994</v>
      </c>
      <c r="V46">
        <f t="shared" si="14"/>
        <v>5250</v>
      </c>
      <c r="W46">
        <f t="shared" si="15"/>
        <v>7500</v>
      </c>
      <c r="X46" s="8">
        <f t="shared" si="9"/>
        <v>3906</v>
      </c>
      <c r="Y46" s="8">
        <f t="shared" si="17"/>
        <v>0</v>
      </c>
      <c r="Z46" s="8">
        <f t="shared" si="11"/>
        <v>3906</v>
      </c>
      <c r="AA46" t="s">
        <v>153</v>
      </c>
      <c r="AB46" t="s">
        <v>154</v>
      </c>
      <c r="AC46" s="18" t="s">
        <v>155</v>
      </c>
    </row>
    <row r="47" spans="1:29" x14ac:dyDescent="0.25">
      <c r="A47" s="14" t="s">
        <v>179</v>
      </c>
      <c r="B47" s="5">
        <v>3</v>
      </c>
      <c r="C47" s="5" t="s">
        <v>28</v>
      </c>
      <c r="D47" s="5" t="s">
        <v>37</v>
      </c>
      <c r="E47" s="5"/>
      <c r="F47" s="5"/>
      <c r="G47" s="5" t="str">
        <f t="shared" si="16"/>
        <v>8439</v>
      </c>
      <c r="H47" s="4" t="s">
        <v>180</v>
      </c>
      <c r="O47" s="17">
        <v>0</v>
      </c>
      <c r="P47" s="17">
        <f t="shared" si="12"/>
        <v>0</v>
      </c>
      <c r="U47" s="43">
        <f t="shared" si="13"/>
        <v>0</v>
      </c>
      <c r="V47">
        <f t="shared" si="14"/>
        <v>0</v>
      </c>
      <c r="W47">
        <f t="shared" si="15"/>
        <v>0</v>
      </c>
      <c r="X47" s="8">
        <f t="shared" si="9"/>
        <v>0</v>
      </c>
      <c r="Y47" s="8">
        <f t="shared" si="17"/>
        <v>0</v>
      </c>
      <c r="Z47" s="8">
        <f t="shared" si="11"/>
        <v>0</v>
      </c>
      <c r="AA47" t="s">
        <v>181</v>
      </c>
      <c r="AB47" t="s">
        <v>182</v>
      </c>
      <c r="AC47" s="71" t="s">
        <v>183</v>
      </c>
    </row>
    <row r="48" spans="1:29" x14ac:dyDescent="0.25">
      <c r="A48" s="14" t="s">
        <v>200</v>
      </c>
      <c r="B48" s="5">
        <v>4</v>
      </c>
      <c r="C48" s="5" t="s">
        <v>40</v>
      </c>
      <c r="D48" s="5" t="s">
        <v>41</v>
      </c>
      <c r="E48" s="5" t="s">
        <v>30</v>
      </c>
      <c r="F48" s="5" t="s">
        <v>31</v>
      </c>
      <c r="G48" s="5" t="str">
        <f t="shared" si="16"/>
        <v>8966</v>
      </c>
      <c r="H48" s="5" t="s">
        <v>201</v>
      </c>
      <c r="L48" s="74">
        <v>21</v>
      </c>
      <c r="N48" s="2">
        <v>1017</v>
      </c>
      <c r="O48" s="17">
        <v>4200</v>
      </c>
      <c r="P48" s="17">
        <f t="shared" si="12"/>
        <v>3183</v>
      </c>
      <c r="Q48" s="16">
        <v>46296</v>
      </c>
      <c r="R48" s="7">
        <v>0.2024</v>
      </c>
      <c r="T48" s="74">
        <v>40</v>
      </c>
      <c r="U48" s="43"/>
      <c r="V48">
        <f t="shared" si="14"/>
        <v>1470</v>
      </c>
      <c r="W48">
        <f t="shared" si="15"/>
        <v>2100</v>
      </c>
      <c r="X48" s="8">
        <f t="shared" si="9"/>
        <v>-453</v>
      </c>
      <c r="Y48" s="8">
        <f t="shared" si="17"/>
        <v>0</v>
      </c>
      <c r="Z48" s="8">
        <f t="shared" si="11"/>
        <v>-453</v>
      </c>
      <c r="AA48" t="s">
        <v>83</v>
      </c>
      <c r="AB48" s="71" t="s">
        <v>95</v>
      </c>
      <c r="AC48" s="71" t="s">
        <v>202</v>
      </c>
    </row>
    <row r="49" spans="1:29" x14ac:dyDescent="0.25">
      <c r="A49" s="14" t="s">
        <v>164</v>
      </c>
      <c r="B49" s="5">
        <v>4</v>
      </c>
      <c r="C49" s="5" t="s">
        <v>40</v>
      </c>
      <c r="D49" s="5" t="s">
        <v>41</v>
      </c>
      <c r="E49" s="5" t="s">
        <v>30</v>
      </c>
      <c r="F49" s="5" t="s">
        <v>31</v>
      </c>
      <c r="G49" s="5" t="str">
        <f t="shared" si="16"/>
        <v>9027</v>
      </c>
      <c r="H49" s="4" t="s">
        <v>500</v>
      </c>
      <c r="J49" s="4" t="s">
        <v>501</v>
      </c>
      <c r="K49" s="98">
        <v>46813</v>
      </c>
      <c r="L49" s="74">
        <v>12</v>
      </c>
      <c r="N49" s="2">
        <v>283</v>
      </c>
      <c r="O49" s="17">
        <v>1450</v>
      </c>
      <c r="P49" s="17">
        <f t="shared" si="12"/>
        <v>1167</v>
      </c>
      <c r="R49" s="7">
        <v>0.21990000000000001</v>
      </c>
      <c r="T49" s="74">
        <v>41</v>
      </c>
      <c r="U49" s="43">
        <f>IF(Q49="",+N49*R49/12,0)</f>
        <v>5.185975</v>
      </c>
      <c r="V49">
        <f t="shared" si="14"/>
        <v>507.49999999999994</v>
      </c>
      <c r="W49">
        <f t="shared" si="15"/>
        <v>725</v>
      </c>
      <c r="X49" s="8">
        <f t="shared" si="9"/>
        <v>-224.49999999999994</v>
      </c>
      <c r="Y49" s="8">
        <f t="shared" si="17"/>
        <v>0</v>
      </c>
      <c r="Z49" s="8">
        <f t="shared" si="11"/>
        <v>-224.49999999999994</v>
      </c>
      <c r="AA49" t="s">
        <v>165</v>
      </c>
      <c r="AB49" s="18" t="s">
        <v>77</v>
      </c>
      <c r="AC49" s="18" t="s">
        <v>166</v>
      </c>
    </row>
    <row r="50" spans="1:29" x14ac:dyDescent="0.25">
      <c r="A50" s="14" t="s">
        <v>167</v>
      </c>
      <c r="B50" s="5">
        <v>1</v>
      </c>
      <c r="C50" s="5" t="s">
        <v>28</v>
      </c>
      <c r="D50" s="5" t="s">
        <v>29</v>
      </c>
      <c r="E50" s="5" t="s">
        <v>30</v>
      </c>
      <c r="F50" s="5" t="s">
        <v>31</v>
      </c>
      <c r="G50" s="5" t="str">
        <f t="shared" si="16"/>
        <v>9124</v>
      </c>
      <c r="H50" s="4" t="s">
        <v>168</v>
      </c>
      <c r="J50" s="4" t="s">
        <v>169</v>
      </c>
      <c r="K50" s="98">
        <v>47239</v>
      </c>
      <c r="L50" s="74">
        <v>24</v>
      </c>
      <c r="N50" s="2">
        <v>7939</v>
      </c>
      <c r="O50" s="17">
        <v>17000</v>
      </c>
      <c r="P50" s="17">
        <f t="shared" si="12"/>
        <v>9061</v>
      </c>
      <c r="Q50" s="56" t="s">
        <v>120</v>
      </c>
      <c r="R50" s="7">
        <v>0.2324</v>
      </c>
      <c r="T50" s="74">
        <v>229</v>
      </c>
      <c r="U50" s="43">
        <f>IF(Q50="",+N50*R50/12,0)</f>
        <v>0</v>
      </c>
      <c r="V50">
        <f t="shared" si="14"/>
        <v>5950</v>
      </c>
      <c r="W50">
        <f t="shared" si="15"/>
        <v>8500</v>
      </c>
      <c r="X50" s="8">
        <f t="shared" si="9"/>
        <v>0</v>
      </c>
      <c r="Y50" s="8">
        <f t="shared" si="17"/>
        <v>-561</v>
      </c>
      <c r="Z50" s="8">
        <f t="shared" si="11"/>
        <v>-561</v>
      </c>
      <c r="AA50" t="s">
        <v>170</v>
      </c>
      <c r="AB50" s="18" t="s">
        <v>77</v>
      </c>
      <c r="AC50" s="71" t="s">
        <v>171</v>
      </c>
    </row>
    <row r="51" spans="1:29" x14ac:dyDescent="0.25">
      <c r="A51" s="14" t="s">
        <v>231</v>
      </c>
      <c r="B51" s="5">
        <v>4</v>
      </c>
      <c r="C51" s="5"/>
      <c r="D51" s="5" t="s">
        <v>236</v>
      </c>
      <c r="E51" s="5" t="s">
        <v>237</v>
      </c>
      <c r="F51" s="5"/>
      <c r="G51" s="5" t="str">
        <f t="shared" si="16"/>
        <v>9269</v>
      </c>
      <c r="H51" s="4" t="s">
        <v>238</v>
      </c>
      <c r="K51" s="16"/>
      <c r="N51" s="2">
        <v>0</v>
      </c>
      <c r="O51" s="17">
        <v>0</v>
      </c>
      <c r="P51" s="17">
        <v>0</v>
      </c>
      <c r="R51" s="7">
        <v>0</v>
      </c>
      <c r="U51" s="43">
        <f>IF(Q51="",+N51*R51/12,0)</f>
        <v>0</v>
      </c>
      <c r="V51">
        <f t="shared" si="14"/>
        <v>0</v>
      </c>
      <c r="W51">
        <f t="shared" si="15"/>
        <v>0</v>
      </c>
      <c r="X51" s="8">
        <f t="shared" si="9"/>
        <v>0</v>
      </c>
      <c r="Y51" s="8">
        <f t="shared" si="17"/>
        <v>0</v>
      </c>
      <c r="Z51" s="8">
        <f t="shared" si="11"/>
        <v>0</v>
      </c>
      <c r="AA51" t="s">
        <v>234</v>
      </c>
      <c r="AB51" s="71" t="s">
        <v>77</v>
      </c>
      <c r="AC51" s="71" t="s">
        <v>239</v>
      </c>
    </row>
    <row r="52" spans="1:29" x14ac:dyDescent="0.25">
      <c r="A52" s="14" t="s">
        <v>203</v>
      </c>
      <c r="B52" s="5">
        <v>4</v>
      </c>
      <c r="C52" s="5" t="s">
        <v>204</v>
      </c>
      <c r="D52" s="5" t="s">
        <v>205</v>
      </c>
      <c r="E52" s="5" t="s">
        <v>30</v>
      </c>
      <c r="F52" s="5" t="s">
        <v>31</v>
      </c>
      <c r="G52" s="5" t="str">
        <f t="shared" si="16"/>
        <v>9390</v>
      </c>
      <c r="H52" s="5" t="s">
        <v>206</v>
      </c>
      <c r="J52" s="4" t="s">
        <v>207</v>
      </c>
      <c r="K52" s="98">
        <v>46874</v>
      </c>
      <c r="N52" s="2">
        <v>0</v>
      </c>
      <c r="O52" s="17">
        <v>2000</v>
      </c>
      <c r="P52" s="17">
        <f>+O52-N52</f>
        <v>2000</v>
      </c>
      <c r="U52" s="43"/>
      <c r="V52">
        <f t="shared" si="14"/>
        <v>700</v>
      </c>
      <c r="W52">
        <f t="shared" si="15"/>
        <v>1000</v>
      </c>
      <c r="X52" s="8">
        <f t="shared" si="9"/>
        <v>-700</v>
      </c>
      <c r="Y52" s="8">
        <f t="shared" si="17"/>
        <v>0</v>
      </c>
      <c r="Z52" s="8">
        <f t="shared" si="11"/>
        <v>-700</v>
      </c>
      <c r="AA52" t="s">
        <v>83</v>
      </c>
      <c r="AB52" s="71" t="s">
        <v>208</v>
      </c>
      <c r="AC52" s="71" t="s">
        <v>209</v>
      </c>
    </row>
    <row r="53" spans="1:29" x14ac:dyDescent="0.25">
      <c r="A53" s="13" t="s">
        <v>167</v>
      </c>
      <c r="B53" s="3">
        <v>7</v>
      </c>
      <c r="C53" s="3" t="s">
        <v>28</v>
      </c>
      <c r="D53" s="3" t="s">
        <v>52</v>
      </c>
      <c r="E53" s="3" t="s">
        <v>30</v>
      </c>
      <c r="F53" s="5" t="s">
        <v>31</v>
      </c>
      <c r="G53" s="5" t="str">
        <f t="shared" si="16"/>
        <v>9569</v>
      </c>
      <c r="H53" s="4" t="s">
        <v>172</v>
      </c>
      <c r="J53" s="4" t="s">
        <v>173</v>
      </c>
      <c r="K53" s="16">
        <v>11079</v>
      </c>
      <c r="L53" s="74">
        <v>14</v>
      </c>
      <c r="N53" s="2">
        <v>5375</v>
      </c>
      <c r="O53" s="17">
        <v>12300</v>
      </c>
      <c r="P53" s="17">
        <f>+O53-N53</f>
        <v>6925</v>
      </c>
      <c r="Q53" s="16">
        <v>45901</v>
      </c>
      <c r="R53" s="7">
        <v>0</v>
      </c>
      <c r="T53" s="74">
        <v>183</v>
      </c>
      <c r="U53" s="43">
        <f>IF(Q53="",+N53*R53/12,0)</f>
        <v>0</v>
      </c>
      <c r="V53">
        <f t="shared" si="14"/>
        <v>4305</v>
      </c>
      <c r="W53">
        <f t="shared" si="15"/>
        <v>6150</v>
      </c>
      <c r="X53" s="8">
        <f t="shared" si="9"/>
        <v>0</v>
      </c>
      <c r="Y53" s="8">
        <f t="shared" si="17"/>
        <v>-775</v>
      </c>
      <c r="Z53" s="8">
        <f t="shared" si="11"/>
        <v>-775</v>
      </c>
      <c r="AA53" t="s">
        <v>174</v>
      </c>
      <c r="AB53" t="s">
        <v>175</v>
      </c>
      <c r="AC53" s="71" t="s">
        <v>176</v>
      </c>
    </row>
    <row r="54" spans="1:29" x14ac:dyDescent="0.25">
      <c r="A54" s="14" t="s">
        <v>105</v>
      </c>
      <c r="B54" s="5">
        <v>2</v>
      </c>
      <c r="C54" s="5" t="s">
        <v>40</v>
      </c>
      <c r="D54" s="5" t="s">
        <v>48</v>
      </c>
      <c r="E54" s="5" t="s">
        <v>30</v>
      </c>
      <c r="F54" s="5" t="s">
        <v>31</v>
      </c>
      <c r="G54" s="5" t="str">
        <f t="shared" si="16"/>
        <v>9883</v>
      </c>
      <c r="H54" s="4" t="s">
        <v>106</v>
      </c>
      <c r="J54" s="4" t="s">
        <v>107</v>
      </c>
      <c r="K54" s="98">
        <v>46722</v>
      </c>
      <c r="L54" s="74">
        <v>5</v>
      </c>
      <c r="N54" s="6">
        <v>8346</v>
      </c>
      <c r="O54" s="17">
        <v>16100</v>
      </c>
      <c r="P54" s="17">
        <f>+O54-N54</f>
        <v>7754</v>
      </c>
      <c r="R54" s="7">
        <v>0.19500000000000001</v>
      </c>
      <c r="T54" s="76">
        <v>222</v>
      </c>
      <c r="U54" s="43">
        <f>IF(Q54="",+N54*R54/12,0)</f>
        <v>135.6225</v>
      </c>
      <c r="V54">
        <f t="shared" si="14"/>
        <v>5635</v>
      </c>
      <c r="W54">
        <f t="shared" si="15"/>
        <v>8050</v>
      </c>
      <c r="X54" s="8">
        <f t="shared" si="9"/>
        <v>2711</v>
      </c>
      <c r="Y54" s="8">
        <f t="shared" si="17"/>
        <v>0</v>
      </c>
      <c r="Z54" s="8">
        <f t="shared" si="11"/>
        <v>2711</v>
      </c>
      <c r="AA54" t="s">
        <v>108</v>
      </c>
      <c r="AB54" s="44" t="s">
        <v>100</v>
      </c>
      <c r="AC54" s="71" t="s">
        <v>109</v>
      </c>
    </row>
    <row r="55" spans="1:29" x14ac:dyDescent="0.25">
      <c r="A55" s="13" t="s">
        <v>193</v>
      </c>
      <c r="B55" s="3">
        <v>3</v>
      </c>
      <c r="C55" s="3" t="s">
        <v>159</v>
      </c>
      <c r="D55" s="3" t="s">
        <v>178</v>
      </c>
      <c r="E55" s="3" t="s">
        <v>30</v>
      </c>
      <c r="F55" s="5" t="s">
        <v>31</v>
      </c>
      <c r="N55" s="2">
        <f>25000-3585.46</f>
        <v>21414.54</v>
      </c>
      <c r="O55" s="17">
        <v>25000</v>
      </c>
      <c r="P55" s="17">
        <f>+O55-N55</f>
        <v>3585.4599999999991</v>
      </c>
      <c r="R55" s="7">
        <v>0.32990000000000003</v>
      </c>
      <c r="T55" s="74">
        <v>2476.62</v>
      </c>
      <c r="X55" s="8">
        <f t="shared" si="9"/>
        <v>0</v>
      </c>
      <c r="Y55" s="8">
        <f t="shared" si="17"/>
        <v>0</v>
      </c>
      <c r="Z55" s="8">
        <f t="shared" si="11"/>
        <v>0</v>
      </c>
      <c r="AC55" t="s">
        <v>194</v>
      </c>
    </row>
    <row r="56" spans="1:29" x14ac:dyDescent="0.25">
      <c r="A56" s="100"/>
      <c r="B56" s="45"/>
      <c r="C56" s="45"/>
      <c r="D56" s="45"/>
      <c r="E56" s="45"/>
      <c r="F56" s="5"/>
      <c r="G56" s="5"/>
      <c r="H56" s="45"/>
      <c r="I56" s="45"/>
      <c r="J56" s="54"/>
      <c r="K56" s="99"/>
      <c r="L56" s="166"/>
      <c r="M56" s="166"/>
      <c r="N56" s="46"/>
      <c r="O56" s="47"/>
      <c r="P56" s="48"/>
      <c r="Q56" s="49"/>
      <c r="R56" s="50"/>
      <c r="S56" s="51"/>
      <c r="T56" s="75"/>
      <c r="U56" s="52"/>
      <c r="V56" s="53"/>
      <c r="W56" s="53"/>
      <c r="X56" s="8"/>
      <c r="Y56" s="8"/>
      <c r="Z56" s="8"/>
      <c r="AA56" s="53"/>
      <c r="AB56" s="53"/>
      <c r="AC56" s="18"/>
    </row>
    <row r="59" spans="1:29" ht="15.75" thickBot="1" x14ac:dyDescent="0.3">
      <c r="Q59" s="17"/>
      <c r="R59" s="17"/>
    </row>
    <row r="60" spans="1:29" x14ac:dyDescent="0.25">
      <c r="N60" s="186" t="s">
        <v>13</v>
      </c>
      <c r="O60" s="186" t="s">
        <v>14</v>
      </c>
      <c r="P60" s="186" t="s">
        <v>15</v>
      </c>
      <c r="Q60" s="186" t="s">
        <v>240</v>
      </c>
      <c r="R60" s="186" t="s">
        <v>241</v>
      </c>
      <c r="S60" s="187" t="s">
        <v>242</v>
      </c>
      <c r="T60" s="185"/>
    </row>
    <row r="61" spans="1:29" x14ac:dyDescent="0.25">
      <c r="N61" s="185"/>
      <c r="O61" s="185"/>
      <c r="P61" s="185"/>
      <c r="Q61" s="185"/>
      <c r="R61" s="185"/>
      <c r="S61" s="185"/>
      <c r="T61" s="185"/>
    </row>
    <row r="63" spans="1:29" x14ac:dyDescent="0.25">
      <c r="H63" s="179" t="s">
        <v>41</v>
      </c>
      <c r="I63" s="179"/>
      <c r="J63" s="180"/>
      <c r="K63" s="181"/>
      <c r="L63" s="167"/>
      <c r="M63" s="167"/>
      <c r="N63" s="2">
        <f t="shared" ref="N63:P69" si="18">SUMIF($D:$D,+$H63,N:N)</f>
        <v>24048</v>
      </c>
      <c r="O63" s="2">
        <f t="shared" si="18"/>
        <v>64550</v>
      </c>
      <c r="P63" s="2">
        <f t="shared" si="18"/>
        <v>40502</v>
      </c>
      <c r="Q63" s="2">
        <f t="shared" ref="Q63:Q69" si="19">SUMIF($D:$D,+$H63,U:U)</f>
        <v>302.83506666666665</v>
      </c>
      <c r="R63" s="59">
        <f t="shared" ref="R63:R68" si="20">+N63/O63</f>
        <v>0.37254841208365608</v>
      </c>
      <c r="S63" s="178">
        <f>SUMIF($D:$D,$H63,$T:$T)</f>
        <v>578</v>
      </c>
      <c r="T63" s="178"/>
      <c r="U63" s="8"/>
      <c r="V63" s="8"/>
      <c r="W63" s="8"/>
      <c r="X63" s="8">
        <f t="shared" ref="X63:X69" si="21">SUMIF($D:$D,$H63,$X:$X)</f>
        <v>1455.5000000000014</v>
      </c>
      <c r="Y63" s="8">
        <f t="shared" ref="Y63:Y69" si="22">SUMIF($D:$D,$H63,$Y:$Y)</f>
        <v>0</v>
      </c>
      <c r="Z63" s="8"/>
    </row>
    <row r="64" spans="1:29" x14ac:dyDescent="0.25">
      <c r="H64" s="179" t="s">
        <v>48</v>
      </c>
      <c r="I64" s="179"/>
      <c r="J64" s="180"/>
      <c r="K64" s="181"/>
      <c r="L64" s="167"/>
      <c r="M64" s="167"/>
      <c r="N64" s="2">
        <f t="shared" si="18"/>
        <v>35484</v>
      </c>
      <c r="O64" s="2">
        <f t="shared" si="18"/>
        <v>109310</v>
      </c>
      <c r="P64" s="2">
        <f t="shared" si="18"/>
        <v>73826</v>
      </c>
      <c r="Q64" s="2">
        <f t="shared" si="19"/>
        <v>407.64664166666665</v>
      </c>
      <c r="R64" s="59">
        <f t="shared" si="20"/>
        <v>0.32461805873204647</v>
      </c>
      <c r="S64" s="178">
        <f>SUMIF($D:$D,$H64,$T:$T)</f>
        <v>1095</v>
      </c>
      <c r="T64" s="178"/>
      <c r="V64" s="8"/>
      <c r="W64" s="8"/>
      <c r="X64" s="8">
        <f t="shared" si="21"/>
        <v>-1953.5</v>
      </c>
      <c r="Y64" s="8">
        <f t="shared" si="22"/>
        <v>-4271</v>
      </c>
      <c r="Z64" s="8"/>
    </row>
    <row r="65" spans="1:26" x14ac:dyDescent="0.25">
      <c r="H65" s="179" t="s">
        <v>37</v>
      </c>
      <c r="I65" s="179"/>
      <c r="J65" s="179"/>
      <c r="K65" s="179"/>
      <c r="L65" s="167"/>
      <c r="M65" s="167"/>
      <c r="N65" s="2">
        <f t="shared" si="18"/>
        <v>37667</v>
      </c>
      <c r="O65" s="2">
        <f t="shared" si="18"/>
        <v>69700</v>
      </c>
      <c r="P65" s="2">
        <f t="shared" si="18"/>
        <v>32033</v>
      </c>
      <c r="Q65" s="2">
        <f t="shared" si="19"/>
        <v>83.359216666666669</v>
      </c>
      <c r="R65" s="59">
        <f t="shared" si="20"/>
        <v>0.54041606886657101</v>
      </c>
      <c r="S65" s="178">
        <f>SUMIF($D:$D,$H65,$T:$T)-T42</f>
        <v>1486</v>
      </c>
      <c r="T65" s="178"/>
      <c r="X65" s="8">
        <f t="shared" si="21"/>
        <v>0</v>
      </c>
      <c r="Y65" s="8">
        <f t="shared" si="22"/>
        <v>2817</v>
      </c>
      <c r="Z65" s="8"/>
    </row>
    <row r="66" spans="1:26" x14ac:dyDescent="0.25">
      <c r="H66" s="179" t="s">
        <v>144</v>
      </c>
      <c r="I66" s="179"/>
      <c r="J66" s="180"/>
      <c r="K66" s="181"/>
      <c r="L66" s="167"/>
      <c r="M66" s="167"/>
      <c r="N66" s="2">
        <f t="shared" si="18"/>
        <v>33388</v>
      </c>
      <c r="O66" s="2">
        <f t="shared" si="18"/>
        <v>57000</v>
      </c>
      <c r="P66" s="2">
        <f t="shared" si="18"/>
        <v>23612</v>
      </c>
      <c r="Q66" s="2">
        <f t="shared" si="19"/>
        <v>319.5154</v>
      </c>
      <c r="R66" s="59">
        <f t="shared" si="20"/>
        <v>0.58575438596491225</v>
      </c>
      <c r="S66" s="178">
        <f>SUMIF($D:$D,$H66,$T:$T)</f>
        <v>1449</v>
      </c>
      <c r="T66" s="178"/>
      <c r="X66" s="8">
        <f t="shared" si="21"/>
        <v>0</v>
      </c>
      <c r="Y66" s="8">
        <f t="shared" si="22"/>
        <v>4888</v>
      </c>
      <c r="Z66" s="8"/>
    </row>
    <row r="67" spans="1:26" ht="15.75" thickBot="1" x14ac:dyDescent="0.3">
      <c r="H67" s="179" t="s">
        <v>29</v>
      </c>
      <c r="I67" s="179"/>
      <c r="J67" s="180"/>
      <c r="K67" s="181"/>
      <c r="L67" s="167"/>
      <c r="M67" s="167"/>
      <c r="N67" s="2">
        <f t="shared" si="18"/>
        <v>18972</v>
      </c>
      <c r="O67" s="2">
        <f t="shared" si="18"/>
        <v>40000</v>
      </c>
      <c r="P67" s="2">
        <f t="shared" si="18"/>
        <v>21028</v>
      </c>
      <c r="Q67" s="2">
        <f t="shared" si="19"/>
        <v>154.10639166666667</v>
      </c>
      <c r="R67" s="59">
        <f t="shared" ref="R67" si="23">+N67/O67</f>
        <v>0.4743</v>
      </c>
      <c r="S67" s="178">
        <f>SUMIF($D:$D,$H67,$T:$T)</f>
        <v>543</v>
      </c>
      <c r="T67" s="178"/>
      <c r="X67" s="8">
        <f t="shared" si="21"/>
        <v>0</v>
      </c>
      <c r="Y67" s="8">
        <f t="shared" si="22"/>
        <v>-1028</v>
      </c>
      <c r="Z67" s="8"/>
    </row>
    <row r="68" spans="1:26" x14ac:dyDescent="0.25">
      <c r="A68" s="182" t="s">
        <v>243</v>
      </c>
      <c r="B68" s="183"/>
      <c r="C68" s="183"/>
      <c r="D68" s="184"/>
      <c r="H68" s="179" t="s">
        <v>52</v>
      </c>
      <c r="I68" s="179"/>
      <c r="J68" s="180"/>
      <c r="K68" s="181"/>
      <c r="L68" s="167"/>
      <c r="M68" s="167"/>
      <c r="N68" s="2">
        <f t="shared" si="18"/>
        <v>88473</v>
      </c>
      <c r="O68" s="2">
        <f t="shared" si="18"/>
        <v>135100</v>
      </c>
      <c r="P68" s="2">
        <f t="shared" si="18"/>
        <v>46627</v>
      </c>
      <c r="Q68" s="2">
        <f t="shared" si="19"/>
        <v>0</v>
      </c>
      <c r="R68" s="59">
        <f t="shared" si="20"/>
        <v>0.65487046632124357</v>
      </c>
      <c r="S68" s="178">
        <f>SUMIF($D:$D,$H68,$T:$T)</f>
        <v>2638</v>
      </c>
      <c r="T68" s="178"/>
      <c r="X68" s="8">
        <f t="shared" si="21"/>
        <v>0</v>
      </c>
      <c r="Y68" s="8">
        <f t="shared" si="22"/>
        <v>22423</v>
      </c>
      <c r="Z68" s="8"/>
    </row>
    <row r="69" spans="1:26" x14ac:dyDescent="0.25">
      <c r="A69" s="37" t="s">
        <v>37</v>
      </c>
      <c r="B69" s="36"/>
      <c r="C69" s="36"/>
      <c r="D69" s="38"/>
      <c r="H69" s="179" t="s">
        <v>244</v>
      </c>
      <c r="I69" s="179"/>
      <c r="J69" s="180"/>
      <c r="K69" s="181"/>
      <c r="L69" s="167"/>
      <c r="M69" s="167"/>
      <c r="N69" s="2">
        <f t="shared" si="18"/>
        <v>4023</v>
      </c>
      <c r="O69" s="2">
        <f t="shared" si="18"/>
        <v>10000</v>
      </c>
      <c r="P69" s="2">
        <f t="shared" si="18"/>
        <v>5977</v>
      </c>
      <c r="Q69" s="2">
        <f t="shared" si="19"/>
        <v>0</v>
      </c>
      <c r="R69" s="59">
        <f>+N69/O69</f>
        <v>0.40229999999999999</v>
      </c>
      <c r="S69" s="178">
        <f>SUMIF($D:$D,$H69,$T:$T)</f>
        <v>208</v>
      </c>
      <c r="T69" s="178"/>
      <c r="X69" s="8">
        <f t="shared" si="21"/>
        <v>0</v>
      </c>
      <c r="Y69" s="8">
        <f t="shared" si="22"/>
        <v>-977</v>
      </c>
      <c r="Z69" s="8"/>
    </row>
    <row r="70" spans="1:26" ht="15.75" thickBot="1" x14ac:dyDescent="0.3">
      <c r="A70" s="39"/>
      <c r="B70" s="40"/>
      <c r="C70" s="41" t="str">
        <f>_xlfn.XLOOKUP(Balances!$B$24,Balances!$A$11:$A$18,Balances!$C$11:$C$18)</f>
        <v>Heritage Management</v>
      </c>
      <c r="D70" s="42"/>
    </row>
    <row r="73" spans="1:26" x14ac:dyDescent="0.25">
      <c r="H73" s="179" t="s">
        <v>178</v>
      </c>
      <c r="I73" s="179"/>
      <c r="J73" s="180"/>
      <c r="K73" s="181"/>
      <c r="L73" s="167"/>
      <c r="M73" s="167"/>
      <c r="N73" s="2">
        <f>SUMIF($D$3:$D$56,+H73,$N$3:$N$56)</f>
        <v>31768.67</v>
      </c>
      <c r="O73" s="2">
        <f>SUMIF($D$3:$D$56,+$H73,$O$3:$O$56)</f>
        <v>64000</v>
      </c>
      <c r="P73" s="2">
        <f>SUMIF($D$3:$D$56,+$H73,$P$3:$P$56)</f>
        <v>32231.33</v>
      </c>
      <c r="Q73" s="2">
        <f>SUMIF($D$3:$D$56,+$H73,$U$3:$U$56)</f>
        <v>168.25461249999998</v>
      </c>
      <c r="R73" s="59">
        <f>+N73/O73</f>
        <v>0.49638546874999995</v>
      </c>
      <c r="S73" s="178">
        <f>SUMIF($D:$D,$H73,$T:$T)</f>
        <v>9954.5233333333272</v>
      </c>
      <c r="T73" s="178"/>
      <c r="X73" s="8">
        <f>SUMIF($D:$D,$H73,$X:$X)</f>
        <v>0</v>
      </c>
      <c r="Y73" s="8">
        <f>SUMIF($D:$D,$H73,$Y:$Y)</f>
        <v>0</v>
      </c>
      <c r="Z73" s="8"/>
    </row>
    <row r="74" spans="1:26" x14ac:dyDescent="0.25">
      <c r="H74" s="179" t="s">
        <v>160</v>
      </c>
      <c r="I74" s="179"/>
      <c r="J74" s="180"/>
      <c r="K74" s="181"/>
      <c r="L74" s="167"/>
      <c r="M74" s="167"/>
      <c r="N74" s="2">
        <f t="shared" ref="N74" si="24">SUMIF($D$3:$D$56,+H74,$N$3:$N$56)</f>
        <v>1500</v>
      </c>
      <c r="O74" s="2">
        <f>SUMIF($D$3:$D$56,+$H74,$O$3:$O$56)</f>
        <v>10000</v>
      </c>
      <c r="P74" s="2">
        <f>SUMIF($D$3:$D$56,+$H74,$P$3:$P$56)</f>
        <v>8500</v>
      </c>
      <c r="Q74" s="2">
        <f>SUMIF($D$3:$D$56,+$H74,$U$3:$U$56)</f>
        <v>14.6875</v>
      </c>
      <c r="R74" s="59">
        <f t="shared" ref="R74" si="25">+N74/O74</f>
        <v>0.15</v>
      </c>
      <c r="S74" s="178">
        <f>SUMIF($D:$D,$H74,$T:$T)</f>
        <v>13</v>
      </c>
      <c r="T74" s="178"/>
      <c r="X74" s="8">
        <f>SUMIF($D:$D,$H74,$X:$X)</f>
        <v>0</v>
      </c>
      <c r="Y74" s="8">
        <f>SUMIF($D:$D,$H74,$Y:$Y)</f>
        <v>0</v>
      </c>
      <c r="Z74" s="8"/>
    </row>
    <row r="75" spans="1:26" x14ac:dyDescent="0.25">
      <c r="H75" s="179" t="s">
        <v>162</v>
      </c>
      <c r="I75" s="179"/>
      <c r="J75" s="180"/>
      <c r="K75" s="181"/>
      <c r="L75" s="167"/>
      <c r="M75" s="167"/>
      <c r="N75" s="2">
        <f>SUMIF($D$3:$D$56,+H75,$N$3:$N$56)</f>
        <v>50512</v>
      </c>
      <c r="O75" s="2">
        <f>SUMIF($D$3:$D$56,+$H75,$O$3:$O$56)</f>
        <v>50000</v>
      </c>
      <c r="P75" s="2">
        <f>SUMIF($D$3:$D$56,+$H75,$P$3:$P$56)</f>
        <v>-512</v>
      </c>
      <c r="Q75" s="2">
        <f>SUMIF($D$3:$D$56,+$H75,$U$3:$U$56)</f>
        <v>526.16666666666663</v>
      </c>
      <c r="R75" s="59">
        <f>+N75/O75</f>
        <v>1.01024</v>
      </c>
      <c r="S75" s="178">
        <f>SUMIF($D:$D,$H75,$T:$T)</f>
        <v>515</v>
      </c>
      <c r="T75" s="178"/>
      <c r="X75" s="8">
        <f>SUMIF($D:$D,$H75,$X:$X)</f>
        <v>0</v>
      </c>
      <c r="Y75" s="8">
        <f>SUMIF($D:$D,$H75,$Y:$Y)</f>
        <v>0</v>
      </c>
      <c r="Z75" s="8"/>
    </row>
    <row r="76" spans="1:26" x14ac:dyDescent="0.25">
      <c r="H76" s="104"/>
      <c r="I76" s="104"/>
      <c r="J76" s="3"/>
      <c r="K76" s="105"/>
      <c r="L76" s="167"/>
      <c r="M76" s="167"/>
      <c r="O76" s="2"/>
      <c r="P76" s="2"/>
      <c r="Q76" s="2"/>
      <c r="R76" s="59"/>
      <c r="S76" s="178"/>
      <c r="T76" s="178"/>
      <c r="X76" s="8"/>
      <c r="Y76" s="8"/>
      <c r="Z76" s="8"/>
    </row>
    <row r="77" spans="1:26" x14ac:dyDescent="0.25">
      <c r="H77" s="179" t="s">
        <v>196</v>
      </c>
      <c r="I77" s="179"/>
      <c r="J77" s="179"/>
      <c r="K77" s="181"/>
      <c r="L77" s="167"/>
      <c r="M77" s="167"/>
      <c r="N77" s="2">
        <f t="shared" ref="N77" si="26">SUMIF($D$3:$D$56,+H77,$N$3:$N$56)</f>
        <v>53216</v>
      </c>
      <c r="O77" s="2">
        <f t="shared" ref="O77" si="27">SUMIF($D$3:$D$56,+$H77,$O$3:$O$56)</f>
        <v>72000</v>
      </c>
      <c r="P77" s="2">
        <f t="shared" ref="P77" si="28">SUMIF($D$3:$D$56,+$H77,$P$3:$P$56)</f>
        <v>18784</v>
      </c>
      <c r="Q77" s="2">
        <f t="shared" ref="Q77" si="29">SUMIF($D$3:$D$56,+$H77,$U$3:$U$56)</f>
        <v>357.79062499999998</v>
      </c>
      <c r="R77" s="59">
        <f t="shared" ref="R77" si="30">+N77/O77</f>
        <v>0.73911111111111116</v>
      </c>
      <c r="S77" s="178">
        <f>SUMIF($D:$D,$H77,$T:$T)</f>
        <v>1164</v>
      </c>
      <c r="T77" s="178"/>
      <c r="X77" s="8">
        <f>SUMIF($D:$D,$H77,$X:$X)</f>
        <v>0</v>
      </c>
      <c r="Y77" s="8">
        <f>SUMIF($D:$D,$H77,$Y:$Y)</f>
        <v>0</v>
      </c>
      <c r="Z77" s="8"/>
    </row>
    <row r="78" spans="1:26" x14ac:dyDescent="0.25">
      <c r="Q78" s="2"/>
      <c r="R78" s="16"/>
      <c r="S78" s="185"/>
      <c r="T78" s="185"/>
    </row>
    <row r="79" spans="1:26" x14ac:dyDescent="0.25">
      <c r="A79" s="3"/>
      <c r="H79" s="179" t="s">
        <v>245</v>
      </c>
      <c r="I79" s="179"/>
      <c r="J79" s="180"/>
      <c r="K79" s="181"/>
      <c r="L79" s="167"/>
      <c r="M79" s="167"/>
      <c r="N79" s="2">
        <f t="shared" ref="N79:P79" si="31">SUM(N63:N69)</f>
        <v>242055</v>
      </c>
      <c r="O79" s="2">
        <f t="shared" si="31"/>
        <v>485660</v>
      </c>
      <c r="P79" s="2">
        <f t="shared" si="31"/>
        <v>243605</v>
      </c>
      <c r="Q79" s="2">
        <f>SUM(Q63:Q69)</f>
        <v>1267.4627166666667</v>
      </c>
      <c r="R79" s="59">
        <f t="shared" ref="R79:R80" si="32">+N79/O79</f>
        <v>0.49840423341432277</v>
      </c>
      <c r="S79" s="178">
        <f>SUM(S63:S69)</f>
        <v>7997</v>
      </c>
      <c r="T79" s="185">
        <f>SUM(T63:T69)</f>
        <v>0</v>
      </c>
      <c r="X79" s="2">
        <f>SUM(X63:X69)</f>
        <v>-497.99999999999864</v>
      </c>
      <c r="Y79" s="2">
        <f>SUM(Y63:Y69)</f>
        <v>23852</v>
      </c>
      <c r="Z79" s="2"/>
    </row>
    <row r="80" spans="1:26" x14ac:dyDescent="0.25">
      <c r="A80" s="3"/>
      <c r="H80" s="179" t="s">
        <v>246</v>
      </c>
      <c r="I80" s="179"/>
      <c r="J80" s="180"/>
      <c r="K80" s="181"/>
      <c r="L80" s="167"/>
      <c r="M80" s="167"/>
      <c r="N80" s="2">
        <f>SUM(N73:N75)</f>
        <v>83780.67</v>
      </c>
      <c r="O80" s="2">
        <f t="shared" ref="O80:Q80" si="33">SUM(O73:O75)</f>
        <v>124000</v>
      </c>
      <c r="P80" s="2">
        <f t="shared" si="33"/>
        <v>40219.33</v>
      </c>
      <c r="Q80" s="2">
        <f t="shared" si="33"/>
        <v>709.10877916666664</v>
      </c>
      <c r="R80" s="59">
        <f t="shared" si="32"/>
        <v>0.67565056451612904</v>
      </c>
      <c r="S80" s="178">
        <f>SUM(S73:S75)</f>
        <v>10482.523333333327</v>
      </c>
      <c r="T80" s="185">
        <f>SUM(T64:T70)</f>
        <v>0</v>
      </c>
      <c r="X80" s="2">
        <f>SUM(X64:X70)</f>
        <v>-1953.5</v>
      </c>
      <c r="Y80" s="2">
        <f>SUM(Y64:Y70)</f>
        <v>23852</v>
      </c>
      <c r="Z80" s="2"/>
    </row>
    <row r="81" spans="8:26" ht="15.75" thickBot="1" x14ac:dyDescent="0.3">
      <c r="H81" s="179" t="s">
        <v>196</v>
      </c>
      <c r="I81" s="179"/>
      <c r="J81" s="180"/>
      <c r="K81" s="181"/>
      <c r="L81" s="167"/>
      <c r="M81" s="167"/>
      <c r="N81" s="169">
        <f>SUMIF($D:$D,+H81,$N:$N)</f>
        <v>53216</v>
      </c>
      <c r="O81" s="169">
        <f>SUMIF($D:$D,H81,$O:$O)</f>
        <v>72000</v>
      </c>
      <c r="P81" s="169">
        <f>SUMIF($D:$D,H81,$P:$P)</f>
        <v>18784</v>
      </c>
      <c r="Q81" s="169">
        <f>SUMIF($D:$D,H81,$U:$U)</f>
        <v>357.79062499999998</v>
      </c>
      <c r="R81" s="170">
        <f>+N81/O81</f>
        <v>0.73911111111111116</v>
      </c>
      <c r="S81" s="177">
        <f>SUMIF($D:$D,$H81,$T:$T)</f>
        <v>1164</v>
      </c>
      <c r="T81" s="177"/>
      <c r="X81" s="8">
        <f>SUMIF($D:$D,$H81,$X:$X)</f>
        <v>0</v>
      </c>
      <c r="Y81" s="8">
        <f>SUMIF($D:$D,$H81,$Y:$Y)</f>
        <v>0</v>
      </c>
      <c r="Z81" s="8"/>
    </row>
    <row r="82" spans="8:26" x14ac:dyDescent="0.25">
      <c r="H82" s="179" t="s">
        <v>494</v>
      </c>
      <c r="I82" s="179"/>
      <c r="J82" s="180"/>
      <c r="K82" s="181"/>
      <c r="N82" s="2">
        <f>SUM(N73:N81)</f>
        <v>516048.33999999997</v>
      </c>
      <c r="O82" s="2">
        <f t="shared" ref="O82:Q82" si="34">SUM(O73:O81)</f>
        <v>877660</v>
      </c>
      <c r="P82" s="2">
        <f t="shared" si="34"/>
        <v>361611.66000000003</v>
      </c>
      <c r="Q82" s="2">
        <f t="shared" si="34"/>
        <v>3401.2615250000003</v>
      </c>
      <c r="R82" s="2"/>
      <c r="S82" s="2"/>
      <c r="T82" s="8">
        <f>SUM(S73:T81)</f>
        <v>31290.046666666654</v>
      </c>
    </row>
    <row r="84" spans="8:26" x14ac:dyDescent="0.25">
      <c r="H84" s="179" t="s">
        <v>247</v>
      </c>
      <c r="I84" s="179"/>
      <c r="J84" s="180"/>
      <c r="K84" s="181"/>
      <c r="L84" s="167"/>
      <c r="M84" s="167"/>
      <c r="N84" s="2">
        <v>200000</v>
      </c>
    </row>
    <row r="85" spans="8:26" x14ac:dyDescent="0.25">
      <c r="X85" s="8"/>
      <c r="Y85" s="8"/>
      <c r="Z85" s="8"/>
    </row>
  </sheetData>
  <autoFilter ref="A1:AC55" xr:uid="{00000000-0001-0000-0000-000000000000}">
    <sortState xmlns:xlrd2="http://schemas.microsoft.com/office/spreadsheetml/2017/richdata2" ref="A2:AC55">
      <sortCondition ref="G1:G55"/>
    </sortState>
  </autoFilter>
  <sortState xmlns:xlrd2="http://schemas.microsoft.com/office/spreadsheetml/2017/richdata2" ref="A2:AC55">
    <sortCondition ref="A2:A55"/>
  </sortState>
  <mergeCells count="39">
    <mergeCell ref="S67:T67"/>
    <mergeCell ref="S79:T79"/>
    <mergeCell ref="H68:K68"/>
    <mergeCell ref="S78:T78"/>
    <mergeCell ref="H77:K77"/>
    <mergeCell ref="H75:K75"/>
    <mergeCell ref="H67:K67"/>
    <mergeCell ref="S76:T76"/>
    <mergeCell ref="S74:T74"/>
    <mergeCell ref="S60:T61"/>
    <mergeCell ref="S63:T63"/>
    <mergeCell ref="S64:T64"/>
    <mergeCell ref="S65:T65"/>
    <mergeCell ref="S66:T66"/>
    <mergeCell ref="N60:N61"/>
    <mergeCell ref="O60:O61"/>
    <mergeCell ref="P60:P61"/>
    <mergeCell ref="Q60:Q61"/>
    <mergeCell ref="R60:R61"/>
    <mergeCell ref="H63:K63"/>
    <mergeCell ref="H64:K64"/>
    <mergeCell ref="H65:K65"/>
    <mergeCell ref="H66:K66"/>
    <mergeCell ref="H73:K73"/>
    <mergeCell ref="H69:K69"/>
    <mergeCell ref="S81:T81"/>
    <mergeCell ref="S77:T77"/>
    <mergeCell ref="S75:T75"/>
    <mergeCell ref="H84:K84"/>
    <mergeCell ref="A68:D68"/>
    <mergeCell ref="H81:K81"/>
    <mergeCell ref="H74:K74"/>
    <mergeCell ref="H79:K79"/>
    <mergeCell ref="H80:K80"/>
    <mergeCell ref="S80:T80"/>
    <mergeCell ref="S69:T69"/>
    <mergeCell ref="S73:T73"/>
    <mergeCell ref="S68:T68"/>
    <mergeCell ref="H82:K82"/>
  </mergeCells>
  <hyperlinks>
    <hyperlink ref="AB50" r:id="rId1" xr:uid="{2A846B52-41E6-4605-B303-C4B37C987129}"/>
    <hyperlink ref="AB39" r:id="rId2" xr:uid="{9D4B4AC4-43ED-4BB7-A0B8-89F0F2CB07F9}"/>
    <hyperlink ref="AB20" r:id="rId3" xr:uid="{167EE276-5F4C-4748-A683-09D9C14A6C44}"/>
    <hyperlink ref="AB16" r:id="rId4" display="w3638B0@" xr:uid="{04762BE7-C593-4852-96BF-E3921F4FD46D}"/>
    <hyperlink ref="AB51" r:id="rId5" xr:uid="{CF3BC3DA-934A-4AAA-823B-1FDF91B51C6C}"/>
    <hyperlink ref="AB37" r:id="rId6" xr:uid="{29F27C80-95FC-461A-9C8F-E7598D7CFF4B}"/>
    <hyperlink ref="AB49" r:id="rId7" xr:uid="{45A9CC1C-9779-456F-8121-43B2C9C90153}"/>
    <hyperlink ref="AC49" r:id="rId8" xr:uid="{B6824A42-8314-4CD6-A7DC-122FA46AAD9F}"/>
    <hyperlink ref="AC47" r:id="rId9" location="sec/signon " xr:uid="{D255E645-43B8-4244-B47A-8B7513F12DC1}"/>
    <hyperlink ref="AB14" r:id="rId10" xr:uid="{4783DB1E-DEE0-486A-AE8E-24AA70565EA1}"/>
    <hyperlink ref="AC51" r:id="rId11" xr:uid="{D706B950-D378-48F2-B567-BE1BD324DE78}"/>
    <hyperlink ref="AC11" r:id="rId12" xr:uid="{A6789800-33D2-48B2-8095-1A3249262CAD}"/>
    <hyperlink ref="AC7" r:id="rId13" xr:uid="{B71A318C-6134-482C-A88D-80FC9B23446F}"/>
    <hyperlink ref="AC45" r:id="rId14" xr:uid="{78EFFC2C-B9AC-4C36-842E-43D6E23858B8}"/>
    <hyperlink ref="AC9" r:id="rId15" xr:uid="{450FF26C-1954-4237-935F-1F23B1EF6C58}"/>
    <hyperlink ref="AB36" r:id="rId16" xr:uid="{AE2EE9EC-BB25-4BEF-99D1-885EB573DE6F}"/>
    <hyperlink ref="AA37" r:id="rId17" xr:uid="{4259480B-49A3-41D2-88B4-FA7ACE19EC49}"/>
    <hyperlink ref="AB34" r:id="rId18" xr:uid="{7CC38DBE-5254-4D16-B157-CA140C9D484E}"/>
    <hyperlink ref="AA34" r:id="rId19" xr:uid="{BA774602-5D77-4102-85ED-4DE4A1F96569}"/>
    <hyperlink ref="AA25" r:id="rId20" xr:uid="{78B9D3AE-AB23-43DB-80B2-2EE465869BF6}"/>
    <hyperlink ref="AB25" r:id="rId21" xr:uid="{3B722332-60FF-43F4-9892-3221F43A4D20}"/>
    <hyperlink ref="AC54" r:id="rId22" location="/dashboard/overviewAccounts/overview/index" xr:uid="{DBE25BEB-C285-4968-BB57-C582F2690118}"/>
    <hyperlink ref="AB2" r:id="rId23" xr:uid="{C186D925-DC8A-4B7D-A463-3BF15177B19F}"/>
    <hyperlink ref="AC27" r:id="rId24" location="/landingPage" xr:uid="{DA094160-1360-43AC-B5D9-5F60FDD2122A}"/>
    <hyperlink ref="AC6" r:id="rId25" xr:uid="{7BC3941B-1E32-461C-93B9-A6F6B615D8CC}"/>
    <hyperlink ref="AC38" r:id="rId26" location="/dashboard/overview" xr:uid="{AB5B9086-9C8D-468B-9465-65D560259D8B}"/>
    <hyperlink ref="AC17" r:id="rId27" xr:uid="{82871BBA-2240-4563-A282-4EB9EE6941F2}"/>
    <hyperlink ref="AC4" r:id="rId28" xr:uid="{04E16B4F-F4C7-487C-AB9F-76C48797A2F7}"/>
    <hyperlink ref="AC50" r:id="rId29" xr:uid="{93B0811E-57A4-4AA1-8B17-38CBC466CBB9}"/>
    <hyperlink ref="AC15" r:id="rId30" xr:uid="{40A1A770-B9FD-4F28-95A4-C383968A24D2}"/>
    <hyperlink ref="AC3" r:id="rId31" xr:uid="{43E04D43-434B-4671-ACAF-219E8C670631}"/>
    <hyperlink ref="AB32" r:id="rId32" xr:uid="{CA255862-0701-4D5B-8B6E-2065FA9AE325}"/>
    <hyperlink ref="AA32" r:id="rId33" xr:uid="{E3A7E3AF-5219-46CB-AA92-1B60E98072C3}"/>
    <hyperlink ref="AC46" r:id="rId34" location="/landingPage" xr:uid="{E13218E1-7A5D-4F0A-ACE5-D36276AB3F22}"/>
    <hyperlink ref="AC43" r:id="rId35" xr:uid="{AD272A13-A460-46B4-96B6-4C1D734AEEBE}"/>
    <hyperlink ref="AB44" r:id="rId36" xr:uid="{92EC5181-3143-439D-8D8A-89DB621F7D61}"/>
    <hyperlink ref="AC8" r:id="rId37" xr:uid="{BCBACA66-D586-4FFD-9A8C-7E2551871976}"/>
    <hyperlink ref="AC29" r:id="rId38" xr:uid="{9C4BC753-4A4C-4AF7-9326-0ED0A22A4FD4}"/>
    <hyperlink ref="AC25" r:id="rId39" location="signon" xr:uid="{16D35109-3902-429B-9537-B4EE1DE2F3B7}"/>
    <hyperlink ref="AC12" r:id="rId40" xr:uid="{EF6B6B84-B6C1-41F8-83BB-BFF1F8D29CF5}"/>
    <hyperlink ref="AC5" r:id="rId41" location="/dashboard/overview" xr:uid="{D29EF0B1-D802-4297-97C8-36293AB0334E}"/>
    <hyperlink ref="AC31" r:id="rId42" xr:uid="{9DBC4197-7E66-42C3-A59E-9E415BCD4257}"/>
  </hyperlinks>
  <pageMargins left="0.25" right="0.25" top="0.75" bottom="0.75" header="0.3" footer="0.3"/>
  <pageSetup orientation="landscape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AA0-D64E-408D-BB38-865A3FCFF28D}">
  <sheetPr codeName="Sheet2"/>
  <dimension ref="A1:F33"/>
  <sheetViews>
    <sheetView workbookViewId="0">
      <selection activeCell="D9" sqref="D9"/>
    </sheetView>
  </sheetViews>
  <sheetFormatPr defaultRowHeight="15" x14ac:dyDescent="0.25"/>
  <cols>
    <col min="1" max="1" width="25.140625" bestFit="1" customWidth="1"/>
    <col min="2" max="2" width="11.85546875" customWidth="1"/>
    <col min="3" max="4" width="26.140625" bestFit="1" customWidth="1"/>
  </cols>
  <sheetData>
    <row r="1" spans="1:5" ht="15" customHeight="1" x14ac:dyDescent="0.25">
      <c r="B1" s="188" t="s">
        <v>248</v>
      </c>
      <c r="C1" s="189" t="s">
        <v>249</v>
      </c>
      <c r="D1" s="189" t="s">
        <v>250</v>
      </c>
    </row>
    <row r="2" spans="1:5" x14ac:dyDescent="0.25">
      <c r="B2" s="188"/>
      <c r="C2" s="190"/>
      <c r="D2" s="190"/>
    </row>
    <row r="3" spans="1:5" x14ac:dyDescent="0.25">
      <c r="B3" s="55"/>
      <c r="C3" s="30" t="str">
        <f>_xlfn.XLOOKUP($B$27,$A$11:$A$18,$C$11:$C$18)</f>
        <v>Jenny</v>
      </c>
      <c r="D3" s="30" t="str">
        <f>_xlfn.XLOOKUP($B$24,$A$11:$A$18,$C$11:$C$18)</f>
        <v>Heritage Management</v>
      </c>
    </row>
    <row r="4" spans="1:5" x14ac:dyDescent="0.25">
      <c r="A4" s="2" t="s">
        <v>251</v>
      </c>
      <c r="B4" s="17">
        <f>+SUM(Cards!O5:O37)</f>
        <v>385010</v>
      </c>
      <c r="C4" s="8">
        <f>+SUM(Cards!X5:X37)</f>
        <v>-4576.5</v>
      </c>
      <c r="D4" s="8">
        <f>+SUM(Cards!Y5:Y37)</f>
        <v>22384</v>
      </c>
    </row>
    <row r="5" spans="1:5" x14ac:dyDescent="0.25">
      <c r="A5" s="2" t="s">
        <v>252</v>
      </c>
      <c r="B5" s="17">
        <f>+SUM(Cards!N4:N39)</f>
        <v>237711</v>
      </c>
      <c r="C5" s="16"/>
      <c r="D5" s="7"/>
    </row>
    <row r="6" spans="1:5" x14ac:dyDescent="0.25">
      <c r="A6" s="2" t="s">
        <v>253</v>
      </c>
      <c r="B6" s="17">
        <f>+B4-B5</f>
        <v>147299</v>
      </c>
      <c r="C6" s="16"/>
      <c r="D6" s="7"/>
    </row>
    <row r="7" spans="1:5" x14ac:dyDescent="0.25">
      <c r="A7" s="2" t="s">
        <v>20</v>
      </c>
      <c r="B7" s="43">
        <f>+SUM(Cards!U5:U37)</f>
        <v>1165.2939000000001</v>
      </c>
      <c r="C7">
        <v>1132</v>
      </c>
      <c r="D7">
        <v>1091</v>
      </c>
    </row>
    <row r="8" spans="1:5" x14ac:dyDescent="0.25">
      <c r="A8" s="2" t="s">
        <v>254</v>
      </c>
      <c r="B8" s="43">
        <f>+B7*12</f>
        <v>13983.526800000001</v>
      </c>
      <c r="C8" s="43">
        <f>+C7*12</f>
        <v>13584</v>
      </c>
      <c r="D8">
        <v>13096</v>
      </c>
    </row>
    <row r="10" spans="1:5" x14ac:dyDescent="0.25">
      <c r="A10" t="s">
        <v>255</v>
      </c>
      <c r="C10" s="191" t="s">
        <v>256</v>
      </c>
      <c r="D10" s="191"/>
    </row>
    <row r="11" spans="1:5" x14ac:dyDescent="0.25">
      <c r="A11">
        <v>1</v>
      </c>
      <c r="C11" s="13" t="s">
        <v>257</v>
      </c>
      <c r="D11" s="8">
        <v>12279</v>
      </c>
    </row>
    <row r="12" spans="1:5" x14ac:dyDescent="0.25">
      <c r="A12">
        <v>7</v>
      </c>
      <c r="C12" s="13" t="s">
        <v>258</v>
      </c>
      <c r="D12" s="8"/>
    </row>
    <row r="13" spans="1:5" x14ac:dyDescent="0.25">
      <c r="A13">
        <v>3</v>
      </c>
      <c r="C13" s="14" t="s">
        <v>37</v>
      </c>
      <c r="D13" s="8">
        <v>11391</v>
      </c>
    </row>
    <row r="14" spans="1:5" ht="15.75" thickBot="1" x14ac:dyDescent="0.3">
      <c r="A14">
        <v>6</v>
      </c>
      <c r="C14" s="14" t="s">
        <v>144</v>
      </c>
      <c r="D14" s="8">
        <v>0</v>
      </c>
      <c r="E14" s="15"/>
    </row>
    <row r="15" spans="1:5" x14ac:dyDescent="0.25">
      <c r="C15" s="20" t="s">
        <v>256</v>
      </c>
      <c r="D15" s="8"/>
      <c r="E15" s="10">
        <f>+D14+D13+D11</f>
        <v>23670</v>
      </c>
    </row>
    <row r="16" spans="1:5" x14ac:dyDescent="0.25">
      <c r="C16" s="13"/>
      <c r="D16" s="8"/>
    </row>
    <row r="17" spans="1:6" x14ac:dyDescent="0.25">
      <c r="A17">
        <v>4</v>
      </c>
      <c r="C17" s="13" t="s">
        <v>41</v>
      </c>
      <c r="D17" s="8">
        <v>37294</v>
      </c>
    </row>
    <row r="18" spans="1:6" ht="15.75" thickBot="1" x14ac:dyDescent="0.3">
      <c r="A18">
        <v>2</v>
      </c>
      <c r="C18" s="13" t="s">
        <v>48</v>
      </c>
      <c r="D18" s="15">
        <v>9322</v>
      </c>
      <c r="E18" s="15"/>
    </row>
    <row r="19" spans="1:6" ht="15.75" thickBot="1" x14ac:dyDescent="0.3">
      <c r="C19" s="20" t="s">
        <v>256</v>
      </c>
      <c r="D19" s="8"/>
      <c r="E19" s="10">
        <f>+SUM(D17:D18)</f>
        <v>46616</v>
      </c>
      <c r="F19" s="15"/>
    </row>
    <row r="20" spans="1:6" x14ac:dyDescent="0.25">
      <c r="D20" s="8"/>
      <c r="F20" s="10">
        <f>+E19+E15</f>
        <v>70286</v>
      </c>
    </row>
    <row r="21" spans="1:6" x14ac:dyDescent="0.25">
      <c r="A21">
        <v>5</v>
      </c>
      <c r="C21" s="13" t="s">
        <v>196</v>
      </c>
      <c r="D21" s="8">
        <v>30798</v>
      </c>
      <c r="E21" s="10">
        <f>+D21</f>
        <v>30798</v>
      </c>
    </row>
    <row r="22" spans="1:6" x14ac:dyDescent="0.25">
      <c r="D22" s="8"/>
      <c r="F22" s="10"/>
    </row>
    <row r="23" spans="1:6" x14ac:dyDescent="0.25">
      <c r="D23" s="8"/>
      <c r="F23" s="10"/>
    </row>
    <row r="24" spans="1:6" x14ac:dyDescent="0.25">
      <c r="A24" s="20" t="s">
        <v>259</v>
      </c>
      <c r="B24" s="9">
        <v>7</v>
      </c>
      <c r="C24" s="35" t="str">
        <f>_xlfn.XLOOKUP($B$24,$A$11:$A$18,$C$11:$C$18)</f>
        <v>Heritage Management</v>
      </c>
      <c r="D24" s="8"/>
    </row>
    <row r="25" spans="1:6" ht="15.75" thickBot="1" x14ac:dyDescent="0.3">
      <c r="A25" t="s">
        <v>260</v>
      </c>
      <c r="C25" s="11">
        <f>+SUM(Cards!Y5:Y52)</f>
        <v>23036</v>
      </c>
      <c r="D25" s="12"/>
    </row>
    <row r="26" spans="1:6" ht="15.75" thickTop="1" x14ac:dyDescent="0.25"/>
    <row r="27" spans="1:6" x14ac:dyDescent="0.25">
      <c r="A27" s="20" t="s">
        <v>261</v>
      </c>
      <c r="B27" s="9">
        <v>2</v>
      </c>
      <c r="C27" s="35" t="str">
        <f>_xlfn.XLOOKUP(B27,$A$11:$A$18,$C$11:$C$18)</f>
        <v>Jenny</v>
      </c>
      <c r="D27" s="8"/>
    </row>
    <row r="28" spans="1:6" ht="15.75" thickBot="1" x14ac:dyDescent="0.3">
      <c r="A28" t="s">
        <v>262</v>
      </c>
      <c r="C28" s="11">
        <f>+SUM(Cards!X5:X52)</f>
        <v>-3908.9999999999991</v>
      </c>
      <c r="D28" s="12"/>
    </row>
    <row r="29" spans="1:6" ht="15.75" thickTop="1" x14ac:dyDescent="0.25"/>
    <row r="33" spans="4:4" x14ac:dyDescent="0.25">
      <c r="D33" s="8"/>
    </row>
  </sheetData>
  <mergeCells count="4">
    <mergeCell ref="B1:B2"/>
    <mergeCell ref="C1:C2"/>
    <mergeCell ref="D1:D2"/>
    <mergeCell ref="C10:D10"/>
  </mergeCells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667B-EC4F-49A0-BCB9-39BD25E9F0C5}">
  <sheetPr codeName="Sheet3"/>
  <dimension ref="A1:Y11"/>
  <sheetViews>
    <sheetView workbookViewId="0">
      <selection activeCell="F12" sqref="F12"/>
    </sheetView>
  </sheetViews>
  <sheetFormatPr defaultRowHeight="15" x14ac:dyDescent="0.25"/>
  <cols>
    <col min="1" max="1" width="35.28515625" bestFit="1" customWidth="1"/>
    <col min="5" max="5" width="18.5703125" bestFit="1" customWidth="1"/>
  </cols>
  <sheetData>
    <row r="1" spans="1:25" x14ac:dyDescent="0.25">
      <c r="B1" t="s">
        <v>263</v>
      </c>
      <c r="C1" t="s">
        <v>264</v>
      </c>
    </row>
    <row r="2" spans="1:25" x14ac:dyDescent="0.25">
      <c r="A2" t="s">
        <v>265</v>
      </c>
      <c r="B2">
        <v>2000</v>
      </c>
      <c r="C2">
        <v>2000</v>
      </c>
      <c r="D2" s="60">
        <v>44883</v>
      </c>
    </row>
    <row r="3" spans="1:25" x14ac:dyDescent="0.25">
      <c r="A3" t="s">
        <v>266</v>
      </c>
      <c r="B3">
        <v>5000</v>
      </c>
      <c r="C3">
        <v>15000</v>
      </c>
      <c r="D3" s="60">
        <v>44885</v>
      </c>
      <c r="E3" t="s">
        <v>267</v>
      </c>
    </row>
    <row r="4" spans="1:25" x14ac:dyDescent="0.25">
      <c r="A4" t="s">
        <v>268</v>
      </c>
      <c r="B4">
        <v>2000</v>
      </c>
      <c r="C4">
        <v>25000</v>
      </c>
      <c r="D4" s="60">
        <v>44884</v>
      </c>
      <c r="E4" t="s">
        <v>269</v>
      </c>
    </row>
    <row r="5" spans="1:25" ht="15.75" thickBot="1" x14ac:dyDescent="0.3"/>
    <row r="6" spans="1:25" s="30" customFormat="1" ht="30.75" thickBot="1" x14ac:dyDescent="0.3">
      <c r="A6" s="32" t="s">
        <v>0</v>
      </c>
      <c r="B6" s="21" t="s">
        <v>1</v>
      </c>
      <c r="C6" s="22" t="s">
        <v>3</v>
      </c>
      <c r="D6" s="22" t="s">
        <v>4</v>
      </c>
      <c r="E6" s="23" t="s">
        <v>7</v>
      </c>
      <c r="F6" s="21" t="s">
        <v>9</v>
      </c>
      <c r="G6" s="23" t="s">
        <v>10</v>
      </c>
      <c r="H6" s="23" t="s">
        <v>13</v>
      </c>
      <c r="I6" s="24" t="s">
        <v>14</v>
      </c>
      <c r="J6" s="24" t="s">
        <v>15</v>
      </c>
      <c r="K6" s="25" t="s">
        <v>16</v>
      </c>
      <c r="L6" s="26" t="s">
        <v>17</v>
      </c>
      <c r="M6" s="29" t="s">
        <v>18</v>
      </c>
      <c r="N6" s="29" t="s">
        <v>20</v>
      </c>
      <c r="O6" s="28">
        <v>0.35</v>
      </c>
      <c r="P6" s="28">
        <v>0.5</v>
      </c>
      <c r="Q6" s="27" t="s">
        <v>21</v>
      </c>
      <c r="R6" s="27" t="s">
        <v>22</v>
      </c>
      <c r="S6" s="29" t="s">
        <v>24</v>
      </c>
      <c r="T6" s="29" t="s">
        <v>25</v>
      </c>
      <c r="U6" s="29" t="s">
        <v>26</v>
      </c>
      <c r="Y6" s="31"/>
    </row>
    <row r="7" spans="1:25" x14ac:dyDescent="0.25">
      <c r="A7" s="33" t="s">
        <v>215</v>
      </c>
      <c r="B7" s="5">
        <v>1</v>
      </c>
      <c r="C7" s="5" t="s">
        <v>270</v>
      </c>
      <c r="D7" s="5" t="s">
        <v>271</v>
      </c>
      <c r="E7" s="4" t="s">
        <v>272</v>
      </c>
      <c r="F7" s="4" t="s">
        <v>273</v>
      </c>
      <c r="G7" s="1">
        <v>44585</v>
      </c>
      <c r="H7" s="2">
        <v>-7177</v>
      </c>
      <c r="I7" s="17">
        <v>15000</v>
      </c>
      <c r="J7" s="17">
        <f>+I7-H7</f>
        <v>22177</v>
      </c>
      <c r="K7" s="16"/>
      <c r="L7" s="7">
        <v>8.5999999999999993E-2</v>
      </c>
      <c r="N7" s="43">
        <f>IF(K7="",+H7*L7/12,0)</f>
        <v>-51.435166666666667</v>
      </c>
      <c r="O7">
        <f>+I7*0.35</f>
        <v>5250</v>
      </c>
      <c r="P7">
        <f>+I7*0.5</f>
        <v>7500</v>
      </c>
      <c r="Q7" s="8">
        <f>+IF(H7-O7&lt;0,0,(H7-O7)*IF(B7=Balances!$B$27,1,0))</f>
        <v>0</v>
      </c>
      <c r="R7" s="8">
        <f>IF(H7-P7&lt;0,0,(H7-P7)*IF(B7=Balances!$B$24,1,0))</f>
        <v>0</v>
      </c>
      <c r="V7">
        <v>7182</v>
      </c>
      <c r="Y7" s="8"/>
    </row>
    <row r="8" spans="1:25" x14ac:dyDescent="0.25">
      <c r="A8" s="33" t="s">
        <v>156</v>
      </c>
      <c r="B8" s="5">
        <v>4</v>
      </c>
      <c r="C8" s="5" t="s">
        <v>41</v>
      </c>
      <c r="D8" s="5" t="s">
        <v>30</v>
      </c>
      <c r="E8" s="4" t="s">
        <v>157</v>
      </c>
      <c r="F8" s="4" t="s">
        <v>274</v>
      </c>
      <c r="G8" s="1">
        <v>44402</v>
      </c>
      <c r="H8" s="2">
        <v>0</v>
      </c>
      <c r="I8" s="17">
        <v>15000</v>
      </c>
      <c r="J8" s="17">
        <f>+I8-H8</f>
        <v>15000</v>
      </c>
      <c r="K8" s="16"/>
      <c r="L8" s="7">
        <v>3.2500000000000001E-2</v>
      </c>
      <c r="N8" s="43">
        <f>IF(K8="",+H8*L8/12,0)</f>
        <v>0</v>
      </c>
      <c r="O8">
        <f>+I8*0.35</f>
        <v>5250</v>
      </c>
      <c r="P8">
        <f>+I8*0.5</f>
        <v>7500</v>
      </c>
      <c r="Q8" s="8">
        <f>+IF(H8-O8&lt;0,0,(H8-O8)*IF(B8=Balances!$B$27,1,0))</f>
        <v>0</v>
      </c>
      <c r="R8" s="8">
        <f>IF(H8-P8&lt;0,0,(H8-P8)*IF(B8=Balances!$B$24,1,0))</f>
        <v>0</v>
      </c>
      <c r="S8" t="s">
        <v>153</v>
      </c>
      <c r="T8" t="s">
        <v>66</v>
      </c>
      <c r="U8" t="s">
        <v>155</v>
      </c>
      <c r="Y8" s="8"/>
    </row>
    <row r="11" spans="1:25" x14ac:dyDescent="0.25">
      <c r="C11" t="s">
        <v>275</v>
      </c>
      <c r="F11">
        <f>23000/2</f>
        <v>11500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73272-307D-4B15-8926-3C39B6CB6FB2}">
  <sheetPr codeName="Sheet4" filterMode="1"/>
  <dimension ref="A1:V36"/>
  <sheetViews>
    <sheetView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I13" sqref="I13"/>
    </sheetView>
  </sheetViews>
  <sheetFormatPr defaultRowHeight="15" x14ac:dyDescent="0.25"/>
  <cols>
    <col min="2" max="2" width="22.7109375" bestFit="1" customWidth="1"/>
    <col min="3" max="3" width="22.7109375" customWidth="1"/>
    <col min="4" max="4" width="61.85546875" bestFit="1" customWidth="1"/>
    <col min="5" max="5" width="25" customWidth="1"/>
    <col min="6" max="6" width="11" bestFit="1" customWidth="1"/>
    <col min="9" max="9" width="9.5703125" style="172" bestFit="1" customWidth="1"/>
    <col min="11" max="11" width="8.42578125" bestFit="1" customWidth="1"/>
    <col min="13" max="13" width="17.5703125" style="168" bestFit="1" customWidth="1"/>
    <col min="14" max="14" width="10.42578125" bestFit="1" customWidth="1"/>
    <col min="15" max="15" width="19.85546875" bestFit="1" customWidth="1"/>
    <col min="16" max="16" width="22.7109375" bestFit="1" customWidth="1"/>
    <col min="17" max="17" width="9.140625" bestFit="1" customWidth="1"/>
    <col min="18" max="18" width="9.140625" customWidth="1"/>
    <col min="19" max="19" width="69.42578125" bestFit="1" customWidth="1"/>
    <col min="20" max="20" width="30.7109375" style="13" bestFit="1" customWidth="1"/>
    <col min="21" max="21" width="17.42578125" style="13" bestFit="1" customWidth="1"/>
  </cols>
  <sheetData>
    <row r="1" spans="1:22" s="30" customFormat="1" x14ac:dyDescent="0.25">
      <c r="A1" s="30" t="s">
        <v>276</v>
      </c>
      <c r="B1" s="30" t="s">
        <v>277</v>
      </c>
      <c r="C1" s="30" t="s">
        <v>278</v>
      </c>
      <c r="D1" s="30" t="s">
        <v>279</v>
      </c>
      <c r="E1" s="30" t="s">
        <v>0</v>
      </c>
      <c r="F1" s="30" t="s">
        <v>280</v>
      </c>
      <c r="G1" s="30" t="s">
        <v>281</v>
      </c>
      <c r="H1" s="30" t="s">
        <v>282</v>
      </c>
      <c r="I1" s="171" t="s">
        <v>505</v>
      </c>
      <c r="J1" s="30" t="s">
        <v>283</v>
      </c>
      <c r="K1" s="30" t="s">
        <v>263</v>
      </c>
      <c r="L1" s="30" t="s">
        <v>284</v>
      </c>
      <c r="M1" s="55" t="s">
        <v>285</v>
      </c>
      <c r="N1" s="30" t="s">
        <v>286</v>
      </c>
      <c r="O1" s="30" t="s">
        <v>287</v>
      </c>
      <c r="P1" s="30" t="s">
        <v>288</v>
      </c>
      <c r="Q1" s="30" t="s">
        <v>289</v>
      </c>
      <c r="R1" s="30" t="s">
        <v>290</v>
      </c>
      <c r="S1" s="30" t="s">
        <v>291</v>
      </c>
      <c r="T1" s="30" t="s">
        <v>292</v>
      </c>
      <c r="U1" s="30" t="s">
        <v>25</v>
      </c>
    </row>
    <row r="2" spans="1:22" x14ac:dyDescent="0.25">
      <c r="A2">
        <v>27</v>
      </c>
      <c r="B2" t="s">
        <v>293</v>
      </c>
      <c r="C2" t="s">
        <v>258</v>
      </c>
      <c r="D2" t="s">
        <v>294</v>
      </c>
      <c r="E2" t="s">
        <v>295</v>
      </c>
      <c r="G2">
        <v>816.35</v>
      </c>
      <c r="H2">
        <v>78800</v>
      </c>
      <c r="I2" s="172">
        <v>4.4999999999999998E-2</v>
      </c>
      <c r="J2" t="s">
        <v>296</v>
      </c>
      <c r="K2" t="s">
        <v>297</v>
      </c>
      <c r="L2" t="s">
        <v>298</v>
      </c>
      <c r="M2" s="168" t="s">
        <v>299</v>
      </c>
      <c r="N2" t="s">
        <v>300</v>
      </c>
      <c r="Q2">
        <v>2094</v>
      </c>
      <c r="R2">
        <v>674</v>
      </c>
      <c r="S2" s="79" t="s">
        <v>301</v>
      </c>
      <c r="T2" s="78" t="s">
        <v>302</v>
      </c>
      <c r="U2" s="79" t="s">
        <v>175</v>
      </c>
      <c r="V2" t="s">
        <v>303</v>
      </c>
    </row>
    <row r="3" spans="1:22" ht="15.75" x14ac:dyDescent="0.25">
      <c r="A3">
        <v>26</v>
      </c>
      <c r="B3" t="s">
        <v>304</v>
      </c>
      <c r="C3" t="s">
        <v>244</v>
      </c>
      <c r="D3" t="s">
        <v>305</v>
      </c>
      <c r="E3" t="s">
        <v>306</v>
      </c>
      <c r="F3" t="s">
        <v>506</v>
      </c>
      <c r="G3">
        <v>1344.14</v>
      </c>
      <c r="H3">
        <v>78400</v>
      </c>
      <c r="I3" s="172">
        <v>4.7500000000000001E-2</v>
      </c>
      <c r="J3" t="s">
        <v>296</v>
      </c>
      <c r="K3" t="s">
        <v>307</v>
      </c>
      <c r="L3" t="s">
        <v>308</v>
      </c>
      <c r="M3" s="168" t="s">
        <v>299</v>
      </c>
      <c r="N3" t="s">
        <v>498</v>
      </c>
      <c r="Q3">
        <v>3521</v>
      </c>
      <c r="R3">
        <v>1166</v>
      </c>
      <c r="S3" s="79" t="s">
        <v>309</v>
      </c>
      <c r="T3" s="13" t="s">
        <v>310</v>
      </c>
      <c r="U3" s="101" t="s">
        <v>311</v>
      </c>
      <c r="V3" t="s">
        <v>496</v>
      </c>
    </row>
    <row r="4" spans="1:22" x14ac:dyDescent="0.25">
      <c r="A4">
        <v>26</v>
      </c>
      <c r="B4" t="s">
        <v>312</v>
      </c>
      <c r="C4" t="s">
        <v>37</v>
      </c>
      <c r="D4" t="s">
        <v>313</v>
      </c>
      <c r="E4" t="s">
        <v>314</v>
      </c>
      <c r="F4">
        <v>77278</v>
      </c>
      <c r="G4">
        <v>981</v>
      </c>
      <c r="H4">
        <v>150000</v>
      </c>
      <c r="I4" s="172">
        <v>0.1031</v>
      </c>
      <c r="J4" t="s">
        <v>296</v>
      </c>
      <c r="K4" t="s">
        <v>297</v>
      </c>
      <c r="L4" t="s">
        <v>315</v>
      </c>
      <c r="M4" s="168" t="s">
        <v>316</v>
      </c>
      <c r="N4" t="s">
        <v>498</v>
      </c>
      <c r="O4" t="s">
        <v>317</v>
      </c>
      <c r="P4" s="18" t="s">
        <v>318</v>
      </c>
      <c r="Q4" s="18">
        <f>(368.38+67.36)*12</f>
        <v>5228.88</v>
      </c>
      <c r="R4" s="18">
        <v>2653</v>
      </c>
      <c r="S4" s="79" t="s">
        <v>319</v>
      </c>
      <c r="T4" s="79" t="s">
        <v>141</v>
      </c>
      <c r="U4" s="79" t="s">
        <v>77</v>
      </c>
    </row>
    <row r="5" spans="1:22" x14ac:dyDescent="0.25">
      <c r="A5">
        <v>24</v>
      </c>
      <c r="B5" t="s">
        <v>320</v>
      </c>
      <c r="C5" t="s">
        <v>258</v>
      </c>
      <c r="D5" t="s">
        <v>321</v>
      </c>
      <c r="E5" t="s">
        <v>215</v>
      </c>
      <c r="F5">
        <v>60036258</v>
      </c>
      <c r="G5">
        <v>676.98</v>
      </c>
      <c r="H5">
        <v>78900</v>
      </c>
      <c r="I5" s="172">
        <v>3.7499999999999999E-2</v>
      </c>
      <c r="J5" t="s">
        <v>296</v>
      </c>
      <c r="K5" t="s">
        <v>307</v>
      </c>
      <c r="L5" t="s">
        <v>298</v>
      </c>
      <c r="M5" s="168" t="s">
        <v>299</v>
      </c>
      <c r="N5" t="s">
        <v>300</v>
      </c>
      <c r="Q5">
        <v>1677</v>
      </c>
      <c r="R5">
        <v>758</v>
      </c>
      <c r="S5" t="s">
        <v>322</v>
      </c>
    </row>
    <row r="6" spans="1:22" hidden="1" x14ac:dyDescent="0.25">
      <c r="A6">
        <v>23</v>
      </c>
      <c r="B6" t="s">
        <v>323</v>
      </c>
      <c r="C6" t="s">
        <v>144</v>
      </c>
      <c r="D6" t="s">
        <v>324</v>
      </c>
      <c r="E6" t="s">
        <v>325</v>
      </c>
      <c r="G6">
        <v>1662.42</v>
      </c>
      <c r="J6" t="s">
        <v>326</v>
      </c>
      <c r="K6" t="s">
        <v>307</v>
      </c>
      <c r="L6" t="s">
        <v>327</v>
      </c>
      <c r="S6" t="s">
        <v>322</v>
      </c>
    </row>
    <row r="7" spans="1:22" x14ac:dyDescent="0.25">
      <c r="A7">
        <v>22</v>
      </c>
      <c r="B7" t="s">
        <v>328</v>
      </c>
      <c r="C7" t="s">
        <v>258</v>
      </c>
      <c r="D7" t="s">
        <v>329</v>
      </c>
      <c r="E7" t="s">
        <v>330</v>
      </c>
      <c r="F7">
        <v>5200096877</v>
      </c>
      <c r="G7">
        <v>1269.3399999999999</v>
      </c>
      <c r="H7">
        <v>168400</v>
      </c>
      <c r="I7" s="172">
        <v>0.03</v>
      </c>
      <c r="J7" t="s">
        <v>296</v>
      </c>
      <c r="K7" t="s">
        <v>331</v>
      </c>
      <c r="L7" t="s">
        <v>298</v>
      </c>
      <c r="M7" s="168" t="s">
        <v>299</v>
      </c>
      <c r="N7" t="s">
        <v>300</v>
      </c>
      <c r="O7" t="s">
        <v>317</v>
      </c>
      <c r="P7" s="18" t="s">
        <v>318</v>
      </c>
      <c r="Q7" s="18">
        <f>74.94*12</f>
        <v>899.28</v>
      </c>
      <c r="R7" s="18">
        <v>941</v>
      </c>
      <c r="S7" s="18" t="s">
        <v>332</v>
      </c>
      <c r="T7" s="79" t="s">
        <v>333</v>
      </c>
      <c r="U7" s="13" t="s">
        <v>175</v>
      </c>
    </row>
    <row r="8" spans="1:22" hidden="1" x14ac:dyDescent="0.25">
      <c r="A8">
        <v>21</v>
      </c>
      <c r="B8" t="s">
        <v>334</v>
      </c>
      <c r="C8" t="s">
        <v>144</v>
      </c>
      <c r="D8" t="s">
        <v>335</v>
      </c>
      <c r="G8">
        <v>1120.77</v>
      </c>
      <c r="J8" t="s">
        <v>326</v>
      </c>
      <c r="K8" t="s">
        <v>297</v>
      </c>
      <c r="L8" t="s">
        <v>327</v>
      </c>
      <c r="S8" s="18" t="s">
        <v>336</v>
      </c>
      <c r="T8" s="79" t="s">
        <v>337</v>
      </c>
      <c r="U8" s="102" t="s">
        <v>77</v>
      </c>
    </row>
    <row r="9" spans="1:22" x14ac:dyDescent="0.25">
      <c r="A9">
        <v>19</v>
      </c>
      <c r="B9" t="s">
        <v>338</v>
      </c>
      <c r="C9" t="s">
        <v>37</v>
      </c>
      <c r="D9" t="s">
        <v>339</v>
      </c>
      <c r="F9">
        <v>691805311</v>
      </c>
      <c r="G9">
        <v>1504.55</v>
      </c>
      <c r="H9">
        <v>179300</v>
      </c>
      <c r="I9" s="172">
        <v>7.0699999999999999E-2</v>
      </c>
      <c r="J9" t="s">
        <v>296</v>
      </c>
      <c r="K9" t="s">
        <v>331</v>
      </c>
      <c r="L9" t="s">
        <v>298</v>
      </c>
      <c r="M9" s="168" t="s">
        <v>316</v>
      </c>
      <c r="N9" t="s">
        <v>498</v>
      </c>
      <c r="O9" t="s">
        <v>317</v>
      </c>
      <c r="P9" s="18" t="s">
        <v>318</v>
      </c>
      <c r="Q9" s="18">
        <f>91.23*12</f>
        <v>1094.76</v>
      </c>
      <c r="R9" s="18">
        <v>724</v>
      </c>
      <c r="S9" s="18" t="s">
        <v>340</v>
      </c>
      <c r="T9" s="79" t="s">
        <v>118</v>
      </c>
      <c r="U9" s="13" t="s">
        <v>95</v>
      </c>
    </row>
    <row r="10" spans="1:22" x14ac:dyDescent="0.25">
      <c r="A10">
        <v>18</v>
      </c>
      <c r="B10" t="s">
        <v>341</v>
      </c>
      <c r="C10" t="s">
        <v>37</v>
      </c>
      <c r="D10" t="s">
        <v>339</v>
      </c>
      <c r="E10" t="s">
        <v>342</v>
      </c>
      <c r="F10">
        <v>211198205</v>
      </c>
      <c r="G10">
        <v>980.87</v>
      </c>
      <c r="H10">
        <v>128717</v>
      </c>
      <c r="I10" s="172">
        <v>3.3750000000000002E-2</v>
      </c>
      <c r="J10" t="s">
        <v>296</v>
      </c>
      <c r="K10" t="s">
        <v>307</v>
      </c>
      <c r="L10" t="s">
        <v>298</v>
      </c>
      <c r="M10" s="168" t="s">
        <v>299</v>
      </c>
      <c r="N10" t="s">
        <v>300</v>
      </c>
      <c r="O10" t="s">
        <v>343</v>
      </c>
      <c r="P10" s="18" t="s">
        <v>344</v>
      </c>
      <c r="Q10" s="18">
        <v>851</v>
      </c>
      <c r="R10" s="18">
        <v>851</v>
      </c>
      <c r="S10" t="s">
        <v>322</v>
      </c>
    </row>
    <row r="11" spans="1:22" x14ac:dyDescent="0.25">
      <c r="A11">
        <v>16</v>
      </c>
      <c r="B11" t="s">
        <v>345</v>
      </c>
      <c r="C11" t="s">
        <v>144</v>
      </c>
      <c r="D11" t="s">
        <v>346</v>
      </c>
      <c r="E11" t="s">
        <v>347</v>
      </c>
      <c r="F11">
        <v>623844180</v>
      </c>
      <c r="G11">
        <v>992.77</v>
      </c>
      <c r="H11">
        <v>138964</v>
      </c>
      <c r="I11" s="172">
        <v>3.125E-2</v>
      </c>
      <c r="J11" t="s">
        <v>296</v>
      </c>
      <c r="K11" t="s">
        <v>297</v>
      </c>
      <c r="L11" t="s">
        <v>327</v>
      </c>
      <c r="M11" s="168" t="s">
        <v>299</v>
      </c>
      <c r="N11" t="s">
        <v>300</v>
      </c>
      <c r="Q11">
        <v>1606</v>
      </c>
      <c r="R11">
        <v>1081</v>
      </c>
      <c r="S11" s="18" t="s">
        <v>502</v>
      </c>
      <c r="T11" s="79" t="s">
        <v>348</v>
      </c>
      <c r="U11" s="79" t="s">
        <v>77</v>
      </c>
      <c r="V11" s="18" t="s">
        <v>499</v>
      </c>
    </row>
    <row r="12" spans="1:22" x14ac:dyDescent="0.25">
      <c r="A12">
        <v>13</v>
      </c>
      <c r="B12" t="s">
        <v>349</v>
      </c>
      <c r="C12" t="s">
        <v>37</v>
      </c>
      <c r="D12" t="s">
        <v>350</v>
      </c>
      <c r="E12" t="s">
        <v>351</v>
      </c>
      <c r="F12">
        <v>708108824</v>
      </c>
      <c r="G12">
        <v>795.86</v>
      </c>
      <c r="H12">
        <v>119194</v>
      </c>
      <c r="I12" s="172">
        <v>3.2500000000000001E-2</v>
      </c>
      <c r="J12" t="s">
        <v>296</v>
      </c>
      <c r="K12" t="s">
        <v>331</v>
      </c>
      <c r="L12" t="s">
        <v>298</v>
      </c>
      <c r="N12" t="s">
        <v>503</v>
      </c>
      <c r="P12" t="s">
        <v>504</v>
      </c>
      <c r="Q12">
        <f>175.23*12</f>
        <v>2102.7599999999998</v>
      </c>
      <c r="R12" s="18">
        <v>2102.7600000000002</v>
      </c>
      <c r="S12" s="79" t="s">
        <v>352</v>
      </c>
      <c r="T12" s="79" t="s">
        <v>141</v>
      </c>
      <c r="U12" s="79" t="s">
        <v>95</v>
      </c>
    </row>
    <row r="13" spans="1:22" ht="15.75" x14ac:dyDescent="0.3">
      <c r="A13">
        <v>28</v>
      </c>
      <c r="B13" t="s">
        <v>353</v>
      </c>
      <c r="C13" t="s">
        <v>144</v>
      </c>
      <c r="D13" t="s">
        <v>354</v>
      </c>
      <c r="E13" t="s">
        <v>355</v>
      </c>
      <c r="F13">
        <v>690297767</v>
      </c>
      <c r="G13">
        <v>1017.65</v>
      </c>
      <c r="H13">
        <v>122609.12</v>
      </c>
      <c r="I13" s="172">
        <v>4.4999999999999998E-2</v>
      </c>
      <c r="J13" t="s">
        <v>296</v>
      </c>
      <c r="K13" t="s">
        <v>297</v>
      </c>
      <c r="L13" t="s">
        <v>327</v>
      </c>
      <c r="M13" s="168" t="s">
        <v>299</v>
      </c>
      <c r="N13" t="s">
        <v>498</v>
      </c>
      <c r="Q13">
        <v>1190</v>
      </c>
      <c r="R13">
        <v>618</v>
      </c>
      <c r="S13" s="18" t="s">
        <v>336</v>
      </c>
      <c r="T13" s="18" t="s">
        <v>141</v>
      </c>
      <c r="U13" s="103" t="s">
        <v>95</v>
      </c>
    </row>
    <row r="15" spans="1:22" x14ac:dyDescent="0.25">
      <c r="Q15" t="s">
        <v>356</v>
      </c>
      <c r="R15">
        <f>SUM(Q2:Q13)-SUM(R2:R13)</f>
        <v>8695.92</v>
      </c>
    </row>
    <row r="16" spans="1:22" x14ac:dyDescent="0.25">
      <c r="H16" s="20" t="s">
        <v>508</v>
      </c>
      <c r="I16" s="175">
        <f>SUM(H2:H13)</f>
        <v>1243284.1200000001</v>
      </c>
    </row>
    <row r="17" spans="1:9" x14ac:dyDescent="0.25">
      <c r="H17" s="20" t="s">
        <v>507</v>
      </c>
      <c r="I17" s="174">
        <f>SUMPRODUCT(H1:H13,I1:I13)/SUM(H1:H13)</f>
        <v>4.9466005525752234E-2</v>
      </c>
    </row>
    <row r="24" spans="1:9" x14ac:dyDescent="0.25">
      <c r="A24" s="30" t="str">
        <f t="shared" ref="A24:C36" si="0">+A1</f>
        <v>Number</v>
      </c>
      <c r="B24" s="30" t="str">
        <f t="shared" si="0"/>
        <v xml:space="preserve">Property </v>
      </c>
      <c r="C24" s="30" t="str">
        <f t="shared" si="0"/>
        <v>Benificial Interest</v>
      </c>
      <c r="D24" s="30" t="s">
        <v>279</v>
      </c>
      <c r="E24" s="30" t="s">
        <v>357</v>
      </c>
      <c r="F24" s="30"/>
      <c r="G24" s="191" t="s">
        <v>358</v>
      </c>
      <c r="H24" s="191"/>
      <c r="I24" s="171"/>
    </row>
    <row r="25" spans="1:9" x14ac:dyDescent="0.25">
      <c r="A25">
        <f t="shared" si="0"/>
        <v>27</v>
      </c>
      <c r="B25" t="str">
        <f t="shared" si="0"/>
        <v>7001 Outrigger Rd</v>
      </c>
      <c r="C25" t="str">
        <f t="shared" si="0"/>
        <v>Heritage Management</v>
      </c>
      <c r="D25" t="str">
        <f t="shared" ref="D25:D36" si="1">+D2</f>
        <v>7001 Outrigger Drive Real Estate Trust date May 2, 2025</v>
      </c>
      <c r="E25" s="9" t="s">
        <v>85</v>
      </c>
      <c r="F25" s="9"/>
      <c r="G25" s="192" t="s">
        <v>85</v>
      </c>
      <c r="H25" s="192"/>
      <c r="I25" s="173"/>
    </row>
    <row r="26" spans="1:9" x14ac:dyDescent="0.25">
      <c r="A26">
        <f t="shared" si="0"/>
        <v>26</v>
      </c>
      <c r="B26" t="str">
        <f t="shared" si="0"/>
        <v>612 Britton Ct</v>
      </c>
      <c r="C26" t="str">
        <f t="shared" si="0"/>
        <v>BYH 401K</v>
      </c>
      <c r="D26" t="str">
        <f t="shared" si="1"/>
        <v>The Tunnard Real Estate Trust on 612 Brittion ct dated March, 5 2025</v>
      </c>
      <c r="E26" s="9" t="s">
        <v>359</v>
      </c>
      <c r="F26" s="9"/>
      <c r="G26" s="192" t="s">
        <v>85</v>
      </c>
      <c r="H26" s="192"/>
      <c r="I26" s="173"/>
    </row>
    <row r="27" spans="1:9" x14ac:dyDescent="0.25">
      <c r="A27">
        <f t="shared" si="0"/>
        <v>26</v>
      </c>
      <c r="B27" t="str">
        <f t="shared" si="0"/>
        <v>908 Pond St</v>
      </c>
      <c r="C27" t="str">
        <f t="shared" si="0"/>
        <v>Buy Your Home</v>
      </c>
      <c r="D27" t="str">
        <f t="shared" si="1"/>
        <v>908 Pond St Real Estate Trust dated March, 5 2025</v>
      </c>
      <c r="E27" s="9" t="s">
        <v>133</v>
      </c>
      <c r="F27" s="9"/>
      <c r="G27" s="192" t="s">
        <v>85</v>
      </c>
      <c r="H27" s="192"/>
      <c r="I27" s="173"/>
    </row>
    <row r="28" spans="1:9" x14ac:dyDescent="0.25">
      <c r="A28">
        <f t="shared" si="0"/>
        <v>24</v>
      </c>
      <c r="B28" t="str">
        <f t="shared" si="0"/>
        <v>4121 Tensity Dr</v>
      </c>
      <c r="C28" t="str">
        <f t="shared" si="0"/>
        <v>Heritage Management</v>
      </c>
      <c r="D28" t="str">
        <f t="shared" si="1"/>
        <v>The Tensity Dr Real Estate Trust date Jan 22, 2025</v>
      </c>
      <c r="E28" s="9" t="s">
        <v>360</v>
      </c>
      <c r="F28" s="9"/>
      <c r="G28" s="192" t="s">
        <v>85</v>
      </c>
      <c r="H28" s="192"/>
      <c r="I28" s="173"/>
    </row>
    <row r="29" spans="1:9" x14ac:dyDescent="0.25">
      <c r="A29">
        <f t="shared" si="0"/>
        <v>23</v>
      </c>
      <c r="B29" t="str">
        <f t="shared" si="0"/>
        <v>6316 Willowdell Dr</v>
      </c>
      <c r="C29" t="str">
        <f t="shared" si="0"/>
        <v>Sell Your Home</v>
      </c>
      <c r="D29" t="str">
        <f t="shared" si="1"/>
        <v>The 6316 Willowdell Drive Real Estate Trust date January 13, 2025</v>
      </c>
      <c r="E29" s="9" t="s">
        <v>85</v>
      </c>
      <c r="F29" s="9"/>
      <c r="G29" s="192" t="s">
        <v>85</v>
      </c>
      <c r="H29" s="192"/>
      <c r="I29" s="173"/>
    </row>
    <row r="30" spans="1:9" x14ac:dyDescent="0.25">
      <c r="A30">
        <f t="shared" si="0"/>
        <v>22</v>
      </c>
      <c r="B30" t="str">
        <f t="shared" si="0"/>
        <v>2325 Cool Springs Rd</v>
      </c>
      <c r="C30" t="str">
        <f t="shared" si="0"/>
        <v>Heritage Management</v>
      </c>
      <c r="D30" t="str">
        <f t="shared" si="1"/>
        <v>The Cool Springs Rd Real Estate Trust date Sep, 05,2024</v>
      </c>
      <c r="E30" s="9" t="s">
        <v>85</v>
      </c>
      <c r="F30" s="9"/>
      <c r="G30" s="192" t="s">
        <v>85</v>
      </c>
      <c r="H30" s="192"/>
      <c r="I30" s="173"/>
    </row>
    <row r="31" spans="1:9" x14ac:dyDescent="0.25">
      <c r="A31">
        <f t="shared" si="0"/>
        <v>21</v>
      </c>
      <c r="B31" t="str">
        <f t="shared" si="0"/>
        <v>1343 Old Buckhorn</v>
      </c>
      <c r="C31" t="str">
        <f t="shared" si="0"/>
        <v>Sell Your Home</v>
      </c>
      <c r="D31" t="str">
        <f t="shared" si="1"/>
        <v>The 1343 Old Buckhorn Real Estate Trust date April 10, 2024</v>
      </c>
      <c r="E31" s="9" t="s">
        <v>133</v>
      </c>
      <c r="F31" s="9"/>
      <c r="G31" s="192" t="s">
        <v>85</v>
      </c>
      <c r="H31" s="192"/>
      <c r="I31" s="173"/>
    </row>
    <row r="32" spans="1:9" x14ac:dyDescent="0.25">
      <c r="A32">
        <f t="shared" si="0"/>
        <v>19</v>
      </c>
      <c r="B32" t="str">
        <f t="shared" si="0"/>
        <v>115 Rosebrooks Dr</v>
      </c>
      <c r="C32" t="str">
        <f t="shared" si="0"/>
        <v>Buy Your Home</v>
      </c>
      <c r="D32" t="str">
        <f t="shared" si="1"/>
        <v>Buy  Your Home, LLC - need to go back into trust</v>
      </c>
      <c r="E32" s="9" t="s">
        <v>361</v>
      </c>
      <c r="F32" s="9"/>
      <c r="G32" s="192" t="s">
        <v>362</v>
      </c>
      <c r="H32" s="192"/>
      <c r="I32" s="173"/>
    </row>
    <row r="33" spans="1:9" x14ac:dyDescent="0.25">
      <c r="A33">
        <f t="shared" si="0"/>
        <v>18</v>
      </c>
      <c r="B33" t="str">
        <f t="shared" si="0"/>
        <v>1426 Pleasant Garden Ln</v>
      </c>
      <c r="C33" t="str">
        <f t="shared" si="0"/>
        <v>Buy Your Home</v>
      </c>
      <c r="D33" t="str">
        <f t="shared" si="1"/>
        <v>Buy  Your Home, LLC - need to go back into trust</v>
      </c>
      <c r="E33" s="9" t="s">
        <v>133</v>
      </c>
      <c r="F33" s="9"/>
      <c r="G33" s="192" t="s">
        <v>362</v>
      </c>
      <c r="H33" s="192"/>
      <c r="I33" s="173"/>
    </row>
    <row r="34" spans="1:9" x14ac:dyDescent="0.25">
      <c r="A34">
        <f t="shared" si="0"/>
        <v>16</v>
      </c>
      <c r="B34" t="str">
        <f t="shared" si="0"/>
        <v>3413 Pinetree Ln</v>
      </c>
      <c r="C34" t="str">
        <f t="shared" si="0"/>
        <v>Sell Your Home</v>
      </c>
      <c r="D34" t="str">
        <f t="shared" si="1"/>
        <v>The 3413 Pinetree Lane Real Estate Trust dated August 22,2023</v>
      </c>
      <c r="E34" s="9" t="s">
        <v>85</v>
      </c>
      <c r="F34" s="9"/>
      <c r="G34" s="192" t="s">
        <v>85</v>
      </c>
      <c r="H34" s="192"/>
      <c r="I34" s="173"/>
    </row>
    <row r="35" spans="1:9" x14ac:dyDescent="0.25">
      <c r="A35">
        <f t="shared" si="0"/>
        <v>13</v>
      </c>
      <c r="B35" t="str">
        <f t="shared" si="0"/>
        <v>2325 Banks Rd</v>
      </c>
      <c r="C35" t="str">
        <f t="shared" si="0"/>
        <v>Buy Your Home</v>
      </c>
      <c r="D35" t="str">
        <f t="shared" si="1"/>
        <v>3325 Banks Rd Trust dated July 1, 2021- BYH trustee</v>
      </c>
      <c r="E35" s="9" t="s">
        <v>133</v>
      </c>
      <c r="F35" s="9"/>
      <c r="G35" s="192" t="s">
        <v>85</v>
      </c>
      <c r="H35" s="192"/>
      <c r="I35" s="173"/>
    </row>
    <row r="36" spans="1:9" x14ac:dyDescent="0.25">
      <c r="A36">
        <f t="shared" si="0"/>
        <v>28</v>
      </c>
      <c r="B36" t="str">
        <f t="shared" si="0"/>
        <v>320 Rose Pl</v>
      </c>
      <c r="C36" t="str">
        <f t="shared" si="0"/>
        <v>Sell Your Home</v>
      </c>
      <c r="D36" t="str">
        <f t="shared" si="1"/>
        <v>320 Rose Pl Real Estate Trust dated June 17, 2025</v>
      </c>
      <c r="E36" s="9" t="s">
        <v>85</v>
      </c>
      <c r="F36" s="9"/>
      <c r="G36" s="192" t="s">
        <v>85</v>
      </c>
      <c r="H36" s="192"/>
      <c r="I36" s="173"/>
    </row>
  </sheetData>
  <autoFilter ref="A1:W13" xr:uid="{AF773272-307D-4B15-8926-3C39B6CB6FB2}">
    <filterColumn colId="9">
      <filters>
        <filter val="Open"/>
      </filters>
    </filterColumn>
  </autoFilter>
  <mergeCells count="13">
    <mergeCell ref="G29:H29"/>
    <mergeCell ref="G24:H24"/>
    <mergeCell ref="G25:H25"/>
    <mergeCell ref="G26:H26"/>
    <mergeCell ref="G27:H27"/>
    <mergeCell ref="G28:H28"/>
    <mergeCell ref="G36:H36"/>
    <mergeCell ref="G30:H30"/>
    <mergeCell ref="G31:H31"/>
    <mergeCell ref="G32:H32"/>
    <mergeCell ref="G33:H33"/>
    <mergeCell ref="G34:H34"/>
    <mergeCell ref="G35:H35"/>
  </mergeCells>
  <hyperlinks>
    <hyperlink ref="U2" r:id="rId1" display="w3638B0@" xr:uid="{D14A5B5A-FF92-419F-AB51-4482E89418BF}"/>
    <hyperlink ref="T9" r:id="rId2" xr:uid="{0F11831A-944C-48E3-A794-342D36F09394}"/>
    <hyperlink ref="S8" r:id="rId3" display="https://myaccount.shellpointmtg.com/" xr:uid="{837209DB-3414-4237-A95E-864E7A904D5C}"/>
    <hyperlink ref="T8" r:id="rId4" xr:uid="{22ADB5F6-584D-4321-8830-E3BC41221395}"/>
    <hyperlink ref="S12" r:id="rId5" xr:uid="{8D624DB8-08CF-40F7-B261-01E00D47EC50}"/>
    <hyperlink ref="U12" r:id="rId6" display="w3638B0@" xr:uid="{D11AD602-D901-4D49-90C7-2465E18BADF7}"/>
    <hyperlink ref="T12" r:id="rId7" xr:uid="{57F666FA-28CF-45E5-8A78-67571AD5145B}"/>
    <hyperlink ref="S3" r:id="rId8" xr:uid="{D8348FED-E7C6-440E-8865-85FE75C36D77}"/>
    <hyperlink ref="U11" r:id="rId9" xr:uid="{83C4801A-B231-401C-AC8D-A19D79FB59EF}"/>
    <hyperlink ref="S7" r:id="rId10" location="/login" xr:uid="{ED9ED62D-7D46-432A-B5E4-B99619CE5EF8}"/>
    <hyperlink ref="S13" r:id="rId11" display="https://myaccount.shellpointmtg.com/" xr:uid="{F984CC51-9F2F-4486-B784-826576392CC3}"/>
    <hyperlink ref="S2" r:id="rId12" location="/login" xr:uid="{1643984F-54A5-4860-B02E-E8C6E8273278}"/>
    <hyperlink ref="T13" r:id="rId13" xr:uid="{ED26EF4B-A55C-4906-9195-A8099D936775}"/>
    <hyperlink ref="T4" r:id="rId14" xr:uid="{640070DC-2825-42E9-ABB6-212CAC8E1C1F}"/>
    <hyperlink ref="U4" r:id="rId15" xr:uid="{4E243A4E-36FF-420E-BEA2-6E8243071DFF}"/>
    <hyperlink ref="S4" r:id="rId16" xr:uid="{185E0D84-C1A5-4BFF-B007-9CD73B47C027}"/>
    <hyperlink ref="P7" r:id="rId17" xr:uid="{F59C0C6E-83D3-4612-BF91-8CFCC5C5D583}"/>
    <hyperlink ref="P10" r:id="rId18" xr:uid="{A39866D5-97BC-42D9-9209-4DED11C03AB8}"/>
    <hyperlink ref="P4" r:id="rId19" xr:uid="{704DA55E-C8D1-46E1-9553-858D869B52E4}"/>
    <hyperlink ref="P9" r:id="rId20" xr:uid="{B64CA0A6-6587-4914-A316-8E68F7DAB9AD}"/>
    <hyperlink ref="T11" r:id="rId21" xr:uid="{09723842-A689-4C9C-BD9E-7FEBB60FAA73}"/>
    <hyperlink ref="S9" r:id="rId22" xr:uid="{669A5ABF-8647-4C23-BB21-638511F54FDF}"/>
    <hyperlink ref="S11" r:id="rId23" xr:uid="{62BA9B64-8295-4DCA-BA2F-C9556BC1D179}"/>
    <hyperlink ref="V11" r:id="rId24" xr:uid="{DB07DD52-392D-4BBE-9214-27B8F703AD40}"/>
  </hyperlinks>
  <pageMargins left="0.7" right="0.7" top="0.75" bottom="0.75" header="0.3" footer="0.3"/>
  <pageSetup orientation="portrait" r:id="rId2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44F-C036-47BA-B472-F34B26FC3E56}">
  <sheetPr codeName="Sheet5" filterMode="1"/>
  <dimension ref="A1:W36"/>
  <sheetViews>
    <sheetView workbookViewId="0">
      <selection activeCell="D34" sqref="D34"/>
    </sheetView>
  </sheetViews>
  <sheetFormatPr defaultRowHeight="15" x14ac:dyDescent="0.25"/>
  <cols>
    <col min="2" max="2" width="18" bestFit="1" customWidth="1"/>
    <col min="3" max="3" width="21.5703125" bestFit="1" customWidth="1"/>
    <col min="4" max="4" width="10.140625" style="8" bestFit="1" customWidth="1"/>
    <col min="5" max="5" width="11.5703125" style="59" customWidth="1"/>
    <col min="6" max="6" width="14.140625" style="81" customWidth="1"/>
    <col min="7" max="7" width="13" style="81" customWidth="1"/>
    <col min="8" max="8" width="8.42578125" style="74" bestFit="1" customWidth="1"/>
    <col min="9" max="9" width="16.42578125" style="19" bestFit="1" customWidth="1"/>
    <col min="10" max="10" width="10.42578125" style="19" customWidth="1"/>
    <col min="11" max="11" width="10.28515625" customWidth="1"/>
    <col min="12" max="12" width="13.42578125" customWidth="1"/>
    <col min="14" max="14" width="10.140625" style="9" customWidth="1"/>
    <col min="15" max="15" width="62.5703125" bestFit="1" customWidth="1"/>
    <col min="18" max="18" width="16.140625" bestFit="1" customWidth="1"/>
    <col min="21" max="21" width="16.140625" bestFit="1" customWidth="1"/>
  </cols>
  <sheetData>
    <row r="1" spans="1:14" x14ac:dyDescent="0.25">
      <c r="B1" s="35" t="s">
        <v>363</v>
      </c>
      <c r="C1" s="80">
        <f>+SUM(D4:D13)</f>
        <v>672017.01</v>
      </c>
    </row>
    <row r="3" spans="1:14" s="30" customFormat="1" ht="30" x14ac:dyDescent="0.25">
      <c r="A3" s="30" t="s">
        <v>364</v>
      </c>
      <c r="B3" s="82" t="s">
        <v>3</v>
      </c>
      <c r="C3" s="82" t="s">
        <v>365</v>
      </c>
      <c r="D3" s="83" t="s">
        <v>366</v>
      </c>
      <c r="E3" s="84" t="s">
        <v>367</v>
      </c>
      <c r="F3" s="85" t="s">
        <v>368</v>
      </c>
      <c r="G3" s="85" t="s">
        <v>369</v>
      </c>
      <c r="H3" s="86" t="s">
        <v>370</v>
      </c>
      <c r="I3" s="55" t="s">
        <v>371</v>
      </c>
      <c r="J3" s="55" t="s">
        <v>372</v>
      </c>
      <c r="K3" s="55" t="s">
        <v>373</v>
      </c>
      <c r="L3" s="55" t="s">
        <v>374</v>
      </c>
      <c r="M3" s="82" t="s">
        <v>283</v>
      </c>
      <c r="N3" s="55" t="s">
        <v>375</v>
      </c>
    </row>
    <row r="4" spans="1:14" s="36" customFormat="1" hidden="1" x14ac:dyDescent="0.25">
      <c r="B4" s="36" t="s">
        <v>376</v>
      </c>
      <c r="C4" s="36" t="s">
        <v>377</v>
      </c>
      <c r="D4" s="10">
        <v>30000</v>
      </c>
      <c r="E4" s="87">
        <v>0.1</v>
      </c>
      <c r="F4" s="88">
        <v>44013</v>
      </c>
      <c r="G4" s="88">
        <v>44281</v>
      </c>
      <c r="H4" s="74">
        <f t="shared" ref="H4:H32" si="0">+_xlfn.DAYS(G4,F4)</f>
        <v>268</v>
      </c>
      <c r="I4" s="89">
        <f>D4*DAYS360(F4,G4)*E4/365</f>
        <v>2178.0821917808221</v>
      </c>
      <c r="J4" s="89"/>
      <c r="M4" s="36" t="s">
        <v>326</v>
      </c>
      <c r="N4" s="90"/>
    </row>
    <row r="5" spans="1:14" hidden="1" x14ac:dyDescent="0.25">
      <c r="B5" t="s">
        <v>378</v>
      </c>
      <c r="C5" t="s">
        <v>379</v>
      </c>
      <c r="D5" s="8">
        <v>42000</v>
      </c>
      <c r="E5" s="59">
        <v>0.1</v>
      </c>
      <c r="F5" s="81">
        <v>44197</v>
      </c>
      <c r="G5" s="81">
        <v>44334</v>
      </c>
      <c r="H5" s="74">
        <f t="shared" si="0"/>
        <v>137</v>
      </c>
      <c r="I5" s="19">
        <v>2100</v>
      </c>
      <c r="M5" t="s">
        <v>380</v>
      </c>
    </row>
    <row r="6" spans="1:14" hidden="1" x14ac:dyDescent="0.25">
      <c r="B6" t="s">
        <v>376</v>
      </c>
      <c r="C6" t="s">
        <v>362</v>
      </c>
      <c r="D6" s="8">
        <v>95000</v>
      </c>
      <c r="E6" s="59">
        <v>0.12</v>
      </c>
      <c r="F6" s="81">
        <v>44285</v>
      </c>
      <c r="G6" s="81">
        <v>44377</v>
      </c>
      <c r="H6" s="74">
        <f t="shared" si="0"/>
        <v>92</v>
      </c>
      <c r="I6" s="19">
        <f>D6*DAYS360(F6,G6)*E6/365</f>
        <v>2810.9589041095892</v>
      </c>
      <c r="M6" t="s">
        <v>326</v>
      </c>
    </row>
    <row r="7" spans="1:14" hidden="1" x14ac:dyDescent="0.25">
      <c r="B7" t="s">
        <v>376</v>
      </c>
      <c r="C7" t="s">
        <v>381</v>
      </c>
      <c r="D7" s="8">
        <v>95000</v>
      </c>
      <c r="E7" s="59">
        <v>0.1</v>
      </c>
      <c r="F7" s="81">
        <v>44377</v>
      </c>
      <c r="G7" s="81">
        <v>44672</v>
      </c>
      <c r="H7" s="74">
        <f t="shared" si="0"/>
        <v>295</v>
      </c>
      <c r="I7" s="19">
        <v>7573.29</v>
      </c>
      <c r="M7" t="s">
        <v>326</v>
      </c>
    </row>
    <row r="8" spans="1:14" hidden="1" x14ac:dyDescent="0.25">
      <c r="B8" t="s">
        <v>382</v>
      </c>
      <c r="C8" t="s">
        <v>383</v>
      </c>
      <c r="D8" s="8">
        <v>65017.01</v>
      </c>
      <c r="E8" s="59">
        <v>0.01</v>
      </c>
      <c r="F8" s="81">
        <v>44236</v>
      </c>
      <c r="G8" s="81">
        <v>44438</v>
      </c>
      <c r="H8" s="74">
        <f t="shared" si="0"/>
        <v>202</v>
      </c>
      <c r="I8" s="19">
        <f>D8*DAYS360(F8,G8)*E8/365</f>
        <v>358.03887698630137</v>
      </c>
      <c r="J8" s="19">
        <v>541.80999999999995</v>
      </c>
      <c r="K8" s="74">
        <v>6</v>
      </c>
      <c r="L8" s="19">
        <f t="shared" ref="L8:L22" si="1">+(J8*K8)-I8</f>
        <v>2892.8211230136985</v>
      </c>
      <c r="M8" t="s">
        <v>326</v>
      </c>
      <c r="N8" s="91"/>
    </row>
    <row r="9" spans="1:14" hidden="1" x14ac:dyDescent="0.25">
      <c r="B9" t="s">
        <v>384</v>
      </c>
      <c r="C9" t="s">
        <v>385</v>
      </c>
      <c r="D9" s="8">
        <v>100000</v>
      </c>
      <c r="E9" s="59">
        <v>0.1</v>
      </c>
      <c r="F9" s="81">
        <v>44606</v>
      </c>
      <c r="G9" s="81">
        <v>44788</v>
      </c>
      <c r="H9" s="74">
        <f t="shared" si="0"/>
        <v>182</v>
      </c>
      <c r="I9" s="19">
        <f>D9*DAYS360(F9,G9)*E9/365</f>
        <v>4958.9041095890407</v>
      </c>
      <c r="J9" s="19">
        <f t="shared" ref="J9:J10" si="2">+I9/12</f>
        <v>413.24200913242004</v>
      </c>
      <c r="K9" s="74">
        <v>6</v>
      </c>
      <c r="L9" s="19">
        <f t="shared" si="1"/>
        <v>-2479.4520547945203</v>
      </c>
      <c r="M9" t="s">
        <v>326</v>
      </c>
      <c r="N9" s="91"/>
    </row>
    <row r="10" spans="1:14" hidden="1" x14ac:dyDescent="0.25">
      <c r="A10" t="s">
        <v>30</v>
      </c>
      <c r="B10" t="s">
        <v>384</v>
      </c>
      <c r="D10" s="8">
        <v>100000</v>
      </c>
      <c r="E10" s="59">
        <v>0.12</v>
      </c>
      <c r="F10" s="81">
        <v>44697</v>
      </c>
      <c r="G10" s="81">
        <v>45062</v>
      </c>
      <c r="H10" s="74">
        <f t="shared" si="0"/>
        <v>365</v>
      </c>
      <c r="I10" s="19">
        <f t="shared" ref="I10:I13" si="3">D10*H10*E10/365</f>
        <v>12000</v>
      </c>
      <c r="J10" s="19">
        <f t="shared" si="2"/>
        <v>1000</v>
      </c>
      <c r="K10" s="74">
        <v>8</v>
      </c>
      <c r="L10" s="19">
        <f t="shared" si="1"/>
        <v>-4000</v>
      </c>
      <c r="M10" t="s">
        <v>326</v>
      </c>
      <c r="N10" s="91"/>
    </row>
    <row r="11" spans="1:14" hidden="1" x14ac:dyDescent="0.25">
      <c r="A11" t="s">
        <v>123</v>
      </c>
      <c r="B11" t="s">
        <v>386</v>
      </c>
      <c r="C11" t="s">
        <v>387</v>
      </c>
      <c r="D11" s="8">
        <v>30000</v>
      </c>
      <c r="E11" s="59">
        <v>0.1</v>
      </c>
      <c r="F11" s="81">
        <v>44708</v>
      </c>
      <c r="G11" s="81">
        <v>45175</v>
      </c>
      <c r="H11" s="74">
        <f t="shared" si="0"/>
        <v>467</v>
      </c>
      <c r="I11" s="19">
        <f t="shared" si="3"/>
        <v>3838.3561643835615</v>
      </c>
      <c r="J11" s="19">
        <f>+D11*E11/12</f>
        <v>250</v>
      </c>
      <c r="K11" s="74">
        <v>16</v>
      </c>
      <c r="L11" s="19">
        <f t="shared" si="1"/>
        <v>161.64383561643854</v>
      </c>
      <c r="M11" t="s">
        <v>326</v>
      </c>
    </row>
    <row r="12" spans="1:14" hidden="1" x14ac:dyDescent="0.25">
      <c r="A12" t="s">
        <v>30</v>
      </c>
      <c r="B12" t="s">
        <v>388</v>
      </c>
      <c r="C12" t="s">
        <v>389</v>
      </c>
      <c r="D12" s="8">
        <v>15000</v>
      </c>
      <c r="E12" s="59">
        <v>0.1</v>
      </c>
      <c r="F12" s="81">
        <v>44795</v>
      </c>
      <c r="G12" s="81">
        <v>45034</v>
      </c>
      <c r="H12" s="74">
        <f t="shared" si="0"/>
        <v>239</v>
      </c>
      <c r="I12" s="19">
        <f t="shared" si="3"/>
        <v>982.19178082191786</v>
      </c>
      <c r="J12" s="19">
        <f t="shared" ref="J12:J30" si="4">+D12*E12/12</f>
        <v>125</v>
      </c>
      <c r="K12" s="74"/>
      <c r="L12" s="19">
        <f t="shared" si="1"/>
        <v>-982.19178082191786</v>
      </c>
      <c r="M12" t="s">
        <v>326</v>
      </c>
    </row>
    <row r="13" spans="1:14" hidden="1" x14ac:dyDescent="0.25">
      <c r="A13" t="s">
        <v>30</v>
      </c>
      <c r="B13" t="s">
        <v>384</v>
      </c>
      <c r="C13" t="s">
        <v>389</v>
      </c>
      <c r="D13" s="8">
        <v>100000</v>
      </c>
      <c r="E13" s="59">
        <v>0.1</v>
      </c>
      <c r="F13" s="81">
        <v>44867</v>
      </c>
      <c r="G13" s="81">
        <v>45034</v>
      </c>
      <c r="H13" s="74">
        <f t="shared" si="0"/>
        <v>167</v>
      </c>
      <c r="I13" s="19">
        <f t="shared" si="3"/>
        <v>4575.3424657534242</v>
      </c>
      <c r="J13" s="19">
        <f t="shared" si="4"/>
        <v>833.33333333333337</v>
      </c>
      <c r="K13" s="74"/>
      <c r="L13" s="19">
        <f t="shared" si="1"/>
        <v>-4575.3424657534242</v>
      </c>
      <c r="M13" t="s">
        <v>326</v>
      </c>
    </row>
    <row r="14" spans="1:14" hidden="1" x14ac:dyDescent="0.25">
      <c r="A14" t="s">
        <v>123</v>
      </c>
      <c r="B14" t="s">
        <v>390</v>
      </c>
      <c r="C14" t="s">
        <v>391</v>
      </c>
      <c r="D14" s="8">
        <v>36000</v>
      </c>
      <c r="E14" s="59">
        <v>0.1</v>
      </c>
      <c r="F14" s="81">
        <v>44956</v>
      </c>
      <c r="G14" s="81">
        <v>45175</v>
      </c>
      <c r="H14" s="74">
        <f t="shared" si="0"/>
        <v>219</v>
      </c>
      <c r="I14" s="19">
        <f>D14*H14*E14/365</f>
        <v>2160</v>
      </c>
      <c r="J14" s="19">
        <f t="shared" si="4"/>
        <v>300</v>
      </c>
      <c r="K14" s="74">
        <v>6</v>
      </c>
      <c r="L14" s="19">
        <f t="shared" si="1"/>
        <v>-360</v>
      </c>
      <c r="M14" t="s">
        <v>326</v>
      </c>
    </row>
    <row r="15" spans="1:14" hidden="1" x14ac:dyDescent="0.25">
      <c r="A15" t="s">
        <v>123</v>
      </c>
      <c r="B15" t="s">
        <v>384</v>
      </c>
      <c r="C15" t="s">
        <v>391</v>
      </c>
      <c r="D15" s="8">
        <v>75000</v>
      </c>
      <c r="E15" s="59">
        <v>0.1</v>
      </c>
      <c r="F15" s="81">
        <v>45034</v>
      </c>
      <c r="G15" s="81">
        <v>45175</v>
      </c>
      <c r="H15" s="74">
        <f t="shared" si="0"/>
        <v>141</v>
      </c>
      <c r="I15" s="19">
        <f t="shared" ref="I15:I26" si="5">D15*H15*E15/365</f>
        <v>2897.2602739726026</v>
      </c>
      <c r="J15" s="19">
        <f t="shared" si="4"/>
        <v>625</v>
      </c>
      <c r="K15" s="74">
        <v>4</v>
      </c>
      <c r="L15" s="19">
        <f t="shared" si="1"/>
        <v>-397.26027397260259</v>
      </c>
      <c r="M15" t="s">
        <v>326</v>
      </c>
    </row>
    <row r="16" spans="1:14" x14ac:dyDescent="0.25">
      <c r="A16" t="s">
        <v>30</v>
      </c>
      <c r="B16" t="s">
        <v>392</v>
      </c>
      <c r="C16" t="s">
        <v>381</v>
      </c>
      <c r="D16" s="8">
        <v>75000</v>
      </c>
      <c r="E16" s="59">
        <v>0.1</v>
      </c>
      <c r="F16" s="81">
        <v>44701</v>
      </c>
      <c r="G16" s="81">
        <v>45432</v>
      </c>
      <c r="H16" s="74">
        <f>+_xlfn.DAYS(G16,F16)</f>
        <v>731</v>
      </c>
      <c r="I16" s="19">
        <f>D16*H16*E16/365</f>
        <v>15020.547945205479</v>
      </c>
      <c r="J16" s="19">
        <f t="shared" si="4"/>
        <v>625</v>
      </c>
      <c r="K16" s="74"/>
      <c r="L16" s="19">
        <f>+(J16*K16)-I16</f>
        <v>-15020.547945205479</v>
      </c>
      <c r="M16" t="s">
        <v>296</v>
      </c>
    </row>
    <row r="17" spans="1:23" hidden="1" x14ac:dyDescent="0.25">
      <c r="A17" t="s">
        <v>123</v>
      </c>
      <c r="B17" t="s">
        <v>393</v>
      </c>
      <c r="C17" t="s">
        <v>394</v>
      </c>
      <c r="D17" s="8">
        <v>85000</v>
      </c>
      <c r="E17" s="59">
        <v>0.03</v>
      </c>
      <c r="F17" s="81">
        <v>44722</v>
      </c>
      <c r="G17" s="81">
        <v>45087</v>
      </c>
      <c r="H17" s="74">
        <f t="shared" ref="H17:H18" si="6">+_xlfn.DAYS(G17,F17)</f>
        <v>365</v>
      </c>
      <c r="I17" s="19">
        <f>D17*H17*E17/365</f>
        <v>2550</v>
      </c>
      <c r="J17" s="19">
        <f>+I17/12</f>
        <v>212.5</v>
      </c>
      <c r="K17" s="74"/>
      <c r="L17" s="19">
        <f>+(J17*K17)-I17</f>
        <v>-2550</v>
      </c>
      <c r="M17" t="s">
        <v>326</v>
      </c>
      <c r="O17" t="s">
        <v>395</v>
      </c>
    </row>
    <row r="18" spans="1:23" hidden="1" x14ac:dyDescent="0.25">
      <c r="A18" t="s">
        <v>123</v>
      </c>
      <c r="B18" t="s">
        <v>390</v>
      </c>
      <c r="C18" t="s">
        <v>396</v>
      </c>
      <c r="D18" s="8">
        <v>100300</v>
      </c>
      <c r="E18" s="59">
        <v>0.1</v>
      </c>
      <c r="F18" s="81">
        <v>44841</v>
      </c>
      <c r="G18" s="81">
        <v>45291</v>
      </c>
      <c r="H18" s="74">
        <f t="shared" si="6"/>
        <v>450</v>
      </c>
      <c r="I18" s="19">
        <f>D18*H18*E18/365</f>
        <v>12365.753424657534</v>
      </c>
      <c r="J18" s="19">
        <f>+D18*E18/12</f>
        <v>835.83333333333337</v>
      </c>
      <c r="K18" s="74"/>
      <c r="L18" s="19">
        <f t="shared" ref="L18" si="7">+(J18*K18)-I18</f>
        <v>-12365.753424657534</v>
      </c>
      <c r="M18" t="s">
        <v>326</v>
      </c>
      <c r="O18" s="92">
        <f>+D18+I18</f>
        <v>112665.75342465754</v>
      </c>
    </row>
    <row r="19" spans="1:23" hidden="1" x14ac:dyDescent="0.25">
      <c r="A19" t="s">
        <v>123</v>
      </c>
      <c r="B19" t="s">
        <v>386</v>
      </c>
      <c r="C19" t="s">
        <v>381</v>
      </c>
      <c r="D19" s="8">
        <v>30000</v>
      </c>
      <c r="E19" s="59">
        <v>0.1</v>
      </c>
      <c r="F19" s="81">
        <v>45194</v>
      </c>
      <c r="G19" s="81">
        <v>45626</v>
      </c>
      <c r="H19" s="74">
        <f t="shared" si="0"/>
        <v>432</v>
      </c>
      <c r="I19" s="19">
        <f t="shared" si="5"/>
        <v>3550.6849315068494</v>
      </c>
      <c r="J19" s="19">
        <f t="shared" si="4"/>
        <v>250</v>
      </c>
      <c r="K19" s="74"/>
      <c r="L19" s="19">
        <f t="shared" si="1"/>
        <v>-3550.6849315068494</v>
      </c>
      <c r="M19" t="s">
        <v>326</v>
      </c>
    </row>
    <row r="20" spans="1:23" hidden="1" x14ac:dyDescent="0.25">
      <c r="A20" t="s">
        <v>30</v>
      </c>
      <c r="B20" t="s">
        <v>390</v>
      </c>
      <c r="C20" t="s">
        <v>341</v>
      </c>
      <c r="D20" s="8">
        <v>36000</v>
      </c>
      <c r="E20" s="59">
        <v>0.1</v>
      </c>
      <c r="F20" s="81">
        <v>45203</v>
      </c>
      <c r="G20" s="81">
        <v>45934</v>
      </c>
      <c r="H20" s="74">
        <f t="shared" si="0"/>
        <v>731</v>
      </c>
      <c r="I20" s="19">
        <f t="shared" si="5"/>
        <v>7209.8630136986303</v>
      </c>
      <c r="J20" s="19">
        <f t="shared" si="4"/>
        <v>300</v>
      </c>
      <c r="K20" s="74">
        <v>6</v>
      </c>
      <c r="L20" s="19">
        <f t="shared" si="1"/>
        <v>-5409.8630136986303</v>
      </c>
      <c r="M20" t="s">
        <v>296</v>
      </c>
    </row>
    <row r="21" spans="1:23" x14ac:dyDescent="0.25">
      <c r="A21" t="s">
        <v>30</v>
      </c>
      <c r="B21" t="s">
        <v>392</v>
      </c>
      <c r="C21" t="s">
        <v>341</v>
      </c>
      <c r="D21" s="8">
        <v>75000</v>
      </c>
      <c r="E21" s="59">
        <v>0.1</v>
      </c>
      <c r="F21" s="81">
        <v>45212</v>
      </c>
      <c r="G21" s="81">
        <v>45573</v>
      </c>
      <c r="H21" s="74">
        <f t="shared" si="0"/>
        <v>361</v>
      </c>
      <c r="I21" s="19">
        <f t="shared" si="5"/>
        <v>7417.8082191780823</v>
      </c>
      <c r="J21" s="19">
        <f t="shared" si="4"/>
        <v>625</v>
      </c>
      <c r="K21" s="74">
        <v>6</v>
      </c>
      <c r="L21" s="19">
        <f t="shared" si="1"/>
        <v>-3667.8082191780823</v>
      </c>
      <c r="M21" t="s">
        <v>296</v>
      </c>
    </row>
    <row r="22" spans="1:23" x14ac:dyDescent="0.25">
      <c r="A22" t="s">
        <v>30</v>
      </c>
      <c r="B22" t="s">
        <v>392</v>
      </c>
      <c r="C22" t="s">
        <v>338</v>
      </c>
      <c r="D22" s="8">
        <v>75000</v>
      </c>
      <c r="E22" s="59">
        <v>0.1</v>
      </c>
      <c r="F22" s="81">
        <v>45307</v>
      </c>
      <c r="G22" s="81">
        <v>45573</v>
      </c>
      <c r="H22" s="74">
        <f t="shared" si="0"/>
        <v>266</v>
      </c>
      <c r="I22" s="19">
        <f t="shared" si="5"/>
        <v>5465.7534246575342</v>
      </c>
      <c r="J22" s="19">
        <f t="shared" si="4"/>
        <v>625</v>
      </c>
      <c r="K22" s="74">
        <v>9</v>
      </c>
      <c r="L22" s="19">
        <f t="shared" si="1"/>
        <v>159.2465753424658</v>
      </c>
      <c r="M22" t="s">
        <v>326</v>
      </c>
    </row>
    <row r="23" spans="1:23" hidden="1" x14ac:dyDescent="0.25">
      <c r="A23" t="s">
        <v>30</v>
      </c>
      <c r="B23" t="s">
        <v>397</v>
      </c>
      <c r="C23" t="s">
        <v>398</v>
      </c>
      <c r="D23" s="8">
        <v>35000</v>
      </c>
      <c r="E23" s="59">
        <v>0.03</v>
      </c>
      <c r="F23" s="93">
        <v>45248</v>
      </c>
      <c r="G23" s="81">
        <v>45327</v>
      </c>
      <c r="H23" s="74">
        <f t="shared" si="0"/>
        <v>79</v>
      </c>
      <c r="I23" s="19">
        <f t="shared" si="5"/>
        <v>227.26027397260273</v>
      </c>
      <c r="J23" s="19">
        <f t="shared" si="4"/>
        <v>87.5</v>
      </c>
      <c r="M23" t="s">
        <v>326</v>
      </c>
      <c r="N23" s="9" t="s">
        <v>399</v>
      </c>
    </row>
    <row r="24" spans="1:23" hidden="1" x14ac:dyDescent="0.25">
      <c r="A24" t="s">
        <v>30</v>
      </c>
      <c r="B24" t="s">
        <v>397</v>
      </c>
      <c r="C24" t="s">
        <v>398</v>
      </c>
      <c r="D24" s="8">
        <v>20000</v>
      </c>
      <c r="E24" s="59">
        <v>0.03</v>
      </c>
      <c r="F24" s="93">
        <v>45327</v>
      </c>
      <c r="G24" s="81">
        <v>45327</v>
      </c>
      <c r="H24" s="74">
        <f t="shared" si="0"/>
        <v>0</v>
      </c>
      <c r="I24" s="19">
        <f t="shared" si="5"/>
        <v>0</v>
      </c>
      <c r="J24" s="19">
        <f t="shared" si="4"/>
        <v>50</v>
      </c>
      <c r="N24" s="9" t="s">
        <v>399</v>
      </c>
    </row>
    <row r="25" spans="1:23" hidden="1" x14ac:dyDescent="0.25">
      <c r="A25" t="s">
        <v>123</v>
      </c>
      <c r="B25" t="s">
        <v>400</v>
      </c>
      <c r="C25" t="s">
        <v>401</v>
      </c>
      <c r="D25" s="8">
        <v>22000</v>
      </c>
      <c r="E25" s="59">
        <v>0.1</v>
      </c>
      <c r="F25" s="93">
        <v>45250</v>
      </c>
      <c r="G25" s="81">
        <v>45311</v>
      </c>
      <c r="H25" s="74">
        <f t="shared" si="0"/>
        <v>61</v>
      </c>
      <c r="I25" s="19">
        <f t="shared" si="5"/>
        <v>367.67123287671234</v>
      </c>
      <c r="J25" s="19">
        <f t="shared" si="4"/>
        <v>183.33333333333334</v>
      </c>
      <c r="M25" t="s">
        <v>380</v>
      </c>
      <c r="N25" s="9" t="s">
        <v>402</v>
      </c>
    </row>
    <row r="26" spans="1:23" hidden="1" x14ac:dyDescent="0.25">
      <c r="A26" t="s">
        <v>123</v>
      </c>
      <c r="B26" t="s">
        <v>400</v>
      </c>
      <c r="C26" t="s">
        <v>401</v>
      </c>
      <c r="D26" s="8">
        <v>15000</v>
      </c>
      <c r="E26" s="59">
        <v>0.1</v>
      </c>
      <c r="F26" s="93">
        <v>45321</v>
      </c>
      <c r="G26" s="81">
        <v>45345</v>
      </c>
      <c r="H26" s="74">
        <f t="shared" si="0"/>
        <v>24</v>
      </c>
      <c r="I26" s="19">
        <f t="shared" si="5"/>
        <v>98.630136986301366</v>
      </c>
      <c r="J26" s="19">
        <f t="shared" si="4"/>
        <v>125</v>
      </c>
      <c r="M26" t="s">
        <v>380</v>
      </c>
      <c r="N26" s="9" t="s">
        <v>402</v>
      </c>
    </row>
    <row r="27" spans="1:23" hidden="1" x14ac:dyDescent="0.25">
      <c r="A27" t="s">
        <v>30</v>
      </c>
      <c r="B27" t="s">
        <v>397</v>
      </c>
      <c r="C27" t="s">
        <v>401</v>
      </c>
      <c r="D27" s="8">
        <v>10000</v>
      </c>
      <c r="E27" s="59">
        <v>0.12</v>
      </c>
      <c r="F27" s="93">
        <v>45248</v>
      </c>
      <c r="H27" s="74">
        <f t="shared" si="0"/>
        <v>-45248</v>
      </c>
      <c r="J27" s="19">
        <f t="shared" si="4"/>
        <v>100</v>
      </c>
      <c r="M27" t="s">
        <v>326</v>
      </c>
      <c r="N27" s="9" t="s">
        <v>403</v>
      </c>
    </row>
    <row r="28" spans="1:23" hidden="1" x14ac:dyDescent="0.25">
      <c r="A28" t="s">
        <v>123</v>
      </c>
      <c r="B28" t="s">
        <v>404</v>
      </c>
      <c r="C28" t="s">
        <v>401</v>
      </c>
      <c r="D28" s="8">
        <v>11000</v>
      </c>
      <c r="E28" s="59">
        <v>0.12</v>
      </c>
      <c r="F28" s="93">
        <v>45330</v>
      </c>
      <c r="G28" s="81">
        <v>45363</v>
      </c>
      <c r="H28" s="74">
        <f t="shared" si="0"/>
        <v>33</v>
      </c>
      <c r="I28" s="19">
        <f t="shared" ref="I28:I30" si="8">D28*H28*E28/365</f>
        <v>119.34246575342466</v>
      </c>
      <c r="J28" s="19">
        <f t="shared" si="4"/>
        <v>110</v>
      </c>
      <c r="M28" t="s">
        <v>326</v>
      </c>
      <c r="N28" s="9" t="s">
        <v>403</v>
      </c>
    </row>
    <row r="29" spans="1:23" x14ac:dyDescent="0.25">
      <c r="A29" t="s">
        <v>30</v>
      </c>
      <c r="B29" t="s">
        <v>392</v>
      </c>
      <c r="C29" t="s">
        <v>405</v>
      </c>
      <c r="D29" s="8">
        <v>75000</v>
      </c>
      <c r="E29" s="59">
        <v>0.1</v>
      </c>
      <c r="F29" s="81">
        <v>45573</v>
      </c>
      <c r="G29" s="81">
        <v>45968</v>
      </c>
      <c r="H29" s="74">
        <f t="shared" si="0"/>
        <v>395</v>
      </c>
      <c r="I29" s="19">
        <f t="shared" si="8"/>
        <v>8116.4383561643835</v>
      </c>
      <c r="J29" s="19">
        <f t="shared" si="4"/>
        <v>625</v>
      </c>
      <c r="K29" s="74">
        <v>13</v>
      </c>
      <c r="L29" s="19">
        <f t="shared" ref="L29:L32" si="9">+(J29*K29)-I29</f>
        <v>8.5616438356164508</v>
      </c>
      <c r="M29" t="s">
        <v>326</v>
      </c>
    </row>
    <row r="30" spans="1:23" x14ac:dyDescent="0.25">
      <c r="A30" t="s">
        <v>30</v>
      </c>
      <c r="B30" t="s">
        <v>392</v>
      </c>
      <c r="C30" t="s">
        <v>312</v>
      </c>
      <c r="D30" s="8">
        <v>100000</v>
      </c>
      <c r="E30" s="59">
        <v>0.11</v>
      </c>
      <c r="F30" s="81">
        <v>45722</v>
      </c>
      <c r="G30" s="81">
        <v>45930</v>
      </c>
      <c r="H30" s="74">
        <f t="shared" si="0"/>
        <v>208</v>
      </c>
      <c r="I30" s="19">
        <f t="shared" si="8"/>
        <v>6268.4931506849316</v>
      </c>
      <c r="J30" s="19">
        <f t="shared" si="4"/>
        <v>916.66666666666663</v>
      </c>
      <c r="K30" s="74">
        <v>7</v>
      </c>
      <c r="L30" s="19">
        <f t="shared" si="9"/>
        <v>148.17351598173445</v>
      </c>
      <c r="M30" t="s">
        <v>326</v>
      </c>
    </row>
    <row r="31" spans="1:23" hidden="1" x14ac:dyDescent="0.25">
      <c r="A31" t="s">
        <v>406</v>
      </c>
      <c r="B31" t="s">
        <v>390</v>
      </c>
      <c r="C31" t="s">
        <v>304</v>
      </c>
      <c r="D31" s="8">
        <v>100300</v>
      </c>
      <c r="E31" s="59">
        <v>0.1</v>
      </c>
      <c r="F31" s="81">
        <v>45754</v>
      </c>
      <c r="G31" s="81">
        <v>46484</v>
      </c>
      <c r="H31" s="74">
        <f t="shared" si="0"/>
        <v>730</v>
      </c>
      <c r="I31" s="19">
        <f>D31*H31*E31/365</f>
        <v>20060</v>
      </c>
      <c r="J31" s="19">
        <f>+D31*E31/12</f>
        <v>835.83333333333337</v>
      </c>
      <c r="K31" s="74"/>
      <c r="L31" s="19">
        <f t="shared" si="9"/>
        <v>-20060</v>
      </c>
      <c r="M31" t="s">
        <v>407</v>
      </c>
      <c r="O31" s="94" t="s">
        <v>408</v>
      </c>
      <c r="P31" s="95">
        <v>0.29699999999999999</v>
      </c>
      <c r="Q31" s="96">
        <f>+$J$31*P31</f>
        <v>248.24250000000001</v>
      </c>
      <c r="R31" s="94" t="s">
        <v>409</v>
      </c>
      <c r="S31" s="95">
        <v>0.45300000000000001</v>
      </c>
      <c r="T31" s="96">
        <f>+$J$31*S31</f>
        <v>378.63250000000005</v>
      </c>
      <c r="U31" s="94" t="s">
        <v>410</v>
      </c>
      <c r="V31" s="95">
        <v>0.25</v>
      </c>
      <c r="W31" s="96">
        <f>+$J$31*V31</f>
        <v>208.95833333333334</v>
      </c>
    </row>
    <row r="32" spans="1:23" hidden="1" x14ac:dyDescent="0.25">
      <c r="A32" t="s">
        <v>123</v>
      </c>
      <c r="B32" t="s">
        <v>411</v>
      </c>
      <c r="C32" t="s">
        <v>345</v>
      </c>
      <c r="D32" s="8">
        <v>30000</v>
      </c>
      <c r="E32" s="59">
        <v>0.03</v>
      </c>
      <c r="F32" s="81">
        <v>45156</v>
      </c>
      <c r="G32" s="81">
        <f ca="1">NOW()</f>
        <v>46188.333897800927</v>
      </c>
      <c r="H32" s="74">
        <f t="shared" ca="1" si="0"/>
        <v>1032</v>
      </c>
      <c r="I32" s="19">
        <f t="shared" ref="I32:I34" ca="1" si="10">D32*H32*E32/365</f>
        <v>2544.6575342465753</v>
      </c>
      <c r="J32" s="19">
        <v>0</v>
      </c>
      <c r="K32" s="74"/>
      <c r="L32" s="19">
        <f t="shared" ca="1" si="9"/>
        <v>-2544.6575342465753</v>
      </c>
      <c r="M32" t="s">
        <v>407</v>
      </c>
      <c r="O32" s="94" t="s">
        <v>408</v>
      </c>
      <c r="P32" s="95">
        <v>0.29699999999999999</v>
      </c>
      <c r="Q32" s="96">
        <f>+$I$31*P32</f>
        <v>5957.82</v>
      </c>
      <c r="R32" s="94" t="s">
        <v>409</v>
      </c>
      <c r="S32" s="95">
        <v>0.45300000000000001</v>
      </c>
      <c r="T32" s="96">
        <f>+$I$31*S32</f>
        <v>9087.18</v>
      </c>
      <c r="U32" s="94" t="s">
        <v>410</v>
      </c>
      <c r="V32" s="95">
        <v>0.25</v>
      </c>
      <c r="W32" s="96">
        <f>+$I$31*V32</f>
        <v>5015</v>
      </c>
    </row>
    <row r="33" spans="1:13" x14ac:dyDescent="0.25">
      <c r="A33" t="s">
        <v>30</v>
      </c>
      <c r="B33" t="s">
        <v>392</v>
      </c>
      <c r="C33" t="s">
        <v>320</v>
      </c>
      <c r="D33" s="8">
        <v>100000</v>
      </c>
      <c r="E33" s="59">
        <v>0.11</v>
      </c>
      <c r="F33" s="81">
        <v>45931</v>
      </c>
      <c r="G33" s="81">
        <v>46660</v>
      </c>
      <c r="H33" s="74">
        <f t="shared" ref="H33:H34" si="11">+_xlfn.DAYS(G33,F33)</f>
        <v>729</v>
      </c>
      <c r="I33" s="19">
        <f t="shared" si="10"/>
        <v>21969.863013698628</v>
      </c>
      <c r="J33" s="19">
        <f t="shared" ref="J33:J34" si="12">+D33*E33/12</f>
        <v>916.66666666666663</v>
      </c>
      <c r="K33" s="74">
        <v>0</v>
      </c>
      <c r="L33" s="19">
        <f t="shared" ref="L33:L34" si="13">+(J33*K33)-I33</f>
        <v>-21969.863013698628</v>
      </c>
      <c r="M33" t="s">
        <v>326</v>
      </c>
    </row>
    <row r="34" spans="1:13" x14ac:dyDescent="0.25">
      <c r="A34" t="s">
        <v>123</v>
      </c>
      <c r="B34" t="s">
        <v>392</v>
      </c>
      <c r="C34" t="s">
        <v>405</v>
      </c>
      <c r="D34" s="8">
        <v>75000</v>
      </c>
      <c r="E34" s="59">
        <v>0.1</v>
      </c>
      <c r="F34" s="81">
        <v>45540</v>
      </c>
      <c r="G34" s="81">
        <v>45991</v>
      </c>
      <c r="H34" s="74">
        <f t="shared" si="11"/>
        <v>451</v>
      </c>
      <c r="I34" s="19">
        <f t="shared" si="10"/>
        <v>9267.1232876712329</v>
      </c>
      <c r="J34" s="19">
        <f t="shared" si="12"/>
        <v>625</v>
      </c>
      <c r="K34" s="74">
        <v>13</v>
      </c>
      <c r="L34" s="19">
        <f t="shared" si="13"/>
        <v>-1142.1232876712329</v>
      </c>
      <c r="M34" t="s">
        <v>326</v>
      </c>
    </row>
    <row r="35" spans="1:13" x14ac:dyDescent="0.25">
      <c r="A35" t="s">
        <v>91</v>
      </c>
      <c r="B35" t="s">
        <v>392</v>
      </c>
      <c r="C35" t="s">
        <v>412</v>
      </c>
      <c r="D35" s="8">
        <v>75000</v>
      </c>
      <c r="E35" s="59">
        <v>0.1</v>
      </c>
      <c r="F35" s="81">
        <v>45992</v>
      </c>
      <c r="G35" s="81">
        <v>46751</v>
      </c>
      <c r="H35" s="74">
        <f t="shared" ref="H35:H36" si="14">+_xlfn.DAYS(G35,F35)</f>
        <v>759</v>
      </c>
      <c r="I35" s="19">
        <f t="shared" ref="I35:I36" si="15">D35*H35*E35/365</f>
        <v>15595.890410958904</v>
      </c>
      <c r="J35" s="19">
        <f t="shared" ref="J35:J36" si="16">+D35*E35/12</f>
        <v>625</v>
      </c>
      <c r="K35" s="74">
        <v>13</v>
      </c>
      <c r="L35" s="19">
        <f t="shared" ref="L35:L36" si="17">+(J35*K35)-I35</f>
        <v>-7470.8904109589039</v>
      </c>
      <c r="M35" t="s">
        <v>407</v>
      </c>
    </row>
    <row r="36" spans="1:13" x14ac:dyDescent="0.25">
      <c r="A36" t="s">
        <v>30</v>
      </c>
      <c r="B36" t="s">
        <v>392</v>
      </c>
      <c r="C36" t="s">
        <v>320</v>
      </c>
      <c r="D36" s="8">
        <v>100000</v>
      </c>
      <c r="E36" s="59">
        <v>0.11</v>
      </c>
      <c r="F36" s="81">
        <v>45931</v>
      </c>
      <c r="G36" s="81">
        <v>46690</v>
      </c>
      <c r="H36" s="74">
        <f t="shared" si="14"/>
        <v>759</v>
      </c>
      <c r="I36" s="19">
        <f t="shared" si="15"/>
        <v>22873.972602739726</v>
      </c>
      <c r="J36" s="19">
        <f t="shared" si="16"/>
        <v>916.66666666666663</v>
      </c>
      <c r="K36" s="74">
        <v>7</v>
      </c>
      <c r="L36" s="19">
        <f t="shared" si="17"/>
        <v>-16457.305936073062</v>
      </c>
      <c r="M36" t="s">
        <v>296</v>
      </c>
    </row>
  </sheetData>
  <autoFilter ref="A3:W36" xr:uid="{56B5B44F-C036-47BA-B472-F34B26FC3E56}">
    <filterColumn colId="1">
      <filters>
        <filter val="Neal Isaac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BD48-37FA-46E7-B99A-95C94FB2E1D9}">
  <sheetPr codeName="Sheet6"/>
  <dimension ref="A1:AA33"/>
  <sheetViews>
    <sheetView workbookViewId="0">
      <selection activeCell="N9" sqref="N9"/>
    </sheetView>
  </sheetViews>
  <sheetFormatPr defaultRowHeight="15" x14ac:dyDescent="0.25"/>
  <cols>
    <col min="1" max="1" width="11" customWidth="1"/>
    <col min="2" max="2" width="38.140625" bestFit="1" customWidth="1"/>
    <col min="3" max="3" width="10.5703125" customWidth="1"/>
    <col min="4" max="4" width="9.28515625" customWidth="1"/>
    <col min="5" max="5" width="37.42578125" style="113" bestFit="1" customWidth="1"/>
    <col min="6" max="12" width="9.5703125" style="113" customWidth="1"/>
    <col min="13" max="13" width="8.5703125" style="113" customWidth="1"/>
    <col min="14" max="14" width="8.7109375" customWidth="1"/>
    <col min="15" max="15" width="10.42578125" customWidth="1"/>
    <col min="16" max="16" width="7.28515625" customWidth="1"/>
    <col min="17" max="17" width="3.140625" customWidth="1"/>
    <col min="19" max="19" width="9.5703125" customWidth="1"/>
    <col min="20" max="20" width="7.7109375" customWidth="1"/>
    <col min="21" max="21" width="8.85546875" customWidth="1"/>
    <col min="22" max="23" width="7.7109375" customWidth="1"/>
    <col min="24" max="24" width="3.140625" customWidth="1"/>
    <col min="27" max="27" width="9.5703125" style="113" customWidth="1"/>
  </cols>
  <sheetData>
    <row r="1" spans="1:27" s="55" customFormat="1" ht="45.75" thickBot="1" x14ac:dyDescent="0.3">
      <c r="A1" s="106"/>
      <c r="B1" s="232"/>
      <c r="C1" s="233"/>
      <c r="D1" s="233"/>
      <c r="E1" s="107" t="s">
        <v>353</v>
      </c>
      <c r="F1" s="108" t="s">
        <v>413</v>
      </c>
      <c r="G1" s="108" t="s">
        <v>312</v>
      </c>
      <c r="H1" s="108" t="s">
        <v>414</v>
      </c>
      <c r="I1" s="109" t="s">
        <v>320</v>
      </c>
      <c r="J1" s="107" t="s">
        <v>415</v>
      </c>
      <c r="K1" s="109" t="s">
        <v>328</v>
      </c>
      <c r="L1" s="107" t="s">
        <v>416</v>
      </c>
      <c r="M1" s="109" t="s">
        <v>338</v>
      </c>
      <c r="N1" s="109" t="s">
        <v>417</v>
      </c>
      <c r="O1" s="107" t="s">
        <v>345</v>
      </c>
      <c r="P1" s="109" t="s">
        <v>418</v>
      </c>
      <c r="Q1" s="110"/>
      <c r="R1" s="111" t="s">
        <v>419</v>
      </c>
      <c r="S1" s="111" t="s">
        <v>420</v>
      </c>
      <c r="T1" s="111" t="s">
        <v>421</v>
      </c>
      <c r="U1" s="111" t="s">
        <v>422</v>
      </c>
      <c r="V1" s="111" t="s">
        <v>423</v>
      </c>
      <c r="W1" s="111" t="s">
        <v>424</v>
      </c>
      <c r="X1" s="110"/>
      <c r="Y1" s="112"/>
      <c r="AA1" s="113"/>
    </row>
    <row r="2" spans="1:27" ht="45.75" thickBot="1" x14ac:dyDescent="0.3">
      <c r="A2" s="114"/>
      <c r="B2" s="234" t="str">
        <f>+"Project Totals for the Year - "&amp; COUNT(E3:Q3) &amp; " Active Projects"</f>
        <v>Project Totals for the Year - 12 Active Projects</v>
      </c>
      <c r="C2" s="206"/>
      <c r="D2" s="203"/>
      <c r="E2" s="115" t="str">
        <f t="shared" ref="E2:P2" si="0">+E1</f>
        <v>320 Rose Pl</v>
      </c>
      <c r="F2" s="108" t="str">
        <f t="shared" si="0"/>
        <v>7001 Outrigger</v>
      </c>
      <c r="G2" s="108" t="str">
        <f t="shared" si="0"/>
        <v>908 Pond St</v>
      </c>
      <c r="H2" s="108" t="str">
        <f t="shared" si="0"/>
        <v>612 Britton  Ct</v>
      </c>
      <c r="I2" s="116" t="str">
        <f t="shared" si="0"/>
        <v>4121 Tensity Dr</v>
      </c>
      <c r="J2" s="115" t="str">
        <f t="shared" si="0"/>
        <v>6316 Willow Dell</v>
      </c>
      <c r="K2" s="116" t="str">
        <f t="shared" ref="K2:L2" si="1">+K1</f>
        <v>2325 Cool Springs Rd</v>
      </c>
      <c r="L2" s="115" t="str">
        <f t="shared" si="1"/>
        <v>1343 Old Buckhorn Rd</v>
      </c>
      <c r="M2" s="116" t="str">
        <f t="shared" si="0"/>
        <v>115 Rosebrooks Dr</v>
      </c>
      <c r="N2" s="116" t="str">
        <f t="shared" si="0"/>
        <v>1426 Pleasant Garden</v>
      </c>
      <c r="O2" s="115" t="str">
        <f t="shared" si="0"/>
        <v>3413 Pinetree Ln</v>
      </c>
      <c r="P2" s="116" t="str">
        <f t="shared" si="0"/>
        <v>3325 Banks</v>
      </c>
      <c r="Q2" s="117"/>
      <c r="R2" s="118">
        <f>+COUNTIFS('Past Projects'!$E$73:$H$73,"&gt;0")</f>
        <v>2</v>
      </c>
      <c r="S2" s="118">
        <f>+COUNTIFS('Past Projects'!$E$59:$G$59,"&gt;0")</f>
        <v>2</v>
      </c>
      <c r="T2" s="118">
        <f>+COUNTIFS('Past Projects'!$E$45:$G$45,"&gt;0")</f>
        <v>2</v>
      </c>
      <c r="U2" s="118">
        <f>+COUNTIFS('Past Projects'!$E$31:$H$31,"&gt;0")</f>
        <v>4</v>
      </c>
      <c r="V2" s="118">
        <f>+COUNTIFS('Past Projects'!$E$17:$H$17,"&gt;0")</f>
        <v>3</v>
      </c>
      <c r="W2" s="118">
        <f>+COUNTIFS('Past Projects'!$E$3:$H$3,"&gt;0")</f>
        <v>3</v>
      </c>
      <c r="X2" s="117"/>
      <c r="Z2" s="74"/>
    </row>
    <row r="3" spans="1:27" ht="15.75" thickBot="1" x14ac:dyDescent="0.3">
      <c r="A3" s="114"/>
      <c r="B3" s="119" t="s">
        <v>425</v>
      </c>
      <c r="C3" s="230">
        <f t="shared" ref="C3:C9" si="2">+SUM(E3:P3)</f>
        <v>4283800</v>
      </c>
      <c r="D3" s="231"/>
      <c r="E3" s="120">
        <f>+[1]Profit!$B$4</f>
        <v>330000</v>
      </c>
      <c r="F3" s="121">
        <f>+[2]Profit!$B$4</f>
        <v>257300</v>
      </c>
      <c r="G3" s="121">
        <f>+[3]Profit!$B$4</f>
        <v>625000</v>
      </c>
      <c r="H3" s="121">
        <f>+[4]Profit!$B$4</f>
        <v>399000</v>
      </c>
      <c r="I3" s="122">
        <f>+[5]Profit!B4</f>
        <v>276800</v>
      </c>
      <c r="J3" s="120">
        <f>+[6]Profit!B4</f>
        <v>425000</v>
      </c>
      <c r="K3" s="122">
        <f>+[7]Profit!B4</f>
        <v>239000</v>
      </c>
      <c r="L3" s="120">
        <f>+[8]Profit!B4</f>
        <v>375000</v>
      </c>
      <c r="M3" s="122">
        <f>+[9]Profit!B4</f>
        <v>289000</v>
      </c>
      <c r="N3" s="122">
        <f>+[10]Profit!B4</f>
        <v>341700</v>
      </c>
      <c r="O3" s="120">
        <f>+[11]Todo!$E44</f>
        <v>287000</v>
      </c>
      <c r="P3" s="122">
        <f>+[12]Todo!$E44</f>
        <v>439000</v>
      </c>
      <c r="Q3" s="123"/>
      <c r="R3" s="124">
        <f>+'Past Projects'!$C73</f>
        <v>1100000</v>
      </c>
      <c r="S3" s="124">
        <f>+'Past Projects'!$C59</f>
        <v>335000</v>
      </c>
      <c r="T3" s="124">
        <f>+'Past Projects'!$C45</f>
        <v>750000</v>
      </c>
      <c r="U3" s="124">
        <f>+'Past Projects'!$C31</f>
        <v>1262529</v>
      </c>
      <c r="V3" s="124">
        <f>+'Past Projects'!$C17</f>
        <v>811800</v>
      </c>
      <c r="W3" s="124">
        <f>+'Past Projects'!$C3</f>
        <v>540000</v>
      </c>
      <c r="X3" s="123"/>
    </row>
    <row r="4" spans="1:27" ht="15.75" thickBot="1" x14ac:dyDescent="0.3">
      <c r="A4" s="114"/>
      <c r="B4" s="119" t="s">
        <v>426</v>
      </c>
      <c r="C4" s="230">
        <f t="shared" si="2"/>
        <v>1935961.2719586359</v>
      </c>
      <c r="D4" s="231"/>
      <c r="E4" s="120">
        <f>+[1]Profit!$K$47</f>
        <v>222245</v>
      </c>
      <c r="F4" s="121">
        <f>+[2]Profit!$K$47</f>
        <v>112039.66</v>
      </c>
      <c r="G4" s="121">
        <f>+[3]Profit!$K$47</f>
        <v>221572.01</v>
      </c>
      <c r="H4" s="121">
        <f>+[4]Profit!$K$47</f>
        <v>136402.79</v>
      </c>
      <c r="I4" s="122">
        <f>+[5]Profit!K47</f>
        <v>130291.26</v>
      </c>
      <c r="J4" s="120">
        <f>+[6]Profit!K48</f>
        <v>281338.38</v>
      </c>
      <c r="K4" s="122">
        <f>+[7]Profit!K47</f>
        <v>204823.02</v>
      </c>
      <c r="L4" s="120">
        <f>+[8]Profit!K48</f>
        <v>106750.1</v>
      </c>
      <c r="M4" s="122">
        <f>+[9]Profit!K47</f>
        <v>187323.94</v>
      </c>
      <c r="N4" s="122">
        <f>+[10]Profit!K41</f>
        <v>68.119458635662198</v>
      </c>
      <c r="O4" s="120">
        <f>+[11]Todo!$E45</f>
        <v>185424.13125000001</v>
      </c>
      <c r="P4" s="122">
        <f>+[12]Todo!$E45</f>
        <v>147682.86124999999</v>
      </c>
      <c r="Q4" s="123"/>
      <c r="R4" s="124">
        <f>+'Past Projects'!$C74</f>
        <v>572564.34</v>
      </c>
      <c r="S4" s="124">
        <f>+'Past Projects'!$C60</f>
        <v>89099.277500000011</v>
      </c>
      <c r="T4" s="124">
        <f>+'Past Projects'!$C46</f>
        <v>352369</v>
      </c>
      <c r="U4" s="124">
        <f>+'Past Projects'!$C32</f>
        <v>554594.92000000004</v>
      </c>
      <c r="V4" s="124">
        <f>+'Past Projects'!$C18</f>
        <v>401770.9</v>
      </c>
      <c r="W4" s="124">
        <f>+'Past Projects'!$C4</f>
        <v>310642.71000000002</v>
      </c>
      <c r="X4" s="123"/>
    </row>
    <row r="5" spans="1:27" ht="15.75" thickBot="1" x14ac:dyDescent="0.3">
      <c r="A5" s="114"/>
      <c r="B5" s="119" t="s">
        <v>427</v>
      </c>
      <c r="C5" s="230">
        <f t="shared" si="2"/>
        <v>906845.72045806039</v>
      </c>
      <c r="D5" s="231"/>
      <c r="E5" s="120">
        <f>-[1]Profit!$D$54</f>
        <v>278753.05756574997</v>
      </c>
      <c r="F5" s="121">
        <f>-[2]Profit!$D$67</f>
        <v>18552.64035971223</v>
      </c>
      <c r="G5" s="121">
        <f>-[3]Profit!$D$67</f>
        <v>322046.89702998754</v>
      </c>
      <c r="H5" s="121">
        <f>-[4]Profit!$D$67</f>
        <v>9836.542594999999</v>
      </c>
      <c r="I5" s="122">
        <f>-[5]Profit!D67</f>
        <v>27991.342402099999</v>
      </c>
      <c r="J5" s="120">
        <f>-[6]Profit!D67</f>
        <v>56164.766025000004</v>
      </c>
      <c r="K5" s="122">
        <f>-[7]Profit!D67</f>
        <v>11744.259443010687</v>
      </c>
      <c r="L5" s="120">
        <f>-[8]Profit!D68</f>
        <v>59670.685549999995</v>
      </c>
      <c r="M5" s="122">
        <f>-[9]Profit!D65</f>
        <v>37573.025187499996</v>
      </c>
      <c r="N5" s="122">
        <f>-[10]Profit!D63</f>
        <v>47412.056299999997</v>
      </c>
      <c r="O5" s="120">
        <f>+[11]Todo!$E46</f>
        <v>5676.2640000000001</v>
      </c>
      <c r="P5" s="122">
        <f>+[12]Todo!$E46</f>
        <v>31424.184000000001</v>
      </c>
      <c r="Q5" s="125"/>
      <c r="R5" s="124">
        <f>+'Past Projects'!$C75</f>
        <v>217103.43097500002</v>
      </c>
      <c r="S5" s="124">
        <f>+'Past Projects'!$C61</f>
        <v>84974.5</v>
      </c>
      <c r="T5" s="124">
        <f>+'Past Projects'!$C47</f>
        <v>242267</v>
      </c>
      <c r="U5" s="124">
        <f>+'Past Projects'!$C33</f>
        <v>148708.10749999998</v>
      </c>
      <c r="V5" s="124">
        <f>+'Past Projects'!$C19</f>
        <v>146350.07515412499</v>
      </c>
      <c r="W5" s="124">
        <f>+'Past Projects'!$C5</f>
        <v>49980.701499999996</v>
      </c>
      <c r="X5" s="125"/>
    </row>
    <row r="6" spans="1:27" ht="15.75" thickBot="1" x14ac:dyDescent="0.3">
      <c r="A6" s="114"/>
      <c r="B6" s="119" t="s">
        <v>428</v>
      </c>
      <c r="C6" s="230">
        <f t="shared" si="2"/>
        <v>2205147.63</v>
      </c>
      <c r="D6" s="231"/>
      <c r="E6" s="120">
        <f>+[1]Profit!$K$44</f>
        <v>197245</v>
      </c>
      <c r="F6" s="121">
        <f>+[2]Profit!$K$44</f>
        <v>158169.53</v>
      </c>
      <c r="G6" s="121">
        <f>+[3]Profit!$K$44</f>
        <v>25600</v>
      </c>
      <c r="H6" s="121">
        <f>+[4]Profit!$K$44</f>
        <v>223480.66999999998</v>
      </c>
      <c r="I6" s="122">
        <f>+[5]Profit!K44</f>
        <v>174694</v>
      </c>
      <c r="J6" s="120">
        <f>+[6]Profit!K45</f>
        <v>256982.44</v>
      </c>
      <c r="K6" s="122">
        <f>+[7]Profit!K44</f>
        <v>174164</v>
      </c>
      <c r="L6" s="120">
        <f>+[8]Profit!K44</f>
        <v>197509.1</v>
      </c>
      <c r="M6" s="122">
        <f>+[9]Profit!K44</f>
        <v>181057.16</v>
      </c>
      <c r="N6" s="122">
        <f>+[10]Profit!K44</f>
        <v>273784</v>
      </c>
      <c r="O6" s="120">
        <f>+[11]Todo!$E47</f>
        <v>142424</v>
      </c>
      <c r="P6" s="122">
        <f>+[12]Todo!$E47</f>
        <v>200037.72999999998</v>
      </c>
      <c r="Q6" s="125"/>
      <c r="R6" s="124"/>
      <c r="S6" s="124"/>
      <c r="T6" s="124"/>
      <c r="U6" s="124"/>
      <c r="V6" s="124"/>
      <c r="W6" s="124"/>
      <c r="X6" s="125"/>
    </row>
    <row r="7" spans="1:27" ht="15.75" thickBot="1" x14ac:dyDescent="0.3">
      <c r="A7" s="114"/>
      <c r="B7" s="119" t="s">
        <v>429</v>
      </c>
      <c r="C7" s="228">
        <f t="shared" si="2"/>
        <v>12865.227013306321</v>
      </c>
      <c r="D7" s="229"/>
      <c r="E7" s="128">
        <f>+[1]Profit!$K$41</f>
        <v>80.933166298342542</v>
      </c>
      <c r="F7" s="128">
        <f>+[2]Profit!$K$41</f>
        <v>954.63202580645157</v>
      </c>
      <c r="G7" s="128">
        <f>+[3]Profit!$K$41</f>
        <v>2537.3345162436549</v>
      </c>
      <c r="H7" s="128">
        <f>+[4]Profit!$K$41</f>
        <v>1519.017685714286</v>
      </c>
      <c r="I7" s="128">
        <f>+[5]Profit!$K41</f>
        <v>1493.6555672131149</v>
      </c>
      <c r="J7" s="128">
        <f>+[6]Profit!K42</f>
        <v>1885.2550000000001</v>
      </c>
      <c r="K7" s="128">
        <f>+[7]Profit!$K41</f>
        <v>18.34395770392749</v>
      </c>
      <c r="L7" s="128">
        <f>+[8]Profit!K41</f>
        <v>665.33282051282049</v>
      </c>
      <c r="M7" s="128">
        <f>+[9]Profit!K41</f>
        <v>1477.3036016949154</v>
      </c>
      <c r="N7" s="128">
        <f>+[10]Profit!K41</f>
        <v>68.119458635662198</v>
      </c>
      <c r="O7" s="128">
        <f>+[11]Todo!$E48</f>
        <v>890.28000000000009</v>
      </c>
      <c r="P7" s="128">
        <f>+[12]Todo!$E48</f>
        <v>1275.0192134831468</v>
      </c>
      <c r="Q7" s="125"/>
      <c r="R7" s="124"/>
      <c r="S7" s="124"/>
      <c r="T7" s="124"/>
      <c r="U7" s="124"/>
      <c r="V7" s="124"/>
      <c r="W7" s="124"/>
      <c r="X7" s="125"/>
    </row>
    <row r="8" spans="1:27" ht="15.75" thickBot="1" x14ac:dyDescent="0.3">
      <c r="A8" s="114"/>
      <c r="B8" s="119" t="s">
        <v>430</v>
      </c>
      <c r="C8" s="230">
        <f t="shared" si="2"/>
        <v>-139596.49858976132</v>
      </c>
      <c r="D8" s="231"/>
      <c r="E8" s="129">
        <f>+[1]Profit!$I$54</f>
        <v>2025.4831662983422</v>
      </c>
      <c r="F8" s="129">
        <f>+[2]Profit!$I$54</f>
        <v>1503.8920258064516</v>
      </c>
      <c r="G8" s="129">
        <f>+[3]Profit!$I$54</f>
        <v>0</v>
      </c>
      <c r="H8" s="129">
        <f>+[4]Profit!$I$54</f>
        <v>2</v>
      </c>
      <c r="I8" s="129">
        <f>+[5]Profit!I54</f>
        <v>1403.137813114754</v>
      </c>
      <c r="J8" s="129">
        <v>0</v>
      </c>
      <c r="K8" s="129">
        <f>+[7]Profit!I55</f>
        <v>429.60000000000014</v>
      </c>
      <c r="L8" s="129">
        <f>+[8]Profit!I55</f>
        <v>0</v>
      </c>
      <c r="M8" s="129">
        <v>0</v>
      </c>
      <c r="N8" s="129">
        <f>+[10]Profit!K57</f>
        <v>-145850.91159498086</v>
      </c>
      <c r="O8" s="129">
        <f>+[11]Todo!$E49</f>
        <v>890.3</v>
      </c>
      <c r="P8" s="129">
        <f>+[12]Todo!$E49</f>
        <v>0</v>
      </c>
      <c r="Q8" s="125"/>
      <c r="R8" s="124"/>
      <c r="S8" s="124"/>
      <c r="T8" s="124"/>
      <c r="U8" s="124"/>
      <c r="V8" s="124"/>
      <c r="W8" s="124"/>
      <c r="X8" s="125"/>
    </row>
    <row r="9" spans="1:27" ht="15.75" thickBot="1" x14ac:dyDescent="0.3">
      <c r="A9" s="114"/>
      <c r="B9" s="119" t="s">
        <v>431</v>
      </c>
      <c r="C9" s="230" t="e">
        <f t="shared" si="2"/>
        <v>#REF!</v>
      </c>
      <c r="D9" s="231"/>
      <c r="E9" s="120">
        <f>+[1]Profit!$K$62</f>
        <v>159927.31506911264</v>
      </c>
      <c r="F9" s="121">
        <f>+[2]Profit!$K$62</f>
        <v>179458.23842224455</v>
      </c>
      <c r="G9" s="121">
        <f>+[3]Profit!$K$62</f>
        <v>110005.26423904806</v>
      </c>
      <c r="H9" s="121">
        <f>+[4]Profit!$K$62</f>
        <v>193865.39934424998</v>
      </c>
      <c r="I9" s="122">
        <f>+[5]Profit!$K62</f>
        <v>149081.32179919883</v>
      </c>
      <c r="J9" s="120">
        <f>+[6]Profit!K61</f>
        <v>39419.87397499998</v>
      </c>
      <c r="K9" s="122">
        <f>+[7]Profit!$K62</f>
        <v>68361.07707344096</v>
      </c>
      <c r="L9" s="120">
        <f>+[8]Profit!K62</f>
        <v>123695.0674996258</v>
      </c>
      <c r="M9" s="122" t="e">
        <f>+#REF!</f>
        <v>#REF!</v>
      </c>
      <c r="N9" s="122">
        <f>+[10]Profit!B4</f>
        <v>341700</v>
      </c>
      <c r="O9" s="120">
        <f>+[11]Todo!$E50</f>
        <v>104394.49600000001</v>
      </c>
      <c r="P9" s="122">
        <f>+[12]Todo!$E50</f>
        <v>129335.61266666662</v>
      </c>
      <c r="Q9" s="125"/>
      <c r="R9" s="124"/>
      <c r="S9" s="124"/>
      <c r="T9" s="124"/>
      <c r="U9" s="124"/>
      <c r="V9" s="124"/>
      <c r="W9" s="124"/>
      <c r="X9" s="125"/>
    </row>
    <row r="10" spans="1:27" ht="15.75" thickBot="1" x14ac:dyDescent="0.3">
      <c r="A10" s="114"/>
      <c r="B10" s="119" t="s">
        <v>432</v>
      </c>
      <c r="C10" s="230">
        <f>+SUM(R10:W10)</f>
        <v>1221725.2937053887</v>
      </c>
      <c r="D10" s="231"/>
      <c r="E10" s="120" t="e">
        <f>+#REF!</f>
        <v>#REF!</v>
      </c>
      <c r="F10" s="121" t="e">
        <f>+#REF!</f>
        <v>#REF!</v>
      </c>
      <c r="G10" s="121" t="e">
        <f>+#REF!</f>
        <v>#REF!</v>
      </c>
      <c r="H10" s="121" t="e">
        <f>+#REF!</f>
        <v>#REF!</v>
      </c>
      <c r="I10" s="122" t="e">
        <f>+#REF!</f>
        <v>#REF!</v>
      </c>
      <c r="J10" s="120" t="e">
        <f>+#REF!</f>
        <v>#REF!</v>
      </c>
      <c r="K10" s="122" t="e">
        <f>+#REF!</f>
        <v>#REF!</v>
      </c>
      <c r="L10" s="120" t="e">
        <f>+#REF!</f>
        <v>#REF!</v>
      </c>
      <c r="M10" s="122" t="e">
        <f>+#REF!</f>
        <v>#REF!</v>
      </c>
      <c r="N10" s="122"/>
      <c r="O10" s="120">
        <f>+[11]Todo!$E51</f>
        <v>10439.449600000002</v>
      </c>
      <c r="P10" s="122">
        <f>+[12]Todo!$E51</f>
        <v>12933.561266666664</v>
      </c>
      <c r="Q10" s="125"/>
      <c r="R10" s="124">
        <f>+'Past Projects'!$C76</f>
        <v>130635.59541506917</v>
      </c>
      <c r="S10" s="124">
        <f>+'Past Projects'!$C62</f>
        <v>91406.693999999989</v>
      </c>
      <c r="T10" s="124">
        <f>+'Past Projects'!$C48</f>
        <v>155363.89666666667</v>
      </c>
      <c r="U10" s="124">
        <f>+'Past Projects'!$C34</f>
        <v>471212.07700000005</v>
      </c>
      <c r="V10" s="124">
        <f>+'Past Projects'!$C20</f>
        <v>257067.10484587503</v>
      </c>
      <c r="W10" s="124">
        <f>+'Past Projects'!$C6</f>
        <v>116039.9257777778</v>
      </c>
      <c r="X10" s="125"/>
    </row>
    <row r="11" spans="1:27" ht="15.75" thickBot="1" x14ac:dyDescent="0.3">
      <c r="A11" s="114"/>
      <c r="B11" s="119" t="s">
        <v>433</v>
      </c>
      <c r="C11" s="230" t="e">
        <f>+SUM(E11:P11)</f>
        <v>#REF!</v>
      </c>
      <c r="D11" s="231"/>
      <c r="E11" s="120" t="e">
        <f>+#REF!</f>
        <v>#REF!</v>
      </c>
      <c r="F11" s="121" t="e">
        <f>+#REF!</f>
        <v>#REF!</v>
      </c>
      <c r="G11" s="121" t="e">
        <f>+#REF!</f>
        <v>#REF!</v>
      </c>
      <c r="H11" s="121" t="e">
        <f>+#REF!</f>
        <v>#REF!</v>
      </c>
      <c r="I11" s="122" t="e">
        <f>+#REF!</f>
        <v>#REF!</v>
      </c>
      <c r="J11" s="120" t="e">
        <f>+#REF!</f>
        <v>#REF!</v>
      </c>
      <c r="K11" s="122" t="e">
        <f>+#REF!</f>
        <v>#REF!</v>
      </c>
      <c r="L11" s="120" t="e">
        <f>+#REF!</f>
        <v>#REF!</v>
      </c>
      <c r="M11" s="122">
        <v>0</v>
      </c>
      <c r="N11" s="122" t="e">
        <f>+#REF!</f>
        <v>#REF!</v>
      </c>
      <c r="O11" s="120">
        <f>+[11]Todo!$E52</f>
        <v>0</v>
      </c>
      <c r="P11" s="122">
        <f>+[12]Todo!$E52</f>
        <v>0</v>
      </c>
      <c r="Q11" s="130"/>
      <c r="R11" s="131">
        <f>+[13]Past!$C$64</f>
        <v>0</v>
      </c>
      <c r="S11" s="131">
        <f>+[13]Past!$C$64</f>
        <v>0</v>
      </c>
      <c r="T11" s="131">
        <f>+[13]Past!$C$50</f>
        <v>0</v>
      </c>
      <c r="U11" s="131">
        <f>+[13]Past!$C$36</f>
        <v>15470.803800000003</v>
      </c>
      <c r="V11" s="131">
        <f>+[13]Past!$C$22</f>
        <v>0</v>
      </c>
      <c r="W11" s="131">
        <f>+[13]Past!$C$8</f>
        <v>0</v>
      </c>
      <c r="X11" s="125"/>
    </row>
    <row r="12" spans="1:27" ht="15.75" thickBot="1" x14ac:dyDescent="0.3">
      <c r="A12" s="114"/>
      <c r="B12" s="215" t="s">
        <v>434</v>
      </c>
      <c r="C12" s="226"/>
      <c r="D12" s="227"/>
      <c r="E12" s="132" t="str">
        <f>+"Averages for all Years Across  "&amp; COUNT(E3:Q3)+SUM(R2:W2) &amp; " Projects"</f>
        <v>Averages for all Years Across  28 Projects</v>
      </c>
      <c r="F12" s="133"/>
      <c r="G12" s="133"/>
      <c r="H12" s="134"/>
      <c r="I12" s="134"/>
      <c r="J12" s="134"/>
      <c r="K12" s="134"/>
      <c r="L12" s="134"/>
      <c r="M12" s="135"/>
      <c r="N12" s="215" t="s">
        <v>435</v>
      </c>
      <c r="O12" s="216"/>
      <c r="P12" s="216"/>
      <c r="Q12" s="217"/>
      <c r="R12" s="218" t="s">
        <v>244</v>
      </c>
      <c r="S12" s="219"/>
      <c r="T12" s="220"/>
      <c r="U12" s="220"/>
      <c r="V12" s="220"/>
      <c r="W12" s="220"/>
      <c r="X12" s="221"/>
    </row>
    <row r="13" spans="1:27" ht="15.75" thickBot="1" x14ac:dyDescent="0.3">
      <c r="A13" s="114"/>
      <c r="B13" s="136" t="s">
        <v>436</v>
      </c>
      <c r="C13" s="202">
        <f>+AVERAGE(E3:Q3)</f>
        <v>356983.33333333331</v>
      </c>
      <c r="D13" s="203"/>
      <c r="E13" s="136" t="s">
        <v>436</v>
      </c>
      <c r="F13" s="137">
        <f>+SUM(E3:X3)/(COUNT(E3:P3)+SUM($R$2:$X$2))</f>
        <v>324397.46428571426</v>
      </c>
      <c r="G13" s="204"/>
      <c r="H13" s="183"/>
      <c r="I13" s="183"/>
      <c r="J13" s="183"/>
      <c r="K13" s="183"/>
      <c r="L13" s="183"/>
      <c r="M13" s="184"/>
      <c r="N13" s="211" t="s">
        <v>425</v>
      </c>
      <c r="O13" s="183"/>
      <c r="P13" s="212">
        <f>+SUM(E3:W3)</f>
        <v>9083129</v>
      </c>
      <c r="Q13" s="184"/>
      <c r="R13" s="222" t="s">
        <v>52</v>
      </c>
      <c r="S13" s="223"/>
      <c r="T13" s="224"/>
      <c r="U13" s="224"/>
      <c r="V13" s="224"/>
      <c r="W13" s="224"/>
      <c r="X13" s="225"/>
    </row>
    <row r="14" spans="1:27" ht="15.75" thickBot="1" x14ac:dyDescent="0.3">
      <c r="A14" s="114"/>
      <c r="B14" s="136" t="s">
        <v>437</v>
      </c>
      <c r="C14" s="202">
        <f>+AVERAGE(E4:Q4)</f>
        <v>161330.105996553</v>
      </c>
      <c r="D14" s="203"/>
      <c r="E14" s="136" t="s">
        <v>437</v>
      </c>
      <c r="F14" s="137">
        <f>+SUM(E4:X4)/(COUNT(E4:P4)+SUM($R$2:$X$2))</f>
        <v>150607.22926637987</v>
      </c>
      <c r="G14" s="204"/>
      <c r="H14" s="183"/>
      <c r="I14" s="183"/>
      <c r="J14" s="183"/>
      <c r="K14" s="183"/>
      <c r="L14" s="183"/>
      <c r="M14" s="184"/>
      <c r="N14" s="211" t="s">
        <v>426</v>
      </c>
      <c r="O14" s="183"/>
      <c r="P14" s="212">
        <f>+SUM(E4:$W$4)</f>
        <v>4217002.4194586361</v>
      </c>
      <c r="Q14" s="184"/>
      <c r="R14" s="209" t="s">
        <v>144</v>
      </c>
      <c r="S14" s="210"/>
      <c r="T14" s="206"/>
      <c r="U14" s="206"/>
      <c r="V14" s="206"/>
      <c r="W14" s="206"/>
      <c r="X14" s="203"/>
    </row>
    <row r="15" spans="1:27" ht="15.75" thickBot="1" x14ac:dyDescent="0.3">
      <c r="B15" s="136" t="s">
        <v>438</v>
      </c>
      <c r="C15" s="202">
        <f>+AVERAGE(E5:Q5)</f>
        <v>75570.476704838366</v>
      </c>
      <c r="D15" s="203"/>
      <c r="E15" s="136" t="s">
        <v>438</v>
      </c>
      <c r="F15" s="137">
        <f>+SUM(E5:X5)/(COUNT(E5:P5)+SUM($R$2:$X$2))</f>
        <v>64151.054842399477</v>
      </c>
      <c r="G15" s="204"/>
      <c r="H15" s="183"/>
      <c r="I15" s="183"/>
      <c r="J15" s="183"/>
      <c r="K15" s="183"/>
      <c r="L15" s="183"/>
      <c r="M15" s="184"/>
      <c r="N15" s="211" t="s">
        <v>427</v>
      </c>
      <c r="O15" s="183"/>
      <c r="P15" s="212">
        <f>+SUM(E5:W5)</f>
        <v>1796229.5355871853</v>
      </c>
      <c r="Q15" s="184"/>
      <c r="R15" s="213" t="s">
        <v>37</v>
      </c>
      <c r="S15" s="214"/>
      <c r="T15" s="206"/>
      <c r="U15" s="206"/>
      <c r="V15" s="206"/>
      <c r="W15" s="206"/>
      <c r="X15" s="203"/>
    </row>
    <row r="16" spans="1:27" ht="15.75" thickBot="1" x14ac:dyDescent="0.3">
      <c r="B16" s="136" t="s">
        <v>439</v>
      </c>
      <c r="C16" s="202" t="e">
        <f>+AVERAGE(E9:P9)</f>
        <v>#REF!</v>
      </c>
      <c r="D16" s="203"/>
      <c r="E16" s="136" t="s">
        <v>439</v>
      </c>
      <c r="F16" s="137" t="e">
        <f>+SUM(E9:X10)/(COUNT(E9:P9)+SUM($R$2:$X$2))</f>
        <v>#REF!</v>
      </c>
      <c r="G16" s="204"/>
      <c r="H16" s="183"/>
      <c r="I16" s="183"/>
      <c r="J16" s="183"/>
      <c r="K16" s="183"/>
      <c r="L16" s="183"/>
      <c r="M16" s="184"/>
      <c r="N16" s="205" t="s">
        <v>440</v>
      </c>
      <c r="O16" s="206"/>
      <c r="P16" s="202" t="e">
        <f>+SUM($E$9:$W$10)</f>
        <v>#REF!</v>
      </c>
      <c r="Q16" s="203"/>
      <c r="R16" s="207" t="s">
        <v>441</v>
      </c>
      <c r="S16" s="208"/>
      <c r="T16" s="206"/>
      <c r="U16" s="206"/>
      <c r="V16" s="206"/>
      <c r="W16" s="206"/>
      <c r="X16" s="203"/>
    </row>
    <row r="17" spans="2:17" ht="15.75" thickBot="1" x14ac:dyDescent="0.3">
      <c r="N17" s="113"/>
      <c r="O17" s="113"/>
      <c r="P17" s="113"/>
      <c r="Q17" s="113"/>
    </row>
    <row r="18" spans="2:17" ht="15.75" thickBot="1" x14ac:dyDescent="0.3">
      <c r="B18" s="119" t="str">
        <f>+B9</f>
        <v>Total Expected Profit:</v>
      </c>
      <c r="C18" s="193" t="e">
        <f>+C9</f>
        <v>#REF!</v>
      </c>
      <c r="D18" s="194"/>
      <c r="N18" s="113"/>
      <c r="O18" s="113"/>
      <c r="P18" s="113"/>
      <c r="Q18" s="113"/>
    </row>
    <row r="19" spans="2:17" ht="15.75" thickBot="1" x14ac:dyDescent="0.3">
      <c r="B19" s="119" t="s">
        <v>442</v>
      </c>
      <c r="C19" s="193">
        <f>+Cards!N84</f>
        <v>200000</v>
      </c>
      <c r="D19" s="195"/>
      <c r="E19" s="138" t="e">
        <f>SUM(C18:D19)</f>
        <v>#REF!</v>
      </c>
      <c r="F19"/>
      <c r="G19"/>
      <c r="I19"/>
      <c r="K19"/>
      <c r="N19" s="113"/>
      <c r="O19" s="113"/>
      <c r="P19" s="113"/>
      <c r="Q19" s="113"/>
    </row>
    <row r="20" spans="2:17" ht="15.75" thickBot="1" x14ac:dyDescent="0.3">
      <c r="B20" s="119" t="s">
        <v>443</v>
      </c>
      <c r="E20" s="139">
        <f>+C8-C7</f>
        <v>-152461.72560306764</v>
      </c>
      <c r="F20" s="13"/>
      <c r="G20" s="13"/>
      <c r="I20" s="13"/>
      <c r="K20" s="13"/>
    </row>
    <row r="21" spans="2:17" ht="15.75" thickBot="1" x14ac:dyDescent="0.3">
      <c r="B21" s="119" t="s">
        <v>444</v>
      </c>
      <c r="E21" s="140">
        <f>-Cards!S79</f>
        <v>-7997</v>
      </c>
      <c r="F21" s="13"/>
      <c r="G21" s="13"/>
      <c r="I21" s="13"/>
      <c r="J21"/>
      <c r="K21" s="13"/>
      <c r="L21"/>
    </row>
    <row r="22" spans="2:17" ht="15.75" thickBot="1" x14ac:dyDescent="0.3">
      <c r="B22" s="119" t="s">
        <v>445</v>
      </c>
      <c r="E22" s="140">
        <f>-Cards!S80</f>
        <v>-10482.523333333327</v>
      </c>
      <c r="F22" s="13"/>
      <c r="G22" s="13"/>
      <c r="I22" s="13"/>
      <c r="J22"/>
      <c r="K22" s="13"/>
      <c r="L22"/>
    </row>
    <row r="23" spans="2:17" ht="15.75" thickBot="1" x14ac:dyDescent="0.3">
      <c r="B23" s="119" t="s">
        <v>446</v>
      </c>
      <c r="E23" s="140">
        <f>-Cards!S81</f>
        <v>-1164</v>
      </c>
      <c r="F23" s="13"/>
      <c r="G23" s="13"/>
      <c r="I23" s="13"/>
      <c r="K23" s="13"/>
    </row>
    <row r="24" spans="2:17" ht="15.75" thickBot="1" x14ac:dyDescent="0.3">
      <c r="B24" s="119" t="s">
        <v>447</v>
      </c>
      <c r="C24" s="126"/>
      <c r="D24" s="127">
        <v>-668</v>
      </c>
      <c r="E24" s="13"/>
    </row>
    <row r="25" spans="2:17" ht="15.75" thickBot="1" x14ac:dyDescent="0.3">
      <c r="B25" s="119" t="s">
        <v>448</v>
      </c>
      <c r="C25" s="126"/>
      <c r="D25" s="127">
        <v>-613</v>
      </c>
      <c r="E25" s="13"/>
    </row>
    <row r="26" spans="2:17" ht="15.75" thickBot="1" x14ac:dyDescent="0.3">
      <c r="B26" s="119" t="s">
        <v>449</v>
      </c>
      <c r="C26" s="126"/>
      <c r="D26" s="127">
        <v>-1710</v>
      </c>
      <c r="E26" s="13"/>
    </row>
    <row r="27" spans="2:17" ht="15.75" thickBot="1" x14ac:dyDescent="0.3">
      <c r="B27" s="119" t="s">
        <v>450</v>
      </c>
      <c r="C27" s="126"/>
      <c r="D27" s="127">
        <v>-872</v>
      </c>
      <c r="E27" s="13"/>
    </row>
    <row r="28" spans="2:17" ht="15.75" thickBot="1" x14ac:dyDescent="0.3">
      <c r="B28" s="119" t="s">
        <v>451</v>
      </c>
      <c r="C28" s="126"/>
      <c r="D28" s="127">
        <v>-656</v>
      </c>
      <c r="E28" s="13"/>
    </row>
    <row r="29" spans="2:17" ht="15.75" thickBot="1" x14ac:dyDescent="0.3">
      <c r="B29" s="119" t="s">
        <v>452</v>
      </c>
      <c r="E29" s="140">
        <f>SUM(D24:D28)</f>
        <v>-4519</v>
      </c>
    </row>
    <row r="30" spans="2:17" ht="15.75" thickBot="1" x14ac:dyDescent="0.3">
      <c r="B30" s="119" t="s">
        <v>453</v>
      </c>
      <c r="E30" s="140">
        <v>-500</v>
      </c>
    </row>
    <row r="31" spans="2:17" ht="15.75" thickBot="1" x14ac:dyDescent="0.3"/>
    <row r="32" spans="2:17" ht="15.75" thickBot="1" x14ac:dyDescent="0.3">
      <c r="B32" s="196" t="s">
        <v>454</v>
      </c>
      <c r="C32" s="197"/>
      <c r="D32" s="196" t="s">
        <v>455</v>
      </c>
      <c r="E32" s="197"/>
    </row>
    <row r="33" spans="2:5" ht="15.75" thickBot="1" x14ac:dyDescent="0.3">
      <c r="B33" s="198">
        <f>SUM(E20:E30)</f>
        <v>-177124.24893640095</v>
      </c>
      <c r="C33" s="199"/>
      <c r="D33" s="200" t="e">
        <f>E19/-B33/12</f>
        <v>#REF!</v>
      </c>
      <c r="E33" s="201"/>
    </row>
  </sheetData>
  <mergeCells count="40">
    <mergeCell ref="C6:D6"/>
    <mergeCell ref="B1:D1"/>
    <mergeCell ref="B2:D2"/>
    <mergeCell ref="C3:D3"/>
    <mergeCell ref="C4:D4"/>
    <mergeCell ref="C5:D5"/>
    <mergeCell ref="C7:D7"/>
    <mergeCell ref="C8:D8"/>
    <mergeCell ref="C9:D9"/>
    <mergeCell ref="C10:D10"/>
    <mergeCell ref="C11:D11"/>
    <mergeCell ref="N12:Q12"/>
    <mergeCell ref="R12:X12"/>
    <mergeCell ref="C13:D13"/>
    <mergeCell ref="G13:M13"/>
    <mergeCell ref="N13:O13"/>
    <mergeCell ref="P13:Q13"/>
    <mergeCell ref="R13:X13"/>
    <mergeCell ref="B12:D12"/>
    <mergeCell ref="R14:X14"/>
    <mergeCell ref="C15:D15"/>
    <mergeCell ref="G15:M15"/>
    <mergeCell ref="N15:O15"/>
    <mergeCell ref="P15:Q15"/>
    <mergeCell ref="R15:X15"/>
    <mergeCell ref="C14:D14"/>
    <mergeCell ref="G14:M14"/>
    <mergeCell ref="N14:O14"/>
    <mergeCell ref="P14:Q14"/>
    <mergeCell ref="C16:D16"/>
    <mergeCell ref="G16:M16"/>
    <mergeCell ref="N16:O16"/>
    <mergeCell ref="P16:Q16"/>
    <mergeCell ref="R16:X16"/>
    <mergeCell ref="C18:D18"/>
    <mergeCell ref="C19:D19"/>
    <mergeCell ref="B32:C32"/>
    <mergeCell ref="D32:E32"/>
    <mergeCell ref="B33:C33"/>
    <mergeCell ref="D33:E3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BF320-F652-4652-85C7-68B5B3ADF4C9}">
  <sheetPr codeName="Sheet7"/>
  <dimension ref="A1:Q82"/>
  <sheetViews>
    <sheetView topLeftCell="A48" workbookViewId="0">
      <selection activeCell="N71" sqref="N71"/>
    </sheetView>
  </sheetViews>
  <sheetFormatPr defaultRowHeight="15" x14ac:dyDescent="0.25"/>
  <cols>
    <col min="1" max="1" width="11" customWidth="1"/>
    <col min="2" max="2" width="38.140625" bestFit="1" customWidth="1"/>
    <col min="3" max="3" width="10.5703125" customWidth="1"/>
    <col min="4" max="4" width="9.5703125" customWidth="1"/>
    <col min="5" max="5" width="15.42578125" customWidth="1"/>
    <col min="6" max="6" width="16" customWidth="1"/>
    <col min="7" max="7" width="15.42578125" bestFit="1" customWidth="1"/>
    <col min="8" max="8" width="13.28515625" customWidth="1"/>
    <col min="9" max="9" width="5.5703125" customWidth="1"/>
    <col min="11" max="11" width="22" style="3" customWidth="1"/>
    <col min="16" max="16" width="9.42578125" customWidth="1"/>
    <col min="17" max="17" width="11" customWidth="1"/>
  </cols>
  <sheetData>
    <row r="1" spans="1:17" ht="15.75" thickBot="1" x14ac:dyDescent="0.3"/>
    <row r="2" spans="1:17" s="55" customFormat="1" ht="32.25" customHeight="1" thickBot="1" x14ac:dyDescent="0.3">
      <c r="A2"/>
      <c r="B2" s="234" t="s">
        <v>456</v>
      </c>
      <c r="C2" s="238"/>
      <c r="D2" s="141" t="s">
        <v>457</v>
      </c>
      <c r="E2" s="142" t="s">
        <v>458</v>
      </c>
      <c r="F2" s="142" t="s">
        <v>459</v>
      </c>
      <c r="G2" s="143" t="s">
        <v>460</v>
      </c>
      <c r="H2" s="110"/>
      <c r="I2" s="112"/>
      <c r="K2" s="30" t="s">
        <v>365</v>
      </c>
      <c r="L2" s="30" t="s">
        <v>461</v>
      </c>
      <c r="M2" s="55" t="s">
        <v>462</v>
      </c>
      <c r="N2" s="55" t="s">
        <v>463</v>
      </c>
      <c r="O2" s="55" t="s">
        <v>464</v>
      </c>
      <c r="P2" s="55" t="s">
        <v>465</v>
      </c>
      <c r="Q2" s="55" t="s">
        <v>466</v>
      </c>
    </row>
    <row r="3" spans="1:17" ht="15.75" thickBot="1" x14ac:dyDescent="0.3">
      <c r="B3" s="144" t="s">
        <v>425</v>
      </c>
      <c r="C3" s="145">
        <f>+SUM(E3:H3)</f>
        <v>540000</v>
      </c>
      <c r="D3" s="145"/>
      <c r="E3" s="122">
        <v>150000</v>
      </c>
      <c r="F3" s="146">
        <v>195000</v>
      </c>
      <c r="G3" s="147">
        <v>195000</v>
      </c>
      <c r="H3" s="123"/>
      <c r="J3">
        <v>1</v>
      </c>
      <c r="K3" s="3" t="s">
        <v>460</v>
      </c>
      <c r="L3">
        <v>2020</v>
      </c>
      <c r="M3" s="148">
        <f>+G4</f>
        <v>128687.99</v>
      </c>
      <c r="N3" s="17">
        <f>+G5</f>
        <v>23252.601500000001</v>
      </c>
      <c r="O3" s="17">
        <f>+G3</f>
        <v>195000</v>
      </c>
      <c r="P3" s="17">
        <f>+E7</f>
        <v>62037</v>
      </c>
      <c r="Q3" s="17">
        <f>+P3+Q4</f>
        <v>251875</v>
      </c>
    </row>
    <row r="4" spans="1:17" x14ac:dyDescent="0.25">
      <c r="B4" s="144" t="s">
        <v>426</v>
      </c>
      <c r="C4" s="145">
        <f>+SUM(E4:$H$4)</f>
        <v>310642.71000000002</v>
      </c>
      <c r="D4" s="145"/>
      <c r="E4" s="122">
        <v>71644.86</v>
      </c>
      <c r="F4" s="149">
        <v>110309.86</v>
      </c>
      <c r="G4" s="150">
        <v>128687.99</v>
      </c>
      <c r="H4" s="123"/>
      <c r="J4">
        <f>+J3+1</f>
        <v>2</v>
      </c>
      <c r="K4" s="3" t="s">
        <v>459</v>
      </c>
      <c r="L4">
        <v>2020</v>
      </c>
      <c r="M4" s="17">
        <f>+F4</f>
        <v>110309.86</v>
      </c>
      <c r="N4" s="17">
        <f>+F5</f>
        <v>20425.14</v>
      </c>
      <c r="O4" s="17">
        <f>+F3</f>
        <v>195000</v>
      </c>
      <c r="P4" s="17">
        <f>+F7</f>
        <v>75240</v>
      </c>
      <c r="Q4" s="17">
        <f>+P4+Q5</f>
        <v>189838</v>
      </c>
    </row>
    <row r="5" spans="1:17" x14ac:dyDescent="0.25">
      <c r="B5" s="151" t="s">
        <v>427</v>
      </c>
      <c r="C5" s="152">
        <f>+SUM(E5:H5)</f>
        <v>49980.701499999996</v>
      </c>
      <c r="D5" s="152"/>
      <c r="E5" s="122">
        <v>6302.96</v>
      </c>
      <c r="F5" s="149">
        <v>20425.14</v>
      </c>
      <c r="G5" s="150">
        <v>23252.601500000001</v>
      </c>
      <c r="H5" s="125"/>
      <c r="J5">
        <f t="shared" ref="J5:J18" si="0">+J4+1</f>
        <v>3</v>
      </c>
      <c r="K5" s="3" t="s">
        <v>458</v>
      </c>
      <c r="L5">
        <v>2020</v>
      </c>
      <c r="M5" s="17">
        <f>+E4</f>
        <v>71644.86</v>
      </c>
      <c r="N5" s="17">
        <f>+E5</f>
        <v>6302.96</v>
      </c>
      <c r="O5" s="17">
        <f>+E3</f>
        <v>150000</v>
      </c>
      <c r="P5" s="17">
        <f>+G7</f>
        <v>114598</v>
      </c>
      <c r="Q5" s="17">
        <f>+P5</f>
        <v>114598</v>
      </c>
    </row>
    <row r="6" spans="1:17" ht="15.75" thickBot="1" x14ac:dyDescent="0.3">
      <c r="B6" s="136" t="s">
        <v>432</v>
      </c>
      <c r="C6" s="153">
        <f>+SUM($E$6:$H$6)</f>
        <v>116039.9257777778</v>
      </c>
      <c r="D6" s="153"/>
      <c r="E6" s="122">
        <v>37694.072</v>
      </c>
      <c r="F6" s="149">
        <v>52771.490000000005</v>
      </c>
      <c r="G6" s="150">
        <v>25574.363777777784</v>
      </c>
      <c r="H6" s="125"/>
      <c r="J6">
        <f t="shared" si="0"/>
        <v>4</v>
      </c>
      <c r="K6" s="4" t="str">
        <f>+G16</f>
        <v>1201 Hazelnut</v>
      </c>
      <c r="L6">
        <v>2021</v>
      </c>
      <c r="M6" s="17">
        <f>+G18</f>
        <v>74709</v>
      </c>
      <c r="N6" s="17">
        <f>+G19</f>
        <v>71081.80715412501</v>
      </c>
      <c r="O6" s="17">
        <f>+G17</f>
        <v>237900</v>
      </c>
      <c r="P6" s="17">
        <f>+G21</f>
        <v>96542</v>
      </c>
      <c r="Q6" s="17">
        <f>+P6+Q3</f>
        <v>348417</v>
      </c>
    </row>
    <row r="7" spans="1:17" ht="15.75" thickBot="1" x14ac:dyDescent="0.3">
      <c r="B7" s="136" t="s">
        <v>467</v>
      </c>
      <c r="C7" s="153">
        <f>+SUM(E7:H7)</f>
        <v>251875</v>
      </c>
      <c r="D7" s="153"/>
      <c r="E7" s="154">
        <v>62037</v>
      </c>
      <c r="F7" s="155">
        <v>75240</v>
      </c>
      <c r="G7" s="156">
        <v>114598</v>
      </c>
      <c r="H7" s="125"/>
      <c r="J7">
        <f t="shared" si="0"/>
        <v>5</v>
      </c>
      <c r="K7" s="4" t="str">
        <f>+F16</f>
        <v>178 Patricia</v>
      </c>
      <c r="L7">
        <v>2021</v>
      </c>
      <c r="M7" s="17">
        <f>+F18</f>
        <v>107061.9</v>
      </c>
      <c r="N7" s="17">
        <f>+F19</f>
        <v>47760.57</v>
      </c>
      <c r="O7" s="17">
        <f>+F17</f>
        <v>210000</v>
      </c>
      <c r="P7" s="17">
        <f>+F21</f>
        <v>51700</v>
      </c>
      <c r="Q7" s="17">
        <f t="shared" ref="Q7:Q18" si="1">+P7+Q6</f>
        <v>400117</v>
      </c>
    </row>
    <row r="8" spans="1:17" ht="15.75" thickBot="1" x14ac:dyDescent="0.3">
      <c r="B8" s="136" t="s">
        <v>433</v>
      </c>
      <c r="C8" s="153">
        <f>+SUM($E$8:$H$8)</f>
        <v>0</v>
      </c>
      <c r="D8" s="153"/>
      <c r="E8" s="157"/>
      <c r="F8" s="158"/>
      <c r="G8" s="159"/>
      <c r="H8" s="125"/>
      <c r="J8">
        <f t="shared" si="0"/>
        <v>6</v>
      </c>
      <c r="K8" s="4" t="str">
        <f>+E16</f>
        <v>2153 Haig Point</v>
      </c>
      <c r="L8">
        <v>2021</v>
      </c>
      <c r="M8" s="17">
        <f>+E18</f>
        <v>220000</v>
      </c>
      <c r="N8" s="17">
        <f>+E19</f>
        <v>27507.698</v>
      </c>
      <c r="O8" s="17">
        <f>+E17</f>
        <v>363900</v>
      </c>
      <c r="P8" s="17">
        <f>+E21</f>
        <v>218000</v>
      </c>
      <c r="Q8" s="17">
        <f t="shared" si="1"/>
        <v>618117</v>
      </c>
    </row>
    <row r="9" spans="1:17" ht="15.75" thickBot="1" x14ac:dyDescent="0.3">
      <c r="B9" s="136" t="s">
        <v>436</v>
      </c>
      <c r="C9" s="202">
        <f>+AVERAGE(E3:G3)</f>
        <v>180000</v>
      </c>
      <c r="D9" s="203"/>
      <c r="E9" s="239"/>
      <c r="F9" s="240"/>
      <c r="G9" s="185"/>
      <c r="H9" s="199"/>
      <c r="J9">
        <f t="shared" si="0"/>
        <v>7</v>
      </c>
      <c r="K9" s="4" t="str">
        <f>+H30</f>
        <v>3007 Eric</v>
      </c>
      <c r="L9">
        <v>2022</v>
      </c>
      <c r="M9" s="17">
        <f>+H32</f>
        <v>167033.66</v>
      </c>
      <c r="N9" s="17">
        <f>+H33</f>
        <v>38679.380000000005</v>
      </c>
      <c r="O9" s="17">
        <f>+H31</f>
        <v>299000</v>
      </c>
      <c r="P9" s="17">
        <f>+H35</f>
        <v>206590</v>
      </c>
      <c r="Q9" s="17">
        <f t="shared" si="1"/>
        <v>824707</v>
      </c>
    </row>
    <row r="10" spans="1:17" ht="15.75" thickBot="1" x14ac:dyDescent="0.3">
      <c r="B10" s="136" t="s">
        <v>437</v>
      </c>
      <c r="C10" s="202">
        <f>+AVERAGE(E4:G4)</f>
        <v>103547.57</v>
      </c>
      <c r="D10" s="203"/>
      <c r="E10" s="241"/>
      <c r="F10" s="242"/>
      <c r="G10" s="242"/>
      <c r="H10" s="243"/>
      <c r="J10">
        <f t="shared" si="0"/>
        <v>8</v>
      </c>
      <c r="K10" s="4" t="str">
        <f>+G30</f>
        <v>120 Keith</v>
      </c>
      <c r="L10">
        <v>2022</v>
      </c>
      <c r="M10" s="17">
        <f>+G32</f>
        <v>85975.790000000008</v>
      </c>
      <c r="N10" s="17">
        <f>+G33</f>
        <v>82805.727499999994</v>
      </c>
      <c r="O10" s="17">
        <f>+G31</f>
        <v>330000</v>
      </c>
      <c r="P10" s="17">
        <f>+G35</f>
        <v>59415</v>
      </c>
      <c r="Q10" s="17">
        <f t="shared" si="1"/>
        <v>884122</v>
      </c>
    </row>
    <row r="11" spans="1:17" ht="15.75" thickBot="1" x14ac:dyDescent="0.3">
      <c r="B11" s="136" t="s">
        <v>438</v>
      </c>
      <c r="C11" s="202">
        <f>+AVERAGE(E5:G5)</f>
        <v>16660.233833333332</v>
      </c>
      <c r="D11" s="203"/>
      <c r="E11" s="209" t="s">
        <v>468</v>
      </c>
      <c r="F11" s="210"/>
      <c r="G11" s="235"/>
      <c r="H11" s="201"/>
      <c r="J11">
        <f t="shared" si="0"/>
        <v>9</v>
      </c>
      <c r="K11" s="4" t="str">
        <f>+F30</f>
        <v>1900 Red Quartz</v>
      </c>
      <c r="L11">
        <v>2022</v>
      </c>
      <c r="M11" s="17">
        <f>+F32</f>
        <v>174585.47</v>
      </c>
      <c r="N11" s="17">
        <f>+F33</f>
        <v>12223</v>
      </c>
      <c r="O11" s="17">
        <f>+F31</f>
        <v>423529</v>
      </c>
      <c r="P11" s="17">
        <f>+F35</f>
        <v>230800</v>
      </c>
      <c r="Q11" s="17">
        <f t="shared" si="1"/>
        <v>1114922</v>
      </c>
    </row>
    <row r="12" spans="1:17" ht="15.75" thickBot="1" x14ac:dyDescent="0.3">
      <c r="B12" s="136" t="s">
        <v>439</v>
      </c>
      <c r="C12" s="202">
        <f>+AVERAGE(E6:G6)</f>
        <v>38679.975259259263</v>
      </c>
      <c r="D12" s="203"/>
      <c r="E12" s="213" t="s">
        <v>469</v>
      </c>
      <c r="F12" s="214"/>
      <c r="G12" s="236"/>
      <c r="H12" s="237"/>
      <c r="J12">
        <f t="shared" si="0"/>
        <v>10</v>
      </c>
      <c r="K12" s="4" t="str">
        <f>+E30</f>
        <v>202 Avery</v>
      </c>
      <c r="L12">
        <v>2022</v>
      </c>
      <c r="M12" s="17">
        <f>+E32</f>
        <v>127000</v>
      </c>
      <c r="N12" s="17">
        <f>+E33</f>
        <v>15000</v>
      </c>
      <c r="O12" s="17">
        <f>+E31</f>
        <v>210000</v>
      </c>
      <c r="P12" s="17">
        <f>+E35</f>
        <v>0</v>
      </c>
      <c r="Q12" s="17">
        <f t="shared" si="1"/>
        <v>1114922</v>
      </c>
    </row>
    <row r="13" spans="1:17" x14ac:dyDescent="0.25">
      <c r="J13">
        <f t="shared" si="0"/>
        <v>11</v>
      </c>
      <c r="K13" s="4" t="str">
        <f>+F44</f>
        <v>2608 Alton</v>
      </c>
      <c r="L13">
        <v>2023</v>
      </c>
      <c r="M13" s="17">
        <f>+F46</f>
        <v>102500</v>
      </c>
      <c r="N13" s="17">
        <f>+F47</f>
        <v>144075</v>
      </c>
      <c r="O13" s="17">
        <f>+F45</f>
        <v>315000</v>
      </c>
      <c r="P13" s="17">
        <f>+F49</f>
        <v>231000</v>
      </c>
      <c r="Q13" s="17">
        <f t="shared" si="1"/>
        <v>1345922</v>
      </c>
    </row>
    <row r="14" spans="1:17" x14ac:dyDescent="0.25">
      <c r="J14">
        <f t="shared" si="0"/>
        <v>12</v>
      </c>
      <c r="K14" s="4" t="str">
        <f>+E44</f>
        <v>164 Churchill Dr</v>
      </c>
      <c r="L14">
        <v>2023</v>
      </c>
      <c r="M14" s="17">
        <f>+E46</f>
        <v>249869</v>
      </c>
      <c r="N14" s="17">
        <f>+E47</f>
        <v>98192</v>
      </c>
      <c r="O14" s="17">
        <f>+E45</f>
        <v>435000</v>
      </c>
      <c r="P14" s="17">
        <f>+E49</f>
        <v>256000</v>
      </c>
      <c r="Q14" s="17">
        <f t="shared" si="1"/>
        <v>1601922</v>
      </c>
    </row>
    <row r="15" spans="1:17" ht="15.75" thickBot="1" x14ac:dyDescent="0.3">
      <c r="J15">
        <f t="shared" si="0"/>
        <v>13</v>
      </c>
      <c r="K15" s="4" t="str">
        <f>+F58</f>
        <v>6004  Sandy Run</v>
      </c>
      <c r="L15">
        <v>2024</v>
      </c>
      <c r="M15" s="17">
        <f>+F60</f>
        <v>79099.138750000013</v>
      </c>
      <c r="N15" s="17">
        <f>+F61</f>
        <v>84974.5</v>
      </c>
      <c r="O15" s="17">
        <f>+F59</f>
        <v>285000</v>
      </c>
      <c r="P15" s="17">
        <f>+F63</f>
        <v>65943</v>
      </c>
      <c r="Q15" s="17">
        <f t="shared" si="1"/>
        <v>1667865</v>
      </c>
    </row>
    <row r="16" spans="1:17" ht="15.75" thickBot="1" x14ac:dyDescent="0.3">
      <c r="B16" s="234" t="s">
        <v>470</v>
      </c>
      <c r="C16" s="238"/>
      <c r="D16" s="141" t="s">
        <v>457</v>
      </c>
      <c r="E16" s="142" t="s">
        <v>471</v>
      </c>
      <c r="F16" s="142" t="s">
        <v>472</v>
      </c>
      <c r="G16" s="143" t="s">
        <v>473</v>
      </c>
      <c r="H16" s="110"/>
      <c r="J16">
        <f t="shared" si="0"/>
        <v>14</v>
      </c>
      <c r="K16" s="4" t="str">
        <f>+E58</f>
        <v>3021 Pearces Rd</v>
      </c>
      <c r="L16">
        <v>2024</v>
      </c>
      <c r="M16" s="17">
        <f>+E60</f>
        <v>10000.13875</v>
      </c>
      <c r="N16" s="17">
        <f>+E61</f>
        <v>0</v>
      </c>
      <c r="O16" s="17">
        <f>+E59</f>
        <v>50000</v>
      </c>
      <c r="P16" s="17">
        <f>+E63</f>
        <v>0</v>
      </c>
      <c r="Q16" s="17">
        <f t="shared" si="1"/>
        <v>1667865</v>
      </c>
    </row>
    <row r="17" spans="2:17" ht="15.75" thickBot="1" x14ac:dyDescent="0.3">
      <c r="B17" s="144" t="s">
        <v>425</v>
      </c>
      <c r="C17" s="145">
        <f>+SUM(E17:H17)</f>
        <v>811800</v>
      </c>
      <c r="D17" s="145"/>
      <c r="E17" s="122">
        <v>363900</v>
      </c>
      <c r="F17" s="146">
        <v>210000</v>
      </c>
      <c r="G17" s="147">
        <v>237900</v>
      </c>
      <c r="H17" s="123"/>
      <c r="J17">
        <f t="shared" si="0"/>
        <v>15</v>
      </c>
      <c r="K17" s="4" t="str">
        <f>+G72</f>
        <v>5008 Larchmont</v>
      </c>
      <c r="L17">
        <v>2025</v>
      </c>
      <c r="M17" s="17">
        <f>+G74</f>
        <v>352162.49</v>
      </c>
      <c r="N17" s="17">
        <f>+G75</f>
        <v>159759.01010000001</v>
      </c>
      <c r="O17" s="17">
        <f>+G73</f>
        <v>630000</v>
      </c>
      <c r="P17" s="17">
        <f>+G77</f>
        <v>554121.49</v>
      </c>
      <c r="Q17" s="17">
        <f t="shared" si="1"/>
        <v>2221986.4900000002</v>
      </c>
    </row>
    <row r="18" spans="2:17" x14ac:dyDescent="0.25">
      <c r="B18" s="144" t="s">
        <v>426</v>
      </c>
      <c r="C18" s="145">
        <f>+SUM(E18:$H$18)</f>
        <v>401770.9</v>
      </c>
      <c r="D18" s="145"/>
      <c r="E18" s="122">
        <v>220000</v>
      </c>
      <c r="F18" s="149">
        <v>107061.9</v>
      </c>
      <c r="G18" s="150">
        <v>74709</v>
      </c>
      <c r="H18" s="123"/>
      <c r="J18">
        <f t="shared" si="0"/>
        <v>16</v>
      </c>
      <c r="K18" s="4" t="str">
        <f>+F72</f>
        <v>8225 Burgwyn Ln</v>
      </c>
      <c r="L18">
        <v>2025</v>
      </c>
      <c r="M18" s="17">
        <f>+F74</f>
        <v>220401.85</v>
      </c>
      <c r="N18" s="17">
        <f>+F75</f>
        <v>57344.420874999996</v>
      </c>
      <c r="O18" s="17">
        <f>+F73</f>
        <v>470000</v>
      </c>
      <c r="P18" s="17">
        <f>+F77</f>
        <v>196273.85</v>
      </c>
      <c r="Q18" s="17">
        <f t="shared" si="1"/>
        <v>2418260.3400000003</v>
      </c>
    </row>
    <row r="19" spans="2:17" x14ac:dyDescent="0.25">
      <c r="B19" s="151" t="s">
        <v>427</v>
      </c>
      <c r="C19" s="152">
        <f>+SUM(E19:H19)</f>
        <v>146350.07515412499</v>
      </c>
      <c r="D19" s="152"/>
      <c r="E19" s="122">
        <v>27507.698</v>
      </c>
      <c r="F19" s="149">
        <v>47760.57</v>
      </c>
      <c r="G19" s="150">
        <v>71081.80715412501</v>
      </c>
      <c r="H19" s="125"/>
    </row>
    <row r="20" spans="2:17" ht="15.75" thickBot="1" x14ac:dyDescent="0.3">
      <c r="B20" s="136" t="s">
        <v>432</v>
      </c>
      <c r="C20" s="153">
        <f>+SUM($E$20:$H$20)</f>
        <v>257067.10484587503</v>
      </c>
      <c r="D20" s="153"/>
      <c r="E20" s="122">
        <v>92658.781999999992</v>
      </c>
      <c r="F20" s="149">
        <v>64240.530000000028</v>
      </c>
      <c r="G20" s="150">
        <v>100167.792845875</v>
      </c>
      <c r="H20" s="125"/>
    </row>
    <row r="21" spans="2:17" ht="15.75" thickBot="1" x14ac:dyDescent="0.3">
      <c r="B21" s="136" t="s">
        <v>467</v>
      </c>
      <c r="C21" s="153">
        <f>+SUM(E21:H21)</f>
        <v>366242</v>
      </c>
      <c r="D21" s="153"/>
      <c r="E21" s="154">
        <f>152983+65017</f>
        <v>218000</v>
      </c>
      <c r="F21" s="155">
        <f>9700+42000</f>
        <v>51700</v>
      </c>
      <c r="G21" s="156">
        <f>47279+19263+30000</f>
        <v>96542</v>
      </c>
      <c r="H21" s="125"/>
    </row>
    <row r="22" spans="2:17" ht="15.75" thickBot="1" x14ac:dyDescent="0.3">
      <c r="B22" s="136" t="s">
        <v>433</v>
      </c>
      <c r="C22" s="153">
        <f>+SUM($E$22:$H$22)</f>
        <v>0</v>
      </c>
      <c r="D22" s="153"/>
      <c r="E22" s="157"/>
      <c r="F22" s="158"/>
      <c r="G22" s="159"/>
      <c r="H22" s="125"/>
    </row>
    <row r="23" spans="2:17" ht="15.75" thickBot="1" x14ac:dyDescent="0.3">
      <c r="B23" s="136" t="s">
        <v>436</v>
      </c>
      <c r="C23" s="202">
        <f>+AVERAGE(E17:G17)</f>
        <v>270600</v>
      </c>
      <c r="D23" s="203"/>
      <c r="E23" s="239"/>
      <c r="F23" s="240"/>
      <c r="G23" s="185"/>
      <c r="H23" s="199"/>
    </row>
    <row r="24" spans="2:17" ht="15.75" thickBot="1" x14ac:dyDescent="0.3">
      <c r="B24" s="136" t="s">
        <v>437</v>
      </c>
      <c r="C24" s="202">
        <f>+AVERAGE(E18:G18)</f>
        <v>133923.63333333333</v>
      </c>
      <c r="D24" s="203"/>
      <c r="E24" s="241"/>
      <c r="F24" s="242"/>
      <c r="G24" s="242"/>
      <c r="H24" s="243"/>
    </row>
    <row r="25" spans="2:17" ht="15.75" thickBot="1" x14ac:dyDescent="0.3">
      <c r="B25" s="136" t="s">
        <v>438</v>
      </c>
      <c r="C25" s="202">
        <f>+AVERAGE(E19:G19)</f>
        <v>48783.358384708328</v>
      </c>
      <c r="D25" s="203"/>
      <c r="E25" s="209" t="s">
        <v>468</v>
      </c>
      <c r="F25" s="210"/>
      <c r="G25" s="235"/>
      <c r="H25" s="201"/>
    </row>
    <row r="26" spans="2:17" ht="15.75" thickBot="1" x14ac:dyDescent="0.3">
      <c r="B26" s="136" t="s">
        <v>439</v>
      </c>
      <c r="C26" s="202">
        <f>+AVERAGE(E20:G20)</f>
        <v>85689.034948625005</v>
      </c>
      <c r="D26" s="203"/>
      <c r="E26" s="213" t="s">
        <v>469</v>
      </c>
      <c r="F26" s="214"/>
      <c r="G26" s="236"/>
      <c r="H26" s="237"/>
    </row>
    <row r="29" spans="2:17" ht="15.75" thickBot="1" x14ac:dyDescent="0.3"/>
    <row r="30" spans="2:17" ht="15.75" thickBot="1" x14ac:dyDescent="0.3">
      <c r="B30" s="234" t="s">
        <v>474</v>
      </c>
      <c r="C30" s="247"/>
      <c r="D30" s="141" t="s">
        <v>457</v>
      </c>
      <c r="E30" s="109" t="s">
        <v>475</v>
      </c>
      <c r="F30" s="109" t="s">
        <v>385</v>
      </c>
      <c r="G30" s="109" t="s">
        <v>476</v>
      </c>
      <c r="H30" s="143" t="s">
        <v>477</v>
      </c>
      <c r="I30" s="110"/>
    </row>
    <row r="31" spans="2:17" ht="15.75" thickBot="1" x14ac:dyDescent="0.3">
      <c r="B31" s="144" t="s">
        <v>425</v>
      </c>
      <c r="C31" s="145">
        <f>+SUM(E31:I31)</f>
        <v>1262529</v>
      </c>
      <c r="D31" s="145"/>
      <c r="E31" s="122">
        <v>210000</v>
      </c>
      <c r="F31" s="122">
        <v>423529</v>
      </c>
      <c r="G31" s="122">
        <v>330000</v>
      </c>
      <c r="H31" s="160">
        <v>299000</v>
      </c>
      <c r="I31" s="123"/>
    </row>
    <row r="32" spans="2:17" x14ac:dyDescent="0.25">
      <c r="B32" s="144" t="s">
        <v>426</v>
      </c>
      <c r="C32" s="145">
        <f>+SUM(E32:$I$32)</f>
        <v>554594.92000000004</v>
      </c>
      <c r="D32" s="145"/>
      <c r="E32" s="122">
        <v>127000</v>
      </c>
      <c r="F32" s="122">
        <v>174585.47</v>
      </c>
      <c r="G32" s="122">
        <v>85975.790000000008</v>
      </c>
      <c r="H32" s="160">
        <v>167033.66</v>
      </c>
      <c r="I32" s="123"/>
    </row>
    <row r="33" spans="2:9" x14ac:dyDescent="0.25">
      <c r="B33" s="151" t="s">
        <v>427</v>
      </c>
      <c r="C33" s="152">
        <f>+SUM(E33:I33)</f>
        <v>148708.10749999998</v>
      </c>
      <c r="D33" s="152"/>
      <c r="E33" s="122">
        <v>15000</v>
      </c>
      <c r="F33" s="122">
        <v>12223</v>
      </c>
      <c r="G33" s="122">
        <v>82805.727499999994</v>
      </c>
      <c r="H33" s="160">
        <v>38679.380000000005</v>
      </c>
      <c r="I33" s="125"/>
    </row>
    <row r="34" spans="2:9" ht="15.75" thickBot="1" x14ac:dyDescent="0.3">
      <c r="B34" s="136" t="s">
        <v>432</v>
      </c>
      <c r="C34" s="153">
        <f>+SUM($E$34:$I$34)</f>
        <v>471212.07700000005</v>
      </c>
      <c r="D34" s="153"/>
      <c r="E34" s="122">
        <v>67485.868000000002</v>
      </c>
      <c r="F34" s="122">
        <v>154708.03800000003</v>
      </c>
      <c r="G34" s="122">
        <v>154490.20250000001</v>
      </c>
      <c r="H34" s="160">
        <v>94527.968499999988</v>
      </c>
      <c r="I34" s="125"/>
    </row>
    <row r="35" spans="2:9" ht="15.75" thickBot="1" x14ac:dyDescent="0.3">
      <c r="B35" s="136" t="s">
        <v>467</v>
      </c>
      <c r="C35" s="153">
        <f>+SUM(E35:H35)</f>
        <v>496805</v>
      </c>
      <c r="D35" s="153"/>
      <c r="E35" s="122">
        <v>0</v>
      </c>
      <c r="F35" s="122">
        <f>130800+100000</f>
        <v>230800</v>
      </c>
      <c r="G35" s="122">
        <v>59415</v>
      </c>
      <c r="H35" s="161">
        <f>131590+75000</f>
        <v>206590</v>
      </c>
      <c r="I35" s="125"/>
    </row>
    <row r="36" spans="2:9" ht="15.75" thickBot="1" x14ac:dyDescent="0.3">
      <c r="B36" s="136" t="s">
        <v>433</v>
      </c>
      <c r="C36" s="153">
        <f>+SUM($E$36:$I$36)</f>
        <v>15470.803800000003</v>
      </c>
      <c r="D36" s="153"/>
      <c r="E36" s="157"/>
      <c r="F36" s="158">
        <v>15470.803800000003</v>
      </c>
      <c r="G36" s="158"/>
      <c r="H36" s="162"/>
      <c r="I36" s="125"/>
    </row>
    <row r="37" spans="2:9" ht="15.75" thickBot="1" x14ac:dyDescent="0.3">
      <c r="B37" s="136" t="s">
        <v>436</v>
      </c>
      <c r="C37" s="202">
        <f>+AVERAGE(E31:H31)</f>
        <v>315632.25</v>
      </c>
      <c r="D37" s="244"/>
      <c r="E37" s="239"/>
      <c r="F37" s="185"/>
      <c r="G37" s="185"/>
      <c r="H37" s="185"/>
      <c r="I37" s="199"/>
    </row>
    <row r="38" spans="2:9" ht="15.75" thickBot="1" x14ac:dyDescent="0.3">
      <c r="B38" s="136" t="s">
        <v>437</v>
      </c>
      <c r="C38" s="202">
        <f>+AVERAGE(E32:H32)</f>
        <v>138648.73000000001</v>
      </c>
      <c r="D38" s="244"/>
      <c r="E38" s="241"/>
      <c r="F38" s="242"/>
      <c r="G38" s="242"/>
      <c r="H38" s="242"/>
      <c r="I38" s="243"/>
    </row>
    <row r="39" spans="2:9" ht="15.75" thickBot="1" x14ac:dyDescent="0.3">
      <c r="B39" s="136" t="s">
        <v>438</v>
      </c>
      <c r="C39" s="202">
        <f>+AVERAGE(E33:H33)</f>
        <v>37177.026874999996</v>
      </c>
      <c r="D39" s="244"/>
      <c r="E39" s="209" t="s">
        <v>468</v>
      </c>
      <c r="F39" s="210"/>
      <c r="G39" s="210"/>
      <c r="H39" s="210"/>
      <c r="I39" s="245"/>
    </row>
    <row r="40" spans="2:9" ht="15.75" thickBot="1" x14ac:dyDescent="0.3">
      <c r="B40" s="136" t="s">
        <v>439</v>
      </c>
      <c r="C40" s="202">
        <f>+AVERAGE(E34:H34)</f>
        <v>117803.01925000001</v>
      </c>
      <c r="D40" s="244"/>
      <c r="E40" s="213" t="s">
        <v>469</v>
      </c>
      <c r="F40" s="214"/>
      <c r="G40" s="214"/>
      <c r="H40" s="214"/>
      <c r="I40" s="246"/>
    </row>
    <row r="43" spans="2:9" ht="15.75" thickBot="1" x14ac:dyDescent="0.3"/>
    <row r="44" spans="2:9" ht="15.75" thickBot="1" x14ac:dyDescent="0.3">
      <c r="B44" s="234" t="s">
        <v>478</v>
      </c>
      <c r="C44" s="238"/>
      <c r="D44" s="141" t="s">
        <v>457</v>
      </c>
      <c r="E44" s="142" t="s">
        <v>479</v>
      </c>
      <c r="F44" s="143" t="s">
        <v>480</v>
      </c>
      <c r="G44" s="110"/>
    </row>
    <row r="45" spans="2:9" ht="15.75" thickBot="1" x14ac:dyDescent="0.3">
      <c r="B45" s="144" t="s">
        <v>425</v>
      </c>
      <c r="C45" s="145">
        <f>+SUM(E45:G45)</f>
        <v>750000</v>
      </c>
      <c r="D45" s="145"/>
      <c r="E45" s="122">
        <v>435000</v>
      </c>
      <c r="F45" s="147">
        <v>315000</v>
      </c>
      <c r="G45" s="123"/>
    </row>
    <row r="46" spans="2:9" x14ac:dyDescent="0.25">
      <c r="B46" s="144" t="s">
        <v>426</v>
      </c>
      <c r="C46" s="145">
        <f>+SUM(E46:$G$46)</f>
        <v>352369</v>
      </c>
      <c r="D46" s="145"/>
      <c r="E46" s="122">
        <v>249869</v>
      </c>
      <c r="F46" s="150">
        <v>102500</v>
      </c>
      <c r="G46" s="123"/>
    </row>
    <row r="47" spans="2:9" x14ac:dyDescent="0.25">
      <c r="B47" s="151" t="s">
        <v>427</v>
      </c>
      <c r="C47" s="152">
        <f>+SUM(E47:G47)</f>
        <v>242267</v>
      </c>
      <c r="D47" s="152"/>
      <c r="E47" s="122">
        <v>98192</v>
      </c>
      <c r="F47" s="150">
        <f>+F45+-F46-F48</f>
        <v>144075</v>
      </c>
      <c r="G47" s="125"/>
    </row>
    <row r="48" spans="2:9" ht="15.75" thickBot="1" x14ac:dyDescent="0.3">
      <c r="B48" s="136" t="s">
        <v>432</v>
      </c>
      <c r="C48" s="153">
        <f>+SUM($E$48:$G$48)</f>
        <v>155363.89666666667</v>
      </c>
      <c r="D48" s="153"/>
      <c r="E48" s="122">
        <v>86938.896666666667</v>
      </c>
      <c r="F48" s="150">
        <v>68425</v>
      </c>
      <c r="G48" s="125"/>
    </row>
    <row r="49" spans="2:7" ht="15.75" thickBot="1" x14ac:dyDescent="0.3">
      <c r="B49" s="136" t="s">
        <v>467</v>
      </c>
      <c r="C49" s="153">
        <f>+SUM(E49:H49)</f>
        <v>487000</v>
      </c>
      <c r="D49" s="153"/>
      <c r="E49" s="122">
        <f>141000+15000+100000</f>
        <v>256000</v>
      </c>
      <c r="F49" s="150">
        <f>90000+30000+36000+75000</f>
        <v>231000</v>
      </c>
      <c r="G49" s="125"/>
    </row>
    <row r="50" spans="2:7" ht="15.75" thickBot="1" x14ac:dyDescent="0.3">
      <c r="B50" s="136" t="s">
        <v>433</v>
      </c>
      <c r="C50" s="153">
        <f>+SUM($E$50:$G$50)</f>
        <v>0</v>
      </c>
      <c r="D50" s="153"/>
      <c r="E50" s="122"/>
      <c r="F50" s="150"/>
      <c r="G50" s="125"/>
    </row>
    <row r="51" spans="2:7" ht="15.75" thickBot="1" x14ac:dyDescent="0.3">
      <c r="B51" s="136" t="s">
        <v>436</v>
      </c>
      <c r="C51" s="202">
        <f>+AVERAGE(E45:F45)</f>
        <v>375000</v>
      </c>
      <c r="D51" s="203"/>
      <c r="E51" s="239"/>
      <c r="F51" s="185"/>
      <c r="G51" s="199"/>
    </row>
    <row r="52" spans="2:7" ht="15.75" thickBot="1" x14ac:dyDescent="0.3">
      <c r="B52" s="136" t="s">
        <v>437</v>
      </c>
      <c r="C52" s="202">
        <f>+AVERAGE(E46:F46)</f>
        <v>176184.5</v>
      </c>
      <c r="D52" s="203"/>
      <c r="E52" s="241"/>
      <c r="F52" s="242"/>
      <c r="G52" s="243"/>
    </row>
    <row r="53" spans="2:7" ht="15.75" thickBot="1" x14ac:dyDescent="0.3">
      <c r="B53" s="136" t="s">
        <v>438</v>
      </c>
      <c r="C53" s="202">
        <f>+AVERAGE(E47:F47)</f>
        <v>121133.5</v>
      </c>
      <c r="D53" s="203"/>
      <c r="E53" s="209" t="s">
        <v>468</v>
      </c>
      <c r="F53" s="235"/>
      <c r="G53" s="201"/>
    </row>
    <row r="54" spans="2:7" ht="15.75" thickBot="1" x14ac:dyDescent="0.3">
      <c r="B54" s="136" t="s">
        <v>439</v>
      </c>
      <c r="C54" s="202">
        <f>+AVERAGE(E48:F48)</f>
        <v>77681.948333333334</v>
      </c>
      <c r="D54" s="203"/>
      <c r="E54" s="213" t="s">
        <v>469</v>
      </c>
      <c r="F54" s="236"/>
      <c r="G54" s="237"/>
    </row>
    <row r="57" spans="2:7" ht="15.75" thickBot="1" x14ac:dyDescent="0.3"/>
    <row r="58" spans="2:7" ht="15.75" thickBot="1" x14ac:dyDescent="0.3">
      <c r="B58" s="234" t="s">
        <v>481</v>
      </c>
      <c r="C58" s="238"/>
      <c r="D58" s="141" t="s">
        <v>457</v>
      </c>
      <c r="E58" s="142" t="s">
        <v>482</v>
      </c>
      <c r="F58" s="143" t="s">
        <v>483</v>
      </c>
      <c r="G58" s="110"/>
    </row>
    <row r="59" spans="2:7" ht="15.75" thickBot="1" x14ac:dyDescent="0.3">
      <c r="B59" s="144" t="s">
        <v>425</v>
      </c>
      <c r="C59" s="145">
        <f>+SUM(E59:G59)</f>
        <v>335000</v>
      </c>
      <c r="D59" s="145"/>
      <c r="E59" s="122">
        <v>50000</v>
      </c>
      <c r="F59" s="147">
        <v>285000</v>
      </c>
      <c r="G59" s="123"/>
    </row>
    <row r="60" spans="2:7" x14ac:dyDescent="0.25">
      <c r="B60" s="144" t="s">
        <v>426</v>
      </c>
      <c r="C60" s="145">
        <f>+SUM(E60:$G$60)</f>
        <v>89099.277500000011</v>
      </c>
      <c r="D60" s="145"/>
      <c r="E60" s="122">
        <v>10000.13875</v>
      </c>
      <c r="F60" s="150">
        <v>79099.138750000013</v>
      </c>
      <c r="G60" s="123"/>
    </row>
    <row r="61" spans="2:7" x14ac:dyDescent="0.25">
      <c r="B61" s="151" t="s">
        <v>427</v>
      </c>
      <c r="C61" s="152">
        <f>+SUM(E61:G61)</f>
        <v>84974.5</v>
      </c>
      <c r="D61" s="152"/>
      <c r="E61" s="122">
        <v>0</v>
      </c>
      <c r="F61" s="150">
        <v>84974.5</v>
      </c>
      <c r="G61" s="125"/>
    </row>
    <row r="62" spans="2:7" ht="15.75" thickBot="1" x14ac:dyDescent="0.3">
      <c r="B62" s="136" t="s">
        <v>432</v>
      </c>
      <c r="C62" s="153">
        <f>+SUM($E$62:$G$62)</f>
        <v>91406.693999999989</v>
      </c>
      <c r="D62" s="153"/>
      <c r="E62" s="124">
        <v>30489.599999999999</v>
      </c>
      <c r="F62" s="124">
        <v>60917.093999999997</v>
      </c>
      <c r="G62" s="125"/>
    </row>
    <row r="63" spans="2:7" ht="15.75" thickBot="1" x14ac:dyDescent="0.3">
      <c r="B63" s="136" t="s">
        <v>467</v>
      </c>
      <c r="C63" s="153">
        <f>+SUM(E63:G63)</f>
        <v>65943</v>
      </c>
      <c r="D63" s="153"/>
      <c r="E63" s="124">
        <v>0</v>
      </c>
      <c r="F63" s="124">
        <v>65943</v>
      </c>
      <c r="G63" s="125"/>
    </row>
    <row r="64" spans="2:7" ht="15.75" thickBot="1" x14ac:dyDescent="0.3">
      <c r="B64" s="136" t="s">
        <v>433</v>
      </c>
      <c r="C64" s="153">
        <f>+SUM($E$64:$G$64)</f>
        <v>0</v>
      </c>
      <c r="D64" s="153"/>
      <c r="E64" s="122"/>
      <c r="F64" s="163"/>
      <c r="G64" s="125"/>
    </row>
    <row r="65" spans="2:16" ht="15.75" thickBot="1" x14ac:dyDescent="0.3">
      <c r="B65" s="136" t="s">
        <v>436</v>
      </c>
      <c r="C65" s="202">
        <f>+AVERAGE(E59:F59)</f>
        <v>167500</v>
      </c>
      <c r="D65" s="203"/>
      <c r="E65" s="239"/>
      <c r="F65" s="240"/>
      <c r="G65" s="199"/>
    </row>
    <row r="66" spans="2:16" ht="15.75" thickBot="1" x14ac:dyDescent="0.3">
      <c r="B66" s="136" t="s">
        <v>437</v>
      </c>
      <c r="C66" s="202">
        <f>+AVERAGE(E60:F60)</f>
        <v>44549.638750000006</v>
      </c>
      <c r="D66" s="203"/>
      <c r="E66" s="241"/>
      <c r="F66" s="242"/>
      <c r="G66" s="243"/>
      <c r="L66" s="60">
        <v>45691</v>
      </c>
      <c r="M66">
        <v>1000</v>
      </c>
    </row>
    <row r="67" spans="2:16" ht="15.75" thickBot="1" x14ac:dyDescent="0.3">
      <c r="B67" s="136" t="s">
        <v>438</v>
      </c>
      <c r="C67" s="202">
        <f>+AVERAGE(E61:F61)</f>
        <v>42487.25</v>
      </c>
      <c r="D67" s="203"/>
      <c r="E67" s="209" t="s">
        <v>468</v>
      </c>
      <c r="F67" s="210"/>
      <c r="G67" s="201"/>
      <c r="L67" s="60">
        <v>45717</v>
      </c>
      <c r="M67">
        <v>3986</v>
      </c>
    </row>
    <row r="68" spans="2:16" ht="15.75" thickBot="1" x14ac:dyDescent="0.3">
      <c r="B68" s="136" t="s">
        <v>439</v>
      </c>
      <c r="C68" s="202">
        <f>+AVERAGE(E62:F62)</f>
        <v>45703.346999999994</v>
      </c>
      <c r="D68" s="203"/>
      <c r="E68" s="213" t="s">
        <v>469</v>
      </c>
      <c r="F68" s="214"/>
      <c r="G68" s="237"/>
      <c r="L68" s="60">
        <v>45754</v>
      </c>
      <c r="M68">
        <v>555</v>
      </c>
      <c r="N68">
        <f>SUM(M66:M68)</f>
        <v>5541</v>
      </c>
      <c r="O68">
        <f>+N68/2</f>
        <v>2770.5</v>
      </c>
      <c r="P68">
        <f>+O68/3</f>
        <v>923.5</v>
      </c>
    </row>
    <row r="69" spans="2:16" x14ac:dyDescent="0.25">
      <c r="L69" s="60">
        <v>45778</v>
      </c>
      <c r="M69">
        <v>555</v>
      </c>
    </row>
    <row r="70" spans="2:16" x14ac:dyDescent="0.25">
      <c r="L70" s="60">
        <v>45809</v>
      </c>
      <c r="M70">
        <v>555</v>
      </c>
    </row>
    <row r="71" spans="2:16" ht="15.75" thickBot="1" x14ac:dyDescent="0.3">
      <c r="L71" s="60">
        <f>+L70+30</f>
        <v>45839</v>
      </c>
      <c r="M71">
        <v>555</v>
      </c>
      <c r="N71">
        <f>SUM(M69:M71)</f>
        <v>1665</v>
      </c>
      <c r="O71">
        <f>+N71/2</f>
        <v>832.5</v>
      </c>
      <c r="P71">
        <f>+O71/3</f>
        <v>277.5</v>
      </c>
    </row>
    <row r="72" spans="2:16" ht="15.75" thickBot="1" x14ac:dyDescent="0.3">
      <c r="B72" s="234" t="s">
        <v>484</v>
      </c>
      <c r="C72" s="238"/>
      <c r="D72" s="141" t="s">
        <v>457</v>
      </c>
      <c r="E72" s="142"/>
      <c r="F72" s="116" t="s">
        <v>398</v>
      </c>
      <c r="G72" s="115" t="s">
        <v>394</v>
      </c>
      <c r="H72" s="110"/>
      <c r="L72" s="60">
        <f t="shared" ref="L72:L79" si="2">+L71+30</f>
        <v>45869</v>
      </c>
      <c r="M72">
        <v>555</v>
      </c>
    </row>
    <row r="73" spans="2:16" ht="15.75" thickBot="1" x14ac:dyDescent="0.3">
      <c r="B73" s="144" t="s">
        <v>425</v>
      </c>
      <c r="C73" s="145">
        <f>+SUM(E73:H73)</f>
        <v>1100000</v>
      </c>
      <c r="D73" s="145"/>
      <c r="E73" s="122"/>
      <c r="F73" s="122">
        <v>470000</v>
      </c>
      <c r="G73" s="120">
        <v>630000</v>
      </c>
      <c r="H73" s="123"/>
      <c r="L73" s="60">
        <f t="shared" si="2"/>
        <v>45899</v>
      </c>
      <c r="M73">
        <v>555</v>
      </c>
    </row>
    <row r="74" spans="2:16" x14ac:dyDescent="0.25">
      <c r="B74" s="144" t="s">
        <v>426</v>
      </c>
      <c r="C74" s="145">
        <f>+SUM(E74:$H$74)</f>
        <v>572564.34</v>
      </c>
      <c r="D74" s="145"/>
      <c r="E74" s="122"/>
      <c r="F74" s="122">
        <v>220401.85</v>
      </c>
      <c r="G74" s="120">
        <v>352162.49</v>
      </c>
      <c r="H74" s="123"/>
      <c r="L74" s="60">
        <f t="shared" si="2"/>
        <v>45929</v>
      </c>
      <c r="M74">
        <v>555</v>
      </c>
    </row>
    <row r="75" spans="2:16" x14ac:dyDescent="0.25">
      <c r="B75" s="151" t="s">
        <v>427</v>
      </c>
      <c r="C75" s="152">
        <f>+SUM(E75:H75)</f>
        <v>217103.43097500002</v>
      </c>
      <c r="D75" s="152"/>
      <c r="E75" s="122"/>
      <c r="F75" s="122">
        <v>57344.420874999996</v>
      </c>
      <c r="G75" s="120">
        <v>159759.01010000001</v>
      </c>
      <c r="H75" s="125"/>
      <c r="L75" s="60">
        <f t="shared" si="2"/>
        <v>45959</v>
      </c>
      <c r="M75">
        <v>555</v>
      </c>
    </row>
    <row r="76" spans="2:16" ht="15.75" thickBot="1" x14ac:dyDescent="0.3">
      <c r="B76" s="136" t="s">
        <v>432</v>
      </c>
      <c r="C76" s="153">
        <f>+SUM($E$76:$H$76)</f>
        <v>130635.59541506917</v>
      </c>
      <c r="D76" s="153"/>
      <c r="E76" s="124"/>
      <c r="F76" s="164">
        <v>149981.58261184339</v>
      </c>
      <c r="G76" s="120">
        <v>-19345.987196774222</v>
      </c>
      <c r="H76" s="125"/>
      <c r="L76" s="60">
        <f t="shared" si="2"/>
        <v>45989</v>
      </c>
      <c r="M76">
        <v>555</v>
      </c>
    </row>
    <row r="77" spans="2:16" ht="15.75" thickBot="1" x14ac:dyDescent="0.3">
      <c r="B77" s="136" t="s">
        <v>467</v>
      </c>
      <c r="C77" s="153">
        <f>+SUM(E77:H77)</f>
        <v>750395.34</v>
      </c>
      <c r="D77" s="153"/>
      <c r="E77" s="124"/>
      <c r="F77" s="164">
        <v>196273.85</v>
      </c>
      <c r="G77" s="120">
        <v>554121.49</v>
      </c>
      <c r="H77" s="125"/>
      <c r="L77" s="60">
        <f t="shared" si="2"/>
        <v>46019</v>
      </c>
      <c r="M77">
        <v>555</v>
      </c>
    </row>
    <row r="78" spans="2:16" ht="15.75" thickBot="1" x14ac:dyDescent="0.3">
      <c r="B78" s="136" t="s">
        <v>433</v>
      </c>
      <c r="C78" s="153">
        <f>+SUM($E$78:$H$78)</f>
        <v>494121</v>
      </c>
      <c r="D78" s="153"/>
      <c r="E78" s="122"/>
      <c r="F78" s="122">
        <v>0</v>
      </c>
      <c r="G78" s="163">
        <f>136821+85000+172000+100300</f>
        <v>494121</v>
      </c>
      <c r="H78" s="125"/>
      <c r="L78" s="60">
        <f t="shared" si="2"/>
        <v>46049</v>
      </c>
      <c r="M78">
        <v>555</v>
      </c>
    </row>
    <row r="79" spans="2:16" ht="15.75" thickBot="1" x14ac:dyDescent="0.3">
      <c r="B79" s="136" t="s">
        <v>436</v>
      </c>
      <c r="C79" s="202">
        <f>+AVERAGE(E73:G73)</f>
        <v>550000</v>
      </c>
      <c r="D79" s="203"/>
      <c r="E79" s="239"/>
      <c r="F79" s="240"/>
      <c r="G79" s="185"/>
      <c r="H79" s="199"/>
      <c r="L79" s="60">
        <f t="shared" si="2"/>
        <v>46079</v>
      </c>
      <c r="M79">
        <v>555</v>
      </c>
    </row>
    <row r="80" spans="2:16" ht="15.75" thickBot="1" x14ac:dyDescent="0.3">
      <c r="B80" s="136" t="s">
        <v>437</v>
      </c>
      <c r="C80" s="202">
        <f>+AVERAGE(E74:G74)</f>
        <v>286282.17</v>
      </c>
      <c r="D80" s="203"/>
      <c r="E80" s="241"/>
      <c r="F80" s="242"/>
      <c r="G80" s="242"/>
      <c r="H80" s="243"/>
    </row>
    <row r="81" spans="2:8" ht="15.75" thickBot="1" x14ac:dyDescent="0.3">
      <c r="B81" s="136" t="s">
        <v>438</v>
      </c>
      <c r="C81" s="202">
        <f>+AVERAGE(E75:G75)</f>
        <v>108551.71548750001</v>
      </c>
      <c r="D81" s="203"/>
      <c r="E81" s="209" t="s">
        <v>468</v>
      </c>
      <c r="F81" s="210"/>
      <c r="G81" s="235"/>
      <c r="H81" s="201"/>
    </row>
    <row r="82" spans="2:8" ht="15.75" thickBot="1" x14ac:dyDescent="0.3">
      <c r="B82" s="136" t="s">
        <v>439</v>
      </c>
      <c r="C82" s="202">
        <f>+AVERAGE(E76:G76)</f>
        <v>65317.797707534584</v>
      </c>
      <c r="D82" s="203"/>
      <c r="E82" s="213" t="s">
        <v>469</v>
      </c>
      <c r="F82" s="214"/>
      <c r="G82" s="236"/>
      <c r="H82" s="237"/>
    </row>
  </sheetData>
  <mergeCells count="48">
    <mergeCell ref="B2:C2"/>
    <mergeCell ref="C9:D9"/>
    <mergeCell ref="E9:H10"/>
    <mergeCell ref="C10:D10"/>
    <mergeCell ref="C11:D11"/>
    <mergeCell ref="E11:H11"/>
    <mergeCell ref="C37:D37"/>
    <mergeCell ref="E37:I38"/>
    <mergeCell ref="C38:D38"/>
    <mergeCell ref="C12:D12"/>
    <mergeCell ref="E12:H12"/>
    <mergeCell ref="B16:C16"/>
    <mergeCell ref="C23:D23"/>
    <mergeCell ref="E23:H24"/>
    <mergeCell ref="C24:D24"/>
    <mergeCell ref="C25:D25"/>
    <mergeCell ref="E25:H25"/>
    <mergeCell ref="C26:D26"/>
    <mergeCell ref="E26:H26"/>
    <mergeCell ref="B30:C30"/>
    <mergeCell ref="C65:D65"/>
    <mergeCell ref="E65:G66"/>
    <mergeCell ref="C66:D66"/>
    <mergeCell ref="C39:D39"/>
    <mergeCell ref="E39:I39"/>
    <mergeCell ref="C40:D40"/>
    <mergeCell ref="E40:I40"/>
    <mergeCell ref="B44:C44"/>
    <mergeCell ref="C51:D51"/>
    <mergeCell ref="E51:G52"/>
    <mergeCell ref="C52:D52"/>
    <mergeCell ref="C53:D53"/>
    <mergeCell ref="E53:G53"/>
    <mergeCell ref="C54:D54"/>
    <mergeCell ref="E54:G54"/>
    <mergeCell ref="B58:C58"/>
    <mergeCell ref="C81:D81"/>
    <mergeCell ref="E81:H81"/>
    <mergeCell ref="C82:D82"/>
    <mergeCell ref="E82:H82"/>
    <mergeCell ref="C67:D67"/>
    <mergeCell ref="E67:G67"/>
    <mergeCell ref="C68:D68"/>
    <mergeCell ref="E68:G68"/>
    <mergeCell ref="B72:C72"/>
    <mergeCell ref="C79:D79"/>
    <mergeCell ref="E79:H80"/>
    <mergeCell ref="C80:D8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09CF03-434F-459A-86BF-FCA385B77D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FD679-1628-419B-B7B5-CE3DA46B2A35}">
  <ds:schemaRefs>
    <ds:schemaRef ds:uri="http://www.w3.org/XML/1998/namespace"/>
    <ds:schemaRef ds:uri="ab9fedca-001d-4cc9-b244-d9c3be5a27d3"/>
    <ds:schemaRef ds:uri="http://purl.org/dc/terms/"/>
    <ds:schemaRef ds:uri="http://schemas.microsoft.com/office/2006/metadata/properties"/>
    <ds:schemaRef ds:uri="http://schemas.microsoft.com/office/2006/documentManagement/types"/>
    <ds:schemaRef ds:uri="42cc25d9-27fe-4f07-accb-ded05ec47ee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CE428CB-5AF0-4A04-9655-8D07C0A22A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Cards</vt:lpstr>
      <vt:lpstr>Balances</vt:lpstr>
      <vt:lpstr>Mega Success</vt:lpstr>
      <vt:lpstr>Mortgages</vt:lpstr>
      <vt:lpstr>Private Lenders</vt:lpstr>
      <vt:lpstr>Projects</vt:lpstr>
      <vt:lpstr>Past Projects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wes browning</dc:creator>
  <cp:keywords/>
  <dc:description/>
  <cp:lastModifiedBy>Wes Will Buy Your Home</cp:lastModifiedBy>
  <cp:revision/>
  <dcterms:created xsi:type="dcterms:W3CDTF">2019-07-28T11:04:13Z</dcterms:created>
  <dcterms:modified xsi:type="dcterms:W3CDTF">2026-06-15T12:01:29Z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  <property fmtid="{D5CDD505-2E9C-101B-9397-08002B2CF9AE}" pid="3" name="MediaServiceImageTags">
    <vt:lpwstr/>
  </property>
</Properties>
</file>