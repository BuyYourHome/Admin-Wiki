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870" documentId="13_ncr:1_{0C20EBD6-E2BD-404C-B47C-BDA54182D35E}" xr6:coauthVersionLast="47" xr6:coauthVersionMax="47" xr10:uidLastSave="{6DAE9EF2-3583-4970-8920-968C95040CE8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O4" i="3"/>
  <c r="N14" i="3"/>
  <c r="N13" i="3"/>
  <c r="N12" i="3"/>
  <c r="N11" i="3"/>
  <c r="N10" i="3"/>
  <c r="N9" i="3"/>
  <c r="N8" i="3"/>
  <c r="N7" i="3"/>
  <c r="N6" i="3"/>
  <c r="N5" i="3"/>
  <c r="N4" i="3"/>
  <c r="L4" i="3"/>
  <c r="K4" i="3"/>
  <c r="H4" i="3"/>
  <c r="G4" i="3"/>
  <c r="F4" i="3"/>
  <c r="C4" i="3" s="1"/>
  <c r="R22" i="3"/>
  <c r="Q22" i="3"/>
  <c r="D22" i="3"/>
  <c r="C22" i="3"/>
  <c r="B22" i="3"/>
  <c r="C4" i="2"/>
  <c r="G11" i="1"/>
  <c r="C13" i="2" s="1"/>
  <c r="F11" i="1"/>
  <c r="C6" i="2" s="1"/>
  <c r="E11" i="1"/>
  <c r="C5" i="2" s="1"/>
  <c r="H10" i="1"/>
  <c r="H9" i="1"/>
  <c r="B21" i="3"/>
  <c r="B19" i="3"/>
  <c r="I4" i="2"/>
  <c r="C18" i="6"/>
  <c r="B18" i="6"/>
  <c r="B6" i="4"/>
  <c r="H6" i="4" s="1"/>
  <c r="B4" i="4"/>
  <c r="H4" i="4" s="1"/>
  <c r="I13" i="2"/>
  <c r="I12" i="2"/>
  <c r="I11" i="2"/>
  <c r="I10" i="2"/>
  <c r="I9" i="2"/>
  <c r="I7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59" i="6"/>
  <c r="B59" i="6"/>
  <c r="C50" i="6"/>
  <c r="B50" i="6"/>
  <c r="C41" i="6"/>
  <c r="B41" i="6"/>
  <c r="E4" i="3" l="1"/>
  <c r="P4" i="3"/>
  <c r="M4" i="3"/>
  <c r="I4" i="3"/>
  <c r="F5" i="3"/>
  <c r="C5" i="3" s="1"/>
  <c r="C12" i="2"/>
  <c r="C11" i="2"/>
  <c r="C9" i="2"/>
  <c r="C10" i="2"/>
  <c r="C8" i="2"/>
  <c r="C7" i="2"/>
  <c r="C14" i="2"/>
  <c r="H11" i="1"/>
  <c r="D19" i="3"/>
  <c r="C27" i="6"/>
  <c r="C8" i="6" s="1"/>
  <c r="B27" i="6"/>
  <c r="B8" i="6" s="1"/>
  <c r="B10" i="6" s="1"/>
  <c r="B28" i="1"/>
  <c r="C9" i="6"/>
  <c r="C10" i="6" s="1"/>
  <c r="B9" i="6"/>
  <c r="B17" i="1" l="1"/>
  <c r="D9" i="2"/>
  <c r="I22" i="3" s="1"/>
  <c r="D7" i="2"/>
  <c r="G22" i="3" s="1"/>
  <c r="D12" i="2"/>
  <c r="L22" i="3" s="1"/>
  <c r="D8" i="2"/>
  <c r="H22" i="3" s="1"/>
  <c r="D11" i="2"/>
  <c r="K22" i="3" s="1"/>
  <c r="D13" i="2"/>
  <c r="M22" i="3" s="1"/>
  <c r="D6" i="2"/>
  <c r="F22" i="3" s="1"/>
  <c r="D10" i="2"/>
  <c r="J22" i="3" s="1"/>
  <c r="D14" i="2"/>
  <c r="N22" i="3" s="1"/>
  <c r="D21" i="3"/>
  <c r="G10" i="6"/>
  <c r="B29" i="6" s="1"/>
  <c r="K4" i="2"/>
  <c r="D5" i="2"/>
  <c r="E22" i="3" s="1"/>
  <c r="O22" i="3" l="1"/>
  <c r="P22" i="3" s="1"/>
  <c r="B10" i="7"/>
  <c r="B15" i="7" s="1"/>
  <c r="B41" i="1"/>
  <c r="B15" i="6"/>
  <c r="B14" i="6"/>
  <c r="J4" i="3" l="1"/>
  <c r="J5" i="3" s="1"/>
  <c r="B36" i="7"/>
  <c r="B6" i="7" s="1"/>
  <c r="B7" i="7" s="1"/>
  <c r="B15" i="1" s="1"/>
  <c r="E12" i="2" s="1"/>
  <c r="F12" i="2" s="1"/>
  <c r="N12" i="2" s="1"/>
  <c r="B20" i="3"/>
  <c r="B30" i="6"/>
  <c r="B31" i="6" s="1"/>
  <c r="B5" i="4"/>
  <c r="H5" i="4" s="1"/>
  <c r="B30" i="1" l="1"/>
  <c r="M14" i="2" s="1"/>
  <c r="E11" i="2"/>
  <c r="F11" i="2" s="1"/>
  <c r="N11" i="2" s="1"/>
  <c r="E4" i="2"/>
  <c r="F4" i="2" s="1"/>
  <c r="H4" i="2" s="1"/>
  <c r="J4" i="2" s="1"/>
  <c r="B4" i="3" s="1"/>
  <c r="E7" i="2"/>
  <c r="F7" i="2" s="1"/>
  <c r="N7" i="2" s="1"/>
  <c r="E13" i="2"/>
  <c r="F13" i="2" s="1"/>
  <c r="N13" i="2" s="1"/>
  <c r="E5" i="2"/>
  <c r="F5" i="2" s="1"/>
  <c r="E9" i="2"/>
  <c r="F9" i="2" s="1"/>
  <c r="N9" i="2" s="1"/>
  <c r="E6" i="2"/>
  <c r="F6" i="2" s="1"/>
  <c r="N6" i="2" s="1"/>
  <c r="E10" i="2"/>
  <c r="F10" i="2" s="1"/>
  <c r="N10" i="2" s="1"/>
  <c r="E8" i="2"/>
  <c r="F8" i="2" s="1"/>
  <c r="N8" i="2" s="1"/>
  <c r="E14" i="2"/>
  <c r="F14" i="2" s="1"/>
  <c r="N14" i="2" s="1"/>
  <c r="I14" i="2" s="1"/>
  <c r="D20" i="3"/>
  <c r="N5" i="2" l="1"/>
  <c r="M12" i="2"/>
  <c r="M5" i="2"/>
  <c r="I5" i="2"/>
  <c r="G5" i="2"/>
  <c r="H5" i="2" s="1"/>
  <c r="G7" i="2"/>
  <c r="H7" i="2" s="1"/>
  <c r="G6" i="2"/>
  <c r="H6" i="2" s="1"/>
  <c r="M11" i="2"/>
  <c r="I6" i="2"/>
  <c r="G14" i="2"/>
  <c r="H14" i="2" s="1"/>
  <c r="M6" i="2"/>
  <c r="G8" i="2"/>
  <c r="H8" i="2" s="1"/>
  <c r="M7" i="2"/>
  <c r="G9" i="2"/>
  <c r="H9" i="2" s="1"/>
  <c r="B31" i="1"/>
  <c r="B32" i="1"/>
  <c r="G10" i="2"/>
  <c r="H10" i="2" s="1"/>
  <c r="M10" i="2"/>
  <c r="G12" i="2"/>
  <c r="H12" i="2" s="1"/>
  <c r="M9" i="2"/>
  <c r="M13" i="2"/>
  <c r="G11" i="2"/>
  <c r="H11" i="2" s="1"/>
  <c r="G13" i="2"/>
  <c r="H13" i="2" s="1"/>
  <c r="M8" i="2"/>
  <c r="I8" i="2" s="1"/>
  <c r="L4" i="2"/>
  <c r="B45" i="1" l="1"/>
  <c r="B44" i="1"/>
  <c r="J5" i="2" l="1"/>
  <c r="B5" i="3" s="1"/>
  <c r="D5" i="3" s="1"/>
  <c r="E5" i="3" s="1"/>
  <c r="G5" i="3" l="1"/>
  <c r="K5" i="3" s="1"/>
  <c r="O5" i="3" s="1"/>
  <c r="P5" i="3" s="1"/>
  <c r="L5" i="3" l="1"/>
  <c r="M5" i="3" s="1"/>
  <c r="F6" i="3"/>
  <c r="C6" i="3" s="1"/>
  <c r="H5" i="3" l="1"/>
  <c r="I5" i="3" s="1"/>
  <c r="J6" i="3"/>
  <c r="E20" i="3" l="1"/>
  <c r="I5" i="4"/>
  <c r="I4" i="4"/>
  <c r="K5" i="2"/>
  <c r="L5" i="2" s="1"/>
  <c r="J6" i="2" s="1"/>
  <c r="B6" i="3" s="1"/>
  <c r="D6" i="3" s="1"/>
  <c r="E6" i="3" s="1"/>
  <c r="E19" i="3"/>
  <c r="I6" i="4"/>
  <c r="E21" i="3"/>
  <c r="G6" i="3" l="1"/>
  <c r="K6" i="3" l="1"/>
  <c r="O6" i="3" s="1"/>
  <c r="P6" i="3" s="1"/>
  <c r="F7" i="3"/>
  <c r="C7" i="3" s="1"/>
  <c r="L6" i="3" l="1"/>
  <c r="M6" i="3" s="1"/>
  <c r="J6" i="4"/>
  <c r="J7" i="3"/>
  <c r="H6" i="3"/>
  <c r="I6" i="3" s="1"/>
  <c r="F21" i="3" l="1"/>
  <c r="J5" i="4"/>
  <c r="F20" i="3"/>
  <c r="F19" i="3"/>
  <c r="J4" i="4"/>
  <c r="K6" i="2"/>
  <c r="L6" i="2" s="1"/>
  <c r="J7" i="2" s="1"/>
  <c r="B7" i="3" s="1"/>
  <c r="D7" i="3" s="1"/>
  <c r="E7" i="3" s="1"/>
  <c r="G7" i="3" l="1"/>
  <c r="K7" i="3" s="1"/>
  <c r="O7" i="3" s="1"/>
  <c r="P7" i="3" s="1"/>
  <c r="L7" i="3" l="1"/>
  <c r="M7" i="3" s="1"/>
  <c r="F8" i="3"/>
  <c r="C8" i="3" s="1"/>
  <c r="H7" i="3" l="1"/>
  <c r="I7" i="3" s="1"/>
  <c r="J8" i="3"/>
  <c r="K5" i="4" l="1"/>
  <c r="G20" i="3"/>
  <c r="K7" i="2"/>
  <c r="L7" i="2" s="1"/>
  <c r="J8" i="2" s="1"/>
  <c r="B8" i="3" s="1"/>
  <c r="D8" i="3" s="1"/>
  <c r="E8" i="3" s="1"/>
  <c r="K4" i="4"/>
  <c r="G19" i="3"/>
  <c r="G21" i="3"/>
  <c r="K6" i="4"/>
  <c r="G8" i="3" l="1"/>
  <c r="F9" i="3" s="1"/>
  <c r="C9" i="3" s="1"/>
  <c r="K8" i="3" l="1"/>
  <c r="O8" i="3" s="1"/>
  <c r="P8" i="3" s="1"/>
  <c r="L6" i="4" l="1"/>
  <c r="L8" i="3"/>
  <c r="M8" i="3" s="1"/>
  <c r="H8" i="3"/>
  <c r="I8" i="3" s="1"/>
  <c r="H19" i="3" s="1"/>
  <c r="J9" i="3"/>
  <c r="L4" i="4" l="1"/>
  <c r="H21" i="3"/>
  <c r="H20" i="3"/>
  <c r="K8" i="2"/>
  <c r="L8" i="2" s="1"/>
  <c r="J9" i="2" s="1"/>
  <c r="B9" i="3" s="1"/>
  <c r="D9" i="3" s="1"/>
  <c r="E9" i="3" s="1"/>
  <c r="L5" i="4"/>
  <c r="G9" i="3" l="1"/>
  <c r="K9" i="3" s="1"/>
  <c r="O9" i="3" s="1"/>
  <c r="P9" i="3" s="1"/>
  <c r="F10" i="3" l="1"/>
  <c r="C10" i="3" s="1"/>
  <c r="L9" i="3"/>
  <c r="M9" i="3" s="1"/>
  <c r="H9" i="3"/>
  <c r="I9" i="3" s="1"/>
  <c r="J10" i="3"/>
  <c r="M6" i="4" l="1"/>
  <c r="I21" i="3"/>
  <c r="I19" i="3"/>
  <c r="M4" i="4"/>
  <c r="K9" i="2"/>
  <c r="L9" i="2" s="1"/>
  <c r="J10" i="2" s="1"/>
  <c r="B10" i="3" s="1"/>
  <c r="D10" i="3" s="1"/>
  <c r="E10" i="3" s="1"/>
  <c r="I20" i="3"/>
  <c r="M5" i="4"/>
  <c r="G10" i="3" l="1"/>
  <c r="K10" i="3" s="1"/>
  <c r="O10" i="3" l="1"/>
  <c r="P10" i="3" s="1"/>
  <c r="L10" i="3"/>
  <c r="M10" i="3" s="1"/>
  <c r="F11" i="3"/>
  <c r="C11" i="3" s="1"/>
  <c r="J11" i="3"/>
  <c r="H10" i="3" l="1"/>
  <c r="I10" i="3" s="1"/>
  <c r="N5" i="4"/>
  <c r="J19" i="3" l="1"/>
  <c r="N4" i="4"/>
  <c r="K10" i="2"/>
  <c r="L10" i="2" s="1"/>
  <c r="J11" i="2" s="1"/>
  <c r="B11" i="3" s="1"/>
  <c r="D11" i="3" s="1"/>
  <c r="E11" i="3" s="1"/>
  <c r="J21" i="3"/>
  <c r="N6" i="4"/>
  <c r="J20" i="3"/>
  <c r="G11" i="3" l="1"/>
  <c r="K11" i="3" s="1"/>
  <c r="O11" i="3" s="1"/>
  <c r="P11" i="3" s="1"/>
  <c r="L11" i="3" l="1"/>
  <c r="M11" i="3" s="1"/>
  <c r="F12" i="3"/>
  <c r="C12" i="3" s="1"/>
  <c r="J12" i="3"/>
  <c r="H11" i="3"/>
  <c r="I11" i="3" s="1"/>
  <c r="K20" i="3" l="1"/>
  <c r="O5" i="4"/>
  <c r="K19" i="3"/>
  <c r="O4" i="4"/>
  <c r="K11" i="2"/>
  <c r="L11" i="2" s="1"/>
  <c r="J12" i="2" s="1"/>
  <c r="B12" i="3" s="1"/>
  <c r="D12" i="3" s="1"/>
  <c r="E12" i="3" s="1"/>
  <c r="O6" i="4"/>
  <c r="K21" i="3"/>
  <c r="G12" i="3" l="1"/>
  <c r="F13" i="3" l="1"/>
  <c r="C13" i="3" s="1"/>
  <c r="K12" i="3"/>
  <c r="O12" i="3" s="1"/>
  <c r="P12" i="3" s="1"/>
  <c r="H12" i="3" l="1"/>
  <c r="I12" i="3" s="1"/>
  <c r="P4" i="4" s="1"/>
  <c r="L12" i="3"/>
  <c r="M12" i="3" s="1"/>
  <c r="L21" i="3"/>
  <c r="J13" i="3"/>
  <c r="L19" i="3" l="1"/>
  <c r="P6" i="4"/>
  <c r="P5" i="4"/>
  <c r="L20" i="3"/>
  <c r="K12" i="2"/>
  <c r="L12" i="2" s="1"/>
  <c r="J13" i="2" s="1"/>
  <c r="B13" i="3" s="1"/>
  <c r="D13" i="3" s="1"/>
  <c r="E13" i="3" s="1"/>
  <c r="G13" i="3" l="1"/>
  <c r="F14" i="3" s="1"/>
  <c r="C14" i="3" s="1"/>
  <c r="K13" i="3" l="1"/>
  <c r="O13" i="3" s="1"/>
  <c r="P13" i="3" s="1"/>
  <c r="H13" i="3" l="1"/>
  <c r="I13" i="3" s="1"/>
  <c r="M19" i="3" s="1"/>
  <c r="L13" i="3"/>
  <c r="M13" i="3" s="1"/>
  <c r="Q5" i="4" s="1"/>
  <c r="J14" i="3"/>
  <c r="Q6" i="4"/>
  <c r="M21" i="3"/>
  <c r="K13" i="2" l="1"/>
  <c r="L13" i="2" s="1"/>
  <c r="J14" i="2" s="1"/>
  <c r="B14" i="3" s="1"/>
  <c r="D14" i="3" s="1"/>
  <c r="E14" i="3" s="1"/>
  <c r="Q4" i="4"/>
  <c r="M20" i="3"/>
  <c r="G14" i="3" l="1"/>
  <c r="K14" i="3" s="1"/>
  <c r="O14" i="3" l="1"/>
  <c r="L14" i="3"/>
  <c r="M14" i="3" s="1"/>
  <c r="H14" i="3"/>
  <c r="I14" i="3" s="1"/>
  <c r="P14" i="3" l="1"/>
  <c r="N21" i="3" s="1"/>
  <c r="C5" i="4"/>
  <c r="E5" i="4" s="1"/>
  <c r="N20" i="3"/>
  <c r="O20" i="3" s="1"/>
  <c r="R5" i="4"/>
  <c r="G5" i="4" s="1"/>
  <c r="C4" i="4"/>
  <c r="R4" i="4"/>
  <c r="G4" i="4" s="1"/>
  <c r="N19" i="3"/>
  <c r="C6" i="4" l="1"/>
  <c r="D6" i="4" s="1"/>
  <c r="F6" i="4" s="1"/>
  <c r="R6" i="4"/>
  <c r="G6" i="4" s="1"/>
  <c r="K14" i="2"/>
  <c r="L14" i="2" s="1"/>
  <c r="O21" i="3"/>
  <c r="P21" i="3" s="1"/>
  <c r="Q21" i="3" s="1"/>
  <c r="C21" i="3"/>
  <c r="C20" i="3"/>
  <c r="D5" i="4"/>
  <c r="F5" i="4" s="1"/>
  <c r="O19" i="3"/>
  <c r="C19" i="3"/>
  <c r="D4" i="4"/>
  <c r="F4" i="4" s="1"/>
  <c r="E4" i="4"/>
  <c r="R20" i="3"/>
  <c r="P20" i="3"/>
  <c r="Q20" i="3" s="1"/>
  <c r="E6" i="4" l="1"/>
  <c r="R21" i="3"/>
  <c r="R19" i="3"/>
  <c r="P19" i="3"/>
  <c r="Q19" i="3" s="1"/>
</calcChain>
</file>

<file path=xl/sharedStrings.xml><?xml version="1.0" encoding="utf-8"?>
<sst xmlns="http://schemas.openxmlformats.org/spreadsheetml/2006/main" count="381" uniqueCount="319">
  <si>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</si>
  <si>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</si>
  <si>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</si>
  <si>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</si>
  <si>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</si>
  <si>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</si>
  <si>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</si>
  <si>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</si>
  <si>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</si>
  <si>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</si>
  <si>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</si>
  <si>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</si>
  <si>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</si>
  <si>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</si>
  <si>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</si>
  <si>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</si>
  <si>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</si>
  <si>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</si>
  <si>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</si>
  <si>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</si>
  <si>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</si>
  <si>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</si>
  <si>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</si>
  <si>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</si>
  <si>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</si>
  <si>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</si>
  <si>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</si>
  <si>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</si>
  <si>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</si>
  <si>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</si>
  <si>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</si>
  <si>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</si>
  <si>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</si>
  <si>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</si>
  <si>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</si>
  <si>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</si>
  <si>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</si>
  <si>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</si>
  <si>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</si>
  <si>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</si>
  <si>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</si>
  <si>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</si>
  <si>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</si>
  <si>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</si>
  <si>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</si>
  <si>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</si>
  <si>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</si>
  <si>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</si>
  <si>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</si>
  <si>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</si>
  <si>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</si>
  <si>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</si>
  <si>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</si>
  <si>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</si>
  <si>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</si>
  <si>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</si>
  <si>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</si>
  <si>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</si>
  <si>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</si>
  <si>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</si>
  <si>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</si>
  <si>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</si>
  <si>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</si>
  <si>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</si>
  <si>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</si>
  <si>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</si>
  <si>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</si>
  <si>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</si>
  <si>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</si>
  <si>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</si>
  <si>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</si>
  <si>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</si>
  <si>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</si>
  <si>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</si>
  <si>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</si>
  <si>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</si>
  <si>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</si>
  <si>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</si>
  <si>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</si>
  <si>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</si>
  <si>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</si>
  <si>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</si>
  <si>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</si>
  <si>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</si>
  <si>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</si>
  <si>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</si>
  <si>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</si>
  <si>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</si>
  <si>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</si>
  <si>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</si>
  <si>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</si>
  <si>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</si>
  <si>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</si>
  <si>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</si>
  <si>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</si>
  <si>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</si>
  <si>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</si>
  <si>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</si>
  <si>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</si>
  <si>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</si>
  <si>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</si>
  <si>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</si>
  <si>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</si>
  <si>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</si>
  <si>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</si>
  <si>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</si>
  <si>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</si>
  <si>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</si>
  <si>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</si>
  <si>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</si>
  <si>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</si>
  <si>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</si>
  <si>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</si>
  <si>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</si>
  <si>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</si>
  <si>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</si>
  <si>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</si>
  <si>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</si>
  <si>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</si>
  <si>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</si>
  <si>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</si>
  <si>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</si>
  <si>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</si>
  <si>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</si>
  <si>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</si>
  <si>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</si>
  <si>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</si>
  <si>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</si>
  <si>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</si>
  <si>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</si>
  <si>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</si>
  <si>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</si>
  <si>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</si>
  <si>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</si>
  <si>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</si>
  <si>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</si>
  <si>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</si>
  <si>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</si>
  <si>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</si>
  <si>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</si>
  <si>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</si>
  <si>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</si>
  <si>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</si>
  <si>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</si>
  <si>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</si>
  <si>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</si>
  <si>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</si>
  <si>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</si>
  <si>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</si>
  <si>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</si>
  <si>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</si>
  <si>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</si>
  <si>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</si>
  <si>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</si>
  <si>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</si>
  <si>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</si>
  <si>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</si>
  <si>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</si>
  <si>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</si>
  <si>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</si>
  <si>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</si>
  <si>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</si>
  <si>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</si>
  <si>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</si>
  <si>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</si>
  <si>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</si>
  <si>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</si>
  <si>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</si>
  <si>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</si>
  <si>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</si>
  <si>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</si>
  <si>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</si>
  <si>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</si>
  <si>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</si>
  <si>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</si>
  <si>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</si>
  <si>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</si>
  <si>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</si>
  <si>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</si>
  <si>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</si>
  <si>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</si>
  <si>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</si>
  <si>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</si>
  <si>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</si>
  <si>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</si>
  <si>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</si>
  <si>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</si>
  <si>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</si>
  <si>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</si>
  <si>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</si>
  <si>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</si>
  <si>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</si>
  <si>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</si>
  <si>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</si>
  <si>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</si>
  <si>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</si>
  <si>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</si>
  <si>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</si>
  <si>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</si>
  <si>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</si>
  <si>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</si>
  <si>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</si>
  <si>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</si>
  <si>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</si>
  <si>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</si>
  <si>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</si>
  <si>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</si>
  <si>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</si>
  <si>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</si>
  <si>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</si>
  <si>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</si>
  <si>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</si>
  <si>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</si>
  <si>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</si>
  <si>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</si>
  <si>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</si>
  <si>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</si>
  <si>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</si>
  <si>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</si>
  <si>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</si>
  <si>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</si>
  <si>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</si>
  <si>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</si>
  <si>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</si>
  <si>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</si>
  <si>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</si>
  <si>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</si>
  <si>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</si>
  <si>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</si>
  <si>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</si>
  <si>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</si>
  <si>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</si>
  <si>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</si>
  <si>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</si>
  <si>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</si>
  <si>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</si>
  <si>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</si>
  <si>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</si>
  <si>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</si>
  <si>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</si>
  <si>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</si>
  <si>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</si>
  <si>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</si>
  <si>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</si>
  <si>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</si>
  <si>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</si>
  <si>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</si>
  <si>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</si>
  <si>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</si>
  <si>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</si>
  <si>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</si>
  <si>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</si>
  <si>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</si>
  <si>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</si>
  <si>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</si>
  <si>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</si>
  <si>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</si>
  <si>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</si>
  <si>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</si>
  <si>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</si>
  <si>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</si>
  <si>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</si>
  <si>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</si>
  <si>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</si>
  <si>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</si>
  <si>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</si>
  <si>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</si>
  <si>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</si>
  <si>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</si>
  <si>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</si>
  <si>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</si>
  <si>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</si>
  <si>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</si>
  <si>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</si>
  <si>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</si>
  <si>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</si>
  <si>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</si>
  <si>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</si>
  <si>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</si>
  <si>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</si>
  <si>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</si>
  <si>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</si>
  <si>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</si>
  <si>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</si>
  <si>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</si>
  <si>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</si>
  <si>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</si>
  <si>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</si>
  <si>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</si>
  <si>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</si>
  <si>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</si>
  <si>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</si>
  <si>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</si>
  <si>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</si>
  <si>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</si>
  <si>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</si>
  <si>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</si>
  <si>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</si>
  <si>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</si>
  <si>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</si>
  <si>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</si>
  <si>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</si>
  <si>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</si>
  <si>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</si>
  <si>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</si>
  <si>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</si>
  <si>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</si>
  <si>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</si>
  <si>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</si>
  <si>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</si>
  <si>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</si>
  <si>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</si>
  <si>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B Total Dist</t>
  </si>
  <si>
    <t>Pref Paid</t>
  </si>
  <si>
    <t>Pref Accrued</t>
  </si>
  <si>
    <t>A Capital Balance</t>
  </si>
  <si>
    <t>B Capital Balance</t>
  </si>
  <si>
    <t>End of Year Pref Balance</t>
  </si>
  <si>
    <t>Total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</si>
</sst>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3" fillId="0" borderId="0" xfId="0" applyNumberFormat="1" applyFont="1" applyAlignment="1">
      <alignment horizontal="center" wrapText="1"/>
    </xf>
    <xf numFmtId="3" fontId="0" fillId="4" borderId="11" xfId="0" applyNumberFormat="1" applyFill="1" applyBorder="1"/>
    <xf numFmtId="10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0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0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0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</cellXfs>
  <cellStyles count="1">
    <cellStyle name="Normal" xfId="0" builtinId="0"/>
  </cellStyles>
  <dxfs count="62"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1" dataDxfId="59" headerRowBorderDxfId="60" tableBorderDxfId="58">
  <autoFilter ref="A3:N14" xr:uid="{31008567-CFA1-42A9-9327-0B98502CA80D}"/>
  <tableColumns count="14">
    <tableColumn id="1" xr3:uid="{26936D8D-49BB-4E72-8714-F0F4A39544E1}" name="Year" dataDxfId="57"/>
    <tableColumn id="2" xr3:uid="{C01BD3A8-84A3-4936-AD75-B10875A3A516}" name="Phase" dataDxfId="56"/>
    <tableColumn id="3" xr3:uid="{C3EFC4B8-12CA-4DCA-8610-6334A06443D6}" name="Gross Potential Rent" dataDxfId="55">
      <calculatedColumnFormula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calculatedColumnFormula>
    </tableColumn>
    <tableColumn id="4" xr3:uid="{A38FFCD2-F44E-495B-8D1F-57AADF574C32}" name="Effective Gross Income" dataDxfId="54">
      <calculatedColumnFormula>IF(A4=0,0,C4*IF(A4=1,LeaseUpOccupancy,StabilizedOccupancy))</calculatedColumnFormula>
    </tableColumn>
    <tableColumn id="5" xr3:uid="{B76742F3-2204-4523-9F15-8E1C72B7BD6E}" name="Operating Expenses" dataDxfId="53">
      <calculatedColumnFormula>D4*OperatingExpenseRatio</calculatedColumnFormula>
    </tableColumn>
    <tableColumn id="6" xr3:uid="{3F74AC57-500F-402C-9765-78D18626B1BE}" name="NOI" dataDxfId="52">
      <calculatedColumnFormula>D4-E4</calculatedColumnFormula>
    </tableColumn>
    <tableColumn id="7" xr3:uid="{56511279-406D-4252-A9A7-9170D8B87E55}" name="Debt Service" dataDxfId="51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50">
      <calculatedColumnFormula>AnnualModelTable[[#This Row],[NOI]]-AnnualModelTable[[#This Row],[Debt Service]]</calculatedColumnFormula>
    </tableColumn>
    <tableColumn id="9" xr3:uid="{AC4642EC-E8F2-497F-99FB-4D7BE675DEA1}" name="Net Refi/Sale Proceeds" dataDxfId="49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8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7">
      <calculatedColumnFormula>SUM(INDEX(Waterfall!$I$4:$I$14,MATCH(AnnualModelTable[[#This Row],[Year]],Waterfall!$A$4:$A$14,0)),INDEX(Waterfall!$M$4:$M$14,MATCH(AnnualModelTable[[#This Row],[Year]],Waterfall!$A$4:$A$14,0)),INDEX(Waterfall!$P$4:$P$14,MATCH(AnnualModelTable[[#This Row],[Year]],Waterfall!$A$4:$A$14,0)))</calculatedColumnFormula>
    </tableColumn>
    <tableColumn id="12" xr3:uid="{C063648E-2927-4081-81E6-EDE453D6AD02}" name="Ending Cash Balance" dataDxfId="46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5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4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3" dataDxfId="41" headerRowBorderDxfId="42" tableBorderDxfId="40">
  <tableColumns count="16">
    <tableColumn id="1" xr3:uid="{963D327E-2263-47D8-80F9-5A28D9522E50}" name="Year" dataDxfId="39"/>
    <tableColumn id="2" xr3:uid="{DD4D5E48-A253-4495-BAA1-CD03E9DB3287}" name="Cash Available" dataDxfId="38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7">
      <calculatedColumnFormula>WaterfallTable[[#This Row],[A Capital Balance]]*ClassAPreferredReturn</calculatedColumnFormula>
    </tableColumn>
    <tableColumn id="4" xr3:uid="{0A235952-CB75-4C81-B69D-F32174DEACC4}" name="Pref Paid" dataDxfId="36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5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4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3">
      <calculatedColumnFormula>IF(WaterfallTable[[#This Row],[Year]]=0,0,MIN(MAX(0,WaterfallTable[[#This Row],[Cash Available]]-WaterfallTable[[#This Row],[End of Year Pref Balance]]),WaterfallTable[[#This Row],[A Capital Balance]]))</calculatedColumnFormula>
    </tableColumn>
    <tableColumn id="10" xr3:uid="{95297546-7CDB-4A1F-B087-2907F3FB7729}" name="A Residual" dataDxfId="32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Returned]])*ClassAResidualShare)</calculatedColumnFormula>
    </tableColumn>
    <tableColumn id="11" xr3:uid="{ECBC678F-113A-47C3-9364-8CD715F8612B}" name="Total Distribution" dataDxfId="31">
      <calculatedColumnFormula>WaterfallTable[[#This Row],[End of Year Pref Balance]]+WaterfallTable[[#This Row],[A Capital Returned]]+WaterfallTable[[#This Row],[A Residual]]</calculatedColumnFormula>
    </tableColumn>
    <tableColumn id="12" xr3:uid="{BEF54E58-ED5B-4464-961D-44F9013F8D13}" name="B Capital Balance" dataDxfId="30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29">
      <calculatedColumnFormula>IF(WaterfallTable[[#This Row],[Year]]=0,0,IF(ClassBReturnPriority=1,MIN(MAX(0,WaterfallTable[[#This Row],[Cash Available]]-WaterfallTable[[#This Row],[End of Year Pref Balance]]-WaterfallTable[[#This Row],[A Capital Returned]]),WaterfallTable[[#This Row],[B Capital Balance]]),0))</calculatedColumnFormula>
    </tableColumn>
    <tableColumn id="15" xr3:uid="{C6BA9C98-8524-487F-80FD-8C218B59A3B5}" name="B Residual" dataDxfId="28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Returned]])*ClassBResidualShare)</calculatedColumnFormula>
    </tableColumn>
    <tableColumn id="16" xr3:uid="{454E747C-8827-40D6-81A5-1743C488D4FD}" name="B Total Dist" dataDxfId="27">
      <calculatedColumnFormula>WaterfallTable[[#This Row],[B Capital Returned]]+WaterfallTable[[#This Row],[B Residual]]</calculatedColumnFormula>
    </tableColumn>
    <tableColumn id="17" xr3:uid="{417495A6-8721-4CAB-BEB3-7640A0F3FEBC}" name="Property Payment" dataDxfId="26">
      <calculatedColumnFormula>IF(WaterfallTable[[#This Row],[Year]]=0,SponsorPropertyPayment,0)</calculatedColumnFormula>
    </tableColumn>
    <tableColumn id="18" xr3:uid="{1A110274-3485-4D4C-B019-55D770E0C6CE}" name="Residual" dataDxfId="25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Returned]])*SponsorResidualShare)</calculatedColumnFormula>
    </tableColumn>
    <tableColumn id="19" xr3:uid="{B1D631F1-3DB1-43F4-AA61-DD5D4F2AA342}" name="Total Dist" dataDxfId="24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2" totalsRowShown="0" headerRowDxfId="0" dataDxfId="22" headerRowBorderDxfId="23" tableBorderDxfId="21" totalsRowBorderDxfId="20">
  <tableColumns count="18">
    <tableColumn id="1" xr3:uid="{9D313402-FD1F-4B4A-94AF-A715F76F921A}" name="Participant" dataDxfId="19"/>
    <tableColumn id="2" xr3:uid="{ECA60733-FEA2-401B-8642-71F43FEC8DB9}" name="Capital / Basis" dataDxfId="18"/>
    <tableColumn id="3" xr3:uid="{C289E388-4A17-4836-B18C-4492629B2237}" name="IRR" dataDxfId="17"/>
    <tableColumn id="4" xr3:uid="{0E5564FA-0686-41CD-8CE7-39EED6142313}" name="Year 0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/>
    <tableColumn id="15" xr3:uid="{2F0BFF3E-A3CB-433E-86D2-6AF1360FD5D9}" name="Total Profit" dataDxfId="5"/>
    <tableColumn id="16" xr3:uid="{0A58F701-6416-4538-A6E5-4BF44C4993D5}" name="Total Distributions" dataDxfId="4"/>
    <tableColumn id="17" xr3:uid="{AC84C97B-2616-4869-838B-9557C19186A7}" name="Equity Multiple" dataDxfId="3"/>
    <tableColumn id="18" xr3:uid="{523BC2AE-FDEA-442A-A3C6-B94CA77050FC}" name="ROI %" dataDxfId="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D17" sqref="D17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v>4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4" t="s">
        <v>291</v>
      </c>
      <c r="E7" s="64"/>
      <c r="F7" s="64"/>
      <c r="G7" s="64"/>
      <c r="H7" s="64"/>
      <c r="I7" s="64"/>
      <c r="J7" s="64"/>
    </row>
    <row r="8" spans="1:10" x14ac:dyDescent="0.25">
      <c r="A8" s="13" t="s">
        <v>8</v>
      </c>
      <c r="B8" s="15">
        <v>4</v>
      </c>
      <c r="C8" s="18" t="s">
        <v>9</v>
      </c>
      <c r="D8" s="38" t="s">
        <v>299</v>
      </c>
      <c r="E8" s="38" t="s">
        <v>111</v>
      </c>
      <c r="F8" s="38" t="s">
        <v>295</v>
      </c>
      <c r="G8" s="38" t="s">
        <v>124</v>
      </c>
      <c r="H8" s="38" t="s">
        <v>300</v>
      </c>
      <c r="I8" s="38" t="s">
        <v>301</v>
      </c>
      <c r="J8" s="38" t="s">
        <v>302</v>
      </c>
    </row>
    <row r="9" spans="1:10" x14ac:dyDescent="0.25">
      <c r="A9" s="13" t="s">
        <v>10</v>
      </c>
      <c r="B9" s="13">
        <v>1600</v>
      </c>
      <c r="C9" s="18" t="s">
        <v>296</v>
      </c>
      <c r="D9" s="39" t="s">
        <v>292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303</v>
      </c>
      <c r="J9" s="39"/>
    </row>
    <row r="10" spans="1:10" x14ac:dyDescent="0.25">
      <c r="A10" s="13" t="s">
        <v>11</v>
      </c>
      <c r="B10" s="15">
        <v>4</v>
      </c>
      <c r="C10" s="18" t="s">
        <v>12</v>
      </c>
      <c r="D10" s="39" t="s">
        <v>293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303</v>
      </c>
      <c r="J10" s="39"/>
    </row>
    <row r="11" spans="1:10" x14ac:dyDescent="0.25">
      <c r="A11" s="13" t="s">
        <v>13</v>
      </c>
      <c r="B11" s="13">
        <v>1100</v>
      </c>
      <c r="C11" s="18" t="s">
        <v>296</v>
      </c>
      <c r="D11" s="39" t="s">
        <v>294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304</v>
      </c>
      <c r="J11" s="39"/>
    </row>
    <row r="12" spans="1:10" x14ac:dyDescent="0.25">
      <c r="A12" s="13" t="s">
        <v>14</v>
      </c>
      <c r="B12" s="13">
        <v>0</v>
      </c>
      <c r="C12" s="18" t="s">
        <v>15</v>
      </c>
      <c r="D12" s="39" t="s">
        <v>297</v>
      </c>
      <c r="E12" s="40">
        <v>1</v>
      </c>
      <c r="F12" s="40">
        <v>2</v>
      </c>
      <c r="G12" s="40">
        <v>3</v>
      </c>
      <c r="H12" s="40"/>
      <c r="I12" s="39" t="s">
        <v>305</v>
      </c>
      <c r="J12" s="39" t="s">
        <v>306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307</v>
      </c>
      <c r="B17" s="13">
        <f>RentScenarioAverageMonthlyGross</f>
        <v>10533.333333333334</v>
      </c>
      <c r="C17" s="18" t="s">
        <v>308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0">
        <v>0.4</v>
      </c>
      <c r="C43" s="18" t="s">
        <v>269</v>
      </c>
    </row>
    <row r="44" spans="1:3" x14ac:dyDescent="0.25">
      <c r="A44" s="13" t="s">
        <v>268</v>
      </c>
      <c r="B44" s="30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0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281</v>
      </c>
      <c r="B46" s="13">
        <v>150000</v>
      </c>
      <c r="C46" s="13" t="s">
        <v>282</v>
      </c>
    </row>
    <row r="47" spans="1:3" x14ac:dyDescent="0.25">
      <c r="A47" s="13" t="s">
        <v>54</v>
      </c>
      <c r="B47" s="62" t="s">
        <v>55</v>
      </c>
      <c r="C47" s="63"/>
    </row>
  </sheetData>
  <mergeCells count="2">
    <mergeCell ref="B47:C47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5" t="s">
        <v>56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57</v>
      </c>
      <c r="B3" s="25" t="s">
        <v>58</v>
      </c>
      <c r="C3" s="25" t="s">
        <v>59</v>
      </c>
      <c r="D3" s="25" t="s">
        <v>60</v>
      </c>
      <c r="E3" s="25" t="s">
        <v>61</v>
      </c>
      <c r="F3" s="25" t="s">
        <v>62</v>
      </c>
      <c r="G3" s="25" t="s">
        <v>63</v>
      </c>
      <c r="H3" s="25" t="s">
        <v>261</v>
      </c>
      <c r="I3" s="25" t="s">
        <v>274</v>
      </c>
      <c r="J3" s="25" t="s">
        <v>262</v>
      </c>
      <c r="K3" s="25" t="s">
        <v>263</v>
      </c>
      <c r="L3" s="25" t="s">
        <v>264</v>
      </c>
      <c r="M3" s="25" t="s">
        <v>64</v>
      </c>
      <c r="N3" s="25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0</v>
      </c>
      <c r="D4" s="13">
        <f t="shared" ref="D4:D14" si="0">IF(A4=0,0,C4*IF(A4=1,LeaseUpOccupancy,StabilizedOccupancy))</f>
        <v>0</v>
      </c>
      <c r="E4" s="13">
        <f t="shared" ref="E4:E14" si="1">D4*OperatingExpenseRatio</f>
        <v>0</v>
      </c>
      <c r="F4" s="13">
        <f t="shared" ref="F4:F14" si="2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105600</v>
      </c>
      <c r="D5" s="13">
        <f t="shared" si="0"/>
        <v>52800</v>
      </c>
      <c r="E5" s="13">
        <f t="shared" si="1"/>
        <v>21120</v>
      </c>
      <c r="F5" s="13">
        <f t="shared" si="2"/>
        <v>31680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17868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17868</v>
      </c>
      <c r="K5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17868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129600</v>
      </c>
      <c r="D6" s="13">
        <f t="shared" si="0"/>
        <v>120528</v>
      </c>
      <c r="E6" s="13">
        <f t="shared" si="1"/>
        <v>48211.200000000004</v>
      </c>
      <c r="F6" s="13">
        <f t="shared" si="2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6" s="13">
        <f>AnnualModelTable[[#This Row],[NOI]]-AnnualModelTable[[#This Row],[Debt Service]]</f>
        <v>17215.282003266555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532471.35999999987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549686.64200326637</v>
      </c>
      <c r="K6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549686.64200326637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726471.35999999987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7" s="13">
        <f t="shared" si="0"/>
        <v>133920</v>
      </c>
      <c r="E7" s="13">
        <f t="shared" si="1"/>
        <v>53568</v>
      </c>
      <c r="F7" s="13">
        <f t="shared" si="2"/>
        <v>80352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7" s="13">
        <f>AnnualModelTable[[#This Row],[NOI]]-AnnualModelTable[[#This Row],[Debt Service]]</f>
        <v>25250.482003266567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7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718351.40458457998</v>
      </c>
      <c r="N7" s="13">
        <f>IF(AnnualModelTable[[#This Row],[Year]]&lt;StabilizationRefiYear,0,AnnualModelTable[[#This Row],[NOI]]*(1+NOIGrowth)/ExitCapRate)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8" s="13">
        <f t="shared" si="0"/>
        <v>133920</v>
      </c>
      <c r="E8" s="13">
        <f t="shared" si="1"/>
        <v>53568</v>
      </c>
      <c r="F8" s="13">
        <f t="shared" si="2"/>
        <v>80352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8" s="13">
        <f>AnnualModelTable[[#This Row],[NOI]]-AnnualModelTable[[#This Row],[Debt Service]]</f>
        <v>25250.482003266567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1158675.8399999999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1183926.3220032663</v>
      </c>
      <c r="K8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1183926.3220032663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8" s="13">
        <f>IF(AnnualModelTable[[#This Row],[Year]]&lt;StabilizationRefiYear,0,AnnualModelTable[[#This Row],[NOI]]*(1+NOIGrowth)/ExitCapRate)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9" s="13">
        <f t="shared" si="0"/>
        <v>133920</v>
      </c>
      <c r="E9" s="13">
        <f t="shared" si="1"/>
        <v>53568</v>
      </c>
      <c r="F9" s="13">
        <f t="shared" si="2"/>
        <v>80352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9" s="13">
        <f>AnnualModelTable[[#This Row],[NOI]]-AnnualModelTable[[#This Row],[Debt Service]]</f>
        <v>80352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80352</v>
      </c>
      <c r="K9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80352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700443.64853750542</v>
      </c>
      <c r="N9" s="13">
        <f>IF(AnnualModelTable[[#This Row],[Year]]&lt;StabilizationRefiYear,0,AnnualModelTable[[#This Row],[NOI]]*(1+NOIGrowth)/ExitCapRate)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0" s="13">
        <f t="shared" si="0"/>
        <v>133920</v>
      </c>
      <c r="E10" s="13">
        <f t="shared" si="1"/>
        <v>53568</v>
      </c>
      <c r="F10" s="13">
        <f t="shared" si="2"/>
        <v>80352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10" s="13">
        <f>AnnualModelTable[[#This Row],[NOI]]-AnnualModelTable[[#This Row],[Debt Service]]</f>
        <v>80352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80352</v>
      </c>
      <c r="K10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80352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690580.56908205454</v>
      </c>
      <c r="N10" s="13">
        <f>IF(AnnualModelTable[[#This Row],[Year]]&lt;StabilizationRefiYear,0,AnnualModelTable[[#This Row],[NOI]]*(1+NOIGrowth)/ExitCapRate)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1" s="13">
        <f t="shared" si="0"/>
        <v>133920</v>
      </c>
      <c r="E11" s="13">
        <f t="shared" si="1"/>
        <v>53568</v>
      </c>
      <c r="F11" s="13">
        <f t="shared" si="2"/>
        <v>80352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11" s="13">
        <f>AnnualModelTable[[#This Row],[NOI]]-AnnualModelTable[[#This Row],[Debt Service]]</f>
        <v>80352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80352</v>
      </c>
      <c r="K11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80352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680056.94092902378</v>
      </c>
      <c r="N11" s="13">
        <f>IF(AnnualModelTable[[#This Row],[Year]]&lt;StabilizationRefiYear,0,AnnualModelTable[[#This Row],[NOI]]*(1+NOIGrowth)/ExitCapRate)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2" s="13">
        <f t="shared" si="0"/>
        <v>133920</v>
      </c>
      <c r="E12" s="13">
        <f t="shared" si="1"/>
        <v>53568</v>
      </c>
      <c r="F12" s="13">
        <f t="shared" si="2"/>
        <v>80352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12" s="13">
        <f>AnnualModelTable[[#This Row],[NOI]]-AnnualModelTable[[#This Row],[Debt Service]]</f>
        <v>80352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80352</v>
      </c>
      <c r="K12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80352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668828.52590879845</v>
      </c>
      <c r="N12" s="13">
        <f>IF(AnnualModelTable[[#This Row],[Year]]&lt;StabilizationRefiYear,0,AnnualModelTable[[#This Row],[NOI]]*(1+NOIGrowth)/ExitCapRate)</f>
        <v>1182322.2857142857</v>
      </c>
    </row>
    <row r="13" spans="1:14" x14ac:dyDescent="0.25">
      <c r="A13" s="13">
        <v>9</v>
      </c>
      <c r="B13" s="13" t="s">
        <v>69</v>
      </c>
      <c r="C13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3" s="13">
        <f t="shared" si="0"/>
        <v>133920</v>
      </c>
      <c r="E13" s="13">
        <f t="shared" si="1"/>
        <v>53568</v>
      </c>
      <c r="F13" s="13">
        <f t="shared" si="2"/>
        <v>80352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13" s="13">
        <f>AnnualModelTable[[#This Row],[NOI]]-AnnualModelTable[[#This Row],[Debt Service]]</f>
        <v>80352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80352</v>
      </c>
      <c r="K13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80352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656848.12313961564</v>
      </c>
      <c r="N13" s="13">
        <f>IF(AnnualModelTable[[#This Row],[Year]]&lt;StabilizationRefiYear,0,AnnualModelTable[[#This Row],[NOI]]*(1+NOIGrowth)/ExitCapRate)</f>
        <v>1182322.2857142857</v>
      </c>
    </row>
    <row r="14" spans="1:14" x14ac:dyDescent="0.25">
      <c r="A14" s="13">
        <v>10</v>
      </c>
      <c r="B14" s="13" t="s">
        <v>70</v>
      </c>
      <c r="C1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4" s="13">
        <f t="shared" si="0"/>
        <v>133920</v>
      </c>
      <c r="E14" s="13">
        <f t="shared" si="1"/>
        <v>53568</v>
      </c>
      <c r="F14" s="13">
        <f t="shared" si="2"/>
        <v>80352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14" s="13">
        <f>AnnualModelTable[[#This Row],[NOI]]-AnnualModelTable[[#This Row],[Debt Service]]</f>
        <v>80352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80352</v>
      </c>
      <c r="K14" s="13">
        <f>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80352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644065.3706092441</v>
      </c>
      <c r="N14" s="13">
        <f>IF(AnnualModelTable[[#This Row],[Year]]&lt;StabilizationRefiYear,0,AnnualModelTable[[#This Row],[NOI]]*(1+NOIGrowth)/ExitCapRate)</f>
        <v>1182322.2857142857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A19" sqref="A19:R19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8.140625" style="6" customWidth="1"/>
    <col min="4" max="4" width="8.28515625" style="6" bestFit="1" customWidth="1"/>
    <col min="5" max="5" width="9.140625" style="6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9" width="12" style="6" customWidth="1"/>
    <col min="10" max="10" width="7.5703125" style="6" bestFit="1" customWidth="1"/>
    <col min="11" max="11" width="9.5703125" style="6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0.85546875" style="6" bestFit="1" customWidth="1"/>
    <col min="16" max="16" width="12.85546875" style="6" customWidth="1"/>
    <col min="17" max="17" width="9.28515625" style="6" customWidth="1"/>
    <col min="18" max="18" width="8.5703125" style="6" bestFit="1" customWidth="1"/>
    <col min="19" max="19" width="11.85546875" style="6" bestFit="1" customWidth="1"/>
    <col min="20" max="16384" width="9.140625" style="6"/>
  </cols>
  <sheetData>
    <row r="1" spans="1:19" ht="18.75" x14ac:dyDescent="0.3">
      <c r="A1" s="65" t="s">
        <v>71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x14ac:dyDescent="0.25">
      <c r="A2" s="13"/>
      <c r="B2" s="13"/>
      <c r="C2" s="70" t="s">
        <v>273</v>
      </c>
      <c r="D2" s="68"/>
      <c r="E2" s="68"/>
      <c r="F2" s="68"/>
      <c r="G2" s="68"/>
      <c r="H2" s="68"/>
      <c r="I2" s="68"/>
      <c r="J2" s="67" t="s">
        <v>92</v>
      </c>
      <c r="K2" s="68"/>
      <c r="L2" s="68"/>
      <c r="M2" s="68"/>
      <c r="N2" s="69" t="s">
        <v>93</v>
      </c>
      <c r="O2" s="68"/>
      <c r="P2" s="68"/>
    </row>
    <row r="3" spans="1:19" s="23" customFormat="1" ht="60" x14ac:dyDescent="0.25">
      <c r="A3" s="27" t="s">
        <v>57</v>
      </c>
      <c r="B3" s="27" t="s">
        <v>72</v>
      </c>
      <c r="C3" s="28" t="s">
        <v>314</v>
      </c>
      <c r="D3" s="28" t="s">
        <v>313</v>
      </c>
      <c r="E3" s="28" t="s">
        <v>317</v>
      </c>
      <c r="F3" s="28" t="s">
        <v>315</v>
      </c>
      <c r="G3" s="28" t="s">
        <v>275</v>
      </c>
      <c r="H3" s="28" t="s">
        <v>276</v>
      </c>
      <c r="I3" s="28" t="s">
        <v>318</v>
      </c>
      <c r="J3" s="27" t="s">
        <v>316</v>
      </c>
      <c r="K3" s="27" t="s">
        <v>277</v>
      </c>
      <c r="L3" s="27" t="s">
        <v>278</v>
      </c>
      <c r="M3" s="27" t="s">
        <v>312</v>
      </c>
      <c r="N3" s="29" t="s">
        <v>284</v>
      </c>
      <c r="O3" s="29" t="s">
        <v>285</v>
      </c>
      <c r="P3" s="29" t="s">
        <v>311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WaterfallTable[[#This Row],[A Capital Balance]]*ClassAPreferredReturn</f>
        <v>24000</v>
      </c>
      <c r="D4" s="13">
        <f>IF(WaterfallTable[[#This Row],[Year]]=0,0,MIN(WaterfallTable[[#This Row],[Cash Available]],0+WaterfallTable[[#This Row],[Pref Accrued]]))</f>
        <v>0</v>
      </c>
      <c r="E4" s="13">
        <f>MAX(0,0+WaterfallTable[[#This Row],[Pref Accrued]]-WaterfallTable[[#This Row],[Pref Paid]])</f>
        <v>24000</v>
      </c>
      <c r="F4" s="13">
        <f>ClassACapital</f>
        <v>300000</v>
      </c>
      <c r="G4" s="13">
        <f>IF(WaterfallTable[[#This Row],[Year]]=0,0,MIN(MAX(0,WaterfallTable[[#This Row],[Cash Available]]-WaterfallTable[[#This Row],[Pref Paid]]),WaterfallTable[[#This Row],[A Capital Balance]]))</f>
        <v>0</v>
      </c>
      <c r="H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4" s="13">
        <f>WaterfallTable[[#This Row],[Pref Paid]]+WaterfallTable[[#This Row],[A Capital Returned]]+WaterfallTable[[#This Row],[A Residual]]</f>
        <v>0</v>
      </c>
      <c r="J4" s="13">
        <f>ClassBCapital</f>
        <v>597500</v>
      </c>
      <c r="K4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4" s="13">
        <f>WaterfallTable[[#This Row],[B Capital Returned]]+WaterfallTable[[#This Row],[B Residual]]</f>
        <v>0</v>
      </c>
      <c r="N4" s="13">
        <f>IF(WaterfallTable[[#This Row],[Year]]=0,SponsorPropertyPayment,0)</f>
        <v>150000</v>
      </c>
      <c r="O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17868</v>
      </c>
      <c r="C5" s="13">
        <f>WaterfallTable[[#This Row],[A Capital Balance]]*ClassAPreferredReturn</f>
        <v>24000</v>
      </c>
      <c r="D5" s="13">
        <f>IF(WaterfallTable[[#This Row],[Year]]=0,0,MIN(WaterfallTable[[#This Row],[Cash Available]],INDEX(WaterfallTable[End of Year Pref Balance],1)+WaterfallTable[[#This Row],[Pref Accrued]]))</f>
        <v>17868</v>
      </c>
      <c r="E5" s="13">
        <f>MAX(0,INDEX(WaterfallTable[End of Year Pref Balance],1)+WaterfallTable[[#This Row],[Pref Accrued]]-WaterfallTable[[#This Row],[Pref Paid]])</f>
        <v>30132</v>
      </c>
      <c r="F5" s="13">
        <f>MAX(0,INDEX(WaterfallTable[A Capital Balance],1)-INDEX(WaterfallTable[A Capital Returned],1))</f>
        <v>300000</v>
      </c>
      <c r="G5" s="13">
        <f>IF(WaterfallTable[[#This Row],[Year]]=0,0,MIN(MAX(0,WaterfallTable[[#This Row],[Cash Available]]-WaterfallTable[[#This Row],[Pref Paid]]),WaterfallTable[[#This Row],[A Capital Balance]]))</f>
        <v>0</v>
      </c>
      <c r="H5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5" s="13">
        <f>WaterfallTable[[#This Row],[Pref Paid]]+WaterfallTable[[#This Row],[A Capital Returned]]+WaterfallTable[[#This Row],[A Residual]]</f>
        <v>17868</v>
      </c>
      <c r="J5" s="13">
        <f>MAX(0,INDEX(WaterfallTable[B Capital Balance],1)-INDEX(WaterfallTable[B Capital Returned],1))</f>
        <v>597500</v>
      </c>
      <c r="K5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5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5" s="13">
        <f>WaterfallTable[[#This Row],[B Capital Returned]]+WaterfallTable[[#This Row],[B Residual]]</f>
        <v>0</v>
      </c>
      <c r="N5" s="13">
        <f>IF(WaterfallTable[[#This Row],[Year]]=0,SponsorPropertyPayment,0)</f>
        <v>0</v>
      </c>
      <c r="O5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549686.64200326637</v>
      </c>
      <c r="C6" s="13">
        <f>WaterfallTable[[#This Row],[A Capital Balance]]*ClassAPreferredReturn</f>
        <v>24000</v>
      </c>
      <c r="D6" s="13">
        <f>IF(WaterfallTable[[#This Row],[Year]]=0,0,MIN(WaterfallTable[[#This Row],[Cash Available]],INDEX(WaterfallTable[End of Year Pref Balance],2)+WaterfallTable[[#This Row],[Pref Accrued]]))</f>
        <v>54132</v>
      </c>
      <c r="E6" s="13">
        <f>MAX(0,INDEX(WaterfallTable[End of Year Pref Balance],2)+WaterfallTable[[#This Row],[Pref Accrued]]-WaterfallTable[[#This Row],[Pref Paid]])</f>
        <v>0</v>
      </c>
      <c r="F6" s="13">
        <f>MAX(0,INDEX(WaterfallTable[A Capital Balance],2)-INDEX(WaterfallTable[A Capital Returned],2))</f>
        <v>300000</v>
      </c>
      <c r="G6" s="13">
        <f>IF(WaterfallTable[[#This Row],[Year]]=0,0,MIN(MAX(0,WaterfallTable[[#This Row],[Cash Available]]-WaterfallTable[[#This Row],[Pref Paid]]),WaterfallTable[[#This Row],[A Capital Balance]]))</f>
        <v>300000</v>
      </c>
      <c r="H6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6" s="13">
        <f>WaterfallTable[[#This Row],[Pref Paid]]+WaterfallTable[[#This Row],[A Capital Returned]]+WaterfallTable[[#This Row],[A Residual]]</f>
        <v>354132</v>
      </c>
      <c r="J6" s="13">
        <f>MAX(0,INDEX(WaterfallTable[B Capital Balance],2)-INDEX(WaterfallTable[B Capital Returned],2))</f>
        <v>597500</v>
      </c>
      <c r="K6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195554.64200326637</v>
      </c>
      <c r="L6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6" s="13">
        <f>WaterfallTable[[#This Row],[B Capital Returned]]+WaterfallTable[[#This Row],[B Residual]]</f>
        <v>195554.64200326637</v>
      </c>
      <c r="N6" s="13">
        <f>IF(WaterfallTable[[#This Row],[Year]]=0,SponsorPropertyPayment,0)</f>
        <v>0</v>
      </c>
      <c r="O6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25250.482003266567</v>
      </c>
      <c r="C7" s="13">
        <f>WaterfallTable[[#This Row],[A Capital Balance]]*ClassAPreferredReturn</f>
        <v>0</v>
      </c>
      <c r="D7" s="13">
        <f>IF(WaterfallTable[[#This Row],[Year]]=0,0,MIN(WaterfallTable[[#This Row],[Cash Available]],INDEX(WaterfallTable[End of Year Pref Balance],3)+WaterfallTable[[#This Row],[Pref Accrued]]))</f>
        <v>0</v>
      </c>
      <c r="E7" s="13">
        <f>MAX(0,INDEX(WaterfallTable[End of Year Pref Balance],3)+WaterfallTable[[#This Row],[Pref Accrued]]-WaterfallTable[[#This Row],[Pref Paid]])</f>
        <v>0</v>
      </c>
      <c r="F7" s="13">
        <f>MAX(0,INDEX(WaterfallTable[A Capital Balance],3)-INDEX(WaterfallTable[A Capital Returned],3))</f>
        <v>0</v>
      </c>
      <c r="G7" s="13">
        <f>IF(WaterfallTable[[#This Row],[Year]]=0,0,MIN(MAX(0,WaterfallTable[[#This Row],[Cash Available]]-WaterfallTable[[#This Row],[Pref Paid]]),WaterfallTable[[#This Row],[A Capital Balance]]))</f>
        <v>0</v>
      </c>
      <c r="H7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7" s="13">
        <f>WaterfallTable[[#This Row],[Pref Paid]]+WaterfallTable[[#This Row],[A Capital Returned]]+WaterfallTable[[#This Row],[A Residual]]</f>
        <v>0</v>
      </c>
      <c r="J7" s="13">
        <f>MAX(0,INDEX(WaterfallTable[B Capital Balance],3)-INDEX(WaterfallTable[B Capital Returned],3))</f>
        <v>401945.35799673363</v>
      </c>
      <c r="K7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7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7" s="13">
        <f>WaterfallTable[[#This Row],[B Capital Returned]]+WaterfallTable[[#This Row],[B Residual]]</f>
        <v>25250.482003266567</v>
      </c>
      <c r="N7" s="13">
        <f>IF(WaterfallTable[[#This Row],[Year]]=0,SponsorPropertyPayment,0)</f>
        <v>0</v>
      </c>
      <c r="O7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1183926.3220032663</v>
      </c>
      <c r="C8" s="13">
        <f>WaterfallTable[[#This Row],[A Capital Balance]]*ClassAPreferredReturn</f>
        <v>0</v>
      </c>
      <c r="D8" s="13">
        <f>IF(WaterfallTable[[#This Row],[Year]]=0,0,MIN(WaterfallTable[[#This Row],[Cash Available]],INDEX(WaterfallTable[End of Year Pref Balance],4)+WaterfallTable[[#This Row],[Pref Accrued]]))</f>
        <v>0</v>
      </c>
      <c r="E8" s="13">
        <f>MAX(0,INDEX(WaterfallTable[End of Year Pref Balance],4)+WaterfallTable[[#This Row],[Pref Accrued]]-WaterfallTable[[#This Row],[Pref Paid]])</f>
        <v>0</v>
      </c>
      <c r="F8" s="13">
        <f>MAX(0,INDEX(WaterfallTable[A Capital Balance],4)-INDEX(WaterfallTable[A Capital Returned],4))</f>
        <v>0</v>
      </c>
      <c r="G8" s="13">
        <f>IF(WaterfallTable[[#This Row],[Year]]=0,0,MIN(MAX(0,WaterfallTable[[#This Row],[Cash Available]]-WaterfallTable[[#This Row],[Pref Paid]]),WaterfallTable[[#This Row],[A Capital Balance]]))</f>
        <v>0</v>
      </c>
      <c r="H8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161896.00031394302</v>
      </c>
      <c r="I8" s="13">
        <f>WaterfallTable[[#This Row],[Pref Paid]]+WaterfallTable[[#This Row],[A Capital Returned]]+WaterfallTable[[#This Row],[A Residual]]</f>
        <v>161896.00031394302</v>
      </c>
      <c r="J8" s="13">
        <f>MAX(0,INDEX(WaterfallTable[B Capital Balance],4)-INDEX(WaterfallTable[B Capital Returned],4))</f>
        <v>376694.87599346705</v>
      </c>
      <c r="K8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376694.87599346705</v>
      </c>
      <c r="L8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322442.86729193653</v>
      </c>
      <c r="M8" s="13">
        <f>WaterfallTable[[#This Row],[B Capital Returned]]+WaterfallTable[[#This Row],[B Residual]]</f>
        <v>699137.74328540359</v>
      </c>
      <c r="N8" s="13">
        <f>IF(WaterfallTable[[#This Row],[Year]]=0,SponsorPropertyPayment,0)</f>
        <v>0</v>
      </c>
      <c r="O8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322892.5784039197</v>
      </c>
      <c r="P8" s="13">
        <f>WaterfallTable[[#This Row],[Property Payment]]+WaterfallTable[[#This Row],[Residual]]</f>
        <v>322892.5784039197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80352</v>
      </c>
      <c r="C9" s="13">
        <f>WaterfallTable[[#This Row],[A Capital Balance]]*ClassAPreferredReturn</f>
        <v>0</v>
      </c>
      <c r="D9" s="13">
        <f>IF(WaterfallTable[[#This Row],[Year]]=0,0,MIN(WaterfallTable[[#This Row],[Cash Available]],INDEX(WaterfallTable[End of Year Pref Balance],5)+WaterfallTable[[#This Row],[Pref Accrued]]))</f>
        <v>0</v>
      </c>
      <c r="E9" s="13">
        <f>MAX(0,INDEX(WaterfallTable[End of Year Pref Balance],5)+WaterfallTable[[#This Row],[Pref Accrued]]-WaterfallTable[[#This Row],[Pref Paid]])</f>
        <v>0</v>
      </c>
      <c r="F9" s="13">
        <f>MAX(0,INDEX(WaterfallTable[A Capital Balance],5)-INDEX(WaterfallTable[A Capital Returned],5))</f>
        <v>0</v>
      </c>
      <c r="G9" s="13">
        <f>IF(WaterfallTable[[#This Row],[Year]]=0,0,MIN(MAX(0,WaterfallTable[[#This Row],[Cash Available]]-WaterfallTable[[#This Row],[Pref Paid]]),WaterfallTable[[#This Row],[A Capital Balance]]))</f>
        <v>0</v>
      </c>
      <c r="H9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16115.1643454039</v>
      </c>
      <c r="I9" s="13">
        <f>WaterfallTable[[#This Row],[Pref Paid]]+WaterfallTable[[#This Row],[A Capital Returned]]+WaterfallTable[[#This Row],[A Residual]]</f>
        <v>16115.1643454039</v>
      </c>
      <c r="J9" s="13">
        <f>MAX(0,INDEX(WaterfallTable[B Capital Balance],5)-INDEX(WaterfallTable[B Capital Returned],5))</f>
        <v>0</v>
      </c>
      <c r="K9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9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32096.0356545961</v>
      </c>
      <c r="M9" s="13">
        <f>WaterfallTable[[#This Row],[B Capital Returned]]+WaterfallTable[[#This Row],[B Residual]]</f>
        <v>32096.0356545961</v>
      </c>
      <c r="N9" s="13">
        <f>IF(WaterfallTable[[#This Row],[Year]]=0,SponsorPropertyPayment,0)</f>
        <v>0</v>
      </c>
      <c r="O9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32140.800000000003</v>
      </c>
      <c r="P9" s="13">
        <f>WaterfallTable[[#This Row],[Property Payment]]+WaterfallTable[[#This Row],[Residual]]</f>
        <v>32140.800000000003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80352</v>
      </c>
      <c r="C10" s="13">
        <f>WaterfallTable[[#This Row],[A Capital Balance]]*ClassAPreferredReturn</f>
        <v>0</v>
      </c>
      <c r="D10" s="13">
        <f>IF(WaterfallTable[[#This Row],[Year]]=0,0,MIN(WaterfallTable[[#This Row],[Cash Available]],INDEX(WaterfallTable[End of Year Pref Balance],6)+WaterfallTable[[#This Row],[Pref Accrued]]))</f>
        <v>0</v>
      </c>
      <c r="E10" s="13">
        <f>MAX(0,INDEX(WaterfallTable[End of Year Pref Balance],6)+WaterfallTable[[#This Row],[Pref Accrued]]-WaterfallTable[[#This Row],[Pref Paid]])</f>
        <v>0</v>
      </c>
      <c r="F10" s="13">
        <f>MAX(0,INDEX(WaterfallTable[A Capital Balance],6)-INDEX(WaterfallTable[A Capital Returned],6))</f>
        <v>0</v>
      </c>
      <c r="G10" s="13">
        <f>IF(WaterfallTable[[#This Row],[Year]]=0,0,MIN(MAX(0,WaterfallTable[[#This Row],[Cash Available]]-WaterfallTable[[#This Row],[Pref Paid]]),WaterfallTable[[#This Row],[A Capital Balance]]))</f>
        <v>0</v>
      </c>
      <c r="H10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16115.1643454039</v>
      </c>
      <c r="I10" s="13">
        <f>WaterfallTable[[#This Row],[Pref Paid]]+WaterfallTable[[#This Row],[A Capital Returned]]+WaterfallTable[[#This Row],[A Residual]]</f>
        <v>16115.1643454039</v>
      </c>
      <c r="J10" s="13">
        <f>MAX(0,INDEX(WaterfallTable[B Capital Balance],6)-INDEX(WaterfallTable[B Capital Returned],6))</f>
        <v>0</v>
      </c>
      <c r="K10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10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32096.0356545961</v>
      </c>
      <c r="M10" s="13">
        <f>WaterfallTable[[#This Row],[B Capital Returned]]+WaterfallTable[[#This Row],[B Residual]]</f>
        <v>32096.0356545961</v>
      </c>
      <c r="N10" s="13">
        <f>IF(WaterfallTable[[#This Row],[Year]]=0,SponsorPropertyPayment,0)</f>
        <v>0</v>
      </c>
      <c r="O10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32140.800000000003</v>
      </c>
      <c r="P10" s="13">
        <f>WaterfallTable[[#This Row],[Property Payment]]+WaterfallTable[[#This Row],[Residual]]</f>
        <v>32140.800000000003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80352</v>
      </c>
      <c r="C11" s="13">
        <f>WaterfallTable[[#This Row],[A Capital Balance]]*ClassAPreferredReturn</f>
        <v>0</v>
      </c>
      <c r="D11" s="13">
        <f>IF(WaterfallTable[[#This Row],[Year]]=0,0,MIN(WaterfallTable[[#This Row],[Cash Available]],INDEX(WaterfallTable[End of Year Pref Balance],7)+WaterfallTable[[#This Row],[Pref Accrued]]))</f>
        <v>0</v>
      </c>
      <c r="E11" s="13">
        <f>MAX(0,INDEX(WaterfallTable[End of Year Pref Balance],7)+WaterfallTable[[#This Row],[Pref Accrued]]-WaterfallTable[[#This Row],[Pref Paid]])</f>
        <v>0</v>
      </c>
      <c r="F11" s="13">
        <f>MAX(0,INDEX(WaterfallTable[A Capital Balance],7)-INDEX(WaterfallTable[A Capital Returned],7))</f>
        <v>0</v>
      </c>
      <c r="G11" s="13">
        <f>IF(WaterfallTable[[#This Row],[Year]]=0,0,MIN(MAX(0,WaterfallTable[[#This Row],[Cash Available]]-WaterfallTable[[#This Row],[Pref Paid]]),WaterfallTable[[#This Row],[A Capital Balance]]))</f>
        <v>0</v>
      </c>
      <c r="H11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16115.1643454039</v>
      </c>
      <c r="I11" s="13">
        <f>WaterfallTable[[#This Row],[Pref Paid]]+WaterfallTable[[#This Row],[A Capital Returned]]+WaterfallTable[[#This Row],[A Residual]]</f>
        <v>16115.1643454039</v>
      </c>
      <c r="J11" s="13">
        <f>MAX(0,INDEX(WaterfallTable[B Capital Balance],7)-INDEX(WaterfallTable[B Capital Returned],7))</f>
        <v>0</v>
      </c>
      <c r="K11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11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32096.0356545961</v>
      </c>
      <c r="M11" s="13">
        <f>WaterfallTable[[#This Row],[B Capital Returned]]+WaterfallTable[[#This Row],[B Residual]]</f>
        <v>32096.0356545961</v>
      </c>
      <c r="N11" s="13">
        <f>IF(WaterfallTable[[#This Row],[Year]]=0,SponsorPropertyPayment,0)</f>
        <v>0</v>
      </c>
      <c r="O11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32140.800000000003</v>
      </c>
      <c r="P11" s="13">
        <f>WaterfallTable[[#This Row],[Property Payment]]+WaterfallTable[[#This Row],[Residual]]</f>
        <v>32140.800000000003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80352</v>
      </c>
      <c r="C12" s="13">
        <f>WaterfallTable[[#This Row],[A Capital Balance]]*ClassAPreferredReturn</f>
        <v>0</v>
      </c>
      <c r="D12" s="13">
        <f>IF(WaterfallTable[[#This Row],[Year]]=0,0,MIN(WaterfallTable[[#This Row],[Cash Available]],INDEX(WaterfallTable[End of Year Pref Balance],8)+WaterfallTable[[#This Row],[Pref Accrued]]))</f>
        <v>0</v>
      </c>
      <c r="E12" s="13">
        <f>MAX(0,INDEX(WaterfallTable[End of Year Pref Balance],8)+WaterfallTable[[#This Row],[Pref Accrued]]-WaterfallTable[[#This Row],[Pref Paid]])</f>
        <v>0</v>
      </c>
      <c r="F12" s="13">
        <f>MAX(0,INDEX(WaterfallTable[A Capital Balance],8)-INDEX(WaterfallTable[A Capital Returned],8))</f>
        <v>0</v>
      </c>
      <c r="G12" s="13">
        <f>IF(WaterfallTable[[#This Row],[Year]]=0,0,MIN(MAX(0,WaterfallTable[[#This Row],[Cash Available]]-WaterfallTable[[#This Row],[Pref Paid]]),WaterfallTable[[#This Row],[A Capital Balance]]))</f>
        <v>0</v>
      </c>
      <c r="H12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16115.1643454039</v>
      </c>
      <c r="I12" s="13">
        <f>WaterfallTable[[#This Row],[Pref Paid]]+WaterfallTable[[#This Row],[A Capital Returned]]+WaterfallTable[[#This Row],[A Residual]]</f>
        <v>16115.1643454039</v>
      </c>
      <c r="J12" s="13">
        <f>MAX(0,INDEX(WaterfallTable[B Capital Balance],8)-INDEX(WaterfallTable[B Capital Returned],8))</f>
        <v>0</v>
      </c>
      <c r="K12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12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32096.0356545961</v>
      </c>
      <c r="M12" s="13">
        <f>WaterfallTable[[#This Row],[B Capital Returned]]+WaterfallTable[[#This Row],[B Residual]]</f>
        <v>32096.0356545961</v>
      </c>
      <c r="N12" s="13">
        <f>IF(WaterfallTable[[#This Row],[Year]]=0,SponsorPropertyPayment,0)</f>
        <v>0</v>
      </c>
      <c r="O12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32140.800000000003</v>
      </c>
      <c r="P12" s="13">
        <f>WaterfallTable[[#This Row],[Property Payment]]+WaterfallTable[[#This Row],[Residual]]</f>
        <v>32140.800000000003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80352</v>
      </c>
      <c r="C13" s="13">
        <f>WaterfallTable[[#This Row],[A Capital Balance]]*ClassAPreferredReturn</f>
        <v>0</v>
      </c>
      <c r="D13" s="13">
        <f>IF(WaterfallTable[[#This Row],[Year]]=0,0,MIN(WaterfallTable[[#This Row],[Cash Available]],INDEX(WaterfallTable[End of Year Pref Balance],9)+WaterfallTable[[#This Row],[Pref Accrued]]))</f>
        <v>0</v>
      </c>
      <c r="E13" s="13">
        <f>MAX(0,INDEX(WaterfallTable[End of Year Pref Balance],9)+WaterfallTable[[#This Row],[Pref Accrued]]-WaterfallTable[[#This Row],[Pref Paid]])</f>
        <v>0</v>
      </c>
      <c r="F13" s="13">
        <f>MAX(0,INDEX(WaterfallTable[A Capital Balance],9)-INDEX(WaterfallTable[A Capital Returned],9))</f>
        <v>0</v>
      </c>
      <c r="G13" s="13">
        <f>IF(WaterfallTable[[#This Row],[Year]]=0,0,MIN(MAX(0,WaterfallTable[[#This Row],[Cash Available]]-WaterfallTable[[#This Row],[Pref Paid]]),WaterfallTable[[#This Row],[A Capital Balance]]))</f>
        <v>0</v>
      </c>
      <c r="H13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16115.1643454039</v>
      </c>
      <c r="I13" s="13">
        <f>WaterfallTable[[#This Row],[Pref Paid]]+WaterfallTable[[#This Row],[A Capital Returned]]+WaterfallTable[[#This Row],[A Residual]]</f>
        <v>16115.1643454039</v>
      </c>
      <c r="J13" s="13">
        <f>MAX(0,INDEX(WaterfallTable[B Capital Balance],9)-INDEX(WaterfallTable[B Capital Returned],9))</f>
        <v>0</v>
      </c>
      <c r="K13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13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32096.0356545961</v>
      </c>
      <c r="M13" s="13">
        <f>WaterfallTable[[#This Row],[B Capital Returned]]+WaterfallTable[[#This Row],[B Residual]]</f>
        <v>32096.0356545961</v>
      </c>
      <c r="N13" s="13">
        <f>IF(WaterfallTable[[#This Row],[Year]]=0,SponsorPropertyPayment,0)</f>
        <v>0</v>
      </c>
      <c r="O13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32140.800000000003</v>
      </c>
      <c r="P13" s="13">
        <f>WaterfallTable[[#This Row],[Property Payment]]+WaterfallTable[[#This Row],[Residual]]</f>
        <v>32140.800000000003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80352</v>
      </c>
      <c r="C14" s="13">
        <f>WaterfallTable[[#This Row],[A Capital Balance]]*ClassAPreferredReturn</f>
        <v>0</v>
      </c>
      <c r="D14" s="13">
        <f>IF(WaterfallTable[[#This Row],[Year]]=0,0,MIN(WaterfallTable[[#This Row],[Cash Available]],INDEX(WaterfallTable[End of Year Pref Balance],10)+WaterfallTable[[#This Row],[Pref Accrued]]))</f>
        <v>0</v>
      </c>
      <c r="E14" s="13">
        <f>MAX(0,INDEX(WaterfallTable[End of Year Pref Balance],10)+WaterfallTable[[#This Row],[Pref Accrued]]-WaterfallTable[[#This Row],[Pref Paid]])</f>
        <v>0</v>
      </c>
      <c r="F14" s="13">
        <f>MAX(0,INDEX(WaterfallTable[A Capital Balance],10)-INDEX(WaterfallTable[A Capital Returned],10))</f>
        <v>0</v>
      </c>
      <c r="G14" s="13">
        <f>IF(WaterfallTable[[#This Row],[Year]]=0,0,MIN(MAX(0,WaterfallTable[[#This Row],[Cash Available]]-WaterfallTable[[#This Row],[Pref Paid]]),WaterfallTable[[#This Row],[A Capital Balance]]))</f>
        <v>0</v>
      </c>
      <c r="H1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16115.1643454039</v>
      </c>
      <c r="I14" s="13">
        <f>WaterfallTable[[#This Row],[Pref Paid]]+WaterfallTable[[#This Row],[A Capital Returned]]+WaterfallTable[[#This Row],[A Residual]]</f>
        <v>16115.1643454039</v>
      </c>
      <c r="J14" s="13">
        <f>MAX(0,INDEX(WaterfallTable[B Capital Balance],10)-INDEX(WaterfallTable[B Capital Returned],10))</f>
        <v>0</v>
      </c>
      <c r="K14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1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32096.0356545961</v>
      </c>
      <c r="M14" s="13">
        <f>WaterfallTable[[#This Row],[B Capital Returned]]+WaterfallTable[[#This Row],[B Residual]]</f>
        <v>32096.0356545961</v>
      </c>
      <c r="N14" s="13">
        <f>IF(WaterfallTable[[#This Row],[Year]]=0,SponsorPropertyPayment,0)</f>
        <v>0</v>
      </c>
      <c r="O1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32140.800000000003</v>
      </c>
      <c r="P14" s="13">
        <f>WaterfallTable[[#This Row],[Property Payment]]+WaterfallTable[[#This Row],[Residual]]</f>
        <v>32140.800000000003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30" x14ac:dyDescent="0.25">
      <c r="A18" s="72" t="s">
        <v>73</v>
      </c>
      <c r="B18" s="73" t="s">
        <v>74</v>
      </c>
      <c r="C18" s="73" t="s">
        <v>79</v>
      </c>
      <c r="D18" s="73" t="s">
        <v>80</v>
      </c>
      <c r="E18" s="73" t="s">
        <v>81</v>
      </c>
      <c r="F18" s="73" t="s">
        <v>82</v>
      </c>
      <c r="G18" s="73" t="s">
        <v>83</v>
      </c>
      <c r="H18" s="73" t="s">
        <v>84</v>
      </c>
      <c r="I18" s="73" t="s">
        <v>85</v>
      </c>
      <c r="J18" s="73" t="s">
        <v>86</v>
      </c>
      <c r="K18" s="73" t="s">
        <v>87</v>
      </c>
      <c r="L18" s="73" t="s">
        <v>88</v>
      </c>
      <c r="M18" s="73" t="s">
        <v>89</v>
      </c>
      <c r="N18" s="73" t="s">
        <v>90</v>
      </c>
      <c r="O18" s="73" t="s">
        <v>310</v>
      </c>
      <c r="P18" s="73" t="s">
        <v>75</v>
      </c>
      <c r="Q18" s="73" t="s">
        <v>77</v>
      </c>
      <c r="R18" s="74" t="s">
        <v>78</v>
      </c>
      <c r="S18" s="41"/>
    </row>
    <row r="19" spans="1:19" x14ac:dyDescent="0.25">
      <c r="A19" s="54" t="s">
        <v>91</v>
      </c>
      <c r="B19" s="42">
        <f>ClassACapital</f>
        <v>300000</v>
      </c>
      <c r="C19" s="43">
        <f>IFERROR(IRR(ReturnsTable[[#This Row],[Year 0]:[Year 10]]),0)</f>
        <v>0.29138068799743388</v>
      </c>
      <c r="D19" s="42">
        <f>-ReturnsTable[[#This Row],[Capital / Basis]]</f>
        <v>-300000</v>
      </c>
      <c r="E19" s="42">
        <f>INDEX(WaterfallTable[Total Distribution],MATCH(1,WaterfallTable[Year],0))</f>
        <v>17868</v>
      </c>
      <c r="F19" s="42">
        <f>INDEX(WaterfallTable[Total Distribution],MATCH(2,WaterfallTable[Year],0))</f>
        <v>354132</v>
      </c>
      <c r="G19" s="42">
        <f>INDEX(WaterfallTable[Total Distribution],MATCH(3,WaterfallTable[Year],0))</f>
        <v>0</v>
      </c>
      <c r="H19" s="42">
        <f>INDEX(WaterfallTable[Total Distribution],MATCH(4,WaterfallTable[Year],0))</f>
        <v>161896.00031394302</v>
      </c>
      <c r="I19" s="42">
        <f>INDEX(WaterfallTable[Total Distribution],MATCH(5,WaterfallTable[Year],0))</f>
        <v>16115.1643454039</v>
      </c>
      <c r="J19" s="42">
        <f>INDEX(WaterfallTable[Total Distribution],MATCH(6,WaterfallTable[Year],0))</f>
        <v>16115.1643454039</v>
      </c>
      <c r="K19" s="42">
        <f>INDEX(WaterfallTable[Total Distribution],MATCH(7,WaterfallTable[Year],0))</f>
        <v>16115.1643454039</v>
      </c>
      <c r="L19" s="42">
        <f>INDEX(WaterfallTable[Total Distribution],MATCH(8,WaterfallTable[Year],0))</f>
        <v>16115.1643454039</v>
      </c>
      <c r="M19" s="42">
        <f>INDEX(WaterfallTable[Total Distribution],MATCH(9,WaterfallTable[Year],0))</f>
        <v>16115.1643454039</v>
      </c>
      <c r="N19" s="42">
        <f>INDEX(WaterfallTable[Total Distribution],MATCH(10,WaterfallTable[Year],0))</f>
        <v>16115.1643454039</v>
      </c>
      <c r="O19" s="42">
        <f>SUM(ReturnsTable[[#This Row],[Year 0]:[Year 10]])</f>
        <v>330586.98638636642</v>
      </c>
      <c r="P19" s="42">
        <f>ReturnsTable[[#This Row],[Total Profit]]+ReturnsTable[[#This Row],[Capital / Basis]]</f>
        <v>630586.98638636642</v>
      </c>
      <c r="Q19" s="44">
        <f>IFERROR(ReturnsTable[[#This Row],[Total Distributions]]/ReturnsTable[[#This Row],[Capital / Basis]],0)</f>
        <v>2.1019566212878882</v>
      </c>
      <c r="R19" s="58">
        <f>IFERROR(ReturnsTable[[#This Row],[Total Profit]]/ReturnsTable[[#This Row],[Capital / Basis]],0)</f>
        <v>1.101956621287888</v>
      </c>
      <c r="S19" s="41"/>
    </row>
    <row r="20" spans="1:19" x14ac:dyDescent="0.25">
      <c r="A20" s="55" t="s">
        <v>92</v>
      </c>
      <c r="B20" s="45">
        <f>ClassBCapital</f>
        <v>597500</v>
      </c>
      <c r="C20" s="46">
        <f>IFERROR(IRR(ReturnsTable[[#This Row],[Year 0]:[Year 10]]),0)</f>
        <v>0.1677796848473494</v>
      </c>
      <c r="D20" s="45">
        <f>-ReturnsTable[[#This Row],[Capital / Basis]]</f>
        <v>-597500</v>
      </c>
      <c r="E20" s="45">
        <f>INDEX(WaterfallTable[B Total Dist],MATCH(1,WaterfallTable[Year],0))</f>
        <v>0</v>
      </c>
      <c r="F20" s="45">
        <f>INDEX(WaterfallTable[B Total Dist],MATCH(2,WaterfallTable[Year],0))</f>
        <v>195554.64200326637</v>
      </c>
      <c r="G20" s="45">
        <f>INDEX(WaterfallTable[B Total Dist],MATCH(3,WaterfallTable[Year],0))</f>
        <v>25250.482003266567</v>
      </c>
      <c r="H20" s="45">
        <f>INDEX(WaterfallTable[B Total Dist],MATCH(4,WaterfallTable[Year],0))</f>
        <v>699137.74328540359</v>
      </c>
      <c r="I20" s="45">
        <f>INDEX(WaterfallTable[B Total Dist],MATCH(5,WaterfallTable[Year],0))</f>
        <v>32096.0356545961</v>
      </c>
      <c r="J20" s="45">
        <f>INDEX(WaterfallTable[B Total Dist],MATCH(6,WaterfallTable[Year],0))</f>
        <v>32096.0356545961</v>
      </c>
      <c r="K20" s="45">
        <f>INDEX(WaterfallTable[B Total Dist],MATCH(7,WaterfallTable[Year],0))</f>
        <v>32096.0356545961</v>
      </c>
      <c r="L20" s="45">
        <f>INDEX(WaterfallTable[B Total Dist],MATCH(8,WaterfallTable[Year],0))</f>
        <v>32096.0356545961</v>
      </c>
      <c r="M20" s="45">
        <f>INDEX(WaterfallTable[B Total Dist],MATCH(9,WaterfallTable[Year],0))</f>
        <v>32096.0356545961</v>
      </c>
      <c r="N20" s="45">
        <f>INDEX(WaterfallTable[B Total Dist],MATCH(10,WaterfallTable[Year],0))</f>
        <v>32096.0356545961</v>
      </c>
      <c r="O20" s="45">
        <f>SUM(ReturnsTable[[#This Row],[Year 0]:[Year 10]])</f>
        <v>515019.0812195132</v>
      </c>
      <c r="P20" s="45">
        <f>ReturnsTable[[#This Row],[Total Profit]]+ReturnsTable[[#This Row],[Capital / Basis]]</f>
        <v>1112519.0812195132</v>
      </c>
      <c r="Q20" s="47">
        <f>IFERROR(ReturnsTable[[#This Row],[Total Distributions]]/ReturnsTable[[#This Row],[Capital / Basis]],0)</f>
        <v>1.8619566212878882</v>
      </c>
      <c r="R20" s="59">
        <f>IFERROR(ReturnsTable[[#This Row],[Total Profit]]/ReturnsTable[[#This Row],[Capital / Basis]],0)</f>
        <v>0.86195662128788819</v>
      </c>
      <c r="S20" s="41"/>
    </row>
    <row r="21" spans="1:19" x14ac:dyDescent="0.25">
      <c r="A21" s="56" t="s">
        <v>93</v>
      </c>
      <c r="B21" s="48">
        <f>SponsorBasis</f>
        <v>150000</v>
      </c>
      <c r="C21" s="49">
        <f>IFERROR(IRR(ReturnsTable[[#This Row],[Year 0]:[Year 10]]),0)</f>
        <v>0</v>
      </c>
      <c r="D21" s="48">
        <f>INDEX(WaterfallTable[Total Dist],MATCH(0,WaterfallTable[Year],0))</f>
        <v>150000</v>
      </c>
      <c r="E21" s="48">
        <f>INDEX(WaterfallTable[Total Dist],MATCH(1,WaterfallTable[Year],0))</f>
        <v>0</v>
      </c>
      <c r="F21" s="48">
        <f>INDEX(WaterfallTable[Total Dist],MATCH(2,WaterfallTable[Year],0))</f>
        <v>0</v>
      </c>
      <c r="G21" s="48">
        <f>INDEX(WaterfallTable[Total Dist],MATCH(3,WaterfallTable[Year],0))</f>
        <v>0</v>
      </c>
      <c r="H21" s="48">
        <f>INDEX(WaterfallTable[Total Dist],MATCH(4,WaterfallTable[Year],0))</f>
        <v>322892.5784039197</v>
      </c>
      <c r="I21" s="48">
        <f>INDEX(WaterfallTable[Total Dist],MATCH(5,WaterfallTable[Year],0))</f>
        <v>32140.800000000003</v>
      </c>
      <c r="J21" s="48">
        <f>INDEX(WaterfallTable[Total Dist],MATCH(6,WaterfallTable[Year],0))</f>
        <v>32140.800000000003</v>
      </c>
      <c r="K21" s="48">
        <f>INDEX(WaterfallTable[Total Dist],MATCH(7,WaterfallTable[Year],0))</f>
        <v>32140.800000000003</v>
      </c>
      <c r="L21" s="48">
        <f>INDEX(WaterfallTable[Total Dist],MATCH(8,WaterfallTable[Year],0))</f>
        <v>32140.800000000003</v>
      </c>
      <c r="M21" s="48">
        <f>INDEX(WaterfallTable[Total Dist],MATCH(9,WaterfallTable[Year],0))</f>
        <v>32140.800000000003</v>
      </c>
      <c r="N21" s="48">
        <f>INDEX(WaterfallTable[Total Dist],MATCH(10,WaterfallTable[Year],0))</f>
        <v>32140.800000000003</v>
      </c>
      <c r="O21" s="48">
        <f>SUM(ReturnsTable[[#This Row],[Year 0]:[Year 10]])</f>
        <v>665737.37840391987</v>
      </c>
      <c r="P21" s="48">
        <f>ReturnsTable[[#This Row],[Total Profit]]+ReturnsTable[[#This Row],[Capital / Basis]]</f>
        <v>815737.37840391987</v>
      </c>
      <c r="Q21" s="50">
        <f>IFERROR(ReturnsTable[[#This Row],[Total Distributions]]/ReturnsTable[[#This Row],[Capital / Basis]],0)</f>
        <v>5.4382491893594658</v>
      </c>
      <c r="R21" s="60">
        <f>IFERROR(ReturnsTable[[#This Row],[Total Profit]]/ReturnsTable[[#This Row],[Capital / Basis]],0)</f>
        <v>4.4382491893594658</v>
      </c>
      <c r="S21" s="41"/>
    </row>
    <row r="22" spans="1:19" x14ac:dyDescent="0.25">
      <c r="A22" s="57" t="s">
        <v>298</v>
      </c>
      <c r="B22" s="51">
        <f>0</f>
        <v>0</v>
      </c>
      <c r="C22" s="52">
        <f>0</f>
        <v>0</v>
      </c>
      <c r="D22" s="51">
        <f>0</f>
        <v>0</v>
      </c>
      <c r="E22" s="51">
        <f>ManagementFeeRate*INDEX(AnnualModelTable[Effective Gross Income],MATCH(1,AnnualModelTable[Year],0))</f>
        <v>3168</v>
      </c>
      <c r="F22" s="51">
        <f>ManagementFeeRate*INDEX(AnnualModelTable[Effective Gross Income],MATCH(2,AnnualModelTable[Year],0))</f>
        <v>7231.6799999999994</v>
      </c>
      <c r="G22" s="51">
        <f>ManagementFeeRate*INDEX(AnnualModelTable[Effective Gross Income],MATCH(3,AnnualModelTable[Year],0))</f>
        <v>8035.2</v>
      </c>
      <c r="H22" s="51">
        <f>ManagementFeeRate*INDEX(AnnualModelTable[Effective Gross Income],MATCH(4,AnnualModelTable[Year],0))</f>
        <v>8035.2</v>
      </c>
      <c r="I22" s="51">
        <f>ManagementFeeRate*INDEX(AnnualModelTable[Effective Gross Income],MATCH(5,AnnualModelTable[Year],0))</f>
        <v>8035.2</v>
      </c>
      <c r="J22" s="51">
        <f>ManagementFeeRate*INDEX(AnnualModelTable[Effective Gross Income],MATCH(6,AnnualModelTable[Year],0))</f>
        <v>8035.2</v>
      </c>
      <c r="K22" s="51">
        <f>ManagementFeeRate*INDEX(AnnualModelTable[Effective Gross Income],MATCH(7,AnnualModelTable[Year],0))</f>
        <v>8035.2</v>
      </c>
      <c r="L22" s="51">
        <f>ManagementFeeRate*INDEX(AnnualModelTable[Effective Gross Income],MATCH(8,AnnualModelTable[Year],0))</f>
        <v>8035.2</v>
      </c>
      <c r="M22" s="51">
        <f>ManagementFeeRate*INDEX(AnnualModelTable[Effective Gross Income],MATCH(9,AnnualModelTable[Year],0))</f>
        <v>8035.2</v>
      </c>
      <c r="N22" s="51">
        <f>ManagementFeeRate*INDEX(AnnualModelTable[Effective Gross Income],MATCH(10,AnnualModelTable[Year],0))</f>
        <v>8035.2</v>
      </c>
      <c r="O22" s="51">
        <f>SUM(ReturnsTable[[#This Row],[Year 0]:[Year 10]])</f>
        <v>74681.279999999984</v>
      </c>
      <c r="P22" s="51">
        <f>ReturnsTable[[#This Row],[Total Profit]]</f>
        <v>74681.279999999984</v>
      </c>
      <c r="Q22" s="53">
        <f>0</f>
        <v>0</v>
      </c>
      <c r="R22" s="61">
        <f>0</f>
        <v>0</v>
      </c>
      <c r="S22" s="41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280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73</v>
      </c>
      <c r="B3" s="26" t="s">
        <v>74</v>
      </c>
      <c r="C3" s="26" t="s">
        <v>75</v>
      </c>
      <c r="D3" s="26" t="s">
        <v>76</v>
      </c>
      <c r="E3" s="26" t="s">
        <v>77</v>
      </c>
      <c r="F3" s="26" t="s">
        <v>78</v>
      </c>
      <c r="G3" s="26" t="s">
        <v>79</v>
      </c>
      <c r="H3" s="26" t="s">
        <v>80</v>
      </c>
      <c r="I3" s="26" t="s">
        <v>81</v>
      </c>
      <c r="J3" s="26" t="s">
        <v>82</v>
      </c>
      <c r="K3" s="26" t="s">
        <v>83</v>
      </c>
      <c r="L3" s="26" t="s">
        <v>84</v>
      </c>
      <c r="M3" s="26" t="s">
        <v>85</v>
      </c>
      <c r="N3" s="26" t="s">
        <v>86</v>
      </c>
      <c r="O3" s="26" t="s">
        <v>87</v>
      </c>
      <c r="P3" s="26" t="s">
        <v>88</v>
      </c>
      <c r="Q3" s="26" t="s">
        <v>89</v>
      </c>
      <c r="R3" s="26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SUM(Waterfall!$I$4:$I$14)</f>
        <v>630586.98638636642</v>
      </c>
      <c r="D4" s="13">
        <f>C4-B4</f>
        <v>330586.98638636642</v>
      </c>
      <c r="E4" s="13">
        <f>IFERROR(C4/B4,0)</f>
        <v>2.1019566212878882</v>
      </c>
      <c r="F4" s="24">
        <f>IFERROR(D4/B4,0)</f>
        <v>1.101956621287888</v>
      </c>
      <c r="G4" s="24">
        <f>IRR(H4:R4)</f>
        <v>0.29138068799743388</v>
      </c>
      <c r="H4" s="13">
        <f>-B4</f>
        <v>-300000</v>
      </c>
      <c r="I4" s="13">
        <f>INDEX(Waterfall!$I$4:$I$14,MATCH(1,Waterfall!$A$4:$A$14,0))</f>
        <v>17868</v>
      </c>
      <c r="J4" s="13">
        <f>INDEX(Waterfall!$I$4:$I$14,MATCH(2,Waterfall!$A$4:$A$14,0))</f>
        <v>354132</v>
      </c>
      <c r="K4" s="13">
        <f>INDEX(Waterfall!$I$4:$I$14,MATCH(3,Waterfall!$A$4:$A$14,0))</f>
        <v>0</v>
      </c>
      <c r="L4" s="13">
        <f>INDEX(Waterfall!$I$4:$I$14,MATCH(4,Waterfall!$A$4:$A$14,0))</f>
        <v>161896.00031394302</v>
      </c>
      <c r="M4" s="13">
        <f>INDEX(Waterfall!$I$4:$I$14,MATCH(5,Waterfall!$A$4:$A$14,0))</f>
        <v>16115.1643454039</v>
      </c>
      <c r="N4" s="13">
        <f>INDEX(Waterfall!$I$4:$I$14,MATCH(6,Waterfall!$A$4:$A$14,0))</f>
        <v>16115.1643454039</v>
      </c>
      <c r="O4" s="13">
        <f>INDEX(Waterfall!$I$4:$I$14,MATCH(7,Waterfall!$A$4:$A$14,0))</f>
        <v>16115.1643454039</v>
      </c>
      <c r="P4" s="13">
        <f>INDEX(Waterfall!$I$4:$I$14,MATCH(8,Waterfall!$A$4:$A$14,0))</f>
        <v>16115.1643454039</v>
      </c>
      <c r="Q4" s="13">
        <f>INDEX(Waterfall!$I$4:$I$14,MATCH(9,Waterfall!$A$4:$A$14,0))</f>
        <v>16115.1643454039</v>
      </c>
      <c r="R4" s="13">
        <f>INDEX(Waterfall!$I$4:$I$14,MATCH(10,Waterfall!$A$4:$A$14,0))</f>
        <v>16115.1643454039</v>
      </c>
    </row>
    <row r="5" spans="1:20" x14ac:dyDescent="0.25">
      <c r="A5" s="13" t="s">
        <v>92</v>
      </c>
      <c r="B5" s="13">
        <f>ClassBCapital</f>
        <v>597500</v>
      </c>
      <c r="C5" s="13">
        <f>SUM(Waterfall!$M$4:$M$14)</f>
        <v>1112519.081219513</v>
      </c>
      <c r="D5" s="13">
        <f>C5-B5</f>
        <v>515019.08121951297</v>
      </c>
      <c r="E5" s="13">
        <f>IFERROR(C5/B5,0)</f>
        <v>1.8619566212878877</v>
      </c>
      <c r="F5" s="24">
        <f>IFERROR(D5/B5,0)</f>
        <v>0.86195662128788786</v>
      </c>
      <c r="G5" s="24">
        <f>IFERROR(IRR(H5:R5),0)</f>
        <v>0.1677796848473494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195554.64200326637</v>
      </c>
      <c r="K5" s="13">
        <f>INDEX(Waterfall!$M$4:$M$14,MATCH(3,Waterfall!$A$4:$A$14,0))</f>
        <v>25250.482003266567</v>
      </c>
      <c r="L5" s="13">
        <f>INDEX(Waterfall!$M$4:$M$14,MATCH(4,Waterfall!$A$4:$A$14,0))</f>
        <v>699137.74328540359</v>
      </c>
      <c r="M5" s="13">
        <f>INDEX(Waterfall!$M$4:$M$14,MATCH(5,Waterfall!$A$4:$A$14,0))</f>
        <v>32096.0356545961</v>
      </c>
      <c r="N5" s="13">
        <f>INDEX(Waterfall!$M$4:$M$14,MATCH(6,Waterfall!$A$4:$A$14,0))</f>
        <v>32096.0356545961</v>
      </c>
      <c r="O5" s="13">
        <f>INDEX(Waterfall!$M$4:$M$14,MATCH(7,Waterfall!$A$4:$A$14,0))</f>
        <v>32096.0356545961</v>
      </c>
      <c r="P5" s="13">
        <f>INDEX(Waterfall!$M$4:$M$14,MATCH(8,Waterfall!$A$4:$A$14,0))</f>
        <v>32096.0356545961</v>
      </c>
      <c r="Q5" s="13">
        <f>INDEX(Waterfall!$M$4:$M$14,MATCH(9,Waterfall!$A$4:$A$14,0))</f>
        <v>32096.0356545961</v>
      </c>
      <c r="R5" s="13">
        <f>INDEX(Waterfall!$M$4:$M$14,MATCH(10,Waterfall!$A$4:$A$14,0))</f>
        <v>32096.0356545961</v>
      </c>
    </row>
    <row r="6" spans="1:20" x14ac:dyDescent="0.25">
      <c r="A6" s="13" t="s">
        <v>93</v>
      </c>
      <c r="B6" s="13">
        <f>SponsorBasis</f>
        <v>150000</v>
      </c>
      <c r="C6" s="13">
        <f>SUM(Waterfall!$P$4:$P$14)</f>
        <v>665737.37840391987</v>
      </c>
      <c r="D6" s="13">
        <f>C6-B6</f>
        <v>515737.37840391987</v>
      </c>
      <c r="E6" s="13">
        <f>IFERROR(C6/B6,0)</f>
        <v>4.4382491893594658</v>
      </c>
      <c r="F6" s="24">
        <f>IFERROR(D6/B6,0)</f>
        <v>3.4382491893594658</v>
      </c>
      <c r="G6" s="24">
        <f>IFERROR(IRR(H6:R6),0)</f>
        <v>0.28611694524562514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322892.5784039197</v>
      </c>
      <c r="M6" s="13">
        <f>INDEX(Waterfall!$P$4:$P$14,MATCH(5,Waterfall!$A$4:$A$14,0))</f>
        <v>32140.800000000003</v>
      </c>
      <c r="N6" s="13">
        <f>INDEX(Waterfall!$P$4:$P$14,MATCH(6,Waterfall!$A$4:$A$14,0))</f>
        <v>32140.800000000003</v>
      </c>
      <c r="O6" s="13">
        <f>INDEX(Waterfall!$P$4:$P$14,MATCH(7,Waterfall!$A$4:$A$14,0))</f>
        <v>32140.800000000003</v>
      </c>
      <c r="P6" s="13">
        <f>INDEX(Waterfall!$P$4:$P$14,MATCH(8,Waterfall!$A$4:$A$14,0))</f>
        <v>32140.800000000003</v>
      </c>
      <c r="Q6" s="13">
        <f>INDEX(Waterfall!$P$4:$P$14,MATCH(9,Waterfall!$A$4:$A$14,0))</f>
        <v>32140.800000000003</v>
      </c>
      <c r="R6" s="13">
        <f>INDEX(Waterfall!$P$4:$P$14,MATCH(10,Waterfall!$A$4:$A$14,0))</f>
        <v>32140.800000000003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2" t="s">
        <v>272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1" t="s">
        <v>107</v>
      </c>
      <c r="C2" s="63"/>
      <c r="D2" s="63"/>
    </row>
    <row r="3" spans="1:10" x14ac:dyDescent="0.25">
      <c r="A3" s="13" t="s">
        <v>108</v>
      </c>
      <c r="B3" s="71" t="s">
        <v>109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110</v>
      </c>
      <c r="C6" s="31" t="s">
        <v>111</v>
      </c>
      <c r="D6" s="5"/>
      <c r="E6" s="5"/>
      <c r="F6" s="5"/>
    </row>
    <row r="7" spans="1:10" ht="15.75" thickBot="1" x14ac:dyDescent="0.3">
      <c r="A7" s="12" t="s">
        <v>112</v>
      </c>
      <c r="B7" s="36" t="s">
        <v>286</v>
      </c>
      <c r="C7" s="36" t="s">
        <v>124</v>
      </c>
      <c r="E7" s="31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2">
        <f>B27</f>
        <v>897500</v>
      </c>
      <c r="C8" s="33">
        <f>C27</f>
        <v>1635000</v>
      </c>
      <c r="E8" s="31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283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287</v>
      </c>
      <c r="B20" s="13">
        <v>40000</v>
      </c>
      <c r="C20" s="13">
        <v>100000</v>
      </c>
    </row>
    <row r="21" spans="1:3" x14ac:dyDescent="0.25">
      <c r="A21" s="6" t="s">
        <v>288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7">
        <v>60000</v>
      </c>
      <c r="C26" s="37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3" t="s">
        <v>163</v>
      </c>
      <c r="C62" s="63"/>
      <c r="D62" s="63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3" t="s">
        <v>167</v>
      </c>
      <c r="D66" s="63"/>
      <c r="E66" s="63"/>
      <c r="F66" s="63"/>
      <c r="G66" s="63"/>
    </row>
    <row r="67" spans="1:7" x14ac:dyDescent="0.25">
      <c r="A67" s="6" t="s">
        <v>168</v>
      </c>
      <c r="B67" s="6" t="s">
        <v>166</v>
      </c>
      <c r="C67" s="63" t="s">
        <v>167</v>
      </c>
      <c r="D67" s="63"/>
      <c r="E67" s="63"/>
      <c r="F67" s="63"/>
      <c r="G67" s="63"/>
    </row>
    <row r="68" spans="1:7" x14ac:dyDescent="0.25">
      <c r="A68" s="6" t="s">
        <v>169</v>
      </c>
      <c r="B68" s="6" t="s">
        <v>166</v>
      </c>
      <c r="C68" s="63" t="s">
        <v>167</v>
      </c>
      <c r="D68" s="63"/>
      <c r="E68" s="63"/>
      <c r="F68" s="63"/>
      <c r="G68" s="63"/>
    </row>
    <row r="69" spans="1:7" x14ac:dyDescent="0.25">
      <c r="A69" s="6" t="s">
        <v>170</v>
      </c>
      <c r="B69" s="6" t="s">
        <v>166</v>
      </c>
      <c r="C69" s="63" t="s">
        <v>167</v>
      </c>
      <c r="D69" s="63"/>
      <c r="E69" s="63"/>
      <c r="F69" s="63"/>
      <c r="G69" s="63"/>
    </row>
    <row r="70" spans="1:7" x14ac:dyDescent="0.25">
      <c r="A70" s="6" t="s">
        <v>171</v>
      </c>
      <c r="B70" s="6" t="s">
        <v>172</v>
      </c>
      <c r="C70" s="63" t="s">
        <v>173</v>
      </c>
      <c r="D70" s="63"/>
      <c r="E70" s="63"/>
      <c r="F70" s="63"/>
      <c r="G70" s="63"/>
    </row>
    <row r="71" spans="1:7" x14ac:dyDescent="0.25">
      <c r="A71" s="6" t="s">
        <v>174</v>
      </c>
      <c r="B71" s="6" t="s">
        <v>166</v>
      </c>
      <c r="C71" s="63" t="s">
        <v>175</v>
      </c>
      <c r="D71" s="63"/>
      <c r="E71" s="63"/>
      <c r="F71" s="63"/>
      <c r="G71" s="63"/>
    </row>
    <row r="72" spans="1:7" x14ac:dyDescent="0.25">
      <c r="A72" s="6" t="s">
        <v>176</v>
      </c>
      <c r="B72" s="6" t="s">
        <v>166</v>
      </c>
      <c r="C72" s="63" t="s">
        <v>177</v>
      </c>
      <c r="D72" s="63"/>
      <c r="E72" s="63"/>
      <c r="F72" s="63"/>
      <c r="G72" s="63"/>
    </row>
    <row r="73" spans="1:7" x14ac:dyDescent="0.25">
      <c r="A73" s="6" t="s">
        <v>178</v>
      </c>
      <c r="B73" s="6" t="s">
        <v>166</v>
      </c>
      <c r="C73" s="63" t="s">
        <v>179</v>
      </c>
      <c r="D73" s="63"/>
      <c r="E73" s="63"/>
      <c r="F73" s="63"/>
      <c r="G73" s="63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3" t="s">
        <v>182</v>
      </c>
      <c r="D76" s="63"/>
      <c r="E76" s="63"/>
      <c r="F76" s="63"/>
      <c r="G76" s="63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3" t="s">
        <v>188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1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289</v>
      </c>
      <c r="B14" s="9">
        <v>4350</v>
      </c>
      <c r="C14" t="s">
        <v>290</v>
      </c>
    </row>
    <row r="15" spans="1:9" x14ac:dyDescent="0.25">
      <c r="A15" t="s">
        <v>206</v>
      </c>
      <c r="B15" s="9">
        <f>D15*B10</f>
        <v>7053.12</v>
      </c>
      <c r="C15" t="s">
        <v>309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7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73</vt:i4>
      </vt:variant>
    </vt:vector>
  </HeadingPairs>
  <TitlesOfParts>
    <vt:vector size="80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2026-05-16T01:58:27Z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