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2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DB9E9E15-40B2-4DC5-B303-AEAB17D0456C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1" i="3" s="1"/>
  <c r="M4" i="3"/>
  <c r="I4" i="3"/>
  <c r="E4" i="3"/>
  <c r="F5" i="3"/>
  <c r="C5" i="3" s="1"/>
  <c r="D14" i="2"/>
  <c r="N22" i="3" s="1"/>
  <c r="G10" i="6"/>
  <c r="B29" i="6" s="1"/>
  <c r="C5" i="2" l="1"/>
  <c r="D5" i="2" s="1"/>
  <c r="E22" i="3" s="1"/>
  <c r="L29" i="8"/>
  <c r="C9" i="2" s="1"/>
  <c r="D9" i="2" s="1"/>
  <c r="I22" i="3" s="1"/>
  <c r="L27" i="8"/>
  <c r="C7" i="2" s="1"/>
  <c r="D7" i="2" s="1"/>
  <c r="G22" i="3" s="1"/>
  <c r="L28" i="8"/>
  <c r="C8" i="2" s="1"/>
  <c r="D8" i="2" s="1"/>
  <c r="H22" i="3" s="1"/>
  <c r="M4" i="2"/>
  <c r="B10" i="7"/>
  <c r="B15" i="7" s="1"/>
  <c r="B41" i="1"/>
  <c r="J4" i="3" s="1"/>
  <c r="J5" i="3" s="1"/>
  <c r="B15" i="6"/>
  <c r="B14" i="6"/>
  <c r="O25" i="8" l="1"/>
  <c r="O22" i="3"/>
  <c r="P22" i="3" s="1"/>
  <c r="B20" i="3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<sst xmlns="http://schemas.openxmlformats.org/spreadsheetml/2006/main" count="441" uniqueCount="378">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</sst>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2" fillId="9" borderId="2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10" fillId="0" borderId="0" xfId="0" applyFont="1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152400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152400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28575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28575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28575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28575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table" Target="../tables/table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abSelected="1" topLeftCell="A3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0" t="s">
        <v>329</v>
      </c>
      <c r="B1" s="77"/>
      <c r="C1" s="77"/>
      <c r="D1" s="77"/>
    </row>
    <row r="2" spans="1:10" ht="15.75" thickBot="1" x14ac:dyDescent="0.3">
      <c r="B2" s="77" t="s">
        <v>333</v>
      </c>
      <c r="C2" s="77"/>
      <c r="D2" s="77"/>
    </row>
    <row r="3" spans="1:10" ht="15.75" thickBot="1" x14ac:dyDescent="0.3">
      <c r="A3" s="5" t="s">
        <v>330</v>
      </c>
      <c r="H3" s="72" t="s">
        <v>372</v>
      </c>
    </row>
    <row r="4" spans="1:10" ht="15.75" thickBot="1" x14ac:dyDescent="0.3">
      <c r="A4" t="s">
        <v>331</v>
      </c>
      <c r="D4" s="93" t="str">
        <f>IF(OR($H$4&lt;1,$H$4&gt;3),"",INDEX($B$7:$B$9,$H$4))</f>
        <v>Base Co-Living / Medium-Term</v>
      </c>
      <c r="E4" s="94"/>
      <c r="F4" s="95"/>
      <c r="H4" s="75">
        <v>1</v>
      </c>
    </row>
    <row r="5" spans="1:10" ht="15.75" thickBot="1" x14ac:dyDescent="0.3"/>
    <row r="6" spans="1:10" ht="15.75" thickBot="1" x14ac:dyDescent="0.3">
      <c r="A6" s="12" t="s">
        <v>373</v>
      </c>
      <c r="B6" s="81" t="s">
        <v>374</v>
      </c>
      <c r="C6" s="82"/>
      <c r="D6" s="83"/>
      <c r="E6" s="81" t="s">
        <v>375</v>
      </c>
      <c r="F6" s="82"/>
      <c r="G6" s="82"/>
      <c r="H6" s="82"/>
      <c r="I6" s="82"/>
      <c r="J6" s="83"/>
    </row>
    <row r="7" spans="1:10" ht="15.75" thickBot="1" x14ac:dyDescent="0.3">
      <c r="B7" s="84" t="s">
        <v>332</v>
      </c>
      <c r="C7" s="85"/>
      <c r="D7" s="86"/>
      <c r="E7" s="84" t="s">
        <v>336</v>
      </c>
      <c r="F7" s="85"/>
      <c r="G7" s="85"/>
      <c r="H7" s="85"/>
      <c r="I7" s="85"/>
      <c r="J7" s="86"/>
    </row>
    <row r="8" spans="1:10" ht="15.75" thickBot="1" x14ac:dyDescent="0.3">
      <c r="B8" s="87" t="s">
        <v>334</v>
      </c>
      <c r="C8" s="88"/>
      <c r="D8" s="89"/>
      <c r="E8" s="87" t="s">
        <v>376</v>
      </c>
      <c r="F8" s="88"/>
      <c r="G8" s="88"/>
      <c r="H8" s="88"/>
      <c r="I8" s="88"/>
      <c r="J8" s="89"/>
    </row>
    <row r="9" spans="1:10" ht="15.75" thickBot="1" x14ac:dyDescent="0.3">
      <c r="B9" s="90" t="s">
        <v>335</v>
      </c>
      <c r="C9" s="91"/>
      <c r="D9" s="92"/>
      <c r="E9" s="90" t="s">
        <v>377</v>
      </c>
      <c r="F9" s="91"/>
      <c r="G9" s="91"/>
      <c r="H9" s="91"/>
      <c r="I9" s="91"/>
      <c r="J9" s="92"/>
    </row>
    <row r="12" spans="1:10" x14ac:dyDescent="0.25">
      <c r="A12" s="76" t="s">
        <v>337</v>
      </c>
      <c r="B12" s="76"/>
      <c r="C12" s="76"/>
    </row>
    <row r="13" spans="1:10" ht="30" x14ac:dyDescent="0.25">
      <c r="A13" s="67" t="s">
        <v>338</v>
      </c>
      <c r="B13" s="67"/>
      <c r="C13" s="67"/>
      <c r="D13" s="67" t="s">
        <v>339</v>
      </c>
      <c r="E13" s="67" t="s">
        <v>340</v>
      </c>
      <c r="F13" s="67" t="s">
        <v>341</v>
      </c>
      <c r="G13" s="67" t="s">
        <v>292</v>
      </c>
    </row>
    <row r="14" spans="1:10" x14ac:dyDescent="0.25">
      <c r="A14" s="78" t="s">
        <v>342</v>
      </c>
      <c r="B14" s="78"/>
      <c r="C14" s="78"/>
      <c r="D14" s="68">
        <v>2500</v>
      </c>
      <c r="E14" s="68">
        <v>3250</v>
      </c>
      <c r="F14" s="68">
        <v>4000</v>
      </c>
      <c r="G14" s="74" t="s">
        <v>343</v>
      </c>
      <c r="H14" s="74"/>
      <c r="I14" s="74"/>
      <c r="J14" s="74"/>
    </row>
    <row r="15" spans="1:10" x14ac:dyDescent="0.25">
      <c r="A15" s="78" t="s">
        <v>344</v>
      </c>
      <c r="B15" s="78"/>
      <c r="C15" s="78"/>
      <c r="D15" s="69">
        <v>0.4</v>
      </c>
      <c r="E15" s="69">
        <v>0.5</v>
      </c>
      <c r="F15" s="69">
        <v>0.6</v>
      </c>
      <c r="G15" s="74" t="s">
        <v>345</v>
      </c>
      <c r="H15" s="74"/>
      <c r="I15" s="74"/>
      <c r="J15" s="74"/>
    </row>
    <row r="16" spans="1:10" x14ac:dyDescent="0.25">
      <c r="A16" s="79" t="s">
        <v>346</v>
      </c>
      <c r="B16" s="79"/>
      <c r="C16" s="79"/>
      <c r="D16" s="70">
        <v>4500</v>
      </c>
      <c r="E16" s="70">
        <v>6000</v>
      </c>
      <c r="F16" s="70">
        <v>7500</v>
      </c>
      <c r="G16" s="73" t="s">
        <v>347</v>
      </c>
      <c r="H16" s="73"/>
      <c r="I16" s="73"/>
      <c r="J16" s="73"/>
    </row>
    <row r="17" spans="1:15" x14ac:dyDescent="0.25">
      <c r="A17" s="79" t="s">
        <v>348</v>
      </c>
      <c r="B17" s="79"/>
      <c r="C17" s="79"/>
      <c r="D17" s="71">
        <v>0.35</v>
      </c>
      <c r="E17" s="71">
        <v>0.45</v>
      </c>
      <c r="F17" s="71">
        <v>0.55000000000000004</v>
      </c>
      <c r="G17" s="73" t="s">
        <v>345</v>
      </c>
      <c r="H17" s="73"/>
      <c r="I17" s="73"/>
      <c r="J17" s="73"/>
    </row>
    <row r="18" spans="1:15" x14ac:dyDescent="0.25">
      <c r="A18" s="77" t="s">
        <v>349</v>
      </c>
      <c r="B18" s="77"/>
      <c r="C18" s="77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77" t="s">
        <v>351</v>
      </c>
      <c r="B19" s="77"/>
      <c r="C19" s="77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76" t="s">
        <v>353</v>
      </c>
      <c r="B23" s="76"/>
      <c r="C23" s="76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8">
        <f>IF(STRScenarioTable[[#This Row],[Year]]&gt;=3,$F$14,IF(STRScenarioTable[[#This Row],[Year]]&gt;=2,$E$14,$D$14))</f>
        <v>2500</v>
      </c>
      <c r="F25" s="69">
        <f>IF(STRScenarioTable[[#This Row],[Year]]&gt;=3,$F$15,IF(STRScenarioTable[[#This Row],[Year]]&gt;=2,$E$15,$D$15))</f>
        <v>0.4</v>
      </c>
      <c r="G25" s="68">
        <f>STRScenarioTable[[#This Row],[Base Annual Gross Rent]]/2</f>
        <v>52800</v>
      </c>
      <c r="H25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70">
        <f>IF(STRScenarioTable[[#This Row],[Year]]&gt;=3,$F$16,IF(STRScenarioTable[[#This Row],[Year]]&gt;=2,$E$16,$D$16))</f>
        <v>4500</v>
      </c>
      <c r="J25" s="71">
        <f>IF(STRScenarioTable[[#This Row],[Year]]&gt;=3,$F$17,IF(STRScenarioTable[[#This Row],[Year]]&gt;=2,$E$17,$D$17))</f>
        <v>0.35</v>
      </c>
      <c r="K25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105600</v>
      </c>
      <c r="O25" s="2">
        <f>SUM(SelectedAnnualGrossRent)</f>
        <v>1387200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8">
        <f>IF(STRScenarioTable[[#This Row],[Year]]&gt;=3,$F$14,IF(STRScenarioTable[[#This Row],[Year]]&gt;=2,$E$14,$D$14))</f>
        <v>3250</v>
      </c>
      <c r="F26" s="69">
        <f>IF(STRScenarioTable[[#This Row],[Year]]&gt;=3,$F$15,IF(STRScenarioTable[[#This Row],[Year]]&gt;=2,$E$15,$D$15))</f>
        <v>0.5</v>
      </c>
      <c r="G26" s="68">
        <f>STRScenarioTable[[#This Row],[Base Annual Gross Rent]]/2</f>
        <v>64800</v>
      </c>
      <c r="H26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70">
        <f>IF(STRScenarioTable[[#This Row],[Year]]&gt;=3,$F$16,IF(STRScenarioTable[[#This Row],[Year]]&gt;=2,$E$16,$D$16))</f>
        <v>6000</v>
      </c>
      <c r="J26" s="71">
        <f>IF(STRScenarioTable[[#This Row],[Year]]&gt;=3,$F$17,IF(STRScenarioTable[[#This Row],[Year]]&gt;=2,$E$17,$D$17))</f>
        <v>0.45</v>
      </c>
      <c r="K26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129600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8">
        <f>IF(STRScenarioTable[[#This Row],[Year]]&gt;=3,$F$14,IF(STRScenarioTable[[#This Row],[Year]]&gt;=2,$E$14,$D$14))</f>
        <v>4000</v>
      </c>
      <c r="F27" s="69">
        <f>IF(STRScenarioTable[[#This Row],[Year]]&gt;=3,$F$15,IF(STRScenarioTable[[#This Row],[Year]]&gt;=2,$E$15,$D$15))</f>
        <v>0.6</v>
      </c>
      <c r="G27" s="68">
        <f>STRScenarioTable[[#This Row],[Base Annual Gross Rent]]/2</f>
        <v>72000</v>
      </c>
      <c r="H27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70">
        <f>IF(STRScenarioTable[[#This Row],[Year]]&gt;=3,$F$16,IF(STRScenarioTable[[#This Row],[Year]]&gt;=2,$E$16,$D$16))</f>
        <v>7500</v>
      </c>
      <c r="J27" s="71">
        <f>IF(STRScenarioTable[[#This Row],[Year]]&gt;=3,$F$17,IF(STRScenarioTable[[#This Row],[Year]]&gt;=2,$E$17,$D$17))</f>
        <v>0.55000000000000004</v>
      </c>
      <c r="K27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8">
        <f>IF(STRScenarioTable[[#This Row],[Year]]&gt;=3,$F$14,IF(STRScenarioTable[[#This Row],[Year]]&gt;=2,$E$14,$D$14))</f>
        <v>4000</v>
      </c>
      <c r="F28" s="69">
        <f>IF(STRScenarioTable[[#This Row],[Year]]&gt;=3,$F$15,IF(STRScenarioTable[[#This Row],[Year]]&gt;=2,$E$15,$D$15))</f>
        <v>0.6</v>
      </c>
      <c r="G28" s="68">
        <f>STRScenarioTable[[#This Row],[Base Annual Gross Rent]]/2</f>
        <v>72000</v>
      </c>
      <c r="H28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70">
        <f>IF(STRScenarioTable[[#This Row],[Year]]&gt;=3,$F$16,IF(STRScenarioTable[[#This Row],[Year]]&gt;=2,$E$16,$D$16))</f>
        <v>7500</v>
      </c>
      <c r="J28" s="71">
        <f>IF(STRScenarioTable[[#This Row],[Year]]&gt;=3,$F$17,IF(STRScenarioTable[[#This Row],[Year]]&gt;=2,$E$17,$D$17))</f>
        <v>0.55000000000000004</v>
      </c>
      <c r="K28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8">
        <f>IF(STRScenarioTable[[#This Row],[Year]]&gt;=3,$F$14,IF(STRScenarioTable[[#This Row],[Year]]&gt;=2,$E$14,$D$14))</f>
        <v>4000</v>
      </c>
      <c r="F29" s="69">
        <f>IF(STRScenarioTable[[#This Row],[Year]]&gt;=3,$F$15,IF(STRScenarioTable[[#This Row],[Year]]&gt;=2,$E$15,$D$15))</f>
        <v>0.6</v>
      </c>
      <c r="G29" s="68">
        <f>STRScenarioTable[[#This Row],[Base Annual Gross Rent]]/2</f>
        <v>72000</v>
      </c>
      <c r="H29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70">
        <f>IF(STRScenarioTable[[#This Row],[Year]]&gt;=3,$F$16,IF(STRScenarioTable[[#This Row],[Year]]&gt;=2,$E$16,$D$16))</f>
        <v>7500</v>
      </c>
      <c r="J29" s="71">
        <f>IF(STRScenarioTable[[#This Row],[Year]]&gt;=3,$F$17,IF(STRScenarioTable[[#This Row],[Year]]&gt;=2,$E$17,$D$17))</f>
        <v>0.55000000000000004</v>
      </c>
      <c r="K29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8">
        <f>IF(STRScenarioTable[[#This Row],[Year]]&gt;=3,$F$14,IF(STRScenarioTable[[#This Row],[Year]]&gt;=2,$E$14,$D$14))</f>
        <v>4000</v>
      </c>
      <c r="F30" s="69">
        <f>IF(STRScenarioTable[[#This Row],[Year]]&gt;=3,$F$15,IF(STRScenarioTable[[#This Row],[Year]]&gt;=2,$E$15,$D$15))</f>
        <v>0.6</v>
      </c>
      <c r="G30" s="68">
        <f>STRScenarioTable[[#This Row],[Base Annual Gross Rent]]/2</f>
        <v>72000</v>
      </c>
      <c r="H30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70">
        <f>IF(STRScenarioTable[[#This Row],[Year]]&gt;=3,$F$16,IF(STRScenarioTable[[#This Row],[Year]]&gt;=2,$E$16,$D$16))</f>
        <v>7500</v>
      </c>
      <c r="J30" s="71">
        <f>IF(STRScenarioTable[[#This Row],[Year]]&gt;=3,$F$17,IF(STRScenarioTable[[#This Row],[Year]]&gt;=2,$E$17,$D$17))</f>
        <v>0.55000000000000004</v>
      </c>
      <c r="K30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8">
        <f>IF(STRScenarioTable[[#This Row],[Year]]&gt;=3,$F$14,IF(STRScenarioTable[[#This Row],[Year]]&gt;=2,$E$14,$D$14))</f>
        <v>4000</v>
      </c>
      <c r="F31" s="69">
        <f>IF(STRScenarioTable[[#This Row],[Year]]&gt;=3,$F$15,IF(STRScenarioTable[[#This Row],[Year]]&gt;=2,$E$15,$D$15))</f>
        <v>0.6</v>
      </c>
      <c r="G31" s="68">
        <f>STRScenarioTable[[#This Row],[Base Annual Gross Rent]]/2</f>
        <v>72000</v>
      </c>
      <c r="H31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70">
        <f>IF(STRScenarioTable[[#This Row],[Year]]&gt;=3,$F$16,IF(STRScenarioTable[[#This Row],[Year]]&gt;=2,$E$16,$D$16))</f>
        <v>7500</v>
      </c>
      <c r="J31" s="71">
        <f>IF(STRScenarioTable[[#This Row],[Year]]&gt;=3,$F$17,IF(STRScenarioTable[[#This Row],[Year]]&gt;=2,$E$17,$D$17))</f>
        <v>0.55000000000000004</v>
      </c>
      <c r="K31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8">
        <f>IF(STRScenarioTable[[#This Row],[Year]]&gt;=3,$F$14,IF(STRScenarioTable[[#This Row],[Year]]&gt;=2,$E$14,$D$14))</f>
        <v>4000</v>
      </c>
      <c r="F32" s="69">
        <f>IF(STRScenarioTable[[#This Row],[Year]]&gt;=3,$F$15,IF(STRScenarioTable[[#This Row],[Year]]&gt;=2,$E$15,$D$15))</f>
        <v>0.6</v>
      </c>
      <c r="G32" s="68">
        <f>STRScenarioTable[[#This Row],[Base Annual Gross Rent]]/2</f>
        <v>72000</v>
      </c>
      <c r="H32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70">
        <f>IF(STRScenarioTable[[#This Row],[Year]]&gt;=3,$F$16,IF(STRScenarioTable[[#This Row],[Year]]&gt;=2,$E$16,$D$16))</f>
        <v>7500</v>
      </c>
      <c r="J32" s="71">
        <f>IF(STRScenarioTable[[#This Row],[Year]]&gt;=3,$F$17,IF(STRScenarioTable[[#This Row],[Year]]&gt;=2,$E$17,$D$17))</f>
        <v>0.55000000000000004</v>
      </c>
      <c r="K32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8">
        <f>IF(STRScenarioTable[[#This Row],[Year]]&gt;=3,$F$14,IF(STRScenarioTable[[#This Row],[Year]]&gt;=2,$E$14,$D$14))</f>
        <v>4000</v>
      </c>
      <c r="F33" s="69">
        <f>IF(STRScenarioTable[[#This Row],[Year]]&gt;=3,$F$15,IF(STRScenarioTable[[#This Row],[Year]]&gt;=2,$E$15,$D$15))</f>
        <v>0.6</v>
      </c>
      <c r="G33" s="68">
        <f>STRScenarioTable[[#This Row],[Base Annual Gross Rent]]/2</f>
        <v>72000</v>
      </c>
      <c r="H33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70">
        <f>IF(STRScenarioTable[[#This Row],[Year]]&gt;=3,$F$16,IF(STRScenarioTable[[#This Row],[Year]]&gt;=2,$E$16,$D$16))</f>
        <v>7500</v>
      </c>
      <c r="J33" s="71">
        <f>IF(STRScenarioTable[[#This Row],[Year]]&gt;=3,$F$17,IF(STRScenarioTable[[#This Row],[Year]]&gt;=2,$E$17,$D$17))</f>
        <v>0.55000000000000004</v>
      </c>
      <c r="K33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8">
        <f>IF(STRScenarioTable[[#This Row],[Year]]&gt;=3,$F$14,IF(STRScenarioTable[[#This Row],[Year]]&gt;=2,$E$14,$D$14))</f>
        <v>4000</v>
      </c>
      <c r="F34" s="69">
        <f>IF(STRScenarioTable[[#This Row],[Year]]&gt;=3,$F$15,IF(STRScenarioTable[[#This Row],[Year]]&gt;=2,$E$15,$D$15))</f>
        <v>0.6</v>
      </c>
      <c r="G34" s="68">
        <f>STRScenarioTable[[#This Row],[Base Annual Gross Rent]]/2</f>
        <v>72000</v>
      </c>
      <c r="H34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70">
        <f>IF(STRScenarioTable[[#This Row],[Year]]&gt;=3,$F$16,IF(STRScenarioTable[[#This Row],[Year]]&gt;=2,$E$16,$D$16))</f>
        <v>7500</v>
      </c>
      <c r="J34" s="71">
        <f>IF(STRScenarioTable[[#This Row],[Year]]&gt;=3,$F$17,IF(STRScenarioTable[[#This Row],[Year]]&gt;=2,$E$17,$D$17))</f>
        <v>0.55000000000000004</v>
      </c>
      <c r="K34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144000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Base Co-Living / Medium-Term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98" t="s">
        <v>281</v>
      </c>
      <c r="E7" s="98"/>
      <c r="F7" s="98"/>
      <c r="G7" s="98"/>
      <c r="H7" s="98"/>
      <c r="I7" s="98"/>
      <c r="J7" s="98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96" t="s">
        <v>53</v>
      </c>
      <c r="C48" s="97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99" t="s">
        <v>54</v>
      </c>
      <c r="B1" s="77"/>
      <c r="C1" s="7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99" t="s">
        <v>68</v>
      </c>
      <c r="B1" s="77"/>
      <c r="C1" s="77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103" t="s">
        <v>267</v>
      </c>
      <c r="D2" s="101"/>
      <c r="E2" s="101"/>
      <c r="F2" s="101"/>
      <c r="G2" s="101"/>
      <c r="H2" s="101"/>
      <c r="I2" s="101"/>
      <c r="J2" s="100" t="s">
        <v>89</v>
      </c>
      <c r="K2" s="101"/>
      <c r="L2" s="101"/>
      <c r="M2" s="101"/>
      <c r="N2" s="102" t="s">
        <v>90</v>
      </c>
      <c r="O2" s="101"/>
      <c r="P2" s="101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244608.47211469535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244608.47211469535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309220.94523555308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309220.94523555308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238279.05476444692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91151.221138351262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128648.26456596435</v>
      </c>
      <c r="I9" s="13">
        <f>IF(WaterfallTable[[#This Row],[Year]]&gt;SaleExitYear,0,WaterfallTable[[#This Row],[Pref Paid]]+WaterfallTable[[#This Row],[Capital Returned A]]+WaterfallTable[[#This Row],[Residual A]])</f>
        <v>219799.48570431559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222726.07741419857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222726.07741419857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234783.08283288492</v>
      </c>
      <c r="M9" s="13">
        <f>IF(WaterfallTable[[#This Row],[Year]]&gt;SaleExitYear,0,WaterfallTable[[#This Row],[Capital Returned B]]+WaterfallTable[[#This Row],[ Residual   B]])</f>
        <v>457509.16024708352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363431.34739884926</v>
      </c>
      <c r="P9" s="13">
        <f>IF(WaterfallTable[[#This Row],[Year]]&gt;SaleExitYear,0,WaterfallTable[[#This Row],[Property Payment]]+WaterfallTable[[#This Row],[Residual]])</f>
        <v>363431.34739884926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244608.47211469535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219799.48570431559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219799.48570431559</v>
      </c>
      <c r="P19" s="41">
        <f>ReturnsTable[[#This Row],[Total Profit]]+ReturnsTable[[#This Row],[Capital Investment]]</f>
        <v>519799.48570431559</v>
      </c>
      <c r="Q19" s="42">
        <f>IFERROR(ReturnsTable[[#This Row],[Total Dist]]/ReturnsTable[[#This Row],[Capital Investment]],0)</f>
        <v>1.7326649523477187</v>
      </c>
      <c r="R19" s="53">
        <f>IFERROR(ReturnsTable[[#This Row],[Total Profit]]/ReturnsTable[[#This Row],[Capital Investment]],0)</f>
        <v>0.73266495234771867</v>
      </c>
      <c r="S19" s="60">
        <f>IFERROR(IRR(ReturnsTable[[#This Row],[Initial Capitalization]:[Year 10]]),0)</f>
        <v>0.1634264838474333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309220.94523555308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457509.16024708352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234783.08283288495</v>
      </c>
      <c r="P20" s="43">
        <f>ReturnsTable[[#This Row],[Total Profit]]+ReturnsTable[[#This Row],[Capital Investment]]</f>
        <v>782283.08283288497</v>
      </c>
      <c r="Q20" s="44">
        <f>IFERROR(ReturnsTable[[#This Row],[Total Dist]]/ReturnsTable[[#This Row],[Capital Investment]],0)</f>
        <v>1.4288275485532145</v>
      </c>
      <c r="R20" s="54">
        <f>IFERROR(ReturnsTable[[#This Row],[Total Profit]]/ReturnsTable[[#This Row],[Capital Investment]],0)</f>
        <v>0.42882754855321453</v>
      </c>
      <c r="S20" s="60">
        <f>IFERROR(IRR(ReturnsTable[[#This Row],[Initial Capitalization]:[Year 10]]),0)</f>
        <v>8.9826902125470953E-2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363431.34739884926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327148.34739884926</v>
      </c>
      <c r="P21" s="45">
        <f>ReturnsTable[[#This Row],[Total Profit]]+ReturnsTable[[#This Row],[Capital Investment]]</f>
        <v>463431.34739884926</v>
      </c>
      <c r="Q21" s="46">
        <f>IFERROR(ReturnsTable[[#This Row],[Total Dist]]/ReturnsTable[[#This Row],[Capital Investment]],0)</f>
        <v>3.4005073809561668</v>
      </c>
      <c r="R21" s="55">
        <f>IFERROR(ReturnsTable[[#This Row],[Total Profit]]/ReturnsTable[[#This Row],[Capital Investment]],0)</f>
        <v>2.4005073809561668</v>
      </c>
      <c r="S21" s="60">
        <f>IFERROR(IRR(ReturnsTable[[#This Row],[Initial Capitalization]:[Year 10]]),0)</f>
        <v>0.58541819876459078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99" t="s">
        <v>270</v>
      </c>
      <c r="B1" s="97"/>
      <c r="C1" s="97"/>
      <c r="D1" s="9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519799.48570431559</v>
      </c>
      <c r="D4" s="13">
        <f>C4-B4</f>
        <v>219799.48570431559</v>
      </c>
      <c r="E4" s="13">
        <f>IFERROR(C4/B4,0)</f>
        <v>1.7326649523477187</v>
      </c>
      <c r="F4" s="24">
        <f>IFERROR(D4/B4,0)</f>
        <v>0.73266495234771867</v>
      </c>
      <c r="G4" s="24">
        <f>IRR(H4:R4)</f>
        <v>0.1634264838474333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244608.47211469535</v>
      </c>
      <c r="L4" s="13">
        <f>INDEX(Waterfall!$I$4:$I$14,MATCH(4,Waterfall!$A$4:$A$14,0))</f>
        <v>0</v>
      </c>
      <c r="M4" s="13">
        <f>INDEX(Waterfall!$I$4:$I$14,MATCH(5,Waterfall!$A$4:$A$14,0))</f>
        <v>219799.48570431559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782283.08283288497</v>
      </c>
      <c r="D5" s="13">
        <f>C5-B5</f>
        <v>234783.08283288497</v>
      </c>
      <c r="E5" s="13">
        <f>IFERROR(C5/B5,0)</f>
        <v>1.4288275485532145</v>
      </c>
      <c r="F5" s="24">
        <f>IFERROR(D5/B5,0)</f>
        <v>0.42882754855321459</v>
      </c>
      <c r="G5" s="24">
        <f>IFERROR(IRR(H5:R5),0)</f>
        <v>8.9826902125470953E-2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309220.94523555308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457509.16024708352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463431.34739884926</v>
      </c>
      <c r="D6" s="13">
        <f>C6-B6</f>
        <v>363431.34739884926</v>
      </c>
      <c r="E6" s="13">
        <f>IFERROR(C6/B6,0)</f>
        <v>4.6343134739884926</v>
      </c>
      <c r="F6" s="24">
        <f>IFERROR(D6/B6,0)</f>
        <v>3.6343134739884926</v>
      </c>
      <c r="G6" s="24">
        <f>IFERROR(IRR(H6:R6),0)</f>
        <v>0.2944476065930457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363431.34739884926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96" t="s">
        <v>266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4" t="s">
        <v>104</v>
      </c>
      <c r="C2" s="97"/>
      <c r="D2" s="97"/>
    </row>
    <row r="3" spans="1:10" x14ac:dyDescent="0.25">
      <c r="A3" s="13" t="s">
        <v>105</v>
      </c>
      <c r="B3" s="104" t="s">
        <v>106</v>
      </c>
      <c r="C3" s="97"/>
      <c r="D3" s="97"/>
      <c r="E3" s="97"/>
      <c r="F3" s="97"/>
      <c r="G3" s="97"/>
      <c r="H3" s="97"/>
      <c r="I3" s="97"/>
    </row>
    <row r="4" spans="1:10" x14ac:dyDescent="0.25">
      <c r="A4" s="13"/>
      <c r="B4" s="13"/>
      <c r="C4" s="104"/>
      <c r="D4" s="77"/>
      <c r="E4" s="77"/>
      <c r="F4" s="77"/>
      <c r="H4" s="13"/>
    </row>
    <row r="5" spans="1:10" ht="15.75" thickBot="1" x14ac:dyDescent="0.3">
      <c r="A5" s="13"/>
      <c r="B5" s="13"/>
      <c r="C5" s="104"/>
      <c r="D5" s="77"/>
      <c r="E5" s="77"/>
      <c r="F5" s="77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97" t="s">
        <v>160</v>
      </c>
      <c r="C62" s="97"/>
      <c r="D62" s="97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97" t="s">
        <v>164</v>
      </c>
      <c r="D66" s="97"/>
      <c r="E66" s="97"/>
      <c r="F66" s="97"/>
      <c r="G66" s="97"/>
    </row>
    <row r="67" spans="1:7" x14ac:dyDescent="0.25">
      <c r="A67" s="6" t="s">
        <v>165</v>
      </c>
      <c r="B67" s="6" t="s">
        <v>163</v>
      </c>
      <c r="C67" s="97" t="s">
        <v>164</v>
      </c>
      <c r="D67" s="97"/>
      <c r="E67" s="97"/>
      <c r="F67" s="97"/>
      <c r="G67" s="97"/>
    </row>
    <row r="68" spans="1:7" x14ac:dyDescent="0.25">
      <c r="A68" s="6" t="s">
        <v>166</v>
      </c>
      <c r="B68" s="6" t="s">
        <v>163</v>
      </c>
      <c r="C68" s="97" t="s">
        <v>164</v>
      </c>
      <c r="D68" s="97"/>
      <c r="E68" s="97"/>
      <c r="F68" s="97"/>
      <c r="G68" s="97"/>
    </row>
    <row r="69" spans="1:7" x14ac:dyDescent="0.25">
      <c r="A69" s="6" t="s">
        <v>167</v>
      </c>
      <c r="B69" s="6" t="s">
        <v>163</v>
      </c>
      <c r="C69" s="97" t="s">
        <v>164</v>
      </c>
      <c r="D69" s="97"/>
      <c r="E69" s="97"/>
      <c r="F69" s="97"/>
      <c r="G69" s="97"/>
    </row>
    <row r="70" spans="1:7" x14ac:dyDescent="0.25">
      <c r="A70" s="6" t="s">
        <v>168</v>
      </c>
      <c r="B70" s="6" t="s">
        <v>169</v>
      </c>
      <c r="C70" s="97" t="s">
        <v>170</v>
      </c>
      <c r="D70" s="97"/>
      <c r="E70" s="97"/>
      <c r="F70" s="97"/>
      <c r="G70" s="97"/>
    </row>
    <row r="71" spans="1:7" x14ac:dyDescent="0.25">
      <c r="A71" s="6" t="s">
        <v>171</v>
      </c>
      <c r="B71" s="6" t="s">
        <v>163</v>
      </c>
      <c r="C71" s="97" t="s">
        <v>172</v>
      </c>
      <c r="D71" s="97"/>
      <c r="E71" s="97"/>
      <c r="F71" s="97"/>
      <c r="G71" s="97"/>
    </row>
    <row r="72" spans="1:7" x14ac:dyDescent="0.25">
      <c r="A72" s="6" t="s">
        <v>173</v>
      </c>
      <c r="B72" s="6" t="s">
        <v>163</v>
      </c>
      <c r="C72" s="97" t="s">
        <v>174</v>
      </c>
      <c r="D72" s="97"/>
      <c r="E72" s="97"/>
      <c r="F72" s="97"/>
      <c r="G72" s="97"/>
    </row>
    <row r="73" spans="1:7" x14ac:dyDescent="0.25">
      <c r="A73" s="6" t="s">
        <v>175</v>
      </c>
      <c r="B73" s="6" t="s">
        <v>163</v>
      </c>
      <c r="C73" s="97" t="s">
        <v>176</v>
      </c>
      <c r="D73" s="97"/>
      <c r="E73" s="97"/>
      <c r="F73" s="97"/>
      <c r="G73" s="97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97" t="s">
        <v>179</v>
      </c>
      <c r="D76" s="97"/>
      <c r="E76" s="97"/>
      <c r="F76" s="97"/>
      <c r="G76" s="97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97" t="s">
        <v>185</v>
      </c>
      <c r="D81" s="97"/>
      <c r="E81" s="97"/>
      <c r="F81" s="97"/>
      <c r="G81" s="9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2026-05-18T02:00:16Z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