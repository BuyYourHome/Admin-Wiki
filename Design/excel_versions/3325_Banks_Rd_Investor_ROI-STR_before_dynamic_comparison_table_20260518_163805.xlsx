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trlProps/ctrlProp3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Codex\Design\"/>
    </mc:Choice>
  </mc:AlternateContent>
  <xr:revisionPtr revIDLastSave="0" documentId="13_ncr:1_{67B8EE0C-2DD4-4D69-A47C-2F35C0EFAC8B}" xr6:coauthVersionLast="47" xr6:coauthVersionMax="47" xr10:uidLastSave="{00000000-0000-0000-0000-000000000000}"/>
  <bookViews>
    <workbookView xWindow="-120" yWindow="-120" windowWidth="38640" windowHeight="15720" activeTab="4" xr2:uid="{00000000-000D-0000-FFFF-FFFF00000000}"/>
  </bookViews>
  <sheets>
    <sheet name="STR Notes" sheetId="9" r:id="rId1"/>
    <sheet name="STR Scenarios" sheetId="8" r:id="rId2"/>
    <sheet name="Assumptions" sheetId="1" r:id="rId3"/>
    <sheet name="Annual Model" sheetId="2" r:id="rId4"/>
    <sheet name="Waterfall" sheetId="3" r:id="rId5"/>
    <sheet name="Returns" sheetId="4" state="hidden" r:id="rId6"/>
    <sheet name="Notes" sheetId="5" r:id="rId7"/>
    <sheet name="Cost Analysis" sheetId="6" r:id="rId8"/>
    <sheet name="Operating Expense Budget" sheetId="7" r:id="rId9"/>
  </sheets>
  <definedNames>
    <definedName name="AnnualManagementFee">'Operating Expense Budget'!$B$15</definedName>
    <definedName name="AssumedOperatingExpenseRatio">'Operating Expense Budget'!$B$5</definedName>
    <definedName name="CalculatedOperatingExpenseRatio">'Operating Expense Budget'!$B$6</definedName>
    <definedName name="ClassACapital">Assumptions!$B$39</definedName>
    <definedName name="ClassAPreferredReturn">Assumptions!$B$40</definedName>
    <definedName name="ClassAResidualShare">Assumptions!$B$44</definedName>
    <definedName name="ClassBCapital">Assumptions!$B$41</definedName>
    <definedName name="ClassBResidualShare">Assumptions!$B$45</definedName>
    <definedName name="ClassBReturnPriority">Assumptions!$B$42</definedName>
    <definedName name="CoLivingSuiteRent">Assumptions!$B$11</definedName>
    <definedName name="CoLivingSuiteRentHigh">Assumptions!$G$10</definedName>
    <definedName name="CoLivingSuiteRentLow">Assumptions!$E$10</definedName>
    <definedName name="CoLivingSuiteRentMedium">Assumptions!$F$10</definedName>
    <definedName name="CoLivingSuites">Assumptions!$B$10</definedName>
    <definedName name="ExistingDebtServiceAnnual">Assumptions!$B$28</definedName>
    <definedName name="ExistingFirstMortgage">Assumptions!$B$20</definedName>
    <definedName name="ExistingFirstMortgageAnnualPayment">Assumptions!$B$26</definedName>
    <definedName name="ExistingFirstMortgageMonthlyPI">Assumptions!$B$25</definedName>
    <definedName name="ExistingFirstMortgagePrincipal">Assumptions!$B$20</definedName>
    <definedName name="ExistingFirstMortgageRate">Assumptions!$B$21</definedName>
    <definedName name="ExitCapRate">Assumptions!$B$35</definedName>
    <definedName name="LeaseUpOccupancy">Assumptions!$B$14</definedName>
    <definedName name="ManagementFeeRate">'Operating Expense Budget'!$D$15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Assumptions!$B$34</definedName>
    <definedName name="PermanentLoanAmount">Assumptions!$B$30</definedName>
    <definedName name="PermanentLoanRate">Assumptions!$B$33</definedName>
    <definedName name="PremiumSuiteRent">Assumptions!$B$9</definedName>
    <definedName name="PremiumSuiteRentHigh">Assumptions!$G$9</definedName>
    <definedName name="PremiumSuiteRentLow">Assumptions!$E$9</definedName>
    <definedName name="PremiumSuiteRentMedium">Assumptions!$F$9</definedName>
    <definedName name="PremiumSuites">Assumptions!$B$8</definedName>
    <definedName name="PrivateDebtAnnualInterestPayment">Assumptions!$B$27</definedName>
    <definedName name="PrivateDebtInterestRate">Assumptions!$B$23</definedName>
    <definedName name="PrivateDebtPrincipal">Assumptions!$B$22</definedName>
    <definedName name="ProjectDebtPayoffAtRefi">Assumptions!$B$24</definedName>
    <definedName name="RefinanceLoanAmortizationYears">Assumptions!$B$34</definedName>
    <definedName name="RefinanceLoanAmount">Assumptions!$B$30</definedName>
    <definedName name="RefinanceLoanRate">Assumptions!$B$33</definedName>
    <definedName name="RefinanceLoanToValueCap">Assumptions!$B$29</definedName>
    <definedName name="RefinanceProceedsAfterDebtAndClassA">Assumptions!$B$32</definedName>
    <definedName name="RefinanceProceedsAfterExistingDebt">Assumptions!$B$31</definedName>
    <definedName name="RentScenarioAverageMonthlyGross">Assumptions!$H$11</definedName>
    <definedName name="RentScenarioHighEffectiveYear">Assumptions!$G$12</definedName>
    <definedName name="RentScenarioHighMonthlyGross">Assumptions!$G$11</definedName>
    <definedName name="RentScenarioLowEffectiveYear">Assumptions!$E$12</definedName>
    <definedName name="RentScenarioLowMonthlyGross">Assumptions!$E$11</definedName>
    <definedName name="RentScenarioMediumEffectiveYear">Assumptions!$F$12</definedName>
    <definedName name="RentScenarioMediumMonthlyGross">Assumptions!$F$11</definedName>
    <definedName name="RepairsMaintenanceReserveTarget">'Operating Expense Budget'!$B$20</definedName>
    <definedName name="SaleExitYear">Assumptions!$B$5</definedName>
    <definedName name="SelectedAnnualGrossRent">'STR Scenarios'!$L$25:$L$34</definedName>
    <definedName name="SelectedCostCase">'Cost Analysis'!$E$8</definedName>
    <definedName name="SelectedCostCaseId">'Cost Analysis'!$D$11</definedName>
    <definedName name="SelectedOperatingExpenseRatio">'Operating Expense Budget'!$B$7</definedName>
    <definedName name="SelectedOperatingScenario">'STR Scenarios'!$D$4</definedName>
    <definedName name="SelectedOperatingScenarioId">'STR Scenarios'!$H$4</definedName>
    <definedName name="SelectedProjectCost">'Cost Analysis'!$G$10</definedName>
    <definedName name="SelectedProjectCostHigh">'Cost Analysis'!$C$10</definedName>
    <definedName name="SelectedProjectCostLow">'Cost Analysis'!$B$10</definedName>
    <definedName name="SelectedScenario">'Cost Analysis'!$C$6</definedName>
    <definedName name="SelectedScenarioId">'Cost Analysis'!$D$12</definedName>
    <definedName name="SelectedUnderwritingCase">'Cost Analysis'!#REF!</definedName>
    <definedName name="SelectedWaterfallExitOption">Waterfall!$T$3</definedName>
    <definedName name="SelectedWaterfallRefiOption">Waterfall!$S$3</definedName>
    <definedName name="SellingCosts">Assumptions!$B$36</definedName>
    <definedName name="SponsorBasis">Assumptions!$B$46</definedName>
    <definedName name="SponsorCapitalInvestment">Assumptions!$B$47</definedName>
    <definedName name="SponsorPropertyPayment">Assumptions!$B$46</definedName>
    <definedName name="SponsorResidualShare">Assumptions!$B$43</definedName>
    <definedName name="StabilizationRefiYear">Assumptions!$B$4</definedName>
    <definedName name="StabilizedEffectiveGrossIncome">'Operating Expense Budget'!$B$10</definedName>
    <definedName name="StabilizedMonthlyGrossRent">Assumptions!$B$17</definedName>
    <definedName name="StabilizedOccupancy">Assumptions!$B$13</definedName>
    <definedName name="TotalAnnualOperatingExpenseBudget">'Operating Expense Budget'!$B$36</definedName>
    <definedName name="TotalExistingDebt">Assumptions!$B$24</definedName>
    <definedName name="UseCalculatedOperatingExpenseRatio">'Operating Expense Budget'!$I$4</definedName>
    <definedName name="UseOutsideMarketBenchmark">'Cost Analysis'!$H$9</definedName>
    <definedName name="UseSponsorControlledCase">'Cost Analysis'!$H$8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8" l="1"/>
  <c r="M4" i="1" s="1"/>
  <c r="J25" i="8"/>
  <c r="J26" i="8"/>
  <c r="J27" i="8"/>
  <c r="J28" i="8"/>
  <c r="J29" i="8"/>
  <c r="J30" i="8"/>
  <c r="J31" i="8"/>
  <c r="J32" i="8"/>
  <c r="J33" i="8"/>
  <c r="J34" i="8"/>
  <c r="I25" i="8"/>
  <c r="I26" i="8"/>
  <c r="I27" i="8"/>
  <c r="I28" i="8"/>
  <c r="I29" i="8"/>
  <c r="I30" i="8"/>
  <c r="I31" i="8"/>
  <c r="I32" i="8"/>
  <c r="I33" i="8"/>
  <c r="I34" i="8"/>
  <c r="F25" i="8"/>
  <c r="F26" i="8"/>
  <c r="F27" i="8"/>
  <c r="F28" i="8"/>
  <c r="F29" i="8"/>
  <c r="F30" i="8"/>
  <c r="F31" i="8"/>
  <c r="F32" i="8"/>
  <c r="F33" i="8"/>
  <c r="F34" i="8"/>
  <c r="E25" i="8"/>
  <c r="E26" i="8"/>
  <c r="E27" i="8"/>
  <c r="E28" i="8"/>
  <c r="E29" i="8"/>
  <c r="E30" i="8"/>
  <c r="E31" i="8"/>
  <c r="E32" i="8"/>
  <c r="E33" i="8"/>
  <c r="E34" i="8"/>
  <c r="B25" i="8"/>
  <c r="B26" i="8"/>
  <c r="B27" i="8"/>
  <c r="B28" i="8"/>
  <c r="B29" i="8"/>
  <c r="B30" i="8"/>
  <c r="B31" i="8"/>
  <c r="B32" i="8"/>
  <c r="B33" i="8"/>
  <c r="B34" i="8"/>
  <c r="B5" i="1"/>
  <c r="J4" i="2" s="1"/>
  <c r="B4" i="1"/>
  <c r="B16" i="7"/>
  <c r="B22" i="7"/>
  <c r="T22" i="3"/>
  <c r="S22" i="3"/>
  <c r="R22" i="3"/>
  <c r="E22" i="3"/>
  <c r="D22" i="3"/>
  <c r="D21" i="3"/>
  <c r="D19" i="3"/>
  <c r="C22" i="3"/>
  <c r="C21" i="3"/>
  <c r="C19" i="3"/>
  <c r="E19" i="3" s="1"/>
  <c r="G11" i="1"/>
  <c r="C34" i="8" s="1"/>
  <c r="D34" i="8" s="1"/>
  <c r="G34" i="8" s="1"/>
  <c r="F11" i="1"/>
  <c r="C26" i="8" s="1"/>
  <c r="D26" i="8" s="1"/>
  <c r="G26" i="8" s="1"/>
  <c r="E11" i="1"/>
  <c r="C25" i="8" s="1"/>
  <c r="D25" i="8" s="1"/>
  <c r="G25" i="8" s="1"/>
  <c r="H10" i="1"/>
  <c r="H9" i="1"/>
  <c r="C18" i="6"/>
  <c r="B18" i="6"/>
  <c r="B6" i="4"/>
  <c r="H6" i="4" s="1"/>
  <c r="B4" i="4"/>
  <c r="H4" i="4" s="1"/>
  <c r="B27" i="1"/>
  <c r="B26" i="1"/>
  <c r="B24" i="1"/>
  <c r="B27" i="7"/>
  <c r="B21" i="7"/>
  <c r="H9" i="6"/>
  <c r="H8" i="6"/>
  <c r="H7" i="6"/>
  <c r="G7" i="6"/>
  <c r="C59" i="6"/>
  <c r="B59" i="6"/>
  <c r="C50" i="6"/>
  <c r="B50" i="6"/>
  <c r="C41" i="6"/>
  <c r="B41" i="6"/>
  <c r="K27" i="8" l="1"/>
  <c r="K34" i="8"/>
  <c r="K26" i="8"/>
  <c r="C14" i="2"/>
  <c r="C13" i="2"/>
  <c r="C11" i="2"/>
  <c r="K33" i="8"/>
  <c r="K25" i="8"/>
  <c r="C10" i="2"/>
  <c r="C12" i="2"/>
  <c r="C4" i="2"/>
  <c r="K31" i="8"/>
  <c r="K32" i="8"/>
  <c r="K29" i="8"/>
  <c r="K28" i="8"/>
  <c r="K30" i="8"/>
  <c r="H25" i="8"/>
  <c r="H34" i="8"/>
  <c r="H26" i="8"/>
  <c r="C32" i="8"/>
  <c r="D32" i="8" s="1"/>
  <c r="C28" i="8"/>
  <c r="D28" i="8" s="1"/>
  <c r="C33" i="8"/>
  <c r="D33" i="8" s="1"/>
  <c r="C31" i="8"/>
  <c r="D31" i="8" s="1"/>
  <c r="C30" i="8"/>
  <c r="D30" i="8" s="1"/>
  <c r="C29" i="8"/>
  <c r="D29" i="8" s="1"/>
  <c r="C27" i="8"/>
  <c r="D27" i="8" s="1"/>
  <c r="O21" i="3"/>
  <c r="O20" i="3"/>
  <c r="O19" i="3"/>
  <c r="N14" i="3"/>
  <c r="M14" i="2"/>
  <c r="Q14" i="3"/>
  <c r="P14" i="3"/>
  <c r="J14" i="3"/>
  <c r="P4" i="3"/>
  <c r="M14" i="3"/>
  <c r="M4" i="3"/>
  <c r="I14" i="3"/>
  <c r="I4" i="3"/>
  <c r="F14" i="3"/>
  <c r="E14" i="3"/>
  <c r="E4" i="3"/>
  <c r="K14" i="3"/>
  <c r="L14" i="3"/>
  <c r="L4" i="3"/>
  <c r="H14" i="3"/>
  <c r="H4" i="3"/>
  <c r="G14" i="3"/>
  <c r="G4" i="3"/>
  <c r="D4" i="3" s="1"/>
  <c r="D14" i="3"/>
  <c r="B17" i="1"/>
  <c r="L14" i="2"/>
  <c r="K14" i="2"/>
  <c r="K4" i="2"/>
  <c r="J14" i="2"/>
  <c r="O14" i="2"/>
  <c r="O9" i="3"/>
  <c r="O10" i="3"/>
  <c r="O12" i="3"/>
  <c r="D4" i="2"/>
  <c r="O7" i="3"/>
  <c r="D13" i="2"/>
  <c r="N22" i="3" s="1"/>
  <c r="D12" i="2"/>
  <c r="M22" i="3" s="1"/>
  <c r="P4" i="2"/>
  <c r="D11" i="2"/>
  <c r="L22" i="3" s="1"/>
  <c r="G4" i="2"/>
  <c r="O4" i="2"/>
  <c r="O5" i="3"/>
  <c r="D10" i="2"/>
  <c r="K22" i="3" s="1"/>
  <c r="O6" i="3"/>
  <c r="O8" i="3"/>
  <c r="O14" i="3"/>
  <c r="I4" i="2"/>
  <c r="O13" i="3"/>
  <c r="O4" i="3"/>
  <c r="O11" i="3"/>
  <c r="H11" i="1"/>
  <c r="C27" i="6"/>
  <c r="C8" i="6" s="1"/>
  <c r="B27" i="6"/>
  <c r="B8" i="6" s="1"/>
  <c r="B10" i="6" s="1"/>
  <c r="B28" i="1"/>
  <c r="C9" i="6"/>
  <c r="C10" i="6" s="1"/>
  <c r="B9" i="6"/>
  <c r="L25" i="8" l="1"/>
  <c r="L34" i="8"/>
  <c r="L26" i="8"/>
  <c r="C6" i="2" s="1"/>
  <c r="D6" i="2" s="1"/>
  <c r="G22" i="3" s="1"/>
  <c r="G29" i="8"/>
  <c r="H29" i="8" s="1"/>
  <c r="G30" i="8"/>
  <c r="H30" i="8" s="1"/>
  <c r="L30" i="8" s="1"/>
  <c r="G31" i="8"/>
  <c r="H31" i="8" s="1"/>
  <c r="L31" i="8" s="1"/>
  <c r="G33" i="8"/>
  <c r="H33" i="8" s="1"/>
  <c r="L33" i="8" s="1"/>
  <c r="G28" i="8"/>
  <c r="H28" i="8" s="1"/>
  <c r="G32" i="8"/>
  <c r="H32" i="8" s="1"/>
  <c r="L32" i="8" s="1"/>
  <c r="G27" i="8"/>
  <c r="H27" i="8" s="1"/>
  <c r="Q4" i="3"/>
  <c r="E21" i="3" s="1"/>
  <c r="N4" i="3"/>
  <c r="J4" i="3"/>
  <c r="F4" i="3"/>
  <c r="G5" i="3"/>
  <c r="D5" i="3" s="1"/>
  <c r="D14" i="2"/>
  <c r="O22" i="3" s="1"/>
  <c r="G10" i="6"/>
  <c r="B29" i="6" s="1"/>
  <c r="C5" i="2" l="1"/>
  <c r="D5" i="2" s="1"/>
  <c r="F22" i="3" s="1"/>
  <c r="L29" i="8"/>
  <c r="C9" i="2" s="1"/>
  <c r="D9" i="2" s="1"/>
  <c r="J22" i="3" s="1"/>
  <c r="L27" i="8"/>
  <c r="C7" i="2" s="1"/>
  <c r="D7" i="2" s="1"/>
  <c r="H22" i="3" s="1"/>
  <c r="L28" i="8"/>
  <c r="C8" i="2" s="1"/>
  <c r="D8" i="2" s="1"/>
  <c r="I22" i="3" s="1"/>
  <c r="M4" i="2"/>
  <c r="B10" i="7"/>
  <c r="B15" i="7" s="1"/>
  <c r="B41" i="1"/>
  <c r="K4" i="3" s="1"/>
  <c r="K5" i="3" s="1"/>
  <c r="B15" i="6"/>
  <c r="B14" i="6"/>
  <c r="O25" i="8" l="1"/>
  <c r="P22" i="3"/>
  <c r="Q22" i="3" s="1"/>
  <c r="C20" i="3"/>
  <c r="E20" i="3" s="1"/>
  <c r="D20" i="3"/>
  <c r="B36" i="7"/>
  <c r="B6" i="7" s="1"/>
  <c r="B7" i="7" s="1"/>
  <c r="B15" i="1" s="1"/>
  <c r="B30" i="6"/>
  <c r="B31" i="6" s="1"/>
  <c r="B5" i="4"/>
  <c r="H5" i="4" s="1"/>
  <c r="E11" i="2" l="1"/>
  <c r="F11" i="2" s="1"/>
  <c r="P11" i="2" s="1"/>
  <c r="E12" i="2"/>
  <c r="F12" i="2" s="1"/>
  <c r="E13" i="2"/>
  <c r="F13" i="2" s="1"/>
  <c r="E14" i="2"/>
  <c r="F14" i="2" s="1"/>
  <c r="E9" i="2"/>
  <c r="F9" i="2" s="1"/>
  <c r="P9" i="2" s="1"/>
  <c r="E10" i="2"/>
  <c r="F10" i="2" s="1"/>
  <c r="E4" i="2"/>
  <c r="E5" i="2"/>
  <c r="F5" i="2" s="1"/>
  <c r="E7" i="2"/>
  <c r="F7" i="2" s="1"/>
  <c r="P7" i="2" s="1"/>
  <c r="E8" i="2"/>
  <c r="F8" i="2" s="1"/>
  <c r="P8" i="2" s="1"/>
  <c r="E6" i="2"/>
  <c r="F6" i="2" s="1"/>
  <c r="P6" i="2" s="1"/>
  <c r="B30" i="1"/>
  <c r="P5" i="2" l="1"/>
  <c r="O5" i="2"/>
  <c r="G5" i="2"/>
  <c r="H5" i="2" s="1"/>
  <c r="G13" i="2"/>
  <c r="H13" i="2" s="1"/>
  <c r="G14" i="2"/>
  <c r="H14" i="2" s="1"/>
  <c r="O11" i="2"/>
  <c r="I11" i="2" s="1"/>
  <c r="O12" i="2"/>
  <c r="G12" i="2"/>
  <c r="H12" i="2" s="1"/>
  <c r="O13" i="2"/>
  <c r="P13" i="2"/>
  <c r="P14" i="2"/>
  <c r="I14" i="2" s="1"/>
  <c r="P12" i="2"/>
  <c r="G11" i="2"/>
  <c r="H11" i="2" s="1"/>
  <c r="O10" i="2"/>
  <c r="P10" i="2"/>
  <c r="G10" i="2"/>
  <c r="H10" i="2" s="1"/>
  <c r="O9" i="2"/>
  <c r="I9" i="2" s="1"/>
  <c r="O8" i="2"/>
  <c r="G9" i="2"/>
  <c r="H9" i="2" s="1"/>
  <c r="O6" i="2"/>
  <c r="I6" i="2" s="1"/>
  <c r="O7" i="2"/>
  <c r="I7" i="2" s="1"/>
  <c r="G6" i="2"/>
  <c r="H6" i="2" s="1"/>
  <c r="G7" i="2"/>
  <c r="H7" i="2" s="1"/>
  <c r="G8" i="2"/>
  <c r="H8" i="2" s="1"/>
  <c r="F4" i="2"/>
  <c r="B31" i="1"/>
  <c r="B32" i="1"/>
  <c r="I5" i="2" l="1"/>
  <c r="I13" i="2"/>
  <c r="I10" i="2"/>
  <c r="I12" i="2"/>
  <c r="I8" i="2"/>
  <c r="H4" i="2"/>
  <c r="L4" i="2" s="1"/>
  <c r="B45" i="1"/>
  <c r="B44" i="1"/>
  <c r="N4" i="2" l="1"/>
  <c r="C4" i="3"/>
  <c r="J5" i="2" l="1"/>
  <c r="K5" i="2" s="1"/>
  <c r="L5" i="2" l="1"/>
  <c r="C5" i="3" s="1"/>
  <c r="H5" i="3" l="1"/>
  <c r="G6" i="3" s="1"/>
  <c r="L5" i="3" l="1"/>
  <c r="D6" i="3"/>
  <c r="E5" i="3" l="1"/>
  <c r="K6" i="3"/>
  <c r="F5" i="3" l="1"/>
  <c r="P5" i="3"/>
  <c r="Q5" i="3" s="1"/>
  <c r="F21" i="3" s="1"/>
  <c r="I5" i="3"/>
  <c r="J5" i="3" s="1"/>
  <c r="F19" i="3" s="1"/>
  <c r="M5" i="3"/>
  <c r="N5" i="3" l="1"/>
  <c r="F20" i="3" s="1"/>
  <c r="I4" i="4"/>
  <c r="I6" i="4"/>
  <c r="I5" i="4" l="1"/>
  <c r="M5" i="2"/>
  <c r="N5" i="2" s="1"/>
  <c r="J6" i="2" s="1"/>
  <c r="K6" i="2" s="1"/>
  <c r="L6" i="2" l="1"/>
  <c r="C6" i="3" s="1"/>
  <c r="H6" i="3" s="1"/>
  <c r="L6" i="3" l="1"/>
  <c r="K7" i="3" s="1"/>
  <c r="G7" i="3"/>
  <c r="D7" i="3" s="1"/>
  <c r="E6" i="3" l="1"/>
  <c r="F6" i="3" s="1"/>
  <c r="I6" i="3" l="1"/>
  <c r="J6" i="3" s="1"/>
  <c r="G19" i="3" s="1"/>
  <c r="P6" i="3"/>
  <c r="Q6" i="3" s="1"/>
  <c r="J6" i="4" s="1"/>
  <c r="M6" i="3"/>
  <c r="N6" i="3" s="1"/>
  <c r="G20" i="3" s="1"/>
  <c r="J5" i="4" l="1"/>
  <c r="J4" i="4"/>
  <c r="M6" i="2"/>
  <c r="N6" i="2" s="1"/>
  <c r="J7" i="2" s="1"/>
  <c r="K7" i="2" s="1"/>
  <c r="G21" i="3"/>
  <c r="L7" i="2" l="1"/>
  <c r="C7" i="3" s="1"/>
  <c r="H7" i="3" s="1"/>
  <c r="L7" i="3" s="1"/>
  <c r="G8" i="3" l="1"/>
  <c r="D8" i="3" s="1"/>
  <c r="E7" i="3"/>
  <c r="F7" i="3" s="1"/>
  <c r="K8" i="3"/>
  <c r="I7" i="3" l="1"/>
  <c r="J7" i="3" s="1"/>
  <c r="M7" i="3"/>
  <c r="N7" i="3" s="1"/>
  <c r="H20" i="3" s="1"/>
  <c r="P7" i="3"/>
  <c r="Q7" i="3" s="1"/>
  <c r="H21" i="3" s="1"/>
  <c r="M7" i="2" l="1"/>
  <c r="N7" i="2" s="1"/>
  <c r="J8" i="2" s="1"/>
  <c r="K8" i="2" s="1"/>
  <c r="H19" i="3"/>
  <c r="K6" i="4"/>
  <c r="K5" i="4"/>
  <c r="K4" i="4"/>
  <c r="L8" i="2" l="1"/>
  <c r="C8" i="3" s="1"/>
  <c r="H8" i="3" l="1"/>
  <c r="L8" i="3" l="1"/>
  <c r="G9" i="3"/>
  <c r="D9" i="3" l="1"/>
  <c r="E8" i="3"/>
  <c r="M8" i="3" s="1"/>
  <c r="N8" i="3" s="1"/>
  <c r="I20" i="3" s="1"/>
  <c r="K9" i="3"/>
  <c r="P8" i="3" l="1"/>
  <c r="Q8" i="3" s="1"/>
  <c r="I21" i="3" s="1"/>
  <c r="F8" i="3"/>
  <c r="I8" i="3"/>
  <c r="J8" i="3" s="1"/>
  <c r="L5" i="4"/>
  <c r="L6" i="4" l="1"/>
  <c r="L4" i="4"/>
  <c r="I19" i="3"/>
  <c r="M8" i="2"/>
  <c r="N8" i="2" s="1"/>
  <c r="J9" i="2" s="1"/>
  <c r="K9" i="2" s="1"/>
  <c r="L9" i="2" l="1"/>
  <c r="C9" i="3" s="1"/>
  <c r="H9" i="3" l="1"/>
  <c r="L9" i="3" l="1"/>
  <c r="K10" i="3" s="1"/>
  <c r="G10" i="3"/>
  <c r="E9" i="3" l="1"/>
  <c r="F9" i="3" s="1"/>
  <c r="D10" i="3"/>
  <c r="P9" i="3" l="1"/>
  <c r="Q9" i="3" s="1"/>
  <c r="J21" i="3" s="1"/>
  <c r="I9" i="3"/>
  <c r="J9" i="3" s="1"/>
  <c r="J19" i="3" s="1"/>
  <c r="M9" i="3"/>
  <c r="N9" i="3" s="1"/>
  <c r="J20" i="3" s="1"/>
  <c r="M6" i="4" l="1"/>
  <c r="M4" i="4"/>
  <c r="M5" i="4"/>
  <c r="M9" i="2"/>
  <c r="N9" i="2" s="1"/>
  <c r="J10" i="2" s="1"/>
  <c r="K10" i="2" s="1"/>
  <c r="L10" i="2" l="1"/>
  <c r="C10" i="3" s="1"/>
  <c r="H10" i="3" l="1"/>
  <c r="G11" i="3" s="1"/>
  <c r="D11" i="3" l="1"/>
  <c r="L10" i="3"/>
  <c r="K11" i="3" l="1"/>
  <c r="E10" i="3"/>
  <c r="F10" i="3" l="1"/>
  <c r="I10" i="3"/>
  <c r="J10" i="3" s="1"/>
  <c r="P10" i="3"/>
  <c r="Q10" i="3" s="1"/>
  <c r="M10" i="3"/>
  <c r="N10" i="3" s="1"/>
  <c r="M10" i="2" l="1"/>
  <c r="N10" i="2" s="1"/>
  <c r="K19" i="3"/>
  <c r="N4" i="4"/>
  <c r="K20" i="3"/>
  <c r="N5" i="4"/>
  <c r="K21" i="3"/>
  <c r="N6" i="4"/>
  <c r="J11" i="2" l="1"/>
  <c r="K11" i="2" s="1"/>
  <c r="L11" i="2" l="1"/>
  <c r="C11" i="3" s="1"/>
  <c r="H11" i="3" s="1"/>
  <c r="G12" i="3" s="1"/>
  <c r="D12" i="3" l="1"/>
  <c r="L11" i="3"/>
  <c r="C14" i="3"/>
  <c r="K12" i="3" l="1"/>
  <c r="E11" i="3"/>
  <c r="P11" i="3" s="1"/>
  <c r="Q11" i="3" s="1"/>
  <c r="R6" i="4"/>
  <c r="L21" i="3" l="1"/>
  <c r="O6" i="4"/>
  <c r="F11" i="3"/>
  <c r="I11" i="3"/>
  <c r="J11" i="3" s="1"/>
  <c r="M11" i="3"/>
  <c r="N11" i="3" s="1"/>
  <c r="R5" i="4"/>
  <c r="N14" i="2"/>
  <c r="R4" i="4"/>
  <c r="M11" i="2" l="1"/>
  <c r="N11" i="2" s="1"/>
  <c r="L19" i="3"/>
  <c r="O4" i="4"/>
  <c r="L20" i="3"/>
  <c r="O5" i="4"/>
  <c r="J12" i="2" l="1"/>
  <c r="K12" i="2" s="1"/>
  <c r="L12" i="2" l="1"/>
  <c r="C12" i="3" l="1"/>
  <c r="H12" i="3" l="1"/>
  <c r="G13" i="3" s="1"/>
  <c r="D13" i="3" s="1"/>
  <c r="L12" i="3" l="1"/>
  <c r="E12" i="3" s="1"/>
  <c r="P12" i="3" l="1"/>
  <c r="Q12" i="3" s="1"/>
  <c r="M21" i="3" s="1"/>
  <c r="F12" i="3"/>
  <c r="I12" i="3"/>
  <c r="J12" i="3" s="1"/>
  <c r="M12" i="3"/>
  <c r="N12" i="3" s="1"/>
  <c r="K13" i="3"/>
  <c r="P6" i="4" l="1"/>
  <c r="M20" i="3"/>
  <c r="P5" i="4"/>
  <c r="M19" i="3"/>
  <c r="M12" i="2"/>
  <c r="N12" i="2" s="1"/>
  <c r="P4" i="4"/>
  <c r="J13" i="2" l="1"/>
  <c r="K13" i="2" s="1"/>
  <c r="L13" i="2" l="1"/>
  <c r="C13" i="3" l="1"/>
  <c r="H13" i="3" l="1"/>
  <c r="L13" i="3" s="1"/>
  <c r="E13" i="3" l="1"/>
  <c r="F13" i="3" l="1"/>
  <c r="I13" i="3"/>
  <c r="J13" i="3" s="1"/>
  <c r="M13" i="3"/>
  <c r="N13" i="3" s="1"/>
  <c r="P13" i="3"/>
  <c r="Q13" i="3" s="1"/>
  <c r="M13" i="2" l="1"/>
  <c r="N13" i="2" s="1"/>
  <c r="N19" i="3"/>
  <c r="Q4" i="4"/>
  <c r="G4" i="4" s="1"/>
  <c r="C4" i="4"/>
  <c r="N20" i="3"/>
  <c r="Q5" i="4"/>
  <c r="G5" i="4" s="1"/>
  <c r="C5" i="4"/>
  <c r="N21" i="3"/>
  <c r="Q6" i="4"/>
  <c r="G6" i="4" s="1"/>
  <c r="C6" i="4"/>
  <c r="E4" i="4" l="1"/>
  <c r="D4" i="4"/>
  <c r="F4" i="4" s="1"/>
  <c r="P21" i="3"/>
  <c r="T21" i="3"/>
  <c r="D5" i="4"/>
  <c r="F5" i="4" s="1"/>
  <c r="E5" i="4"/>
  <c r="P20" i="3"/>
  <c r="T20" i="3"/>
  <c r="E6" i="4"/>
  <c r="D6" i="4"/>
  <c r="F6" i="4" s="1"/>
  <c r="T19" i="3"/>
  <c r="P19" i="3"/>
  <c r="Q19" i="3" l="1"/>
  <c r="R19" i="3" s="1"/>
  <c r="S19" i="3"/>
  <c r="S20" i="3"/>
  <c r="Q20" i="3"/>
  <c r="R20" i="3" s="1"/>
  <c r="S21" i="3"/>
  <c r="Q21" i="3"/>
  <c r="R21" i="3" s="1"/>
</calcChain>
</file>

<file path=xl/sharedStrings.xml><?xml version="1.0" encoding="utf-8"?>
<sst xmlns="http://schemas.openxmlformats.org/spreadsheetml/2006/main" count="485" uniqueCount="392">
  <si>
    <t>3325 Banks Rd - Investor Return Model</t>
  </si>
  <si>
    <t>Editable inputs are in column B. Outputs update through formulas.</t>
  </si>
  <si>
    <t>Project Timing</t>
  </si>
  <si>
    <t>Stabilization / Refinance Year</t>
  </si>
  <si>
    <t>Sale / Exit Year</t>
  </si>
  <si>
    <t>Rental Program</t>
  </si>
  <si>
    <t>First Floor Premium Suites</t>
  </si>
  <si>
    <t>Private bed/bath/kitchenette suites</t>
  </si>
  <si>
    <t>Monthly Rent per Premium Suite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</si>
  <si>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</si>
  <si>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</si>
  <si>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</si>
  <si>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</si>
  <si>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</si>
  <si>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</si>
  <si>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</si>
  <si>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</si>
  <si>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</si>
  <si>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Selected Operating Expense Ratio</t>
  </si>
  <si>
    <t>From Operating Expense Budget tab; toggle between assumed ratio and calculated budget ratio</t>
  </si>
  <si>
    <t>NOI Growth</t>
  </si>
  <si>
    <t>Annual growth after stabilization</t>
  </si>
  <si>
    <t>Debt / Refinance / Exit</t>
  </si>
  <si>
    <t>Private Debt Principal</t>
  </si>
  <si>
    <t>Private debt principal; interest-only before payoff</t>
  </si>
  <si>
    <t>Private Debt Interest Rate</t>
  </si>
  <si>
    <t>Interest-only private debt rate</t>
  </si>
  <si>
    <t>Total Existing Debt Payoff</t>
  </si>
  <si>
    <t>Refinance Loan Amount</t>
  </si>
  <si>
    <t>Only new loan; takeout/refinance proceeds, not development or construction debt</t>
  </si>
  <si>
    <t>Refi Proceeds After Existing Debt</t>
  </si>
  <si>
    <t>Available to Class A first through waterfall</t>
  </si>
  <si>
    <t>Refi Remaining After Debt + Class A</t>
  </si>
  <si>
    <t>Indicative amount available to Class B before waterfall details</t>
  </si>
  <si>
    <t>Refinance Loan Interest Rate</t>
  </si>
  <si>
    <t>Annual fixed rate on stabilization refinance loan</t>
  </si>
  <si>
    <t>Refinance Loan Amortization Years</t>
  </si>
  <si>
    <t>Used for annual debt service after stabilization refinance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</si>
  <si>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</si>
  <si>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</si>
  <si>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</si>
  <si>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</si>
  <si>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</si>
  <si>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</si>
  <si>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</si>
  <si>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</si>
  <si>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</si>
  <si>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</si>
  <si>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Class B Capital Return Priority</t>
  </si>
  <si>
    <t>1 = return Class B capital before residual split</t>
  </si>
  <si>
    <t>Class B Residual Share</t>
  </si>
  <si>
    <t>Sponsor Residual Share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</si>
  <si>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</si>
  <si>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</si>
  <si>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</si>
  <si>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</si>
  <si>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</si>
  <si>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</si>
  <si>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Operating Expenses</t>
  </si>
  <si>
    <t>NOI</t>
  </si>
  <si>
    <t>Debt Service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</si>
  <si>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</si>
  <si>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</si>
  <si>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</si>
  <si>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</si>
  <si>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</si>
  <si>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</si>
  <si>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</si>
  <si>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</si>
  <si>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</si>
  <si>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</si>
  <si>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</si>
  <si>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</si>
  <si>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</si>
  <si>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</si>
  <si>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</si>
  <si>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</si>
  <si>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</si>
  <si>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</si>
  <si>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</si>
  <si>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</si>
  <si>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</si>
  <si>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</si>
  <si>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</si>
  <si>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</si>
  <si>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</si>
  <si>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</si>
  <si>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</si>
  <si>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</si>
  <si>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</si>
  <si>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</si>
  <si>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</si>
  <si>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</si>
  <si>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</si>
  <si>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</si>
  <si>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</si>
  <si>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</si>
  <si>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</si>
  <si>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</si>
  <si>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</si>
  <si>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</si>
  <si>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</si>
  <si>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</si>
  <si>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</si>
  <si>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</si>
  <si>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</si>
  <si>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</si>
  <si>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Select Scenario:</t>
  </si>
  <si>
    <t>Low</t>
  </si>
  <si>
    <t>Project Cost Case Summary</t>
  </si>
  <si>
    <t>Case Selection</t>
  </si>
  <si>
    <t>Sponsor-Controlled Case (from controlling bridge below)</t>
  </si>
  <si>
    <t>Sponsor-Controlled</t>
  </si>
  <si>
    <t>Outside-Market Benchmark (from outside-market subtotals below)</t>
  </si>
  <si>
    <t>Selected Total Project Cost</t>
  </si>
  <si>
    <t>Selected Cost Metrics</t>
  </si>
  <si>
    <t>Low Case</t>
  </si>
  <si>
    <t>High Case</t>
  </si>
  <si>
    <t>Cost per SF at 5,000 SF</t>
  </si>
  <si>
    <t>Cost per SF at 6,000 SF</t>
  </si>
  <si>
    <t>Controlling Sponsor-Controlled Line-Item Bridge</t>
  </si>
  <si>
    <t>High</t>
  </si>
  <si>
    <t>Design, entitlement, permits, and professional services</t>
  </si>
  <si>
    <t>Post-frame building shell and interior buildout</t>
  </si>
  <si>
    <t>Sitework, access, grading, drainage, and parking</t>
  </si>
  <si>
    <t>Private utilities, well, wastewater, and related infrastructure</t>
  </si>
  <si>
    <t>Furnishings, fixtures, equipment, and turnover</t>
  </si>
  <si>
    <t>Contingency and owner reserve</t>
  </si>
  <si>
    <t>Sponsor-Controlled Total Package</t>
  </si>
  <si>
    <t>Funding Gap Analysis</t>
  </si>
  <si>
    <t>Selected</t>
  </si>
  <si>
    <t>Estimated total project cost</t>
  </si>
  <si>
    <t>Class A + Class B capitalization</t>
  </si>
  <si>
    <t>Potential unfunded development gap</t>
  </si>
  <si>
    <t>Outside Market - Design &amp; Entitlement Detail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</si>
  <si>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</si>
  <si>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</si>
  <si>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</si>
  <si>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</si>
  <si>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</si>
  <si>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</si>
  <si>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</si>
  <si>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</si>
  <si>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Outside Market - Development &amp; Pre-Construction Detail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</si>
  <si>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</si>
  <si>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</si>
  <si>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</si>
  <si>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</si>
  <si>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</si>
  <si>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</si>
  <si>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</si>
  <si>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Outside Market - Build &amp; Delivery Detail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</si>
  <si>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</si>
  <si>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</si>
  <si>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</si>
  <si>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</si>
  <si>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Construction contingency</t>
  </si>
  <si>
    <t>Build &amp; delivery total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</si>
  <si>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</si>
  <si>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</si>
  <si>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</si>
  <si>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Conditions Required To Support Target Range</t>
  </si>
  <si>
    <t>Post-frame approach accepted through design and permitting</t>
  </si>
  <si>
    <t>Yes</t>
  </si>
  <si>
    <t>Confirmed cost saver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</si>
  <si>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</si>
  <si>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</si>
  <si>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</si>
  <si>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</si>
  <si>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No</t>
  </si>
  <si>
    <t>Not confirmed; risk reserve retained</t>
  </si>
  <si>
    <t>Suite count and bathroom/kitchenette count do not expand</t>
  </si>
  <si>
    <t>Confirmed scope control</t>
  </si>
  <si>
    <t>Finish package stays durable and efficient rather than luxury</t>
  </si>
  <si>
    <t>Confirmed finish discipline</t>
  </si>
  <si>
    <t>Project carries a disciplined contingency</t>
  </si>
  <si>
    <t>Confirmed reserve discipline</t>
  </si>
  <si>
    <t>Risks That Could Break Target Range</t>
  </si>
  <si>
    <t>Advanced/high-cost wastewater system requirement</t>
  </si>
  <si>
    <t>Confirmed risk; wastewater allowance increased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</si>
  <si>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</si>
  <si>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</si>
  <si>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</si>
  <si>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</si>
  <si>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</si>
  <si>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Confirmed risk; FF&amp;E/contingency allowance increased</t>
  </si>
  <si>
    <t>3325 Banks Rd - Operating Expense Budget</t>
  </si>
  <si>
    <t>Toggle / Selection</t>
  </si>
  <si>
    <t>Use Calculated Budget Ratio?</t>
  </si>
  <si>
    <t>FALSE = use assumed ratio; TRUE = use calculated budget ratio</t>
  </si>
  <si>
    <t>Assumed Operating Expense Ratio</t>
  </si>
  <si>
    <t>Current planning assumption reflected in Assumptions tab when toggle is FALSE</t>
  </si>
  <si>
    <t>Calculated Operating Expense Ratio</t>
  </si>
  <si>
    <t>Total annual operating expense budget / effective gross income</t>
  </si>
  <si>
    <t>Feeds Assumptions!B15</t>
  </si>
  <si>
    <t>Revenue Basis</t>
  </si>
  <si>
    <t>Stabilized Effective Gross Income</t>
  </si>
  <si>
    <t>Annual stabilized EGI after occupancy</t>
  </si>
  <si>
    <t>Expense Category</t>
  </si>
  <si>
    <t>Annual Amount</t>
  </si>
  <si>
    <t>Basis / Notes</t>
  </si>
  <si>
    <t>Property taxes</t>
  </si>
  <si>
    <t>Placeholder; replace with assessed value/tax estimate</t>
  </si>
  <si>
    <t>Property management / administration</t>
  </si>
  <si>
    <t>Utilities - electric</t>
  </si>
  <si>
    <t>Owner-paid/common-area and vacancy exposure</t>
  </si>
  <si>
    <t>Utilities - water / well maintenance</t>
  </si>
  <si>
    <t>Well testing, maintenance, treatment allowance</t>
  </si>
  <si>
    <t>Utilities - internet</t>
  </si>
  <si>
    <t>Shared/furnished rental expectation</t>
  </si>
  <si>
    <t>Trash / recycling</t>
  </si>
  <si>
    <t>Recurring service</t>
  </si>
  <si>
    <t>Turnover, cleaning, and supplies</t>
  </si>
  <si>
    <t>Co-living/furnished turnover allowance</t>
  </si>
  <si>
    <t>Landscaping / grounds</t>
  </si>
  <si>
    <t>Mowing, upkeep, seasonal cleanup</t>
  </si>
  <si>
    <t>Pest control</t>
  </si>
  <si>
    <t>Septic / wastewater maintenance</t>
  </si>
  <si>
    <t>Inspection, pump, service contracts</t>
  </si>
  <si>
    <t>CapEx / replacement reserve</t>
  </si>
  <si>
    <t>Furniture, fixtures, equipment, building reserves</t>
  </si>
  <si>
    <t>Marketing / leasing</t>
  </si>
  <si>
    <t>Listings, tenant placement, materials</t>
  </si>
  <si>
    <t>Bookkeeping / accounting</t>
  </si>
  <si>
    <t>Operating accounting/reporting</t>
  </si>
  <si>
    <t>Legal / compliance</t>
  </si>
  <si>
    <t>Lease forms, notices, compliance allowance</t>
  </si>
  <si>
    <t>Licenses, permits, inspections</t>
  </si>
  <si>
    <t>Recurring local/regulatory allowance</t>
  </si>
  <si>
    <t>Security / access control</t>
  </si>
  <si>
    <t>Locks, cameras, access systems, monitoring</t>
  </si>
  <si>
    <t>Common area furnishings replacement</t>
  </si>
  <si>
    <t>Shared space replacement reserve</t>
  </si>
  <si>
    <t>Laundry equipment maintenance</t>
  </si>
  <si>
    <t>Repair/replacement allowance</t>
  </si>
  <si>
    <t>Snow/ice/storm cleanup reserve</t>
  </si>
  <si>
    <t>Weather/event allowance</t>
  </si>
  <si>
    <t>Bad debt / collections</t>
  </si>
  <si>
    <t>Collection loss allowance</t>
  </si>
  <si>
    <t>Miscellaneous / operating contingency</t>
  </si>
  <si>
    <t>Catch-all reserve</t>
  </si>
  <si>
    <t>Total Annual Operating Expense Budget</t>
  </si>
  <si>
    <t>Calculated from line items</t>
  </si>
  <si>
    <t>Existing First Mortgage Principal</t>
  </si>
  <si>
    <t>Existing first mortgage principal to be paid from refinance proceeds</t>
  </si>
  <si>
    <t>Existing First Mortgage Rate</t>
  </si>
  <si>
    <t>Interest rate on existing first mortgage</t>
  </si>
  <si>
    <t>Existing first mortgage principal plus private debt principal</t>
  </si>
  <si>
    <t>Private Debt Annual Interest Payment</t>
  </si>
  <si>
    <t>Interest-only payment on private debt</t>
  </si>
  <si>
    <t>Total Existing Annual Debt Service</t>
  </si>
  <si>
    <t>Existing debt service before refinance; taxes and insurance remain in operating expenses</t>
  </si>
  <si>
    <t>First Mortgage Monthly P&amp;I Excl. Escrow</t>
  </si>
  <si>
    <t>Actual monthly principal and interest payment; excludes escrow, taxes, and insurance</t>
  </si>
  <si>
    <t>First Mortgage Annual P&amp;I Excl. Escrow</t>
  </si>
  <si>
    <t>Annual principal and interest payment; excludes escrow, taxes, and insurance</t>
  </si>
  <si>
    <t>Cash Available Before Distributions</t>
  </si>
  <si>
    <t>Waterfall Distributions</t>
  </si>
  <si>
    <t>Ending Cash Balance</t>
  </si>
  <si>
    <t>Refinance Loan-to-Value Cap</t>
  </si>
  <si>
    <t>Maximum refinance loan as % of stabilized value</t>
  </si>
  <si>
    <t>Subordinate beneficiary capital; dependent upon selected project cost in Cost Analysis</t>
  </si>
  <si>
    <t>Class A Residual Share</t>
  </si>
  <si>
    <t>Editable sponsor share of residual after capital return priorities</t>
  </si>
  <si>
    <t>Class A share of non-sponsor residual, proportional to Class A capital</t>
  </si>
  <si>
    <t>Class B share of non-sponsor residual, proportional to Class B capital</t>
  </si>
  <si>
    <t>Class A preferred return is modeled as cumulative simple annual accrual on unrecovered Class A capital. After Class A and Class B capital are returned, Sponsor receives the editable Sponsor residual share. Class A and Class B split the remaining residual in proportion to their capital.</t>
  </si>
  <si>
    <t xml:space="preserve">Class A </t>
  </si>
  <si>
    <t>Net Refi/Sale Proceeds</t>
  </si>
  <si>
    <t>Returns Summary</t>
  </si>
  <si>
    <t>Legacy Returns sheet retained for reference. Primary ReturnsTable is now on the Waterfall tab.</t>
  </si>
  <si>
    <t>Sponsor Property Payment / Basis</t>
  </si>
  <si>
    <t>Payment to Sponsor for property; also used as Sponsor basis for return analysis</t>
  </si>
  <si>
    <t>Sponsor property payment</t>
  </si>
  <si>
    <t>Property Payment</t>
  </si>
  <si>
    <t>Residual</t>
  </si>
  <si>
    <t xml:space="preserve">Low </t>
  </si>
  <si>
    <t>Development, financing, carrying, and administration</t>
  </si>
  <si>
    <t>Construction-period insurance</t>
  </si>
  <si>
    <t>Completed property insurance</t>
  </si>
  <si>
    <t>Post-completion hazard/liability coverage estimate; excludes construction-period insurance</t>
  </si>
  <si>
    <t>Rent Scenario Schedule</t>
  </si>
  <si>
    <t>Premium Suite Rent</t>
  </si>
  <si>
    <t>Co-Living Suite Rent</t>
  </si>
  <si>
    <t>Monthly Gross Rent</t>
  </si>
  <si>
    <t>Medium</t>
  </si>
  <si>
    <t>Mid/base reference; Annual Model uses scenario schedule at right</t>
  </si>
  <si>
    <t>Effective Year</t>
  </si>
  <si>
    <t>Management</t>
  </si>
  <si>
    <t>Rent Input</t>
  </si>
  <si>
    <t>Average</t>
  </si>
  <si>
    <t>Current Use</t>
  </si>
  <si>
    <t>Notes</t>
  </si>
  <si>
    <t>Rent levels increase left to right</t>
  </si>
  <si>
    <t>Annual Model timing</t>
  </si>
  <si>
    <t>Low ends after Year 1 under current schedule</t>
  </si>
  <si>
    <t>Stabilized Monthly Gross Rent</t>
  </si>
  <si>
    <t>6% of stabilized effective gross income (EGI)</t>
  </si>
  <si>
    <t>Total Profit</t>
  </si>
  <si>
    <t>Total Dist</t>
  </si>
  <si>
    <t>Pref Paid</t>
  </si>
  <si>
    <t>Pref Accrued</t>
  </si>
  <si>
    <t>End of Year Pref Balance</t>
  </si>
  <si>
    <t>Sponsor Capital Investment</t>
  </si>
  <si>
    <t>Actual sponsor cash/cost invested; separate from property payment / basis</t>
  </si>
  <si>
    <t>Capital Investment</t>
  </si>
  <si>
    <t>Basis / Property Payment</t>
  </si>
  <si>
    <t>Initial Capitalization</t>
  </si>
  <si>
    <t>Total Dist2</t>
  </si>
  <si>
    <t>Occupancy Effective Gross Income</t>
  </si>
  <si>
    <t>Cash Before Refi/Sale</t>
  </si>
  <si>
    <t>Selected by Rent Scenario Schedule for the Stabilization / Refinance Year; average is reference only</t>
  </si>
  <si>
    <t>Average is reference only; model uses scenario schedule</t>
  </si>
  <si>
    <t>Repairs &amp; maintenance reserve</t>
  </si>
  <si>
    <t>Annual reserve target funded before waterfall distributions; once funded, excess cash flows through waterfall</t>
  </si>
  <si>
    <t>Reserve Funding</t>
  </si>
  <si>
    <t>Reserve Balance</t>
  </si>
  <si>
    <t>Refi Year</t>
  </si>
  <si>
    <t>Exit Year</t>
  </si>
  <si>
    <t>Model uses selected Waterfall refinance-year option button; helper cell Waterfall!R3; buttons shown for Years 1-10 only</t>
  </si>
  <si>
    <t>Model uses selected Waterfall exit-year option button; helper cell Waterfall!S3; buttons shown for Years 1-10 only</t>
  </si>
  <si>
    <t xml:space="preserve"> Capital Balance B</t>
  </si>
  <si>
    <t>Capital Returned B</t>
  </si>
  <si>
    <t xml:space="preserve"> Residual   B</t>
  </si>
  <si>
    <t>Residual A</t>
  </si>
  <si>
    <t>Total Dist A</t>
  </si>
  <si>
    <t>Total Dist B</t>
  </si>
  <si>
    <t>Capital Returned A</t>
  </si>
  <si>
    <t>Capital Balance A</t>
  </si>
  <si>
    <t>3325 Banks Rd - STR Operating Scenarios</t>
  </si>
  <si>
    <t>Scenario Selector</t>
  </si>
  <si>
    <t>Selected Operating Scenario</t>
  </si>
  <si>
    <t>Base Co-Living / Medium-Term</t>
  </si>
  <si>
    <t>Annual Model revenue pulls from this selected scenario.</t>
  </si>
  <si>
    <t>One Floor STR + One Floor Co-Living</t>
  </si>
  <si>
    <t>Whole Building STR</t>
  </si>
  <si>
    <t>Existing co-living rent schedule remains controlling.</t>
  </si>
  <si>
    <t>STR Input Assumptions</t>
  </si>
  <si>
    <t>Input</t>
  </si>
  <si>
    <t>Low / Year 1</t>
  </si>
  <si>
    <t>Medium / Year 2</t>
  </si>
  <si>
    <t>High / Year 3+</t>
  </si>
  <si>
    <t>One-floor STR weekly rent</t>
  </si>
  <si>
    <t>Weekly gross rent for one full floor</t>
  </si>
  <si>
    <t>One-floor STR occupancy</t>
  </si>
  <si>
    <t>Occupied week percentage</t>
  </si>
  <si>
    <t>Whole-building STR weekly rent</t>
  </si>
  <si>
    <t>Weekly gross rent for full building</t>
  </si>
  <si>
    <t>Whole-building STR occupancy</t>
  </si>
  <si>
    <t>STR platform / lodging cost ratio</t>
  </si>
  <si>
    <t>Gross-revenue haircut for STR platform/tax/admin stress</t>
  </si>
  <si>
    <t>STR turnover cost per occupied week</t>
  </si>
  <si>
    <t>Cleaning, supplies, turnover allowance</t>
  </si>
  <si>
    <t>Annual Revenue Scenario Output</t>
  </si>
  <si>
    <t>Rent Case</t>
  </si>
  <si>
    <t>Base Monthly Gross Rent</t>
  </si>
  <si>
    <t>Base Annual Gross Rent</t>
  </si>
  <si>
    <t>One-Floor STR Weekly Rent</t>
  </si>
  <si>
    <t>One-Floor STR Occupancy</t>
  </si>
  <si>
    <t>Other Floor Annual Rent</t>
  </si>
  <si>
    <t>One-Floor STR Annual Gross</t>
  </si>
  <si>
    <t>Whole-Building STR Weekly Rent</t>
  </si>
  <si>
    <t>Whole-Building STR Occupancy</t>
  </si>
  <si>
    <t>Whole-Building STR Annual Gross</t>
  </si>
  <si>
    <t>Selected Annual Gross Rent</t>
  </si>
  <si>
    <t>Experimental STR Scenario</t>
  </si>
  <si>
    <t>Edit selector on STR Scenarios!B4</t>
  </si>
  <si>
    <t>STR Experimental Workbook Notes</t>
  </si>
  <si>
    <t>This workbook is an experimental copy of the investor ROI model. The original workbook is not modified.</t>
  </si>
  <si>
    <t>The STR Scenarios tab lets the Annual Model switch between Base Co-Living / Medium-Term, One Floor STR + One Floor Co-Living, and Whole Building STR.</t>
  </si>
  <si>
    <t>STR outputs are modeled as annual gross rent after platform/lodging cost haircut and turnover cost allowance. Operating expenses still flow through the existing Operating Expense Budget unless separately revised.</t>
  </si>
  <si>
    <t>Use this copy for sensitivity testing. If the STR approach is abandoned, return to the original workbook.</t>
  </si>
  <si>
    <t>Option #</t>
  </si>
  <si>
    <t>Select</t>
  </si>
  <si>
    <t>Operating Scenario</t>
  </si>
  <si>
    <t>Description</t>
  </si>
  <si>
    <t>One full floor rents weekly as STR; other floor remains co-living/medium-term.</t>
  </si>
  <si>
    <t>Entire building rents weekly as STR.</t>
  </si>
  <si>
    <t>IRR %</t>
  </si>
  <si>
    <t>One Floor STR + Co-Living</t>
  </si>
  <si>
    <t>Participant Return Comparison by Rent Option</t>
  </si>
  <si>
    <t>Rent Option</t>
  </si>
  <si>
    <t>Chart Label</t>
  </si>
  <si>
    <t>Base Co-Living / Medium-Term - Class A</t>
  </si>
  <si>
    <t>Base Co-Living / Medium-Term - Class B</t>
  </si>
  <si>
    <t>Base Co-Living / Medium-Term - Sponsor</t>
  </si>
  <si>
    <t>One Floor STR + Co-Living - Class A</t>
  </si>
  <si>
    <t>One Floor STR + Co-Living - Class B</t>
  </si>
  <si>
    <t>One Floor STR + Co-Living - Sponsor</t>
  </si>
  <si>
    <t>Whole Building STR - Class A</t>
  </si>
  <si>
    <t>Whole Building STR - Class B</t>
  </si>
  <si>
    <t>Whole Building STR - Sponsor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</si>
</sst>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%"/>
    <numFmt numFmtId="166" formatCode="0.00\x"/>
  </numFmts>
  <fonts count="15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0"/>
      <color rgb="FF666666"/>
      <name val="Calibri"/>
      <family val="2"/>
    </font>
    <font>
      <b/>
      <sz val="14"/>
      <name val="Calibri"/>
      <family val="2"/>
    </font>
    <font>
      <b/>
      <sz val="11"/>
      <color theme="1"/>
      <name val="Calibri"/>
      <family val="2"/>
    </font>
    <font>
      <sz val="8"/>
      <name val="Calibri"/>
    </font>
    <font>
      <b/>
      <sz val="16"/>
      <name val="Calibri"/>
      <family val="2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sz val="16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F7EBDD"/>
        <bgColor indexed="64"/>
      </patternFill>
    </fill>
    <fill>
      <patternFill patternType="solid">
        <fgColor rgb="FFD9F0E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theme="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5">
    <xf numFmtId="0" fontId="0" fillId="0" borderId="0" xfId="0"/>
    <xf numFmtId="16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3" fontId="1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3" fontId="0" fillId="3" borderId="0" xfId="0" applyNumberFormat="1" applyFill="1"/>
    <xf numFmtId="3" fontId="4" fillId="3" borderId="0" xfId="0" applyNumberFormat="1" applyFont="1" applyFill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center"/>
    </xf>
    <xf numFmtId="1" fontId="4" fillId="0" borderId="0" xfId="0" applyNumberFormat="1" applyFont="1"/>
    <xf numFmtId="0" fontId="0" fillId="0" borderId="3" xfId="0" applyBorder="1"/>
    <xf numFmtId="164" fontId="0" fillId="0" borderId="4" xfId="0" applyNumberFormat="1" applyBorder="1"/>
    <xf numFmtId="3" fontId="5" fillId="0" borderId="0" xfId="0" applyNumberFormat="1" applyFont="1"/>
    <xf numFmtId="165" fontId="0" fillId="0" borderId="0" xfId="0" applyNumberFormat="1"/>
    <xf numFmtId="3" fontId="6" fillId="0" borderId="0" xfId="0" applyNumberFormat="1" applyFont="1"/>
    <xf numFmtId="3" fontId="3" fillId="2" borderId="1" xfId="0" applyNumberFormat="1" applyFont="1" applyFill="1" applyBorder="1"/>
    <xf numFmtId="164" fontId="4" fillId="0" borderId="0" xfId="0" applyNumberFormat="1" applyFont="1"/>
    <xf numFmtId="0" fontId="4" fillId="0" borderId="0" xfId="0" applyFont="1" applyAlignment="1">
      <alignment horizontal="center" wrapText="1"/>
    </xf>
    <xf numFmtId="10" fontId="4" fillId="0" borderId="0" xfId="0" applyNumberFormat="1" applyFont="1"/>
    <xf numFmtId="3" fontId="3" fillId="2" borderId="5" xfId="0" applyNumberFormat="1" applyFont="1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3" fontId="7" fillId="2" borderId="5" xfId="0" applyNumberFormat="1" applyFont="1" applyFill="1" applyBorder="1" applyAlignment="1">
      <alignment horizontal="center" wrapText="1"/>
    </xf>
    <xf numFmtId="3" fontId="7" fillId="4" borderId="5" xfId="0" applyNumberFormat="1" applyFont="1" applyFill="1" applyBorder="1" applyAlignment="1">
      <alignment horizontal="center" wrapText="1"/>
    </xf>
    <xf numFmtId="3" fontId="7" fillId="5" borderId="5" xfId="0" applyNumberFormat="1" applyFont="1" applyFill="1" applyBorder="1" applyAlignment="1">
      <alignment horizontal="center" wrapText="1"/>
    </xf>
    <xf numFmtId="9" fontId="4" fillId="0" borderId="0" xfId="0" applyNumberFormat="1" applyFont="1"/>
    <xf numFmtId="3" fontId="3" fillId="3" borderId="2" xfId="0" applyNumberFormat="1" applyFont="1" applyFill="1" applyBorder="1" applyAlignment="1">
      <alignment horizontal="center"/>
    </xf>
    <xf numFmtId="3" fontId="4" fillId="0" borderId="6" xfId="0" applyNumberFormat="1" applyFont="1" applyBorder="1"/>
    <xf numFmtId="3" fontId="4" fillId="0" borderId="7" xfId="0" applyNumberFormat="1" applyFont="1" applyBorder="1"/>
    <xf numFmtId="3" fontId="4" fillId="0" borderId="8" xfId="0" applyNumberFormat="1" applyFont="1" applyBorder="1"/>
    <xf numFmtId="3" fontId="4" fillId="0" borderId="9" xfId="0" applyNumberFormat="1" applyFont="1" applyBorder="1"/>
    <xf numFmtId="0" fontId="3" fillId="0" borderId="2" xfId="0" applyFont="1" applyBorder="1" applyAlignment="1">
      <alignment horizontal="center"/>
    </xf>
    <xf numFmtId="3" fontId="4" fillId="0" borderId="10" xfId="0" applyNumberFormat="1" applyFont="1" applyBorder="1"/>
    <xf numFmtId="0" fontId="3" fillId="0" borderId="11" xfId="0" applyFont="1" applyBorder="1"/>
    <xf numFmtId="0" fontId="0" fillId="0" borderId="11" xfId="0" applyBorder="1"/>
    <xf numFmtId="3" fontId="0" fillId="0" borderId="11" xfId="0" applyNumberFormat="1" applyBorder="1"/>
    <xf numFmtId="3" fontId="0" fillId="4" borderId="11" xfId="0" applyNumberFormat="1" applyFill="1" applyBorder="1"/>
    <xf numFmtId="166" fontId="0" fillId="4" borderId="11" xfId="0" applyNumberFormat="1" applyFill="1" applyBorder="1"/>
    <xf numFmtId="3" fontId="0" fillId="6" borderId="11" xfId="0" applyNumberFormat="1" applyFill="1" applyBorder="1"/>
    <xf numFmtId="166" fontId="0" fillId="6" borderId="11" xfId="0" applyNumberFormat="1" applyFill="1" applyBorder="1"/>
    <xf numFmtId="3" fontId="0" fillId="5" borderId="11" xfId="0" applyNumberFormat="1" applyFill="1" applyBorder="1"/>
    <xf numFmtId="166" fontId="0" fillId="5" borderId="11" xfId="0" applyNumberFormat="1" applyFill="1" applyBorder="1"/>
    <xf numFmtId="3" fontId="0" fillId="0" borderId="13" xfId="0" applyNumberFormat="1" applyBorder="1"/>
    <xf numFmtId="166" fontId="0" fillId="0" borderId="13" xfId="0" applyNumberFormat="1" applyBorder="1"/>
    <xf numFmtId="3" fontId="0" fillId="4" borderId="15" xfId="0" applyNumberFormat="1" applyFill="1" applyBorder="1"/>
    <xf numFmtId="3" fontId="0" fillId="6" borderId="15" xfId="0" applyNumberFormat="1" applyFill="1" applyBorder="1"/>
    <xf numFmtId="3" fontId="0" fillId="5" borderId="15" xfId="0" applyNumberFormat="1" applyFill="1" applyBorder="1"/>
    <xf numFmtId="3" fontId="0" fillId="0" borderId="16" xfId="0" applyNumberFormat="1" applyBorder="1"/>
    <xf numFmtId="10" fontId="0" fillId="4" borderId="18" xfId="0" applyNumberFormat="1" applyFill="1" applyBorder="1"/>
    <xf numFmtId="10" fontId="0" fillId="6" borderId="18" xfId="0" applyNumberFormat="1" applyFill="1" applyBorder="1"/>
    <xf numFmtId="10" fontId="0" fillId="5" borderId="18" xfId="0" applyNumberFormat="1" applyFill="1" applyBorder="1"/>
    <xf numFmtId="10" fontId="0" fillId="0" borderId="19" xfId="0" applyNumberFormat="1" applyBorder="1"/>
    <xf numFmtId="3" fontId="3" fillId="0" borderId="14" xfId="0" applyNumberFormat="1" applyFont="1" applyBorder="1" applyAlignment="1">
      <alignment horizontal="center" wrapText="1"/>
    </xf>
    <xf numFmtId="3" fontId="3" fillId="0" borderId="12" xfId="0" applyNumberFormat="1" applyFont="1" applyBorder="1" applyAlignment="1">
      <alignment horizontal="center" wrapText="1"/>
    </xf>
    <xf numFmtId="3" fontId="3" fillId="0" borderId="17" xfId="0" applyNumberFormat="1" applyFont="1" applyBorder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0" fontId="9" fillId="0" borderId="0" xfId="0" applyFont="1"/>
    <xf numFmtId="9" fontId="0" fillId="0" borderId="0" xfId="0" applyNumberFormat="1"/>
    <xf numFmtId="0" fontId="3" fillId="7" borderId="0" xfId="0" applyFont="1" applyFill="1"/>
    <xf numFmtId="0" fontId="4" fillId="7" borderId="0" xfId="0" applyFont="1" applyFill="1"/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 wrapText="1"/>
    </xf>
    <xf numFmtId="3" fontId="0" fillId="5" borderId="0" xfId="0" applyNumberFormat="1" applyFill="1"/>
    <xf numFmtId="9" fontId="0" fillId="5" borderId="0" xfId="0" applyNumberFormat="1" applyFill="1"/>
    <xf numFmtId="3" fontId="0" fillId="4" borderId="0" xfId="0" applyNumberFormat="1" applyFill="1"/>
    <xf numFmtId="9" fontId="0" fillId="4" borderId="0" xfId="0" applyNumberFormat="1" applyFill="1"/>
    <xf numFmtId="0" fontId="3" fillId="9" borderId="2" xfId="0" applyFont="1" applyFill="1" applyBorder="1" applyAlignment="1">
      <alignment horizontal="center"/>
    </xf>
    <xf numFmtId="0" fontId="0" fillId="4" borderId="0" xfId="0" applyFill="1"/>
    <xf numFmtId="0" fontId="0" fillId="5" borderId="0" xfId="0" applyFill="1"/>
    <xf numFmtId="0" fontId="11" fillId="9" borderId="2" xfId="0" applyFont="1" applyFill="1" applyBorder="1" applyAlignment="1">
      <alignment horizontal="center"/>
    </xf>
    <xf numFmtId="0" fontId="10" fillId="10" borderId="3" xfId="0" applyFont="1" applyFill="1" applyBorder="1" applyAlignment="1">
      <alignment horizontal="center" vertical="center"/>
    </xf>
    <xf numFmtId="0" fontId="3" fillId="3" borderId="3" xfId="0" applyFont="1" applyFill="1" applyBorder="1"/>
    <xf numFmtId="0" fontId="3" fillId="11" borderId="3" xfId="0" applyFont="1" applyFill="1" applyBorder="1"/>
    <xf numFmtId="0" fontId="3" fillId="12" borderId="3" xfId="0" applyFont="1" applyFill="1" applyBorder="1"/>
    <xf numFmtId="1" fontId="12" fillId="3" borderId="2" xfId="0" applyNumberFormat="1" applyFont="1" applyFill="1" applyBorder="1" applyAlignment="1">
      <alignment horizontal="center" vertical="center" wrapText="1"/>
    </xf>
    <xf numFmtId="0" fontId="0" fillId="3" borderId="11" xfId="0" applyFill="1" applyBorder="1"/>
    <xf numFmtId="3" fontId="0" fillId="3" borderId="11" xfId="0" applyNumberFormat="1" applyFill="1" applyBorder="1"/>
    <xf numFmtId="164" fontId="0" fillId="3" borderId="11" xfId="0" applyNumberFormat="1" applyFill="1" applyBorder="1"/>
    <xf numFmtId="0" fontId="0" fillId="11" borderId="11" xfId="0" applyFill="1" applyBorder="1"/>
    <xf numFmtId="3" fontId="0" fillId="11" borderId="11" xfId="0" applyNumberFormat="1" applyFill="1" applyBorder="1"/>
    <xf numFmtId="164" fontId="0" fillId="11" borderId="11" xfId="0" applyNumberFormat="1" applyFill="1" applyBorder="1"/>
    <xf numFmtId="0" fontId="0" fillId="12" borderId="11" xfId="0" applyFill="1" applyBorder="1"/>
    <xf numFmtId="3" fontId="0" fillId="12" borderId="11" xfId="0" applyNumberFormat="1" applyFill="1" applyBorder="1"/>
    <xf numFmtId="164" fontId="0" fillId="12" borderId="11" xfId="0" applyNumberFormat="1" applyFill="1" applyBorder="1"/>
    <xf numFmtId="0" fontId="0" fillId="12" borderId="27" xfId="0" applyFill="1" applyBorder="1"/>
    <xf numFmtId="3" fontId="0" fillId="12" borderId="27" xfId="0" applyNumberFormat="1" applyFill="1" applyBorder="1"/>
    <xf numFmtId="164" fontId="0" fillId="12" borderId="27" xfId="0" applyNumberFormat="1" applyFill="1" applyBorder="1"/>
    <xf numFmtId="0" fontId="3" fillId="0" borderId="0" xfId="0" applyFont="1"/>
    <xf numFmtId="0" fontId="0" fillId="0" borderId="0" xfId="0"/>
    <xf numFmtId="0" fontId="0" fillId="5" borderId="0" xfId="0" applyFill="1"/>
    <xf numFmtId="0" fontId="0" fillId="4" borderId="0" xfId="0" applyFill="1"/>
    <xf numFmtId="0" fontId="9" fillId="0" borderId="0" xfId="0" applyFont="1"/>
    <xf numFmtId="0" fontId="10" fillId="10" borderId="3" xfId="0" applyFont="1" applyFill="1" applyBorder="1" applyAlignment="1">
      <alignment horizontal="center" vertical="center"/>
    </xf>
    <xf numFmtId="0" fontId="10" fillId="10" borderId="20" xfId="0" applyFont="1" applyFill="1" applyBorder="1" applyAlignment="1">
      <alignment horizontal="center" vertical="center"/>
    </xf>
    <xf numFmtId="0" fontId="10" fillId="10" borderId="4" xfId="0" applyFont="1" applyFill="1" applyBorder="1" applyAlignment="1">
      <alignment horizontal="center" vertical="center"/>
    </xf>
    <xf numFmtId="0" fontId="3" fillId="3" borderId="3" xfId="0" applyFont="1" applyFill="1" applyBorder="1"/>
    <xf numFmtId="0" fontId="0" fillId="3" borderId="20" xfId="0" applyFill="1" applyBorder="1"/>
    <xf numFmtId="0" fontId="0" fillId="3" borderId="4" xfId="0" applyFill="1" applyBorder="1"/>
    <xf numFmtId="0" fontId="3" fillId="5" borderId="3" xfId="0" applyFont="1" applyFill="1" applyBorder="1"/>
    <xf numFmtId="0" fontId="0" fillId="5" borderId="20" xfId="0" applyFill="1" applyBorder="1"/>
    <xf numFmtId="0" fontId="0" fillId="5" borderId="4" xfId="0" applyFill="1" applyBorder="1"/>
    <xf numFmtId="0" fontId="3" fillId="4" borderId="3" xfId="0" applyFont="1" applyFill="1" applyBorder="1"/>
    <xf numFmtId="0" fontId="0" fillId="4" borderId="20" xfId="0" applyFill="1" applyBorder="1"/>
    <xf numFmtId="0" fontId="0" fillId="4" borderId="4" xfId="0" applyFill="1" applyBorder="1"/>
    <xf numFmtId="0" fontId="3" fillId="8" borderId="3" xfId="0" applyFont="1" applyFill="1" applyBorder="1"/>
    <xf numFmtId="0" fontId="0" fillId="0" borderId="20" xfId="0" applyBorder="1"/>
    <xf numFmtId="0" fontId="0" fillId="0" borderId="4" xfId="0" applyBorder="1"/>
    <xf numFmtId="3" fontId="5" fillId="0" borderId="0" xfId="0" applyNumberFormat="1" applyFont="1"/>
    <xf numFmtId="0" fontId="4" fillId="0" borderId="0" xfId="0" applyFont="1"/>
    <xf numFmtId="0" fontId="3" fillId="0" borderId="11" xfId="0" applyFont="1" applyBorder="1"/>
    <xf numFmtId="3" fontId="6" fillId="0" borderId="0" xfId="0" applyNumberFormat="1" applyFont="1"/>
    <xf numFmtId="3" fontId="0" fillId="11" borderId="21" xfId="0" applyNumberFormat="1" applyFill="1" applyBorder="1"/>
    <xf numFmtId="0" fontId="0" fillId="11" borderId="25" xfId="0" applyFill="1" applyBorder="1"/>
    <xf numFmtId="3" fontId="0" fillId="12" borderId="21" xfId="0" applyNumberFormat="1" applyFill="1" applyBorder="1"/>
    <xf numFmtId="0" fontId="0" fillId="12" borderId="25" xfId="0" applyFill="1" applyBorder="1"/>
    <xf numFmtId="3" fontId="0" fillId="12" borderId="28" xfId="0" applyNumberFormat="1" applyFill="1" applyBorder="1"/>
    <xf numFmtId="0" fontId="0" fillId="12" borderId="9" xfId="0" applyFill="1" applyBorder="1"/>
    <xf numFmtId="3" fontId="0" fillId="3" borderId="21" xfId="0" applyNumberFormat="1" applyFill="1" applyBorder="1"/>
    <xf numFmtId="0" fontId="0" fillId="3" borderId="25" xfId="0" applyFill="1" applyBorder="1"/>
    <xf numFmtId="0" fontId="0" fillId="12" borderId="8" xfId="0" applyFill="1" applyBorder="1"/>
    <xf numFmtId="0" fontId="0" fillId="12" borderId="10" xfId="0" applyFill="1" applyBorder="1"/>
    <xf numFmtId="0" fontId="0" fillId="12" borderId="26" xfId="0" applyFill="1" applyBorder="1"/>
    <xf numFmtId="0" fontId="0" fillId="3" borderId="21" xfId="0" applyFill="1" applyBorder="1"/>
    <xf numFmtId="0" fontId="0" fillId="3" borderId="0" xfId="0" applyFill="1"/>
    <xf numFmtId="0" fontId="0" fillId="11" borderId="21" xfId="0" applyFill="1" applyBorder="1"/>
    <xf numFmtId="0" fontId="0" fillId="11" borderId="0" xfId="0" applyFill="1"/>
    <xf numFmtId="0" fontId="0" fillId="12" borderId="21" xfId="0" applyFill="1" applyBorder="1"/>
    <xf numFmtId="0" fontId="0" fillId="12" borderId="0" xfId="0" applyFill="1"/>
    <xf numFmtId="0" fontId="0" fillId="12" borderId="28" xfId="0" applyFill="1" applyBorder="1"/>
    <xf numFmtId="0" fontId="0" fillId="12" borderId="24" xfId="0" applyFill="1" applyBorder="1"/>
    <xf numFmtId="0" fontId="0" fillId="12" borderId="22" xfId="0" applyFill="1" applyBorder="1"/>
    <xf numFmtId="0" fontId="0" fillId="0" borderId="1" xfId="0" applyBorder="1" applyAlignment="1">
      <alignment horizontal="center" wrapText="1"/>
    </xf>
    <xf numFmtId="0" fontId="0" fillId="11" borderId="24" xfId="0" applyFill="1" applyBorder="1"/>
    <xf numFmtId="0" fontId="0" fillId="11" borderId="22" xfId="0" applyFill="1" applyBorder="1"/>
    <xf numFmtId="0" fontId="0" fillId="3" borderId="24" xfId="0" applyFill="1" applyBorder="1"/>
    <xf numFmtId="0" fontId="0" fillId="3" borderId="22" xfId="0" applyFill="1" applyBorder="1"/>
    <xf numFmtId="0" fontId="13" fillId="13" borderId="6" xfId="0" applyFont="1" applyFill="1" applyBorder="1"/>
    <xf numFmtId="0" fontId="14" fillId="13" borderId="23" xfId="0" applyFont="1" applyFill="1" applyBorder="1"/>
    <xf numFmtId="0" fontId="14" fillId="13" borderId="7" xfId="0" applyFont="1" applyFill="1" applyBorder="1"/>
    <xf numFmtId="0" fontId="3" fillId="12" borderId="3" xfId="0" applyFont="1" applyFill="1" applyBorder="1"/>
    <xf numFmtId="0" fontId="0" fillId="12" borderId="20" xfId="0" applyFill="1" applyBorder="1"/>
    <xf numFmtId="0" fontId="0" fillId="12" borderId="4" xfId="0" applyFill="1" applyBorder="1"/>
    <xf numFmtId="0" fontId="3" fillId="11" borderId="3" xfId="0" applyFont="1" applyFill="1" applyBorder="1"/>
    <xf numFmtId="0" fontId="0" fillId="11" borderId="20" xfId="0" applyFill="1" applyBorder="1"/>
    <xf numFmtId="0" fontId="0" fillId="11" borderId="4" xfId="0" applyFill="1" applyBorder="1"/>
    <xf numFmtId="3" fontId="3" fillId="2" borderId="1" xfId="0" applyNumberFormat="1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3" fontId="3" fillId="4" borderId="1" xfId="0" applyNumberFormat="1" applyFont="1" applyFill="1" applyBorder="1" applyAlignment="1">
      <alignment horizontal="center" wrapText="1"/>
    </xf>
    <xf numFmtId="3" fontId="6" fillId="0" borderId="3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3" fontId="4" fillId="0" borderId="0" xfId="0" applyNumberFormat="1" applyFont="1"/>
    <xf numFmtId="0" fontId="0" fillId="3" borderId="12" xfId="0" applyFill="1" applyBorder="1"/>
    <xf numFmtId="3" fontId="0" fillId="3" borderId="12" xfId="0" applyNumberFormat="1" applyFill="1" applyBorder="1"/>
    <xf numFmtId="164" fontId="0" fillId="3" borderId="12" xfId="0" applyNumberFormat="1" applyFill="1" applyBorder="1"/>
    <xf numFmtId="3" fontId="10" fillId="14" borderId="3" xfId="0" applyNumberFormat="1" applyFont="1" applyFill="1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3" fontId="10" fillId="14" borderId="30" xfId="0" applyNumberFormat="1" applyFont="1" applyFill="1" applyBorder="1" applyAlignment="1">
      <alignment horizontal="center" wrapText="1"/>
    </xf>
    <xf numFmtId="3" fontId="10" fillId="14" borderId="30" xfId="0" applyNumberFormat="1" applyFont="1" applyFill="1" applyBorder="1" applyAlignment="1">
      <alignment horizontal="center" wrapText="1"/>
    </xf>
    <xf numFmtId="0" fontId="0" fillId="0" borderId="4" xfId="0" applyBorder="1" applyAlignment="1">
      <alignment horizontal="center" wrapText="1"/>
    </xf>
  </cellXfs>
  <cellStyles count="1">
    <cellStyle name="Normal" xfId="0" builtinId="0"/>
  </cellStyles>
  <dxfs count="79">
    <dxf>
      <fill>
        <patternFill>
          <bgColor rgb="FFFFFF00"/>
        </patternFill>
      </fill>
    </dxf>
    <dxf>
      <numFmt numFmtId="14" formatCode="0.00%"/>
    </dxf>
    <dxf>
      <numFmt numFmtId="14" formatCode="0.00%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0.00\x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border outline="0">
        <bottom style="thin">
          <color indexed="64"/>
        </bottom>
      </border>
    </dxf>
    <dxf>
      <font>
        <b/>
        <family val="2"/>
      </font>
      <numFmt numFmtId="3" formatCode="#,##0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numFmt numFmtId="3" formatCode="#,##0"/>
    </dxf>
    <dxf>
      <numFmt numFmtId="3" formatCode="#,##0"/>
      <fill>
        <patternFill patternType="solid">
          <fgColor indexed="64"/>
          <bgColor rgb="FF92D050"/>
        </patternFill>
      </fill>
    </dxf>
    <dxf>
      <numFmt numFmtId="13" formatCode="0%"/>
      <fill>
        <patternFill patternType="solid">
          <fgColor indexed="64"/>
          <bgColor rgb="FF92D050"/>
        </patternFill>
      </fill>
    </dxf>
    <dxf>
      <numFmt numFmtId="3" formatCode="#,##0"/>
      <fill>
        <patternFill patternType="solid">
          <fgColor indexed="64"/>
          <bgColor rgb="FF92D050"/>
        </patternFill>
      </fill>
    </dxf>
    <dxf>
      <numFmt numFmtId="3" formatCode="#,##0"/>
      <fill>
        <patternFill patternType="solid">
          <fgColor indexed="64"/>
          <bgColor rgb="FFFFC000"/>
        </patternFill>
      </fill>
    </dxf>
    <dxf>
      <numFmt numFmtId="3" formatCode="#,##0"/>
      <fill>
        <patternFill patternType="solid">
          <fgColor indexed="64"/>
          <bgColor rgb="FFFFC000"/>
        </patternFill>
      </fill>
    </dxf>
    <dxf>
      <numFmt numFmtId="13" formatCode="0%"/>
      <fill>
        <patternFill patternType="solid">
          <fgColor indexed="64"/>
          <bgColor rgb="FFFFC000"/>
        </patternFill>
      </fill>
    </dxf>
    <dxf>
      <numFmt numFmtId="3" formatCode="#,##0"/>
      <fill>
        <patternFill patternType="solid">
          <fgColor indexed="64"/>
          <bgColor rgb="FFFFC000"/>
        </patternFill>
      </fill>
    </dxf>
    <dxf>
      <numFmt numFmtId="3" formatCode="#,##0"/>
      <fill>
        <patternFill patternType="solid">
          <fgColor indexed="64"/>
          <bgColor rgb="FFFFFF00"/>
        </patternFill>
      </fill>
    </dxf>
    <dxf>
      <numFmt numFmtId="3" formatCode="#,##0"/>
      <fill>
        <patternFill patternType="solid">
          <fgColor indexed="64"/>
          <bgColor rgb="FFFFFF00"/>
        </patternFill>
      </fill>
    </dxf>
    <dxf>
      <numFmt numFmtId="3" formatCode="#,##0"/>
    </dxf>
    <dxf>
      <numFmt numFmtId="3" formatCode="#,##0"/>
    </dxf>
    <dxf>
      <numFmt numFmtId="3" formatCode="#,##0"/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700"/>
            </a:pPr>
            <a:r>
              <a:rPr lang="en-US"/>
              <a:t>Return Metrics by Rent Option and Participant</a:t>
            </a:r>
          </a:p>
        </c:rich>
      </c:tx>
      <c:layout>
        <c:manualLayout>
          <c:xMode val="edge"/>
          <c:yMode val="edge"/>
          <c:x val="0.18519427402862987"/>
          <c:y val="4.880427977410765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192428707147803"/>
          <c:y val="0.21736925212633701"/>
          <c:w val="0.64949751219747842"/>
          <c:h val="0.38010767351942631"/>
        </c:manualLayout>
      </c:layout>
      <c:barChart>
        <c:barDir val="col"/>
        <c:grouping val="clustered"/>
        <c:varyColors val="0"/>
        <c:ser>
          <c:idx val="0"/>
          <c:order val="0"/>
          <c:tx>
            <c:v>Total Profit</c:v>
          </c:tx>
          <c:spPr>
            <a:solidFill>
              <a:srgbClr val="476F58"/>
            </a:solidFill>
          </c:spPr>
          <c:invertIfNegative val="0"/>
          <c:cat>
            <c:strRef>
              <c:f>Waterfall!$F$34:$F$42</c:f>
              <c:strCache>
                <c:ptCount val="9"/>
                <c:pt idx="0">
                  <c:v>Base Co-Living / Medium-Term - Class A</c:v>
                </c:pt>
                <c:pt idx="1">
                  <c:v>Base Co-Living / Medium-Term - Class B</c:v>
                </c:pt>
                <c:pt idx="2">
                  <c:v>Base Co-Living / Medium-Term - Sponsor</c:v>
                </c:pt>
                <c:pt idx="3">
                  <c:v>One Floor STR + Co-Living - Class A</c:v>
                </c:pt>
                <c:pt idx="4">
                  <c:v>One Floor STR + Co-Living - Class B</c:v>
                </c:pt>
                <c:pt idx="5">
                  <c:v>One Floor STR + Co-Living - Sponsor</c:v>
                </c:pt>
                <c:pt idx="6">
                  <c:v>Whole Building STR - Class A</c:v>
                </c:pt>
                <c:pt idx="7">
                  <c:v>Whole Building STR - Class B</c:v>
                </c:pt>
                <c:pt idx="8">
                  <c:v>Whole Building STR - Sponsor</c:v>
                </c:pt>
              </c:strCache>
            </c:strRef>
          </c:cat>
          <c:val>
            <c:numRef>
              <c:f>Waterfall!$K$34:$K$42</c:f>
              <c:numCache>
                <c:formatCode>#,##0</c:formatCode>
                <c:ptCount val="9"/>
                <c:pt idx="0">
                  <c:v>219799.48570431559</c:v>
                </c:pt>
                <c:pt idx="1">
                  <c:v>234783.08283288495</c:v>
                </c:pt>
                <c:pt idx="2">
                  <c:v>327148.34739884926</c:v>
                </c:pt>
                <c:pt idx="3">
                  <c:v>264666.01012491627</c:v>
                </c:pt>
                <c:pt idx="4">
                  <c:v>316186.60410725744</c:v>
                </c:pt>
                <c:pt idx="5">
                  <c:v>453156.53786465875</c:v>
                </c:pt>
                <c:pt idx="6">
                  <c:v>278057.43248614768</c:v>
                </c:pt>
                <c:pt idx="7">
                  <c:v>338354.90441211156</c:v>
                </c:pt>
                <c:pt idx="8">
                  <c:v>487471.85203518625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D5-4A00-B737-6F6B09237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1929535"/>
        <c:axId val="2061930975"/>
      </c:barChart>
      <c:lineChart>
        <c:grouping val="standard"/>
        <c:varyColors val="0"/>
        <c:ser>
          <c:idx val="1"/>
          <c:order val="1"/>
          <c:tx>
            <c:v>ROI %</c:v>
          </c:tx>
          <c:spPr>
            <a:ln>
              <a:solidFill>
                <a:srgbClr val="0078D7"/>
              </a:solidFill>
            </a:ln>
          </c:spPr>
          <c:marker>
            <c:symbol val="circle"/>
            <c:size val="5"/>
            <c:spPr>
              <a:ln>
                <a:solidFill>
                  <a:srgbClr val="0078D7"/>
                </a:solidFill>
              </a:ln>
            </c:spPr>
          </c:marker>
          <c:cat>
            <c:strRef>
              <c:f>Waterfall!$F$34:$F$42</c:f>
              <c:strCache>
                <c:ptCount val="9"/>
                <c:pt idx="0">
                  <c:v>Base Co-Living / Medium-Term - Class A</c:v>
                </c:pt>
                <c:pt idx="1">
                  <c:v>Base Co-Living / Medium-Term - Class B</c:v>
                </c:pt>
                <c:pt idx="2">
                  <c:v>Base Co-Living / Medium-Term - Sponsor</c:v>
                </c:pt>
                <c:pt idx="3">
                  <c:v>One Floor STR + Co-Living - Class A</c:v>
                </c:pt>
                <c:pt idx="4">
                  <c:v>One Floor STR + Co-Living - Class B</c:v>
                </c:pt>
                <c:pt idx="5">
                  <c:v>One Floor STR + Co-Living - Sponsor</c:v>
                </c:pt>
                <c:pt idx="6">
                  <c:v>Whole Building STR - Class A</c:v>
                </c:pt>
                <c:pt idx="7">
                  <c:v>Whole Building STR - Class B</c:v>
                </c:pt>
                <c:pt idx="8">
                  <c:v>Whole Building STR - Sponsor</c:v>
                </c:pt>
              </c:strCache>
            </c:strRef>
          </c:cat>
          <c:val>
            <c:numRef>
              <c:f>Waterfall!$L$34:$L$42</c:f>
              <c:numCache>
                <c:formatCode>0.0%</c:formatCode>
                <c:ptCount val="9"/>
                <c:pt idx="0">
                  <c:v>0.73266495234771867</c:v>
                </c:pt>
                <c:pt idx="1">
                  <c:v>0.42882754855321453</c:v>
                </c:pt>
                <c:pt idx="2">
                  <c:v>2.4005073809561668</c:v>
                </c:pt>
                <c:pt idx="3">
                  <c:v>0.88222003374972091</c:v>
                </c:pt>
                <c:pt idx="4">
                  <c:v>0.57750977919133784</c:v>
                </c:pt>
                <c:pt idx="5">
                  <c:v>3.3251141952015932</c:v>
                </c:pt>
                <c:pt idx="6">
                  <c:v>0.92685810828715898</c:v>
                </c:pt>
                <c:pt idx="7">
                  <c:v>0.61799982541024945</c:v>
                </c:pt>
                <c:pt idx="8">
                  <c:v>3.5769087269519035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D5-4A00-B737-6F6B092372B8}"/>
            </c:ext>
          </c:extLst>
        </c:ser>
        <c:ser>
          <c:idx val="2"/>
          <c:order val="2"/>
          <c:tx>
            <c:v>IRR %</c:v>
          </c:tx>
          <c:spPr>
            <a:ln>
              <a:solidFill>
                <a:srgbClr val="FF9900"/>
              </a:solidFill>
            </a:ln>
          </c:spPr>
          <c:marker>
            <c:symbol val="circle"/>
            <c:size val="5"/>
            <c:spPr>
              <a:ln>
                <a:solidFill>
                  <a:srgbClr val="FF9900"/>
                </a:solidFill>
              </a:ln>
            </c:spPr>
          </c:marker>
          <c:cat>
            <c:strRef>
              <c:f>Waterfall!$F$34:$F$42</c:f>
              <c:strCache>
                <c:ptCount val="9"/>
                <c:pt idx="0">
                  <c:v>Base Co-Living / Medium-Term - Class A</c:v>
                </c:pt>
                <c:pt idx="1">
                  <c:v>Base Co-Living / Medium-Term - Class B</c:v>
                </c:pt>
                <c:pt idx="2">
                  <c:v>Base Co-Living / Medium-Term - Sponsor</c:v>
                </c:pt>
                <c:pt idx="3">
                  <c:v>One Floor STR + Co-Living - Class A</c:v>
                </c:pt>
                <c:pt idx="4">
                  <c:v>One Floor STR + Co-Living - Class B</c:v>
                </c:pt>
                <c:pt idx="5">
                  <c:v>One Floor STR + Co-Living - Sponsor</c:v>
                </c:pt>
                <c:pt idx="6">
                  <c:v>Whole Building STR - Class A</c:v>
                </c:pt>
                <c:pt idx="7">
                  <c:v>Whole Building STR - Class B</c:v>
                </c:pt>
                <c:pt idx="8">
                  <c:v>Whole Building STR - Sponsor</c:v>
                </c:pt>
              </c:strCache>
            </c:strRef>
          </c:cat>
          <c:val>
            <c:numRef>
              <c:f>Waterfall!$M$34:$M$42</c:f>
              <c:numCache>
                <c:formatCode>0.0%</c:formatCode>
                <c:ptCount val="9"/>
                <c:pt idx="0">
                  <c:v>0.1634264838474333</c:v>
                </c:pt>
                <c:pt idx="1">
                  <c:v>8.9826902125470953E-2</c:v>
                </c:pt>
                <c:pt idx="2">
                  <c:v>0.58541819876459078</c:v>
                </c:pt>
                <c:pt idx="3">
                  <c:v>0.18498025525507211</c:v>
                </c:pt>
                <c:pt idx="4">
                  <c:v>0.11563386411139498</c:v>
                </c:pt>
                <c:pt idx="5">
                  <c:v>0.68267085359075441</c:v>
                </c:pt>
                <c:pt idx="6">
                  <c:v>0.18919673669698978</c:v>
                </c:pt>
                <c:pt idx="7">
                  <c:v>0.12146973485163892</c:v>
                </c:pt>
                <c:pt idx="8">
                  <c:v>0.7056305810885255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D5-4A00-B737-6F6B09237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1932415"/>
        <c:axId val="2061932895"/>
      </c:lineChart>
      <c:catAx>
        <c:axId val="20619295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sz="1400" b="1">
                <a:solidFill>
                  <a:srgbClr val="000000"/>
                </a:solidFill>
              </a:defRPr>
            </a:pPr>
            <a:endParaRPr lang="en-US"/>
          </a:p>
        </c:txPr>
        <c:crossAx val="2061930975"/>
        <c:crosses val="autoZero"/>
        <c:auto val="1"/>
        <c:lblAlgn val="ctr"/>
        <c:lblOffset val="100"/>
        <c:noMultiLvlLbl val="0"/>
      </c:catAx>
      <c:valAx>
        <c:axId val="206193097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Profit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500"/>
            </a:pPr>
            <a:endParaRPr lang="en-US"/>
          </a:p>
        </c:txPr>
        <c:crossAx val="2061929535"/>
        <c:crosses val="autoZero"/>
        <c:crossBetween val="between"/>
      </c:valAx>
      <c:valAx>
        <c:axId val="2061932895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ROI / IRR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sz="1500"/>
            </a:pPr>
            <a:endParaRPr lang="en-US"/>
          </a:p>
        </c:txPr>
        <c:crossAx val="2061932415"/>
        <c:crosses val="max"/>
        <c:crossBetween val="between"/>
      </c:valAx>
      <c:catAx>
        <c:axId val="20619324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6193289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b"/>
      <c:overlay val="0"/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/>
        <a:lstStyle/>
        <a:p>
          <a:pPr>
            <a:defRPr sz="15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12700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GBox" noThreeD="1"/>
</file>

<file path=xl/ctrlProps/ctrlProp2.xml><?xml version="1.0" encoding="utf-8"?>
<formControlPr xmlns="http://schemas.microsoft.com/office/spreadsheetml/2009/9/main" objectType="Radio" firstButton="1" fmlaLink="$H$4" lockText="1" noThreeD="1"/>
</file>

<file path=xl/ctrlProps/ctrlProp3.xml><?xml version="1.0" encoding="utf-8"?>
<formControlPr xmlns="http://schemas.microsoft.com/office/spreadsheetml/2009/9/main" objectType="Radio" lockText="1" noThreeD="1"/>
</file>

<file path=xl/ctrlProps/ctrlProp4.xml><?xml version="1.0" encoding="utf-8"?>
<formControlPr xmlns="http://schemas.microsoft.com/office/spreadsheetml/2009/9/main" objectType="Radio" checked="Checked" lockText="1" noThreeD="1"/>
</file>

<file path=xl/ctrlProps/ctrlProp5.xml><?xml version="1.0" encoding="utf-8"?>
<formControlPr xmlns="http://schemas.microsoft.com/office/spreadsheetml/2009/9/main" objectType="GBox" noThreeD="1"/>
</file>

<file path=xl/ctrlProps/ctrlProp6.xml><?xml version="1.0" encoding="utf-8"?>
<formControlPr xmlns="http://schemas.microsoft.com/office/spreadsheetml/2009/9/main" objectType="GBox" noThreeD="1"/>
</file>

<file path=xl/ctrlProps/ctrlProp7.xml><?xml version="1.0" encoding="utf-8"?>
<formControlPr xmlns="http://schemas.microsoft.com/office/spreadsheetml/2009/9/main" objectType="Radio" firstButton="1" fmlaLink="Waterfall!$S$3" lockText="1" noThreeD="1"/>
</file>

<file path=xl/ctrlProps/ctrlProp8.xml><?xml version="1.0" encoding="utf-8"?>
<formControlPr xmlns="http://schemas.microsoft.com/office/spreadsheetml/2009/9/main" objectType="Radio" firstButton="1" fmlaLink="Waterfall!$T$3" lockText="1" noThreeD="1"/>
</file>

<file path=xl/ctrlProps/ctrlProp9.xml><?xml version="1.0" encoding="utf-8"?>
<formControlPr xmlns="http://schemas.microsoft.com/office/spreadsheetml/2009/9/main" objectType="Radio" lockText="1" noThreeD="1"/>
</file>

<file path=xl/ctrlProps/ctrlProp10.xml><?xml version="1.0" encoding="utf-8"?>
<formControlPr xmlns="http://schemas.microsoft.com/office/spreadsheetml/2009/9/main" objectType="Radio" lockText="1" noThreeD="1"/>
</file>

<file path=xl/ctrlProps/ctrlProp11.xml><?xml version="1.0" encoding="utf-8"?>
<formControlPr xmlns="http://schemas.microsoft.com/office/spreadsheetml/2009/9/main" objectType="Radio" checked="Checked" lockText="1" noThreeD="1"/>
</file>

<file path=xl/ctrlProps/ctrlProp12.xml><?xml version="1.0" encoding="utf-8"?>
<formControlPr xmlns="http://schemas.microsoft.com/office/spreadsheetml/2009/9/main" objectType="Radio" lockText="1" noThreeD="1"/>
</file>

<file path=xl/ctrlProps/ctrlProp13.xml><?xml version="1.0" encoding="utf-8"?>
<formControlPr xmlns="http://schemas.microsoft.com/office/spreadsheetml/2009/9/main" objectType="Radio" lockText="1" noThreeD="1"/>
</file>

<file path=xl/ctrlProps/ctrlProp14.xml><?xml version="1.0" encoding="utf-8"?>
<formControlPr xmlns="http://schemas.microsoft.com/office/spreadsheetml/2009/9/main" objectType="Radio" lockText="1" noThreeD="1"/>
</file>

<file path=xl/ctrlProps/ctrlProp15.xml><?xml version="1.0" encoding="utf-8"?>
<formControlPr xmlns="http://schemas.microsoft.com/office/spreadsheetml/2009/9/main" objectType="Radio" lockText="1" noThreeD="1"/>
</file>

<file path=xl/ctrlProps/ctrlProp16.xml><?xml version="1.0" encoding="utf-8"?>
<formControlPr xmlns="http://schemas.microsoft.com/office/spreadsheetml/2009/9/main" objectType="Radio" checked="Checked" lockText="1" noThreeD="1"/>
</file>

<file path=xl/ctrlProps/ctrlProp17.xml><?xml version="1.0" encoding="utf-8"?>
<formControlPr xmlns="http://schemas.microsoft.com/office/spreadsheetml/2009/9/main" objectType="Radio" lockText="1" noThreeD="1"/>
</file>

<file path=xl/ctrlProps/ctrlProp18.xml><?xml version="1.0" encoding="utf-8"?>
<formControlPr xmlns="http://schemas.microsoft.com/office/spreadsheetml/2009/9/main" objectType="Radio" lockText="1" noThreeD="1"/>
</file>

<file path=xl/ctrlProps/ctrlProp19.xml><?xml version="1.0" encoding="utf-8"?>
<formControlPr xmlns="http://schemas.microsoft.com/office/spreadsheetml/2009/9/main" objectType="Radio" lockText="1" noThreeD="1"/>
</file>

<file path=xl/ctrlProps/ctrlProp20.xml><?xml version="1.0" encoding="utf-8"?>
<formControlPr xmlns="http://schemas.microsoft.com/office/spreadsheetml/2009/9/main" objectType="Radio" lockText="1" noThreeD="1"/>
</file>

<file path=xl/ctrlProps/ctrlProp21.xml><?xml version="1.0" encoding="utf-8"?>
<formControlPr xmlns="http://schemas.microsoft.com/office/spreadsheetml/2009/9/main" objectType="Radio" lockText="1" noThreeD="1"/>
</file>

<file path=xl/ctrlProps/ctrlProp22.xml><?xml version="1.0" encoding="utf-8"?>
<formControlPr xmlns="http://schemas.microsoft.com/office/spreadsheetml/2009/9/main" objectType="Radio" lockText="1" noThreeD="1"/>
</file>

<file path=xl/ctrlProps/ctrlProp23.xml><?xml version="1.0" encoding="utf-8"?>
<formControlPr xmlns="http://schemas.microsoft.com/office/spreadsheetml/2009/9/main" objectType="Radio" lockText="1" noThreeD="1"/>
</file>

<file path=xl/ctrlProps/ctrlProp24.xml><?xml version="1.0" encoding="utf-8"?>
<formControlPr xmlns="http://schemas.microsoft.com/office/spreadsheetml/2009/9/main" objectType="Radio" lockText="1" noThreeD="1"/>
</file>

<file path=xl/ctrlProps/ctrlProp25.xml><?xml version="1.0" encoding="utf-8"?>
<formControlPr xmlns="http://schemas.microsoft.com/office/spreadsheetml/2009/9/main" objectType="Radio" lockText="1" noThreeD="1"/>
</file>

<file path=xl/ctrlProps/ctrlProp26.xml><?xml version="1.0" encoding="utf-8"?>
<formControlPr xmlns="http://schemas.microsoft.com/office/spreadsheetml/2009/9/main" objectType="Radio" lockText="1" noThreeD="1"/>
</file>

<file path=xl/ctrlProps/ctrlProp27.xml><?xml version="1.0" encoding="utf-8"?>
<formControlPr xmlns="http://schemas.microsoft.com/office/spreadsheetml/2009/9/main" objectType="GBox" noThreeD="1"/>
</file>

<file path=xl/ctrlProps/ctrlProp28.xml><?xml version="1.0" encoding="utf-8"?>
<formControlPr xmlns="http://schemas.microsoft.com/office/spreadsheetml/2009/9/main" objectType="Radio" firstButton="1" fmlaLink="'STR Scenarios'!$H$4" lockText="1" noThreeD="1"/>
</file>

<file path=xl/ctrlProps/ctrlProp29.xml><?xml version="1.0" encoding="utf-8"?>
<formControlPr xmlns="http://schemas.microsoft.com/office/spreadsheetml/2009/9/main" objectType="Radio" checked="Checked" lockText="1" noThreeD="1"/>
</file>

<file path=xl/ctrlProps/ctrlProp30.xml><?xml version="1.0" encoding="utf-8"?>
<formControlPr xmlns="http://schemas.microsoft.com/office/spreadsheetml/2009/9/main" objectType="Radio" lockText="1" noThreeD="1"/>
</file>

<file path=xl/ctrlProps/ctrlProp31.xml><?xml version="1.0" encoding="utf-8"?>
<formControlPr xmlns="http://schemas.microsoft.com/office/spreadsheetml/2009/9/main" objectType="CheckBox" checked="Checked" fmlaLink="'Operating Expense Budget'!$I$4" lockText="1" noThreeD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6</xdr:row>
          <xdr:rowOff>9525</xdr:rowOff>
        </xdr:from>
        <xdr:to>
          <xdr:col>0</xdr:col>
          <xdr:colOff>361950</xdr:colOff>
          <xdr:row>10</xdr:row>
          <xdr:rowOff>0</xdr:rowOff>
        </xdr:to>
        <xdr:sp macro="" textlink="">
          <xdr:nvSpPr>
            <xdr:cNvPr id="4106" name="OperatingScenarioGroup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1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6</xdr:row>
          <xdr:rowOff>38100</xdr:rowOff>
        </xdr:from>
        <xdr:to>
          <xdr:col>0</xdr:col>
          <xdr:colOff>381000</xdr:colOff>
          <xdr:row>7</xdr:row>
          <xdr:rowOff>47625</xdr:rowOff>
        </xdr:to>
        <xdr:sp macro="" textlink="">
          <xdr:nvSpPr>
            <xdr:cNvPr id="4107" name="OperatingScenarioOption_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1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7</xdr:row>
          <xdr:rowOff>28575</xdr:rowOff>
        </xdr:from>
        <xdr:to>
          <xdr:col>0</xdr:col>
          <xdr:colOff>381000</xdr:colOff>
          <xdr:row>8</xdr:row>
          <xdr:rowOff>38100</xdr:rowOff>
        </xdr:to>
        <xdr:sp macro="" textlink="">
          <xdr:nvSpPr>
            <xdr:cNvPr id="4108" name="OperatingScenarioOption_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1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8</xdr:row>
          <xdr:rowOff>28575</xdr:rowOff>
        </xdr:from>
        <xdr:to>
          <xdr:col>0</xdr:col>
          <xdr:colOff>381000</xdr:colOff>
          <xdr:row>9</xdr:row>
          <xdr:rowOff>38100</xdr:rowOff>
        </xdr:to>
        <xdr:sp macro="" textlink="">
          <xdr:nvSpPr>
            <xdr:cNvPr id="4109" name="OperatingScenarioOption_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1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608137</xdr:colOff>
      <xdr:row>30</xdr:row>
      <xdr:rowOff>80200</xdr:rowOff>
    </xdr:from>
    <xdr:to>
      <xdr:col>23</xdr:col>
      <xdr:colOff>929892</xdr:colOff>
      <xdr:row>41</xdr:row>
      <xdr:rowOff>197282</xdr:rowOff>
    </xdr:to>
    <xdr:sp macro="" textlink="">
      <xdr:nvSpPr>
        <xdr:cNvPr id="5" name="ScenarioBand_WholeBuildingSTR">
          <a:extLst>
            <a:ext uri="{FF2B5EF4-FFF2-40B4-BE49-F238E27FC236}">
              <a16:creationId xmlns:a16="http://schemas.microsoft.com/office/drawing/2014/main" id="{2142E483-1DD9-1E33-D5E9-E07DA38637BC}"/>
            </a:ext>
          </a:extLst>
        </xdr:cNvPr>
        <xdr:cNvSpPr/>
      </xdr:nvSpPr>
      <xdr:spPr>
        <a:xfrm>
          <a:off x="14324137" y="6328600"/>
          <a:ext cx="1655255" cy="2422132"/>
        </a:xfrm>
        <a:prstGeom prst="rect">
          <a:avLst/>
        </a:prstGeom>
        <a:solidFill>
          <a:srgbClr val="F2CEEF">
            <a:alpha val="72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133979</xdr:colOff>
      <xdr:row>30</xdr:row>
      <xdr:rowOff>80200</xdr:rowOff>
    </xdr:from>
    <xdr:to>
      <xdr:col>22</xdr:col>
      <xdr:colOff>570035</xdr:colOff>
      <xdr:row>41</xdr:row>
      <xdr:rowOff>197282</xdr:rowOff>
    </xdr:to>
    <xdr:sp macro="" textlink="">
      <xdr:nvSpPr>
        <xdr:cNvPr id="4" name="ScenarioBand_OneFloorSTR">
          <a:extLst>
            <a:ext uri="{FF2B5EF4-FFF2-40B4-BE49-F238E27FC236}">
              <a16:creationId xmlns:a16="http://schemas.microsoft.com/office/drawing/2014/main" id="{488F9006-A5A8-BF0C-2DC1-3EE6792C3AAA}"/>
            </a:ext>
          </a:extLst>
        </xdr:cNvPr>
        <xdr:cNvSpPr/>
      </xdr:nvSpPr>
      <xdr:spPr>
        <a:xfrm>
          <a:off x="12630779" y="6328600"/>
          <a:ext cx="1655256" cy="2422132"/>
        </a:xfrm>
        <a:prstGeom prst="rect">
          <a:avLst/>
        </a:prstGeom>
        <a:solidFill>
          <a:srgbClr val="F7C7AC">
            <a:alpha val="72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136074</xdr:colOff>
      <xdr:row>30</xdr:row>
      <xdr:rowOff>80200</xdr:rowOff>
    </xdr:from>
    <xdr:to>
      <xdr:col>20</xdr:col>
      <xdr:colOff>95879</xdr:colOff>
      <xdr:row>41</xdr:row>
      <xdr:rowOff>197282</xdr:rowOff>
    </xdr:to>
    <xdr:sp macro="" textlink="">
      <xdr:nvSpPr>
        <xdr:cNvPr id="2" name="ScenarioBand_Base">
          <a:extLst>
            <a:ext uri="{FF2B5EF4-FFF2-40B4-BE49-F238E27FC236}">
              <a16:creationId xmlns:a16="http://schemas.microsoft.com/office/drawing/2014/main" id="{6C18E71E-2E79-535D-540D-F601AB97DB63}"/>
            </a:ext>
          </a:extLst>
        </xdr:cNvPr>
        <xdr:cNvSpPr/>
      </xdr:nvSpPr>
      <xdr:spPr>
        <a:xfrm>
          <a:off x="10937424" y="6328600"/>
          <a:ext cx="1655255" cy="2422132"/>
        </a:xfrm>
        <a:prstGeom prst="rect">
          <a:avLst/>
        </a:prstGeom>
        <a:solidFill>
          <a:srgbClr val="FFFF00">
            <a:alpha val="72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</xdr:row>
          <xdr:rowOff>152400</xdr:rowOff>
        </xdr:from>
        <xdr:to>
          <xdr:col>19</xdr:col>
          <xdr:colOff>0</xdr:colOff>
          <xdr:row>14</xdr:row>
          <xdr:rowOff>57150</xdr:rowOff>
        </xdr:to>
        <xdr:sp macro="" textlink="">
          <xdr:nvSpPr>
            <xdr:cNvPr id="2103" name="RefiYearGroup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4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3</xdr:row>
          <xdr:rowOff>152400</xdr:rowOff>
        </xdr:from>
        <xdr:to>
          <xdr:col>20</xdr:col>
          <xdr:colOff>0</xdr:colOff>
          <xdr:row>14</xdr:row>
          <xdr:rowOff>57150</xdr:rowOff>
        </xdr:to>
        <xdr:sp macro="" textlink="">
          <xdr:nvSpPr>
            <xdr:cNvPr id="2104" name="ExitYearGroup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4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3</xdr:row>
          <xdr:rowOff>190500</xdr:rowOff>
        </xdr:from>
        <xdr:to>
          <xdr:col>18</xdr:col>
          <xdr:colOff>581025</xdr:colOff>
          <xdr:row>5</xdr:row>
          <xdr:rowOff>9525</xdr:rowOff>
        </xdr:to>
        <xdr:sp macro="" textlink="">
          <xdr:nvSpPr>
            <xdr:cNvPr id="2105" name="RefiYearOption_1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4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276225</xdr:colOff>
          <xdr:row>3</xdr:row>
          <xdr:rowOff>190500</xdr:rowOff>
        </xdr:from>
        <xdr:to>
          <xdr:col>19</xdr:col>
          <xdr:colOff>581025</xdr:colOff>
          <xdr:row>5</xdr:row>
          <xdr:rowOff>9525</xdr:rowOff>
        </xdr:to>
        <xdr:sp macro="" textlink="">
          <xdr:nvSpPr>
            <xdr:cNvPr id="2106" name="ExitYearOption_1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4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4</xdr:row>
          <xdr:rowOff>190500</xdr:rowOff>
        </xdr:from>
        <xdr:to>
          <xdr:col>18</xdr:col>
          <xdr:colOff>581025</xdr:colOff>
          <xdr:row>6</xdr:row>
          <xdr:rowOff>9525</xdr:rowOff>
        </xdr:to>
        <xdr:sp macro="" textlink="">
          <xdr:nvSpPr>
            <xdr:cNvPr id="2107" name="RefiYearOption_2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4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276225</xdr:colOff>
          <xdr:row>4</xdr:row>
          <xdr:rowOff>190500</xdr:rowOff>
        </xdr:from>
        <xdr:to>
          <xdr:col>19</xdr:col>
          <xdr:colOff>581025</xdr:colOff>
          <xdr:row>6</xdr:row>
          <xdr:rowOff>9525</xdr:rowOff>
        </xdr:to>
        <xdr:sp macro="" textlink="">
          <xdr:nvSpPr>
            <xdr:cNvPr id="2108" name="ExitYearOption_2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4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5</xdr:row>
          <xdr:rowOff>190500</xdr:rowOff>
        </xdr:from>
        <xdr:to>
          <xdr:col>18</xdr:col>
          <xdr:colOff>581025</xdr:colOff>
          <xdr:row>7</xdr:row>
          <xdr:rowOff>19050</xdr:rowOff>
        </xdr:to>
        <xdr:sp macro="" textlink="">
          <xdr:nvSpPr>
            <xdr:cNvPr id="2109" name="RefiYearOption_3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4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276225</xdr:colOff>
          <xdr:row>5</xdr:row>
          <xdr:rowOff>190500</xdr:rowOff>
        </xdr:from>
        <xdr:to>
          <xdr:col>19</xdr:col>
          <xdr:colOff>581025</xdr:colOff>
          <xdr:row>7</xdr:row>
          <xdr:rowOff>19050</xdr:rowOff>
        </xdr:to>
        <xdr:sp macro="" textlink="">
          <xdr:nvSpPr>
            <xdr:cNvPr id="2110" name="ExitYearOption_3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4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6</xdr:row>
          <xdr:rowOff>180975</xdr:rowOff>
        </xdr:from>
        <xdr:to>
          <xdr:col>18</xdr:col>
          <xdr:colOff>581025</xdr:colOff>
          <xdr:row>8</xdr:row>
          <xdr:rowOff>19050</xdr:rowOff>
        </xdr:to>
        <xdr:sp macro="" textlink="">
          <xdr:nvSpPr>
            <xdr:cNvPr id="2111" name="RefiYearOption_4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4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276225</xdr:colOff>
          <xdr:row>6</xdr:row>
          <xdr:rowOff>180975</xdr:rowOff>
        </xdr:from>
        <xdr:to>
          <xdr:col>19</xdr:col>
          <xdr:colOff>581025</xdr:colOff>
          <xdr:row>8</xdr:row>
          <xdr:rowOff>19050</xdr:rowOff>
        </xdr:to>
        <xdr:sp macro="" textlink="">
          <xdr:nvSpPr>
            <xdr:cNvPr id="2112" name="ExitYearOption_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4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7</xdr:row>
          <xdr:rowOff>180975</xdr:rowOff>
        </xdr:from>
        <xdr:to>
          <xdr:col>18</xdr:col>
          <xdr:colOff>581025</xdr:colOff>
          <xdr:row>9</xdr:row>
          <xdr:rowOff>19050</xdr:rowOff>
        </xdr:to>
        <xdr:sp macro="" textlink="">
          <xdr:nvSpPr>
            <xdr:cNvPr id="2113" name="RefiYearOption_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4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276225</xdr:colOff>
          <xdr:row>7</xdr:row>
          <xdr:rowOff>180975</xdr:rowOff>
        </xdr:from>
        <xdr:to>
          <xdr:col>19</xdr:col>
          <xdr:colOff>581025</xdr:colOff>
          <xdr:row>9</xdr:row>
          <xdr:rowOff>19050</xdr:rowOff>
        </xdr:to>
        <xdr:sp macro="" textlink="">
          <xdr:nvSpPr>
            <xdr:cNvPr id="2114" name="ExitYearOption_5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4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8</xdr:row>
          <xdr:rowOff>180975</xdr:rowOff>
        </xdr:from>
        <xdr:to>
          <xdr:col>18</xdr:col>
          <xdr:colOff>581025</xdr:colOff>
          <xdr:row>10</xdr:row>
          <xdr:rowOff>19050</xdr:rowOff>
        </xdr:to>
        <xdr:sp macro="" textlink="">
          <xdr:nvSpPr>
            <xdr:cNvPr id="2115" name="RefiYearOption_6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4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276225</xdr:colOff>
          <xdr:row>8</xdr:row>
          <xdr:rowOff>180975</xdr:rowOff>
        </xdr:from>
        <xdr:to>
          <xdr:col>19</xdr:col>
          <xdr:colOff>581025</xdr:colOff>
          <xdr:row>10</xdr:row>
          <xdr:rowOff>19050</xdr:rowOff>
        </xdr:to>
        <xdr:sp macro="" textlink="">
          <xdr:nvSpPr>
            <xdr:cNvPr id="2116" name="ExitYearOption_6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4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9</xdr:row>
          <xdr:rowOff>180975</xdr:rowOff>
        </xdr:from>
        <xdr:to>
          <xdr:col>18</xdr:col>
          <xdr:colOff>581025</xdr:colOff>
          <xdr:row>11</xdr:row>
          <xdr:rowOff>19050</xdr:rowOff>
        </xdr:to>
        <xdr:sp macro="" textlink="">
          <xdr:nvSpPr>
            <xdr:cNvPr id="2117" name="RefiYearOption_7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4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276225</xdr:colOff>
          <xdr:row>9</xdr:row>
          <xdr:rowOff>180975</xdr:rowOff>
        </xdr:from>
        <xdr:to>
          <xdr:col>19</xdr:col>
          <xdr:colOff>581025</xdr:colOff>
          <xdr:row>11</xdr:row>
          <xdr:rowOff>19050</xdr:rowOff>
        </xdr:to>
        <xdr:sp macro="" textlink="">
          <xdr:nvSpPr>
            <xdr:cNvPr id="2118" name="ExitYearOption_7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4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10</xdr:row>
          <xdr:rowOff>180975</xdr:rowOff>
        </xdr:from>
        <xdr:to>
          <xdr:col>18</xdr:col>
          <xdr:colOff>581025</xdr:colOff>
          <xdr:row>12</xdr:row>
          <xdr:rowOff>19050</xdr:rowOff>
        </xdr:to>
        <xdr:sp macro="" textlink="">
          <xdr:nvSpPr>
            <xdr:cNvPr id="2119" name="RefiYearOption_8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4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276225</xdr:colOff>
          <xdr:row>10</xdr:row>
          <xdr:rowOff>180975</xdr:rowOff>
        </xdr:from>
        <xdr:to>
          <xdr:col>19</xdr:col>
          <xdr:colOff>581025</xdr:colOff>
          <xdr:row>12</xdr:row>
          <xdr:rowOff>19050</xdr:rowOff>
        </xdr:to>
        <xdr:sp macro="" textlink="">
          <xdr:nvSpPr>
            <xdr:cNvPr id="2120" name="ExitYearOption_8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4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11</xdr:row>
          <xdr:rowOff>180975</xdr:rowOff>
        </xdr:from>
        <xdr:to>
          <xdr:col>18</xdr:col>
          <xdr:colOff>581025</xdr:colOff>
          <xdr:row>13</xdr:row>
          <xdr:rowOff>19050</xdr:rowOff>
        </xdr:to>
        <xdr:sp macro="" textlink="">
          <xdr:nvSpPr>
            <xdr:cNvPr id="2121" name="RefiYearOption_9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4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276225</xdr:colOff>
          <xdr:row>11</xdr:row>
          <xdr:rowOff>180975</xdr:rowOff>
        </xdr:from>
        <xdr:to>
          <xdr:col>19</xdr:col>
          <xdr:colOff>581025</xdr:colOff>
          <xdr:row>13</xdr:row>
          <xdr:rowOff>19050</xdr:rowOff>
        </xdr:to>
        <xdr:sp macro="" textlink="">
          <xdr:nvSpPr>
            <xdr:cNvPr id="2122" name="ExitYearOption_9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4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12</xdr:row>
          <xdr:rowOff>180975</xdr:rowOff>
        </xdr:from>
        <xdr:to>
          <xdr:col>18</xdr:col>
          <xdr:colOff>581025</xdr:colOff>
          <xdr:row>14</xdr:row>
          <xdr:rowOff>19050</xdr:rowOff>
        </xdr:to>
        <xdr:sp macro="" textlink="">
          <xdr:nvSpPr>
            <xdr:cNvPr id="2123" name="RefiYearOption_10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4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276225</xdr:colOff>
          <xdr:row>12</xdr:row>
          <xdr:rowOff>180975</xdr:rowOff>
        </xdr:from>
        <xdr:to>
          <xdr:col>19</xdr:col>
          <xdr:colOff>581025</xdr:colOff>
          <xdr:row>14</xdr:row>
          <xdr:rowOff>19050</xdr:rowOff>
        </xdr:to>
        <xdr:sp macro="" textlink="">
          <xdr:nvSpPr>
            <xdr:cNvPr id="2124" name="ExitYearOption_10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4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23</xdr:row>
          <xdr:rowOff>152400</xdr:rowOff>
        </xdr:from>
        <xdr:to>
          <xdr:col>2</xdr:col>
          <xdr:colOff>0</xdr:colOff>
          <xdr:row>25</xdr:row>
          <xdr:rowOff>0</xdr:rowOff>
        </xdr:to>
        <xdr:sp macro="" textlink="">
          <xdr:nvSpPr>
            <xdr:cNvPr id="2129" name="WfSTR_Group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4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285750</xdr:colOff>
          <xdr:row>24</xdr:row>
          <xdr:rowOff>180975</xdr:rowOff>
        </xdr:from>
        <xdr:to>
          <xdr:col>1</xdr:col>
          <xdr:colOff>590550</xdr:colOff>
          <xdr:row>26</xdr:row>
          <xdr:rowOff>0</xdr:rowOff>
        </xdr:to>
        <xdr:sp macro="" textlink="">
          <xdr:nvSpPr>
            <xdr:cNvPr id="2130" name="WfSTR_Opt_1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4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285750</xdr:colOff>
          <xdr:row>25</xdr:row>
          <xdr:rowOff>180975</xdr:rowOff>
        </xdr:from>
        <xdr:to>
          <xdr:col>1</xdr:col>
          <xdr:colOff>590550</xdr:colOff>
          <xdr:row>27</xdr:row>
          <xdr:rowOff>0</xdr:rowOff>
        </xdr:to>
        <xdr:sp macro="" textlink="">
          <xdr:nvSpPr>
            <xdr:cNvPr id="2131" name="WfSTR_Opt_2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4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285750</xdr:colOff>
          <xdr:row>26</xdr:row>
          <xdr:rowOff>180975</xdr:rowOff>
        </xdr:from>
        <xdr:to>
          <xdr:col>1</xdr:col>
          <xdr:colOff>590550</xdr:colOff>
          <xdr:row>28</xdr:row>
          <xdr:rowOff>0</xdr:rowOff>
        </xdr:to>
        <xdr:sp macro="" textlink="">
          <xdr:nvSpPr>
            <xdr:cNvPr id="2132" name="WfSTR_Opt_3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4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15</xdr:col>
      <xdr:colOff>285750</xdr:colOff>
      <xdr:row>23</xdr:row>
      <xdr:rowOff>19048</xdr:rowOff>
    </xdr:from>
    <xdr:to>
      <xdr:col>24</xdr:col>
      <xdr:colOff>561975</xdr:colOff>
      <xdr:row>55</xdr:row>
      <xdr:rowOff>161925</xdr:rowOff>
    </xdr:to>
    <xdr:graphicFrame macro="">
      <xdr:nvGraphicFramePr>
        <xdr:cNvPr id="3" name="ParticipantScenarioReturnChart">
          <a:extLst>
            <a:ext uri="{FF2B5EF4-FFF2-40B4-BE49-F238E27FC236}">
              <a16:creationId xmlns:a16="http://schemas.microsoft.com/office/drawing/2014/main" id="{65B7AC06-02C0-523E-0741-5503EDC7F2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2219325</xdr:colOff>
          <xdr:row>6</xdr:row>
          <xdr:rowOff>19050</xdr:rowOff>
        </xdr:from>
        <xdr:to>
          <xdr:col>0</xdr:col>
          <xdr:colOff>2409825</xdr:colOff>
          <xdr:row>6</xdr:row>
          <xdr:rowOff>161925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8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392AE6-CE9A-4ABE-997D-0EEE4423362E}" name="STRScenarioTable" displayName="STRScenarioTable" ref="A24:L34" totalsRowShown="0" headerRowDxfId="78" dataDxfId="77">
  <autoFilter ref="A24:L34" xr:uid="{56392AE6-CE9A-4ABE-997D-0EEE4423362E}"/>
  <tableColumns count="12">
    <tableColumn id="1" xr3:uid="{173C3D8B-18A7-44F2-89B7-D176B5DFEF26}" name="Year" dataDxfId="76"/>
    <tableColumn id="2" xr3:uid="{1506208F-1012-4D34-A8CD-19D792CC1519}" name="Rent Case" dataDxfId="75">
      <calculatedColumnFormula>IF(STRScenarioTable[[#This Row],[Year]]&gt;=RentScenarioHighEffectiveYear,"High",IF(STRScenarioTable[[#This Row],[Year]]&gt;=RentScenarioMediumEffectiveYear,"Medium",IF(STRScenarioTable[[#This Row],[Year]]&gt;=RentScenarioLowEffectiveYear,"Low","None")))</calculatedColumnFormula>
    </tableColumn>
    <tableColumn id="3" xr3:uid="{14D1FFD5-EE0C-4BA1-9B10-5056F8BF01BA}" name="Base Monthly Gross Rent" dataDxfId="74">
      <calculatedColumnFormula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calculatedColumnFormula>
    </tableColumn>
    <tableColumn id="4" xr3:uid="{FE2CCBB6-FCF1-4214-93E8-E8F6008CE854}" name="Base Annual Gross Rent" dataDxfId="73">
      <calculatedColumnFormula>STRScenarioTable[[#This Row],[Base Monthly Gross Rent]]*12</calculatedColumnFormula>
    </tableColumn>
    <tableColumn id="5" xr3:uid="{78A4433F-3E58-4E9D-9594-18B655A1D945}" name="One-Floor STR Weekly Rent" dataDxfId="72">
      <calculatedColumnFormula>IF(STRScenarioTable[[#This Row],[Year]]&gt;=3,$F$14,IF(STRScenarioTable[[#This Row],[Year]]&gt;=2,$E$14,$D$14))</calculatedColumnFormula>
    </tableColumn>
    <tableColumn id="6" xr3:uid="{64E4967B-CA8F-40B1-BA70-D60A867B448D}" name="One-Floor STR Occupancy" dataDxfId="71">
      <calculatedColumnFormula>IF(STRScenarioTable[[#This Row],[Year]]&gt;=3,$F$15,IF(STRScenarioTable[[#This Row],[Year]]&gt;=2,$E$15,$D$15))</calculatedColumnFormula>
    </tableColumn>
    <tableColumn id="7" xr3:uid="{F0E7A272-EDCB-477D-BC10-3BD562043AB5}" name="Other Floor Annual Rent" dataDxfId="70">
      <calculatedColumnFormula>STRScenarioTable[[#This Row],[Base Annual Gross Rent]]/2</calculatedColumnFormula>
    </tableColumn>
    <tableColumn id="8" xr3:uid="{4D0C595B-3CBB-4CA0-90CF-53E1779DC7DD}" name="One-Floor STR Annual Gross" dataDxfId="69">
      <calculatedColumnFormula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calculatedColumnFormula>
    </tableColumn>
    <tableColumn id="9" xr3:uid="{F120EB71-62B9-4C3B-AF37-5571A5A6BABC}" name="Whole-Building STR Weekly Rent" dataDxfId="68">
      <calculatedColumnFormula>IF(STRScenarioTable[[#This Row],[Year]]&gt;=3,$F$16,IF(STRScenarioTable[[#This Row],[Year]]&gt;=2,$E$16,$D$16))</calculatedColumnFormula>
    </tableColumn>
    <tableColumn id="10" xr3:uid="{3D28F200-56AC-4E50-8E82-77D5C2BC4FCF}" name="Whole-Building STR Occupancy" dataDxfId="67">
      <calculatedColumnFormula>IF(STRScenarioTable[[#This Row],[Year]]&gt;=3,$F$17,IF(STRScenarioTable[[#This Row],[Year]]&gt;=2,$E$17,$D$17))</calculatedColumnFormula>
    </tableColumn>
    <tableColumn id="11" xr3:uid="{B6A71EE6-642E-4EBF-84CB-B6DC9030DECB}" name="Whole-Building STR Annual Gross" dataDxfId="66">
      <calculatedColumnFormula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calculatedColumnFormula>
    </tableColumn>
    <tableColumn id="12" xr3:uid="{8DF7C8CB-952F-49E7-9614-693E7B8E3034}" name="Selected Annual Gross Rent" dataDxfId="65">
      <calculatedColumnFormula>CHOOSE(SelectedOperatingScenarioId,STRScenarioTable[[#This Row],[Base Annual Gross Rent]],STRScenarioTable[[#This Row],[One-Floor STR Annual Gross]],STRScenarioTable[[#This Row],[Whole-Building STR Annual Gross]])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08567-CFA1-42A9-9327-0B98502CA80D}" name="AnnualModelTable" displayName="AnnualModelTable" ref="A3:P14" totalsRowShown="0" headerRowDxfId="64" dataDxfId="62" headerRowBorderDxfId="63" tableBorderDxfId="61">
  <autoFilter ref="A3:P14" xr:uid="{31008567-CFA1-42A9-9327-0B98502CA80D}"/>
  <tableColumns count="16">
    <tableColumn id="1" xr3:uid="{26936D8D-49BB-4E72-8714-F0F4A39544E1}" name="Year" dataDxfId="60"/>
    <tableColumn id="2" xr3:uid="{C01BD3A8-84A3-4936-AD75-B10875A3A516}" name="Phase" dataDxfId="59"/>
    <tableColumn id="3" xr3:uid="{C3EFC4B8-12CA-4DCA-8610-6334A06443D6}" name="Gross Potential Rent" dataDxfId="58">
      <calculatedColumnFormula>IF(AnnualModelTable[[#This Row],[Year]]&gt;SaleExitYear,0,IF(AnnualModelTable[[#This Row],[Year]]=0,0,INDEX(STRScenarioTable[Selected Annual Gross Rent],MATCH(AnnualModelTable[[#This Row],[Year]],STRScenarioTable[Year],0))))</calculatedColumnFormula>
    </tableColumn>
    <tableColumn id="4" xr3:uid="{A38FFCD2-F44E-495B-8D1F-57AADF574C32}" name="Occupancy Effective Gross Income" dataDxfId="57">
      <calculatedColumnFormula>IF(AnnualModelTable[[#This Row],[Year]]&gt;SaleExitYear,0,IF(AnnualModelTable[[#This Row],[Year]]=0,0,AnnualModelTable[[#This Row],[Gross Potential Rent]]*IF(AnnualModelTable[[#This Row],[Year]]=1,LeaseUpOccupancy,StabilizedOccupancy)))</calculatedColumnFormula>
    </tableColumn>
    <tableColumn id="5" xr3:uid="{B76742F3-2204-4523-9F15-8E1C72B7BD6E}" name="Operating Expenses" dataDxfId="56">
      <calculatedColumnFormula>IF(AnnualModelTable[[#This Row],[Year]]&gt;SaleExitYear,0,AnnualModelTable[[#This Row],[Occupancy Effective Gross Income]]*OperatingExpenseRatio)</calculatedColumnFormula>
    </tableColumn>
    <tableColumn id="6" xr3:uid="{3F74AC57-500F-402C-9765-78D18626B1BE}" name="NOI" dataDxfId="55">
      <calculatedColumnFormula>IF(AnnualModelTable[[#This Row],[Year]]&gt;SaleExitYear,0,AnnualModelTable[[#This Row],[Occupancy Effective Gross Income]]-AnnualModelTable[[#This Row],[Operating Expenses]])</calculatedColumnFormula>
    </tableColumn>
    <tableColumn id="7" xr3:uid="{56511279-406D-4252-A9A7-9170D8B87E55}" name="Debt Service" dataDxfId="54">
      <calculatedColumnFormula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calculatedColumnFormula>
    </tableColumn>
    <tableColumn id="8" xr3:uid="{85CA9091-DF20-4851-AE5C-AC9F4814BFC4}" name="Cash Before Refi/Sale" dataDxfId="53">
      <calculatedColumnFormula>IF(AnnualModelTable[[#This Row],[Year]]&gt;SaleExitYear,0,AnnualModelTable[[#This Row],[NOI]]-AnnualModelTable[[#This Row],[Debt Service]])</calculatedColumnFormula>
    </tableColumn>
    <tableColumn id="9" xr3:uid="{AC4642EC-E8F2-497F-99FB-4D7BE675DEA1}" name="Net Refi/Sale Proceeds" dataDxfId="52">
      <calculatedColumnFormula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calculatedColumnFormula>
    </tableColumn>
    <tableColumn id="15" xr3:uid="{E8B22446-4188-493F-BD49-F553035A3633}" name="Reserve Funding" dataDxfId="51">
      <calculatedColumnFormula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calculatedColumnFormula>
    </tableColumn>
    <tableColumn id="16" xr3:uid="{D4FF068F-E56B-4084-A407-79EFAC775D57}" name="Reserve Balance" dataDxfId="50">
      <calculatedColumnFormula>IF(AnnualModelTable[[#This Row],[Year]]&gt;SaleExitYear,0,IF(AnnualModelTable[[#This Row],[Year]]=0,0,IFERROR(INDEX(AnnualModelTable[Reserve Balance],MATCH(AnnualModelTable[[#This Row],[Year]]-1,AnnualModelTable[Year],0)),0)+AnnualModelTable[[#This Row],[Reserve Funding]]))</calculatedColumnFormula>
    </tableColumn>
    <tableColumn id="10" xr3:uid="{41C03F4E-590B-4413-AE34-F5DCDD021866}" name="Cash Available Before Distributions" dataDxfId="49">
      <calculatedColumnFormula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calculatedColumnFormula>
    </tableColumn>
    <tableColumn id="11" xr3:uid="{7B037DCE-ABE4-4D66-9712-F5EE68757C28}" name="Waterfall Distributions" dataDxfId="48">
      <calculatedColumnFormula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calculatedColumnFormula>
    </tableColumn>
    <tableColumn id="12" xr3:uid="{C063648E-2927-4081-81E6-EDE453D6AD02}" name="Ending Cash Balance" dataDxfId="47">
      <calculatedColumnFormula>IF(AnnualModelTable[[#This Row],[Year]]&gt;SaleExitYear,0,MAX(0,AnnualModelTable[[#This Row],[Cash Available Before Distributions]]-AnnualModelTable[[#This Row],[Waterfall Distributions]]))</calculatedColumnFormula>
    </tableColumn>
    <tableColumn id="13" xr3:uid="{886020E1-9E83-41F1-AABD-505FED4CBF84}" name="Loan Balance" dataDxfId="46">
      <calculatedColumnFormula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calculatedColumnFormula>
    </tableColumn>
    <tableColumn id="14" xr3:uid="{9167BA97-D22D-457E-899B-578D63A57A80}" name="Property Value / Refi Value" dataDxfId="45">
      <calculatedColumnFormula>IF(AnnualModelTable[[#This Row],[Year]]&gt;SaleExitYear,0,IF(AnnualModelTable[[#This Row],[Year]]&lt;StabilizationRefiYear,0,AnnualModelTable[[#This Row],[NOI]]*(1+NOIGrowth)/ExitCapRate))</calculatedColumnFormula>
    </tableColumn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E6E678-5C1E-4C4D-B37A-A688CBCE3311}" name="WaterfallTable" displayName="WaterfallTable" ref="B3:Q14" totalsRowShown="0" headerRowDxfId="44" dataDxfId="42" headerRowBorderDxfId="43" tableBorderDxfId="41">
  <tableColumns count="16">
    <tableColumn id="1" xr3:uid="{963D327E-2263-47D8-80F9-5A28D9522E50}" name="Year" dataDxfId="40"/>
    <tableColumn id="2" xr3:uid="{DD4D5E48-A253-4495-BAA1-CD03E9DB3287}" name="Cash Available" dataDxfId="39">
      <calculatedColumnFormula>INDEX(AnnualModelTable[Cash Available Before Distributions],MATCH(WaterfallTable[[#This Row],[Year]],AnnualModelTable[Year],0))</calculatedColumnFormula>
    </tableColumn>
    <tableColumn id="3" xr3:uid="{B3CA3CD0-752D-4FD2-938D-2B74C2B439E3}" name="Pref Accrued" dataDxfId="38">
      <calculatedColumnFormula>IF(WaterfallTable[[#This Row],[Year]]&gt;SaleExitYear,0,WaterfallTable[[#This Row],[Capital Balance A]]*ClassAPreferredReturn)</calculatedColumnFormula>
    </tableColumn>
    <tableColumn id="4" xr3:uid="{0A235952-CB75-4C81-B69D-F32174DEACC4}" name="Pref Paid" dataDxfId="37">
      <calculatedColumnFormula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calculatedColumnFormula>
    </tableColumn>
    <tableColumn id="5" xr3:uid="{6DFBF4A6-C663-4C39-BE8E-9DCEE6178410}" name="End of Year Pref Balance" dataDxfId="36">
      <calculatedColumnFormula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calculatedColumnFormula>
    </tableColumn>
    <tableColumn id="6" xr3:uid="{FDF1F9D4-D2FF-4A88-92C0-BF4E451BAD9D}" name="Capital Balance A" dataDxfId="35">
      <calculatedColumnFormula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calculatedColumnFormula>
    </tableColumn>
    <tableColumn id="7" xr3:uid="{34EB8429-3184-49EF-8624-9DBDD7E02121}" name="Capital Returned A" dataDxfId="34">
      <calculatedColumnFormula>IF(WaterfallTable[[#This Row],[Year]]&gt;SaleExitYear,0,IF(WaterfallTable[[#This Row],[Year]]=0,0,MIN(WaterfallTable[[#This Row],[Cash Available]],WaterfallTable[[#This Row],[Capital Balance A]])))</calculatedColumnFormula>
    </tableColumn>
    <tableColumn id="10" xr3:uid="{95297546-7CDB-4A1F-B087-2907F3FB7729}" name="Residual A" dataDxfId="33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calculatedColumnFormula>
    </tableColumn>
    <tableColumn id="11" xr3:uid="{ECBC678F-113A-47C3-9364-8CD715F8612B}" name="Total Dist A" dataDxfId="32">
      <calculatedColumnFormula>IF(WaterfallTable[[#This Row],[Year]]&gt;SaleExitYear,0,WaterfallTable[[#This Row],[Pref Paid]]+WaterfallTable[[#This Row],[Capital Returned A]]+WaterfallTable[[#This Row],[Residual A]])</calculatedColumnFormula>
    </tableColumn>
    <tableColumn id="12" xr3:uid="{BEF54E58-ED5B-4464-961D-44F9013F8D13}" name=" Capital Balance B" dataDxfId="31">
      <calculatedColumnFormula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calculatedColumnFormula>
    </tableColumn>
    <tableColumn id="13" xr3:uid="{8618A2D6-0D65-4F24-926F-2BA7C19C6665}" name="Capital Returned B" dataDxfId="30">
      <calculatedColumnFormula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calculatedColumnFormula>
    </tableColumn>
    <tableColumn id="15" xr3:uid="{C6BA9C98-8524-487F-80FD-8C218B59A3B5}" name=" Residual   B" dataDxfId="29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calculatedColumnFormula>
    </tableColumn>
    <tableColumn id="16" xr3:uid="{454E747C-8827-40D6-81A5-1743C488D4FD}" name="Total Dist B" dataDxfId="28">
      <calculatedColumnFormula>IF(WaterfallTable[[#This Row],[Year]]&gt;SaleExitYear,0,WaterfallTable[[#This Row],[Capital Returned B]]+WaterfallTable[[#This Row],[ Residual   B]])</calculatedColumnFormula>
    </tableColumn>
    <tableColumn id="17" xr3:uid="{417495A6-8721-4CAB-BEB3-7640A0F3FEBC}" name="Property Payment" dataDxfId="27">
      <calculatedColumnFormula>IF(WaterfallTable[[#This Row],[Year]]=0,SponsorPropertyPayment,0)</calculatedColumnFormula>
    </tableColumn>
    <tableColumn id="18" xr3:uid="{1A110274-3485-4D4C-B019-55D770E0C6CE}" name="Residual" dataDxfId="26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calculatedColumnFormula>
    </tableColumn>
    <tableColumn id="19" xr3:uid="{B1D631F1-3DB1-43F4-AA61-DD5D4F2AA342}" name="Total Dist2" dataDxfId="25">
      <calculatedColumnFormula>IF(WaterfallTable[[#This Row],[Year]]&gt;SaleExitYear,0,WaterfallTable[[#This Row],[Property Payment]]+WaterfallTable[[#This Row],[Residual]])</calculatedColumnFormula>
    </tableColumn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08A95A-E6BF-4322-A5D6-67609B7ED4E8}" name="ReturnsTable" displayName="ReturnsTable" ref="B18:T22" totalsRowShown="0" headerRowDxfId="24" dataDxfId="22" headerRowBorderDxfId="23" tableBorderDxfId="21" totalsRowBorderDxfId="20">
  <tableColumns count="19">
    <tableColumn id="1" xr3:uid="{9D313402-FD1F-4B4A-94AF-A715F76F921A}" name="Participant" dataDxfId="19"/>
    <tableColumn id="2" xr3:uid="{ECA60733-FEA2-401B-8642-71F43FEC8DB9}" name="Capital Investment" dataDxfId="18"/>
    <tableColumn id="3" xr3:uid="{C289E388-4A17-4836-B18C-4492629B2237}" name="Basis / Property Payment" dataDxfId="17"/>
    <tableColumn id="4" xr3:uid="{0E5564FA-0686-41CD-8CE7-39EED6142313}" name="Initial Capitalization" dataDxfId="16">
      <calculatedColumnFormula>D19-C19</calculatedColumnFormula>
    </tableColumn>
    <tableColumn id="5" xr3:uid="{10FF1ED7-A502-4F2E-A54A-B0007AA7263A}" name="Year 1" dataDxfId="15">
      <calculatedColumnFormula>IFERROR(D19/C19,0)</calculatedColumnFormula>
    </tableColumn>
    <tableColumn id="6" xr3:uid="{ECDBC3DC-2987-4B43-8FA8-210E2BD2C527}" name="Year 2" dataDxfId="14">
      <calculatedColumnFormula>IFERROR(E19/C19,0)</calculatedColumnFormula>
    </tableColumn>
    <tableColumn id="7" xr3:uid="{4D05CF9F-BEF3-4687-B36F-4B00680921AC}" name="Year 3" dataDxfId="13"/>
    <tableColumn id="8" xr3:uid="{1C4FC23A-6CAB-4454-ABFA-E8F2BFD21307}" name="Year 4" dataDxfId="12"/>
    <tableColumn id="9" xr3:uid="{65D20829-5C0C-4626-B752-4916A51B8F56}" name="Year 5" dataDxfId="11"/>
    <tableColumn id="10" xr3:uid="{6AB1F3BD-E384-4432-B275-A7608171F178}" name="Year 6" dataDxfId="10"/>
    <tableColumn id="11" xr3:uid="{E6468E2E-5E04-433F-B3E2-FA390BC93337}" name="Year 7" dataDxfId="9"/>
    <tableColumn id="12" xr3:uid="{4FBAC77A-F067-49A4-AC41-AD7EF45A9940}" name="Year 8" dataDxfId="8"/>
    <tableColumn id="13" xr3:uid="{CAEFEDFD-AA12-43AF-B34A-E218E93CEE22}" name="Year 9" dataDxfId="7"/>
    <tableColumn id="14" xr3:uid="{A625364D-066A-437E-8A2D-DD61A8A5CE82}" name="Year 10" dataDxfId="6">
      <calculatedColumnFormula>SUM(ReturnsTable[[#This Row],[Basis / Property Payment]:[Year 9]])</calculatedColumnFormula>
    </tableColumn>
    <tableColumn id="15" xr3:uid="{2F0BFF3E-A3CB-433E-86D2-6AF1360FD5D9}" name="Total Profit" dataDxfId="5">
      <calculatedColumnFormula>SUM(ReturnsTable[[#This Row],[Initial Capitalization]:[Year 10]])</calculatedColumnFormula>
    </tableColumn>
    <tableColumn id="16" xr3:uid="{0A58F701-6416-4538-A6E5-4BF44C4993D5}" name="Total Dist" dataDxfId="4">
      <calculatedColumnFormula>ReturnsTable[[#This Row],[Total Profit]]+ReturnsTable[[#This Row],[Capital Investment]]</calculatedColumnFormula>
    </tableColumn>
    <tableColumn id="17" xr3:uid="{AC84C97B-2616-4869-838B-9557C19186A7}" name="Equity Multiple" dataDxfId="3">
      <calculatedColumnFormula>IFERROR(ReturnsTable[[#This Row],[Total Dist]]/ReturnsTable[[#This Row],[Capital Investment]],0)</calculatedColumnFormula>
    </tableColumn>
    <tableColumn id="18" xr3:uid="{523BC2AE-FDEA-442A-A3C6-B94CA77050FC}" name="ROI %" dataDxfId="2">
      <calculatedColumnFormula>IFERROR(ReturnsTable[[#This Row],[Total Profit]]/ReturnsTable[[#This Row],[Capital Investment]],0)</calculatedColumnFormula>
    </tableColumn>
    <tableColumn id="19" xr3:uid="{EC63B70E-A1AC-4CAB-AE96-294CCFC0512D}" name="IRR" dataDxfId="1">
      <calculatedColumnFormula>IFERROR(IRR(ReturnsTable[[#This Row],[Initial Capitalization]:[Year 10]]),0)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9.xml"/><Relationship Id="rId13" Type="http://schemas.openxmlformats.org/officeDocument/2006/relationships/ctrlProp" Target="../ctrlProps/ctrlProp14.xml"/><Relationship Id="rId18" Type="http://schemas.openxmlformats.org/officeDocument/2006/relationships/ctrlProp" Target="../ctrlProps/ctrlProp19.xml"/><Relationship Id="rId26" Type="http://schemas.openxmlformats.org/officeDocument/2006/relationships/ctrlProp" Target="../ctrlProps/ctrlProp27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22.xml"/><Relationship Id="rId7" Type="http://schemas.openxmlformats.org/officeDocument/2006/relationships/ctrlProp" Target="../ctrlProps/ctrlProp8.xml"/><Relationship Id="rId12" Type="http://schemas.openxmlformats.org/officeDocument/2006/relationships/ctrlProp" Target="../ctrlProps/ctrlProp13.xml"/><Relationship Id="rId17" Type="http://schemas.openxmlformats.org/officeDocument/2006/relationships/ctrlProp" Target="../ctrlProps/ctrlProp18.xml"/><Relationship Id="rId25" Type="http://schemas.openxmlformats.org/officeDocument/2006/relationships/ctrlProp" Target="../ctrlProps/ctrlProp26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17.xml"/><Relationship Id="rId20" Type="http://schemas.openxmlformats.org/officeDocument/2006/relationships/ctrlProp" Target="../ctrlProps/ctrlProp21.xml"/><Relationship Id="rId29" Type="http://schemas.openxmlformats.org/officeDocument/2006/relationships/ctrlProp" Target="../ctrlProps/ctrlProp30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7.xml"/><Relationship Id="rId11" Type="http://schemas.openxmlformats.org/officeDocument/2006/relationships/ctrlProp" Target="../ctrlProps/ctrlProp12.xml"/><Relationship Id="rId24" Type="http://schemas.openxmlformats.org/officeDocument/2006/relationships/ctrlProp" Target="../ctrlProps/ctrlProp25.xml"/><Relationship Id="rId5" Type="http://schemas.openxmlformats.org/officeDocument/2006/relationships/ctrlProp" Target="../ctrlProps/ctrlProp6.xml"/><Relationship Id="rId15" Type="http://schemas.openxmlformats.org/officeDocument/2006/relationships/ctrlProp" Target="../ctrlProps/ctrlProp16.xml"/><Relationship Id="rId23" Type="http://schemas.openxmlformats.org/officeDocument/2006/relationships/ctrlProp" Target="../ctrlProps/ctrlProp24.xml"/><Relationship Id="rId28" Type="http://schemas.openxmlformats.org/officeDocument/2006/relationships/ctrlProp" Target="../ctrlProps/ctrlProp29.xml"/><Relationship Id="rId10" Type="http://schemas.openxmlformats.org/officeDocument/2006/relationships/ctrlProp" Target="../ctrlProps/ctrlProp11.xml"/><Relationship Id="rId19" Type="http://schemas.openxmlformats.org/officeDocument/2006/relationships/ctrlProp" Target="../ctrlProps/ctrlProp20.xml"/><Relationship Id="rId31" Type="http://schemas.openxmlformats.org/officeDocument/2006/relationships/table" Target="../tables/table4.xml"/><Relationship Id="rId4" Type="http://schemas.openxmlformats.org/officeDocument/2006/relationships/ctrlProp" Target="../ctrlProps/ctrlProp5.xml"/><Relationship Id="rId9" Type="http://schemas.openxmlformats.org/officeDocument/2006/relationships/ctrlProp" Target="../ctrlProps/ctrlProp10.xml"/><Relationship Id="rId14" Type="http://schemas.openxmlformats.org/officeDocument/2006/relationships/ctrlProp" Target="../ctrlProps/ctrlProp15.xml"/><Relationship Id="rId22" Type="http://schemas.openxmlformats.org/officeDocument/2006/relationships/ctrlProp" Target="../ctrlProps/ctrlProp23.xml"/><Relationship Id="rId27" Type="http://schemas.openxmlformats.org/officeDocument/2006/relationships/ctrlProp" Target="../ctrlProps/ctrlProp28.xml"/><Relationship Id="rId30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1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A8E2C-7773-485E-AD27-0B7A774BB067}">
  <dimension ref="A1:A9"/>
  <sheetViews>
    <sheetView workbookViewId="0"/>
  </sheetViews>
  <sheetFormatPr defaultRowHeight="15" x14ac:dyDescent="0.25"/>
  <cols>
    <col min="1" max="1" width="196" bestFit="1" customWidth="1"/>
  </cols>
  <sheetData>
    <row r="1" spans="1:1" ht="21" x14ac:dyDescent="0.35">
      <c r="A1" s="61" t="s">
        <v>367</v>
      </c>
    </row>
    <row r="3" spans="1:1" x14ac:dyDescent="0.25">
      <c r="A3" t="s">
        <v>368</v>
      </c>
    </row>
    <row r="5" spans="1:1" x14ac:dyDescent="0.25">
      <c r="A5" t="s">
        <v>369</v>
      </c>
    </row>
    <row r="7" spans="1:1" x14ac:dyDescent="0.25">
      <c r="A7" t="s">
        <v>370</v>
      </c>
    </row>
    <row r="9" spans="1:1" x14ac:dyDescent="0.25">
      <c r="A9" t="s">
        <v>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0B11C-B002-4F74-ADFF-38033F10707F}">
  <sheetPr>
    <tabColor rgb="FFFFA366"/>
  </sheetPr>
  <dimension ref="A1:O34"/>
  <sheetViews>
    <sheetView workbookViewId="0">
      <selection activeCell="O19" sqref="O19"/>
    </sheetView>
  </sheetViews>
  <sheetFormatPr defaultRowHeight="15" x14ac:dyDescent="0.25"/>
  <cols>
    <col min="1" max="1" width="8.7109375" customWidth="1"/>
    <col min="2" max="2" width="10.140625" customWidth="1"/>
    <col min="3" max="3" width="14.85546875" customWidth="1"/>
    <col min="4" max="4" width="13.85546875" customWidth="1"/>
    <col min="5" max="5" width="13" customWidth="1"/>
    <col min="6" max="6" width="11.28515625" customWidth="1"/>
    <col min="7" max="8" width="10.7109375" customWidth="1"/>
    <col min="9" max="9" width="15" customWidth="1"/>
    <col min="10" max="10" width="13" customWidth="1"/>
    <col min="11" max="11" width="12.7109375" customWidth="1"/>
    <col min="12" max="12" width="12.42578125" customWidth="1"/>
  </cols>
  <sheetData>
    <row r="1" spans="1:10" ht="21" x14ac:dyDescent="0.35">
      <c r="A1" s="96" t="s">
        <v>329</v>
      </c>
      <c r="B1" s="93"/>
      <c r="C1" s="93"/>
      <c r="D1" s="93"/>
    </row>
    <row r="2" spans="1:10" ht="15.75" thickBot="1" x14ac:dyDescent="0.3">
      <c r="B2" s="93" t="s">
        <v>333</v>
      </c>
      <c r="C2" s="93"/>
      <c r="D2" s="93"/>
    </row>
    <row r="3" spans="1:10" ht="15.75" thickBot="1" x14ac:dyDescent="0.3">
      <c r="A3" s="5" t="s">
        <v>330</v>
      </c>
      <c r="H3" s="71" t="s">
        <v>372</v>
      </c>
    </row>
    <row r="4" spans="1:10" ht="15.75" thickBot="1" x14ac:dyDescent="0.3">
      <c r="A4" t="s">
        <v>331</v>
      </c>
      <c r="D4" s="109" t="str">
        <f>IF(OR($H$4&lt;1,$H$4&gt;3),"",INDEX($B$7:$B$9,$H$4))</f>
        <v>One Floor STR + One Floor Co-Living</v>
      </c>
      <c r="E4" s="110"/>
      <c r="F4" s="111"/>
      <c r="H4" s="74">
        <v>2</v>
      </c>
    </row>
    <row r="5" spans="1:10" ht="15.75" thickBot="1" x14ac:dyDescent="0.3"/>
    <row r="6" spans="1:10" ht="15.75" thickBot="1" x14ac:dyDescent="0.3">
      <c r="A6" s="12" t="s">
        <v>373</v>
      </c>
      <c r="B6" s="97" t="s">
        <v>374</v>
      </c>
      <c r="C6" s="98"/>
      <c r="D6" s="99"/>
      <c r="E6" s="97" t="s">
        <v>375</v>
      </c>
      <c r="F6" s="98"/>
      <c r="G6" s="98"/>
      <c r="H6" s="98"/>
      <c r="I6" s="98"/>
      <c r="J6" s="99"/>
    </row>
    <row r="7" spans="1:10" ht="15.75" thickBot="1" x14ac:dyDescent="0.3">
      <c r="B7" s="100" t="s">
        <v>332</v>
      </c>
      <c r="C7" s="101"/>
      <c r="D7" s="102"/>
      <c r="E7" s="100" t="s">
        <v>336</v>
      </c>
      <c r="F7" s="101"/>
      <c r="G7" s="101"/>
      <c r="H7" s="101"/>
      <c r="I7" s="101"/>
      <c r="J7" s="102"/>
    </row>
    <row r="8" spans="1:10" ht="15.75" thickBot="1" x14ac:dyDescent="0.3">
      <c r="B8" s="103" t="s">
        <v>334</v>
      </c>
      <c r="C8" s="104"/>
      <c r="D8" s="105"/>
      <c r="E8" s="103" t="s">
        <v>376</v>
      </c>
      <c r="F8" s="104"/>
      <c r="G8" s="104"/>
      <c r="H8" s="104"/>
      <c r="I8" s="104"/>
      <c r="J8" s="105"/>
    </row>
    <row r="9" spans="1:10" ht="15.75" thickBot="1" x14ac:dyDescent="0.3">
      <c r="B9" s="106" t="s">
        <v>335</v>
      </c>
      <c r="C9" s="107"/>
      <c r="D9" s="108"/>
      <c r="E9" s="106" t="s">
        <v>377</v>
      </c>
      <c r="F9" s="107"/>
      <c r="G9" s="107"/>
      <c r="H9" s="107"/>
      <c r="I9" s="107"/>
      <c r="J9" s="108"/>
    </row>
    <row r="12" spans="1:10" x14ac:dyDescent="0.25">
      <c r="A12" s="92" t="s">
        <v>337</v>
      </c>
      <c r="B12" s="92"/>
      <c r="C12" s="92"/>
    </row>
    <row r="13" spans="1:10" ht="30" x14ac:dyDescent="0.25">
      <c r="A13" s="66" t="s">
        <v>338</v>
      </c>
      <c r="B13" s="66"/>
      <c r="C13" s="66"/>
      <c r="D13" s="66" t="s">
        <v>339</v>
      </c>
      <c r="E13" s="66" t="s">
        <v>340</v>
      </c>
      <c r="F13" s="66" t="s">
        <v>341</v>
      </c>
      <c r="G13" s="66" t="s">
        <v>292</v>
      </c>
    </row>
    <row r="14" spans="1:10" x14ac:dyDescent="0.25">
      <c r="A14" s="94" t="s">
        <v>342</v>
      </c>
      <c r="B14" s="94"/>
      <c r="C14" s="94"/>
      <c r="D14" s="67">
        <v>2500</v>
      </c>
      <c r="E14" s="67">
        <v>3250</v>
      </c>
      <c r="F14" s="67">
        <v>4000</v>
      </c>
      <c r="G14" s="73" t="s">
        <v>343</v>
      </c>
      <c r="H14" s="73"/>
      <c r="I14" s="73"/>
      <c r="J14" s="73"/>
    </row>
    <row r="15" spans="1:10" x14ac:dyDescent="0.25">
      <c r="A15" s="94" t="s">
        <v>344</v>
      </c>
      <c r="B15" s="94"/>
      <c r="C15" s="94"/>
      <c r="D15" s="68">
        <v>0.4</v>
      </c>
      <c r="E15" s="68">
        <v>0.5</v>
      </c>
      <c r="F15" s="68">
        <v>0.6</v>
      </c>
      <c r="G15" s="73" t="s">
        <v>345</v>
      </c>
      <c r="H15" s="73"/>
      <c r="I15" s="73"/>
      <c r="J15" s="73"/>
    </row>
    <row r="16" spans="1:10" x14ac:dyDescent="0.25">
      <c r="A16" s="95" t="s">
        <v>346</v>
      </c>
      <c r="B16" s="95"/>
      <c r="C16" s="95"/>
      <c r="D16" s="69">
        <v>4500</v>
      </c>
      <c r="E16" s="69">
        <v>6000</v>
      </c>
      <c r="F16" s="69">
        <v>7500</v>
      </c>
      <c r="G16" s="72" t="s">
        <v>347</v>
      </c>
      <c r="H16" s="72"/>
      <c r="I16" s="72"/>
      <c r="J16" s="72"/>
    </row>
    <row r="17" spans="1:15" x14ac:dyDescent="0.25">
      <c r="A17" s="95" t="s">
        <v>348</v>
      </c>
      <c r="B17" s="95"/>
      <c r="C17" s="95"/>
      <c r="D17" s="70">
        <v>0.35</v>
      </c>
      <c r="E17" s="70">
        <v>0.45</v>
      </c>
      <c r="F17" s="70">
        <v>0.55000000000000004</v>
      </c>
      <c r="G17" s="72" t="s">
        <v>345</v>
      </c>
      <c r="H17" s="72"/>
      <c r="I17" s="72"/>
      <c r="J17" s="72"/>
    </row>
    <row r="18" spans="1:15" x14ac:dyDescent="0.25">
      <c r="A18" s="93" t="s">
        <v>349</v>
      </c>
      <c r="B18" s="93"/>
      <c r="C18" s="93"/>
      <c r="D18" s="62">
        <v>0.08</v>
      </c>
      <c r="E18" s="62">
        <v>0.09</v>
      </c>
      <c r="F18" s="62">
        <v>0.1</v>
      </c>
      <c r="G18" t="s">
        <v>350</v>
      </c>
    </row>
    <row r="19" spans="1:15" x14ac:dyDescent="0.25">
      <c r="A19" s="93" t="s">
        <v>351</v>
      </c>
      <c r="B19" s="93"/>
      <c r="C19" s="93"/>
      <c r="D19" s="2">
        <v>250</v>
      </c>
      <c r="E19" s="2">
        <v>300</v>
      </c>
      <c r="F19" s="2">
        <v>350</v>
      </c>
      <c r="G19" t="s">
        <v>352</v>
      </c>
    </row>
    <row r="23" spans="1:15" x14ac:dyDescent="0.25">
      <c r="A23" s="92" t="s">
        <v>353</v>
      </c>
      <c r="B23" s="92"/>
      <c r="C23" s="92"/>
    </row>
    <row r="24" spans="1:15" s="65" customFormat="1" ht="60" x14ac:dyDescent="0.25">
      <c r="A24" s="65" t="s">
        <v>55</v>
      </c>
      <c r="B24" s="65" t="s">
        <v>354</v>
      </c>
      <c r="C24" s="65" t="s">
        <v>355</v>
      </c>
      <c r="D24" s="65" t="s">
        <v>356</v>
      </c>
      <c r="E24" s="65" t="s">
        <v>357</v>
      </c>
      <c r="F24" s="65" t="s">
        <v>358</v>
      </c>
      <c r="G24" s="65" t="s">
        <v>359</v>
      </c>
      <c r="H24" s="65" t="s">
        <v>360</v>
      </c>
      <c r="I24" s="65" t="s">
        <v>361</v>
      </c>
      <c r="J24" s="65" t="s">
        <v>362</v>
      </c>
      <c r="K24" s="65" t="s">
        <v>363</v>
      </c>
      <c r="L24" s="65" t="s">
        <v>364</v>
      </c>
    </row>
    <row r="25" spans="1:15" x14ac:dyDescent="0.25">
      <c r="A25" s="2">
        <v>1</v>
      </c>
      <c r="B25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Low</v>
      </c>
      <c r="C25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8800</v>
      </c>
      <c r="D25" s="9">
        <f>STRScenarioTable[[#This Row],[Base Monthly Gross Rent]]*12</f>
        <v>105600</v>
      </c>
      <c r="E25" s="67">
        <f>IF(STRScenarioTable[[#This Row],[Year]]&gt;=3,$F$14,IF(STRScenarioTable[[#This Row],[Year]]&gt;=2,$E$14,$D$14))</f>
        <v>2500</v>
      </c>
      <c r="F25" s="68">
        <f>IF(STRScenarioTable[[#This Row],[Year]]&gt;=3,$F$15,IF(STRScenarioTable[[#This Row],[Year]]&gt;=2,$E$15,$D$15))</f>
        <v>0.4</v>
      </c>
      <c r="G25" s="67">
        <f>STRScenarioTable[[#This Row],[Base Annual Gross Rent]]/2</f>
        <v>52800</v>
      </c>
      <c r="H25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95440</v>
      </c>
      <c r="I25" s="69">
        <f>IF(STRScenarioTable[[#This Row],[Year]]&gt;=3,$F$16,IF(STRScenarioTable[[#This Row],[Year]]&gt;=2,$E$16,$D$16))</f>
        <v>4500</v>
      </c>
      <c r="J25" s="70">
        <f>IF(STRScenarioTable[[#This Row],[Year]]&gt;=3,$F$17,IF(STRScenarioTable[[#This Row],[Year]]&gt;=2,$E$17,$D$17))</f>
        <v>0.35</v>
      </c>
      <c r="K25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70798</v>
      </c>
      <c r="L25" s="2">
        <f>CHOOSE(SelectedOperatingScenarioId,STRScenarioTable[[#This Row],[Base Annual Gross Rent]],STRScenarioTable[[#This Row],[One-Floor STR Annual Gross]],STRScenarioTable[[#This Row],[Whole-Building STR Annual Gross]])</f>
        <v>95440</v>
      </c>
      <c r="O25" s="2">
        <f>SUM(SelectedAnnualGrossRent)</f>
        <v>1616535</v>
      </c>
    </row>
    <row r="26" spans="1:15" x14ac:dyDescent="0.25">
      <c r="A26" s="2">
        <v>2</v>
      </c>
      <c r="B26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Medium</v>
      </c>
      <c r="C26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10800</v>
      </c>
      <c r="D26" s="9">
        <f>STRScenarioTable[[#This Row],[Base Monthly Gross Rent]]*12</f>
        <v>129600</v>
      </c>
      <c r="E26" s="67">
        <f>IF(STRScenarioTable[[#This Row],[Year]]&gt;=3,$F$14,IF(STRScenarioTable[[#This Row],[Year]]&gt;=2,$E$14,$D$14))</f>
        <v>3250</v>
      </c>
      <c r="F26" s="68">
        <f>IF(STRScenarioTable[[#This Row],[Year]]&gt;=3,$F$15,IF(STRScenarioTable[[#This Row],[Year]]&gt;=2,$E$15,$D$15))</f>
        <v>0.5</v>
      </c>
      <c r="G26" s="67">
        <f>STRScenarioTable[[#This Row],[Base Annual Gross Rent]]/2</f>
        <v>64800</v>
      </c>
      <c r="H26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133895</v>
      </c>
      <c r="I26" s="69">
        <f>IF(STRScenarioTable[[#This Row],[Year]]&gt;=3,$F$16,IF(STRScenarioTable[[#This Row],[Year]]&gt;=2,$E$16,$D$16))</f>
        <v>6000</v>
      </c>
      <c r="J26" s="70">
        <f>IF(STRScenarioTable[[#This Row],[Year]]&gt;=3,$F$17,IF(STRScenarioTable[[#This Row],[Year]]&gt;=2,$E$17,$D$17))</f>
        <v>0.45</v>
      </c>
      <c r="K26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120744</v>
      </c>
      <c r="L26" s="2">
        <f>CHOOSE(SelectedOperatingScenarioId,STRScenarioTable[[#This Row],[Base Annual Gross Rent]],STRScenarioTable[[#This Row],[One-Floor STR Annual Gross]],STRScenarioTable[[#This Row],[Whole-Building STR Annual Gross]])</f>
        <v>133895</v>
      </c>
    </row>
    <row r="27" spans="1:15" x14ac:dyDescent="0.25">
      <c r="A27" s="2">
        <v>3</v>
      </c>
      <c r="B27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27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27" s="9">
        <f>STRScenarioTable[[#This Row],[Base Monthly Gross Rent]]*12</f>
        <v>144000</v>
      </c>
      <c r="E27" s="67">
        <f>IF(STRScenarioTable[[#This Row],[Year]]&gt;=3,$F$14,IF(STRScenarioTable[[#This Row],[Year]]&gt;=2,$E$14,$D$14))</f>
        <v>4000</v>
      </c>
      <c r="F27" s="68">
        <f>IF(STRScenarioTable[[#This Row],[Year]]&gt;=3,$F$15,IF(STRScenarioTable[[#This Row],[Year]]&gt;=2,$E$15,$D$15))</f>
        <v>0.6</v>
      </c>
      <c r="G27" s="67">
        <f>STRScenarioTable[[#This Row],[Base Annual Gross Rent]]/2</f>
        <v>72000</v>
      </c>
      <c r="H27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27" s="69">
        <f>IF(STRScenarioTable[[#This Row],[Year]]&gt;=3,$F$16,IF(STRScenarioTable[[#This Row],[Year]]&gt;=2,$E$16,$D$16))</f>
        <v>7500</v>
      </c>
      <c r="J27" s="70">
        <f>IF(STRScenarioTable[[#This Row],[Year]]&gt;=3,$F$17,IF(STRScenarioTable[[#This Row],[Year]]&gt;=2,$E$17,$D$17))</f>
        <v>0.55000000000000004</v>
      </c>
      <c r="K27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27" s="2">
        <f>CHOOSE(SelectedOperatingScenarioId,STRScenarioTable[[#This Row],[Base Annual Gross Rent]],STRScenarioTable[[#This Row],[One-Floor STR Annual Gross]],STRScenarioTable[[#This Row],[Whole-Building STR Annual Gross]])</f>
        <v>173400</v>
      </c>
    </row>
    <row r="28" spans="1:15" x14ac:dyDescent="0.25">
      <c r="A28" s="2">
        <v>4</v>
      </c>
      <c r="B28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28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28" s="9">
        <f>STRScenarioTable[[#This Row],[Base Monthly Gross Rent]]*12</f>
        <v>144000</v>
      </c>
      <c r="E28" s="67">
        <f>IF(STRScenarioTable[[#This Row],[Year]]&gt;=3,$F$14,IF(STRScenarioTable[[#This Row],[Year]]&gt;=2,$E$14,$D$14))</f>
        <v>4000</v>
      </c>
      <c r="F28" s="68">
        <f>IF(STRScenarioTable[[#This Row],[Year]]&gt;=3,$F$15,IF(STRScenarioTable[[#This Row],[Year]]&gt;=2,$E$15,$D$15))</f>
        <v>0.6</v>
      </c>
      <c r="G28" s="67">
        <f>STRScenarioTable[[#This Row],[Base Annual Gross Rent]]/2</f>
        <v>72000</v>
      </c>
      <c r="H28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28" s="69">
        <f>IF(STRScenarioTable[[#This Row],[Year]]&gt;=3,$F$16,IF(STRScenarioTable[[#This Row],[Year]]&gt;=2,$E$16,$D$16))</f>
        <v>7500</v>
      </c>
      <c r="J28" s="70">
        <f>IF(STRScenarioTable[[#This Row],[Year]]&gt;=3,$F$17,IF(STRScenarioTable[[#This Row],[Year]]&gt;=2,$E$17,$D$17))</f>
        <v>0.55000000000000004</v>
      </c>
      <c r="K28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28" s="2">
        <f>CHOOSE(SelectedOperatingScenarioId,STRScenarioTable[[#This Row],[Base Annual Gross Rent]],STRScenarioTable[[#This Row],[One-Floor STR Annual Gross]],STRScenarioTable[[#This Row],[Whole-Building STR Annual Gross]])</f>
        <v>173400</v>
      </c>
    </row>
    <row r="29" spans="1:15" x14ac:dyDescent="0.25">
      <c r="A29" s="2">
        <v>5</v>
      </c>
      <c r="B29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29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29" s="9">
        <f>STRScenarioTable[[#This Row],[Base Monthly Gross Rent]]*12</f>
        <v>144000</v>
      </c>
      <c r="E29" s="67">
        <f>IF(STRScenarioTable[[#This Row],[Year]]&gt;=3,$F$14,IF(STRScenarioTable[[#This Row],[Year]]&gt;=2,$E$14,$D$14))</f>
        <v>4000</v>
      </c>
      <c r="F29" s="68">
        <f>IF(STRScenarioTable[[#This Row],[Year]]&gt;=3,$F$15,IF(STRScenarioTable[[#This Row],[Year]]&gt;=2,$E$15,$D$15))</f>
        <v>0.6</v>
      </c>
      <c r="G29" s="67">
        <f>STRScenarioTable[[#This Row],[Base Annual Gross Rent]]/2</f>
        <v>72000</v>
      </c>
      <c r="H29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29" s="69">
        <f>IF(STRScenarioTable[[#This Row],[Year]]&gt;=3,$F$16,IF(STRScenarioTable[[#This Row],[Year]]&gt;=2,$E$16,$D$16))</f>
        <v>7500</v>
      </c>
      <c r="J29" s="70">
        <f>IF(STRScenarioTable[[#This Row],[Year]]&gt;=3,$F$17,IF(STRScenarioTable[[#This Row],[Year]]&gt;=2,$E$17,$D$17))</f>
        <v>0.55000000000000004</v>
      </c>
      <c r="K29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29" s="2">
        <f>CHOOSE(SelectedOperatingScenarioId,STRScenarioTable[[#This Row],[Base Annual Gross Rent]],STRScenarioTable[[#This Row],[One-Floor STR Annual Gross]],STRScenarioTable[[#This Row],[Whole-Building STR Annual Gross]])</f>
        <v>173400</v>
      </c>
    </row>
    <row r="30" spans="1:15" x14ac:dyDescent="0.25">
      <c r="A30" s="2">
        <v>6</v>
      </c>
      <c r="B30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0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0" s="9">
        <f>STRScenarioTable[[#This Row],[Base Monthly Gross Rent]]*12</f>
        <v>144000</v>
      </c>
      <c r="E30" s="67">
        <f>IF(STRScenarioTable[[#This Row],[Year]]&gt;=3,$F$14,IF(STRScenarioTable[[#This Row],[Year]]&gt;=2,$E$14,$D$14))</f>
        <v>4000</v>
      </c>
      <c r="F30" s="68">
        <f>IF(STRScenarioTable[[#This Row],[Year]]&gt;=3,$F$15,IF(STRScenarioTable[[#This Row],[Year]]&gt;=2,$E$15,$D$15))</f>
        <v>0.6</v>
      </c>
      <c r="G30" s="67">
        <f>STRScenarioTable[[#This Row],[Base Annual Gross Rent]]/2</f>
        <v>72000</v>
      </c>
      <c r="H30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0" s="69">
        <f>IF(STRScenarioTable[[#This Row],[Year]]&gt;=3,$F$16,IF(STRScenarioTable[[#This Row],[Year]]&gt;=2,$E$16,$D$16))</f>
        <v>7500</v>
      </c>
      <c r="J30" s="70">
        <f>IF(STRScenarioTable[[#This Row],[Year]]&gt;=3,$F$17,IF(STRScenarioTable[[#This Row],[Year]]&gt;=2,$E$17,$D$17))</f>
        <v>0.55000000000000004</v>
      </c>
      <c r="K30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0" s="2">
        <f>CHOOSE(SelectedOperatingScenarioId,STRScenarioTable[[#This Row],[Base Annual Gross Rent]],STRScenarioTable[[#This Row],[One-Floor STR Annual Gross]],STRScenarioTable[[#This Row],[Whole-Building STR Annual Gross]])</f>
        <v>173400</v>
      </c>
    </row>
    <row r="31" spans="1:15" x14ac:dyDescent="0.25">
      <c r="A31" s="2">
        <v>7</v>
      </c>
      <c r="B31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1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1" s="9">
        <f>STRScenarioTable[[#This Row],[Base Monthly Gross Rent]]*12</f>
        <v>144000</v>
      </c>
      <c r="E31" s="67">
        <f>IF(STRScenarioTable[[#This Row],[Year]]&gt;=3,$F$14,IF(STRScenarioTable[[#This Row],[Year]]&gt;=2,$E$14,$D$14))</f>
        <v>4000</v>
      </c>
      <c r="F31" s="68">
        <f>IF(STRScenarioTable[[#This Row],[Year]]&gt;=3,$F$15,IF(STRScenarioTable[[#This Row],[Year]]&gt;=2,$E$15,$D$15))</f>
        <v>0.6</v>
      </c>
      <c r="G31" s="67">
        <f>STRScenarioTable[[#This Row],[Base Annual Gross Rent]]/2</f>
        <v>72000</v>
      </c>
      <c r="H31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1" s="69">
        <f>IF(STRScenarioTable[[#This Row],[Year]]&gt;=3,$F$16,IF(STRScenarioTable[[#This Row],[Year]]&gt;=2,$E$16,$D$16))</f>
        <v>7500</v>
      </c>
      <c r="J31" s="70">
        <f>IF(STRScenarioTable[[#This Row],[Year]]&gt;=3,$F$17,IF(STRScenarioTable[[#This Row],[Year]]&gt;=2,$E$17,$D$17))</f>
        <v>0.55000000000000004</v>
      </c>
      <c r="K31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1" s="2">
        <f>CHOOSE(SelectedOperatingScenarioId,STRScenarioTable[[#This Row],[Base Annual Gross Rent]],STRScenarioTable[[#This Row],[One-Floor STR Annual Gross]],STRScenarioTable[[#This Row],[Whole-Building STR Annual Gross]])</f>
        <v>173400</v>
      </c>
    </row>
    <row r="32" spans="1:15" x14ac:dyDescent="0.25">
      <c r="A32" s="2">
        <v>8</v>
      </c>
      <c r="B32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2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2" s="9">
        <f>STRScenarioTable[[#This Row],[Base Monthly Gross Rent]]*12</f>
        <v>144000</v>
      </c>
      <c r="E32" s="67">
        <f>IF(STRScenarioTable[[#This Row],[Year]]&gt;=3,$F$14,IF(STRScenarioTable[[#This Row],[Year]]&gt;=2,$E$14,$D$14))</f>
        <v>4000</v>
      </c>
      <c r="F32" s="68">
        <f>IF(STRScenarioTable[[#This Row],[Year]]&gt;=3,$F$15,IF(STRScenarioTable[[#This Row],[Year]]&gt;=2,$E$15,$D$15))</f>
        <v>0.6</v>
      </c>
      <c r="G32" s="67">
        <f>STRScenarioTable[[#This Row],[Base Annual Gross Rent]]/2</f>
        <v>72000</v>
      </c>
      <c r="H32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2" s="69">
        <f>IF(STRScenarioTable[[#This Row],[Year]]&gt;=3,$F$16,IF(STRScenarioTable[[#This Row],[Year]]&gt;=2,$E$16,$D$16))</f>
        <v>7500</v>
      </c>
      <c r="J32" s="70">
        <f>IF(STRScenarioTable[[#This Row],[Year]]&gt;=3,$F$17,IF(STRScenarioTable[[#This Row],[Year]]&gt;=2,$E$17,$D$17))</f>
        <v>0.55000000000000004</v>
      </c>
      <c r="K32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2" s="2">
        <f>CHOOSE(SelectedOperatingScenarioId,STRScenarioTable[[#This Row],[Base Annual Gross Rent]],STRScenarioTable[[#This Row],[One-Floor STR Annual Gross]],STRScenarioTable[[#This Row],[Whole-Building STR Annual Gross]])</f>
        <v>173400</v>
      </c>
    </row>
    <row r="33" spans="1:12" x14ac:dyDescent="0.25">
      <c r="A33" s="2">
        <v>9</v>
      </c>
      <c r="B33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3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3" s="9">
        <f>STRScenarioTable[[#This Row],[Base Monthly Gross Rent]]*12</f>
        <v>144000</v>
      </c>
      <c r="E33" s="67">
        <f>IF(STRScenarioTable[[#This Row],[Year]]&gt;=3,$F$14,IF(STRScenarioTable[[#This Row],[Year]]&gt;=2,$E$14,$D$14))</f>
        <v>4000</v>
      </c>
      <c r="F33" s="68">
        <f>IF(STRScenarioTable[[#This Row],[Year]]&gt;=3,$F$15,IF(STRScenarioTable[[#This Row],[Year]]&gt;=2,$E$15,$D$15))</f>
        <v>0.6</v>
      </c>
      <c r="G33" s="67">
        <f>STRScenarioTable[[#This Row],[Base Annual Gross Rent]]/2</f>
        <v>72000</v>
      </c>
      <c r="H33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3" s="69">
        <f>IF(STRScenarioTable[[#This Row],[Year]]&gt;=3,$F$16,IF(STRScenarioTable[[#This Row],[Year]]&gt;=2,$E$16,$D$16))</f>
        <v>7500</v>
      </c>
      <c r="J33" s="70">
        <f>IF(STRScenarioTable[[#This Row],[Year]]&gt;=3,$F$17,IF(STRScenarioTable[[#This Row],[Year]]&gt;=2,$E$17,$D$17))</f>
        <v>0.55000000000000004</v>
      </c>
      <c r="K33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3" s="2">
        <f>CHOOSE(SelectedOperatingScenarioId,STRScenarioTable[[#This Row],[Base Annual Gross Rent]],STRScenarioTable[[#This Row],[One-Floor STR Annual Gross]],STRScenarioTable[[#This Row],[Whole-Building STR Annual Gross]])</f>
        <v>173400</v>
      </c>
    </row>
    <row r="34" spans="1:12" x14ac:dyDescent="0.25">
      <c r="A34" s="2">
        <v>10</v>
      </c>
      <c r="B34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4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4" s="9">
        <f>STRScenarioTable[[#This Row],[Base Monthly Gross Rent]]*12</f>
        <v>144000</v>
      </c>
      <c r="E34" s="67">
        <f>IF(STRScenarioTable[[#This Row],[Year]]&gt;=3,$F$14,IF(STRScenarioTable[[#This Row],[Year]]&gt;=2,$E$14,$D$14))</f>
        <v>4000</v>
      </c>
      <c r="F34" s="68">
        <f>IF(STRScenarioTable[[#This Row],[Year]]&gt;=3,$F$15,IF(STRScenarioTable[[#This Row],[Year]]&gt;=2,$E$15,$D$15))</f>
        <v>0.6</v>
      </c>
      <c r="G34" s="67">
        <f>STRScenarioTable[[#This Row],[Base Annual Gross Rent]]/2</f>
        <v>72000</v>
      </c>
      <c r="H34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4" s="69">
        <f>IF(STRScenarioTable[[#This Row],[Year]]&gt;=3,$F$16,IF(STRScenarioTable[[#This Row],[Year]]&gt;=2,$E$16,$D$16))</f>
        <v>7500</v>
      </c>
      <c r="J34" s="70">
        <f>IF(STRScenarioTable[[#This Row],[Year]]&gt;=3,$F$17,IF(STRScenarioTable[[#This Row],[Year]]&gt;=2,$E$17,$D$17))</f>
        <v>0.55000000000000004</v>
      </c>
      <c r="K34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4" s="2">
        <f>CHOOSE(SelectedOperatingScenarioId,STRScenarioTable[[#This Row],[Base Annual Gross Rent]],STRScenarioTable[[#This Row],[One-Floor STR Annual Gross]],STRScenarioTable[[#This Row],[Whole-Building STR Annual Gross]])</f>
        <v>173400</v>
      </c>
    </row>
  </sheetData>
  <mergeCells count="19">
    <mergeCell ref="A1:D1"/>
    <mergeCell ref="B6:D6"/>
    <mergeCell ref="B7:D7"/>
    <mergeCell ref="B8:D8"/>
    <mergeCell ref="B9:D9"/>
    <mergeCell ref="B2:D2"/>
    <mergeCell ref="D4:F4"/>
    <mergeCell ref="E8:J8"/>
    <mergeCell ref="E6:J6"/>
    <mergeCell ref="E7:J7"/>
    <mergeCell ref="E9:J9"/>
    <mergeCell ref="A12:C12"/>
    <mergeCell ref="A23:C23"/>
    <mergeCell ref="A19:C19"/>
    <mergeCell ref="A18:C18"/>
    <mergeCell ref="A14:C14"/>
    <mergeCell ref="A15:C15"/>
    <mergeCell ref="A16:C16"/>
    <mergeCell ref="A17:C17"/>
  </mergeCells>
  <pageMargins left="0.7" right="0.7" top="0.75" bottom="0.75" header="0.3" footer="0.3"/>
  <pageSetup orientation="portrait" horizontalDpi="4800" verticalDpi="48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06" r:id="rId4" name="OperatingScenarioGroup">
              <controlPr defaultSize="0" autoPict="0">
                <anchor moveWithCells="1">
                  <from>
                    <xdr:col>0</xdr:col>
                    <xdr:colOff>9525</xdr:colOff>
                    <xdr:row>6</xdr:row>
                    <xdr:rowOff>9525</xdr:rowOff>
                  </from>
                  <to>
                    <xdr:col>0</xdr:col>
                    <xdr:colOff>361950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5" name="OperatingScenarioOption_1">
              <controlPr defaultSize="0" autoFill="0" autoLine="0" autoPict="0">
                <anchor moveWithCells="1">
                  <from>
                    <xdr:col>0</xdr:col>
                    <xdr:colOff>85725</xdr:colOff>
                    <xdr:row>6</xdr:row>
                    <xdr:rowOff>38100</xdr:rowOff>
                  </from>
                  <to>
                    <xdr:col>0</xdr:col>
                    <xdr:colOff>381000</xdr:colOff>
                    <xdr:row>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6" name="OperatingScenarioOption_2">
              <controlPr defaultSize="0" autoFill="0" autoLine="0" autoPict="0">
                <anchor moveWithCells="1">
                  <from>
                    <xdr:col>0</xdr:col>
                    <xdr:colOff>85725</xdr:colOff>
                    <xdr:row>7</xdr:row>
                    <xdr:rowOff>28575</xdr:rowOff>
                  </from>
                  <to>
                    <xdr:col>0</xdr:col>
                    <xdr:colOff>381000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7" name="OperatingScenarioOption_3">
              <controlPr defaultSize="0" autoFill="0" autoLine="0" autoPict="0">
                <anchor moveWithCells="1">
                  <from>
                    <xdr:col>0</xdr:col>
                    <xdr:colOff>85725</xdr:colOff>
                    <xdr:row>8</xdr:row>
                    <xdr:rowOff>28575</xdr:rowOff>
                  </from>
                  <to>
                    <xdr:col>0</xdr:col>
                    <xdr:colOff>381000</xdr:colOff>
                    <xdr:row>9</xdr:row>
                    <xdr:rowOff>38100</xdr:rowOff>
                  </to>
                </anchor>
              </controlPr>
            </control>
          </mc:Choice>
        </mc:AlternateContent>
      </controls>
    </mc:Choice>
  </mc:AlternateContent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"/>
  <sheetViews>
    <sheetView topLeftCell="A5" workbookViewId="0">
      <selection activeCell="A46" sqref="A46"/>
    </sheetView>
  </sheetViews>
  <sheetFormatPr defaultRowHeight="15" x14ac:dyDescent="0.25"/>
  <cols>
    <col min="1" max="1" width="47" style="6" bestFit="1" customWidth="1"/>
    <col min="2" max="2" width="8.42578125" style="6" bestFit="1" customWidth="1"/>
    <col min="3" max="3" width="80.42578125" style="6" bestFit="1" customWidth="1"/>
    <col min="4" max="4" width="19" style="6" bestFit="1" customWidth="1"/>
    <col min="5" max="5" width="5.5703125" style="6" bestFit="1" customWidth="1"/>
    <col min="6" max="6" width="8.5703125" style="6" bestFit="1" customWidth="1"/>
    <col min="7" max="7" width="6.5703125" style="6" bestFit="1" customWidth="1"/>
    <col min="8" max="8" width="8.28515625" style="6" bestFit="1" customWidth="1"/>
    <col min="9" max="9" width="35.5703125" style="6" bestFit="1" customWidth="1"/>
    <col min="10" max="10" width="41.7109375" style="6" bestFit="1" customWidth="1"/>
    <col min="11" max="16384" width="9.140625" style="6"/>
  </cols>
  <sheetData>
    <row r="1" spans="1:13" ht="18.75" x14ac:dyDescent="0.3">
      <c r="A1" s="20" t="s">
        <v>0</v>
      </c>
      <c r="B1" s="13"/>
      <c r="C1" s="18" t="s">
        <v>1</v>
      </c>
    </row>
    <row r="2" spans="1:13" x14ac:dyDescent="0.25">
      <c r="A2" s="13"/>
      <c r="B2" s="13"/>
      <c r="C2" s="13"/>
    </row>
    <row r="3" spans="1:13" x14ac:dyDescent="0.25">
      <c r="A3" s="21" t="s">
        <v>2</v>
      </c>
      <c r="B3" s="13"/>
      <c r="C3" s="13"/>
      <c r="L3" s="63" t="s">
        <v>365</v>
      </c>
      <c r="M3" s="64"/>
    </row>
    <row r="4" spans="1:13" x14ac:dyDescent="0.25">
      <c r="A4" s="13" t="s">
        <v>3</v>
      </c>
      <c r="B4" s="15">
        <f>MAX(1,MIN(10,SelectedWaterfallRefiOption))</f>
        <v>3</v>
      </c>
      <c r="C4" s="18" t="s">
        <v>319</v>
      </c>
      <c r="L4" s="64" t="s">
        <v>331</v>
      </c>
      <c r="M4" s="64" t="str">
        <f>SelectedOperatingScenario</f>
        <v>One Floor STR + One Floor Co-Living</v>
      </c>
    </row>
    <row r="5" spans="1:13" x14ac:dyDescent="0.25">
      <c r="A5" s="13" t="s">
        <v>4</v>
      </c>
      <c r="B5" s="15">
        <f>MAX(1,MIN(10,SelectedWaterfallExitOption))</f>
        <v>5</v>
      </c>
      <c r="C5" s="18" t="s">
        <v>320</v>
      </c>
      <c r="L5" s="64" t="s">
        <v>366</v>
      </c>
      <c r="M5" s="64"/>
    </row>
    <row r="6" spans="1:13" x14ac:dyDescent="0.25">
      <c r="A6" s="13"/>
      <c r="B6" s="13"/>
      <c r="C6" s="13"/>
    </row>
    <row r="7" spans="1:13" x14ac:dyDescent="0.25">
      <c r="A7" s="21" t="s">
        <v>5</v>
      </c>
      <c r="B7" s="13"/>
      <c r="C7" s="13"/>
      <c r="D7" s="114" t="s">
        <v>281</v>
      </c>
      <c r="E7" s="114"/>
      <c r="F7" s="114"/>
      <c r="G7" s="114"/>
      <c r="H7" s="114"/>
      <c r="I7" s="114"/>
      <c r="J7" s="114"/>
    </row>
    <row r="8" spans="1:13" x14ac:dyDescent="0.25">
      <c r="A8" s="13" t="s">
        <v>6</v>
      </c>
      <c r="B8" s="15">
        <v>4</v>
      </c>
      <c r="C8" s="18" t="s">
        <v>7</v>
      </c>
      <c r="D8" s="38" t="s">
        <v>289</v>
      </c>
      <c r="E8" s="38" t="s">
        <v>108</v>
      </c>
      <c r="F8" s="38" t="s">
        <v>285</v>
      </c>
      <c r="G8" s="38" t="s">
        <v>121</v>
      </c>
      <c r="H8" s="38" t="s">
        <v>290</v>
      </c>
      <c r="I8" s="38" t="s">
        <v>291</v>
      </c>
      <c r="J8" s="38" t="s">
        <v>292</v>
      </c>
    </row>
    <row r="9" spans="1:13" x14ac:dyDescent="0.25">
      <c r="A9" s="13" t="s">
        <v>8</v>
      </c>
      <c r="B9" s="13">
        <v>1600</v>
      </c>
      <c r="C9" s="18" t="s">
        <v>286</v>
      </c>
      <c r="D9" s="39" t="s">
        <v>282</v>
      </c>
      <c r="E9" s="40">
        <v>1350</v>
      </c>
      <c r="F9" s="40">
        <v>1600</v>
      </c>
      <c r="G9" s="40">
        <v>1750</v>
      </c>
      <c r="H9" s="40">
        <f>AVERAGE(E9:G9)</f>
        <v>1566.6666666666667</v>
      </c>
      <c r="I9" s="39" t="s">
        <v>293</v>
      </c>
      <c r="J9" s="39"/>
    </row>
    <row r="10" spans="1:13" x14ac:dyDescent="0.25">
      <c r="A10" s="13" t="s">
        <v>9</v>
      </c>
      <c r="B10" s="15">
        <v>4</v>
      </c>
      <c r="C10" s="18" t="s">
        <v>10</v>
      </c>
      <c r="D10" s="39" t="s">
        <v>283</v>
      </c>
      <c r="E10" s="40">
        <v>850</v>
      </c>
      <c r="F10" s="40">
        <v>1100</v>
      </c>
      <c r="G10" s="40">
        <v>1250</v>
      </c>
      <c r="H10" s="40">
        <f>AVERAGE(E10:G10)</f>
        <v>1066.6666666666667</v>
      </c>
      <c r="I10" s="39" t="s">
        <v>293</v>
      </c>
      <c r="J10" s="39"/>
    </row>
    <row r="11" spans="1:13" x14ac:dyDescent="0.25">
      <c r="A11" s="13" t="s">
        <v>11</v>
      </c>
      <c r="B11" s="13">
        <v>1100</v>
      </c>
      <c r="C11" s="18" t="s">
        <v>286</v>
      </c>
      <c r="D11" s="39" t="s">
        <v>284</v>
      </c>
      <c r="E11" s="40">
        <f>PremiumSuites*E9+CoLivingSuites*E10+OtherMonthlyIncome</f>
        <v>8800</v>
      </c>
      <c r="F11" s="40">
        <f>PremiumSuites*F9+CoLivingSuites*F10+OtherMonthlyIncome</f>
        <v>10800</v>
      </c>
      <c r="G11" s="40">
        <f>PremiumSuites*G9+CoLivingSuites*G10+OtherMonthlyIncome</f>
        <v>12000</v>
      </c>
      <c r="H11" s="40">
        <f>AVERAGE(E11:G11)</f>
        <v>10533.333333333334</v>
      </c>
      <c r="I11" s="39" t="s">
        <v>312</v>
      </c>
      <c r="J11" s="39"/>
    </row>
    <row r="12" spans="1:13" x14ac:dyDescent="0.25">
      <c r="A12" s="13" t="s">
        <v>12</v>
      </c>
      <c r="B12" s="13">
        <v>0</v>
      </c>
      <c r="C12" s="18" t="s">
        <v>13</v>
      </c>
      <c r="D12" s="39" t="s">
        <v>287</v>
      </c>
      <c r="E12" s="40">
        <v>1</v>
      </c>
      <c r="F12" s="40">
        <v>2</v>
      </c>
      <c r="G12" s="40">
        <v>3</v>
      </c>
      <c r="H12" s="40"/>
      <c r="I12" s="39" t="s">
        <v>294</v>
      </c>
      <c r="J12" s="39" t="s">
        <v>295</v>
      </c>
    </row>
    <row r="13" spans="1:13" x14ac:dyDescent="0.25">
      <c r="A13" s="13" t="s">
        <v>14</v>
      </c>
      <c r="B13" s="22">
        <v>0.93</v>
      </c>
      <c r="C13" s="18" t="s">
        <v>15</v>
      </c>
    </row>
    <row r="14" spans="1:13" x14ac:dyDescent="0.25">
      <c r="A14" s="13" t="s">
        <v>16</v>
      </c>
      <c r="B14" s="22">
        <v>0.5</v>
      </c>
      <c r="C14" s="18" t="s">
        <v>17</v>
      </c>
    </row>
    <row r="15" spans="1:13" x14ac:dyDescent="0.25">
      <c r="A15" s="13" t="s">
        <v>18</v>
      </c>
      <c r="B15" s="22">
        <f>SelectedOperatingExpenseRatio</f>
        <v>0.46912485065710868</v>
      </c>
      <c r="C15" s="18" t="s">
        <v>19</v>
      </c>
    </row>
    <row r="16" spans="1:13" x14ac:dyDescent="0.25">
      <c r="A16" s="13" t="s">
        <v>20</v>
      </c>
      <c r="B16" s="22">
        <v>0.03</v>
      </c>
      <c r="C16" s="18" t="s">
        <v>21</v>
      </c>
    </row>
    <row r="17" spans="1:3" x14ac:dyDescent="0.25">
      <c r="A17" s="13" t="s">
        <v>296</v>
      </c>
      <c r="B17" s="13">
        <f>IF(StabilizationRefiYear&gt;=RentScenarioHighEffectiveYear,RentScenarioHighMonthlyGross,IF(StabilizationRefiYear&gt;=RentScenarioMediumEffectiveYear,RentScenarioMediumMonthlyGross,IF(StabilizationRefiYear&gt;=RentScenarioLowEffectiveYear,RentScenarioLowMonthlyGross,0)))</f>
        <v>12000</v>
      </c>
      <c r="C17" s="18" t="s">
        <v>311</v>
      </c>
    </row>
    <row r="18" spans="1:3" x14ac:dyDescent="0.25">
      <c r="A18" s="13"/>
      <c r="B18" s="13"/>
      <c r="C18" s="13"/>
    </row>
    <row r="19" spans="1:3" x14ac:dyDescent="0.25">
      <c r="A19" s="21" t="s">
        <v>22</v>
      </c>
      <c r="B19" s="13"/>
      <c r="C19" s="13"/>
    </row>
    <row r="20" spans="1:3" x14ac:dyDescent="0.25">
      <c r="A20" s="13" t="s">
        <v>243</v>
      </c>
      <c r="B20" s="13">
        <v>119000</v>
      </c>
      <c r="C20" s="18" t="s">
        <v>244</v>
      </c>
    </row>
    <row r="21" spans="1:3" x14ac:dyDescent="0.25">
      <c r="A21" s="13" t="s">
        <v>245</v>
      </c>
      <c r="B21" s="24">
        <v>3.2500000000000001E-2</v>
      </c>
      <c r="C21" s="18" t="s">
        <v>246</v>
      </c>
    </row>
    <row r="22" spans="1:3" x14ac:dyDescent="0.25">
      <c r="A22" s="13" t="s">
        <v>23</v>
      </c>
      <c r="B22" s="13">
        <v>75000</v>
      </c>
      <c r="C22" s="18" t="s">
        <v>24</v>
      </c>
    </row>
    <row r="23" spans="1:3" x14ac:dyDescent="0.25">
      <c r="A23" s="13" t="s">
        <v>25</v>
      </c>
      <c r="B23" s="24">
        <v>0.1</v>
      </c>
      <c r="C23" s="18" t="s">
        <v>26</v>
      </c>
    </row>
    <row r="24" spans="1:3" x14ac:dyDescent="0.25">
      <c r="A24" s="13" t="s">
        <v>27</v>
      </c>
      <c r="B24" s="13">
        <f>_xlfn.SINGLE(ExistingFirstMortgagePrincipal)+PrivateDebtPrincipal</f>
        <v>194000</v>
      </c>
      <c r="C24" s="18" t="s">
        <v>247</v>
      </c>
    </row>
    <row r="25" spans="1:3" x14ac:dyDescent="0.25">
      <c r="A25" s="13" t="s">
        <v>252</v>
      </c>
      <c r="B25" s="13">
        <v>526</v>
      </c>
      <c r="C25" s="18" t="s">
        <v>253</v>
      </c>
    </row>
    <row r="26" spans="1:3" x14ac:dyDescent="0.25">
      <c r="A26" s="13" t="s">
        <v>254</v>
      </c>
      <c r="B26" s="13">
        <f>_xlfn.SINGLE(ExistingFirstMortgageMonthlyPI)*12</f>
        <v>6312</v>
      </c>
      <c r="C26" s="18" t="s">
        <v>255</v>
      </c>
    </row>
    <row r="27" spans="1:3" x14ac:dyDescent="0.25">
      <c r="A27" s="13" t="s">
        <v>248</v>
      </c>
      <c r="B27" s="13">
        <f>PrivateDebtPrincipal*PrivateDebtInterestRate</f>
        <v>7500</v>
      </c>
      <c r="C27" s="18" t="s">
        <v>249</v>
      </c>
    </row>
    <row r="28" spans="1:3" x14ac:dyDescent="0.25">
      <c r="A28" s="13" t="s">
        <v>250</v>
      </c>
      <c r="B28" s="7">
        <f>ExistingFirstMortgageAnnualPayment+PrivateDebtAnnualInterestPayment</f>
        <v>13812</v>
      </c>
      <c r="C28" s="18" t="s">
        <v>251</v>
      </c>
    </row>
    <row r="29" spans="1:3" x14ac:dyDescent="0.25">
      <c r="A29" s="13" t="s">
        <v>259</v>
      </c>
      <c r="B29" s="24">
        <v>0.7</v>
      </c>
      <c r="C29" s="18" t="s">
        <v>260</v>
      </c>
    </row>
    <row r="30" spans="1:3" x14ac:dyDescent="0.25">
      <c r="A30" s="13" t="s">
        <v>28</v>
      </c>
      <c r="B30" s="13">
        <f>MIN((StabilizedMonthlyGrossRent*12*StabilizedOccupancy*(1-OperatingExpenseRatio)*(1+NOIGrowth)/ExitCapRate)*RefinanceLoanToValueCap,TotalExistingDebt+ClassACapital+ClassBCapital)</f>
        <v>732276.44000000006</v>
      </c>
      <c r="C30" s="18" t="s">
        <v>29</v>
      </c>
    </row>
    <row r="31" spans="1:3" x14ac:dyDescent="0.25">
      <c r="A31" s="13" t="s">
        <v>30</v>
      </c>
      <c r="B31" s="13">
        <f>MAX(0,RefinanceLoanAmount-TotalExistingDebt)</f>
        <v>538276.44000000006</v>
      </c>
      <c r="C31" s="18" t="s">
        <v>31</v>
      </c>
    </row>
    <row r="32" spans="1:3" x14ac:dyDescent="0.25">
      <c r="A32" s="13" t="s">
        <v>32</v>
      </c>
      <c r="B32" s="13">
        <f>MAX(0,RefinanceLoanAmount-TotalExistingDebt-ClassACapital)</f>
        <v>238276.44000000006</v>
      </c>
      <c r="C32" s="18" t="s">
        <v>33</v>
      </c>
    </row>
    <row r="33" spans="1:3" x14ac:dyDescent="0.25">
      <c r="A33" s="13" t="s">
        <v>34</v>
      </c>
      <c r="B33" s="24">
        <v>6.5000000000000002E-2</v>
      </c>
      <c r="C33" s="18" t="s">
        <v>35</v>
      </c>
    </row>
    <row r="34" spans="1:3" x14ac:dyDescent="0.25">
      <c r="A34" s="13" t="s">
        <v>36</v>
      </c>
      <c r="B34" s="15">
        <v>30</v>
      </c>
      <c r="C34" s="18" t="s">
        <v>37</v>
      </c>
    </row>
    <row r="35" spans="1:3" x14ac:dyDescent="0.25">
      <c r="A35" s="13" t="s">
        <v>38</v>
      </c>
      <c r="B35" s="24">
        <v>7.0000000000000007E-2</v>
      </c>
      <c r="C35" s="18" t="s">
        <v>39</v>
      </c>
    </row>
    <row r="36" spans="1:3" x14ac:dyDescent="0.25">
      <c r="A36" s="13" t="s">
        <v>40</v>
      </c>
      <c r="B36" s="24">
        <v>0.02</v>
      </c>
      <c r="C36" s="13" t="s">
        <v>41</v>
      </c>
    </row>
    <row r="37" spans="1:3" x14ac:dyDescent="0.25">
      <c r="A37" s="21"/>
      <c r="B37" s="13"/>
      <c r="C37" s="13"/>
    </row>
    <row r="38" spans="1:3" x14ac:dyDescent="0.25">
      <c r="A38" s="13" t="s">
        <v>42</v>
      </c>
      <c r="B38" s="13"/>
      <c r="C38" s="18"/>
    </row>
    <row r="39" spans="1:3" x14ac:dyDescent="0.25">
      <c r="A39" s="13" t="s">
        <v>43</v>
      </c>
      <c r="B39" s="13">
        <v>300000</v>
      </c>
      <c r="C39" s="18" t="s">
        <v>44</v>
      </c>
    </row>
    <row r="40" spans="1:3" x14ac:dyDescent="0.25">
      <c r="A40" s="13" t="s">
        <v>45</v>
      </c>
      <c r="B40" s="24">
        <v>0.08</v>
      </c>
      <c r="C40" s="18" t="s">
        <v>46</v>
      </c>
    </row>
    <row r="41" spans="1:3" x14ac:dyDescent="0.25">
      <c r="A41" s="13" t="s">
        <v>47</v>
      </c>
      <c r="B41" s="13">
        <f>MAX(0,SelectedProjectCost-ClassACapital)</f>
        <v>547500</v>
      </c>
      <c r="C41" s="18" t="s">
        <v>261</v>
      </c>
    </row>
    <row r="42" spans="1:3" x14ac:dyDescent="0.25">
      <c r="A42" s="13" t="s">
        <v>48</v>
      </c>
      <c r="B42" s="13">
        <v>1</v>
      </c>
      <c r="C42" s="18" t="s">
        <v>49</v>
      </c>
    </row>
    <row r="43" spans="1:3" x14ac:dyDescent="0.25">
      <c r="A43" s="13" t="s">
        <v>51</v>
      </c>
      <c r="B43" s="30">
        <v>0.5</v>
      </c>
      <c r="C43" s="18" t="s">
        <v>263</v>
      </c>
    </row>
    <row r="44" spans="1:3" x14ac:dyDescent="0.25">
      <c r="A44" s="13" t="s">
        <v>262</v>
      </c>
      <c r="B44" s="30">
        <f>(1-SponsorResidualShare)*(ClassACapital/(ClassACapital+ClassBCapital))</f>
        <v>0.17699115044247787</v>
      </c>
      <c r="C44" s="18" t="s">
        <v>264</v>
      </c>
    </row>
    <row r="45" spans="1:3" x14ac:dyDescent="0.25">
      <c r="A45" s="13" t="s">
        <v>50</v>
      </c>
      <c r="B45" s="30">
        <f>(1-SponsorResidualShare)*(ClassBCapital/(ClassACapital+ClassBCapital))</f>
        <v>0.32300884955752213</v>
      </c>
      <c r="C45" s="18" t="s">
        <v>265</v>
      </c>
    </row>
    <row r="46" spans="1:3" x14ac:dyDescent="0.25">
      <c r="A46" s="13" t="s">
        <v>271</v>
      </c>
      <c r="B46" s="13">
        <v>100000</v>
      </c>
      <c r="C46" s="13" t="s">
        <v>272</v>
      </c>
    </row>
    <row r="47" spans="1:3" x14ac:dyDescent="0.25">
      <c r="A47" s="13" t="s">
        <v>303</v>
      </c>
      <c r="B47" s="13">
        <v>136283</v>
      </c>
      <c r="C47" s="13" t="s">
        <v>304</v>
      </c>
    </row>
    <row r="48" spans="1:3" x14ac:dyDescent="0.25">
      <c r="A48" s="13" t="s">
        <v>52</v>
      </c>
      <c r="B48" s="112" t="s">
        <v>53</v>
      </c>
      <c r="C48" s="113"/>
    </row>
  </sheetData>
  <mergeCells count="2">
    <mergeCell ref="B48:C48"/>
    <mergeCell ref="D7:J7"/>
  </mergeCells>
  <dataValidations count="1">
    <dataValidation type="whole" allowBlank="1" showInputMessage="1" showErrorMessage="1" promptTitle="Effective Year" prompt="Enter the model year when this rent scenario starts." sqref="E12:G12" xr:uid="{723C31B8-587E-499B-83AB-B77EF2174251}">
      <formula1>1</formula1>
      <formula2>SaleExitYear</formula2>
    </dataValidation>
  </dataValidations>
  <pageMargins left="0.7" right="0.7" top="0.75" bottom="0.75" header="0.3" footer="0.3"/>
  <pageSetup orientation="portrait" horizontalDpi="4800" verticalDpi="48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4"/>
  <sheetViews>
    <sheetView topLeftCell="A3" workbookViewId="0">
      <selection activeCell="M9" sqref="M9"/>
    </sheetView>
  </sheetViews>
  <sheetFormatPr defaultRowHeight="15" x14ac:dyDescent="0.25"/>
  <cols>
    <col min="1" max="1" width="9.5703125" style="6" bestFit="1" customWidth="1"/>
    <col min="2" max="2" width="26" style="6" bestFit="1" customWidth="1"/>
    <col min="3" max="3" width="13.7109375" style="6" bestFit="1" customWidth="1"/>
    <col min="4" max="4" width="17.7109375" style="6" bestFit="1" customWidth="1"/>
    <col min="5" max="5" width="14.42578125" style="6" bestFit="1" customWidth="1"/>
    <col min="6" max="6" width="9" style="6" bestFit="1" customWidth="1"/>
    <col min="7" max="7" width="12" style="6" bestFit="1" customWidth="1"/>
    <col min="8" max="9" width="12.28515625" style="6" customWidth="1"/>
    <col min="10" max="10" width="10.140625" style="6" customWidth="1"/>
    <col min="11" max="11" width="10.85546875" style="6" customWidth="1"/>
    <col min="12" max="12" width="15.7109375" style="6" customWidth="1"/>
    <col min="13" max="13" width="13.85546875" style="6" customWidth="1"/>
    <col min="14" max="14" width="12.5703125" style="6" customWidth="1"/>
    <col min="15" max="15" width="11" style="6" customWidth="1"/>
    <col min="16" max="16" width="13.28515625" style="6" bestFit="1" customWidth="1"/>
    <col min="17" max="16384" width="9.140625" style="6"/>
  </cols>
  <sheetData>
    <row r="1" spans="1:16" ht="18.75" x14ac:dyDescent="0.3">
      <c r="A1" s="115" t="s">
        <v>54</v>
      </c>
      <c r="B1" s="93"/>
      <c r="C1" s="9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6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6" s="23" customFormat="1" ht="45" x14ac:dyDescent="0.25">
      <c r="A3" s="25" t="s">
        <v>55</v>
      </c>
      <c r="B3" s="25" t="s">
        <v>56</v>
      </c>
      <c r="C3" s="25" t="s">
        <v>57</v>
      </c>
      <c r="D3" s="25" t="s">
        <v>309</v>
      </c>
      <c r="E3" s="25" t="s">
        <v>58</v>
      </c>
      <c r="F3" s="25" t="s">
        <v>59</v>
      </c>
      <c r="G3" s="25" t="s">
        <v>60</v>
      </c>
      <c r="H3" s="25" t="s">
        <v>310</v>
      </c>
      <c r="I3" s="25" t="s">
        <v>268</v>
      </c>
      <c r="J3" s="25" t="s">
        <v>315</v>
      </c>
      <c r="K3" s="25" t="s">
        <v>316</v>
      </c>
      <c r="L3" s="25" t="s">
        <v>256</v>
      </c>
      <c r="M3" s="25" t="s">
        <v>257</v>
      </c>
      <c r="N3" s="25" t="s">
        <v>258</v>
      </c>
      <c r="O3" s="25" t="s">
        <v>61</v>
      </c>
      <c r="P3" s="25" t="s">
        <v>62</v>
      </c>
    </row>
    <row r="4" spans="1:16" x14ac:dyDescent="0.25">
      <c r="A4" s="13">
        <v>0</v>
      </c>
      <c r="B4" s="13" t="s">
        <v>63</v>
      </c>
      <c r="C4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4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4" s="13">
        <f>IF(AnnualModelTable[[#This Row],[Year]]&gt;SaleExitYear,0,AnnualModelTable[[#This Row],[Occupancy Effective Gross Income]]*OperatingExpenseRatio)</f>
        <v>0</v>
      </c>
      <c r="F4" s="13">
        <f>IF(AnnualModelTable[[#This Row],[Year]]&gt;SaleExitYear,0,AnnualModelTable[[#This Row],[Occupancy Effective Gross Income]]-AnnualModelTable[[#This Row],[Operating Expenses]])</f>
        <v>0</v>
      </c>
      <c r="G4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4" s="13">
        <f>IF(AnnualModelTable[[#This Row],[Year]]&gt;SaleExitYear,0,AnnualModelTable[[#This Row],[NOI]]-AnnualModelTable[[#This Row],[Debt Service]])</f>
        <v>0</v>
      </c>
      <c r="I4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100000</v>
      </c>
      <c r="J4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4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4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100000</v>
      </c>
      <c r="M4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100000</v>
      </c>
      <c r="N4" s="13">
        <f>IF(AnnualModelTable[[#This Row],[Year]]&gt;SaleExitYear,0,MAX(0,AnnualModelTable[[#This Row],[Cash Available Before Distributions]]-AnnualModelTable[[#This Row],[Waterfall Distributions]]))</f>
        <v>0</v>
      </c>
      <c r="O4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4" s="13">
        <f>IF(AnnualModelTable[[#This Row],[Year]]&gt;SaleExitYear,0,IF(AnnualModelTable[[#This Row],[Year]]&lt;StabilizationRefiYear,0,AnnualModelTable[[#This Row],[NOI]]*(1+NOIGrowth)/ExitCapRate))</f>
        <v>0</v>
      </c>
    </row>
    <row r="5" spans="1:16" x14ac:dyDescent="0.25">
      <c r="A5" s="13">
        <v>1</v>
      </c>
      <c r="B5" s="13" t="s">
        <v>64</v>
      </c>
      <c r="C5" s="13">
        <f>IF(AnnualModelTable[[#This Row],[Year]]&gt;SaleExitYear,0,IF(AnnualModelTable[[#This Row],[Year]]=0,0,INDEX(STRScenarioTable[Selected Annual Gross Rent],MATCH(AnnualModelTable[[#This Row],[Year]],STRScenarioTable[Year],0))))</f>
        <v>95440</v>
      </c>
      <c r="D5" s="13">
        <f>IF(AnnualModelTable[[#This Row],[Year]]&gt;SaleExitYear,0,IF(AnnualModelTable[[#This Row],[Year]]=0,0,AnnualModelTable[[#This Row],[Gross Potential Rent]]*IF(AnnualModelTable[[#This Row],[Year]]=1,LeaseUpOccupancy,StabilizedOccupancy)))</f>
        <v>47720</v>
      </c>
      <c r="E5" s="13">
        <f>IF(AnnualModelTable[[#This Row],[Year]]&gt;SaleExitYear,0,AnnualModelTable[[#This Row],[Occupancy Effective Gross Income]]*OperatingExpenseRatio)</f>
        <v>22386.637873357227</v>
      </c>
      <c r="F5" s="13">
        <f>IF(AnnualModelTable[[#This Row],[Year]]&gt;SaleExitYear,0,AnnualModelTable[[#This Row],[Occupancy Effective Gross Income]]-AnnualModelTable[[#This Row],[Operating Expenses]])</f>
        <v>25333.362126642773</v>
      </c>
      <c r="G5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13812</v>
      </c>
      <c r="H5" s="13">
        <f>IF(AnnualModelTable[[#This Row],[Year]]&gt;SaleExitYear,0,AnnualModelTable[[#This Row],[NOI]]-AnnualModelTable[[#This Row],[Debt Service]])</f>
        <v>11521.362126642773</v>
      </c>
      <c r="I5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5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9000</v>
      </c>
      <c r="K5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5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2521.3621266427726</v>
      </c>
      <c r="M5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2521.3621266427726</v>
      </c>
      <c r="N5" s="13">
        <f>IF(AnnualModelTable[[#This Row],[Year]]&gt;SaleExitYear,0,MAX(0,AnnualModelTable[[#This Row],[Cash Available Before Distributions]]-AnnualModelTable[[#This Row],[Waterfall Distributions]]))</f>
        <v>0</v>
      </c>
      <c r="O5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5" s="13">
        <f>IF(AnnualModelTable[[#This Row],[Year]]&gt;SaleExitYear,0,IF(AnnualModelTable[[#This Row],[Year]]&lt;StabilizationRefiYear,0,AnnualModelTable[[#This Row],[NOI]]*(1+NOIGrowth)/ExitCapRate))</f>
        <v>0</v>
      </c>
    </row>
    <row r="6" spans="1:16" x14ac:dyDescent="0.25">
      <c r="A6" s="13">
        <v>2</v>
      </c>
      <c r="B6" s="13" t="s">
        <v>65</v>
      </c>
      <c r="C6" s="13">
        <f>IF(AnnualModelTable[[#This Row],[Year]]&gt;SaleExitYear,0,IF(AnnualModelTable[[#This Row],[Year]]=0,0,INDEX(STRScenarioTable[Selected Annual Gross Rent],MATCH(AnnualModelTable[[#This Row],[Year]],STRScenarioTable[Year],0))))</f>
        <v>133895</v>
      </c>
      <c r="D6" s="13">
        <f>IF(AnnualModelTable[[#This Row],[Year]]&gt;SaleExitYear,0,IF(AnnualModelTable[[#This Row],[Year]]=0,0,AnnualModelTable[[#This Row],[Gross Potential Rent]]*IF(AnnualModelTable[[#This Row],[Year]]=1,LeaseUpOccupancy,StabilizedOccupancy)))</f>
        <v>124522.35</v>
      </c>
      <c r="E6" s="13">
        <f>IF(AnnualModelTable[[#This Row],[Year]]&gt;SaleExitYear,0,AnnualModelTable[[#This Row],[Occupancy Effective Gross Income]]*OperatingExpenseRatio)</f>
        <v>58416.528847222224</v>
      </c>
      <c r="F6" s="13">
        <f>IF(AnnualModelTable[[#This Row],[Year]]&gt;SaleExitYear,0,AnnualModelTable[[#This Row],[Occupancy Effective Gross Income]]-AnnualModelTable[[#This Row],[Operating Expenses]])</f>
        <v>66105.821152777789</v>
      </c>
      <c r="G6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13812</v>
      </c>
      <c r="H6" s="13">
        <f>IF(AnnualModelTable[[#This Row],[Year]]&gt;SaleExitYear,0,AnnualModelTable[[#This Row],[NOI]]-AnnualModelTable[[#This Row],[Debt Service]])</f>
        <v>52293.821152777789</v>
      </c>
      <c r="I6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6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6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6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52293.821152777789</v>
      </c>
      <c r="M6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52293.821152777789</v>
      </c>
      <c r="N6" s="13">
        <f>IF(AnnualModelTable[[#This Row],[Year]]&gt;SaleExitYear,0,MAX(0,AnnualModelTable[[#This Row],[Cash Available Before Distributions]]-AnnualModelTable[[#This Row],[Waterfall Distributions]]))</f>
        <v>0</v>
      </c>
      <c r="O6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6" s="13">
        <f>IF(AnnualModelTable[[#This Row],[Year]]&gt;SaleExitYear,0,IF(AnnualModelTable[[#This Row],[Year]]&lt;StabilizationRefiYear,0,AnnualModelTable[[#This Row],[NOI]]*(1+NOIGrowth)/ExitCapRate))</f>
        <v>0</v>
      </c>
    </row>
    <row r="7" spans="1:16" x14ac:dyDescent="0.25">
      <c r="A7" s="13">
        <v>3</v>
      </c>
      <c r="B7" s="13" t="s">
        <v>66</v>
      </c>
      <c r="C7" s="13">
        <f>IF(AnnualModelTable[[#This Row],[Year]]&gt;SaleExitYear,0,IF(AnnualModelTable[[#This Row],[Year]]=0,0,INDEX(STRScenarioTable[Selected Annual Gross Rent],MATCH(AnnualModelTable[[#This Row],[Year]],STRScenarioTable[Year],0))))</f>
        <v>173400</v>
      </c>
      <c r="D7" s="13">
        <f>IF(AnnualModelTable[[#This Row],[Year]]&gt;SaleExitYear,0,IF(AnnualModelTable[[#This Row],[Year]]=0,0,AnnualModelTable[[#This Row],[Gross Potential Rent]]*IF(AnnualModelTable[[#This Row],[Year]]=1,LeaseUpOccupancy,StabilizedOccupancy)))</f>
        <v>161262</v>
      </c>
      <c r="E7" s="13">
        <f>IF(AnnualModelTable[[#This Row],[Year]]&gt;SaleExitYear,0,AnnualModelTable[[#This Row],[Occupancy Effective Gross Income]]*OperatingExpenseRatio)</f>
        <v>75652.011666666658</v>
      </c>
      <c r="F7" s="13">
        <f>IF(AnnualModelTable[[#This Row],[Year]]&gt;SaleExitYear,0,AnnualModelTable[[#This Row],[Occupancy Effective Gross Income]]-AnnualModelTable[[#This Row],[Operating Expenses]])</f>
        <v>85609.988333333342</v>
      </c>
      <c r="G7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7" s="13">
        <f>IF(AnnualModelTable[[#This Row],[Year]]&gt;SaleExitYear,0,AnnualModelTable[[#This Row],[NOI]]-AnnualModelTable[[#This Row],[Debt Service]])</f>
        <v>30068.165683581683</v>
      </c>
      <c r="I7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538276.44000000006</v>
      </c>
      <c r="J7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7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7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568344.60568358179</v>
      </c>
      <c r="M7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568344.60568358179</v>
      </c>
      <c r="N7" s="13">
        <f>IF(AnnualModelTable[[#This Row],[Year]]&gt;SaleExitYear,0,MAX(0,AnnualModelTable[[#This Row],[Cash Available Before Distributions]]-AnnualModelTable[[#This Row],[Waterfall Distributions]]))</f>
        <v>0</v>
      </c>
      <c r="O7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732276.44000000006</v>
      </c>
      <c r="P7" s="13">
        <f>IF(AnnualModelTable[[#This Row],[Year]]&gt;SaleExitYear,0,IF(AnnualModelTable[[#This Row],[Year]]&lt;StabilizationRefiYear,0,AnnualModelTable[[#This Row],[NOI]]*(1+NOIGrowth)/ExitCapRate))</f>
        <v>1259689.8283333334</v>
      </c>
    </row>
    <row r="8" spans="1:16" x14ac:dyDescent="0.25">
      <c r="A8" s="13">
        <v>4</v>
      </c>
      <c r="B8" s="13" t="s">
        <v>66</v>
      </c>
      <c r="C8" s="13">
        <f>IF(AnnualModelTable[[#This Row],[Year]]&gt;SaleExitYear,0,IF(AnnualModelTable[[#This Row],[Year]]=0,0,INDEX(STRScenarioTable[Selected Annual Gross Rent],MATCH(AnnualModelTable[[#This Row],[Year]],STRScenarioTable[Year],0))))</f>
        <v>173400</v>
      </c>
      <c r="D8" s="13">
        <f>IF(AnnualModelTable[[#This Row],[Year]]&gt;SaleExitYear,0,IF(AnnualModelTable[[#This Row],[Year]]=0,0,AnnualModelTable[[#This Row],[Gross Potential Rent]]*IF(AnnualModelTable[[#This Row],[Year]]=1,LeaseUpOccupancy,StabilizedOccupancy)))</f>
        <v>161262</v>
      </c>
      <c r="E8" s="13">
        <f>IF(AnnualModelTable[[#This Row],[Year]]&gt;SaleExitYear,0,AnnualModelTable[[#This Row],[Occupancy Effective Gross Income]]*OperatingExpenseRatio)</f>
        <v>75652.011666666658</v>
      </c>
      <c r="F8" s="13">
        <f>IF(AnnualModelTable[[#This Row],[Year]]&gt;SaleExitYear,0,AnnualModelTable[[#This Row],[Occupancy Effective Gross Income]]-AnnualModelTable[[#This Row],[Operating Expenses]])</f>
        <v>85609.988333333342</v>
      </c>
      <c r="G8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8" s="13">
        <f>IF(AnnualModelTable[[#This Row],[Year]]&gt;SaleExitYear,0,AnnualModelTable[[#This Row],[NOI]]-AnnualModelTable[[#This Row],[Debt Service]])</f>
        <v>30068.165683581683</v>
      </c>
      <c r="I8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8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8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8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30068.165683581683</v>
      </c>
      <c r="M8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30068.165683581683</v>
      </c>
      <c r="N8" s="13">
        <f>IF(AnnualModelTable[[#This Row],[Year]]&gt;SaleExitYear,0,MAX(0,AnnualModelTable[[#This Row],[Cash Available Before Distributions]]-AnnualModelTable[[#This Row],[Waterfall Distributions]]))</f>
        <v>0</v>
      </c>
      <c r="O8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724091.59972692665</v>
      </c>
      <c r="P8" s="13">
        <f>IF(AnnualModelTable[[#This Row],[Year]]&gt;SaleExitYear,0,IF(AnnualModelTable[[#This Row],[Year]]&lt;StabilizationRefiYear,0,AnnualModelTable[[#This Row],[NOI]]*(1+NOIGrowth)/ExitCapRate))</f>
        <v>1259689.8283333334</v>
      </c>
    </row>
    <row r="9" spans="1:16" x14ac:dyDescent="0.25">
      <c r="A9" s="13">
        <v>5</v>
      </c>
      <c r="B9" s="13" t="s">
        <v>66</v>
      </c>
      <c r="C9" s="13">
        <f>IF(AnnualModelTable[[#This Row],[Year]]&gt;SaleExitYear,0,IF(AnnualModelTable[[#This Row],[Year]]=0,0,INDEX(STRScenarioTable[Selected Annual Gross Rent],MATCH(AnnualModelTable[[#This Row],[Year]],STRScenarioTable[Year],0))))</f>
        <v>173400</v>
      </c>
      <c r="D9" s="13">
        <f>IF(AnnualModelTable[[#This Row],[Year]]&gt;SaleExitYear,0,IF(AnnualModelTable[[#This Row],[Year]]=0,0,AnnualModelTable[[#This Row],[Gross Potential Rent]]*IF(AnnualModelTable[[#This Row],[Year]]=1,LeaseUpOccupancy,StabilizedOccupancy)))</f>
        <v>161262</v>
      </c>
      <c r="E9" s="13">
        <f>IF(AnnualModelTable[[#This Row],[Year]]&gt;SaleExitYear,0,AnnualModelTable[[#This Row],[Occupancy Effective Gross Income]]*OperatingExpenseRatio)</f>
        <v>75652.011666666658</v>
      </c>
      <c r="F9" s="13">
        <f>IF(AnnualModelTable[[#This Row],[Year]]&gt;SaleExitYear,0,AnnualModelTable[[#This Row],[Occupancy Effective Gross Income]]-AnnualModelTable[[#This Row],[Operating Expenses]])</f>
        <v>85609.988333333342</v>
      </c>
      <c r="G9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9" s="13">
        <f>IF(AnnualModelTable[[#This Row],[Year]]&gt;SaleExitYear,0,AnnualModelTable[[#This Row],[NOI]]-AnnualModelTable[[#This Row],[Debt Service]])</f>
        <v>30068.165683581683</v>
      </c>
      <c r="I9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1234496.0317666666</v>
      </c>
      <c r="J9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9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9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1264564.1974502483</v>
      </c>
      <c r="M9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1264564.1974502485</v>
      </c>
      <c r="N9" s="13">
        <f>IF(AnnualModelTable[[#This Row],[Year]]&gt;SaleExitYear,0,MAX(0,AnnualModelTable[[#This Row],[Cash Available Before Distributions]]-AnnualModelTable[[#This Row],[Waterfall Distributions]]))</f>
        <v>0</v>
      </c>
      <c r="O9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9" s="13">
        <f>IF(AnnualModelTable[[#This Row],[Year]]&gt;SaleExitYear,0,IF(AnnualModelTable[[#This Row],[Year]]&lt;StabilizationRefiYear,0,AnnualModelTable[[#This Row],[NOI]]*(1+NOIGrowth)/ExitCapRate))</f>
        <v>1259689.8283333334</v>
      </c>
    </row>
    <row r="10" spans="1:16" x14ac:dyDescent="0.25">
      <c r="A10" s="13">
        <v>6</v>
      </c>
      <c r="B10" s="13" t="s">
        <v>66</v>
      </c>
      <c r="C10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0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0" s="13">
        <f>IF(AnnualModelTable[[#This Row],[Year]]&gt;SaleExitYear,0,AnnualModelTable[[#This Row],[Occupancy Effective Gross Income]]*OperatingExpenseRatio)</f>
        <v>0</v>
      </c>
      <c r="F10" s="13">
        <f>IF(AnnualModelTable[[#This Row],[Year]]&gt;SaleExitYear,0,AnnualModelTable[[#This Row],[Occupancy Effective Gross Income]]-AnnualModelTable[[#This Row],[Operating Expenses]])</f>
        <v>0</v>
      </c>
      <c r="G10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0" s="13">
        <f>IF(AnnualModelTable[[#This Row],[Year]]&gt;SaleExitYear,0,AnnualModelTable[[#This Row],[NOI]]-AnnualModelTable[[#This Row],[Debt Service]])</f>
        <v>0</v>
      </c>
      <c r="I10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0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0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0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0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0" s="13">
        <f>IF(AnnualModelTable[[#This Row],[Year]]&gt;SaleExitYear,0,MAX(0,AnnualModelTable[[#This Row],[Cash Available Before Distributions]]-AnnualModelTable[[#This Row],[Waterfall Distributions]]))</f>
        <v>0</v>
      </c>
      <c r="O10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0" s="13">
        <f>IF(AnnualModelTable[[#This Row],[Year]]&gt;SaleExitYear,0,IF(AnnualModelTable[[#This Row],[Year]]&lt;StabilizationRefiYear,0,AnnualModelTable[[#This Row],[NOI]]*(1+NOIGrowth)/ExitCapRate))</f>
        <v>0</v>
      </c>
    </row>
    <row r="11" spans="1:16" x14ac:dyDescent="0.25">
      <c r="A11" s="13">
        <v>7</v>
      </c>
      <c r="B11" s="13" t="s">
        <v>66</v>
      </c>
      <c r="C11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1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1" s="13">
        <f>IF(AnnualModelTable[[#This Row],[Year]]&gt;SaleExitYear,0,AnnualModelTable[[#This Row],[Occupancy Effective Gross Income]]*OperatingExpenseRatio)</f>
        <v>0</v>
      </c>
      <c r="F11" s="13">
        <f>IF(AnnualModelTable[[#This Row],[Year]]&gt;SaleExitYear,0,AnnualModelTable[[#This Row],[Occupancy Effective Gross Income]]-AnnualModelTable[[#This Row],[Operating Expenses]])</f>
        <v>0</v>
      </c>
      <c r="G11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1" s="13">
        <f>IF(AnnualModelTable[[#This Row],[Year]]&gt;SaleExitYear,0,AnnualModelTable[[#This Row],[NOI]]-AnnualModelTable[[#This Row],[Debt Service]])</f>
        <v>0</v>
      </c>
      <c r="I11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1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1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1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1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1" s="13">
        <f>IF(AnnualModelTable[[#This Row],[Year]]&gt;SaleExitYear,0,MAX(0,AnnualModelTable[[#This Row],[Cash Available Before Distributions]]-AnnualModelTable[[#This Row],[Waterfall Distributions]]))</f>
        <v>0</v>
      </c>
      <c r="O11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1" s="13">
        <f>IF(AnnualModelTable[[#This Row],[Year]]&gt;SaleExitYear,0,IF(AnnualModelTable[[#This Row],[Year]]&lt;StabilizationRefiYear,0,AnnualModelTable[[#This Row],[NOI]]*(1+NOIGrowth)/ExitCapRate))</f>
        <v>0</v>
      </c>
    </row>
    <row r="12" spans="1:16" x14ac:dyDescent="0.25">
      <c r="A12" s="13">
        <v>8</v>
      </c>
      <c r="B12" s="13" t="s">
        <v>66</v>
      </c>
      <c r="C12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2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2" s="13">
        <f>IF(AnnualModelTable[[#This Row],[Year]]&gt;SaleExitYear,0,AnnualModelTable[[#This Row],[Occupancy Effective Gross Income]]*OperatingExpenseRatio)</f>
        <v>0</v>
      </c>
      <c r="F12" s="13">
        <f>IF(AnnualModelTable[[#This Row],[Year]]&gt;SaleExitYear,0,AnnualModelTable[[#This Row],[Occupancy Effective Gross Income]]-AnnualModelTable[[#This Row],[Operating Expenses]])</f>
        <v>0</v>
      </c>
      <c r="G12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2" s="13">
        <f>IF(AnnualModelTable[[#This Row],[Year]]&gt;SaleExitYear,0,AnnualModelTable[[#This Row],[NOI]]-AnnualModelTable[[#This Row],[Debt Service]])</f>
        <v>0</v>
      </c>
      <c r="I12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2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2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2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2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2" s="13">
        <f>IF(AnnualModelTable[[#This Row],[Year]]&gt;SaleExitYear,0,MAX(0,AnnualModelTable[[#This Row],[Cash Available Before Distributions]]-AnnualModelTable[[#This Row],[Waterfall Distributions]]))</f>
        <v>0</v>
      </c>
      <c r="O12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2" s="13">
        <f>IF(AnnualModelTable[[#This Row],[Year]]&gt;SaleExitYear,0,IF(AnnualModelTable[[#This Row],[Year]]&lt;StabilizationRefiYear,0,AnnualModelTable[[#This Row],[NOI]]*(1+NOIGrowth)/ExitCapRate))</f>
        <v>0</v>
      </c>
    </row>
    <row r="13" spans="1:16" x14ac:dyDescent="0.25">
      <c r="A13" s="13">
        <v>9</v>
      </c>
      <c r="B13" s="13" t="s">
        <v>66</v>
      </c>
      <c r="C13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3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3" s="13">
        <f>IF(AnnualModelTable[[#This Row],[Year]]&gt;SaleExitYear,0,AnnualModelTable[[#This Row],[Occupancy Effective Gross Income]]*OperatingExpenseRatio)</f>
        <v>0</v>
      </c>
      <c r="F13" s="13">
        <f>IF(AnnualModelTable[[#This Row],[Year]]&gt;SaleExitYear,0,AnnualModelTable[[#This Row],[Occupancy Effective Gross Income]]-AnnualModelTable[[#This Row],[Operating Expenses]])</f>
        <v>0</v>
      </c>
      <c r="G13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3" s="13">
        <f>IF(AnnualModelTable[[#This Row],[Year]]&gt;SaleExitYear,0,AnnualModelTable[[#This Row],[NOI]]-AnnualModelTable[[#This Row],[Debt Service]])</f>
        <v>0</v>
      </c>
      <c r="I13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3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3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3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3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3" s="13">
        <f>IF(AnnualModelTable[[#This Row],[Year]]&gt;SaleExitYear,0,MAX(0,AnnualModelTable[[#This Row],[Cash Available Before Distributions]]-AnnualModelTable[[#This Row],[Waterfall Distributions]]))</f>
        <v>0</v>
      </c>
      <c r="O13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3" s="13">
        <f>IF(AnnualModelTable[[#This Row],[Year]]&gt;SaleExitYear,0,IF(AnnualModelTable[[#This Row],[Year]]&lt;StabilizationRefiYear,0,AnnualModelTable[[#This Row],[NOI]]*(1+NOIGrowth)/ExitCapRate))</f>
        <v>0</v>
      </c>
    </row>
    <row r="14" spans="1:16" x14ac:dyDescent="0.25">
      <c r="A14" s="13">
        <v>10</v>
      </c>
      <c r="B14" s="13" t="s">
        <v>67</v>
      </c>
      <c r="C14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4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4" s="13">
        <f>IF(AnnualModelTable[[#This Row],[Year]]&gt;SaleExitYear,0,AnnualModelTable[[#This Row],[Occupancy Effective Gross Income]]*OperatingExpenseRatio)</f>
        <v>0</v>
      </c>
      <c r="F14" s="13">
        <f>IF(AnnualModelTable[[#This Row],[Year]]&gt;SaleExitYear,0,AnnualModelTable[[#This Row],[Occupancy Effective Gross Income]]-AnnualModelTable[[#This Row],[Operating Expenses]])</f>
        <v>0</v>
      </c>
      <c r="G14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4" s="13">
        <f>IF(AnnualModelTable[[#This Row],[Year]]&gt;SaleExitYear,0,AnnualModelTable[[#This Row],[NOI]]-AnnualModelTable[[#This Row],[Debt Service]])</f>
        <v>0</v>
      </c>
      <c r="I14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4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4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4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4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4" s="13">
        <f>IF(AnnualModelTable[[#This Row],[Year]]&gt;SaleExitYear,0,MAX(0,AnnualModelTable[[#This Row],[Cash Available Before Distributions]]-AnnualModelTable[[#This Row],[Waterfall Distributions]]))</f>
        <v>0</v>
      </c>
      <c r="O14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4" s="13">
        <f>IF(AnnualModelTable[[#This Row],[Year]]&gt;SaleExitYear,0,IF(AnnualModelTable[[#This Row],[Year]]&lt;StabilizationRefiYear,0,AnnualModelTable[[#This Row],[NOI]]*(1+NOIGrowth)/ExitCapRate))</f>
        <v>0</v>
      </c>
    </row>
  </sheetData>
  <mergeCells count="1">
    <mergeCell ref="A1:C1"/>
  </mergeCells>
  <pageMargins left="0.7" right="0.7" top="0.75" bottom="0.75" header="0.3" footer="0.3"/>
  <pageSetup orientation="portrait" horizontalDpi="4800" verticalDpi="48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F45"/>
  <sheetViews>
    <sheetView tabSelected="1" topLeftCell="A12" workbookViewId="0">
      <selection activeCell="G48" sqref="G48"/>
    </sheetView>
  </sheetViews>
  <sheetFormatPr defaultRowHeight="15" x14ac:dyDescent="0.25"/>
  <cols>
    <col min="1" max="1" width="9.140625" style="6"/>
    <col min="2" max="2" width="13.140625" style="6" customWidth="1"/>
    <col min="3" max="3" width="12.28515625" style="6" customWidth="1"/>
    <col min="4" max="4" width="8.85546875" style="6" bestFit="1" customWidth="1"/>
    <col min="5" max="5" width="13.140625" style="6" customWidth="1"/>
    <col min="6" max="6" width="9.140625" style="6" customWidth="1"/>
    <col min="7" max="7" width="7.5703125" style="6" bestFit="1" customWidth="1"/>
    <col min="8" max="8" width="9.140625" style="6" customWidth="1"/>
    <col min="9" max="9" width="9.42578125" style="6" customWidth="1"/>
    <col min="10" max="10" width="8.85546875" style="6" customWidth="1"/>
    <col min="11" max="11" width="7.5703125" style="6" bestFit="1" customWidth="1"/>
    <col min="12" max="12" width="9.28515625" style="6" bestFit="1" customWidth="1"/>
    <col min="13" max="13" width="8.5703125" style="6" bestFit="1" customWidth="1"/>
    <col min="14" max="14" width="7.5703125" style="6" bestFit="1" customWidth="1"/>
    <col min="15" max="15" width="8.85546875" style="6" bestFit="1" customWidth="1"/>
    <col min="16" max="16" width="9.5703125" style="6" customWidth="1"/>
    <col min="17" max="17" width="10.28515625" style="6" customWidth="1"/>
    <col min="18" max="18" width="8.7109375" style="6" customWidth="1"/>
    <col min="19" max="20" width="12.7109375" style="6" customWidth="1"/>
    <col min="21" max="22" width="9.140625" style="6"/>
    <col min="23" max="32" width="20" style="6" customWidth="1"/>
    <col min="33" max="16384" width="9.140625" style="6"/>
  </cols>
  <sheetData>
    <row r="1" spans="2:32" ht="15.75" thickBot="1" x14ac:dyDescent="0.3">
      <c r="C1"/>
      <c r="D1"/>
      <c r="E1" s="13"/>
      <c r="F1" s="13"/>
      <c r="G1" s="13"/>
      <c r="H1" s="13"/>
      <c r="I1" s="13"/>
      <c r="J1" s="13"/>
      <c r="K1" s="13"/>
      <c r="S1" s="13"/>
      <c r="T1" s="13"/>
    </row>
    <row r="2" spans="2:32" ht="19.5" thickBot="1" x14ac:dyDescent="0.35">
      <c r="B2" s="153" t="s">
        <v>68</v>
      </c>
      <c r="C2" s="154"/>
      <c r="D2" s="152" t="s">
        <v>267</v>
      </c>
      <c r="E2" s="136"/>
      <c r="F2" s="136"/>
      <c r="G2" s="136"/>
      <c r="H2" s="136"/>
      <c r="I2" s="136"/>
      <c r="J2" s="136"/>
      <c r="K2" s="150" t="s">
        <v>89</v>
      </c>
      <c r="L2" s="136"/>
      <c r="M2" s="136"/>
      <c r="N2" s="136"/>
      <c r="O2" s="151" t="s">
        <v>90</v>
      </c>
      <c r="P2" s="136"/>
      <c r="Q2" s="136"/>
      <c r="S2" s="12" t="s">
        <v>317</v>
      </c>
      <c r="T2" s="12" t="s">
        <v>318</v>
      </c>
    </row>
    <row r="3" spans="2:32" s="23" customFormat="1" ht="15.75" customHeight="1" thickBot="1" x14ac:dyDescent="0.3">
      <c r="B3" s="27" t="s">
        <v>55</v>
      </c>
      <c r="C3" s="27" t="s">
        <v>69</v>
      </c>
      <c r="D3" s="28" t="s">
        <v>301</v>
      </c>
      <c r="E3" s="28" t="s">
        <v>300</v>
      </c>
      <c r="F3" s="28" t="s">
        <v>302</v>
      </c>
      <c r="G3" s="28" t="s">
        <v>328</v>
      </c>
      <c r="H3" s="28" t="s">
        <v>327</v>
      </c>
      <c r="I3" s="28" t="s">
        <v>324</v>
      </c>
      <c r="J3" s="28" t="s">
        <v>325</v>
      </c>
      <c r="K3" s="27" t="s">
        <v>321</v>
      </c>
      <c r="L3" s="27" t="s">
        <v>322</v>
      </c>
      <c r="M3" s="27" t="s">
        <v>323</v>
      </c>
      <c r="N3" s="27" t="s">
        <v>326</v>
      </c>
      <c r="O3" s="29" t="s">
        <v>274</v>
      </c>
      <c r="P3" s="29" t="s">
        <v>275</v>
      </c>
      <c r="Q3" s="29" t="s">
        <v>308</v>
      </c>
      <c r="S3" s="79">
        <v>3</v>
      </c>
      <c r="T3" s="79">
        <v>5</v>
      </c>
    </row>
    <row r="4" spans="2:32" ht="15.75" customHeight="1" x14ac:dyDescent="0.25">
      <c r="B4" s="13">
        <v>0</v>
      </c>
      <c r="C4" s="13">
        <f>IF(WaterfallTable[[#This Row],[Year]]&gt;SaleExitYear,0,INDEX(AnnualModelTable[Cash Available Before Distributions],MATCH(WaterfallTable[[#This Row],[Year]],AnnualModelTable[Year],0)))</f>
        <v>100000</v>
      </c>
      <c r="D4" s="13">
        <f>IF(WaterfallTable[[#This Row],[Year]]&gt;SaleExitYear,0,WaterfallTable[[#This Row],[Capital Balance A]]*ClassAPreferredReturn)</f>
        <v>24000</v>
      </c>
      <c r="E4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F4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24000</v>
      </c>
      <c r="G4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300000</v>
      </c>
      <c r="H4" s="13">
        <f>IF(WaterfallTable[[#This Row],[Year]]&gt;SaleExitYear,0,IF(WaterfallTable[[#This Row],[Year]]=0,0,MIN(WaterfallTable[[#This Row],[Cash Available]],WaterfallTable[[#This Row],[Capital Balance A]])))</f>
        <v>0</v>
      </c>
      <c r="I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J4" s="13">
        <f>IF(WaterfallTable[[#This Row],[Year]]&gt;SaleExitYear,0,WaterfallTable[[#This Row],[Pref Paid]]+WaterfallTable[[#This Row],[Capital Returned A]]+WaterfallTable[[#This Row],[Residual A]])</f>
        <v>0</v>
      </c>
      <c r="K4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L4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M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N4" s="13">
        <f>IF(WaterfallTable[[#This Row],[Year]]&gt;SaleExitYear,0,WaterfallTable[[#This Row],[Capital Returned B]]+WaterfallTable[[#This Row],[ Residual   B]])</f>
        <v>0</v>
      </c>
      <c r="O4" s="13">
        <f>IF(WaterfallTable[[#This Row],[Year]]&gt;SaleExitYear,0,IF(WaterfallTable[[#This Row],[Year]]=0,SponsorPropertyPayment,0))</f>
        <v>100000</v>
      </c>
      <c r="P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Q4" s="13">
        <f>IF(WaterfallTable[[#This Row],[Year]]&gt;SaleExitYear,0,WaterfallTable[[#This Row],[Property Payment]]+WaterfallTable[[#This Row],[Residual]])</f>
        <v>100000</v>
      </c>
      <c r="S4" s="14"/>
    </row>
    <row r="5" spans="2:32" ht="15.75" customHeight="1" x14ac:dyDescent="0.25">
      <c r="B5" s="13">
        <v>1</v>
      </c>
      <c r="C5" s="13">
        <f>IF(WaterfallTable[[#This Row],[Year]]&gt;SaleExitYear,0,INDEX(AnnualModelTable[Cash Available Before Distributions],MATCH(WaterfallTable[[#This Row],[Year]],AnnualModelTable[Year],0)))</f>
        <v>2521.3621266427726</v>
      </c>
      <c r="D5" s="13">
        <f>IF(WaterfallTable[[#This Row],[Year]]&gt;SaleExitYear,0,WaterfallTable[[#This Row],[Capital Balance A]]*ClassAPreferredReturn)</f>
        <v>24000</v>
      </c>
      <c r="E5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F5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48000</v>
      </c>
      <c r="G5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300000</v>
      </c>
      <c r="H5" s="13">
        <f>IF(WaterfallTable[[#This Row],[Year]]&gt;SaleExitYear,0,IF(WaterfallTable[[#This Row],[Year]]=0,0,MIN(WaterfallTable[[#This Row],[Cash Available]],WaterfallTable[[#This Row],[Capital Balance A]])))</f>
        <v>2521.3621266427726</v>
      </c>
      <c r="I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J5" s="13">
        <f>IF(WaterfallTable[[#This Row],[Year]]&gt;SaleExitYear,0,WaterfallTable[[#This Row],[Pref Paid]]+WaterfallTable[[#This Row],[Capital Returned A]]+WaterfallTable[[#This Row],[Residual A]])</f>
        <v>2521.3621266427726</v>
      </c>
      <c r="K5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L5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M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N5" s="13">
        <f>IF(WaterfallTable[[#This Row],[Year]]&gt;SaleExitYear,0,WaterfallTable[[#This Row],[Capital Returned B]]+WaterfallTable[[#This Row],[ Residual   B]])</f>
        <v>0</v>
      </c>
      <c r="O5" s="13">
        <f>IF(WaterfallTable[[#This Row],[Year]]&gt;SaleExitYear,0,IF(WaterfallTable[[#This Row],[Year]]=0,SponsorPropertyPayment,0))</f>
        <v>0</v>
      </c>
      <c r="P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Q5" s="13">
        <f>IF(WaterfallTable[[#This Row],[Year]]&gt;SaleExitYear,0,WaterfallTable[[#This Row],[Property Payment]]+WaterfallTable[[#This Row],[Residual]])</f>
        <v>0</v>
      </c>
      <c r="S5" s="14"/>
    </row>
    <row r="6" spans="2:32" ht="15.75" customHeight="1" x14ac:dyDescent="0.25">
      <c r="B6" s="13">
        <v>2</v>
      </c>
      <c r="C6" s="13">
        <f>IF(WaterfallTable[[#This Row],[Year]]&gt;SaleExitYear,0,INDEX(AnnualModelTable[Cash Available Before Distributions],MATCH(WaterfallTable[[#This Row],[Year]],AnnualModelTable[Year],0)))</f>
        <v>52293.821152777789</v>
      </c>
      <c r="D6" s="13">
        <f>IF(WaterfallTable[[#This Row],[Year]]&gt;SaleExitYear,0,WaterfallTable[[#This Row],[Capital Balance A]]*ClassAPreferredReturn)</f>
        <v>23798.291029868578</v>
      </c>
      <c r="E6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F6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71798.291029868575</v>
      </c>
      <c r="G6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297478.63787335722</v>
      </c>
      <c r="H6" s="13">
        <f>IF(WaterfallTable[[#This Row],[Year]]&gt;SaleExitYear,0,IF(WaterfallTable[[#This Row],[Year]]=0,0,MIN(WaterfallTable[[#This Row],[Cash Available]],WaterfallTable[[#This Row],[Capital Balance A]])))</f>
        <v>52293.821152777789</v>
      </c>
      <c r="I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J6" s="13">
        <f>IF(WaterfallTable[[#This Row],[Year]]&gt;SaleExitYear,0,WaterfallTable[[#This Row],[Pref Paid]]+WaterfallTable[[#This Row],[Capital Returned A]]+WaterfallTable[[#This Row],[Residual A]])</f>
        <v>52293.821152777789</v>
      </c>
      <c r="K6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L6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M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N6" s="13">
        <f>IF(WaterfallTable[[#This Row],[Year]]&gt;SaleExitYear,0,WaterfallTable[[#This Row],[Capital Returned B]]+WaterfallTable[[#This Row],[ Residual   B]])</f>
        <v>0</v>
      </c>
      <c r="O6" s="13">
        <f>IF(WaterfallTable[[#This Row],[Year]]&gt;SaleExitYear,0,IF(WaterfallTable[[#This Row],[Year]]=0,SponsorPropertyPayment,0))</f>
        <v>0</v>
      </c>
      <c r="P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Q6" s="13">
        <f>IF(WaterfallTable[[#This Row],[Year]]&gt;SaleExitYear,0,WaterfallTable[[#This Row],[Property Payment]]+WaterfallTable[[#This Row],[Residual]])</f>
        <v>0</v>
      </c>
      <c r="S6" s="14"/>
    </row>
    <row r="7" spans="2:32" ht="15" customHeight="1" x14ac:dyDescent="0.25">
      <c r="B7" s="13">
        <v>3</v>
      </c>
      <c r="C7" s="13">
        <f>IF(WaterfallTable[[#This Row],[Year]]&gt;SaleExitYear,0,INDEX(AnnualModelTable[Cash Available Before Distributions],MATCH(WaterfallTable[[#This Row],[Year]],AnnualModelTable[Year],0)))</f>
        <v>568344.60568358179</v>
      </c>
      <c r="D7" s="13">
        <f>IF(WaterfallTable[[#This Row],[Year]]&gt;SaleExitYear,0,WaterfallTable[[#This Row],[Capital Balance A]]*ClassAPreferredReturn)</f>
        <v>19614.785337646354</v>
      </c>
      <c r="E7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F7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91413.076367514936</v>
      </c>
      <c r="G7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245184.81672057943</v>
      </c>
      <c r="H7" s="13">
        <f>IF(WaterfallTable[[#This Row],[Year]]&gt;SaleExitYear,0,IF(WaterfallTable[[#This Row],[Year]]=0,0,MIN(WaterfallTable[[#This Row],[Cash Available]],WaterfallTable[[#This Row],[Capital Balance A]])))</f>
        <v>245184.81672057943</v>
      </c>
      <c r="I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J7" s="13">
        <f>IF(WaterfallTable[[#This Row],[Year]]&gt;SaleExitYear,0,WaterfallTable[[#This Row],[Pref Paid]]+WaterfallTable[[#This Row],[Capital Returned A]]+WaterfallTable[[#This Row],[Residual A]])</f>
        <v>245184.81672057943</v>
      </c>
      <c r="K7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L7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323159.78896300239</v>
      </c>
      <c r="M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N7" s="13">
        <f>IF(WaterfallTable[[#This Row],[Year]]&gt;SaleExitYear,0,WaterfallTable[[#This Row],[Capital Returned B]]+WaterfallTable[[#This Row],[ Residual   B]])</f>
        <v>323159.78896300239</v>
      </c>
      <c r="O7" s="13">
        <f>IF(WaterfallTable[[#This Row],[Year]]&gt;SaleExitYear,0,IF(WaterfallTable[[#This Row],[Year]]=0,SponsorPropertyPayment,0))</f>
        <v>0</v>
      </c>
      <c r="P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Q7" s="13">
        <f>IF(WaterfallTable[[#This Row],[Year]]&gt;SaleExitYear,0,WaterfallTable[[#This Row],[Property Payment]]+WaterfallTable[[#This Row],[Residual]])</f>
        <v>0</v>
      </c>
      <c r="S7" s="14"/>
      <c r="W7"/>
      <c r="X7"/>
      <c r="Y7"/>
      <c r="Z7"/>
      <c r="AA7"/>
      <c r="AB7"/>
      <c r="AC7"/>
      <c r="AD7"/>
      <c r="AE7"/>
      <c r="AF7"/>
    </row>
    <row r="8" spans="2:32" x14ac:dyDescent="0.25">
      <c r="B8" s="13">
        <v>4</v>
      </c>
      <c r="C8" s="13">
        <f>IF(WaterfallTable[[#This Row],[Year]]&gt;SaleExitYear,0,INDEX(AnnualModelTable[Cash Available Before Distributions],MATCH(WaterfallTable[[#This Row],[Year]],AnnualModelTable[Year],0)))</f>
        <v>30068.165683581683</v>
      </c>
      <c r="D8" s="13">
        <f>IF(WaterfallTable[[#This Row],[Year]]&gt;SaleExitYear,0,WaterfallTable[[#This Row],[Capital Balance A]]*ClassAPreferredReturn)</f>
        <v>0</v>
      </c>
      <c r="E8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F8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91413.076367514936</v>
      </c>
      <c r="G8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H8" s="13">
        <f>IF(WaterfallTable[[#This Row],[Year]]&gt;SaleExitYear,0,IF(WaterfallTable[[#This Row],[Year]]=0,0,MIN(WaterfallTable[[#This Row],[Cash Available]],WaterfallTable[[#This Row],[Capital Balance A]])))</f>
        <v>0</v>
      </c>
      <c r="I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J8" s="13">
        <f>IF(WaterfallTable[[#This Row],[Year]]&gt;SaleExitYear,0,WaterfallTable[[#This Row],[Pref Paid]]+WaterfallTable[[#This Row],[Capital Returned A]]+WaterfallTable[[#This Row],[Residual A]])</f>
        <v>0</v>
      </c>
      <c r="K8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224340.21103699761</v>
      </c>
      <c r="L8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30068.165683581683</v>
      </c>
      <c r="M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N8" s="13">
        <f>IF(WaterfallTable[[#This Row],[Year]]&gt;SaleExitYear,0,WaterfallTable[[#This Row],[Capital Returned B]]+WaterfallTable[[#This Row],[ Residual   B]])</f>
        <v>30068.165683581683</v>
      </c>
      <c r="O8" s="13">
        <f>IF(WaterfallTable[[#This Row],[Year]]&gt;SaleExitYear,0,IF(WaterfallTable[[#This Row],[Year]]=0,SponsorPropertyPayment,0))</f>
        <v>0</v>
      </c>
      <c r="P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Q8" s="13">
        <f>IF(WaterfallTable[[#This Row],[Year]]&gt;SaleExitYear,0,WaterfallTable[[#This Row],[Property Payment]]+WaterfallTable[[#This Row],[Residual]])</f>
        <v>0</v>
      </c>
      <c r="S8" s="14"/>
    </row>
    <row r="9" spans="2:32" x14ac:dyDescent="0.25">
      <c r="B9" s="13">
        <v>5</v>
      </c>
      <c r="C9" s="13">
        <f>IF(WaterfallTable[[#This Row],[Year]]&gt;SaleExitYear,0,INDEX(AnnualModelTable[Cash Available Before Distributions],MATCH(WaterfallTable[[#This Row],[Year]],AnnualModelTable[Year],0)))</f>
        <v>1264564.1974502483</v>
      </c>
      <c r="D9" s="13">
        <f>IF(WaterfallTable[[#This Row],[Year]]&gt;SaleExitYear,0,WaterfallTable[[#This Row],[Capital Balance A]]*ClassAPreferredReturn)</f>
        <v>0</v>
      </c>
      <c r="E9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91413.076367514936</v>
      </c>
      <c r="F9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G9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H9" s="13">
        <f>IF(WaterfallTable[[#This Row],[Year]]&gt;SaleExitYear,0,IF(WaterfallTable[[#This Row],[Year]]=0,0,MIN(WaterfallTable[[#This Row],[Cash Available]],WaterfallTable[[#This Row],[Capital Balance A]])))</f>
        <v>0</v>
      </c>
      <c r="I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173252.93375740133</v>
      </c>
      <c r="J9" s="13">
        <f>IF(WaterfallTable[[#This Row],[Year]]&gt;SaleExitYear,0,WaterfallTable[[#This Row],[Pref Paid]]+WaterfallTable[[#This Row],[Capital Returned A]]+WaterfallTable[[#This Row],[Residual A]])</f>
        <v>264666.01012491627</v>
      </c>
      <c r="K9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194272.04535341595</v>
      </c>
      <c r="L9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194272.04535341595</v>
      </c>
      <c r="M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316186.60410725744</v>
      </c>
      <c r="N9" s="13">
        <f>IF(WaterfallTable[[#This Row],[Year]]&gt;SaleExitYear,0,WaterfallTable[[#This Row],[Capital Returned B]]+WaterfallTable[[#This Row],[ Residual   B]])</f>
        <v>510458.64946067339</v>
      </c>
      <c r="O9" s="13">
        <f>IF(WaterfallTable[[#This Row],[Year]]&gt;SaleExitYear,0,IF(WaterfallTable[[#This Row],[Year]]=0,SponsorPropertyPayment,0))</f>
        <v>0</v>
      </c>
      <c r="P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489439.53786465875</v>
      </c>
      <c r="Q9" s="13">
        <f>IF(WaterfallTable[[#This Row],[Year]]&gt;SaleExitYear,0,WaterfallTable[[#This Row],[Property Payment]]+WaterfallTable[[#This Row],[Residual]])</f>
        <v>489439.53786465875</v>
      </c>
      <c r="S9" s="14"/>
    </row>
    <row r="10" spans="2:32" x14ac:dyDescent="0.25">
      <c r="B10" s="13">
        <v>6</v>
      </c>
      <c r="C10" s="13">
        <f>IF(WaterfallTable[[#This Row],[Year]]&gt;SaleExitYear,0,INDEX(AnnualModelTable[Cash Available Before Distributions],MATCH(WaterfallTable[[#This Row],[Year]],AnnualModelTable[Year],0)))</f>
        <v>0</v>
      </c>
      <c r="D10" s="13">
        <f>IF(WaterfallTable[[#This Row],[Year]]&gt;SaleExitYear,0,WaterfallTable[[#This Row],[Capital Balance A]]*ClassAPreferredReturn)</f>
        <v>0</v>
      </c>
      <c r="E10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F10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G10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H10" s="13">
        <f>IF(WaterfallTable[[#This Row],[Year]]&gt;SaleExitYear,0,IF(WaterfallTable[[#This Row],[Year]]=0,0,MIN(WaterfallTable[[#This Row],[Cash Available]],WaterfallTable[[#This Row],[Capital Balance A]])))</f>
        <v>0</v>
      </c>
      <c r="I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J10" s="13">
        <f>IF(WaterfallTable[[#This Row],[Year]]&gt;SaleExitYear,0,WaterfallTable[[#This Row],[Pref Paid]]+WaterfallTable[[#This Row],[Capital Returned A]]+WaterfallTable[[#This Row],[Residual A]])</f>
        <v>0</v>
      </c>
      <c r="K10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L10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M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N10" s="13">
        <f>IF(WaterfallTable[[#This Row],[Year]]&gt;SaleExitYear,0,WaterfallTable[[#This Row],[Capital Returned B]]+WaterfallTable[[#This Row],[ Residual   B]])</f>
        <v>0</v>
      </c>
      <c r="O10" s="13">
        <f>IF(WaterfallTable[[#This Row],[Year]]&gt;SaleExitYear,0,IF(WaterfallTable[[#This Row],[Year]]=0,SponsorPropertyPayment,0))</f>
        <v>0</v>
      </c>
      <c r="P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Q10" s="13">
        <f>IF(WaterfallTable[[#This Row],[Year]]&gt;SaleExitYear,0,WaterfallTable[[#This Row],[Property Payment]]+WaterfallTable[[#This Row],[Residual]])</f>
        <v>0</v>
      </c>
      <c r="S10" s="14"/>
    </row>
    <row r="11" spans="2:32" x14ac:dyDescent="0.25">
      <c r="B11" s="13">
        <v>7</v>
      </c>
      <c r="C11" s="13">
        <f>IF(WaterfallTable[[#This Row],[Year]]&gt;SaleExitYear,0,INDEX(AnnualModelTable[Cash Available Before Distributions],MATCH(WaterfallTable[[#This Row],[Year]],AnnualModelTable[Year],0)))</f>
        <v>0</v>
      </c>
      <c r="D11" s="13">
        <f>IF(WaterfallTable[[#This Row],[Year]]&gt;SaleExitYear,0,WaterfallTable[[#This Row],[Capital Balance A]]*ClassAPreferredReturn)</f>
        <v>0</v>
      </c>
      <c r="E11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F11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G11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H11" s="13">
        <f>IF(WaterfallTable[[#This Row],[Year]]&gt;SaleExitYear,0,IF(WaterfallTable[[#This Row],[Year]]=0,0,MIN(WaterfallTable[[#This Row],[Cash Available]],WaterfallTable[[#This Row],[Capital Balance A]])))</f>
        <v>0</v>
      </c>
      <c r="I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J11" s="13">
        <f>IF(WaterfallTable[[#This Row],[Year]]&gt;SaleExitYear,0,WaterfallTable[[#This Row],[Pref Paid]]+WaterfallTable[[#This Row],[Capital Returned A]]+WaterfallTable[[#This Row],[Residual A]])</f>
        <v>0</v>
      </c>
      <c r="K11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L11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M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N11" s="13">
        <f>IF(WaterfallTable[[#This Row],[Year]]&gt;SaleExitYear,0,WaterfallTable[[#This Row],[Capital Returned B]]+WaterfallTable[[#This Row],[ Residual   B]])</f>
        <v>0</v>
      </c>
      <c r="O11" s="13">
        <f>IF(WaterfallTable[[#This Row],[Year]]&gt;SaleExitYear,0,IF(WaterfallTable[[#This Row],[Year]]=0,SponsorPropertyPayment,0))</f>
        <v>0</v>
      </c>
      <c r="P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Q11" s="13">
        <f>IF(WaterfallTable[[#This Row],[Year]]&gt;SaleExitYear,0,WaterfallTable[[#This Row],[Property Payment]]+WaterfallTable[[#This Row],[Residual]])</f>
        <v>0</v>
      </c>
      <c r="S11" s="14"/>
    </row>
    <row r="12" spans="2:32" x14ac:dyDescent="0.25">
      <c r="B12" s="13">
        <v>8</v>
      </c>
      <c r="C12" s="13">
        <f>IF(WaterfallTable[[#This Row],[Year]]&gt;SaleExitYear,0,INDEX(AnnualModelTable[Cash Available Before Distributions],MATCH(WaterfallTable[[#This Row],[Year]],AnnualModelTable[Year],0)))</f>
        <v>0</v>
      </c>
      <c r="D12" s="13">
        <f>IF(WaterfallTable[[#This Row],[Year]]&gt;SaleExitYear,0,WaterfallTable[[#This Row],[Capital Balance A]]*ClassAPreferredReturn)</f>
        <v>0</v>
      </c>
      <c r="E12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F12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G12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H12" s="13">
        <f>IF(WaterfallTable[[#This Row],[Year]]&gt;SaleExitYear,0,IF(WaterfallTable[[#This Row],[Year]]=0,0,MIN(WaterfallTable[[#This Row],[Cash Available]],WaterfallTable[[#This Row],[Capital Balance A]])))</f>
        <v>0</v>
      </c>
      <c r="I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J12" s="13">
        <f>IF(WaterfallTable[[#This Row],[Year]]&gt;SaleExitYear,0,WaterfallTable[[#This Row],[Pref Paid]]+WaterfallTable[[#This Row],[Capital Returned A]]+WaterfallTable[[#This Row],[Residual A]])</f>
        <v>0</v>
      </c>
      <c r="K12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L12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M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N12" s="13">
        <f>IF(WaterfallTable[[#This Row],[Year]]&gt;SaleExitYear,0,WaterfallTable[[#This Row],[Capital Returned B]]+WaterfallTable[[#This Row],[ Residual   B]])</f>
        <v>0</v>
      </c>
      <c r="O12" s="13">
        <f>IF(WaterfallTable[[#This Row],[Year]]&gt;SaleExitYear,0,IF(WaterfallTable[[#This Row],[Year]]=0,SponsorPropertyPayment,0))</f>
        <v>0</v>
      </c>
      <c r="P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Q12" s="13">
        <f>IF(WaterfallTable[[#This Row],[Year]]&gt;SaleExitYear,0,WaterfallTable[[#This Row],[Property Payment]]+WaterfallTable[[#This Row],[Residual]])</f>
        <v>0</v>
      </c>
      <c r="S12" s="14"/>
    </row>
    <row r="13" spans="2:32" x14ac:dyDescent="0.25">
      <c r="B13" s="13">
        <v>9</v>
      </c>
      <c r="C13" s="13">
        <f>IF(WaterfallTable[[#This Row],[Year]]&gt;SaleExitYear,0,INDEX(AnnualModelTable[Cash Available Before Distributions],MATCH(WaterfallTable[[#This Row],[Year]],AnnualModelTable[Year],0)))</f>
        <v>0</v>
      </c>
      <c r="D13" s="13">
        <f>IF(WaterfallTable[[#This Row],[Year]]&gt;SaleExitYear,0,WaterfallTable[[#This Row],[Capital Balance A]]*ClassAPreferredReturn)</f>
        <v>0</v>
      </c>
      <c r="E13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F13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G13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H13" s="13">
        <f>IF(WaterfallTable[[#This Row],[Year]]&gt;SaleExitYear,0,IF(WaterfallTable[[#This Row],[Year]]=0,0,MIN(WaterfallTable[[#This Row],[Cash Available]],WaterfallTable[[#This Row],[Capital Balance A]])))</f>
        <v>0</v>
      </c>
      <c r="I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J13" s="13">
        <f>IF(WaterfallTable[[#This Row],[Year]]&gt;SaleExitYear,0,WaterfallTable[[#This Row],[Pref Paid]]+WaterfallTable[[#This Row],[Capital Returned A]]+WaterfallTable[[#This Row],[Residual A]])</f>
        <v>0</v>
      </c>
      <c r="K13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L13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M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N13" s="13">
        <f>IF(WaterfallTable[[#This Row],[Year]]&gt;SaleExitYear,0,WaterfallTable[[#This Row],[Capital Returned B]]+WaterfallTable[[#This Row],[ Residual   B]])</f>
        <v>0</v>
      </c>
      <c r="O13" s="13">
        <f>IF(WaterfallTable[[#This Row],[Year]]&gt;SaleExitYear,0,IF(WaterfallTable[[#This Row],[Year]]=0,SponsorPropertyPayment,0))</f>
        <v>0</v>
      </c>
      <c r="P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Q13" s="13">
        <f>IF(WaterfallTable[[#This Row],[Year]]&gt;SaleExitYear,0,WaterfallTable[[#This Row],[Property Payment]]+WaterfallTable[[#This Row],[Residual]])</f>
        <v>0</v>
      </c>
      <c r="S13" s="14"/>
    </row>
    <row r="14" spans="2:32" x14ac:dyDescent="0.25">
      <c r="B14" s="13">
        <v>10</v>
      </c>
      <c r="C14" s="13">
        <f>IF(WaterfallTable[[#This Row],[Year]]&gt;SaleExitYear,0,INDEX(AnnualModelTable[Cash Available Before Distributions],MATCH(WaterfallTable[[#This Row],[Year]],AnnualModelTable[Year],0)))</f>
        <v>0</v>
      </c>
      <c r="D14" s="13">
        <f>IF(WaterfallTable[[#This Row],[Year]]&gt;SaleExitYear,0,WaterfallTable[[#This Row],[Capital Balance A]]*ClassAPreferredReturn)</f>
        <v>0</v>
      </c>
      <c r="E14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F14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G14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H14" s="13">
        <f>IF(WaterfallTable[[#This Row],[Year]]&gt;SaleExitYear,0,IF(WaterfallTable[[#This Row],[Year]]=0,0,MIN(WaterfallTable[[#This Row],[Cash Available]],WaterfallTable[[#This Row],[Capital Balance A]])))</f>
        <v>0</v>
      </c>
      <c r="I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J14" s="13">
        <f>IF(WaterfallTable[[#This Row],[Year]]&gt;SaleExitYear,0,WaterfallTable[[#This Row],[Pref Paid]]+WaterfallTable[[#This Row],[Capital Returned A]]+WaterfallTable[[#This Row],[Residual A]])</f>
        <v>0</v>
      </c>
      <c r="K14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L14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M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N14" s="13">
        <f>IF(WaterfallTable[[#This Row],[Year]]&gt;SaleExitYear,0,WaterfallTable[[#This Row],[Capital Returned B]]+WaterfallTable[[#This Row],[ Residual   B]])</f>
        <v>0</v>
      </c>
      <c r="O14" s="13">
        <f>IF(WaterfallTable[[#This Row],[Year]]&gt;SaleExitYear,0,IF(WaterfallTable[[#This Row],[Year]]=0,SponsorPropertyPayment,0))</f>
        <v>0</v>
      </c>
      <c r="P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Q14" s="13">
        <f>IF(WaterfallTable[[#This Row],[Year]]&gt;SaleExitYear,0,WaterfallTable[[#This Row],[Property Payment]]+WaterfallTable[[#This Row],[Residual]])</f>
        <v>0</v>
      </c>
      <c r="S14" s="14"/>
    </row>
    <row r="15" spans="2:32" x14ac:dyDescent="0.25"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</row>
    <row r="16" spans="2:32" x14ac:dyDescent="0.25">
      <c r="N16" s="2"/>
      <c r="O16" s="2"/>
      <c r="P16" s="2"/>
      <c r="Q16" s="2"/>
      <c r="R16" s="2"/>
      <c r="S16" s="2"/>
      <c r="T16" s="2"/>
    </row>
    <row r="17" spans="2:20" x14ac:dyDescent="0.25">
      <c r="B17" s="5" t="s">
        <v>269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2:20" s="14" customFormat="1" ht="45" x14ac:dyDescent="0.25">
      <c r="B18" s="57" t="s">
        <v>70</v>
      </c>
      <c r="C18" s="58" t="s">
        <v>305</v>
      </c>
      <c r="D18" s="58" t="s">
        <v>306</v>
      </c>
      <c r="E18" s="58" t="s">
        <v>307</v>
      </c>
      <c r="F18" s="58" t="s">
        <v>78</v>
      </c>
      <c r="G18" s="58" t="s">
        <v>79</v>
      </c>
      <c r="H18" s="58" t="s">
        <v>80</v>
      </c>
      <c r="I18" s="58" t="s">
        <v>81</v>
      </c>
      <c r="J18" s="58" t="s">
        <v>82</v>
      </c>
      <c r="K18" s="58" t="s">
        <v>83</v>
      </c>
      <c r="L18" s="58" t="s">
        <v>84</v>
      </c>
      <c r="M18" s="58" t="s">
        <v>85</v>
      </c>
      <c r="N18" s="58" t="s">
        <v>86</v>
      </c>
      <c r="O18" s="58" t="s">
        <v>87</v>
      </c>
      <c r="P18" s="58" t="s">
        <v>298</v>
      </c>
      <c r="Q18" s="58" t="s">
        <v>299</v>
      </c>
      <c r="R18" s="58" t="s">
        <v>74</v>
      </c>
      <c r="S18" s="59" t="s">
        <v>75</v>
      </c>
      <c r="T18" s="58" t="s">
        <v>76</v>
      </c>
    </row>
    <row r="19" spans="2:20" x14ac:dyDescent="0.25">
      <c r="B19" s="49" t="s">
        <v>88</v>
      </c>
      <c r="C19" s="41">
        <f>ClassACapital</f>
        <v>300000</v>
      </c>
      <c r="D19" s="41">
        <f>ClassACapital</f>
        <v>300000</v>
      </c>
      <c r="E19" s="41">
        <f>-ReturnsTable[[#This Row],[Capital Investment]]</f>
        <v>-300000</v>
      </c>
      <c r="F19" s="41">
        <f>IF(1&gt;SaleExitYear,0,INDEX(WaterfallTable[Total Dist A],MATCH(1,WaterfallTable[Year],0)))</f>
        <v>2521.3621266427726</v>
      </c>
      <c r="G19" s="41">
        <f>IF(2&gt;SaleExitYear,0,INDEX(WaterfallTable[Total Dist A],MATCH(2,WaterfallTable[Year],0)))</f>
        <v>52293.821152777789</v>
      </c>
      <c r="H19" s="41">
        <f>IF(3&gt;SaleExitYear,0,INDEX(WaterfallTable[Total Dist A],MATCH(3,WaterfallTable[Year],0)))</f>
        <v>245184.81672057943</v>
      </c>
      <c r="I19" s="41">
        <f>IF(4&gt;SaleExitYear,0,INDEX(WaterfallTable[Total Dist A],MATCH(4,WaterfallTable[Year],0)))</f>
        <v>0</v>
      </c>
      <c r="J19" s="41">
        <f>IF(5&gt;SaleExitYear,0,INDEX(WaterfallTable[Total Dist A],MATCH(5,WaterfallTable[Year],0)))</f>
        <v>264666.01012491627</v>
      </c>
      <c r="K19" s="41">
        <f>IF(6&gt;SaleExitYear,0,INDEX(WaterfallTable[Total Dist A],MATCH(6,WaterfallTable[Year],0)))</f>
        <v>0</v>
      </c>
      <c r="L19" s="41">
        <f>IF(7&gt;SaleExitYear,0,INDEX(WaterfallTable[Total Dist A],MATCH(7,WaterfallTable[Year],0)))</f>
        <v>0</v>
      </c>
      <c r="M19" s="41">
        <f>IF(8&gt;SaleExitYear,0,INDEX(WaterfallTable[Total Dist A],MATCH(8,WaterfallTable[Year],0)))</f>
        <v>0</v>
      </c>
      <c r="N19" s="41">
        <f>IF(9&gt;SaleExitYear,0,INDEX(WaterfallTable[Total Dist A],MATCH(9,WaterfallTable[Year],0)))</f>
        <v>0</v>
      </c>
      <c r="O19" s="41">
        <f>IF(10&gt;SaleExitYear,0,INDEX(WaterfallTable[Total Dist A],MATCH(10,WaterfallTable[Year],0)))</f>
        <v>0</v>
      </c>
      <c r="P19" s="41">
        <f>SUM(ReturnsTable[[#This Row],[Initial Capitalization]:[Year 10]])</f>
        <v>264666.01012491627</v>
      </c>
      <c r="Q19" s="41">
        <f>ReturnsTable[[#This Row],[Total Profit]]+ReturnsTable[[#This Row],[Capital Investment]]</f>
        <v>564666.01012491621</v>
      </c>
      <c r="R19" s="42">
        <f>IFERROR(ReturnsTable[[#This Row],[Total Dist]]/ReturnsTable[[#This Row],[Capital Investment]],0)</f>
        <v>1.8822200337497208</v>
      </c>
      <c r="S19" s="53">
        <f>IFERROR(ReturnsTable[[#This Row],[Total Profit]]/ReturnsTable[[#This Row],[Capital Investment]],0)</f>
        <v>0.88222003374972091</v>
      </c>
      <c r="T19" s="60">
        <f>IFERROR(IRR(ReturnsTable[[#This Row],[Initial Capitalization]:[Year 10]]),0)</f>
        <v>0.18498025525507211</v>
      </c>
    </row>
    <row r="20" spans="2:20" x14ac:dyDescent="0.25">
      <c r="B20" s="50" t="s">
        <v>89</v>
      </c>
      <c r="C20" s="43">
        <f>ClassBCapital</f>
        <v>547500</v>
      </c>
      <c r="D20" s="43">
        <f>ClassBCapital</f>
        <v>547500</v>
      </c>
      <c r="E20" s="43">
        <f>-ReturnsTable[[#This Row],[Capital Investment]]</f>
        <v>-547500</v>
      </c>
      <c r="F20" s="43">
        <f>IF(1&gt;SaleExitYear,0,INDEX(WaterfallTable[Total Dist B],MATCH(1,WaterfallTable[Year],0)))</f>
        <v>0</v>
      </c>
      <c r="G20" s="43">
        <f>IF(2&gt;SaleExitYear,0,INDEX(WaterfallTable[Total Dist B],MATCH(2,WaterfallTable[Year],0)))</f>
        <v>0</v>
      </c>
      <c r="H20" s="43">
        <f>IF(3&gt;SaleExitYear,0,INDEX(WaterfallTable[Total Dist B],MATCH(3,WaterfallTable[Year],0)))</f>
        <v>323159.78896300239</v>
      </c>
      <c r="I20" s="43">
        <f>IF(4&gt;SaleExitYear,0,INDEX(WaterfallTable[Total Dist B],MATCH(4,WaterfallTable[Year],0)))</f>
        <v>30068.165683581683</v>
      </c>
      <c r="J20" s="43">
        <f>IF(5&gt;SaleExitYear,0,INDEX(WaterfallTable[Total Dist B],MATCH(5,WaterfallTable[Year],0)))</f>
        <v>510458.64946067339</v>
      </c>
      <c r="K20" s="43">
        <f>IF(6&gt;SaleExitYear,0,INDEX(WaterfallTable[Total Dist B],MATCH(6,WaterfallTable[Year],0)))</f>
        <v>0</v>
      </c>
      <c r="L20" s="43">
        <f>IF(7&gt;SaleExitYear,0,INDEX(WaterfallTable[Total Dist B],MATCH(7,WaterfallTable[Year],0)))</f>
        <v>0</v>
      </c>
      <c r="M20" s="43">
        <f>IF(8&gt;SaleExitYear,0,INDEX(WaterfallTable[Total Dist B],MATCH(8,WaterfallTable[Year],0)))</f>
        <v>0</v>
      </c>
      <c r="N20" s="43">
        <f>IF(9&gt;SaleExitYear,0,INDEX(WaterfallTable[Total Dist B],MATCH(9,WaterfallTable[Year],0)))</f>
        <v>0</v>
      </c>
      <c r="O20" s="43">
        <f>IF(10&gt;SaleExitYear,0,INDEX(WaterfallTable[Total Dist B],MATCH(10,WaterfallTable[Year],0)))</f>
        <v>0</v>
      </c>
      <c r="P20" s="43">
        <f>SUM(ReturnsTable[[#This Row],[Initial Capitalization]:[Year 10]])</f>
        <v>316186.60410725744</v>
      </c>
      <c r="Q20" s="43">
        <f>ReturnsTable[[#This Row],[Total Profit]]+ReturnsTable[[#This Row],[Capital Investment]]</f>
        <v>863686.60410725744</v>
      </c>
      <c r="R20" s="44">
        <f>IFERROR(ReturnsTable[[#This Row],[Total Dist]]/ReturnsTable[[#This Row],[Capital Investment]],0)</f>
        <v>1.5775097791913377</v>
      </c>
      <c r="S20" s="54">
        <f>IFERROR(ReturnsTable[[#This Row],[Total Profit]]/ReturnsTable[[#This Row],[Capital Investment]],0)</f>
        <v>0.57750977919133784</v>
      </c>
      <c r="T20" s="60">
        <f>IFERROR(IRR(ReturnsTable[[#This Row],[Initial Capitalization]:[Year 10]]),0)</f>
        <v>0.11563386411139498</v>
      </c>
    </row>
    <row r="21" spans="2:20" x14ac:dyDescent="0.25">
      <c r="B21" s="51" t="s">
        <v>90</v>
      </c>
      <c r="C21" s="45">
        <f>SponsorCapitalInvestment</f>
        <v>136283</v>
      </c>
      <c r="D21" s="45">
        <f>SponsorBasis</f>
        <v>100000</v>
      </c>
      <c r="E21" s="45">
        <f>INDEX(WaterfallTable[Total Dist2],MATCH(0,WaterfallTable[Year],0))-ReturnsTable[[#This Row],[Capital Investment]]</f>
        <v>-36283</v>
      </c>
      <c r="F21" s="45">
        <f>IF(1&gt;SaleExitYear,0,INDEX(WaterfallTable[Total Dist2],MATCH(1,WaterfallTable[Year],0)))</f>
        <v>0</v>
      </c>
      <c r="G21" s="45">
        <f>IF(2&gt;SaleExitYear,0,INDEX(WaterfallTable[Total Dist2],MATCH(2,WaterfallTable[Year],0)))</f>
        <v>0</v>
      </c>
      <c r="H21" s="45">
        <f>IF(3&gt;SaleExitYear,0,INDEX(WaterfallTable[Total Dist2],MATCH(3,WaterfallTable[Year],0)))</f>
        <v>0</v>
      </c>
      <c r="I21" s="45">
        <f>IF(4&gt;SaleExitYear,0,INDEX(WaterfallTable[Total Dist2],MATCH(4,WaterfallTable[Year],0)))</f>
        <v>0</v>
      </c>
      <c r="J21" s="45">
        <f>IF(5&gt;SaleExitYear,0,INDEX(WaterfallTable[Total Dist2],MATCH(5,WaterfallTable[Year],0)))</f>
        <v>489439.53786465875</v>
      </c>
      <c r="K21" s="45">
        <f>IF(6&gt;SaleExitYear,0,INDEX(WaterfallTable[Total Dist2],MATCH(6,WaterfallTable[Year],0)))</f>
        <v>0</v>
      </c>
      <c r="L21" s="45">
        <f>IF(7&gt;SaleExitYear,0,INDEX(WaterfallTable[Total Dist2],MATCH(7,WaterfallTable[Year],0)))</f>
        <v>0</v>
      </c>
      <c r="M21" s="45">
        <f>IF(8&gt;SaleExitYear,0,INDEX(WaterfallTable[Total Dist2],MATCH(8,WaterfallTable[Year],0)))</f>
        <v>0</v>
      </c>
      <c r="N21" s="45">
        <f>IF(9&gt;SaleExitYear,0,INDEX(WaterfallTable[Total Dist2],MATCH(9,WaterfallTable[Year],0)))</f>
        <v>0</v>
      </c>
      <c r="O21" s="45">
        <f>IF(10&gt;SaleExitYear,0,INDEX(WaterfallTable[Total Dist2],MATCH(10,WaterfallTable[Year],0)))</f>
        <v>0</v>
      </c>
      <c r="P21" s="45">
        <f>SUM(ReturnsTable[[#This Row],[Initial Capitalization]:[Year 10]])</f>
        <v>453156.53786465875</v>
      </c>
      <c r="Q21" s="45">
        <f>ReturnsTable[[#This Row],[Total Profit]]+ReturnsTable[[#This Row],[Capital Investment]]</f>
        <v>589439.53786465875</v>
      </c>
      <c r="R21" s="46">
        <f>IFERROR(ReturnsTable[[#This Row],[Total Dist]]/ReturnsTable[[#This Row],[Capital Investment]],0)</f>
        <v>4.3251141952015937</v>
      </c>
      <c r="S21" s="55">
        <f>IFERROR(ReturnsTable[[#This Row],[Total Profit]]/ReturnsTable[[#This Row],[Capital Investment]],0)</f>
        <v>3.3251141952015932</v>
      </c>
      <c r="T21" s="60">
        <f>IFERROR(IRR(ReturnsTable[[#This Row],[Initial Capitalization]:[Year 10]]),0)</f>
        <v>0.68267085359075441</v>
      </c>
    </row>
    <row r="22" spans="2:20" x14ac:dyDescent="0.25">
      <c r="B22" s="52" t="s">
        <v>288</v>
      </c>
      <c r="C22" s="47">
        <f>0</f>
        <v>0</v>
      </c>
      <c r="D22" s="47">
        <f>0</f>
        <v>0</v>
      </c>
      <c r="E22" s="47">
        <f>0</f>
        <v>0</v>
      </c>
      <c r="F22" s="47">
        <f>IF(1&gt;SaleExitYear,0,ManagementFeeRate*INDEX(AnnualModelTable[Occupancy Effective Gross Income],MATCH(1,AnnualModelTable[Year],0)))</f>
        <v>2863.2</v>
      </c>
      <c r="G22" s="47">
        <f>IF(2&gt;SaleExitYear,0,ManagementFeeRate*INDEX(AnnualModelTable[Occupancy Effective Gross Income],MATCH(2,AnnualModelTable[Year],0)))</f>
        <v>7471.3410000000003</v>
      </c>
      <c r="H22" s="47">
        <f>IF(3&gt;SaleExitYear,0,ManagementFeeRate*INDEX(AnnualModelTable[Occupancy Effective Gross Income],MATCH(3,AnnualModelTable[Year],0)))</f>
        <v>9675.7199999999993</v>
      </c>
      <c r="I22" s="47">
        <f>IF(4&gt;SaleExitYear,0,ManagementFeeRate*INDEX(AnnualModelTable[Occupancy Effective Gross Income],MATCH(4,AnnualModelTable[Year],0)))</f>
        <v>9675.7199999999993</v>
      </c>
      <c r="J22" s="47">
        <f>IF(5&gt;SaleExitYear,0,ManagementFeeRate*INDEX(AnnualModelTable[Occupancy Effective Gross Income],MATCH(5,AnnualModelTable[Year],0)))</f>
        <v>9675.7199999999993</v>
      </c>
      <c r="K22" s="47">
        <f>IF(6&gt;SaleExitYear,0,ManagementFeeRate*INDEX(AnnualModelTable[Occupancy Effective Gross Income],MATCH(6,AnnualModelTable[Year],0)))</f>
        <v>0</v>
      </c>
      <c r="L22" s="47">
        <f>IF(7&gt;SaleExitYear,0,ManagementFeeRate*INDEX(AnnualModelTable[Occupancy Effective Gross Income],MATCH(7,AnnualModelTable[Year],0)))</f>
        <v>0</v>
      </c>
      <c r="M22" s="47">
        <f>IF(8&gt;SaleExitYear,0,ManagementFeeRate*INDEX(AnnualModelTable[Occupancy Effective Gross Income],MATCH(8,AnnualModelTable[Year],0)))</f>
        <v>0</v>
      </c>
      <c r="N22" s="47">
        <f>IF(9&gt;SaleExitYear,0,ManagementFeeRate*INDEX(AnnualModelTable[Occupancy Effective Gross Income],MATCH(9,AnnualModelTable[Year],0)))</f>
        <v>0</v>
      </c>
      <c r="O22" s="47">
        <f>IF(10&gt;SaleExitYear,0,ManagementFeeRate*INDEX(AnnualModelTable[Occupancy Effective Gross Income],MATCH(10,AnnualModelTable[Year],0)))</f>
        <v>0</v>
      </c>
      <c r="P22" s="47">
        <f>SUM(ReturnsTable[[#This Row],[Initial Capitalization]:[Year 10]])</f>
        <v>39361.701000000001</v>
      </c>
      <c r="Q22" s="47">
        <f>ReturnsTable[[#This Row],[Total Profit]]</f>
        <v>39361.701000000001</v>
      </c>
      <c r="R22" s="48">
        <f>0</f>
        <v>0</v>
      </c>
      <c r="S22" s="56">
        <f>0</f>
        <v>0</v>
      </c>
      <c r="T22" s="60">
        <f>0</f>
        <v>0</v>
      </c>
    </row>
    <row r="24" spans="2:20" ht="15.75" thickBot="1" x14ac:dyDescent="0.3"/>
    <row r="25" spans="2:20" ht="15.75" thickBot="1" x14ac:dyDescent="0.3">
      <c r="B25" s="75" t="s">
        <v>373</v>
      </c>
      <c r="C25" s="97" t="s">
        <v>374</v>
      </c>
      <c r="D25" s="98"/>
      <c r="E25" s="99"/>
      <c r="F25" s="97" t="s">
        <v>375</v>
      </c>
      <c r="G25" s="98"/>
      <c r="H25" s="98"/>
      <c r="I25" s="98"/>
      <c r="J25" s="98"/>
      <c r="K25" s="98"/>
      <c r="L25" s="110"/>
      <c r="M25" s="111"/>
    </row>
    <row r="26" spans="2:20" ht="15.75" thickBot="1" x14ac:dyDescent="0.3">
      <c r="B26" s="76"/>
      <c r="C26" s="100" t="s">
        <v>332</v>
      </c>
      <c r="D26" s="101"/>
      <c r="E26" s="102"/>
      <c r="F26" s="100" t="s">
        <v>336</v>
      </c>
      <c r="G26" s="101"/>
      <c r="H26" s="101"/>
      <c r="I26" s="101"/>
      <c r="J26" s="101"/>
      <c r="K26" s="101"/>
      <c r="L26" s="110"/>
      <c r="M26" s="111"/>
    </row>
    <row r="27" spans="2:20" ht="15.75" thickBot="1" x14ac:dyDescent="0.3">
      <c r="B27" s="77"/>
      <c r="C27" s="147" t="s">
        <v>334</v>
      </c>
      <c r="D27" s="148"/>
      <c r="E27" s="149"/>
      <c r="F27" s="147" t="s">
        <v>376</v>
      </c>
      <c r="G27" s="148"/>
      <c r="H27" s="148"/>
      <c r="I27" s="148"/>
      <c r="J27" s="148"/>
      <c r="K27" s="148"/>
      <c r="L27" s="110"/>
      <c r="M27" s="111"/>
    </row>
    <row r="28" spans="2:20" ht="15.75" thickBot="1" x14ac:dyDescent="0.3">
      <c r="B28" s="78"/>
      <c r="C28" s="144" t="s">
        <v>335</v>
      </c>
      <c r="D28" s="145"/>
      <c r="E28" s="146"/>
      <c r="F28" s="144" t="s">
        <v>377</v>
      </c>
      <c r="G28" s="145"/>
      <c r="H28" s="145"/>
      <c r="I28" s="145"/>
      <c r="J28" s="145"/>
      <c r="K28" s="145"/>
      <c r="L28" s="110"/>
      <c r="M28" s="111"/>
    </row>
    <row r="31" spans="2:20" ht="15.75" thickBot="1" x14ac:dyDescent="0.3"/>
    <row r="32" spans="2:20" ht="16.5" thickBot="1" x14ac:dyDescent="0.3">
      <c r="B32" s="141" t="s">
        <v>380</v>
      </c>
      <c r="C32" s="142"/>
      <c r="D32" s="142"/>
      <c r="E32" s="142"/>
      <c r="F32" s="142"/>
      <c r="G32" s="142"/>
      <c r="H32" s="142"/>
      <c r="I32" s="142"/>
      <c r="J32" s="142"/>
      <c r="K32" s="142"/>
      <c r="L32" s="142"/>
      <c r="M32" s="142"/>
      <c r="N32" s="142"/>
      <c r="O32" s="143"/>
    </row>
    <row r="33" spans="2:29" ht="30.75" thickBot="1" x14ac:dyDescent="0.3">
      <c r="B33" s="159" t="s">
        <v>381</v>
      </c>
      <c r="C33" s="160"/>
      <c r="D33" s="161"/>
      <c r="E33" s="162" t="s">
        <v>70</v>
      </c>
      <c r="F33" s="163" t="s">
        <v>382</v>
      </c>
      <c r="G33" s="160"/>
      <c r="H33" s="160"/>
      <c r="I33" s="160"/>
      <c r="J33" s="161"/>
      <c r="K33" s="162" t="s">
        <v>298</v>
      </c>
      <c r="L33" s="162" t="s">
        <v>75</v>
      </c>
      <c r="M33" s="162" t="s">
        <v>378</v>
      </c>
      <c r="N33" s="163" t="s">
        <v>72</v>
      </c>
      <c r="O33" s="164"/>
    </row>
    <row r="34" spans="2:29" x14ac:dyDescent="0.25">
      <c r="B34" s="139" t="s">
        <v>332</v>
      </c>
      <c r="C34" s="128"/>
      <c r="D34" s="140"/>
      <c r="E34" s="156" t="s">
        <v>88</v>
      </c>
      <c r="F34" s="127" t="s">
        <v>383</v>
      </c>
      <c r="G34" s="128"/>
      <c r="H34" s="128"/>
      <c r="I34" s="128"/>
      <c r="J34" s="128"/>
      <c r="K34" s="157">
        <v>219799.48570431559</v>
      </c>
      <c r="L34" s="158">
        <v>0.73266495234771867</v>
      </c>
      <c r="M34" s="158">
        <v>0.1634264838474333</v>
      </c>
      <c r="N34" s="122">
        <v>519799.48570431559</v>
      </c>
      <c r="O34" s="123"/>
    </row>
    <row r="35" spans="2:29" x14ac:dyDescent="0.25">
      <c r="B35" s="139" t="s">
        <v>332</v>
      </c>
      <c r="C35" s="128"/>
      <c r="D35" s="140"/>
      <c r="E35" s="80" t="s">
        <v>89</v>
      </c>
      <c r="F35" s="127" t="s">
        <v>384</v>
      </c>
      <c r="G35" s="128"/>
      <c r="H35" s="128"/>
      <c r="I35" s="128"/>
      <c r="J35" s="128"/>
      <c r="K35" s="81">
        <v>234783.08283288495</v>
      </c>
      <c r="L35" s="82">
        <v>0.42882754855321453</v>
      </c>
      <c r="M35" s="82">
        <v>8.9826902125470953E-2</v>
      </c>
      <c r="N35" s="122">
        <v>782283.08283288497</v>
      </c>
      <c r="O35" s="123"/>
    </row>
    <row r="36" spans="2:29" x14ac:dyDescent="0.25">
      <c r="B36" s="139" t="s">
        <v>332</v>
      </c>
      <c r="C36" s="128"/>
      <c r="D36" s="140"/>
      <c r="E36" s="80" t="s">
        <v>90</v>
      </c>
      <c r="F36" s="127" t="s">
        <v>385</v>
      </c>
      <c r="G36" s="128"/>
      <c r="H36" s="128"/>
      <c r="I36" s="128"/>
      <c r="J36" s="128"/>
      <c r="K36" s="81">
        <v>327148.34739884926</v>
      </c>
      <c r="L36" s="82">
        <v>2.4005073809561668</v>
      </c>
      <c r="M36" s="82">
        <v>0.58541819876459078</v>
      </c>
      <c r="N36" s="122">
        <v>463431.34739884926</v>
      </c>
      <c r="O36" s="123"/>
    </row>
    <row r="37" spans="2:29" x14ac:dyDescent="0.25">
      <c r="B37" s="137" t="s">
        <v>379</v>
      </c>
      <c r="C37" s="130"/>
      <c r="D37" s="138"/>
      <c r="E37" s="83" t="s">
        <v>88</v>
      </c>
      <c r="F37" s="129" t="s">
        <v>386</v>
      </c>
      <c r="G37" s="130"/>
      <c r="H37" s="130"/>
      <c r="I37" s="130"/>
      <c r="J37" s="130"/>
      <c r="K37" s="84">
        <v>264666.01012491627</v>
      </c>
      <c r="L37" s="85">
        <v>0.88222003374972091</v>
      </c>
      <c r="M37" s="85">
        <v>0.18498025525507211</v>
      </c>
      <c r="N37" s="116">
        <v>564666.01012491621</v>
      </c>
      <c r="O37" s="117"/>
      <c r="W37"/>
      <c r="X37"/>
      <c r="Y37"/>
      <c r="Z37"/>
      <c r="AA37"/>
      <c r="AB37"/>
      <c r="AC37"/>
    </row>
    <row r="38" spans="2:29" x14ac:dyDescent="0.25">
      <c r="B38" s="137" t="s">
        <v>379</v>
      </c>
      <c r="C38" s="130"/>
      <c r="D38" s="138"/>
      <c r="E38" s="83" t="s">
        <v>89</v>
      </c>
      <c r="F38" s="129" t="s">
        <v>387</v>
      </c>
      <c r="G38" s="130"/>
      <c r="H38" s="130"/>
      <c r="I38" s="130"/>
      <c r="J38" s="130"/>
      <c r="K38" s="84">
        <v>316186.60410725744</v>
      </c>
      <c r="L38" s="85">
        <v>0.57750977919133784</v>
      </c>
      <c r="M38" s="85">
        <v>0.11563386411139498</v>
      </c>
      <c r="N38" s="116">
        <v>863686.60410725744</v>
      </c>
      <c r="O38" s="117"/>
      <c r="W38"/>
      <c r="X38"/>
      <c r="Y38"/>
      <c r="Z38"/>
      <c r="AA38"/>
      <c r="AB38"/>
      <c r="AC38"/>
    </row>
    <row r="39" spans="2:29" x14ac:dyDescent="0.25">
      <c r="B39" s="137" t="s">
        <v>379</v>
      </c>
      <c r="C39" s="130"/>
      <c r="D39" s="138"/>
      <c r="E39" s="83" t="s">
        <v>90</v>
      </c>
      <c r="F39" s="129" t="s">
        <v>388</v>
      </c>
      <c r="G39" s="130"/>
      <c r="H39" s="130"/>
      <c r="I39" s="130"/>
      <c r="J39" s="130"/>
      <c r="K39" s="84">
        <v>453156.53786465875</v>
      </c>
      <c r="L39" s="85">
        <v>3.3251141952015932</v>
      </c>
      <c r="M39" s="85">
        <v>0.68267085359075441</v>
      </c>
      <c r="N39" s="116">
        <v>589439.53786465875</v>
      </c>
      <c r="O39" s="117"/>
      <c r="W39"/>
      <c r="X39"/>
      <c r="Y39"/>
      <c r="Z39"/>
      <c r="AA39"/>
      <c r="AB39"/>
      <c r="AC39"/>
    </row>
    <row r="40" spans="2:29" x14ac:dyDescent="0.25">
      <c r="B40" s="134" t="s">
        <v>335</v>
      </c>
      <c r="C40" s="132"/>
      <c r="D40" s="135"/>
      <c r="E40" s="86" t="s">
        <v>88</v>
      </c>
      <c r="F40" s="131" t="s">
        <v>389</v>
      </c>
      <c r="G40" s="132"/>
      <c r="H40" s="132"/>
      <c r="I40" s="132"/>
      <c r="J40" s="132"/>
      <c r="K40" s="87">
        <v>278057.43248614768</v>
      </c>
      <c r="L40" s="88">
        <v>0.92685810828715898</v>
      </c>
      <c r="M40" s="88">
        <v>0.18919673669698978</v>
      </c>
      <c r="N40" s="118">
        <v>578057.43248614762</v>
      </c>
      <c r="O40" s="119"/>
      <c r="W40"/>
      <c r="X40"/>
      <c r="Y40"/>
      <c r="Z40"/>
      <c r="AA40"/>
      <c r="AB40"/>
      <c r="AC40"/>
    </row>
    <row r="41" spans="2:29" x14ac:dyDescent="0.25">
      <c r="B41" s="134" t="s">
        <v>335</v>
      </c>
      <c r="C41" s="132"/>
      <c r="D41" s="135"/>
      <c r="E41" s="86" t="s">
        <v>89</v>
      </c>
      <c r="F41" s="131" t="s">
        <v>390</v>
      </c>
      <c r="G41" s="132"/>
      <c r="H41" s="132"/>
      <c r="I41" s="132"/>
      <c r="J41" s="132"/>
      <c r="K41" s="87">
        <v>338354.90441211156</v>
      </c>
      <c r="L41" s="88">
        <v>0.61799982541024945</v>
      </c>
      <c r="M41" s="88">
        <v>0.12146973485163892</v>
      </c>
      <c r="N41" s="118">
        <v>885854.9044121115</v>
      </c>
      <c r="O41" s="119"/>
      <c r="W41"/>
      <c r="X41"/>
      <c r="Y41"/>
      <c r="Z41"/>
      <c r="AA41"/>
      <c r="AB41"/>
      <c r="AC41"/>
    </row>
    <row r="42" spans="2:29" ht="15.75" thickBot="1" x14ac:dyDescent="0.3">
      <c r="B42" s="124" t="s">
        <v>335</v>
      </c>
      <c r="C42" s="125"/>
      <c r="D42" s="126"/>
      <c r="E42" s="89" t="s">
        <v>90</v>
      </c>
      <c r="F42" s="133" t="s">
        <v>391</v>
      </c>
      <c r="G42" s="125"/>
      <c r="H42" s="125"/>
      <c r="I42" s="125"/>
      <c r="J42" s="125"/>
      <c r="K42" s="90">
        <v>487471.85203518625</v>
      </c>
      <c r="L42" s="91">
        <v>3.5769087269519035</v>
      </c>
      <c r="M42" s="91">
        <v>0.7056305810885255</v>
      </c>
      <c r="N42" s="120">
        <v>623754.85203518625</v>
      </c>
      <c r="O42" s="121"/>
      <c r="W42"/>
      <c r="X42"/>
      <c r="Y42"/>
      <c r="Z42"/>
      <c r="AA42"/>
      <c r="AB42"/>
      <c r="AC42"/>
    </row>
    <row r="43" spans="2:29" x14ac:dyDescent="0.25">
      <c r="W43"/>
      <c r="X43"/>
      <c r="Y43"/>
      <c r="Z43"/>
      <c r="AA43"/>
      <c r="AB43"/>
      <c r="AC43"/>
    </row>
    <row r="45" spans="2:29" x14ac:dyDescent="0.25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</sheetData>
  <mergeCells count="43">
    <mergeCell ref="K2:N2"/>
    <mergeCell ref="O2:Q2"/>
    <mergeCell ref="D2:J2"/>
    <mergeCell ref="C25:E25"/>
    <mergeCell ref="F25:M25"/>
    <mergeCell ref="B2:C2"/>
    <mergeCell ref="B32:O32"/>
    <mergeCell ref="C28:E28"/>
    <mergeCell ref="C26:E26"/>
    <mergeCell ref="C27:E27"/>
    <mergeCell ref="F27:M27"/>
    <mergeCell ref="F26:M26"/>
    <mergeCell ref="F28:M28"/>
    <mergeCell ref="F33:J33"/>
    <mergeCell ref="B37:D37"/>
    <mergeCell ref="B38:D38"/>
    <mergeCell ref="B39:D39"/>
    <mergeCell ref="B40:D40"/>
    <mergeCell ref="B33:D33"/>
    <mergeCell ref="B34:D34"/>
    <mergeCell ref="B35:D35"/>
    <mergeCell ref="B36:D36"/>
    <mergeCell ref="B42:D42"/>
    <mergeCell ref="F34:J34"/>
    <mergeCell ref="F35:J35"/>
    <mergeCell ref="F36:J36"/>
    <mergeCell ref="F37:J37"/>
    <mergeCell ref="F38:J38"/>
    <mergeCell ref="F39:J39"/>
    <mergeCell ref="F40:J40"/>
    <mergeCell ref="F41:J41"/>
    <mergeCell ref="F42:J42"/>
    <mergeCell ref="B41:D41"/>
    <mergeCell ref="N33:O33"/>
    <mergeCell ref="N34:O34"/>
    <mergeCell ref="N35:O35"/>
    <mergeCell ref="N36:O36"/>
    <mergeCell ref="N37:O37"/>
    <mergeCell ref="N38:O38"/>
    <mergeCell ref="N39:O39"/>
    <mergeCell ref="N40:O40"/>
    <mergeCell ref="N41:O41"/>
    <mergeCell ref="N42:O42"/>
  </mergeCells>
  <phoneticPr fontId="8" type="noConversion"/>
  <dataValidations count="1">
    <dataValidation type="whole" allowBlank="1" showInputMessage="1" showErrorMessage="1" promptTitle="Selected Exit Year" prompt="Option-button helper: value equals selected sale/exit year, 1 through 10." sqref="S3" xr:uid="{F98C83F4-073E-41EA-8C8B-B5716513B2D8}">
      <formula1>1</formula1>
      <formula2>10</formula2>
    </dataValidation>
  </dataValidations>
  <pageMargins left="0.7" right="0.7" top="0.75" bottom="0.75" header="0.3" footer="0.3"/>
  <pageSetup orientation="portrait" horizontalDpi="4800" verticalDpi="48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03" r:id="rId4" name="RefiYearGroup">
              <controlPr defaultSize="0" autoPict="0">
                <anchor moveWithCells="1">
                  <from>
                    <xdr:col>18</xdr:col>
                    <xdr:colOff>0</xdr:colOff>
                    <xdr:row>3</xdr:row>
                    <xdr:rowOff>152400</xdr:rowOff>
                  </from>
                  <to>
                    <xdr:col>19</xdr:col>
                    <xdr:colOff>0</xdr:colOff>
                    <xdr:row>14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" name="ExitYearGroup">
              <controlPr defaultSize="0" autoPict="0">
                <anchor moveWithCells="1">
                  <from>
                    <xdr:col>19</xdr:col>
                    <xdr:colOff>0</xdr:colOff>
                    <xdr:row>3</xdr:row>
                    <xdr:rowOff>152400</xdr:rowOff>
                  </from>
                  <to>
                    <xdr:col>20</xdr:col>
                    <xdr:colOff>0</xdr:colOff>
                    <xdr:row>14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" name="RefiYearOption_1">
              <controlPr defaultSize="0" autoFill="0" autoLine="0" autoPict="0">
                <anchor moveWithCells="1">
                  <from>
                    <xdr:col>18</xdr:col>
                    <xdr:colOff>276225</xdr:colOff>
                    <xdr:row>3</xdr:row>
                    <xdr:rowOff>190500</xdr:rowOff>
                  </from>
                  <to>
                    <xdr:col>18</xdr:col>
                    <xdr:colOff>581025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7" name="ExitYearOption_1">
              <controlPr defaultSize="0" autoFill="0" autoLine="0" autoPict="0">
                <anchor moveWithCells="1">
                  <from>
                    <xdr:col>19</xdr:col>
                    <xdr:colOff>276225</xdr:colOff>
                    <xdr:row>3</xdr:row>
                    <xdr:rowOff>190500</xdr:rowOff>
                  </from>
                  <to>
                    <xdr:col>19</xdr:col>
                    <xdr:colOff>581025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8" name="RefiYearOption_2">
              <controlPr defaultSize="0" autoFill="0" autoLine="0" autoPict="0">
                <anchor moveWithCells="1">
                  <from>
                    <xdr:col>18</xdr:col>
                    <xdr:colOff>276225</xdr:colOff>
                    <xdr:row>4</xdr:row>
                    <xdr:rowOff>190500</xdr:rowOff>
                  </from>
                  <to>
                    <xdr:col>18</xdr:col>
                    <xdr:colOff>581025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9" name="ExitYearOption_2">
              <controlPr defaultSize="0" autoFill="0" autoLine="0" autoPict="0">
                <anchor moveWithCells="1">
                  <from>
                    <xdr:col>19</xdr:col>
                    <xdr:colOff>276225</xdr:colOff>
                    <xdr:row>4</xdr:row>
                    <xdr:rowOff>190500</xdr:rowOff>
                  </from>
                  <to>
                    <xdr:col>19</xdr:col>
                    <xdr:colOff>581025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10" name="RefiYearOption_3">
              <controlPr defaultSize="0" autoFill="0" autoLine="0" autoPict="0">
                <anchor moveWithCells="1">
                  <from>
                    <xdr:col>18</xdr:col>
                    <xdr:colOff>276225</xdr:colOff>
                    <xdr:row>5</xdr:row>
                    <xdr:rowOff>190500</xdr:rowOff>
                  </from>
                  <to>
                    <xdr:col>18</xdr:col>
                    <xdr:colOff>581025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11" name="ExitYearOption_3">
              <controlPr defaultSize="0" autoFill="0" autoLine="0" autoPict="0">
                <anchor moveWithCells="1">
                  <from>
                    <xdr:col>19</xdr:col>
                    <xdr:colOff>276225</xdr:colOff>
                    <xdr:row>5</xdr:row>
                    <xdr:rowOff>190500</xdr:rowOff>
                  </from>
                  <to>
                    <xdr:col>19</xdr:col>
                    <xdr:colOff>581025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12" name="RefiYearOption_4">
              <controlPr defaultSize="0" autoFill="0" autoLine="0" autoPict="0">
                <anchor moveWithCells="1">
                  <from>
                    <xdr:col>18</xdr:col>
                    <xdr:colOff>276225</xdr:colOff>
                    <xdr:row>6</xdr:row>
                    <xdr:rowOff>180975</xdr:rowOff>
                  </from>
                  <to>
                    <xdr:col>18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13" name="ExitYearOption_4">
              <controlPr defaultSize="0" autoFill="0" autoLine="0" autoPict="0">
                <anchor moveWithCells="1">
                  <from>
                    <xdr:col>19</xdr:col>
                    <xdr:colOff>276225</xdr:colOff>
                    <xdr:row>6</xdr:row>
                    <xdr:rowOff>180975</xdr:rowOff>
                  </from>
                  <to>
                    <xdr:col>19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14" name="RefiYearOption_5">
              <controlPr defaultSize="0" autoFill="0" autoLine="0" autoPict="0">
                <anchor moveWithCells="1">
                  <from>
                    <xdr:col>18</xdr:col>
                    <xdr:colOff>276225</xdr:colOff>
                    <xdr:row>7</xdr:row>
                    <xdr:rowOff>180975</xdr:rowOff>
                  </from>
                  <to>
                    <xdr:col>18</xdr:col>
                    <xdr:colOff>581025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15" name="ExitYearOption_5">
              <controlPr defaultSize="0" autoFill="0" autoLine="0" autoPict="0">
                <anchor moveWithCells="1">
                  <from>
                    <xdr:col>19</xdr:col>
                    <xdr:colOff>276225</xdr:colOff>
                    <xdr:row>7</xdr:row>
                    <xdr:rowOff>180975</xdr:rowOff>
                  </from>
                  <to>
                    <xdr:col>19</xdr:col>
                    <xdr:colOff>581025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16" name="RefiYearOption_6">
              <controlPr defaultSize="0" autoFill="0" autoLine="0" autoPict="0">
                <anchor moveWithCells="1">
                  <from>
                    <xdr:col>18</xdr:col>
                    <xdr:colOff>276225</xdr:colOff>
                    <xdr:row>8</xdr:row>
                    <xdr:rowOff>180975</xdr:rowOff>
                  </from>
                  <to>
                    <xdr:col>18</xdr:col>
                    <xdr:colOff>581025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17" name="ExitYearOption_6">
              <controlPr defaultSize="0" autoFill="0" autoLine="0" autoPict="0">
                <anchor moveWithCells="1">
                  <from>
                    <xdr:col>19</xdr:col>
                    <xdr:colOff>276225</xdr:colOff>
                    <xdr:row>8</xdr:row>
                    <xdr:rowOff>180975</xdr:rowOff>
                  </from>
                  <to>
                    <xdr:col>19</xdr:col>
                    <xdr:colOff>581025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18" name="RefiYearOption_7">
              <controlPr defaultSize="0" autoFill="0" autoLine="0" autoPict="0">
                <anchor moveWithCells="1">
                  <from>
                    <xdr:col>18</xdr:col>
                    <xdr:colOff>276225</xdr:colOff>
                    <xdr:row>9</xdr:row>
                    <xdr:rowOff>180975</xdr:rowOff>
                  </from>
                  <to>
                    <xdr:col>18</xdr:col>
                    <xdr:colOff>581025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19" name="ExitYearOption_7">
              <controlPr defaultSize="0" autoFill="0" autoLine="0" autoPict="0">
                <anchor moveWithCells="1">
                  <from>
                    <xdr:col>19</xdr:col>
                    <xdr:colOff>276225</xdr:colOff>
                    <xdr:row>9</xdr:row>
                    <xdr:rowOff>180975</xdr:rowOff>
                  </from>
                  <to>
                    <xdr:col>19</xdr:col>
                    <xdr:colOff>581025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20" name="RefiYearOption_8">
              <controlPr defaultSize="0" autoFill="0" autoLine="0" autoPict="0">
                <anchor moveWithCells="1">
                  <from>
                    <xdr:col>18</xdr:col>
                    <xdr:colOff>276225</xdr:colOff>
                    <xdr:row>10</xdr:row>
                    <xdr:rowOff>180975</xdr:rowOff>
                  </from>
                  <to>
                    <xdr:col>18</xdr:col>
                    <xdr:colOff>581025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21" name="ExitYearOption_8">
              <controlPr defaultSize="0" autoFill="0" autoLine="0" autoPict="0">
                <anchor moveWithCells="1">
                  <from>
                    <xdr:col>19</xdr:col>
                    <xdr:colOff>276225</xdr:colOff>
                    <xdr:row>10</xdr:row>
                    <xdr:rowOff>180975</xdr:rowOff>
                  </from>
                  <to>
                    <xdr:col>19</xdr:col>
                    <xdr:colOff>581025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22" name="RefiYearOption_9">
              <controlPr defaultSize="0" autoFill="0" autoLine="0" autoPict="0">
                <anchor moveWithCells="1">
                  <from>
                    <xdr:col>18</xdr:col>
                    <xdr:colOff>276225</xdr:colOff>
                    <xdr:row>11</xdr:row>
                    <xdr:rowOff>180975</xdr:rowOff>
                  </from>
                  <to>
                    <xdr:col>18</xdr:col>
                    <xdr:colOff>581025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23" name="ExitYearOption_9">
              <controlPr defaultSize="0" autoFill="0" autoLine="0" autoPict="0">
                <anchor moveWithCells="1">
                  <from>
                    <xdr:col>19</xdr:col>
                    <xdr:colOff>276225</xdr:colOff>
                    <xdr:row>11</xdr:row>
                    <xdr:rowOff>180975</xdr:rowOff>
                  </from>
                  <to>
                    <xdr:col>19</xdr:col>
                    <xdr:colOff>581025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24" name="RefiYearOption_10">
              <controlPr defaultSize="0" autoFill="0" autoLine="0" autoPict="0">
                <anchor moveWithCells="1">
                  <from>
                    <xdr:col>18</xdr:col>
                    <xdr:colOff>276225</xdr:colOff>
                    <xdr:row>12</xdr:row>
                    <xdr:rowOff>180975</xdr:rowOff>
                  </from>
                  <to>
                    <xdr:col>18</xdr:col>
                    <xdr:colOff>581025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25" name="ExitYearOption_10">
              <controlPr defaultSize="0" autoFill="0" autoLine="0" autoPict="0">
                <anchor moveWithCells="1">
                  <from>
                    <xdr:col>19</xdr:col>
                    <xdr:colOff>276225</xdr:colOff>
                    <xdr:row>12</xdr:row>
                    <xdr:rowOff>180975</xdr:rowOff>
                  </from>
                  <to>
                    <xdr:col>19</xdr:col>
                    <xdr:colOff>581025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26" name="WfSTR_Group">
              <controlPr defaultSize="0" autoPict="0">
                <anchor moveWithCells="1">
                  <from>
                    <xdr:col>1</xdr:col>
                    <xdr:colOff>0</xdr:colOff>
                    <xdr:row>23</xdr:row>
                    <xdr:rowOff>152400</xdr:rowOff>
                  </from>
                  <to>
                    <xdr:col>2</xdr:col>
                    <xdr:colOff>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27" name="WfSTR_Opt_1">
              <controlPr defaultSize="0" autoFill="0" autoLine="0" autoPict="0">
                <anchor moveWithCells="1">
                  <from>
                    <xdr:col>1</xdr:col>
                    <xdr:colOff>285750</xdr:colOff>
                    <xdr:row>24</xdr:row>
                    <xdr:rowOff>180975</xdr:rowOff>
                  </from>
                  <to>
                    <xdr:col>1</xdr:col>
                    <xdr:colOff>590550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28" name="WfSTR_Opt_2">
              <controlPr defaultSize="0" autoFill="0" autoLine="0" autoPict="0">
                <anchor moveWithCells="1">
                  <from>
                    <xdr:col>1</xdr:col>
                    <xdr:colOff>285750</xdr:colOff>
                    <xdr:row>25</xdr:row>
                    <xdr:rowOff>180975</xdr:rowOff>
                  </from>
                  <to>
                    <xdr:col>1</xdr:col>
                    <xdr:colOff>590550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29" name="WfSTR_Opt_3">
              <controlPr defaultSize="0" autoFill="0" autoLine="0" autoPict="0">
                <anchor moveWithCells="1">
                  <from>
                    <xdr:col>1</xdr:col>
                    <xdr:colOff>285750</xdr:colOff>
                    <xdr:row>26</xdr:row>
                    <xdr:rowOff>180975</xdr:rowOff>
                  </from>
                  <to>
                    <xdr:col>1</xdr:col>
                    <xdr:colOff>590550</xdr:colOff>
                    <xdr:row>28</xdr:row>
                    <xdr:rowOff>0</xdr:rowOff>
                  </to>
                </anchor>
              </controlPr>
            </control>
          </mc:Choice>
        </mc:AlternateContent>
      </controls>
    </mc:Choice>
  </mc:AlternateContent>
  <tableParts count="2">
    <tablePart r:id="rId30"/>
    <tablePart r:id="rId3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K17" sqref="K17"/>
    </sheetView>
  </sheetViews>
  <sheetFormatPr defaultRowHeight="15" x14ac:dyDescent="0.25"/>
  <cols>
    <col min="1" max="1" width="15.140625" style="6" bestFit="1" customWidth="1"/>
    <col min="2" max="2" width="18" style="6" bestFit="1" customWidth="1"/>
    <col min="3" max="3" width="22.140625" style="6" bestFit="1" customWidth="1"/>
    <col min="4" max="4" width="14.28515625" style="6" bestFit="1" customWidth="1"/>
    <col min="5" max="5" width="19.42578125" style="6" bestFit="1" customWidth="1"/>
    <col min="6" max="6" width="10.7109375" style="6" bestFit="1" customWidth="1"/>
    <col min="7" max="7" width="8.42578125" style="6" bestFit="1" customWidth="1"/>
    <col min="8" max="17" width="11" style="6" bestFit="1" customWidth="1"/>
    <col min="18" max="18" width="12" style="6" bestFit="1" customWidth="1"/>
    <col min="19" max="16384" width="9.140625" style="6"/>
  </cols>
  <sheetData>
    <row r="1" spans="1:20" ht="18.75" x14ac:dyDescent="0.3">
      <c r="A1" s="115" t="s">
        <v>270</v>
      </c>
      <c r="B1" s="113"/>
      <c r="C1" s="113"/>
      <c r="D1" s="1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20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20" s="23" customFormat="1" x14ac:dyDescent="0.25">
      <c r="A3" s="26" t="s">
        <v>70</v>
      </c>
      <c r="B3" s="26" t="s">
        <v>71</v>
      </c>
      <c r="C3" s="26" t="s">
        <v>72</v>
      </c>
      <c r="D3" s="26" t="s">
        <v>73</v>
      </c>
      <c r="E3" s="26" t="s">
        <v>74</v>
      </c>
      <c r="F3" s="26" t="s">
        <v>75</v>
      </c>
      <c r="G3" s="26" t="s">
        <v>76</v>
      </c>
      <c r="H3" s="26" t="s">
        <v>77</v>
      </c>
      <c r="I3" s="26" t="s">
        <v>78</v>
      </c>
      <c r="J3" s="26" t="s">
        <v>79</v>
      </c>
      <c r="K3" s="26" t="s">
        <v>80</v>
      </c>
      <c r="L3" s="26" t="s">
        <v>81</v>
      </c>
      <c r="M3" s="26" t="s">
        <v>82</v>
      </c>
      <c r="N3" s="26" t="s">
        <v>83</v>
      </c>
      <c r="O3" s="26" t="s">
        <v>84</v>
      </c>
      <c r="P3" s="26" t="s">
        <v>85</v>
      </c>
      <c r="Q3" s="26" t="s">
        <v>86</v>
      </c>
      <c r="R3" s="26" t="s">
        <v>87</v>
      </c>
    </row>
    <row r="4" spans="1:20" x14ac:dyDescent="0.25">
      <c r="A4" s="13" t="s">
        <v>88</v>
      </c>
      <c r="B4" s="13">
        <f>ClassACapital</f>
        <v>300000</v>
      </c>
      <c r="C4" s="13">
        <f>SUM(Waterfall!$J$4:$J$14)</f>
        <v>564666.01012491621</v>
      </c>
      <c r="D4" s="13">
        <f>C4-B4</f>
        <v>264666.01012491621</v>
      </c>
      <c r="E4" s="13">
        <f>IFERROR(C4/B4,0)</f>
        <v>1.8822200337497208</v>
      </c>
      <c r="F4" s="24">
        <f>IFERROR(D4/B4,0)</f>
        <v>0.88222003374972069</v>
      </c>
      <c r="G4" s="24">
        <f>IRR(H4:R4)</f>
        <v>0.18498025525507211</v>
      </c>
      <c r="H4" s="13">
        <f>-B4</f>
        <v>-300000</v>
      </c>
      <c r="I4" s="13">
        <f>INDEX(Waterfall!$J$4:$J$14,MATCH(1,Waterfall!$B$4:$B$14,0))</f>
        <v>2521.3621266427726</v>
      </c>
      <c r="J4" s="13">
        <f>INDEX(Waterfall!$J$4:$J$14,MATCH(2,Waterfall!$B$4:$B$14,0))</f>
        <v>52293.821152777789</v>
      </c>
      <c r="K4" s="13">
        <f>INDEX(Waterfall!$J$4:$J$14,MATCH(3,Waterfall!$B$4:$B$14,0))</f>
        <v>245184.81672057943</v>
      </c>
      <c r="L4" s="13">
        <f>INDEX(Waterfall!$J$4:$J$14,MATCH(4,Waterfall!$B$4:$B$14,0))</f>
        <v>0</v>
      </c>
      <c r="M4" s="13">
        <f>INDEX(Waterfall!$J$4:$J$14,MATCH(5,Waterfall!$B$4:$B$14,0))</f>
        <v>264666.01012491627</v>
      </c>
      <c r="N4" s="13">
        <f>INDEX(Waterfall!$J$4:$J$14,MATCH(6,Waterfall!$B$4:$B$14,0))</f>
        <v>0</v>
      </c>
      <c r="O4" s="13">
        <f>INDEX(Waterfall!$J$4:$J$14,MATCH(7,Waterfall!$B$4:$B$14,0))</f>
        <v>0</v>
      </c>
      <c r="P4" s="13">
        <f>INDEX(Waterfall!$J$4:$J$14,MATCH(8,Waterfall!$B$4:$B$14,0))</f>
        <v>0</v>
      </c>
      <c r="Q4" s="13">
        <f>INDEX(Waterfall!$J$4:$J$14,MATCH(9,Waterfall!$B$4:$B$14,0))</f>
        <v>0</v>
      </c>
      <c r="R4" s="13">
        <f>INDEX(Waterfall!$J$4:$J$14,MATCH(10,Waterfall!$B$4:$B$14,0))</f>
        <v>0</v>
      </c>
    </row>
    <row r="5" spans="1:20" x14ac:dyDescent="0.25">
      <c r="A5" s="13" t="s">
        <v>89</v>
      </c>
      <c r="B5" s="13">
        <f>ClassBCapital</f>
        <v>547500</v>
      </c>
      <c r="C5" s="13">
        <f>SUM(Waterfall!$N$4:$N$14)</f>
        <v>863686.60410725744</v>
      </c>
      <c r="D5" s="13">
        <f>C5-B5</f>
        <v>316186.60410725744</v>
      </c>
      <c r="E5" s="13">
        <f>IFERROR(C5/B5,0)</f>
        <v>1.5775097791913377</v>
      </c>
      <c r="F5" s="24">
        <f>IFERROR(D5/B5,0)</f>
        <v>0.57750977919133784</v>
      </c>
      <c r="G5" s="24">
        <f>IFERROR(IRR(H5:R5),0)</f>
        <v>0.11563386411139498</v>
      </c>
      <c r="H5" s="13">
        <f>-B5</f>
        <v>-547500</v>
      </c>
      <c r="I5" s="13">
        <f>INDEX(Waterfall!$N$4:$N$14,MATCH(1,Waterfall!$B$4:$B$14,0))</f>
        <v>0</v>
      </c>
      <c r="J5" s="13">
        <f>INDEX(Waterfall!$N$4:$N$14,MATCH(2,Waterfall!$B$4:$B$14,0))</f>
        <v>0</v>
      </c>
      <c r="K5" s="13">
        <f>INDEX(Waterfall!$N$4:$N$14,MATCH(3,Waterfall!$B$4:$B$14,0))</f>
        <v>323159.78896300239</v>
      </c>
      <c r="L5" s="13">
        <f>INDEX(Waterfall!$N$4:$N$14,MATCH(4,Waterfall!$B$4:$B$14,0))</f>
        <v>30068.165683581683</v>
      </c>
      <c r="M5" s="13">
        <f>INDEX(Waterfall!$N$4:$N$14,MATCH(5,Waterfall!$B$4:$B$14,0))</f>
        <v>510458.64946067339</v>
      </c>
      <c r="N5" s="13">
        <f>INDEX(Waterfall!$N$4:$N$14,MATCH(6,Waterfall!$B$4:$B$14,0))</f>
        <v>0</v>
      </c>
      <c r="O5" s="13">
        <f>INDEX(Waterfall!$N$4:$N$14,MATCH(7,Waterfall!$B$4:$B$14,0))</f>
        <v>0</v>
      </c>
      <c r="P5" s="13">
        <f>INDEX(Waterfall!$N$4:$N$14,MATCH(8,Waterfall!$B$4:$B$14,0))</f>
        <v>0</v>
      </c>
      <c r="Q5" s="13">
        <f>INDEX(Waterfall!$N$4:$N$14,MATCH(9,Waterfall!$B$4:$B$14,0))</f>
        <v>0</v>
      </c>
      <c r="R5" s="13">
        <f>INDEX(Waterfall!$N$4:$N$14,MATCH(10,Waterfall!$B$4:$B$14,0))</f>
        <v>0</v>
      </c>
    </row>
    <row r="6" spans="1:20" x14ac:dyDescent="0.25">
      <c r="A6" s="13" t="s">
        <v>90</v>
      </c>
      <c r="B6" s="13">
        <f>SponsorBasis</f>
        <v>100000</v>
      </c>
      <c r="C6" s="13">
        <f>SUM(Waterfall!$Q$4:$Q$14)</f>
        <v>589439.53786465875</v>
      </c>
      <c r="D6" s="13">
        <f>C6-B6</f>
        <v>489439.53786465875</v>
      </c>
      <c r="E6" s="13">
        <f>IFERROR(C6/B6,0)</f>
        <v>5.8943953786465872</v>
      </c>
      <c r="F6" s="24">
        <f>IFERROR(D6/B6,0)</f>
        <v>4.8943953786465872</v>
      </c>
      <c r="G6" s="24">
        <f>IFERROR(IRR(H6:R6),0)</f>
        <v>0.37385155589335195</v>
      </c>
      <c r="H6" s="13">
        <f>-B6</f>
        <v>-100000</v>
      </c>
      <c r="I6" s="13">
        <f>INDEX(Waterfall!$Q$4:$Q$14,MATCH(1,Waterfall!$B$4:$B$14,0))</f>
        <v>0</v>
      </c>
      <c r="J6" s="13">
        <f>INDEX(Waterfall!$Q$4:$Q$14,MATCH(2,Waterfall!$B$4:$B$14,0))</f>
        <v>0</v>
      </c>
      <c r="K6" s="13">
        <f>INDEX(Waterfall!$Q$4:$Q$14,MATCH(3,Waterfall!$B$4:$B$14,0))</f>
        <v>0</v>
      </c>
      <c r="L6" s="13">
        <f>INDEX(Waterfall!$Q$4:$Q$14,MATCH(4,Waterfall!$B$4:$B$14,0))</f>
        <v>0</v>
      </c>
      <c r="M6" s="13">
        <f>INDEX(Waterfall!$Q$4:$Q$14,MATCH(5,Waterfall!$B$4:$B$14,0))</f>
        <v>489439.53786465875</v>
      </c>
      <c r="N6" s="13">
        <f>INDEX(Waterfall!$Q$4:$Q$14,MATCH(6,Waterfall!$B$4:$B$14,0))</f>
        <v>0</v>
      </c>
      <c r="O6" s="13">
        <f>INDEX(Waterfall!$Q$4:$Q$14,MATCH(7,Waterfall!$B$4:$B$14,0))</f>
        <v>0</v>
      </c>
      <c r="P6" s="13">
        <f>INDEX(Waterfall!$Q$4:$Q$14,MATCH(8,Waterfall!$B$4:$B$14,0))</f>
        <v>0</v>
      </c>
      <c r="Q6" s="13">
        <f>INDEX(Waterfall!$Q$4:$Q$14,MATCH(9,Waterfall!$B$4:$B$14,0))</f>
        <v>0</v>
      </c>
      <c r="R6" s="13">
        <f>INDEX(Waterfall!$Q$4:$Q$14,MATCH(10,Waterfall!$B$4:$B$14,0))</f>
        <v>0</v>
      </c>
    </row>
    <row r="7" spans="1:20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20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20" x14ac:dyDescent="0.25">
      <c r="A9" s="21" t="s">
        <v>91</v>
      </c>
      <c r="B9" s="112" t="s">
        <v>266</v>
      </c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3" t="s">
        <v>92</v>
      </c>
      <c r="B1" s="2"/>
    </row>
    <row r="2" spans="1:2" x14ac:dyDescent="0.25">
      <c r="A2" s="2"/>
      <c r="B2" s="2"/>
    </row>
    <row r="3" spans="1:2" x14ac:dyDescent="0.25">
      <c r="A3" s="4" t="s">
        <v>93</v>
      </c>
      <c r="B3" s="2" t="s">
        <v>94</v>
      </c>
    </row>
    <row r="4" spans="1:2" x14ac:dyDescent="0.25">
      <c r="A4" s="4" t="s">
        <v>95</v>
      </c>
      <c r="B4" s="2" t="s">
        <v>96</v>
      </c>
    </row>
    <row r="5" spans="1:2" x14ac:dyDescent="0.25">
      <c r="A5" s="4" t="s">
        <v>88</v>
      </c>
      <c r="B5" s="2" t="s">
        <v>97</v>
      </c>
    </row>
    <row r="6" spans="1:2" x14ac:dyDescent="0.25">
      <c r="A6" s="4" t="s">
        <v>89</v>
      </c>
      <c r="B6" s="2" t="s">
        <v>98</v>
      </c>
    </row>
    <row r="7" spans="1:2" x14ac:dyDescent="0.25">
      <c r="A7" s="4" t="s">
        <v>90</v>
      </c>
      <c r="B7" s="2" t="s">
        <v>99</v>
      </c>
    </row>
    <row r="8" spans="1:2" x14ac:dyDescent="0.25">
      <c r="A8" s="4" t="s">
        <v>100</v>
      </c>
      <c r="B8" s="2" t="s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1"/>
  <sheetViews>
    <sheetView topLeftCell="A12" workbookViewId="0">
      <selection activeCell="A21" sqref="A21"/>
    </sheetView>
  </sheetViews>
  <sheetFormatPr defaultRowHeight="15" x14ac:dyDescent="0.25"/>
  <cols>
    <col min="1" max="1" width="69.7109375" style="6" bestFit="1" customWidth="1"/>
    <col min="2" max="2" width="18.5703125" style="6" bestFit="1" customWidth="1"/>
    <col min="3" max="3" width="9.5703125" style="6" bestFit="1" customWidth="1"/>
    <col min="4" max="4" width="6.140625" style="6" bestFit="1" customWidth="1"/>
    <col min="5" max="5" width="18.5703125" style="6" bestFit="1" customWidth="1"/>
    <col min="6" max="6" width="55" style="6" customWidth="1"/>
    <col min="7" max="7" width="32" style="6" bestFit="1" customWidth="1"/>
    <col min="8" max="8" width="8.140625" style="6" bestFit="1" customWidth="1"/>
    <col min="9" max="9" width="42.28515625" style="6" bestFit="1" customWidth="1"/>
    <col min="10" max="10" width="18" style="6" bestFit="1" customWidth="1"/>
    <col min="11" max="11" width="7.140625" style="6" bestFit="1" customWidth="1"/>
    <col min="12" max="16384" width="9.140625" style="6"/>
  </cols>
  <sheetData>
    <row r="1" spans="1:10" x14ac:dyDescent="0.25">
      <c r="A1" s="13" t="s">
        <v>102</v>
      </c>
      <c r="B1" s="13"/>
      <c r="C1" s="13"/>
    </row>
    <row r="2" spans="1:10" x14ac:dyDescent="0.25">
      <c r="A2" s="13" t="s">
        <v>103</v>
      </c>
      <c r="B2" s="155" t="s">
        <v>104</v>
      </c>
      <c r="C2" s="113"/>
      <c r="D2" s="113"/>
    </row>
    <row r="3" spans="1:10" x14ac:dyDescent="0.25">
      <c r="A3" s="13" t="s">
        <v>105</v>
      </c>
      <c r="B3" s="155" t="s">
        <v>106</v>
      </c>
      <c r="C3" s="113"/>
      <c r="D3" s="113"/>
      <c r="E3" s="113"/>
      <c r="F3" s="113"/>
      <c r="G3" s="113"/>
      <c r="H3" s="113"/>
      <c r="I3" s="113"/>
    </row>
    <row r="4" spans="1:10" x14ac:dyDescent="0.25">
      <c r="A4" s="13"/>
      <c r="B4" s="13"/>
      <c r="C4" s="155"/>
      <c r="D4" s="93"/>
      <c r="E4" s="93"/>
      <c r="F4" s="93"/>
      <c r="H4" s="13"/>
    </row>
    <row r="5" spans="1:10" ht="15.75" thickBot="1" x14ac:dyDescent="0.3">
      <c r="A5" s="13"/>
      <c r="B5" s="13"/>
      <c r="C5" s="155"/>
      <c r="D5" s="93"/>
      <c r="E5" s="93"/>
      <c r="F5" s="93"/>
      <c r="H5" s="13"/>
    </row>
    <row r="6" spans="1:10" ht="15.75" thickBot="1" x14ac:dyDescent="0.3">
      <c r="A6" s="13"/>
      <c r="B6" s="31" t="s">
        <v>107</v>
      </c>
      <c r="C6" s="31" t="s">
        <v>108</v>
      </c>
      <c r="D6" s="5"/>
      <c r="E6" s="5"/>
      <c r="F6" s="5"/>
    </row>
    <row r="7" spans="1:10" ht="15.75" thickBot="1" x14ac:dyDescent="0.3">
      <c r="A7" s="12" t="s">
        <v>109</v>
      </c>
      <c r="B7" s="36" t="s">
        <v>276</v>
      </c>
      <c r="C7" s="36" t="s">
        <v>121</v>
      </c>
      <c r="E7" s="31" t="s">
        <v>110</v>
      </c>
      <c r="G7" s="12" t="b">
        <f>$C$6="Low"</f>
        <v>1</v>
      </c>
      <c r="H7" s="12" t="b">
        <f>$C$6="High"</f>
        <v>0</v>
      </c>
      <c r="I7" s="5"/>
      <c r="J7" s="5"/>
    </row>
    <row r="8" spans="1:10" ht="15.75" thickBot="1" x14ac:dyDescent="0.3">
      <c r="A8" s="13" t="s">
        <v>111</v>
      </c>
      <c r="B8" s="32">
        <f>B27</f>
        <v>847500</v>
      </c>
      <c r="C8" s="33">
        <f>C27</f>
        <v>1585000</v>
      </c>
      <c r="E8" s="31" t="s">
        <v>112</v>
      </c>
      <c r="F8" s="13"/>
      <c r="H8" s="7" t="b">
        <f>$E$8="Sponsor-Controlled"</f>
        <v>1</v>
      </c>
    </row>
    <row r="9" spans="1:10" ht="15.75" thickBot="1" x14ac:dyDescent="0.3">
      <c r="A9" s="13" t="s">
        <v>113</v>
      </c>
      <c r="B9" s="34">
        <f>B41+B50+B59</f>
        <v>1880000</v>
      </c>
      <c r="C9" s="35">
        <f>C41+C50+C59</f>
        <v>4160000</v>
      </c>
      <c r="E9" s="13"/>
      <c r="F9" s="13"/>
      <c r="H9" s="7" t="b">
        <f>$E$8="Outside-Market Benchmark"</f>
        <v>0</v>
      </c>
    </row>
    <row r="10" spans="1:10" x14ac:dyDescent="0.25">
      <c r="A10" s="7" t="s">
        <v>114</v>
      </c>
      <c r="B10" s="7">
        <f>IF($C$6="Low",IF($E$8="Sponsor-Controlled",B8,B9),"")</f>
        <v>847500</v>
      </c>
      <c r="C10" s="7" t="str">
        <f>IF($C$6="High",IF($E$8="Sponsor-Controlled",C8,C9),"")</f>
        <v/>
      </c>
      <c r="E10" s="7"/>
      <c r="F10" s="7"/>
      <c r="G10" s="7">
        <f>IF($C$6="Low",B10,C10)</f>
        <v>847500</v>
      </c>
      <c r="H10" s="5"/>
      <c r="I10" s="5"/>
      <c r="J10" s="5"/>
    </row>
    <row r="11" spans="1:10" x14ac:dyDescent="0.25">
      <c r="A11" s="13"/>
      <c r="B11" s="13"/>
      <c r="C11" s="13"/>
      <c r="D11" s="15"/>
      <c r="E11" s="15"/>
      <c r="F11" s="15"/>
    </row>
    <row r="12" spans="1:10" x14ac:dyDescent="0.25">
      <c r="A12" s="6" t="s">
        <v>115</v>
      </c>
      <c r="B12" s="14" t="s">
        <v>116</v>
      </c>
      <c r="C12" s="14" t="s">
        <v>117</v>
      </c>
      <c r="D12" s="15"/>
      <c r="E12" s="15"/>
      <c r="F12" s="15"/>
    </row>
    <row r="13" spans="1:10" x14ac:dyDescent="0.25">
      <c r="B13" s="13"/>
      <c r="C13" s="13"/>
    </row>
    <row r="14" spans="1:10" x14ac:dyDescent="0.25">
      <c r="A14" s="6" t="s">
        <v>118</v>
      </c>
      <c r="B14" s="13">
        <f>$G$10/5000</f>
        <v>169.5</v>
      </c>
      <c r="C14" s="13"/>
    </row>
    <row r="15" spans="1:10" x14ac:dyDescent="0.25">
      <c r="A15" s="6" t="s">
        <v>119</v>
      </c>
      <c r="B15" s="13">
        <f>$G$10/6000</f>
        <v>141.25</v>
      </c>
      <c r="C15" s="13"/>
    </row>
    <row r="16" spans="1:10" x14ac:dyDescent="0.25">
      <c r="B16" s="13"/>
      <c r="C16" s="13"/>
    </row>
    <row r="17" spans="1:3" x14ac:dyDescent="0.25">
      <c r="A17" s="12" t="s">
        <v>120</v>
      </c>
      <c r="B17" s="12" t="s">
        <v>108</v>
      </c>
      <c r="C17" s="12" t="s">
        <v>121</v>
      </c>
    </row>
    <row r="18" spans="1:3" x14ac:dyDescent="0.25">
      <c r="A18" s="5" t="s">
        <v>273</v>
      </c>
      <c r="B18" s="13">
        <f>SponsorPropertyPayment</f>
        <v>100000</v>
      </c>
      <c r="C18" s="13">
        <f>SponsorPropertyPayment</f>
        <v>100000</v>
      </c>
    </row>
    <row r="19" spans="1:3" x14ac:dyDescent="0.25">
      <c r="A19" s="6" t="s">
        <v>122</v>
      </c>
      <c r="B19" s="13">
        <v>75000</v>
      </c>
      <c r="C19" s="13">
        <v>175000</v>
      </c>
    </row>
    <row r="20" spans="1:3" x14ac:dyDescent="0.25">
      <c r="A20" s="6" t="s">
        <v>277</v>
      </c>
      <c r="B20" s="13">
        <v>40000</v>
      </c>
      <c r="C20" s="13">
        <v>100000</v>
      </c>
    </row>
    <row r="21" spans="1:3" x14ac:dyDescent="0.25">
      <c r="A21" s="6" t="s">
        <v>278</v>
      </c>
      <c r="B21" s="13">
        <v>7500</v>
      </c>
      <c r="C21" s="13">
        <v>10000</v>
      </c>
    </row>
    <row r="22" spans="1:3" x14ac:dyDescent="0.25">
      <c r="A22" s="6" t="s">
        <v>123</v>
      </c>
      <c r="B22" s="13">
        <v>390000</v>
      </c>
      <c r="C22" s="13">
        <v>610000</v>
      </c>
    </row>
    <row r="23" spans="1:3" x14ac:dyDescent="0.25">
      <c r="A23" s="6" t="s">
        <v>124</v>
      </c>
      <c r="B23" s="13">
        <v>55000</v>
      </c>
      <c r="C23" s="13">
        <v>110000</v>
      </c>
    </row>
    <row r="24" spans="1:3" x14ac:dyDescent="0.25">
      <c r="A24" s="6" t="s">
        <v>125</v>
      </c>
      <c r="B24" s="13">
        <v>90000</v>
      </c>
      <c r="C24" s="13">
        <v>225000</v>
      </c>
    </row>
    <row r="25" spans="1:3" x14ac:dyDescent="0.25">
      <c r="A25" s="6" t="s">
        <v>126</v>
      </c>
      <c r="B25" s="13">
        <v>30000</v>
      </c>
      <c r="C25" s="13">
        <v>100000</v>
      </c>
    </row>
    <row r="26" spans="1:3" ht="15.75" thickBot="1" x14ac:dyDescent="0.3">
      <c r="A26" s="6" t="s">
        <v>127</v>
      </c>
      <c r="B26" s="37">
        <v>60000</v>
      </c>
      <c r="C26" s="37">
        <v>155000</v>
      </c>
    </row>
    <row r="27" spans="1:3" x14ac:dyDescent="0.25">
      <c r="A27" s="8" t="s">
        <v>128</v>
      </c>
      <c r="B27" s="7">
        <f>SUM(B18:B26)</f>
        <v>847500</v>
      </c>
      <c r="C27" s="7">
        <f>SUM(C18:C26)</f>
        <v>1585000</v>
      </c>
    </row>
    <row r="28" spans="1:3" x14ac:dyDescent="0.25">
      <c r="A28" s="13" t="s">
        <v>129</v>
      </c>
      <c r="B28" s="11" t="s">
        <v>130</v>
      </c>
      <c r="C28" s="11"/>
    </row>
    <row r="29" spans="1:3" x14ac:dyDescent="0.25">
      <c r="A29" s="13" t="s">
        <v>131</v>
      </c>
      <c r="B29" s="13">
        <f>SelectedProjectCost</f>
        <v>847500</v>
      </c>
      <c r="C29" s="13"/>
    </row>
    <row r="30" spans="1:3" x14ac:dyDescent="0.25">
      <c r="A30" s="13" t="s">
        <v>132</v>
      </c>
      <c r="B30" s="13">
        <f>ClassACapital+ClassBCapital</f>
        <v>847500</v>
      </c>
      <c r="C30" s="13"/>
    </row>
    <row r="31" spans="1:3" x14ac:dyDescent="0.25">
      <c r="A31" s="13" t="s">
        <v>133</v>
      </c>
      <c r="B31" s="13">
        <f>MAX(0,B29-B30)</f>
        <v>0</v>
      </c>
      <c r="C31" s="13"/>
    </row>
    <row r="32" spans="1:3" x14ac:dyDescent="0.25">
      <c r="A32" s="13"/>
      <c r="B32" s="13"/>
      <c r="C32" s="13"/>
    </row>
    <row r="33" spans="1:3" x14ac:dyDescent="0.25">
      <c r="A33" s="12" t="s">
        <v>134</v>
      </c>
      <c r="B33" s="12" t="s">
        <v>108</v>
      </c>
      <c r="C33" s="12" t="s">
        <v>121</v>
      </c>
    </row>
    <row r="34" spans="1:3" x14ac:dyDescent="0.25">
      <c r="A34" s="10" t="s">
        <v>135</v>
      </c>
      <c r="B34" s="10">
        <v>35000</v>
      </c>
      <c r="C34" s="10">
        <v>90000</v>
      </c>
    </row>
    <row r="35" spans="1:3" x14ac:dyDescent="0.25">
      <c r="A35" s="10" t="s">
        <v>136</v>
      </c>
      <c r="B35" s="10">
        <v>20000</v>
      </c>
      <c r="C35" s="10">
        <v>60000</v>
      </c>
    </row>
    <row r="36" spans="1:3" x14ac:dyDescent="0.25">
      <c r="A36" s="10" t="s">
        <v>137</v>
      </c>
      <c r="B36" s="10">
        <v>20000</v>
      </c>
      <c r="C36" s="10">
        <v>90000</v>
      </c>
    </row>
    <row r="37" spans="1:3" x14ac:dyDescent="0.25">
      <c r="A37" s="10" t="s">
        <v>138</v>
      </c>
      <c r="B37" s="10">
        <v>10000</v>
      </c>
      <c r="C37" s="10">
        <v>30000</v>
      </c>
    </row>
    <row r="38" spans="1:3" x14ac:dyDescent="0.25">
      <c r="A38" s="10" t="s">
        <v>139</v>
      </c>
      <c r="B38" s="10">
        <v>15000</v>
      </c>
      <c r="C38" s="10">
        <v>50000</v>
      </c>
    </row>
    <row r="39" spans="1:3" x14ac:dyDescent="0.25">
      <c r="A39" s="10" t="s">
        <v>140</v>
      </c>
      <c r="B39" s="10">
        <v>15000</v>
      </c>
      <c r="C39" s="10">
        <v>40000</v>
      </c>
    </row>
    <row r="40" spans="1:3" x14ac:dyDescent="0.25">
      <c r="A40" s="10" t="s">
        <v>141</v>
      </c>
      <c r="B40" s="10">
        <v>15000</v>
      </c>
      <c r="C40" s="10">
        <v>45000</v>
      </c>
    </row>
    <row r="41" spans="1:3" x14ac:dyDescent="0.25">
      <c r="A41" s="10" t="s">
        <v>142</v>
      </c>
      <c r="B41" s="10">
        <f>SUM(B34:B40)</f>
        <v>130000</v>
      </c>
      <c r="C41" s="10">
        <f>SUM(C34:C40)</f>
        <v>405000</v>
      </c>
    </row>
    <row r="42" spans="1:3" x14ac:dyDescent="0.25">
      <c r="A42" s="10"/>
      <c r="B42" s="10"/>
      <c r="C42" s="10"/>
    </row>
    <row r="43" spans="1:3" x14ac:dyDescent="0.25">
      <c r="A43" s="10" t="s">
        <v>143</v>
      </c>
      <c r="B43" s="10" t="s">
        <v>108</v>
      </c>
      <c r="C43" s="10" t="s">
        <v>121</v>
      </c>
    </row>
    <row r="44" spans="1:3" x14ac:dyDescent="0.25">
      <c r="A44" s="10" t="s">
        <v>144</v>
      </c>
      <c r="B44" s="10">
        <v>50000</v>
      </c>
      <c r="C44" s="10">
        <v>150000</v>
      </c>
    </row>
    <row r="45" spans="1:3" x14ac:dyDescent="0.25">
      <c r="A45" s="10" t="s">
        <v>145</v>
      </c>
      <c r="B45" s="10">
        <v>40000</v>
      </c>
      <c r="C45" s="10">
        <v>120000</v>
      </c>
    </row>
    <row r="46" spans="1:3" x14ac:dyDescent="0.25">
      <c r="A46" s="10" t="s">
        <v>146</v>
      </c>
      <c r="B46" s="10">
        <v>25000</v>
      </c>
      <c r="C46" s="10">
        <v>75000</v>
      </c>
    </row>
    <row r="47" spans="1:3" x14ac:dyDescent="0.25">
      <c r="A47" s="10" t="s">
        <v>147</v>
      </c>
      <c r="B47" s="10">
        <v>10000</v>
      </c>
      <c r="C47" s="10">
        <v>30000</v>
      </c>
    </row>
    <row r="48" spans="1:3" x14ac:dyDescent="0.25">
      <c r="A48" s="10" t="s">
        <v>148</v>
      </c>
      <c r="B48" s="10">
        <v>20000</v>
      </c>
      <c r="C48" s="10">
        <v>60000</v>
      </c>
    </row>
    <row r="49" spans="1:4" x14ac:dyDescent="0.25">
      <c r="A49" s="10" t="s">
        <v>149</v>
      </c>
      <c r="B49" s="10">
        <v>40000</v>
      </c>
      <c r="C49" s="10">
        <v>125000</v>
      </c>
    </row>
    <row r="50" spans="1:4" x14ac:dyDescent="0.25">
      <c r="A50" s="10" t="s">
        <v>150</v>
      </c>
      <c r="B50" s="10">
        <f>SUM(B44:B49)</f>
        <v>185000</v>
      </c>
      <c r="C50" s="10">
        <f>SUM(C44:C49)</f>
        <v>560000</v>
      </c>
    </row>
    <row r="51" spans="1:4" x14ac:dyDescent="0.25">
      <c r="A51" s="10"/>
      <c r="B51" s="10"/>
      <c r="C51" s="10"/>
    </row>
    <row r="52" spans="1:4" x14ac:dyDescent="0.25">
      <c r="A52" s="10" t="s">
        <v>151</v>
      </c>
      <c r="B52" s="10" t="s">
        <v>108</v>
      </c>
      <c r="C52" s="10" t="s">
        <v>121</v>
      </c>
    </row>
    <row r="53" spans="1:4" x14ac:dyDescent="0.25">
      <c r="A53" s="10" t="s">
        <v>152</v>
      </c>
      <c r="B53" s="10">
        <v>1125000</v>
      </c>
      <c r="C53" s="10">
        <v>1950000</v>
      </c>
    </row>
    <row r="54" spans="1:4" x14ac:dyDescent="0.25">
      <c r="A54" s="10" t="s">
        <v>153</v>
      </c>
      <c r="B54" s="10">
        <v>125000</v>
      </c>
      <c r="C54" s="10">
        <v>350000</v>
      </c>
    </row>
    <row r="55" spans="1:4" x14ac:dyDescent="0.25">
      <c r="A55" s="10" t="s">
        <v>154</v>
      </c>
      <c r="B55" s="10">
        <v>35000</v>
      </c>
      <c r="C55" s="10">
        <v>125000</v>
      </c>
    </row>
    <row r="56" spans="1:4" x14ac:dyDescent="0.25">
      <c r="A56" s="10" t="s">
        <v>155</v>
      </c>
      <c r="B56" s="10">
        <v>75000</v>
      </c>
      <c r="C56" s="10">
        <v>300000</v>
      </c>
    </row>
    <row r="57" spans="1:4" x14ac:dyDescent="0.25">
      <c r="A57" s="10" t="s">
        <v>126</v>
      </c>
      <c r="B57" s="10">
        <v>60000</v>
      </c>
      <c r="C57" s="10">
        <v>180000</v>
      </c>
    </row>
    <row r="58" spans="1:4" x14ac:dyDescent="0.25">
      <c r="A58" s="10" t="s">
        <v>156</v>
      </c>
      <c r="B58" s="10">
        <v>145000</v>
      </c>
      <c r="C58" s="10">
        <v>290000</v>
      </c>
    </row>
    <row r="59" spans="1:4" x14ac:dyDescent="0.25">
      <c r="A59" s="10" t="s">
        <v>157</v>
      </c>
      <c r="B59" s="10">
        <f>SUM(B53:B58)</f>
        <v>1565000</v>
      </c>
      <c r="C59" s="10">
        <f>SUM(C53:C58)</f>
        <v>3195000</v>
      </c>
    </row>
    <row r="61" spans="1:4" x14ac:dyDescent="0.25">
      <c r="A61" s="12" t="s">
        <v>158</v>
      </c>
    </row>
    <row r="62" spans="1:4" x14ac:dyDescent="0.25">
      <c r="A62" s="6" t="s">
        <v>159</v>
      </c>
      <c r="B62" s="113" t="s">
        <v>160</v>
      </c>
      <c r="C62" s="113"/>
      <c r="D62" s="113"/>
    </row>
    <row r="65" spans="1:7" x14ac:dyDescent="0.25">
      <c r="A65" s="12" t="s">
        <v>161</v>
      </c>
    </row>
    <row r="66" spans="1:7" x14ac:dyDescent="0.25">
      <c r="A66" s="6" t="s">
        <v>162</v>
      </c>
      <c r="B66" s="6" t="s">
        <v>163</v>
      </c>
      <c r="C66" s="113" t="s">
        <v>164</v>
      </c>
      <c r="D66" s="113"/>
      <c r="E66" s="113"/>
      <c r="F66" s="113"/>
      <c r="G66" s="113"/>
    </row>
    <row r="67" spans="1:7" x14ac:dyDescent="0.25">
      <c r="A67" s="6" t="s">
        <v>165</v>
      </c>
      <c r="B67" s="6" t="s">
        <v>163</v>
      </c>
      <c r="C67" s="113" t="s">
        <v>164</v>
      </c>
      <c r="D67" s="113"/>
      <c r="E67" s="113"/>
      <c r="F67" s="113"/>
      <c r="G67" s="113"/>
    </row>
    <row r="68" spans="1:7" x14ac:dyDescent="0.25">
      <c r="A68" s="6" t="s">
        <v>166</v>
      </c>
      <c r="B68" s="6" t="s">
        <v>163</v>
      </c>
      <c r="C68" s="113" t="s">
        <v>164</v>
      </c>
      <c r="D68" s="113"/>
      <c r="E68" s="113"/>
      <c r="F68" s="113"/>
      <c r="G68" s="113"/>
    </row>
    <row r="69" spans="1:7" x14ac:dyDescent="0.25">
      <c r="A69" s="6" t="s">
        <v>167</v>
      </c>
      <c r="B69" s="6" t="s">
        <v>163</v>
      </c>
      <c r="C69" s="113" t="s">
        <v>164</v>
      </c>
      <c r="D69" s="113"/>
      <c r="E69" s="113"/>
      <c r="F69" s="113"/>
      <c r="G69" s="113"/>
    </row>
    <row r="70" spans="1:7" x14ac:dyDescent="0.25">
      <c r="A70" s="6" t="s">
        <v>168</v>
      </c>
      <c r="B70" s="6" t="s">
        <v>169</v>
      </c>
      <c r="C70" s="113" t="s">
        <v>170</v>
      </c>
      <c r="D70" s="113"/>
      <c r="E70" s="113"/>
      <c r="F70" s="113"/>
      <c r="G70" s="113"/>
    </row>
    <row r="71" spans="1:7" x14ac:dyDescent="0.25">
      <c r="A71" s="6" t="s">
        <v>171</v>
      </c>
      <c r="B71" s="6" t="s">
        <v>163</v>
      </c>
      <c r="C71" s="113" t="s">
        <v>172</v>
      </c>
      <c r="D71" s="113"/>
      <c r="E71" s="113"/>
      <c r="F71" s="113"/>
      <c r="G71" s="113"/>
    </row>
    <row r="72" spans="1:7" x14ac:dyDescent="0.25">
      <c r="A72" s="6" t="s">
        <v>173</v>
      </c>
      <c r="B72" s="6" t="s">
        <v>163</v>
      </c>
      <c r="C72" s="113" t="s">
        <v>174</v>
      </c>
      <c r="D72" s="113"/>
      <c r="E72" s="113"/>
      <c r="F72" s="113"/>
      <c r="G72" s="113"/>
    </row>
    <row r="73" spans="1:7" x14ac:dyDescent="0.25">
      <c r="A73" s="6" t="s">
        <v>175</v>
      </c>
      <c r="B73" s="6" t="s">
        <v>163</v>
      </c>
      <c r="C73" s="113" t="s">
        <v>176</v>
      </c>
      <c r="D73" s="113"/>
      <c r="E73" s="113"/>
      <c r="F73" s="113"/>
      <c r="G73" s="113"/>
    </row>
    <row r="75" spans="1:7" x14ac:dyDescent="0.25">
      <c r="A75" s="5" t="s">
        <v>177</v>
      </c>
    </row>
    <row r="76" spans="1:7" x14ac:dyDescent="0.25">
      <c r="A76" s="6" t="s">
        <v>178</v>
      </c>
      <c r="B76" s="6" t="s">
        <v>163</v>
      </c>
      <c r="C76" s="113" t="s">
        <v>179</v>
      </c>
      <c r="D76" s="113"/>
      <c r="E76" s="113"/>
      <c r="F76" s="113"/>
      <c r="G76" s="113"/>
    </row>
    <row r="77" spans="1:7" x14ac:dyDescent="0.25">
      <c r="A77" s="6" t="s">
        <v>180</v>
      </c>
      <c r="B77" s="6" t="s">
        <v>169</v>
      </c>
    </row>
    <row r="78" spans="1:7" x14ac:dyDescent="0.25">
      <c r="A78" s="6" t="s">
        <v>181</v>
      </c>
      <c r="B78" s="6" t="s">
        <v>169</v>
      </c>
    </row>
    <row r="79" spans="1:7" x14ac:dyDescent="0.25">
      <c r="A79" s="6" t="s">
        <v>182</v>
      </c>
      <c r="B79" s="6" t="s">
        <v>169</v>
      </c>
    </row>
    <row r="80" spans="1:7" x14ac:dyDescent="0.25">
      <c r="A80" s="6" t="s">
        <v>183</v>
      </c>
      <c r="B80" s="6" t="s">
        <v>169</v>
      </c>
    </row>
    <row r="81" spans="1:7" x14ac:dyDescent="0.25">
      <c r="A81" s="6" t="s">
        <v>184</v>
      </c>
      <c r="B81" s="6" t="s">
        <v>163</v>
      </c>
      <c r="C81" s="113" t="s">
        <v>185</v>
      </c>
      <c r="D81" s="113"/>
      <c r="E81" s="113"/>
      <c r="F81" s="113"/>
      <c r="G81" s="113"/>
    </row>
  </sheetData>
  <mergeCells count="15">
    <mergeCell ref="C5:F5"/>
    <mergeCell ref="C81:G81"/>
    <mergeCell ref="B2:D2"/>
    <mergeCell ref="B62:D62"/>
    <mergeCell ref="C76:G76"/>
    <mergeCell ref="C66:G66"/>
    <mergeCell ref="C67:G67"/>
    <mergeCell ref="C68:G68"/>
    <mergeCell ref="C69:G69"/>
    <mergeCell ref="C70:G70"/>
    <mergeCell ref="C71:G71"/>
    <mergeCell ref="C72:G72"/>
    <mergeCell ref="C73:G73"/>
    <mergeCell ref="B3:I3"/>
    <mergeCell ref="C4:F4"/>
  </mergeCells>
  <conditionalFormatting sqref="B8:C9">
    <cfRule type="expression" dxfId="0" priority="4">
      <formula>AND(G$7,$H8)</formula>
    </cfRule>
  </conditionalFormatting>
  <dataValidations count="2">
    <dataValidation type="list" allowBlank="1" showInputMessage="1" showErrorMessage="1" sqref="C6" xr:uid="{F2EFADDC-137B-4384-97BE-5AFFC5C45AA5}">
      <formula1>"Low,High"</formula1>
    </dataValidation>
    <dataValidation type="list" allowBlank="1" showInputMessage="1" showErrorMessage="1" sqref="E8" xr:uid="{FBAD43CC-91F5-43EF-8158-03167006C414}">
      <formula1>"Sponsor-Controlled,Outside-Market Benchmark"</formula1>
    </dataValidation>
  </dataValidations>
  <pageMargins left="0.7" right="0.7" top="0.75" bottom="0.75" header="0.3" footer="0.3"/>
  <pageSetup orientation="portrait" horizontalDpi="4800" verticalDpi="480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0DC-AF86-4C8A-8753-A4D0D2D3B5B0}">
  <dimension ref="A1:I36"/>
  <sheetViews>
    <sheetView topLeftCell="A4" workbookViewId="0">
      <selection activeCell="B20" sqref="B20"/>
    </sheetView>
  </sheetViews>
  <sheetFormatPr defaultRowHeight="15" x14ac:dyDescent="0.25"/>
  <cols>
    <col min="1" max="1" width="39.28515625" bestFit="1" customWidth="1"/>
    <col min="2" max="2" width="15" bestFit="1" customWidth="1"/>
    <col min="3" max="3" width="73.42578125" bestFit="1" customWidth="1"/>
  </cols>
  <sheetData>
    <row r="1" spans="1:9" x14ac:dyDescent="0.25">
      <c r="A1" s="5" t="s">
        <v>186</v>
      </c>
      <c r="B1" s="5"/>
      <c r="C1" s="5"/>
    </row>
    <row r="3" spans="1:9" x14ac:dyDescent="0.25">
      <c r="A3" s="5" t="s">
        <v>187</v>
      </c>
      <c r="B3" s="5"/>
      <c r="C3" s="5"/>
    </row>
    <row r="4" spans="1:9" x14ac:dyDescent="0.25">
      <c r="A4" t="s">
        <v>188</v>
      </c>
      <c r="C4" t="s">
        <v>189</v>
      </c>
      <c r="I4" t="b">
        <v>1</v>
      </c>
    </row>
    <row r="5" spans="1:9" x14ac:dyDescent="0.25">
      <c r="A5" t="s">
        <v>190</v>
      </c>
      <c r="B5" s="1">
        <v>0.4</v>
      </c>
      <c r="C5" t="s">
        <v>191</v>
      </c>
    </row>
    <row r="6" spans="1:9" ht="15.75" thickBot="1" x14ac:dyDescent="0.3">
      <c r="A6" t="s">
        <v>192</v>
      </c>
      <c r="B6" s="1">
        <f>IFERROR(B36/B10,0)</f>
        <v>0.46912485065710868</v>
      </c>
      <c r="C6" t="s">
        <v>193</v>
      </c>
    </row>
    <row r="7" spans="1:9" ht="15.75" thickBot="1" x14ac:dyDescent="0.3">
      <c r="A7" s="16" t="s">
        <v>18</v>
      </c>
      <c r="B7" s="17">
        <f>IF(I4,B6,B5)</f>
        <v>0.46912485065710868</v>
      </c>
      <c r="C7" t="s">
        <v>194</v>
      </c>
    </row>
    <row r="9" spans="1:9" x14ac:dyDescent="0.25">
      <c r="A9" s="5" t="s">
        <v>195</v>
      </c>
      <c r="B9" s="5"/>
      <c r="C9" s="5"/>
    </row>
    <row r="10" spans="1:9" x14ac:dyDescent="0.25">
      <c r="A10" t="s">
        <v>196</v>
      </c>
      <c r="B10" s="2">
        <f>StabilizedMonthlyGrossRent*12*StabilizedOccupancy</f>
        <v>133920</v>
      </c>
      <c r="C10" t="s">
        <v>197</v>
      </c>
    </row>
    <row r="11" spans="1:9" x14ac:dyDescent="0.25">
      <c r="B11" s="2"/>
    </row>
    <row r="12" spans="1:9" x14ac:dyDescent="0.25">
      <c r="A12" s="5" t="s">
        <v>198</v>
      </c>
      <c r="B12" s="7" t="s">
        <v>199</v>
      </c>
      <c r="C12" s="5" t="s">
        <v>200</v>
      </c>
    </row>
    <row r="13" spans="1:9" x14ac:dyDescent="0.25">
      <c r="A13" t="s">
        <v>201</v>
      </c>
      <c r="B13" s="9">
        <v>7000</v>
      </c>
      <c r="C13" t="s">
        <v>202</v>
      </c>
    </row>
    <row r="14" spans="1:9" x14ac:dyDescent="0.25">
      <c r="A14" t="s">
        <v>279</v>
      </c>
      <c r="B14" s="9">
        <v>4350</v>
      </c>
      <c r="C14" t="s">
        <v>280</v>
      </c>
    </row>
    <row r="15" spans="1:9" x14ac:dyDescent="0.25">
      <c r="A15" t="s">
        <v>203</v>
      </c>
      <c r="B15" s="9">
        <f>D15*B10</f>
        <v>8035.2</v>
      </c>
      <c r="C15" t="s">
        <v>297</v>
      </c>
      <c r="D15" s="19">
        <v>0.06</v>
      </c>
    </row>
    <row r="16" spans="1:9" x14ac:dyDescent="0.25">
      <c r="A16" t="s">
        <v>204</v>
      </c>
      <c r="B16" s="9">
        <f>600*12</f>
        <v>7200</v>
      </c>
      <c r="C16" t="s">
        <v>205</v>
      </c>
    </row>
    <row r="17" spans="1:3" x14ac:dyDescent="0.25">
      <c r="A17" t="s">
        <v>206</v>
      </c>
      <c r="B17" s="9">
        <v>500</v>
      </c>
      <c r="C17" t="s">
        <v>207</v>
      </c>
    </row>
    <row r="18" spans="1:3" x14ac:dyDescent="0.25">
      <c r="A18" t="s">
        <v>208</v>
      </c>
      <c r="B18" s="9">
        <v>2400</v>
      </c>
      <c r="C18" t="s">
        <v>209</v>
      </c>
    </row>
    <row r="19" spans="1:3" x14ac:dyDescent="0.25">
      <c r="A19" t="s">
        <v>210</v>
      </c>
      <c r="B19" s="9">
        <v>1800</v>
      </c>
      <c r="C19" t="s">
        <v>211</v>
      </c>
    </row>
    <row r="20" spans="1:3" x14ac:dyDescent="0.25">
      <c r="A20" t="s">
        <v>313</v>
      </c>
      <c r="B20" s="9">
        <v>9000</v>
      </c>
      <c r="C20" t="s">
        <v>314</v>
      </c>
    </row>
    <row r="21" spans="1:3" x14ac:dyDescent="0.25">
      <c r="A21" t="s">
        <v>212</v>
      </c>
      <c r="B21" s="9">
        <f>200*8</f>
        <v>1600</v>
      </c>
      <c r="C21" t="s">
        <v>213</v>
      </c>
    </row>
    <row r="22" spans="1:3" x14ac:dyDescent="0.25">
      <c r="A22" t="s">
        <v>214</v>
      </c>
      <c r="B22" s="9">
        <f>90*20</f>
        <v>1800</v>
      </c>
      <c r="C22" t="s">
        <v>215</v>
      </c>
    </row>
    <row r="23" spans="1:3" x14ac:dyDescent="0.25">
      <c r="A23" t="s">
        <v>216</v>
      </c>
      <c r="B23" s="9">
        <v>600</v>
      </c>
      <c r="C23" t="s">
        <v>211</v>
      </c>
    </row>
    <row r="24" spans="1:3" x14ac:dyDescent="0.25">
      <c r="A24" t="s">
        <v>217</v>
      </c>
      <c r="B24" s="9">
        <v>1000</v>
      </c>
      <c r="C24" t="s">
        <v>218</v>
      </c>
    </row>
    <row r="25" spans="1:3" x14ac:dyDescent="0.25">
      <c r="A25" t="s">
        <v>219</v>
      </c>
      <c r="B25" s="9">
        <v>4000</v>
      </c>
      <c r="C25" t="s">
        <v>220</v>
      </c>
    </row>
    <row r="26" spans="1:3" x14ac:dyDescent="0.25">
      <c r="A26" t="s">
        <v>221</v>
      </c>
      <c r="B26" s="2">
        <v>0</v>
      </c>
      <c r="C26" t="s">
        <v>222</v>
      </c>
    </row>
    <row r="27" spans="1:3" x14ac:dyDescent="0.25">
      <c r="A27" t="s">
        <v>223</v>
      </c>
      <c r="B27" s="2">
        <f>120*12</f>
        <v>1440</v>
      </c>
      <c r="C27" t="s">
        <v>224</v>
      </c>
    </row>
    <row r="28" spans="1:3" x14ac:dyDescent="0.25">
      <c r="A28" t="s">
        <v>225</v>
      </c>
      <c r="B28" s="2"/>
      <c r="C28" t="s">
        <v>226</v>
      </c>
    </row>
    <row r="29" spans="1:3" x14ac:dyDescent="0.25">
      <c r="A29" t="s">
        <v>227</v>
      </c>
      <c r="B29" s="2">
        <v>1200</v>
      </c>
      <c r="C29" t="s">
        <v>228</v>
      </c>
    </row>
    <row r="30" spans="1:3" x14ac:dyDescent="0.25">
      <c r="A30" t="s">
        <v>229</v>
      </c>
      <c r="B30" s="2"/>
      <c r="C30" t="s">
        <v>230</v>
      </c>
    </row>
    <row r="31" spans="1:3" x14ac:dyDescent="0.25">
      <c r="A31" t="s">
        <v>231</v>
      </c>
      <c r="B31" s="2">
        <v>2400</v>
      </c>
      <c r="C31" t="s">
        <v>232</v>
      </c>
    </row>
    <row r="32" spans="1:3" x14ac:dyDescent="0.25">
      <c r="A32" t="s">
        <v>233</v>
      </c>
      <c r="B32" s="2">
        <v>1200</v>
      </c>
      <c r="C32" t="s">
        <v>234</v>
      </c>
    </row>
    <row r="33" spans="1:3" x14ac:dyDescent="0.25">
      <c r="A33" t="s">
        <v>235</v>
      </c>
      <c r="B33" s="2">
        <v>800</v>
      </c>
      <c r="C33" t="s">
        <v>236</v>
      </c>
    </row>
    <row r="34" spans="1:3" x14ac:dyDescent="0.25">
      <c r="A34" t="s">
        <v>237</v>
      </c>
      <c r="B34" s="2">
        <v>2500</v>
      </c>
      <c r="C34" t="s">
        <v>238</v>
      </c>
    </row>
    <row r="35" spans="1:3" ht="15.75" thickBot="1" x14ac:dyDescent="0.3">
      <c r="A35" s="5" t="s">
        <v>239</v>
      </c>
      <c r="B35" s="37">
        <v>4000</v>
      </c>
      <c r="C35" s="5" t="s">
        <v>240</v>
      </c>
    </row>
    <row r="36" spans="1:3" x14ac:dyDescent="0.25">
      <c r="A36" s="5" t="s">
        <v>241</v>
      </c>
      <c r="B36" s="7">
        <f>SUM(B13:B35)</f>
        <v>62825.2</v>
      </c>
      <c r="C36" s="5" t="s">
        <v>242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2219325</xdr:colOff>
                    <xdr:row>6</xdr:row>
                    <xdr:rowOff>19050</xdr:rowOff>
                  </from>
                  <to>
                    <xdr:col>0</xdr:col>
                    <xdr:colOff>2409825</xdr:colOff>
                    <xdr:row>6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customXml/itemProps2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80</vt:i4>
      </vt:variant>
    </vt:vector>
  </HeadingPairs>
  <TitlesOfParts>
    <vt:vector size="89" baseType="lpstr">
      <vt:lpstr>STR Notes</vt:lpstr>
      <vt:lpstr>STR Scenarios</vt:lpstr>
      <vt:lpstr>Assumptions</vt:lpstr>
      <vt:lpstr>Annual Model</vt:lpstr>
      <vt:lpstr>Waterfall</vt:lpstr>
      <vt:lpstr>Returns</vt:lpstr>
      <vt:lpstr>Notes</vt:lpstr>
      <vt:lpstr>Cost Analysis</vt:lpstr>
      <vt:lpstr>Operating Expense Budget</vt:lpstr>
      <vt:lpstr>AnnualManagementFee</vt:lpstr>
      <vt:lpstr>AssumedOperatingExpenseRatio</vt:lpstr>
      <vt:lpstr>CalculatedOperatingExpenseRatio</vt:lpstr>
      <vt:lpstr>ClassACapital</vt:lpstr>
      <vt:lpstr>ClassAPreferredReturn</vt:lpstr>
      <vt:lpstr>ClassAResidualShare</vt:lpstr>
      <vt:lpstr>ClassBCapital</vt:lpstr>
      <vt:lpstr>ClassBResidualShare</vt:lpstr>
      <vt:lpstr>ClassBReturnPriority</vt:lpstr>
      <vt:lpstr>CoLivingSuiteRent</vt:lpstr>
      <vt:lpstr>CoLivingSuiteRentHigh</vt:lpstr>
      <vt:lpstr>CoLivingSuiteRentLow</vt:lpstr>
      <vt:lpstr>CoLivingSuiteRentMedium</vt:lpstr>
      <vt:lpstr>CoLivingSuites</vt:lpstr>
      <vt:lpstr>ExistingDebtServiceAnnual</vt:lpstr>
      <vt:lpstr>ExistingFirstMortgage</vt:lpstr>
      <vt:lpstr>ExistingFirstMortgageAnnualPayment</vt:lpstr>
      <vt:lpstr>ExistingFirstMortgageMonthlyPI</vt:lpstr>
      <vt:lpstr>ExistingFirstMortgagePrincipal</vt:lpstr>
      <vt:lpstr>ExistingFirstMortgageRate</vt:lpstr>
      <vt:lpstr>ExitCapRate</vt:lpstr>
      <vt:lpstr>LeaseUpOccupancy</vt:lpstr>
      <vt:lpstr>ManagementFeeRate</vt:lpstr>
      <vt:lpstr>NOIGrowth</vt:lpstr>
      <vt:lpstr>OperatingExpenseRatio</vt:lpstr>
      <vt:lpstr>OtherMonthlyIncome</vt:lpstr>
      <vt:lpstr>PermanentLoanAmortizationYears</vt:lpstr>
      <vt:lpstr>PermanentLoanAmount</vt:lpstr>
      <vt:lpstr>PermanentLoanRate</vt:lpstr>
      <vt:lpstr>PremiumSuiteRent</vt:lpstr>
      <vt:lpstr>PremiumSuiteRentHigh</vt:lpstr>
      <vt:lpstr>PremiumSuiteRentLow</vt:lpstr>
      <vt:lpstr>PremiumSuiteRentMedium</vt:lpstr>
      <vt:lpstr>PremiumSuites</vt:lpstr>
      <vt:lpstr>PrivateDebtAnnualInterestPayment</vt:lpstr>
      <vt:lpstr>PrivateDebtInterestRate</vt:lpstr>
      <vt:lpstr>PrivateDebtPrincipal</vt:lpstr>
      <vt:lpstr>ProjectDebtPayoffAtRefi</vt:lpstr>
      <vt:lpstr>RefinanceLoanAmortizationYears</vt:lpstr>
      <vt:lpstr>RefinanceLoanAmount</vt:lpstr>
      <vt:lpstr>RefinanceLoanRate</vt:lpstr>
      <vt:lpstr>RefinanceLoanToValueCap</vt:lpstr>
      <vt:lpstr>RefinanceProceedsAfterDebtAndClassA</vt:lpstr>
      <vt:lpstr>RefinanceProceedsAfterExistingDebt</vt:lpstr>
      <vt:lpstr>RentScenarioAverageMonthlyGross</vt:lpstr>
      <vt:lpstr>RentScenarioHighEffectiveYear</vt:lpstr>
      <vt:lpstr>RentScenarioHighMonthlyGross</vt:lpstr>
      <vt:lpstr>RentScenarioLowEffectiveYear</vt:lpstr>
      <vt:lpstr>RentScenarioLowMonthlyGross</vt:lpstr>
      <vt:lpstr>RentScenarioMediumEffectiveYear</vt:lpstr>
      <vt:lpstr>RentScenarioMediumMonthlyGross</vt:lpstr>
      <vt:lpstr>RepairsMaintenanceReserveTarget</vt:lpstr>
      <vt:lpstr>SaleExitYear</vt:lpstr>
      <vt:lpstr>SelectedAnnualGrossRent</vt:lpstr>
      <vt:lpstr>SelectedCostCase</vt:lpstr>
      <vt:lpstr>SelectedCostCaseId</vt:lpstr>
      <vt:lpstr>SelectedOperatingExpenseRatio</vt:lpstr>
      <vt:lpstr>SelectedOperatingScenario</vt:lpstr>
      <vt:lpstr>SelectedOperatingScenarioId</vt:lpstr>
      <vt:lpstr>SelectedProjectCost</vt:lpstr>
      <vt:lpstr>SelectedProjectCostHigh</vt:lpstr>
      <vt:lpstr>SelectedProjectCostLow</vt:lpstr>
      <vt:lpstr>SelectedScenario</vt:lpstr>
      <vt:lpstr>SelectedScenarioId</vt:lpstr>
      <vt:lpstr>SelectedWaterfallExitOption</vt:lpstr>
      <vt:lpstr>SelectedWaterfallRefiOption</vt:lpstr>
      <vt:lpstr>SellingCosts</vt:lpstr>
      <vt:lpstr>SponsorBasis</vt:lpstr>
      <vt:lpstr>SponsorCapitalInvestment</vt:lpstr>
      <vt:lpstr>SponsorPropertyPayment</vt:lpstr>
      <vt:lpstr>SponsorResidualShare</vt:lpstr>
      <vt:lpstr>StabilizationRefiYear</vt:lpstr>
      <vt:lpstr>StabilizedEffectiveGrossIncome</vt:lpstr>
      <vt:lpstr>StabilizedMonthlyGrossRent</vt:lpstr>
      <vt:lpstr>StabilizedOccupancy</vt:lpstr>
      <vt:lpstr>TotalAnnualOperatingExpenseBudget</vt:lpstr>
      <vt:lpstr>TotalExistingDebt</vt:lpstr>
      <vt:lpstr>UseCalculatedOperatingExpenseRatio</vt:lpstr>
      <vt:lpstr>UseOutsideMarketBenchmark</vt:lpstr>
      <vt:lpstr>UseSponsorControlledCase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 Will Buy Your Home</cp:lastModifiedBy>
  <cp:revision/>
  <dcterms:created xsi:type="dcterms:W3CDTF">2026-05-13T01:12:36Z</dcterms:created>
  <dcterms:modified xsi:type="dcterms:W3CDTF">2026-05-18T20:33:19Z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