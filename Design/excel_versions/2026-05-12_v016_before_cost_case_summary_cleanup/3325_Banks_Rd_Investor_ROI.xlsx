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feisanadventure.sharepoint.com/sites/SellYourHome/Shared Documents/Property/13-BYH - 3325 Banks Rd/Owning/Design/"/>
    </mc:Choice>
  </mc:AlternateContent>
  <xr:revisionPtr revIDLastSave="181" documentId="13_ncr:1_{0C20EBD6-E2BD-404C-B47C-BDA54182D35E}" xr6:coauthVersionLast="47" xr6:coauthVersionMax="47" xr10:uidLastSave="{2D9A33EB-261D-406A-A299-0C77776EDDAE}"/>
  <bookViews>
    <workbookView xWindow="-120" yWindow="-120" windowWidth="38640" windowHeight="15720" activeTab="5" xr2:uid="{00000000-000D-0000-FFFF-FFFF00000000}"/>
  </bookViews>
  <sheets>
    <sheet name="Assumptions" sheetId="1" r:id="rId1"/>
    <sheet name="Annual Model" sheetId="2" r:id="rId2"/>
    <sheet name="Waterfall" sheetId="3" r:id="rId3"/>
    <sheet name="Returns" sheetId="4" r:id="rId4"/>
    <sheet name="Notes" sheetId="5" r:id="rId5"/>
    <sheet name="Cost Analysis" sheetId="6" r:id="rId6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8" i="6" l="1"/>
  <c r="C17" i="6" s="1"/>
  <c r="C20" i="6" s="1"/>
  <c r="B68" i="6"/>
  <c r="B17" i="6" s="1"/>
  <c r="C50" i="6"/>
  <c r="B50" i="6"/>
  <c r="C41" i="6"/>
  <c r="B41" i="6"/>
  <c r="C32" i="6"/>
  <c r="B32" i="6"/>
  <c r="B10" i="6"/>
  <c r="B8" i="6"/>
  <c r="B7" i="6"/>
  <c r="B6" i="4"/>
  <c r="H6" i="4" s="1"/>
  <c r="B4" i="4"/>
  <c r="H4" i="4" s="1"/>
  <c r="F4" i="3"/>
  <c r="C4" i="3"/>
  <c r="K14" i="2"/>
  <c r="I14" i="2"/>
  <c r="G14" i="2"/>
  <c r="K13" i="2"/>
  <c r="I13" i="2"/>
  <c r="G13" i="2"/>
  <c r="K12" i="2"/>
  <c r="I12" i="2"/>
  <c r="G12" i="2"/>
  <c r="K11" i="2"/>
  <c r="I11" i="2"/>
  <c r="G11" i="2"/>
  <c r="K10" i="2"/>
  <c r="I10" i="2"/>
  <c r="G10" i="2"/>
  <c r="K9" i="2"/>
  <c r="I9" i="2"/>
  <c r="G9" i="2"/>
  <c r="K8" i="2"/>
  <c r="G8" i="2"/>
  <c r="K7" i="2"/>
  <c r="I7" i="2"/>
  <c r="G7" i="2"/>
  <c r="K6" i="2"/>
  <c r="G6" i="2"/>
  <c r="L5" i="2"/>
  <c r="K5" i="2"/>
  <c r="I5" i="2"/>
  <c r="G5" i="2"/>
  <c r="L4" i="2"/>
  <c r="K4" i="2"/>
  <c r="I4" i="2"/>
  <c r="G4" i="2"/>
  <c r="D4" i="2"/>
  <c r="E4" i="2" s="1"/>
  <c r="F4" i="2" s="1"/>
  <c r="C4" i="2"/>
  <c r="B33" i="1"/>
  <c r="B17" i="1"/>
  <c r="C11" i="2" s="1"/>
  <c r="D11" i="2" s="1"/>
  <c r="B30" i="1" l="1"/>
  <c r="B9" i="6" s="1"/>
  <c r="B11" i="6" s="1"/>
  <c r="B20" i="6"/>
  <c r="H4" i="2"/>
  <c r="J4" i="2" s="1"/>
  <c r="B4" i="3" s="1"/>
  <c r="C9" i="2"/>
  <c r="D9" i="2" s="1"/>
  <c r="E9" i="2" s="1"/>
  <c r="F9" i="2" s="1"/>
  <c r="C5" i="2"/>
  <c r="D5" i="2" s="1"/>
  <c r="E5" i="2" s="1"/>
  <c r="F5" i="2" s="1"/>
  <c r="H5" i="2" s="1"/>
  <c r="J5" i="2" s="1"/>
  <c r="B5" i="3" s="1"/>
  <c r="C13" i="2"/>
  <c r="D13" i="2" s="1"/>
  <c r="E13" i="2" s="1"/>
  <c r="F13" i="2" s="1"/>
  <c r="E11" i="2"/>
  <c r="F11" i="2" s="1"/>
  <c r="C8" i="2"/>
  <c r="D8" i="2" s="1"/>
  <c r="C12" i="2"/>
  <c r="D12" i="2" s="1"/>
  <c r="D4" i="3"/>
  <c r="C6" i="2"/>
  <c r="D6" i="2" s="1"/>
  <c r="C14" i="2"/>
  <c r="D14" i="2" s="1"/>
  <c r="C7" i="2"/>
  <c r="D7" i="2" s="1"/>
  <c r="C10" i="2"/>
  <c r="D10" i="2" s="1"/>
  <c r="K4" i="3" l="1"/>
  <c r="B5" i="4"/>
  <c r="H5" i="4" s="1"/>
  <c r="H13" i="2"/>
  <c r="J13" i="2" s="1"/>
  <c r="B13" i="3" s="1"/>
  <c r="L13" i="2"/>
  <c r="L11" i="2"/>
  <c r="H11" i="2"/>
  <c r="J11" i="2" s="1"/>
  <c r="B11" i="3" s="1"/>
  <c r="E10" i="2"/>
  <c r="F10" i="2" s="1"/>
  <c r="E14" i="2"/>
  <c r="F14" i="2" s="1"/>
  <c r="E12" i="2"/>
  <c r="F12" i="2" s="1"/>
  <c r="E7" i="2"/>
  <c r="F7" i="2" s="1"/>
  <c r="E6" i="2"/>
  <c r="F6" i="2" s="1"/>
  <c r="E8" i="2"/>
  <c r="F8" i="2" s="1"/>
  <c r="H9" i="2"/>
  <c r="J9" i="2" s="1"/>
  <c r="B9" i="3" s="1"/>
  <c r="L9" i="2"/>
  <c r="E4" i="3"/>
  <c r="H4" i="3" s="1"/>
  <c r="C5" i="3" s="1"/>
  <c r="C21" i="6"/>
  <c r="C22" i="6" s="1"/>
  <c r="B21" i="6"/>
  <c r="B22" i="6" s="1"/>
  <c r="L10" i="2" l="1"/>
  <c r="H10" i="2"/>
  <c r="J10" i="2" s="1"/>
  <c r="B10" i="3" s="1"/>
  <c r="L7" i="2"/>
  <c r="H7" i="2"/>
  <c r="J7" i="2" s="1"/>
  <c r="B7" i="3" s="1"/>
  <c r="H6" i="2"/>
  <c r="L6" i="2"/>
  <c r="B20" i="1" s="1"/>
  <c r="G4" i="3"/>
  <c r="I4" i="3" s="1"/>
  <c r="F5" i="3" s="1"/>
  <c r="H12" i="2"/>
  <c r="J12" i="2" s="1"/>
  <c r="B12" i="3" s="1"/>
  <c r="L12" i="2"/>
  <c r="H8" i="2"/>
  <c r="L8" i="2"/>
  <c r="I8" i="2" s="1"/>
  <c r="L14" i="2"/>
  <c r="H14" i="2"/>
  <c r="J14" i="2" s="1"/>
  <c r="B14" i="3" s="1"/>
  <c r="I6" i="2" l="1"/>
  <c r="J6" i="2" s="1"/>
  <c r="B6" i="3" s="1"/>
  <c r="B6" i="6"/>
  <c r="J8" i="2"/>
  <c r="B8" i="3" s="1"/>
  <c r="D5" i="3"/>
  <c r="J4" i="3"/>
  <c r="P4" i="3"/>
  <c r="L4" i="3" l="1"/>
  <c r="E5" i="3"/>
  <c r="H5" i="3" s="1"/>
  <c r="C6" i="3" s="1"/>
  <c r="G5" i="3" l="1"/>
  <c r="I5" i="3" s="1"/>
  <c r="F6" i="3" s="1"/>
  <c r="M4" i="3"/>
  <c r="K5" i="3" s="1"/>
  <c r="O4" i="3"/>
  <c r="R4" i="3" s="1"/>
  <c r="N4" i="3"/>
  <c r="Q4" i="3" s="1"/>
  <c r="D6" i="3" l="1"/>
  <c r="J5" i="3"/>
  <c r="P5" i="3"/>
  <c r="L5" i="3" l="1"/>
  <c r="I4" i="4"/>
  <c r="E6" i="3"/>
  <c r="G6" i="3" l="1"/>
  <c r="I6" i="3" s="1"/>
  <c r="F7" i="3" s="1"/>
  <c r="H6" i="3"/>
  <c r="C7" i="3" s="1"/>
  <c r="M5" i="3"/>
  <c r="K6" i="3" s="1"/>
  <c r="O5" i="3"/>
  <c r="R5" i="3" s="1"/>
  <c r="N5" i="3"/>
  <c r="Q5" i="3" s="1"/>
  <c r="D7" i="3" l="1"/>
  <c r="E7" i="3" s="1"/>
  <c r="I6" i="4"/>
  <c r="J6" i="3"/>
  <c r="I5" i="4"/>
  <c r="P6" i="3"/>
  <c r="G7" i="3" l="1"/>
  <c r="I7" i="3" s="1"/>
  <c r="F8" i="3" s="1"/>
  <c r="H7" i="3"/>
  <c r="C8" i="3" s="1"/>
  <c r="L6" i="3"/>
  <c r="N6" i="3" s="1"/>
  <c r="J4" i="4"/>
  <c r="J7" i="3" l="1"/>
  <c r="Q6" i="3"/>
  <c r="M6" i="3"/>
  <c r="K7" i="3" s="1"/>
  <c r="O6" i="3"/>
  <c r="R6" i="3" s="1"/>
  <c r="D8" i="3"/>
  <c r="E8" i="3" s="1"/>
  <c r="P7" i="3"/>
  <c r="G8" i="3" l="1"/>
  <c r="I8" i="3" s="1"/>
  <c r="F9" i="3" s="1"/>
  <c r="J6" i="4"/>
  <c r="J5" i="4"/>
  <c r="L7" i="3"/>
  <c r="O7" i="3" s="1"/>
  <c r="R7" i="3" s="1"/>
  <c r="H8" i="3"/>
  <c r="C9" i="3" s="1"/>
  <c r="K4" i="4"/>
  <c r="J8" i="3" l="1"/>
  <c r="M7" i="3"/>
  <c r="K8" i="3" s="1"/>
  <c r="K6" i="4"/>
  <c r="D9" i="3"/>
  <c r="E9" i="3" s="1"/>
  <c r="N7" i="3"/>
  <c r="Q7" i="3" s="1"/>
  <c r="P8" i="3"/>
  <c r="L4" i="4" s="1"/>
  <c r="L8" i="3" l="1"/>
  <c r="M8" i="3" s="1"/>
  <c r="K9" i="3" s="1"/>
  <c r="K5" i="4"/>
  <c r="G9" i="3"/>
  <c r="I9" i="3" s="1"/>
  <c r="F10" i="3" s="1"/>
  <c r="H9" i="3"/>
  <c r="C10" i="3" s="1"/>
  <c r="N8" i="3" l="1"/>
  <c r="Q8" i="3" s="1"/>
  <c r="L5" i="4" s="1"/>
  <c r="O8" i="3"/>
  <c r="R8" i="3" s="1"/>
  <c r="L6" i="4" s="1"/>
  <c r="D10" i="3"/>
  <c r="E10" i="3" s="1"/>
  <c r="J9" i="3"/>
  <c r="P9" i="3"/>
  <c r="M4" i="4" s="1"/>
  <c r="G10" i="3" l="1"/>
  <c r="I10" i="3" s="1"/>
  <c r="F11" i="3" s="1"/>
  <c r="L9" i="3"/>
  <c r="N9" i="3" s="1"/>
  <c r="H10" i="3"/>
  <c r="C11" i="3" s="1"/>
  <c r="O9" i="3" l="1"/>
  <c r="R9" i="3" s="1"/>
  <c r="M6" i="4" s="1"/>
  <c r="Q9" i="3"/>
  <c r="M5" i="4" s="1"/>
  <c r="M9" i="3"/>
  <c r="K10" i="3" s="1"/>
  <c r="D11" i="3"/>
  <c r="J10" i="3"/>
  <c r="P10" i="3"/>
  <c r="N4" i="4" s="1"/>
  <c r="L10" i="3" l="1"/>
  <c r="O10" i="3" s="1"/>
  <c r="R10" i="3" s="1"/>
  <c r="N6" i="4" s="1"/>
  <c r="E11" i="3"/>
  <c r="N10" i="3" l="1"/>
  <c r="Q10" i="3" s="1"/>
  <c r="N5" i="4" s="1"/>
  <c r="G11" i="3"/>
  <c r="I11" i="3" s="1"/>
  <c r="F12" i="3" s="1"/>
  <c r="M10" i="3"/>
  <c r="K11" i="3" s="1"/>
  <c r="H11" i="3"/>
  <c r="C12" i="3" s="1"/>
  <c r="J11" i="3" l="1"/>
  <c r="D12" i="3"/>
  <c r="E12" i="3" s="1"/>
  <c r="P11" i="3"/>
  <c r="O4" i="4" s="1"/>
  <c r="G12" i="3" l="1"/>
  <c r="I12" i="3" s="1"/>
  <c r="F13" i="3" s="1"/>
  <c r="L11" i="3"/>
  <c r="N11" i="3" s="1"/>
  <c r="H12" i="3"/>
  <c r="C13" i="3" s="1"/>
  <c r="O11" i="3" l="1"/>
  <c r="R11" i="3" s="1"/>
  <c r="O6" i="4" s="1"/>
  <c r="Q11" i="3"/>
  <c r="O5" i="4" s="1"/>
  <c r="M11" i="3"/>
  <c r="K12" i="3" s="1"/>
  <c r="D13" i="3"/>
  <c r="J12" i="3"/>
  <c r="P12" i="3"/>
  <c r="P4" i="4" s="1"/>
  <c r="L12" i="3" l="1"/>
  <c r="M12" i="3" s="1"/>
  <c r="K13" i="3" s="1"/>
  <c r="E13" i="3"/>
  <c r="G13" i="3" l="1"/>
  <c r="I13" i="3" s="1"/>
  <c r="F14" i="3" s="1"/>
  <c r="N12" i="3"/>
  <c r="Q12" i="3" s="1"/>
  <c r="P5" i="4" s="1"/>
  <c r="O12" i="3"/>
  <c r="R12" i="3" s="1"/>
  <c r="P6" i="4" s="1"/>
  <c r="H13" i="3"/>
  <c r="C14" i="3" s="1"/>
  <c r="J13" i="3" l="1"/>
  <c r="D14" i="3"/>
  <c r="P13" i="3"/>
  <c r="Q4" i="4" s="1"/>
  <c r="E14" i="3" l="1"/>
  <c r="L13" i="3"/>
  <c r="O13" i="3" s="1"/>
  <c r="R13" i="3" s="1"/>
  <c r="Q6" i="4" s="1"/>
  <c r="M13" i="3" l="1"/>
  <c r="K14" i="3" s="1"/>
  <c r="N13" i="3"/>
  <c r="Q13" i="3" s="1"/>
  <c r="Q5" i="4" s="1"/>
  <c r="G14" i="3"/>
  <c r="I14" i="3" s="1"/>
  <c r="H14" i="3"/>
  <c r="J14" i="3" l="1"/>
  <c r="P14" i="3"/>
  <c r="R4" i="4" l="1"/>
  <c r="G4" i="4" s="1"/>
  <c r="C4" i="4"/>
  <c r="L14" i="3"/>
  <c r="E4" i="4" l="1"/>
  <c r="D4" i="4"/>
  <c r="F4" i="4" s="1"/>
  <c r="M14" i="3"/>
  <c r="O14" i="3"/>
  <c r="R14" i="3" s="1"/>
  <c r="N14" i="3"/>
  <c r="Q14" i="3" s="1"/>
  <c r="R5" i="4" l="1"/>
  <c r="G5" i="4" s="1"/>
  <c r="C5" i="4"/>
  <c r="R6" i="4"/>
  <c r="G6" i="4" s="1"/>
  <c r="C6" i="4"/>
  <c r="E6" i="4" l="1"/>
  <c r="D6" i="4"/>
  <c r="F6" i="4" s="1"/>
  <c r="E5" i="4"/>
  <c r="D5" i="4"/>
  <c r="F5" i="4" s="1"/>
</calcChain>
</file>

<file path=xl/sharedStrings.xml><?xml version="1.0" encoding="utf-8"?>
<sst xmlns="http://schemas.openxmlformats.org/spreadsheetml/2006/main" count="264" uniqueCount="223">
  <si>
    <t>3325 Banks Rd - Investor Return Model</t>
  </si>
  <si>
    <t>Editable inputs are in column B. Outputs update through formulas.</t>
  </si>
  <si>
    <t>Project Timing</t>
  </si>
  <si>
    <t>Stabilization / Refinance Year</t>
  </si>
  <si>
    <t>Year when refinance proceeds are modeled</t>
  </si>
  <si>
    <t>Sale / Exit Year</t>
  </si>
  <si>
    <t>Model uses annual periods 0 through this year</t>
  </si>
  <si>
    <t>Rental Program</t>
  </si>
  <si>
    <t>First Floor Premium Suites</t>
  </si>
  <si>
    <t>Private bed/bath/kitchenette suites</t>
  </si>
  <si>
    <t>Monthly Rent per Premium Suite</t>
  </si>
  <si>
    <t>Editable rent assumption</t>
  </si>
  <si>
    <t>Second Floor Co-Living Suites</t>
  </si>
  <si>
    <t>Private bed/bath with shared amenities</t>
  </si>
  <si>
    <t>Monthly Rent per Co-Living Suite</t>
  </si>
  <si>
    <t>Other Monthly Income</t>
  </si>
  <si>
    <t>Parking, utility fees, laundry, etc.</t>
  </si>
  <si>
    <t>Stabilized Occupancy</t>
  </si>
  <si>
    <t>Before operating expense load</t>
  </si>
  <si>
    <t>Year 1 Lease-Up Occupancy</t>
  </si>
  <si>
    <t>First partial operating year</t>
  </si>
  <si>
    <t>Operating Expense Ratio</t>
  </si>
  <si>
    <t>Percent of effective gross income</t>
  </si>
  <si>
    <t>NOI Growth</t>
  </si>
  <si>
    <t>Annual growth after stabilization</t>
  </si>
  <si>
    <t>Stabilized Monthly Gross Rent</t>
  </si>
  <si>
    <t>Calculated</t>
  </si>
  <si>
    <t>Debt / Refinance / Exit</t>
  </si>
  <si>
    <t>Project Debt Payoff at Refi</t>
  </si>
  <si>
    <t>Construction/existing debt repaid from refinance</t>
  </si>
  <si>
    <t>Permanent Loan Amount</t>
  </si>
  <si>
    <t>New loan proceeds at refinance</t>
  </si>
  <si>
    <t>Permanent Loan Interest Rate</t>
  </si>
  <si>
    <t>Annual fixed rate</t>
  </si>
  <si>
    <t>Permanent Loan Amortization Years</t>
  </si>
  <si>
    <t>Used for annual debt service</t>
  </si>
  <si>
    <t>Exit Cap Rate</t>
  </si>
  <si>
    <t>Sale value = following year NOI / cap rate</t>
  </si>
  <si>
    <t>Selling Costs</t>
  </si>
  <si>
    <t>Percent deducted from gross sale value</t>
  </si>
  <si>
    <t>Capital Stack / Waterfall</t>
  </si>
  <si>
    <t>Class A Capital</t>
  </si>
  <si>
    <t>Preferred capital raise</t>
  </si>
  <si>
    <t>Class A Preferred Return</t>
  </si>
  <si>
    <t>Cumulative annual preferred return</t>
  </si>
  <si>
    <t>Class B Capital</t>
  </si>
  <si>
    <t>Subordinate beneficiary capital; edit as needed</t>
  </si>
  <si>
    <t>Class B Capital Return Priority</t>
  </si>
  <si>
    <t>1 = return Class B capital before residual split</t>
  </si>
  <si>
    <t>Class B Residual Share</t>
  </si>
  <si>
    <t>Residual cash flow / sale proceeds after priority payments</t>
  </si>
  <si>
    <t>Sponsor Residual Share</t>
  </si>
  <si>
    <t>Default aligns with ~60% sponsor residual participation</t>
  </si>
  <si>
    <t>Sponsor Basis / Deemed Investment</t>
  </si>
  <si>
    <t>Land/control/origination value used for sponsor ROI</t>
  </si>
  <si>
    <t>Model Note</t>
  </si>
  <si>
    <t>This is a planning model, not tax, legal, securities, or investment advice.</t>
  </si>
  <si>
    <t>Annual Project Model</t>
  </si>
  <si>
    <t>Year</t>
  </si>
  <si>
    <t>Phase</t>
  </si>
  <si>
    <t>Gross Potential Rent</t>
  </si>
  <si>
    <t>Effective Gross Income</t>
  </si>
  <si>
    <t>Operating Expenses</t>
  </si>
  <si>
    <t>NOI</t>
  </si>
  <si>
    <t>Debt Service</t>
  </si>
  <si>
    <t>Cash Before Refi/Sale</t>
  </si>
  <si>
    <t>Net Refi/Sale Proceeds</t>
  </si>
  <si>
    <t>Total Cash Available</t>
  </si>
  <si>
    <t>Loan Balance</t>
  </si>
  <si>
    <t>Property Value / Refi Value</t>
  </si>
  <si>
    <t>Capitalization / Entitlement</t>
  </si>
  <si>
    <t>Lease-Up</t>
  </si>
  <si>
    <t>Stabilization / Refi</t>
  </si>
  <si>
    <t>Operations</t>
  </si>
  <si>
    <t>Exit</t>
  </si>
  <si>
    <t>Annual Waterfall</t>
  </si>
  <si>
    <t>Cash Available</t>
  </si>
  <si>
    <t>Class A Beg. Accrued Pref</t>
  </si>
  <si>
    <t>Class A Pref Accrued</t>
  </si>
  <si>
    <t>Class A Pref Paid</t>
  </si>
  <si>
    <t>Class A Beg. Capital</t>
  </si>
  <si>
    <t>Class A Capital Returned</t>
  </si>
  <si>
    <t>Class A End Accrued Pref</t>
  </si>
  <si>
    <t>Class A End Capital</t>
  </si>
  <si>
    <t>Cash After Class A</t>
  </si>
  <si>
    <t>Class B Beg. Capital</t>
  </si>
  <si>
    <t>Class B Capital Returned</t>
  </si>
  <si>
    <t>Class B End Capital</t>
  </si>
  <si>
    <t>Residual to Class B</t>
  </si>
  <si>
    <t>Residual to Sponsor</t>
  </si>
  <si>
    <t>Total Class A Dist.</t>
  </si>
  <si>
    <t>Total Class B Dist.</t>
  </si>
  <si>
    <t>Total Sponsor Dist.</t>
  </si>
  <si>
    <t>Investor / Sponsor Return Summary</t>
  </si>
  <si>
    <t>Participant</t>
  </si>
  <si>
    <t>Capital / Basis</t>
  </si>
  <si>
    <t>Total Distributions</t>
  </si>
  <si>
    <t>Net Profit</t>
  </si>
  <si>
    <t>Equity Multiple</t>
  </si>
  <si>
    <t>ROI %</t>
  </si>
  <si>
    <t>IRR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</si>
  <si>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</si>
  <si>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</si>
  <si>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</si>
  <si>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</si>
  <si>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</si>
  <si>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</si>
  <si>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</si>
  <si>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</si>
  <si>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</si>
  <si>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</si>
  <si>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</si>
  <si>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Class A</t>
  </si>
  <si>
    <t>Class B</t>
  </si>
  <si>
    <t>Sponsor</t>
  </si>
  <si>
    <t>Important</t>
  </si>
  <si>
    <t>Class A preferred return is modeled as cumulative simple annual accrual on unrecovered Class A capital. Class B capital is returned before residual splits when the Assumptions toggle is set to 1.</t>
  </si>
  <si>
    <t>Model Notes</t>
  </si>
  <si>
    <t>Purpose</t>
  </si>
  <si>
    <t>Calculates project-level cash available, then allocates distributions to Class A, Class B, and Sponsor through a simplified waterfall.</t>
  </si>
  <si>
    <t>Key editable cells</t>
  </si>
  <si>
    <t>Use the Assumptions tab, column B.</t>
  </si>
  <si>
    <t>Modeled with 8% cumulative annual preferred return by default, then return of capital, then no residual share unless you revise the waterfall.</t>
  </si>
  <si>
    <t>Modeled as subordinate capital that can receive capital back before residual distributions, plus residual participation.</t>
  </si>
  <si>
    <t>Modeled using sponsor basis / deemed investment as the return denominator and sponsor residual share as the distribution source.</t>
  </si>
  <si>
    <t>Caution</t>
  </si>
  <si>
    <t>This workbook is for planning and discussion only. It is not legal, tax, securities, appraisal, or investment advice. Have counsel and CPA review before investor use.</t>
  </si>
  <si>
    <t>3325 Banks Rd - Design, Development &amp; Build Cost Analysis</t>
  </si>
  <si>
    <t>Status</t>
  </si>
  <si>
    <t>Planning estimate added 2026-05-11</t>
  </si>
  <si>
    <t>Source Markdown</t>
  </si>
  <si>
    <t>04_Design_Development_and_Build_Cost_Analysis.md</t>
  </si>
  <si>
    <t>Workbook-Backed Capital Assumptions</t>
  </si>
  <si>
    <t>Amount</t>
  </si>
  <si>
    <t>Notes</t>
  </si>
  <si>
    <t>Project debt payoff at refinance</t>
  </si>
  <si>
    <t>Existing assumption</t>
  </si>
  <si>
    <t>Permanent loan amount</t>
  </si>
  <si>
    <t>Class A capital</t>
  </si>
  <si>
    <t>Class B capital</t>
  </si>
  <si>
    <t>Sponsor basis / deemed investment</t>
  </si>
  <si>
    <t>Low</t>
  </si>
  <si>
    <t>High</t>
  </si>
  <si>
    <t>Estimated total project cost</t>
  </si>
  <si>
    <t>Funding Gap Analysis</t>
  </si>
  <si>
    <t>Potential unfunded development gap</t>
  </si>
  <si>
    <t>Architecture and building design</t>
  </si>
  <si>
    <t>Civil engineering and site planning</t>
  </si>
  <si>
    <t>Septic, soil, and wastewater engineering</t>
  </si>
  <si>
    <t>Survey, testing, environmental, and due diligence</t>
  </si>
  <si>
    <t>Permitting, review, and municipal/county coordination</t>
  </si>
  <si>
    <t>Legal, accounting, and trust structuring</t>
  </si>
  <si>
    <t>Design/entitlement contingency</t>
  </si>
  <si>
    <t>Design &amp; entitlement total</t>
  </si>
  <si>
    <t>Development management / sponsor fee</t>
  </si>
  <si>
    <t>Financing, lender, appraisal, and closing costs</t>
  </si>
  <si>
    <t>Insurance, taxes, utilities, and carrying costs</t>
  </si>
  <si>
    <t>Accounting, administration, and reporting</t>
  </si>
  <si>
    <t>Leasing, operations setup, and launch costs</t>
  </si>
  <si>
    <t>Development contingency / liquidity reserve</t>
  </si>
  <si>
    <t>Development &amp; pre-construction total</t>
  </si>
  <si>
    <t>Building construction, 5,000-6,000 SF</t>
  </si>
  <si>
    <t>Sitework, grading, access, parking, and drainage</t>
  </si>
  <si>
    <t>Private utilities and well infrastructure</t>
  </si>
  <si>
    <t>Engineered onsite wastewater system</t>
  </si>
  <si>
    <t>Furnishings, fixtures, equipment, and turnover</t>
  </si>
  <si>
    <t>Construction contingency</t>
  </si>
  <si>
    <t>Build &amp; delivery total</t>
  </si>
  <si>
    <t>Total Class A + Class B capitalization</t>
  </si>
  <si>
    <t>Completion capital</t>
  </si>
  <si>
    <t>Sponsor-Controlled Working Case</t>
  </si>
  <si>
    <t>Outside-market benchmark total</t>
  </si>
  <si>
    <t>Outside-market benchmark note</t>
  </si>
  <si>
    <t>Not controlling case</t>
  </si>
  <si>
    <t>Stress benchmark</t>
  </si>
  <si>
    <t>Class A + Class B capitalization</t>
  </si>
  <si>
    <t>Sponsor-Controlled Cost Justification</t>
  </si>
  <si>
    <t>Cost-positioning note</t>
  </si>
  <si>
    <t>700,000-1,300,000 is a target range, not a guaranteed budget. It depends on post-frame construction, sponsor-owned equipment, sponsor-controlled crew capacity, disciplined finish scope, and avoiding a high-cost engineered wastewater outcome.</t>
  </si>
  <si>
    <t>Metric</t>
  </si>
  <si>
    <t>Low Case</t>
  </si>
  <si>
    <t>High Case</t>
  </si>
  <si>
    <t>Cost per SF at 5,000 SF</t>
  </si>
  <si>
    <t>Cost per SF at 6,000 SF</t>
  </si>
  <si>
    <t>Design, entitlement, permits, and professional services</t>
  </si>
  <si>
    <t>Development, financing, insurance, carrying, and administration</t>
  </si>
  <si>
    <t>Post-frame building shell and interior buildout</t>
  </si>
  <si>
    <t>Sitework, access, grading, drainage, and parking</t>
  </si>
  <si>
    <t>Private utilities, well, wastewater, and related infrastructure</t>
  </si>
  <si>
    <t>Contingency and owner reserve</t>
  </si>
  <si>
    <t>Sponsor-Controlled Total Package</t>
  </si>
  <si>
    <t>Conditions Required To Support Target Range</t>
  </si>
  <si>
    <t>Post-frame approach accepted through design and permitting</t>
  </si>
  <si>
    <t>Sponsor can self-perform or directly manage meaningful construction scope</t>
  </si>
  <si>
    <t>Equipment ownership reduces sitework and construction logistics cost</t>
  </si>
  <si>
    <t>Major subcontracted trades are competitively bid</t>
  </si>
  <si>
    <t>Wastewater solution does not require a high-end engineered system</t>
  </si>
  <si>
    <t>Suite count and bathroom/kitchenette count do not expand</t>
  </si>
  <si>
    <t>Finish package stays durable and efficient rather than luxury</t>
  </si>
  <si>
    <t>Project carries a disciplined contingency</t>
  </si>
  <si>
    <t>Risks That Could Break Target Range</t>
  </si>
  <si>
    <t>Advanced/high-cost wastewater system requirement</t>
  </si>
  <si>
    <t>Expensive fire, code, or occupancy upgrades</t>
  </si>
  <si>
    <t>Higher-than-expected mechanical/electrical/plumbing scope</t>
  </si>
  <si>
    <t>Extensive parking, drainage, or access improvements</t>
  </si>
  <si>
    <t>Sponsor crew advantage limited by labor availability</t>
  </si>
  <si>
    <t>Finish level moves closer to conventional apartment construction</t>
  </si>
  <si>
    <t>Yes</t>
  </si>
  <si>
    <t>Risk-adjusted sponsor-controlled total package</t>
  </si>
  <si>
    <t>Total project cost - risk adjusted</t>
  </si>
  <si>
    <t>Confirmed cost saver</t>
  </si>
  <si>
    <t>Not confirmed; risk reserve retained</t>
  </si>
  <si>
    <t>Confirmed scope control</t>
  </si>
  <si>
    <t>Confirmed finish discipline</t>
  </si>
  <si>
    <t>Confirmed reserve discipline</t>
  </si>
  <si>
    <t>Confirmed risk; wastewater allowance increased</t>
  </si>
  <si>
    <t>Confirmed risk; FF&amp;E/contingency allowance increased</t>
  </si>
  <si>
    <t>No</t>
  </si>
  <si>
    <t>Selected sponsor-controlled total project cost (linked to rows 61-67)</t>
  </si>
  <si>
    <t>Outside Market - Design &amp; Entitlement Detail</t>
  </si>
  <si>
    <t>Outside Market - Development &amp; Pre-Construction Detail</t>
  </si>
  <si>
    <t>Outside Market - Build &amp; Delivery Detail</t>
  </si>
  <si>
    <t>Controlling Sponsor-Controlled Line-Item Bridge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</si>
</sst>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name val="Calibri"/>
    </font>
    <font>
      <b/>
      <sz val="11"/>
      <name val="Calibri"/>
    </font>
    <font>
      <b/>
      <sz val="14"/>
      <name val="Calibri"/>
    </font>
    <font>
      <i/>
      <sz val="10"/>
      <color rgb="FF666666"/>
      <name val="Calibri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64" fontId="0" fillId="0" borderId="0" xfId="0" applyNumberFormat="1"/>
    <xf numFmtId="3" fontId="0" fillId="0" borderId="0" xfId="0" applyNumberFormat="1"/>
    <xf numFmtId="0" fontId="0" fillId="0" borderId="0" xfId="0" applyAlignment="1">
      <alignment horizontal="center" wrapText="1"/>
    </xf>
    <xf numFmtId="3" fontId="2" fillId="0" borderId="0" xfId="0" applyNumberFormat="1" applyFont="1"/>
    <xf numFmtId="3" fontId="3" fillId="0" borderId="0" xfId="0" applyNumberFormat="1" applyFont="1"/>
    <xf numFmtId="3" fontId="1" fillId="2" borderId="1" xfId="0" applyNumberFormat="1" applyFont="1" applyFill="1" applyBorder="1"/>
    <xf numFmtId="1" fontId="0" fillId="0" borderId="0" xfId="0" applyNumberFormat="1"/>
    <xf numFmtId="3" fontId="1" fillId="2" borderId="1" xfId="0" applyNumberFormat="1" applyFont="1" applyFill="1" applyBorder="1" applyAlignment="1">
      <alignment horizontal="center" wrapText="1"/>
    </xf>
    <xf numFmtId="3" fontId="0" fillId="0" borderId="0" xfId="0" applyNumberFormat="1" applyAlignment="1">
      <alignment horizontal="center" wrapText="1"/>
    </xf>
    <xf numFmtId="0" fontId="4" fillId="0" borderId="0" xfId="0" applyFont="1"/>
    <xf numFmtId="0" fontId="5" fillId="0" borderId="0" xfId="0" applyFont="1"/>
    <xf numFmtId="3" fontId="4" fillId="0" borderId="0" xfId="0" applyNumberFormat="1" applyFont="1"/>
    <xf numFmtId="0" fontId="4" fillId="0" borderId="0" xfId="0" applyFont="1" applyAlignment="1">
      <alignment horizontal="right"/>
    </xf>
    <xf numFmtId="3" fontId="0" fillId="0" borderId="0" xfId="0" applyNumberFormat="1"/>
    <xf numFmtId="0" fontId="0" fillId="0" borderId="0" xfId="0"/>
    <xf numFmtId="3" fontId="3" fillId="0" borderId="0" xfId="0" applyNumberFormat="1" applyFont="1" applyAlignment="1"/>
    <xf numFmtId="0" fontId="0" fillId="0" borderId="0" xfId="0" applyAlignment="1"/>
    <xf numFmtId="3" fontId="2" fillId="0" borderId="0" xfId="0" applyNumberFormat="1" applyFont="1" applyAlignment="1"/>
    <xf numFmtId="3" fontId="0" fillId="3" borderId="0" xfId="0" applyNumberFormat="1" applyFill="1"/>
    <xf numFmtId="3" fontId="5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workbookViewId="0">
      <selection activeCell="B30" sqref="B30"/>
    </sheetView>
  </sheetViews>
  <sheetFormatPr defaultRowHeight="15" x14ac:dyDescent="0.25"/>
  <cols>
    <col min="1" max="1" width="47" bestFit="1" customWidth="1"/>
    <col min="2" max="2" width="57" bestFit="1" customWidth="1"/>
    <col min="3" max="3" width="53.42578125" bestFit="1" customWidth="1"/>
  </cols>
  <sheetData>
    <row r="1" spans="1:3" ht="18.75" x14ac:dyDescent="0.3">
      <c r="A1" s="4" t="s">
        <v>0</v>
      </c>
      <c r="B1" s="2"/>
      <c r="C1" s="5" t="s">
        <v>1</v>
      </c>
    </row>
    <row r="2" spans="1:3" x14ac:dyDescent="0.25">
      <c r="A2" s="2"/>
      <c r="B2" s="2"/>
      <c r="C2" s="2"/>
    </row>
    <row r="3" spans="1:3" x14ac:dyDescent="0.25">
      <c r="A3" s="6" t="s">
        <v>2</v>
      </c>
      <c r="B3" s="2"/>
      <c r="C3" s="2"/>
    </row>
    <row r="4" spans="1:3" x14ac:dyDescent="0.25">
      <c r="A4" s="2" t="s">
        <v>3</v>
      </c>
      <c r="B4" s="7">
        <v>2</v>
      </c>
      <c r="C4" s="5" t="s">
        <v>4</v>
      </c>
    </row>
    <row r="5" spans="1:3" x14ac:dyDescent="0.25">
      <c r="A5" s="2" t="s">
        <v>5</v>
      </c>
      <c r="B5" s="7">
        <v>4</v>
      </c>
      <c r="C5" s="5" t="s">
        <v>6</v>
      </c>
    </row>
    <row r="6" spans="1:3" x14ac:dyDescent="0.25">
      <c r="A6" s="2"/>
      <c r="B6" s="2"/>
      <c r="C6" s="2"/>
    </row>
    <row r="7" spans="1:3" x14ac:dyDescent="0.25">
      <c r="A7" s="6" t="s">
        <v>7</v>
      </c>
      <c r="B7" s="2"/>
      <c r="C7" s="2"/>
    </row>
    <row r="8" spans="1:3" x14ac:dyDescent="0.25">
      <c r="A8" s="2" t="s">
        <v>8</v>
      </c>
      <c r="B8" s="7">
        <v>4</v>
      </c>
      <c r="C8" s="5" t="s">
        <v>9</v>
      </c>
    </row>
    <row r="9" spans="1:3" x14ac:dyDescent="0.25">
      <c r="A9" s="2" t="s">
        <v>10</v>
      </c>
      <c r="B9" s="2">
        <v>1600</v>
      </c>
      <c r="C9" s="5" t="s">
        <v>11</v>
      </c>
    </row>
    <row r="10" spans="1:3" x14ac:dyDescent="0.25">
      <c r="A10" s="2" t="s">
        <v>12</v>
      </c>
      <c r="B10" s="7">
        <v>4</v>
      </c>
      <c r="C10" s="5" t="s">
        <v>13</v>
      </c>
    </row>
    <row r="11" spans="1:3" x14ac:dyDescent="0.25">
      <c r="A11" s="2" t="s">
        <v>14</v>
      </c>
      <c r="B11" s="2">
        <v>1100</v>
      </c>
      <c r="C11" s="5" t="s">
        <v>11</v>
      </c>
    </row>
    <row r="12" spans="1:3" x14ac:dyDescent="0.25">
      <c r="A12" s="2" t="s">
        <v>15</v>
      </c>
      <c r="B12" s="2">
        <v>0</v>
      </c>
      <c r="C12" s="5" t="s">
        <v>16</v>
      </c>
    </row>
    <row r="13" spans="1:3" x14ac:dyDescent="0.25">
      <c r="A13" s="2" t="s">
        <v>17</v>
      </c>
      <c r="B13" s="1">
        <v>0.93</v>
      </c>
      <c r="C13" s="5" t="s">
        <v>18</v>
      </c>
    </row>
    <row r="14" spans="1:3" x14ac:dyDescent="0.25">
      <c r="A14" s="2" t="s">
        <v>19</v>
      </c>
      <c r="B14" s="1">
        <v>0.5</v>
      </c>
      <c r="C14" s="5" t="s">
        <v>20</v>
      </c>
    </row>
    <row r="15" spans="1:3" x14ac:dyDescent="0.25">
      <c r="A15" s="2" t="s">
        <v>21</v>
      </c>
      <c r="B15" s="1">
        <v>0.4</v>
      </c>
      <c r="C15" s="5" t="s">
        <v>22</v>
      </c>
    </row>
    <row r="16" spans="1:3" x14ac:dyDescent="0.25">
      <c r="A16" s="2" t="s">
        <v>23</v>
      </c>
      <c r="B16" s="1">
        <v>0.03</v>
      </c>
      <c r="C16" s="5" t="s">
        <v>24</v>
      </c>
    </row>
    <row r="17" spans="1:3" x14ac:dyDescent="0.25">
      <c r="A17" s="2" t="s">
        <v>25</v>
      </c>
      <c r="B17" s="2">
        <f>B8*B9+B10*B11+B12</f>
        <v>10800</v>
      </c>
      <c r="C17" s="5" t="s">
        <v>26</v>
      </c>
    </row>
    <row r="18" spans="1:3" x14ac:dyDescent="0.25">
      <c r="A18" s="2"/>
      <c r="B18" s="2"/>
      <c r="C18" s="2"/>
    </row>
    <row r="19" spans="1:3" x14ac:dyDescent="0.25">
      <c r="A19" s="6" t="s">
        <v>27</v>
      </c>
      <c r="B19" s="2"/>
      <c r="C19" s="2"/>
    </row>
    <row r="20" spans="1:3" x14ac:dyDescent="0.25">
      <c r="A20" s="2" t="s">
        <v>28</v>
      </c>
      <c r="B20" s="2">
        <f>MIN(INDEX('Annual Model'!$L$4:$L$14,MATCH($B$4,'Annual Model'!$A$4:$A$14,0))*70%,$B$28+$B$30)</f>
        <v>744863.0399999998</v>
      </c>
      <c r="C20" s="5" t="s">
        <v>29</v>
      </c>
    </row>
    <row r="21" spans="1:3" x14ac:dyDescent="0.25">
      <c r="A21" s="2" t="s">
        <v>30</v>
      </c>
      <c r="B21" s="2">
        <v>650000</v>
      </c>
      <c r="C21" s="5" t="s">
        <v>31</v>
      </c>
    </row>
    <row r="22" spans="1:3" x14ac:dyDescent="0.25">
      <c r="A22" s="2" t="s">
        <v>32</v>
      </c>
      <c r="B22" s="1">
        <v>6.5000000000000002E-2</v>
      </c>
      <c r="C22" s="5" t="s">
        <v>33</v>
      </c>
    </row>
    <row r="23" spans="1:3" x14ac:dyDescent="0.25">
      <c r="A23" s="2" t="s">
        <v>34</v>
      </c>
      <c r="B23" s="7">
        <v>30</v>
      </c>
      <c r="C23" s="5" t="s">
        <v>35</v>
      </c>
    </row>
    <row r="24" spans="1:3" x14ac:dyDescent="0.25">
      <c r="A24" s="2" t="s">
        <v>36</v>
      </c>
      <c r="B24" s="1">
        <v>7.0000000000000007E-2</v>
      </c>
      <c r="C24" s="5" t="s">
        <v>37</v>
      </c>
    </row>
    <row r="25" spans="1:3" x14ac:dyDescent="0.25">
      <c r="A25" s="2" t="s">
        <v>38</v>
      </c>
      <c r="B25" s="1">
        <v>0.02</v>
      </c>
      <c r="C25" s="5" t="s">
        <v>39</v>
      </c>
    </row>
    <row r="26" spans="1:3" x14ac:dyDescent="0.25">
      <c r="A26" s="2"/>
      <c r="B26" s="2"/>
      <c r="C26" s="2"/>
    </row>
    <row r="27" spans="1:3" x14ac:dyDescent="0.25">
      <c r="A27" s="6" t="s">
        <v>40</v>
      </c>
      <c r="B27" s="2"/>
      <c r="C27" s="2"/>
    </row>
    <row r="28" spans="1:3" x14ac:dyDescent="0.25">
      <c r="A28" s="2" t="s">
        <v>41</v>
      </c>
      <c r="B28" s="2">
        <v>300000</v>
      </c>
      <c r="C28" s="5" t="s">
        <v>42</v>
      </c>
    </row>
    <row r="29" spans="1:3" x14ac:dyDescent="0.25">
      <c r="A29" s="2" t="s">
        <v>43</v>
      </c>
      <c r="B29" s="1">
        <v>0.08</v>
      </c>
      <c r="C29" s="5" t="s">
        <v>44</v>
      </c>
    </row>
    <row r="30" spans="1:3" x14ac:dyDescent="0.25">
      <c r="A30" s="2" t="s">
        <v>45</v>
      </c>
      <c r="B30" s="2">
        <f>MAX(0,'Cost Analysis'!$C$17-$B$28)</f>
        <v>1200000</v>
      </c>
      <c r="C30" s="5" t="s">
        <v>46</v>
      </c>
    </row>
    <row r="31" spans="1:3" x14ac:dyDescent="0.25">
      <c r="A31" s="2" t="s">
        <v>47</v>
      </c>
      <c r="B31" s="7">
        <v>1</v>
      </c>
      <c r="C31" s="5" t="s">
        <v>48</v>
      </c>
    </row>
    <row r="32" spans="1:3" x14ac:dyDescent="0.25">
      <c r="A32" s="2" t="s">
        <v>49</v>
      </c>
      <c r="B32" s="1">
        <v>0.4</v>
      </c>
      <c r="C32" s="5" t="s">
        <v>50</v>
      </c>
    </row>
    <row r="33" spans="1:3" x14ac:dyDescent="0.25">
      <c r="A33" s="2" t="s">
        <v>51</v>
      </c>
      <c r="B33" s="1">
        <f>1-B32</f>
        <v>0.6</v>
      </c>
      <c r="C33" s="5" t="s">
        <v>52</v>
      </c>
    </row>
    <row r="34" spans="1:3" x14ac:dyDescent="0.25">
      <c r="A34" s="2" t="s">
        <v>53</v>
      </c>
      <c r="B34" s="2">
        <v>150000</v>
      </c>
      <c r="C34" s="5" t="s">
        <v>54</v>
      </c>
    </row>
    <row r="35" spans="1:3" x14ac:dyDescent="0.25">
      <c r="A35" s="2"/>
      <c r="B35" s="2"/>
      <c r="C35" s="2"/>
    </row>
    <row r="36" spans="1:3" x14ac:dyDescent="0.25">
      <c r="A36" s="2" t="s">
        <v>55</v>
      </c>
      <c r="B36" s="5" t="s">
        <v>56</v>
      </c>
      <c r="C3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"/>
  <sheetViews>
    <sheetView workbookViewId="0">
      <selection activeCell="A3" sqref="A3:XFD3"/>
    </sheetView>
  </sheetViews>
  <sheetFormatPr defaultRowHeight="15" x14ac:dyDescent="0.25"/>
  <cols>
    <col min="1" max="1" width="26.5703125" bestFit="1" customWidth="1"/>
    <col min="2" max="2" width="26"/>
    <col min="3" max="3" width="9.140625" bestFit="1" customWidth="1"/>
    <col min="4" max="4" width="8.85546875" bestFit="1" customWidth="1"/>
    <col min="5" max="5" width="9.85546875" bestFit="1" customWidth="1"/>
    <col min="6" max="6" width="6.5703125" bestFit="1" customWidth="1"/>
    <col min="7" max="7" width="7.42578125" bestFit="1" customWidth="1"/>
    <col min="8" max="9" width="9.140625" bestFit="1" customWidth="1"/>
    <col min="10" max="10" width="10" bestFit="1" customWidth="1"/>
    <col min="11" max="11" width="7.85546875" bestFit="1" customWidth="1"/>
    <col min="12" max="12" width="11.42578125" bestFit="1" customWidth="1"/>
  </cols>
  <sheetData>
    <row r="1" spans="1:12" ht="18.75" x14ac:dyDescent="0.3">
      <c r="A1" s="4" t="s">
        <v>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s="3" customFormat="1" ht="45" x14ac:dyDescent="0.25">
      <c r="A3" s="8" t="s">
        <v>58</v>
      </c>
      <c r="B3" s="8" t="s">
        <v>59</v>
      </c>
      <c r="C3" s="8" t="s">
        <v>60</v>
      </c>
      <c r="D3" s="8" t="s">
        <v>61</v>
      </c>
      <c r="E3" s="8" t="s">
        <v>62</v>
      </c>
      <c r="F3" s="8" t="s">
        <v>63</v>
      </c>
      <c r="G3" s="8" t="s">
        <v>64</v>
      </c>
      <c r="H3" s="8" t="s">
        <v>65</v>
      </c>
      <c r="I3" s="8" t="s">
        <v>66</v>
      </c>
      <c r="J3" s="8" t="s">
        <v>67</v>
      </c>
      <c r="K3" s="8" t="s">
        <v>68</v>
      </c>
      <c r="L3" s="8" t="s">
        <v>69</v>
      </c>
    </row>
    <row r="4" spans="1:12" x14ac:dyDescent="0.25">
      <c r="A4" s="2">
        <v>0</v>
      </c>
      <c r="B4" s="2" t="s">
        <v>70</v>
      </c>
      <c r="C4" s="2">
        <f>IF(A4=0,0,Assumptions!$B$17*12*(1+Assumptions!$B$16)^MAX(0,A4-Assumptions!$B$4))</f>
        <v>0</v>
      </c>
      <c r="D4" s="2">
        <f>IF(A4=0,0,C4*IF(A4=1,Assumptions!$B$14,Assumptions!$B$13))</f>
        <v>0</v>
      </c>
      <c r="E4" s="2">
        <f>D4*Assumptions!$B$15</f>
        <v>0</v>
      </c>
      <c r="F4" s="2">
        <f t="shared" ref="F4:F14" si="0">D4-E4</f>
        <v>0</v>
      </c>
      <c r="G4" s="2">
        <f>IF(AND(A4&gt;=Assumptions!$B$4,A4&lt;=Assumptions!$B$5),-PMT(Assumptions!$B$22/12,Assumptions!$B$23*12,Assumptions!$B$21)*12,0)</f>
        <v>0</v>
      </c>
      <c r="H4" s="2">
        <f t="shared" ref="H4:H14" si="1">F4-G4</f>
        <v>0</v>
      </c>
      <c r="I4" s="2">
        <f>IF(A4=Assumptions!$B$4,MAX(0,Assumptions!$B$21-Assumptions!$B$20),IF(A4=Assumptions!$B$5,MAX(0,L4*(1-Assumptions!$B$25)-K4),0))</f>
        <v>0</v>
      </c>
      <c r="J4" s="2">
        <f t="shared" ref="J4:J14" si="2">H4+I4</f>
        <v>0</v>
      </c>
      <c r="K4" s="2">
        <f>IF(A4&lt;Assumptions!$B$4,0,IF(A4=Assumptions!$B$5,0,-FV(Assumptions!$B$22/12,(A4-Assumptions!$B$4)*12,PMT(Assumptions!$B$22/12,Assumptions!$B$23*12,Assumptions!$B$21),Assumptions!$B$21)))</f>
        <v>0</v>
      </c>
      <c r="L4" s="2">
        <f>IF(A4&lt;Assumptions!$B$4,0,F4*(1+Assumptions!$B$16)/Assumptions!$B$24)</f>
        <v>0</v>
      </c>
    </row>
    <row r="5" spans="1:12" x14ac:dyDescent="0.25">
      <c r="A5" s="2">
        <v>1</v>
      </c>
      <c r="B5" s="2" t="s">
        <v>71</v>
      </c>
      <c r="C5" s="2">
        <f>IF(A5=0,0,Assumptions!$B$17*12*(1+Assumptions!$B$16)^MAX(0,A5-Assumptions!$B$4))</f>
        <v>129600</v>
      </c>
      <c r="D5" s="2">
        <f>IF(A5=0,0,C5*IF(A5=1,Assumptions!$B$14,Assumptions!$B$13))</f>
        <v>64800</v>
      </c>
      <c r="E5" s="2">
        <f>D5*Assumptions!$B$15</f>
        <v>25920</v>
      </c>
      <c r="F5" s="2">
        <f t="shared" si="0"/>
        <v>38880</v>
      </c>
      <c r="G5" s="2">
        <f>IF(AND(A5&gt;=Assumptions!$B$4,A5&lt;=Assumptions!$B$5),-PMT(Assumptions!$B$22/12,Assumptions!$B$23*12,Assumptions!$B$21)*12,0)</f>
        <v>0</v>
      </c>
      <c r="H5" s="2">
        <f t="shared" si="1"/>
        <v>38880</v>
      </c>
      <c r="I5" s="2">
        <f>IF(A5=Assumptions!$B$4,MAX(0,Assumptions!$B$21-Assumptions!$B$20),IF(A5=Assumptions!$B$5,MAX(0,L5*(1-Assumptions!$B$25)-K5),0))</f>
        <v>0</v>
      </c>
      <c r="J5" s="2">
        <f t="shared" si="2"/>
        <v>38880</v>
      </c>
      <c r="K5" s="2">
        <f>IF(A5&lt;Assumptions!$B$4,0,IF(A5=Assumptions!$B$5,0,-FV(Assumptions!$B$22/12,(A5-Assumptions!$B$4)*12,PMT(Assumptions!$B$22/12,Assumptions!$B$23*12,Assumptions!$B$21),Assumptions!$B$21)))</f>
        <v>0</v>
      </c>
      <c r="L5" s="2">
        <f>IF(A5&lt;Assumptions!$B$4,0,F5*(1+Assumptions!$B$16)/Assumptions!$B$24)</f>
        <v>0</v>
      </c>
    </row>
    <row r="6" spans="1:12" x14ac:dyDescent="0.25">
      <c r="A6" s="2">
        <v>2</v>
      </c>
      <c r="B6" s="2" t="s">
        <v>72</v>
      </c>
      <c r="C6" s="2">
        <f>IF(A6=0,0,Assumptions!$B$17*12*(1+Assumptions!$B$16)^MAX(0,A6-Assumptions!$B$4))</f>
        <v>129600</v>
      </c>
      <c r="D6" s="2">
        <f>IF(A6=0,0,C6*IF(A6=1,Assumptions!$B$14,Assumptions!$B$13))</f>
        <v>120528</v>
      </c>
      <c r="E6" s="2">
        <f>D6*Assumptions!$B$15</f>
        <v>48211.200000000004</v>
      </c>
      <c r="F6" s="2">
        <f t="shared" si="0"/>
        <v>72316.799999999988</v>
      </c>
      <c r="G6" s="2">
        <f>IF(AND(A6&gt;=Assumptions!$B$4,A6&lt;=Assumptions!$B$5),-PMT(Assumptions!$B$22/12,Assumptions!$B$23*12,Assumptions!$B$21)*12,0)</f>
        <v>49301.305832451166</v>
      </c>
      <c r="H6" s="2">
        <f t="shared" si="1"/>
        <v>23015.494167548823</v>
      </c>
      <c r="I6" s="2">
        <f>IF(A6=Assumptions!$B$4,MAX(0,Assumptions!$B$21-Assumptions!$B$20),IF(A6=Assumptions!$B$5,MAX(0,L6*(1-Assumptions!$B$25)-K6),0))</f>
        <v>0</v>
      </c>
      <c r="J6" s="2">
        <f t="shared" si="2"/>
        <v>23015.494167548823</v>
      </c>
      <c r="K6" s="2">
        <f>IF(A6&lt;Assumptions!$B$4,0,IF(A6=Assumptions!$B$5,0,-FV(Assumptions!$B$22/12,(A6-Assumptions!$B$4)*12,PMT(Assumptions!$B$22/12,Assumptions!$B$23*12,Assumptions!$B$21),Assumptions!$B$21)))</f>
        <v>650000</v>
      </c>
      <c r="L6" s="2">
        <f>IF(A6&lt;Assumptions!$B$4,0,F6*(1+Assumptions!$B$16)/Assumptions!$B$24)</f>
        <v>1064090.057142857</v>
      </c>
    </row>
    <row r="7" spans="1:12" x14ac:dyDescent="0.25">
      <c r="A7" s="2">
        <v>3</v>
      </c>
      <c r="B7" s="2" t="s">
        <v>73</v>
      </c>
      <c r="C7" s="2">
        <f>IF(A7=0,0,Assumptions!$B$17*12*(1+Assumptions!$B$16)^MAX(0,A7-Assumptions!$B$4))</f>
        <v>133488</v>
      </c>
      <c r="D7" s="2">
        <f>IF(A7=0,0,C7*IF(A7=1,Assumptions!$B$14,Assumptions!$B$13))</f>
        <v>124143.84000000001</v>
      </c>
      <c r="E7" s="2">
        <f>D7*Assumptions!$B$15</f>
        <v>49657.536000000007</v>
      </c>
      <c r="F7" s="2">
        <f t="shared" si="0"/>
        <v>74486.304000000004</v>
      </c>
      <c r="G7" s="2">
        <f>IF(AND(A7&gt;=Assumptions!$B$4,A7&lt;=Assumptions!$B$5),-PMT(Assumptions!$B$22/12,Assumptions!$B$23*12,Assumptions!$B$21)*12,0)</f>
        <v>49301.305832451166</v>
      </c>
      <c r="H7" s="2">
        <f t="shared" si="1"/>
        <v>25184.998167548838</v>
      </c>
      <c r="I7" s="2">
        <f>IF(A7=Assumptions!$B$4,MAX(0,Assumptions!$B$21-Assumptions!$B$20),IF(A7=Assumptions!$B$5,MAX(0,L7*(1-Assumptions!$B$25)-K7),0))</f>
        <v>0</v>
      </c>
      <c r="J7" s="2">
        <f t="shared" si="2"/>
        <v>25184.998167548838</v>
      </c>
      <c r="K7" s="2">
        <f>IF(A7&lt;Assumptions!$B$4,0,IF(A7=Assumptions!$B$5,0,-FV(Assumptions!$B$22/12,(A7-Assumptions!$B$4)*12,PMT(Assumptions!$B$22/12,Assumptions!$B$23*12,Assumptions!$B$21),Assumptions!$B$21)))</f>
        <v>642734.78445176012</v>
      </c>
      <c r="L7" s="2">
        <f>IF(A7&lt;Assumptions!$B$4,0,F7*(1+Assumptions!$B$16)/Assumptions!$B$24)</f>
        <v>1096012.7588571429</v>
      </c>
    </row>
    <row r="8" spans="1:12" x14ac:dyDescent="0.25">
      <c r="A8" s="2">
        <v>4</v>
      </c>
      <c r="B8" s="2" t="s">
        <v>73</v>
      </c>
      <c r="C8" s="2">
        <f>IF(A8=0,0,Assumptions!$B$17*12*(1+Assumptions!$B$16)^MAX(0,A8-Assumptions!$B$4))</f>
        <v>137492.63999999998</v>
      </c>
      <c r="D8" s="2">
        <f>IF(A8=0,0,C8*IF(A8=1,Assumptions!$B$14,Assumptions!$B$13))</f>
        <v>127868.15519999999</v>
      </c>
      <c r="E8" s="2">
        <f>D8*Assumptions!$B$15</f>
        <v>51147.26208</v>
      </c>
      <c r="F8" s="2">
        <f t="shared" si="0"/>
        <v>76720.893119999993</v>
      </c>
      <c r="G8" s="2">
        <f>IF(AND(A8&gt;=Assumptions!$B$4,A8&lt;=Assumptions!$B$5),-PMT(Assumptions!$B$22/12,Assumptions!$B$23*12,Assumptions!$B$21)*12,0)</f>
        <v>49301.305832451166</v>
      </c>
      <c r="H8" s="2">
        <f t="shared" si="1"/>
        <v>27419.587287548828</v>
      </c>
      <c r="I8" s="2">
        <f>IF(A8=Assumptions!$B$4,MAX(0,Assumptions!$B$21-Assumptions!$B$20),IF(A8=Assumptions!$B$5,MAX(0,L8*(1-Assumptions!$B$25)-K8),0))</f>
        <v>1106315.2787903999</v>
      </c>
      <c r="J8" s="2">
        <f t="shared" si="2"/>
        <v>1133734.8660779488</v>
      </c>
      <c r="K8" s="2">
        <f>IF(A8&lt;Assumptions!$B$4,0,IF(A8=Assumptions!$B$5,0,-FV(Assumptions!$B$22/12,(A8-Assumptions!$B$4)*12,PMT(Assumptions!$B$22/12,Assumptions!$B$23*12,Assumptions!$B$21),Assumptions!$B$21)))</f>
        <v>0</v>
      </c>
      <c r="L8" s="2">
        <f>IF(A8&lt;Assumptions!$B$4,0,F8*(1+Assumptions!$B$16)/Assumptions!$B$24)</f>
        <v>1128893.141622857</v>
      </c>
    </row>
    <row r="9" spans="1:12" x14ac:dyDescent="0.25">
      <c r="A9" s="2">
        <v>5</v>
      </c>
      <c r="B9" s="2" t="s">
        <v>73</v>
      </c>
      <c r="C9" s="2">
        <f>IF(A9=0,0,Assumptions!$B$17*12*(1+Assumptions!$B$16)^MAX(0,A9-Assumptions!$B$4))</f>
        <v>141617.4192</v>
      </c>
      <c r="D9" s="2">
        <f>IF(A9=0,0,C9*IF(A9=1,Assumptions!$B$14,Assumptions!$B$13))</f>
        <v>131704.19985600002</v>
      </c>
      <c r="E9" s="2">
        <f>D9*Assumptions!$B$15</f>
        <v>52681.679942400013</v>
      </c>
      <c r="F9" s="2">
        <f t="shared" si="0"/>
        <v>79022.519913600001</v>
      </c>
      <c r="G9" s="2">
        <f>IF(AND(A9&gt;=Assumptions!$B$4,A9&lt;=Assumptions!$B$5),-PMT(Assumptions!$B$22/12,Assumptions!$B$23*12,Assumptions!$B$21)*12,0)</f>
        <v>0</v>
      </c>
      <c r="H9" s="2">
        <f t="shared" si="1"/>
        <v>79022.519913600001</v>
      </c>
      <c r="I9" s="2">
        <f>IF(A9=Assumptions!$B$4,MAX(0,Assumptions!$B$21-Assumptions!$B$20),IF(A9=Assumptions!$B$5,MAX(0,L9*(1-Assumptions!$B$25)-K9),0))</f>
        <v>0</v>
      </c>
      <c r="J9" s="2">
        <f t="shared" si="2"/>
        <v>79022.519913600001</v>
      </c>
      <c r="K9" s="2">
        <f>IF(A9&lt;Assumptions!$B$4,0,IF(A9=Assumptions!$B$5,0,-FV(Assumptions!$B$22/12,(A9-Assumptions!$B$4)*12,PMT(Assumptions!$B$22/12,Assumptions!$B$23*12,Assumptions!$B$21),Assumptions!$B$21)))</f>
        <v>626712.07237870828</v>
      </c>
      <c r="L9" s="2">
        <f>IF(A9&lt;Assumptions!$B$4,0,F9*(1+Assumptions!$B$16)/Assumptions!$B$24)</f>
        <v>1162759.9358715427</v>
      </c>
    </row>
    <row r="10" spans="1:12" x14ac:dyDescent="0.25">
      <c r="A10" s="2">
        <v>6</v>
      </c>
      <c r="B10" s="2" t="s">
        <v>73</v>
      </c>
      <c r="C10" s="2">
        <f>IF(A10=0,0,Assumptions!$B$17*12*(1+Assumptions!$B$16)^MAX(0,A10-Assumptions!$B$4))</f>
        <v>145865.94177599999</v>
      </c>
      <c r="D10" s="2">
        <f>IF(A10=0,0,C10*IF(A10=1,Assumptions!$B$14,Assumptions!$B$13))</f>
        <v>135655.32585168001</v>
      </c>
      <c r="E10" s="2">
        <f>D10*Assumptions!$B$15</f>
        <v>54262.130340672011</v>
      </c>
      <c r="F10" s="2">
        <f t="shared" si="0"/>
        <v>81393.195511008002</v>
      </c>
      <c r="G10" s="2">
        <f>IF(AND(A10&gt;=Assumptions!$B$4,A10&lt;=Assumptions!$B$5),-PMT(Assumptions!$B$22/12,Assumptions!$B$23*12,Assumptions!$B$21)*12,0)</f>
        <v>0</v>
      </c>
      <c r="H10" s="2">
        <f t="shared" si="1"/>
        <v>81393.195511008002</v>
      </c>
      <c r="I10" s="2">
        <f>IF(A10=Assumptions!$B$4,MAX(0,Assumptions!$B$21-Assumptions!$B$20),IF(A10=Assumptions!$B$5,MAX(0,L10*(1-Assumptions!$B$25)-K10),0))</f>
        <v>0</v>
      </c>
      <c r="J10" s="2">
        <f t="shared" si="2"/>
        <v>81393.195511008002</v>
      </c>
      <c r="K10" s="2">
        <f>IF(A10&lt;Assumptions!$B$4,0,IF(A10=Assumptions!$B$5,0,-FV(Assumptions!$B$22/12,(A10-Assumptions!$B$4)*12,PMT(Assumptions!$B$22/12,Assumptions!$B$23*12,Assumptions!$B$21),Assumptions!$B$21)))</f>
        <v>617887.22118836944</v>
      </c>
      <c r="L10" s="2">
        <f>IF(A10&lt;Assumptions!$B$4,0,F10*(1+Assumptions!$B$16)/Assumptions!$B$24)</f>
        <v>1197642.7339476892</v>
      </c>
    </row>
    <row r="11" spans="1:12" x14ac:dyDescent="0.25">
      <c r="A11" s="2">
        <v>7</v>
      </c>
      <c r="B11" s="2" t="s">
        <v>73</v>
      </c>
      <c r="C11" s="2">
        <f>IF(A11=0,0,Assumptions!$B$17*12*(1+Assumptions!$B$16)^MAX(0,A11-Assumptions!$B$4))</f>
        <v>150241.92002927998</v>
      </c>
      <c r="D11" s="2">
        <f>IF(A11=0,0,C11*IF(A11=1,Assumptions!$B$14,Assumptions!$B$13))</f>
        <v>139724.9856272304</v>
      </c>
      <c r="E11" s="2">
        <f>D11*Assumptions!$B$15</f>
        <v>55889.994250892167</v>
      </c>
      <c r="F11" s="2">
        <f t="shared" si="0"/>
        <v>83834.991376338236</v>
      </c>
      <c r="G11" s="2">
        <f>IF(AND(A11&gt;=Assumptions!$B$4,A11&lt;=Assumptions!$B$5),-PMT(Assumptions!$B$22/12,Assumptions!$B$23*12,Assumptions!$B$21)*12,0)</f>
        <v>0</v>
      </c>
      <c r="H11" s="2">
        <f t="shared" si="1"/>
        <v>83834.991376338236</v>
      </c>
      <c r="I11" s="2">
        <f>IF(A11=Assumptions!$B$4,MAX(0,Assumptions!$B$21-Assumptions!$B$20),IF(A11=Assumptions!$B$5,MAX(0,L11*(1-Assumptions!$B$25)-K11),0))</f>
        <v>0</v>
      </c>
      <c r="J11" s="2">
        <f t="shared" si="2"/>
        <v>83834.991376338236</v>
      </c>
      <c r="K11" s="2">
        <f>IF(A11&lt;Assumptions!$B$4,0,IF(A11=Assumptions!$B$5,0,-FV(Assumptions!$B$22/12,(A11-Assumptions!$B$4)*12,PMT(Assumptions!$B$22/12,Assumptions!$B$23*12,Assumptions!$B$21),Assumptions!$B$21)))</f>
        <v>608471.35337016673</v>
      </c>
      <c r="L11" s="2">
        <f>IF(A11&lt;Assumptions!$B$4,0,F11*(1+Assumptions!$B$16)/Assumptions!$B$24)</f>
        <v>1233572.0159661197</v>
      </c>
    </row>
    <row r="12" spans="1:12" x14ac:dyDescent="0.25">
      <c r="A12" s="2">
        <v>8</v>
      </c>
      <c r="B12" s="2" t="s">
        <v>73</v>
      </c>
      <c r="C12" s="2">
        <f>IF(A12=0,0,Assumptions!$B$17*12*(1+Assumptions!$B$16)^MAX(0,A12-Assumptions!$B$4))</f>
        <v>154749.1776301584</v>
      </c>
      <c r="D12" s="2">
        <f>IF(A12=0,0,C12*IF(A12=1,Assumptions!$B$14,Assumptions!$B$13))</f>
        <v>143916.73519604732</v>
      </c>
      <c r="E12" s="2">
        <f>D12*Assumptions!$B$15</f>
        <v>57566.694078418928</v>
      </c>
      <c r="F12" s="2">
        <f t="shared" si="0"/>
        <v>86350.041117628396</v>
      </c>
      <c r="G12" s="2">
        <f>IF(AND(A12&gt;=Assumptions!$B$4,A12&lt;=Assumptions!$B$5),-PMT(Assumptions!$B$22/12,Assumptions!$B$23*12,Assumptions!$B$21)*12,0)</f>
        <v>0</v>
      </c>
      <c r="H12" s="2">
        <f t="shared" si="1"/>
        <v>86350.041117628396</v>
      </c>
      <c r="I12" s="2">
        <f>IF(A12=Assumptions!$B$4,MAX(0,Assumptions!$B$21-Assumptions!$B$20),IF(A12=Assumptions!$B$5,MAX(0,L12*(1-Assumptions!$B$25)-K12),0))</f>
        <v>0</v>
      </c>
      <c r="J12" s="2">
        <f t="shared" si="2"/>
        <v>86350.041117628396</v>
      </c>
      <c r="K12" s="2">
        <f>IF(A12&lt;Assumptions!$B$4,0,IF(A12=Assumptions!$B$5,0,-FV(Assumptions!$B$22/12,(A12-Assumptions!$B$4)*12,PMT(Assumptions!$B$22/12,Assumptions!$B$23*12,Assumptions!$B$21),Assumptions!$B$21)))</f>
        <v>598424.88744596776</v>
      </c>
      <c r="L12" s="2">
        <f>IF(A12&lt;Assumptions!$B$4,0,F12*(1+Assumptions!$B$16)/Assumptions!$B$24)</f>
        <v>1270579.1764451035</v>
      </c>
    </row>
    <row r="13" spans="1:12" x14ac:dyDescent="0.25">
      <c r="A13" s="2">
        <v>9</v>
      </c>
      <c r="B13" s="2" t="s">
        <v>73</v>
      </c>
      <c r="C13" s="2">
        <f>IF(A13=0,0,Assumptions!$B$17*12*(1+Assumptions!$B$16)^MAX(0,A13-Assumptions!$B$4))</f>
        <v>159391.65295906315</v>
      </c>
      <c r="D13" s="2">
        <f>IF(A13=0,0,C13*IF(A13=1,Assumptions!$B$14,Assumptions!$B$13))</f>
        <v>148234.23725192875</v>
      </c>
      <c r="E13" s="2">
        <f>D13*Assumptions!$B$15</f>
        <v>59293.694900771501</v>
      </c>
      <c r="F13" s="2">
        <f t="shared" si="0"/>
        <v>88940.542351157244</v>
      </c>
      <c r="G13" s="2">
        <f>IF(AND(A13&gt;=Assumptions!$B$4,A13&lt;=Assumptions!$B$5),-PMT(Assumptions!$B$22/12,Assumptions!$B$23*12,Assumptions!$B$21)*12,0)</f>
        <v>0</v>
      </c>
      <c r="H13" s="2">
        <f t="shared" si="1"/>
        <v>88940.542351157244</v>
      </c>
      <c r="I13" s="2">
        <f>IF(A13=Assumptions!$B$4,MAX(0,Assumptions!$B$21-Assumptions!$B$20),IF(A13=Assumptions!$B$5,MAX(0,L13*(1-Assumptions!$B$25)-K13),0))</f>
        <v>0</v>
      </c>
      <c r="J13" s="2">
        <f t="shared" si="2"/>
        <v>88940.542351157244</v>
      </c>
      <c r="K13" s="2">
        <f>IF(A13&lt;Assumptions!$B$4,0,IF(A13=Assumptions!$B$5,0,-FV(Assumptions!$B$22/12,(A13-Assumptions!$B$4)*12,PMT(Assumptions!$B$22/12,Assumptions!$B$23*12,Assumptions!$B$21),Assumptions!$B$21)))</f>
        <v>587705.59109274484</v>
      </c>
      <c r="L13" s="2">
        <f>IF(A13&lt;Assumptions!$B$4,0,F13*(1+Assumptions!$B$16)/Assumptions!$B$24)</f>
        <v>1308696.5517384564</v>
      </c>
    </row>
    <row r="14" spans="1:12" x14ac:dyDescent="0.25">
      <c r="A14" s="2">
        <v>10</v>
      </c>
      <c r="B14" s="2" t="s">
        <v>74</v>
      </c>
      <c r="C14" s="2">
        <f>IF(A14=0,0,Assumptions!$B$17*12*(1+Assumptions!$B$16)^MAX(0,A14-Assumptions!$B$4))</f>
        <v>164173.40254783502</v>
      </c>
      <c r="D14" s="2">
        <f>IF(A14=0,0,C14*IF(A14=1,Assumptions!$B$14,Assumptions!$B$13))</f>
        <v>152681.26436948657</v>
      </c>
      <c r="E14" s="2">
        <f>D14*Assumptions!$B$15</f>
        <v>61072.505747794632</v>
      </c>
      <c r="F14" s="2">
        <f t="shared" si="0"/>
        <v>91608.75862169193</v>
      </c>
      <c r="G14" s="2">
        <f>IF(AND(A14&gt;=Assumptions!$B$4,A14&lt;=Assumptions!$B$5),-PMT(Assumptions!$B$22/12,Assumptions!$B$23*12,Assumptions!$B$21)*12,0)</f>
        <v>0</v>
      </c>
      <c r="H14" s="2">
        <f t="shared" si="1"/>
        <v>91608.75862169193</v>
      </c>
      <c r="I14" s="2">
        <f>IF(A14=Assumptions!$B$4,MAX(0,Assumptions!$B$21-Assumptions!$B$20),IF(A14=Assumptions!$B$5,MAX(0,L14*(1-Assumptions!$B$25)-K14),0))</f>
        <v>0</v>
      </c>
      <c r="J14" s="2">
        <f t="shared" si="2"/>
        <v>91608.75862169193</v>
      </c>
      <c r="K14" s="2">
        <f>IF(A14&lt;Assumptions!$B$4,0,IF(A14=Assumptions!$B$5,0,-FV(Assumptions!$B$22/12,(A14-Assumptions!$B$4)*12,PMT(Assumptions!$B$22/12,Assumptions!$B$23*12,Assumptions!$B$21),Assumptions!$B$21)))</f>
        <v>576268.40361058235</v>
      </c>
      <c r="L14" s="2">
        <f>IF(A14&lt;Assumptions!$B$4,0,F14*(1+Assumptions!$B$16)/Assumptions!$B$24)</f>
        <v>1347957.4482906098</v>
      </c>
    </row>
  </sheetData>
  <pageMargins left="0.7" right="0.7" top="0.75" bottom="0.75" header="0.3" footer="0.3"/>
  <pageSetup orientation="portrait" horizontalDpi="4800" verticalDpi="48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4"/>
  <sheetViews>
    <sheetView workbookViewId="0">
      <selection activeCell="A3" sqref="A3:XFD3"/>
    </sheetView>
  </sheetViews>
  <sheetFormatPr defaultRowHeight="15" x14ac:dyDescent="0.25"/>
  <cols>
    <col min="1" max="1" width="20.85546875" bestFit="1" customWidth="1"/>
    <col min="2" max="2" width="14" bestFit="1" customWidth="1"/>
    <col min="3" max="3" width="11.42578125" bestFit="1" customWidth="1"/>
    <col min="4" max="4" width="11.28515625" bestFit="1" customWidth="1"/>
    <col min="5" max="5" width="9" bestFit="1" customWidth="1"/>
    <col min="6" max="6" width="11.42578125" bestFit="1" customWidth="1"/>
    <col min="7" max="7" width="9.28515625" bestFit="1" customWidth="1"/>
    <col min="8" max="9" width="10.85546875" bestFit="1" customWidth="1"/>
    <col min="10" max="10" width="10.140625" bestFit="1" customWidth="1"/>
    <col min="11" max="11" width="11.28515625" bestFit="1" customWidth="1"/>
    <col min="12" max="12" width="9.28515625" bestFit="1" customWidth="1"/>
    <col min="13" max="13" width="9.140625" bestFit="1" customWidth="1"/>
    <col min="14" max="14" width="9.28515625" bestFit="1" customWidth="1"/>
    <col min="15" max="15" width="8.5703125" bestFit="1" customWidth="1"/>
    <col min="16" max="16" width="12" customWidth="1"/>
    <col min="17" max="17" width="10.28515625" bestFit="1" customWidth="1"/>
    <col min="18" max="18" width="8.140625" bestFit="1" customWidth="1"/>
  </cols>
  <sheetData>
    <row r="1" spans="1:18" ht="18.75" x14ac:dyDescent="0.3">
      <c r="A1" s="4" t="s">
        <v>75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s="3" customFormat="1" ht="45" x14ac:dyDescent="0.25">
      <c r="A3" s="8" t="s">
        <v>58</v>
      </c>
      <c r="B3" s="8" t="s">
        <v>76</v>
      </c>
      <c r="C3" s="8" t="s">
        <v>77</v>
      </c>
      <c r="D3" s="8" t="s">
        <v>78</v>
      </c>
      <c r="E3" s="8" t="s">
        <v>79</v>
      </c>
      <c r="F3" s="8" t="s">
        <v>80</v>
      </c>
      <c r="G3" s="8" t="s">
        <v>81</v>
      </c>
      <c r="H3" s="8" t="s">
        <v>82</v>
      </c>
      <c r="I3" s="8" t="s">
        <v>83</v>
      </c>
      <c r="J3" s="8" t="s">
        <v>84</v>
      </c>
      <c r="K3" s="8" t="s">
        <v>85</v>
      </c>
      <c r="L3" s="8" t="s">
        <v>86</v>
      </c>
      <c r="M3" s="9" t="s">
        <v>87</v>
      </c>
      <c r="N3" s="9" t="s">
        <v>88</v>
      </c>
      <c r="O3" s="9" t="s">
        <v>89</v>
      </c>
      <c r="P3" s="9" t="s">
        <v>90</v>
      </c>
      <c r="Q3" s="9" t="s">
        <v>91</v>
      </c>
      <c r="R3" s="9" t="s">
        <v>92</v>
      </c>
    </row>
    <row r="4" spans="1:18" x14ac:dyDescent="0.25">
      <c r="A4" s="2">
        <v>0</v>
      </c>
      <c r="B4" s="2">
        <f>'Annual Model'!J4</f>
        <v>0</v>
      </c>
      <c r="C4" s="2">
        <f>0</f>
        <v>0</v>
      </c>
      <c r="D4" s="2">
        <f>F4*Assumptions!$B$29</f>
        <v>24000</v>
      </c>
      <c r="E4" s="2">
        <f t="shared" ref="E4:E14" si="0">MIN(B4,C4+D4)</f>
        <v>0</v>
      </c>
      <c r="F4" s="2">
        <f>Assumptions!$B$28</f>
        <v>300000</v>
      </c>
      <c r="G4" s="2">
        <f t="shared" ref="G4:G14" si="1">MIN(MAX(0,B4-E4),F4)</f>
        <v>0</v>
      </c>
      <c r="H4" s="2">
        <f t="shared" ref="H4:H14" si="2">C4+D4-E4</f>
        <v>24000</v>
      </c>
      <c r="I4" s="2">
        <f t="shared" ref="I4:I14" si="3">F4-G4</f>
        <v>300000</v>
      </c>
      <c r="J4" s="2">
        <f t="shared" ref="J4:J14" si="4">MAX(0,B4-E4-G4)</f>
        <v>0</v>
      </c>
      <c r="K4" s="2">
        <f>Assumptions!$B$30</f>
        <v>1200000</v>
      </c>
      <c r="L4" s="2">
        <f>IF(Assumptions!$B$31=1,MIN(J4,K4),0)</f>
        <v>0</v>
      </c>
      <c r="M4" s="2">
        <f t="shared" ref="M4:M14" si="5">K4-L4</f>
        <v>1200000</v>
      </c>
      <c r="N4" s="2">
        <f>MAX(0,J4-L4)*Assumptions!$B$32</f>
        <v>0</v>
      </c>
      <c r="O4" s="2">
        <f>MAX(0,J4-L4)*Assumptions!$B$33</f>
        <v>0</v>
      </c>
      <c r="P4" s="2">
        <f t="shared" ref="P4:P14" si="6">E4+G4</f>
        <v>0</v>
      </c>
      <c r="Q4" s="2">
        <f t="shared" ref="Q4:Q14" si="7">L4+N4</f>
        <v>0</v>
      </c>
      <c r="R4" s="2">
        <f t="shared" ref="R4:R14" si="8">O4</f>
        <v>0</v>
      </c>
    </row>
    <row r="5" spans="1:18" x14ac:dyDescent="0.25">
      <c r="A5" s="2">
        <v>1</v>
      </c>
      <c r="B5" s="2">
        <f>'Annual Model'!J5</f>
        <v>38880</v>
      </c>
      <c r="C5" s="2">
        <f t="shared" ref="C5:C14" si="9">H4</f>
        <v>24000</v>
      </c>
      <c r="D5" s="2">
        <f>F5*Assumptions!$B$29</f>
        <v>24000</v>
      </c>
      <c r="E5" s="2">
        <f t="shared" si="0"/>
        <v>38880</v>
      </c>
      <c r="F5" s="2">
        <f t="shared" ref="F5:F14" si="10">I4</f>
        <v>300000</v>
      </c>
      <c r="G5" s="2">
        <f t="shared" si="1"/>
        <v>0</v>
      </c>
      <c r="H5" s="2">
        <f t="shared" si="2"/>
        <v>9120</v>
      </c>
      <c r="I5" s="2">
        <f t="shared" si="3"/>
        <v>300000</v>
      </c>
      <c r="J5" s="2">
        <f t="shared" si="4"/>
        <v>0</v>
      </c>
      <c r="K5" s="2">
        <f t="shared" ref="K5:K14" si="11">M4</f>
        <v>1200000</v>
      </c>
      <c r="L5" s="2">
        <f>IF(Assumptions!$B$31=1,MIN(J5,K5),0)</f>
        <v>0</v>
      </c>
      <c r="M5" s="2">
        <f t="shared" si="5"/>
        <v>1200000</v>
      </c>
      <c r="N5" s="2">
        <f>MAX(0,J5-L5)*Assumptions!$B$32</f>
        <v>0</v>
      </c>
      <c r="O5" s="2">
        <f>MAX(0,J5-L5)*Assumptions!$B$33</f>
        <v>0</v>
      </c>
      <c r="P5" s="2">
        <f t="shared" si="6"/>
        <v>38880</v>
      </c>
      <c r="Q5" s="2">
        <f t="shared" si="7"/>
        <v>0</v>
      </c>
      <c r="R5" s="2">
        <f t="shared" si="8"/>
        <v>0</v>
      </c>
    </row>
    <row r="6" spans="1:18" x14ac:dyDescent="0.25">
      <c r="A6" s="2">
        <v>2</v>
      </c>
      <c r="B6" s="2">
        <f>'Annual Model'!J6</f>
        <v>23015.494167548823</v>
      </c>
      <c r="C6" s="2">
        <f t="shared" si="9"/>
        <v>9120</v>
      </c>
      <c r="D6" s="2">
        <f>F6*Assumptions!$B$29</f>
        <v>24000</v>
      </c>
      <c r="E6" s="2">
        <f t="shared" si="0"/>
        <v>23015.494167548823</v>
      </c>
      <c r="F6" s="2">
        <f t="shared" si="10"/>
        <v>300000</v>
      </c>
      <c r="G6" s="2">
        <f t="shared" si="1"/>
        <v>0</v>
      </c>
      <c r="H6" s="2">
        <f t="shared" si="2"/>
        <v>10104.505832451177</v>
      </c>
      <c r="I6" s="2">
        <f t="shared" si="3"/>
        <v>300000</v>
      </c>
      <c r="J6" s="2">
        <f t="shared" si="4"/>
        <v>0</v>
      </c>
      <c r="K6" s="2">
        <f t="shared" si="11"/>
        <v>1200000</v>
      </c>
      <c r="L6" s="2">
        <f>IF(Assumptions!$B$31=1,MIN(J6,K6),0)</f>
        <v>0</v>
      </c>
      <c r="M6" s="2">
        <f t="shared" si="5"/>
        <v>1200000</v>
      </c>
      <c r="N6" s="2">
        <f>MAX(0,J6-L6)*Assumptions!$B$32</f>
        <v>0</v>
      </c>
      <c r="O6" s="2">
        <f>MAX(0,J6-L6)*Assumptions!$B$33</f>
        <v>0</v>
      </c>
      <c r="P6" s="2">
        <f t="shared" si="6"/>
        <v>23015.494167548823</v>
      </c>
      <c r="Q6" s="2">
        <f t="shared" si="7"/>
        <v>0</v>
      </c>
      <c r="R6" s="2">
        <f t="shared" si="8"/>
        <v>0</v>
      </c>
    </row>
    <row r="7" spans="1:18" x14ac:dyDescent="0.25">
      <c r="A7" s="2">
        <v>3</v>
      </c>
      <c r="B7" s="2">
        <f>'Annual Model'!J7</f>
        <v>25184.998167548838</v>
      </c>
      <c r="C7" s="2">
        <f t="shared" si="9"/>
        <v>10104.505832451177</v>
      </c>
      <c r="D7" s="2">
        <f>F7*Assumptions!$B$29</f>
        <v>24000</v>
      </c>
      <c r="E7" s="2">
        <f t="shared" si="0"/>
        <v>25184.998167548838</v>
      </c>
      <c r="F7" s="2">
        <f t="shared" si="10"/>
        <v>300000</v>
      </c>
      <c r="G7" s="2">
        <f t="shared" si="1"/>
        <v>0</v>
      </c>
      <c r="H7" s="2">
        <f t="shared" si="2"/>
        <v>8919.5076649023395</v>
      </c>
      <c r="I7" s="2">
        <f t="shared" si="3"/>
        <v>300000</v>
      </c>
      <c r="J7" s="2">
        <f t="shared" si="4"/>
        <v>0</v>
      </c>
      <c r="K7" s="2">
        <f t="shared" si="11"/>
        <v>1200000</v>
      </c>
      <c r="L7" s="2">
        <f>IF(Assumptions!$B$31=1,MIN(J7,K7),0)</f>
        <v>0</v>
      </c>
      <c r="M7" s="2">
        <f t="shared" si="5"/>
        <v>1200000</v>
      </c>
      <c r="N7" s="2">
        <f>MAX(0,J7-L7)*Assumptions!$B$32</f>
        <v>0</v>
      </c>
      <c r="O7" s="2">
        <f>MAX(0,J7-L7)*Assumptions!$B$33</f>
        <v>0</v>
      </c>
      <c r="P7" s="2">
        <f t="shared" si="6"/>
        <v>25184.998167548838</v>
      </c>
      <c r="Q7" s="2">
        <f t="shared" si="7"/>
        <v>0</v>
      </c>
      <c r="R7" s="2">
        <f t="shared" si="8"/>
        <v>0</v>
      </c>
    </row>
    <row r="8" spans="1:18" x14ac:dyDescent="0.25">
      <c r="A8" s="2">
        <v>4</v>
      </c>
      <c r="B8" s="2">
        <f>'Annual Model'!J8</f>
        <v>1133734.8660779488</v>
      </c>
      <c r="C8" s="2">
        <f t="shared" si="9"/>
        <v>8919.5076649023395</v>
      </c>
      <c r="D8" s="2">
        <f>F8*Assumptions!$B$29</f>
        <v>24000</v>
      </c>
      <c r="E8" s="2">
        <f t="shared" si="0"/>
        <v>32919.507664902339</v>
      </c>
      <c r="F8" s="2">
        <f t="shared" si="10"/>
        <v>300000</v>
      </c>
      <c r="G8" s="2">
        <f t="shared" si="1"/>
        <v>300000</v>
      </c>
      <c r="H8" s="2">
        <f t="shared" si="2"/>
        <v>0</v>
      </c>
      <c r="I8" s="2">
        <f t="shared" si="3"/>
        <v>0</v>
      </c>
      <c r="J8" s="2">
        <f t="shared" si="4"/>
        <v>800815.35841304646</v>
      </c>
      <c r="K8" s="2">
        <f t="shared" si="11"/>
        <v>1200000</v>
      </c>
      <c r="L8" s="2">
        <f>IF(Assumptions!$B$31=1,MIN(J8,K8),0)</f>
        <v>800815.35841304646</v>
      </c>
      <c r="M8" s="2">
        <f t="shared" si="5"/>
        <v>399184.64158695354</v>
      </c>
      <c r="N8" s="2">
        <f>MAX(0,J8-L8)*Assumptions!$B$32</f>
        <v>0</v>
      </c>
      <c r="O8" s="2">
        <f>MAX(0,J8-L8)*Assumptions!$B$33</f>
        <v>0</v>
      </c>
      <c r="P8" s="2">
        <f t="shared" si="6"/>
        <v>332919.50766490237</v>
      </c>
      <c r="Q8" s="2">
        <f t="shared" si="7"/>
        <v>800815.35841304646</v>
      </c>
      <c r="R8" s="2">
        <f t="shared" si="8"/>
        <v>0</v>
      </c>
    </row>
    <row r="9" spans="1:18" x14ac:dyDescent="0.25">
      <c r="A9" s="2">
        <v>5</v>
      </c>
      <c r="B9" s="2">
        <f>'Annual Model'!J9</f>
        <v>79022.519913600001</v>
      </c>
      <c r="C9" s="2">
        <f t="shared" si="9"/>
        <v>0</v>
      </c>
      <c r="D9" s="2">
        <f>F9*Assumptions!$B$29</f>
        <v>0</v>
      </c>
      <c r="E9" s="2">
        <f t="shared" si="0"/>
        <v>0</v>
      </c>
      <c r="F9" s="2">
        <f t="shared" si="10"/>
        <v>0</v>
      </c>
      <c r="G9" s="2">
        <f t="shared" si="1"/>
        <v>0</v>
      </c>
      <c r="H9" s="2">
        <f t="shared" si="2"/>
        <v>0</v>
      </c>
      <c r="I9" s="2">
        <f t="shared" si="3"/>
        <v>0</v>
      </c>
      <c r="J9" s="2">
        <f t="shared" si="4"/>
        <v>79022.519913600001</v>
      </c>
      <c r="K9" s="2">
        <f t="shared" si="11"/>
        <v>399184.64158695354</v>
      </c>
      <c r="L9" s="2">
        <f>IF(Assumptions!$B$31=1,MIN(J9,K9),0)</f>
        <v>79022.519913600001</v>
      </c>
      <c r="M9" s="2">
        <f t="shared" si="5"/>
        <v>320162.12167335354</v>
      </c>
      <c r="N9" s="2">
        <f>MAX(0,J9-L9)*Assumptions!$B$32</f>
        <v>0</v>
      </c>
      <c r="O9" s="2">
        <f>MAX(0,J9-L9)*Assumptions!$B$33</f>
        <v>0</v>
      </c>
      <c r="P9" s="2">
        <f t="shared" si="6"/>
        <v>0</v>
      </c>
      <c r="Q9" s="2">
        <f t="shared" si="7"/>
        <v>79022.519913600001</v>
      </c>
      <c r="R9" s="2">
        <f t="shared" si="8"/>
        <v>0</v>
      </c>
    </row>
    <row r="10" spans="1:18" x14ac:dyDescent="0.25">
      <c r="A10" s="2">
        <v>6</v>
      </c>
      <c r="B10" s="2">
        <f>'Annual Model'!J10</f>
        <v>81393.195511008002</v>
      </c>
      <c r="C10" s="2">
        <f t="shared" si="9"/>
        <v>0</v>
      </c>
      <c r="D10" s="2">
        <f>F10*Assumptions!$B$29</f>
        <v>0</v>
      </c>
      <c r="E10" s="2">
        <f t="shared" si="0"/>
        <v>0</v>
      </c>
      <c r="F10" s="2">
        <f t="shared" si="10"/>
        <v>0</v>
      </c>
      <c r="G10" s="2">
        <f t="shared" si="1"/>
        <v>0</v>
      </c>
      <c r="H10" s="2">
        <f t="shared" si="2"/>
        <v>0</v>
      </c>
      <c r="I10" s="2">
        <f t="shared" si="3"/>
        <v>0</v>
      </c>
      <c r="J10" s="2">
        <f t="shared" si="4"/>
        <v>81393.195511008002</v>
      </c>
      <c r="K10" s="2">
        <f t="shared" si="11"/>
        <v>320162.12167335354</v>
      </c>
      <c r="L10" s="2">
        <f>IF(Assumptions!$B$31=1,MIN(J10,K10),0)</f>
        <v>81393.195511008002</v>
      </c>
      <c r="M10" s="2">
        <f t="shared" si="5"/>
        <v>238768.92616234554</v>
      </c>
      <c r="N10" s="2">
        <f>MAX(0,J10-L10)*Assumptions!$B$32</f>
        <v>0</v>
      </c>
      <c r="O10" s="2">
        <f>MAX(0,J10-L10)*Assumptions!$B$33</f>
        <v>0</v>
      </c>
      <c r="P10" s="2">
        <f t="shared" si="6"/>
        <v>0</v>
      </c>
      <c r="Q10" s="2">
        <f t="shared" si="7"/>
        <v>81393.195511008002</v>
      </c>
      <c r="R10" s="2">
        <f t="shared" si="8"/>
        <v>0</v>
      </c>
    </row>
    <row r="11" spans="1:18" x14ac:dyDescent="0.25">
      <c r="A11" s="2">
        <v>7</v>
      </c>
      <c r="B11" s="2">
        <f>'Annual Model'!J11</f>
        <v>83834.991376338236</v>
      </c>
      <c r="C11" s="2">
        <f t="shared" si="9"/>
        <v>0</v>
      </c>
      <c r="D11" s="2">
        <f>F11*Assumptions!$B$29</f>
        <v>0</v>
      </c>
      <c r="E11" s="2">
        <f t="shared" si="0"/>
        <v>0</v>
      </c>
      <c r="F11" s="2">
        <f t="shared" si="10"/>
        <v>0</v>
      </c>
      <c r="G11" s="2">
        <f t="shared" si="1"/>
        <v>0</v>
      </c>
      <c r="H11" s="2">
        <f t="shared" si="2"/>
        <v>0</v>
      </c>
      <c r="I11" s="2">
        <f t="shared" si="3"/>
        <v>0</v>
      </c>
      <c r="J11" s="2">
        <f t="shared" si="4"/>
        <v>83834.991376338236</v>
      </c>
      <c r="K11" s="2">
        <f t="shared" si="11"/>
        <v>238768.92616234554</v>
      </c>
      <c r="L11" s="2">
        <f>IF(Assumptions!$B$31=1,MIN(J11,K11),0)</f>
        <v>83834.991376338236</v>
      </c>
      <c r="M11" s="2">
        <f t="shared" si="5"/>
        <v>154933.9347860073</v>
      </c>
      <c r="N11" s="2">
        <f>MAX(0,J11-L11)*Assumptions!$B$32</f>
        <v>0</v>
      </c>
      <c r="O11" s="2">
        <f>MAX(0,J11-L11)*Assumptions!$B$33</f>
        <v>0</v>
      </c>
      <c r="P11" s="2">
        <f t="shared" si="6"/>
        <v>0</v>
      </c>
      <c r="Q11" s="2">
        <f t="shared" si="7"/>
        <v>83834.991376338236</v>
      </c>
      <c r="R11" s="2">
        <f t="shared" si="8"/>
        <v>0</v>
      </c>
    </row>
    <row r="12" spans="1:18" x14ac:dyDescent="0.25">
      <c r="A12" s="2">
        <v>8</v>
      </c>
      <c r="B12" s="2">
        <f>'Annual Model'!J12</f>
        <v>86350.041117628396</v>
      </c>
      <c r="C12" s="2">
        <f t="shared" si="9"/>
        <v>0</v>
      </c>
      <c r="D12" s="2">
        <f>F12*Assumptions!$B$29</f>
        <v>0</v>
      </c>
      <c r="E12" s="2">
        <f t="shared" si="0"/>
        <v>0</v>
      </c>
      <c r="F12" s="2">
        <f t="shared" si="10"/>
        <v>0</v>
      </c>
      <c r="G12" s="2">
        <f t="shared" si="1"/>
        <v>0</v>
      </c>
      <c r="H12" s="2">
        <f t="shared" si="2"/>
        <v>0</v>
      </c>
      <c r="I12" s="2">
        <f t="shared" si="3"/>
        <v>0</v>
      </c>
      <c r="J12" s="2">
        <f t="shared" si="4"/>
        <v>86350.041117628396</v>
      </c>
      <c r="K12" s="2">
        <f t="shared" si="11"/>
        <v>154933.9347860073</v>
      </c>
      <c r="L12" s="2">
        <f>IF(Assumptions!$B$31=1,MIN(J12,K12),0)</f>
        <v>86350.041117628396</v>
      </c>
      <c r="M12" s="2">
        <f t="shared" si="5"/>
        <v>68583.893668378907</v>
      </c>
      <c r="N12" s="2">
        <f>MAX(0,J12-L12)*Assumptions!$B$32</f>
        <v>0</v>
      </c>
      <c r="O12" s="2">
        <f>MAX(0,J12-L12)*Assumptions!$B$33</f>
        <v>0</v>
      </c>
      <c r="P12" s="2">
        <f t="shared" si="6"/>
        <v>0</v>
      </c>
      <c r="Q12" s="2">
        <f t="shared" si="7"/>
        <v>86350.041117628396</v>
      </c>
      <c r="R12" s="2">
        <f t="shared" si="8"/>
        <v>0</v>
      </c>
    </row>
    <row r="13" spans="1:18" x14ac:dyDescent="0.25">
      <c r="A13" s="2">
        <v>9</v>
      </c>
      <c r="B13" s="2">
        <f>'Annual Model'!J13</f>
        <v>88940.542351157244</v>
      </c>
      <c r="C13" s="2">
        <f t="shared" si="9"/>
        <v>0</v>
      </c>
      <c r="D13" s="2">
        <f>F13*Assumptions!$B$29</f>
        <v>0</v>
      </c>
      <c r="E13" s="2">
        <f t="shared" si="0"/>
        <v>0</v>
      </c>
      <c r="F13" s="2">
        <f t="shared" si="10"/>
        <v>0</v>
      </c>
      <c r="G13" s="2">
        <f t="shared" si="1"/>
        <v>0</v>
      </c>
      <c r="H13" s="2">
        <f t="shared" si="2"/>
        <v>0</v>
      </c>
      <c r="I13" s="2">
        <f t="shared" si="3"/>
        <v>0</v>
      </c>
      <c r="J13" s="2">
        <f t="shared" si="4"/>
        <v>88940.542351157244</v>
      </c>
      <c r="K13" s="2">
        <f t="shared" si="11"/>
        <v>68583.893668378907</v>
      </c>
      <c r="L13" s="2">
        <f>IF(Assumptions!$B$31=1,MIN(J13,K13),0)</f>
        <v>68583.893668378907</v>
      </c>
      <c r="M13" s="2">
        <f t="shared" si="5"/>
        <v>0</v>
      </c>
      <c r="N13" s="2">
        <f>MAX(0,J13-L13)*Assumptions!$B$32</f>
        <v>8142.6594731113355</v>
      </c>
      <c r="O13" s="2">
        <f>MAX(0,J13-L13)*Assumptions!$B$33</f>
        <v>12213.989209667003</v>
      </c>
      <c r="P13" s="2">
        <f t="shared" si="6"/>
        <v>0</v>
      </c>
      <c r="Q13" s="2">
        <f t="shared" si="7"/>
        <v>76726.553141490236</v>
      </c>
      <c r="R13" s="2">
        <f t="shared" si="8"/>
        <v>12213.989209667003</v>
      </c>
    </row>
    <row r="14" spans="1:18" x14ac:dyDescent="0.25">
      <c r="A14" s="2">
        <v>10</v>
      </c>
      <c r="B14" s="2">
        <f>'Annual Model'!J14</f>
        <v>91608.75862169193</v>
      </c>
      <c r="C14" s="2">
        <f t="shared" si="9"/>
        <v>0</v>
      </c>
      <c r="D14" s="2">
        <f>F14*Assumptions!$B$29</f>
        <v>0</v>
      </c>
      <c r="E14" s="2">
        <f t="shared" si="0"/>
        <v>0</v>
      </c>
      <c r="F14" s="2">
        <f t="shared" si="10"/>
        <v>0</v>
      </c>
      <c r="G14" s="2">
        <f t="shared" si="1"/>
        <v>0</v>
      </c>
      <c r="H14" s="2">
        <f t="shared" si="2"/>
        <v>0</v>
      </c>
      <c r="I14" s="2">
        <f t="shared" si="3"/>
        <v>0</v>
      </c>
      <c r="J14" s="2">
        <f t="shared" si="4"/>
        <v>91608.75862169193</v>
      </c>
      <c r="K14" s="2">
        <f t="shared" si="11"/>
        <v>0</v>
      </c>
      <c r="L14" s="2">
        <f>IF(Assumptions!$B$31=1,MIN(J14,K14),0)</f>
        <v>0</v>
      </c>
      <c r="M14" s="2">
        <f t="shared" si="5"/>
        <v>0</v>
      </c>
      <c r="N14" s="2">
        <f>MAX(0,J14-L14)*Assumptions!$B$32</f>
        <v>36643.503448676776</v>
      </c>
      <c r="O14" s="2">
        <f>MAX(0,J14-L14)*Assumptions!$B$33</f>
        <v>54965.255173015154</v>
      </c>
      <c r="P14" s="2">
        <f t="shared" si="6"/>
        <v>0</v>
      </c>
      <c r="Q14" s="2">
        <f t="shared" si="7"/>
        <v>36643.503448676776</v>
      </c>
      <c r="R14" s="2">
        <f t="shared" si="8"/>
        <v>54965.255173015154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9"/>
  <sheetViews>
    <sheetView workbookViewId="0">
      <selection activeCell="B5" sqref="B5"/>
    </sheetView>
  </sheetViews>
  <sheetFormatPr defaultRowHeight="15" x14ac:dyDescent="0.25"/>
  <cols>
    <col min="1" max="1" width="16.140625" customWidth="1"/>
    <col min="2" max="2" width="10.85546875" customWidth="1"/>
    <col min="3" max="3" width="12.42578125" customWidth="1"/>
    <col min="4" max="4" width="9.7109375" bestFit="1" customWidth="1"/>
    <col min="5" max="5" width="8.7109375" bestFit="1" customWidth="1"/>
    <col min="6" max="6" width="6.140625" bestFit="1" customWidth="1"/>
    <col min="7" max="7" width="3.85546875" bestFit="1" customWidth="1"/>
    <col min="8" max="8" width="9.85546875" bestFit="1" customWidth="1"/>
    <col min="9" max="11" width="6.5703125" bestFit="1" customWidth="1"/>
    <col min="12" max="12" width="7.5703125" bestFit="1" customWidth="1"/>
    <col min="13" max="17" width="6.5703125" bestFit="1" customWidth="1"/>
    <col min="18" max="18" width="7.28515625" bestFit="1" customWidth="1"/>
  </cols>
  <sheetData>
    <row r="1" spans="1:20" ht="18.75" x14ac:dyDescent="0.3">
      <c r="A1" s="18" t="s">
        <v>93</v>
      </c>
      <c r="B1" s="17"/>
      <c r="C1" s="17"/>
      <c r="D1" s="17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20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20" s="3" customFormat="1" ht="30" x14ac:dyDescent="0.25">
      <c r="A3" s="8" t="s">
        <v>94</v>
      </c>
      <c r="B3" s="8" t="s">
        <v>95</v>
      </c>
      <c r="C3" s="8" t="s">
        <v>96</v>
      </c>
      <c r="D3" s="8" t="s">
        <v>97</v>
      </c>
      <c r="E3" s="8" t="s">
        <v>98</v>
      </c>
      <c r="F3" s="8" t="s">
        <v>99</v>
      </c>
      <c r="G3" s="8" t="s">
        <v>100</v>
      </c>
      <c r="H3" s="8" t="s">
        <v>101</v>
      </c>
      <c r="I3" s="8" t="s">
        <v>102</v>
      </c>
      <c r="J3" s="8" t="s">
        <v>103</v>
      </c>
      <c r="K3" s="8" t="s">
        <v>104</v>
      </c>
      <c r="L3" s="8" t="s">
        <v>105</v>
      </c>
      <c r="M3" s="9" t="s">
        <v>106</v>
      </c>
      <c r="N3" s="9" t="s">
        <v>107</v>
      </c>
      <c r="O3" s="9" t="s">
        <v>108</v>
      </c>
      <c r="P3" s="9" t="s">
        <v>109</v>
      </c>
      <c r="Q3" s="9" t="s">
        <v>110</v>
      </c>
      <c r="R3" s="9" t="s">
        <v>111</v>
      </c>
    </row>
    <row r="4" spans="1:20" x14ac:dyDescent="0.25">
      <c r="A4" s="2" t="s">
        <v>112</v>
      </c>
      <c r="B4" s="2">
        <f>Assumptions!$B$28</f>
        <v>300000</v>
      </c>
      <c r="C4" s="2">
        <f>SUM(Waterfall!P4:P14)</f>
        <v>420000</v>
      </c>
      <c r="D4" s="2">
        <f>C4-B4</f>
        <v>120000</v>
      </c>
      <c r="E4" s="2">
        <f>C4/B4</f>
        <v>1.4</v>
      </c>
      <c r="F4" s="2">
        <f>D4/B4</f>
        <v>0.4</v>
      </c>
      <c r="G4" s="2">
        <f>IRR(H4:R4)</f>
        <v>0.10071725627958328</v>
      </c>
      <c r="H4" s="2">
        <f>-B4</f>
        <v>-300000</v>
      </c>
      <c r="I4" s="2">
        <f>Waterfall!P5</f>
        <v>38880</v>
      </c>
      <c r="J4" s="2">
        <f>Waterfall!P6</f>
        <v>23015.494167548823</v>
      </c>
      <c r="K4" s="2">
        <f>Waterfall!P7</f>
        <v>25184.998167548838</v>
      </c>
      <c r="L4" s="2">
        <f>Waterfall!P8</f>
        <v>332919.50766490237</v>
      </c>
      <c r="M4" s="2">
        <f>Waterfall!P9</f>
        <v>0</v>
      </c>
      <c r="N4" s="2">
        <f>Waterfall!P10</f>
        <v>0</v>
      </c>
      <c r="O4" s="2">
        <f>Waterfall!P11</f>
        <v>0</v>
      </c>
      <c r="P4" s="2">
        <f>Waterfall!P12</f>
        <v>0</v>
      </c>
      <c r="Q4" s="2">
        <f>Waterfall!P13</f>
        <v>0</v>
      </c>
      <c r="R4" s="2">
        <f>Waterfall!P14</f>
        <v>0</v>
      </c>
    </row>
    <row r="5" spans="1:20" x14ac:dyDescent="0.25">
      <c r="A5" s="2" t="s">
        <v>113</v>
      </c>
      <c r="B5" s="2">
        <f>Assumptions!$B$30</f>
        <v>1200000</v>
      </c>
      <c r="C5" s="2">
        <f>SUM(Waterfall!Q4:Q14)</f>
        <v>1244786.1629217882</v>
      </c>
      <c r="D5" s="2">
        <f>C5-B5</f>
        <v>44786.162921788171</v>
      </c>
      <c r="E5" s="2">
        <f>IFERROR(C5/B5,0)</f>
        <v>1.0373218024348234</v>
      </c>
      <c r="F5" s="2">
        <f>IFERROR(D5/B5,0)</f>
        <v>3.7321802434823477E-2</v>
      </c>
      <c r="G5" s="2">
        <f>IFERROR(IRR(H5:R5),0)</f>
        <v>7.1446495454470238E-3</v>
      </c>
      <c r="H5" s="2">
        <f>-B5</f>
        <v>-1200000</v>
      </c>
      <c r="I5" s="2">
        <f>Waterfall!Q5</f>
        <v>0</v>
      </c>
      <c r="J5" s="2">
        <f>Waterfall!Q6</f>
        <v>0</v>
      </c>
      <c r="K5" s="2">
        <f>Waterfall!Q7</f>
        <v>0</v>
      </c>
      <c r="L5" s="2">
        <f>Waterfall!Q8</f>
        <v>800815.35841304646</v>
      </c>
      <c r="M5" s="2">
        <f>Waterfall!Q9</f>
        <v>79022.519913600001</v>
      </c>
      <c r="N5" s="2">
        <f>Waterfall!Q10</f>
        <v>81393.195511008002</v>
      </c>
      <c r="O5" s="2">
        <f>Waterfall!Q11</f>
        <v>83834.991376338236</v>
      </c>
      <c r="P5" s="2">
        <f>Waterfall!Q12</f>
        <v>86350.041117628396</v>
      </c>
      <c r="Q5" s="2">
        <f>Waterfall!Q13</f>
        <v>76726.553141490236</v>
      </c>
      <c r="R5" s="2">
        <f>Waterfall!Q14</f>
        <v>36643.503448676776</v>
      </c>
    </row>
    <row r="6" spans="1:20" x14ac:dyDescent="0.25">
      <c r="A6" s="2" t="s">
        <v>114</v>
      </c>
      <c r="B6" s="2">
        <f>Assumptions!$B$34</f>
        <v>150000</v>
      </c>
      <c r="C6" s="2">
        <f>SUM(Waterfall!R4:R14)</f>
        <v>67179.244382682155</v>
      </c>
      <c r="D6" s="2">
        <f>C6-B6</f>
        <v>-82820.755617317845</v>
      </c>
      <c r="E6" s="2">
        <f>IFERROR(C6/B6,0)</f>
        <v>0.44786162921788103</v>
      </c>
      <c r="F6" s="2">
        <f>IFERROR(D6/B6,0)</f>
        <v>-0.55213837078211891</v>
      </c>
      <c r="G6" s="2">
        <f>IFERROR(IRR(H6:R6),0)</f>
        <v>-7.8511343309024206E-2</v>
      </c>
      <c r="H6" s="2">
        <f>-B6</f>
        <v>-150000</v>
      </c>
      <c r="I6" s="2">
        <f>Waterfall!R5</f>
        <v>0</v>
      </c>
      <c r="J6" s="2">
        <f>Waterfall!R6</f>
        <v>0</v>
      </c>
      <c r="K6" s="2">
        <f>Waterfall!R7</f>
        <v>0</v>
      </c>
      <c r="L6" s="2">
        <f>Waterfall!R8</f>
        <v>0</v>
      </c>
      <c r="M6" s="2">
        <f>Waterfall!R9</f>
        <v>0</v>
      </c>
      <c r="N6" s="2">
        <f>Waterfall!R10</f>
        <v>0</v>
      </c>
      <c r="O6" s="2">
        <f>Waterfall!R11</f>
        <v>0</v>
      </c>
      <c r="P6" s="2">
        <f>Waterfall!R12</f>
        <v>0</v>
      </c>
      <c r="Q6" s="2">
        <f>Waterfall!R13</f>
        <v>12213.989209667003</v>
      </c>
      <c r="R6" s="2">
        <f>Waterfall!R14</f>
        <v>54965.255173015154</v>
      </c>
    </row>
    <row r="7" spans="1:20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20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20" x14ac:dyDescent="0.25">
      <c r="A9" s="6" t="s">
        <v>115</v>
      </c>
      <c r="B9" s="16" t="s">
        <v>116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</row>
  </sheetData>
  <mergeCells count="2">
    <mergeCell ref="B9:T9"/>
    <mergeCell ref="A1:D1"/>
  </mergeCells>
  <pageMargins left="0.7" right="0.7" top="0.75" bottom="0.75" header="0.3" footer="0.3"/>
  <pageSetup orientation="portrait" horizontalDpi="4800" verticalDpi="48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defaultRowHeight="15" x14ac:dyDescent="0.25"/>
  <cols>
    <col min="1" max="1" width="16.7109375" bestFit="1" customWidth="1"/>
    <col min="2" max="2" width="148.5703125" bestFit="1" customWidth="1"/>
  </cols>
  <sheetData>
    <row r="1" spans="1:2" ht="18.75" x14ac:dyDescent="0.3">
      <c r="A1" s="4" t="s">
        <v>117</v>
      </c>
      <c r="B1" s="2"/>
    </row>
    <row r="2" spans="1:2" x14ac:dyDescent="0.25">
      <c r="A2" s="2"/>
      <c r="B2" s="2"/>
    </row>
    <row r="3" spans="1:2" x14ac:dyDescent="0.25">
      <c r="A3" s="6" t="s">
        <v>118</v>
      </c>
      <c r="B3" s="2" t="s">
        <v>119</v>
      </c>
    </row>
    <row r="4" spans="1:2" x14ac:dyDescent="0.25">
      <c r="A4" s="6" t="s">
        <v>120</v>
      </c>
      <c r="B4" s="2" t="s">
        <v>121</v>
      </c>
    </row>
    <row r="5" spans="1:2" x14ac:dyDescent="0.25">
      <c r="A5" s="6" t="s">
        <v>112</v>
      </c>
      <c r="B5" s="2" t="s">
        <v>122</v>
      </c>
    </row>
    <row r="6" spans="1:2" x14ac:dyDescent="0.25">
      <c r="A6" s="6" t="s">
        <v>113</v>
      </c>
      <c r="B6" s="2" t="s">
        <v>123</v>
      </c>
    </row>
    <row r="7" spans="1:2" x14ac:dyDescent="0.25">
      <c r="A7" s="6" t="s">
        <v>114</v>
      </c>
      <c r="B7" s="2" t="s">
        <v>124</v>
      </c>
    </row>
    <row r="8" spans="1:2" x14ac:dyDescent="0.25">
      <c r="A8" s="6" t="s">
        <v>125</v>
      </c>
      <c r="B8" s="2" t="s">
        <v>126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6"/>
  <sheetViews>
    <sheetView tabSelected="1" topLeftCell="A2" workbookViewId="0">
      <selection activeCell="B11" sqref="B11"/>
    </sheetView>
  </sheetViews>
  <sheetFormatPr defaultRowHeight="15" x14ac:dyDescent="0.25"/>
  <cols>
    <col min="1" max="1" width="69.7109375" bestFit="1" customWidth="1"/>
    <col min="2" max="3" width="18.85546875" bestFit="1" customWidth="1"/>
  </cols>
  <sheetData>
    <row r="1" spans="1:4" x14ac:dyDescent="0.25">
      <c r="A1" s="2" t="s">
        <v>127</v>
      </c>
      <c r="B1" s="2"/>
      <c r="C1" s="2"/>
    </row>
    <row r="2" spans="1:4" x14ac:dyDescent="0.25">
      <c r="A2" s="2" t="s">
        <v>128</v>
      </c>
      <c r="B2" s="14" t="s">
        <v>129</v>
      </c>
      <c r="C2" s="15"/>
      <c r="D2" s="15"/>
    </row>
    <row r="3" spans="1:4" x14ac:dyDescent="0.25">
      <c r="A3" s="2" t="s">
        <v>130</v>
      </c>
      <c r="B3" s="14" t="s">
        <v>131</v>
      </c>
      <c r="C3" s="15"/>
      <c r="D3" s="15"/>
    </row>
    <row r="4" spans="1:4" x14ac:dyDescent="0.25">
      <c r="A4" s="2"/>
      <c r="B4" s="2"/>
      <c r="C4" s="2"/>
    </row>
    <row r="5" spans="1:4" x14ac:dyDescent="0.25">
      <c r="A5" s="2" t="s">
        <v>132</v>
      </c>
      <c r="B5" s="2" t="s">
        <v>133</v>
      </c>
      <c r="C5" s="2" t="s">
        <v>134</v>
      </c>
    </row>
    <row r="6" spans="1:4" x14ac:dyDescent="0.25">
      <c r="A6" s="2" t="s">
        <v>135</v>
      </c>
      <c r="B6" s="2">
        <f>Assumptions!$B$20</f>
        <v>744863.0399999998</v>
      </c>
      <c r="C6" s="2" t="s">
        <v>136</v>
      </c>
    </row>
    <row r="7" spans="1:4" x14ac:dyDescent="0.25">
      <c r="A7" s="2" t="s">
        <v>137</v>
      </c>
      <c r="B7" s="2">
        <f>Assumptions!$B$21</f>
        <v>650000</v>
      </c>
      <c r="C7" s="2" t="s">
        <v>136</v>
      </c>
    </row>
    <row r="8" spans="1:4" x14ac:dyDescent="0.25">
      <c r="A8" s="2" t="s">
        <v>138</v>
      </c>
      <c r="B8" s="2">
        <f>Assumptions!$B$28</f>
        <v>300000</v>
      </c>
      <c r="C8" s="2" t="s">
        <v>136</v>
      </c>
    </row>
    <row r="9" spans="1:4" x14ac:dyDescent="0.25">
      <c r="A9" s="2" t="s">
        <v>139</v>
      </c>
      <c r="B9" s="2">
        <f>Assumptions!$B$30</f>
        <v>1200000</v>
      </c>
      <c r="C9" s="2" t="s">
        <v>136</v>
      </c>
    </row>
    <row r="10" spans="1:4" x14ac:dyDescent="0.25">
      <c r="A10" s="2" t="s">
        <v>140</v>
      </c>
      <c r="B10" s="2">
        <f>Assumptions!$B$34</f>
        <v>150000</v>
      </c>
      <c r="C10" s="2" t="s">
        <v>136</v>
      </c>
    </row>
    <row r="11" spans="1:4" x14ac:dyDescent="0.25">
      <c r="A11" s="2" t="s">
        <v>168</v>
      </c>
      <c r="B11" s="2">
        <f>B8+B9</f>
        <v>1500000</v>
      </c>
      <c r="C11" s="2" t="s">
        <v>169</v>
      </c>
    </row>
    <row r="12" spans="1:4" x14ac:dyDescent="0.25">
      <c r="A12" s="2"/>
      <c r="B12" s="2"/>
      <c r="C12" s="2"/>
    </row>
    <row r="13" spans="1:4" x14ac:dyDescent="0.25">
      <c r="A13" s="2" t="s">
        <v>170</v>
      </c>
      <c r="B13" s="2" t="s">
        <v>141</v>
      </c>
      <c r="C13" s="2" t="s">
        <v>142</v>
      </c>
    </row>
    <row r="14" spans="1:4" x14ac:dyDescent="0.25">
      <c r="A14" s="2" t="s">
        <v>208</v>
      </c>
      <c r="B14" s="2">
        <v>750000</v>
      </c>
      <c r="C14" s="2">
        <v>1500000</v>
      </c>
    </row>
    <row r="15" spans="1:4" x14ac:dyDescent="0.25">
      <c r="A15" s="2" t="s">
        <v>171</v>
      </c>
      <c r="B15" s="2">
        <v>1880000</v>
      </c>
      <c r="C15" s="2">
        <v>4160000</v>
      </c>
    </row>
    <row r="16" spans="1:4" x14ac:dyDescent="0.25">
      <c r="A16" s="2" t="s">
        <v>172</v>
      </c>
      <c r="B16" s="2" t="s">
        <v>173</v>
      </c>
      <c r="C16" s="2" t="s">
        <v>174</v>
      </c>
    </row>
    <row r="17" spans="1:3" x14ac:dyDescent="0.25">
      <c r="A17" s="2" t="s">
        <v>218</v>
      </c>
      <c r="B17" s="2">
        <f>B68</f>
        <v>750000</v>
      </c>
      <c r="C17" s="2">
        <f>C68</f>
        <v>1500000</v>
      </c>
    </row>
    <row r="18" spans="1:3" x14ac:dyDescent="0.25">
      <c r="A18" s="2"/>
      <c r="B18" s="2"/>
      <c r="C18" s="2"/>
    </row>
    <row r="19" spans="1:3" x14ac:dyDescent="0.25">
      <c r="A19" s="2" t="s">
        <v>144</v>
      </c>
      <c r="B19" s="2" t="s">
        <v>141</v>
      </c>
      <c r="C19" s="2" t="s">
        <v>142</v>
      </c>
    </row>
    <row r="20" spans="1:3" x14ac:dyDescent="0.25">
      <c r="A20" s="2" t="s">
        <v>143</v>
      </c>
      <c r="B20" s="2">
        <f>B17</f>
        <v>750000</v>
      </c>
      <c r="C20" s="2">
        <f>C17</f>
        <v>1500000</v>
      </c>
    </row>
    <row r="21" spans="1:3" x14ac:dyDescent="0.25">
      <c r="A21" s="2" t="s">
        <v>175</v>
      </c>
      <c r="B21" s="2">
        <f>B11</f>
        <v>1500000</v>
      </c>
      <c r="C21" s="2">
        <f>B11</f>
        <v>1500000</v>
      </c>
    </row>
    <row r="22" spans="1:3" x14ac:dyDescent="0.25">
      <c r="A22" s="2" t="s">
        <v>145</v>
      </c>
      <c r="B22" s="2">
        <f>MAX(0,B20-B21)</f>
        <v>0</v>
      </c>
      <c r="C22" s="2">
        <f>MAX(0,C20-C21)</f>
        <v>0</v>
      </c>
    </row>
    <row r="23" spans="1:3" x14ac:dyDescent="0.25">
      <c r="A23" s="2"/>
      <c r="B23" s="2"/>
      <c r="C23" s="2"/>
    </row>
    <row r="24" spans="1:3" x14ac:dyDescent="0.25">
      <c r="A24" s="20" t="s">
        <v>219</v>
      </c>
      <c r="B24" s="19" t="s">
        <v>141</v>
      </c>
      <c r="C24" s="19" t="s">
        <v>142</v>
      </c>
    </row>
    <row r="25" spans="1:3" x14ac:dyDescent="0.25">
      <c r="A25" s="19" t="s">
        <v>146</v>
      </c>
      <c r="B25" s="19">
        <v>35000</v>
      </c>
      <c r="C25" s="19">
        <v>90000</v>
      </c>
    </row>
    <row r="26" spans="1:3" x14ac:dyDescent="0.25">
      <c r="A26" s="19" t="s">
        <v>147</v>
      </c>
      <c r="B26" s="19">
        <v>20000</v>
      </c>
      <c r="C26" s="19">
        <v>60000</v>
      </c>
    </row>
    <row r="27" spans="1:3" x14ac:dyDescent="0.25">
      <c r="A27" s="19" t="s">
        <v>148</v>
      </c>
      <c r="B27" s="19">
        <v>20000</v>
      </c>
      <c r="C27" s="19">
        <v>90000</v>
      </c>
    </row>
    <row r="28" spans="1:3" x14ac:dyDescent="0.25">
      <c r="A28" s="19" t="s">
        <v>149</v>
      </c>
      <c r="B28" s="19">
        <v>10000</v>
      </c>
      <c r="C28" s="19">
        <v>30000</v>
      </c>
    </row>
    <row r="29" spans="1:3" x14ac:dyDescent="0.25">
      <c r="A29" s="19" t="s">
        <v>150</v>
      </c>
      <c r="B29" s="19">
        <v>15000</v>
      </c>
      <c r="C29" s="19">
        <v>50000</v>
      </c>
    </row>
    <row r="30" spans="1:3" x14ac:dyDescent="0.25">
      <c r="A30" s="19" t="s">
        <v>151</v>
      </c>
      <c r="B30" s="19">
        <v>15000</v>
      </c>
      <c r="C30" s="19">
        <v>40000</v>
      </c>
    </row>
    <row r="31" spans="1:3" x14ac:dyDescent="0.25">
      <c r="A31" s="19" t="s">
        <v>152</v>
      </c>
      <c r="B31" s="19">
        <v>15000</v>
      </c>
      <c r="C31" s="19">
        <v>45000</v>
      </c>
    </row>
    <row r="32" spans="1:3" x14ac:dyDescent="0.25">
      <c r="A32" s="19" t="s">
        <v>153</v>
      </c>
      <c r="B32" s="19">
        <f>SUM(B25:B31)</f>
        <v>130000</v>
      </c>
      <c r="C32" s="19">
        <f>SUM(C25:C31)</f>
        <v>405000</v>
      </c>
    </row>
    <row r="33" spans="1:3" x14ac:dyDescent="0.25">
      <c r="A33" s="19"/>
      <c r="B33" s="19"/>
      <c r="C33" s="19"/>
    </row>
    <row r="34" spans="1:3" x14ac:dyDescent="0.25">
      <c r="A34" s="19" t="s">
        <v>220</v>
      </c>
      <c r="B34" s="19" t="s">
        <v>141</v>
      </c>
      <c r="C34" s="19" t="s">
        <v>142</v>
      </c>
    </row>
    <row r="35" spans="1:3" x14ac:dyDescent="0.25">
      <c r="A35" s="19" t="s">
        <v>154</v>
      </c>
      <c r="B35" s="19">
        <v>50000</v>
      </c>
      <c r="C35" s="19">
        <v>150000</v>
      </c>
    </row>
    <row r="36" spans="1:3" x14ac:dyDescent="0.25">
      <c r="A36" s="19" t="s">
        <v>155</v>
      </c>
      <c r="B36" s="19">
        <v>40000</v>
      </c>
      <c r="C36" s="19">
        <v>120000</v>
      </c>
    </row>
    <row r="37" spans="1:3" x14ac:dyDescent="0.25">
      <c r="A37" s="19" t="s">
        <v>156</v>
      </c>
      <c r="B37" s="19">
        <v>25000</v>
      </c>
      <c r="C37" s="19">
        <v>75000</v>
      </c>
    </row>
    <row r="38" spans="1:3" x14ac:dyDescent="0.25">
      <c r="A38" s="19" t="s">
        <v>157</v>
      </c>
      <c r="B38" s="19">
        <v>10000</v>
      </c>
      <c r="C38" s="19">
        <v>30000</v>
      </c>
    </row>
    <row r="39" spans="1:3" x14ac:dyDescent="0.25">
      <c r="A39" s="19" t="s">
        <v>158</v>
      </c>
      <c r="B39" s="19">
        <v>20000</v>
      </c>
      <c r="C39" s="19">
        <v>60000</v>
      </c>
    </row>
    <row r="40" spans="1:3" x14ac:dyDescent="0.25">
      <c r="A40" s="19" t="s">
        <v>159</v>
      </c>
      <c r="B40" s="19">
        <v>40000</v>
      </c>
      <c r="C40" s="19">
        <v>125000</v>
      </c>
    </row>
    <row r="41" spans="1:3" x14ac:dyDescent="0.25">
      <c r="A41" s="19" t="s">
        <v>160</v>
      </c>
      <c r="B41" s="19">
        <f>SUM(B35:B40)</f>
        <v>185000</v>
      </c>
      <c r="C41" s="19">
        <f>SUM(C35:C40)</f>
        <v>560000</v>
      </c>
    </row>
    <row r="42" spans="1:3" x14ac:dyDescent="0.25">
      <c r="A42" s="19"/>
      <c r="B42" s="19"/>
      <c r="C42" s="19"/>
    </row>
    <row r="43" spans="1:3" x14ac:dyDescent="0.25">
      <c r="A43" s="19" t="s">
        <v>221</v>
      </c>
      <c r="B43" s="19" t="s">
        <v>141</v>
      </c>
      <c r="C43" s="19" t="s">
        <v>142</v>
      </c>
    </row>
    <row r="44" spans="1:3" x14ac:dyDescent="0.25">
      <c r="A44" s="19" t="s">
        <v>161</v>
      </c>
      <c r="B44" s="19">
        <v>1125000</v>
      </c>
      <c r="C44" s="19">
        <v>1950000</v>
      </c>
    </row>
    <row r="45" spans="1:3" x14ac:dyDescent="0.25">
      <c r="A45" s="19" t="s">
        <v>162</v>
      </c>
      <c r="B45" s="19">
        <v>125000</v>
      </c>
      <c r="C45" s="19">
        <v>350000</v>
      </c>
    </row>
    <row r="46" spans="1:3" x14ac:dyDescent="0.25">
      <c r="A46" s="19" t="s">
        <v>163</v>
      </c>
      <c r="B46" s="19">
        <v>35000</v>
      </c>
      <c r="C46" s="19">
        <v>125000</v>
      </c>
    </row>
    <row r="47" spans="1:3" x14ac:dyDescent="0.25">
      <c r="A47" s="19" t="s">
        <v>164</v>
      </c>
      <c r="B47" s="19">
        <v>75000</v>
      </c>
      <c r="C47" s="19">
        <v>300000</v>
      </c>
    </row>
    <row r="48" spans="1:3" x14ac:dyDescent="0.25">
      <c r="A48" s="19" t="s">
        <v>165</v>
      </c>
      <c r="B48" s="19">
        <v>60000</v>
      </c>
      <c r="C48" s="19">
        <v>180000</v>
      </c>
    </row>
    <row r="49" spans="1:4" x14ac:dyDescent="0.25">
      <c r="A49" s="19" t="s">
        <v>166</v>
      </c>
      <c r="B49" s="19">
        <v>145000</v>
      </c>
      <c r="C49" s="19">
        <v>290000</v>
      </c>
    </row>
    <row r="50" spans="1:4" x14ac:dyDescent="0.25">
      <c r="A50" s="19" t="s">
        <v>167</v>
      </c>
      <c r="B50" s="19">
        <f>SUM(B44:B49)</f>
        <v>1565000</v>
      </c>
      <c r="C50" s="19">
        <f>SUM(C44:C49)</f>
        <v>3195000</v>
      </c>
    </row>
    <row r="52" spans="1:4" x14ac:dyDescent="0.25">
      <c r="A52" s="10" t="s">
        <v>176</v>
      </c>
    </row>
    <row r="53" spans="1:4" x14ac:dyDescent="0.25">
      <c r="A53" t="s">
        <v>177</v>
      </c>
      <c r="B53" s="15" t="s">
        <v>178</v>
      </c>
      <c r="C53" s="15"/>
      <c r="D53" s="15"/>
    </row>
    <row r="55" spans="1:4" x14ac:dyDescent="0.25">
      <c r="A55" s="10" t="s">
        <v>179</v>
      </c>
      <c r="B55" t="s">
        <v>180</v>
      </c>
      <c r="C55" t="s">
        <v>181</v>
      </c>
    </row>
    <row r="56" spans="1:4" x14ac:dyDescent="0.25">
      <c r="A56" t="s">
        <v>209</v>
      </c>
      <c r="B56" s="2">
        <v>750000</v>
      </c>
      <c r="C56" s="2">
        <v>1500000</v>
      </c>
    </row>
    <row r="57" spans="1:4" x14ac:dyDescent="0.25">
      <c r="A57" t="s">
        <v>182</v>
      </c>
      <c r="B57" s="2">
        <v>150</v>
      </c>
      <c r="C57" s="2">
        <v>300</v>
      </c>
    </row>
    <row r="58" spans="1:4" x14ac:dyDescent="0.25">
      <c r="A58" t="s">
        <v>183</v>
      </c>
      <c r="B58" s="2">
        <v>125</v>
      </c>
      <c r="C58" s="2">
        <v>250</v>
      </c>
    </row>
    <row r="59" spans="1:4" x14ac:dyDescent="0.25">
      <c r="B59" s="2"/>
      <c r="C59" s="2"/>
    </row>
    <row r="60" spans="1:4" x14ac:dyDescent="0.25">
      <c r="A60" s="10" t="s">
        <v>222</v>
      </c>
      <c r="B60" s="2" t="s">
        <v>141</v>
      </c>
      <c r="C60" s="2" t="s">
        <v>142</v>
      </c>
    </row>
    <row r="61" spans="1:4" x14ac:dyDescent="0.25">
      <c r="A61" t="s">
        <v>184</v>
      </c>
      <c r="B61" s="2">
        <v>75000</v>
      </c>
      <c r="C61" s="2">
        <v>175000</v>
      </c>
    </row>
    <row r="62" spans="1:4" x14ac:dyDescent="0.25">
      <c r="A62" t="s">
        <v>185</v>
      </c>
      <c r="B62" s="2">
        <v>50000</v>
      </c>
      <c r="C62" s="2">
        <v>125000</v>
      </c>
    </row>
    <row r="63" spans="1:4" x14ac:dyDescent="0.25">
      <c r="A63" t="s">
        <v>186</v>
      </c>
      <c r="B63" s="2">
        <v>390000</v>
      </c>
      <c r="C63" s="2">
        <v>610000</v>
      </c>
    </row>
    <row r="64" spans="1:4" x14ac:dyDescent="0.25">
      <c r="A64" t="s">
        <v>187</v>
      </c>
      <c r="B64" s="2">
        <v>55000</v>
      </c>
      <c r="C64" s="2">
        <v>110000</v>
      </c>
    </row>
    <row r="65" spans="1:5" x14ac:dyDescent="0.25">
      <c r="A65" t="s">
        <v>188</v>
      </c>
      <c r="B65" s="2">
        <v>90000</v>
      </c>
      <c r="C65" s="2">
        <v>225000</v>
      </c>
    </row>
    <row r="66" spans="1:5" x14ac:dyDescent="0.25">
      <c r="A66" t="s">
        <v>165</v>
      </c>
      <c r="B66" s="2">
        <v>30000</v>
      </c>
      <c r="C66" s="2">
        <v>100000</v>
      </c>
    </row>
    <row r="67" spans="1:5" x14ac:dyDescent="0.25">
      <c r="A67" t="s">
        <v>189</v>
      </c>
      <c r="B67" s="2">
        <v>60000</v>
      </c>
      <c r="C67" s="2">
        <v>155000</v>
      </c>
    </row>
    <row r="68" spans="1:5" x14ac:dyDescent="0.25">
      <c r="A68" s="13" t="s">
        <v>190</v>
      </c>
      <c r="B68" s="12">
        <f>SUM(B61:B67)</f>
        <v>750000</v>
      </c>
      <c r="C68" s="12">
        <f>SUM(C61:C67)</f>
        <v>1500000</v>
      </c>
    </row>
    <row r="70" spans="1:5" x14ac:dyDescent="0.25">
      <c r="A70" s="10" t="s">
        <v>191</v>
      </c>
    </row>
    <row r="71" spans="1:5" x14ac:dyDescent="0.25">
      <c r="A71" t="s">
        <v>192</v>
      </c>
      <c r="B71" s="11" t="s">
        <v>207</v>
      </c>
      <c r="C71" s="15" t="s">
        <v>210</v>
      </c>
      <c r="D71" s="15"/>
      <c r="E71" s="15"/>
    </row>
    <row r="72" spans="1:5" x14ac:dyDescent="0.25">
      <c r="A72" t="s">
        <v>193</v>
      </c>
      <c r="B72" s="11" t="s">
        <v>207</v>
      </c>
      <c r="C72" s="15" t="s">
        <v>210</v>
      </c>
      <c r="D72" s="15"/>
      <c r="E72" s="15"/>
    </row>
    <row r="73" spans="1:5" x14ac:dyDescent="0.25">
      <c r="A73" t="s">
        <v>194</v>
      </c>
      <c r="B73" s="11" t="s">
        <v>207</v>
      </c>
      <c r="C73" s="15" t="s">
        <v>210</v>
      </c>
      <c r="D73" s="15"/>
      <c r="E73" s="15"/>
    </row>
    <row r="74" spans="1:5" x14ac:dyDescent="0.25">
      <c r="A74" t="s">
        <v>195</v>
      </c>
      <c r="B74" s="11" t="s">
        <v>207</v>
      </c>
      <c r="C74" s="15" t="s">
        <v>210</v>
      </c>
      <c r="D74" s="15"/>
      <c r="E74" s="15"/>
    </row>
    <row r="75" spans="1:5" x14ac:dyDescent="0.25">
      <c r="A75" t="s">
        <v>196</v>
      </c>
      <c r="B75" s="11" t="s">
        <v>217</v>
      </c>
      <c r="C75" s="15" t="s">
        <v>211</v>
      </c>
      <c r="D75" s="15"/>
      <c r="E75" s="15"/>
    </row>
    <row r="76" spans="1:5" x14ac:dyDescent="0.25">
      <c r="A76" t="s">
        <v>197</v>
      </c>
      <c r="B76" s="11" t="s">
        <v>207</v>
      </c>
      <c r="C76" s="15" t="s">
        <v>212</v>
      </c>
      <c r="D76" s="15"/>
      <c r="E76" s="15"/>
    </row>
    <row r="77" spans="1:5" x14ac:dyDescent="0.25">
      <c r="A77" t="s">
        <v>198</v>
      </c>
      <c r="B77" s="11" t="s">
        <v>207</v>
      </c>
      <c r="C77" s="15" t="s">
        <v>213</v>
      </c>
      <c r="D77" s="15"/>
      <c r="E77" s="15"/>
    </row>
    <row r="78" spans="1:5" x14ac:dyDescent="0.25">
      <c r="A78" t="s">
        <v>199</v>
      </c>
      <c r="B78" s="11" t="s">
        <v>207</v>
      </c>
      <c r="C78" s="15" t="s">
        <v>214</v>
      </c>
      <c r="D78" s="15"/>
      <c r="E78" s="15"/>
    </row>
    <row r="80" spans="1:5" x14ac:dyDescent="0.25">
      <c r="A80" s="10" t="s">
        <v>200</v>
      </c>
    </row>
    <row r="81" spans="1:5" x14ac:dyDescent="0.25">
      <c r="A81" t="s">
        <v>201</v>
      </c>
      <c r="B81" s="11" t="s">
        <v>207</v>
      </c>
      <c r="C81" s="15" t="s">
        <v>215</v>
      </c>
      <c r="D81" s="15"/>
      <c r="E81" s="15"/>
    </row>
    <row r="82" spans="1:5" x14ac:dyDescent="0.25">
      <c r="A82" t="s">
        <v>202</v>
      </c>
      <c r="B82" s="11" t="s">
        <v>217</v>
      </c>
    </row>
    <row r="83" spans="1:5" x14ac:dyDescent="0.25">
      <c r="A83" t="s">
        <v>203</v>
      </c>
      <c r="B83" s="11" t="s">
        <v>217</v>
      </c>
    </row>
    <row r="84" spans="1:5" x14ac:dyDescent="0.25">
      <c r="A84" t="s">
        <v>204</v>
      </c>
      <c r="B84" s="11" t="s">
        <v>217</v>
      </c>
    </row>
    <row r="85" spans="1:5" x14ac:dyDescent="0.25">
      <c r="A85" t="s">
        <v>205</v>
      </c>
      <c r="B85" s="11" t="s">
        <v>217</v>
      </c>
    </row>
    <row r="86" spans="1:5" x14ac:dyDescent="0.25">
      <c r="A86" t="s">
        <v>206</v>
      </c>
      <c r="B86" s="11" t="s">
        <v>207</v>
      </c>
      <c r="C86" s="15" t="s">
        <v>216</v>
      </c>
      <c r="D86" s="15"/>
      <c r="E86" s="15"/>
    </row>
  </sheetData>
  <mergeCells count="13">
    <mergeCell ref="C86:E86"/>
    <mergeCell ref="B2:D2"/>
    <mergeCell ref="B3:D3"/>
    <mergeCell ref="B53:D53"/>
    <mergeCell ref="C81:E81"/>
    <mergeCell ref="C71:E71"/>
    <mergeCell ref="C72:E72"/>
    <mergeCell ref="C73:E73"/>
    <mergeCell ref="C74:E74"/>
    <mergeCell ref="C75:E75"/>
    <mergeCell ref="C76:E76"/>
    <mergeCell ref="C77:E77"/>
    <mergeCell ref="C78:E7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C7FDB1C8256C4EA4678CC05D188078" ma:contentTypeVersion="20" ma:contentTypeDescription="Create a new document." ma:contentTypeScope="" ma:versionID="2a9650d830cc67299a1a440994d8139a">
  <xsd:schema xmlns:xsd="http://www.w3.org/2001/XMLSchema" xmlns:xs="http://www.w3.org/2001/XMLSchema" xmlns:p="http://schemas.microsoft.com/office/2006/metadata/properties" xmlns:ns2="ab9fedca-001d-4cc9-b244-d9c3be5a27d3" xmlns:ns3="42cc25d9-27fe-4f07-accb-ded05ec47eee" targetNamespace="http://schemas.microsoft.com/office/2006/metadata/properties" ma:root="true" ma:fieldsID="b7be75ccca685a650eabb79854d6018f" ns2:_="" ns3:_="">
    <xsd:import namespace="ab9fedca-001d-4cc9-b244-d9c3be5a27d3"/>
    <xsd:import namespace="42cc25d9-27fe-4f07-accb-ded05ec47e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fedca-001d-4cc9-b244-d9c3be5a27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a4e1b19-6222-46f4-80f6-9f16169dd1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cc25d9-27fe-4f07-accb-ded05ec47e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1f183bb4-81c9-4515-ba45-227c7445c609}" ma:internalName="TaxCatchAll" ma:showField="CatchAllData" ma:web="42cc25d9-27fe-4f07-accb-ded05ec47e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2cc25d9-27fe-4f07-accb-ded05ec47eee" xsi:nil="true"/>
    <lcf76f155ced4ddcb4097134ff3c332f xmlns="ab9fedca-001d-4cc9-b244-d9c3be5a27d3">
      <Terms xmlns="http://schemas.microsoft.com/office/infopath/2007/PartnerControls"/>
    </lcf76f155ced4ddcb4097134ff3c332f>
    <_Flow_SignoffStatus xmlns="ab9fedca-001d-4cc9-b244-d9c3be5a27d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EADBFD-3312-48A5-8015-5D95875532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fedca-001d-4cc9-b244-d9c3be5a27d3"/>
    <ds:schemaRef ds:uri="42cc25d9-27fe-4f07-accb-ded05ec47e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54A7F09-F153-4FCA-A6A9-A9DBE00072A9}">
  <ds:schemaRefs>
    <ds:schemaRef ds:uri="http://schemas.microsoft.com/office/2006/metadata/properties"/>
    <ds:schemaRef ds:uri="http://schemas.microsoft.com/office/infopath/2007/PartnerControls"/>
    <ds:schemaRef ds:uri="42cc25d9-27fe-4f07-accb-ded05ec47eee"/>
    <ds:schemaRef ds:uri="ab9fedca-001d-4cc9-b244-d9c3be5a27d3"/>
  </ds:schemaRefs>
</ds:datastoreItem>
</file>

<file path=customXml/itemProps3.xml><?xml version="1.0" encoding="utf-8"?>
<ds:datastoreItem xmlns:ds="http://schemas.openxmlformats.org/officeDocument/2006/customXml" ds:itemID="{540CD268-8BAC-4C6E-9B4E-BD2BC1132A8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Assumptions</vt:lpstr>
      <vt:lpstr>Annual Model</vt:lpstr>
      <vt:lpstr>Waterfall</vt:lpstr>
      <vt:lpstr>Returns</vt:lpstr>
      <vt:lpstr>Notes</vt:lpstr>
      <vt:lpstr>Cost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Wes Will Buy Your Home</cp:lastModifiedBy>
  <dcterms:modified xsi:type="dcterms:W3CDTF">2026-05-12T12:49:38Z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0x010100DDC7FDB1C8256C4EA4678CC05D188078</vt:lpwstr>
  </property>
</Properties>
</file>