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07705E95-73AA-403F-BD92-FA3FD83F094D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S22" i="3"/>
  <c r="R22" i="3"/>
  <c r="Q22" i="3"/>
  <c r="D22" i="3"/>
  <c r="C22" i="3"/>
  <c r="C21" i="3"/>
  <c r="C19" i="3"/>
  <c r="B22" i="3"/>
  <c r="B21" i="3"/>
  <c r="B19" i="3"/>
  <c r="D19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N21" i="3"/>
  <c r="N20" i="3"/>
  <c r="N19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N10" i="3"/>
  <c r="N12" i="3"/>
  <c r="D4" i="2"/>
  <c r="N7" i="3"/>
  <c r="D13" i="2"/>
  <c r="M22" i="3" s="1"/>
  <c r="D12" i="2"/>
  <c r="L22" i="3" s="1"/>
  <c r="P4" i="2"/>
  <c r="D11" i="2"/>
  <c r="K22" i="3" s="1"/>
  <c r="G4" i="2"/>
  <c r="O4" i="2"/>
  <c r="N5" i="3"/>
  <c r="D10" i="2"/>
  <c r="J22" i="3" s="1"/>
  <c r="N6" i="3"/>
  <c r="N8" i="3"/>
  <c r="N14" i="3"/>
  <c r="I4" i="2"/>
  <c r="N13" i="3"/>
  <c r="N4" i="3"/>
  <c r="N11" i="3"/>
  <c r="H11" i="1"/>
  <c r="C27" i="6"/>
  <c r="C8" i="6" s="1"/>
  <c r="B27" i="6"/>
  <c r="B8" i="6" s="1"/>
  <c r="B10" i="6" s="1"/>
  <c r="B28" i="1"/>
  <c r="C9" i="6"/>
  <c r="C10" i="6" s="1"/>
  <c r="B9" i="6"/>
  <c r="L25" i="8" l="1"/>
  <c r="L34" i="8"/>
  <c r="L26" i="8"/>
  <c r="C6" i="2" s="1"/>
  <c r="D6" i="2" s="1"/>
  <c r="F22" i="3" s="1"/>
  <c r="G29" i="8"/>
  <c r="H29" i="8" s="1"/>
  <c r="G30" i="8"/>
  <c r="H30" i="8" s="1"/>
  <c r="L30" i="8" s="1"/>
  <c r="G31" i="8"/>
  <c r="H31" i="8" s="1"/>
  <c r="L31" i="8" s="1"/>
  <c r="G33" i="8"/>
  <c r="H33" i="8" s="1"/>
  <c r="L33" i="8" s="1"/>
  <c r="G28" i="8"/>
  <c r="H28" i="8" s="1"/>
  <c r="G32" i="8"/>
  <c r="H32" i="8" s="1"/>
  <c r="L32" i="8" s="1"/>
  <c r="G27" i="8"/>
  <c r="H27" i="8" s="1"/>
  <c r="P4" i="3"/>
  <c r="D21" i="3" s="1"/>
  <c r="M4" i="3"/>
  <c r="I4" i="3"/>
  <c r="E4" i="3"/>
  <c r="F5" i="3"/>
  <c r="C5" i="3" s="1"/>
  <c r="D14" i="2"/>
  <c r="N22" i="3" s="1"/>
  <c r="G10" i="6"/>
  <c r="B29" i="6" s="1"/>
  <c r="C5" i="2" l="1"/>
  <c r="D5" i="2" s="1"/>
  <c r="E22" i="3" s="1"/>
  <c r="L29" i="8"/>
  <c r="C9" i="2" s="1"/>
  <c r="D9" i="2" s="1"/>
  <c r="I22" i="3" s="1"/>
  <c r="L27" i="8"/>
  <c r="C7" i="2" s="1"/>
  <c r="D7" i="2" s="1"/>
  <c r="G22" i="3" s="1"/>
  <c r="L28" i="8"/>
  <c r="C8" i="2" s="1"/>
  <c r="D8" i="2" s="1"/>
  <c r="H22" i="3" s="1"/>
  <c r="M4" i="2"/>
  <c r="B10" i="7"/>
  <c r="B15" i="7" s="1"/>
  <c r="B41" i="1"/>
  <c r="J4" i="3" s="1"/>
  <c r="J5" i="3" s="1"/>
  <c r="B15" i="6"/>
  <c r="B14" i="6"/>
  <c r="O25" i="8" l="1"/>
  <c r="O22" i="3"/>
  <c r="P22" i="3" s="1"/>
  <c r="B20" i="3"/>
  <c r="D20" i="3" s="1"/>
  <c r="C20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1" i="3" s="1"/>
  <c r="H5" i="3"/>
  <c r="I5" i="3" s="1"/>
  <c r="E19" i="3" s="1"/>
  <c r="L5" i="3"/>
  <c r="M5" i="3" l="1"/>
  <c r="E20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19" i="3" s="1"/>
  <c r="O6" i="3"/>
  <c r="P6" i="3" s="1"/>
  <c r="J6" i="4" s="1"/>
  <c r="L6" i="3"/>
  <c r="M6" i="3" s="1"/>
  <c r="F20" i="3" s="1"/>
  <c r="J5" i="4" l="1"/>
  <c r="J4" i="4"/>
  <c r="M6" i="2"/>
  <c r="N6" i="2" s="1"/>
  <c r="J7" i="2" s="1"/>
  <c r="K7" i="2" s="1"/>
  <c r="F21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0" i="3" s="1"/>
  <c r="O7" i="3"/>
  <c r="P7" i="3" s="1"/>
  <c r="G21" i="3" s="1"/>
  <c r="M7" i="2" l="1"/>
  <c r="N7" i="2" s="1"/>
  <c r="J8" i="2" s="1"/>
  <c r="K8" i="2" s="1"/>
  <c r="G19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0" i="3" s="1"/>
  <c r="J9" i="3"/>
  <c r="O8" i="3" l="1"/>
  <c r="P8" i="3" s="1"/>
  <c r="H21" i="3" s="1"/>
  <c r="E8" i="3"/>
  <c r="H8" i="3"/>
  <c r="I8" i="3" s="1"/>
  <c r="L5" i="4"/>
  <c r="L6" i="4" l="1"/>
  <c r="L4" i="4"/>
  <c r="H19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1" i="3" s="1"/>
  <c r="H9" i="3"/>
  <c r="I9" i="3" s="1"/>
  <c r="I19" i="3" s="1"/>
  <c r="L9" i="3"/>
  <c r="M9" i="3" s="1"/>
  <c r="I20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19" i="3"/>
  <c r="N4" i="4"/>
  <c r="J20" i="3"/>
  <c r="N5" i="4"/>
  <c r="J21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1" i="3" l="1"/>
  <c r="O6" i="4"/>
  <c r="E11" i="3"/>
  <c r="H11" i="3"/>
  <c r="I11" i="3" s="1"/>
  <c r="L11" i="3"/>
  <c r="M11" i="3" s="1"/>
  <c r="R5" i="4"/>
  <c r="N14" i="2"/>
  <c r="R4" i="4"/>
  <c r="M11" i="2" l="1"/>
  <c r="N11" i="2" s="1"/>
  <c r="K19" i="3"/>
  <c r="O4" i="4"/>
  <c r="K20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1" i="3" s="1"/>
  <c r="E12" i="3"/>
  <c r="H12" i="3"/>
  <c r="I12" i="3" s="1"/>
  <c r="L12" i="3"/>
  <c r="M12" i="3" s="1"/>
  <c r="J13" i="3"/>
  <c r="P6" i="4" l="1"/>
  <c r="L20" i="3"/>
  <c r="P5" i="4"/>
  <c r="L19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19" i="3"/>
  <c r="Q4" i="4"/>
  <c r="G4" i="4" s="1"/>
  <c r="C4" i="4"/>
  <c r="M20" i="3"/>
  <c r="Q5" i="4"/>
  <c r="G5" i="4" s="1"/>
  <c r="C5" i="4"/>
  <c r="M21" i="3"/>
  <c r="Q6" i="4"/>
  <c r="G6" i="4" s="1"/>
  <c r="C6" i="4"/>
  <c r="E4" i="4" l="1"/>
  <c r="D4" i="4"/>
  <c r="F4" i="4" s="1"/>
  <c r="O21" i="3"/>
  <c r="S21" i="3"/>
  <c r="D5" i="4"/>
  <c r="F5" i="4" s="1"/>
  <c r="E5" i="4"/>
  <c r="O20" i="3"/>
  <c r="S20" i="3"/>
  <c r="E6" i="4"/>
  <c r="D6" i="4"/>
  <c r="F6" i="4" s="1"/>
  <c r="S19" i="3"/>
  <c r="O19" i="3"/>
  <c r="P19" i="3" l="1"/>
  <c r="Q19" i="3" s="1"/>
  <c r="R19" i="3"/>
  <c r="R20" i="3"/>
  <c r="P20" i="3"/>
  <c r="Q20" i="3" s="1"/>
  <c r="R21" i="3"/>
  <c r="P21" i="3"/>
  <c r="Q21" i="3" s="1"/>
</calcChain>
</file>

<file path=xl/sharedStrings.xml><?xml version="1.0" encoding="utf-8"?>
<sst xmlns="http://schemas.openxmlformats.org/spreadsheetml/2006/main" count="485" uniqueCount="392">
  <si>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</si>
  <si>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</si>
  <si>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</si>
  <si>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</si>
  <si>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</si>
  <si>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</si>
  <si>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</si>
  <si>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</si>
  <si>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</si>
  <si>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</si>
  <si>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</si>
  <si>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</si>
  <si>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</si>
  <si>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</si>
  <si>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</si>
  <si>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</si>
  <si>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</si>
  <si>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</si>
  <si>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</si>
  <si>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</si>
  <si>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</si>
  <si>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</si>
  <si>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</si>
  <si>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</si>
  <si>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</si>
  <si>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</si>
  <si>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</si>
  <si>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</si>
  <si>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</si>
  <si>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</si>
  <si>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</si>
  <si>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</si>
  <si>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</si>
  <si>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</si>
  <si>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</si>
  <si>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</si>
  <si>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</si>
  <si>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</si>
  <si>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</si>
  <si>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</si>
  <si>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</si>
  <si>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</si>
  <si>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</si>
  <si>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</si>
  <si>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</si>
  <si>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</si>
  <si>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</si>
  <si>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</si>
  <si>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</si>
  <si>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</si>
  <si>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</si>
  <si>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</si>
  <si>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</si>
  <si>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</si>
  <si>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</si>
  <si>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</si>
  <si>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</si>
  <si>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</si>
  <si>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</si>
  <si>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</si>
  <si>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</si>
  <si>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</si>
  <si>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</si>
  <si>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</si>
  <si>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</si>
  <si>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</si>
  <si>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</si>
  <si>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</si>
  <si>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</si>
  <si>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</si>
  <si>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</si>
  <si>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</si>
  <si>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</si>
  <si>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</si>
  <si>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</si>
  <si>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</si>
  <si>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</si>
  <si>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</si>
  <si>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</si>
  <si>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</si>
  <si>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</si>
  <si>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</si>
  <si>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</si>
  <si>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</si>
  <si>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</si>
  <si>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</si>
  <si>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</si>
  <si>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</si>
  <si>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</si>
  <si>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</si>
  <si>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</si>
  <si>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</si>
  <si>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</si>
  <si>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</si>
  <si>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</si>
  <si>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</si>
  <si>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</si>
  <si>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</si>
  <si>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</si>
  <si>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</si>
  <si>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</si>
  <si>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</si>
  <si>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</si>
  <si>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</si>
  <si>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</si>
  <si>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</si>
  <si>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</si>
  <si>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</si>
  <si>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</si>
  <si>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</si>
  <si>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</si>
  <si>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</si>
  <si>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</si>
  <si>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</si>
  <si>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</si>
  <si>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</si>
  <si>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</si>
  <si>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</si>
  <si>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</si>
  <si>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</si>
  <si>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</si>
  <si>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</si>
  <si>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</si>
  <si>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</si>
  <si>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</si>
  <si>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</si>
  <si>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</si>
  <si>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</si>
  <si>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</si>
  <si>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</si>
  <si>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</si>
  <si>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</si>
  <si>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</si>
  <si>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</si>
  <si>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</si>
  <si>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</si>
  <si>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</si>
  <si>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</si>
  <si>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</si>
  <si>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</si>
  <si>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</si>
  <si>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</si>
  <si>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</si>
  <si>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</si>
  <si>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</si>
  <si>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</si>
  <si>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</si>
  <si>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</si>
  <si>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</si>
  <si>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</si>
  <si>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</si>
  <si>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</si>
  <si>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</si>
  <si>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</si>
  <si>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</si>
  <si>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</si>
  <si>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</si>
  <si>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</si>
  <si>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</si>
  <si>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</si>
  <si>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</si>
  <si>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</si>
  <si>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</si>
  <si>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</si>
  <si>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</si>
  <si>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</si>
  <si>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</si>
  <si>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</si>
  <si>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</si>
  <si>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</si>
  <si>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</si>
  <si>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</si>
  <si>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</si>
  <si>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</si>
  <si>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</si>
  <si>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</si>
  <si>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</si>
  <si>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</si>
  <si>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</si>
  <si>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</si>
  <si>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</si>
  <si>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</si>
  <si>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</si>
  <si>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</si>
  <si>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</si>
  <si>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</si>
  <si>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</si>
  <si>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</si>
  <si>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</si>
  <si>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</si>
  <si>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</si>
  <si>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</si>
  <si>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</si>
  <si>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</si>
  <si>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</si>
  <si>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</si>
  <si>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</si>
  <si>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</si>
  <si>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</si>
  <si>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</si>
  <si>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</si>
  <si>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</si>
  <si>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</si>
  <si>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</si>
  <si>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</si>
  <si>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</si>
  <si>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</si>
  <si>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</si>
  <si>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</si>
  <si>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</si>
  <si>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</si>
  <si>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</si>
  <si>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</si>
  <si>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</si>
  <si>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</si>
  <si>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</si>
  <si>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</si>
  <si>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</si>
  <si>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</si>
  <si>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</si>
  <si>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</si>
  <si>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</si>
  <si>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</si>
  <si>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</si>
  <si>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</si>
  <si>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</si>
  <si>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</si>
  <si>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</si>
  <si>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</si>
  <si>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</si>
  <si>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</si>
  <si>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</si>
  <si>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</si>
  <si>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</si>
  <si>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</si>
  <si>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</si>
  <si>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</si>
  <si>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</si>
  <si>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</si>
  <si>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</si>
  <si>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</si>
  <si>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</si>
  <si>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</si>
  <si>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</si>
  <si>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</si>
  <si>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</si>
  <si>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</si>
  <si>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</si>
  <si>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</si>
  <si>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</si>
  <si>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</si>
  <si>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</si>
  <si>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</si>
  <si>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</si>
  <si>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</si>
  <si>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</si>
  <si>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</si>
  <si>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</si>
  <si>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</si>
  <si>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</si>
  <si>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</si>
  <si>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</si>
  <si>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</si>
  <si>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</si>
  <si>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</si>
  <si>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</si>
  <si>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</si>
  <si>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</si>
  <si>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</si>
  <si>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</si>
  <si>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</si>
  <si>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</si>
  <si>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</si>
  <si>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</si>
  <si>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</si>
  <si>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</si>
  <si>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</si>
  <si>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</si>
  <si>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</si>
  <si>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</si>
  <si>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</si>
  <si>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</si>
  <si>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</si>
  <si>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</si>
  <si>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</si>
  <si>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</si>
  <si>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</si>
  <si>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</si>
  <si>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</si>
  <si>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</si>
  <si>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</si>
  <si>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</si>
  <si>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</si>
  <si>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</si>
  <si>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</si>
  <si>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</si>
  <si>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</si>
  <si>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</si>
  <si>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</si>
  <si>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</si>
  <si>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</si>
  <si>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</si>
  <si>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</si>
  <si>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</si>
  <si>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</si>
  <si>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</si>
  <si>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</si>
  <si>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</si>
  <si>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</si>
  <si>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</si>
  <si>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</si>
  <si>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</si>
  <si>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</si>
  <si>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</si>
  <si>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</si>
  <si>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</si>
  <si>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</si>
  <si>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</si>
  <si>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</si>
  <si>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</si>
  <si>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</si>
  <si>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</si>
  <si>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</si>
  <si>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</si>
  <si>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</si>
  <si>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</si>
  <si>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</si>
  <si>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</si>
  <si>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</si>
  <si>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</si>
  <si>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</si>
  <si>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</si>
  <si>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</si>
  <si>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</si>
  <si>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</si>
  <si>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</si>
  <si>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</si>
  <si>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</si>
  <si>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</si>
  <si>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</si>
  <si>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</si>
  <si>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</si>
  <si>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</si>
  <si>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</si>
  <si>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</si>
  <si>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</si>
  <si>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</si>
  <si>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</si>
  <si>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</si>
  <si>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</si>
  <si>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</si>
  <si>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</si>
  <si>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</si>
  <si>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</si>
  <si>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</si>
  <si>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</si>
  <si>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</si>
  <si>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</si>
  <si>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</si>
  <si>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</si>
  <si>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</si>
  <si>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</si>
  <si>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</si>
  <si>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</si>
  <si>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</si>
  <si>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</si>
  <si>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</si>
  <si>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</si>
  <si>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</si>
  <si>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</si>
  <si>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</si>
  <si>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</si>
  <si>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</si>
  <si>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</si>
  <si>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</si>
  <si>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</si>
  <si>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</si>
  <si>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</si>
  <si>
    <t>IRR %</t>
  </si>
  <si>
    <t>One Floor STR + Co-Living</t>
  </si>
  <si>
    <t>Participant Return Comparison by Rent Option</t>
  </si>
  <si>
    <t>Rent Option</t>
  </si>
  <si>
    <t>Chart Label</t>
  </si>
  <si>
    <t>Base Co-Living / Medium-Term - Class A</t>
  </si>
  <si>
    <t>Base Co-Living / Medium-Term - Class B</t>
  </si>
  <si>
    <t>Base Co-Living / Medium-Term - Sponsor</t>
  </si>
  <si>
    <t>One Floor STR + Co-Living - Class A</t>
  </si>
  <si>
    <t>One Floor STR + Co-Living - Class B</t>
  </si>
  <si>
    <t>One Floor STR + Co-Living - Sponsor</t>
  </si>
  <si>
    <t>Whole Building STR - Class A</t>
  </si>
  <si>
    <t>Whole Building STR - Class B</t>
  </si>
  <si>
    <t>Whole Building STR - 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</si>
</sst>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5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6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0" fontId="9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3" fontId="0" fillId="5" borderId="0" xfId="0" applyNumberFormat="1" applyFill="1"/>
    <xf numFmtId="9" fontId="0" fillId="5" borderId="0" xfId="0" applyNumberFormat="1" applyFill="1"/>
    <xf numFmtId="3" fontId="0" fillId="4" borderId="0" xfId="0" applyNumberFormat="1" applyFill="1"/>
    <xf numFmtId="9" fontId="0" fillId="4" borderId="0" xfId="0" applyNumberFormat="1" applyFill="1"/>
    <xf numFmtId="0" fontId="3" fillId="9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1" fillId="9" borderId="2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11" borderId="3" xfId="0" applyFont="1" applyFill="1" applyBorder="1"/>
    <xf numFmtId="0" fontId="3" fillId="12" borderId="3" xfId="0" applyFont="1" applyFill="1" applyBorder="1"/>
    <xf numFmtId="1" fontId="12" fillId="3" borderId="2" xfId="0" applyNumberFormat="1" applyFont="1" applyFill="1" applyBorder="1" applyAlignment="1">
      <alignment horizontal="center" vertical="center" wrapText="1"/>
    </xf>
    <xf numFmtId="0" fontId="0" fillId="3" borderId="11" xfId="0" applyFill="1" applyBorder="1"/>
    <xf numFmtId="3" fontId="0" fillId="3" borderId="11" xfId="0" applyNumberFormat="1" applyFill="1" applyBorder="1"/>
    <xf numFmtId="164" fontId="0" fillId="3" borderId="11" xfId="0" applyNumberFormat="1" applyFill="1" applyBorder="1"/>
    <xf numFmtId="0" fontId="0" fillId="11" borderId="11" xfId="0" applyFill="1" applyBorder="1"/>
    <xf numFmtId="3" fontId="0" fillId="11" borderId="11" xfId="0" applyNumberFormat="1" applyFill="1" applyBorder="1"/>
    <xf numFmtId="164" fontId="0" fillId="11" borderId="11" xfId="0" applyNumberFormat="1" applyFill="1" applyBorder="1"/>
    <xf numFmtId="0" fontId="0" fillId="12" borderId="11" xfId="0" applyFill="1" applyBorder="1"/>
    <xf numFmtId="3" fontId="0" fillId="12" borderId="11" xfId="0" applyNumberFormat="1" applyFill="1" applyBorder="1"/>
    <xf numFmtId="164" fontId="0" fillId="12" borderId="11" xfId="0" applyNumberFormat="1" applyFill="1" applyBorder="1"/>
    <xf numFmtId="0" fontId="0" fillId="12" borderId="27" xfId="0" applyFill="1" applyBorder="1"/>
    <xf numFmtId="3" fontId="0" fillId="12" borderId="27" xfId="0" applyNumberFormat="1" applyFill="1" applyBorder="1"/>
    <xf numFmtId="164" fontId="0" fillId="12" borderId="27" xfId="0" applyNumberFormat="1" applyFill="1" applyBorder="1"/>
    <xf numFmtId="3" fontId="10" fillId="14" borderId="18" xfId="0" applyNumberFormat="1" applyFont="1" applyFill="1" applyBorder="1" applyAlignment="1">
      <alignment horizontal="center" wrapText="1"/>
    </xf>
    <xf numFmtId="0" fontId="3" fillId="0" borderId="0" xfId="0" applyFont="1"/>
    <xf numFmtId="0" fontId="0" fillId="0" borderId="0" xfId="0"/>
    <xf numFmtId="0" fontId="0" fillId="5" borderId="0" xfId="0" applyFill="1"/>
    <xf numFmtId="0" fontId="0" fillId="4" borderId="0" xfId="0" applyFill="1"/>
    <xf numFmtId="0" fontId="9" fillId="0" borderId="0" xfId="0" applyFont="1"/>
    <xf numFmtId="0" fontId="10" fillId="10" borderId="3" xfId="0" applyFont="1" applyFill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0" fillId="3" borderId="20" xfId="0" applyFill="1" applyBorder="1"/>
    <xf numFmtId="0" fontId="0" fillId="3" borderId="4" xfId="0" applyFill="1" applyBorder="1"/>
    <xf numFmtId="0" fontId="3" fillId="5" borderId="3" xfId="0" applyFont="1" applyFill="1" applyBorder="1"/>
    <xf numFmtId="0" fontId="0" fillId="5" borderId="20" xfId="0" applyFill="1" applyBorder="1"/>
    <xf numFmtId="0" fontId="0" fillId="5" borderId="4" xfId="0" applyFill="1" applyBorder="1"/>
    <xf numFmtId="0" fontId="3" fillId="4" borderId="3" xfId="0" applyFont="1" applyFill="1" applyBorder="1"/>
    <xf numFmtId="0" fontId="0" fillId="4" borderId="20" xfId="0" applyFill="1" applyBorder="1"/>
    <xf numFmtId="0" fontId="0" fillId="4" borderId="4" xfId="0" applyFill="1" applyBorder="1"/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0" fillId="11" borderId="21" xfId="0" applyNumberFormat="1" applyFill="1" applyBorder="1"/>
    <xf numFmtId="0" fontId="0" fillId="11" borderId="25" xfId="0" applyFill="1" applyBorder="1"/>
    <xf numFmtId="3" fontId="0" fillId="12" borderId="21" xfId="0" applyNumberFormat="1" applyFill="1" applyBorder="1"/>
    <xf numFmtId="0" fontId="0" fillId="12" borderId="25" xfId="0" applyFill="1" applyBorder="1"/>
    <xf numFmtId="3" fontId="0" fillId="12" borderId="28" xfId="0" applyNumberFormat="1" applyFill="1" applyBorder="1"/>
    <xf numFmtId="0" fontId="0" fillId="12" borderId="9" xfId="0" applyFill="1" applyBorder="1"/>
    <xf numFmtId="3" fontId="10" fillId="14" borderId="18" xfId="0" applyNumberFormat="1" applyFont="1" applyFill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3" fontId="0" fillId="3" borderId="21" xfId="0" applyNumberFormat="1" applyFill="1" applyBorder="1"/>
    <xf numFmtId="0" fontId="0" fillId="3" borderId="25" xfId="0" applyFill="1" applyBorder="1"/>
    <xf numFmtId="0" fontId="0" fillId="12" borderId="8" xfId="0" applyFill="1" applyBorder="1"/>
    <xf numFmtId="0" fontId="0" fillId="12" borderId="10" xfId="0" applyFill="1" applyBorder="1"/>
    <xf numFmtId="0" fontId="0" fillId="12" borderId="26" xfId="0" applyFill="1" applyBorder="1"/>
    <xf numFmtId="0" fontId="0" fillId="3" borderId="21" xfId="0" applyFill="1" applyBorder="1"/>
    <xf numFmtId="0" fontId="0" fillId="3" borderId="0" xfId="0" applyFill="1"/>
    <xf numFmtId="0" fontId="0" fillId="11" borderId="21" xfId="0" applyFill="1" applyBorder="1"/>
    <xf numFmtId="0" fontId="0" fillId="11" borderId="0" xfId="0" applyFill="1"/>
    <xf numFmtId="0" fontId="0" fillId="12" borderId="21" xfId="0" applyFill="1" applyBorder="1"/>
    <xf numFmtId="0" fontId="0" fillId="12" borderId="0" xfId="0" applyFill="1"/>
    <xf numFmtId="0" fontId="0" fillId="12" borderId="28" xfId="0" applyFill="1" applyBorder="1"/>
    <xf numFmtId="0" fontId="0" fillId="12" borderId="24" xfId="0" applyFill="1" applyBorder="1"/>
    <xf numFmtId="0" fontId="0" fillId="12" borderId="22" xfId="0" applyFill="1" applyBorder="1"/>
    <xf numFmtId="0" fontId="0" fillId="0" borderId="1" xfId="0" applyBorder="1" applyAlignment="1">
      <alignment horizontal="center" wrapText="1"/>
    </xf>
    <xf numFmtId="0" fontId="0" fillId="11" borderId="24" xfId="0" applyFill="1" applyBorder="1"/>
    <xf numFmtId="0" fontId="0" fillId="11" borderId="22" xfId="0" applyFill="1" applyBorder="1"/>
    <xf numFmtId="0" fontId="0" fillId="3" borderId="24" xfId="0" applyFill="1" applyBorder="1"/>
    <xf numFmtId="0" fontId="0" fillId="3" borderId="22" xfId="0" applyFill="1" applyBorder="1"/>
    <xf numFmtId="0" fontId="13" fillId="13" borderId="6" xfId="0" applyFont="1" applyFill="1" applyBorder="1"/>
    <xf numFmtId="0" fontId="14" fillId="13" borderId="23" xfId="0" applyFont="1" applyFill="1" applyBorder="1"/>
    <xf numFmtId="0" fontId="14" fillId="13" borderId="7" xfId="0" applyFont="1" applyFill="1" applyBorder="1"/>
    <xf numFmtId="0" fontId="3" fillId="12" borderId="3" xfId="0" applyFont="1" applyFill="1" applyBorder="1"/>
    <xf numFmtId="0" fontId="0" fillId="12" borderId="20" xfId="0" applyFill="1" applyBorder="1"/>
    <xf numFmtId="0" fontId="0" fillId="12" borderId="4" xfId="0" applyFill="1" applyBorder="1"/>
    <xf numFmtId="0" fontId="3" fillId="11" borderId="3" xfId="0" applyFont="1" applyFill="1" applyBorder="1"/>
    <xf numFmtId="0" fontId="0" fillId="11" borderId="20" xfId="0" applyFill="1" applyBorder="1"/>
    <xf numFmtId="0" fontId="0" fillId="11" borderId="4" xfId="0" applyFill="1" applyBorder="1"/>
    <xf numFmtId="3" fontId="3" fillId="2" borderId="1" xfId="0" applyNumberFormat="1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6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3" fontId="4" fillId="0" borderId="0" xfId="0" applyNumberFormat="1" applyFont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  <fill>
        <patternFill patternType="solid">
          <fgColor indexed="64"/>
          <bgColor rgb="FF92D050"/>
        </patternFill>
      </fill>
    </dxf>
    <dxf>
      <numFmt numFmtId="13" formatCode="0%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13" formatCode="0%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700"/>
            </a:pPr>
            <a:r>
              <a:rPr lang="en-US"/>
              <a:t>Return Metrics by Rent Option and Participant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Profit</c:v>
          </c:tx>
          <c:spPr>
            <a:solidFill>
              <a:srgbClr val="476F58"/>
            </a:solidFill>
          </c:spPr>
          <c:invertIfNegative val="0"/>
          <c:cat>
            <c:strRef>
              <c:f>Waterfall!$E$34:$E$42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Waterfall!$J$34:$J$42</c:f>
              <c:numCache>
                <c:formatCode>#,##0</c:formatCode>
                <c:ptCount val="9"/>
                <c:pt idx="0">
                  <c:v>219799.48570431559</c:v>
                </c:pt>
                <c:pt idx="1">
                  <c:v>234783.08283288495</c:v>
                </c:pt>
                <c:pt idx="2">
                  <c:v>327148.34739884926</c:v>
                </c:pt>
                <c:pt idx="3">
                  <c:v>264666.01012491627</c:v>
                </c:pt>
                <c:pt idx="4">
                  <c:v>316186.60410725744</c:v>
                </c:pt>
                <c:pt idx="5">
                  <c:v>453156.53786465875</c:v>
                </c:pt>
                <c:pt idx="6">
                  <c:v>278057.43248614768</c:v>
                </c:pt>
                <c:pt idx="7">
                  <c:v>338354.90441211156</c:v>
                </c:pt>
                <c:pt idx="8">
                  <c:v>487471.85203518625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5-4A00-B737-6F6B0923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1929535"/>
        <c:axId val="2061930975"/>
      </c:barChart>
      <c:lineChart>
        <c:grouping val="standard"/>
        <c:varyColors val="0"/>
        <c:ser>
          <c:idx val="1"/>
          <c:order val="1"/>
          <c:tx>
            <c:v>ROI %</c:v>
          </c:tx>
          <c:spPr>
            <a:ln>
              <a:solidFill>
                <a:srgbClr val="0078D7"/>
              </a:solidFill>
            </a:ln>
          </c:spPr>
          <c:marker>
            <c:symbol val="circle"/>
            <c:size val="5"/>
            <c:spPr>
              <a:ln>
                <a:solidFill>
                  <a:srgbClr val="0078D7"/>
                </a:solidFill>
              </a:ln>
            </c:spPr>
          </c:marker>
          <c:cat>
            <c:strRef>
              <c:f>Waterfall!$E$34:$E$42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Waterfall!$K$34:$K$42</c:f>
              <c:numCache>
                <c:formatCode>0.0%</c:formatCode>
                <c:ptCount val="9"/>
                <c:pt idx="0">
                  <c:v>0.73266495234771867</c:v>
                </c:pt>
                <c:pt idx="1">
                  <c:v>0.42882754855321453</c:v>
                </c:pt>
                <c:pt idx="2">
                  <c:v>2.4005073809561668</c:v>
                </c:pt>
                <c:pt idx="3">
                  <c:v>0.88222003374972091</c:v>
                </c:pt>
                <c:pt idx="4">
                  <c:v>0.57750977919133784</c:v>
                </c:pt>
                <c:pt idx="5">
                  <c:v>3.3251141952015932</c:v>
                </c:pt>
                <c:pt idx="6">
                  <c:v>0.92685810828715898</c:v>
                </c:pt>
                <c:pt idx="7">
                  <c:v>0.61799982541024945</c:v>
                </c:pt>
                <c:pt idx="8">
                  <c:v>3.5769087269519035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5-4A00-B737-6F6B092372B8}"/>
            </c:ext>
          </c:extLst>
        </c:ser>
        <c:ser>
          <c:idx val="2"/>
          <c:order val="2"/>
          <c:tx>
            <c:v>IRR %</c:v>
          </c:tx>
          <c:spPr>
            <a:ln>
              <a:solidFill>
                <a:srgbClr val="FF9900"/>
              </a:solidFill>
            </a:ln>
          </c:spPr>
          <c:marker>
            <c:symbol val="circle"/>
            <c:size val="5"/>
            <c:spPr>
              <a:ln>
                <a:solidFill>
                  <a:srgbClr val="FF9900"/>
                </a:solidFill>
              </a:ln>
            </c:spPr>
          </c:marker>
          <c:cat>
            <c:strRef>
              <c:f>Waterfall!$E$34:$E$42</c:f>
              <c:strCache>
                <c:ptCount val="9"/>
                <c:pt idx="0">
                  <c:v>Base Co-Living / Medium-Term - Class A</c:v>
                </c:pt>
                <c:pt idx="1">
                  <c:v>Base Co-Living / Medium-Term - Class B</c:v>
                </c:pt>
                <c:pt idx="2">
                  <c:v>Base Co-Living / Medium-Term - Sponsor</c:v>
                </c:pt>
                <c:pt idx="3">
                  <c:v>One Floor STR + Co-Living - Class A</c:v>
                </c:pt>
                <c:pt idx="4">
                  <c:v>One Floor STR + Co-Living - Class B</c:v>
                </c:pt>
                <c:pt idx="5">
                  <c:v>One Floor STR + Co-Living - Sponsor</c:v>
                </c:pt>
                <c:pt idx="6">
                  <c:v>Whole Building STR - Class A</c:v>
                </c:pt>
                <c:pt idx="7">
                  <c:v>Whole Building STR - Class B</c:v>
                </c:pt>
                <c:pt idx="8">
                  <c:v>Whole Building STR - Sponsor</c:v>
                </c:pt>
              </c:strCache>
            </c:strRef>
          </c:cat>
          <c:val>
            <c:numRef>
              <c:f>Waterfall!$L$34:$L$42</c:f>
              <c:numCache>
                <c:formatCode>0.0%</c:formatCode>
                <c:ptCount val="9"/>
                <c:pt idx="0">
                  <c:v>0.1634264838474333</c:v>
                </c:pt>
                <c:pt idx="1">
                  <c:v>8.9826902125470953E-2</c:v>
                </c:pt>
                <c:pt idx="2">
                  <c:v>0.58541819876459078</c:v>
                </c:pt>
                <c:pt idx="3">
                  <c:v>0.18498025525507211</c:v>
                </c:pt>
                <c:pt idx="4">
                  <c:v>0.11563386411139498</c:v>
                </c:pt>
                <c:pt idx="5">
                  <c:v>0.68267085359075441</c:v>
                </c:pt>
                <c:pt idx="6">
                  <c:v>0.18919673669698978</c:v>
                </c:pt>
                <c:pt idx="7">
                  <c:v>0.12146973485163892</c:v>
                </c:pt>
                <c:pt idx="8">
                  <c:v>0.7056305810885255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5-4A00-B737-6F6B0923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932415"/>
        <c:axId val="2061932895"/>
      </c:lineChart>
      <c:catAx>
        <c:axId val="2061929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400" b="1">
                <a:solidFill>
                  <a:srgbClr val="000000"/>
                </a:solidFill>
              </a:defRPr>
            </a:pPr>
            <a:endParaRPr lang="en-US"/>
          </a:p>
        </c:txPr>
        <c:crossAx val="2061930975"/>
        <c:crosses val="autoZero"/>
        <c:auto val="1"/>
        <c:lblAlgn val="ctr"/>
        <c:lblOffset val="100"/>
        <c:noMultiLvlLbl val="0"/>
      </c:catAx>
      <c:valAx>
        <c:axId val="20619309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Profit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500"/>
            </a:pPr>
            <a:endParaRPr lang="en-US"/>
          </a:p>
        </c:txPr>
        <c:crossAx val="2061929535"/>
        <c:crosses val="autoZero"/>
        <c:crossBetween val="between"/>
      </c:valAx>
      <c:valAx>
        <c:axId val="2061932895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ROI / IRR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500"/>
            </a:pPr>
            <a:endParaRPr lang="en-US"/>
          </a:p>
        </c:txPr>
        <c:crossAx val="2061932415"/>
        <c:crosses val="max"/>
        <c:crossBetween val="between"/>
      </c:valAx>
      <c:catAx>
        <c:axId val="2061932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1932895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>
            <a:defRPr sz="15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firstButton="1" fmlaLink="$H$4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Waterfall!$R$3" lockText="1" noThreeD="1"/>
</file>

<file path=xl/ctrlProps/ctrlProp8.xml><?xml version="1.0" encoding="utf-8"?>
<formControlPr xmlns="http://schemas.microsoft.com/office/spreadsheetml/2009/9/main" objectType="Radio" firstButton="1" fmlaLink="Waterfall!$S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GBox" noThreeD="1"/>
</file>

<file path=xl/ctrlProps/ctrlProp28.xml><?xml version="1.0" encoding="utf-8"?>
<formControlPr xmlns="http://schemas.microsoft.com/office/spreadsheetml/2009/9/main" objectType="Radio" firstButton="1" fmlaLink="'STR Scenarios'!$H$4" lockText="1" noThreeD="1"/>
</file>

<file path=xl/ctrlProps/ctrlProp29.xml><?xml version="1.0" encoding="utf-8"?>
<formControlPr xmlns="http://schemas.microsoft.com/office/spreadsheetml/2009/9/main" objectType="Radio" lockText="1" noThreeD="1"/>
</file>

<file path=xl/ctrlProps/ctrlProp30.xml><?xml version="1.0" encoding="utf-8"?>
<formControlPr xmlns="http://schemas.microsoft.com/office/spreadsheetml/2009/9/main" objectType="Radio" checked="Checked" lockText="1" noThreeD="1"/>
</file>

<file path=xl/ctrlProps/ctrlProp31.xml><?xml version="1.0" encoding="utf-8"?>
<formControlPr xmlns="http://schemas.microsoft.com/office/spreadsheetml/2009/9/main" objectType="CheckBox" checked="Checked" fmlaLink="'Operating Expense Budget'!$I$4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9525</xdr:rowOff>
        </xdr:from>
        <xdr:to>
          <xdr:col>0</xdr:col>
          <xdr:colOff>361950</xdr:colOff>
          <xdr:row>10</xdr:row>
          <xdr:rowOff>0</xdr:rowOff>
        </xdr:to>
        <xdr:sp macro="" textlink="">
          <xdr:nvSpPr>
            <xdr:cNvPr id="4106" name="OperatingScenarioGroup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38100</xdr:rowOff>
        </xdr:from>
        <xdr:to>
          <xdr:col>0</xdr:col>
          <xdr:colOff>381000</xdr:colOff>
          <xdr:row>7</xdr:row>
          <xdr:rowOff>47625</xdr:rowOff>
        </xdr:to>
        <xdr:sp macro="" textlink="">
          <xdr:nvSpPr>
            <xdr:cNvPr id="4107" name="OperatingScenarioOption_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28575</xdr:rowOff>
        </xdr:from>
        <xdr:to>
          <xdr:col>0</xdr:col>
          <xdr:colOff>381000</xdr:colOff>
          <xdr:row>8</xdr:row>
          <xdr:rowOff>38100</xdr:rowOff>
        </xdr:to>
        <xdr:sp macro="" textlink="">
          <xdr:nvSpPr>
            <xdr:cNvPr id="4108" name="OperatingScenarioOption_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28575</xdr:rowOff>
        </xdr:from>
        <xdr:to>
          <xdr:col>0</xdr:col>
          <xdr:colOff>381000</xdr:colOff>
          <xdr:row>9</xdr:row>
          <xdr:rowOff>38100</xdr:rowOff>
        </xdr:to>
        <xdr:sp macro="" textlink="">
          <xdr:nvSpPr>
            <xdr:cNvPr id="4109" name="OperatingScenarioOption_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3</xdr:row>
          <xdr:rowOff>152400</xdr:rowOff>
        </xdr:from>
        <xdr:to>
          <xdr:col>18</xdr:col>
          <xdr:colOff>0</xdr:colOff>
          <xdr:row>14</xdr:row>
          <xdr:rowOff>57150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</xdr:row>
          <xdr:rowOff>152400</xdr:rowOff>
        </xdr:from>
        <xdr:to>
          <xdr:col>19</xdr:col>
          <xdr:colOff>0</xdr:colOff>
          <xdr:row>14</xdr:row>
          <xdr:rowOff>57150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3</xdr:row>
          <xdr:rowOff>190500</xdr:rowOff>
        </xdr:from>
        <xdr:to>
          <xdr:col>17</xdr:col>
          <xdr:colOff>581025</xdr:colOff>
          <xdr:row>5</xdr:row>
          <xdr:rowOff>9525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3</xdr:row>
          <xdr:rowOff>190500</xdr:rowOff>
        </xdr:from>
        <xdr:to>
          <xdr:col>18</xdr:col>
          <xdr:colOff>581025</xdr:colOff>
          <xdr:row>5</xdr:row>
          <xdr:rowOff>9525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4</xdr:row>
          <xdr:rowOff>190500</xdr:rowOff>
        </xdr:from>
        <xdr:to>
          <xdr:col>17</xdr:col>
          <xdr:colOff>581025</xdr:colOff>
          <xdr:row>6</xdr:row>
          <xdr:rowOff>9525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4</xdr:row>
          <xdr:rowOff>190500</xdr:rowOff>
        </xdr:from>
        <xdr:to>
          <xdr:col>18</xdr:col>
          <xdr:colOff>581025</xdr:colOff>
          <xdr:row>6</xdr:row>
          <xdr:rowOff>9525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5</xdr:row>
          <xdr:rowOff>190500</xdr:rowOff>
        </xdr:from>
        <xdr:to>
          <xdr:col>17</xdr:col>
          <xdr:colOff>581025</xdr:colOff>
          <xdr:row>7</xdr:row>
          <xdr:rowOff>19050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5</xdr:row>
          <xdr:rowOff>190500</xdr:rowOff>
        </xdr:from>
        <xdr:to>
          <xdr:col>18</xdr:col>
          <xdr:colOff>581025</xdr:colOff>
          <xdr:row>7</xdr:row>
          <xdr:rowOff>19050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6</xdr:row>
          <xdr:rowOff>180975</xdr:rowOff>
        </xdr:from>
        <xdr:to>
          <xdr:col>17</xdr:col>
          <xdr:colOff>581025</xdr:colOff>
          <xdr:row>8</xdr:row>
          <xdr:rowOff>19050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6</xdr:row>
          <xdr:rowOff>180975</xdr:rowOff>
        </xdr:from>
        <xdr:to>
          <xdr:col>18</xdr:col>
          <xdr:colOff>581025</xdr:colOff>
          <xdr:row>8</xdr:row>
          <xdr:rowOff>19050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7</xdr:row>
          <xdr:rowOff>180975</xdr:rowOff>
        </xdr:from>
        <xdr:to>
          <xdr:col>17</xdr:col>
          <xdr:colOff>581025</xdr:colOff>
          <xdr:row>9</xdr:row>
          <xdr:rowOff>19050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7</xdr:row>
          <xdr:rowOff>180975</xdr:rowOff>
        </xdr:from>
        <xdr:to>
          <xdr:col>18</xdr:col>
          <xdr:colOff>581025</xdr:colOff>
          <xdr:row>9</xdr:row>
          <xdr:rowOff>19050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8</xdr:row>
          <xdr:rowOff>180975</xdr:rowOff>
        </xdr:from>
        <xdr:to>
          <xdr:col>17</xdr:col>
          <xdr:colOff>581025</xdr:colOff>
          <xdr:row>10</xdr:row>
          <xdr:rowOff>19050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8</xdr:row>
          <xdr:rowOff>180975</xdr:rowOff>
        </xdr:from>
        <xdr:to>
          <xdr:col>18</xdr:col>
          <xdr:colOff>581025</xdr:colOff>
          <xdr:row>10</xdr:row>
          <xdr:rowOff>19050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9</xdr:row>
          <xdr:rowOff>180975</xdr:rowOff>
        </xdr:from>
        <xdr:to>
          <xdr:col>17</xdr:col>
          <xdr:colOff>581025</xdr:colOff>
          <xdr:row>11</xdr:row>
          <xdr:rowOff>19050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9</xdr:row>
          <xdr:rowOff>180975</xdr:rowOff>
        </xdr:from>
        <xdr:to>
          <xdr:col>18</xdr:col>
          <xdr:colOff>581025</xdr:colOff>
          <xdr:row>11</xdr:row>
          <xdr:rowOff>19050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10</xdr:row>
          <xdr:rowOff>180975</xdr:rowOff>
        </xdr:from>
        <xdr:to>
          <xdr:col>17</xdr:col>
          <xdr:colOff>581025</xdr:colOff>
          <xdr:row>12</xdr:row>
          <xdr:rowOff>19050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10</xdr:row>
          <xdr:rowOff>180975</xdr:rowOff>
        </xdr:from>
        <xdr:to>
          <xdr:col>18</xdr:col>
          <xdr:colOff>581025</xdr:colOff>
          <xdr:row>12</xdr:row>
          <xdr:rowOff>19050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11</xdr:row>
          <xdr:rowOff>180975</xdr:rowOff>
        </xdr:from>
        <xdr:to>
          <xdr:col>17</xdr:col>
          <xdr:colOff>581025</xdr:colOff>
          <xdr:row>13</xdr:row>
          <xdr:rowOff>19050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11</xdr:row>
          <xdr:rowOff>180975</xdr:rowOff>
        </xdr:from>
        <xdr:to>
          <xdr:col>18</xdr:col>
          <xdr:colOff>581025</xdr:colOff>
          <xdr:row>13</xdr:row>
          <xdr:rowOff>19050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12</xdr:row>
          <xdr:rowOff>180975</xdr:rowOff>
        </xdr:from>
        <xdr:to>
          <xdr:col>17</xdr:col>
          <xdr:colOff>581025</xdr:colOff>
          <xdr:row>14</xdr:row>
          <xdr:rowOff>19050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12</xdr:row>
          <xdr:rowOff>180975</xdr:rowOff>
        </xdr:from>
        <xdr:to>
          <xdr:col>18</xdr:col>
          <xdr:colOff>581025</xdr:colOff>
          <xdr:row>14</xdr:row>
          <xdr:rowOff>19050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152400</xdr:rowOff>
        </xdr:from>
        <xdr:to>
          <xdr:col>1</xdr:col>
          <xdr:colOff>0</xdr:colOff>
          <xdr:row>25</xdr:row>
          <xdr:rowOff>0</xdr:rowOff>
        </xdr:to>
        <xdr:sp macro="" textlink="">
          <xdr:nvSpPr>
            <xdr:cNvPr id="2129" name="WfSTR_Group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4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24</xdr:row>
          <xdr:rowOff>180975</xdr:rowOff>
        </xdr:from>
        <xdr:to>
          <xdr:col>0</xdr:col>
          <xdr:colOff>590550</xdr:colOff>
          <xdr:row>26</xdr:row>
          <xdr:rowOff>0</xdr:rowOff>
        </xdr:to>
        <xdr:sp macro="" textlink="">
          <xdr:nvSpPr>
            <xdr:cNvPr id="2130" name="WfSTR_Opt_1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4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25</xdr:row>
          <xdr:rowOff>180975</xdr:rowOff>
        </xdr:from>
        <xdr:to>
          <xdr:col>0</xdr:col>
          <xdr:colOff>590550</xdr:colOff>
          <xdr:row>27</xdr:row>
          <xdr:rowOff>0</xdr:rowOff>
        </xdr:to>
        <xdr:sp macro="" textlink="">
          <xdr:nvSpPr>
            <xdr:cNvPr id="2131" name="WfSTR_Opt_2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4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26</xdr:row>
          <xdr:rowOff>180975</xdr:rowOff>
        </xdr:from>
        <xdr:to>
          <xdr:col>0</xdr:col>
          <xdr:colOff>590550</xdr:colOff>
          <xdr:row>28</xdr:row>
          <xdr:rowOff>0</xdr:rowOff>
        </xdr:to>
        <xdr:sp macro="" textlink="">
          <xdr:nvSpPr>
            <xdr:cNvPr id="2132" name="WfSTR_Opt_3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4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19</xdr:col>
      <xdr:colOff>485775</xdr:colOff>
      <xdr:row>1</xdr:row>
      <xdr:rowOff>238124</xdr:rowOff>
    </xdr:from>
    <xdr:to>
      <xdr:col>26</xdr:col>
      <xdr:colOff>361950</xdr:colOff>
      <xdr:row>32</xdr:row>
      <xdr:rowOff>161925</xdr:rowOff>
    </xdr:to>
    <xdr:graphicFrame macro="">
      <xdr:nvGraphicFramePr>
        <xdr:cNvPr id="3" name="ParticipantScenarioReturnChart">
          <a:extLst>
            <a:ext uri="{FF2B5EF4-FFF2-40B4-BE49-F238E27FC236}">
              <a16:creationId xmlns:a16="http://schemas.microsoft.com/office/drawing/2014/main" id="{65B7AC06-02C0-523E-0741-5503EDC7F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ctrlProp" Target="../ctrlProps/ctrlProp27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29" Type="http://schemas.openxmlformats.org/officeDocument/2006/relationships/ctrlProp" Target="../ctrlProps/ctrlProp3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28" Type="http://schemas.openxmlformats.org/officeDocument/2006/relationships/ctrlProp" Target="../ctrlProps/ctrlProp29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31" Type="http://schemas.openxmlformats.org/officeDocument/2006/relationships/table" Target="../tables/table4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ctrlProp" Target="../ctrlProps/ctrlProp28.xml"/><Relationship Id="rId30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1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O34"/>
  <sheetViews>
    <sheetView workbookViewId="0">
      <selection activeCell="O19" sqref="O19"/>
    </sheetView>
  </sheetViews>
  <sheetFormatPr defaultRowHeight="15" x14ac:dyDescent="0.25"/>
  <cols>
    <col min="1" max="1" width="8.7109375" customWidth="1"/>
    <col min="2" max="2" width="10.140625" customWidth="1"/>
    <col min="3" max="3" width="14.85546875" customWidth="1"/>
    <col min="4" max="4" width="13.85546875" customWidth="1"/>
    <col min="5" max="5" width="13" customWidth="1"/>
    <col min="6" max="6" width="11.28515625" customWidth="1"/>
    <col min="7" max="8" width="10.7109375" customWidth="1"/>
    <col min="9" max="9" width="15" customWidth="1"/>
    <col min="10" max="10" width="13" customWidth="1"/>
    <col min="11" max="11" width="12.7109375" customWidth="1"/>
    <col min="12" max="12" width="12.42578125" customWidth="1"/>
  </cols>
  <sheetData>
    <row r="1" spans="1:10" ht="21" x14ac:dyDescent="0.35">
      <c r="A1" s="97" t="s">
        <v>329</v>
      </c>
      <c r="B1" s="94"/>
      <c r="C1" s="94"/>
      <c r="D1" s="94"/>
    </row>
    <row r="2" spans="1:10" ht="15.75" thickBot="1" x14ac:dyDescent="0.3">
      <c r="B2" s="94" t="s">
        <v>333</v>
      </c>
      <c r="C2" s="94"/>
      <c r="D2" s="94"/>
    </row>
    <row r="3" spans="1:10" ht="15.75" thickBot="1" x14ac:dyDescent="0.3">
      <c r="A3" s="5" t="s">
        <v>330</v>
      </c>
      <c r="H3" s="71" t="s">
        <v>372</v>
      </c>
    </row>
    <row r="4" spans="1:10" ht="15.75" thickBot="1" x14ac:dyDescent="0.3">
      <c r="A4" t="s">
        <v>331</v>
      </c>
      <c r="D4" s="110" t="str">
        <f>IF(OR($H$4&lt;1,$H$4&gt;3),"",INDEX($B$7:$B$9,$H$4))</f>
        <v>Whole Building STR</v>
      </c>
      <c r="E4" s="111"/>
      <c r="F4" s="112"/>
      <c r="H4" s="74">
        <v>3</v>
      </c>
    </row>
    <row r="5" spans="1:10" ht="15.75" thickBot="1" x14ac:dyDescent="0.3"/>
    <row r="6" spans="1:10" ht="15.75" thickBot="1" x14ac:dyDescent="0.3">
      <c r="A6" s="12" t="s">
        <v>373</v>
      </c>
      <c r="B6" s="98" t="s">
        <v>374</v>
      </c>
      <c r="C6" s="99"/>
      <c r="D6" s="100"/>
      <c r="E6" s="98" t="s">
        <v>375</v>
      </c>
      <c r="F6" s="99"/>
      <c r="G6" s="99"/>
      <c r="H6" s="99"/>
      <c r="I6" s="99"/>
      <c r="J6" s="100"/>
    </row>
    <row r="7" spans="1:10" ht="15.75" thickBot="1" x14ac:dyDescent="0.3">
      <c r="B7" s="101" t="s">
        <v>332</v>
      </c>
      <c r="C7" s="102"/>
      <c r="D7" s="103"/>
      <c r="E7" s="101" t="s">
        <v>336</v>
      </c>
      <c r="F7" s="102"/>
      <c r="G7" s="102"/>
      <c r="H7" s="102"/>
      <c r="I7" s="102"/>
      <c r="J7" s="103"/>
    </row>
    <row r="8" spans="1:10" ht="15.75" thickBot="1" x14ac:dyDescent="0.3">
      <c r="B8" s="104" t="s">
        <v>334</v>
      </c>
      <c r="C8" s="105"/>
      <c r="D8" s="106"/>
      <c r="E8" s="104" t="s">
        <v>376</v>
      </c>
      <c r="F8" s="105"/>
      <c r="G8" s="105"/>
      <c r="H8" s="105"/>
      <c r="I8" s="105"/>
      <c r="J8" s="106"/>
    </row>
    <row r="9" spans="1:10" ht="15.75" thickBot="1" x14ac:dyDescent="0.3">
      <c r="B9" s="107" t="s">
        <v>335</v>
      </c>
      <c r="C9" s="108"/>
      <c r="D9" s="109"/>
      <c r="E9" s="107" t="s">
        <v>377</v>
      </c>
      <c r="F9" s="108"/>
      <c r="G9" s="108"/>
      <c r="H9" s="108"/>
      <c r="I9" s="108"/>
      <c r="J9" s="109"/>
    </row>
    <row r="12" spans="1:10" x14ac:dyDescent="0.25">
      <c r="A12" s="93" t="s">
        <v>337</v>
      </c>
      <c r="B12" s="93"/>
      <c r="C12" s="93"/>
    </row>
    <row r="13" spans="1:10" ht="30" x14ac:dyDescent="0.25">
      <c r="A13" s="66" t="s">
        <v>338</v>
      </c>
      <c r="B13" s="66"/>
      <c r="C13" s="66"/>
      <c r="D13" s="66" t="s">
        <v>339</v>
      </c>
      <c r="E13" s="66" t="s">
        <v>340</v>
      </c>
      <c r="F13" s="66" t="s">
        <v>341</v>
      </c>
      <c r="G13" s="66" t="s">
        <v>292</v>
      </c>
    </row>
    <row r="14" spans="1:10" x14ac:dyDescent="0.25">
      <c r="A14" s="95" t="s">
        <v>342</v>
      </c>
      <c r="B14" s="95"/>
      <c r="C14" s="95"/>
      <c r="D14" s="67">
        <v>2500</v>
      </c>
      <c r="E14" s="67">
        <v>3250</v>
      </c>
      <c r="F14" s="67">
        <v>4000</v>
      </c>
      <c r="G14" s="73" t="s">
        <v>343</v>
      </c>
      <c r="H14" s="73"/>
      <c r="I14" s="73"/>
      <c r="J14" s="73"/>
    </row>
    <row r="15" spans="1:10" x14ac:dyDescent="0.25">
      <c r="A15" s="95" t="s">
        <v>344</v>
      </c>
      <c r="B15" s="95"/>
      <c r="C15" s="95"/>
      <c r="D15" s="68">
        <v>0.4</v>
      </c>
      <c r="E15" s="68">
        <v>0.5</v>
      </c>
      <c r="F15" s="68">
        <v>0.6</v>
      </c>
      <c r="G15" s="73" t="s">
        <v>345</v>
      </c>
      <c r="H15" s="73"/>
      <c r="I15" s="73"/>
      <c r="J15" s="73"/>
    </row>
    <row r="16" spans="1:10" x14ac:dyDescent="0.25">
      <c r="A16" s="96" t="s">
        <v>346</v>
      </c>
      <c r="B16" s="96"/>
      <c r="C16" s="96"/>
      <c r="D16" s="69">
        <v>4500</v>
      </c>
      <c r="E16" s="69">
        <v>6000</v>
      </c>
      <c r="F16" s="69">
        <v>7500</v>
      </c>
      <c r="G16" s="72" t="s">
        <v>347</v>
      </c>
      <c r="H16" s="72"/>
      <c r="I16" s="72"/>
      <c r="J16" s="72"/>
    </row>
    <row r="17" spans="1:15" x14ac:dyDescent="0.25">
      <c r="A17" s="96" t="s">
        <v>348</v>
      </c>
      <c r="B17" s="96"/>
      <c r="C17" s="96"/>
      <c r="D17" s="70">
        <v>0.35</v>
      </c>
      <c r="E17" s="70">
        <v>0.45</v>
      </c>
      <c r="F17" s="70">
        <v>0.55000000000000004</v>
      </c>
      <c r="G17" s="72" t="s">
        <v>345</v>
      </c>
      <c r="H17" s="72"/>
      <c r="I17" s="72"/>
      <c r="J17" s="72"/>
    </row>
    <row r="18" spans="1:15" x14ac:dyDescent="0.25">
      <c r="A18" s="94" t="s">
        <v>349</v>
      </c>
      <c r="B18" s="94"/>
      <c r="C18" s="94"/>
      <c r="D18" s="62">
        <v>0.08</v>
      </c>
      <c r="E18" s="62">
        <v>0.09</v>
      </c>
      <c r="F18" s="62">
        <v>0.1</v>
      </c>
      <c r="G18" t="s">
        <v>350</v>
      </c>
    </row>
    <row r="19" spans="1:15" x14ac:dyDescent="0.25">
      <c r="A19" s="94" t="s">
        <v>351</v>
      </c>
      <c r="B19" s="94"/>
      <c r="C19" s="94"/>
      <c r="D19" s="2">
        <v>250</v>
      </c>
      <c r="E19" s="2">
        <v>300</v>
      </c>
      <c r="F19" s="2">
        <v>350</v>
      </c>
      <c r="G19" t="s">
        <v>352</v>
      </c>
    </row>
    <row r="23" spans="1:15" x14ac:dyDescent="0.25">
      <c r="A23" s="93" t="s">
        <v>353</v>
      </c>
      <c r="B23" s="93"/>
      <c r="C23" s="93"/>
    </row>
    <row r="24" spans="1:15" s="65" customFormat="1" ht="60" x14ac:dyDescent="0.25">
      <c r="A24" s="65" t="s">
        <v>55</v>
      </c>
      <c r="B24" s="65" t="s">
        <v>354</v>
      </c>
      <c r="C24" s="65" t="s">
        <v>355</v>
      </c>
      <c r="D24" s="65" t="s">
        <v>356</v>
      </c>
      <c r="E24" s="65" t="s">
        <v>357</v>
      </c>
      <c r="F24" s="65" t="s">
        <v>358</v>
      </c>
      <c r="G24" s="65" t="s">
        <v>359</v>
      </c>
      <c r="H24" s="65" t="s">
        <v>360</v>
      </c>
      <c r="I24" s="65" t="s">
        <v>361</v>
      </c>
      <c r="J24" s="65" t="s">
        <v>362</v>
      </c>
      <c r="K24" s="65" t="s">
        <v>363</v>
      </c>
      <c r="L24" s="65" t="s">
        <v>364</v>
      </c>
    </row>
    <row r="25" spans="1:15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9">
        <f>STRScenarioTable[[#This Row],[Base Monthly Gross Rent]]*12</f>
        <v>105600</v>
      </c>
      <c r="E25" s="67">
        <f>IF(STRScenarioTable[[#This Row],[Year]]&gt;=3,$F$14,IF(STRScenarioTable[[#This Row],[Year]]&gt;=2,$E$14,$D$14))</f>
        <v>2500</v>
      </c>
      <c r="F25" s="68">
        <f>IF(STRScenarioTable[[#This Row],[Year]]&gt;=3,$F$15,IF(STRScenarioTable[[#This Row],[Year]]&gt;=2,$E$15,$D$15))</f>
        <v>0.4</v>
      </c>
      <c r="G25" s="67">
        <f>STRScenarioTable[[#This Row],[Base Annual Gross Rent]]/2</f>
        <v>52800</v>
      </c>
      <c r="H25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69">
        <f>IF(STRScenarioTable[[#This Row],[Year]]&gt;=3,$F$16,IF(STRScenarioTable[[#This Row],[Year]]&gt;=2,$E$16,$D$16))</f>
        <v>4500</v>
      </c>
      <c r="J25" s="70">
        <f>IF(STRScenarioTable[[#This Row],[Year]]&gt;=3,$F$17,IF(STRScenarioTable[[#This Row],[Year]]&gt;=2,$E$17,$D$17))</f>
        <v>0.35</v>
      </c>
      <c r="K25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70798</v>
      </c>
      <c r="O25" s="2">
        <f>SUM(SelectedAnnualGrossRent)</f>
        <v>1655862</v>
      </c>
    </row>
    <row r="26" spans="1:15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9">
        <f>STRScenarioTable[[#This Row],[Base Monthly Gross Rent]]*12</f>
        <v>129600</v>
      </c>
      <c r="E26" s="67">
        <f>IF(STRScenarioTable[[#This Row],[Year]]&gt;=3,$F$14,IF(STRScenarioTable[[#This Row],[Year]]&gt;=2,$E$14,$D$14))</f>
        <v>3250</v>
      </c>
      <c r="F26" s="68">
        <f>IF(STRScenarioTable[[#This Row],[Year]]&gt;=3,$F$15,IF(STRScenarioTable[[#This Row],[Year]]&gt;=2,$E$15,$D$15))</f>
        <v>0.5</v>
      </c>
      <c r="G26" s="67">
        <f>STRScenarioTable[[#This Row],[Base Annual Gross Rent]]/2</f>
        <v>64800</v>
      </c>
      <c r="H26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69">
        <f>IF(STRScenarioTable[[#This Row],[Year]]&gt;=3,$F$16,IF(STRScenarioTable[[#This Row],[Year]]&gt;=2,$E$16,$D$16))</f>
        <v>6000</v>
      </c>
      <c r="J26" s="70">
        <f>IF(STRScenarioTable[[#This Row],[Year]]&gt;=3,$F$17,IF(STRScenarioTable[[#This Row],[Year]]&gt;=2,$E$17,$D$17))</f>
        <v>0.45</v>
      </c>
      <c r="K26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120744</v>
      </c>
    </row>
    <row r="27" spans="1:15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9">
        <f>STRScenarioTable[[#This Row],[Base Monthly Gross Rent]]*12</f>
        <v>144000</v>
      </c>
      <c r="E27" s="67">
        <f>IF(STRScenarioTable[[#This Row],[Year]]&gt;=3,$F$14,IF(STRScenarioTable[[#This Row],[Year]]&gt;=2,$E$14,$D$14))</f>
        <v>4000</v>
      </c>
      <c r="F27" s="68">
        <f>IF(STRScenarioTable[[#This Row],[Year]]&gt;=3,$F$15,IF(STRScenarioTable[[#This Row],[Year]]&gt;=2,$E$15,$D$15))</f>
        <v>0.6</v>
      </c>
      <c r="G27" s="67">
        <f>STRScenarioTable[[#This Row],[Base Annual Gross Rent]]/2</f>
        <v>72000</v>
      </c>
      <c r="H27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69">
        <f>IF(STRScenarioTable[[#This Row],[Year]]&gt;=3,$F$16,IF(STRScenarioTable[[#This Row],[Year]]&gt;=2,$E$16,$D$16))</f>
        <v>7500</v>
      </c>
      <c r="J27" s="70">
        <f>IF(STRScenarioTable[[#This Row],[Year]]&gt;=3,$F$17,IF(STRScenarioTable[[#This Row],[Year]]&gt;=2,$E$17,$D$17))</f>
        <v>0.55000000000000004</v>
      </c>
      <c r="K27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8" spans="1:15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9">
        <f>STRScenarioTable[[#This Row],[Base Monthly Gross Rent]]*12</f>
        <v>144000</v>
      </c>
      <c r="E28" s="67">
        <f>IF(STRScenarioTable[[#This Row],[Year]]&gt;=3,$F$14,IF(STRScenarioTable[[#This Row],[Year]]&gt;=2,$E$14,$D$14))</f>
        <v>4000</v>
      </c>
      <c r="F28" s="68">
        <f>IF(STRScenarioTable[[#This Row],[Year]]&gt;=3,$F$15,IF(STRScenarioTable[[#This Row],[Year]]&gt;=2,$E$15,$D$15))</f>
        <v>0.6</v>
      </c>
      <c r="G28" s="67">
        <f>STRScenarioTable[[#This Row],[Base Annual Gross Rent]]/2</f>
        <v>72000</v>
      </c>
      <c r="H28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69">
        <f>IF(STRScenarioTable[[#This Row],[Year]]&gt;=3,$F$16,IF(STRScenarioTable[[#This Row],[Year]]&gt;=2,$E$16,$D$16))</f>
        <v>7500</v>
      </c>
      <c r="J28" s="70">
        <f>IF(STRScenarioTable[[#This Row],[Year]]&gt;=3,$F$17,IF(STRScenarioTable[[#This Row],[Year]]&gt;=2,$E$17,$D$17))</f>
        <v>0.55000000000000004</v>
      </c>
      <c r="K28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9" spans="1:15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9">
        <f>STRScenarioTable[[#This Row],[Base Monthly Gross Rent]]*12</f>
        <v>144000</v>
      </c>
      <c r="E29" s="67">
        <f>IF(STRScenarioTable[[#This Row],[Year]]&gt;=3,$F$14,IF(STRScenarioTable[[#This Row],[Year]]&gt;=2,$E$14,$D$14))</f>
        <v>4000</v>
      </c>
      <c r="F29" s="68">
        <f>IF(STRScenarioTable[[#This Row],[Year]]&gt;=3,$F$15,IF(STRScenarioTable[[#This Row],[Year]]&gt;=2,$E$15,$D$15))</f>
        <v>0.6</v>
      </c>
      <c r="G29" s="67">
        <f>STRScenarioTable[[#This Row],[Base Annual Gross Rent]]/2</f>
        <v>72000</v>
      </c>
      <c r="H29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69">
        <f>IF(STRScenarioTable[[#This Row],[Year]]&gt;=3,$F$16,IF(STRScenarioTable[[#This Row],[Year]]&gt;=2,$E$16,$D$16))</f>
        <v>7500</v>
      </c>
      <c r="J29" s="70">
        <f>IF(STRScenarioTable[[#This Row],[Year]]&gt;=3,$F$17,IF(STRScenarioTable[[#This Row],[Year]]&gt;=2,$E$17,$D$17))</f>
        <v>0.55000000000000004</v>
      </c>
      <c r="K29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0" spans="1:15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9">
        <f>STRScenarioTable[[#This Row],[Base Monthly Gross Rent]]*12</f>
        <v>144000</v>
      </c>
      <c r="E30" s="67">
        <f>IF(STRScenarioTable[[#This Row],[Year]]&gt;=3,$F$14,IF(STRScenarioTable[[#This Row],[Year]]&gt;=2,$E$14,$D$14))</f>
        <v>4000</v>
      </c>
      <c r="F30" s="68">
        <f>IF(STRScenarioTable[[#This Row],[Year]]&gt;=3,$F$15,IF(STRScenarioTable[[#This Row],[Year]]&gt;=2,$E$15,$D$15))</f>
        <v>0.6</v>
      </c>
      <c r="G30" s="67">
        <f>STRScenarioTable[[#This Row],[Base Annual Gross Rent]]/2</f>
        <v>72000</v>
      </c>
      <c r="H30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69">
        <f>IF(STRScenarioTable[[#This Row],[Year]]&gt;=3,$F$16,IF(STRScenarioTable[[#This Row],[Year]]&gt;=2,$E$16,$D$16))</f>
        <v>7500</v>
      </c>
      <c r="J30" s="70">
        <f>IF(STRScenarioTable[[#This Row],[Year]]&gt;=3,$F$17,IF(STRScenarioTable[[#This Row],[Year]]&gt;=2,$E$17,$D$17))</f>
        <v>0.55000000000000004</v>
      </c>
      <c r="K30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1" spans="1:15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9">
        <f>STRScenarioTable[[#This Row],[Base Monthly Gross Rent]]*12</f>
        <v>144000</v>
      </c>
      <c r="E31" s="67">
        <f>IF(STRScenarioTable[[#This Row],[Year]]&gt;=3,$F$14,IF(STRScenarioTable[[#This Row],[Year]]&gt;=2,$E$14,$D$14))</f>
        <v>4000</v>
      </c>
      <c r="F31" s="68">
        <f>IF(STRScenarioTable[[#This Row],[Year]]&gt;=3,$F$15,IF(STRScenarioTable[[#This Row],[Year]]&gt;=2,$E$15,$D$15))</f>
        <v>0.6</v>
      </c>
      <c r="G31" s="67">
        <f>STRScenarioTable[[#This Row],[Base Annual Gross Rent]]/2</f>
        <v>72000</v>
      </c>
      <c r="H31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69">
        <f>IF(STRScenarioTable[[#This Row],[Year]]&gt;=3,$F$16,IF(STRScenarioTable[[#This Row],[Year]]&gt;=2,$E$16,$D$16))</f>
        <v>7500</v>
      </c>
      <c r="J31" s="70">
        <f>IF(STRScenarioTable[[#This Row],[Year]]&gt;=3,$F$17,IF(STRScenarioTable[[#This Row],[Year]]&gt;=2,$E$17,$D$17))</f>
        <v>0.55000000000000004</v>
      </c>
      <c r="K31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2" spans="1:15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9">
        <f>STRScenarioTable[[#This Row],[Base Monthly Gross Rent]]*12</f>
        <v>144000</v>
      </c>
      <c r="E32" s="67">
        <f>IF(STRScenarioTable[[#This Row],[Year]]&gt;=3,$F$14,IF(STRScenarioTable[[#This Row],[Year]]&gt;=2,$E$14,$D$14))</f>
        <v>4000</v>
      </c>
      <c r="F32" s="68">
        <f>IF(STRScenarioTable[[#This Row],[Year]]&gt;=3,$F$15,IF(STRScenarioTable[[#This Row],[Year]]&gt;=2,$E$15,$D$15))</f>
        <v>0.6</v>
      </c>
      <c r="G32" s="67">
        <f>STRScenarioTable[[#This Row],[Base Annual Gross Rent]]/2</f>
        <v>72000</v>
      </c>
      <c r="H32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69">
        <f>IF(STRScenarioTable[[#This Row],[Year]]&gt;=3,$F$16,IF(STRScenarioTable[[#This Row],[Year]]&gt;=2,$E$16,$D$16))</f>
        <v>7500</v>
      </c>
      <c r="J32" s="70">
        <f>IF(STRScenarioTable[[#This Row],[Year]]&gt;=3,$F$17,IF(STRScenarioTable[[#This Row],[Year]]&gt;=2,$E$17,$D$17))</f>
        <v>0.55000000000000004</v>
      </c>
      <c r="K32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9">
        <f>STRScenarioTable[[#This Row],[Base Monthly Gross Rent]]*12</f>
        <v>144000</v>
      </c>
      <c r="E33" s="67">
        <f>IF(STRScenarioTable[[#This Row],[Year]]&gt;=3,$F$14,IF(STRScenarioTable[[#This Row],[Year]]&gt;=2,$E$14,$D$14))</f>
        <v>4000</v>
      </c>
      <c r="F33" s="68">
        <f>IF(STRScenarioTable[[#This Row],[Year]]&gt;=3,$F$15,IF(STRScenarioTable[[#This Row],[Year]]&gt;=2,$E$15,$D$15))</f>
        <v>0.6</v>
      </c>
      <c r="G33" s="67">
        <f>STRScenarioTable[[#This Row],[Base Annual Gross Rent]]/2</f>
        <v>72000</v>
      </c>
      <c r="H33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69">
        <f>IF(STRScenarioTable[[#This Row],[Year]]&gt;=3,$F$16,IF(STRScenarioTable[[#This Row],[Year]]&gt;=2,$E$16,$D$16))</f>
        <v>7500</v>
      </c>
      <c r="J33" s="70">
        <f>IF(STRScenarioTable[[#This Row],[Year]]&gt;=3,$F$17,IF(STRScenarioTable[[#This Row],[Year]]&gt;=2,$E$17,$D$17))</f>
        <v>0.55000000000000004</v>
      </c>
      <c r="K33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9">
        <f>STRScenarioTable[[#This Row],[Base Monthly Gross Rent]]*12</f>
        <v>144000</v>
      </c>
      <c r="E34" s="67">
        <f>IF(STRScenarioTable[[#This Row],[Year]]&gt;=3,$F$14,IF(STRScenarioTable[[#This Row],[Year]]&gt;=2,$E$14,$D$14))</f>
        <v>4000</v>
      </c>
      <c r="F34" s="68">
        <f>IF(STRScenarioTable[[#This Row],[Year]]&gt;=3,$F$15,IF(STRScenarioTable[[#This Row],[Year]]&gt;=2,$E$15,$D$15))</f>
        <v>0.6</v>
      </c>
      <c r="G34" s="67">
        <f>STRScenarioTable[[#This Row],[Base Annual Gross Rent]]/2</f>
        <v>72000</v>
      </c>
      <c r="H34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69">
        <f>IF(STRScenarioTable[[#This Row],[Year]]&gt;=3,$F$16,IF(STRScenarioTable[[#This Row],[Year]]&gt;=2,$E$16,$D$16))</f>
        <v>7500</v>
      </c>
      <c r="J34" s="70">
        <f>IF(STRScenarioTable[[#This Row],[Year]]&gt;=3,$F$17,IF(STRScenarioTable[[#This Row],[Year]]&gt;=2,$E$17,$D$17))</f>
        <v>0.55000000000000004</v>
      </c>
      <c r="K34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</sheetData>
  <mergeCells count="19">
    <mergeCell ref="A1:D1"/>
    <mergeCell ref="B6:D6"/>
    <mergeCell ref="B7:D7"/>
    <mergeCell ref="B8:D8"/>
    <mergeCell ref="B9:D9"/>
    <mergeCell ref="B2:D2"/>
    <mergeCell ref="D4:F4"/>
    <mergeCell ref="E8:J8"/>
    <mergeCell ref="E6:J6"/>
    <mergeCell ref="E7:J7"/>
    <mergeCell ref="E9:J9"/>
    <mergeCell ref="A12:C12"/>
    <mergeCell ref="A23:C23"/>
    <mergeCell ref="A19:C19"/>
    <mergeCell ref="A18:C18"/>
    <mergeCell ref="A14:C14"/>
    <mergeCell ref="A15:C15"/>
    <mergeCell ref="A16:C16"/>
    <mergeCell ref="A17:C17"/>
  </mergeCell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eratingScenarioGroup">
              <controlPr defaultSize="0" autoPict="0">
                <anchor moveWithCells="1">
                  <from>
                    <xdr:col>0</xdr:col>
                    <xdr:colOff>9525</xdr:colOff>
                    <xdr:row>6</xdr:row>
                    <xdr:rowOff>9525</xdr:rowOff>
                  </from>
                  <to>
                    <xdr:col>0</xdr:col>
                    <xdr:colOff>361950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5" name="OperatingScenarioOption_1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38100</xdr:rowOff>
                  </from>
                  <to>
                    <xdr:col>0</xdr:col>
                    <xdr:colOff>381000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6" name="OperatingScenarioOption_2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28575</xdr:rowOff>
                  </from>
                  <to>
                    <xdr:col>0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7" name="OperatingScenarioOption_3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28575</xdr:rowOff>
                  </from>
                  <to>
                    <xdr:col>0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5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3" t="s">
        <v>365</v>
      </c>
      <c r="M3" s="64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4" t="s">
        <v>331</v>
      </c>
      <c r="M4" s="64" t="str">
        <f>SelectedOperatingScenario</f>
        <v>Whole Building STR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4" t="s">
        <v>366</v>
      </c>
      <c r="M5" s="64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115" t="s">
        <v>281</v>
      </c>
      <c r="E7" s="115"/>
      <c r="F7" s="115"/>
      <c r="G7" s="115"/>
      <c r="H7" s="115"/>
      <c r="I7" s="115"/>
      <c r="J7" s="115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113" t="s">
        <v>53</v>
      </c>
      <c r="C48" s="114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116" t="s">
        <v>54</v>
      </c>
      <c r="B1" s="94"/>
      <c r="C1" s="94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70798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35399</v>
      </c>
      <c r="E5" s="13">
        <f>IF(AnnualModelTable[[#This Row],[Year]]&gt;SaleExitYear,0,AnnualModelTable[[#This Row],[Occupancy Effective Gross Income]]*OperatingExpenseRatio)</f>
        <v>16606.550588410992</v>
      </c>
      <c r="F5" s="13">
        <f>IF(AnnualModelTable[[#This Row],[Year]]&gt;SaleExitYear,0,AnnualModelTable[[#This Row],[Occupancy Effective Gross Income]]-AnnualModelTable[[#This Row],[Operating Expenses]])</f>
        <v>18792.449411589008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4980.4494115890084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4980.4494115890084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4980.4494115890084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120744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112291.92000000001</v>
      </c>
      <c r="E6" s="13">
        <f>IF(AnnualModelTable[[#This Row],[Year]]&gt;SaleExitYear,0,AnnualModelTable[[#This Row],[Occupancy Effective Gross Income]]*OperatingExpenseRatio)</f>
        <v>52678.930200000003</v>
      </c>
      <c r="F6" s="13">
        <f>IF(AnnualModelTable[[#This Row],[Year]]&gt;SaleExitYear,0,AnnualModelTable[[#This Row],[Occupancy Effective Gross Income]]-AnnualModelTable[[#This Row],[Operating Expenses]])</f>
        <v>59612.98980000001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45800.98980000001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4019.5505884109916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41781.439211589022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41781.439211589022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7" s="13">
        <f>IF(AnnualModelTable[[#This Row],[Year]]&gt;SaleExitYear,0,AnnualModelTable[[#This Row],[Occupancy Effective Gross Income]]*OperatingExpenseRatio)</f>
        <v>79857.809777777788</v>
      </c>
      <c r="F7" s="13">
        <f>IF(AnnualModelTable[[#This Row],[Year]]&gt;SaleExitYear,0,AnnualModelTable[[#This Row],[Occupancy Effective Gross Income]]-AnnualModelTable[[#This Row],[Operating Expenses]])</f>
        <v>90369.390222222253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34827.567572470594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573104.0075724707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573104.0075724707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8" s="13">
        <f>IF(AnnualModelTable[[#This Row],[Year]]&gt;SaleExitYear,0,AnnualModelTable[[#This Row],[Occupancy Effective Gross Income]]*OperatingExpenseRatio)</f>
        <v>79857.809777777788</v>
      </c>
      <c r="F8" s="13">
        <f>IF(AnnualModelTable[[#This Row],[Year]]&gt;SaleExitYear,0,AnnualModelTable[[#This Row],[Occupancy Effective Gross Income]]-AnnualModelTable[[#This Row],[Operating Expenses]])</f>
        <v>90369.390222222253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34827.567572470594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34827.567572470594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34827.567572470594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9" s="13">
        <f>IF(AnnualModelTable[[#This Row],[Year]]&gt;SaleExitYear,0,AnnualModelTable[[#This Row],[Occupancy Effective Gross Income]]*OperatingExpenseRatio)</f>
        <v>79857.809777777788</v>
      </c>
      <c r="F9" s="13">
        <f>IF(AnnualModelTable[[#This Row],[Year]]&gt;SaleExitYear,0,AnnualModelTable[[#This Row],[Occupancy Effective Gross Income]]-AnnualModelTable[[#This Row],[Operating Expenses]])</f>
        <v>90369.390222222253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34827.567572470594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1303126.6070044446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1337954.1745769151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1337954.1745769151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5"/>
  <sheetViews>
    <sheetView tabSelected="1" topLeftCell="A9" workbookViewId="0">
      <selection activeCell="P40" sqref="P40"/>
    </sheetView>
  </sheetViews>
  <sheetFormatPr defaultRowHeight="15" x14ac:dyDescent="0.25"/>
  <cols>
    <col min="1" max="1" width="13.140625" style="6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21" width="9.140625" style="6"/>
    <col min="22" max="31" width="20" style="6" customWidth="1"/>
    <col min="32" max="16384" width="9.140625" style="6"/>
  </cols>
  <sheetData>
    <row r="1" spans="1:31" ht="15.75" thickBot="1" x14ac:dyDescent="0.3">
      <c r="B1"/>
      <c r="C1"/>
      <c r="D1" s="13"/>
      <c r="E1" s="13"/>
      <c r="F1" s="13"/>
      <c r="G1" s="13"/>
      <c r="H1" s="13"/>
      <c r="I1" s="13"/>
      <c r="J1" s="13"/>
      <c r="R1" s="13"/>
      <c r="S1" s="13"/>
    </row>
    <row r="2" spans="1:31" ht="19.5" thickBot="1" x14ac:dyDescent="0.35">
      <c r="A2" s="156" t="s">
        <v>68</v>
      </c>
      <c r="B2" s="157"/>
      <c r="C2" s="155" t="s">
        <v>267</v>
      </c>
      <c r="D2" s="139"/>
      <c r="E2" s="139"/>
      <c r="F2" s="139"/>
      <c r="G2" s="139"/>
      <c r="H2" s="139"/>
      <c r="I2" s="139"/>
      <c r="J2" s="153" t="s">
        <v>89</v>
      </c>
      <c r="K2" s="139"/>
      <c r="L2" s="139"/>
      <c r="M2" s="139"/>
      <c r="N2" s="154" t="s">
        <v>90</v>
      </c>
      <c r="O2" s="139"/>
      <c r="P2" s="139"/>
      <c r="R2" s="12" t="s">
        <v>317</v>
      </c>
      <c r="S2" s="12" t="s">
        <v>318</v>
      </c>
    </row>
    <row r="3" spans="1:31" s="23" customFormat="1" ht="15.75" customHeight="1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79">
        <v>3</v>
      </c>
      <c r="S3" s="79">
        <v>5</v>
      </c>
    </row>
    <row r="4" spans="1:31" ht="15.75" customHeight="1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</row>
    <row r="5" spans="1:31" ht="15.75" customHeight="1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0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0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0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31" ht="15.75" customHeight="1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41781.439211589022</v>
      </c>
      <c r="C6" s="13">
        <f>IF(WaterfallTable[[#This Row],[Year]]&gt;SaleExitYear,0,WaterfallTable[[#This Row],[Capital Balance A]]*ClassAPreferredReturn)</f>
        <v>24000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72000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6" s="13">
        <f>IF(WaterfallTable[[#This Row],[Year]]&gt;SaleExitYear,0,IF(WaterfallTable[[#This Row],[Year]]=0,0,MIN(WaterfallTable[[#This Row],[Cash Available]],WaterfallTable[[#This Row],[Capital Balance A]])))</f>
        <v>41781.439211589022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41781.439211589022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31" ht="15" customHeight="1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573104.0075724707</v>
      </c>
      <c r="C7" s="13">
        <f>IF(WaterfallTable[[#This Row],[Year]]&gt;SaleExitYear,0,WaterfallTable[[#This Row],[Capital Balance A]]*ClassAPreferredReturn)</f>
        <v>20657.484863072877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258218.56078841098</v>
      </c>
      <c r="G7" s="13">
        <f>IF(WaterfallTable[[#This Row],[Year]]&gt;SaleExitYear,0,IF(WaterfallTable[[#This Row],[Year]]=0,0,MIN(WaterfallTable[[#This Row],[Cash Available]],WaterfallTable[[#This Row],[Capital Balance A]])))</f>
        <v>258218.56078841098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258218.56078841098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314885.44678405975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314885.44678405975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  <c r="V7"/>
      <c r="W7"/>
      <c r="X7"/>
      <c r="Y7"/>
      <c r="Z7"/>
      <c r="AA7"/>
      <c r="AB7"/>
      <c r="AC7"/>
      <c r="AD7"/>
      <c r="AE7"/>
    </row>
    <row r="8" spans="1:31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34827.567572470594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232614.55321594025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34827.567572470594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34827.567572470594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31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1337954.1745769151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92657.484863072881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185399.94762307478</v>
      </c>
      <c r="I9" s="13">
        <f>IF(WaterfallTable[[#This Row],[Year]]&gt;SaleExitYear,0,WaterfallTable[[#This Row],[Pref Paid]]+WaterfallTable[[#This Row],[Capital Returned A]]+WaterfallTable[[#This Row],[Residual A]])</f>
        <v>278057.43248614768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197786.98564346967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197786.98564346967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338354.9044121115</v>
      </c>
      <c r="M9" s="13">
        <f>IF(WaterfallTable[[#This Row],[Year]]&gt;SaleExitYear,0,WaterfallTable[[#This Row],[Capital Returned B]]+WaterfallTable[[#This Row],[ Residual   B]])</f>
        <v>536141.89005558123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523754.85203518625</v>
      </c>
      <c r="P9" s="13">
        <f>IF(WaterfallTable[[#This Row],[Year]]&gt;SaleExitYear,0,WaterfallTable[[#This Row],[Property Payment]]+WaterfallTable[[#This Row],[Residual]])</f>
        <v>523754.85203518625</v>
      </c>
      <c r="R9" s="14"/>
    </row>
    <row r="10" spans="1:31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31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31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31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31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31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31" x14ac:dyDescent="0.25">
      <c r="M16" s="2"/>
      <c r="N16" s="2"/>
      <c r="O16" s="2"/>
      <c r="P16" s="2"/>
      <c r="Q16" s="2"/>
      <c r="R16" s="2"/>
      <c r="S16" s="2"/>
    </row>
    <row r="17" spans="1:19" x14ac:dyDescent="0.25">
      <c r="A17" s="5" t="s">
        <v>269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70</v>
      </c>
      <c r="B18" s="58" t="s">
        <v>305</v>
      </c>
      <c r="C18" s="58" t="s">
        <v>306</v>
      </c>
      <c r="D18" s="58" t="s">
        <v>307</v>
      </c>
      <c r="E18" s="58" t="s">
        <v>78</v>
      </c>
      <c r="F18" s="58" t="s">
        <v>79</v>
      </c>
      <c r="G18" s="58" t="s">
        <v>80</v>
      </c>
      <c r="H18" s="58" t="s">
        <v>81</v>
      </c>
      <c r="I18" s="58" t="s">
        <v>82</v>
      </c>
      <c r="J18" s="58" t="s">
        <v>83</v>
      </c>
      <c r="K18" s="58" t="s">
        <v>84</v>
      </c>
      <c r="L18" s="58" t="s">
        <v>85</v>
      </c>
      <c r="M18" s="58" t="s">
        <v>86</v>
      </c>
      <c r="N18" s="58" t="s">
        <v>87</v>
      </c>
      <c r="O18" s="58" t="s">
        <v>298</v>
      </c>
      <c r="P18" s="58" t="s">
        <v>299</v>
      </c>
      <c r="Q18" s="58" t="s">
        <v>74</v>
      </c>
      <c r="R18" s="59" t="s">
        <v>75</v>
      </c>
      <c r="S18" s="58" t="s">
        <v>76</v>
      </c>
    </row>
    <row r="19" spans="1:19" x14ac:dyDescent="0.25">
      <c r="A19" s="49" t="s">
        <v>88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 A],MATCH(1,WaterfallTable[Year],0)))</f>
        <v>0</v>
      </c>
      <c r="F19" s="41">
        <f>IF(2&gt;SaleExitYear,0,INDEX(WaterfallTable[Total Dist A],MATCH(2,WaterfallTable[Year],0)))</f>
        <v>41781.439211589022</v>
      </c>
      <c r="G19" s="41">
        <f>IF(3&gt;SaleExitYear,0,INDEX(WaterfallTable[Total Dist A],MATCH(3,WaterfallTable[Year],0)))</f>
        <v>258218.56078841098</v>
      </c>
      <c r="H19" s="41">
        <f>IF(4&gt;SaleExitYear,0,INDEX(WaterfallTable[Total Dist A],MATCH(4,WaterfallTable[Year],0)))</f>
        <v>0</v>
      </c>
      <c r="I19" s="41">
        <f>IF(5&gt;SaleExitYear,0,INDEX(WaterfallTable[Total Dist A],MATCH(5,WaterfallTable[Year],0)))</f>
        <v>278057.43248614768</v>
      </c>
      <c r="J19" s="41">
        <f>IF(6&gt;SaleExitYear,0,INDEX(WaterfallTable[Total Dist A],MATCH(6,WaterfallTable[Year],0)))</f>
        <v>0</v>
      </c>
      <c r="K19" s="41">
        <f>IF(7&gt;SaleExitYear,0,INDEX(WaterfallTable[Total Dist A],MATCH(7,WaterfallTable[Year],0)))</f>
        <v>0</v>
      </c>
      <c r="L19" s="41">
        <f>IF(8&gt;SaleExitYear,0,INDEX(WaterfallTable[Total Dist A],MATCH(8,WaterfallTable[Year],0)))</f>
        <v>0</v>
      </c>
      <c r="M19" s="41">
        <f>IF(9&gt;SaleExitYear,0,INDEX(WaterfallTable[Total Dist A],MATCH(9,WaterfallTable[Year],0)))</f>
        <v>0</v>
      </c>
      <c r="N19" s="41">
        <f>IF(10&gt;SaleExitYear,0,INDEX(WaterfallTable[Total Dist A],MATCH(10,WaterfallTable[Year],0)))</f>
        <v>0</v>
      </c>
      <c r="O19" s="41">
        <f>SUM(ReturnsTable[[#This Row],[Initial Capitalization]:[Year 10]])</f>
        <v>278057.43248614768</v>
      </c>
      <c r="P19" s="41">
        <f>ReturnsTable[[#This Row],[Total Profit]]+ReturnsTable[[#This Row],[Capital Investment]]</f>
        <v>578057.43248614762</v>
      </c>
      <c r="Q19" s="42">
        <f>IFERROR(ReturnsTable[[#This Row],[Total Dist]]/ReturnsTable[[#This Row],[Capital Investment]],0)</f>
        <v>1.9268581082871588</v>
      </c>
      <c r="R19" s="53">
        <f>IFERROR(ReturnsTable[[#This Row],[Total Profit]]/ReturnsTable[[#This Row],[Capital Investment]],0)</f>
        <v>0.92685810828715898</v>
      </c>
      <c r="S19" s="60">
        <f>IFERROR(IRR(ReturnsTable[[#This Row],[Initial Capitalization]:[Year 10]]),0)</f>
        <v>0.18919673669698978</v>
      </c>
    </row>
    <row r="20" spans="1:19" x14ac:dyDescent="0.25">
      <c r="A20" s="50" t="s">
        <v>89</v>
      </c>
      <c r="B20" s="43">
        <f>ClassBCapital</f>
        <v>547500</v>
      </c>
      <c r="C20" s="43">
        <f>ClassBCapital</f>
        <v>547500</v>
      </c>
      <c r="D20" s="43">
        <f>-ReturnsTable[[#This Row],[Capital Investment]]</f>
        <v>-547500</v>
      </c>
      <c r="E20" s="43">
        <f>IF(1&gt;SaleExitYear,0,INDEX(WaterfallTable[Total Dist B],MATCH(1,WaterfallTable[Year],0)))</f>
        <v>0</v>
      </c>
      <c r="F20" s="43">
        <f>IF(2&gt;SaleExitYear,0,INDEX(WaterfallTable[Total Dist B],MATCH(2,WaterfallTable[Year],0)))</f>
        <v>0</v>
      </c>
      <c r="G20" s="43">
        <f>IF(3&gt;SaleExitYear,0,INDEX(WaterfallTable[Total Dist B],MATCH(3,WaterfallTable[Year],0)))</f>
        <v>314885.44678405975</v>
      </c>
      <c r="H20" s="43">
        <f>IF(4&gt;SaleExitYear,0,INDEX(WaterfallTable[Total Dist B],MATCH(4,WaterfallTable[Year],0)))</f>
        <v>34827.567572470594</v>
      </c>
      <c r="I20" s="43">
        <f>IF(5&gt;SaleExitYear,0,INDEX(WaterfallTable[Total Dist B],MATCH(5,WaterfallTable[Year],0)))</f>
        <v>536141.89005558123</v>
      </c>
      <c r="J20" s="43">
        <f>IF(6&gt;SaleExitYear,0,INDEX(WaterfallTable[Total Dist B],MATCH(6,WaterfallTable[Year],0)))</f>
        <v>0</v>
      </c>
      <c r="K20" s="43">
        <f>IF(7&gt;SaleExitYear,0,INDEX(WaterfallTable[Total Dist B],MATCH(7,WaterfallTable[Year],0)))</f>
        <v>0</v>
      </c>
      <c r="L20" s="43">
        <f>IF(8&gt;SaleExitYear,0,INDEX(WaterfallTable[Total Dist B],MATCH(8,WaterfallTable[Year],0)))</f>
        <v>0</v>
      </c>
      <c r="M20" s="43">
        <f>IF(9&gt;SaleExitYear,0,INDEX(WaterfallTable[Total Dist B],MATCH(9,WaterfallTable[Year],0)))</f>
        <v>0</v>
      </c>
      <c r="N20" s="43">
        <f>IF(10&gt;SaleExitYear,0,INDEX(WaterfallTable[Total Dist B],MATCH(10,WaterfallTable[Year],0)))</f>
        <v>0</v>
      </c>
      <c r="O20" s="43">
        <f>SUM(ReturnsTable[[#This Row],[Initial Capitalization]:[Year 10]])</f>
        <v>338354.90441211156</v>
      </c>
      <c r="P20" s="43">
        <f>ReturnsTable[[#This Row],[Total Profit]]+ReturnsTable[[#This Row],[Capital Investment]]</f>
        <v>885854.9044121115</v>
      </c>
      <c r="Q20" s="44">
        <f>IFERROR(ReturnsTable[[#This Row],[Total Dist]]/ReturnsTable[[#This Row],[Capital Investment]],0)</f>
        <v>1.6179998254102492</v>
      </c>
      <c r="R20" s="54">
        <f>IFERROR(ReturnsTable[[#This Row],[Total Profit]]/ReturnsTable[[#This Row],[Capital Investment]],0)</f>
        <v>0.61799982541024945</v>
      </c>
      <c r="S20" s="60">
        <f>IFERROR(IRR(ReturnsTable[[#This Row],[Initial Capitalization]:[Year 10]]),0)</f>
        <v>0.12146973485163892</v>
      </c>
    </row>
    <row r="21" spans="1:19" x14ac:dyDescent="0.25">
      <c r="A21" s="51" t="s">
        <v>90</v>
      </c>
      <c r="B21" s="45">
        <f>SponsorCapitalInvestment</f>
        <v>136283</v>
      </c>
      <c r="C21" s="45">
        <f>SponsorBasis</f>
        <v>100000</v>
      </c>
      <c r="D21" s="45">
        <f>INDEX(WaterfallTable[Total Dist2],MATCH(0,WaterfallTable[Year],0))-ReturnsTable[[#This Row],[Capital Investment]]</f>
        <v>-36283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0</v>
      </c>
      <c r="H21" s="45">
        <f>IF(4&gt;SaleExitYear,0,INDEX(WaterfallTable[Total Dist2],MATCH(4,WaterfallTable[Year],0)))</f>
        <v>0</v>
      </c>
      <c r="I21" s="45">
        <f>IF(5&gt;SaleExitYear,0,INDEX(WaterfallTable[Total Dist2],MATCH(5,WaterfallTable[Year],0)))</f>
        <v>523754.85203518625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0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0</v>
      </c>
      <c r="O21" s="45">
        <f>SUM(ReturnsTable[[#This Row],[Initial Capitalization]:[Year 10]])</f>
        <v>487471.85203518625</v>
      </c>
      <c r="P21" s="45">
        <f>ReturnsTable[[#This Row],[Total Profit]]+ReturnsTable[[#This Row],[Capital Investment]]</f>
        <v>623754.85203518625</v>
      </c>
      <c r="Q21" s="46">
        <f>IFERROR(ReturnsTable[[#This Row],[Total Dist]]/ReturnsTable[[#This Row],[Capital Investment]],0)</f>
        <v>4.5769087269519035</v>
      </c>
      <c r="R21" s="55">
        <f>IFERROR(ReturnsTable[[#This Row],[Total Profit]]/ReturnsTable[[#This Row],[Capital Investment]],0)</f>
        <v>3.5769087269519035</v>
      </c>
      <c r="S21" s="60">
        <f>IFERROR(IRR(ReturnsTable[[#This Row],[Initial Capitalization]:[Year 10]]),0)</f>
        <v>0.7056305810885255</v>
      </c>
    </row>
    <row r="22" spans="1:19" x14ac:dyDescent="0.25">
      <c r="A22" s="52" t="s">
        <v>288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IF(1&gt;SaleExitYear,0,ManagementFeeRate*INDEX(AnnualModelTable[Occupancy Effective Gross Income],MATCH(1,AnnualModelTable[Year],0)))</f>
        <v>2123.94</v>
      </c>
      <c r="F22" s="47">
        <f>IF(2&gt;SaleExitYear,0,ManagementFeeRate*INDEX(AnnualModelTable[Occupancy Effective Gross Income],MATCH(2,AnnualModelTable[Year],0)))</f>
        <v>6737.5152000000007</v>
      </c>
      <c r="G22" s="47">
        <f>IF(3&gt;SaleExitYear,0,ManagementFeeRate*INDEX(AnnualModelTable[Occupancy Effective Gross Income],MATCH(3,AnnualModelTable[Year],0)))</f>
        <v>10213.632000000001</v>
      </c>
      <c r="H22" s="47">
        <f>IF(4&gt;SaleExitYear,0,ManagementFeeRate*INDEX(AnnualModelTable[Occupancy Effective Gross Income],MATCH(4,AnnualModelTable[Year],0)))</f>
        <v>10213.632000000001</v>
      </c>
      <c r="I22" s="47">
        <f>IF(5&gt;SaleExitYear,0,ManagementFeeRate*INDEX(AnnualModelTable[Occupancy Effective Gross Income],MATCH(5,AnnualModelTable[Year],0)))</f>
        <v>10213.632000000001</v>
      </c>
      <c r="J22" s="47">
        <f>IF(6&gt;SaleExitYear,0,ManagementFeeRate*INDEX(AnnualModelTable[Occupancy Effective Gross Income],MATCH(6,AnnualModelTable[Year],0)))</f>
        <v>0</v>
      </c>
      <c r="K22" s="47">
        <f>IF(7&gt;SaleExitYear,0,ManagementFeeRate*INDEX(AnnualModelTable[Occupancy Effective Gross Income],MATCH(7,AnnualModelTable[Year],0)))</f>
        <v>0</v>
      </c>
      <c r="L22" s="47">
        <f>IF(8&gt;SaleExitYear,0,ManagementFeeRate*INDEX(AnnualModelTable[Occupancy Effective Gross Income],MATCH(8,AnnualModelTable[Year],0)))</f>
        <v>0</v>
      </c>
      <c r="M22" s="47">
        <f>IF(9&gt;SaleExitYear,0,ManagementFeeRate*INDEX(AnnualModelTable[Occupancy Effective Gross Income],MATCH(9,AnnualModelTable[Year],0)))</f>
        <v>0</v>
      </c>
      <c r="N22" s="47">
        <f>IF(10&gt;SaleExitYear,0,ManagementFeeRate*INDEX(AnnualModelTable[Occupancy Effective Gross Income],MATCH(10,AnnualModelTable[Year],0)))</f>
        <v>0</v>
      </c>
      <c r="O22" s="47">
        <f>SUM(ReturnsTable[[#This Row],[Initial Capitalization]:[Year 10]])</f>
        <v>39502.351200000005</v>
      </c>
      <c r="P22" s="47">
        <f>ReturnsTable[[#This Row],[Total Profit]]</f>
        <v>39502.351200000005</v>
      </c>
      <c r="Q22" s="48">
        <f>0</f>
        <v>0</v>
      </c>
      <c r="R22" s="56">
        <f>0</f>
        <v>0</v>
      </c>
      <c r="S22" s="60">
        <f>0</f>
        <v>0</v>
      </c>
    </row>
    <row r="24" spans="1:19" ht="15.75" thickBot="1" x14ac:dyDescent="0.3"/>
    <row r="25" spans="1:19" ht="15.75" thickBot="1" x14ac:dyDescent="0.3">
      <c r="A25" s="75" t="s">
        <v>373</v>
      </c>
      <c r="B25" s="98" t="s">
        <v>374</v>
      </c>
      <c r="C25" s="99"/>
      <c r="D25" s="100"/>
      <c r="E25" s="98" t="s">
        <v>375</v>
      </c>
      <c r="F25" s="99"/>
      <c r="G25" s="99"/>
      <c r="H25" s="99"/>
      <c r="I25" s="99"/>
      <c r="J25" s="99"/>
      <c r="K25" s="111"/>
      <c r="L25" s="112"/>
    </row>
    <row r="26" spans="1:19" ht="15.75" thickBot="1" x14ac:dyDescent="0.3">
      <c r="A26" s="76"/>
      <c r="B26" s="101" t="s">
        <v>332</v>
      </c>
      <c r="C26" s="102"/>
      <c r="D26" s="103"/>
      <c r="E26" s="101" t="s">
        <v>336</v>
      </c>
      <c r="F26" s="102"/>
      <c r="G26" s="102"/>
      <c r="H26" s="102"/>
      <c r="I26" s="102"/>
      <c r="J26" s="102"/>
      <c r="K26" s="111"/>
      <c r="L26" s="112"/>
    </row>
    <row r="27" spans="1:19" ht="15.75" thickBot="1" x14ac:dyDescent="0.3">
      <c r="A27" s="77"/>
      <c r="B27" s="150" t="s">
        <v>334</v>
      </c>
      <c r="C27" s="151"/>
      <c r="D27" s="152"/>
      <c r="E27" s="150" t="s">
        <v>376</v>
      </c>
      <c r="F27" s="151"/>
      <c r="G27" s="151"/>
      <c r="H27" s="151"/>
      <c r="I27" s="151"/>
      <c r="J27" s="151"/>
      <c r="K27" s="111"/>
      <c r="L27" s="112"/>
    </row>
    <row r="28" spans="1:19" ht="15.75" thickBot="1" x14ac:dyDescent="0.3">
      <c r="A28" s="78"/>
      <c r="B28" s="147" t="s">
        <v>335</v>
      </c>
      <c r="C28" s="148"/>
      <c r="D28" s="149"/>
      <c r="E28" s="147" t="s">
        <v>377</v>
      </c>
      <c r="F28" s="148"/>
      <c r="G28" s="148"/>
      <c r="H28" s="148"/>
      <c r="I28" s="148"/>
      <c r="J28" s="148"/>
      <c r="K28" s="111"/>
      <c r="L28" s="112"/>
    </row>
    <row r="31" spans="1:19" ht="15.75" thickBot="1" x14ac:dyDescent="0.3"/>
    <row r="32" spans="1:19" ht="15.75" x14ac:dyDescent="0.25">
      <c r="A32" s="144" t="s">
        <v>380</v>
      </c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6"/>
    </row>
    <row r="33" spans="1:28" ht="30" x14ac:dyDescent="0.25">
      <c r="A33" s="123" t="s">
        <v>381</v>
      </c>
      <c r="B33" s="139"/>
      <c r="C33" s="124"/>
      <c r="D33" s="92" t="s">
        <v>70</v>
      </c>
      <c r="E33" s="123" t="s">
        <v>382</v>
      </c>
      <c r="F33" s="139"/>
      <c r="G33" s="139"/>
      <c r="H33" s="139"/>
      <c r="I33" s="124"/>
      <c r="J33" s="92" t="s">
        <v>298</v>
      </c>
      <c r="K33" s="92" t="s">
        <v>75</v>
      </c>
      <c r="L33" s="92" t="s">
        <v>378</v>
      </c>
      <c r="M33" s="123" t="s">
        <v>72</v>
      </c>
      <c r="N33" s="124"/>
    </row>
    <row r="34" spans="1:28" x14ac:dyDescent="0.25">
      <c r="A34" s="142" t="s">
        <v>332</v>
      </c>
      <c r="B34" s="131"/>
      <c r="C34" s="143"/>
      <c r="D34" s="80" t="s">
        <v>88</v>
      </c>
      <c r="E34" s="130" t="s">
        <v>383</v>
      </c>
      <c r="F34" s="131"/>
      <c r="G34" s="131"/>
      <c r="H34" s="131"/>
      <c r="I34" s="131"/>
      <c r="J34" s="81">
        <v>219799.48570431559</v>
      </c>
      <c r="K34" s="82">
        <v>0.73266495234771867</v>
      </c>
      <c r="L34" s="82">
        <v>0.1634264838474333</v>
      </c>
      <c r="M34" s="125">
        <v>519799.48570431559</v>
      </c>
      <c r="N34" s="126"/>
    </row>
    <row r="35" spans="1:28" x14ac:dyDescent="0.25">
      <c r="A35" s="142" t="s">
        <v>332</v>
      </c>
      <c r="B35" s="131"/>
      <c r="C35" s="143"/>
      <c r="D35" s="80" t="s">
        <v>89</v>
      </c>
      <c r="E35" s="130" t="s">
        <v>384</v>
      </c>
      <c r="F35" s="131"/>
      <c r="G35" s="131"/>
      <c r="H35" s="131"/>
      <c r="I35" s="131"/>
      <c r="J35" s="81">
        <v>234783.08283288495</v>
      </c>
      <c r="K35" s="82">
        <v>0.42882754855321453</v>
      </c>
      <c r="L35" s="82">
        <v>8.9826902125470953E-2</v>
      </c>
      <c r="M35" s="125">
        <v>782283.08283288497</v>
      </c>
      <c r="N35" s="126"/>
    </row>
    <row r="36" spans="1:28" x14ac:dyDescent="0.25">
      <c r="A36" s="142" t="s">
        <v>332</v>
      </c>
      <c r="B36" s="131"/>
      <c r="C36" s="143"/>
      <c r="D36" s="80" t="s">
        <v>90</v>
      </c>
      <c r="E36" s="130" t="s">
        <v>385</v>
      </c>
      <c r="F36" s="131"/>
      <c r="G36" s="131"/>
      <c r="H36" s="131"/>
      <c r="I36" s="131"/>
      <c r="J36" s="81">
        <v>327148.34739884926</v>
      </c>
      <c r="K36" s="82">
        <v>2.4005073809561668</v>
      </c>
      <c r="L36" s="82">
        <v>0.58541819876459078</v>
      </c>
      <c r="M36" s="125">
        <v>463431.34739884926</v>
      </c>
      <c r="N36" s="126"/>
    </row>
    <row r="37" spans="1:28" x14ac:dyDescent="0.25">
      <c r="A37" s="140" t="s">
        <v>379</v>
      </c>
      <c r="B37" s="133"/>
      <c r="C37" s="141"/>
      <c r="D37" s="83" t="s">
        <v>88</v>
      </c>
      <c r="E37" s="132" t="s">
        <v>386</v>
      </c>
      <c r="F37" s="133"/>
      <c r="G37" s="133"/>
      <c r="H37" s="133"/>
      <c r="I37" s="133"/>
      <c r="J37" s="84">
        <v>264666.01012491627</v>
      </c>
      <c r="K37" s="85">
        <v>0.88222003374972091</v>
      </c>
      <c r="L37" s="85">
        <v>0.18498025525507211</v>
      </c>
      <c r="M37" s="117">
        <v>564666.01012491621</v>
      </c>
      <c r="N37" s="118"/>
      <c r="V37"/>
      <c r="W37"/>
      <c r="X37"/>
      <c r="Y37"/>
      <c r="Z37"/>
      <c r="AA37"/>
      <c r="AB37"/>
    </row>
    <row r="38" spans="1:28" x14ac:dyDescent="0.25">
      <c r="A38" s="140" t="s">
        <v>379</v>
      </c>
      <c r="B38" s="133"/>
      <c r="C38" s="141"/>
      <c r="D38" s="83" t="s">
        <v>89</v>
      </c>
      <c r="E38" s="132" t="s">
        <v>387</v>
      </c>
      <c r="F38" s="133"/>
      <c r="G38" s="133"/>
      <c r="H38" s="133"/>
      <c r="I38" s="133"/>
      <c r="J38" s="84">
        <v>316186.60410725744</v>
      </c>
      <c r="K38" s="85">
        <v>0.57750977919133784</v>
      </c>
      <c r="L38" s="85">
        <v>0.11563386411139498</v>
      </c>
      <c r="M38" s="117">
        <v>863686.60410725744</v>
      </c>
      <c r="N38" s="118"/>
      <c r="V38"/>
      <c r="W38"/>
      <c r="X38"/>
      <c r="Y38"/>
      <c r="Z38"/>
      <c r="AA38"/>
      <c r="AB38"/>
    </row>
    <row r="39" spans="1:28" x14ac:dyDescent="0.25">
      <c r="A39" s="140" t="s">
        <v>379</v>
      </c>
      <c r="B39" s="133"/>
      <c r="C39" s="141"/>
      <c r="D39" s="83" t="s">
        <v>90</v>
      </c>
      <c r="E39" s="132" t="s">
        <v>388</v>
      </c>
      <c r="F39" s="133"/>
      <c r="G39" s="133"/>
      <c r="H39" s="133"/>
      <c r="I39" s="133"/>
      <c r="J39" s="84">
        <v>453156.53786465875</v>
      </c>
      <c r="K39" s="85">
        <v>3.3251141952015932</v>
      </c>
      <c r="L39" s="85">
        <v>0.68267085359075441</v>
      </c>
      <c r="M39" s="117">
        <v>589439.53786465875</v>
      </c>
      <c r="N39" s="118"/>
      <c r="V39"/>
      <c r="W39"/>
      <c r="X39"/>
      <c r="Y39"/>
      <c r="Z39"/>
      <c r="AA39"/>
      <c r="AB39"/>
    </row>
    <row r="40" spans="1:28" x14ac:dyDescent="0.25">
      <c r="A40" s="137" t="s">
        <v>335</v>
      </c>
      <c r="B40" s="135"/>
      <c r="C40" s="138"/>
      <c r="D40" s="86" t="s">
        <v>88</v>
      </c>
      <c r="E40" s="134" t="s">
        <v>389</v>
      </c>
      <c r="F40" s="135"/>
      <c r="G40" s="135"/>
      <c r="H40" s="135"/>
      <c r="I40" s="135"/>
      <c r="J40" s="87">
        <v>278057.43248614768</v>
      </c>
      <c r="K40" s="88">
        <v>0.92685810828715898</v>
      </c>
      <c r="L40" s="88">
        <v>0.18919673669698978</v>
      </c>
      <c r="M40" s="119">
        <v>578057.43248614762</v>
      </c>
      <c r="N40" s="120"/>
      <c r="V40"/>
      <c r="W40"/>
      <c r="X40"/>
      <c r="Y40"/>
      <c r="Z40"/>
      <c r="AA40"/>
      <c r="AB40"/>
    </row>
    <row r="41" spans="1:28" x14ac:dyDescent="0.25">
      <c r="A41" s="137" t="s">
        <v>335</v>
      </c>
      <c r="B41" s="135"/>
      <c r="C41" s="138"/>
      <c r="D41" s="86" t="s">
        <v>89</v>
      </c>
      <c r="E41" s="134" t="s">
        <v>390</v>
      </c>
      <c r="F41" s="135"/>
      <c r="G41" s="135"/>
      <c r="H41" s="135"/>
      <c r="I41" s="135"/>
      <c r="J41" s="87">
        <v>338354.90441211156</v>
      </c>
      <c r="K41" s="88">
        <v>0.61799982541024945</v>
      </c>
      <c r="L41" s="88">
        <v>0.12146973485163892</v>
      </c>
      <c r="M41" s="119">
        <v>885854.9044121115</v>
      </c>
      <c r="N41" s="120"/>
      <c r="V41"/>
      <c r="W41"/>
      <c r="X41"/>
      <c r="Y41"/>
      <c r="Z41"/>
      <c r="AA41"/>
      <c r="AB41"/>
    </row>
    <row r="42" spans="1:28" ht="15.75" thickBot="1" x14ac:dyDescent="0.3">
      <c r="A42" s="127" t="s">
        <v>335</v>
      </c>
      <c r="B42" s="128"/>
      <c r="C42" s="129"/>
      <c r="D42" s="89" t="s">
        <v>90</v>
      </c>
      <c r="E42" s="136" t="s">
        <v>391</v>
      </c>
      <c r="F42" s="128"/>
      <c r="G42" s="128"/>
      <c r="H42" s="128"/>
      <c r="I42" s="128"/>
      <c r="J42" s="90">
        <v>487471.85203518625</v>
      </c>
      <c r="K42" s="91">
        <v>3.5769087269519035</v>
      </c>
      <c r="L42" s="91">
        <v>0.7056305810885255</v>
      </c>
      <c r="M42" s="121">
        <v>623754.85203518625</v>
      </c>
      <c r="N42" s="122"/>
      <c r="V42"/>
      <c r="W42"/>
      <c r="X42"/>
      <c r="Y42"/>
      <c r="Z42"/>
      <c r="AA42"/>
      <c r="AB42"/>
    </row>
    <row r="43" spans="1:28" x14ac:dyDescent="0.25">
      <c r="V43"/>
      <c r="W43"/>
      <c r="X43"/>
      <c r="Y43"/>
      <c r="Z43"/>
      <c r="AA43"/>
      <c r="AB43"/>
    </row>
    <row r="45" spans="1:2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</sheetData>
  <mergeCells count="43">
    <mergeCell ref="J2:M2"/>
    <mergeCell ref="N2:P2"/>
    <mergeCell ref="C2:I2"/>
    <mergeCell ref="B25:D25"/>
    <mergeCell ref="E25:L25"/>
    <mergeCell ref="A2:B2"/>
    <mergeCell ref="A32:N32"/>
    <mergeCell ref="B28:D28"/>
    <mergeCell ref="B26:D26"/>
    <mergeCell ref="B27:D27"/>
    <mergeCell ref="E27:L27"/>
    <mergeCell ref="E26:L26"/>
    <mergeCell ref="E28:L28"/>
    <mergeCell ref="E33:I33"/>
    <mergeCell ref="A37:C37"/>
    <mergeCell ref="A38:C38"/>
    <mergeCell ref="A39:C39"/>
    <mergeCell ref="A40:C40"/>
    <mergeCell ref="A33:C33"/>
    <mergeCell ref="A34:C34"/>
    <mergeCell ref="A35:C35"/>
    <mergeCell ref="A36:C36"/>
    <mergeCell ref="A42:C42"/>
    <mergeCell ref="E34:I34"/>
    <mergeCell ref="E35:I35"/>
    <mergeCell ref="E36:I36"/>
    <mergeCell ref="E37:I37"/>
    <mergeCell ref="E38:I38"/>
    <mergeCell ref="E39:I39"/>
    <mergeCell ref="E40:I40"/>
    <mergeCell ref="E41:I41"/>
    <mergeCell ref="E42:I42"/>
    <mergeCell ref="A41:C41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0</xdr:colOff>
                    <xdr:row>3</xdr:row>
                    <xdr:rowOff>152400</xdr:rowOff>
                  </from>
                  <to>
                    <xdr:col>18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0</xdr:colOff>
                    <xdr:row>3</xdr:row>
                    <xdr:rowOff>152400</xdr:rowOff>
                  </from>
                  <to>
                    <xdr:col>19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276225</xdr:colOff>
                    <xdr:row>3</xdr:row>
                    <xdr:rowOff>190500</xdr:rowOff>
                  </from>
                  <to>
                    <xdr:col>17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276225</xdr:colOff>
                    <xdr:row>3</xdr:row>
                    <xdr:rowOff>190500</xdr:rowOff>
                  </from>
                  <to>
                    <xdr:col>18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276225</xdr:colOff>
                    <xdr:row>4</xdr:row>
                    <xdr:rowOff>190500</xdr:rowOff>
                  </from>
                  <to>
                    <xdr:col>17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276225</xdr:colOff>
                    <xdr:row>4</xdr:row>
                    <xdr:rowOff>190500</xdr:rowOff>
                  </from>
                  <to>
                    <xdr:col>18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276225</xdr:colOff>
                    <xdr:row>5</xdr:row>
                    <xdr:rowOff>190500</xdr:rowOff>
                  </from>
                  <to>
                    <xdr:col>17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276225</xdr:colOff>
                    <xdr:row>5</xdr:row>
                    <xdr:rowOff>190500</xdr:rowOff>
                  </from>
                  <to>
                    <xdr:col>18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276225</xdr:colOff>
                    <xdr:row>6</xdr:row>
                    <xdr:rowOff>180975</xdr:rowOff>
                  </from>
                  <to>
                    <xdr:col>17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276225</xdr:colOff>
                    <xdr:row>6</xdr:row>
                    <xdr:rowOff>180975</xdr:rowOff>
                  </from>
                  <to>
                    <xdr:col>18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276225</xdr:colOff>
                    <xdr:row>7</xdr:row>
                    <xdr:rowOff>180975</xdr:rowOff>
                  </from>
                  <to>
                    <xdr:col>17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276225</xdr:colOff>
                    <xdr:row>7</xdr:row>
                    <xdr:rowOff>180975</xdr:rowOff>
                  </from>
                  <to>
                    <xdr:col>18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276225</xdr:colOff>
                    <xdr:row>8</xdr:row>
                    <xdr:rowOff>180975</xdr:rowOff>
                  </from>
                  <to>
                    <xdr:col>17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276225</xdr:colOff>
                    <xdr:row>8</xdr:row>
                    <xdr:rowOff>180975</xdr:rowOff>
                  </from>
                  <to>
                    <xdr:col>18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276225</xdr:colOff>
                    <xdr:row>9</xdr:row>
                    <xdr:rowOff>180975</xdr:rowOff>
                  </from>
                  <to>
                    <xdr:col>17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276225</xdr:colOff>
                    <xdr:row>9</xdr:row>
                    <xdr:rowOff>180975</xdr:rowOff>
                  </from>
                  <to>
                    <xdr:col>18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276225</xdr:colOff>
                    <xdr:row>10</xdr:row>
                    <xdr:rowOff>180975</xdr:rowOff>
                  </from>
                  <to>
                    <xdr:col>17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276225</xdr:colOff>
                    <xdr:row>10</xdr:row>
                    <xdr:rowOff>180975</xdr:rowOff>
                  </from>
                  <to>
                    <xdr:col>18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276225</xdr:colOff>
                    <xdr:row>11</xdr:row>
                    <xdr:rowOff>180975</xdr:rowOff>
                  </from>
                  <to>
                    <xdr:col>17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276225</xdr:colOff>
                    <xdr:row>11</xdr:row>
                    <xdr:rowOff>180975</xdr:rowOff>
                  </from>
                  <to>
                    <xdr:col>18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276225</xdr:colOff>
                    <xdr:row>12</xdr:row>
                    <xdr:rowOff>180975</xdr:rowOff>
                  </from>
                  <to>
                    <xdr:col>17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276225</xdr:colOff>
                    <xdr:row>12</xdr:row>
                    <xdr:rowOff>180975</xdr:rowOff>
                  </from>
                  <to>
                    <xdr:col>18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26" name="WfSTR_Group">
              <controlPr defaultSize="0" autoPict="0">
                <anchor moveWithCells="1">
                  <from>
                    <xdr:col>0</xdr:col>
                    <xdr:colOff>0</xdr:colOff>
                    <xdr:row>23</xdr:row>
                    <xdr:rowOff>152400</xdr:rowOff>
                  </from>
                  <to>
                    <xdr:col>1</xdr:col>
                    <xdr:colOff>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27" name="WfSTR_Opt_1">
              <controlPr defaultSize="0" autoFill="0" autoLine="0" autoPict="0">
                <anchor moveWithCells="1">
                  <from>
                    <xdr:col>0</xdr:col>
                    <xdr:colOff>285750</xdr:colOff>
                    <xdr:row>24</xdr:row>
                    <xdr:rowOff>180975</xdr:rowOff>
                  </from>
                  <to>
                    <xdr:col>0</xdr:col>
                    <xdr:colOff>590550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28" name="WfSTR_Opt_2">
              <controlPr defaultSize="0" autoFill="0" autoLine="0" autoPict="0">
                <anchor moveWithCells="1">
                  <from>
                    <xdr:col>0</xdr:col>
                    <xdr:colOff>285750</xdr:colOff>
                    <xdr:row>25</xdr:row>
                    <xdr:rowOff>180975</xdr:rowOff>
                  </from>
                  <to>
                    <xdr:col>0</xdr:col>
                    <xdr:colOff>590550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29" name="WfSTR_Opt_3">
              <controlPr defaultSize="0" autoFill="0" autoLine="0" autoPict="0">
                <anchor moveWithCells="1">
                  <from>
                    <xdr:col>0</xdr:col>
                    <xdr:colOff>285750</xdr:colOff>
                    <xdr:row>26</xdr:row>
                    <xdr:rowOff>180975</xdr:rowOff>
                  </from>
                  <to>
                    <xdr:col>0</xdr:col>
                    <xdr:colOff>590550</xdr:colOff>
                    <xdr:row>28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2">
    <tablePart r:id="rId30"/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116" t="s">
        <v>270</v>
      </c>
      <c r="B1" s="114"/>
      <c r="C1" s="114"/>
      <c r="D1" s="114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578057.43248614762</v>
      </c>
      <c r="D4" s="13">
        <f>C4-B4</f>
        <v>278057.43248614762</v>
      </c>
      <c r="E4" s="13">
        <f>IFERROR(C4/B4,0)</f>
        <v>1.9268581082871588</v>
      </c>
      <c r="F4" s="24">
        <f>IFERROR(D4/B4,0)</f>
        <v>0.92685810828715876</v>
      </c>
      <c r="G4" s="24">
        <f>IRR(H4:R4)</f>
        <v>0.18919673669698978</v>
      </c>
      <c r="H4" s="13">
        <f>-B4</f>
        <v>-300000</v>
      </c>
      <c r="I4" s="13">
        <f>INDEX(Waterfall!$I$4:$I$14,MATCH(1,Waterfall!$A$4:$A$14,0))</f>
        <v>0</v>
      </c>
      <c r="J4" s="13">
        <f>INDEX(Waterfall!$I$4:$I$14,MATCH(2,Waterfall!$A$4:$A$14,0))</f>
        <v>41781.439211589022</v>
      </c>
      <c r="K4" s="13">
        <f>INDEX(Waterfall!$I$4:$I$14,MATCH(3,Waterfall!$A$4:$A$14,0))</f>
        <v>258218.56078841098</v>
      </c>
      <c r="L4" s="13">
        <f>INDEX(Waterfall!$I$4:$I$14,MATCH(4,Waterfall!$A$4:$A$14,0))</f>
        <v>0</v>
      </c>
      <c r="M4" s="13">
        <f>INDEX(Waterfall!$I$4:$I$14,MATCH(5,Waterfall!$A$4:$A$14,0))</f>
        <v>278057.43248614768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885854.9044121115</v>
      </c>
      <c r="D5" s="13">
        <f>C5-B5</f>
        <v>338354.9044121115</v>
      </c>
      <c r="E5" s="13">
        <f>IFERROR(C5/B5,0)</f>
        <v>1.6179998254102492</v>
      </c>
      <c r="F5" s="24">
        <f>IFERROR(D5/B5,0)</f>
        <v>0.61799982541024934</v>
      </c>
      <c r="G5" s="24">
        <f>IFERROR(IRR(H5:R5),0)</f>
        <v>0.12146973485163892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314885.44678405975</v>
      </c>
      <c r="L5" s="13">
        <f>INDEX(Waterfall!$M$4:$M$14,MATCH(4,Waterfall!$A$4:$A$14,0))</f>
        <v>34827.567572470594</v>
      </c>
      <c r="M5" s="13">
        <f>INDEX(Waterfall!$M$4:$M$14,MATCH(5,Waterfall!$A$4:$A$14,0))</f>
        <v>536141.89005558123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623754.85203518625</v>
      </c>
      <c r="D6" s="13">
        <f>C6-B6</f>
        <v>523754.85203518625</v>
      </c>
      <c r="E6" s="13">
        <f>IFERROR(C6/B6,0)</f>
        <v>6.2375485203518624</v>
      </c>
      <c r="F6" s="24">
        <f>IFERROR(D6/B6,0)</f>
        <v>5.2375485203518624</v>
      </c>
      <c r="G6" s="24">
        <f>IFERROR(IRR(H6:R6),0)</f>
        <v>0.3925975021242103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523754.85203518625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113" t="s">
        <v>266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158" t="s">
        <v>104</v>
      </c>
      <c r="C2" s="114"/>
      <c r="D2" s="114"/>
    </row>
    <row r="3" spans="1:10" x14ac:dyDescent="0.25">
      <c r="A3" s="13" t="s">
        <v>105</v>
      </c>
      <c r="B3" s="158" t="s">
        <v>106</v>
      </c>
      <c r="C3" s="114"/>
      <c r="D3" s="114"/>
      <c r="E3" s="114"/>
      <c r="F3" s="114"/>
      <c r="G3" s="114"/>
      <c r="H3" s="114"/>
      <c r="I3" s="114"/>
    </row>
    <row r="4" spans="1:10" x14ac:dyDescent="0.25">
      <c r="A4" s="13"/>
      <c r="B4" s="13"/>
      <c r="C4" s="158"/>
      <c r="D4" s="94"/>
      <c r="E4" s="94"/>
      <c r="F4" s="94"/>
      <c r="H4" s="13"/>
    </row>
    <row r="5" spans="1:10" ht="15.75" thickBot="1" x14ac:dyDescent="0.3">
      <c r="A5" s="13"/>
      <c r="B5" s="13"/>
      <c r="C5" s="158"/>
      <c r="D5" s="94"/>
      <c r="E5" s="94"/>
      <c r="F5" s="94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114" t="s">
        <v>160</v>
      </c>
      <c r="C62" s="114"/>
      <c r="D62" s="114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114" t="s">
        <v>164</v>
      </c>
      <c r="D66" s="114"/>
      <c r="E66" s="114"/>
      <c r="F66" s="114"/>
      <c r="G66" s="114"/>
    </row>
    <row r="67" spans="1:7" x14ac:dyDescent="0.25">
      <c r="A67" s="6" t="s">
        <v>165</v>
      </c>
      <c r="B67" s="6" t="s">
        <v>163</v>
      </c>
      <c r="C67" s="114" t="s">
        <v>164</v>
      </c>
      <c r="D67" s="114"/>
      <c r="E67" s="114"/>
      <c r="F67" s="114"/>
      <c r="G67" s="114"/>
    </row>
    <row r="68" spans="1:7" x14ac:dyDescent="0.25">
      <c r="A68" s="6" t="s">
        <v>166</v>
      </c>
      <c r="B68" s="6" t="s">
        <v>163</v>
      </c>
      <c r="C68" s="114" t="s">
        <v>164</v>
      </c>
      <c r="D68" s="114"/>
      <c r="E68" s="114"/>
      <c r="F68" s="114"/>
      <c r="G68" s="114"/>
    </row>
    <row r="69" spans="1:7" x14ac:dyDescent="0.25">
      <c r="A69" s="6" t="s">
        <v>167</v>
      </c>
      <c r="B69" s="6" t="s">
        <v>163</v>
      </c>
      <c r="C69" s="114" t="s">
        <v>164</v>
      </c>
      <c r="D69" s="114"/>
      <c r="E69" s="114"/>
      <c r="F69" s="114"/>
      <c r="G69" s="114"/>
    </row>
    <row r="70" spans="1:7" x14ac:dyDescent="0.25">
      <c r="A70" s="6" t="s">
        <v>168</v>
      </c>
      <c r="B70" s="6" t="s">
        <v>169</v>
      </c>
      <c r="C70" s="114" t="s">
        <v>170</v>
      </c>
      <c r="D70" s="114"/>
      <c r="E70" s="114"/>
      <c r="F70" s="114"/>
      <c r="G70" s="114"/>
    </row>
    <row r="71" spans="1:7" x14ac:dyDescent="0.25">
      <c r="A71" s="6" t="s">
        <v>171</v>
      </c>
      <c r="B71" s="6" t="s">
        <v>163</v>
      </c>
      <c r="C71" s="114" t="s">
        <v>172</v>
      </c>
      <c r="D71" s="114"/>
      <c r="E71" s="114"/>
      <c r="F71" s="114"/>
      <c r="G71" s="114"/>
    </row>
    <row r="72" spans="1:7" x14ac:dyDescent="0.25">
      <c r="A72" s="6" t="s">
        <v>173</v>
      </c>
      <c r="B72" s="6" t="s">
        <v>163</v>
      </c>
      <c r="C72" s="114" t="s">
        <v>174</v>
      </c>
      <c r="D72" s="114"/>
      <c r="E72" s="114"/>
      <c r="F72" s="114"/>
      <c r="G72" s="114"/>
    </row>
    <row r="73" spans="1:7" x14ac:dyDescent="0.25">
      <c r="A73" s="6" t="s">
        <v>175</v>
      </c>
      <c r="B73" s="6" t="s">
        <v>163</v>
      </c>
      <c r="C73" s="114" t="s">
        <v>176</v>
      </c>
      <c r="D73" s="114"/>
      <c r="E73" s="114"/>
      <c r="F73" s="114"/>
      <c r="G73" s="114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114" t="s">
        <v>179</v>
      </c>
      <c r="D76" s="114"/>
      <c r="E76" s="114"/>
      <c r="F76" s="114"/>
      <c r="G76" s="114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114" t="s">
        <v>185</v>
      </c>
      <c r="D81" s="114"/>
      <c r="E81" s="114"/>
      <c r="F81" s="114"/>
      <c r="G81" s="114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2026-05-18T20:05:20Z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