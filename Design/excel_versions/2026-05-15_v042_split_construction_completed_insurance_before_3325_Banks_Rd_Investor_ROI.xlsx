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3145" documentId="13_ncr:1_{0C20EBD6-E2BD-404C-B47C-BDA54182D35E}" xr6:coauthVersionLast="47" xr6:coauthVersionMax="47" xr10:uidLastSave="{F8E0AB2A-40A3-484F-BE37-DBAD14612698}"/>
  <bookViews>
    <workbookView xWindow="-120" yWindow="-120" windowWidth="38640" windowHeight="15720" activeTab="6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state="hidden" r:id="rId4"/>
    <sheet name="Notes" sheetId="5" r:id="rId5"/>
    <sheet name="Cost Analysis" sheetId="6" r:id="rId6"/>
    <sheet name="Operating Expense Budget" sheetId="7" r:id="rId7"/>
  </sheets>
  <definedNames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SaleExitYear">Assumptions!$B$5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lingCosts">Assumptions!$B$36</definedName>
    <definedName name="SponsorBasis">Assumptions!$B$46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calcCompleted="0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B19" i="3"/>
  <c r="H19" i="3" s="1"/>
  <c r="R4" i="3"/>
  <c r="Q4" i="3"/>
  <c r="Q5" i="3"/>
  <c r="Q6" i="3"/>
  <c r="Q7" i="3"/>
  <c r="Q8" i="3"/>
  <c r="Q9" i="3"/>
  <c r="Q10" i="3"/>
  <c r="Q11" i="3"/>
  <c r="Q12" i="3"/>
  <c r="Q13" i="3"/>
  <c r="Q14" i="3"/>
  <c r="O4" i="3"/>
  <c r="M4" i="3"/>
  <c r="J4" i="3"/>
  <c r="G4" i="3"/>
  <c r="F4" i="3"/>
  <c r="D4" i="3" s="1"/>
  <c r="E4" i="3"/>
  <c r="C4" i="3"/>
  <c r="I4" i="2"/>
  <c r="C18" i="6"/>
  <c r="C26" i="6" s="1"/>
  <c r="C8" i="6" s="1"/>
  <c r="B18" i="6"/>
  <c r="B26" i="6" s="1"/>
  <c r="B8" i="6" s="1"/>
  <c r="B10" i="6" s="1"/>
  <c r="B6" i="4"/>
  <c r="H6" i="4" s="1"/>
  <c r="B4" i="4"/>
  <c r="H4" i="4" s="1"/>
  <c r="M14" i="2"/>
  <c r="I13" i="2"/>
  <c r="I12" i="2"/>
  <c r="I11" i="2"/>
  <c r="I10" i="2"/>
  <c r="I9" i="2"/>
  <c r="I8" i="2"/>
  <c r="I7" i="2"/>
  <c r="N5" i="2"/>
  <c r="M5" i="2"/>
  <c r="I5" i="2"/>
  <c r="N4" i="2"/>
  <c r="M4" i="2"/>
  <c r="G4" i="2"/>
  <c r="B27" i="1"/>
  <c r="B26" i="1"/>
  <c r="B24" i="1"/>
  <c r="B27" i="7"/>
  <c r="B21" i="7"/>
  <c r="H9" i="6"/>
  <c r="H8" i="6"/>
  <c r="H7" i="6"/>
  <c r="G7" i="6"/>
  <c r="D4" i="2"/>
  <c r="C4" i="2"/>
  <c r="B17" i="1"/>
  <c r="C12" i="2" s="1"/>
  <c r="D12" i="2" s="1"/>
  <c r="C58" i="6"/>
  <c r="B58" i="6"/>
  <c r="C49" i="6"/>
  <c r="B49" i="6"/>
  <c r="C40" i="6"/>
  <c r="B40" i="6"/>
  <c r="S4" i="3" l="1"/>
  <c r="H21" i="3" s="1"/>
  <c r="P4" i="3"/>
  <c r="K4" i="3"/>
  <c r="I4" i="3"/>
  <c r="H4" i="3"/>
  <c r="B28" i="1"/>
  <c r="G5" i="2" s="1"/>
  <c r="B15" i="7"/>
  <c r="B36" i="7" s="1"/>
  <c r="B10" i="7"/>
  <c r="C14" i="2"/>
  <c r="D14" i="2" s="1"/>
  <c r="C13" i="2"/>
  <c r="C11" i="2"/>
  <c r="C10" i="2"/>
  <c r="C9" i="2"/>
  <c r="C8" i="2"/>
  <c r="D8" i="2" s="1"/>
  <c r="C7" i="2"/>
  <c r="D7" i="2" s="1"/>
  <c r="C6" i="2"/>
  <c r="D6" i="2" s="1"/>
  <c r="C5" i="2"/>
  <c r="C9" i="6"/>
  <c r="C10" i="6" s="1"/>
  <c r="G10" i="6" s="1"/>
  <c r="B28" i="6" s="1"/>
  <c r="B9" i="6"/>
  <c r="B41" i="1" l="1"/>
  <c r="L4" i="3" s="1"/>
  <c r="N4" i="3" s="1"/>
  <c r="K4" i="2"/>
  <c r="B6" i="7"/>
  <c r="B7" i="7" s="1"/>
  <c r="B15" i="1" s="1"/>
  <c r="D10" i="2"/>
  <c r="D13" i="2"/>
  <c r="D9" i="2"/>
  <c r="D11" i="2"/>
  <c r="D5" i="2"/>
  <c r="B20" i="3" l="1"/>
  <c r="H20" i="3" s="1"/>
  <c r="B29" i="6"/>
  <c r="B30" i="6" s="1"/>
  <c r="E12" i="2"/>
  <c r="F12" i="2" s="1"/>
  <c r="N12" i="2" s="1"/>
  <c r="E13" i="2"/>
  <c r="F13" i="2" s="1"/>
  <c r="N13" i="2" s="1"/>
  <c r="E14" i="2"/>
  <c r="F14" i="2" s="1"/>
  <c r="N14" i="2" s="1"/>
  <c r="E10" i="2"/>
  <c r="F10" i="2" s="1"/>
  <c r="N10" i="2" s="1"/>
  <c r="E4" i="2"/>
  <c r="F4" i="2" s="1"/>
  <c r="E7" i="2"/>
  <c r="F7" i="2" s="1"/>
  <c r="N7" i="2" s="1"/>
  <c r="E9" i="2"/>
  <c r="F9" i="2" s="1"/>
  <c r="N9" i="2" s="1"/>
  <c r="E8" i="2"/>
  <c r="F8" i="2" s="1"/>
  <c r="N8" i="2" s="1"/>
  <c r="E6" i="2"/>
  <c r="F6" i="2" s="1"/>
  <c r="N6" i="2" s="1"/>
  <c r="B15" i="6"/>
  <c r="B14" i="6"/>
  <c r="E11" i="2"/>
  <c r="F11" i="2" s="1"/>
  <c r="N11" i="2" s="1"/>
  <c r="E5" i="2"/>
  <c r="F5" i="2" s="1"/>
  <c r="H5" i="2" s="1"/>
  <c r="B5" i="4" l="1"/>
  <c r="H5" i="4" s="1"/>
  <c r="I14" i="2"/>
  <c r="H4" i="2"/>
  <c r="B30" i="1"/>
  <c r="J4" i="2" l="1"/>
  <c r="M13" i="2"/>
  <c r="G14" i="2"/>
  <c r="H14" i="2" s="1"/>
  <c r="M12" i="2"/>
  <c r="G13" i="2"/>
  <c r="H13" i="2" s="1"/>
  <c r="M11" i="2"/>
  <c r="G12" i="2"/>
  <c r="H12" i="2" s="1"/>
  <c r="M10" i="2"/>
  <c r="G11" i="2"/>
  <c r="H11" i="2" s="1"/>
  <c r="M9" i="2"/>
  <c r="G10" i="2"/>
  <c r="H10" i="2" s="1"/>
  <c r="M8" i="2"/>
  <c r="G9" i="2"/>
  <c r="H9" i="2" s="1"/>
  <c r="M7" i="2"/>
  <c r="G8" i="2"/>
  <c r="H8" i="2" s="1"/>
  <c r="M6" i="2"/>
  <c r="G7" i="2"/>
  <c r="H7" i="2" s="1"/>
  <c r="G6" i="2"/>
  <c r="H6" i="2" s="1"/>
  <c r="I6" i="2"/>
  <c r="B32" i="1"/>
  <c r="B31" i="1"/>
  <c r="B4" i="3" l="1"/>
  <c r="L4" i="2"/>
  <c r="C5" i="3"/>
  <c r="F5" i="3" l="1"/>
  <c r="L5" i="3" l="1"/>
  <c r="D5" i="3"/>
  <c r="B45" i="1" l="1"/>
  <c r="B44" i="1"/>
  <c r="J5" i="2" l="1"/>
  <c r="B5" i="3" l="1"/>
  <c r="E5" i="3" s="1"/>
  <c r="H5" i="3" l="1"/>
  <c r="C6" i="3" s="1"/>
  <c r="G5" i="3"/>
  <c r="M5" i="3" s="1"/>
  <c r="R5" i="3" l="1"/>
  <c r="S5" i="3" s="1"/>
  <c r="I21" i="3" s="1"/>
  <c r="N5" i="3"/>
  <c r="L6" i="3" s="1"/>
  <c r="O5" i="3"/>
  <c r="P5" i="3" s="1"/>
  <c r="I20" i="3" s="1"/>
  <c r="J5" i="3"/>
  <c r="I5" i="3"/>
  <c r="F6" i="3" s="1"/>
  <c r="I5" i="4" l="1"/>
  <c r="I6" i="4"/>
  <c r="K5" i="3"/>
  <c r="D6" i="3"/>
  <c r="I19" i="3" l="1"/>
  <c r="K5" i="2"/>
  <c r="I4" i="4"/>
  <c r="L5" i="2" l="1"/>
  <c r="J6" i="2" s="1"/>
  <c r="B6" i="3" l="1"/>
  <c r="E6" i="3" s="1"/>
  <c r="H6" i="3" s="1"/>
  <c r="C7" i="3" s="1"/>
  <c r="G6" i="3" l="1"/>
  <c r="M6" i="3" l="1"/>
  <c r="R6" i="3" s="1"/>
  <c r="S6" i="3" s="1"/>
  <c r="I6" i="3"/>
  <c r="F7" i="3" s="1"/>
  <c r="D7" i="3" s="1"/>
  <c r="J21" i="3" l="1"/>
  <c r="J6" i="4"/>
  <c r="N6" i="3"/>
  <c r="L7" i="3" s="1"/>
  <c r="O6" i="3"/>
  <c r="P6" i="3" s="1"/>
  <c r="J6" i="3"/>
  <c r="K6" i="3" s="1"/>
  <c r="J19" i="3" l="1"/>
  <c r="K6" i="2"/>
  <c r="J20" i="3"/>
  <c r="J5" i="4"/>
  <c r="J4" i="4"/>
  <c r="L6" i="2" l="1"/>
  <c r="J7" i="2" s="1"/>
  <c r="B7" i="3" l="1"/>
  <c r="E7" i="3" s="1"/>
  <c r="H7" i="3" s="1"/>
  <c r="C8" i="3" s="1"/>
  <c r="G7" i="3" l="1"/>
  <c r="I7" i="3" s="1"/>
  <c r="F8" i="3" s="1"/>
  <c r="D8" i="3" s="1"/>
  <c r="M7" i="3" l="1"/>
  <c r="R7" i="3" s="1"/>
  <c r="S7" i="3" s="1"/>
  <c r="K6" i="4" s="1"/>
  <c r="O7" i="3" l="1"/>
  <c r="P7" i="3" s="1"/>
  <c r="K5" i="4" s="1"/>
  <c r="N7" i="3"/>
  <c r="L8" i="3" s="1"/>
  <c r="J7" i="3"/>
  <c r="K7" i="3" s="1"/>
  <c r="K19" i="3" s="1"/>
  <c r="K21" i="3"/>
  <c r="K20" i="3" l="1"/>
  <c r="K7" i="2"/>
  <c r="L7" i="2" s="1"/>
  <c r="J8" i="2" s="1"/>
  <c r="B8" i="3" s="1"/>
  <c r="E8" i="3" s="1"/>
  <c r="H8" i="3" s="1"/>
  <c r="C9" i="3" s="1"/>
  <c r="K4" i="4"/>
  <c r="G8" i="3" l="1"/>
  <c r="I8" i="3" s="1"/>
  <c r="F9" i="3" s="1"/>
  <c r="D9" i="3" s="1"/>
  <c r="M8" i="3" l="1"/>
  <c r="R8" i="3" s="1"/>
  <c r="S8" i="3" s="1"/>
  <c r="O8" i="3" l="1"/>
  <c r="P8" i="3" s="1"/>
  <c r="L20" i="3" s="1"/>
  <c r="J8" i="3"/>
  <c r="K8" i="3" s="1"/>
  <c r="L4" i="4" s="1"/>
  <c r="N8" i="3"/>
  <c r="L9" i="3" s="1"/>
  <c r="L21" i="3"/>
  <c r="L6" i="4"/>
  <c r="K8" i="2" l="1"/>
  <c r="L8" i="2" s="1"/>
  <c r="J9" i="2" s="1"/>
  <c r="B9" i="3" s="1"/>
  <c r="E9" i="3" s="1"/>
  <c r="H9" i="3" s="1"/>
  <c r="C10" i="3" s="1"/>
  <c r="L5" i="4"/>
  <c r="L19" i="3"/>
  <c r="G9" i="3" l="1"/>
  <c r="I9" i="3" s="1"/>
  <c r="F10" i="3" s="1"/>
  <c r="D10" i="3" s="1"/>
  <c r="M9" i="3" l="1"/>
  <c r="N9" i="3" s="1"/>
  <c r="L10" i="3" s="1"/>
  <c r="R9" i="3" l="1"/>
  <c r="S9" i="3" s="1"/>
  <c r="M21" i="3" s="1"/>
  <c r="J9" i="3"/>
  <c r="K9" i="3" s="1"/>
  <c r="O9" i="3"/>
  <c r="P9" i="3" s="1"/>
  <c r="M20" i="3" s="1"/>
  <c r="M5" i="4" l="1"/>
  <c r="M19" i="3"/>
  <c r="K9" i="2"/>
  <c r="M6" i="4"/>
  <c r="M4" i="4"/>
  <c r="L9" i="2" l="1"/>
  <c r="J10" i="2" s="1"/>
  <c r="B10" i="3" l="1"/>
  <c r="E10" i="3" s="1"/>
  <c r="G10" i="3" s="1"/>
  <c r="I10" i="3" s="1"/>
  <c r="F11" i="3" s="1"/>
  <c r="D11" i="3" s="1"/>
  <c r="M10" i="3" l="1"/>
  <c r="N10" i="3" s="1"/>
  <c r="L11" i="3" s="1"/>
  <c r="H10" i="3"/>
  <c r="C11" i="3" s="1"/>
  <c r="J10" i="3" l="1"/>
  <c r="K10" i="3" s="1"/>
  <c r="N19" i="3" s="1"/>
  <c r="R10" i="3"/>
  <c r="S10" i="3" s="1"/>
  <c r="N21" i="3" s="1"/>
  <c r="O10" i="3"/>
  <c r="P10" i="3" s="1"/>
  <c r="N4" i="4" l="1"/>
  <c r="K10" i="2"/>
  <c r="N6" i="4"/>
  <c r="N5" i="4"/>
  <c r="N20" i="3"/>
  <c r="L10" i="2" l="1"/>
  <c r="J11" i="2" s="1"/>
  <c r="B11" i="3" l="1"/>
  <c r="E11" i="3" s="1"/>
  <c r="H11" i="3" s="1"/>
  <c r="C12" i="3" s="1"/>
  <c r="G11" i="3" l="1"/>
  <c r="I11" i="3" l="1"/>
  <c r="F12" i="3" s="1"/>
  <c r="D12" i="3" s="1"/>
  <c r="M11" i="3"/>
  <c r="N11" i="3" s="1"/>
  <c r="L12" i="3" s="1"/>
  <c r="O11" i="3" l="1"/>
  <c r="P11" i="3" s="1"/>
  <c r="O20" i="3" s="1"/>
  <c r="R11" i="3"/>
  <c r="S11" i="3" s="1"/>
  <c r="J11" i="3"/>
  <c r="K11" i="3" s="1"/>
  <c r="K11" i="2" l="1"/>
  <c r="L11" i="2" s="1"/>
  <c r="J12" i="2" s="1"/>
  <c r="O5" i="4"/>
  <c r="O19" i="3"/>
  <c r="O4" i="4"/>
  <c r="O21" i="3"/>
  <c r="O6" i="4"/>
  <c r="B12" i="3" l="1"/>
  <c r="E12" i="3" s="1"/>
  <c r="H12" i="3" s="1"/>
  <c r="C13" i="3" s="1"/>
  <c r="G12" i="3" l="1"/>
  <c r="I12" i="3" l="1"/>
  <c r="F13" i="3" s="1"/>
  <c r="D13" i="3" s="1"/>
  <c r="M12" i="3"/>
  <c r="N12" i="3" s="1"/>
  <c r="L13" i="3" s="1"/>
  <c r="J12" i="3" l="1"/>
  <c r="K12" i="3" s="1"/>
  <c r="O12" i="3"/>
  <c r="P12" i="3" s="1"/>
  <c r="P20" i="3" s="1"/>
  <c r="R12" i="3"/>
  <c r="S12" i="3" s="1"/>
  <c r="P21" i="3" s="1"/>
  <c r="K12" i="2" l="1"/>
  <c r="P19" i="3"/>
  <c r="P4" i="4"/>
  <c r="P5" i="4"/>
  <c r="P6" i="4"/>
  <c r="L12" i="2" l="1"/>
  <c r="J13" i="2" s="1"/>
  <c r="B13" i="3" l="1"/>
  <c r="E13" i="3" s="1"/>
  <c r="H13" i="3" s="1"/>
  <c r="C14" i="3" s="1"/>
  <c r="G13" i="3" l="1"/>
  <c r="I13" i="3" l="1"/>
  <c r="F14" i="3" s="1"/>
  <c r="D14" i="3" s="1"/>
  <c r="M13" i="3"/>
  <c r="R13" i="3" l="1"/>
  <c r="S13" i="3" s="1"/>
  <c r="J13" i="3"/>
  <c r="K13" i="3" s="1"/>
  <c r="O13" i="3"/>
  <c r="P13" i="3" s="1"/>
  <c r="N13" i="3"/>
  <c r="L14" i="3" s="1"/>
  <c r="Q4" i="4" l="1"/>
  <c r="K13" i="2"/>
  <c r="Q19" i="3"/>
  <c r="Q5" i="4"/>
  <c r="Q20" i="3"/>
  <c r="Q21" i="3"/>
  <c r="Q6" i="4"/>
  <c r="L13" i="2" l="1"/>
  <c r="J14" i="2" s="1"/>
  <c r="B14" i="3" l="1"/>
  <c r="E14" i="3" s="1"/>
  <c r="G14" i="3" s="1"/>
  <c r="I14" i="3" l="1"/>
  <c r="M14" i="3"/>
  <c r="N14" i="3" s="1"/>
  <c r="H14" i="3"/>
  <c r="J14" i="3" l="1"/>
  <c r="K14" i="3" s="1"/>
  <c r="O14" i="3"/>
  <c r="P14" i="3" s="1"/>
  <c r="C20" i="3" s="1"/>
  <c r="R14" i="3"/>
  <c r="S14" i="3" s="1"/>
  <c r="C6" i="4" s="1"/>
  <c r="R21" i="3" l="1"/>
  <c r="S21" i="3" s="1"/>
  <c r="K14" i="2"/>
  <c r="L14" i="2" s="1"/>
  <c r="C4" i="4"/>
  <c r="E4" i="4" s="1"/>
  <c r="R19" i="3"/>
  <c r="S19" i="3" s="1"/>
  <c r="C19" i="3"/>
  <c r="E19" i="3" s="1"/>
  <c r="R4" i="4"/>
  <c r="G4" i="4" s="1"/>
  <c r="R5" i="4"/>
  <c r="G5" i="4" s="1"/>
  <c r="C5" i="4"/>
  <c r="E5" i="4" s="1"/>
  <c r="R20" i="3"/>
  <c r="S20" i="3" s="1"/>
  <c r="R6" i="4"/>
  <c r="G6" i="4" s="1"/>
  <c r="C21" i="3"/>
  <c r="E21" i="3" s="1"/>
  <c r="E20" i="3"/>
  <c r="D20" i="3"/>
  <c r="F20" i="3" s="1"/>
  <c r="E6" i="4"/>
  <c r="D6" i="4"/>
  <c r="F6" i="4" s="1"/>
  <c r="D19" i="3" l="1"/>
  <c r="F19" i="3" s="1"/>
  <c r="D4" i="4"/>
  <c r="F4" i="4" s="1"/>
  <c r="D21" i="3"/>
  <c r="F21" i="3" s="1"/>
  <c r="D5" i="4"/>
  <c r="F5" i="4" s="1"/>
</calcChain>
</file>

<file path=xl/sharedStrings.xml><?xml version="1.0" encoding="utf-8"?>
<sst xmlns="http://schemas.openxmlformats.org/spreadsheetml/2006/main" count="366" uniqueCount="306">
  <si>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</si>
  <si>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</si>
  <si>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</si>
  <si>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</si>
  <si>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</si>
  <si>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</si>
  <si>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</si>
  <si>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</si>
  <si>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</si>
  <si>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</si>
  <si>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</si>
  <si>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</si>
  <si>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</si>
  <si>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</si>
  <si>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</si>
  <si>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</si>
  <si>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</si>
  <si>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</si>
  <si>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</si>
  <si>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</si>
  <si>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</si>
  <si>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</si>
  <si>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</si>
  <si>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</si>
  <si>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</si>
  <si>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Stabilized Monthly Gross Rent</t>
  </si>
  <si>
    <t>Calculated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</si>
  <si>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</si>
  <si>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</si>
  <si>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</si>
  <si>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</si>
  <si>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</si>
  <si>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</si>
  <si>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</si>
  <si>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</si>
  <si>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</si>
  <si>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</si>
  <si>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</si>
  <si>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</si>
  <si>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</si>
  <si>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</si>
  <si>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</si>
  <si>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</si>
  <si>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</si>
  <si>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</si>
  <si>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</si>
  <si>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</si>
  <si>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</si>
  <si>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</si>
  <si>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</si>
  <si>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</si>
  <si>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</si>
  <si>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</si>
  <si>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</si>
  <si>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</si>
  <si>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</si>
  <si>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</si>
  <si>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</si>
  <si>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</si>
  <si>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</si>
  <si>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</si>
  <si>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</si>
  <si>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</si>
  <si>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</si>
  <si>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</si>
  <si>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</si>
  <si>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</si>
  <si>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</si>
  <si>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</si>
  <si>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</si>
  <si>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</si>
  <si>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</si>
  <si>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</si>
  <si>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</si>
  <si>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</si>
  <si>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</si>
  <si>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</si>
  <si>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</si>
  <si>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</si>
  <si>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</si>
  <si>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</si>
  <si>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</si>
  <si>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</si>
  <si>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</si>
  <si>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</si>
  <si>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</si>
  <si>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</si>
  <si>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</si>
  <si>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</si>
  <si>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</si>
  <si>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</si>
  <si>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</si>
  <si>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</si>
  <si>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</si>
  <si>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</si>
  <si>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</si>
  <si>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</si>
  <si>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</si>
  <si>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</si>
  <si>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</si>
  <si>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</si>
  <si>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</si>
  <si>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</si>
  <si>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</si>
  <si>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</si>
  <si>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</si>
  <si>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</si>
  <si>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</si>
  <si>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</si>
  <si>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</si>
  <si>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</si>
  <si>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</si>
  <si>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</si>
  <si>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</si>
  <si>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</si>
  <si>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</si>
  <si>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</si>
  <si>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</si>
  <si>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</si>
  <si>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</si>
  <si>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</si>
  <si>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</si>
  <si>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</si>
  <si>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</si>
  <si>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</si>
  <si>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</si>
  <si>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</si>
  <si>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</si>
  <si>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</si>
  <si>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Development, financing, insurance, carrying, and administration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</si>
  <si>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</si>
  <si>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</si>
  <si>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</si>
  <si>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</si>
  <si>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</si>
  <si>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</si>
  <si>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</si>
  <si>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</si>
  <si>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</si>
  <si>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</si>
  <si>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</si>
  <si>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</si>
  <si>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</si>
  <si>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</si>
  <si>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</si>
  <si>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</si>
  <si>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</si>
  <si>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</si>
  <si>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</si>
  <si>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</si>
  <si>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</si>
  <si>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</si>
  <si>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</si>
  <si>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</si>
  <si>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</si>
  <si>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</si>
  <si>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</si>
  <si>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</si>
  <si>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</si>
  <si>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</si>
  <si>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</si>
  <si>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</si>
  <si>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</si>
  <si>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</si>
  <si>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</si>
  <si>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</si>
  <si>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</si>
  <si>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</si>
  <si>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</si>
  <si>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</si>
  <si>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</si>
  <si>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</si>
  <si>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</si>
  <si>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</si>
  <si>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</si>
  <si>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</si>
  <si>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</si>
  <si>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</si>
  <si>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</si>
  <si>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</si>
  <si>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</si>
  <si>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</si>
  <si>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</si>
  <si>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</si>
  <si>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</si>
  <si>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</si>
  <si>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</si>
  <si>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</si>
  <si>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</si>
  <si>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</si>
  <si>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</si>
  <si>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</si>
  <si>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</si>
  <si>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</si>
  <si>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</si>
  <si>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</si>
  <si>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</si>
  <si>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</si>
  <si>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</si>
  <si>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</si>
  <si>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</si>
  <si>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</si>
  <si>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</si>
  <si>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</si>
  <si>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</si>
  <si>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</si>
  <si>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</si>
  <si>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</si>
  <si>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</si>
  <si>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</si>
  <si>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insurance</t>
  </si>
  <si>
    <t>Hazard/liability coverage estimate</t>
  </si>
  <si>
    <t>Property management / administration</t>
  </si>
  <si>
    <t>Approx. 6% of stabilized EGI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</si>
  <si>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</si>
  <si>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</si>
  <si>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</si>
  <si>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</si>
  <si>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</si>
  <si>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</si>
  <si>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</si>
  <si>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</si>
  <si>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</si>
  <si>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</si>
  <si>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</si>
  <si>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</si>
  <si>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</si>
  <si>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</si>
  <si>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</si>
  <si>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</si>
  <si>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</si>
  <si>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</si>
  <si>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</si>
  <si>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</si>
  <si>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</si>
  <si>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</si>
  <si>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</si>
  <si>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</si>
  <si>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</si>
  <si>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</si>
  <si>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</si>
  <si>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</si>
  <si>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</si>
  <si>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</si>
  <si>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</si>
  <si>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</si>
  <si>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</si>
  <si>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</si>
  <si>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</si>
  <si>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</si>
  <si>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</si>
  <si>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</si>
  <si>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</si>
  <si>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</si>
  <si>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</si>
  <si>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</si>
  <si>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</si>
  <si>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</si>
  <si>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</si>
  <si>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</si>
  <si>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</si>
  <si>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</si>
  <si>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</si>
  <si>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</si>
  <si>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</si>
  <si>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</si>
  <si>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</si>
  <si>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</si>
  <si>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Current Year Cash Before Refi/Sale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</si>
  <si>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</si>
  <si>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</si>
  <si>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</si>
  <si>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</si>
  <si>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</si>
  <si>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</si>
  <si>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</si>
  <si>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</si>
  <si>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</si>
  <si>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</si>
  <si>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</si>
  <si>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</si>
  <si>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</si>
  <si>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A Beg. Pref Accrued</t>
  </si>
  <si>
    <t>A Pref Accrued</t>
  </si>
  <si>
    <t>A Pref Paid</t>
  </si>
  <si>
    <t>A Beg. Capital</t>
  </si>
  <si>
    <t>A Capital Returned</t>
  </si>
  <si>
    <t>A End Accrued Pref</t>
  </si>
  <si>
    <t>A End Capital</t>
  </si>
  <si>
    <t>A Residual</t>
  </si>
  <si>
    <t>A Total Dist.</t>
  </si>
  <si>
    <t>B Beg. Capital</t>
  </si>
  <si>
    <t>B Capital Returned</t>
  </si>
  <si>
    <t>B End Capital</t>
  </si>
  <si>
    <t>B Residual</t>
  </si>
  <si>
    <t>B Total Dist.</t>
  </si>
  <si>
    <t>Total Dist.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</si>
  <si>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</si>
  <si>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</si>
  <si>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</si>
  <si>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</si>
  <si>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</si>
  <si>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</si>
  <si>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</si>
  <si>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>Total Return</t>
  </si>
  <si>
    <t xml:space="preserve">Low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</si>
</sst>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9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0" fontId="0" fillId="4" borderId="1" xfId="0" applyFill="1" applyBorder="1" applyAlignment="1">
      <alignment horizontal="center" wrapText="1"/>
    </xf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3" fontId="3" fillId="0" borderId="0" xfId="0" applyNumberFormat="1" applyFont="1" applyAlignment="1">
      <alignment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5" fillId="0" borderId="0" xfId="0" applyNumberFormat="1" applyFont="1"/>
    <xf numFmtId="0" fontId="4" fillId="0" borderId="0" xfId="0" applyFont="1"/>
    <xf numFmtId="3" fontId="6" fillId="0" borderId="0" xfId="0" applyNumberFormat="1" applyFont="1"/>
    <xf numFmtId="0" fontId="0" fillId="0" borderId="0" xfId="0"/>
    <xf numFmtId="3" fontId="3" fillId="4" borderId="1" xfId="0" applyNumberFormat="1" applyFont="1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3" fontId="4" fillId="0" borderId="0" xfId="0" applyNumberFormat="1" applyFont="1"/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5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4" borderId="0" xfId="0" applyFill="1"/>
    <xf numFmtId="3" fontId="0" fillId="4" borderId="0" xfId="0" applyNumberFormat="1" applyFill="1"/>
    <xf numFmtId="10" fontId="0" fillId="4" borderId="0" xfId="0" applyNumberFormat="1" applyFill="1"/>
    <xf numFmtId="0" fontId="0" fillId="6" borderId="0" xfId="0" applyFill="1"/>
    <xf numFmtId="3" fontId="0" fillId="6" borderId="0" xfId="0" applyNumberFormat="1" applyFill="1"/>
    <xf numFmtId="10" fontId="0" fillId="6" borderId="0" xfId="0" applyNumberFormat="1" applyFill="1"/>
    <xf numFmtId="0" fontId="0" fillId="5" borderId="0" xfId="0" applyFill="1"/>
    <xf numFmtId="3" fontId="0" fillId="5" borderId="0" xfId="0" applyNumberFormat="1" applyFill="1"/>
    <xf numFmtId="10" fontId="0" fillId="5" borderId="0" xfId="0" applyNumberFormat="1" applyFill="1"/>
  </cellXfs>
  <cellStyles count="1">
    <cellStyle name="Normal" xfId="0" builtinId="0"/>
  </cellStyles>
  <dxfs count="60">
    <dxf>
      <fill>
        <patternFill>
          <bgColor rgb="FFFFFF00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N14" totalsRowShown="0" headerRowDxfId="59" dataDxfId="57" headerRowBorderDxfId="58" tableBorderDxfId="56">
  <autoFilter ref="A3:N14" xr:uid="{31008567-CFA1-42A9-9327-0B98502CA80D}"/>
  <tableColumns count="14">
    <tableColumn id="1" xr3:uid="{26936D8D-49BB-4E72-8714-F0F4A39544E1}" name="Year" dataDxfId="55"/>
    <tableColumn id="2" xr3:uid="{C01BD3A8-84A3-4936-AD75-B10875A3A516}" name="Phase" dataDxfId="54"/>
    <tableColumn id="3" xr3:uid="{C3EFC4B8-12CA-4DCA-8610-6334A06443D6}" name="Gross Potential Rent" dataDxfId="53">
      <calculatedColumnFormula>IF(A4=0,0,StabilizedMonthlyGrossRent*12*(1+NOIGrowth)^MAX(0,A4-StabilizationRefiYear))</calculatedColumnFormula>
    </tableColumn>
    <tableColumn id="4" xr3:uid="{A38FFCD2-F44E-495B-8D1F-57AADF574C32}" name="Effective Gross Income" dataDxfId="52">
      <calculatedColumnFormula>IF(A4=0,0,C4*IF(A4=1,LeaseUpOccupancy,StabilizedOccupancy))</calculatedColumnFormula>
    </tableColumn>
    <tableColumn id="5" xr3:uid="{B76742F3-2204-4523-9F15-8E1C72B7BD6E}" name="Operating Expenses" dataDxfId="51">
      <calculatedColumnFormula>D4*OperatingExpenseRatio</calculatedColumnFormula>
    </tableColumn>
    <tableColumn id="6" xr3:uid="{3F74AC57-500F-402C-9765-78D18626B1BE}" name="NOI" dataDxfId="50">
      <calculatedColumnFormula>D4-E4</calculatedColumnFormula>
    </tableColumn>
    <tableColumn id="7" xr3:uid="{56511279-406D-4252-A9A7-9170D8B87E55}" name="Debt Service" dataDxfId="49">
      <calculatedColumnFormula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calculatedColumnFormula>
    </tableColumn>
    <tableColumn id="8" xr3:uid="{85CA9091-DF20-4851-AE5C-AC9F4814BFC4}" name="Current Year Cash Before Refi/Sale" dataDxfId="48">
      <calculatedColumnFormula>AnnualModelTable[[#This Row],[NOI]]-AnnualModelTable[[#This Row],[Debt Service]]</calculatedColumnFormula>
    </tableColumn>
    <tableColumn id="9" xr3:uid="{AC4642EC-E8F2-497F-99FB-4D7BE675DEA1}" name="Net Refi/Sale Proceeds" dataDxfId="47">
      <calculatedColumnFormula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calculatedColumnFormula>
    </tableColumn>
    <tableColumn id="10" xr3:uid="{41C03F4E-590B-4413-AE34-F5DCDD021866}" name="Cash Available Before Distributions" dataDxfId="46">
      <calculatedColumnFormula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calculatedColumnFormula>
    </tableColumn>
    <tableColumn id="11" xr3:uid="{7B037DCE-ABE4-4D66-9712-F5EE68757C28}" name="Waterfall Distributions" dataDxfId="45">
      <calculatedColumnFormula>SUM(INDEX(Waterfall!$K$4:$K$14,MATCH(AnnualModelTable[[#This Row],[Year]],Waterfall!$A$4:$A$14,0)),INDEX(Waterfall!$P$4:$P$14,MATCH(AnnualModelTable[[#This Row],[Year]],Waterfall!$A$4:$A$14,0)),INDEX(Waterfall!$S$4:$S$14,MATCH(AnnualModelTable[[#This Row],[Year]],Waterfall!$A$4:$A$14,0)))</calculatedColumnFormula>
    </tableColumn>
    <tableColumn id="12" xr3:uid="{C063648E-2927-4081-81E6-EDE453D6AD02}" name="Ending Cash Balance" dataDxfId="44">
      <calculatedColumnFormula>MAX(0,AnnualModelTable[[#This Row],[Cash Available Before Distributions]]-AnnualModelTable[[#This Row],[Waterfall Distributions]])</calculatedColumnFormula>
    </tableColumn>
    <tableColumn id="13" xr3:uid="{886020E1-9E83-41F1-AABD-505FED4CBF84}" name="Loan Balance" dataDxfId="43">
      <calculatedColumnFormula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calculatedColumnFormula>
    </tableColumn>
    <tableColumn id="14" xr3:uid="{9167BA97-D22D-457E-899B-578D63A57A80}" name="Property Value / Refi Value" dataDxfId="42">
      <calculatedColumnFormula>IF(AnnualModelTable[[#This Row],[Year]]&lt;StabilizationRefiYear,0,AnnualModelTable[[#This Row],[NOI]]*(1+NOIGrowth)/ExitCapRate)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S14" totalsRowShown="0" headerRowDxfId="41" dataDxfId="39" headerRowBorderDxfId="40" tableBorderDxfId="38">
  <tableColumns count="19">
    <tableColumn id="1" xr3:uid="{963D327E-2263-47D8-80F9-5A28D9522E50}" name="Year" dataDxfId="37"/>
    <tableColumn id="2" xr3:uid="{DD4D5E48-A253-4495-BAA1-CD03E9DB3287}" name="Cash Available" dataDxfId="36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A Beg. Pref Accrued" dataDxfId="35">
      <calculatedColumnFormula>IF(WaterfallTable[[#This Row],[Year]]=0,0,INDEX(WaterfallTable[A End Accrued Pref],MATCH(WaterfallTable[[#This Row],[Year]]-1,WaterfallTable[Year],0)))</calculatedColumnFormula>
    </tableColumn>
    <tableColumn id="4" xr3:uid="{0A235952-CB75-4C81-B69D-F32174DEACC4}" name="A Pref Accrued" dataDxfId="34">
      <calculatedColumnFormula>WaterfallTable[[#This Row],[A Beg. Capital]]*ClassAPreferredReturn</calculatedColumnFormula>
    </tableColumn>
    <tableColumn id="5" xr3:uid="{6DFBF4A6-C663-4C39-BE8E-9DCEE6178410}" name="A Pref Paid" dataDxfId="33">
      <calculatedColumnFormula>IF(WaterfallTable[[#This Row],[Year]]=0,0,MIN(WaterfallTable[[#This Row],[Cash Available]],WaterfallTable[[#This Row],[A Beg. Pref Accrued]]+WaterfallTable[[#This Row],[A Pref Accrued]]))</calculatedColumnFormula>
    </tableColumn>
    <tableColumn id="6" xr3:uid="{FDF1F9D4-D2FF-4A88-92C0-BF4E451BAD9D}" name="A Beg. Capital" dataDxfId="32">
      <calculatedColumnFormula>IF(WaterfallTable[[#This Row],[Year]]=0,ClassACapital,INDEX(WaterfallTable[A End Capital],MATCH(WaterfallTable[[#This Row],[Year]]-1,WaterfallTable[Year],0)))</calculatedColumnFormula>
    </tableColumn>
    <tableColumn id="7" xr3:uid="{34EB8429-3184-49EF-8624-9DBDD7E02121}" name="A Capital Returned" dataDxfId="31">
      <calculatedColumnFormula>IF(WaterfallTable[[#This Row],[Year]]=0,0,MIN(MAX(0,WaterfallTable[[#This Row],[Cash Available]]-WaterfallTable[[#This Row],[A Pref Paid]]),WaterfallTable[[#This Row],[A Beg. Capital]]))</calculatedColumnFormula>
    </tableColumn>
    <tableColumn id="8" xr3:uid="{D696CF7C-ADFF-4797-A342-D4FDBE970935}" name="A End Accrued Pref" dataDxfId="30">
      <calculatedColumnFormula>WaterfallTable[[#This Row],[A Beg. Pref Accrued]]+WaterfallTable[[#This Row],[A Pref Accrued]]-WaterfallTable[[#This Row],[A Pref Paid]]</calculatedColumnFormula>
    </tableColumn>
    <tableColumn id="9" xr3:uid="{B388253F-1FB5-4833-827B-90E90C5D3F73}" name="A End Capital" dataDxfId="29">
      <calculatedColumnFormula>WaterfallTable[[#This Row],[A Beg. Capital]]-WaterfallTable[[#This Row],[A Capital Returned]]</calculatedColumnFormula>
    </tableColumn>
    <tableColumn id="10" xr3:uid="{95297546-7CDB-4A1F-B087-2907F3FB7729}" name="A Residual" dataDxfId="28">
      <calculatedColumnFormula>IF(WaterfallTable[[#This Row],[Year]]=0,0,MAX(0,WaterfallTable[[#This Row],[Cash Available]]-WaterfallTable[[#This Row],[A Pref Paid]]-WaterfallTable[[#This Row],[A Capital Returned]]-WaterfallTable[[#This Row],[B Capital Returned]])*ClassAResidualShare)</calculatedColumnFormula>
    </tableColumn>
    <tableColumn id="11" xr3:uid="{ECBC678F-113A-47C3-9364-8CD715F8612B}" name="A Total Dist." dataDxfId="27">
      <calculatedColumnFormula>WaterfallTable[[#This Row],[A Pref Paid]]+WaterfallTable[[#This Row],[A Capital Returned]]+WaterfallTable[[#This Row],[A Residual]]</calculatedColumnFormula>
    </tableColumn>
    <tableColumn id="12" xr3:uid="{BEF54E58-ED5B-4464-961D-44F9013F8D13}" name="B Beg. Capital" dataDxfId="26">
      <calculatedColumnFormula>IF(WaterfallTable[[#This Row],[Year]]=0,ClassBCapital,INDEX(WaterfallTable[B End Capital],MATCH(WaterfallTable[[#This Row],[Year]]-1,WaterfallTable[Year],0)))</calculatedColumnFormula>
    </tableColumn>
    <tableColumn id="13" xr3:uid="{8618A2D6-0D65-4F24-926F-2BA7C19C6665}" name="B Capital Returned" dataDxfId="25">
      <calculatedColumnFormula>IF(WaterfallTable[[#This Row],[Year]]=0,0,IF(ClassBReturnPriority=1,MIN(MAX(0,WaterfallTable[[#This Row],[Cash Available]]-WaterfallTable[[#This Row],[A Pref Paid]]-WaterfallTable[[#This Row],[A Capital Returned]]),WaterfallTable[[#This Row],[B Beg. Capital]]),0))</calculatedColumnFormula>
    </tableColumn>
    <tableColumn id="14" xr3:uid="{0E2E93C4-7BF4-4641-A72A-B475C6241132}" name="B End Capital" dataDxfId="24">
      <calculatedColumnFormula>WaterfallTable[[#This Row],[B Beg. Capital]]-WaterfallTable[[#This Row],[B Capital Returned]]</calculatedColumnFormula>
    </tableColumn>
    <tableColumn id="15" xr3:uid="{C6BA9C98-8524-487F-80FD-8C218B59A3B5}" name="B Residual" dataDxfId="23">
      <calculatedColumnFormula>IF(WaterfallTable[[#This Row],[Year]]=0,0,MAX(0,WaterfallTable[[#This Row],[Cash Available]]-WaterfallTable[[#This Row],[A Pref Paid]]-WaterfallTable[[#This Row],[A Capital Returned]]-WaterfallTable[[#This Row],[B Capital Returned]])*ClassBResidualShare)</calculatedColumnFormula>
    </tableColumn>
    <tableColumn id="16" xr3:uid="{454E747C-8827-40D6-81A5-1743C488D4FD}" name="B Total Dist." dataDxfId="22">
      <calculatedColumnFormula>WaterfallTable[[#This Row],[B Capital Returned]]+WaterfallTable[[#This Row],[B Residual]]</calculatedColumnFormula>
    </tableColumn>
    <tableColumn id="17" xr3:uid="{417495A6-8721-4CAB-BEB3-7640A0F3FEBC}" name="Property Payment" dataDxfId="21">
      <calculatedColumnFormula>IF(WaterfallTable[[#This Row],[Year]]=0,SponsorPropertyPayment,0)</calculatedColumnFormula>
    </tableColumn>
    <tableColumn id="18" xr3:uid="{1A110274-3485-4D4C-B019-55D770E0C6CE}" name="Residual" dataDxfId="20">
      <calculatedColumnFormula>IF(WaterfallTable[[#This Row],[Year]]=0,0,MAX(0,WaterfallTable[[#This Row],[Cash Available]]-WaterfallTable[[#This Row],[A Pref Paid]]-WaterfallTable[[#This Row],[A Capital Returned]]-WaterfallTable[[#This Row],[B Capital Returned]])*SponsorResidualShare)</calculatedColumnFormula>
    </tableColumn>
    <tableColumn id="19" xr3:uid="{B1D631F1-3DB1-43F4-AA61-DD5D4F2AA342}" name="Total Dist." dataDxfId="19">
      <calculatedColumnFormula>WaterfallTable[[#This Row],[Property Payment]]+WaterfallTable[[#This Row],[Residual]]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S21" totalsRowShown="0">
  <tableColumns count="19">
    <tableColumn id="1" xr3:uid="{9D313402-FD1F-4B4A-94AF-A715F76F921A}" name="Participant"/>
    <tableColumn id="2" xr3:uid="{ECA60733-FEA2-401B-8642-71F43FEC8DB9}" name="Capital / Basis" dataDxfId="18"/>
    <tableColumn id="3" xr3:uid="{C289E388-4A17-4836-B18C-4492629B2237}" name="Total Distributions" dataDxfId="17"/>
    <tableColumn id="4" xr3:uid="{0E5564FA-0686-41CD-8CE7-39EED6142313}" name="Net Profit" dataDxfId="16">
      <calculatedColumnFormula>C19-B19</calculatedColumnFormula>
    </tableColumn>
    <tableColumn id="5" xr3:uid="{10FF1ED7-A502-4F2E-A54A-B0007AA7263A}" name="Equity Multiple" dataDxfId="15">
      <calculatedColumnFormula>IFERROR(C19/B19,0)</calculatedColumnFormula>
    </tableColumn>
    <tableColumn id="6" xr3:uid="{ECDBC3DC-2987-4B43-8FA8-210E2BD2C527}" name="ROI %" dataDxfId="14">
      <calculatedColumnFormula>IFERROR(D19/B19,0)</calculatedColumnFormula>
    </tableColumn>
    <tableColumn id="7" xr3:uid="{4D05CF9F-BEF3-4687-B36F-4B00680921AC}" name="IRR" dataDxfId="13"/>
    <tableColumn id="8" xr3:uid="{1C4FC23A-6CAB-4454-ABFA-E8F2BFD21307}" name="Year 0" dataDxfId="12"/>
    <tableColumn id="9" xr3:uid="{65D20829-5C0C-4626-B752-4916A51B8F56}" name="Year 1" dataDxfId="11"/>
    <tableColumn id="10" xr3:uid="{6AB1F3BD-E384-4432-B275-A7608171F178}" name="Year 2" dataDxfId="10"/>
    <tableColumn id="11" xr3:uid="{E6468E2E-5E04-433F-B3E2-FA390BC93337}" name="Year 3" dataDxfId="9"/>
    <tableColumn id="12" xr3:uid="{4FBAC77A-F067-49A4-AC41-AD7EF45A9940}" name="Year 4" dataDxfId="8"/>
    <tableColumn id="13" xr3:uid="{CAEFEDFD-AA12-43AF-B34A-E218E93CEE22}" name="Year 5" dataDxfId="7"/>
    <tableColumn id="14" xr3:uid="{A625364D-066A-437E-8A2D-DD61A8A5CE82}" name="Year 6" dataDxfId="6"/>
    <tableColumn id="15" xr3:uid="{2F0BFF3E-A3CB-433E-86D2-6AF1360FD5D9}" name="Year 7" dataDxfId="5"/>
    <tableColumn id="16" xr3:uid="{0A58F701-6416-4538-A6E5-4BF44C4993D5}" name="Year 8" dataDxfId="4"/>
    <tableColumn id="17" xr3:uid="{AC84C97B-2616-4869-838B-9557C19186A7}" name="Year 9" dataDxfId="3"/>
    <tableColumn id="18" xr3:uid="{523BC2AE-FDEA-442A-A3C6-B94CA77050FC}" name="Year 10" dataDxfId="2"/>
    <tableColumn id="19" xr3:uid="{27F266C1-826E-4785-9D87-EAC8CE4261F1}" name="Total Return" dataDxfId="1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opLeftCell="A12" workbookViewId="0">
      <selection activeCell="B44" sqref="B44"/>
    </sheetView>
  </sheetViews>
  <sheetFormatPr defaultRowHeight="15" x14ac:dyDescent="0.25"/>
  <cols>
    <col min="1" max="1" width="47" style="6" bestFit="1" customWidth="1"/>
    <col min="2" max="2" width="7.5703125" style="6" bestFit="1" customWidth="1"/>
    <col min="3" max="3" width="80.42578125" style="6" bestFit="1" customWidth="1"/>
    <col min="4" max="16384" width="9.140625" style="6"/>
  </cols>
  <sheetData>
    <row r="1" spans="1:3" ht="18.75" x14ac:dyDescent="0.3">
      <c r="A1" s="20" t="s">
        <v>0</v>
      </c>
      <c r="B1" s="13"/>
      <c r="C1" s="18" t="s">
        <v>1</v>
      </c>
    </row>
    <row r="2" spans="1:3" x14ac:dyDescent="0.25">
      <c r="A2" s="13"/>
      <c r="B2" s="13"/>
      <c r="C2" s="13"/>
    </row>
    <row r="3" spans="1:3" x14ac:dyDescent="0.25">
      <c r="A3" s="21" t="s">
        <v>2</v>
      </c>
      <c r="B3" s="13"/>
      <c r="C3" s="13"/>
    </row>
    <row r="4" spans="1:3" x14ac:dyDescent="0.25">
      <c r="A4" s="13" t="s">
        <v>3</v>
      </c>
      <c r="B4" s="15">
        <v>2</v>
      </c>
      <c r="C4" s="18" t="s">
        <v>4</v>
      </c>
    </row>
    <row r="5" spans="1:3" x14ac:dyDescent="0.25">
      <c r="A5" s="13" t="s">
        <v>5</v>
      </c>
      <c r="B5" s="15">
        <v>10</v>
      </c>
      <c r="C5" s="18" t="s">
        <v>6</v>
      </c>
    </row>
    <row r="6" spans="1:3" x14ac:dyDescent="0.25">
      <c r="A6" s="13"/>
      <c r="B6" s="13"/>
      <c r="C6" s="13"/>
    </row>
    <row r="7" spans="1:3" x14ac:dyDescent="0.25">
      <c r="A7" s="21" t="s">
        <v>7</v>
      </c>
      <c r="B7" s="13"/>
      <c r="C7" s="13"/>
    </row>
    <row r="8" spans="1:3" x14ac:dyDescent="0.25">
      <c r="A8" s="13" t="s">
        <v>8</v>
      </c>
      <c r="B8" s="15">
        <v>4</v>
      </c>
      <c r="C8" s="18" t="s">
        <v>9</v>
      </c>
    </row>
    <row r="9" spans="1:3" x14ac:dyDescent="0.25">
      <c r="A9" s="13" t="s">
        <v>10</v>
      </c>
      <c r="B9" s="13">
        <v>1600</v>
      </c>
      <c r="C9" s="18" t="s">
        <v>11</v>
      </c>
    </row>
    <row r="10" spans="1:3" x14ac:dyDescent="0.25">
      <c r="A10" s="13" t="s">
        <v>12</v>
      </c>
      <c r="B10" s="15">
        <v>4</v>
      </c>
      <c r="C10" s="18" t="s">
        <v>13</v>
      </c>
    </row>
    <row r="11" spans="1:3" x14ac:dyDescent="0.25">
      <c r="A11" s="13" t="s">
        <v>14</v>
      </c>
      <c r="B11" s="13">
        <v>1100</v>
      </c>
      <c r="C11" s="18" t="s">
        <v>11</v>
      </c>
    </row>
    <row r="12" spans="1:3" x14ac:dyDescent="0.25">
      <c r="A12" s="13" t="s">
        <v>15</v>
      </c>
      <c r="B12" s="13">
        <v>0</v>
      </c>
      <c r="C12" s="18" t="s">
        <v>16</v>
      </c>
    </row>
    <row r="13" spans="1:3" x14ac:dyDescent="0.25">
      <c r="A13" s="13" t="s">
        <v>17</v>
      </c>
      <c r="B13" s="22">
        <v>0.93</v>
      </c>
      <c r="C13" s="18" t="s">
        <v>18</v>
      </c>
    </row>
    <row r="14" spans="1:3" x14ac:dyDescent="0.25">
      <c r="A14" s="13" t="s">
        <v>19</v>
      </c>
      <c r="B14" s="22">
        <v>0.5</v>
      </c>
      <c r="C14" s="18" t="s">
        <v>20</v>
      </c>
    </row>
    <row r="15" spans="1:3" x14ac:dyDescent="0.25">
      <c r="A15" s="13" t="s">
        <v>21</v>
      </c>
      <c r="B15" s="22">
        <f>SelectedOperatingExpenseRatio</f>
        <v>0.4</v>
      </c>
      <c r="C15" s="18" t="s">
        <v>22</v>
      </c>
    </row>
    <row r="16" spans="1:3" x14ac:dyDescent="0.25">
      <c r="A16" s="13" t="s">
        <v>23</v>
      </c>
      <c r="B16" s="22">
        <v>0.03</v>
      </c>
      <c r="C16" s="18" t="s">
        <v>24</v>
      </c>
    </row>
    <row r="17" spans="1:3" x14ac:dyDescent="0.25">
      <c r="A17" s="13" t="s">
        <v>25</v>
      </c>
      <c r="B17" s="13">
        <f>PremiumSuites*PremiumSuiteRent+CoLivingSuites*CoLivingSuiteRent+OtherMonthlyIncome</f>
        <v>10800</v>
      </c>
      <c r="C17" s="18" t="s">
        <v>26</v>
      </c>
    </row>
    <row r="18" spans="1:3" x14ac:dyDescent="0.25">
      <c r="A18" s="13"/>
      <c r="B18" s="13"/>
      <c r="C18" s="13"/>
    </row>
    <row r="19" spans="1:3" x14ac:dyDescent="0.25">
      <c r="A19" s="21" t="s">
        <v>27</v>
      </c>
      <c r="B19" s="13"/>
      <c r="C19" s="13"/>
    </row>
    <row r="20" spans="1:3" x14ac:dyDescent="0.25">
      <c r="A20" s="13" t="s">
        <v>255</v>
      </c>
      <c r="B20" s="13">
        <v>119000</v>
      </c>
      <c r="C20" s="18" t="s">
        <v>256</v>
      </c>
    </row>
    <row r="21" spans="1:3" x14ac:dyDescent="0.25">
      <c r="A21" s="13" t="s">
        <v>257</v>
      </c>
      <c r="B21" s="24">
        <v>3.2500000000000001E-2</v>
      </c>
      <c r="C21" s="18" t="s">
        <v>258</v>
      </c>
    </row>
    <row r="22" spans="1:3" x14ac:dyDescent="0.25">
      <c r="A22" s="13" t="s">
        <v>28</v>
      </c>
      <c r="B22" s="13">
        <v>75000</v>
      </c>
      <c r="C22" s="18" t="s">
        <v>29</v>
      </c>
    </row>
    <row r="23" spans="1:3" x14ac:dyDescent="0.25">
      <c r="A23" s="13" t="s">
        <v>30</v>
      </c>
      <c r="B23" s="24">
        <v>0.1</v>
      </c>
      <c r="C23" s="18" t="s">
        <v>31</v>
      </c>
    </row>
    <row r="24" spans="1:3" x14ac:dyDescent="0.25">
      <c r="A24" s="13" t="s">
        <v>32</v>
      </c>
      <c r="B24" s="13">
        <f>_xlfn.SINGLE(ExistingFirstMortgagePrincipal)+PrivateDebtPrincipal</f>
        <v>194000</v>
      </c>
      <c r="C24" s="18" t="s">
        <v>259</v>
      </c>
    </row>
    <row r="25" spans="1:3" x14ac:dyDescent="0.25">
      <c r="A25" s="13" t="s">
        <v>264</v>
      </c>
      <c r="B25" s="13">
        <v>526</v>
      </c>
      <c r="C25" s="18" t="s">
        <v>265</v>
      </c>
    </row>
    <row r="26" spans="1:3" x14ac:dyDescent="0.25">
      <c r="A26" s="13" t="s">
        <v>266</v>
      </c>
      <c r="B26" s="13">
        <f>_xlfn.SINGLE(ExistingFirstMortgageMonthlyPI)*12</f>
        <v>6312</v>
      </c>
      <c r="C26" s="18" t="s">
        <v>267</v>
      </c>
    </row>
    <row r="27" spans="1:3" x14ac:dyDescent="0.25">
      <c r="A27" s="13" t="s">
        <v>260</v>
      </c>
      <c r="B27" s="13">
        <f>PrivateDebtPrincipal*PrivateDebtInterestRate</f>
        <v>7500</v>
      </c>
      <c r="C27" s="18" t="s">
        <v>261</v>
      </c>
    </row>
    <row r="28" spans="1:3" x14ac:dyDescent="0.25">
      <c r="A28" s="13" t="s">
        <v>262</v>
      </c>
      <c r="B28" s="7">
        <f>ExistingFirstMortgageAnnualPayment+PrivateDebtAnnualInterestPayment</f>
        <v>13812</v>
      </c>
      <c r="C28" s="18" t="s">
        <v>263</v>
      </c>
    </row>
    <row r="29" spans="1:3" x14ac:dyDescent="0.25">
      <c r="A29" s="13" t="s">
        <v>272</v>
      </c>
      <c r="B29" s="24">
        <v>0.7</v>
      </c>
      <c r="C29" s="18" t="s">
        <v>273</v>
      </c>
    </row>
    <row r="30" spans="1:3" x14ac:dyDescent="0.25">
      <c r="A30" s="13" t="s">
        <v>33</v>
      </c>
      <c r="B30" s="13">
        <f>MIN((StabilizedMonthlyGrossRent*12*StabilizedOccupancy*(1-OperatingExpenseRatio)*(1+NOIGrowth)/ExitCapRate)*RefinanceLoanToValueCap,TotalExistingDebt+ClassACapital+ClassBCapital)</f>
        <v>744863.0399999998</v>
      </c>
      <c r="C30" s="18" t="s">
        <v>34</v>
      </c>
    </row>
    <row r="31" spans="1:3" x14ac:dyDescent="0.25">
      <c r="A31" s="13" t="s">
        <v>35</v>
      </c>
      <c r="B31" s="13">
        <f>MAX(0,RefinanceLoanAmount-TotalExistingDebt)</f>
        <v>550863.0399999998</v>
      </c>
      <c r="C31" s="18" t="s">
        <v>36</v>
      </c>
    </row>
    <row r="32" spans="1:3" x14ac:dyDescent="0.25">
      <c r="A32" s="13" t="s">
        <v>37</v>
      </c>
      <c r="B32" s="13">
        <f>MAX(0,RefinanceLoanAmount-TotalExistingDebt-ClassACapital)</f>
        <v>250863.0399999998</v>
      </c>
      <c r="C32" s="18" t="s">
        <v>38</v>
      </c>
    </row>
    <row r="33" spans="1:3" x14ac:dyDescent="0.25">
      <c r="A33" s="13" t="s">
        <v>39</v>
      </c>
      <c r="B33" s="24">
        <v>6.5000000000000002E-2</v>
      </c>
      <c r="C33" s="18" t="s">
        <v>40</v>
      </c>
    </row>
    <row r="34" spans="1:3" x14ac:dyDescent="0.25">
      <c r="A34" s="13" t="s">
        <v>41</v>
      </c>
      <c r="B34" s="15">
        <v>30</v>
      </c>
      <c r="C34" s="18" t="s">
        <v>42</v>
      </c>
    </row>
    <row r="35" spans="1:3" x14ac:dyDescent="0.25">
      <c r="A35" s="13" t="s">
        <v>43</v>
      </c>
      <c r="B35" s="24">
        <v>7.0000000000000007E-2</v>
      </c>
      <c r="C35" s="18" t="s">
        <v>44</v>
      </c>
    </row>
    <row r="36" spans="1:3" x14ac:dyDescent="0.25">
      <c r="A36" s="13" t="s">
        <v>45</v>
      </c>
      <c r="B36" s="24">
        <v>0.02</v>
      </c>
      <c r="C36" s="13" t="s">
        <v>46</v>
      </c>
    </row>
    <row r="37" spans="1:3" x14ac:dyDescent="0.25">
      <c r="A37" s="21"/>
      <c r="B37" s="13"/>
      <c r="C37" s="13"/>
    </row>
    <row r="38" spans="1:3" x14ac:dyDescent="0.25">
      <c r="A38" s="13" t="s">
        <v>47</v>
      </c>
      <c r="B38" s="13"/>
      <c r="C38" s="18"/>
    </row>
    <row r="39" spans="1:3" x14ac:dyDescent="0.25">
      <c r="A39" s="13" t="s">
        <v>48</v>
      </c>
      <c r="B39" s="13">
        <v>300000</v>
      </c>
      <c r="C39" s="18" t="s">
        <v>49</v>
      </c>
    </row>
    <row r="40" spans="1:3" x14ac:dyDescent="0.25">
      <c r="A40" s="13" t="s">
        <v>50</v>
      </c>
      <c r="B40" s="24">
        <v>0.08</v>
      </c>
      <c r="C40" s="18" t="s">
        <v>51</v>
      </c>
    </row>
    <row r="41" spans="1:3" x14ac:dyDescent="0.25">
      <c r="A41" s="13" t="s">
        <v>52</v>
      </c>
      <c r="B41" s="13">
        <f>MAX(0,SelectedProjectCost-ClassACapital)</f>
        <v>600000</v>
      </c>
      <c r="C41" s="18" t="s">
        <v>274</v>
      </c>
    </row>
    <row r="42" spans="1:3" x14ac:dyDescent="0.25">
      <c r="A42" s="13" t="s">
        <v>53</v>
      </c>
      <c r="B42" s="13">
        <v>1</v>
      </c>
      <c r="C42" s="18" t="s">
        <v>54</v>
      </c>
    </row>
    <row r="43" spans="1:3" x14ac:dyDescent="0.25">
      <c r="A43" s="13" t="s">
        <v>56</v>
      </c>
      <c r="B43" s="32">
        <v>0.4</v>
      </c>
      <c r="C43" s="18" t="s">
        <v>276</v>
      </c>
    </row>
    <row r="44" spans="1:3" x14ac:dyDescent="0.25">
      <c r="A44" s="13" t="s">
        <v>275</v>
      </c>
      <c r="B44" s="32">
        <f>(1-SponsorResidualShare)*(ClassACapital/(ClassACapital+ClassBCapital))</f>
        <v>0.19999999999999998</v>
      </c>
      <c r="C44" s="18" t="s">
        <v>277</v>
      </c>
    </row>
    <row r="45" spans="1:3" x14ac:dyDescent="0.25">
      <c r="A45" s="13" t="s">
        <v>55</v>
      </c>
      <c r="B45" s="32">
        <f>(1-SponsorResidualShare)*(ClassBCapital/(ClassACapital+ClassBCapital))</f>
        <v>0.39999999999999997</v>
      </c>
      <c r="C45" s="18" t="s">
        <v>278</v>
      </c>
    </row>
    <row r="46" spans="1:3" x14ac:dyDescent="0.25">
      <c r="A46" s="13" t="s">
        <v>299</v>
      </c>
      <c r="B46" s="13">
        <v>150000</v>
      </c>
      <c r="C46" s="13" t="s">
        <v>300</v>
      </c>
    </row>
    <row r="47" spans="1:3" x14ac:dyDescent="0.25">
      <c r="A47" s="13" t="s">
        <v>57</v>
      </c>
      <c r="B47" s="34" t="s">
        <v>58</v>
      </c>
      <c r="C47" s="35"/>
    </row>
  </sheetData>
  <mergeCells count="1">
    <mergeCell ref="B47:C47"/>
  </mergeCell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>
      <selection activeCell="A3" sqref="A3:XFD3"/>
    </sheetView>
  </sheetViews>
  <sheetFormatPr defaultRowHeight="15" x14ac:dyDescent="0.25"/>
  <cols>
    <col min="1" max="1" width="9.5703125" style="6" bestFit="1" customWidth="1"/>
    <col min="2" max="2" width="18.5703125" style="6" customWidth="1"/>
    <col min="3" max="3" width="13.140625" style="6" customWidth="1"/>
    <col min="4" max="4" width="13.85546875" style="6" customWidth="1"/>
    <col min="5" max="5" width="13.42578125" style="6" customWidth="1"/>
    <col min="6" max="6" width="9" style="6" bestFit="1" customWidth="1"/>
    <col min="7" max="7" width="10.140625" style="6" customWidth="1"/>
    <col min="8" max="8" width="19.42578125" style="6" customWidth="1"/>
    <col min="9" max="9" width="12" style="6" customWidth="1"/>
    <col min="10" max="10" width="18.28515625" style="6" customWidth="1"/>
    <col min="11" max="11" width="15.140625" style="6" customWidth="1"/>
    <col min="12" max="12" width="13.140625" style="6" customWidth="1"/>
    <col min="13" max="13" width="10.42578125" style="6" customWidth="1"/>
    <col min="14" max="14" width="15.28515625" style="6" customWidth="1"/>
    <col min="15" max="16384" width="9.140625" style="6"/>
  </cols>
  <sheetData>
    <row r="1" spans="1:14" ht="18.75" x14ac:dyDescent="0.3">
      <c r="A1" s="36" t="s">
        <v>59</v>
      </c>
      <c r="B1" s="37"/>
      <c r="C1" s="37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s="23" customFormat="1" ht="45" x14ac:dyDescent="0.25">
      <c r="A3" s="26" t="s">
        <v>60</v>
      </c>
      <c r="B3" s="26" t="s">
        <v>61</v>
      </c>
      <c r="C3" s="26" t="s">
        <v>62</v>
      </c>
      <c r="D3" s="26" t="s">
        <v>63</v>
      </c>
      <c r="E3" s="26" t="s">
        <v>64</v>
      </c>
      <c r="F3" s="26" t="s">
        <v>65</v>
      </c>
      <c r="G3" s="26" t="s">
        <v>66</v>
      </c>
      <c r="H3" s="26" t="s">
        <v>268</v>
      </c>
      <c r="I3" s="26" t="s">
        <v>281</v>
      </c>
      <c r="J3" s="26" t="s">
        <v>269</v>
      </c>
      <c r="K3" s="26" t="s">
        <v>270</v>
      </c>
      <c r="L3" s="26" t="s">
        <v>271</v>
      </c>
      <c r="M3" s="26" t="s">
        <v>67</v>
      </c>
      <c r="N3" s="26" t="s">
        <v>68</v>
      </c>
    </row>
    <row r="4" spans="1:14" x14ac:dyDescent="0.25">
      <c r="A4" s="13">
        <v>0</v>
      </c>
      <c r="B4" s="13" t="s">
        <v>69</v>
      </c>
      <c r="C4" s="13">
        <f t="shared" ref="C4:C14" si="0">IF(A4=0,0,StabilizedMonthlyGrossRent*12*(1+NOIGrowth)^MAX(0,A4-StabilizationRefiYear))</f>
        <v>0</v>
      </c>
      <c r="D4" s="13">
        <f t="shared" ref="D4:D14" si="1">IF(A4=0,0,C4*IF(A4=1,LeaseUpOccupancy,StabilizedOccupancy))</f>
        <v>0</v>
      </c>
      <c r="E4" s="13">
        <f t="shared" ref="E4:E14" si="2">D4*OperatingExpenseRatio</f>
        <v>0</v>
      </c>
      <c r="F4" s="13">
        <f t="shared" ref="F4:F14" si="3">D4-E4</f>
        <v>0</v>
      </c>
      <c r="G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0</v>
      </c>
      <c r="H4" s="13">
        <f>AnnualModelTable[[#This Row],[NOI]]-AnnualModelTable[[#This Row],[Debt Service]]</f>
        <v>0</v>
      </c>
      <c r="I4" s="13">
        <f>SponsorPropertyPayment</f>
        <v>150000</v>
      </c>
      <c r="J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150000</v>
      </c>
      <c r="K4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150000</v>
      </c>
      <c r="L4" s="13">
        <f>MAX(0,AnnualModelTable[[#This Row],[Cash Available Before Distributions]]-AnnualModelTable[[#This Row],[Waterfall Distributions]])</f>
        <v>0</v>
      </c>
      <c r="M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4" s="13">
        <f>IF(AnnualModelTable[[#This Row],[Year]]&lt;StabilizationRefiYear,0,AnnualModelTable[[#This Row],[NOI]]*(1+NOIGrowth)/ExitCapRate)</f>
        <v>0</v>
      </c>
    </row>
    <row r="5" spans="1:14" x14ac:dyDescent="0.25">
      <c r="A5" s="13">
        <v>1</v>
      </c>
      <c r="B5" s="13" t="s">
        <v>70</v>
      </c>
      <c r="C5" s="13">
        <f t="shared" si="0"/>
        <v>129600</v>
      </c>
      <c r="D5" s="13">
        <f t="shared" si="1"/>
        <v>64800</v>
      </c>
      <c r="E5" s="13">
        <f t="shared" si="2"/>
        <v>25920</v>
      </c>
      <c r="F5" s="13">
        <f t="shared" si="3"/>
        <v>38880</v>
      </c>
      <c r="G5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13812</v>
      </c>
      <c r="H5" s="13">
        <f>AnnualModelTable[[#This Row],[NOI]]-AnnualModelTable[[#This Row],[Debt Service]]</f>
        <v>25068</v>
      </c>
      <c r="I5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5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25068</v>
      </c>
      <c r="K5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25068</v>
      </c>
      <c r="L5" s="13">
        <f>MAX(0,AnnualModelTable[[#This Row],[Cash Available Before Distributions]]-AnnualModelTable[[#This Row],[Waterfall Distributions]])</f>
        <v>0</v>
      </c>
      <c r="M5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5" s="13">
        <f>IF(AnnualModelTable[[#This Row],[Year]]&lt;StabilizationRefiYear,0,AnnualModelTable[[#This Row],[NOI]]*(1+NOIGrowth)/ExitCapRate)</f>
        <v>0</v>
      </c>
    </row>
    <row r="6" spans="1:14" x14ac:dyDescent="0.25">
      <c r="A6" s="13">
        <v>2</v>
      </c>
      <c r="B6" s="13" t="s">
        <v>71</v>
      </c>
      <c r="C6" s="13">
        <f t="shared" si="0"/>
        <v>129600</v>
      </c>
      <c r="D6" s="13">
        <f t="shared" si="1"/>
        <v>120528</v>
      </c>
      <c r="E6" s="13">
        <f t="shared" si="2"/>
        <v>48211.200000000004</v>
      </c>
      <c r="F6" s="13">
        <f t="shared" si="3"/>
        <v>72316.799999999988</v>
      </c>
      <c r="G6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6" s="13">
        <f>AnnualModelTable[[#This Row],[NOI]]-AnnualModelTable[[#This Row],[Debt Service]]</f>
        <v>15820.306864108752</v>
      </c>
      <c r="I6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550863.0399999998</v>
      </c>
      <c r="J6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566683.34686410858</v>
      </c>
      <c r="K6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566683.34686410858</v>
      </c>
      <c r="L6" s="13">
        <f>MAX(0,AnnualModelTable[[#This Row],[Cash Available Before Distributions]]-AnnualModelTable[[#This Row],[Waterfall Distributions]])</f>
        <v>0</v>
      </c>
      <c r="M6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744863.0399999998</v>
      </c>
      <c r="N6" s="13">
        <f>IF(AnnualModelTable[[#This Row],[Year]]&lt;StabilizationRefiYear,0,AnnualModelTable[[#This Row],[NOI]]*(1+NOIGrowth)/ExitCapRate)</f>
        <v>1064090.057142857</v>
      </c>
    </row>
    <row r="7" spans="1:14" x14ac:dyDescent="0.25">
      <c r="A7" s="13">
        <v>3</v>
      </c>
      <c r="B7" s="13" t="s">
        <v>72</v>
      </c>
      <c r="C7" s="13">
        <f t="shared" si="0"/>
        <v>133488</v>
      </c>
      <c r="D7" s="13">
        <f t="shared" si="1"/>
        <v>124143.84000000001</v>
      </c>
      <c r="E7" s="13">
        <f t="shared" si="2"/>
        <v>49657.536000000007</v>
      </c>
      <c r="F7" s="13">
        <f t="shared" si="3"/>
        <v>74486.304000000004</v>
      </c>
      <c r="G7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7" s="13">
        <f>AnnualModelTable[[#This Row],[NOI]]-AnnualModelTable[[#This Row],[Debt Service]]</f>
        <v>17989.810864108767</v>
      </c>
      <c r="I7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7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17989.810864108767</v>
      </c>
      <c r="K7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17989.810864108767</v>
      </c>
      <c r="L7" s="13">
        <f>MAX(0,AnnualModelTable[[#This Row],[Cash Available Before Distributions]]-AnnualModelTable[[#This Row],[Waterfall Distributions]])</f>
        <v>0</v>
      </c>
      <c r="M7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736537.51609305036</v>
      </c>
      <c r="N7" s="13">
        <f>IF(AnnualModelTable[[#This Row],[Year]]&lt;StabilizationRefiYear,0,AnnualModelTable[[#This Row],[NOI]]*(1+NOIGrowth)/ExitCapRate)</f>
        <v>1096012.7588571429</v>
      </c>
    </row>
    <row r="8" spans="1:14" x14ac:dyDescent="0.25">
      <c r="A8" s="13">
        <v>4</v>
      </c>
      <c r="B8" s="13" t="s">
        <v>72</v>
      </c>
      <c r="C8" s="13">
        <f t="shared" si="0"/>
        <v>137492.63999999998</v>
      </c>
      <c r="D8" s="13">
        <f t="shared" si="1"/>
        <v>127868.15519999999</v>
      </c>
      <c r="E8" s="13">
        <f t="shared" si="2"/>
        <v>51147.26208</v>
      </c>
      <c r="F8" s="13">
        <f t="shared" si="3"/>
        <v>76720.893119999993</v>
      </c>
      <c r="G8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8" s="13">
        <f>AnnualModelTable[[#This Row],[NOI]]-AnnualModelTable[[#This Row],[Debt Service]]</f>
        <v>20224.399984108757</v>
      </c>
      <c r="I8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8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20224.399984108757</v>
      </c>
      <c r="K8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20224.399984108757</v>
      </c>
      <c r="L8" s="13">
        <f>MAX(0,AnnualModelTable[[#This Row],[Cash Available Before Distributions]]-AnnualModelTable[[#This Row],[Waterfall Distributions]])</f>
        <v>0</v>
      </c>
      <c r="M8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727654.41643116099</v>
      </c>
      <c r="N8" s="13">
        <f>IF(AnnualModelTable[[#This Row],[Year]]&lt;StabilizationRefiYear,0,AnnualModelTable[[#This Row],[NOI]]*(1+NOIGrowth)/ExitCapRate)</f>
        <v>1128893.141622857</v>
      </c>
    </row>
    <row r="9" spans="1:14" x14ac:dyDescent="0.25">
      <c r="A9" s="13">
        <v>5</v>
      </c>
      <c r="B9" s="13" t="s">
        <v>72</v>
      </c>
      <c r="C9" s="13">
        <f t="shared" si="0"/>
        <v>141617.4192</v>
      </c>
      <c r="D9" s="13">
        <f t="shared" si="1"/>
        <v>131704.19985600002</v>
      </c>
      <c r="E9" s="13">
        <f t="shared" si="2"/>
        <v>52681.679942400013</v>
      </c>
      <c r="F9" s="13">
        <f t="shared" si="3"/>
        <v>79022.519913600001</v>
      </c>
      <c r="G9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9" s="13">
        <f>AnnualModelTable[[#This Row],[NOI]]-AnnualModelTable[[#This Row],[Debt Service]]</f>
        <v>22526.026777708765</v>
      </c>
      <c r="I9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9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22526.026777708765</v>
      </c>
      <c r="K9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22526.026777708765</v>
      </c>
      <c r="L9" s="13">
        <f>MAX(0,AnnualModelTable[[#This Row],[Cash Available Before Distributions]]-AnnualModelTable[[#This Row],[Waterfall Distributions]])</f>
        <v>0</v>
      </c>
      <c r="M9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718176.39913339156</v>
      </c>
      <c r="N9" s="13">
        <f>IF(AnnualModelTable[[#This Row],[Year]]&lt;StabilizationRefiYear,0,AnnualModelTable[[#This Row],[NOI]]*(1+NOIGrowth)/ExitCapRate)</f>
        <v>1162759.9358715427</v>
      </c>
    </row>
    <row r="10" spans="1:14" x14ac:dyDescent="0.25">
      <c r="A10" s="13">
        <v>6</v>
      </c>
      <c r="B10" s="13" t="s">
        <v>72</v>
      </c>
      <c r="C10" s="13">
        <f t="shared" si="0"/>
        <v>145865.94177599999</v>
      </c>
      <c r="D10" s="13">
        <f t="shared" si="1"/>
        <v>135655.32585168001</v>
      </c>
      <c r="E10" s="13">
        <f t="shared" si="2"/>
        <v>54262.130340672011</v>
      </c>
      <c r="F10" s="13">
        <f t="shared" si="3"/>
        <v>81393.195511008002</v>
      </c>
      <c r="G10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0" s="13">
        <f>AnnualModelTable[[#This Row],[NOI]]-AnnualModelTable[[#This Row],[Debt Service]]</f>
        <v>24896.702375116765</v>
      </c>
      <c r="I10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0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24896.702375116765</v>
      </c>
      <c r="K10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24896.702375116765</v>
      </c>
      <c r="L10" s="13">
        <f>MAX(0,AnnualModelTable[[#This Row],[Cash Available Before Distributions]]-AnnualModelTable[[#This Row],[Waterfall Distributions]])</f>
        <v>0</v>
      </c>
      <c r="M10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708063.62146387866</v>
      </c>
      <c r="N10" s="13">
        <f>IF(AnnualModelTable[[#This Row],[Year]]&lt;StabilizationRefiYear,0,AnnualModelTable[[#This Row],[NOI]]*(1+NOIGrowth)/ExitCapRate)</f>
        <v>1197642.7339476892</v>
      </c>
    </row>
    <row r="11" spans="1:14" x14ac:dyDescent="0.25">
      <c r="A11" s="13">
        <v>7</v>
      </c>
      <c r="B11" s="13" t="s">
        <v>72</v>
      </c>
      <c r="C11" s="13">
        <f t="shared" si="0"/>
        <v>150241.92002927998</v>
      </c>
      <c r="D11" s="13">
        <f t="shared" si="1"/>
        <v>139724.9856272304</v>
      </c>
      <c r="E11" s="13">
        <f t="shared" si="2"/>
        <v>55889.994250892167</v>
      </c>
      <c r="F11" s="13">
        <f t="shared" si="3"/>
        <v>83834.991376338236</v>
      </c>
      <c r="G11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1" s="13">
        <f>AnnualModelTable[[#This Row],[NOI]]-AnnualModelTable[[#This Row],[Debt Service]]</f>
        <v>27338.498240446999</v>
      </c>
      <c r="I11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1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27338.498240446999</v>
      </c>
      <c r="K11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27338.498240446999</v>
      </c>
      <c r="L11" s="13">
        <f>MAX(0,AnnualModelTable[[#This Row],[Cash Available Before Distributions]]-AnnualModelTable[[#This Row],[Waterfall Distributions]])</f>
        <v>0</v>
      </c>
      <c r="M11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697273.5723449483</v>
      </c>
      <c r="N11" s="13">
        <f>IF(AnnualModelTable[[#This Row],[Year]]&lt;StabilizationRefiYear,0,AnnualModelTable[[#This Row],[NOI]]*(1+NOIGrowth)/ExitCapRate)</f>
        <v>1233572.0159661197</v>
      </c>
    </row>
    <row r="12" spans="1:14" x14ac:dyDescent="0.25">
      <c r="A12" s="13">
        <v>8</v>
      </c>
      <c r="B12" s="13" t="s">
        <v>72</v>
      </c>
      <c r="C12" s="13">
        <f t="shared" si="0"/>
        <v>154749.1776301584</v>
      </c>
      <c r="D12" s="13">
        <f t="shared" si="1"/>
        <v>143916.73519604732</v>
      </c>
      <c r="E12" s="13">
        <f t="shared" si="2"/>
        <v>57566.694078418928</v>
      </c>
      <c r="F12" s="13">
        <f t="shared" si="3"/>
        <v>86350.041117628396</v>
      </c>
      <c r="G12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2" s="13">
        <f>AnnualModelTable[[#This Row],[NOI]]-AnnualModelTable[[#This Row],[Debt Service]]</f>
        <v>29853.54798173716</v>
      </c>
      <c r="I12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2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29853.54798173716</v>
      </c>
      <c r="K12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29853.54798173716</v>
      </c>
      <c r="L12" s="13">
        <f>MAX(0,AnnualModelTable[[#This Row],[Cash Available Before Distributions]]-AnnualModelTable[[#This Row],[Waterfall Distributions]])</f>
        <v>0</v>
      </c>
      <c r="M12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685760.89365332504</v>
      </c>
      <c r="N12" s="13">
        <f>IF(AnnualModelTable[[#This Row],[Year]]&lt;StabilizationRefiYear,0,AnnualModelTable[[#This Row],[NOI]]*(1+NOIGrowth)/ExitCapRate)</f>
        <v>1270579.1764451035</v>
      </c>
    </row>
    <row r="13" spans="1:14" x14ac:dyDescent="0.25">
      <c r="A13" s="13">
        <v>9</v>
      </c>
      <c r="B13" s="13" t="s">
        <v>72</v>
      </c>
      <c r="C13" s="13">
        <f t="shared" si="0"/>
        <v>159391.65295906315</v>
      </c>
      <c r="D13" s="13">
        <f t="shared" si="1"/>
        <v>148234.23725192875</v>
      </c>
      <c r="E13" s="13">
        <f t="shared" si="2"/>
        <v>59293.694900771501</v>
      </c>
      <c r="F13" s="13">
        <f t="shared" si="3"/>
        <v>88940.542351157244</v>
      </c>
      <c r="G13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3" s="13">
        <f>AnnualModelTable[[#This Row],[NOI]]-AnnualModelTable[[#This Row],[Debt Service]]</f>
        <v>32444.049215266008</v>
      </c>
      <c r="I13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3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32444.049215266008</v>
      </c>
      <c r="K13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32444.049215266008</v>
      </c>
      <c r="L13" s="13">
        <f>MAX(0,AnnualModelTable[[#This Row],[Cash Available Before Distributions]]-AnnualModelTable[[#This Row],[Waterfall Distributions]])</f>
        <v>0</v>
      </c>
      <c r="M13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673477.18954821327</v>
      </c>
      <c r="N13" s="13">
        <f>IF(AnnualModelTable[[#This Row],[Year]]&lt;StabilizationRefiYear,0,AnnualModelTable[[#This Row],[NOI]]*(1+NOIGrowth)/ExitCapRate)</f>
        <v>1308696.5517384564</v>
      </c>
    </row>
    <row r="14" spans="1:14" x14ac:dyDescent="0.25">
      <c r="A14" s="13">
        <v>10</v>
      </c>
      <c r="B14" s="13" t="s">
        <v>73</v>
      </c>
      <c r="C14" s="13">
        <f t="shared" si="0"/>
        <v>164173.40254783502</v>
      </c>
      <c r="D14" s="13">
        <f t="shared" si="1"/>
        <v>152681.26436948657</v>
      </c>
      <c r="E14" s="13">
        <f t="shared" si="2"/>
        <v>61072.505747794632</v>
      </c>
      <c r="F14" s="13">
        <f t="shared" si="3"/>
        <v>91608.75862169193</v>
      </c>
      <c r="G1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4" s="13">
        <f>AnnualModelTable[[#This Row],[NOI]]-AnnualModelTable[[#This Row],[Debt Service]]</f>
        <v>35112.265485800694</v>
      </c>
      <c r="I14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1320998.2993247975</v>
      </c>
      <c r="J1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1356110.5648105983</v>
      </c>
      <c r="K14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1356110.5648105983</v>
      </c>
      <c r="L14" s="13">
        <f>MAX(0,AnnualModelTable[[#This Row],[Cash Available Before Distributions]]-AnnualModelTable[[#This Row],[Waterfall Distributions]])</f>
        <v>0</v>
      </c>
      <c r="M1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14" s="13">
        <f>IF(AnnualModelTable[[#This Row],[Year]]&lt;StabilizationRefiYear,0,AnnualModelTable[[#This Row],[NOI]]*(1+NOIGrowth)/ExitCapRate)</f>
        <v>1347957.4482906098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workbookViewId="0">
      <selection activeCell="B21" sqref="B21"/>
    </sheetView>
  </sheetViews>
  <sheetFormatPr defaultRowHeight="15" x14ac:dyDescent="0.25"/>
  <cols>
    <col min="1" max="1" width="12.7109375" style="6" customWidth="1"/>
    <col min="2" max="2" width="16" style="6" customWidth="1"/>
    <col min="3" max="3" width="20.42578125" style="6" customWidth="1"/>
    <col min="4" max="4" width="16.140625" style="6" customWidth="1"/>
    <col min="5" max="5" width="16.85546875" style="6" customWidth="1"/>
    <col min="6" max="6" width="15.28515625" style="6" customWidth="1"/>
    <col min="7" max="7" width="19.7109375" style="6" customWidth="1"/>
    <col min="8" max="8" width="19.85546875" style="6" customWidth="1"/>
    <col min="9" max="9" width="14.7109375" style="6" customWidth="1"/>
    <col min="10" max="10" width="12.42578125" style="6" customWidth="1"/>
    <col min="11" max="11" width="13.7109375" style="6" customWidth="1"/>
    <col min="12" max="12" width="15.140625" style="6" customWidth="1"/>
    <col min="13" max="13" width="19.5703125" style="6" customWidth="1"/>
    <col min="14" max="14" width="14.5703125" style="6" customWidth="1"/>
    <col min="15" max="15" width="12.28515625" style="6" customWidth="1"/>
    <col min="16" max="16" width="13.5703125" style="6" customWidth="1"/>
    <col min="17" max="17" width="14.85546875" style="6" customWidth="1"/>
    <col min="18" max="18" width="11.42578125" style="6" customWidth="1"/>
    <col min="19" max="19" width="12.85546875" style="6" customWidth="1"/>
    <col min="20" max="16384" width="9.140625" style="6"/>
  </cols>
  <sheetData>
    <row r="1" spans="1:19" ht="18.75" x14ac:dyDescent="0.3">
      <c r="A1" s="36" t="s">
        <v>74</v>
      </c>
      <c r="B1" s="37"/>
      <c r="C1" s="37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x14ac:dyDescent="0.25">
      <c r="A2" s="13"/>
      <c r="B2" s="13"/>
      <c r="C2" s="38" t="s">
        <v>280</v>
      </c>
      <c r="D2" s="39"/>
      <c r="E2" s="39"/>
      <c r="F2" s="39"/>
      <c r="G2" s="39"/>
      <c r="H2" s="39"/>
      <c r="I2" s="39"/>
      <c r="J2" s="25"/>
      <c r="K2" s="25"/>
      <c r="L2" s="40" t="s">
        <v>95</v>
      </c>
      <c r="M2" s="41"/>
      <c r="N2" s="41"/>
      <c r="O2" s="41"/>
      <c r="P2" s="41"/>
      <c r="Q2" s="49" t="s">
        <v>96</v>
      </c>
      <c r="R2" s="50"/>
      <c r="S2" s="50"/>
    </row>
    <row r="3" spans="1:19" s="23" customFormat="1" ht="30" x14ac:dyDescent="0.25">
      <c r="A3" s="28" t="s">
        <v>60</v>
      </c>
      <c r="B3" s="28" t="s">
        <v>75</v>
      </c>
      <c r="C3" s="29" t="s">
        <v>282</v>
      </c>
      <c r="D3" s="29" t="s">
        <v>283</v>
      </c>
      <c r="E3" s="29" t="s">
        <v>284</v>
      </c>
      <c r="F3" s="29" t="s">
        <v>285</v>
      </c>
      <c r="G3" s="29" t="s">
        <v>286</v>
      </c>
      <c r="H3" s="29" t="s">
        <v>287</v>
      </c>
      <c r="I3" s="29" t="s">
        <v>288</v>
      </c>
      <c r="J3" s="29" t="s">
        <v>289</v>
      </c>
      <c r="K3" s="29" t="s">
        <v>290</v>
      </c>
      <c r="L3" s="28" t="s">
        <v>291</v>
      </c>
      <c r="M3" s="28" t="s">
        <v>292</v>
      </c>
      <c r="N3" s="28" t="s">
        <v>293</v>
      </c>
      <c r="O3" s="28" t="s">
        <v>294</v>
      </c>
      <c r="P3" s="28" t="s">
        <v>295</v>
      </c>
      <c r="Q3" s="30" t="s">
        <v>302</v>
      </c>
      <c r="R3" s="30" t="s">
        <v>303</v>
      </c>
      <c r="S3" s="30" t="s">
        <v>296</v>
      </c>
    </row>
    <row r="4" spans="1:19" x14ac:dyDescent="0.25">
      <c r="A4" s="13">
        <v>0</v>
      </c>
      <c r="B4" s="13">
        <f>INDEX(AnnualModelTable[Cash Available Before Distributions],MATCH(WaterfallTable[[#This Row],[Year]],AnnualModelTable[Year],0))</f>
        <v>150000</v>
      </c>
      <c r="C4" s="13">
        <f>IF(WaterfallTable[[#This Row],[Year]]=0,0,INDEX(WaterfallTable[A End Accrued Pref],MATCH(WaterfallTable[[#This Row],[Year]]-1,WaterfallTable[Year],0)))</f>
        <v>0</v>
      </c>
      <c r="D4" s="13">
        <f>WaterfallTable[[#This Row],[A Beg. Capital]]*ClassAPreferredReturn</f>
        <v>24000</v>
      </c>
      <c r="E4" s="13">
        <f>IF(WaterfallTable[[#This Row],[Year]]=0,0,MIN(WaterfallTable[[#This Row],[Cash Available]],WaterfallTable[[#This Row],[A Beg. Pref Accrued]]+WaterfallTable[[#This Row],[A Pref Accrued]]))</f>
        <v>0</v>
      </c>
      <c r="F4" s="13">
        <f>IF(WaterfallTable[[#This Row],[Year]]=0,ClassACapital,INDEX(WaterfallTable[A End Capital],MATCH(WaterfallTable[[#This Row],[Year]]-1,WaterfallTable[Year],0)))</f>
        <v>300000</v>
      </c>
      <c r="G4" s="13">
        <f>IF(WaterfallTable[[#This Row],[Year]]=0,0,MIN(MAX(0,WaterfallTable[[#This Row],[Cash Available]]-WaterfallTable[[#This Row],[A Pref Paid]]),WaterfallTable[[#This Row],[A Beg. Capital]]))</f>
        <v>0</v>
      </c>
      <c r="H4" s="13">
        <f>WaterfallTable[[#This Row],[A Beg. Pref Accrued]]+WaterfallTable[[#This Row],[A Pref Accrued]]-WaterfallTable[[#This Row],[A Pref Paid]]</f>
        <v>24000</v>
      </c>
      <c r="I4" s="13">
        <f>WaterfallTable[[#This Row],[A Beg. Capital]]-WaterfallTable[[#This Row],[A Capital Returned]]</f>
        <v>300000</v>
      </c>
      <c r="J4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4" s="13">
        <f>WaterfallTable[[#This Row],[A Pref Paid]]+WaterfallTable[[#This Row],[A Capital Returned]]+WaterfallTable[[#This Row],[A Residual]]</f>
        <v>0</v>
      </c>
      <c r="L4" s="13">
        <f>IF(WaterfallTable[[#This Row],[Year]]=0,ClassBCapital,INDEX(WaterfallTable[B End Capital],MATCH(WaterfallTable[[#This Row],[Year]]-1,WaterfallTable[Year],0)))</f>
        <v>600000</v>
      </c>
      <c r="M4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0</v>
      </c>
      <c r="N4" s="13">
        <f>WaterfallTable[[#This Row],[B Beg. Capital]]-WaterfallTable[[#This Row],[B Capital Returned]]</f>
        <v>600000</v>
      </c>
      <c r="O4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4" s="13">
        <f>WaterfallTable[[#This Row],[B Capital Returned]]+WaterfallTable[[#This Row],[B Residual]]</f>
        <v>0</v>
      </c>
      <c r="Q4" s="13">
        <f>IF(WaterfallTable[[#This Row],[Year]]=0,SponsorPropertyPayment,0)</f>
        <v>150000</v>
      </c>
      <c r="R4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4" s="13">
        <f>WaterfallTable[[#This Row],[Property Payment]]+WaterfallTable[[#This Row],[Residual]]</f>
        <v>150000</v>
      </c>
    </row>
    <row r="5" spans="1:19" x14ac:dyDescent="0.25">
      <c r="A5" s="13">
        <v>1</v>
      </c>
      <c r="B5" s="13">
        <f>INDEX(AnnualModelTable[Cash Available Before Distributions],MATCH(WaterfallTable[[#This Row],[Year]],AnnualModelTable[Year],0))</f>
        <v>25068</v>
      </c>
      <c r="C5" s="13">
        <f>IF(WaterfallTable[[#This Row],[Year]]=0,0,INDEX(WaterfallTable[A End Accrued Pref],MATCH(WaterfallTable[[#This Row],[Year]]-1,WaterfallTable[Year],0)))</f>
        <v>24000</v>
      </c>
      <c r="D5" s="13">
        <f>WaterfallTable[[#This Row],[A Beg. Capital]]*ClassAPreferredReturn</f>
        <v>24000</v>
      </c>
      <c r="E5" s="13">
        <f>IF(WaterfallTable[[#This Row],[Year]]=0,0,MIN(WaterfallTable[[#This Row],[Cash Available]],WaterfallTable[[#This Row],[A Beg. Pref Accrued]]+WaterfallTable[[#This Row],[A Pref Accrued]]))</f>
        <v>25068</v>
      </c>
      <c r="F5" s="13">
        <f>IF(WaterfallTable[[#This Row],[Year]]=0,ClassACapital,INDEX(WaterfallTable[A End Capital],MATCH(WaterfallTable[[#This Row],[Year]]-1,WaterfallTable[Year],0)))</f>
        <v>300000</v>
      </c>
      <c r="G5" s="13">
        <f>IF(WaterfallTable[[#This Row],[Year]]=0,0,MIN(MAX(0,WaterfallTable[[#This Row],[Cash Available]]-WaterfallTable[[#This Row],[A Pref Paid]]),WaterfallTable[[#This Row],[A Beg. Capital]]))</f>
        <v>0</v>
      </c>
      <c r="H5" s="13">
        <f>WaterfallTable[[#This Row],[A Beg. Pref Accrued]]+WaterfallTable[[#This Row],[A Pref Accrued]]-WaterfallTable[[#This Row],[A Pref Paid]]</f>
        <v>22932</v>
      </c>
      <c r="I5" s="13">
        <f>WaterfallTable[[#This Row],[A Beg. Capital]]-WaterfallTable[[#This Row],[A Capital Returned]]</f>
        <v>300000</v>
      </c>
      <c r="J5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5" s="13">
        <f>WaterfallTable[[#This Row],[A Pref Paid]]+WaterfallTable[[#This Row],[A Capital Returned]]+WaterfallTable[[#This Row],[A Residual]]</f>
        <v>25068</v>
      </c>
      <c r="L5" s="13">
        <f>IF(WaterfallTable[[#This Row],[Year]]=0,ClassBCapital,INDEX(WaterfallTable[B End Capital],MATCH(WaterfallTable[[#This Row],[Year]]-1,WaterfallTable[Year],0)))</f>
        <v>600000</v>
      </c>
      <c r="M5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0</v>
      </c>
      <c r="N5" s="13">
        <f>WaterfallTable[[#This Row],[B Beg. Capital]]-WaterfallTable[[#This Row],[B Capital Returned]]</f>
        <v>600000</v>
      </c>
      <c r="O5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5" s="13">
        <f>WaterfallTable[[#This Row],[B Capital Returned]]+WaterfallTable[[#This Row],[B Residual]]</f>
        <v>0</v>
      </c>
      <c r="Q5" s="13">
        <f>IF(WaterfallTable[[#This Row],[Year]]=0,SponsorPropertyPayment,0)</f>
        <v>0</v>
      </c>
      <c r="R5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5" s="13">
        <f>WaterfallTable[[#This Row],[Property Payment]]+WaterfallTable[[#This Row],[Residual]]</f>
        <v>0</v>
      </c>
    </row>
    <row r="6" spans="1:19" x14ac:dyDescent="0.25">
      <c r="A6" s="13">
        <v>2</v>
      </c>
      <c r="B6" s="13">
        <f>INDEX(AnnualModelTable[Cash Available Before Distributions],MATCH(WaterfallTable[[#This Row],[Year]],AnnualModelTable[Year],0))</f>
        <v>566683.34686410858</v>
      </c>
      <c r="C6" s="13">
        <f>IF(WaterfallTable[[#This Row],[Year]]=0,0,INDEX(WaterfallTable[A End Accrued Pref],MATCH(WaterfallTable[[#This Row],[Year]]-1,WaterfallTable[Year],0)))</f>
        <v>22932</v>
      </c>
      <c r="D6" s="13">
        <f>WaterfallTable[[#This Row],[A Beg. Capital]]*ClassAPreferredReturn</f>
        <v>24000</v>
      </c>
      <c r="E6" s="13">
        <f>IF(WaterfallTable[[#This Row],[Year]]=0,0,MIN(WaterfallTable[[#This Row],[Cash Available]],WaterfallTable[[#This Row],[A Beg. Pref Accrued]]+WaterfallTable[[#This Row],[A Pref Accrued]]))</f>
        <v>46932</v>
      </c>
      <c r="F6" s="13">
        <f>IF(WaterfallTable[[#This Row],[Year]]=0,ClassACapital,INDEX(WaterfallTable[A End Capital],MATCH(WaterfallTable[[#This Row],[Year]]-1,WaterfallTable[Year],0)))</f>
        <v>300000</v>
      </c>
      <c r="G6" s="13">
        <f>IF(WaterfallTable[[#This Row],[Year]]=0,0,MIN(MAX(0,WaterfallTable[[#This Row],[Cash Available]]-WaterfallTable[[#This Row],[A Pref Paid]]),WaterfallTable[[#This Row],[A Beg. Capital]]))</f>
        <v>300000</v>
      </c>
      <c r="H6" s="13">
        <f>WaterfallTable[[#This Row],[A Beg. Pref Accrued]]+WaterfallTable[[#This Row],[A Pref Accrued]]-WaterfallTable[[#This Row],[A Pref Paid]]</f>
        <v>0</v>
      </c>
      <c r="I6" s="13">
        <f>WaterfallTable[[#This Row],[A Beg. Capital]]-WaterfallTable[[#This Row],[A Capital Returned]]</f>
        <v>0</v>
      </c>
      <c r="J6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6" s="13">
        <f>WaterfallTable[[#This Row],[A Pref Paid]]+WaterfallTable[[#This Row],[A Capital Returned]]+WaterfallTable[[#This Row],[A Residual]]</f>
        <v>346932</v>
      </c>
      <c r="L6" s="13">
        <f>IF(WaterfallTable[[#This Row],[Year]]=0,ClassBCapital,INDEX(WaterfallTable[B End Capital],MATCH(WaterfallTable[[#This Row],[Year]]-1,WaterfallTable[Year],0)))</f>
        <v>600000</v>
      </c>
      <c r="M6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219751.34686410858</v>
      </c>
      <c r="N6" s="13">
        <f>WaterfallTable[[#This Row],[B Beg. Capital]]-WaterfallTable[[#This Row],[B Capital Returned]]</f>
        <v>380248.65313589142</v>
      </c>
      <c r="O6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6" s="13">
        <f>WaterfallTable[[#This Row],[B Capital Returned]]+WaterfallTable[[#This Row],[B Residual]]</f>
        <v>219751.34686410858</v>
      </c>
      <c r="Q6" s="13">
        <f>IF(WaterfallTable[[#This Row],[Year]]=0,SponsorPropertyPayment,0)</f>
        <v>0</v>
      </c>
      <c r="R6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6" s="13">
        <f>WaterfallTable[[#This Row],[Property Payment]]+WaterfallTable[[#This Row],[Residual]]</f>
        <v>0</v>
      </c>
    </row>
    <row r="7" spans="1:19" x14ac:dyDescent="0.25">
      <c r="A7" s="13">
        <v>3</v>
      </c>
      <c r="B7" s="13">
        <f>INDEX(AnnualModelTable[Cash Available Before Distributions],MATCH(WaterfallTable[[#This Row],[Year]],AnnualModelTable[Year],0))</f>
        <v>17989.810864108767</v>
      </c>
      <c r="C7" s="13">
        <f>IF(WaterfallTable[[#This Row],[Year]]=0,0,INDEX(WaterfallTable[A End Accrued Pref],MATCH(WaterfallTable[[#This Row],[Year]]-1,WaterfallTable[Year],0)))</f>
        <v>0</v>
      </c>
      <c r="D7" s="13">
        <f>WaterfallTable[[#This Row],[A Beg. Capital]]*ClassAPreferredReturn</f>
        <v>0</v>
      </c>
      <c r="E7" s="13">
        <f>IF(WaterfallTable[[#This Row],[Year]]=0,0,MIN(WaterfallTable[[#This Row],[Cash Available]],WaterfallTable[[#This Row],[A Beg. Pref Accrued]]+WaterfallTable[[#This Row],[A Pref Accrued]]))</f>
        <v>0</v>
      </c>
      <c r="F7" s="13">
        <f>IF(WaterfallTable[[#This Row],[Year]]=0,ClassACapital,INDEX(WaterfallTable[A End Capital],MATCH(WaterfallTable[[#This Row],[Year]]-1,WaterfallTable[Year],0)))</f>
        <v>0</v>
      </c>
      <c r="G7" s="13">
        <f>IF(WaterfallTable[[#This Row],[Year]]=0,0,MIN(MAX(0,WaterfallTable[[#This Row],[Cash Available]]-WaterfallTable[[#This Row],[A Pref Paid]]),WaterfallTable[[#This Row],[A Beg. Capital]]))</f>
        <v>0</v>
      </c>
      <c r="H7" s="13">
        <f>WaterfallTable[[#This Row],[A Beg. Pref Accrued]]+WaterfallTable[[#This Row],[A Pref Accrued]]-WaterfallTable[[#This Row],[A Pref Paid]]</f>
        <v>0</v>
      </c>
      <c r="I7" s="13">
        <f>WaterfallTable[[#This Row],[A Beg. Capital]]-WaterfallTable[[#This Row],[A Capital Returned]]</f>
        <v>0</v>
      </c>
      <c r="J7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7" s="13">
        <f>WaterfallTable[[#This Row],[A Pref Paid]]+WaterfallTable[[#This Row],[A Capital Returned]]+WaterfallTable[[#This Row],[A Residual]]</f>
        <v>0</v>
      </c>
      <c r="L7" s="13">
        <f>IF(WaterfallTable[[#This Row],[Year]]=0,ClassBCapital,INDEX(WaterfallTable[B End Capital],MATCH(WaterfallTable[[#This Row],[Year]]-1,WaterfallTable[Year],0)))</f>
        <v>380248.65313589142</v>
      </c>
      <c r="M7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17989.810864108767</v>
      </c>
      <c r="N7" s="13">
        <f>WaterfallTable[[#This Row],[B Beg. Capital]]-WaterfallTable[[#This Row],[B Capital Returned]]</f>
        <v>362258.84227178263</v>
      </c>
      <c r="O7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7" s="13">
        <f>WaterfallTable[[#This Row],[B Capital Returned]]+WaterfallTable[[#This Row],[B Residual]]</f>
        <v>17989.810864108767</v>
      </c>
      <c r="Q7" s="13">
        <f>IF(WaterfallTable[[#This Row],[Year]]=0,SponsorPropertyPayment,0)</f>
        <v>0</v>
      </c>
      <c r="R7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7" s="13">
        <f>WaterfallTable[[#This Row],[Property Payment]]+WaterfallTable[[#This Row],[Residual]]</f>
        <v>0</v>
      </c>
    </row>
    <row r="8" spans="1:19" x14ac:dyDescent="0.25">
      <c r="A8" s="13">
        <v>4</v>
      </c>
      <c r="B8" s="13">
        <f>INDEX(AnnualModelTable[Cash Available Before Distributions],MATCH(WaterfallTable[[#This Row],[Year]],AnnualModelTable[Year],0))</f>
        <v>20224.399984108757</v>
      </c>
      <c r="C8" s="13">
        <f>IF(WaterfallTable[[#This Row],[Year]]=0,0,INDEX(WaterfallTable[A End Accrued Pref],MATCH(WaterfallTable[[#This Row],[Year]]-1,WaterfallTable[Year],0)))</f>
        <v>0</v>
      </c>
      <c r="D8" s="13">
        <f>WaterfallTable[[#This Row],[A Beg. Capital]]*ClassAPreferredReturn</f>
        <v>0</v>
      </c>
      <c r="E8" s="13">
        <f>IF(WaterfallTable[[#This Row],[Year]]=0,0,MIN(WaterfallTable[[#This Row],[Cash Available]],WaterfallTable[[#This Row],[A Beg. Pref Accrued]]+WaterfallTable[[#This Row],[A Pref Accrued]]))</f>
        <v>0</v>
      </c>
      <c r="F8" s="13">
        <f>IF(WaterfallTable[[#This Row],[Year]]=0,ClassACapital,INDEX(WaterfallTable[A End Capital],MATCH(WaterfallTable[[#This Row],[Year]]-1,WaterfallTable[Year],0)))</f>
        <v>0</v>
      </c>
      <c r="G8" s="13">
        <f>IF(WaterfallTable[[#This Row],[Year]]=0,0,MIN(MAX(0,WaterfallTable[[#This Row],[Cash Available]]-WaterfallTable[[#This Row],[A Pref Paid]]),WaterfallTable[[#This Row],[A Beg. Capital]]))</f>
        <v>0</v>
      </c>
      <c r="H8" s="13">
        <f>WaterfallTable[[#This Row],[A Beg. Pref Accrued]]+WaterfallTable[[#This Row],[A Pref Accrued]]-WaterfallTable[[#This Row],[A Pref Paid]]</f>
        <v>0</v>
      </c>
      <c r="I8" s="13">
        <f>WaterfallTable[[#This Row],[A Beg. Capital]]-WaterfallTable[[#This Row],[A Capital Returned]]</f>
        <v>0</v>
      </c>
      <c r="J8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8" s="13">
        <f>WaterfallTable[[#This Row],[A Pref Paid]]+WaterfallTable[[#This Row],[A Capital Returned]]+WaterfallTable[[#This Row],[A Residual]]</f>
        <v>0</v>
      </c>
      <c r="L8" s="13">
        <f>IF(WaterfallTable[[#This Row],[Year]]=0,ClassBCapital,INDEX(WaterfallTable[B End Capital],MATCH(WaterfallTable[[#This Row],[Year]]-1,WaterfallTable[Year],0)))</f>
        <v>362258.84227178263</v>
      </c>
      <c r="M8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20224.399984108757</v>
      </c>
      <c r="N8" s="13">
        <f>WaterfallTable[[#This Row],[B Beg. Capital]]-WaterfallTable[[#This Row],[B Capital Returned]]</f>
        <v>342034.44228767388</v>
      </c>
      <c r="O8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8" s="13">
        <f>WaterfallTable[[#This Row],[B Capital Returned]]+WaterfallTable[[#This Row],[B Residual]]</f>
        <v>20224.399984108757</v>
      </c>
      <c r="Q8" s="13">
        <f>IF(WaterfallTable[[#This Row],[Year]]=0,SponsorPropertyPayment,0)</f>
        <v>0</v>
      </c>
      <c r="R8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8" s="13">
        <f>WaterfallTable[[#This Row],[Property Payment]]+WaterfallTable[[#This Row],[Residual]]</f>
        <v>0</v>
      </c>
    </row>
    <row r="9" spans="1:19" x14ac:dyDescent="0.25">
      <c r="A9" s="13">
        <v>5</v>
      </c>
      <c r="B9" s="13">
        <f>INDEX(AnnualModelTable[Cash Available Before Distributions],MATCH(WaterfallTable[[#This Row],[Year]],AnnualModelTable[Year],0))</f>
        <v>22526.026777708765</v>
      </c>
      <c r="C9" s="13">
        <f>IF(WaterfallTable[[#This Row],[Year]]=0,0,INDEX(WaterfallTable[A End Accrued Pref],MATCH(WaterfallTable[[#This Row],[Year]]-1,WaterfallTable[Year],0)))</f>
        <v>0</v>
      </c>
      <c r="D9" s="13">
        <f>WaterfallTable[[#This Row],[A Beg. Capital]]*ClassAPreferredReturn</f>
        <v>0</v>
      </c>
      <c r="E9" s="13">
        <f>IF(WaterfallTable[[#This Row],[Year]]=0,0,MIN(WaterfallTable[[#This Row],[Cash Available]],WaterfallTable[[#This Row],[A Beg. Pref Accrued]]+WaterfallTable[[#This Row],[A Pref Accrued]]))</f>
        <v>0</v>
      </c>
      <c r="F9" s="13">
        <f>IF(WaterfallTable[[#This Row],[Year]]=0,ClassACapital,INDEX(WaterfallTable[A End Capital],MATCH(WaterfallTable[[#This Row],[Year]]-1,WaterfallTable[Year],0)))</f>
        <v>0</v>
      </c>
      <c r="G9" s="13">
        <f>IF(WaterfallTable[[#This Row],[Year]]=0,0,MIN(MAX(0,WaterfallTable[[#This Row],[Cash Available]]-WaterfallTable[[#This Row],[A Pref Paid]]),WaterfallTable[[#This Row],[A Beg. Capital]]))</f>
        <v>0</v>
      </c>
      <c r="H9" s="13">
        <f>WaterfallTable[[#This Row],[A Beg. Pref Accrued]]+WaterfallTable[[#This Row],[A Pref Accrued]]-WaterfallTable[[#This Row],[A Pref Paid]]</f>
        <v>0</v>
      </c>
      <c r="I9" s="13">
        <f>WaterfallTable[[#This Row],[A Beg. Capital]]-WaterfallTable[[#This Row],[A Capital Returned]]</f>
        <v>0</v>
      </c>
      <c r="J9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9" s="13">
        <f>WaterfallTable[[#This Row],[A Pref Paid]]+WaterfallTable[[#This Row],[A Capital Returned]]+WaterfallTable[[#This Row],[A Residual]]</f>
        <v>0</v>
      </c>
      <c r="L9" s="13">
        <f>IF(WaterfallTable[[#This Row],[Year]]=0,ClassBCapital,INDEX(WaterfallTable[B End Capital],MATCH(WaterfallTable[[#This Row],[Year]]-1,WaterfallTable[Year],0)))</f>
        <v>342034.44228767388</v>
      </c>
      <c r="M9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22526.026777708765</v>
      </c>
      <c r="N9" s="13">
        <f>WaterfallTable[[#This Row],[B Beg. Capital]]-WaterfallTable[[#This Row],[B Capital Returned]]</f>
        <v>319508.4155099651</v>
      </c>
      <c r="O9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9" s="13">
        <f>WaterfallTable[[#This Row],[B Capital Returned]]+WaterfallTable[[#This Row],[B Residual]]</f>
        <v>22526.026777708765</v>
      </c>
      <c r="Q9" s="13">
        <f>IF(WaterfallTable[[#This Row],[Year]]=0,SponsorPropertyPayment,0)</f>
        <v>0</v>
      </c>
      <c r="R9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9" s="13">
        <f>WaterfallTable[[#This Row],[Property Payment]]+WaterfallTable[[#This Row],[Residual]]</f>
        <v>0</v>
      </c>
    </row>
    <row r="10" spans="1:19" x14ac:dyDescent="0.25">
      <c r="A10" s="13">
        <v>6</v>
      </c>
      <c r="B10" s="13">
        <f>INDEX(AnnualModelTable[Cash Available Before Distributions],MATCH(WaterfallTable[[#This Row],[Year]],AnnualModelTable[Year],0))</f>
        <v>24896.702375116765</v>
      </c>
      <c r="C10" s="13">
        <f>IF(WaterfallTable[[#This Row],[Year]]=0,0,INDEX(WaterfallTable[A End Accrued Pref],MATCH(WaterfallTable[[#This Row],[Year]]-1,WaterfallTable[Year],0)))</f>
        <v>0</v>
      </c>
      <c r="D10" s="13">
        <f>WaterfallTable[[#This Row],[A Beg. Capital]]*ClassAPreferredReturn</f>
        <v>0</v>
      </c>
      <c r="E10" s="13">
        <f>IF(WaterfallTable[[#This Row],[Year]]=0,0,MIN(WaterfallTable[[#This Row],[Cash Available]],WaterfallTable[[#This Row],[A Beg. Pref Accrued]]+WaterfallTable[[#This Row],[A Pref Accrued]]))</f>
        <v>0</v>
      </c>
      <c r="F10" s="13">
        <f>IF(WaterfallTable[[#This Row],[Year]]=0,ClassACapital,INDEX(WaterfallTable[A End Capital],MATCH(WaterfallTable[[#This Row],[Year]]-1,WaterfallTable[Year],0)))</f>
        <v>0</v>
      </c>
      <c r="G10" s="13">
        <f>IF(WaterfallTable[[#This Row],[Year]]=0,0,MIN(MAX(0,WaterfallTable[[#This Row],[Cash Available]]-WaterfallTable[[#This Row],[A Pref Paid]]),WaterfallTable[[#This Row],[A Beg. Capital]]))</f>
        <v>0</v>
      </c>
      <c r="H10" s="13">
        <f>WaterfallTable[[#This Row],[A Beg. Pref Accrued]]+WaterfallTable[[#This Row],[A Pref Accrued]]-WaterfallTable[[#This Row],[A Pref Paid]]</f>
        <v>0</v>
      </c>
      <c r="I10" s="13">
        <f>WaterfallTable[[#This Row],[A Beg. Capital]]-WaterfallTable[[#This Row],[A Capital Returned]]</f>
        <v>0</v>
      </c>
      <c r="J10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0" s="13">
        <f>WaterfallTable[[#This Row],[A Pref Paid]]+WaterfallTable[[#This Row],[A Capital Returned]]+WaterfallTable[[#This Row],[A Residual]]</f>
        <v>0</v>
      </c>
      <c r="L10" s="13">
        <f>IF(WaterfallTable[[#This Row],[Year]]=0,ClassBCapital,INDEX(WaterfallTable[B End Capital],MATCH(WaterfallTable[[#This Row],[Year]]-1,WaterfallTable[Year],0)))</f>
        <v>319508.4155099651</v>
      </c>
      <c r="M10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24896.702375116765</v>
      </c>
      <c r="N10" s="13">
        <f>WaterfallTable[[#This Row],[B Beg. Capital]]-WaterfallTable[[#This Row],[B Capital Returned]]</f>
        <v>294611.71313484834</v>
      </c>
      <c r="O10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0" s="13">
        <f>WaterfallTable[[#This Row],[B Capital Returned]]+WaterfallTable[[#This Row],[B Residual]]</f>
        <v>24896.702375116765</v>
      </c>
      <c r="Q10" s="13">
        <f>IF(WaterfallTable[[#This Row],[Year]]=0,SponsorPropertyPayment,0)</f>
        <v>0</v>
      </c>
      <c r="R10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10" s="13">
        <f>WaterfallTable[[#This Row],[Property Payment]]+WaterfallTable[[#This Row],[Residual]]</f>
        <v>0</v>
      </c>
    </row>
    <row r="11" spans="1:19" x14ac:dyDescent="0.25">
      <c r="A11" s="13">
        <v>7</v>
      </c>
      <c r="B11" s="13">
        <f>INDEX(AnnualModelTable[Cash Available Before Distributions],MATCH(WaterfallTable[[#This Row],[Year]],AnnualModelTable[Year],0))</f>
        <v>27338.498240446999</v>
      </c>
      <c r="C11" s="13">
        <f>IF(WaterfallTable[[#This Row],[Year]]=0,0,INDEX(WaterfallTable[A End Accrued Pref],MATCH(WaterfallTable[[#This Row],[Year]]-1,WaterfallTable[Year],0)))</f>
        <v>0</v>
      </c>
      <c r="D11" s="13">
        <f>WaterfallTable[[#This Row],[A Beg. Capital]]*ClassAPreferredReturn</f>
        <v>0</v>
      </c>
      <c r="E11" s="13">
        <f>IF(WaterfallTable[[#This Row],[Year]]=0,0,MIN(WaterfallTable[[#This Row],[Cash Available]],WaterfallTable[[#This Row],[A Beg. Pref Accrued]]+WaterfallTable[[#This Row],[A Pref Accrued]]))</f>
        <v>0</v>
      </c>
      <c r="F11" s="13">
        <f>IF(WaterfallTable[[#This Row],[Year]]=0,ClassACapital,INDEX(WaterfallTable[A End Capital],MATCH(WaterfallTable[[#This Row],[Year]]-1,WaterfallTable[Year],0)))</f>
        <v>0</v>
      </c>
      <c r="G11" s="13">
        <f>IF(WaterfallTable[[#This Row],[Year]]=0,0,MIN(MAX(0,WaterfallTable[[#This Row],[Cash Available]]-WaterfallTable[[#This Row],[A Pref Paid]]),WaterfallTable[[#This Row],[A Beg. Capital]]))</f>
        <v>0</v>
      </c>
      <c r="H11" s="13">
        <f>WaterfallTable[[#This Row],[A Beg. Pref Accrued]]+WaterfallTable[[#This Row],[A Pref Accrued]]-WaterfallTable[[#This Row],[A Pref Paid]]</f>
        <v>0</v>
      </c>
      <c r="I11" s="13">
        <f>WaterfallTable[[#This Row],[A Beg. Capital]]-WaterfallTable[[#This Row],[A Capital Returned]]</f>
        <v>0</v>
      </c>
      <c r="J11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1" s="13">
        <f>WaterfallTable[[#This Row],[A Pref Paid]]+WaterfallTable[[#This Row],[A Capital Returned]]+WaterfallTable[[#This Row],[A Residual]]</f>
        <v>0</v>
      </c>
      <c r="L11" s="13">
        <f>IF(WaterfallTable[[#This Row],[Year]]=0,ClassBCapital,INDEX(WaterfallTable[B End Capital],MATCH(WaterfallTable[[#This Row],[Year]]-1,WaterfallTable[Year],0)))</f>
        <v>294611.71313484834</v>
      </c>
      <c r="M11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27338.498240446999</v>
      </c>
      <c r="N11" s="13">
        <f>WaterfallTable[[#This Row],[B Beg. Capital]]-WaterfallTable[[#This Row],[B Capital Returned]]</f>
        <v>267273.21489440132</v>
      </c>
      <c r="O11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1" s="13">
        <f>WaterfallTable[[#This Row],[B Capital Returned]]+WaterfallTable[[#This Row],[B Residual]]</f>
        <v>27338.498240446999</v>
      </c>
      <c r="Q11" s="13">
        <f>IF(WaterfallTable[[#This Row],[Year]]=0,SponsorPropertyPayment,0)</f>
        <v>0</v>
      </c>
      <c r="R11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11" s="13">
        <f>WaterfallTable[[#This Row],[Property Payment]]+WaterfallTable[[#This Row],[Residual]]</f>
        <v>0</v>
      </c>
    </row>
    <row r="12" spans="1:19" x14ac:dyDescent="0.25">
      <c r="A12" s="13">
        <v>8</v>
      </c>
      <c r="B12" s="13">
        <f>INDEX(AnnualModelTable[Cash Available Before Distributions],MATCH(WaterfallTable[[#This Row],[Year]],AnnualModelTable[Year],0))</f>
        <v>29853.54798173716</v>
      </c>
      <c r="C12" s="13">
        <f>IF(WaterfallTable[[#This Row],[Year]]=0,0,INDEX(WaterfallTable[A End Accrued Pref],MATCH(WaterfallTable[[#This Row],[Year]]-1,WaterfallTable[Year],0)))</f>
        <v>0</v>
      </c>
      <c r="D12" s="13">
        <f>WaterfallTable[[#This Row],[A Beg. Capital]]*ClassAPreferredReturn</f>
        <v>0</v>
      </c>
      <c r="E12" s="13">
        <f>IF(WaterfallTable[[#This Row],[Year]]=0,0,MIN(WaterfallTable[[#This Row],[Cash Available]],WaterfallTable[[#This Row],[A Beg. Pref Accrued]]+WaterfallTable[[#This Row],[A Pref Accrued]]))</f>
        <v>0</v>
      </c>
      <c r="F12" s="13">
        <f>IF(WaterfallTable[[#This Row],[Year]]=0,ClassACapital,INDEX(WaterfallTable[A End Capital],MATCH(WaterfallTable[[#This Row],[Year]]-1,WaterfallTable[Year],0)))</f>
        <v>0</v>
      </c>
      <c r="G12" s="13">
        <f>IF(WaterfallTable[[#This Row],[Year]]=0,0,MIN(MAX(0,WaterfallTable[[#This Row],[Cash Available]]-WaterfallTable[[#This Row],[A Pref Paid]]),WaterfallTable[[#This Row],[A Beg. Capital]]))</f>
        <v>0</v>
      </c>
      <c r="H12" s="13">
        <f>WaterfallTable[[#This Row],[A Beg. Pref Accrued]]+WaterfallTable[[#This Row],[A Pref Accrued]]-WaterfallTable[[#This Row],[A Pref Paid]]</f>
        <v>0</v>
      </c>
      <c r="I12" s="13">
        <f>WaterfallTable[[#This Row],[A Beg. Capital]]-WaterfallTable[[#This Row],[A Capital Returned]]</f>
        <v>0</v>
      </c>
      <c r="J12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2" s="13">
        <f>WaterfallTable[[#This Row],[A Pref Paid]]+WaterfallTable[[#This Row],[A Capital Returned]]+WaterfallTable[[#This Row],[A Residual]]</f>
        <v>0</v>
      </c>
      <c r="L12" s="13">
        <f>IF(WaterfallTable[[#This Row],[Year]]=0,ClassBCapital,INDEX(WaterfallTable[B End Capital],MATCH(WaterfallTable[[#This Row],[Year]]-1,WaterfallTable[Year],0)))</f>
        <v>267273.21489440132</v>
      </c>
      <c r="M12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29853.54798173716</v>
      </c>
      <c r="N12" s="13">
        <f>WaterfallTable[[#This Row],[B Beg. Capital]]-WaterfallTable[[#This Row],[B Capital Returned]]</f>
        <v>237419.66691266416</v>
      </c>
      <c r="O12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2" s="13">
        <f>WaterfallTable[[#This Row],[B Capital Returned]]+WaterfallTable[[#This Row],[B Residual]]</f>
        <v>29853.54798173716</v>
      </c>
      <c r="Q12" s="13">
        <f>IF(WaterfallTable[[#This Row],[Year]]=0,SponsorPropertyPayment,0)</f>
        <v>0</v>
      </c>
      <c r="R12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12" s="13">
        <f>WaterfallTable[[#This Row],[Property Payment]]+WaterfallTable[[#This Row],[Residual]]</f>
        <v>0</v>
      </c>
    </row>
    <row r="13" spans="1:19" x14ac:dyDescent="0.25">
      <c r="A13" s="13">
        <v>9</v>
      </c>
      <c r="B13" s="13">
        <f>INDEX(AnnualModelTable[Cash Available Before Distributions],MATCH(WaterfallTable[[#This Row],[Year]],AnnualModelTable[Year],0))</f>
        <v>32444.049215266008</v>
      </c>
      <c r="C13" s="13">
        <f>IF(WaterfallTable[[#This Row],[Year]]=0,0,INDEX(WaterfallTable[A End Accrued Pref],MATCH(WaterfallTable[[#This Row],[Year]]-1,WaterfallTable[Year],0)))</f>
        <v>0</v>
      </c>
      <c r="D13" s="13">
        <f>WaterfallTable[[#This Row],[A Beg. Capital]]*ClassAPreferredReturn</f>
        <v>0</v>
      </c>
      <c r="E13" s="13">
        <f>IF(WaterfallTable[[#This Row],[Year]]=0,0,MIN(WaterfallTable[[#This Row],[Cash Available]],WaterfallTable[[#This Row],[A Beg. Pref Accrued]]+WaterfallTable[[#This Row],[A Pref Accrued]]))</f>
        <v>0</v>
      </c>
      <c r="F13" s="13">
        <f>IF(WaterfallTable[[#This Row],[Year]]=0,ClassACapital,INDEX(WaterfallTable[A End Capital],MATCH(WaterfallTable[[#This Row],[Year]]-1,WaterfallTable[Year],0)))</f>
        <v>0</v>
      </c>
      <c r="G13" s="13">
        <f>IF(WaterfallTable[[#This Row],[Year]]=0,0,MIN(MAX(0,WaterfallTable[[#This Row],[Cash Available]]-WaterfallTable[[#This Row],[A Pref Paid]]),WaterfallTable[[#This Row],[A Beg. Capital]]))</f>
        <v>0</v>
      </c>
      <c r="H13" s="13">
        <f>WaterfallTable[[#This Row],[A Beg. Pref Accrued]]+WaterfallTable[[#This Row],[A Pref Accrued]]-WaterfallTable[[#This Row],[A Pref Paid]]</f>
        <v>0</v>
      </c>
      <c r="I13" s="13">
        <f>WaterfallTable[[#This Row],[A Beg. Capital]]-WaterfallTable[[#This Row],[A Capital Returned]]</f>
        <v>0</v>
      </c>
      <c r="J13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3" s="13">
        <f>WaterfallTable[[#This Row],[A Pref Paid]]+WaterfallTable[[#This Row],[A Capital Returned]]+WaterfallTable[[#This Row],[A Residual]]</f>
        <v>0</v>
      </c>
      <c r="L13" s="13">
        <f>IF(WaterfallTable[[#This Row],[Year]]=0,ClassBCapital,INDEX(WaterfallTable[B End Capital],MATCH(WaterfallTable[[#This Row],[Year]]-1,WaterfallTable[Year],0)))</f>
        <v>237419.66691266416</v>
      </c>
      <c r="M13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32444.049215266008</v>
      </c>
      <c r="N13" s="13">
        <f>WaterfallTable[[#This Row],[B Beg. Capital]]-WaterfallTable[[#This Row],[B Capital Returned]]</f>
        <v>204975.61769739815</v>
      </c>
      <c r="O13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3" s="13">
        <f>WaterfallTable[[#This Row],[B Capital Returned]]+WaterfallTable[[#This Row],[B Residual]]</f>
        <v>32444.049215266008</v>
      </c>
      <c r="Q13" s="13">
        <f>IF(WaterfallTable[[#This Row],[Year]]=0,SponsorPropertyPayment,0)</f>
        <v>0</v>
      </c>
      <c r="R13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13" s="13">
        <f>WaterfallTable[[#This Row],[Property Payment]]+WaterfallTable[[#This Row],[Residual]]</f>
        <v>0</v>
      </c>
    </row>
    <row r="14" spans="1:19" x14ac:dyDescent="0.25">
      <c r="A14" s="13">
        <v>10</v>
      </c>
      <c r="B14" s="13">
        <f>INDEX(AnnualModelTable[Cash Available Before Distributions],MATCH(WaterfallTable[[#This Row],[Year]],AnnualModelTable[Year],0))</f>
        <v>1356110.5648105983</v>
      </c>
      <c r="C14" s="13">
        <f>IF(WaterfallTable[[#This Row],[Year]]=0,0,INDEX(WaterfallTable[A End Accrued Pref],MATCH(WaterfallTable[[#This Row],[Year]]-1,WaterfallTable[Year],0)))</f>
        <v>0</v>
      </c>
      <c r="D14" s="13">
        <f>WaterfallTable[[#This Row],[A Beg. Capital]]*ClassAPreferredReturn</f>
        <v>0</v>
      </c>
      <c r="E14" s="13">
        <f>IF(WaterfallTable[[#This Row],[Year]]=0,0,MIN(WaterfallTable[[#This Row],[Cash Available]],WaterfallTable[[#This Row],[A Beg. Pref Accrued]]+WaterfallTable[[#This Row],[A Pref Accrued]]))</f>
        <v>0</v>
      </c>
      <c r="F14" s="13">
        <f>IF(WaterfallTable[[#This Row],[Year]]=0,ClassACapital,INDEX(WaterfallTable[A End Capital],MATCH(WaterfallTable[[#This Row],[Year]]-1,WaterfallTable[Year],0)))</f>
        <v>0</v>
      </c>
      <c r="G14" s="13">
        <f>IF(WaterfallTable[[#This Row],[Year]]=0,0,MIN(MAX(0,WaterfallTable[[#This Row],[Cash Available]]-WaterfallTable[[#This Row],[A Pref Paid]]),WaterfallTable[[#This Row],[A Beg. Capital]]))</f>
        <v>0</v>
      </c>
      <c r="H14" s="13">
        <f>WaterfallTable[[#This Row],[A Beg. Pref Accrued]]+WaterfallTable[[#This Row],[A Pref Accrued]]-WaterfallTable[[#This Row],[A Pref Paid]]</f>
        <v>0</v>
      </c>
      <c r="I14" s="13">
        <f>WaterfallTable[[#This Row],[A Beg. Capital]]-WaterfallTable[[#This Row],[A Capital Returned]]</f>
        <v>0</v>
      </c>
      <c r="J14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230226.98942264001</v>
      </c>
      <c r="K14" s="13">
        <f>WaterfallTable[[#This Row],[A Pref Paid]]+WaterfallTable[[#This Row],[A Capital Returned]]+WaterfallTable[[#This Row],[A Residual]]</f>
        <v>230226.98942264001</v>
      </c>
      <c r="L14" s="13">
        <f>IF(WaterfallTable[[#This Row],[Year]]=0,ClassBCapital,INDEX(WaterfallTable[B End Capital],MATCH(WaterfallTable[[#This Row],[Year]]-1,WaterfallTable[Year],0)))</f>
        <v>204975.61769739815</v>
      </c>
      <c r="M14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204975.61769739815</v>
      </c>
      <c r="N14" s="13">
        <f>WaterfallTable[[#This Row],[B Beg. Capital]]-WaterfallTable[[#This Row],[B Capital Returned]]</f>
        <v>0</v>
      </c>
      <c r="O14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460453.97884528001</v>
      </c>
      <c r="P14" s="13">
        <f>WaterfallTable[[#This Row],[B Capital Returned]]+WaterfallTable[[#This Row],[B Residual]]</f>
        <v>665429.59654267819</v>
      </c>
      <c r="Q14" s="13">
        <f>IF(WaterfallTable[[#This Row],[Year]]=0,SponsorPropertyPayment,0)</f>
        <v>0</v>
      </c>
      <c r="R14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460453.97884528007</v>
      </c>
      <c r="S14" s="13">
        <f>WaterfallTable[[#This Row],[Property Payment]]+WaterfallTable[[#This Row],[Residual]]</f>
        <v>460453.97884528007</v>
      </c>
    </row>
    <row r="15" spans="1:19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5">
      <c r="A16" s="5" t="s">
        <v>297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25">
      <c r="A18" t="s">
        <v>76</v>
      </c>
      <c r="B18" s="2" t="s">
        <v>77</v>
      </c>
      <c r="C18" s="2" t="s">
        <v>78</v>
      </c>
      <c r="D18" s="2" t="s">
        <v>79</v>
      </c>
      <c r="E18" s="2" t="s">
        <v>80</v>
      </c>
      <c r="F18" s="2" t="s">
        <v>81</v>
      </c>
      <c r="G18" s="2" t="s">
        <v>82</v>
      </c>
      <c r="H18" s="2" t="s">
        <v>83</v>
      </c>
      <c r="I18" s="2" t="s">
        <v>84</v>
      </c>
      <c r="J18" s="2" t="s">
        <v>85</v>
      </c>
      <c r="K18" s="2" t="s">
        <v>86</v>
      </c>
      <c r="L18" s="2" t="s">
        <v>87</v>
      </c>
      <c r="M18" s="2" t="s">
        <v>88</v>
      </c>
      <c r="N18" s="2" t="s">
        <v>89</v>
      </c>
      <c r="O18" s="2" t="s">
        <v>90</v>
      </c>
      <c r="P18" s="2" t="s">
        <v>91</v>
      </c>
      <c r="Q18" s="2" t="s">
        <v>92</v>
      </c>
      <c r="R18" s="2" t="s">
        <v>93</v>
      </c>
      <c r="S18" s="31" t="s">
        <v>304</v>
      </c>
    </row>
    <row r="19" spans="1:19" x14ac:dyDescent="0.25">
      <c r="A19" s="51" t="s">
        <v>94</v>
      </c>
      <c r="B19" s="52">
        <f>ClassACapital</f>
        <v>300000</v>
      </c>
      <c r="C19" s="52">
        <f>SUM(WaterfallTable[A Total Dist.])</f>
        <v>602226.98942264006</v>
      </c>
      <c r="D19" s="52">
        <f>C19-B19</f>
        <v>302226.98942264006</v>
      </c>
      <c r="E19" s="52">
        <f>IFERROR(C19/B19,0)</f>
        <v>2.0074232980754667</v>
      </c>
      <c r="F19" s="53">
        <f>IFERROR(D19/B19,0)</f>
        <v>1.0074232980754669</v>
      </c>
      <c r="G19" s="53"/>
      <c r="H19" s="52">
        <f>-B19</f>
        <v>-300000</v>
      </c>
      <c r="I19" s="52">
        <f>INDEX(WaterfallTable[A Total Dist.],MATCH(1,WaterfallTable[Year],0))</f>
        <v>25068</v>
      </c>
      <c r="J19" s="52">
        <f>INDEX(WaterfallTable[A Total Dist.],MATCH(2,WaterfallTable[Year],0))</f>
        <v>346932</v>
      </c>
      <c r="K19" s="52">
        <f>INDEX(WaterfallTable[A Total Dist.],MATCH(3,WaterfallTable[Year],0))</f>
        <v>0</v>
      </c>
      <c r="L19" s="52">
        <f>INDEX(WaterfallTable[A Total Dist.],MATCH(4,WaterfallTable[Year],0))</f>
        <v>0</v>
      </c>
      <c r="M19" s="52">
        <f>INDEX(WaterfallTable[A Total Dist.],MATCH(5,WaterfallTable[Year],0))</f>
        <v>0</v>
      </c>
      <c r="N19" s="52">
        <f>INDEX(WaterfallTable[A Total Dist.],MATCH(6,WaterfallTable[Year],0))</f>
        <v>0</v>
      </c>
      <c r="O19" s="52">
        <f>INDEX(WaterfallTable[A Total Dist.],MATCH(7,WaterfallTable[Year],0))</f>
        <v>0</v>
      </c>
      <c r="P19" s="52">
        <f>INDEX(WaterfallTable[A Total Dist.],MATCH(8,WaterfallTable[Year],0))</f>
        <v>0</v>
      </c>
      <c r="Q19" s="52">
        <f>INDEX(WaterfallTable[A Total Dist.],MATCH(9,WaterfallTable[Year],0))</f>
        <v>0</v>
      </c>
      <c r="R19" s="52">
        <f>INDEX(WaterfallTable[A Total Dist.],MATCH(10,WaterfallTable[Year],0))</f>
        <v>230226.98942264001</v>
      </c>
      <c r="S19" s="52">
        <f>SUM(ReturnsTable[[#This Row],[Year 0]:[Year 10]])</f>
        <v>302226.98942264001</v>
      </c>
    </row>
    <row r="20" spans="1:19" x14ac:dyDescent="0.25">
      <c r="A20" s="54" t="s">
        <v>95</v>
      </c>
      <c r="B20" s="55">
        <f>ClassBCapital</f>
        <v>600000</v>
      </c>
      <c r="C20" s="55">
        <f>SUM(WaterfallTable[B Total Dist.])</f>
        <v>1060453.9788452801</v>
      </c>
      <c r="D20" s="55">
        <f>C20-B20</f>
        <v>460453.97884528013</v>
      </c>
      <c r="E20" s="55">
        <f>IFERROR(C20/B20,0)</f>
        <v>1.7674232980754669</v>
      </c>
      <c r="F20" s="56">
        <f>IFERROR(D20/B20,0)</f>
        <v>0.76742329807546683</v>
      </c>
      <c r="G20" s="56"/>
      <c r="H20" s="55">
        <f>-B20</f>
        <v>-600000</v>
      </c>
      <c r="I20" s="55">
        <f>INDEX(WaterfallTable[B Total Dist.],MATCH(1,WaterfallTable[Year],0))</f>
        <v>0</v>
      </c>
      <c r="J20" s="55">
        <f>INDEX(WaterfallTable[B Total Dist.],MATCH(2,WaterfallTable[Year],0))</f>
        <v>219751.34686410858</v>
      </c>
      <c r="K20" s="55">
        <f>INDEX(WaterfallTable[B Total Dist.],MATCH(3,WaterfallTable[Year],0))</f>
        <v>17989.810864108767</v>
      </c>
      <c r="L20" s="55">
        <f>INDEX(WaterfallTable[B Total Dist.],MATCH(4,WaterfallTable[Year],0))</f>
        <v>20224.399984108757</v>
      </c>
      <c r="M20" s="55">
        <f>INDEX(WaterfallTable[B Total Dist.],MATCH(5,WaterfallTable[Year],0))</f>
        <v>22526.026777708765</v>
      </c>
      <c r="N20" s="55">
        <f>INDEX(WaterfallTable[B Total Dist.],MATCH(6,WaterfallTable[Year],0))</f>
        <v>24896.702375116765</v>
      </c>
      <c r="O20" s="55">
        <f>INDEX(WaterfallTable[B Total Dist.],MATCH(7,WaterfallTable[Year],0))</f>
        <v>27338.498240446999</v>
      </c>
      <c r="P20" s="55">
        <f>INDEX(WaterfallTable[B Total Dist.],MATCH(8,WaterfallTable[Year],0))</f>
        <v>29853.54798173716</v>
      </c>
      <c r="Q20" s="55">
        <f>INDEX(WaterfallTable[B Total Dist.],MATCH(9,WaterfallTable[Year],0))</f>
        <v>32444.049215266008</v>
      </c>
      <c r="R20" s="55">
        <f>INDEX(WaterfallTable[B Total Dist.],MATCH(10,WaterfallTable[Year],0))</f>
        <v>665429.59654267819</v>
      </c>
      <c r="S20" s="55">
        <f>SUM(ReturnsTable[[#This Row],[Year 0]:[Year 10]])</f>
        <v>460453.97884528001</v>
      </c>
    </row>
    <row r="21" spans="1:19" x14ac:dyDescent="0.25">
      <c r="A21" s="57" t="s">
        <v>96</v>
      </c>
      <c r="B21" s="58">
        <f>SponsorBasis</f>
        <v>150000</v>
      </c>
      <c r="C21" s="58">
        <f>SUM(WaterfallTable[Total Dist.])</f>
        <v>610453.97884528013</v>
      </c>
      <c r="D21" s="58">
        <f>C21-B21</f>
        <v>460453.97884528013</v>
      </c>
      <c r="E21" s="58">
        <f>IFERROR(C21/B21,0)</f>
        <v>4.0696931923018678</v>
      </c>
      <c r="F21" s="59">
        <f>IFERROR(D21/B21,0)</f>
        <v>3.0696931923018673</v>
      </c>
      <c r="G21" s="59"/>
      <c r="H21" s="58">
        <f>INDEX(WaterfallTable[Total Dist.],MATCH(0,WaterfallTable[Year],0))</f>
        <v>150000</v>
      </c>
      <c r="I21" s="58">
        <f>INDEX(WaterfallTable[Total Dist.],MATCH(1,WaterfallTable[Year],0))</f>
        <v>0</v>
      </c>
      <c r="J21" s="58">
        <f>INDEX(WaterfallTable[Total Dist.],MATCH(2,WaterfallTable[Year],0))</f>
        <v>0</v>
      </c>
      <c r="K21" s="58">
        <f>INDEX(WaterfallTable[Total Dist.],MATCH(3,WaterfallTable[Year],0))</f>
        <v>0</v>
      </c>
      <c r="L21" s="58">
        <f>INDEX(WaterfallTable[Total Dist.],MATCH(4,WaterfallTable[Year],0))</f>
        <v>0</v>
      </c>
      <c r="M21" s="58">
        <f>INDEX(WaterfallTable[Total Dist.],MATCH(5,WaterfallTable[Year],0))</f>
        <v>0</v>
      </c>
      <c r="N21" s="58">
        <f>INDEX(WaterfallTable[Total Dist.],MATCH(6,WaterfallTable[Year],0))</f>
        <v>0</v>
      </c>
      <c r="O21" s="58">
        <f>INDEX(WaterfallTable[Total Dist.],MATCH(7,WaterfallTable[Year],0))</f>
        <v>0</v>
      </c>
      <c r="P21" s="58">
        <f>INDEX(WaterfallTable[Total Dist.],MATCH(8,WaterfallTable[Year],0))</f>
        <v>0</v>
      </c>
      <c r="Q21" s="58">
        <f>INDEX(WaterfallTable[Total Dist.],MATCH(9,WaterfallTable[Year],0))</f>
        <v>0</v>
      </c>
      <c r="R21" s="58">
        <f>INDEX(WaterfallTable[Total Dist.],MATCH(10,WaterfallTable[Year],0))</f>
        <v>460453.97884528007</v>
      </c>
      <c r="S21" s="58">
        <f>SUM(ReturnsTable[[#This Row],[Year 0]:[Year 10]])</f>
        <v>610453.97884528013</v>
      </c>
    </row>
    <row r="22" spans="1:19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</sheetData>
  <mergeCells count="4">
    <mergeCell ref="C2:I2"/>
    <mergeCell ref="L2:P2"/>
    <mergeCell ref="A1:C1"/>
    <mergeCell ref="Q2:S2"/>
  </mergeCells>
  <phoneticPr fontId="8" type="noConversion"/>
  <pageMargins left="0.7" right="0.7" top="0.75" bottom="0.75" header="0.3" footer="0.3"/>
  <pageSetup orientation="portrait" horizontalDpi="4800" verticalDpi="480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36" t="s">
        <v>298</v>
      </c>
      <c r="B1" s="35"/>
      <c r="C1" s="35"/>
      <c r="D1" s="35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7" t="s">
        <v>76</v>
      </c>
      <c r="B3" s="27" t="s">
        <v>77</v>
      </c>
      <c r="C3" s="27" t="s">
        <v>78</v>
      </c>
      <c r="D3" s="27" t="s">
        <v>79</v>
      </c>
      <c r="E3" s="27" t="s">
        <v>80</v>
      </c>
      <c r="F3" s="27" t="s">
        <v>81</v>
      </c>
      <c r="G3" s="27" t="s">
        <v>82</v>
      </c>
      <c r="H3" s="27" t="s">
        <v>83</v>
      </c>
      <c r="I3" s="27" t="s">
        <v>84</v>
      </c>
      <c r="J3" s="27" t="s">
        <v>85</v>
      </c>
      <c r="K3" s="27" t="s">
        <v>86</v>
      </c>
      <c r="L3" s="27" t="s">
        <v>87</v>
      </c>
      <c r="M3" s="27" t="s">
        <v>88</v>
      </c>
      <c r="N3" s="27" t="s">
        <v>89</v>
      </c>
      <c r="O3" s="27" t="s">
        <v>90</v>
      </c>
      <c r="P3" s="27" t="s">
        <v>91</v>
      </c>
      <c r="Q3" s="27" t="s">
        <v>92</v>
      </c>
      <c r="R3" s="27" t="s">
        <v>93</v>
      </c>
    </row>
    <row r="4" spans="1:20" x14ac:dyDescent="0.25">
      <c r="A4" s="13" t="s">
        <v>94</v>
      </c>
      <c r="B4" s="13">
        <f>ClassACapital</f>
        <v>300000</v>
      </c>
      <c r="C4" s="13">
        <f>SUM(Waterfall!$K$4:$K$14)</f>
        <v>602226.98942264006</v>
      </c>
      <c r="D4" s="13">
        <f>C4-B4</f>
        <v>302226.98942264006</v>
      </c>
      <c r="E4" s="13">
        <f>IFERROR(C4/B4,0)</f>
        <v>2.0074232980754667</v>
      </c>
      <c r="F4" s="24">
        <f>IFERROR(D4/B4,0)</f>
        <v>1.0074232980754669</v>
      </c>
      <c r="G4" s="24">
        <f>IRR(H4:R4)</f>
        <v>0.19863008094050749</v>
      </c>
      <c r="H4" s="13">
        <f>-B4</f>
        <v>-300000</v>
      </c>
      <c r="I4" s="13">
        <f>INDEX(Waterfall!$K$4:$K$14,MATCH(1,Waterfall!$A$4:$A$14,0))</f>
        <v>25068</v>
      </c>
      <c r="J4" s="13">
        <f>INDEX(Waterfall!$K$4:$K$14,MATCH(2,Waterfall!$A$4:$A$14,0))</f>
        <v>346932</v>
      </c>
      <c r="K4" s="13">
        <f>INDEX(Waterfall!$K$4:$K$14,MATCH(3,Waterfall!$A$4:$A$14,0))</f>
        <v>0</v>
      </c>
      <c r="L4" s="13">
        <f>INDEX(Waterfall!$K$4:$K$14,MATCH(4,Waterfall!$A$4:$A$14,0))</f>
        <v>0</v>
      </c>
      <c r="M4" s="13">
        <f>INDEX(Waterfall!$K$4:$K$14,MATCH(5,Waterfall!$A$4:$A$14,0))</f>
        <v>0</v>
      </c>
      <c r="N4" s="13">
        <f>INDEX(Waterfall!$K$4:$K$14,MATCH(6,Waterfall!$A$4:$A$14,0))</f>
        <v>0</v>
      </c>
      <c r="O4" s="13">
        <f>INDEX(Waterfall!$K$4:$K$14,MATCH(7,Waterfall!$A$4:$A$14,0))</f>
        <v>0</v>
      </c>
      <c r="P4" s="13">
        <f>INDEX(Waterfall!$K$4:$K$14,MATCH(8,Waterfall!$A$4:$A$14,0))</f>
        <v>0</v>
      </c>
      <c r="Q4" s="13">
        <f>INDEX(Waterfall!$K$4:$K$14,MATCH(9,Waterfall!$A$4:$A$14,0))</f>
        <v>0</v>
      </c>
      <c r="R4" s="13">
        <f>INDEX(Waterfall!$K$4:$K$14,MATCH(10,Waterfall!$A$4:$A$14,0))</f>
        <v>230226.98942264001</v>
      </c>
    </row>
    <row r="5" spans="1:20" x14ac:dyDescent="0.25">
      <c r="A5" s="13" t="s">
        <v>95</v>
      </c>
      <c r="B5" s="13">
        <f>ClassBCapital</f>
        <v>600000</v>
      </c>
      <c r="C5" s="13">
        <f>SUM(Waterfall!$P$4:$P$14)</f>
        <v>1060453.9788452801</v>
      </c>
      <c r="D5" s="13">
        <f>C5-B5</f>
        <v>460453.97884528013</v>
      </c>
      <c r="E5" s="13">
        <f>IFERROR(C5/B5,0)</f>
        <v>1.7674232980754669</v>
      </c>
      <c r="F5" s="24">
        <f>IFERROR(D5/B5,0)</f>
        <v>0.76742329807546683</v>
      </c>
      <c r="G5" s="24">
        <f>IFERROR(IRR(H5:R5),0)</f>
        <v>8.1345706294973175E-2</v>
      </c>
      <c r="H5" s="13">
        <f>-B5</f>
        <v>-600000</v>
      </c>
      <c r="I5" s="13">
        <f>INDEX(Waterfall!$P$4:$P$14,MATCH(1,Waterfall!$A$4:$A$14,0))</f>
        <v>0</v>
      </c>
      <c r="J5" s="13">
        <f>INDEX(Waterfall!$P$4:$P$14,MATCH(2,Waterfall!$A$4:$A$14,0))</f>
        <v>219751.34686410858</v>
      </c>
      <c r="K5" s="13">
        <f>INDEX(Waterfall!$P$4:$P$14,MATCH(3,Waterfall!$A$4:$A$14,0))</f>
        <v>17989.810864108767</v>
      </c>
      <c r="L5" s="13">
        <f>INDEX(Waterfall!$P$4:$P$14,MATCH(4,Waterfall!$A$4:$A$14,0))</f>
        <v>20224.399984108757</v>
      </c>
      <c r="M5" s="13">
        <f>INDEX(Waterfall!$P$4:$P$14,MATCH(5,Waterfall!$A$4:$A$14,0))</f>
        <v>22526.026777708765</v>
      </c>
      <c r="N5" s="13">
        <f>INDEX(Waterfall!$P$4:$P$14,MATCH(6,Waterfall!$A$4:$A$14,0))</f>
        <v>24896.702375116765</v>
      </c>
      <c r="O5" s="13">
        <f>INDEX(Waterfall!$P$4:$P$14,MATCH(7,Waterfall!$A$4:$A$14,0))</f>
        <v>27338.498240446999</v>
      </c>
      <c r="P5" s="13">
        <f>INDEX(Waterfall!$P$4:$P$14,MATCH(8,Waterfall!$A$4:$A$14,0))</f>
        <v>29853.54798173716</v>
      </c>
      <c r="Q5" s="13">
        <f>INDEX(Waterfall!$P$4:$P$14,MATCH(9,Waterfall!$A$4:$A$14,0))</f>
        <v>32444.049215266008</v>
      </c>
      <c r="R5" s="13">
        <f>INDEX(Waterfall!$P$4:$P$14,MATCH(10,Waterfall!$A$4:$A$14,0))</f>
        <v>665429.59654267819</v>
      </c>
    </row>
    <row r="6" spans="1:20" x14ac:dyDescent="0.25">
      <c r="A6" s="13" t="s">
        <v>96</v>
      </c>
      <c r="B6" s="13">
        <f>SponsorBasis</f>
        <v>150000</v>
      </c>
      <c r="C6" s="13">
        <f>SUM(Waterfall!$S$4:$S$14)</f>
        <v>610453.97884528013</v>
      </c>
      <c r="D6" s="13">
        <f>C6-B6</f>
        <v>460453.97884528013</v>
      </c>
      <c r="E6" s="13">
        <f>IFERROR(C6/B6,0)</f>
        <v>4.0696931923018678</v>
      </c>
      <c r="F6" s="24">
        <f>IFERROR(D6/B6,0)</f>
        <v>3.0696931923018673</v>
      </c>
      <c r="G6" s="24">
        <f>IFERROR(IRR(H6:R6),0)</f>
        <v>0.11868933330638209</v>
      </c>
      <c r="H6" s="13">
        <f>-B6</f>
        <v>-150000</v>
      </c>
      <c r="I6" s="13">
        <f>INDEX(Waterfall!$S$4:$S$14,MATCH(1,Waterfall!$A$4:$A$14,0))</f>
        <v>0</v>
      </c>
      <c r="J6" s="13">
        <f>INDEX(Waterfall!$S$4:$S$14,MATCH(2,Waterfall!$A$4:$A$14,0))</f>
        <v>0</v>
      </c>
      <c r="K6" s="13">
        <f>INDEX(Waterfall!$S$4:$S$14,MATCH(3,Waterfall!$A$4:$A$14,0))</f>
        <v>0</v>
      </c>
      <c r="L6" s="13">
        <f>INDEX(Waterfall!$S$4:$S$14,MATCH(4,Waterfall!$A$4:$A$14,0))</f>
        <v>0</v>
      </c>
      <c r="M6" s="13">
        <f>INDEX(Waterfall!$S$4:$S$14,MATCH(5,Waterfall!$A$4:$A$14,0))</f>
        <v>0</v>
      </c>
      <c r="N6" s="13">
        <f>INDEX(Waterfall!$S$4:$S$14,MATCH(6,Waterfall!$A$4:$A$14,0))</f>
        <v>0</v>
      </c>
      <c r="O6" s="13">
        <f>INDEX(Waterfall!$S$4:$S$14,MATCH(7,Waterfall!$A$4:$A$14,0))</f>
        <v>0</v>
      </c>
      <c r="P6" s="13">
        <f>INDEX(Waterfall!$S$4:$S$14,MATCH(8,Waterfall!$A$4:$A$14,0))</f>
        <v>0</v>
      </c>
      <c r="Q6" s="13">
        <f>INDEX(Waterfall!$S$4:$S$14,MATCH(9,Waterfall!$A$4:$A$14,0))</f>
        <v>0</v>
      </c>
      <c r="R6" s="13">
        <f>INDEX(Waterfall!$S$4:$S$14,MATCH(10,Waterfall!$A$4:$A$14,0))</f>
        <v>460453.97884528007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97</v>
      </c>
      <c r="B9" s="34" t="s">
        <v>279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98</v>
      </c>
      <c r="B1" s="2"/>
    </row>
    <row r="2" spans="1:2" x14ac:dyDescent="0.25">
      <c r="A2" s="2"/>
      <c r="B2" s="2"/>
    </row>
    <row r="3" spans="1:2" x14ac:dyDescent="0.25">
      <c r="A3" s="4" t="s">
        <v>99</v>
      </c>
      <c r="B3" s="2" t="s">
        <v>100</v>
      </c>
    </row>
    <row r="4" spans="1:2" x14ac:dyDescent="0.25">
      <c r="A4" s="4" t="s">
        <v>101</v>
      </c>
      <c r="B4" s="2" t="s">
        <v>102</v>
      </c>
    </row>
    <row r="5" spans="1:2" x14ac:dyDescent="0.25">
      <c r="A5" s="4" t="s">
        <v>94</v>
      </c>
      <c r="B5" s="2" t="s">
        <v>103</v>
      </c>
    </row>
    <row r="6" spans="1:2" x14ac:dyDescent="0.25">
      <c r="A6" s="4" t="s">
        <v>95</v>
      </c>
      <c r="B6" s="2" t="s">
        <v>104</v>
      </c>
    </row>
    <row r="7" spans="1:2" x14ac:dyDescent="0.25">
      <c r="A7" s="4" t="s">
        <v>96</v>
      </c>
      <c r="B7" s="2" t="s">
        <v>105</v>
      </c>
    </row>
    <row r="8" spans="1:2" x14ac:dyDescent="0.25">
      <c r="A8" s="4" t="s">
        <v>106</v>
      </c>
      <c r="B8" s="2" t="s"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0"/>
  <sheetViews>
    <sheetView topLeftCell="A54" workbookViewId="0">
      <selection activeCell="A7" sqref="A7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108</v>
      </c>
      <c r="B1" s="13"/>
      <c r="C1" s="13"/>
    </row>
    <row r="2" spans="1:10" x14ac:dyDescent="0.25">
      <c r="A2" s="13" t="s">
        <v>109</v>
      </c>
      <c r="B2" s="42" t="s">
        <v>110</v>
      </c>
      <c r="C2" s="35"/>
      <c r="D2" s="35"/>
    </row>
    <row r="3" spans="1:10" x14ac:dyDescent="0.25">
      <c r="A3" s="13" t="s">
        <v>111</v>
      </c>
      <c r="B3" s="42" t="s">
        <v>112</v>
      </c>
      <c r="C3" s="35"/>
      <c r="D3" s="35"/>
      <c r="E3" s="35"/>
      <c r="F3" s="35"/>
      <c r="G3" s="35"/>
      <c r="H3" s="35"/>
      <c r="I3" s="35"/>
    </row>
    <row r="4" spans="1:10" x14ac:dyDescent="0.25">
      <c r="A4" s="13"/>
      <c r="B4" s="13"/>
      <c r="C4" s="42"/>
      <c r="D4" s="37"/>
      <c r="E4" s="37"/>
      <c r="F4" s="37"/>
      <c r="H4" s="13"/>
    </row>
    <row r="5" spans="1:10" ht="15.75" thickBot="1" x14ac:dyDescent="0.3">
      <c r="A5" s="13"/>
      <c r="B5" s="13"/>
      <c r="C5" s="42"/>
      <c r="D5" s="37"/>
      <c r="E5" s="37"/>
      <c r="F5" s="37"/>
      <c r="H5" s="13"/>
    </row>
    <row r="6" spans="1:10" ht="15.75" thickBot="1" x14ac:dyDescent="0.3">
      <c r="A6" s="13"/>
      <c r="B6" s="33" t="s">
        <v>113</v>
      </c>
      <c r="C6" s="33" t="s">
        <v>114</v>
      </c>
      <c r="D6" s="5"/>
      <c r="E6" s="5"/>
      <c r="F6" s="5"/>
    </row>
    <row r="7" spans="1:10" ht="15.75" thickBot="1" x14ac:dyDescent="0.3">
      <c r="A7" s="12" t="s">
        <v>115</v>
      </c>
      <c r="B7" s="47" t="s">
        <v>305</v>
      </c>
      <c r="C7" s="47" t="s">
        <v>127</v>
      </c>
      <c r="E7" s="33" t="s">
        <v>116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117</v>
      </c>
      <c r="B8" s="43">
        <f>B26</f>
        <v>900000</v>
      </c>
      <c r="C8" s="44">
        <f>C26</f>
        <v>1650000</v>
      </c>
      <c r="E8" s="33" t="s">
        <v>118</v>
      </c>
      <c r="F8" s="13"/>
      <c r="H8" s="7" t="b">
        <f>$E$8="Sponsor-Controlled"</f>
        <v>1</v>
      </c>
    </row>
    <row r="9" spans="1:10" ht="15.75" thickBot="1" x14ac:dyDescent="0.3">
      <c r="A9" s="13" t="s">
        <v>119</v>
      </c>
      <c r="B9" s="45">
        <f>B40+B49+B58</f>
        <v>1880000</v>
      </c>
      <c r="C9" s="46">
        <f>C40+C49+C58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120</v>
      </c>
      <c r="B10" s="7">
        <f>IF($C$6="Low",IF($E$8="Sponsor-Controlled",B8,B9),"")</f>
        <v>900000</v>
      </c>
      <c r="C10" s="7" t="str">
        <f>IF($C$6="High",IF($E$8="Sponsor-Controlled",C8,C9),"")</f>
        <v/>
      </c>
      <c r="E10" s="7"/>
      <c r="F10" s="7"/>
      <c r="G10" s="7">
        <f>IF($C$6="Low",B10,C10)</f>
        <v>900000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121</v>
      </c>
      <c r="B12" s="14" t="s">
        <v>122</v>
      </c>
      <c r="C12" s="14" t="s">
        <v>123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124</v>
      </c>
      <c r="B14" s="13">
        <f>$G$10/5000</f>
        <v>180</v>
      </c>
      <c r="C14" s="13"/>
    </row>
    <row r="15" spans="1:10" x14ac:dyDescent="0.25">
      <c r="A15" s="6" t="s">
        <v>125</v>
      </c>
      <c r="B15" s="13">
        <f>$G$10/6000</f>
        <v>150</v>
      </c>
      <c r="C15" s="13"/>
    </row>
    <row r="16" spans="1:10" x14ac:dyDescent="0.25">
      <c r="B16" s="13"/>
      <c r="C16" s="13"/>
    </row>
    <row r="17" spans="1:3" x14ac:dyDescent="0.25">
      <c r="A17" s="12" t="s">
        <v>126</v>
      </c>
      <c r="B17" s="12" t="s">
        <v>114</v>
      </c>
      <c r="C17" s="12" t="s">
        <v>127</v>
      </c>
    </row>
    <row r="18" spans="1:3" x14ac:dyDescent="0.25">
      <c r="A18" s="5" t="s">
        <v>301</v>
      </c>
      <c r="B18" s="13">
        <f>SponsorPropertyPayment</f>
        <v>150000</v>
      </c>
      <c r="C18" s="13">
        <f>SponsorPropertyPayment</f>
        <v>150000</v>
      </c>
    </row>
    <row r="19" spans="1:3" x14ac:dyDescent="0.25">
      <c r="A19" s="6" t="s">
        <v>128</v>
      </c>
      <c r="B19" s="13">
        <v>75000</v>
      </c>
      <c r="C19" s="13">
        <v>175000</v>
      </c>
    </row>
    <row r="20" spans="1:3" x14ac:dyDescent="0.25">
      <c r="A20" s="6" t="s">
        <v>129</v>
      </c>
      <c r="B20" s="13">
        <v>50000</v>
      </c>
      <c r="C20" s="13">
        <v>125000</v>
      </c>
    </row>
    <row r="21" spans="1:3" x14ac:dyDescent="0.25">
      <c r="A21" s="6" t="s">
        <v>130</v>
      </c>
      <c r="B21" s="13">
        <v>390000</v>
      </c>
      <c r="C21" s="13">
        <v>610000</v>
      </c>
    </row>
    <row r="22" spans="1:3" x14ac:dyDescent="0.25">
      <c r="A22" s="6" t="s">
        <v>131</v>
      </c>
      <c r="B22" s="13">
        <v>55000</v>
      </c>
      <c r="C22" s="13">
        <v>110000</v>
      </c>
    </row>
    <row r="23" spans="1:3" x14ac:dyDescent="0.25">
      <c r="A23" s="6" t="s">
        <v>132</v>
      </c>
      <c r="B23" s="13">
        <v>90000</v>
      </c>
      <c r="C23" s="13">
        <v>225000</v>
      </c>
    </row>
    <row r="24" spans="1:3" x14ac:dyDescent="0.25">
      <c r="A24" s="6" t="s">
        <v>133</v>
      </c>
      <c r="B24" s="13">
        <v>30000</v>
      </c>
      <c r="C24" s="13">
        <v>100000</v>
      </c>
    </row>
    <row r="25" spans="1:3" ht="15.75" thickBot="1" x14ac:dyDescent="0.3">
      <c r="A25" s="6" t="s">
        <v>134</v>
      </c>
      <c r="B25" s="48">
        <v>60000</v>
      </c>
      <c r="C25" s="48">
        <v>155000</v>
      </c>
    </row>
    <row r="26" spans="1:3" x14ac:dyDescent="0.25">
      <c r="A26" s="8" t="s">
        <v>135</v>
      </c>
      <c r="B26" s="7">
        <f>SUM(B18:B25)</f>
        <v>900000</v>
      </c>
      <c r="C26" s="7">
        <f>SUM(C18:C25)</f>
        <v>1650000</v>
      </c>
    </row>
    <row r="27" spans="1:3" x14ac:dyDescent="0.25">
      <c r="A27" s="13" t="s">
        <v>136</v>
      </c>
      <c r="B27" s="11" t="s">
        <v>137</v>
      </c>
      <c r="C27" s="11"/>
    </row>
    <row r="28" spans="1:3" x14ac:dyDescent="0.25">
      <c r="A28" s="13" t="s">
        <v>138</v>
      </c>
      <c r="B28" s="13">
        <f>SelectedProjectCost</f>
        <v>900000</v>
      </c>
      <c r="C28" s="13"/>
    </row>
    <row r="29" spans="1:3" x14ac:dyDescent="0.25">
      <c r="A29" s="13" t="s">
        <v>139</v>
      </c>
      <c r="B29" s="13">
        <f>ClassACapital+ClassBCapital</f>
        <v>900000</v>
      </c>
      <c r="C29" s="13"/>
    </row>
    <row r="30" spans="1:3" x14ac:dyDescent="0.25">
      <c r="A30" s="13" t="s">
        <v>140</v>
      </c>
      <c r="B30" s="13">
        <f>MAX(0,B28-B29)</f>
        <v>0</v>
      </c>
      <c r="C30" s="13"/>
    </row>
    <row r="31" spans="1:3" x14ac:dyDescent="0.25">
      <c r="A31" s="13"/>
      <c r="B31" s="13"/>
      <c r="C31" s="13"/>
    </row>
    <row r="32" spans="1:3" x14ac:dyDescent="0.25">
      <c r="A32" s="12" t="s">
        <v>141</v>
      </c>
      <c r="B32" s="12" t="s">
        <v>114</v>
      </c>
      <c r="C32" s="12" t="s">
        <v>127</v>
      </c>
    </row>
    <row r="33" spans="1:3" x14ac:dyDescent="0.25">
      <c r="A33" s="10" t="s">
        <v>142</v>
      </c>
      <c r="B33" s="10">
        <v>35000</v>
      </c>
      <c r="C33" s="10">
        <v>90000</v>
      </c>
    </row>
    <row r="34" spans="1:3" x14ac:dyDescent="0.25">
      <c r="A34" s="10" t="s">
        <v>143</v>
      </c>
      <c r="B34" s="10">
        <v>20000</v>
      </c>
      <c r="C34" s="10">
        <v>60000</v>
      </c>
    </row>
    <row r="35" spans="1:3" x14ac:dyDescent="0.25">
      <c r="A35" s="10" t="s">
        <v>144</v>
      </c>
      <c r="B35" s="10">
        <v>20000</v>
      </c>
      <c r="C35" s="10">
        <v>90000</v>
      </c>
    </row>
    <row r="36" spans="1:3" x14ac:dyDescent="0.25">
      <c r="A36" s="10" t="s">
        <v>145</v>
      </c>
      <c r="B36" s="10">
        <v>10000</v>
      </c>
      <c r="C36" s="10">
        <v>30000</v>
      </c>
    </row>
    <row r="37" spans="1:3" x14ac:dyDescent="0.25">
      <c r="A37" s="10" t="s">
        <v>146</v>
      </c>
      <c r="B37" s="10">
        <v>15000</v>
      </c>
      <c r="C37" s="10">
        <v>50000</v>
      </c>
    </row>
    <row r="38" spans="1:3" x14ac:dyDescent="0.25">
      <c r="A38" s="10" t="s">
        <v>147</v>
      </c>
      <c r="B38" s="10">
        <v>15000</v>
      </c>
      <c r="C38" s="10">
        <v>40000</v>
      </c>
    </row>
    <row r="39" spans="1:3" x14ac:dyDescent="0.25">
      <c r="A39" s="10" t="s">
        <v>148</v>
      </c>
      <c r="B39" s="10">
        <v>15000</v>
      </c>
      <c r="C39" s="10">
        <v>45000</v>
      </c>
    </row>
    <row r="40" spans="1:3" x14ac:dyDescent="0.25">
      <c r="A40" s="10" t="s">
        <v>149</v>
      </c>
      <c r="B40" s="10">
        <f>SUM(B33:B39)</f>
        <v>130000</v>
      </c>
      <c r="C40" s="10">
        <f>SUM(C33:C39)</f>
        <v>405000</v>
      </c>
    </row>
    <row r="41" spans="1:3" x14ac:dyDescent="0.25">
      <c r="A41" s="10"/>
      <c r="B41" s="10"/>
      <c r="C41" s="10"/>
    </row>
    <row r="42" spans="1:3" x14ac:dyDescent="0.25">
      <c r="A42" s="10" t="s">
        <v>150</v>
      </c>
      <c r="B42" s="10" t="s">
        <v>114</v>
      </c>
      <c r="C42" s="10" t="s">
        <v>127</v>
      </c>
    </row>
    <row r="43" spans="1:3" x14ac:dyDescent="0.25">
      <c r="A43" s="10" t="s">
        <v>151</v>
      </c>
      <c r="B43" s="10">
        <v>50000</v>
      </c>
      <c r="C43" s="10">
        <v>150000</v>
      </c>
    </row>
    <row r="44" spans="1:3" x14ac:dyDescent="0.25">
      <c r="A44" s="10" t="s">
        <v>152</v>
      </c>
      <c r="B44" s="10">
        <v>40000</v>
      </c>
      <c r="C44" s="10">
        <v>120000</v>
      </c>
    </row>
    <row r="45" spans="1:3" x14ac:dyDescent="0.25">
      <c r="A45" s="10" t="s">
        <v>153</v>
      </c>
      <c r="B45" s="10">
        <v>25000</v>
      </c>
      <c r="C45" s="10">
        <v>75000</v>
      </c>
    </row>
    <row r="46" spans="1:3" x14ac:dyDescent="0.25">
      <c r="A46" s="10" t="s">
        <v>154</v>
      </c>
      <c r="B46" s="10">
        <v>10000</v>
      </c>
      <c r="C46" s="10">
        <v>30000</v>
      </c>
    </row>
    <row r="47" spans="1:3" x14ac:dyDescent="0.25">
      <c r="A47" s="10" t="s">
        <v>155</v>
      </c>
      <c r="B47" s="10">
        <v>20000</v>
      </c>
      <c r="C47" s="10">
        <v>60000</v>
      </c>
    </row>
    <row r="48" spans="1:3" x14ac:dyDescent="0.25">
      <c r="A48" s="10" t="s">
        <v>156</v>
      </c>
      <c r="B48" s="10">
        <v>40000</v>
      </c>
      <c r="C48" s="10">
        <v>125000</v>
      </c>
    </row>
    <row r="49" spans="1:4" x14ac:dyDescent="0.25">
      <c r="A49" s="10" t="s">
        <v>157</v>
      </c>
      <c r="B49" s="10">
        <f>SUM(B43:B48)</f>
        <v>185000</v>
      </c>
      <c r="C49" s="10">
        <f>SUM(C43:C48)</f>
        <v>560000</v>
      </c>
    </row>
    <row r="50" spans="1:4" x14ac:dyDescent="0.25">
      <c r="A50" s="10"/>
      <c r="B50" s="10"/>
      <c r="C50" s="10"/>
    </row>
    <row r="51" spans="1:4" x14ac:dyDescent="0.25">
      <c r="A51" s="10" t="s">
        <v>158</v>
      </c>
      <c r="B51" s="10" t="s">
        <v>114</v>
      </c>
      <c r="C51" s="10" t="s">
        <v>127</v>
      </c>
    </row>
    <row r="52" spans="1:4" x14ac:dyDescent="0.25">
      <c r="A52" s="10" t="s">
        <v>159</v>
      </c>
      <c r="B52" s="10">
        <v>1125000</v>
      </c>
      <c r="C52" s="10">
        <v>1950000</v>
      </c>
    </row>
    <row r="53" spans="1:4" x14ac:dyDescent="0.25">
      <c r="A53" s="10" t="s">
        <v>160</v>
      </c>
      <c r="B53" s="10">
        <v>125000</v>
      </c>
      <c r="C53" s="10">
        <v>350000</v>
      </c>
    </row>
    <row r="54" spans="1:4" x14ac:dyDescent="0.25">
      <c r="A54" s="10" t="s">
        <v>161</v>
      </c>
      <c r="B54" s="10">
        <v>35000</v>
      </c>
      <c r="C54" s="10">
        <v>125000</v>
      </c>
    </row>
    <row r="55" spans="1:4" x14ac:dyDescent="0.25">
      <c r="A55" s="10" t="s">
        <v>162</v>
      </c>
      <c r="B55" s="10">
        <v>75000</v>
      </c>
      <c r="C55" s="10">
        <v>300000</v>
      </c>
    </row>
    <row r="56" spans="1:4" x14ac:dyDescent="0.25">
      <c r="A56" s="10" t="s">
        <v>133</v>
      </c>
      <c r="B56" s="10">
        <v>60000</v>
      </c>
      <c r="C56" s="10">
        <v>180000</v>
      </c>
    </row>
    <row r="57" spans="1:4" x14ac:dyDescent="0.25">
      <c r="A57" s="10" t="s">
        <v>163</v>
      </c>
      <c r="B57" s="10">
        <v>145000</v>
      </c>
      <c r="C57" s="10">
        <v>290000</v>
      </c>
    </row>
    <row r="58" spans="1:4" x14ac:dyDescent="0.25">
      <c r="A58" s="10" t="s">
        <v>164</v>
      </c>
      <c r="B58" s="10">
        <f>SUM(B52:B57)</f>
        <v>1565000</v>
      </c>
      <c r="C58" s="10">
        <f>SUM(C52:C57)</f>
        <v>3195000</v>
      </c>
    </row>
    <row r="60" spans="1:4" x14ac:dyDescent="0.25">
      <c r="A60" s="12" t="s">
        <v>165</v>
      </c>
    </row>
    <row r="61" spans="1:4" x14ac:dyDescent="0.25">
      <c r="A61" s="6" t="s">
        <v>166</v>
      </c>
      <c r="B61" s="35" t="s">
        <v>167</v>
      </c>
      <c r="C61" s="35"/>
      <c r="D61" s="35"/>
    </row>
    <row r="64" spans="1:4" x14ac:dyDescent="0.25">
      <c r="A64" s="12" t="s">
        <v>168</v>
      </c>
    </row>
    <row r="65" spans="1:7" x14ac:dyDescent="0.25">
      <c r="A65" s="6" t="s">
        <v>169</v>
      </c>
      <c r="B65" s="6" t="s">
        <v>170</v>
      </c>
      <c r="C65" s="35" t="s">
        <v>171</v>
      </c>
      <c r="D65" s="35"/>
      <c r="E65" s="35"/>
      <c r="F65" s="35"/>
      <c r="G65" s="35"/>
    </row>
    <row r="66" spans="1:7" x14ac:dyDescent="0.25">
      <c r="A66" s="6" t="s">
        <v>172</v>
      </c>
      <c r="B66" s="6" t="s">
        <v>170</v>
      </c>
      <c r="C66" s="35" t="s">
        <v>171</v>
      </c>
      <c r="D66" s="35"/>
      <c r="E66" s="35"/>
      <c r="F66" s="35"/>
      <c r="G66" s="35"/>
    </row>
    <row r="67" spans="1:7" x14ac:dyDescent="0.25">
      <c r="A67" s="6" t="s">
        <v>173</v>
      </c>
      <c r="B67" s="6" t="s">
        <v>170</v>
      </c>
      <c r="C67" s="35" t="s">
        <v>171</v>
      </c>
      <c r="D67" s="35"/>
      <c r="E67" s="35"/>
      <c r="F67" s="35"/>
      <c r="G67" s="35"/>
    </row>
    <row r="68" spans="1:7" x14ac:dyDescent="0.25">
      <c r="A68" s="6" t="s">
        <v>174</v>
      </c>
      <c r="B68" s="6" t="s">
        <v>170</v>
      </c>
      <c r="C68" s="35" t="s">
        <v>171</v>
      </c>
      <c r="D68" s="35"/>
      <c r="E68" s="35"/>
      <c r="F68" s="35"/>
      <c r="G68" s="35"/>
    </row>
    <row r="69" spans="1:7" x14ac:dyDescent="0.25">
      <c r="A69" s="6" t="s">
        <v>175</v>
      </c>
      <c r="B69" s="6" t="s">
        <v>176</v>
      </c>
      <c r="C69" s="35" t="s">
        <v>177</v>
      </c>
      <c r="D69" s="35"/>
      <c r="E69" s="35"/>
      <c r="F69" s="35"/>
      <c r="G69" s="35"/>
    </row>
    <row r="70" spans="1:7" x14ac:dyDescent="0.25">
      <c r="A70" s="6" t="s">
        <v>178</v>
      </c>
      <c r="B70" s="6" t="s">
        <v>170</v>
      </c>
      <c r="C70" s="35" t="s">
        <v>179</v>
      </c>
      <c r="D70" s="35"/>
      <c r="E70" s="35"/>
      <c r="F70" s="35"/>
      <c r="G70" s="35"/>
    </row>
    <row r="71" spans="1:7" x14ac:dyDescent="0.25">
      <c r="A71" s="6" t="s">
        <v>180</v>
      </c>
      <c r="B71" s="6" t="s">
        <v>170</v>
      </c>
      <c r="C71" s="35" t="s">
        <v>181</v>
      </c>
      <c r="D71" s="35"/>
      <c r="E71" s="35"/>
      <c r="F71" s="35"/>
      <c r="G71" s="35"/>
    </row>
    <row r="72" spans="1:7" x14ac:dyDescent="0.25">
      <c r="A72" s="6" t="s">
        <v>182</v>
      </c>
      <c r="B72" s="6" t="s">
        <v>170</v>
      </c>
      <c r="C72" s="35" t="s">
        <v>183</v>
      </c>
      <c r="D72" s="35"/>
      <c r="E72" s="35"/>
      <c r="F72" s="35"/>
      <c r="G72" s="35"/>
    </row>
    <row r="74" spans="1:7" x14ac:dyDescent="0.25">
      <c r="A74" s="5" t="s">
        <v>184</v>
      </c>
    </row>
    <row r="75" spans="1:7" x14ac:dyDescent="0.25">
      <c r="A75" s="6" t="s">
        <v>185</v>
      </c>
      <c r="B75" s="6" t="s">
        <v>170</v>
      </c>
      <c r="C75" s="35" t="s">
        <v>186</v>
      </c>
      <c r="D75" s="35"/>
      <c r="E75" s="35"/>
      <c r="F75" s="35"/>
      <c r="G75" s="35"/>
    </row>
    <row r="76" spans="1:7" x14ac:dyDescent="0.25">
      <c r="A76" s="6" t="s">
        <v>187</v>
      </c>
      <c r="B76" s="6" t="s">
        <v>176</v>
      </c>
    </row>
    <row r="77" spans="1:7" x14ac:dyDescent="0.25">
      <c r="A77" s="6" t="s">
        <v>188</v>
      </c>
      <c r="B77" s="6" t="s">
        <v>176</v>
      </c>
    </row>
    <row r="78" spans="1:7" x14ac:dyDescent="0.25">
      <c r="A78" s="6" t="s">
        <v>189</v>
      </c>
      <c r="B78" s="6" t="s">
        <v>176</v>
      </c>
    </row>
    <row r="79" spans="1:7" x14ac:dyDescent="0.25">
      <c r="A79" s="6" t="s">
        <v>190</v>
      </c>
      <c r="B79" s="6" t="s">
        <v>176</v>
      </c>
    </row>
    <row r="80" spans="1:7" x14ac:dyDescent="0.25">
      <c r="A80" s="6" t="s">
        <v>191</v>
      </c>
      <c r="B80" s="6" t="s">
        <v>170</v>
      </c>
      <c r="C80" s="35" t="s">
        <v>192</v>
      </c>
      <c r="D80" s="35"/>
      <c r="E80" s="35"/>
      <c r="F80" s="35"/>
      <c r="G80" s="35"/>
    </row>
  </sheetData>
  <mergeCells count="15">
    <mergeCell ref="C5:F5"/>
    <mergeCell ref="C80:G80"/>
    <mergeCell ref="B2:D2"/>
    <mergeCell ref="B61:D61"/>
    <mergeCell ref="C75:G75"/>
    <mergeCell ref="C65:G65"/>
    <mergeCell ref="C66:G66"/>
    <mergeCell ref="C67:G67"/>
    <mergeCell ref="C68:G68"/>
    <mergeCell ref="C69:G69"/>
    <mergeCell ref="C70:G70"/>
    <mergeCell ref="C71:G71"/>
    <mergeCell ref="C72:G72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tabSelected="1" workbookViewId="0">
      <selection activeCell="C23" sqref="C23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193</v>
      </c>
      <c r="B1" s="5"/>
      <c r="C1" s="5"/>
    </row>
    <row r="3" spans="1:9" x14ac:dyDescent="0.25">
      <c r="A3" s="5" t="s">
        <v>194</v>
      </c>
      <c r="B3" s="5"/>
      <c r="C3" s="5"/>
    </row>
    <row r="4" spans="1:9" x14ac:dyDescent="0.25">
      <c r="A4" t="s">
        <v>195</v>
      </c>
      <c r="C4" t="s">
        <v>196</v>
      </c>
      <c r="I4" t="b">
        <v>0</v>
      </c>
    </row>
    <row r="5" spans="1:9" x14ac:dyDescent="0.25">
      <c r="A5" t="s">
        <v>197</v>
      </c>
      <c r="B5" s="1">
        <v>0.4</v>
      </c>
      <c r="C5" t="s">
        <v>198</v>
      </c>
    </row>
    <row r="6" spans="1:9" ht="15.75" thickBot="1" x14ac:dyDescent="0.3">
      <c r="A6" t="s">
        <v>199</v>
      </c>
      <c r="B6" s="1">
        <f>IFERROR(B36/B10,0)</f>
        <v>0.62488384441789457</v>
      </c>
      <c r="C6" t="s">
        <v>200</v>
      </c>
    </row>
    <row r="7" spans="1:9" ht="15.75" thickBot="1" x14ac:dyDescent="0.3">
      <c r="A7" s="16" t="s">
        <v>21</v>
      </c>
      <c r="B7" s="17">
        <f>IF(I4,B6,B5)</f>
        <v>0.4</v>
      </c>
      <c r="C7" t="s">
        <v>201</v>
      </c>
    </row>
    <row r="9" spans="1:9" x14ac:dyDescent="0.25">
      <c r="A9" s="5" t="s">
        <v>202</v>
      </c>
      <c r="B9" s="5"/>
      <c r="C9" s="5"/>
    </row>
    <row r="10" spans="1:9" x14ac:dyDescent="0.25">
      <c r="A10" t="s">
        <v>203</v>
      </c>
      <c r="B10" s="2">
        <f>StabilizedMonthlyGrossRent*12*StabilizedOccupancy</f>
        <v>120528</v>
      </c>
      <c r="C10" t="s">
        <v>204</v>
      </c>
    </row>
    <row r="11" spans="1:9" x14ac:dyDescent="0.25">
      <c r="B11" s="2"/>
    </row>
    <row r="12" spans="1:9" x14ac:dyDescent="0.25">
      <c r="A12" s="5" t="s">
        <v>205</v>
      </c>
      <c r="B12" s="7" t="s">
        <v>206</v>
      </c>
      <c r="C12" s="5" t="s">
        <v>207</v>
      </c>
    </row>
    <row r="13" spans="1:9" x14ac:dyDescent="0.25">
      <c r="A13" t="s">
        <v>208</v>
      </c>
      <c r="B13" s="9">
        <v>7000</v>
      </c>
      <c r="C13" t="s">
        <v>209</v>
      </c>
    </row>
    <row r="14" spans="1:9" x14ac:dyDescent="0.25">
      <c r="A14" t="s">
        <v>210</v>
      </c>
      <c r="B14" s="2">
        <v>4900</v>
      </c>
      <c r="C14" t="s">
        <v>211</v>
      </c>
    </row>
    <row r="15" spans="1:9" x14ac:dyDescent="0.25">
      <c r="A15" t="s">
        <v>212</v>
      </c>
      <c r="B15" s="9">
        <f>+D15*StabilizedMonthlyGrossRent*12</f>
        <v>7776</v>
      </c>
      <c r="C15" t="s">
        <v>213</v>
      </c>
      <c r="D15" s="19">
        <v>0.06</v>
      </c>
    </row>
    <row r="16" spans="1:9" x14ac:dyDescent="0.25">
      <c r="A16" t="s">
        <v>214</v>
      </c>
      <c r="B16" s="9">
        <v>15000</v>
      </c>
      <c r="C16" t="s">
        <v>215</v>
      </c>
    </row>
    <row r="17" spans="1:3" x14ac:dyDescent="0.25">
      <c r="A17" t="s">
        <v>216</v>
      </c>
      <c r="B17" s="9">
        <v>500</v>
      </c>
      <c r="C17" t="s">
        <v>217</v>
      </c>
    </row>
    <row r="18" spans="1:3" x14ac:dyDescent="0.25">
      <c r="A18" t="s">
        <v>218</v>
      </c>
      <c r="B18" s="9">
        <v>2400</v>
      </c>
      <c r="C18" t="s">
        <v>219</v>
      </c>
    </row>
    <row r="19" spans="1:3" x14ac:dyDescent="0.25">
      <c r="A19" t="s">
        <v>220</v>
      </c>
      <c r="B19" s="9">
        <v>1800</v>
      </c>
      <c r="C19" t="s">
        <v>221</v>
      </c>
    </row>
    <row r="20" spans="1:3" x14ac:dyDescent="0.25">
      <c r="A20" t="s">
        <v>222</v>
      </c>
      <c r="B20" s="9">
        <v>9000</v>
      </c>
      <c r="C20" t="s">
        <v>223</v>
      </c>
    </row>
    <row r="21" spans="1:3" x14ac:dyDescent="0.25">
      <c r="A21" t="s">
        <v>224</v>
      </c>
      <c r="B21" s="9">
        <f>200*8</f>
        <v>1600</v>
      </c>
      <c r="C21" t="s">
        <v>225</v>
      </c>
    </row>
    <row r="22" spans="1:3" x14ac:dyDescent="0.25">
      <c r="A22" t="s">
        <v>226</v>
      </c>
      <c r="B22" s="9">
        <v>3600</v>
      </c>
      <c r="C22" t="s">
        <v>227</v>
      </c>
    </row>
    <row r="23" spans="1:3" x14ac:dyDescent="0.25">
      <c r="A23" t="s">
        <v>228</v>
      </c>
      <c r="B23" s="9">
        <v>1200</v>
      </c>
      <c r="C23" t="s">
        <v>221</v>
      </c>
    </row>
    <row r="24" spans="1:3" x14ac:dyDescent="0.25">
      <c r="A24" t="s">
        <v>229</v>
      </c>
      <c r="B24" s="9">
        <v>3000</v>
      </c>
      <c r="C24" t="s">
        <v>230</v>
      </c>
    </row>
    <row r="25" spans="1:3" x14ac:dyDescent="0.25">
      <c r="A25" t="s">
        <v>231</v>
      </c>
      <c r="B25" s="9">
        <v>4000</v>
      </c>
      <c r="C25" t="s">
        <v>232</v>
      </c>
    </row>
    <row r="26" spans="1:3" x14ac:dyDescent="0.25">
      <c r="A26" t="s">
        <v>233</v>
      </c>
      <c r="B26" s="2">
        <v>0</v>
      </c>
      <c r="C26" t="s">
        <v>234</v>
      </c>
    </row>
    <row r="27" spans="1:3" x14ac:dyDescent="0.25">
      <c r="A27" t="s">
        <v>235</v>
      </c>
      <c r="B27" s="2">
        <f>120*12</f>
        <v>1440</v>
      </c>
      <c r="C27" t="s">
        <v>236</v>
      </c>
    </row>
    <row r="28" spans="1:3" x14ac:dyDescent="0.25">
      <c r="A28" t="s">
        <v>237</v>
      </c>
      <c r="B28" s="2"/>
      <c r="C28" t="s">
        <v>238</v>
      </c>
    </row>
    <row r="29" spans="1:3" x14ac:dyDescent="0.25">
      <c r="A29" t="s">
        <v>239</v>
      </c>
      <c r="B29" s="2">
        <v>1200</v>
      </c>
      <c r="C29" t="s">
        <v>240</v>
      </c>
    </row>
    <row r="30" spans="1:3" x14ac:dyDescent="0.25">
      <c r="A30" t="s">
        <v>241</v>
      </c>
      <c r="B30" s="2"/>
      <c r="C30" t="s">
        <v>242</v>
      </c>
    </row>
    <row r="31" spans="1:3" x14ac:dyDescent="0.25">
      <c r="A31" t="s">
        <v>243</v>
      </c>
      <c r="B31" s="2">
        <v>2400</v>
      </c>
      <c r="C31" t="s">
        <v>244</v>
      </c>
    </row>
    <row r="32" spans="1:3" x14ac:dyDescent="0.25">
      <c r="A32" t="s">
        <v>245</v>
      </c>
      <c r="B32" s="2">
        <v>1200</v>
      </c>
      <c r="C32" t="s">
        <v>246</v>
      </c>
    </row>
    <row r="33" spans="1:3" x14ac:dyDescent="0.25">
      <c r="A33" t="s">
        <v>247</v>
      </c>
      <c r="B33" s="2">
        <v>800</v>
      </c>
      <c r="C33" t="s">
        <v>248</v>
      </c>
    </row>
    <row r="34" spans="1:3" x14ac:dyDescent="0.25">
      <c r="A34" t="s">
        <v>249</v>
      </c>
      <c r="B34" s="2">
        <v>2500</v>
      </c>
      <c r="C34" t="s">
        <v>250</v>
      </c>
    </row>
    <row r="35" spans="1:3" x14ac:dyDescent="0.25">
      <c r="A35" s="5" t="s">
        <v>251</v>
      </c>
      <c r="B35" s="7">
        <v>4000</v>
      </c>
      <c r="C35" s="5" t="s">
        <v>252</v>
      </c>
    </row>
    <row r="36" spans="1:3" x14ac:dyDescent="0.25">
      <c r="A36" s="5" t="s">
        <v>253</v>
      </c>
      <c r="B36" s="7">
        <f>SUM(B13:B35)</f>
        <v>75316</v>
      </c>
      <c r="C36" s="5" t="s">
        <v>254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58</vt:i4>
      </vt:variant>
    </vt:vector>
  </HeadingPairs>
  <TitlesOfParts>
    <vt:vector size="65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SellingCosts</vt:lpstr>
      <vt:lpstr>SponsorBasis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2026-05-15T17:30:18Z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