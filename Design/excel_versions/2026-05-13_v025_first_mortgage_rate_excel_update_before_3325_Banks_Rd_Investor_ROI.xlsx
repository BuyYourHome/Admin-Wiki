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lifeisanadventure.sharepoint.com/sites/SellYourHome/Shared Documents/Property/13-BYH - 3325 Banks Rd/Owning/Design/"/>
    </mc:Choice>
  </mc:AlternateContent>
  <xr:revisionPtr revIDLastSave="863" documentId="13_ncr:1_{0C20EBD6-E2BD-404C-B47C-BDA54182D35E}" xr6:coauthVersionLast="47" xr6:coauthVersionMax="47" xr10:uidLastSave="{B0E26C4B-E569-48DA-86F6-98F9B15B304C}"/>
  <bookViews>
    <workbookView xWindow="-120" yWindow="-120" windowWidth="38640" windowHeight="15720" firstSheet="1" activeTab="1" xr2:uid="{00000000-000D-0000-FFFF-FFFF00000000}"/>
  </bookViews>
  <sheets>
    <sheet name="Assumptions" sheetId="1" r:id="rId1"/>
    <sheet name="Annual Model" sheetId="2" r:id="rId2"/>
    <sheet name="Waterfall" sheetId="3" r:id="rId3"/>
    <sheet name="Returns" sheetId="4" r:id="rId4"/>
    <sheet name="Notes" sheetId="5" r:id="rId5"/>
    <sheet name="Cost Analysis" sheetId="6" r:id="rId6"/>
    <sheet name="Operating Expense Budget" sheetId="7" r:id="rId7"/>
  </sheets>
  <definedNames>
    <definedName name="AssumedOperatingExpenseRatio">'Operating Expense Budget'!$B$5</definedName>
    <definedName name="CalculatedOperatingExpenseRatio">'Operating Expense Budget'!$B$6</definedName>
    <definedName name="ClassACapital">Assumptions!$B$34</definedName>
    <definedName name="ClassAPreferredReturn">Assumptions!$B$35</definedName>
    <definedName name="ClassBCapital">Assumptions!$B$36</definedName>
    <definedName name="ClassBResidualShare">Assumptions!$B$38</definedName>
    <definedName name="ClassBReturnPriority">Assumptions!$B$37</definedName>
    <definedName name="CoLivingSuiteRent">Assumptions!$B$11</definedName>
    <definedName name="CoLivingSuites">Assumptions!$B$10</definedName>
    <definedName name="ExistingFirstMortgage">Assumptions!$B$20</definedName>
    <definedName name="ExitCapRate">Assumptions!$B$30</definedName>
    <definedName name="LeaseUpOccupancy">Assumptions!$B$14</definedName>
    <definedName name="NOIGrowth">Assumptions!$B$16</definedName>
    <definedName name="OperatingExpenseRatio">Assumptions!$B$15</definedName>
    <definedName name="OtherMonthlyIncome">Assumptions!$B$12</definedName>
    <definedName name="PermanentLoanAmortizationYears">Assumptions!$B$29</definedName>
    <definedName name="PermanentLoanAmount">Assumptions!$B$25</definedName>
    <definedName name="PermanentLoanRate">Assumptions!$B$28</definedName>
    <definedName name="PremiumSuiteRent">Assumptions!$B$9</definedName>
    <definedName name="PremiumSuites">Assumptions!$B$8</definedName>
    <definedName name="PrivateDebtInterestRate">Assumptions!$B$22</definedName>
    <definedName name="PrivateDebtPrincipal">Assumptions!$B$21</definedName>
    <definedName name="ProjectDebtPayoffAtRefi">Assumptions!$B$23</definedName>
    <definedName name="RefinanceLoanAmortizationYears">Assumptions!$B$29</definedName>
    <definedName name="RefinanceLoanAmount">Assumptions!$B$25</definedName>
    <definedName name="RefinanceLoanRate">Assumptions!$B$28</definedName>
    <definedName name="RefinanceLoanToValueCap">Assumptions!$B$24</definedName>
    <definedName name="RefinanceProceedsAfterDebtAndClassA">Assumptions!$B$27</definedName>
    <definedName name="RefinanceProceedsAfterExistingDebt">Assumptions!$B$26</definedName>
    <definedName name="SaleExitYear">Assumptions!$B$5</definedName>
    <definedName name="SelectedCostCase">'Cost Analysis'!$E$14</definedName>
    <definedName name="SelectedCostCaseId">'Cost Analysis'!$D$18</definedName>
    <definedName name="SelectedOperatingExpenseRatio">'Operating Expense Budget'!$B$7</definedName>
    <definedName name="SelectedProjectCost">'Cost Analysis'!$D$17</definedName>
    <definedName name="SelectedProjectCostHigh">'Cost Analysis'!$C$17</definedName>
    <definedName name="SelectedProjectCostLow">'Cost Analysis'!$B$17</definedName>
    <definedName name="SelectedScenario">'Cost Analysis'!$C$12</definedName>
    <definedName name="SelectedScenarioId">'Cost Analysis'!$D$19</definedName>
    <definedName name="SelectedUnderwritingCase">'Cost Analysis'!$F$16</definedName>
    <definedName name="SellingCosts">Assumptions!$B$31</definedName>
    <definedName name="SponsorBasis">Assumptions!$B$40</definedName>
    <definedName name="SponsorResidualShare">Assumptions!$B$39</definedName>
    <definedName name="StabilizationRefiYear">Assumptions!$B$4</definedName>
    <definedName name="StabilizedEffectiveGrossIncome">'Operating Expense Budget'!$B$10</definedName>
    <definedName name="StabilizedMonthlyGrossRent">Assumptions!$B$17</definedName>
    <definedName name="StabilizedOccupancy">Assumptions!$B$13</definedName>
    <definedName name="TotalAnnualOperatingExpenseBudget">'Operating Expense Budget'!$B$36</definedName>
    <definedName name="TotalExistingDebt">Assumptions!$B$23</definedName>
    <definedName name="UseCalculatedOperatingExpenseRatio">'Operating Expense Budget'!$I$4</definedName>
    <definedName name="UseOutsideMarketBenchmark">'Cost Analysis'!$D$15</definedName>
    <definedName name="UseSponsorControlledCase">'Cost Analysis'!$D$14</definedName>
  </definedName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2" l="1"/>
  <c r="G13" i="2"/>
  <c r="G12" i="2"/>
  <c r="G11" i="2"/>
  <c r="G10" i="2"/>
  <c r="G9" i="2"/>
  <c r="K8" i="2"/>
  <c r="K5" i="2"/>
  <c r="G5" i="2"/>
  <c r="K4" i="2"/>
  <c r="G4" i="2"/>
  <c r="F6" i="6"/>
  <c r="B10" i="6"/>
  <c r="B8" i="6"/>
  <c r="B7" i="6"/>
  <c r="B6" i="6"/>
  <c r="I14" i="2"/>
  <c r="I13" i="2"/>
  <c r="I12" i="2"/>
  <c r="I11" i="2"/>
  <c r="I10" i="2"/>
  <c r="I9" i="2"/>
  <c r="I7" i="2"/>
  <c r="I5" i="2"/>
  <c r="I4" i="2"/>
  <c r="B23" i="1"/>
  <c r="B27" i="7"/>
  <c r="B21" i="7"/>
  <c r="C16" i="6"/>
  <c r="B16" i="6"/>
  <c r="D15" i="6"/>
  <c r="D14" i="6"/>
  <c r="C13" i="6"/>
  <c r="B13" i="6"/>
  <c r="B6" i="4"/>
  <c r="H6" i="4" s="1"/>
  <c r="B4" i="4"/>
  <c r="H4" i="4" s="1"/>
  <c r="F4" i="3"/>
  <c r="D4" i="3" s="1"/>
  <c r="L5" i="2"/>
  <c r="L4" i="2"/>
  <c r="D4" i="2"/>
  <c r="C4" i="2"/>
  <c r="B39" i="1"/>
  <c r="B17" i="1"/>
  <c r="C12" i="2" s="1"/>
  <c r="D12" i="2" s="1"/>
  <c r="C32" i="6"/>
  <c r="B32" i="6"/>
  <c r="B14" i="6" s="1"/>
  <c r="C64" i="6"/>
  <c r="B64" i="6"/>
  <c r="C55" i="6"/>
  <c r="B55" i="6"/>
  <c r="C46" i="6"/>
  <c r="B46" i="6"/>
  <c r="C4" i="3"/>
  <c r="B15" i="7" l="1"/>
  <c r="B36" i="7" s="1"/>
  <c r="B10" i="7"/>
  <c r="C14" i="2"/>
  <c r="D14" i="2" s="1"/>
  <c r="C13" i="2"/>
  <c r="C11" i="2"/>
  <c r="C10" i="2"/>
  <c r="C9" i="2"/>
  <c r="C8" i="2"/>
  <c r="D8" i="2" s="1"/>
  <c r="C7" i="2"/>
  <c r="D7" i="2" s="1"/>
  <c r="C6" i="2"/>
  <c r="D6" i="2" s="1"/>
  <c r="C5" i="2"/>
  <c r="C15" i="6"/>
  <c r="B15" i="6"/>
  <c r="B17" i="6" s="1"/>
  <c r="C14" i="6"/>
  <c r="B6" i="7" l="1"/>
  <c r="B7" i="7" s="1"/>
  <c r="B15" i="1" s="1"/>
  <c r="C17" i="6"/>
  <c r="D17" i="6" s="1"/>
  <c r="B34" i="6" s="1"/>
  <c r="D10" i="2"/>
  <c r="D13" i="2"/>
  <c r="D9" i="2"/>
  <c r="D11" i="2"/>
  <c r="D5" i="2"/>
  <c r="E12" i="2" l="1"/>
  <c r="F12" i="2" s="1"/>
  <c r="L12" i="2" s="1"/>
  <c r="E13" i="2"/>
  <c r="F13" i="2" s="1"/>
  <c r="L13" i="2" s="1"/>
  <c r="E14" i="2"/>
  <c r="F14" i="2" s="1"/>
  <c r="L14" i="2" s="1"/>
  <c r="E10" i="2"/>
  <c r="F10" i="2" s="1"/>
  <c r="L10" i="2" s="1"/>
  <c r="E4" i="2"/>
  <c r="F4" i="2" s="1"/>
  <c r="H4" i="2" s="1"/>
  <c r="J4" i="2" s="1"/>
  <c r="B4" i="3" s="1"/>
  <c r="E4" i="3" s="1"/>
  <c r="H4" i="3" s="1"/>
  <c r="C5" i="3" s="1"/>
  <c r="E7" i="2"/>
  <c r="F7" i="2" s="1"/>
  <c r="L7" i="2" s="1"/>
  <c r="E9" i="2"/>
  <c r="F9" i="2" s="1"/>
  <c r="L9" i="2" s="1"/>
  <c r="E8" i="2"/>
  <c r="F8" i="2" s="1"/>
  <c r="L8" i="2" s="1"/>
  <c r="I8" i="2" s="1"/>
  <c r="E6" i="2"/>
  <c r="F6" i="2" s="1"/>
  <c r="L6" i="2" s="1"/>
  <c r="B36" i="1"/>
  <c r="B22" i="6"/>
  <c r="B21" i="6"/>
  <c r="E11" i="2"/>
  <c r="F11" i="2" s="1"/>
  <c r="L11" i="2" s="1"/>
  <c r="E5" i="2"/>
  <c r="F5" i="2" s="1"/>
  <c r="H5" i="2" s="1"/>
  <c r="J5" i="2" s="1"/>
  <c r="B5" i="3" s="1"/>
  <c r="B11" i="6" l="1"/>
  <c r="F7" i="6"/>
  <c r="H12" i="2"/>
  <c r="J12" i="2" s="1"/>
  <c r="B12" i="3" s="1"/>
  <c r="B25" i="1"/>
  <c r="K14" i="2" s="1"/>
  <c r="H14" i="2"/>
  <c r="J14" i="2" s="1"/>
  <c r="B14" i="3" s="1"/>
  <c r="G4" i="3"/>
  <c r="I4" i="3" s="1"/>
  <c r="F5" i="3" s="1"/>
  <c r="D5" i="3" s="1"/>
  <c r="K4" i="3"/>
  <c r="B5" i="4"/>
  <c r="H5" i="4" s="1"/>
  <c r="H9" i="2"/>
  <c r="J9" i="2" s="1"/>
  <c r="B9" i="3" s="1"/>
  <c r="H10" i="2"/>
  <c r="J10" i="2" s="1"/>
  <c r="B10" i="3" s="1"/>
  <c r="H13" i="2"/>
  <c r="J13" i="2" s="1"/>
  <c r="B13" i="3" s="1"/>
  <c r="H11" i="2"/>
  <c r="J11" i="2" s="1"/>
  <c r="B11" i="3" s="1"/>
  <c r="K12" i="2" l="1"/>
  <c r="K13" i="2"/>
  <c r="K10" i="2"/>
  <c r="K11" i="2"/>
  <c r="G8" i="2"/>
  <c r="H8" i="2" s="1"/>
  <c r="J8" i="2" s="1"/>
  <c r="B8" i="3" s="1"/>
  <c r="K9" i="2"/>
  <c r="G7" i="2"/>
  <c r="H7" i="2" s="1"/>
  <c r="J7" i="2" s="1"/>
  <c r="B7" i="3" s="1"/>
  <c r="K7" i="2"/>
  <c r="G6" i="2"/>
  <c r="H6" i="2" s="1"/>
  <c r="K6" i="2"/>
  <c r="B9" i="6"/>
  <c r="B35" i="6" s="1"/>
  <c r="B36" i="6" s="1"/>
  <c r="I6" i="2"/>
  <c r="B26" i="1"/>
  <c r="F9" i="6" s="1"/>
  <c r="B27" i="1"/>
  <c r="F10" i="6" s="1"/>
  <c r="P4" i="3"/>
  <c r="J4" i="3"/>
  <c r="L4" i="3" s="1"/>
  <c r="N4" i="3" s="1"/>
  <c r="E5" i="3"/>
  <c r="H5" i="3" s="1"/>
  <c r="C6" i="3" s="1"/>
  <c r="J6" i="2" l="1"/>
  <c r="B6" i="3" s="1"/>
  <c r="O4" i="3"/>
  <c r="R4" i="3" s="1"/>
  <c r="G5" i="3"/>
  <c r="I5" i="3" s="1"/>
  <c r="F6" i="3" s="1"/>
  <c r="D6" i="3" s="1"/>
  <c r="M4" i="3"/>
  <c r="K5" i="3" s="1"/>
  <c r="Q4" i="3"/>
  <c r="J5" i="3" l="1"/>
  <c r="P5" i="3"/>
  <c r="L5" i="3" l="1"/>
  <c r="N5" i="3" s="1"/>
  <c r="I4" i="4"/>
  <c r="E6" i="3"/>
  <c r="O5" i="3" l="1"/>
  <c r="R5" i="3" s="1"/>
  <c r="G6" i="3"/>
  <c r="I6" i="3" s="1"/>
  <c r="F7" i="3" s="1"/>
  <c r="D7" i="3" s="1"/>
  <c r="H6" i="3"/>
  <c r="C7" i="3" s="1"/>
  <c r="M5" i="3"/>
  <c r="K6" i="3" s="1"/>
  <c r="Q5" i="3"/>
  <c r="E7" i="3" l="1"/>
  <c r="I6" i="4"/>
  <c r="J6" i="3"/>
  <c r="I5" i="4"/>
  <c r="P6" i="3"/>
  <c r="L6" i="3" l="1"/>
  <c r="O6" i="3" s="1"/>
  <c r="G7" i="3"/>
  <c r="I7" i="3" s="1"/>
  <c r="F8" i="3" s="1"/>
  <c r="D8" i="3" s="1"/>
  <c r="H7" i="3"/>
  <c r="C8" i="3" s="1"/>
  <c r="J4" i="4"/>
  <c r="N6" i="3" l="1"/>
  <c r="Q6" i="3" s="1"/>
  <c r="J7" i="3"/>
  <c r="M6" i="3"/>
  <c r="K7" i="3" s="1"/>
  <c r="R6" i="3"/>
  <c r="E8" i="3"/>
  <c r="P7" i="3"/>
  <c r="L7" i="3" l="1"/>
  <c r="G8" i="3"/>
  <c r="I8" i="3" s="1"/>
  <c r="F9" i="3" s="1"/>
  <c r="D9" i="3" s="1"/>
  <c r="J6" i="4"/>
  <c r="J5" i="4"/>
  <c r="H8" i="3"/>
  <c r="C9" i="3" s="1"/>
  <c r="K4" i="4"/>
  <c r="O7" i="3" l="1"/>
  <c r="R7" i="3" s="1"/>
  <c r="K6" i="4" s="1"/>
  <c r="N7" i="3"/>
  <c r="Q7" i="3" s="1"/>
  <c r="J8" i="3"/>
  <c r="M7" i="3"/>
  <c r="K8" i="3" s="1"/>
  <c r="E9" i="3"/>
  <c r="P8" i="3"/>
  <c r="L4" i="4" s="1"/>
  <c r="L8" i="3" l="1"/>
  <c r="M8" i="3" s="1"/>
  <c r="K9" i="3" s="1"/>
  <c r="K5" i="4"/>
  <c r="G9" i="3"/>
  <c r="I9" i="3" s="1"/>
  <c r="F10" i="3" s="1"/>
  <c r="D10" i="3" s="1"/>
  <c r="H9" i="3"/>
  <c r="C10" i="3" s="1"/>
  <c r="O8" i="3" l="1"/>
  <c r="R8" i="3" s="1"/>
  <c r="L6" i="4" s="1"/>
  <c r="N8" i="3"/>
  <c r="Q8" i="3" s="1"/>
  <c r="L5" i="4" s="1"/>
  <c r="E10" i="3"/>
  <c r="J9" i="3"/>
  <c r="P9" i="3"/>
  <c r="M4" i="4" s="1"/>
  <c r="L9" i="3" l="1"/>
  <c r="N9" i="3" s="1"/>
  <c r="G10" i="3"/>
  <c r="I10" i="3" s="1"/>
  <c r="F11" i="3" s="1"/>
  <c r="D11" i="3" s="1"/>
  <c r="H10" i="3"/>
  <c r="C11" i="3" s="1"/>
  <c r="O9" i="3" l="1"/>
  <c r="R9" i="3" s="1"/>
  <c r="M6" i="4" s="1"/>
  <c r="Q9" i="3"/>
  <c r="M5" i="4" s="1"/>
  <c r="M9" i="3"/>
  <c r="K10" i="3" s="1"/>
  <c r="J10" i="3"/>
  <c r="P10" i="3"/>
  <c r="N4" i="4" s="1"/>
  <c r="L10" i="3" l="1"/>
  <c r="E11" i="3"/>
  <c r="O10" i="3" l="1"/>
  <c r="R10" i="3" s="1"/>
  <c r="N6" i="4" s="1"/>
  <c r="N10" i="3"/>
  <c r="Q10" i="3" s="1"/>
  <c r="N5" i="4" s="1"/>
  <c r="G11" i="3"/>
  <c r="I11" i="3" s="1"/>
  <c r="F12" i="3" s="1"/>
  <c r="D12" i="3" s="1"/>
  <c r="M10" i="3"/>
  <c r="K11" i="3" s="1"/>
  <c r="H11" i="3"/>
  <c r="C12" i="3" s="1"/>
  <c r="J11" i="3" l="1"/>
  <c r="E12" i="3"/>
  <c r="P11" i="3"/>
  <c r="O4" i="4" s="1"/>
  <c r="L11" i="3" l="1"/>
  <c r="N11" i="3" s="1"/>
  <c r="G12" i="3"/>
  <c r="I12" i="3" s="1"/>
  <c r="F13" i="3" s="1"/>
  <c r="D13" i="3" s="1"/>
  <c r="H12" i="3"/>
  <c r="C13" i="3" s="1"/>
  <c r="O11" i="3" l="1"/>
  <c r="R11" i="3" s="1"/>
  <c r="O6" i="4" s="1"/>
  <c r="Q11" i="3"/>
  <c r="O5" i="4" s="1"/>
  <c r="M11" i="3"/>
  <c r="K12" i="3" s="1"/>
  <c r="J12" i="3"/>
  <c r="P12" i="3"/>
  <c r="P4" i="4" s="1"/>
  <c r="L12" i="3" l="1"/>
  <c r="N12" i="3" s="1"/>
  <c r="E13" i="3"/>
  <c r="M12" i="3" l="1"/>
  <c r="K13" i="3" s="1"/>
  <c r="O12" i="3"/>
  <c r="R12" i="3" s="1"/>
  <c r="P6" i="4" s="1"/>
  <c r="G13" i="3"/>
  <c r="I13" i="3" s="1"/>
  <c r="F14" i="3" s="1"/>
  <c r="D14" i="3" s="1"/>
  <c r="Q12" i="3"/>
  <c r="P5" i="4" s="1"/>
  <c r="H13" i="3"/>
  <c r="C14" i="3" s="1"/>
  <c r="J13" i="3" l="1"/>
  <c r="P13" i="3"/>
  <c r="Q4" i="4" s="1"/>
  <c r="L13" i="3" l="1"/>
  <c r="O13" i="3" s="1"/>
  <c r="R13" i="3" s="1"/>
  <c r="Q6" i="4" s="1"/>
  <c r="E14" i="3"/>
  <c r="N13" i="3" l="1"/>
  <c r="Q13" i="3" s="1"/>
  <c r="Q5" i="4" s="1"/>
  <c r="M13" i="3"/>
  <c r="K14" i="3" s="1"/>
  <c r="G14" i="3"/>
  <c r="I14" i="3" s="1"/>
  <c r="H14" i="3"/>
  <c r="J14" i="3" l="1"/>
  <c r="P14" i="3"/>
  <c r="L14" i="3" l="1"/>
  <c r="O14" i="3" s="1"/>
  <c r="R4" i="4"/>
  <c r="G4" i="4" s="1"/>
  <c r="C4" i="4"/>
  <c r="N14" i="3" l="1"/>
  <c r="Q14" i="3" s="1"/>
  <c r="E4" i="4"/>
  <c r="D4" i="4"/>
  <c r="F4" i="4" s="1"/>
  <c r="M14" i="3"/>
  <c r="R14" i="3"/>
  <c r="R5" i="4" l="1"/>
  <c r="G5" i="4" s="1"/>
  <c r="C5" i="4"/>
  <c r="R6" i="4"/>
  <c r="G6" i="4" s="1"/>
  <c r="C6" i="4"/>
  <c r="E6" i="4" l="1"/>
  <c r="D6" i="4"/>
  <c r="F6" i="4" s="1"/>
  <c r="E5" i="4"/>
  <c r="D5" i="4"/>
  <c r="F5" i="4" s="1"/>
</calcChain>
</file>

<file path=xl/sharedStrings.xml><?xml version="1.0" encoding="utf-8"?>
<sst xmlns="http://schemas.openxmlformats.org/spreadsheetml/2006/main" count="351" uniqueCount="313">
  <si>
    <t>3325 Banks Rd - Investor Return Model</t>
  </si>
  <si>
    <t>Editable inputs are in column B. Outputs update through formulas.</t>
  </si>
  <si>
    <t>Project Timing</t>
  </si>
  <si>
    <t>Stabilization / Refinance Year</t>
  </si>
  <si>
    <t>Year when refinance proceeds are modeled</t>
  </si>
  <si>
    <t>Sale / Exit Year</t>
  </si>
  <si>
    <t>Model uses annual periods 0 through this year</t>
  </si>
  <si>
    <t>Rental Program</t>
  </si>
  <si>
    <t>First Floor Premium Suites</t>
  </si>
  <si>
    <t>Private bed/bath/kitchenette suites</t>
  </si>
  <si>
    <t>Monthly Rent per Premium Suite</t>
  </si>
  <si>
    <t>Editable rent assumption</t>
  </si>
  <si>
    <t>Second Floor Co-Living Suites</t>
  </si>
  <si>
    <t>Private bed/bath with shared amenities</t>
  </si>
  <si>
    <t>Monthly Rent per Co-Living Suite</t>
  </si>
  <si>
    <t>Other Monthly Income</t>
  </si>
  <si>
    <t>Parking, utility fees, laundry, etc.</t>
  </si>
  <si>
    <t>Stabilized Occupancy</t>
  </si>
  <si>
    <t>Before operating expense load</t>
  </si>
  <si>
    <t>Year 1 Lease-Up Occupancy</t>
  </si>
  <si>
    <t>First partial operating year</t>
  </si>
  <si>
    <t>Selected Operating Expense Ratio</t>
  </si>
  <si>
    <t>From Operating Expense Budget tab; toggle between assumed ratio and calculated budget ratio</t>
  </si>
  <si>
    <t>NOI Growth</t>
  </si>
  <si>
    <t>Annual growth after stabilization</t>
  </si>
  <si>
    <t>Stabilized Monthly Gross Rent</t>
  </si>
  <si>
    <t>Calculated</t>
  </si>
  <si>
    <t>Debt / Refinance / Exit</t>
  </si>
  <si>
    <t>Existing First Mortgage</t>
  </si>
  <si>
    <t>Existing debt to be paid from refinance proceeds</t>
  </si>
  <si>
    <t>Private Debt Principal</t>
  </si>
  <si>
    <t>Private debt principal; interest-only before payoff</t>
  </si>
  <si>
    <t>Private Debt Interest Rate</t>
  </si>
  <si>
    <t>Interest-only private debt rate</t>
  </si>
  <si>
    <t>Total Existing Debt Payoff</t>
  </si>
  <si>
    <t>Existing first mortgage plus private debt principal</t>
  </si>
  <si>
    <t>Refinance Loan-to-Value Cap</t>
  </si>
  <si>
    <t>Maximum refinance loan as % of stabilized value</t>
  </si>
  <si>
    <t>Refinance Loan Amount</t>
  </si>
  <si>
    <t>Only new loan; takeout/refinance proceeds, not development or construction debt</t>
  </si>
  <si>
    <t>Refi Proceeds After Existing Debt</t>
  </si>
  <si>
    <t>Available to Class A first through waterfall</t>
  </si>
  <si>
    <t>Refi Remaining After Debt + Class A</t>
  </si>
  <si>
    <t>Indicative amount available to Class B before waterfall details</t>
  </si>
  <si>
    <t>Refinance Loan Interest Rate</t>
  </si>
  <si>
    <t>Annual fixed rate on stabilization refinance loan</t>
  </si>
  <si>
    <t>Refinance Loan Amortization Years</t>
  </si>
  <si>
    <t>Used for annual debt service after stabilization refinance</t>
  </si>
  <si>
    <t>Exit Cap Rate</t>
  </si>
  <si>
    <t>Sale value = following year NOI / cap rate</t>
  </si>
  <si>
    <t>Selling Costs</t>
  </si>
  <si>
    <t>Percent deducted from gross sale value</t>
  </si>
  <si>
    <t>Capital Stack / Waterfall</t>
  </si>
  <si>
    <t>Class A Capital</t>
  </si>
  <si>
    <t>Preferred capital raise</t>
  </si>
  <si>
    <t>Class A Preferred Return</t>
  </si>
  <si>
    <t>Cumulative annual preferred return</t>
  </si>
  <si>
    <t>Class B Capital</t>
  </si>
  <si>
    <t>Subordinate beneficiary capital; This is dependant upon the project cost calculated in Cost Anaylsis</t>
  </si>
  <si>
    <t>Class B Capital Return Priority</t>
  </si>
  <si>
    <t>1 = return Class B capital before residual split</t>
  </si>
  <si>
    <t>Class B Residual Share</t>
  </si>
  <si>
    <t>Residual cash flow / sale proceeds after priority payments</t>
  </si>
  <si>
    <t>Sponsor Residual Share</t>
  </si>
  <si>
    <t>Default aligns with ~60% sponsor residual participation</t>
  </si>
  <si>
    <t>Sponsor Basis / Deemed Investment</t>
  </si>
  <si>
    <t>Land/control/origination value used for sponsor ROI</t>
  </si>
  <si>
    <t>Model Note</t>
  </si>
  <si>
    <t>This is a planning model, not tax, legal, securities, or investment advice.</t>
  </si>
  <si>
    <t>Annual Project Model</t>
  </si>
  <si>
    <t>Year</t>
  </si>
  <si>
    <t>Phase</t>
  </si>
  <si>
    <t>Gross Potential Rent</t>
  </si>
  <si>
    <t>Effective Gross Income</t>
  </si>
  <si>
    <t>Operating Expenses</t>
  </si>
  <si>
    <t>NOI</t>
  </si>
  <si>
    <t>Debt Service</t>
  </si>
  <si>
    <t>Cash Before Refi/Sale</t>
  </si>
  <si>
    <t>Net Refi/Sale Proceeds</t>
  </si>
  <si>
    <t>Total Cash Available</t>
  </si>
  <si>
    <t>Loan Balance</t>
  </si>
  <si>
    <t>Property Value / Refi Value</t>
  </si>
  <si>
    <t>Capitalization / Entitlement</t>
  </si>
  <si>
    <t>Lease-Up</t>
  </si>
  <si>
    <t>Stabilization / Refi</t>
  </si>
  <si>
    <t>Operations</t>
  </si>
  <si>
    <t>Exit</t>
  </si>
  <si>
    <t>Annual Waterfall</t>
  </si>
  <si>
    <t>Cash Available</t>
  </si>
  <si>
    <t>Class A Beg. Accrued Pref</t>
  </si>
  <si>
    <t>Class A Pref Accrued</t>
  </si>
  <si>
    <t>Class A Pref Paid</t>
  </si>
  <si>
    <t>Class A Beg. Capital</t>
  </si>
  <si>
    <t>Class A Capital Returned</t>
  </si>
  <si>
    <t>Class A End Accrued Pref</t>
  </si>
  <si>
    <t>Class A End Capital</t>
  </si>
  <si>
    <t>Cash After Class A</t>
  </si>
  <si>
    <t>Class B Beg. Capital</t>
  </si>
  <si>
    <t>Class B Capital Returned</t>
  </si>
  <si>
    <t>Class B End Capital</t>
  </si>
  <si>
    <t>Residual to Class B</t>
  </si>
  <si>
    <t>Residual to Sponsor</t>
  </si>
  <si>
    <t>Total Class A Dist.</t>
  </si>
  <si>
    <t>Total Class B Dist.</t>
  </si>
  <si>
    <t>Total Sponsor Dist.</t>
  </si>
  <si>
    <t>Investor / Sponsor Return Summary</t>
  </si>
  <si>
    <t>Participant</t>
  </si>
  <si>
    <t>Capital / Basis</t>
  </si>
  <si>
    <t>Total Distributions</t>
  </si>
  <si>
    <t>Net Profit</t>
  </si>
  <si>
    <t>Equity Multiple</t>
  </si>
  <si>
    <t>ROI %</t>
  </si>
  <si>
    <t>IRR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</si>
  <si>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</si>
  <si>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</si>
  <si>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</si>
  <si>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</si>
  <si>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</si>
  <si>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</si>
  <si>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</si>
  <si>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</si>
  <si>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</si>
  <si>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</si>
  <si>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</si>
  <si>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Class A</t>
  </si>
  <si>
    <t>Class B</t>
  </si>
  <si>
    <t>Sponsor</t>
  </si>
  <si>
    <t>Important</t>
  </si>
  <si>
    <t>Class A preferred return is modeled as cumulative simple annual accrual on unrecovered Class A capital. Class B capital is returned before residual splits when the Assumptions toggle is set to 1.</t>
  </si>
  <si>
    <t>Model Notes</t>
  </si>
  <si>
    <t>Purpose</t>
  </si>
  <si>
    <t>Calculates project-level cash available, then allocates distributions to Class A, Class B, and Sponsor through a simplified waterfall.</t>
  </si>
  <si>
    <t>Key editable cells</t>
  </si>
  <si>
    <t>Use the Assumptions tab, column B.</t>
  </si>
  <si>
    <t>Modeled with 8% cumulative annual preferred return by default, then return of capital, then no residual share unless you revise the waterfall.</t>
  </si>
  <si>
    <t>Modeled as subordinate capital that can receive capital back before residual distributions, plus residual participation.</t>
  </si>
  <si>
    <t>Modeled using sponsor basis / deemed investment as the return denominator and sponsor residual share as the distribution source.</t>
  </si>
  <si>
    <t>Caution</t>
  </si>
  <si>
    <t>This workbook is for planning and discussion only. It is not legal, tax, securities, appraisal, or investment advice. Have counsel and CPA review before investor use.</t>
  </si>
  <si>
    <t>3325 Banks Rd - Design, Development &amp; Build Cost Analysis</t>
  </si>
  <si>
    <t>Status</t>
  </si>
  <si>
    <t>Planning estimate added 2026-05-11</t>
  </si>
  <si>
    <t>Source Markdown</t>
  </si>
  <si>
    <t>04_Design_Development_and_Build_Cost_Analysis.md</t>
  </si>
  <si>
    <t>Workbook-Backed Capital / Refinance Assumptions</t>
  </si>
  <si>
    <t>Amount</t>
  </si>
  <si>
    <t>Notes</t>
  </si>
  <si>
    <t>Member Capital Source</t>
  </si>
  <si>
    <t>Existing first mortgage</t>
  </si>
  <si>
    <t>Existing debt; paid from refinance proceeds</t>
  </si>
  <si>
    <t>Class A capital</t>
  </si>
  <si>
    <t>Preferred member capital</t>
  </si>
  <si>
    <t>Private debt principal</t>
  </si>
  <si>
    <t>Existing private debt; 10% interest-only before payoff</t>
  </si>
  <si>
    <t>Class B capital</t>
  </si>
  <si>
    <t>Completion capital after Class A</t>
  </si>
  <si>
    <t>Private debt interest-only rate</t>
  </si>
  <si>
    <t>Interest-only rate on private debt</t>
  </si>
  <si>
    <t>Development/construction loan</t>
  </si>
  <si>
    <t>No project loan before stabilization refinance</t>
  </si>
  <si>
    <t>Refinance loan amount</t>
  </si>
  <si>
    <t>Only new loan; takeout/refinance only</t>
  </si>
  <si>
    <t>Refi after existing debt</t>
  </si>
  <si>
    <t>Flows to Class A first through waterfall</t>
  </si>
  <si>
    <t>Sponsor basis / deemed investment</t>
  </si>
  <si>
    <t>Existing assumption</t>
  </si>
  <si>
    <t>Refi remaining after debt + Class A</t>
  </si>
  <si>
    <t>Indicative amount available to Class B</t>
  </si>
  <si>
    <t>Total Class A + Class B capitalization</t>
  </si>
  <si>
    <t>Development/build capital raised from members only</t>
  </si>
  <si>
    <t>Select Scenario:</t>
  </si>
  <si>
    <t>Low</t>
  </si>
  <si>
    <t>Project Cost Case Summary</t>
  </si>
  <si>
    <t>Case Selection</t>
  </si>
  <si>
    <t>Sponsor-Controlled Case (from controlling bridge below)</t>
  </si>
  <si>
    <t>Sponsor-Controlled</t>
  </si>
  <si>
    <t>Outside-Market Benchmark (from outside-market subtotals below)</t>
  </si>
  <si>
    <t>Selected Underwriting Case For Capitalization</t>
  </si>
  <si>
    <t>Selected Total Project Cost</t>
  </si>
  <si>
    <t>Selected Cost Metrics</t>
  </si>
  <si>
    <t>Low Case</t>
  </si>
  <si>
    <t>High Case</t>
  </si>
  <si>
    <t>Cost per SF at 5,000 SF</t>
  </si>
  <si>
    <t>Cost per SF at 6,000 SF</t>
  </si>
  <si>
    <t>Controlling Sponsor-Controlled Line-Item Bridge</t>
  </si>
  <si>
    <t>High</t>
  </si>
  <si>
    <t>Design, entitlement, permits, and professional services</t>
  </si>
  <si>
    <t>Development, financing, insurance, carrying, and administration</t>
  </si>
  <si>
    <t>Post-frame building shell and interior buildout</t>
  </si>
  <si>
    <t>Sitework, access, grading, drainage, and parking</t>
  </si>
  <si>
    <t>Private utilities, well, wastewater, and related infrastructure</t>
  </si>
  <si>
    <t>Furnishings, fixtures, equipment, and turnover</t>
  </si>
  <si>
    <t>Contingency and owner reserve</t>
  </si>
  <si>
    <t>Sponsor-Controlled Total Package</t>
  </si>
  <si>
    <t>Funding Gap Analysis</t>
  </si>
  <si>
    <t>Selected</t>
  </si>
  <si>
    <t>Estimated total project cost</t>
  </si>
  <si>
    <t>Class A + Class B capitalization</t>
  </si>
  <si>
    <t>Potential unfunded development gap</t>
  </si>
  <si>
    <t>Outside Market - Design &amp; Entitlement Detail</t>
  </si>
  <si>
    <t>Architecture and building design</t>
  </si>
  <si>
    <t>Civil engineering and site planning</t>
  </si>
  <si>
    <t>Septic, soil, and wastewater engineering</t>
  </si>
  <si>
    <t>Survey, testing, environmental, and due diligence</t>
  </si>
  <si>
    <t>Permitting, review, and municipal/county coordination</t>
  </si>
  <si>
    <t>Legal, accounting, and trust structuring</t>
  </si>
  <si>
    <t>Design/entitlement contingency</t>
  </si>
  <si>
    <t>Design &amp; entitlement total</t>
  </si>
  <si>
    <t>Outside Market - Development &amp; Pre-Construction Detail</t>
  </si>
  <si>
    <t>Development management / sponsor fee</t>
  </si>
  <si>
    <t>Financing, lender, appraisal, and closing costs</t>
  </si>
  <si>
    <t>Insurance, taxes, utilities, and carrying costs</t>
  </si>
  <si>
    <t>Accounting, administration, and reporting</t>
  </si>
  <si>
    <t>Leasing, operations setup, and launch costs</t>
  </si>
  <si>
    <t>Development contingency / liquidity reserve</t>
  </si>
  <si>
    <t>Development &amp; pre-construction total</t>
  </si>
  <si>
    <t>Outside Market - Build &amp; Delivery Detail</t>
  </si>
  <si>
    <t>Building construction, 5,000-6,000 SF</t>
  </si>
  <si>
    <t>Sitework, grading, access, parking, and drainage</t>
  </si>
  <si>
    <t>Private utilities and well infrastructure</t>
  </si>
  <si>
    <t>Engineered onsite wastewater system</t>
  </si>
  <si>
    <t>Construction contingency</t>
  </si>
  <si>
    <t>Build &amp; delivery total</t>
  </si>
  <si>
    <t>Sponsor-Controlled Cost Justification</t>
  </si>
  <si>
    <t>Cost-positioning note</t>
  </si>
  <si>
    <t>700,000-1,300,000 is a target range, not a guaranteed budget. It depends on post-frame construction, sponsor-owned equipment, sponsor-controlled crew capacity, disciplined finish scope, and avoiding a high-cost engineered wastewater outcome.</t>
  </si>
  <si>
    <t>Conditions Required To Support Target Range</t>
  </si>
  <si>
    <t>Post-frame approach accepted through design and permitting</t>
  </si>
  <si>
    <t>Yes</t>
  </si>
  <si>
    <t>Confirmed cost saver</t>
  </si>
  <si>
    <t>Sponsor can self-perform or directly manage meaningful construction scope</t>
  </si>
  <si>
    <t>Equipment ownership reduces sitework and construction logistics cost</t>
  </si>
  <si>
    <t>Major subcontracted trades are competitively bid</t>
  </si>
  <si>
    <t>Wastewater solution does not require a high-end engineered system</t>
  </si>
  <si>
    <t>No</t>
  </si>
  <si>
    <t>Not confirmed; risk reserve retained</t>
  </si>
  <si>
    <t>Suite count and bathroom/kitchenette count do not expand</t>
  </si>
  <si>
    <t>Confirmed scope control</t>
  </si>
  <si>
    <t>Finish package stays durable and efficient rather than luxury</t>
  </si>
  <si>
    <t>Confirmed finish discipline</t>
  </si>
  <si>
    <t>Project carries a disciplined contingency</t>
  </si>
  <si>
    <t>Confirmed reserve discipline</t>
  </si>
  <si>
    <t>Risks That Could Break Target Range</t>
  </si>
  <si>
    <t>Advanced/high-cost wastewater system requirement</t>
  </si>
  <si>
    <t>Confirmed risk; wastewater allowance increased</t>
  </si>
  <si>
    <t>Expensive fire, code, or occupancy upgrades</t>
  </si>
  <si>
    <t>Higher-than-expected mechanical/electrical/plumbing scope</t>
  </si>
  <si>
    <t>Extensive parking, drainage, or access improvements</t>
  </si>
  <si>
    <t>Sponsor crew advantage limited by labor availability</t>
  </si>
  <si>
    <t>Finish level moves closer to conventional apartment construction</t>
  </si>
  <si>
    <t>Confirmed risk; FF&amp;E/contingency allowance increased</t>
  </si>
  <si>
    <t>3325 Banks Rd - Operating Expense Budget</t>
  </si>
  <si>
    <t>Toggle / Selection</t>
  </si>
  <si>
    <t>Use Calculated Budget Ratio?</t>
  </si>
  <si>
    <t>FALSE = use assumed ratio; TRUE = use calculated budget ratio</t>
  </si>
  <si>
    <t>Assumed Operating Expense Ratio</t>
  </si>
  <si>
    <t>Current planning assumption reflected in Assumptions tab when toggle is FALSE</t>
  </si>
  <si>
    <t>Calculated Operating Expense Ratio</t>
  </si>
  <si>
    <t>Total annual operating expense budget / effective gross income</t>
  </si>
  <si>
    <t>Feeds Assumptions!B15</t>
  </si>
  <si>
    <t>Revenue Basis</t>
  </si>
  <si>
    <t>Stabilized Effective Gross Income</t>
  </si>
  <si>
    <t>Annual stabilized EGI after occupancy</t>
  </si>
  <si>
    <t>Expense Category</t>
  </si>
  <si>
    <t>Annual Amount</t>
  </si>
  <si>
    <t>Basis / Notes</t>
  </si>
  <si>
    <t>Property taxes</t>
  </si>
  <si>
    <t>Placeholder; replace with assessed value/tax estimate</t>
  </si>
  <si>
    <t>Property insurance</t>
  </si>
  <si>
    <t>Hazard/liability coverage estimate</t>
  </si>
  <si>
    <t>Property management / administration</t>
  </si>
  <si>
    <t>Approx. 6% of stabilized EGI</t>
  </si>
  <si>
    <t>Utilities - electric</t>
  </si>
  <si>
    <t>Owner-paid/common-area and vacancy exposure</t>
  </si>
  <si>
    <t>Utilities - water / well maintenance</t>
  </si>
  <si>
    <t>Well testing, maintenance, treatment allowance</t>
  </si>
  <si>
    <t>Utilities - internet</t>
  </si>
  <si>
    <t>Shared/furnished rental expectation</t>
  </si>
  <si>
    <t>Trash / recycling</t>
  </si>
  <si>
    <t>Recurring service</t>
  </si>
  <si>
    <t>Repairs and maintenance</t>
  </si>
  <si>
    <t>Routine R&amp;M reserve</t>
  </si>
  <si>
    <t>Turnover, cleaning, and supplies</t>
  </si>
  <si>
    <t>Co-living/furnished turnover allowance</t>
  </si>
  <si>
    <t>Landscaping / grounds</t>
  </si>
  <si>
    <t>Mowing, upkeep, seasonal cleanup</t>
  </si>
  <si>
    <t>Pest control</t>
  </si>
  <si>
    <t>Septic / wastewater maintenance</t>
  </si>
  <si>
    <t>Inspection, pump, service contracts</t>
  </si>
  <si>
    <t>CapEx / replacement reserve</t>
  </si>
  <si>
    <t>Furniture, fixtures, equipment, building reserves</t>
  </si>
  <si>
    <t>Marketing / leasing</t>
  </si>
  <si>
    <t>Listings, tenant placement, materials</t>
  </si>
  <si>
    <t>Bookkeeping / accounting</t>
  </si>
  <si>
    <t>Operating accounting/reporting</t>
  </si>
  <si>
    <t>Legal / compliance</t>
  </si>
  <si>
    <t>Lease forms, notices, compliance allowance</t>
  </si>
  <si>
    <t>Licenses, permits, inspections</t>
  </si>
  <si>
    <t>Recurring local/regulatory allowance</t>
  </si>
  <si>
    <t>Security / access control</t>
  </si>
  <si>
    <t>Locks, cameras, access systems, monitoring</t>
  </si>
  <si>
    <t>Common area furnishings replacement</t>
  </si>
  <si>
    <t>Shared space replacement reserve</t>
  </si>
  <si>
    <t>Laundry equipment maintenance</t>
  </si>
  <si>
    <t>Repair/replacement allowance</t>
  </si>
  <si>
    <t>Snow/ice/storm cleanup reserve</t>
  </si>
  <si>
    <t>Weather/event allowance</t>
  </si>
  <si>
    <t>Bad debt / collections</t>
  </si>
  <si>
    <t>Collection loss allowance</t>
  </si>
  <si>
    <t>Miscellaneous / operating contingency</t>
  </si>
  <si>
    <t>Catch-all reserve</t>
  </si>
  <si>
    <t>Total Annual Operating Expense Budget</t>
  </si>
  <si>
    <t>Calculated from line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</si>
</sst>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%"/>
  </numFmts>
  <fonts count="7">
    <font>
      <sz val="11"/>
      <name val="Calibri"/>
    </font>
    <font>
      <b/>
      <sz val="11"/>
      <name val="Calibri"/>
    </font>
    <font>
      <b/>
      <sz val="14"/>
      <name val="Calibri"/>
    </font>
    <font>
      <b/>
      <sz val="11"/>
      <name val="Calibri"/>
      <family val="2"/>
    </font>
    <font>
      <sz val="11"/>
      <name val="Calibri"/>
      <family val="2"/>
    </font>
    <font>
      <i/>
      <sz val="10"/>
      <color rgb="FF666666"/>
      <name val="Calibri"/>
      <family val="2"/>
    </font>
    <font>
      <b/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164" fontId="0" fillId="0" borderId="0" xfId="0" applyNumberFormat="1"/>
    <xf numFmtId="3" fontId="0" fillId="0" borderId="0" xfId="0" applyNumberFormat="1"/>
    <xf numFmtId="3" fontId="2" fillId="0" borderId="0" xfId="0" applyNumberFormat="1" applyFont="1"/>
    <xf numFmtId="3" fontId="1" fillId="2" borderId="1" xfId="0" applyNumberFormat="1" applyFont="1" applyFill="1" applyBorder="1"/>
    <xf numFmtId="0" fontId="3" fillId="0" borderId="0" xfId="0" applyFont="1"/>
    <xf numFmtId="0" fontId="4" fillId="0" borderId="0" xfId="0" applyFont="1"/>
    <xf numFmtId="3" fontId="3" fillId="0" borderId="0" xfId="0" applyNumberFormat="1" applyFont="1"/>
    <xf numFmtId="0" fontId="3" fillId="0" borderId="0" xfId="0" applyFont="1" applyAlignment="1">
      <alignment horizontal="right"/>
    </xf>
    <xf numFmtId="3" fontId="0" fillId="3" borderId="0" xfId="0" applyNumberFormat="1" applyFill="1"/>
    <xf numFmtId="3" fontId="4" fillId="3" borderId="0" xfId="0" applyNumberFormat="1" applyFont="1" applyFill="1"/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4" fillId="0" borderId="0" xfId="0" applyNumberFormat="1" applyFont="1"/>
    <xf numFmtId="0" fontId="4" fillId="0" borderId="0" xfId="0" applyFont="1" applyAlignment="1">
      <alignment horizontal="center"/>
    </xf>
    <xf numFmtId="1" fontId="4" fillId="0" borderId="0" xfId="0" applyNumberFormat="1" applyFont="1"/>
    <xf numFmtId="3" fontId="3" fillId="0" borderId="2" xfId="0" applyNumberFormat="1" applyFont="1" applyBorder="1" applyAlignment="1">
      <alignment horizontal="center"/>
    </xf>
    <xf numFmtId="3" fontId="3" fillId="0" borderId="0" xfId="0" applyNumberFormat="1" applyFont="1" applyAlignment="1">
      <alignment horizontal="right"/>
    </xf>
    <xf numFmtId="0" fontId="0" fillId="0" borderId="3" xfId="0" applyBorder="1"/>
    <xf numFmtId="164" fontId="0" fillId="0" borderId="4" xfId="0" applyNumberFormat="1" applyBorder="1"/>
    <xf numFmtId="3" fontId="5" fillId="0" borderId="0" xfId="0" applyNumberFormat="1" applyFont="1"/>
    <xf numFmtId="165" fontId="0" fillId="0" borderId="0" xfId="0" applyNumberFormat="1"/>
    <xf numFmtId="3" fontId="6" fillId="0" borderId="0" xfId="0" applyNumberFormat="1" applyFont="1"/>
    <xf numFmtId="3" fontId="3" fillId="2" borderId="1" xfId="0" applyNumberFormat="1" applyFont="1" applyFill="1" applyBorder="1"/>
    <xf numFmtId="164" fontId="4" fillId="0" borderId="0" xfId="0" applyNumberFormat="1" applyFont="1"/>
    <xf numFmtId="3" fontId="3" fillId="2" borderId="1" xfId="0" applyNumberFormat="1" applyFont="1" applyFill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3" fontId="4" fillId="0" borderId="0" xfId="0" applyNumberFormat="1" applyFont="1" applyAlignment="1">
      <alignment horizontal="center" wrapText="1"/>
    </xf>
    <xf numFmtId="3" fontId="5" fillId="0" borderId="0" xfId="0" applyNumberFormat="1" applyFont="1" applyAlignment="1"/>
    <xf numFmtId="0" fontId="4" fillId="0" borderId="0" xfId="0" applyFont="1" applyAlignment="1"/>
    <xf numFmtId="3" fontId="6" fillId="0" borderId="0" xfId="0" applyNumberFormat="1" applyFont="1" applyAlignment="1"/>
    <xf numFmtId="3" fontId="4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CheckBox" fmlaLink="'Operating Expense Budget'!$I$4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2219325</xdr:colOff>
          <xdr:row>6</xdr:row>
          <xdr:rowOff>19050</xdr:rowOff>
        </xdr:from>
        <xdr:to>
          <xdr:col>0</xdr:col>
          <xdr:colOff>2409825</xdr:colOff>
          <xdr:row>6</xdr:row>
          <xdr:rowOff>161925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6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workbookViewId="0">
      <selection activeCell="B21" sqref="B21"/>
    </sheetView>
  </sheetViews>
  <sheetFormatPr defaultRowHeight="15"/>
  <cols>
    <col min="1" max="1" width="47" style="6" bestFit="1" customWidth="1"/>
    <col min="2" max="2" width="7.5703125" style="6" bestFit="1" customWidth="1"/>
    <col min="3" max="3" width="78.28515625" style="6" bestFit="1" customWidth="1"/>
    <col min="4" max="16384" width="9.140625" style="6"/>
  </cols>
  <sheetData>
    <row r="1" spans="1:3" ht="18.75">
      <c r="A1" s="22" t="s">
        <v>0</v>
      </c>
      <c r="B1" s="13"/>
      <c r="C1" s="20" t="s">
        <v>1</v>
      </c>
    </row>
    <row r="2" spans="1:3">
      <c r="A2" s="13"/>
      <c r="B2" s="13"/>
      <c r="C2" s="13"/>
    </row>
    <row r="3" spans="1:3">
      <c r="A3" s="23" t="s">
        <v>2</v>
      </c>
      <c r="B3" s="13"/>
      <c r="C3" s="13"/>
    </row>
    <row r="4" spans="1:3">
      <c r="A4" s="13" t="s">
        <v>3</v>
      </c>
      <c r="B4" s="15">
        <v>2</v>
      </c>
      <c r="C4" s="20" t="s">
        <v>4</v>
      </c>
    </row>
    <row r="5" spans="1:3">
      <c r="A5" s="13" t="s">
        <v>5</v>
      </c>
      <c r="B5" s="15">
        <v>4</v>
      </c>
      <c r="C5" s="20" t="s">
        <v>6</v>
      </c>
    </row>
    <row r="6" spans="1:3">
      <c r="A6" s="13"/>
      <c r="B6" s="13"/>
      <c r="C6" s="13"/>
    </row>
    <row r="7" spans="1:3">
      <c r="A7" s="23" t="s">
        <v>7</v>
      </c>
      <c r="B7" s="13"/>
      <c r="C7" s="13"/>
    </row>
    <row r="8" spans="1:3">
      <c r="A8" s="13" t="s">
        <v>8</v>
      </c>
      <c r="B8" s="15">
        <v>4</v>
      </c>
      <c r="C8" s="20" t="s">
        <v>9</v>
      </c>
    </row>
    <row r="9" spans="1:3">
      <c r="A9" s="13" t="s">
        <v>10</v>
      </c>
      <c r="B9" s="13">
        <v>1600</v>
      </c>
      <c r="C9" s="20" t="s">
        <v>11</v>
      </c>
    </row>
    <row r="10" spans="1:3">
      <c r="A10" s="13" t="s">
        <v>12</v>
      </c>
      <c r="B10" s="15">
        <v>4</v>
      </c>
      <c r="C10" s="20" t="s">
        <v>13</v>
      </c>
    </row>
    <row r="11" spans="1:3">
      <c r="A11" s="13" t="s">
        <v>14</v>
      </c>
      <c r="B11" s="13">
        <v>1100</v>
      </c>
      <c r="C11" s="20" t="s">
        <v>11</v>
      </c>
    </row>
    <row r="12" spans="1:3">
      <c r="A12" s="13" t="s">
        <v>15</v>
      </c>
      <c r="B12" s="13">
        <v>0</v>
      </c>
      <c r="C12" s="20" t="s">
        <v>16</v>
      </c>
    </row>
    <row r="13" spans="1:3">
      <c r="A13" s="13" t="s">
        <v>17</v>
      </c>
      <c r="B13" s="24">
        <v>0.93</v>
      </c>
      <c r="C13" s="20" t="s">
        <v>18</v>
      </c>
    </row>
    <row r="14" spans="1:3">
      <c r="A14" s="13" t="s">
        <v>19</v>
      </c>
      <c r="B14" s="24">
        <v>0.5</v>
      </c>
      <c r="C14" s="20" t="s">
        <v>20</v>
      </c>
    </row>
    <row r="15" spans="1:3">
      <c r="A15" s="13" t="s">
        <v>21</v>
      </c>
      <c r="B15" s="24">
        <f>SelectedOperatingExpenseRatio</f>
        <v>0.4</v>
      </c>
      <c r="C15" s="20" t="s">
        <v>22</v>
      </c>
    </row>
    <row r="16" spans="1:3">
      <c r="A16" s="13" t="s">
        <v>23</v>
      </c>
      <c r="B16" s="24">
        <v>0.03</v>
      </c>
      <c r="C16" s="20" t="s">
        <v>24</v>
      </c>
    </row>
    <row r="17" spans="1:3">
      <c r="A17" s="13" t="s">
        <v>25</v>
      </c>
      <c r="B17" s="13">
        <f>PremiumSuites*PremiumSuiteRent+CoLivingSuites*CoLivingSuiteRent+OtherMonthlyIncome</f>
        <v>10800</v>
      </c>
      <c r="C17" s="20" t="s">
        <v>26</v>
      </c>
    </row>
    <row r="18" spans="1:3">
      <c r="A18" s="13"/>
      <c r="B18" s="13"/>
      <c r="C18" s="13"/>
    </row>
    <row r="19" spans="1:3">
      <c r="A19" s="23" t="s">
        <v>27</v>
      </c>
      <c r="B19" s="13"/>
      <c r="C19" s="13"/>
    </row>
    <row r="20" spans="1:3">
      <c r="A20" s="13" t="s">
        <v>28</v>
      </c>
      <c r="B20" s="13">
        <v>119000</v>
      </c>
      <c r="C20" s="20" t="s">
        <v>29</v>
      </c>
    </row>
    <row r="21" spans="1:3">
      <c r="A21" s="13" t="s">
        <v>30</v>
      </c>
      <c r="B21" s="13">
        <v>75000</v>
      </c>
      <c r="C21" s="20" t="s">
        <v>31</v>
      </c>
    </row>
    <row r="22" spans="1:3">
      <c r="A22" s="13" t="s">
        <v>32</v>
      </c>
      <c r="B22" s="24">
        <v>0.1</v>
      </c>
      <c r="C22" s="20" t="s">
        <v>33</v>
      </c>
    </row>
    <row r="23" spans="1:3">
      <c r="A23" s="13" t="s">
        <v>34</v>
      </c>
      <c r="B23" s="13">
        <f>_xlfn.SINGLE(ExistingFirstMortgage)+_xlfn.SINGLE(PrivateDebtPrincipal)</f>
        <v>194000</v>
      </c>
      <c r="C23" s="20" t="s">
        <v>35</v>
      </c>
    </row>
    <row r="24" spans="1:3">
      <c r="A24" s="13" t="s">
        <v>36</v>
      </c>
      <c r="B24" s="24">
        <v>0.7</v>
      </c>
      <c r="C24" s="20" t="s">
        <v>37</v>
      </c>
    </row>
    <row r="25" spans="1:3">
      <c r="A25" s="13" t="s">
        <v>38</v>
      </c>
      <c r="B25" s="13">
        <f>MIN((StabilizedMonthlyGrossRent*12*StabilizedOccupancy*(1-OperatingExpenseRatio)*(1+NOIGrowth)/ExitCapRate)*_xlfn.SINGLE(RefinanceLoanToValueCap),_xlfn.SINGLE(TotalExistingDebt)+ClassACapital+ClassBCapital)</f>
        <v>744863.0399999998</v>
      </c>
      <c r="C25" s="20" t="s">
        <v>39</v>
      </c>
    </row>
    <row r="26" spans="1:3">
      <c r="A26" s="13" t="s">
        <v>40</v>
      </c>
      <c r="B26" s="13">
        <f>MAX(0,_xlfn.SINGLE(RefinanceLoanAmount)-_xlfn.SINGLE(TotalExistingDebt))</f>
        <v>550863.0399999998</v>
      </c>
      <c r="C26" s="20" t="s">
        <v>41</v>
      </c>
    </row>
    <row r="27" spans="1:3">
      <c r="A27" s="13" t="s">
        <v>42</v>
      </c>
      <c r="B27" s="13">
        <f>MAX(0,_xlfn.SINGLE(RefinanceLoanAmount)-_xlfn.SINGLE(TotalExistingDebt)-ClassACapital)</f>
        <v>250863.0399999998</v>
      </c>
      <c r="C27" s="20" t="s">
        <v>43</v>
      </c>
    </row>
    <row r="28" spans="1:3">
      <c r="A28" s="13" t="s">
        <v>44</v>
      </c>
      <c r="B28" s="24">
        <v>6.5000000000000002E-2</v>
      </c>
      <c r="C28" s="20" t="s">
        <v>45</v>
      </c>
    </row>
    <row r="29" spans="1:3">
      <c r="A29" s="13" t="s">
        <v>46</v>
      </c>
      <c r="B29" s="15">
        <v>30</v>
      </c>
      <c r="C29" s="20" t="s">
        <v>47</v>
      </c>
    </row>
    <row r="30" spans="1:3">
      <c r="A30" s="13" t="s">
        <v>48</v>
      </c>
      <c r="B30" s="24">
        <v>7.0000000000000007E-2</v>
      </c>
      <c r="C30" s="20" t="s">
        <v>49</v>
      </c>
    </row>
    <row r="31" spans="1:3">
      <c r="A31" s="13" t="s">
        <v>50</v>
      </c>
      <c r="B31" s="24">
        <v>0.02</v>
      </c>
      <c r="C31" s="20" t="s">
        <v>51</v>
      </c>
    </row>
    <row r="32" spans="1:3">
      <c r="A32" s="13"/>
      <c r="B32" s="13"/>
      <c r="C32" s="13"/>
    </row>
    <row r="33" spans="1:3">
      <c r="A33" s="23" t="s">
        <v>52</v>
      </c>
      <c r="B33" s="13"/>
      <c r="C33" s="13"/>
    </row>
    <row r="34" spans="1:3">
      <c r="A34" s="13" t="s">
        <v>53</v>
      </c>
      <c r="B34" s="13">
        <v>300000</v>
      </c>
      <c r="C34" s="20" t="s">
        <v>54</v>
      </c>
    </row>
    <row r="35" spans="1:3">
      <c r="A35" s="13" t="s">
        <v>55</v>
      </c>
      <c r="B35" s="24">
        <v>0.08</v>
      </c>
      <c r="C35" s="20" t="s">
        <v>56</v>
      </c>
    </row>
    <row r="36" spans="1:3">
      <c r="A36" s="13" t="s">
        <v>57</v>
      </c>
      <c r="B36" s="13">
        <f>MAX(0,SelectedProjectCost-ClassACapital)</f>
        <v>450000</v>
      </c>
      <c r="C36" s="20" t="s">
        <v>58</v>
      </c>
    </row>
    <row r="37" spans="1:3">
      <c r="A37" s="13" t="s">
        <v>59</v>
      </c>
      <c r="B37" s="15">
        <v>1</v>
      </c>
      <c r="C37" s="20" t="s">
        <v>60</v>
      </c>
    </row>
    <row r="38" spans="1:3">
      <c r="A38" s="13" t="s">
        <v>61</v>
      </c>
      <c r="B38" s="24">
        <v>0.4</v>
      </c>
      <c r="C38" s="20" t="s">
        <v>62</v>
      </c>
    </row>
    <row r="39" spans="1:3">
      <c r="A39" s="13" t="s">
        <v>63</v>
      </c>
      <c r="B39" s="24">
        <f>1-ClassBResidualShare</f>
        <v>0.6</v>
      </c>
      <c r="C39" s="20" t="s">
        <v>64</v>
      </c>
    </row>
    <row r="40" spans="1:3">
      <c r="A40" s="13" t="s">
        <v>65</v>
      </c>
      <c r="B40" s="13">
        <v>150000</v>
      </c>
      <c r="C40" s="20" t="s">
        <v>66</v>
      </c>
    </row>
    <row r="41" spans="1:3">
      <c r="A41" s="13"/>
      <c r="B41" s="13"/>
      <c r="C41" s="13"/>
    </row>
    <row r="42" spans="1:3">
      <c r="A42" s="13" t="s">
        <v>67</v>
      </c>
      <c r="B42" s="28" t="s">
        <v>68</v>
      </c>
      <c r="C42" s="29"/>
    </row>
  </sheetData>
  <mergeCells count="1">
    <mergeCell ref="B42:C42"/>
  </mergeCells>
  <pageMargins left="0.7" right="0.7" top="0.75" bottom="0.75" header="0.3" footer="0.3"/>
  <pageSetup orientation="portrait" horizontalDpi="4800" verticalDpi="48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"/>
  <sheetViews>
    <sheetView tabSelected="1" workbookViewId="0">
      <selection activeCell="L6" sqref="L6"/>
    </sheetView>
  </sheetViews>
  <sheetFormatPr defaultRowHeight="15"/>
  <cols>
    <col min="1" max="1" width="26.5703125" style="6" bestFit="1" customWidth="1"/>
    <col min="2" max="2" width="26" style="6"/>
    <col min="3" max="3" width="9.140625" style="6" bestFit="1" customWidth="1"/>
    <col min="4" max="4" width="8.85546875" style="6" bestFit="1" customWidth="1"/>
    <col min="5" max="5" width="9.85546875" style="6" bestFit="1" customWidth="1"/>
    <col min="6" max="6" width="6.5703125" style="6" bestFit="1" customWidth="1"/>
    <col min="7" max="7" width="7.42578125" style="6" bestFit="1" customWidth="1"/>
    <col min="8" max="9" width="9.140625" style="6" bestFit="1" customWidth="1"/>
    <col min="10" max="10" width="10" style="6" bestFit="1" customWidth="1"/>
    <col min="11" max="11" width="7.85546875" style="6" bestFit="1" customWidth="1"/>
    <col min="12" max="12" width="11.42578125" style="6" bestFit="1" customWidth="1"/>
    <col min="13" max="16384" width="9.140625" style="6"/>
  </cols>
  <sheetData>
    <row r="1" spans="1:12" ht="18.75">
      <c r="A1" s="22" t="s">
        <v>69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s="26" customFormat="1" ht="45">
      <c r="A3" s="25" t="s">
        <v>70</v>
      </c>
      <c r="B3" s="25" t="s">
        <v>71</v>
      </c>
      <c r="C3" s="25" t="s">
        <v>72</v>
      </c>
      <c r="D3" s="25" t="s">
        <v>73</v>
      </c>
      <c r="E3" s="25" t="s">
        <v>74</v>
      </c>
      <c r="F3" s="25" t="s">
        <v>75</v>
      </c>
      <c r="G3" s="25" t="s">
        <v>76</v>
      </c>
      <c r="H3" s="25" t="s">
        <v>77</v>
      </c>
      <c r="I3" s="25" t="s">
        <v>78</v>
      </c>
      <c r="J3" s="25" t="s">
        <v>79</v>
      </c>
      <c r="K3" s="25" t="s">
        <v>80</v>
      </c>
      <c r="L3" s="25" t="s">
        <v>81</v>
      </c>
    </row>
    <row r="4" spans="1:12">
      <c r="A4" s="13">
        <v>0</v>
      </c>
      <c r="B4" s="13" t="s">
        <v>82</v>
      </c>
      <c r="C4" s="13">
        <f t="shared" ref="C4:C14" si="0">IF(A4=0,0,StabilizedMonthlyGrossRent*12*(1+NOIGrowth)^MAX(0,A4-StabilizationRefiYear))</f>
        <v>0</v>
      </c>
      <c r="D4" s="13">
        <f t="shared" ref="D4:D14" si="1">IF(A4=0,0,C4*IF(A4=1,LeaseUpOccupancy,StabilizedOccupancy))</f>
        <v>0</v>
      </c>
      <c r="E4" s="13">
        <f t="shared" ref="E4:E14" si="2">D4*OperatingExpenseRatio</f>
        <v>0</v>
      </c>
      <c r="F4" s="13">
        <f t="shared" ref="F4:F14" si="3">D4-E4</f>
        <v>0</v>
      </c>
      <c r="G4" s="13">
        <f>IF(AND(A4&gt;=StabilizationRefiYear,A4&lt;=SaleExitYear),-PMT(RefinanceLoanRate/12,RefinanceLoanAmortizationYears*12,RefinanceLoanAmount)*12,0)</f>
        <v>0</v>
      </c>
      <c r="H4" s="13">
        <f t="shared" ref="H4:H14" si="4">F4-G4</f>
        <v>0</v>
      </c>
      <c r="I4" s="13">
        <f t="shared" ref="I4:I14" si="5">IF(A4=StabilizationRefiYear,MAX(0,RefinanceLoanAmount-TotalExistingDebt),IF(A4=SaleExitYear,MAX(0,L4*(1-SellingCosts)-K4),0))</f>
        <v>0</v>
      </c>
      <c r="J4" s="13">
        <f t="shared" ref="J4:J14" si="6">H4+I4</f>
        <v>0</v>
      </c>
      <c r="K4" s="13">
        <f>IF(A4&lt;StabilizationRefiYear,0,IF(A4=SaleExitYear,0,-FV(RefinanceLoanRate/12,(A4-StabilizationRefiYear)*12,PMT(RefinanceLoanRate/12,RefinanceLoanAmortizationYears*12,RefinanceLoanAmount),RefinanceLoanAmount)))</f>
        <v>0</v>
      </c>
      <c r="L4" s="13">
        <f t="shared" ref="L4:L14" si="7">IF(A4&lt;StabilizationRefiYear,0,F4*(1+NOIGrowth)/ExitCapRate)</f>
        <v>0</v>
      </c>
    </row>
    <row r="5" spans="1:12">
      <c r="A5" s="13">
        <v>1</v>
      </c>
      <c r="B5" s="13" t="s">
        <v>83</v>
      </c>
      <c r="C5" s="13">
        <f t="shared" si="0"/>
        <v>129600</v>
      </c>
      <c r="D5" s="13">
        <f t="shared" si="1"/>
        <v>64800</v>
      </c>
      <c r="E5" s="13">
        <f t="shared" si="2"/>
        <v>25920</v>
      </c>
      <c r="F5" s="13">
        <f t="shared" si="3"/>
        <v>38880</v>
      </c>
      <c r="G5" s="13">
        <f>IF(AND(A5&gt;=StabilizationRefiYear,A5&lt;=SaleExitYear),-PMT(RefinanceLoanRate/12,RefinanceLoanAmortizationYears*12,RefinanceLoanAmount)*12,0)</f>
        <v>0</v>
      </c>
      <c r="H5" s="13">
        <f t="shared" si="4"/>
        <v>38880</v>
      </c>
      <c r="I5" s="13">
        <f t="shared" si="5"/>
        <v>0</v>
      </c>
      <c r="J5" s="13">
        <f t="shared" si="6"/>
        <v>38880</v>
      </c>
      <c r="K5" s="13">
        <f>IF(A5&lt;StabilizationRefiYear,0,IF(A5=SaleExitYear,0,-FV(RefinanceLoanRate/12,(A5-StabilizationRefiYear)*12,PMT(RefinanceLoanRate/12,RefinanceLoanAmortizationYears*12,RefinanceLoanAmount),RefinanceLoanAmount)))</f>
        <v>0</v>
      </c>
      <c r="L5" s="13">
        <f t="shared" si="7"/>
        <v>0</v>
      </c>
    </row>
    <row r="6" spans="1:12">
      <c r="A6" s="13">
        <v>2</v>
      </c>
      <c r="B6" s="13" t="s">
        <v>84</v>
      </c>
      <c r="C6" s="13">
        <f t="shared" si="0"/>
        <v>129600</v>
      </c>
      <c r="D6" s="13">
        <f t="shared" si="1"/>
        <v>120528</v>
      </c>
      <c r="E6" s="13">
        <f t="shared" si="2"/>
        <v>48211.200000000004</v>
      </c>
      <c r="F6" s="13">
        <f t="shared" si="3"/>
        <v>72316.799999999988</v>
      </c>
      <c r="G6" s="13">
        <f>IF(AND(A6&gt;=StabilizationRefiYear,A6&lt;=SaleExitYear),-PMT(RefinanceLoanRate/12,RefinanceLoanAmortizationYears*12,RefinanceLoanAmount)*12,0)</f>
        <v>56496.493135891236</v>
      </c>
      <c r="H6" s="13">
        <f t="shared" si="4"/>
        <v>15820.306864108752</v>
      </c>
      <c r="I6" s="13">
        <f t="shared" si="5"/>
        <v>550863.0399999998</v>
      </c>
      <c r="J6" s="13">
        <f t="shared" si="6"/>
        <v>566683.34686410858</v>
      </c>
      <c r="K6" s="13">
        <f>IF(A6&lt;StabilizationRefiYear,0,IF(A6=SaleExitYear,0,-FV(RefinanceLoanRate/12,(A6-StabilizationRefiYear)*12,PMT(RefinanceLoanRate/12,RefinanceLoanAmortizationYears*12,RefinanceLoanAmount),RefinanceLoanAmount)))</f>
        <v>744863.0399999998</v>
      </c>
      <c r="L6" s="13">
        <f>IF(A6&lt;StabilizationRefiYear,0,F6*(1+NOIGrowth)/ExitCapRate)</f>
        <v>1064090.057142857</v>
      </c>
    </row>
    <row r="7" spans="1:12">
      <c r="A7" s="13">
        <v>3</v>
      </c>
      <c r="B7" s="13" t="s">
        <v>85</v>
      </c>
      <c r="C7" s="13">
        <f t="shared" si="0"/>
        <v>133488</v>
      </c>
      <c r="D7" s="13">
        <f t="shared" si="1"/>
        <v>124143.84000000001</v>
      </c>
      <c r="E7" s="13">
        <f t="shared" si="2"/>
        <v>49657.536000000007</v>
      </c>
      <c r="F7" s="13">
        <f t="shared" si="3"/>
        <v>74486.304000000004</v>
      </c>
      <c r="G7" s="13">
        <f>IF(AND(A7&gt;=StabilizationRefiYear,A7&lt;=SaleExitYear),-PMT(RefinanceLoanRate/12,RefinanceLoanAmortizationYears*12,RefinanceLoanAmount)*12,0)</f>
        <v>56496.493135891236</v>
      </c>
      <c r="H7" s="13">
        <f t="shared" si="4"/>
        <v>17989.810864108767</v>
      </c>
      <c r="I7" s="13">
        <f t="shared" si="5"/>
        <v>0</v>
      </c>
      <c r="J7" s="13">
        <f t="shared" si="6"/>
        <v>17989.810864108767</v>
      </c>
      <c r="K7" s="13">
        <f>IF(A7&lt;StabilizationRefiYear,0,IF(A7=SaleExitYear,0,-FV(RefinanceLoanRate/12,(A7-StabilizationRefiYear)*12,PMT(RefinanceLoanRate/12,RefinanceLoanAmortizationYears*12,RefinanceLoanAmount),RefinanceLoanAmount)))</f>
        <v>736537.51609305036</v>
      </c>
      <c r="L7" s="13">
        <f t="shared" si="7"/>
        <v>1096012.7588571429</v>
      </c>
    </row>
    <row r="8" spans="1:12">
      <c r="A8" s="13">
        <v>4</v>
      </c>
      <c r="B8" s="13" t="s">
        <v>85</v>
      </c>
      <c r="C8" s="13">
        <f t="shared" si="0"/>
        <v>137492.63999999998</v>
      </c>
      <c r="D8" s="13">
        <f t="shared" si="1"/>
        <v>127868.15519999999</v>
      </c>
      <c r="E8" s="13">
        <f t="shared" si="2"/>
        <v>51147.26208</v>
      </c>
      <c r="F8" s="13">
        <f t="shared" si="3"/>
        <v>76720.893119999993</v>
      </c>
      <c r="G8" s="13">
        <f>IF(AND(A8&gt;=StabilizationRefiYear,A8&lt;=SaleExitYear),-PMT(RefinanceLoanRate/12,RefinanceLoanAmortizationYears*12,RefinanceLoanAmount)*12,0)</f>
        <v>56496.493135891236</v>
      </c>
      <c r="H8" s="13">
        <f t="shared" si="4"/>
        <v>20224.399984108757</v>
      </c>
      <c r="I8" s="13">
        <f t="shared" si="5"/>
        <v>1106315.2787903999</v>
      </c>
      <c r="J8" s="13">
        <f t="shared" si="6"/>
        <v>1126539.6787745086</v>
      </c>
      <c r="K8" s="13">
        <f>IF(A8&lt;StabilizationRefiYear,0,IF(A8=SaleExitYear,0,-FV(RefinanceLoanRate/12,(A8-StabilizationRefiYear)*12,PMT(RefinanceLoanRate/12,RefinanceLoanAmortizationYears*12,RefinanceLoanAmount),RefinanceLoanAmount)))</f>
        <v>0</v>
      </c>
      <c r="L8" s="13">
        <f t="shared" si="7"/>
        <v>1128893.141622857</v>
      </c>
    </row>
    <row r="9" spans="1:12">
      <c r="A9" s="13">
        <v>5</v>
      </c>
      <c r="B9" s="13" t="s">
        <v>85</v>
      </c>
      <c r="C9" s="13">
        <f t="shared" si="0"/>
        <v>141617.4192</v>
      </c>
      <c r="D9" s="13">
        <f t="shared" si="1"/>
        <v>131704.19985600002</v>
      </c>
      <c r="E9" s="13">
        <f t="shared" si="2"/>
        <v>52681.679942400013</v>
      </c>
      <c r="F9" s="13">
        <f t="shared" si="3"/>
        <v>79022.519913600001</v>
      </c>
      <c r="G9" s="13">
        <f>IF(AND(A9&gt;=StabilizationRefiYear,A9&lt;=SaleExitYear),-PMT(RefinanceLoanRate/12,RefinanceLoanAmortizationYears*12,RefinanceLoanAmount)*12,0)</f>
        <v>0</v>
      </c>
      <c r="H9" s="13">
        <f t="shared" si="4"/>
        <v>79022.519913600001</v>
      </c>
      <c r="I9" s="13">
        <f t="shared" si="5"/>
        <v>0</v>
      </c>
      <c r="J9" s="13">
        <f t="shared" si="6"/>
        <v>79022.519913600001</v>
      </c>
      <c r="K9" s="13">
        <f>IF(A9&lt;StabilizationRefiYear,0,IF(A9=SaleExitYear,0,-FV(RefinanceLoanRate/12,(A9-StabilizationRefiYear)*12,PMT(RefinanceLoanRate/12,RefinanceLoanAmortizationYears*12,RefinanceLoanAmount),RefinanceLoanAmount)))</f>
        <v>718176.39913339156</v>
      </c>
      <c r="L9" s="13">
        <f t="shared" si="7"/>
        <v>1162759.9358715427</v>
      </c>
    </row>
    <row r="10" spans="1:12">
      <c r="A10" s="13">
        <v>6</v>
      </c>
      <c r="B10" s="13" t="s">
        <v>85</v>
      </c>
      <c r="C10" s="13">
        <f t="shared" si="0"/>
        <v>145865.94177599999</v>
      </c>
      <c r="D10" s="13">
        <f t="shared" si="1"/>
        <v>135655.32585168001</v>
      </c>
      <c r="E10" s="13">
        <f t="shared" si="2"/>
        <v>54262.130340672011</v>
      </c>
      <c r="F10" s="13">
        <f t="shared" si="3"/>
        <v>81393.195511008002</v>
      </c>
      <c r="G10" s="13">
        <f>IF(AND(A10&gt;=StabilizationRefiYear,A10&lt;=SaleExitYear),-PMT(RefinanceLoanRate/12,RefinanceLoanAmortizationYears*12,RefinanceLoanAmount)*12,0)</f>
        <v>0</v>
      </c>
      <c r="H10" s="13">
        <f t="shared" si="4"/>
        <v>81393.195511008002</v>
      </c>
      <c r="I10" s="13">
        <f t="shared" si="5"/>
        <v>0</v>
      </c>
      <c r="J10" s="13">
        <f t="shared" si="6"/>
        <v>81393.195511008002</v>
      </c>
      <c r="K10" s="13">
        <f>IF(A10&lt;StabilizationRefiYear,0,IF(A10=SaleExitYear,0,-FV(RefinanceLoanRate/12,(A10-StabilizationRefiYear)*12,PMT(RefinanceLoanRate/12,RefinanceLoanAmortizationYears*12,RefinanceLoanAmount),RefinanceLoanAmount)))</f>
        <v>708063.62146387866</v>
      </c>
      <c r="L10" s="13">
        <f t="shared" si="7"/>
        <v>1197642.7339476892</v>
      </c>
    </row>
    <row r="11" spans="1:12">
      <c r="A11" s="13">
        <v>7</v>
      </c>
      <c r="B11" s="13" t="s">
        <v>85</v>
      </c>
      <c r="C11" s="13">
        <f t="shared" si="0"/>
        <v>150241.92002927998</v>
      </c>
      <c r="D11" s="13">
        <f t="shared" si="1"/>
        <v>139724.9856272304</v>
      </c>
      <c r="E11" s="13">
        <f t="shared" si="2"/>
        <v>55889.994250892167</v>
      </c>
      <c r="F11" s="13">
        <f t="shared" si="3"/>
        <v>83834.991376338236</v>
      </c>
      <c r="G11" s="13">
        <f>IF(AND(A11&gt;=StabilizationRefiYear,A11&lt;=SaleExitYear),-PMT(RefinanceLoanRate/12,RefinanceLoanAmortizationYears*12,RefinanceLoanAmount)*12,0)</f>
        <v>0</v>
      </c>
      <c r="H11" s="13">
        <f t="shared" si="4"/>
        <v>83834.991376338236</v>
      </c>
      <c r="I11" s="13">
        <f t="shared" si="5"/>
        <v>0</v>
      </c>
      <c r="J11" s="13">
        <f t="shared" si="6"/>
        <v>83834.991376338236</v>
      </c>
      <c r="K11" s="13">
        <f>IF(A11&lt;StabilizationRefiYear,0,IF(A11=SaleExitYear,0,-FV(RefinanceLoanRate/12,(A11-StabilizationRefiYear)*12,PMT(RefinanceLoanRate/12,RefinanceLoanAmortizationYears*12,RefinanceLoanAmount),RefinanceLoanAmount)))</f>
        <v>697273.5723449483</v>
      </c>
      <c r="L11" s="13">
        <f t="shared" si="7"/>
        <v>1233572.0159661197</v>
      </c>
    </row>
    <row r="12" spans="1:12">
      <c r="A12" s="13">
        <v>8</v>
      </c>
      <c r="B12" s="13" t="s">
        <v>85</v>
      </c>
      <c r="C12" s="13">
        <f t="shared" si="0"/>
        <v>154749.1776301584</v>
      </c>
      <c r="D12" s="13">
        <f t="shared" si="1"/>
        <v>143916.73519604732</v>
      </c>
      <c r="E12" s="13">
        <f t="shared" si="2"/>
        <v>57566.694078418928</v>
      </c>
      <c r="F12" s="13">
        <f t="shared" si="3"/>
        <v>86350.041117628396</v>
      </c>
      <c r="G12" s="13">
        <f>IF(AND(A12&gt;=StabilizationRefiYear,A12&lt;=SaleExitYear),-PMT(RefinanceLoanRate/12,RefinanceLoanAmortizationYears*12,RefinanceLoanAmount)*12,0)</f>
        <v>0</v>
      </c>
      <c r="H12" s="13">
        <f t="shared" si="4"/>
        <v>86350.041117628396</v>
      </c>
      <c r="I12" s="13">
        <f t="shared" si="5"/>
        <v>0</v>
      </c>
      <c r="J12" s="13">
        <f t="shared" si="6"/>
        <v>86350.041117628396</v>
      </c>
      <c r="K12" s="13">
        <f>IF(A12&lt;StabilizationRefiYear,0,IF(A12=SaleExitYear,0,-FV(RefinanceLoanRate/12,(A12-StabilizationRefiYear)*12,PMT(RefinanceLoanRate/12,RefinanceLoanAmortizationYears*12,RefinanceLoanAmount),RefinanceLoanAmount)))</f>
        <v>685760.89365332504</v>
      </c>
      <c r="L12" s="13">
        <f t="shared" si="7"/>
        <v>1270579.1764451035</v>
      </c>
    </row>
    <row r="13" spans="1:12">
      <c r="A13" s="13">
        <v>9</v>
      </c>
      <c r="B13" s="13" t="s">
        <v>85</v>
      </c>
      <c r="C13" s="13">
        <f t="shared" si="0"/>
        <v>159391.65295906315</v>
      </c>
      <c r="D13" s="13">
        <f t="shared" si="1"/>
        <v>148234.23725192875</v>
      </c>
      <c r="E13" s="13">
        <f t="shared" si="2"/>
        <v>59293.694900771501</v>
      </c>
      <c r="F13" s="13">
        <f t="shared" si="3"/>
        <v>88940.542351157244</v>
      </c>
      <c r="G13" s="13">
        <f>IF(AND(A13&gt;=StabilizationRefiYear,A13&lt;=SaleExitYear),-PMT(RefinanceLoanRate/12,RefinanceLoanAmortizationYears*12,RefinanceLoanAmount)*12,0)</f>
        <v>0</v>
      </c>
      <c r="H13" s="13">
        <f t="shared" si="4"/>
        <v>88940.542351157244</v>
      </c>
      <c r="I13" s="13">
        <f t="shared" si="5"/>
        <v>0</v>
      </c>
      <c r="J13" s="13">
        <f t="shared" si="6"/>
        <v>88940.542351157244</v>
      </c>
      <c r="K13" s="13">
        <f>IF(A13&lt;StabilizationRefiYear,0,IF(A13=SaleExitYear,0,-FV(RefinanceLoanRate/12,(A13-StabilizationRefiYear)*12,PMT(RefinanceLoanRate/12,RefinanceLoanAmortizationYears*12,RefinanceLoanAmount),RefinanceLoanAmount)))</f>
        <v>673477.18954821327</v>
      </c>
      <c r="L13" s="13">
        <f t="shared" si="7"/>
        <v>1308696.5517384564</v>
      </c>
    </row>
    <row r="14" spans="1:12">
      <c r="A14" s="13">
        <v>10</v>
      </c>
      <c r="B14" s="13" t="s">
        <v>86</v>
      </c>
      <c r="C14" s="13">
        <f t="shared" si="0"/>
        <v>164173.40254783502</v>
      </c>
      <c r="D14" s="13">
        <f t="shared" si="1"/>
        <v>152681.26436948657</v>
      </c>
      <c r="E14" s="13">
        <f t="shared" si="2"/>
        <v>61072.505747794632</v>
      </c>
      <c r="F14" s="13">
        <f t="shared" si="3"/>
        <v>91608.75862169193</v>
      </c>
      <c r="G14" s="13">
        <f>IF(AND(A14&gt;=StabilizationRefiYear,A14&lt;=SaleExitYear),-PMT(RefinanceLoanRate/12,RefinanceLoanAmortizationYears*12,RefinanceLoanAmount)*12,0)</f>
        <v>0</v>
      </c>
      <c r="H14" s="13">
        <f t="shared" si="4"/>
        <v>91608.75862169193</v>
      </c>
      <c r="I14" s="13">
        <f t="shared" si="5"/>
        <v>0</v>
      </c>
      <c r="J14" s="13">
        <f t="shared" si="6"/>
        <v>91608.75862169193</v>
      </c>
      <c r="K14" s="13">
        <f>IF(A14&lt;StabilizationRefiYear,0,IF(A14=SaleExitYear,0,-FV(RefinanceLoanRate/12,(A14-StabilizationRefiYear)*12,PMT(RefinanceLoanRate/12,RefinanceLoanAmortizationYears*12,RefinanceLoanAmount),RefinanceLoanAmount)))</f>
        <v>660370.82302973105</v>
      </c>
      <c r="L14" s="13">
        <f t="shared" si="7"/>
        <v>1347957.4482906098</v>
      </c>
    </row>
  </sheetData>
  <pageMargins left="0.7" right="0.7" top="0.75" bottom="0.75" header="0.3" footer="0.3"/>
  <pageSetup orientation="portrait" horizontalDpi="4800" verticalDpi="48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4"/>
  <sheetViews>
    <sheetView workbookViewId="0">
      <selection activeCell="A3" sqref="A3:XFD3"/>
    </sheetView>
  </sheetViews>
  <sheetFormatPr defaultRowHeight="15"/>
  <cols>
    <col min="1" max="1" width="20.85546875" style="6" bestFit="1" customWidth="1"/>
    <col min="2" max="2" width="14" style="6" bestFit="1" customWidth="1"/>
    <col min="3" max="3" width="11.42578125" style="6" bestFit="1" customWidth="1"/>
    <col min="4" max="4" width="11.28515625" style="6" bestFit="1" customWidth="1"/>
    <col min="5" max="5" width="9" style="6" bestFit="1" customWidth="1"/>
    <col min="6" max="6" width="11.42578125" style="6" bestFit="1" customWidth="1"/>
    <col min="7" max="7" width="9.28515625" style="6" bestFit="1" customWidth="1"/>
    <col min="8" max="9" width="10.85546875" style="6" bestFit="1" customWidth="1"/>
    <col min="10" max="10" width="10.140625" style="6" bestFit="1" customWidth="1"/>
    <col min="11" max="11" width="11.28515625" style="6" bestFit="1" customWidth="1"/>
    <col min="12" max="12" width="9.28515625" style="6" bestFit="1" customWidth="1"/>
    <col min="13" max="13" width="7.5703125" style="6" bestFit="1" customWidth="1"/>
    <col min="14" max="14" width="9.28515625" style="6" bestFit="1" customWidth="1"/>
    <col min="15" max="15" width="8.5703125" style="6" bestFit="1" customWidth="1"/>
    <col min="16" max="16" width="12" style="6" customWidth="1"/>
    <col min="17" max="17" width="10.28515625" style="6" bestFit="1" customWidth="1"/>
    <col min="18" max="18" width="8.140625" style="6" bestFit="1" customWidth="1"/>
    <col min="19" max="16384" width="9.140625" style="6"/>
  </cols>
  <sheetData>
    <row r="1" spans="1:18" ht="18.75">
      <c r="A1" s="22" t="s">
        <v>87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18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s="26" customFormat="1" ht="45">
      <c r="A3" s="25" t="s">
        <v>70</v>
      </c>
      <c r="B3" s="25" t="s">
        <v>88</v>
      </c>
      <c r="C3" s="25" t="s">
        <v>89</v>
      </c>
      <c r="D3" s="25" t="s">
        <v>90</v>
      </c>
      <c r="E3" s="25" t="s">
        <v>91</v>
      </c>
      <c r="F3" s="25" t="s">
        <v>92</v>
      </c>
      <c r="G3" s="25" t="s">
        <v>93</v>
      </c>
      <c r="H3" s="25" t="s">
        <v>94</v>
      </c>
      <c r="I3" s="25" t="s">
        <v>95</v>
      </c>
      <c r="J3" s="25" t="s">
        <v>96</v>
      </c>
      <c r="K3" s="25" t="s">
        <v>97</v>
      </c>
      <c r="L3" s="25" t="s">
        <v>98</v>
      </c>
      <c r="M3" s="27" t="s">
        <v>99</v>
      </c>
      <c r="N3" s="27" t="s">
        <v>100</v>
      </c>
      <c r="O3" s="27" t="s">
        <v>101</v>
      </c>
      <c r="P3" s="27" t="s">
        <v>102</v>
      </c>
      <c r="Q3" s="27" t="s">
        <v>103</v>
      </c>
      <c r="R3" s="27" t="s">
        <v>104</v>
      </c>
    </row>
    <row r="4" spans="1:18">
      <c r="A4" s="13">
        <v>0</v>
      </c>
      <c r="B4" s="13">
        <f>'Annual Model'!J4</f>
        <v>0</v>
      </c>
      <c r="C4" s="13">
        <f>0</f>
        <v>0</v>
      </c>
      <c r="D4" s="13">
        <f t="shared" ref="D4:D14" si="0">F4*ClassAPreferredReturn</f>
        <v>24000</v>
      </c>
      <c r="E4" s="13">
        <f t="shared" ref="E4:E14" si="1">MIN(B4,C4+D4)</f>
        <v>0</v>
      </c>
      <c r="F4" s="13">
        <f>ClassACapital</f>
        <v>300000</v>
      </c>
      <c r="G4" s="13">
        <f t="shared" ref="G4:G14" si="2">MIN(MAX(0,B4-E4),F4)</f>
        <v>0</v>
      </c>
      <c r="H4" s="13">
        <f t="shared" ref="H4:H14" si="3">C4+D4-E4</f>
        <v>24000</v>
      </c>
      <c r="I4" s="13">
        <f t="shared" ref="I4:I14" si="4">F4-G4</f>
        <v>300000</v>
      </c>
      <c r="J4" s="13">
        <f t="shared" ref="J4:J14" si="5">MAX(0,B4-E4-G4)</f>
        <v>0</v>
      </c>
      <c r="K4" s="13">
        <f>ClassBCapital</f>
        <v>450000</v>
      </c>
      <c r="L4" s="13">
        <f t="shared" ref="L4:L14" si="6">IF(ClassBReturnPriority=1,MIN(J4,K4),0)</f>
        <v>0</v>
      </c>
      <c r="M4" s="13">
        <f t="shared" ref="M4:M14" si="7">K4-L4</f>
        <v>450000</v>
      </c>
      <c r="N4" s="13">
        <f t="shared" ref="N4:N14" si="8">MAX(0,J4-L4)*ClassBResidualShare</f>
        <v>0</v>
      </c>
      <c r="O4" s="13">
        <f t="shared" ref="O4:O14" si="9">MAX(0,J4-L4)*SponsorResidualShare</f>
        <v>0</v>
      </c>
      <c r="P4" s="13">
        <f t="shared" ref="P4:P14" si="10">E4+G4</f>
        <v>0</v>
      </c>
      <c r="Q4" s="13">
        <f t="shared" ref="Q4:Q14" si="11">L4+N4</f>
        <v>0</v>
      </c>
      <c r="R4" s="13">
        <f t="shared" ref="R4:R14" si="12">O4</f>
        <v>0</v>
      </c>
    </row>
    <row r="5" spans="1:18">
      <c r="A5" s="13">
        <v>1</v>
      </c>
      <c r="B5" s="13">
        <f>'Annual Model'!J5</f>
        <v>38880</v>
      </c>
      <c r="C5" s="13">
        <f t="shared" ref="C5:C14" si="13">H4</f>
        <v>24000</v>
      </c>
      <c r="D5" s="13">
        <f t="shared" si="0"/>
        <v>24000</v>
      </c>
      <c r="E5" s="13">
        <f t="shared" si="1"/>
        <v>38880</v>
      </c>
      <c r="F5" s="13">
        <f t="shared" ref="F5:F14" si="14">I4</f>
        <v>300000</v>
      </c>
      <c r="G5" s="13">
        <f t="shared" si="2"/>
        <v>0</v>
      </c>
      <c r="H5" s="13">
        <f t="shared" si="3"/>
        <v>9120</v>
      </c>
      <c r="I5" s="13">
        <f t="shared" si="4"/>
        <v>300000</v>
      </c>
      <c r="J5" s="13">
        <f t="shared" si="5"/>
        <v>0</v>
      </c>
      <c r="K5" s="13">
        <f t="shared" ref="K5:K14" si="15">M4</f>
        <v>450000</v>
      </c>
      <c r="L5" s="13">
        <f t="shared" si="6"/>
        <v>0</v>
      </c>
      <c r="M5" s="13">
        <f t="shared" si="7"/>
        <v>450000</v>
      </c>
      <c r="N5" s="13">
        <f t="shared" si="8"/>
        <v>0</v>
      </c>
      <c r="O5" s="13">
        <f t="shared" si="9"/>
        <v>0</v>
      </c>
      <c r="P5" s="13">
        <f t="shared" si="10"/>
        <v>38880</v>
      </c>
      <c r="Q5" s="13">
        <f t="shared" si="11"/>
        <v>0</v>
      </c>
      <c r="R5" s="13">
        <f t="shared" si="12"/>
        <v>0</v>
      </c>
    </row>
    <row r="6" spans="1:18">
      <c r="A6" s="13">
        <v>2</v>
      </c>
      <c r="B6" s="13">
        <f>'Annual Model'!J6</f>
        <v>566683.34686410858</v>
      </c>
      <c r="C6" s="13">
        <f t="shared" si="13"/>
        <v>9120</v>
      </c>
      <c r="D6" s="13">
        <f t="shared" si="0"/>
        <v>24000</v>
      </c>
      <c r="E6" s="13">
        <f t="shared" si="1"/>
        <v>33120</v>
      </c>
      <c r="F6" s="13">
        <f t="shared" si="14"/>
        <v>300000</v>
      </c>
      <c r="G6" s="13">
        <f t="shared" si="2"/>
        <v>300000</v>
      </c>
      <c r="H6" s="13">
        <f t="shared" si="3"/>
        <v>0</v>
      </c>
      <c r="I6" s="13">
        <f t="shared" si="4"/>
        <v>0</v>
      </c>
      <c r="J6" s="13">
        <f t="shared" si="5"/>
        <v>233563.34686410858</v>
      </c>
      <c r="K6" s="13">
        <f t="shared" si="15"/>
        <v>450000</v>
      </c>
      <c r="L6" s="13">
        <f t="shared" si="6"/>
        <v>233563.34686410858</v>
      </c>
      <c r="M6" s="13">
        <f t="shared" si="7"/>
        <v>216436.65313589142</v>
      </c>
      <c r="N6" s="13">
        <f t="shared" si="8"/>
        <v>0</v>
      </c>
      <c r="O6" s="13">
        <f t="shared" si="9"/>
        <v>0</v>
      </c>
      <c r="P6" s="13">
        <f t="shared" si="10"/>
        <v>333120</v>
      </c>
      <c r="Q6" s="13">
        <f t="shared" si="11"/>
        <v>233563.34686410858</v>
      </c>
      <c r="R6" s="13">
        <f t="shared" si="12"/>
        <v>0</v>
      </c>
    </row>
    <row r="7" spans="1:18">
      <c r="A7" s="13">
        <v>3</v>
      </c>
      <c r="B7" s="13">
        <f>'Annual Model'!J7</f>
        <v>17989.810864108767</v>
      </c>
      <c r="C7" s="13">
        <f t="shared" si="13"/>
        <v>0</v>
      </c>
      <c r="D7" s="13">
        <f t="shared" si="0"/>
        <v>0</v>
      </c>
      <c r="E7" s="13">
        <f t="shared" si="1"/>
        <v>0</v>
      </c>
      <c r="F7" s="13">
        <f t="shared" si="14"/>
        <v>0</v>
      </c>
      <c r="G7" s="13">
        <f t="shared" si="2"/>
        <v>0</v>
      </c>
      <c r="H7" s="13">
        <f t="shared" si="3"/>
        <v>0</v>
      </c>
      <c r="I7" s="13">
        <f t="shared" si="4"/>
        <v>0</v>
      </c>
      <c r="J7" s="13">
        <f t="shared" si="5"/>
        <v>17989.810864108767</v>
      </c>
      <c r="K7" s="13">
        <f t="shared" si="15"/>
        <v>216436.65313589142</v>
      </c>
      <c r="L7" s="13">
        <f t="shared" si="6"/>
        <v>17989.810864108767</v>
      </c>
      <c r="M7" s="13">
        <f t="shared" si="7"/>
        <v>198446.84227178266</v>
      </c>
      <c r="N7" s="13">
        <f t="shared" si="8"/>
        <v>0</v>
      </c>
      <c r="O7" s="13">
        <f t="shared" si="9"/>
        <v>0</v>
      </c>
      <c r="P7" s="13">
        <f t="shared" si="10"/>
        <v>0</v>
      </c>
      <c r="Q7" s="13">
        <f t="shared" si="11"/>
        <v>17989.810864108767</v>
      </c>
      <c r="R7" s="13">
        <f t="shared" si="12"/>
        <v>0</v>
      </c>
    </row>
    <row r="8" spans="1:18">
      <c r="A8" s="13">
        <v>4</v>
      </c>
      <c r="B8" s="13">
        <f>'Annual Model'!J8</f>
        <v>1126539.6787745086</v>
      </c>
      <c r="C8" s="13">
        <f t="shared" si="13"/>
        <v>0</v>
      </c>
      <c r="D8" s="13">
        <f t="shared" si="0"/>
        <v>0</v>
      </c>
      <c r="E8" s="13">
        <f t="shared" si="1"/>
        <v>0</v>
      </c>
      <c r="F8" s="13">
        <f t="shared" si="14"/>
        <v>0</v>
      </c>
      <c r="G8" s="13">
        <f t="shared" si="2"/>
        <v>0</v>
      </c>
      <c r="H8" s="13">
        <f t="shared" si="3"/>
        <v>0</v>
      </c>
      <c r="I8" s="13">
        <f t="shared" si="4"/>
        <v>0</v>
      </c>
      <c r="J8" s="13">
        <f t="shared" si="5"/>
        <v>1126539.6787745086</v>
      </c>
      <c r="K8" s="13">
        <f t="shared" si="15"/>
        <v>198446.84227178266</v>
      </c>
      <c r="L8" s="13">
        <f t="shared" si="6"/>
        <v>198446.84227178266</v>
      </c>
      <c r="M8" s="13">
        <f t="shared" si="7"/>
        <v>0</v>
      </c>
      <c r="N8" s="13">
        <f t="shared" si="8"/>
        <v>371237.13460109039</v>
      </c>
      <c r="O8" s="13">
        <f t="shared" si="9"/>
        <v>556855.7019016355</v>
      </c>
      <c r="P8" s="13">
        <f t="shared" si="10"/>
        <v>0</v>
      </c>
      <c r="Q8" s="13">
        <f t="shared" si="11"/>
        <v>569683.97687287303</v>
      </c>
      <c r="R8" s="13">
        <f t="shared" si="12"/>
        <v>556855.7019016355</v>
      </c>
    </row>
    <row r="9" spans="1:18">
      <c r="A9" s="13">
        <v>5</v>
      </c>
      <c r="B9" s="13">
        <f>'Annual Model'!J9</f>
        <v>79022.519913600001</v>
      </c>
      <c r="C9" s="13">
        <f t="shared" si="13"/>
        <v>0</v>
      </c>
      <c r="D9" s="13">
        <f t="shared" si="0"/>
        <v>0</v>
      </c>
      <c r="E9" s="13">
        <f t="shared" si="1"/>
        <v>0</v>
      </c>
      <c r="F9" s="13">
        <f t="shared" si="14"/>
        <v>0</v>
      </c>
      <c r="G9" s="13">
        <f t="shared" si="2"/>
        <v>0</v>
      </c>
      <c r="H9" s="13">
        <f t="shared" si="3"/>
        <v>0</v>
      </c>
      <c r="I9" s="13">
        <f t="shared" si="4"/>
        <v>0</v>
      </c>
      <c r="J9" s="13">
        <f t="shared" si="5"/>
        <v>79022.519913600001</v>
      </c>
      <c r="K9" s="13">
        <f t="shared" si="15"/>
        <v>0</v>
      </c>
      <c r="L9" s="13">
        <f t="shared" si="6"/>
        <v>0</v>
      </c>
      <c r="M9" s="13">
        <f t="shared" si="7"/>
        <v>0</v>
      </c>
      <c r="N9" s="13">
        <f t="shared" si="8"/>
        <v>31609.007965440003</v>
      </c>
      <c r="O9" s="13">
        <f t="shared" si="9"/>
        <v>47413.511948159998</v>
      </c>
      <c r="P9" s="13">
        <f t="shared" si="10"/>
        <v>0</v>
      </c>
      <c r="Q9" s="13">
        <f t="shared" si="11"/>
        <v>31609.007965440003</v>
      </c>
      <c r="R9" s="13">
        <f t="shared" si="12"/>
        <v>47413.511948159998</v>
      </c>
    </row>
    <row r="10" spans="1:18">
      <c r="A10" s="13">
        <v>6</v>
      </c>
      <c r="B10" s="13">
        <f>'Annual Model'!J10</f>
        <v>81393.195511008002</v>
      </c>
      <c r="C10" s="13">
        <f t="shared" si="13"/>
        <v>0</v>
      </c>
      <c r="D10" s="13">
        <f t="shared" si="0"/>
        <v>0</v>
      </c>
      <c r="E10" s="13">
        <f t="shared" si="1"/>
        <v>0</v>
      </c>
      <c r="F10" s="13">
        <f t="shared" si="14"/>
        <v>0</v>
      </c>
      <c r="G10" s="13">
        <f t="shared" si="2"/>
        <v>0</v>
      </c>
      <c r="H10" s="13">
        <f t="shared" si="3"/>
        <v>0</v>
      </c>
      <c r="I10" s="13">
        <f t="shared" si="4"/>
        <v>0</v>
      </c>
      <c r="J10" s="13">
        <f t="shared" si="5"/>
        <v>81393.195511008002</v>
      </c>
      <c r="K10" s="13">
        <f t="shared" si="15"/>
        <v>0</v>
      </c>
      <c r="L10" s="13">
        <f t="shared" si="6"/>
        <v>0</v>
      </c>
      <c r="M10" s="13">
        <f t="shared" si="7"/>
        <v>0</v>
      </c>
      <c r="N10" s="13">
        <f t="shared" si="8"/>
        <v>32557.278204403203</v>
      </c>
      <c r="O10" s="13">
        <f t="shared" si="9"/>
        <v>48835.917306604802</v>
      </c>
      <c r="P10" s="13">
        <f t="shared" si="10"/>
        <v>0</v>
      </c>
      <c r="Q10" s="13">
        <f t="shared" si="11"/>
        <v>32557.278204403203</v>
      </c>
      <c r="R10" s="13">
        <f t="shared" si="12"/>
        <v>48835.917306604802</v>
      </c>
    </row>
    <row r="11" spans="1:18">
      <c r="A11" s="13">
        <v>7</v>
      </c>
      <c r="B11" s="13">
        <f>'Annual Model'!J11</f>
        <v>83834.991376338236</v>
      </c>
      <c r="C11" s="13">
        <f t="shared" si="13"/>
        <v>0</v>
      </c>
      <c r="D11" s="13">
        <f t="shared" si="0"/>
        <v>0</v>
      </c>
      <c r="E11" s="13">
        <f t="shared" si="1"/>
        <v>0</v>
      </c>
      <c r="F11" s="13">
        <f t="shared" si="14"/>
        <v>0</v>
      </c>
      <c r="G11" s="13">
        <f t="shared" si="2"/>
        <v>0</v>
      </c>
      <c r="H11" s="13">
        <f t="shared" si="3"/>
        <v>0</v>
      </c>
      <c r="I11" s="13">
        <f t="shared" si="4"/>
        <v>0</v>
      </c>
      <c r="J11" s="13">
        <f t="shared" si="5"/>
        <v>83834.991376338236</v>
      </c>
      <c r="K11" s="13">
        <f t="shared" si="15"/>
        <v>0</v>
      </c>
      <c r="L11" s="13">
        <f t="shared" si="6"/>
        <v>0</v>
      </c>
      <c r="M11" s="13">
        <f t="shared" si="7"/>
        <v>0</v>
      </c>
      <c r="N11" s="13">
        <f t="shared" si="8"/>
        <v>33533.996550535296</v>
      </c>
      <c r="O11" s="13">
        <f t="shared" si="9"/>
        <v>50300.99482580294</v>
      </c>
      <c r="P11" s="13">
        <f t="shared" si="10"/>
        <v>0</v>
      </c>
      <c r="Q11" s="13">
        <f t="shared" si="11"/>
        <v>33533.996550535296</v>
      </c>
      <c r="R11" s="13">
        <f t="shared" si="12"/>
        <v>50300.99482580294</v>
      </c>
    </row>
    <row r="12" spans="1:18">
      <c r="A12" s="13">
        <v>8</v>
      </c>
      <c r="B12" s="13">
        <f>'Annual Model'!J12</f>
        <v>86350.041117628396</v>
      </c>
      <c r="C12" s="13">
        <f t="shared" si="13"/>
        <v>0</v>
      </c>
      <c r="D12" s="13">
        <f t="shared" si="0"/>
        <v>0</v>
      </c>
      <c r="E12" s="13">
        <f t="shared" si="1"/>
        <v>0</v>
      </c>
      <c r="F12" s="13">
        <f t="shared" si="14"/>
        <v>0</v>
      </c>
      <c r="G12" s="13">
        <f t="shared" si="2"/>
        <v>0</v>
      </c>
      <c r="H12" s="13">
        <f t="shared" si="3"/>
        <v>0</v>
      </c>
      <c r="I12" s="13">
        <f t="shared" si="4"/>
        <v>0</v>
      </c>
      <c r="J12" s="13">
        <f t="shared" si="5"/>
        <v>86350.041117628396</v>
      </c>
      <c r="K12" s="13">
        <f t="shared" si="15"/>
        <v>0</v>
      </c>
      <c r="L12" s="13">
        <f t="shared" si="6"/>
        <v>0</v>
      </c>
      <c r="M12" s="13">
        <f t="shared" si="7"/>
        <v>0</v>
      </c>
      <c r="N12" s="13">
        <f t="shared" si="8"/>
        <v>34540.016447051363</v>
      </c>
      <c r="O12" s="13">
        <f t="shared" si="9"/>
        <v>51810.024670577033</v>
      </c>
      <c r="P12" s="13">
        <f t="shared" si="10"/>
        <v>0</v>
      </c>
      <c r="Q12" s="13">
        <f t="shared" si="11"/>
        <v>34540.016447051363</v>
      </c>
      <c r="R12" s="13">
        <f t="shared" si="12"/>
        <v>51810.024670577033</v>
      </c>
    </row>
    <row r="13" spans="1:18">
      <c r="A13" s="13">
        <v>9</v>
      </c>
      <c r="B13" s="13">
        <f>'Annual Model'!J13</f>
        <v>88940.542351157244</v>
      </c>
      <c r="C13" s="13">
        <f t="shared" si="13"/>
        <v>0</v>
      </c>
      <c r="D13" s="13">
        <f t="shared" si="0"/>
        <v>0</v>
      </c>
      <c r="E13" s="13">
        <f t="shared" si="1"/>
        <v>0</v>
      </c>
      <c r="F13" s="13">
        <f t="shared" si="14"/>
        <v>0</v>
      </c>
      <c r="G13" s="13">
        <f t="shared" si="2"/>
        <v>0</v>
      </c>
      <c r="H13" s="13">
        <f t="shared" si="3"/>
        <v>0</v>
      </c>
      <c r="I13" s="13">
        <f t="shared" si="4"/>
        <v>0</v>
      </c>
      <c r="J13" s="13">
        <f t="shared" si="5"/>
        <v>88940.542351157244</v>
      </c>
      <c r="K13" s="13">
        <f t="shared" si="15"/>
        <v>0</v>
      </c>
      <c r="L13" s="13">
        <f t="shared" si="6"/>
        <v>0</v>
      </c>
      <c r="M13" s="13">
        <f t="shared" si="7"/>
        <v>0</v>
      </c>
      <c r="N13" s="13">
        <f t="shared" si="8"/>
        <v>35576.216940462902</v>
      </c>
      <c r="O13" s="13">
        <f t="shared" si="9"/>
        <v>53364.325410694342</v>
      </c>
      <c r="P13" s="13">
        <f t="shared" si="10"/>
        <v>0</v>
      </c>
      <c r="Q13" s="13">
        <f t="shared" si="11"/>
        <v>35576.216940462902</v>
      </c>
      <c r="R13" s="13">
        <f t="shared" si="12"/>
        <v>53364.325410694342</v>
      </c>
    </row>
    <row r="14" spans="1:18">
      <c r="A14" s="13">
        <v>10</v>
      </c>
      <c r="B14" s="13">
        <f>'Annual Model'!J14</f>
        <v>91608.75862169193</v>
      </c>
      <c r="C14" s="13">
        <f t="shared" si="13"/>
        <v>0</v>
      </c>
      <c r="D14" s="13">
        <f t="shared" si="0"/>
        <v>0</v>
      </c>
      <c r="E14" s="13">
        <f t="shared" si="1"/>
        <v>0</v>
      </c>
      <c r="F14" s="13">
        <f t="shared" si="14"/>
        <v>0</v>
      </c>
      <c r="G14" s="13">
        <f t="shared" si="2"/>
        <v>0</v>
      </c>
      <c r="H14" s="13">
        <f t="shared" si="3"/>
        <v>0</v>
      </c>
      <c r="I14" s="13">
        <f t="shared" si="4"/>
        <v>0</v>
      </c>
      <c r="J14" s="13">
        <f t="shared" si="5"/>
        <v>91608.75862169193</v>
      </c>
      <c r="K14" s="13">
        <f t="shared" si="15"/>
        <v>0</v>
      </c>
      <c r="L14" s="13">
        <f t="shared" si="6"/>
        <v>0</v>
      </c>
      <c r="M14" s="13">
        <f t="shared" si="7"/>
        <v>0</v>
      </c>
      <c r="N14" s="13">
        <f t="shared" si="8"/>
        <v>36643.503448676776</v>
      </c>
      <c r="O14" s="13">
        <f t="shared" si="9"/>
        <v>54965.255173015154</v>
      </c>
      <c r="P14" s="13">
        <f t="shared" si="10"/>
        <v>0</v>
      </c>
      <c r="Q14" s="13">
        <f t="shared" si="11"/>
        <v>36643.503448676776</v>
      </c>
      <c r="R14" s="13">
        <f t="shared" si="12"/>
        <v>54965.255173015154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"/>
  <sheetViews>
    <sheetView workbookViewId="0">
      <selection activeCell="B5" sqref="B5"/>
    </sheetView>
  </sheetViews>
  <sheetFormatPr defaultRowHeight="15"/>
  <cols>
    <col min="1" max="1" width="10.5703125" style="6" bestFit="1" customWidth="1"/>
    <col min="2" max="2" width="8.42578125" style="6" bestFit="1" customWidth="1"/>
    <col min="3" max="3" width="12.42578125" style="6" customWidth="1"/>
    <col min="4" max="4" width="9.7109375" style="6" bestFit="1" customWidth="1"/>
    <col min="5" max="5" width="8.7109375" style="6" bestFit="1" customWidth="1"/>
    <col min="6" max="6" width="6.140625" style="6" bestFit="1" customWidth="1"/>
    <col min="7" max="7" width="3.85546875" style="6" bestFit="1" customWidth="1"/>
    <col min="8" max="8" width="8.28515625" style="6" bestFit="1" customWidth="1"/>
    <col min="9" max="9" width="6.5703125" style="6" bestFit="1" customWidth="1"/>
    <col min="10" max="10" width="7.5703125" style="6" bestFit="1" customWidth="1"/>
    <col min="11" max="11" width="6.5703125" style="6" bestFit="1" customWidth="1"/>
    <col min="12" max="12" width="7.5703125" style="6" bestFit="1" customWidth="1"/>
    <col min="13" max="17" width="6.5703125" style="6" bestFit="1" customWidth="1"/>
    <col min="18" max="18" width="7.28515625" style="6" bestFit="1" customWidth="1"/>
    <col min="19" max="16384" width="9.140625" style="6"/>
  </cols>
  <sheetData>
    <row r="1" spans="1:20" ht="18.75">
      <c r="A1" s="30" t="s">
        <v>105</v>
      </c>
      <c r="B1" s="29"/>
      <c r="C1" s="29"/>
      <c r="D1" s="29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20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20" s="26" customFormat="1" ht="30">
      <c r="A3" s="25" t="s">
        <v>106</v>
      </c>
      <c r="B3" s="25" t="s">
        <v>107</v>
      </c>
      <c r="C3" s="25" t="s">
        <v>108</v>
      </c>
      <c r="D3" s="25" t="s">
        <v>109</v>
      </c>
      <c r="E3" s="25" t="s">
        <v>110</v>
      </c>
      <c r="F3" s="25" t="s">
        <v>111</v>
      </c>
      <c r="G3" s="25" t="s">
        <v>112</v>
      </c>
      <c r="H3" s="25" t="s">
        <v>113</v>
      </c>
      <c r="I3" s="25" t="s">
        <v>114</v>
      </c>
      <c r="J3" s="25" t="s">
        <v>115</v>
      </c>
      <c r="K3" s="25" t="s">
        <v>116</v>
      </c>
      <c r="L3" s="25" t="s">
        <v>117</v>
      </c>
      <c r="M3" s="27" t="s">
        <v>118</v>
      </c>
      <c r="N3" s="27" t="s">
        <v>119</v>
      </c>
      <c r="O3" s="27" t="s">
        <v>120</v>
      </c>
      <c r="P3" s="27" t="s">
        <v>121</v>
      </c>
      <c r="Q3" s="27" t="s">
        <v>122</v>
      </c>
      <c r="R3" s="27" t="s">
        <v>123</v>
      </c>
    </row>
    <row r="4" spans="1:20">
      <c r="A4" s="13" t="s">
        <v>124</v>
      </c>
      <c r="B4" s="13">
        <f>ClassACapital</f>
        <v>300000</v>
      </c>
      <c r="C4" s="13">
        <f>SUM(Waterfall!P4:P14)</f>
        <v>372000</v>
      </c>
      <c r="D4" s="13">
        <f>C4-B4</f>
        <v>72000</v>
      </c>
      <c r="E4" s="13">
        <f>C4/B4</f>
        <v>1.24</v>
      </c>
      <c r="F4" s="13">
        <f>D4/B4</f>
        <v>0.24</v>
      </c>
      <c r="G4" s="13">
        <f>IRR(H4:R4)</f>
        <v>0.12054572696269994</v>
      </c>
      <c r="H4" s="13">
        <f>-B4</f>
        <v>-300000</v>
      </c>
      <c r="I4" s="13">
        <f>Waterfall!P5</f>
        <v>38880</v>
      </c>
      <c r="J4" s="13">
        <f>Waterfall!P6</f>
        <v>333120</v>
      </c>
      <c r="K4" s="13">
        <f>Waterfall!P7</f>
        <v>0</v>
      </c>
      <c r="L4" s="13">
        <f>Waterfall!P8</f>
        <v>0</v>
      </c>
      <c r="M4" s="13">
        <f>Waterfall!P9</f>
        <v>0</v>
      </c>
      <c r="N4" s="13">
        <f>Waterfall!P10</f>
        <v>0</v>
      </c>
      <c r="O4" s="13">
        <f>Waterfall!P11</f>
        <v>0</v>
      </c>
      <c r="P4" s="13">
        <f>Waterfall!P12</f>
        <v>0</v>
      </c>
      <c r="Q4" s="13">
        <f>Waterfall!P13</f>
        <v>0</v>
      </c>
      <c r="R4" s="13">
        <f>Waterfall!P14</f>
        <v>0</v>
      </c>
    </row>
    <row r="5" spans="1:20">
      <c r="A5" s="13" t="s">
        <v>125</v>
      </c>
      <c r="B5" s="13">
        <f>ClassBCapital</f>
        <v>450000</v>
      </c>
      <c r="C5" s="13">
        <f>SUM(Waterfall!Q4:Q14)</f>
        <v>1025697.15415766</v>
      </c>
      <c r="D5" s="13">
        <f>C5-B5</f>
        <v>575697.15415765997</v>
      </c>
      <c r="E5" s="13">
        <f>IFERROR(C5/B5,0)</f>
        <v>2.2793270092392444</v>
      </c>
      <c r="F5" s="13">
        <f>IFERROR(D5/B5,0)</f>
        <v>1.2793270092392444</v>
      </c>
      <c r="G5" s="13">
        <f>IFERROR(IRR(H5:R5),0)</f>
        <v>0.23618125556957636</v>
      </c>
      <c r="H5" s="13">
        <f>-B5</f>
        <v>-450000</v>
      </c>
      <c r="I5" s="13">
        <f>Waterfall!Q5</f>
        <v>0</v>
      </c>
      <c r="J5" s="13">
        <f>Waterfall!Q6</f>
        <v>233563.34686410858</v>
      </c>
      <c r="K5" s="13">
        <f>Waterfall!Q7</f>
        <v>17989.810864108767</v>
      </c>
      <c r="L5" s="13">
        <f>Waterfall!Q8</f>
        <v>569683.97687287303</v>
      </c>
      <c r="M5" s="13">
        <f>Waterfall!Q9</f>
        <v>31609.007965440003</v>
      </c>
      <c r="N5" s="13">
        <f>Waterfall!Q10</f>
        <v>32557.278204403203</v>
      </c>
      <c r="O5" s="13">
        <f>Waterfall!Q11</f>
        <v>33533.996550535296</v>
      </c>
      <c r="P5" s="13">
        <f>Waterfall!Q12</f>
        <v>34540.016447051363</v>
      </c>
      <c r="Q5" s="13">
        <f>Waterfall!Q13</f>
        <v>35576.216940462902</v>
      </c>
      <c r="R5" s="13">
        <f>Waterfall!Q14</f>
        <v>36643.503448676776</v>
      </c>
    </row>
    <row r="6" spans="1:20">
      <c r="A6" s="13" t="s">
        <v>126</v>
      </c>
      <c r="B6" s="13">
        <f>SponsorBasis</f>
        <v>150000</v>
      </c>
      <c r="C6" s="13">
        <f>SUM(Waterfall!R4:R14)</f>
        <v>863545.73123648984</v>
      </c>
      <c r="D6" s="13">
        <f>C6-B6</f>
        <v>713545.73123648984</v>
      </c>
      <c r="E6" s="13">
        <f>IFERROR(C6/B6,0)</f>
        <v>5.7569715415765987</v>
      </c>
      <c r="F6" s="13">
        <f>IFERROR(D6/B6,0)</f>
        <v>4.7569715415765987</v>
      </c>
      <c r="G6" s="13">
        <f>IFERROR(IRR(H6:R6),0)</f>
        <v>0.44607711743764078</v>
      </c>
      <c r="H6" s="13">
        <f>-B6</f>
        <v>-150000</v>
      </c>
      <c r="I6" s="13">
        <f>Waterfall!R5</f>
        <v>0</v>
      </c>
      <c r="J6" s="13">
        <f>Waterfall!R6</f>
        <v>0</v>
      </c>
      <c r="K6" s="13">
        <f>Waterfall!R7</f>
        <v>0</v>
      </c>
      <c r="L6" s="13">
        <f>Waterfall!R8</f>
        <v>556855.7019016355</v>
      </c>
      <c r="M6" s="13">
        <f>Waterfall!R9</f>
        <v>47413.511948159998</v>
      </c>
      <c r="N6" s="13">
        <f>Waterfall!R10</f>
        <v>48835.917306604802</v>
      </c>
      <c r="O6" s="13">
        <f>Waterfall!R11</f>
        <v>50300.99482580294</v>
      </c>
      <c r="P6" s="13">
        <f>Waterfall!R12</f>
        <v>51810.024670577033</v>
      </c>
      <c r="Q6" s="13">
        <f>Waterfall!R13</f>
        <v>53364.325410694342</v>
      </c>
      <c r="R6" s="13">
        <f>Waterfall!R14</f>
        <v>54965.255173015154</v>
      </c>
    </row>
    <row r="7" spans="1:20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</row>
    <row r="8" spans="1:20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  <row r="9" spans="1:20">
      <c r="A9" s="23" t="s">
        <v>127</v>
      </c>
      <c r="B9" s="28" t="s">
        <v>128</v>
      </c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</row>
  </sheetData>
  <mergeCells count="2">
    <mergeCell ref="B9:T9"/>
    <mergeCell ref="A1:D1"/>
  </mergeCells>
  <pageMargins left="0.7" right="0.7" top="0.75" bottom="0.75" header="0.3" footer="0.3"/>
  <pageSetup orientation="portrait" horizontalDpi="4800" verticalDpi="48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5"/>
  <cols>
    <col min="1" max="1" width="16.7109375" bestFit="1" customWidth="1"/>
    <col min="2" max="2" width="148.5703125" bestFit="1" customWidth="1"/>
  </cols>
  <sheetData>
    <row r="1" spans="1:2" ht="18.75">
      <c r="A1" s="3" t="s">
        <v>129</v>
      </c>
      <c r="B1" s="2"/>
    </row>
    <row r="2" spans="1:2">
      <c r="A2" s="2"/>
      <c r="B2" s="2"/>
    </row>
    <row r="3" spans="1:2">
      <c r="A3" s="4" t="s">
        <v>130</v>
      </c>
      <c r="B3" s="2" t="s">
        <v>131</v>
      </c>
    </row>
    <row r="4" spans="1:2">
      <c r="A4" s="4" t="s">
        <v>132</v>
      </c>
      <c r="B4" s="2" t="s">
        <v>133</v>
      </c>
    </row>
    <row r="5" spans="1:2">
      <c r="A5" s="4" t="s">
        <v>124</v>
      </c>
      <c r="B5" s="2" t="s">
        <v>134</v>
      </c>
    </row>
    <row r="6" spans="1:2">
      <c r="A6" s="4" t="s">
        <v>125</v>
      </c>
      <c r="B6" s="2" t="s">
        <v>135</v>
      </c>
    </row>
    <row r="7" spans="1:2">
      <c r="A7" s="4" t="s">
        <v>126</v>
      </c>
      <c r="B7" s="2" t="s">
        <v>136</v>
      </c>
    </row>
    <row r="8" spans="1:2">
      <c r="A8" s="4" t="s">
        <v>137</v>
      </c>
      <c r="B8" s="2" t="s">
        <v>138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86"/>
  <sheetViews>
    <sheetView topLeftCell="A15" workbookViewId="0">
      <selection activeCell="D17" sqref="D17"/>
    </sheetView>
  </sheetViews>
  <sheetFormatPr defaultRowHeight="15"/>
  <cols>
    <col min="1" max="1" width="69.7109375" style="6" bestFit="1" customWidth="1"/>
    <col min="2" max="2" width="18.5703125" style="6" bestFit="1" customWidth="1"/>
    <col min="3" max="3" width="49.85546875" style="6" bestFit="1" customWidth="1"/>
    <col min="4" max="4" width="7.5703125" style="6" bestFit="1" customWidth="1"/>
    <col min="5" max="5" width="32" style="6" bestFit="1" customWidth="1"/>
    <col min="6" max="6" width="8.140625" style="6" bestFit="1" customWidth="1"/>
    <col min="7" max="7" width="42.28515625" style="6" bestFit="1" customWidth="1"/>
    <col min="8" max="16384" width="9.140625" style="6"/>
  </cols>
  <sheetData>
    <row r="1" spans="1:8">
      <c r="A1" s="13" t="s">
        <v>139</v>
      </c>
      <c r="B1" s="13"/>
      <c r="C1" s="13"/>
    </row>
    <row r="2" spans="1:8">
      <c r="A2" s="13" t="s">
        <v>140</v>
      </c>
      <c r="B2" s="31" t="s">
        <v>141</v>
      </c>
      <c r="C2" s="29"/>
      <c r="D2" s="29"/>
    </row>
    <row r="3" spans="1:8">
      <c r="A3" s="13" t="s">
        <v>142</v>
      </c>
      <c r="B3" s="31" t="s">
        <v>143</v>
      </c>
      <c r="C3" s="29"/>
      <c r="D3" s="29"/>
      <c r="E3" s="29"/>
      <c r="F3" s="29"/>
      <c r="G3" s="29"/>
    </row>
    <row r="4" spans="1:8">
      <c r="A4" s="13"/>
      <c r="B4" s="13"/>
      <c r="C4" s="13"/>
    </row>
    <row r="5" spans="1:8">
      <c r="A5" s="13" t="s">
        <v>144</v>
      </c>
      <c r="B5" s="11" t="s">
        <v>145</v>
      </c>
      <c r="C5" s="11" t="s">
        <v>146</v>
      </c>
      <c r="E5" s="6" t="s">
        <v>147</v>
      </c>
      <c r="F5" s="6" t="s">
        <v>145</v>
      </c>
      <c r="G5" s="6" t="s">
        <v>146</v>
      </c>
    </row>
    <row r="6" spans="1:8">
      <c r="A6" s="13" t="s">
        <v>148</v>
      </c>
      <c r="B6" s="13">
        <f>ExistingFirstMortgage</f>
        <v>119000</v>
      </c>
      <c r="C6" s="13" t="s">
        <v>149</v>
      </c>
      <c r="E6" s="6" t="s">
        <v>150</v>
      </c>
      <c r="F6" s="13">
        <f>ClassACapital</f>
        <v>300000</v>
      </c>
      <c r="G6" s="6" t="s">
        <v>151</v>
      </c>
    </row>
    <row r="7" spans="1:8">
      <c r="A7" s="13" t="s">
        <v>152</v>
      </c>
      <c r="B7" s="13">
        <f>PrivateDebtPrincipal</f>
        <v>75000</v>
      </c>
      <c r="C7" s="13" t="s">
        <v>153</v>
      </c>
      <c r="E7" s="6" t="s">
        <v>154</v>
      </c>
      <c r="F7" s="13">
        <f>ClassBCapital</f>
        <v>450000</v>
      </c>
      <c r="G7" s="6" t="s">
        <v>155</v>
      </c>
    </row>
    <row r="8" spans="1:8">
      <c r="A8" s="13" t="s">
        <v>156</v>
      </c>
      <c r="B8" s="24">
        <f>PrivateDebtInterestRate</f>
        <v>0.1</v>
      </c>
      <c r="C8" s="13" t="s">
        <v>157</v>
      </c>
      <c r="E8" s="6" t="s">
        <v>158</v>
      </c>
      <c r="F8" s="13">
        <v>0</v>
      </c>
      <c r="G8" s="6" t="s">
        <v>159</v>
      </c>
    </row>
    <row r="9" spans="1:8">
      <c r="A9" s="13" t="s">
        <v>160</v>
      </c>
      <c r="B9" s="13">
        <f>RefinanceLoanAmount</f>
        <v>744863.0399999998</v>
      </c>
      <c r="C9" s="13" t="s">
        <v>161</v>
      </c>
      <c r="E9" s="6" t="s">
        <v>162</v>
      </c>
      <c r="F9" s="13">
        <f>RefinanceProceedsAfterExistingDebt</f>
        <v>550863.0399999998</v>
      </c>
      <c r="G9" s="6" t="s">
        <v>163</v>
      </c>
    </row>
    <row r="10" spans="1:8">
      <c r="A10" s="13" t="s">
        <v>164</v>
      </c>
      <c r="B10" s="13">
        <f>SponsorBasis</f>
        <v>150000</v>
      </c>
      <c r="C10" s="13" t="s">
        <v>165</v>
      </c>
      <c r="E10" s="6" t="s">
        <v>166</v>
      </c>
      <c r="F10" s="13">
        <f>RefinanceProceedsAfterDebtAndClassA</f>
        <v>250863.0399999998</v>
      </c>
      <c r="G10" s="6" t="s">
        <v>167</v>
      </c>
    </row>
    <row r="11" spans="1:8" ht="15.75" thickBot="1">
      <c r="A11" s="13" t="s">
        <v>168</v>
      </c>
      <c r="B11" s="13">
        <f>ClassACapital+ClassBCapital</f>
        <v>750000</v>
      </c>
      <c r="C11" s="13" t="s">
        <v>169</v>
      </c>
    </row>
    <row r="12" spans="1:8" ht="15.75" thickBot="1">
      <c r="A12" s="13"/>
      <c r="B12" s="17" t="s">
        <v>170</v>
      </c>
      <c r="C12" s="16" t="s">
        <v>171</v>
      </c>
      <c r="D12" s="5"/>
    </row>
    <row r="13" spans="1:8" ht="15.75" thickBot="1">
      <c r="A13" s="7" t="s">
        <v>172</v>
      </c>
      <c r="B13" s="12" t="b">
        <f>$C$12="Low"</f>
        <v>1</v>
      </c>
      <c r="C13" s="12" t="b">
        <f>$C$12="High"</f>
        <v>0</v>
      </c>
      <c r="E13" s="12" t="s">
        <v>173</v>
      </c>
      <c r="F13" s="5"/>
      <c r="G13" s="5"/>
      <c r="H13" s="5"/>
    </row>
    <row r="14" spans="1:8" ht="15.75" thickBot="1">
      <c r="A14" s="13" t="s">
        <v>174</v>
      </c>
      <c r="B14" s="13">
        <f>B32</f>
        <v>750000</v>
      </c>
      <c r="C14" s="13">
        <f>C32</f>
        <v>1500000</v>
      </c>
      <c r="D14" s="13" t="b">
        <f>$E$14="Sponsor-Controlled"</f>
        <v>1</v>
      </c>
      <c r="E14" s="16" t="s">
        <v>175</v>
      </c>
    </row>
    <row r="15" spans="1:8">
      <c r="A15" s="13" t="s">
        <v>176</v>
      </c>
      <c r="B15" s="13">
        <f>B46+B55+B64</f>
        <v>1880000</v>
      </c>
      <c r="C15" s="13">
        <f>C46+C55+C64</f>
        <v>4160000</v>
      </c>
      <c r="D15" s="13" t="b">
        <f>$E$14="Outside-Market Benchmark"</f>
        <v>0</v>
      </c>
    </row>
    <row r="16" spans="1:8">
      <c r="A16" s="7" t="s">
        <v>177</v>
      </c>
      <c r="B16" s="7" t="str">
        <f>$E$14</f>
        <v>Sponsor-Controlled</v>
      </c>
      <c r="C16" s="7" t="str">
        <f>$C$12</f>
        <v>Low</v>
      </c>
      <c r="D16" s="7"/>
      <c r="E16" s="5"/>
      <c r="F16" s="5"/>
      <c r="G16" s="5"/>
      <c r="H16" s="5"/>
    </row>
    <row r="17" spans="1:8">
      <c r="A17" s="7" t="s">
        <v>178</v>
      </c>
      <c r="B17" s="7">
        <f>IF($C$12="Low",IF($E$14="Sponsor-Controlled",B14,B15),"")</f>
        <v>750000</v>
      </c>
      <c r="C17" s="7" t="str">
        <f>IF($C$12="High",IF($E$14="Sponsor-Controlled",C14,C15),"")</f>
        <v/>
      </c>
      <c r="D17" s="7">
        <f>IF($C$12="Low",B17,C17)</f>
        <v>750000</v>
      </c>
      <c r="E17" s="5"/>
      <c r="F17" s="5"/>
      <c r="G17" s="5"/>
      <c r="H17" s="5"/>
    </row>
    <row r="18" spans="1:8">
      <c r="A18" s="13"/>
      <c r="B18" s="13"/>
      <c r="C18" s="13"/>
      <c r="D18" s="15"/>
    </row>
    <row r="19" spans="1:8">
      <c r="A19" s="6" t="s">
        <v>179</v>
      </c>
      <c r="B19" s="14" t="s">
        <v>180</v>
      </c>
      <c r="C19" s="14" t="s">
        <v>181</v>
      </c>
      <c r="D19" s="15"/>
    </row>
    <row r="20" spans="1:8">
      <c r="B20" s="13"/>
      <c r="C20" s="13"/>
    </row>
    <row r="21" spans="1:8">
      <c r="A21" s="6" t="s">
        <v>182</v>
      </c>
      <c r="B21" s="13">
        <f>$D$17/5000</f>
        <v>150</v>
      </c>
      <c r="C21" s="13"/>
    </row>
    <row r="22" spans="1:8">
      <c r="A22" s="6" t="s">
        <v>183</v>
      </c>
      <c r="B22" s="13">
        <f>$D$17/6000</f>
        <v>125</v>
      </c>
      <c r="C22" s="13"/>
    </row>
    <row r="23" spans="1:8">
      <c r="B23" s="13"/>
      <c r="C23" s="13"/>
    </row>
    <row r="24" spans="1:8">
      <c r="A24" s="5" t="s">
        <v>184</v>
      </c>
      <c r="B24" s="12" t="s">
        <v>171</v>
      </c>
      <c r="C24" s="12" t="s">
        <v>185</v>
      </c>
    </row>
    <row r="25" spans="1:8">
      <c r="A25" s="6" t="s">
        <v>186</v>
      </c>
      <c r="B25" s="13">
        <v>75000</v>
      </c>
      <c r="C25" s="13">
        <v>175000</v>
      </c>
    </row>
    <row r="26" spans="1:8">
      <c r="A26" s="6" t="s">
        <v>187</v>
      </c>
      <c r="B26" s="13">
        <v>50000</v>
      </c>
      <c r="C26" s="13">
        <v>125000</v>
      </c>
    </row>
    <row r="27" spans="1:8">
      <c r="A27" s="6" t="s">
        <v>188</v>
      </c>
      <c r="B27" s="13">
        <v>390000</v>
      </c>
      <c r="C27" s="13">
        <v>610000</v>
      </c>
    </row>
    <row r="28" spans="1:8">
      <c r="A28" s="6" t="s">
        <v>189</v>
      </c>
      <c r="B28" s="13">
        <v>55000</v>
      </c>
      <c r="C28" s="13">
        <v>110000</v>
      </c>
    </row>
    <row r="29" spans="1:8">
      <c r="A29" s="6" t="s">
        <v>190</v>
      </c>
      <c r="B29" s="13">
        <v>90000</v>
      </c>
      <c r="C29" s="13">
        <v>225000</v>
      </c>
    </row>
    <row r="30" spans="1:8">
      <c r="A30" s="6" t="s">
        <v>191</v>
      </c>
      <c r="B30" s="13">
        <v>30000</v>
      </c>
      <c r="C30" s="13">
        <v>100000</v>
      </c>
    </row>
    <row r="31" spans="1:8">
      <c r="A31" s="6" t="s">
        <v>192</v>
      </c>
      <c r="B31" s="13">
        <v>60000</v>
      </c>
      <c r="C31" s="13">
        <v>155000</v>
      </c>
    </row>
    <row r="32" spans="1:8">
      <c r="A32" s="8" t="s">
        <v>193</v>
      </c>
      <c r="B32" s="7">
        <f>SUM(B25:B31)</f>
        <v>750000</v>
      </c>
      <c r="C32" s="7">
        <f>SUM(C25:C31)</f>
        <v>1500000</v>
      </c>
    </row>
    <row r="33" spans="1:3">
      <c r="A33" s="13" t="s">
        <v>194</v>
      </c>
      <c r="B33" s="11" t="s">
        <v>195</v>
      </c>
      <c r="C33" s="11"/>
    </row>
    <row r="34" spans="1:3">
      <c r="A34" s="13" t="s">
        <v>196</v>
      </c>
      <c r="B34" s="13">
        <f>$D$17</f>
        <v>750000</v>
      </c>
      <c r="C34" s="13"/>
    </row>
    <row r="35" spans="1:3">
      <c r="A35" s="13" t="s">
        <v>197</v>
      </c>
      <c r="B35" s="13">
        <f>$B$11</f>
        <v>750000</v>
      </c>
      <c r="C35" s="13"/>
    </row>
    <row r="36" spans="1:3">
      <c r="A36" s="13" t="s">
        <v>198</v>
      </c>
      <c r="B36" s="13">
        <f>MAX(0,B34-B35)</f>
        <v>0</v>
      </c>
      <c r="C36" s="13"/>
    </row>
    <row r="37" spans="1:3">
      <c r="A37" s="13"/>
      <c r="B37" s="13"/>
      <c r="C37" s="13"/>
    </row>
    <row r="38" spans="1:3">
      <c r="A38" s="10" t="s">
        <v>199</v>
      </c>
      <c r="B38" s="10" t="s">
        <v>171</v>
      </c>
      <c r="C38" s="10" t="s">
        <v>185</v>
      </c>
    </row>
    <row r="39" spans="1:3">
      <c r="A39" s="10" t="s">
        <v>200</v>
      </c>
      <c r="B39" s="10">
        <v>35000</v>
      </c>
      <c r="C39" s="10">
        <v>90000</v>
      </c>
    </row>
    <row r="40" spans="1:3">
      <c r="A40" s="10" t="s">
        <v>201</v>
      </c>
      <c r="B40" s="10">
        <v>20000</v>
      </c>
      <c r="C40" s="10">
        <v>60000</v>
      </c>
    </row>
    <row r="41" spans="1:3">
      <c r="A41" s="10" t="s">
        <v>202</v>
      </c>
      <c r="B41" s="10">
        <v>20000</v>
      </c>
      <c r="C41" s="10">
        <v>90000</v>
      </c>
    </row>
    <row r="42" spans="1:3">
      <c r="A42" s="10" t="s">
        <v>203</v>
      </c>
      <c r="B42" s="10">
        <v>10000</v>
      </c>
      <c r="C42" s="10">
        <v>30000</v>
      </c>
    </row>
    <row r="43" spans="1:3">
      <c r="A43" s="10" t="s">
        <v>204</v>
      </c>
      <c r="B43" s="10">
        <v>15000</v>
      </c>
      <c r="C43" s="10">
        <v>50000</v>
      </c>
    </row>
    <row r="44" spans="1:3">
      <c r="A44" s="10" t="s">
        <v>205</v>
      </c>
      <c r="B44" s="10">
        <v>15000</v>
      </c>
      <c r="C44" s="10">
        <v>40000</v>
      </c>
    </row>
    <row r="45" spans="1:3">
      <c r="A45" s="10" t="s">
        <v>206</v>
      </c>
      <c r="B45" s="10">
        <v>15000</v>
      </c>
      <c r="C45" s="10">
        <v>45000</v>
      </c>
    </row>
    <row r="46" spans="1:3">
      <c r="A46" s="10" t="s">
        <v>207</v>
      </c>
      <c r="B46" s="10">
        <f>SUM(B39:B45)</f>
        <v>130000</v>
      </c>
      <c r="C46" s="10">
        <f>SUM(C39:C45)</f>
        <v>405000</v>
      </c>
    </row>
    <row r="47" spans="1:3">
      <c r="A47" s="10"/>
      <c r="B47" s="10"/>
      <c r="C47" s="10"/>
    </row>
    <row r="48" spans="1:3">
      <c r="A48" s="10" t="s">
        <v>208</v>
      </c>
      <c r="B48" s="10" t="s">
        <v>171</v>
      </c>
      <c r="C48" s="10" t="s">
        <v>185</v>
      </c>
    </row>
    <row r="49" spans="1:3">
      <c r="A49" s="10" t="s">
        <v>209</v>
      </c>
      <c r="B49" s="10">
        <v>50000</v>
      </c>
      <c r="C49" s="10">
        <v>150000</v>
      </c>
    </row>
    <row r="50" spans="1:3">
      <c r="A50" s="10" t="s">
        <v>210</v>
      </c>
      <c r="B50" s="10">
        <v>40000</v>
      </c>
      <c r="C50" s="10">
        <v>120000</v>
      </c>
    </row>
    <row r="51" spans="1:3">
      <c r="A51" s="10" t="s">
        <v>211</v>
      </c>
      <c r="B51" s="10">
        <v>25000</v>
      </c>
      <c r="C51" s="10">
        <v>75000</v>
      </c>
    </row>
    <row r="52" spans="1:3">
      <c r="A52" s="10" t="s">
        <v>212</v>
      </c>
      <c r="B52" s="10">
        <v>10000</v>
      </c>
      <c r="C52" s="10">
        <v>30000</v>
      </c>
    </row>
    <row r="53" spans="1:3">
      <c r="A53" s="10" t="s">
        <v>213</v>
      </c>
      <c r="B53" s="10">
        <v>20000</v>
      </c>
      <c r="C53" s="10">
        <v>60000</v>
      </c>
    </row>
    <row r="54" spans="1:3">
      <c r="A54" s="10" t="s">
        <v>214</v>
      </c>
      <c r="B54" s="10">
        <v>40000</v>
      </c>
      <c r="C54" s="10">
        <v>125000</v>
      </c>
    </row>
    <row r="55" spans="1:3">
      <c r="A55" s="10" t="s">
        <v>215</v>
      </c>
      <c r="B55" s="10">
        <f>SUM(B49:B54)</f>
        <v>185000</v>
      </c>
      <c r="C55" s="10">
        <f>SUM(C49:C54)</f>
        <v>560000</v>
      </c>
    </row>
    <row r="56" spans="1:3">
      <c r="A56" s="10"/>
      <c r="B56" s="10"/>
      <c r="C56" s="10"/>
    </row>
    <row r="57" spans="1:3">
      <c r="A57" s="10" t="s">
        <v>216</v>
      </c>
      <c r="B57" s="10" t="s">
        <v>171</v>
      </c>
      <c r="C57" s="10" t="s">
        <v>185</v>
      </c>
    </row>
    <row r="58" spans="1:3">
      <c r="A58" s="10" t="s">
        <v>217</v>
      </c>
      <c r="B58" s="10">
        <v>1125000</v>
      </c>
      <c r="C58" s="10">
        <v>1950000</v>
      </c>
    </row>
    <row r="59" spans="1:3">
      <c r="A59" s="10" t="s">
        <v>218</v>
      </c>
      <c r="B59" s="10">
        <v>125000</v>
      </c>
      <c r="C59" s="10">
        <v>350000</v>
      </c>
    </row>
    <row r="60" spans="1:3">
      <c r="A60" s="10" t="s">
        <v>219</v>
      </c>
      <c r="B60" s="10">
        <v>35000</v>
      </c>
      <c r="C60" s="10">
        <v>125000</v>
      </c>
    </row>
    <row r="61" spans="1:3">
      <c r="A61" s="10" t="s">
        <v>220</v>
      </c>
      <c r="B61" s="10">
        <v>75000</v>
      </c>
      <c r="C61" s="10">
        <v>300000</v>
      </c>
    </row>
    <row r="62" spans="1:3">
      <c r="A62" s="10" t="s">
        <v>191</v>
      </c>
      <c r="B62" s="10">
        <v>60000</v>
      </c>
      <c r="C62" s="10">
        <v>180000</v>
      </c>
    </row>
    <row r="63" spans="1:3">
      <c r="A63" s="10" t="s">
        <v>221</v>
      </c>
      <c r="B63" s="10">
        <v>145000</v>
      </c>
      <c r="C63" s="10">
        <v>290000</v>
      </c>
    </row>
    <row r="64" spans="1:3">
      <c r="A64" s="10" t="s">
        <v>222</v>
      </c>
      <c r="B64" s="10">
        <f>SUM(B58:B63)</f>
        <v>1565000</v>
      </c>
      <c r="C64" s="10">
        <f>SUM(C58:C63)</f>
        <v>3195000</v>
      </c>
    </row>
    <row r="66" spans="1:5">
      <c r="A66" s="5" t="s">
        <v>223</v>
      </c>
    </row>
    <row r="67" spans="1:5">
      <c r="A67" s="6" t="s">
        <v>224</v>
      </c>
      <c r="B67" s="29" t="s">
        <v>225</v>
      </c>
      <c r="C67" s="29"/>
      <c r="D67" s="29"/>
    </row>
    <row r="70" spans="1:5">
      <c r="A70" s="5" t="s">
        <v>226</v>
      </c>
    </row>
    <row r="71" spans="1:5">
      <c r="A71" s="6" t="s">
        <v>227</v>
      </c>
      <c r="B71" s="6" t="s">
        <v>228</v>
      </c>
      <c r="C71" s="29" t="s">
        <v>229</v>
      </c>
      <c r="D71" s="29"/>
      <c r="E71" s="29"/>
    </row>
    <row r="72" spans="1:5">
      <c r="A72" s="6" t="s">
        <v>230</v>
      </c>
      <c r="B72" s="6" t="s">
        <v>228</v>
      </c>
      <c r="C72" s="29" t="s">
        <v>229</v>
      </c>
      <c r="D72" s="29"/>
      <c r="E72" s="29"/>
    </row>
    <row r="73" spans="1:5">
      <c r="A73" s="6" t="s">
        <v>231</v>
      </c>
      <c r="B73" s="6" t="s">
        <v>228</v>
      </c>
      <c r="C73" s="29" t="s">
        <v>229</v>
      </c>
      <c r="D73" s="29"/>
      <c r="E73" s="29"/>
    </row>
    <row r="74" spans="1:5">
      <c r="A74" s="6" t="s">
        <v>232</v>
      </c>
      <c r="B74" s="6" t="s">
        <v>228</v>
      </c>
      <c r="C74" s="29" t="s">
        <v>229</v>
      </c>
      <c r="D74" s="29"/>
      <c r="E74" s="29"/>
    </row>
    <row r="75" spans="1:5">
      <c r="A75" s="6" t="s">
        <v>233</v>
      </c>
      <c r="B75" s="6" t="s">
        <v>234</v>
      </c>
      <c r="C75" s="29" t="s">
        <v>235</v>
      </c>
      <c r="D75" s="29"/>
      <c r="E75" s="29"/>
    </row>
    <row r="76" spans="1:5">
      <c r="A76" s="6" t="s">
        <v>236</v>
      </c>
      <c r="B76" s="6" t="s">
        <v>228</v>
      </c>
      <c r="C76" s="29" t="s">
        <v>237</v>
      </c>
      <c r="D76" s="29"/>
      <c r="E76" s="29"/>
    </row>
    <row r="77" spans="1:5">
      <c r="A77" s="6" t="s">
        <v>238</v>
      </c>
      <c r="B77" s="6" t="s">
        <v>228</v>
      </c>
      <c r="C77" s="29" t="s">
        <v>239</v>
      </c>
      <c r="D77" s="29"/>
      <c r="E77" s="29"/>
    </row>
    <row r="78" spans="1:5">
      <c r="A78" s="6" t="s">
        <v>240</v>
      </c>
      <c r="B78" s="6" t="s">
        <v>228</v>
      </c>
      <c r="C78" s="29" t="s">
        <v>241</v>
      </c>
      <c r="D78" s="29"/>
      <c r="E78" s="29"/>
    </row>
    <row r="80" spans="1:5">
      <c r="A80" s="5" t="s">
        <v>242</v>
      </c>
    </row>
    <row r="81" spans="1:5">
      <c r="A81" s="6" t="s">
        <v>243</v>
      </c>
      <c r="B81" s="6" t="s">
        <v>228</v>
      </c>
      <c r="C81" s="29" t="s">
        <v>244</v>
      </c>
      <c r="D81" s="29"/>
      <c r="E81" s="29"/>
    </row>
    <row r="82" spans="1:5">
      <c r="A82" s="6" t="s">
        <v>245</v>
      </c>
      <c r="B82" s="6" t="s">
        <v>234</v>
      </c>
    </row>
    <row r="83" spans="1:5">
      <c r="A83" s="6" t="s">
        <v>246</v>
      </c>
      <c r="B83" s="6" t="s">
        <v>234</v>
      </c>
    </row>
    <row r="84" spans="1:5">
      <c r="A84" s="6" t="s">
        <v>247</v>
      </c>
      <c r="B84" s="6" t="s">
        <v>234</v>
      </c>
    </row>
    <row r="85" spans="1:5">
      <c r="A85" s="6" t="s">
        <v>248</v>
      </c>
      <c r="B85" s="6" t="s">
        <v>234</v>
      </c>
    </row>
    <row r="86" spans="1:5">
      <c r="A86" s="6" t="s">
        <v>249</v>
      </c>
      <c r="B86" s="6" t="s">
        <v>228</v>
      </c>
      <c r="C86" s="29" t="s">
        <v>250</v>
      </c>
      <c r="D86" s="29"/>
      <c r="E86" s="29"/>
    </row>
  </sheetData>
  <mergeCells count="13">
    <mergeCell ref="C86:E86"/>
    <mergeCell ref="B2:D2"/>
    <mergeCell ref="B67:D67"/>
    <mergeCell ref="C81:E81"/>
    <mergeCell ref="C71:E71"/>
    <mergeCell ref="C72:E72"/>
    <mergeCell ref="C73:E73"/>
    <mergeCell ref="C74:E74"/>
    <mergeCell ref="C75:E75"/>
    <mergeCell ref="C76:E76"/>
    <mergeCell ref="C77:E77"/>
    <mergeCell ref="C78:E78"/>
    <mergeCell ref="B3:G3"/>
  </mergeCells>
  <dataValidations count="2">
    <dataValidation type="list" allowBlank="1" showInputMessage="1" showErrorMessage="1" sqref="C12" xr:uid="{F2EFADDC-137B-4384-97BE-5AFFC5C45AA5}">
      <formula1>"Low,High"</formula1>
    </dataValidation>
    <dataValidation type="list" allowBlank="1" showInputMessage="1" showErrorMessage="1" sqref="E14" xr:uid="{FBAD43CC-91F5-43EF-8158-03167006C414}">
      <formula1>"Sponsor-Controlled,Outside-Market Benchmark"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D0DC-AF86-4C8A-8753-A4D0D2D3B5B0}">
  <dimension ref="A1:I36"/>
  <sheetViews>
    <sheetView workbookViewId="0">
      <selection activeCell="B36" sqref="B36"/>
    </sheetView>
  </sheetViews>
  <sheetFormatPr defaultRowHeight="15"/>
  <cols>
    <col min="1" max="1" width="39.28515625" bestFit="1" customWidth="1"/>
    <col min="2" max="2" width="15" bestFit="1" customWidth="1"/>
    <col min="3" max="3" width="73.42578125" bestFit="1" customWidth="1"/>
  </cols>
  <sheetData>
    <row r="1" spans="1:9">
      <c r="A1" s="5" t="s">
        <v>251</v>
      </c>
      <c r="B1" s="5"/>
      <c r="C1" s="5"/>
    </row>
    <row r="3" spans="1:9">
      <c r="A3" s="5" t="s">
        <v>252</v>
      </c>
      <c r="B3" s="5"/>
      <c r="C3" s="5"/>
    </row>
    <row r="4" spans="1:9">
      <c r="A4" t="s">
        <v>253</v>
      </c>
      <c r="C4" t="s">
        <v>254</v>
      </c>
      <c r="I4" t="b">
        <v>0</v>
      </c>
    </row>
    <row r="5" spans="1:9">
      <c r="A5" t="s">
        <v>255</v>
      </c>
      <c r="B5" s="1">
        <v>0.4</v>
      </c>
      <c r="C5" t="s">
        <v>256</v>
      </c>
    </row>
    <row r="6" spans="1:9" ht="15.75" thickBot="1">
      <c r="A6" t="s">
        <v>257</v>
      </c>
      <c r="B6" s="1">
        <f>IFERROR(B36/B10,0)</f>
        <v>0.65890083632019114</v>
      </c>
      <c r="C6" t="s">
        <v>258</v>
      </c>
    </row>
    <row r="7" spans="1:9" ht="15.75" thickBot="1">
      <c r="A7" s="18" t="s">
        <v>21</v>
      </c>
      <c r="B7" s="19">
        <f>IF(I4,B6,B5)</f>
        <v>0.4</v>
      </c>
      <c r="C7" t="s">
        <v>259</v>
      </c>
    </row>
    <row r="9" spans="1:9">
      <c r="A9" s="5" t="s">
        <v>260</v>
      </c>
      <c r="B9" s="5"/>
      <c r="C9" s="5"/>
    </row>
    <row r="10" spans="1:9">
      <c r="A10" t="s">
        <v>261</v>
      </c>
      <c r="B10" s="2">
        <f>StabilizedMonthlyGrossRent*12*StabilizedOccupancy</f>
        <v>120528</v>
      </c>
      <c r="C10" t="s">
        <v>262</v>
      </c>
    </row>
    <row r="11" spans="1:9">
      <c r="B11" s="2"/>
    </row>
    <row r="12" spans="1:9">
      <c r="A12" s="5" t="s">
        <v>263</v>
      </c>
      <c r="B12" s="7" t="s">
        <v>264</v>
      </c>
      <c r="C12" s="5" t="s">
        <v>265</v>
      </c>
    </row>
    <row r="13" spans="1:9">
      <c r="A13" t="s">
        <v>266</v>
      </c>
      <c r="B13" s="9">
        <v>7000</v>
      </c>
      <c r="C13" t="s">
        <v>267</v>
      </c>
    </row>
    <row r="14" spans="1:9">
      <c r="A14" t="s">
        <v>268</v>
      </c>
      <c r="B14" s="2">
        <v>9000</v>
      </c>
      <c r="C14" t="s">
        <v>269</v>
      </c>
    </row>
    <row r="15" spans="1:9">
      <c r="A15" t="s">
        <v>270</v>
      </c>
      <c r="B15" s="9">
        <f>+D15*StabilizedMonthlyGrossRent*12</f>
        <v>7776</v>
      </c>
      <c r="C15" t="s">
        <v>271</v>
      </c>
      <c r="D15" s="21">
        <v>0.06</v>
      </c>
    </row>
    <row r="16" spans="1:9">
      <c r="A16" t="s">
        <v>272</v>
      </c>
      <c r="B16" s="9">
        <v>15000</v>
      </c>
      <c r="C16" t="s">
        <v>273</v>
      </c>
    </row>
    <row r="17" spans="1:3">
      <c r="A17" t="s">
        <v>274</v>
      </c>
      <c r="B17" s="9">
        <v>500</v>
      </c>
      <c r="C17" t="s">
        <v>275</v>
      </c>
    </row>
    <row r="18" spans="1:3">
      <c r="A18" t="s">
        <v>276</v>
      </c>
      <c r="B18" s="9">
        <v>2400</v>
      </c>
      <c r="C18" t="s">
        <v>277</v>
      </c>
    </row>
    <row r="19" spans="1:3">
      <c r="A19" t="s">
        <v>278</v>
      </c>
      <c r="B19" s="9">
        <v>1800</v>
      </c>
      <c r="C19" t="s">
        <v>279</v>
      </c>
    </row>
    <row r="20" spans="1:3">
      <c r="A20" t="s">
        <v>280</v>
      </c>
      <c r="B20" s="9">
        <v>9000</v>
      </c>
      <c r="C20" t="s">
        <v>281</v>
      </c>
    </row>
    <row r="21" spans="1:3">
      <c r="A21" t="s">
        <v>282</v>
      </c>
      <c r="B21" s="9">
        <f>200*8</f>
        <v>1600</v>
      </c>
      <c r="C21" t="s">
        <v>283</v>
      </c>
    </row>
    <row r="22" spans="1:3">
      <c r="A22" t="s">
        <v>284</v>
      </c>
      <c r="B22" s="9">
        <v>3600</v>
      </c>
      <c r="C22" t="s">
        <v>285</v>
      </c>
    </row>
    <row r="23" spans="1:3">
      <c r="A23" t="s">
        <v>286</v>
      </c>
      <c r="B23" s="9">
        <v>1200</v>
      </c>
      <c r="C23" t="s">
        <v>279</v>
      </c>
    </row>
    <row r="24" spans="1:3">
      <c r="A24" t="s">
        <v>287</v>
      </c>
      <c r="B24" s="9">
        <v>3000</v>
      </c>
      <c r="C24" t="s">
        <v>288</v>
      </c>
    </row>
    <row r="25" spans="1:3">
      <c r="A25" t="s">
        <v>289</v>
      </c>
      <c r="B25" s="9">
        <v>4000</v>
      </c>
      <c r="C25" t="s">
        <v>290</v>
      </c>
    </row>
    <row r="26" spans="1:3">
      <c r="A26" t="s">
        <v>291</v>
      </c>
      <c r="B26" s="2">
        <v>0</v>
      </c>
      <c r="C26" t="s">
        <v>292</v>
      </c>
    </row>
    <row r="27" spans="1:3">
      <c r="A27" t="s">
        <v>293</v>
      </c>
      <c r="B27" s="2">
        <f>120*12</f>
        <v>1440</v>
      </c>
      <c r="C27" t="s">
        <v>294</v>
      </c>
    </row>
    <row r="28" spans="1:3">
      <c r="A28" t="s">
        <v>295</v>
      </c>
      <c r="B28" s="2"/>
      <c r="C28" t="s">
        <v>296</v>
      </c>
    </row>
    <row r="29" spans="1:3">
      <c r="A29" t="s">
        <v>297</v>
      </c>
      <c r="B29" s="2">
        <v>1200</v>
      </c>
      <c r="C29" t="s">
        <v>298</v>
      </c>
    </row>
    <row r="30" spans="1:3">
      <c r="A30" t="s">
        <v>299</v>
      </c>
      <c r="B30" s="2"/>
      <c r="C30" t="s">
        <v>300</v>
      </c>
    </row>
    <row r="31" spans="1:3">
      <c r="A31" t="s">
        <v>301</v>
      </c>
      <c r="B31" s="2">
        <v>2400</v>
      </c>
      <c r="C31" t="s">
        <v>302</v>
      </c>
    </row>
    <row r="32" spans="1:3">
      <c r="A32" t="s">
        <v>303</v>
      </c>
      <c r="B32" s="2">
        <v>1200</v>
      </c>
      <c r="C32" t="s">
        <v>304</v>
      </c>
    </row>
    <row r="33" spans="1:3">
      <c r="A33" t="s">
        <v>305</v>
      </c>
      <c r="B33" s="2">
        <v>800</v>
      </c>
      <c r="C33" t="s">
        <v>306</v>
      </c>
    </row>
    <row r="34" spans="1:3">
      <c r="A34" t="s">
        <v>307</v>
      </c>
      <c r="B34" s="2">
        <v>2500</v>
      </c>
      <c r="C34" t="s">
        <v>308</v>
      </c>
    </row>
    <row r="35" spans="1:3">
      <c r="A35" s="5" t="s">
        <v>309</v>
      </c>
      <c r="B35" s="7">
        <v>4000</v>
      </c>
      <c r="C35" s="5" t="s">
        <v>310</v>
      </c>
    </row>
    <row r="36" spans="1:3">
      <c r="A36" s="5" t="s">
        <v>311</v>
      </c>
      <c r="B36" s="7">
        <f>SUM(B13:B35)</f>
        <v>79416</v>
      </c>
      <c r="C36" s="5" t="s">
        <v>312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0</xdr:col>
                    <xdr:colOff>2219325</xdr:colOff>
                    <xdr:row>6</xdr:row>
                    <xdr:rowOff>19050</xdr:rowOff>
                  </from>
                  <to>
                    <xdr:col>0</xdr:col>
                    <xdr:colOff>2409825</xdr:colOff>
                    <xdr:row>6</xdr:row>
                    <xdr:rowOff>161925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cc25d9-27fe-4f07-accb-ded05ec47eee" xsi:nil="true"/>
    <lcf76f155ced4ddcb4097134ff3c332f xmlns="ab9fedca-001d-4cc9-b244-d9c3be5a27d3">
      <Terms xmlns="http://schemas.microsoft.com/office/infopath/2007/PartnerControls"/>
    </lcf76f155ced4ddcb4097134ff3c332f>
    <_Flow_SignoffStatus xmlns="ab9fedca-001d-4cc9-b244-d9c3be5a27d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C7FDB1C8256C4EA4678CC05D188078" ma:contentTypeVersion="20" ma:contentTypeDescription="Create a new document." ma:contentTypeScope="" ma:versionID="2a9650d830cc67299a1a440994d8139a">
  <xsd:schema xmlns:xsd="http://www.w3.org/2001/XMLSchema" xmlns:xs="http://www.w3.org/2001/XMLSchema" xmlns:p="http://schemas.microsoft.com/office/2006/metadata/properties" xmlns:ns2="ab9fedca-001d-4cc9-b244-d9c3be5a27d3" xmlns:ns3="42cc25d9-27fe-4f07-accb-ded05ec47eee" targetNamespace="http://schemas.microsoft.com/office/2006/metadata/properties" ma:root="true" ma:fieldsID="b7be75ccca685a650eabb79854d6018f" ns2:_="" ns3:_="">
    <xsd:import namespace="ab9fedca-001d-4cc9-b244-d9c3be5a27d3"/>
    <xsd:import namespace="42cc25d9-27fe-4f07-accb-ded05ec47e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fedca-001d-4cc9-b244-d9c3be5a27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a4e1b19-6222-46f4-80f6-9f16169dd1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cc25d9-27fe-4f07-accb-ded05ec47e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f183bb4-81c9-4515-ba45-227c7445c609}" ma:internalName="TaxCatchAll" ma:showField="CatchAllData" ma:web="42cc25d9-27fe-4f07-accb-ded05ec47e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4A7F09-F153-4FCA-A6A9-A9DBE00072A9}"/>
</file>

<file path=customXml/itemProps2.xml><?xml version="1.0" encoding="utf-8"?>
<ds:datastoreItem xmlns:ds="http://schemas.openxmlformats.org/officeDocument/2006/customXml" ds:itemID="{540CD268-8BAC-4C6E-9B4E-BD2BC1132A80}"/>
</file>

<file path=customXml/itemProps3.xml><?xml version="1.0" encoding="utf-8"?>
<ds:datastoreItem xmlns:ds="http://schemas.openxmlformats.org/officeDocument/2006/customXml" ds:itemID="{EBEADBFD-3312-48A5-8015-5D95875532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Wes Browning</cp:lastModifiedBy>
  <cp:revision/>
  <dcterms:created xsi:type="dcterms:W3CDTF">2026-05-13T01:12:36Z</dcterms:created>
  <dcterms:modified xsi:type="dcterms:W3CDTF">2026-05-13T01:12:36Z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0x010100DDC7FDB1C8256C4EA4678CC05D188078</vt:lpwstr>
  </property>
</Properties>
</file>