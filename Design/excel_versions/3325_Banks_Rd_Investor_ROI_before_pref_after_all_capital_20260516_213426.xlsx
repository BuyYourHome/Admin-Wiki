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trlProps/ctrlProp2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EDB592F7-BE84-422B-916A-587A49055F23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F11" i="1"/>
  <c r="E11" i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B17" i="1" l="1"/>
  <c r="L14" i="2"/>
  <c r="L13" i="2"/>
  <c r="L12" i="2"/>
  <c r="K14" i="2"/>
  <c r="K13" i="2"/>
  <c r="K12" i="2"/>
  <c r="K4" i="2"/>
  <c r="J14" i="2"/>
  <c r="J13" i="2"/>
  <c r="J12" i="2"/>
  <c r="G4" i="3"/>
  <c r="O14" i="2"/>
  <c r="N9" i="3"/>
  <c r="C14" i="2"/>
  <c r="N10" i="3"/>
  <c r="N12" i="3"/>
  <c r="D4" i="2"/>
  <c r="N7" i="3"/>
  <c r="C5" i="2"/>
  <c r="D5" i="2" s="1"/>
  <c r="E22" i="3" s="1"/>
  <c r="C13" i="2"/>
  <c r="D13" i="2" s="1"/>
  <c r="M22" i="3" s="1"/>
  <c r="C6" i="2"/>
  <c r="D6" i="2" s="1"/>
  <c r="F22" i="3" s="1"/>
  <c r="C12" i="2"/>
  <c r="D12" i="2" s="1"/>
  <c r="L22" i="3" s="1"/>
  <c r="L4" i="3"/>
  <c r="C4" i="2"/>
  <c r="P4" i="2"/>
  <c r="C8" i="2"/>
  <c r="D8" i="2" s="1"/>
  <c r="H22" i="3" s="1"/>
  <c r="C11" i="2"/>
  <c r="D11" i="2" s="1"/>
  <c r="K22" i="3" s="1"/>
  <c r="D4" i="3"/>
  <c r="G4" i="2"/>
  <c r="O4" i="3"/>
  <c r="O4" i="2"/>
  <c r="N5" i="3"/>
  <c r="C10" i="2"/>
  <c r="D10" i="2" s="1"/>
  <c r="J22" i="3" s="1"/>
  <c r="F4" i="3"/>
  <c r="C4" i="3" s="1"/>
  <c r="N6" i="3"/>
  <c r="H4" i="3"/>
  <c r="N8" i="3"/>
  <c r="N14" i="3"/>
  <c r="C9" i="2"/>
  <c r="D9" i="2" s="1"/>
  <c r="I22" i="3" s="1"/>
  <c r="I4" i="2"/>
  <c r="K4" i="3"/>
  <c r="N13" i="3"/>
  <c r="N4" i="3"/>
  <c r="N11" i="3"/>
  <c r="C7" i="2"/>
  <c r="D7" i="2" s="1"/>
  <c r="G22" i="3" s="1"/>
  <c r="H11" i="1"/>
  <c r="C27" i="6"/>
  <c r="C8" i="6" s="1"/>
  <c r="B27" i="6"/>
  <c r="B8" i="6" s="1"/>
  <c r="B10" i="6" s="1"/>
  <c r="B28" i="1"/>
  <c r="C9" i="6"/>
  <c r="C10" i="6" s="1"/>
  <c r="B9" i="6"/>
  <c r="D14" i="2" l="1"/>
  <c r="N22" i="3" s="1"/>
  <c r="O22" i="3" s="1"/>
  <c r="P22" i="3" s="1"/>
  <c r="E4" i="3"/>
  <c r="M4" i="3"/>
  <c r="I4" i="3"/>
  <c r="P4" i="3"/>
  <c r="D21" i="3" s="1"/>
  <c r="F5" i="3"/>
  <c r="C5" i="3" s="1"/>
  <c r="G10" i="6"/>
  <c r="B29" i="6" s="1"/>
  <c r="M4" i="2" l="1"/>
  <c r="B10" i="7"/>
  <c r="B15" i="7" s="1"/>
  <c r="B41" i="1"/>
  <c r="B15" i="6"/>
  <c r="B14" i="6"/>
  <c r="B20" i="3" l="1"/>
  <c r="D20" i="3" s="1"/>
  <c r="C20" i="3"/>
  <c r="J4" i="3"/>
  <c r="J5" i="3" s="1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I5" i="2" s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I13" i="2" s="1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I6" i="2"/>
  <c r="O6" i="2"/>
  <c r="O7" i="2"/>
  <c r="I7" i="2" s="1"/>
  <c r="G6" i="2"/>
  <c r="H6" i="2" s="1"/>
  <c r="G7" i="2"/>
  <c r="H7" i="2" s="1"/>
  <c r="G8" i="2"/>
  <c r="H8" i="2" s="1"/>
  <c r="F4" i="2"/>
  <c r="B31" i="1"/>
  <c r="B32" i="1"/>
  <c r="I10" i="2" l="1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D5" i="3" s="1"/>
  <c r="G5" i="3" s="1"/>
  <c r="F6" i="3" s="1"/>
  <c r="E5" i="3" l="1"/>
  <c r="K5" i="3"/>
  <c r="L5" i="3" s="1"/>
  <c r="M5" i="3" s="1"/>
  <c r="E20" i="3" s="1"/>
  <c r="C6" i="3"/>
  <c r="H5" i="3" l="1"/>
  <c r="I5" i="3" s="1"/>
  <c r="E19" i="3" s="1"/>
  <c r="O5" i="3"/>
  <c r="P5" i="3" s="1"/>
  <c r="E21" i="3" s="1"/>
  <c r="J6" i="3"/>
  <c r="I5" i="4"/>
  <c r="I6" i="4" l="1"/>
  <c r="M5" i="2"/>
  <c r="N5" i="2" s="1"/>
  <c r="I4" i="4"/>
  <c r="J6" i="2" l="1"/>
  <c r="K6" i="2" s="1"/>
  <c r="L6" i="2" l="1"/>
  <c r="B6" i="3" s="1"/>
  <c r="D6" i="3" l="1"/>
  <c r="E6" i="3" s="1"/>
  <c r="G6" i="3" l="1"/>
  <c r="F7" i="3" s="1"/>
  <c r="C7" i="3" s="1"/>
  <c r="K6" i="3" l="1"/>
  <c r="L6" i="3" s="1"/>
  <c r="M6" i="3" s="1"/>
  <c r="F20" i="3" s="1"/>
  <c r="H6" i="3" l="1"/>
  <c r="I6" i="3" s="1"/>
  <c r="O6" i="3"/>
  <c r="P6" i="3" s="1"/>
  <c r="F21" i="3" s="1"/>
  <c r="J7" i="3"/>
  <c r="J5" i="4"/>
  <c r="J6" i="4" l="1"/>
  <c r="M6" i="2"/>
  <c r="N6" i="2" s="1"/>
  <c r="J7" i="2" s="1"/>
  <c r="K7" i="2" s="1"/>
  <c r="F19" i="3"/>
  <c r="J4" i="4"/>
  <c r="L7" i="2" l="1"/>
  <c r="B7" i="3" s="1"/>
  <c r="D7" i="3" l="1"/>
  <c r="G7" i="3" l="1"/>
  <c r="E7" i="3"/>
  <c r="F8" i="3" l="1"/>
  <c r="C8" i="3" s="1"/>
  <c r="K7" i="3"/>
  <c r="J8" i="3" s="1"/>
  <c r="L7" i="3" l="1"/>
  <c r="M7" i="3" s="1"/>
  <c r="G20" i="3" s="1"/>
  <c r="O7" i="3"/>
  <c r="P7" i="3" s="1"/>
  <c r="G21" i="3" s="1"/>
  <c r="H7" i="3"/>
  <c r="I7" i="3" s="1"/>
  <c r="G19" i="3" s="1"/>
  <c r="K6" i="4" l="1"/>
  <c r="K5" i="4"/>
  <c r="M7" i="2"/>
  <c r="N7" i="2" s="1"/>
  <c r="J8" i="2" s="1"/>
  <c r="K8" i="2" s="1"/>
  <c r="K4" i="4"/>
  <c r="L8" i="2" l="1"/>
  <c r="B8" i="3" s="1"/>
  <c r="D8" i="3" l="1"/>
  <c r="E8" i="3" s="1"/>
  <c r="G8" i="3" l="1"/>
  <c r="F9" i="3" s="1"/>
  <c r="C9" i="3" s="1"/>
  <c r="K8" i="3" l="1"/>
  <c r="J9" i="3" s="1"/>
  <c r="O8" i="3" l="1"/>
  <c r="P8" i="3" s="1"/>
  <c r="L8" i="3"/>
  <c r="M8" i="3" s="1"/>
  <c r="H8" i="3"/>
  <c r="I8" i="3" s="1"/>
  <c r="H19" i="3" l="1"/>
  <c r="L4" i="4"/>
  <c r="M8" i="2"/>
  <c r="N8" i="2" s="1"/>
  <c r="H20" i="3"/>
  <c r="L5" i="4"/>
  <c r="H21" i="3"/>
  <c r="L6" i="4"/>
  <c r="J9" i="2" l="1"/>
  <c r="K9" i="2" s="1"/>
  <c r="L9" i="2" l="1"/>
  <c r="B9" i="3" s="1"/>
  <c r="D9" i="3" l="1"/>
  <c r="E9" i="3" s="1"/>
  <c r="G9" i="3" l="1"/>
  <c r="F10" i="3" l="1"/>
  <c r="K9" i="3"/>
  <c r="J10" i="3" s="1"/>
  <c r="L9" i="3" l="1"/>
  <c r="M9" i="3" s="1"/>
  <c r="O9" i="3"/>
  <c r="P9" i="3" s="1"/>
  <c r="C10" i="3"/>
  <c r="H9" i="3"/>
  <c r="I9" i="3" s="1"/>
  <c r="I21" i="3" l="1"/>
  <c r="M6" i="4"/>
  <c r="I20" i="3"/>
  <c r="M5" i="4"/>
  <c r="I19" i="3"/>
  <c r="M4" i="4"/>
  <c r="M9" i="2"/>
  <c r="N9" i="2" s="1"/>
  <c r="J10" i="2" l="1"/>
  <c r="K10" i="2" s="1"/>
  <c r="L10" i="2" l="1"/>
  <c r="B10" i="3" s="1"/>
  <c r="F12" i="3"/>
  <c r="D10" i="3" l="1"/>
  <c r="E10" i="3" s="1"/>
  <c r="C12" i="3"/>
  <c r="G10" i="3" l="1"/>
  <c r="F11" i="3" s="1"/>
  <c r="C11" i="3" s="1"/>
  <c r="K10" i="3" l="1"/>
  <c r="L10" i="3" s="1"/>
  <c r="M10" i="3" s="1"/>
  <c r="D12" i="3"/>
  <c r="J20" i="3" l="1"/>
  <c r="N5" i="4"/>
  <c r="O10" i="3"/>
  <c r="P10" i="3" s="1"/>
  <c r="H10" i="3"/>
  <c r="I10" i="3" s="1"/>
  <c r="J11" i="3"/>
  <c r="E12" i="3"/>
  <c r="G12" i="3"/>
  <c r="F13" i="3" s="1"/>
  <c r="J19" i="3" l="1"/>
  <c r="N4" i="4"/>
  <c r="M10" i="2"/>
  <c r="N10" i="2" s="1"/>
  <c r="J21" i="3"/>
  <c r="N6" i="4"/>
  <c r="C13" i="3"/>
  <c r="K12" i="3"/>
  <c r="H12" i="3" s="1"/>
  <c r="I12" i="3" s="1"/>
  <c r="L19" i="3" s="1"/>
  <c r="J11" i="2" l="1"/>
  <c r="K11" i="2" s="1"/>
  <c r="L12" i="3"/>
  <c r="M12" i="3" s="1"/>
  <c r="L20" i="3" s="1"/>
  <c r="P4" i="4"/>
  <c r="J13" i="3"/>
  <c r="O12" i="3"/>
  <c r="P12" i="3" s="1"/>
  <c r="L21" i="3" s="1"/>
  <c r="L11" i="2" l="1"/>
  <c r="B11" i="3" s="1"/>
  <c r="P6" i="4"/>
  <c r="P5" i="4"/>
  <c r="M12" i="2"/>
  <c r="N12" i="2" s="1"/>
  <c r="D11" i="3" l="1"/>
  <c r="E11" i="3" s="1"/>
  <c r="B13" i="3"/>
  <c r="G11" i="3" l="1"/>
  <c r="D13" i="3"/>
  <c r="K11" i="3" l="1"/>
  <c r="J12" i="3" s="1"/>
  <c r="G13" i="3"/>
  <c r="F14" i="3" s="1"/>
  <c r="C14" i="3" s="1"/>
  <c r="E13" i="3"/>
  <c r="L11" i="3" l="1"/>
  <c r="M11" i="3" s="1"/>
  <c r="O5" i="4" s="1"/>
  <c r="O11" i="3"/>
  <c r="P11" i="3" s="1"/>
  <c r="H11" i="3"/>
  <c r="I11" i="3" s="1"/>
  <c r="K13" i="3"/>
  <c r="H13" i="3" s="1"/>
  <c r="I13" i="3" s="1"/>
  <c r="M19" i="3" s="1"/>
  <c r="K20" i="3" l="1"/>
  <c r="K21" i="3"/>
  <c r="O6" i="4"/>
  <c r="K19" i="3"/>
  <c r="M11" i="2"/>
  <c r="N11" i="2" s="1"/>
  <c r="B12" i="3" s="1"/>
  <c r="O4" i="4"/>
  <c r="Q4" i="4"/>
  <c r="J14" i="3"/>
  <c r="O13" i="3"/>
  <c r="P13" i="3" s="1"/>
  <c r="M21" i="3" s="1"/>
  <c r="L13" i="3"/>
  <c r="M13" i="3" s="1"/>
  <c r="M20" i="3" s="1"/>
  <c r="Q5" i="4" l="1"/>
  <c r="M13" i="2"/>
  <c r="N13" i="2" s="1"/>
  <c r="Q6" i="4"/>
  <c r="B14" i="3" l="1"/>
  <c r="D14" i="3" l="1"/>
  <c r="E14" i="3" l="1"/>
  <c r="G14" i="3"/>
  <c r="K14" i="3" l="1"/>
  <c r="O14" i="3" s="1"/>
  <c r="P14" i="3" s="1"/>
  <c r="N21" i="3" s="1"/>
  <c r="S21" i="3" l="1"/>
  <c r="O21" i="3"/>
  <c r="R6" i="4"/>
  <c r="G6" i="4" s="1"/>
  <c r="C6" i="4"/>
  <c r="H14" i="3"/>
  <c r="I14" i="3" s="1"/>
  <c r="N19" i="3" s="1"/>
  <c r="L14" i="3"/>
  <c r="M14" i="3" s="1"/>
  <c r="N20" i="3" s="1"/>
  <c r="S19" i="3" l="1"/>
  <c r="O19" i="3"/>
  <c r="O20" i="3"/>
  <c r="S20" i="3"/>
  <c r="R21" i="3"/>
  <c r="P21" i="3"/>
  <c r="Q21" i="3" s="1"/>
  <c r="R5" i="4"/>
  <c r="G5" i="4" s="1"/>
  <c r="C5" i="4"/>
  <c r="M14" i="2"/>
  <c r="N14" i="2" s="1"/>
  <c r="R4" i="4"/>
  <c r="G4" i="4" s="1"/>
  <c r="C4" i="4"/>
  <c r="D6" i="4"/>
  <c r="F6" i="4" s="1"/>
  <c r="E6" i="4"/>
  <c r="P20" i="3" l="1"/>
  <c r="Q20" i="3" s="1"/>
  <c r="R20" i="3"/>
  <c r="P19" i="3"/>
  <c r="Q19" i="3" s="1"/>
  <c r="R19" i="3"/>
  <c r="E4" i="4"/>
  <c r="D4" i="4"/>
  <c r="F4" i="4" s="1"/>
  <c r="D5" i="4"/>
  <c r="F5" i="4" s="1"/>
  <c r="E5" i="4"/>
</calcChain>
</file>

<file path=xl/sharedStrings.xml><?xml version="1.0" encoding="utf-8"?>
<sst xmlns="http://schemas.openxmlformats.org/spreadsheetml/2006/main" count="388" uniqueCount="329">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</sst>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0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5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Radio" firstButton="1" fmlaLink="Waterfall!$R$3" lockText="1" noThreeD="1"/>
</file>

<file path=xl/ctrlProps/ctrlProp4.xml><?xml version="1.0" encoding="utf-8"?>
<formControlPr xmlns="http://schemas.microsoft.com/office/spreadsheetml/2009/9/main" objectType="Radio" firstButton="1" fmlaLink="Waterfall!$S$3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firstButton="1" fmlaLink="Waterfall!$S$3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3</xdr:row>
          <xdr:rowOff>0</xdr:rowOff>
        </xdr:from>
        <xdr:to>
          <xdr:col>17</xdr:col>
          <xdr:colOff>828675</xdr:colOff>
          <xdr:row>14</xdr:row>
          <xdr:rowOff>0</xdr:rowOff>
        </xdr:to>
        <xdr:sp macro="" textlink="">
          <xdr:nvSpPr>
            <xdr:cNvPr id="2081" name="RefiYearGroup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2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3</xdr:row>
          <xdr:rowOff>0</xdr:rowOff>
        </xdr:from>
        <xdr:to>
          <xdr:col>18</xdr:col>
          <xdr:colOff>828675</xdr:colOff>
          <xdr:row>14</xdr:row>
          <xdr:rowOff>0</xdr:rowOff>
        </xdr:to>
        <xdr:sp macro="" textlink="">
          <xdr:nvSpPr>
            <xdr:cNvPr id="2082" name="ExitYearGroup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2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</xdr:row>
          <xdr:rowOff>19050</xdr:rowOff>
        </xdr:from>
        <xdr:to>
          <xdr:col>17</xdr:col>
          <xdr:colOff>342900</xdr:colOff>
          <xdr:row>5</xdr:row>
          <xdr:rowOff>38100</xdr:rowOff>
        </xdr:to>
        <xdr:sp macro="" textlink="">
          <xdr:nvSpPr>
            <xdr:cNvPr id="2083" name="RefiYearOption_1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2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</xdr:row>
          <xdr:rowOff>19050</xdr:rowOff>
        </xdr:from>
        <xdr:to>
          <xdr:col>18</xdr:col>
          <xdr:colOff>342900</xdr:colOff>
          <xdr:row>5</xdr:row>
          <xdr:rowOff>38100</xdr:rowOff>
        </xdr:to>
        <xdr:sp macro="" textlink="">
          <xdr:nvSpPr>
            <xdr:cNvPr id="2084" name="ExitYearOption_1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2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</xdr:row>
          <xdr:rowOff>19050</xdr:rowOff>
        </xdr:from>
        <xdr:to>
          <xdr:col>17</xdr:col>
          <xdr:colOff>342900</xdr:colOff>
          <xdr:row>6</xdr:row>
          <xdr:rowOff>38100</xdr:rowOff>
        </xdr:to>
        <xdr:sp macro="" textlink="">
          <xdr:nvSpPr>
            <xdr:cNvPr id="2085" name="RefiYearOption_2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2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</xdr:row>
          <xdr:rowOff>19050</xdr:rowOff>
        </xdr:from>
        <xdr:to>
          <xdr:col>18</xdr:col>
          <xdr:colOff>342900</xdr:colOff>
          <xdr:row>6</xdr:row>
          <xdr:rowOff>38100</xdr:rowOff>
        </xdr:to>
        <xdr:sp macro="" textlink="">
          <xdr:nvSpPr>
            <xdr:cNvPr id="2086" name="ExitYearOption_2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2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</xdr:row>
          <xdr:rowOff>19050</xdr:rowOff>
        </xdr:from>
        <xdr:to>
          <xdr:col>17</xdr:col>
          <xdr:colOff>342900</xdr:colOff>
          <xdr:row>7</xdr:row>
          <xdr:rowOff>38100</xdr:rowOff>
        </xdr:to>
        <xdr:sp macro="" textlink="">
          <xdr:nvSpPr>
            <xdr:cNvPr id="2087" name="RefiYearOption_3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</xdr:row>
          <xdr:rowOff>19050</xdr:rowOff>
        </xdr:from>
        <xdr:to>
          <xdr:col>18</xdr:col>
          <xdr:colOff>342900</xdr:colOff>
          <xdr:row>7</xdr:row>
          <xdr:rowOff>38100</xdr:rowOff>
        </xdr:to>
        <xdr:sp macro="" textlink="">
          <xdr:nvSpPr>
            <xdr:cNvPr id="2088" name="ExitYearOption_3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2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7</xdr:row>
          <xdr:rowOff>19050</xdr:rowOff>
        </xdr:from>
        <xdr:to>
          <xdr:col>17</xdr:col>
          <xdr:colOff>342900</xdr:colOff>
          <xdr:row>8</xdr:row>
          <xdr:rowOff>38100</xdr:rowOff>
        </xdr:to>
        <xdr:sp macro="" textlink="">
          <xdr:nvSpPr>
            <xdr:cNvPr id="2089" name="RefiYearOption_4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7</xdr:row>
          <xdr:rowOff>19050</xdr:rowOff>
        </xdr:from>
        <xdr:to>
          <xdr:col>18</xdr:col>
          <xdr:colOff>342900</xdr:colOff>
          <xdr:row>8</xdr:row>
          <xdr:rowOff>38100</xdr:rowOff>
        </xdr:to>
        <xdr:sp macro="" textlink="">
          <xdr:nvSpPr>
            <xdr:cNvPr id="2090" name="ExitYearOption_4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2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8</xdr:row>
          <xdr:rowOff>19050</xdr:rowOff>
        </xdr:from>
        <xdr:to>
          <xdr:col>17</xdr:col>
          <xdr:colOff>342900</xdr:colOff>
          <xdr:row>9</xdr:row>
          <xdr:rowOff>38100</xdr:rowOff>
        </xdr:to>
        <xdr:sp macro="" textlink="">
          <xdr:nvSpPr>
            <xdr:cNvPr id="2091" name="RefiYearOption_5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2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8</xdr:row>
          <xdr:rowOff>19050</xdr:rowOff>
        </xdr:from>
        <xdr:to>
          <xdr:col>18</xdr:col>
          <xdr:colOff>342900</xdr:colOff>
          <xdr:row>9</xdr:row>
          <xdr:rowOff>38100</xdr:rowOff>
        </xdr:to>
        <xdr:sp macro="" textlink="">
          <xdr:nvSpPr>
            <xdr:cNvPr id="2092" name="ExitYearOption_5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2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9</xdr:row>
          <xdr:rowOff>19050</xdr:rowOff>
        </xdr:from>
        <xdr:to>
          <xdr:col>17</xdr:col>
          <xdr:colOff>342900</xdr:colOff>
          <xdr:row>10</xdr:row>
          <xdr:rowOff>38100</xdr:rowOff>
        </xdr:to>
        <xdr:sp macro="" textlink="">
          <xdr:nvSpPr>
            <xdr:cNvPr id="2093" name="RefiYearOption_6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9</xdr:row>
          <xdr:rowOff>19050</xdr:rowOff>
        </xdr:from>
        <xdr:to>
          <xdr:col>18</xdr:col>
          <xdr:colOff>342900</xdr:colOff>
          <xdr:row>10</xdr:row>
          <xdr:rowOff>38100</xdr:rowOff>
        </xdr:to>
        <xdr:sp macro="" textlink="">
          <xdr:nvSpPr>
            <xdr:cNvPr id="2094" name="ExitYearOption_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2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10</xdr:row>
          <xdr:rowOff>19050</xdr:rowOff>
        </xdr:from>
        <xdr:to>
          <xdr:col>17</xdr:col>
          <xdr:colOff>342900</xdr:colOff>
          <xdr:row>11</xdr:row>
          <xdr:rowOff>38100</xdr:rowOff>
        </xdr:to>
        <xdr:sp macro="" textlink="">
          <xdr:nvSpPr>
            <xdr:cNvPr id="2095" name="RefiYearOption_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2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10</xdr:row>
          <xdr:rowOff>19050</xdr:rowOff>
        </xdr:from>
        <xdr:to>
          <xdr:col>18</xdr:col>
          <xdr:colOff>342900</xdr:colOff>
          <xdr:row>11</xdr:row>
          <xdr:rowOff>38100</xdr:rowOff>
        </xdr:to>
        <xdr:sp macro="" textlink="">
          <xdr:nvSpPr>
            <xdr:cNvPr id="2096" name="ExitYearOption_7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2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11</xdr:row>
          <xdr:rowOff>19050</xdr:rowOff>
        </xdr:from>
        <xdr:to>
          <xdr:col>17</xdr:col>
          <xdr:colOff>342900</xdr:colOff>
          <xdr:row>12</xdr:row>
          <xdr:rowOff>38100</xdr:rowOff>
        </xdr:to>
        <xdr:sp macro="" textlink="">
          <xdr:nvSpPr>
            <xdr:cNvPr id="2097" name="RefiYearOption_8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2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11</xdr:row>
          <xdr:rowOff>19050</xdr:rowOff>
        </xdr:from>
        <xdr:to>
          <xdr:col>18</xdr:col>
          <xdr:colOff>342900</xdr:colOff>
          <xdr:row>12</xdr:row>
          <xdr:rowOff>38100</xdr:rowOff>
        </xdr:to>
        <xdr:sp macro="" textlink="">
          <xdr:nvSpPr>
            <xdr:cNvPr id="2098" name="ExitYearOption_8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2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12</xdr:row>
          <xdr:rowOff>19050</xdr:rowOff>
        </xdr:from>
        <xdr:to>
          <xdr:col>17</xdr:col>
          <xdr:colOff>342900</xdr:colOff>
          <xdr:row>13</xdr:row>
          <xdr:rowOff>38100</xdr:rowOff>
        </xdr:to>
        <xdr:sp macro="" textlink="">
          <xdr:nvSpPr>
            <xdr:cNvPr id="2099" name="RefiYearOption_9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2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12</xdr:row>
          <xdr:rowOff>19050</xdr:rowOff>
        </xdr:from>
        <xdr:to>
          <xdr:col>18</xdr:col>
          <xdr:colOff>342900</xdr:colOff>
          <xdr:row>13</xdr:row>
          <xdr:rowOff>38100</xdr:rowOff>
        </xdr:to>
        <xdr:sp macro="" textlink="">
          <xdr:nvSpPr>
            <xdr:cNvPr id="2100" name="ExitYearOption_9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2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13</xdr:row>
          <xdr:rowOff>19050</xdr:rowOff>
        </xdr:from>
        <xdr:to>
          <xdr:col>17</xdr:col>
          <xdr:colOff>342900</xdr:colOff>
          <xdr:row>14</xdr:row>
          <xdr:rowOff>38100</xdr:rowOff>
        </xdr:to>
        <xdr:sp macro="" textlink="">
          <xdr:nvSpPr>
            <xdr:cNvPr id="2101" name="RefiYearOption_10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2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13</xdr:row>
          <xdr:rowOff>19050</xdr:rowOff>
        </xdr:from>
        <xdr:to>
          <xdr:col>18</xdr:col>
          <xdr:colOff>342900</xdr:colOff>
          <xdr:row>14</xdr:row>
          <xdr:rowOff>38100</xdr:rowOff>
        </xdr:to>
        <xdr:sp macro="" textlink="">
          <xdr:nvSpPr>
            <xdr:cNvPr id="2102" name="ExitYearOption_10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2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WaterfallTable[[#This Row],[Capital Balance A]]*ClassAPreferredReturn</calculatedColumnFormula>
    </tableColumn>
    <tableColumn id="4" xr3:uid="{0A235952-CB75-4C81-B69D-F32174DEACC4}" name="Pref Paid" dataDxfId="37">
      <calculatedColumnFormula>IF(WaterfallTable[[#This Row],[Year]]=0,0,MIN(WaterfallTable[[#This Row],[Cash Available]],WaterfallTable[[#This Row],[End of Year Pref Balance]]+WaterfallTable[[#This Row],[Pref Accrued]]))</calculatedColumnFormula>
    </tableColumn>
    <tableColumn id="5" xr3:uid="{6DFBF4A6-C663-4C39-BE8E-9DCEE6178410}" name="End of Year Pref Balance" dataDxfId="36">
      <calculatedColumnFormula>IF(WaterfallTable[[#This Row],[Year]]=0,0,MIN(WaterfallTable[[#This Row],[Cash Available]],WaterfallTable[[#This Row],[Pref Accrued]]+WaterfallTable[[#This Row],[Pref Paid]]))</calculatedColumnFormula>
    </tableColumn>
    <tableColumn id="6" xr3:uid="{FDF1F9D4-D2FF-4A88-92C0-BF4E451BAD9D}" name="Capital Balance A" dataDxfId="35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Capital Returned A" dataDxfId="34">
      <calculatedColumnFormula>IF(WaterfallTable[[#This Row],[Year]]=0,0,MIN(MAX(0,WaterfallTable[[#This Row],[Cash Available]]-WaterfallTable[[#This Row],[End of Year Pref Balance]]),WaterfallTable[[#This Row],[Capital Balance A]]))</calculatedColumnFormula>
    </tableColumn>
    <tableColumn id="10" xr3:uid="{95297546-7CDB-4A1F-B087-2907F3FB7729}" name="Residual A" dataDxfId="33">
      <calculatedColumnFormula>IF(WaterfallTable[[#This Row],[Year]]=0,0,MAX(0,WaterfallTable[[#This Row],[Cash Available]]-WaterfallTable[[#This Row],[End of Year Pref Balance]]-WaterfallTable[[#This Row],[Capital Returned A]]-WaterfallTable[[#This Row],[Capital Returned B]])*ClassAResidualShare)</calculatedColumnFormula>
    </tableColumn>
    <tableColumn id="11" xr3:uid="{ECBC678F-113A-47C3-9364-8CD715F8612B}" name="Total Dist A" dataDxfId="32">
      <calculatedColumnFormula>WaterfallTable[[#This Row],[End of Year Pref Balance]]+WaterfallTable[[#This Row],[Capital Returned A]]+WaterfallTable[[#This Row],[Residual A]]</calculatedColumnFormula>
    </tableColumn>
    <tableColumn id="12" xr3:uid="{BEF54E58-ED5B-4464-961D-44F9013F8D13}" name=" Capital Balance B" dataDxfId="31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Capital Returned B" dataDxfId="30">
      <calculatedColumnFormula>IF(WaterfallTable[[#This Row],[Year]]=0,0,IF(ClassBReturnPriority=1,MIN(MAX(0,WaterfallTable[[#This Row],[Cash Available]]-WaterfallTable[[#This Row],[End of Year Pref Balance]]-WaterfallTable[[#This Row],[Capital Returned A]]),WaterfallTable[[#This Row],[ Capital Balance B]]),0))</calculatedColumnFormula>
    </tableColumn>
    <tableColumn id="15" xr3:uid="{C6BA9C98-8524-487F-80FD-8C218B59A3B5}" name=" Residual   B" dataDxfId="29">
      <calculatedColumnFormula>IF(WaterfallTable[[#This Row],[Year]]=0,0,MAX(0,WaterfallTable[[#This Row],[Cash Available]]-WaterfallTable[[#This Row],[End of Year Pref Balance]]-WaterfallTable[[#This Row],[Capital Returned A]]-WaterfallTable[[#This Row],[Capital Returned B]])*ClassBResidualShare)</calculatedColumnFormula>
    </tableColumn>
    <tableColumn id="16" xr3:uid="{454E747C-8827-40D6-81A5-1743C488D4FD}" name="Total Dist B" dataDxfId="28">
      <calculatedColumnFormula>WaterfallTable[[#This Row],[Capital Returned B]]+WaterfallTable[[#This Row],[ Residual   B]]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Row],[Year]]=0,0,MAX(0,WaterfallTable[[#This Row],[Cash Available]]-WaterfallTable[[#This Row],[End of Year Pref Balance]]-WaterfallTable[[#This Row],[Capital Returned A]]-WaterfallTable[[#This Row],[Capital Returned B]])*SponsorResidualShare)</calculatedColumnFormula>
    </tableColumn>
    <tableColumn id="19" xr3:uid="{B1D631F1-3DB1-43F4-AA61-DD5D4F2AA342}" name="Total Dist2" dataDxfId="25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table" Target="../tables/table2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workbookViewId="0">
      <selection activeCell="B43" sqref="B43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f>MAX(1,MIN(10,SelectedWaterfallRefiOption))</f>
        <v>3</v>
      </c>
      <c r="C4" s="18" t="s">
        <v>319</v>
      </c>
    </row>
    <row r="5" spans="1:10" x14ac:dyDescent="0.25">
      <c r="A5" s="13" t="s">
        <v>4</v>
      </c>
      <c r="B5" s="15">
        <f>MAX(1,MIN(10,SelectedWaterfallExitOption))</f>
        <v>5</v>
      </c>
      <c r="C5" s="18" t="s">
        <v>320</v>
      </c>
    </row>
    <row r="6" spans="1:10" x14ac:dyDescent="0.25">
      <c r="A6" s="13"/>
      <c r="B6" s="13"/>
      <c r="C6" s="13"/>
    </row>
    <row r="7" spans="1:10" x14ac:dyDescent="0.25">
      <c r="A7" s="21" t="s">
        <v>5</v>
      </c>
      <c r="B7" s="13"/>
      <c r="C7" s="13"/>
      <c r="D7" s="64" t="s">
        <v>281</v>
      </c>
      <c r="E7" s="64"/>
      <c r="F7" s="64"/>
      <c r="G7" s="64"/>
      <c r="H7" s="64"/>
      <c r="I7" s="64"/>
      <c r="J7" s="64"/>
    </row>
    <row r="8" spans="1:10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0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0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0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0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0" x14ac:dyDescent="0.25">
      <c r="A13" s="13" t="s">
        <v>14</v>
      </c>
      <c r="B13" s="22">
        <v>0.93</v>
      </c>
      <c r="C13" s="18" t="s">
        <v>15</v>
      </c>
    </row>
    <row r="14" spans="1:10" x14ac:dyDescent="0.25">
      <c r="A14" s="13" t="s">
        <v>16</v>
      </c>
      <c r="B14" s="22">
        <v>0.5</v>
      </c>
      <c r="C14" s="18" t="s">
        <v>17</v>
      </c>
    </row>
    <row r="15" spans="1:10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0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597500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0.4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0.20055710306406685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0.39944289693593316</v>
      </c>
      <c r="C45" s="18" t="s">
        <v>265</v>
      </c>
    </row>
    <row r="46" spans="1:3" x14ac:dyDescent="0.25">
      <c r="A46" s="13" t="s">
        <v>271</v>
      </c>
      <c r="B46" s="13">
        <v>150000</v>
      </c>
      <c r="C46" s="13" t="s">
        <v>272</v>
      </c>
    </row>
    <row r="47" spans="1:3" x14ac:dyDescent="0.25">
      <c r="A47" s="13" t="s">
        <v>303</v>
      </c>
      <c r="B47" s="13">
        <v>125000</v>
      </c>
      <c r="C47" s="13" t="s">
        <v>304</v>
      </c>
    </row>
    <row r="48" spans="1:3" x14ac:dyDescent="0.25">
      <c r="A48" s="13" t="s">
        <v>52</v>
      </c>
      <c r="B48" s="62" t="s">
        <v>53</v>
      </c>
      <c r="C48" s="6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65" t="s">
        <v>54</v>
      </c>
      <c r="B1" s="66"/>
      <c r="C1" s="6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150000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150000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150000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Row],[Occupancy Effective Gross Income]]*OperatingExpenseRatio)</f>
        <v>24769.792114695338</v>
      </c>
      <c r="F5" s="13">
        <f>IF(AnnualModelTable[[#This Row],[Year]]&gt;SaleExitYear,0,AnnualModelTable[[#This Row],[Occupancy Effective Gross Income]]-AnnualModelTable[[#This Row],[Operating Expenses]])</f>
        <v>28030.207885304662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14218.207885304662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5218.2078853046623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5218.2078853046623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Row],[Occupancy Effective Gross Income]]*OperatingExpenseRatio)</f>
        <v>56542.679999999993</v>
      </c>
      <c r="F6" s="13">
        <f>IF(AnnualModelTable[[#This Row],[Year]]&gt;SaleExitYear,0,AnnualModelTable[[#This Row],[Occupancy Effective Gross Income]]-AnnualModelTable[[#This Row],[Operating Expenses]])</f>
        <v>63985.320000000007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50173.320000000007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50173.320000000007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50173.320000000007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Row],[Occupancy Effective Gross Income]]*OperatingExpenseRatio)</f>
        <v>62825.2</v>
      </c>
      <c r="F7" s="13">
        <f>IF(AnnualModelTable[[#This Row],[Year]]&gt;SaleExitYear,0,AnnualModelTable[[#This Row],[Occupancy Effective Gross Income]]-AnnualModelTable[[#This Row],[Operating Expenses]])</f>
        <v>71094.8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15552.977350248344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553829.41735024843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553829.41735024843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1046109.2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Row],[Occupancy Effective Gross Income]]*OperatingExpenseRatio)</f>
        <v>62825.2</v>
      </c>
      <c r="F8" s="13">
        <f>IF(AnnualModelTable[[#This Row],[Year]]&gt;SaleExitYear,0,AnnualModelTable[[#This Row],[Occupancy Effective Gross Income]]-AnnualModelTable[[#This Row],[Operating Expenses]])</f>
        <v>71094.8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15552.977350248344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15552.977350248344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15552.977350248344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1046109.2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Row],[Occupancy Effective Gross Income]]*OperatingExpenseRatio)</f>
        <v>62825.2</v>
      </c>
      <c r="F9" s="13">
        <f>IF(AnnualModelTable[[#This Row],[Year]]&gt;SaleExitYear,0,AnnualModelTable[[#This Row],[Occupancy Effective Gross Income]]-AnnualModelTable[[#This Row],[Operating Expenses]])</f>
        <v>71094.8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15552.977350248344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1025187.0159999999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1040739.9933502483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1040739.9933502483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1046109.2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G29" sqref="G29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16384" width="9.140625" style="6"/>
  </cols>
  <sheetData>
    <row r="1" spans="1:19" ht="18.75" x14ac:dyDescent="0.3">
      <c r="A1" s="65" t="s">
        <v>68</v>
      </c>
      <c r="B1" s="66"/>
      <c r="C1" s="66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0" t="s">
        <v>267</v>
      </c>
      <c r="D2" s="68"/>
      <c r="E2" s="68"/>
      <c r="F2" s="68"/>
      <c r="G2" s="68"/>
      <c r="H2" s="68"/>
      <c r="I2" s="68"/>
      <c r="J2" s="67" t="s">
        <v>89</v>
      </c>
      <c r="K2" s="68"/>
      <c r="L2" s="68"/>
      <c r="M2" s="68"/>
      <c r="N2" s="69" t="s">
        <v>90</v>
      </c>
      <c r="O2" s="68"/>
      <c r="P2" s="68"/>
      <c r="R2" s="12" t="s">
        <v>317</v>
      </c>
      <c r="S2" s="12" t="s">
        <v>318</v>
      </c>
    </row>
    <row r="3" spans="1:19" s="23" customFormat="1" ht="45.75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150000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Row],[Year]]=0,0,MIN(WaterfallTable[[#This Row],[Cash Available]],0+WaterfallTable[[#This Row],[Pref Accrued]])))</f>
        <v>0</v>
      </c>
      <c r="E4" s="13">
        <f>IF(WaterfallTable[[#This Row],[Year]]&gt;SaleExitYear,0,MAX(0,0+WaterfallTable[[#This Row],[Pref Accrued]]-WaterfallTable[[#This Row],[Pref Paid]]))</f>
        <v>24000</v>
      </c>
      <c r="F4" s="13">
        <f>IF(WaterfallTable[[#This Row],[Year]]&gt;SaleExitYear,0,ClassACapital)</f>
        <v>300000</v>
      </c>
      <c r="G4" s="13">
        <f>IF(WaterfallTable[[#This Row],[Year]]&gt;SaleExitYear,0,IF(WaterfallTable[[#This Row],[Year]]=0,0,MIN(MAX(0,WaterfallTable[[#This Row],[Cash Available]]-WaterfallTable[[#This Row],[Pref Paid]]),WaterfallTable[[#This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Row],[Year]]&gt;SaleExitYear,0,ClassBCapital)</f>
        <v>597500</v>
      </c>
      <c r="K4" s="13">
        <f>IF(WaterfallTable[[#This Row],[Year]]&gt;SaleExitYear,0,IF(WaterfallTable[[#This Row],[Year]]=0,0,IF(ClassBReturnPriority=1,MIN(MAX(0,WaterfallTable[[#This Row],[Cash Available]]-WaterfallTable[[#This Row],[Pref Paid]]-WaterfallTable[[#This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150000</v>
      </c>
      <c r="O4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B]])*SponsorResidualShare))</f>
        <v>0</v>
      </c>
      <c r="P4" s="13">
        <f>IF(WaterfallTable[[#This Row],[Year]]&gt;SaleExitYear,0,WaterfallTable[[#This Row],[Property Payment]]+WaterfallTable[[#This Row],[Residual]])</f>
        <v>150000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5218.2078853046623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Row],[Year]]=0,0,MIN(WaterfallTable[[#This Row],[Cash Available]],INDEX(WaterfallTable[End of Year Pref Balance],1)+WaterfallTable[[#This Row],[Pref Accrued]])))</f>
        <v>5218.2078853046623</v>
      </c>
      <c r="E5" s="13">
        <f>IF(WaterfallTable[[#This Row],[Year]]&gt;SaleExitYear,0,MAX(0,INDEX(WaterfallTable[End of Year Pref Balance],1)+WaterfallTable[[#This Row],[Pref Accrued]]-WaterfallTable[[#This Row],[Pref Paid]]))</f>
        <v>42781.792114695338</v>
      </c>
      <c r="F5" s="13">
        <f>IF(WaterfallTable[[#This Row],[Year]]&gt;SaleExitYear,0,MAX(0,INDEX(WaterfallTable[Capital Balance A],1)-INDEX(WaterfallTable[Capital Returned A],1)))</f>
        <v>300000</v>
      </c>
      <c r="G5" s="13">
        <f>IF(WaterfallTable[[#This Row],[Year]]&gt;SaleExitYear,0,IF(WaterfallTable[[#This Row],[Year]]=0,0,MIN(MAX(0,WaterfallTable[[#This Row],[Cash Available]]-WaterfallTable[[#This Row],[Pref Paid]]),WaterfallTable[[#This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5218.2078853046623</v>
      </c>
      <c r="J5" s="13">
        <f>IF(WaterfallTable[[#This Row],[Year]]&gt;SaleExitYear,0,MAX(0,INDEX(WaterfallTable[[ Capital Balance B]],1)-INDEX(WaterfallTable[Capital Returned B],1)))</f>
        <v>597500</v>
      </c>
      <c r="K5" s="13">
        <f>IF(WaterfallTable[[#This Row],[Year]]&gt;SaleExitYear,0,IF(WaterfallTable[[#This Row],[Year]]=0,0,IF(ClassBReturnPriority=1,MIN(MAX(0,WaterfallTable[[#This Row],[Cash Available]]-WaterfallTable[[#This Row],[Pref Paid]]-WaterfallTable[[#This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50173.320000000007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Row],[Year]]=0,0,MIN(WaterfallTable[[#This Row],[Cash Available]],INDEX(WaterfallTable[End of Year Pref Balance],2)+WaterfallTable[[#This Row],[Pref Accrued]])))</f>
        <v>50173.320000000007</v>
      </c>
      <c r="E6" s="13">
        <f>IF(WaterfallTable[[#This Row],[Year]]&gt;SaleExitYear,0,MAX(0,INDEX(WaterfallTable[End of Year Pref Balance],2)+WaterfallTable[[#This Row],[Pref Accrued]]-WaterfallTable[[#This Row],[Pref Paid]]))</f>
        <v>16608.472114695323</v>
      </c>
      <c r="F6" s="13">
        <f>IF(WaterfallTable[[#This Row],[Year]]&gt;SaleExitYear,0,MAX(0,INDEX(WaterfallTable[Capital Balance A],2)-INDEX(WaterfallTable[Capital Returned A],2)))</f>
        <v>300000</v>
      </c>
      <c r="G6" s="13">
        <f>IF(WaterfallTable[[#This Row],[Year]]&gt;SaleExitYear,0,IF(WaterfallTable[[#This Row],[Year]]=0,0,MIN(MAX(0,WaterfallTable[[#This Row],[Cash Available]]-WaterfallTable[[#This Row],[Pref Paid]]),WaterfallTable[[#This Row],[Capital Balance A]])))</f>
        <v>0</v>
      </c>
      <c r="H6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50173.320000000007</v>
      </c>
      <c r="J6" s="13">
        <f>IF(WaterfallTable[[#This Row],[Year]]&gt;SaleExitYear,0,MAX(0,INDEX(WaterfallTable[[ Capital Balance B]],2)-INDEX(WaterfallTable[Capital Returned B],2)))</f>
        <v>597500</v>
      </c>
      <c r="K6" s="13">
        <f>IF(WaterfallTable[[#This Row],[Year]]&gt;SaleExitYear,0,IF(WaterfallTable[[#This Row],[Year]]=0,0,IF(ClassBReturnPriority=1,MIN(MAX(0,WaterfallTable[[#This Row],[Cash Available]]-WaterfallTable[[#This Row],[Pref Paid]]-WaterfallTable[[#This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553829.41735024843</v>
      </c>
      <c r="C7" s="13">
        <f>IF(WaterfallTable[[#This Row],[Year]]&gt;SaleExitYear,0,WaterfallTable[[#This Row],[Capital Balance A]]*ClassAPreferredReturn)</f>
        <v>24000</v>
      </c>
      <c r="D7" s="13">
        <f>IF(WaterfallTable[[#This Row],[Year]]&gt;SaleExitYear,0,IF(WaterfallTable[[#This Row],[Year]]=0,0,MIN(WaterfallTable[[#This Row],[Cash Available]],INDEX(WaterfallTable[End of Year Pref Balance],3)+WaterfallTable[[#This Row],[Pref Accrued]])))</f>
        <v>40608.472114695323</v>
      </c>
      <c r="E7" s="13">
        <f>IF(WaterfallTable[[#This Row],[Year]]&gt;SaleExitYear,0,MAX(0,INDEX(WaterfallTable[End of Year Pref Balance],3)+WaterfallTable[[#This Row],[Pref Accrued]]-WaterfallTable[[#This Row],[Pref Paid]]))</f>
        <v>0</v>
      </c>
      <c r="F7" s="13">
        <f>IF(WaterfallTable[[#This Row],[Year]]&gt;SaleExitYear,0,MAX(0,INDEX(WaterfallTable[Capital Balance A],3)-INDEX(WaterfallTable[Capital Returned A],3)))</f>
        <v>300000</v>
      </c>
      <c r="G7" s="13">
        <f>IF(WaterfallTable[[#This Row],[Year]]&gt;SaleExitYear,0,IF(WaterfallTable[[#This Row],[Year]]=0,0,MIN(MAX(0,WaterfallTable[[#This Row],[Cash Available]]-WaterfallTable[[#This Row],[Pref Paid]]),WaterfallTable[[#This Row],[Capital Balance A]])))</f>
        <v>300000</v>
      </c>
      <c r="H7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340608.47211469535</v>
      </c>
      <c r="J7" s="13">
        <f>IF(WaterfallTable[[#This Row],[Year]]&gt;SaleExitYear,0,MAX(0,INDEX(WaterfallTable[[ Capital Balance B]],3)-INDEX(WaterfallTable[Capital Returned B],3)))</f>
        <v>597500</v>
      </c>
      <c r="K7" s="13">
        <f>IF(WaterfallTable[[#This Row],[Year]]&gt;SaleExitYear,0,IF(WaterfallTable[[#This Row],[Year]]=0,0,IF(ClassBReturnPriority=1,MIN(MAX(0,WaterfallTable[[#This Row],[Cash Available]]-WaterfallTable[[#This Row],[Pref Paid]]-WaterfallTable[[#This Row],[Capital Returned A]]),WaterfallTable[[#This Row],[ Capital Balance B]]),0)))</f>
        <v>213220.94523555308</v>
      </c>
      <c r="L7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B]])*ClassBResidualShare))</f>
        <v>0</v>
      </c>
      <c r="M7" s="13">
        <f>IF(WaterfallTable[[#This Row],[Year]]&gt;SaleExitYear,0,WaterfallTable[[#This Row],[Capital Returned B]]+WaterfallTable[[#This Row],[ Residual   B]])</f>
        <v>213220.94523555308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15552.977350248344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Row],[Year]]=0,0,MIN(WaterfallTable[[#This Row],[Cash Available]],INDEX(WaterfallTable[End of Year Pref Balance],4)+WaterfallTable[[#This Row],[Pref Accrued]])))</f>
        <v>0</v>
      </c>
      <c r="E8" s="13">
        <f>IF(WaterfallTable[[#This Row],[Year]]&gt;SaleExitYear,0,MAX(0,INDEX(WaterfallTable[End of Year Pref Balance],4)+WaterfallTable[[#This Row],[Pref Accrued]]-WaterfallTable[[#This Row],[Pref Paid]]))</f>
        <v>0</v>
      </c>
      <c r="F8" s="13">
        <f>IF(WaterfallTable[[#This Row],[Year]]&gt;SaleExitYear,0,MAX(0,INDEX(WaterfallTable[Capital Balance A],4)-INDEX(WaterfallTable[Capital Returned A],4)))</f>
        <v>0</v>
      </c>
      <c r="G8" s="13">
        <f>IF(WaterfallTable[[#This Row],[Year]]&gt;SaleExitYear,0,IF(WaterfallTable[[#This Row],[Year]]=0,0,MIN(MAX(0,WaterfallTable[[#This Row],[Cash Available]]-WaterfallTable[[#This Row],[Pref Paid]]),WaterfallTable[[#This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Row],[Year]]&gt;SaleExitYear,0,MAX(0,INDEX(WaterfallTable[[ Capital Balance B]],4)-INDEX(WaterfallTable[Capital Returned B],4)))</f>
        <v>384279.05476444692</v>
      </c>
      <c r="K8" s="13">
        <f>IF(WaterfallTable[[#This Row],[Year]]&gt;SaleExitYear,0,IF(WaterfallTable[[#This Row],[Year]]=0,0,IF(ClassBReturnPriority=1,MIN(MAX(0,WaterfallTable[[#This Row],[Cash Available]]-WaterfallTable[[#This Row],[Pref Paid]]-WaterfallTable[[#This Row],[Capital Returned A]]),WaterfallTable[[#This Row],[ Capital Balance B]]),0)))</f>
        <v>15552.977350248344</v>
      </c>
      <c r="L8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B]])*ClassBResidualShare))</f>
        <v>0</v>
      </c>
      <c r="M8" s="13">
        <f>IF(WaterfallTable[[#This Row],[Year]]&gt;SaleExitYear,0,WaterfallTable[[#This Row],[Capital Returned B]]+WaterfallTable[[#This Row],[ Residual   B]])</f>
        <v>15552.977350248344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1040739.9933502483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Row],[Year]]=0,0,MIN(WaterfallTable[[#This Row],[Cash Available]],INDEX(WaterfallTable[End of Year Pref Balance],5)+WaterfallTable[[#This Row],[Pref Accrued]])))</f>
        <v>0</v>
      </c>
      <c r="E9" s="13">
        <f>IF(WaterfallTable[[#This Row],[Year]]&gt;SaleExitYear,0,MAX(0,INDEX(WaterfallTable[End of Year Pref Balance],5)+WaterfallTable[[#This Row],[Pref Accrued]]-WaterfallTable[[#This Row],[Pref Paid]]))</f>
        <v>0</v>
      </c>
      <c r="F9" s="13">
        <f>IF(WaterfallTable[[#This Row],[Year]]&gt;SaleExitYear,0,MAX(0,INDEX(WaterfallTable[Capital Balance A],5)-INDEX(WaterfallTable[Capital Returned A],5)))</f>
        <v>0</v>
      </c>
      <c r="G9" s="13">
        <f>IF(WaterfallTable[[#This Row],[Year]]&gt;SaleExitYear,0,IF(WaterfallTable[[#This Row],[Year]]=0,0,MIN(MAX(0,WaterfallTable[[#This Row],[Cash Available]]-WaterfallTable[[#This Row],[Pref Paid]]),WaterfallTable[[#This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B]])*ClassAResidualShare))</f>
        <v>134777.16419887348</v>
      </c>
      <c r="I9" s="13">
        <f>IF(WaterfallTable[[#This Row],[Year]]&gt;SaleExitYear,0,WaterfallTable[[#This Row],[Pref Paid]]+WaterfallTable[[#This Row],[Capital Returned A]]+WaterfallTable[[#This Row],[Residual A]])</f>
        <v>134777.16419887348</v>
      </c>
      <c r="J9" s="13">
        <f>IF(WaterfallTable[[#This Row],[Year]]&gt;SaleExitYear,0,MAX(0,INDEX(WaterfallTable[[ Capital Balance B]],5)-INDEX(WaterfallTable[Capital Returned B],5)))</f>
        <v>368726.07741419855</v>
      </c>
      <c r="K9" s="13">
        <f>IF(WaterfallTable[[#This Row],[Year]]&gt;SaleExitYear,0,IF(WaterfallTable[[#This Row],[Year]]=0,0,IF(ClassBReturnPriority=1,MIN(MAX(0,WaterfallTable[[#This Row],[Cash Available]]-WaterfallTable[[#This Row],[Pref Paid]]-WaterfallTable[[#This Row],[Capital Returned A]]),WaterfallTable[[#This Row],[ Capital Balance B]]),0)))</f>
        <v>368726.07741419855</v>
      </c>
      <c r="L9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B]])*ClassBResidualShare))</f>
        <v>268431.18536275637</v>
      </c>
      <c r="M9" s="13">
        <f>IF(WaterfallTable[[#This Row],[Year]]&gt;SaleExitYear,0,WaterfallTable[[#This Row],[Capital Returned B]]+WaterfallTable[[#This Row],[ Residual   B]])</f>
        <v>637157.26277695491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B]])*SponsorResidualShare))</f>
        <v>268805.5663744199</v>
      </c>
      <c r="P9" s="13">
        <f>IF(WaterfallTable[[#This Row],[Year]]&gt;SaleExitYear,0,WaterfallTable[[#This Row],[Property Payment]]+WaterfallTable[[#This Row],[Residual]])</f>
        <v>268805.5663744199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Row],[Year]]=0,0,MIN(WaterfallTable[[#This Row],[Cash Available]],INDEX(WaterfallTable[End of Year Pref Balance],6)+WaterfallTable[[#This Row],[Pref Accrued]])))</f>
        <v>0</v>
      </c>
      <c r="E10" s="13">
        <f>IF(WaterfallTable[[#This Row],[Year]]&gt;SaleExitYear,0,MAX(0,INDEX(WaterfallTable[End of Year Pref Balance],6)+WaterfallTable[[#This Row],[Pref Accrued]]-WaterfallTable[[#This Row],[Pref Paid]]))</f>
        <v>0</v>
      </c>
      <c r="F10" s="13">
        <f>IF(WaterfallTable[[#This Row],[Year]]&gt;SaleExitYear,0,MAX(0,INDEX(WaterfallTable[Capital Balance A],6)-INDEX(WaterfallTable[Capital Returned A],6)))</f>
        <v>0</v>
      </c>
      <c r="G10" s="13">
        <f>IF(WaterfallTable[[#This Row],[Year]]&gt;SaleExitYear,0,IF(WaterfallTable[[#This Row],[Year]]=0,0,MIN(MAX(0,WaterfallTable[[#This Row],[Cash Available]]-WaterfallTable[[#This Row],[Pref Paid]]),WaterfallTable[[#This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Row],[Year]]&gt;SaleExitYear,0,MAX(0,INDEX(WaterfallTable[[ Capital Balance B]],6)-INDEX(WaterfallTable[Capital Returned B],6)))</f>
        <v>0</v>
      </c>
      <c r="K10" s="13">
        <f>IF(WaterfallTable[[#This Row],[Year]]&gt;SaleExitYear,0,IF(WaterfallTable[[#This Row],[Year]]=0,0,IF(ClassBReturnPriority=1,MIN(MAX(0,WaterfallTable[[#This Row],[Cash Available]]-WaterfallTable[[#This Row],[Pref Paid]]-WaterfallTable[[#This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Row],[Year]]=0,0,MIN(WaterfallTable[[#This Row],[Cash Available]],INDEX(WaterfallTable[End of Year Pref Balance],7)+WaterfallTable[[#This Row],[Pref Accrued]])))</f>
        <v>0</v>
      </c>
      <c r="E11" s="13">
        <f>IF(WaterfallTable[[#This Row],[Year]]&gt;SaleExitYear,0,MAX(0,INDEX(WaterfallTable[End of Year Pref Balance],7)+WaterfallTable[[#This Row],[Pref Accrued]]-WaterfallTable[[#This Row],[Pref Paid]]))</f>
        <v>0</v>
      </c>
      <c r="F11" s="13">
        <f>IF(WaterfallTable[[#This Row],[Year]]&gt;SaleExitYear,0,MAX(0,INDEX(WaterfallTable[Capital Balance A],7)-INDEX(WaterfallTable[Capital Returned A],7)))</f>
        <v>0</v>
      </c>
      <c r="G11" s="13">
        <f>IF(WaterfallTable[[#This Row],[Year]]&gt;SaleExitYear,0,IF(WaterfallTable[[#This Row],[Year]]=0,0,MIN(MAX(0,WaterfallTable[[#This Row],[Cash Available]]-WaterfallTable[[#This Row],[Pref Paid]]),WaterfallTable[[#This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Row],[Year]]&gt;SaleExitYear,0,MAX(0,INDEX(WaterfallTable[[ Capital Balance B]],7)-INDEX(WaterfallTable[Capital Returned B],7)))</f>
        <v>0</v>
      </c>
      <c r="K11" s="13">
        <f>IF(WaterfallTable[[#This Row],[Year]]&gt;SaleExitYear,0,IF(WaterfallTable[[#This Row],[Year]]=0,0,IF(ClassBReturnPriority=1,MIN(MAX(0,WaterfallTable[[#This Row],[Cash Available]]-WaterfallTable[[#This Row],[Pref Paid]]-WaterfallTable[[#This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Row],[Year]]=0,0,MIN(WaterfallTable[[#This Row],[Cash Available]],INDEX(WaterfallTable[End of Year Pref Balance],8)+WaterfallTable[[#This Row],[Pref Accrued]])))</f>
        <v>0</v>
      </c>
      <c r="E12" s="13">
        <f>IF(WaterfallTable[[#This Row],[Year]]&gt;SaleExitYear,0,MAX(0,INDEX(WaterfallTable[End of Year Pref Balance],8)+WaterfallTable[[#This Row],[Pref Accrued]]-WaterfallTable[[#This Row],[Pref Paid]]))</f>
        <v>0</v>
      </c>
      <c r="F12" s="13">
        <f>IF(WaterfallTable[[#This Row],[Year]]&gt;SaleExitYear,0,MAX(0,INDEX(WaterfallTable[Capital Balance A],8)-INDEX(WaterfallTable[Capital Returned A],8)))</f>
        <v>0</v>
      </c>
      <c r="G12" s="13">
        <f>IF(WaterfallTable[[#This Row],[Year]]&gt;SaleExitYear,0,IF(WaterfallTable[[#This Row],[Year]]=0,0,MIN(MAX(0,WaterfallTable[[#This Row],[Cash Available]]-WaterfallTable[[#This Row],[Pref Paid]]),WaterfallTable[[#This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Row],[Year]]&gt;SaleExitYear,0,MAX(0,INDEX(WaterfallTable[[ Capital Balance B]],8)-INDEX(WaterfallTable[Capital Returned B],8)))</f>
        <v>0</v>
      </c>
      <c r="K12" s="13">
        <f>IF(WaterfallTable[[#This Row],[Year]]&gt;SaleExitYear,0,IF(WaterfallTable[[#This Row],[Year]]=0,0,IF(ClassBReturnPriority=1,MIN(MAX(0,WaterfallTable[[#This Row],[Cash Available]]-WaterfallTable[[#This Row],[Pref Paid]]-WaterfallTable[[#This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Row],[Year]]=0,0,MIN(WaterfallTable[[#This Row],[Cash Available]],INDEX(WaterfallTable[End of Year Pref Balance],9)+WaterfallTable[[#This Row],[Pref Accrued]])))</f>
        <v>0</v>
      </c>
      <c r="E13" s="13">
        <f>IF(WaterfallTable[[#This Row],[Year]]&gt;SaleExitYear,0,MAX(0,INDEX(WaterfallTable[End of Year Pref Balance],9)+WaterfallTable[[#This Row],[Pref Accrued]]-WaterfallTable[[#This Row],[Pref Paid]]))</f>
        <v>0</v>
      </c>
      <c r="F13" s="13">
        <f>IF(WaterfallTable[[#This Row],[Year]]&gt;SaleExitYear,0,MAX(0,INDEX(WaterfallTable[Capital Balance A],9)-INDEX(WaterfallTable[Capital Returned A],9)))</f>
        <v>0</v>
      </c>
      <c r="G13" s="13">
        <f>IF(WaterfallTable[[#This Row],[Year]]&gt;SaleExitYear,0,IF(WaterfallTable[[#This Row],[Year]]=0,0,MIN(MAX(0,WaterfallTable[[#This Row],[Cash Available]]-WaterfallTable[[#This Row],[Pref Paid]]),WaterfallTable[[#This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Row],[Year]]&gt;SaleExitYear,0,MAX(0,INDEX(WaterfallTable[[ Capital Balance B]],9)-INDEX(WaterfallTable[Capital Returned B],9)))</f>
        <v>0</v>
      </c>
      <c r="K13" s="13">
        <f>IF(WaterfallTable[[#This Row],[Year]]&gt;SaleExitYear,0,IF(WaterfallTable[[#This Row],[Year]]=0,0,IF(ClassBReturnPriority=1,MIN(MAX(0,WaterfallTable[[#This Row],[Cash Available]]-WaterfallTable[[#This Row],[Pref Paid]]-WaterfallTable[[#This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Row],[Year]]=0,0,MIN(WaterfallTable[[#This Row],[Cash Available]],INDEX(WaterfallTable[End of Year Pref Balance],10)+WaterfallTable[[#This Row],[Pref Accrued]])))</f>
        <v>0</v>
      </c>
      <c r="E14" s="13">
        <f>IF(WaterfallTable[[#This Row],[Year]]&gt;SaleExitYear,0,MAX(0,INDEX(WaterfallTable[End of Year Pref Balance],10)+WaterfallTable[[#This Row],[Pref Accrued]]-WaterfallTable[[#This Row],[Pref Paid]]))</f>
        <v>0</v>
      </c>
      <c r="F14" s="13">
        <f>IF(WaterfallTable[[#This Row],[Year]]&gt;SaleExitYear,0,MAX(0,INDEX(WaterfallTable[Capital Balance A],10)-INDEX(WaterfallTable[Capital Returned A],10)))</f>
        <v>0</v>
      </c>
      <c r="G14" s="13">
        <f>IF(WaterfallTable[[#This Row],[Year]]&gt;SaleExitYear,0,IF(WaterfallTable[[#This Row],[Year]]=0,0,MIN(MAX(0,WaterfallTable[[#This Row],[Cash Available]]-WaterfallTable[[#This Row],[Pref Paid]]),WaterfallTable[[#This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Row],[Year]]&gt;SaleExitYear,0,MAX(0,INDEX(WaterfallTable[[ Capital Balance B]],10)-INDEX(WaterfallTable[Capital Returned B],10)))</f>
        <v>0</v>
      </c>
      <c r="K14" s="13">
        <f>IF(WaterfallTable[[#This Row],[Year]]&gt;SaleExitYear,0,IF(WaterfallTable[[#This Row],[Year]]=0,0,IF(ClassBReturnPriority=1,MIN(MAX(0,WaterfallTable[[#This Row],[Cash Available]]-WaterfallTable[[#This Row],[Pref Paid]]-WaterfallTable[[#This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Row],[Pref Paid]]-WaterfallTable[[#This Row],[Capital Returned A]]-WaterfallTable[[#This Row],[Capital Returned B]])*SponsorResidualShare))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5218.2078853046623</v>
      </c>
      <c r="F19" s="41">
        <f>IF(2&gt;SaleExitYear,0,INDEX(WaterfallTable[Total Dist A],MATCH(2,WaterfallTable[Year],0)))</f>
        <v>50173.320000000007</v>
      </c>
      <c r="G19" s="41">
        <f>IF(3&gt;SaleExitYear,0,INDEX(WaterfallTable[Total Dist A],MATCH(3,WaterfallTable[Year],0)))</f>
        <v>340608.47211469535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134777.16419887348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230777.16419887348</v>
      </c>
      <c r="P19" s="41">
        <f>ReturnsTable[[#This Row],[Total Profit]]+ReturnsTable[[#This Row],[Capital Investment]]</f>
        <v>530777.16419887345</v>
      </c>
      <c r="Q19" s="42">
        <f>IFERROR(ReturnsTable[[#This Row],[Total Dist]]/ReturnsTable[[#This Row],[Capital Investment]],0)</f>
        <v>1.7692572139962448</v>
      </c>
      <c r="R19" s="53">
        <f>IFERROR(ReturnsTable[[#This Row],[Total Profit]]/ReturnsTable[[#This Row],[Capital Investment]],0)</f>
        <v>0.76925721399624492</v>
      </c>
      <c r="S19" s="60">
        <f>IFERROR(IRR(ReturnsTable[[#This Row],[Initial Capitalization]:[Year 10]]),0)</f>
        <v>0.18805237804433705</v>
      </c>
    </row>
    <row r="20" spans="1:19" x14ac:dyDescent="0.25">
      <c r="A20" s="50" t="s">
        <v>89</v>
      </c>
      <c r="B20" s="43">
        <f>ClassBCapital</f>
        <v>597500</v>
      </c>
      <c r="C20" s="43">
        <f>ClassBCapital</f>
        <v>597500</v>
      </c>
      <c r="D20" s="43">
        <f>-ReturnsTable[[#This Row],[Capital Investment]]</f>
        <v>-597500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213220.94523555308</v>
      </c>
      <c r="H20" s="43">
        <f>IF(4&gt;SaleExitYear,0,INDEX(WaterfallTable[Total Dist B],MATCH(4,WaterfallTable[Year],0)))</f>
        <v>15552.977350248344</v>
      </c>
      <c r="I20" s="43">
        <f>IF(5&gt;SaleExitYear,0,INDEX(WaterfallTable[Total Dist B],MATCH(5,WaterfallTable[Year],0)))</f>
        <v>637157.26277695491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268431.18536275637</v>
      </c>
      <c r="P20" s="43">
        <f>ReturnsTable[[#This Row],[Total Profit]]+ReturnsTable[[#This Row],[Capital Investment]]</f>
        <v>865931.18536275637</v>
      </c>
      <c r="Q20" s="44">
        <f>IFERROR(ReturnsTable[[#This Row],[Total Dist]]/ReturnsTable[[#This Row],[Capital Investment]],0)</f>
        <v>1.449257213996245</v>
      </c>
      <c r="R20" s="54">
        <f>IFERROR(ReturnsTable[[#This Row],[Total Profit]]/ReturnsTable[[#This Row],[Capital Investment]],0)</f>
        <v>0.44925721399624496</v>
      </c>
      <c r="S20" s="60">
        <f>IFERROR(IRR(ReturnsTable[[#This Row],[Initial Capitalization]:[Year 10]]),0)</f>
        <v>8.6797479381042875E-2</v>
      </c>
    </row>
    <row r="21" spans="1:19" x14ac:dyDescent="0.25">
      <c r="A21" s="51" t="s">
        <v>90</v>
      </c>
      <c r="B21" s="45">
        <f>SponsorCapitalInvestment</f>
        <v>125000</v>
      </c>
      <c r="C21" s="45">
        <f>SponsorBasis</f>
        <v>150000</v>
      </c>
      <c r="D21" s="45">
        <f>INDEX(WaterfallTable[Total Dist2],MATCH(0,WaterfallTable[Year],0))-ReturnsTable[[#This Row],[Capital Investment]]</f>
        <v>25000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268805.5663744199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293805.5663744199</v>
      </c>
      <c r="P21" s="45">
        <f>ReturnsTable[[#This Row],[Total Profit]]+ReturnsTable[[#This Row],[Capital Investment]]</f>
        <v>418805.5663744199</v>
      </c>
      <c r="Q21" s="46">
        <f>IFERROR(ReturnsTable[[#This Row],[Total Dist]]/ReturnsTable[[#This Row],[Capital Investment]],0)</f>
        <v>3.3504445309953592</v>
      </c>
      <c r="R21" s="55">
        <f>IFERROR(ReturnsTable[[#This Row],[Total Profit]]/ReturnsTable[[#This Row],[Capital Investment]],0)</f>
        <v>2.3504445309953592</v>
      </c>
      <c r="S21" s="60">
        <f>IFERROR(IRR(ReturnsTable[[#This Row],[Initial Capitalization]:[Year 10]]),0)</f>
        <v>0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3168</v>
      </c>
      <c r="F22" s="47">
        <f>IF(2&gt;SaleExitYear,0,ManagementFeeRate*INDEX(AnnualModelTable[Occupancy Effective Gross Income],MATCH(2,AnnualModelTable[Year],0)))</f>
        <v>7231.6799999999994</v>
      </c>
      <c r="G22" s="47">
        <f>IF(3&gt;SaleExitYear,0,ManagementFeeRate*INDEX(AnnualModelTable[Occupancy Effective Gross Income],MATCH(3,AnnualModelTable[Year],0)))</f>
        <v>8035.2</v>
      </c>
      <c r="H22" s="47">
        <f>IF(4&gt;SaleExitYear,0,ManagementFeeRate*INDEX(AnnualModelTable[Occupancy Effective Gross Income],MATCH(4,AnnualModelTable[Year],0)))</f>
        <v>8035.2</v>
      </c>
      <c r="I22" s="47">
        <f>IF(5&gt;SaleExitYear,0,ManagementFeeRate*INDEX(AnnualModelTable[Occupancy Effective Gross Income],MATCH(5,AnnualModelTable[Year],0)))</f>
        <v>8035.2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34505.279999999999</v>
      </c>
      <c r="P22" s="47">
        <f>ReturnsTable[[#This Row],[Total Profit]]</f>
        <v>34505.279999999999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1" r:id="rId4" name="RefiYearGroup">
              <controlPr defaultSize="0" autoPict="0">
                <anchor moveWithCells="1">
                  <from>
                    <xdr:col>17</xdr:col>
                    <xdr:colOff>9525</xdr:colOff>
                    <xdr:row>3</xdr:row>
                    <xdr:rowOff>0</xdr:rowOff>
                  </from>
                  <to>
                    <xdr:col>17</xdr:col>
                    <xdr:colOff>828675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5" name="ExitYearGroup">
              <controlPr defaultSize="0" autoPict="0">
                <anchor moveWithCells="1">
                  <from>
                    <xdr:col>18</xdr:col>
                    <xdr:colOff>9525</xdr:colOff>
                    <xdr:row>3</xdr:row>
                    <xdr:rowOff>0</xdr:rowOff>
                  </from>
                  <to>
                    <xdr:col>18</xdr:col>
                    <xdr:colOff>828675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6" name="RefiYearOption_1">
              <controlPr defaultSize="0" autoFill="0" autoLine="0" autoPict="0">
                <anchor moveWithCells="1">
                  <from>
                    <xdr:col>17</xdr:col>
                    <xdr:colOff>47625</xdr:colOff>
                    <xdr:row>4</xdr:row>
                    <xdr:rowOff>19050</xdr:rowOff>
                  </from>
                  <to>
                    <xdr:col>17</xdr:col>
                    <xdr:colOff>342900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7" name="ExitYearOption_1">
              <controlPr defaultSize="0" autoFill="0" autoLine="0" autoPict="0">
                <anchor moveWithCells="1">
                  <from>
                    <xdr:col>18</xdr:col>
                    <xdr:colOff>47625</xdr:colOff>
                    <xdr:row>4</xdr:row>
                    <xdr:rowOff>19050</xdr:rowOff>
                  </from>
                  <to>
                    <xdr:col>18</xdr:col>
                    <xdr:colOff>342900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8" name="RefiYearOption_2">
              <controlPr defaultSize="0" autoFill="0" autoLine="0" autoPict="0">
                <anchor moveWithCells="1">
                  <from>
                    <xdr:col>17</xdr:col>
                    <xdr:colOff>47625</xdr:colOff>
                    <xdr:row>5</xdr:row>
                    <xdr:rowOff>19050</xdr:rowOff>
                  </from>
                  <to>
                    <xdr:col>17</xdr:col>
                    <xdr:colOff>342900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9" name="ExitYearOption_2">
              <controlPr defaultSize="0" autoFill="0" autoLine="0" autoPict="0">
                <anchor moveWithCells="1">
                  <from>
                    <xdr:col>18</xdr:col>
                    <xdr:colOff>47625</xdr:colOff>
                    <xdr:row>5</xdr:row>
                    <xdr:rowOff>19050</xdr:rowOff>
                  </from>
                  <to>
                    <xdr:col>18</xdr:col>
                    <xdr:colOff>342900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0" name="RefiYearOption_3">
              <controlPr defaultSize="0" autoFill="0" autoLine="0" autoPict="0">
                <anchor moveWithCells="1">
                  <from>
                    <xdr:col>17</xdr:col>
                    <xdr:colOff>47625</xdr:colOff>
                    <xdr:row>6</xdr:row>
                    <xdr:rowOff>19050</xdr:rowOff>
                  </from>
                  <to>
                    <xdr:col>17</xdr:col>
                    <xdr:colOff>342900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1" name="ExitYearOption_3">
              <controlPr defaultSize="0" autoFill="0" autoLine="0" autoPict="0">
                <anchor moveWithCells="1">
                  <from>
                    <xdr:col>18</xdr:col>
                    <xdr:colOff>47625</xdr:colOff>
                    <xdr:row>6</xdr:row>
                    <xdr:rowOff>19050</xdr:rowOff>
                  </from>
                  <to>
                    <xdr:col>18</xdr:col>
                    <xdr:colOff>342900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2" name="RefiYearOption_4">
              <controlPr defaultSize="0" autoFill="0" autoLine="0" autoPict="0">
                <anchor moveWithCells="1">
                  <from>
                    <xdr:col>17</xdr:col>
                    <xdr:colOff>47625</xdr:colOff>
                    <xdr:row>7</xdr:row>
                    <xdr:rowOff>19050</xdr:rowOff>
                  </from>
                  <to>
                    <xdr:col>17</xdr:col>
                    <xdr:colOff>342900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3" name="ExitYearOption_4">
              <controlPr defaultSize="0" autoFill="0" autoLine="0" autoPict="0">
                <anchor moveWithCells="1">
                  <from>
                    <xdr:col>18</xdr:col>
                    <xdr:colOff>47625</xdr:colOff>
                    <xdr:row>7</xdr:row>
                    <xdr:rowOff>19050</xdr:rowOff>
                  </from>
                  <to>
                    <xdr:col>18</xdr:col>
                    <xdr:colOff>342900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4" name="RefiYearOption_5">
              <controlPr defaultSize="0" autoFill="0" autoLine="0" autoPict="0">
                <anchor moveWithCells="1">
                  <from>
                    <xdr:col>17</xdr:col>
                    <xdr:colOff>47625</xdr:colOff>
                    <xdr:row>8</xdr:row>
                    <xdr:rowOff>19050</xdr:rowOff>
                  </from>
                  <to>
                    <xdr:col>17</xdr:col>
                    <xdr:colOff>342900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5" name="ExitYearOption_5">
              <controlPr defaultSize="0" autoFill="0" autoLine="0" autoPict="0">
                <anchor moveWithCells="1">
                  <from>
                    <xdr:col>18</xdr:col>
                    <xdr:colOff>47625</xdr:colOff>
                    <xdr:row>8</xdr:row>
                    <xdr:rowOff>19050</xdr:rowOff>
                  </from>
                  <to>
                    <xdr:col>18</xdr:col>
                    <xdr:colOff>342900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6" name="RefiYearOption_6">
              <controlPr defaultSize="0" autoFill="0" autoLine="0" autoPict="0">
                <anchor moveWithCells="1">
                  <from>
                    <xdr:col>17</xdr:col>
                    <xdr:colOff>47625</xdr:colOff>
                    <xdr:row>9</xdr:row>
                    <xdr:rowOff>19050</xdr:rowOff>
                  </from>
                  <to>
                    <xdr:col>17</xdr:col>
                    <xdr:colOff>342900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7" name="ExitYearOption_6">
              <controlPr defaultSize="0" autoFill="0" autoLine="0" autoPict="0">
                <anchor moveWithCells="1">
                  <from>
                    <xdr:col>18</xdr:col>
                    <xdr:colOff>47625</xdr:colOff>
                    <xdr:row>9</xdr:row>
                    <xdr:rowOff>19050</xdr:rowOff>
                  </from>
                  <to>
                    <xdr:col>18</xdr:col>
                    <xdr:colOff>342900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8" name="RefiYearOption_7">
              <controlPr defaultSize="0" autoFill="0" autoLine="0" autoPict="0">
                <anchor moveWithCells="1">
                  <from>
                    <xdr:col>17</xdr:col>
                    <xdr:colOff>47625</xdr:colOff>
                    <xdr:row>10</xdr:row>
                    <xdr:rowOff>19050</xdr:rowOff>
                  </from>
                  <to>
                    <xdr:col>17</xdr:col>
                    <xdr:colOff>342900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9" name="ExitYearOption_7">
              <controlPr defaultSize="0" autoFill="0" autoLine="0" autoPict="0">
                <anchor moveWithCells="1">
                  <from>
                    <xdr:col>18</xdr:col>
                    <xdr:colOff>47625</xdr:colOff>
                    <xdr:row>10</xdr:row>
                    <xdr:rowOff>19050</xdr:rowOff>
                  </from>
                  <to>
                    <xdr:col>18</xdr:col>
                    <xdr:colOff>342900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20" name="RefiYearOption_8">
              <controlPr defaultSize="0" autoFill="0" autoLine="0" autoPict="0">
                <anchor moveWithCells="1">
                  <from>
                    <xdr:col>17</xdr:col>
                    <xdr:colOff>47625</xdr:colOff>
                    <xdr:row>11</xdr:row>
                    <xdr:rowOff>19050</xdr:rowOff>
                  </from>
                  <to>
                    <xdr:col>17</xdr:col>
                    <xdr:colOff>342900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21" name="ExitYearOption_8">
              <controlPr defaultSize="0" autoFill="0" autoLine="0" autoPict="0">
                <anchor moveWithCells="1">
                  <from>
                    <xdr:col>18</xdr:col>
                    <xdr:colOff>47625</xdr:colOff>
                    <xdr:row>11</xdr:row>
                    <xdr:rowOff>19050</xdr:rowOff>
                  </from>
                  <to>
                    <xdr:col>18</xdr:col>
                    <xdr:colOff>342900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22" name="RefiYearOption_9">
              <controlPr defaultSize="0" autoFill="0" autoLine="0" autoPict="0">
                <anchor moveWithCells="1">
                  <from>
                    <xdr:col>17</xdr:col>
                    <xdr:colOff>47625</xdr:colOff>
                    <xdr:row>12</xdr:row>
                    <xdr:rowOff>19050</xdr:rowOff>
                  </from>
                  <to>
                    <xdr:col>17</xdr:col>
                    <xdr:colOff>342900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23" name="ExitYearOption_9">
              <controlPr defaultSize="0" autoFill="0" autoLine="0" autoPict="0">
                <anchor moveWithCells="1">
                  <from>
                    <xdr:col>18</xdr:col>
                    <xdr:colOff>47625</xdr:colOff>
                    <xdr:row>12</xdr:row>
                    <xdr:rowOff>19050</xdr:rowOff>
                  </from>
                  <to>
                    <xdr:col>18</xdr:col>
                    <xdr:colOff>342900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24" name="RefiYearOption_10">
              <controlPr defaultSize="0" autoFill="0" autoLine="0" autoPict="0">
                <anchor moveWithCells="1">
                  <from>
                    <xdr:col>17</xdr:col>
                    <xdr:colOff>47625</xdr:colOff>
                    <xdr:row>13</xdr:row>
                    <xdr:rowOff>19050</xdr:rowOff>
                  </from>
                  <to>
                    <xdr:col>17</xdr:col>
                    <xdr:colOff>342900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25" name="ExitYearOption_10">
              <controlPr defaultSize="0" autoFill="0" autoLine="0" autoPict="0">
                <anchor moveWithCells="1">
                  <from>
                    <xdr:col>18</xdr:col>
                    <xdr:colOff>47625</xdr:colOff>
                    <xdr:row>13</xdr:row>
                    <xdr:rowOff>19050</xdr:rowOff>
                  </from>
                  <to>
                    <xdr:col>18</xdr:col>
                    <xdr:colOff>342900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2">
    <tablePart r:id="rId26"/>
    <tablePart r:id="rId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5" t="s">
        <v>270</v>
      </c>
      <c r="B1" s="63"/>
      <c r="C1" s="63"/>
      <c r="D1" s="6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530777.16419887345</v>
      </c>
      <c r="D4" s="13">
        <f>C4-B4</f>
        <v>230777.16419887345</v>
      </c>
      <c r="E4" s="13">
        <f>IFERROR(C4/B4,0)</f>
        <v>1.7692572139962448</v>
      </c>
      <c r="F4" s="24">
        <f>IFERROR(D4/B4,0)</f>
        <v>0.7692572139962448</v>
      </c>
      <c r="G4" s="24">
        <f>IRR(H4:R4)</f>
        <v>0.18805237804433705</v>
      </c>
      <c r="H4" s="13">
        <f>-B4</f>
        <v>-300000</v>
      </c>
      <c r="I4" s="13">
        <f>INDEX(Waterfall!$I$4:$I$14,MATCH(1,Waterfall!$A$4:$A$14,0))</f>
        <v>5218.2078853046623</v>
      </c>
      <c r="J4" s="13">
        <f>INDEX(Waterfall!$I$4:$I$14,MATCH(2,Waterfall!$A$4:$A$14,0))</f>
        <v>50173.320000000007</v>
      </c>
      <c r="K4" s="13">
        <f>INDEX(Waterfall!$I$4:$I$14,MATCH(3,Waterfall!$A$4:$A$14,0))</f>
        <v>340608.47211469535</v>
      </c>
      <c r="L4" s="13">
        <f>INDEX(Waterfall!$I$4:$I$14,MATCH(4,Waterfall!$A$4:$A$14,0))</f>
        <v>0</v>
      </c>
      <c r="M4" s="13">
        <f>INDEX(Waterfall!$I$4:$I$14,MATCH(5,Waterfall!$A$4:$A$14,0))</f>
        <v>134777.16419887348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597500</v>
      </c>
      <c r="C5" s="13">
        <f>SUM(Waterfall!$M$4:$M$14)</f>
        <v>865931.18536275637</v>
      </c>
      <c r="D5" s="13">
        <f>C5-B5</f>
        <v>268431.18536275637</v>
      </c>
      <c r="E5" s="13">
        <f>IFERROR(C5/B5,0)</f>
        <v>1.449257213996245</v>
      </c>
      <c r="F5" s="24">
        <f>IFERROR(D5/B5,0)</f>
        <v>0.44925721399624496</v>
      </c>
      <c r="G5" s="24">
        <f>IFERROR(IRR(H5:R5),0)</f>
        <v>8.6797479381042875E-2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213220.94523555308</v>
      </c>
      <c r="L5" s="13">
        <f>INDEX(Waterfall!$M$4:$M$14,MATCH(4,Waterfall!$A$4:$A$14,0))</f>
        <v>15552.977350248344</v>
      </c>
      <c r="M5" s="13">
        <f>INDEX(Waterfall!$M$4:$M$14,MATCH(5,Waterfall!$A$4:$A$14,0))</f>
        <v>637157.26277695491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150000</v>
      </c>
      <c r="C6" s="13">
        <f>SUM(Waterfall!$P$4:$P$14)</f>
        <v>418805.5663744199</v>
      </c>
      <c r="D6" s="13">
        <f>C6-B6</f>
        <v>268805.5663744199</v>
      </c>
      <c r="E6" s="13">
        <f>IFERROR(C6/B6,0)</f>
        <v>2.7920371091627993</v>
      </c>
      <c r="F6" s="24">
        <f>IFERROR(D6/B6,0)</f>
        <v>1.7920371091627993</v>
      </c>
      <c r="G6" s="24">
        <f>IFERROR(IRR(H6:R6),0)</f>
        <v>0.12374921080369461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268805.5663744199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62" t="s">
        <v>266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71" t="s">
        <v>104</v>
      </c>
      <c r="C2" s="63"/>
      <c r="D2" s="63"/>
    </row>
    <row r="3" spans="1:10" x14ac:dyDescent="0.25">
      <c r="A3" s="13" t="s">
        <v>105</v>
      </c>
      <c r="B3" s="71" t="s">
        <v>106</v>
      </c>
      <c r="C3" s="63"/>
      <c r="D3" s="63"/>
      <c r="E3" s="63"/>
      <c r="F3" s="63"/>
      <c r="G3" s="63"/>
      <c r="H3" s="63"/>
      <c r="I3" s="63"/>
    </row>
    <row r="4" spans="1:10" x14ac:dyDescent="0.25">
      <c r="A4" s="13"/>
      <c r="B4" s="13"/>
      <c r="C4" s="71"/>
      <c r="D4" s="66"/>
      <c r="E4" s="66"/>
      <c r="F4" s="66"/>
      <c r="H4" s="13"/>
    </row>
    <row r="5" spans="1:10" ht="15.75" thickBot="1" x14ac:dyDescent="0.3">
      <c r="A5" s="13"/>
      <c r="B5" s="13"/>
      <c r="C5" s="71"/>
      <c r="D5" s="66"/>
      <c r="E5" s="66"/>
      <c r="F5" s="66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897500</v>
      </c>
      <c r="C8" s="33">
        <f>C27</f>
        <v>1635000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179.5</v>
      </c>
      <c r="C14" s="13"/>
    </row>
    <row r="15" spans="1:10" x14ac:dyDescent="0.25">
      <c r="A15" s="6" t="s">
        <v>119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897500</v>
      </c>
      <c r="C29" s="13"/>
    </row>
    <row r="30" spans="1:3" x14ac:dyDescent="0.25">
      <c r="A30" s="13" t="s">
        <v>132</v>
      </c>
      <c r="B30" s="13">
        <f>ClassACapital+ClassBCapital</f>
        <v>897500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63" t="s">
        <v>160</v>
      </c>
      <c r="C62" s="63"/>
      <c r="D62" s="63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63" t="s">
        <v>164</v>
      </c>
      <c r="D66" s="63"/>
      <c r="E66" s="63"/>
      <c r="F66" s="63"/>
      <c r="G66" s="63"/>
    </row>
    <row r="67" spans="1:7" x14ac:dyDescent="0.25">
      <c r="A67" s="6" t="s">
        <v>165</v>
      </c>
      <c r="B67" s="6" t="s">
        <v>163</v>
      </c>
      <c r="C67" s="63" t="s">
        <v>164</v>
      </c>
      <c r="D67" s="63"/>
      <c r="E67" s="63"/>
      <c r="F67" s="63"/>
      <c r="G67" s="63"/>
    </row>
    <row r="68" spans="1:7" x14ac:dyDescent="0.25">
      <c r="A68" s="6" t="s">
        <v>166</v>
      </c>
      <c r="B68" s="6" t="s">
        <v>163</v>
      </c>
      <c r="C68" s="63" t="s">
        <v>164</v>
      </c>
      <c r="D68" s="63"/>
      <c r="E68" s="63"/>
      <c r="F68" s="63"/>
      <c r="G68" s="63"/>
    </row>
    <row r="69" spans="1:7" x14ac:dyDescent="0.25">
      <c r="A69" s="6" t="s">
        <v>167</v>
      </c>
      <c r="B69" s="6" t="s">
        <v>163</v>
      </c>
      <c r="C69" s="63" t="s">
        <v>164</v>
      </c>
      <c r="D69" s="63"/>
      <c r="E69" s="63"/>
      <c r="F69" s="63"/>
      <c r="G69" s="63"/>
    </row>
    <row r="70" spans="1:7" x14ac:dyDescent="0.25">
      <c r="A70" s="6" t="s">
        <v>168</v>
      </c>
      <c r="B70" s="6" t="s">
        <v>169</v>
      </c>
      <c r="C70" s="63" t="s">
        <v>170</v>
      </c>
      <c r="D70" s="63"/>
      <c r="E70" s="63"/>
      <c r="F70" s="63"/>
      <c r="G70" s="63"/>
    </row>
    <row r="71" spans="1:7" x14ac:dyDescent="0.25">
      <c r="A71" s="6" t="s">
        <v>171</v>
      </c>
      <c r="B71" s="6" t="s">
        <v>163</v>
      </c>
      <c r="C71" s="63" t="s">
        <v>172</v>
      </c>
      <c r="D71" s="63"/>
      <c r="E71" s="63"/>
      <c r="F71" s="63"/>
      <c r="G71" s="63"/>
    </row>
    <row r="72" spans="1:7" x14ac:dyDescent="0.25">
      <c r="A72" s="6" t="s">
        <v>173</v>
      </c>
      <c r="B72" s="6" t="s">
        <v>163</v>
      </c>
      <c r="C72" s="63" t="s">
        <v>174</v>
      </c>
      <c r="D72" s="63"/>
      <c r="E72" s="63"/>
      <c r="F72" s="63"/>
      <c r="G72" s="63"/>
    </row>
    <row r="73" spans="1:7" x14ac:dyDescent="0.25">
      <c r="A73" s="6" t="s">
        <v>175</v>
      </c>
      <c r="B73" s="6" t="s">
        <v>163</v>
      </c>
      <c r="C73" s="63" t="s">
        <v>176</v>
      </c>
      <c r="D73" s="63"/>
      <c r="E73" s="63"/>
      <c r="F73" s="63"/>
      <c r="G73" s="63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63" t="s">
        <v>179</v>
      </c>
      <c r="D76" s="63"/>
      <c r="E76" s="63"/>
      <c r="F76" s="63"/>
      <c r="G76" s="63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63" t="s">
        <v>185</v>
      </c>
      <c r="D81" s="63"/>
      <c r="E81" s="63"/>
      <c r="F81" s="63"/>
      <c r="G81" s="6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77</vt:i4>
      </vt:variant>
    </vt:vector>
  </HeadingPairs>
  <TitlesOfParts>
    <vt:vector size="84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2026-05-17T01:30:51Z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