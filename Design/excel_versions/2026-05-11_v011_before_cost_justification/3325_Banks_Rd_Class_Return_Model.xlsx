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25" documentId="13_ncr:1_{0C20EBD6-E2BD-404C-B47C-BDA54182D35E}" xr6:coauthVersionLast="47" xr6:coauthVersionMax="47" xr10:uidLastSave="{CFDF1FCC-2703-4768-951D-D8D3440083D2}"/>
  <bookViews>
    <workbookView xWindow="8295" yWindow="1005" windowWidth="20025" windowHeight="14055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6" l="1"/>
  <c r="B50" i="6"/>
  <c r="C41" i="6"/>
  <c r="B41" i="6"/>
  <c r="C32" i="6"/>
  <c r="B32" i="6"/>
  <c r="C17" i="6"/>
  <c r="C20" i="6" s="1"/>
  <c r="B17" i="6"/>
  <c r="B20" i="6" s="1"/>
  <c r="B10" i="6"/>
  <c r="B8" i="6"/>
  <c r="B7" i="6"/>
  <c r="B6" i="4"/>
  <c r="H6" i="4" s="1"/>
  <c r="B5" i="4"/>
  <c r="H5" i="4" s="1"/>
  <c r="B4" i="4"/>
  <c r="H4" i="4" s="1"/>
  <c r="F4" i="3"/>
  <c r="C4" i="3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C9" i="2"/>
  <c r="D9" i="2" s="1"/>
  <c r="K8" i="2"/>
  <c r="G8" i="2"/>
  <c r="K7" i="2"/>
  <c r="I7" i="2"/>
  <c r="G7" i="2"/>
  <c r="K6" i="2"/>
  <c r="G6" i="2"/>
  <c r="L5" i="2"/>
  <c r="K5" i="2"/>
  <c r="I5" i="2"/>
  <c r="G5" i="2"/>
  <c r="L4" i="2"/>
  <c r="K4" i="2"/>
  <c r="I4" i="2"/>
  <c r="G4" i="2"/>
  <c r="D4" i="2"/>
  <c r="E4" i="2" s="1"/>
  <c r="F4" i="2" s="1"/>
  <c r="H4" i="2" s="1"/>
  <c r="J4" i="2" s="1"/>
  <c r="B4" i="3" s="1"/>
  <c r="C4" i="2"/>
  <c r="B33" i="1"/>
  <c r="B30" i="1"/>
  <c r="B9" i="6" s="1"/>
  <c r="B17" i="1"/>
  <c r="C11" i="2" s="1"/>
  <c r="D11" i="2" s="1"/>
  <c r="C5" i="2" l="1"/>
  <c r="D5" i="2" s="1"/>
  <c r="C13" i="2"/>
  <c r="D13" i="2" s="1"/>
  <c r="E11" i="2"/>
  <c r="F11" i="2" s="1"/>
  <c r="B11" i="6"/>
  <c r="E9" i="2"/>
  <c r="F9" i="2" s="1"/>
  <c r="E5" i="2"/>
  <c r="F5" i="2" s="1"/>
  <c r="H5" i="2" s="1"/>
  <c r="J5" i="2" s="1"/>
  <c r="B5" i="3" s="1"/>
  <c r="E13" i="2"/>
  <c r="F13" i="2" s="1"/>
  <c r="C8" i="2"/>
  <c r="D8" i="2" s="1"/>
  <c r="C12" i="2"/>
  <c r="D12" i="2" s="1"/>
  <c r="D4" i="3"/>
  <c r="C6" i="2"/>
  <c r="D6" i="2" s="1"/>
  <c r="C14" i="2"/>
  <c r="D14" i="2" s="1"/>
  <c r="C7" i="2"/>
  <c r="D7" i="2" s="1"/>
  <c r="C10" i="2"/>
  <c r="D10" i="2" s="1"/>
  <c r="K4" i="3"/>
  <c r="H13" i="2" l="1"/>
  <c r="J13" i="2" s="1"/>
  <c r="B13" i="3" s="1"/>
  <c r="L13" i="2"/>
  <c r="L11" i="2"/>
  <c r="H11" i="2"/>
  <c r="J11" i="2" s="1"/>
  <c r="B11" i="3" s="1"/>
  <c r="E10" i="2"/>
  <c r="F10" i="2" s="1"/>
  <c r="E14" i="2"/>
  <c r="F14" i="2" s="1"/>
  <c r="E12" i="2"/>
  <c r="F12" i="2" s="1"/>
  <c r="E7" i="2"/>
  <c r="F7" i="2" s="1"/>
  <c r="E6" i="2"/>
  <c r="F6" i="2" s="1"/>
  <c r="E8" i="2"/>
  <c r="F8" i="2" s="1"/>
  <c r="H9" i="2"/>
  <c r="J9" i="2" s="1"/>
  <c r="B9" i="3" s="1"/>
  <c r="L9" i="2"/>
  <c r="E4" i="3"/>
  <c r="H4" i="3" s="1"/>
  <c r="C5" i="3" s="1"/>
  <c r="C21" i="6"/>
  <c r="C22" i="6" s="1"/>
  <c r="B21" i="6"/>
  <c r="B22" i="6" s="1"/>
  <c r="L10" i="2" l="1"/>
  <c r="H10" i="2"/>
  <c r="J10" i="2" s="1"/>
  <c r="B10" i="3" s="1"/>
  <c r="L7" i="2"/>
  <c r="H7" i="2"/>
  <c r="J7" i="2" s="1"/>
  <c r="B7" i="3" s="1"/>
  <c r="H6" i="2"/>
  <c r="L6" i="2"/>
  <c r="B20" i="1" s="1"/>
  <c r="G4" i="3"/>
  <c r="I4" i="3" s="1"/>
  <c r="F5" i="3" s="1"/>
  <c r="H12" i="2"/>
  <c r="J12" i="2" s="1"/>
  <c r="B12" i="3" s="1"/>
  <c r="L12" i="2"/>
  <c r="H8" i="2"/>
  <c r="L8" i="2"/>
  <c r="I8" i="2" s="1"/>
  <c r="L14" i="2"/>
  <c r="H14" i="2"/>
  <c r="J14" i="2" s="1"/>
  <c r="B14" i="3" s="1"/>
  <c r="I6" i="2" l="1"/>
  <c r="B6" i="6"/>
  <c r="J6" i="2"/>
  <c r="B6" i="3" s="1"/>
  <c r="J8" i="2"/>
  <c r="B8" i="3" s="1"/>
  <c r="D5" i="3"/>
  <c r="J4" i="3"/>
  <c r="P4" i="3"/>
  <c r="L4" i="3" l="1"/>
  <c r="E5" i="3"/>
  <c r="H5" i="3" s="1"/>
  <c r="C6" i="3" s="1"/>
  <c r="G5" i="3" l="1"/>
  <c r="I5" i="3" s="1"/>
  <c r="F6" i="3" s="1"/>
  <c r="M4" i="3"/>
  <c r="K5" i="3" s="1"/>
  <c r="O4" i="3"/>
  <c r="R4" i="3" s="1"/>
  <c r="N4" i="3"/>
  <c r="Q4" i="3" s="1"/>
  <c r="D6" i="3" l="1"/>
  <c r="J5" i="3"/>
  <c r="P5" i="3"/>
  <c r="L5" i="3" l="1"/>
  <c r="I4" i="4"/>
  <c r="E6" i="3"/>
  <c r="G6" i="3" l="1"/>
  <c r="I6" i="3" s="1"/>
  <c r="F7" i="3" s="1"/>
  <c r="H6" i="3"/>
  <c r="C7" i="3" s="1"/>
  <c r="M5" i="3"/>
  <c r="K6" i="3" s="1"/>
  <c r="O5" i="3"/>
  <c r="R5" i="3" s="1"/>
  <c r="N5" i="3"/>
  <c r="Q5" i="3" s="1"/>
  <c r="D7" i="3" l="1"/>
  <c r="E7" i="3" s="1"/>
  <c r="I6" i="4"/>
  <c r="J6" i="3"/>
  <c r="I5" i="4"/>
  <c r="P6" i="3"/>
  <c r="G7" i="3" l="1"/>
  <c r="I7" i="3" s="1"/>
  <c r="F8" i="3" s="1"/>
  <c r="H7" i="3"/>
  <c r="C8" i="3" s="1"/>
  <c r="L6" i="3"/>
  <c r="N6" i="3" s="1"/>
  <c r="J4" i="4"/>
  <c r="J7" i="3" l="1"/>
  <c r="Q6" i="3"/>
  <c r="M6" i="3"/>
  <c r="K7" i="3" s="1"/>
  <c r="O6" i="3"/>
  <c r="R6" i="3" s="1"/>
  <c r="D8" i="3"/>
  <c r="E8" i="3" s="1"/>
  <c r="P7" i="3"/>
  <c r="G8" i="3" l="1"/>
  <c r="I8" i="3" s="1"/>
  <c r="F9" i="3" s="1"/>
  <c r="J8" i="3"/>
  <c r="J6" i="4"/>
  <c r="J5" i="4"/>
  <c r="L7" i="3"/>
  <c r="O7" i="3" s="1"/>
  <c r="R7" i="3" s="1"/>
  <c r="H8" i="3"/>
  <c r="C9" i="3" s="1"/>
  <c r="K4" i="4"/>
  <c r="M7" i="3" l="1"/>
  <c r="K8" i="3" s="1"/>
  <c r="K6" i="4"/>
  <c r="L8" i="3"/>
  <c r="M8" i="3" s="1"/>
  <c r="K9" i="3" s="1"/>
  <c r="D9" i="3"/>
  <c r="E9" i="3" s="1"/>
  <c r="N7" i="3"/>
  <c r="Q7" i="3" s="1"/>
  <c r="P8" i="3"/>
  <c r="L4" i="4" s="1"/>
  <c r="K5" i="4" l="1"/>
  <c r="G9" i="3"/>
  <c r="I9" i="3" s="1"/>
  <c r="F10" i="3" s="1"/>
  <c r="N8" i="3"/>
  <c r="O8" i="3"/>
  <c r="R8" i="3" s="1"/>
  <c r="L6" i="4" s="1"/>
  <c r="Q8" i="3"/>
  <c r="L5" i="4" s="1"/>
  <c r="H9" i="3"/>
  <c r="C10" i="3" s="1"/>
  <c r="D10" i="3" l="1"/>
  <c r="E10" i="3" s="1"/>
  <c r="J9" i="3"/>
  <c r="P9" i="3"/>
  <c r="M4" i="4" s="1"/>
  <c r="G10" i="3" l="1"/>
  <c r="I10" i="3" s="1"/>
  <c r="F11" i="3" s="1"/>
  <c r="L9" i="3"/>
  <c r="N9" i="3" s="1"/>
  <c r="H10" i="3"/>
  <c r="C11" i="3" s="1"/>
  <c r="O9" i="3" l="1"/>
  <c r="R9" i="3" s="1"/>
  <c r="M6" i="4" s="1"/>
  <c r="Q9" i="3"/>
  <c r="M5" i="4" s="1"/>
  <c r="M9" i="3"/>
  <c r="K10" i="3" s="1"/>
  <c r="D11" i="3"/>
  <c r="J10" i="3"/>
  <c r="P10" i="3"/>
  <c r="N4" i="4" s="1"/>
  <c r="L10" i="3" l="1"/>
  <c r="O10" i="3" s="1"/>
  <c r="R10" i="3" s="1"/>
  <c r="N6" i="4" s="1"/>
  <c r="N10" i="3"/>
  <c r="E11" i="3"/>
  <c r="G11" i="3" l="1"/>
  <c r="I11" i="3" s="1"/>
  <c r="F12" i="3" s="1"/>
  <c r="Q10" i="3"/>
  <c r="N5" i="4" s="1"/>
  <c r="M10" i="3"/>
  <c r="K11" i="3" s="1"/>
  <c r="H11" i="3"/>
  <c r="C12" i="3" s="1"/>
  <c r="J11" i="3" l="1"/>
  <c r="D12" i="3"/>
  <c r="E12" i="3" s="1"/>
  <c r="P11" i="3"/>
  <c r="O4" i="4" s="1"/>
  <c r="G12" i="3" l="1"/>
  <c r="I12" i="3" s="1"/>
  <c r="F13" i="3" s="1"/>
  <c r="L11" i="3"/>
  <c r="N11" i="3" s="1"/>
  <c r="H12" i="3"/>
  <c r="C13" i="3" s="1"/>
  <c r="O11" i="3" l="1"/>
  <c r="R11" i="3" s="1"/>
  <c r="O6" i="4" s="1"/>
  <c r="Q11" i="3"/>
  <c r="O5" i="4" s="1"/>
  <c r="M11" i="3"/>
  <c r="K12" i="3" s="1"/>
  <c r="D13" i="3"/>
  <c r="J12" i="3"/>
  <c r="P12" i="3"/>
  <c r="P4" i="4" s="1"/>
  <c r="L12" i="3" l="1"/>
  <c r="M12" i="3"/>
  <c r="K13" i="3" s="1"/>
  <c r="E13" i="3"/>
  <c r="G13" i="3" l="1"/>
  <c r="I13" i="3" s="1"/>
  <c r="F14" i="3" s="1"/>
  <c r="N12" i="3"/>
  <c r="Q12" i="3" s="1"/>
  <c r="P5" i="4" s="1"/>
  <c r="O12" i="3"/>
  <c r="R12" i="3" s="1"/>
  <c r="P6" i="4" s="1"/>
  <c r="H13" i="3"/>
  <c r="C14" i="3" s="1"/>
  <c r="J13" i="3" l="1"/>
  <c r="D14" i="3"/>
  <c r="P13" i="3"/>
  <c r="Q4" i="4" s="1"/>
  <c r="E14" i="3" l="1"/>
  <c r="L13" i="3"/>
  <c r="O13" i="3" s="1"/>
  <c r="R13" i="3" s="1"/>
  <c r="Q6" i="4" s="1"/>
  <c r="M13" i="3" l="1"/>
  <c r="K14" i="3" s="1"/>
  <c r="N13" i="3"/>
  <c r="Q13" i="3" s="1"/>
  <c r="Q5" i="4" s="1"/>
  <c r="G14" i="3"/>
  <c r="I14" i="3" s="1"/>
  <c r="H14" i="3"/>
  <c r="J14" i="3" l="1"/>
  <c r="P14" i="3"/>
  <c r="R4" i="4" l="1"/>
  <c r="G4" i="4" s="1"/>
  <c r="C4" i="4"/>
  <c r="L14" i="3"/>
  <c r="E4" i="4" l="1"/>
  <c r="D4" i="4"/>
  <c r="F4" i="4" s="1"/>
  <c r="M14" i="3"/>
  <c r="O14" i="3"/>
  <c r="R14" i="3" s="1"/>
  <c r="N14" i="3"/>
  <c r="Q14" i="3" s="1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<sst xmlns="http://schemas.openxmlformats.org/spreadsheetml/2006/main" count="204" uniqueCount="181">
  <si>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</si>
  <si>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</si>
  <si>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</si>
  <si>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</si>
  <si>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</si>
  <si>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</si>
  <si>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</si>
  <si>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</si>
  <si>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</si>
  <si>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</si>
  <si>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</si>
  <si>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</si>
  <si>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</si>
  <si>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</si>
  <si>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</si>
  <si>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</si>
  <si>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</si>
  <si>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</si>
  <si>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</si>
  <si>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</si>
  <si>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</si>
  <si>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</si>
  <si>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</si>
  <si>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</si>
  <si>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</si>
  <si>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</si>
  <si>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</si>
  <si>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</si>
  <si>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</si>
  <si>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</si>
  <si>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</si>
  <si>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</si>
  <si>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</si>
  <si>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</si>
  <si>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</si>
  <si>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</si>
  <si>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</si>
  <si>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</si>
  <si>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</si>
  <si>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</si>
  <si>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</si>
  <si>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</si>
  <si>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</si>
  <si>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</si>
  <si>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</si>
  <si>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</si>
  <si>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</si>
  <si>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</si>
  <si>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</si>
  <si>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</si>
  <si>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</si>
  <si>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</si>
  <si>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</si>
  <si>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</si>
  <si>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</si>
  <si>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</si>
  <si>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</si>
  <si>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</si>
  <si>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</si>
  <si>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</si>
  <si>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</si>
  <si>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</si>
  <si>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</si>
  <si>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</si>
  <si>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</si>
  <si>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</si>
  <si>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</si>
  <si>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</si>
  <si>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</si>
  <si>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</si>
  <si>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</si>
  <si>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</si>
  <si>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</si>
  <si>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</si>
  <si>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</si>
  <si>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</si>
  <si>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</si>
  <si>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</si>
  <si>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</si>
  <si>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</si>
  <si>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</si>
  <si>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</si>
  <si>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</si>
  <si>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</si>
  <si>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</si>
  <si>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</si>
  <si>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</si>
  <si>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</si>
  <si>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</si>
  <si>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</si>
  <si>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</si>
  <si>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</si>
  <si>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</si>
  <si>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</si>
  <si>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</si>
  <si>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</si>
  <si>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</si>
  <si>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</si>
  <si>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</si>
  <si>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</si>
  <si>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</si>
  <si>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</si>
  <si>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</si>
  <si>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</si>
  <si>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</si>
  <si>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</si>
  <si>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</si>
  <si>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</si>
  <si>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</si>
  <si>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</si>
  <si>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</si>
  <si>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</si>
  <si>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</si>
  <si>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</si>
  <si>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</si>
  <si>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</si>
  <si>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</si>
  <si>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</si>
  <si>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</si>
  <si>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</si>
  <si>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</si>
  <si>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</si>
  <si>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</si>
  <si>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</si>
  <si>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</si>
  <si>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</si>
  <si>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</si>
  <si>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</si>
  <si>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</si>
  <si>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</si>
  <si>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</si>
  <si>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</si>
  <si>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</si>
  <si>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</si>
  <si>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</si>
  <si>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</si>
  <si>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</si>
  <si>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</si>
  <si>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</si>
  <si>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</si>
  <si>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</si>
  <si>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Low</t>
  </si>
  <si>
    <t>High</t>
  </si>
  <si>
    <t>Estimated total project cost</t>
  </si>
  <si>
    <t>Funding Gap Analysis</t>
  </si>
  <si>
    <t>Potential unfunded development gap</t>
  </si>
  <si>
    <t>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</si>
  <si>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</si>
  <si>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</si>
  <si>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</si>
  <si>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</si>
  <si>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</si>
  <si>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</si>
  <si>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</si>
  <si>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</si>
  <si>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</si>
  <si>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</si>
  <si>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</si>
  <si>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</si>
  <si>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</si>
  <si>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</si>
  <si>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</si>
  <si>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</si>
  <si>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</si>
  <si>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</si>
  <si>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</si>
  <si>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</si>
  <si>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</si>
  <si>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</si>
  <si>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</si>
  <si>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</si>
  <si>
    <t>Total Class A + Class B capitalization</t>
  </si>
  <si>
    <t>Completion capital</t>
  </si>
  <si>
    <t>Sponsor-Controlled Working Case</t>
  </si>
  <si>
    <t>Sponsor-controlled total package</t>
  </si>
  <si>
    <t>Outside-market benchmark total</t>
  </si>
  <si>
    <t>Outside-market benchmark note</t>
  </si>
  <si>
    <t>Not controlling case</t>
  </si>
  <si>
    <t>Stress benchmark</t>
  </si>
  <si>
    <t>Selected sponsor-controlled total project cost</t>
  </si>
  <si>
    <t>Class A + Class B capitalization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</si>
</sst>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  <xf numFmtId="3" fontId="2" fillId="0" borderId="0" xfId="0" applyNumberFormat="1" applyFont="1"/>
    <xf numFmtId="3" fontId="3" fillId="0" borderId="0" xfId="0" applyNumberFormat="1" applyFont="1"/>
    <xf numFmtId="3" fontId="1" fillId="2" borderId="1" xfId="0" applyNumberFormat="1" applyFont="1" applyFill="1" applyBorder="1"/>
    <xf numFmtId="1" fontId="0" fillId="0" borderId="0" xfId="0" applyNumberFormat="1"/>
    <xf numFmtId="3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30" sqref="B30"/>
    </sheetView>
  </sheetViews>
  <sheetFormatPr defaultRowHeight="15" x14ac:dyDescent="0.25"/>
  <cols>
    <col min="1" max="1" width="47" bestFit="1" customWidth="1"/>
    <col min="2" max="2" width="57" bestFit="1" customWidth="1"/>
    <col min="3" max="3" width="53.42578125" bestFit="1" customWidth="1"/>
  </cols>
  <sheetData>
    <row r="1" spans="1:3" ht="18.75" x14ac:dyDescent="0.3">
      <c r="A1" s="4" t="s">
        <v>0</v>
      </c>
      <c r="B1" s="2"/>
      <c r="C1" s="5" t="s">
        <v>1</v>
      </c>
    </row>
    <row r="2" spans="1:3" x14ac:dyDescent="0.25">
      <c r="A2" s="2"/>
      <c r="B2" s="2"/>
      <c r="C2" s="2"/>
    </row>
    <row r="3" spans="1:3" x14ac:dyDescent="0.25">
      <c r="A3" s="6" t="s">
        <v>2</v>
      </c>
      <c r="B3" s="2"/>
      <c r="C3" s="2"/>
    </row>
    <row r="4" spans="1:3" x14ac:dyDescent="0.25">
      <c r="A4" s="2" t="s">
        <v>3</v>
      </c>
      <c r="B4" s="7">
        <v>2</v>
      </c>
      <c r="C4" s="5" t="s">
        <v>4</v>
      </c>
    </row>
    <row r="5" spans="1:3" x14ac:dyDescent="0.25">
      <c r="A5" s="2" t="s">
        <v>5</v>
      </c>
      <c r="B5" s="7">
        <v>4</v>
      </c>
      <c r="C5" s="5" t="s">
        <v>6</v>
      </c>
    </row>
    <row r="6" spans="1:3" x14ac:dyDescent="0.25">
      <c r="A6" s="2"/>
      <c r="B6" s="2"/>
      <c r="C6" s="2"/>
    </row>
    <row r="7" spans="1:3" x14ac:dyDescent="0.25">
      <c r="A7" s="6" t="s">
        <v>7</v>
      </c>
      <c r="B7" s="2"/>
      <c r="C7" s="2"/>
    </row>
    <row r="8" spans="1:3" x14ac:dyDescent="0.25">
      <c r="A8" s="2" t="s">
        <v>8</v>
      </c>
      <c r="B8" s="7">
        <v>4</v>
      </c>
      <c r="C8" s="5" t="s">
        <v>9</v>
      </c>
    </row>
    <row r="9" spans="1:3" x14ac:dyDescent="0.25">
      <c r="A9" s="2" t="s">
        <v>10</v>
      </c>
      <c r="B9" s="2">
        <v>1600</v>
      </c>
      <c r="C9" s="5" t="s">
        <v>11</v>
      </c>
    </row>
    <row r="10" spans="1:3" x14ac:dyDescent="0.25">
      <c r="A10" s="2" t="s">
        <v>12</v>
      </c>
      <c r="B10" s="7">
        <v>4</v>
      </c>
      <c r="C10" s="5" t="s">
        <v>13</v>
      </c>
    </row>
    <row r="11" spans="1:3" x14ac:dyDescent="0.25">
      <c r="A11" s="2" t="s">
        <v>14</v>
      </c>
      <c r="B11" s="2">
        <v>1100</v>
      </c>
      <c r="C11" s="5" t="s">
        <v>11</v>
      </c>
    </row>
    <row r="12" spans="1:3" x14ac:dyDescent="0.25">
      <c r="A12" s="2" t="s">
        <v>15</v>
      </c>
      <c r="B12" s="2">
        <v>0</v>
      </c>
      <c r="C12" s="5" t="s">
        <v>16</v>
      </c>
    </row>
    <row r="13" spans="1:3" x14ac:dyDescent="0.25">
      <c r="A13" s="2" t="s">
        <v>17</v>
      </c>
      <c r="B13" s="1">
        <v>0.93</v>
      </c>
      <c r="C13" s="5" t="s">
        <v>18</v>
      </c>
    </row>
    <row r="14" spans="1:3" x14ac:dyDescent="0.25">
      <c r="A14" s="2" t="s">
        <v>19</v>
      </c>
      <c r="B14" s="1">
        <v>0.5</v>
      </c>
      <c r="C14" s="5" t="s">
        <v>20</v>
      </c>
    </row>
    <row r="15" spans="1:3" x14ac:dyDescent="0.25">
      <c r="A15" s="2" t="s">
        <v>21</v>
      </c>
      <c r="B15" s="1">
        <v>0.4</v>
      </c>
      <c r="C15" s="5" t="s">
        <v>22</v>
      </c>
    </row>
    <row r="16" spans="1:3" x14ac:dyDescent="0.25">
      <c r="A16" s="2" t="s">
        <v>23</v>
      </c>
      <c r="B16" s="1">
        <v>0.03</v>
      </c>
      <c r="C16" s="5" t="s">
        <v>24</v>
      </c>
    </row>
    <row r="17" spans="1:3" x14ac:dyDescent="0.25">
      <c r="A17" s="2" t="s">
        <v>25</v>
      </c>
      <c r="B17" s="2">
        <f>B8*B9+B10*B11+B12</f>
        <v>10800</v>
      </c>
      <c r="C17" s="5" t="s">
        <v>26</v>
      </c>
    </row>
    <row r="18" spans="1:3" x14ac:dyDescent="0.25">
      <c r="A18" s="2"/>
      <c r="B18" s="2"/>
      <c r="C18" s="2"/>
    </row>
    <row r="19" spans="1:3" x14ac:dyDescent="0.25">
      <c r="A19" s="6" t="s">
        <v>27</v>
      </c>
      <c r="B19" s="2"/>
      <c r="C19" s="2"/>
    </row>
    <row r="20" spans="1:3" x14ac:dyDescent="0.25">
      <c r="A20" s="2" t="s">
        <v>28</v>
      </c>
      <c r="B20" s="2">
        <f>MIN(INDEX('Annual Model'!$L$4:$L$14,MATCH($B$4,'Annual Model'!$A$4:$A$14,0))*70%,$B$28+$B$30)</f>
        <v>744863.0399999998</v>
      </c>
      <c r="C20" s="5" t="s">
        <v>29</v>
      </c>
    </row>
    <row r="21" spans="1:3" x14ac:dyDescent="0.25">
      <c r="A21" s="2" t="s">
        <v>30</v>
      </c>
      <c r="B21" s="2">
        <v>650000</v>
      </c>
      <c r="C21" s="5" t="s">
        <v>31</v>
      </c>
    </row>
    <row r="22" spans="1:3" x14ac:dyDescent="0.25">
      <c r="A22" s="2" t="s">
        <v>32</v>
      </c>
      <c r="B22" s="1">
        <v>6.5000000000000002E-2</v>
      </c>
      <c r="C22" s="5" t="s">
        <v>33</v>
      </c>
    </row>
    <row r="23" spans="1:3" x14ac:dyDescent="0.25">
      <c r="A23" s="2" t="s">
        <v>34</v>
      </c>
      <c r="B23" s="7">
        <v>30</v>
      </c>
      <c r="C23" s="5" t="s">
        <v>35</v>
      </c>
    </row>
    <row r="24" spans="1:3" x14ac:dyDescent="0.25">
      <c r="A24" s="2" t="s">
        <v>36</v>
      </c>
      <c r="B24" s="1">
        <v>7.0000000000000007E-2</v>
      </c>
      <c r="C24" s="5" t="s">
        <v>37</v>
      </c>
    </row>
    <row r="25" spans="1:3" x14ac:dyDescent="0.25">
      <c r="A25" s="2" t="s">
        <v>38</v>
      </c>
      <c r="B25" s="1">
        <v>0.02</v>
      </c>
      <c r="C25" s="5" t="s">
        <v>39</v>
      </c>
    </row>
    <row r="26" spans="1:3" x14ac:dyDescent="0.25">
      <c r="A26" s="2"/>
      <c r="B26" s="2"/>
      <c r="C26" s="2"/>
    </row>
    <row r="27" spans="1:3" x14ac:dyDescent="0.25">
      <c r="A27" s="6" t="s">
        <v>40</v>
      </c>
      <c r="B27" s="2"/>
      <c r="C27" s="2"/>
    </row>
    <row r="28" spans="1:3" x14ac:dyDescent="0.25">
      <c r="A28" s="2" t="s">
        <v>41</v>
      </c>
      <c r="B28" s="2">
        <v>300000</v>
      </c>
      <c r="C28" s="5" t="s">
        <v>42</v>
      </c>
    </row>
    <row r="29" spans="1:3" x14ac:dyDescent="0.25">
      <c r="A29" s="2" t="s">
        <v>43</v>
      </c>
      <c r="B29" s="1">
        <v>0.08</v>
      </c>
      <c r="C29" s="5" t="s">
        <v>44</v>
      </c>
    </row>
    <row r="30" spans="1:3" x14ac:dyDescent="0.25">
      <c r="A30" s="2" t="s">
        <v>45</v>
      </c>
      <c r="B30" s="2">
        <f>MAX(0,'Cost Analysis'!$C$17-$B$28)</f>
        <v>1000000</v>
      </c>
      <c r="C30" s="5" t="s">
        <v>46</v>
      </c>
    </row>
    <row r="31" spans="1:3" x14ac:dyDescent="0.25">
      <c r="A31" s="2" t="s">
        <v>47</v>
      </c>
      <c r="B31" s="7">
        <v>1</v>
      </c>
      <c r="C31" s="5" t="s">
        <v>48</v>
      </c>
    </row>
    <row r="32" spans="1:3" x14ac:dyDescent="0.25">
      <c r="A32" s="2" t="s">
        <v>49</v>
      </c>
      <c r="B32" s="1">
        <v>0.4</v>
      </c>
      <c r="C32" s="5" t="s">
        <v>50</v>
      </c>
    </row>
    <row r="33" spans="1:3" x14ac:dyDescent="0.25">
      <c r="A33" s="2" t="s">
        <v>51</v>
      </c>
      <c r="B33" s="1">
        <f>1-B32</f>
        <v>0.6</v>
      </c>
      <c r="C33" s="5" t="s">
        <v>52</v>
      </c>
    </row>
    <row r="34" spans="1:3" x14ac:dyDescent="0.25">
      <c r="A34" s="2" t="s">
        <v>53</v>
      </c>
      <c r="B34" s="2">
        <v>150000</v>
      </c>
      <c r="C34" s="5" t="s">
        <v>54</v>
      </c>
    </row>
    <row r="35" spans="1:3" x14ac:dyDescent="0.25">
      <c r="A35" s="2"/>
      <c r="B35" s="2"/>
      <c r="C35" s="2"/>
    </row>
    <row r="36" spans="1:3" x14ac:dyDescent="0.25">
      <c r="A36" s="2" t="s">
        <v>55</v>
      </c>
      <c r="B36" s="5" t="s">
        <v>56</v>
      </c>
      <c r="C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26.5703125" bestFit="1" customWidth="1"/>
    <col min="2" max="2" width="26"/>
    <col min="3" max="3" width="9.140625" bestFit="1" customWidth="1"/>
    <col min="4" max="4" width="8.85546875" bestFit="1" customWidth="1"/>
    <col min="5" max="5" width="9.85546875" bestFit="1" customWidth="1"/>
    <col min="6" max="6" width="6.5703125" bestFit="1" customWidth="1"/>
    <col min="7" max="7" width="7.42578125" bestFit="1" customWidth="1"/>
    <col min="8" max="9" width="9.140625" bestFit="1" customWidth="1"/>
    <col min="10" max="10" width="10" bestFit="1" customWidth="1"/>
    <col min="11" max="11" width="7.85546875" bestFit="1" customWidth="1"/>
    <col min="12" max="12" width="11.42578125" bestFit="1" customWidth="1"/>
  </cols>
  <sheetData>
    <row r="1" spans="1:12" ht="18.75" x14ac:dyDescent="0.3">
      <c r="A1" s="4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2">
        <v>0</v>
      </c>
      <c r="B4" s="2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2">
        <v>1</v>
      </c>
      <c r="B5" s="2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2">
        <v>2</v>
      </c>
      <c r="B6" s="2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2">
        <v>3</v>
      </c>
      <c r="B7" s="2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2">
        <v>4</v>
      </c>
      <c r="B8" s="2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2">
        <v>5</v>
      </c>
      <c r="B9" s="2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2">
        <v>6</v>
      </c>
      <c r="B10" s="2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2">
        <v>7</v>
      </c>
      <c r="B11" s="2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2">
        <v>8</v>
      </c>
      <c r="B12" s="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2">
        <v>9</v>
      </c>
      <c r="B13" s="2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2">
        <v>10</v>
      </c>
      <c r="B14" s="2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11.42578125" bestFit="1" customWidth="1"/>
    <col min="4" max="4" width="11.28515625" bestFit="1" customWidth="1"/>
    <col min="5" max="5" width="9" bestFit="1" customWidth="1"/>
    <col min="6" max="6" width="11.42578125" bestFit="1" customWidth="1"/>
    <col min="7" max="7" width="9.28515625" bestFit="1" customWidth="1"/>
    <col min="8" max="9" width="10.85546875" bestFit="1" customWidth="1"/>
    <col min="10" max="10" width="10.140625" bestFit="1" customWidth="1"/>
    <col min="11" max="11" width="11.28515625" bestFit="1" customWidth="1"/>
    <col min="12" max="12" width="9.28515625" bestFit="1" customWidth="1"/>
    <col min="13" max="13" width="9.140625" bestFit="1" customWidth="1"/>
    <col min="14" max="14" width="9.28515625" bestFit="1" customWidth="1"/>
    <col min="15" max="15" width="8.5703125" bestFit="1" customWidth="1"/>
    <col min="16" max="16" width="12" customWidth="1"/>
    <col min="17" max="17" width="10.28515625" bestFit="1" customWidth="1"/>
    <col min="18" max="18" width="8.140625" bestFit="1" customWidth="1"/>
  </cols>
  <sheetData>
    <row r="1" spans="1:18" ht="18.75" x14ac:dyDescent="0.3">
      <c r="A1" s="4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2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1000000</v>
      </c>
      <c r="L4" s="2">
        <f>IF(Assumptions!$B$31=1,MIN(J4,K4),0)</f>
        <v>0</v>
      </c>
      <c r="M4" s="2">
        <f t="shared" ref="M4:M14" si="5">K4-L4</f>
        <v>1000000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2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1000000</v>
      </c>
      <c r="L5" s="2">
        <f>IF(Assumptions!$B$31=1,MIN(J5,K5),0)</f>
        <v>0</v>
      </c>
      <c r="M5" s="2">
        <f t="shared" si="5"/>
        <v>1000000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2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1000000</v>
      </c>
      <c r="L6" s="2">
        <f>IF(Assumptions!$B$31=1,MIN(J6,K6),0)</f>
        <v>0</v>
      </c>
      <c r="M6" s="2">
        <f t="shared" si="5"/>
        <v>1000000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2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1000000</v>
      </c>
      <c r="L7" s="2">
        <f>IF(Assumptions!$B$31=1,MIN(J7,K7),0)</f>
        <v>0</v>
      </c>
      <c r="M7" s="2">
        <f t="shared" si="5"/>
        <v>1000000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2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1000000</v>
      </c>
      <c r="L8" s="2">
        <f>IF(Assumptions!$B$31=1,MIN(J8,K8),0)</f>
        <v>800815.35841304646</v>
      </c>
      <c r="M8" s="2">
        <f t="shared" si="5"/>
        <v>199184.64158695354</v>
      </c>
      <c r="N8" s="2">
        <f>MAX(0,J8-L8)*Assumptions!$B$32</f>
        <v>0</v>
      </c>
      <c r="O8" s="2">
        <f>MAX(0,J8-L8)*Assumptions!$B$33</f>
        <v>0</v>
      </c>
      <c r="P8" s="2">
        <f t="shared" si="6"/>
        <v>332919.50766490237</v>
      </c>
      <c r="Q8" s="2">
        <f t="shared" si="7"/>
        <v>800815.35841304646</v>
      </c>
      <c r="R8" s="2">
        <f t="shared" si="8"/>
        <v>0</v>
      </c>
    </row>
    <row r="9" spans="1:18" x14ac:dyDescent="0.25">
      <c r="A9" s="2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199184.64158695354</v>
      </c>
      <c r="L9" s="2">
        <f>IF(Assumptions!$B$31=1,MIN(J9,K9),0)</f>
        <v>79022.519913600001</v>
      </c>
      <c r="M9" s="2">
        <f t="shared" si="5"/>
        <v>120162.12167335354</v>
      </c>
      <c r="N9" s="2">
        <f>MAX(0,J9-L9)*Assumptions!$B$32</f>
        <v>0</v>
      </c>
      <c r="O9" s="2">
        <f>MAX(0,J9-L9)*Assumptions!$B$33</f>
        <v>0</v>
      </c>
      <c r="P9" s="2">
        <f t="shared" si="6"/>
        <v>0</v>
      </c>
      <c r="Q9" s="2">
        <f t="shared" si="7"/>
        <v>79022.519913600001</v>
      </c>
      <c r="R9" s="2">
        <f t="shared" si="8"/>
        <v>0</v>
      </c>
    </row>
    <row r="10" spans="1:18" x14ac:dyDescent="0.25">
      <c r="A10" s="2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120162.12167335354</v>
      </c>
      <c r="L10" s="2">
        <f>IF(Assumptions!$B$31=1,MIN(J10,K10),0)</f>
        <v>81393.195511008002</v>
      </c>
      <c r="M10" s="2">
        <f t="shared" si="5"/>
        <v>38768.926162345539</v>
      </c>
      <c r="N10" s="2">
        <f>MAX(0,J10-L10)*Assumptions!$B$32</f>
        <v>0</v>
      </c>
      <c r="O10" s="2">
        <f>MAX(0,J10-L10)*Assumptions!$B$33</f>
        <v>0</v>
      </c>
      <c r="P10" s="2">
        <f t="shared" si="6"/>
        <v>0</v>
      </c>
      <c r="Q10" s="2">
        <f t="shared" si="7"/>
        <v>81393.195511008002</v>
      </c>
      <c r="R10" s="2">
        <f t="shared" si="8"/>
        <v>0</v>
      </c>
    </row>
    <row r="11" spans="1:18" x14ac:dyDescent="0.25">
      <c r="A11" s="2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38768.926162345539</v>
      </c>
      <c r="L11" s="2">
        <f>IF(Assumptions!$B$31=1,MIN(J11,K11),0)</f>
        <v>38768.926162345539</v>
      </c>
      <c r="M11" s="2">
        <f t="shared" si="5"/>
        <v>0</v>
      </c>
      <c r="N11" s="2">
        <f>MAX(0,J11-L11)*Assumptions!$B$32</f>
        <v>18026.426085597079</v>
      </c>
      <c r="O11" s="2">
        <f>MAX(0,J11-L11)*Assumptions!$B$33</f>
        <v>27039.639128395618</v>
      </c>
      <c r="P11" s="2">
        <f t="shared" si="6"/>
        <v>0</v>
      </c>
      <c r="Q11" s="2">
        <f t="shared" si="7"/>
        <v>56795.352247942617</v>
      </c>
      <c r="R11" s="2">
        <f t="shared" si="8"/>
        <v>27039.639128395618</v>
      </c>
    </row>
    <row r="12" spans="1:18" x14ac:dyDescent="0.25">
      <c r="A12" s="2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0</v>
      </c>
      <c r="L12" s="2">
        <f>IF(Assumptions!$B$31=1,MIN(J12,K12),0)</f>
        <v>0</v>
      </c>
      <c r="M12" s="2">
        <f t="shared" si="5"/>
        <v>0</v>
      </c>
      <c r="N12" s="2">
        <f>MAX(0,J12-L12)*Assumptions!$B$32</f>
        <v>34540.016447051363</v>
      </c>
      <c r="O12" s="2">
        <f>MAX(0,J12-L12)*Assumptions!$B$33</f>
        <v>51810.024670577033</v>
      </c>
      <c r="P12" s="2">
        <f t="shared" si="6"/>
        <v>0</v>
      </c>
      <c r="Q12" s="2">
        <f t="shared" si="7"/>
        <v>34540.016447051363</v>
      </c>
      <c r="R12" s="2">
        <f t="shared" si="8"/>
        <v>51810.024670577033</v>
      </c>
    </row>
    <row r="13" spans="1:18" x14ac:dyDescent="0.25">
      <c r="A13" s="2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0</v>
      </c>
      <c r="L13" s="2">
        <f>IF(Assumptions!$B$31=1,MIN(J13,K13),0)</f>
        <v>0</v>
      </c>
      <c r="M13" s="2">
        <f t="shared" si="5"/>
        <v>0</v>
      </c>
      <c r="N13" s="2">
        <f>MAX(0,J13-L13)*Assumptions!$B$32</f>
        <v>35576.216940462902</v>
      </c>
      <c r="O13" s="2">
        <f>MAX(0,J13-L13)*Assumptions!$B$33</f>
        <v>53364.325410694342</v>
      </c>
      <c r="P13" s="2">
        <f t="shared" si="6"/>
        <v>0</v>
      </c>
      <c r="Q13" s="2">
        <f t="shared" si="7"/>
        <v>35576.216940462902</v>
      </c>
      <c r="R13" s="2">
        <f t="shared" si="8"/>
        <v>53364.325410694342</v>
      </c>
    </row>
    <row r="14" spans="1:18" x14ac:dyDescent="0.25">
      <c r="A14" s="2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activeCell="A3" sqref="A3:XFD3"/>
    </sheetView>
  </sheetViews>
  <sheetFormatPr defaultRowHeight="15" x14ac:dyDescent="0.25"/>
  <cols>
    <col min="1" max="1" width="42.85546875" bestFit="1" customWidth="1"/>
    <col min="2" max="2" width="151.140625" bestFit="1" customWidth="1"/>
    <col min="3" max="3" width="12.42578125" customWidth="1"/>
    <col min="4" max="4" width="9.7109375" bestFit="1" customWidth="1"/>
    <col min="5" max="5" width="8.7109375" bestFit="1" customWidth="1"/>
    <col min="6" max="6" width="6.140625" bestFit="1" customWidth="1"/>
    <col min="7" max="7" width="3.85546875" bestFit="1" customWidth="1"/>
    <col min="8" max="8" width="9.85546875" bestFit="1" customWidth="1"/>
    <col min="9" max="11" width="6.5703125" bestFit="1" customWidth="1"/>
    <col min="12" max="12" width="7.5703125" bestFit="1" customWidth="1"/>
    <col min="13" max="17" width="6.5703125" bestFit="1" customWidth="1"/>
    <col min="18" max="18" width="7.28515625" bestFit="1" customWidth="1"/>
  </cols>
  <sheetData>
    <row r="1" spans="1:18" ht="18.75" x14ac:dyDescent="0.3">
      <c r="A1" s="4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30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18" x14ac:dyDescent="0.25">
      <c r="A4" s="2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2">
        <f>C4/B4</f>
        <v>1.4</v>
      </c>
      <c r="F4" s="2">
        <f>D4/B4</f>
        <v>0.4</v>
      </c>
      <c r="G4" s="2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18" x14ac:dyDescent="0.25">
      <c r="A5" s="2" t="s">
        <v>113</v>
      </c>
      <c r="B5" s="2">
        <f>Assumptions!$B$30</f>
        <v>1000000</v>
      </c>
      <c r="C5" s="2">
        <f>SUM(Waterfall!Q4:Q14)</f>
        <v>1124786.1629217882</v>
      </c>
      <c r="D5" s="2">
        <f>C5-B5</f>
        <v>124786.16292178817</v>
      </c>
      <c r="E5" s="2">
        <f>IFERROR(C5/B5,0)</f>
        <v>1.1247861629217881</v>
      </c>
      <c r="F5" s="2">
        <f>IFERROR(D5/B5,0)</f>
        <v>0.12478616292178817</v>
      </c>
      <c r="G5" s="2">
        <f>IFERROR(IRR(H5:R5),0)</f>
        <v>2.4736242326192759E-2</v>
      </c>
      <c r="H5" s="2">
        <f>-B5</f>
        <v>-1000000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800815.35841304646</v>
      </c>
      <c r="M5" s="2">
        <f>Waterfall!Q9</f>
        <v>79022.519913600001</v>
      </c>
      <c r="N5" s="2">
        <f>Waterfall!Q10</f>
        <v>81393.195511008002</v>
      </c>
      <c r="O5" s="2">
        <f>Waterfall!Q11</f>
        <v>56795.352247942617</v>
      </c>
      <c r="P5" s="2">
        <f>Waterfall!Q12</f>
        <v>34540.016447051363</v>
      </c>
      <c r="Q5" s="2">
        <f>Waterfall!Q13</f>
        <v>35576.216940462902</v>
      </c>
      <c r="R5" s="2">
        <f>Waterfall!Q14</f>
        <v>36643.503448676776</v>
      </c>
    </row>
    <row r="6" spans="1:18" x14ac:dyDescent="0.25">
      <c r="A6" s="2" t="s">
        <v>114</v>
      </c>
      <c r="B6" s="2">
        <f>Assumptions!$B$34</f>
        <v>150000</v>
      </c>
      <c r="C6" s="2">
        <f>SUM(Waterfall!R4:R14)</f>
        <v>187179.24438268214</v>
      </c>
      <c r="D6" s="2">
        <f>C6-B6</f>
        <v>37179.24438268214</v>
      </c>
      <c r="E6" s="2">
        <f>IFERROR(C6/B6,0)</f>
        <v>1.247861629217881</v>
      </c>
      <c r="F6" s="2">
        <f>IFERROR(D6/B6,0)</f>
        <v>0.24786162921788094</v>
      </c>
      <c r="G6" s="2">
        <f>IFERROR(IRR(H6:R6),0)</f>
        <v>2.5735808643473357E-2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0</v>
      </c>
      <c r="M6" s="2">
        <f>Waterfall!R9</f>
        <v>0</v>
      </c>
      <c r="N6" s="2">
        <f>Waterfall!R10</f>
        <v>0</v>
      </c>
      <c r="O6" s="2">
        <f>Waterfall!R11</f>
        <v>27039.639128395618</v>
      </c>
      <c r="P6" s="2">
        <f>Waterfall!R12</f>
        <v>51810.024670577033</v>
      </c>
      <c r="Q6" s="2">
        <f>Waterfall!R13</f>
        <v>53364.325410694342</v>
      </c>
      <c r="R6" s="2">
        <f>Waterfall!R14</f>
        <v>54965.255173015154</v>
      </c>
    </row>
    <row r="7" spans="1:1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6" t="s">
        <v>115</v>
      </c>
      <c r="B9" s="5" t="s">
        <v>116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4" t="s">
        <v>117</v>
      </c>
      <c r="B1" s="2"/>
    </row>
    <row r="2" spans="1:2" x14ac:dyDescent="0.25">
      <c r="A2" s="2"/>
      <c r="B2" s="2"/>
    </row>
    <row r="3" spans="1:2" x14ac:dyDescent="0.25">
      <c r="A3" s="6" t="s">
        <v>118</v>
      </c>
      <c r="B3" s="2" t="s">
        <v>119</v>
      </c>
    </row>
    <row r="4" spans="1:2" x14ac:dyDescent="0.25">
      <c r="A4" s="6" t="s">
        <v>120</v>
      </c>
      <c r="B4" s="2" t="s">
        <v>121</v>
      </c>
    </row>
    <row r="5" spans="1:2" x14ac:dyDescent="0.25">
      <c r="A5" s="6" t="s">
        <v>112</v>
      </c>
      <c r="B5" s="2" t="s">
        <v>122</v>
      </c>
    </row>
    <row r="6" spans="1:2" x14ac:dyDescent="0.25">
      <c r="A6" s="6" t="s">
        <v>113</v>
      </c>
      <c r="B6" s="2" t="s">
        <v>123</v>
      </c>
    </row>
    <row r="7" spans="1:2" x14ac:dyDescent="0.25">
      <c r="A7" s="6" t="s">
        <v>114</v>
      </c>
      <c r="B7" s="2" t="s">
        <v>124</v>
      </c>
    </row>
    <row r="8" spans="1:2" x14ac:dyDescent="0.25">
      <c r="A8" s="6" t="s">
        <v>125</v>
      </c>
      <c r="B8" s="2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tabSelected="1" workbookViewId="0">
      <selection activeCell="B32" sqref="B32"/>
    </sheetView>
  </sheetViews>
  <sheetFormatPr defaultRowHeight="15" x14ac:dyDescent="0.25"/>
  <cols>
    <col min="1" max="1" width="54.28515625" bestFit="1" customWidth="1"/>
    <col min="2" max="2" width="26" customWidth="1"/>
    <col min="3" max="3" width="18.85546875" bestFit="1" customWidth="1"/>
  </cols>
  <sheetData>
    <row r="1" spans="1:3" x14ac:dyDescent="0.25">
      <c r="A1" s="2" t="s">
        <v>127</v>
      </c>
      <c r="B1" s="2"/>
      <c r="C1" s="2"/>
    </row>
    <row r="2" spans="1:3" x14ac:dyDescent="0.25">
      <c r="A2" s="2" t="s">
        <v>128</v>
      </c>
      <c r="B2" s="2" t="s">
        <v>129</v>
      </c>
      <c r="C2" s="2"/>
    </row>
    <row r="3" spans="1:3" x14ac:dyDescent="0.25">
      <c r="A3" s="2" t="s">
        <v>130</v>
      </c>
      <c r="B3" s="2" t="s">
        <v>131</v>
      </c>
      <c r="C3" s="2"/>
    </row>
    <row r="4" spans="1:3" x14ac:dyDescent="0.25">
      <c r="A4" s="2"/>
      <c r="B4" s="2"/>
      <c r="C4" s="2"/>
    </row>
    <row r="5" spans="1:3" x14ac:dyDescent="0.25">
      <c r="A5" s="2" t="s">
        <v>132</v>
      </c>
      <c r="B5" s="2" t="s">
        <v>133</v>
      </c>
      <c r="C5" s="2" t="s">
        <v>134</v>
      </c>
    </row>
    <row r="6" spans="1:3" x14ac:dyDescent="0.25">
      <c r="A6" s="2" t="s">
        <v>135</v>
      </c>
      <c r="B6" s="2">
        <f>Assumptions!$B$20</f>
        <v>744863.0399999998</v>
      </c>
      <c r="C6" s="2" t="s">
        <v>136</v>
      </c>
    </row>
    <row r="7" spans="1:3" x14ac:dyDescent="0.25">
      <c r="A7" s="2" t="s">
        <v>137</v>
      </c>
      <c r="B7" s="2">
        <f>Assumptions!$B$21</f>
        <v>650000</v>
      </c>
      <c r="C7" s="2" t="s">
        <v>136</v>
      </c>
    </row>
    <row r="8" spans="1:3" x14ac:dyDescent="0.25">
      <c r="A8" s="2" t="s">
        <v>138</v>
      </c>
      <c r="B8" s="2">
        <f>Assumptions!$B$28</f>
        <v>300000</v>
      </c>
      <c r="C8" s="2" t="s">
        <v>136</v>
      </c>
    </row>
    <row r="9" spans="1:3" x14ac:dyDescent="0.25">
      <c r="A9" s="2" t="s">
        <v>139</v>
      </c>
      <c r="B9" s="2">
        <f>Assumptions!$B$30</f>
        <v>1000000</v>
      </c>
      <c r="C9" s="2" t="s">
        <v>136</v>
      </c>
    </row>
    <row r="10" spans="1:3" x14ac:dyDescent="0.25">
      <c r="A10" s="2" t="s">
        <v>140</v>
      </c>
      <c r="B10" s="2">
        <f>Assumptions!$B$34</f>
        <v>150000</v>
      </c>
      <c r="C10" s="2" t="s">
        <v>136</v>
      </c>
    </row>
    <row r="11" spans="1:3" x14ac:dyDescent="0.25">
      <c r="A11" s="2" t="s">
        <v>171</v>
      </c>
      <c r="B11" s="2">
        <f>B8+B9</f>
        <v>1300000</v>
      </c>
      <c r="C11" s="2" t="s">
        <v>172</v>
      </c>
    </row>
    <row r="12" spans="1:3" x14ac:dyDescent="0.25">
      <c r="A12" s="2"/>
      <c r="B12" s="2"/>
      <c r="C12" s="2"/>
    </row>
    <row r="13" spans="1:3" x14ac:dyDescent="0.25">
      <c r="A13" s="2" t="s">
        <v>173</v>
      </c>
      <c r="B13" s="2" t="s">
        <v>141</v>
      </c>
      <c r="C13" s="2" t="s">
        <v>142</v>
      </c>
    </row>
    <row r="14" spans="1:3" x14ac:dyDescent="0.25">
      <c r="A14" s="2" t="s">
        <v>174</v>
      </c>
      <c r="B14" s="2">
        <v>700000</v>
      </c>
      <c r="C14" s="2">
        <v>1300000</v>
      </c>
    </row>
    <row r="15" spans="1:3" x14ac:dyDescent="0.25">
      <c r="A15" s="2" t="s">
        <v>175</v>
      </c>
      <c r="B15" s="2">
        <v>1880000</v>
      </c>
      <c r="C15" s="2">
        <v>4160000</v>
      </c>
    </row>
    <row r="16" spans="1:3" x14ac:dyDescent="0.25">
      <c r="A16" s="2" t="s">
        <v>176</v>
      </c>
      <c r="B16" s="2" t="s">
        <v>177</v>
      </c>
      <c r="C16" s="2" t="s">
        <v>178</v>
      </c>
    </row>
    <row r="17" spans="1:3" x14ac:dyDescent="0.25">
      <c r="A17" s="2" t="s">
        <v>179</v>
      </c>
      <c r="B17" s="2">
        <f>B14</f>
        <v>700000</v>
      </c>
      <c r="C17" s="2">
        <f>C14</f>
        <v>1300000</v>
      </c>
    </row>
    <row r="18" spans="1:3" x14ac:dyDescent="0.25">
      <c r="A18" s="2"/>
      <c r="B18" s="2"/>
      <c r="C18" s="2"/>
    </row>
    <row r="19" spans="1:3" x14ac:dyDescent="0.25">
      <c r="A19" s="2" t="s">
        <v>144</v>
      </c>
      <c r="B19" s="2" t="s">
        <v>141</v>
      </c>
      <c r="C19" s="2" t="s">
        <v>142</v>
      </c>
    </row>
    <row r="20" spans="1:3" x14ac:dyDescent="0.25">
      <c r="A20" s="2" t="s">
        <v>143</v>
      </c>
      <c r="B20" s="2">
        <f>B17</f>
        <v>700000</v>
      </c>
      <c r="C20" s="2">
        <f>C17</f>
        <v>1300000</v>
      </c>
    </row>
    <row r="21" spans="1:3" x14ac:dyDescent="0.25">
      <c r="A21" s="2" t="s">
        <v>180</v>
      </c>
      <c r="B21" s="2">
        <f>B11</f>
        <v>1300000</v>
      </c>
      <c r="C21" s="2">
        <f>B11</f>
        <v>1300000</v>
      </c>
    </row>
    <row r="22" spans="1:3" x14ac:dyDescent="0.25">
      <c r="A22" s="2" t="s">
        <v>145</v>
      </c>
      <c r="B22" s="2">
        <f>MAX(0,B20-B21)</f>
        <v>0</v>
      </c>
      <c r="C22" s="2">
        <f>MAX(0,C20-C21)</f>
        <v>0</v>
      </c>
    </row>
    <row r="23" spans="1:3" x14ac:dyDescent="0.25">
      <c r="A23" s="2"/>
      <c r="B23" s="2"/>
      <c r="C23" s="2"/>
    </row>
    <row r="24" spans="1:3" x14ac:dyDescent="0.25">
      <c r="A24" s="2" t="s">
        <v>146</v>
      </c>
      <c r="B24" s="2" t="s">
        <v>141</v>
      </c>
      <c r="C24" s="2" t="s">
        <v>142</v>
      </c>
    </row>
    <row r="25" spans="1:3" x14ac:dyDescent="0.25">
      <c r="A25" s="2" t="s">
        <v>147</v>
      </c>
      <c r="B25" s="2">
        <v>35000</v>
      </c>
      <c r="C25" s="2">
        <v>90000</v>
      </c>
    </row>
    <row r="26" spans="1:3" x14ac:dyDescent="0.25">
      <c r="A26" s="2" t="s">
        <v>148</v>
      </c>
      <c r="B26" s="2">
        <v>20000</v>
      </c>
      <c r="C26" s="2">
        <v>60000</v>
      </c>
    </row>
    <row r="27" spans="1:3" x14ac:dyDescent="0.25">
      <c r="A27" s="2" t="s">
        <v>149</v>
      </c>
      <c r="B27" s="2">
        <v>20000</v>
      </c>
      <c r="C27" s="2">
        <v>90000</v>
      </c>
    </row>
    <row r="28" spans="1:3" x14ac:dyDescent="0.25">
      <c r="A28" s="2" t="s">
        <v>150</v>
      </c>
      <c r="B28" s="2">
        <v>10000</v>
      </c>
      <c r="C28" s="2">
        <v>30000</v>
      </c>
    </row>
    <row r="29" spans="1:3" x14ac:dyDescent="0.25">
      <c r="A29" s="2" t="s">
        <v>151</v>
      </c>
      <c r="B29" s="2">
        <v>15000</v>
      </c>
      <c r="C29" s="2">
        <v>50000</v>
      </c>
    </row>
    <row r="30" spans="1:3" x14ac:dyDescent="0.25">
      <c r="A30" s="2" t="s">
        <v>152</v>
      </c>
      <c r="B30" s="2">
        <v>15000</v>
      </c>
      <c r="C30" s="2">
        <v>40000</v>
      </c>
    </row>
    <row r="31" spans="1:3" x14ac:dyDescent="0.25">
      <c r="A31" s="2" t="s">
        <v>153</v>
      </c>
      <c r="B31" s="2">
        <v>15000</v>
      </c>
      <c r="C31" s="2">
        <v>45000</v>
      </c>
    </row>
    <row r="32" spans="1:3" x14ac:dyDescent="0.25">
      <c r="A32" s="2" t="s">
        <v>154</v>
      </c>
      <c r="B32" s="2">
        <f>SUM(B25:B31)</f>
        <v>130000</v>
      </c>
      <c r="C32" s="2">
        <f>SUM(C25:C31)</f>
        <v>405000</v>
      </c>
    </row>
    <row r="33" spans="1:3" x14ac:dyDescent="0.25">
      <c r="A33" s="2"/>
      <c r="B33" s="2"/>
      <c r="C33" s="2"/>
    </row>
    <row r="34" spans="1:3" x14ac:dyDescent="0.25">
      <c r="A34" s="2" t="s">
        <v>155</v>
      </c>
      <c r="B34" s="2" t="s">
        <v>141</v>
      </c>
      <c r="C34" s="2" t="s">
        <v>142</v>
      </c>
    </row>
    <row r="35" spans="1:3" x14ac:dyDescent="0.25">
      <c r="A35" s="2" t="s">
        <v>156</v>
      </c>
      <c r="B35" s="2">
        <v>50000</v>
      </c>
      <c r="C35" s="2">
        <v>150000</v>
      </c>
    </row>
    <row r="36" spans="1:3" x14ac:dyDescent="0.25">
      <c r="A36" s="2" t="s">
        <v>157</v>
      </c>
      <c r="B36" s="2">
        <v>40000</v>
      </c>
      <c r="C36" s="2">
        <v>120000</v>
      </c>
    </row>
    <row r="37" spans="1:3" x14ac:dyDescent="0.25">
      <c r="A37" s="2" t="s">
        <v>158</v>
      </c>
      <c r="B37" s="2">
        <v>25000</v>
      </c>
      <c r="C37" s="2">
        <v>75000</v>
      </c>
    </row>
    <row r="38" spans="1:3" x14ac:dyDescent="0.25">
      <c r="A38" s="2" t="s">
        <v>159</v>
      </c>
      <c r="B38" s="2">
        <v>10000</v>
      </c>
      <c r="C38" s="2">
        <v>30000</v>
      </c>
    </row>
    <row r="39" spans="1:3" x14ac:dyDescent="0.25">
      <c r="A39" s="2" t="s">
        <v>160</v>
      </c>
      <c r="B39" s="2">
        <v>20000</v>
      </c>
      <c r="C39" s="2">
        <v>60000</v>
      </c>
    </row>
    <row r="40" spans="1:3" x14ac:dyDescent="0.25">
      <c r="A40" s="2" t="s">
        <v>161</v>
      </c>
      <c r="B40" s="2">
        <v>40000</v>
      </c>
      <c r="C40" s="2">
        <v>125000</v>
      </c>
    </row>
    <row r="41" spans="1:3" x14ac:dyDescent="0.25">
      <c r="A41" s="2" t="s">
        <v>162</v>
      </c>
      <c r="B41" s="2">
        <f>SUM(B35:B40)</f>
        <v>185000</v>
      </c>
      <c r="C41" s="2">
        <f>SUM(C35:C40)</f>
        <v>560000</v>
      </c>
    </row>
    <row r="42" spans="1:3" x14ac:dyDescent="0.25">
      <c r="A42" s="2"/>
      <c r="B42" s="2"/>
      <c r="C42" s="2"/>
    </row>
    <row r="43" spans="1:3" x14ac:dyDescent="0.25">
      <c r="A43" s="2" t="s">
        <v>163</v>
      </c>
      <c r="B43" s="2" t="s">
        <v>141</v>
      </c>
      <c r="C43" s="2" t="s">
        <v>142</v>
      </c>
    </row>
    <row r="44" spans="1:3" x14ac:dyDescent="0.25">
      <c r="A44" s="2" t="s">
        <v>164</v>
      </c>
      <c r="B44" s="2">
        <v>1125000</v>
      </c>
      <c r="C44" s="2">
        <v>1950000</v>
      </c>
    </row>
    <row r="45" spans="1:3" x14ac:dyDescent="0.25">
      <c r="A45" s="2" t="s">
        <v>165</v>
      </c>
      <c r="B45" s="2">
        <v>125000</v>
      </c>
      <c r="C45" s="2">
        <v>350000</v>
      </c>
    </row>
    <row r="46" spans="1:3" x14ac:dyDescent="0.25">
      <c r="A46" s="2" t="s">
        <v>166</v>
      </c>
      <c r="B46" s="2">
        <v>35000</v>
      </c>
      <c r="C46" s="2">
        <v>125000</v>
      </c>
    </row>
    <row r="47" spans="1:3" x14ac:dyDescent="0.25">
      <c r="A47" s="2" t="s">
        <v>167</v>
      </c>
      <c r="B47" s="2">
        <v>75000</v>
      </c>
      <c r="C47" s="2">
        <v>300000</v>
      </c>
    </row>
    <row r="48" spans="1:3" x14ac:dyDescent="0.25">
      <c r="A48" s="2" t="s">
        <v>168</v>
      </c>
      <c r="B48" s="2">
        <v>60000</v>
      </c>
      <c r="C48" s="2">
        <v>180000</v>
      </c>
    </row>
    <row r="49" spans="1:3" x14ac:dyDescent="0.25">
      <c r="A49" s="2" t="s">
        <v>169</v>
      </c>
      <c r="B49" s="2">
        <v>145000</v>
      </c>
      <c r="C49" s="2">
        <v>290000</v>
      </c>
    </row>
    <row r="50" spans="1:3" x14ac:dyDescent="0.25">
      <c r="A50" s="2" t="s">
        <v>170</v>
      </c>
      <c r="B50" s="2">
        <f>SUM(B44:B49)</f>
        <v>1565000</v>
      </c>
      <c r="C50" s="2">
        <f>SUM(C44:C49)</f>
        <v>3195000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Annual Model</vt:lpstr>
      <vt:lpstr>Waterfall</vt:lpstr>
      <vt:lpstr>Returns</vt:lpstr>
      <vt:lpstr>Notes</vt:lpstr>
      <vt:lpstr>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2026-05-11T19:10:43Z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