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110" documentId="13_ncr:1_{0C20EBD6-E2BD-404C-B47C-BDA54182D35E}" xr6:coauthVersionLast="47" xr6:coauthVersionMax="47" xr10:uidLastSave="{A8848D75-869A-4320-B99E-58473707D6DD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Analysis'!$G$17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Analysis'!$H$16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19" i="3"/>
  <c r="H19" i="3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7" i="6"/>
  <c r="C25" i="6"/>
  <c r="C33" i="6" s="1"/>
  <c r="C14" i="6" s="1"/>
  <c r="B25" i="6"/>
  <c r="B33" i="6" s="1"/>
  <c r="B14" i="6" s="1"/>
  <c r="B17" i="6" s="1"/>
  <c r="G17" i="6" s="1"/>
  <c r="B35" i="6" s="1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C16" i="6"/>
  <c r="B16" i="6"/>
  <c r="D15" i="6"/>
  <c r="D14" i="6"/>
  <c r="C13" i="6"/>
  <c r="B13" i="6"/>
  <c r="D4" i="2"/>
  <c r="C4" i="2"/>
  <c r="B17" i="1"/>
  <c r="C12" i="2" s="1"/>
  <c r="D12" i="2" s="1"/>
  <c r="C65" i="6"/>
  <c r="B65" i="6"/>
  <c r="C56" i="6"/>
  <c r="B56" i="6"/>
  <c r="C47" i="6"/>
  <c r="B47" i="6"/>
  <c r="S4" i="3" l="1"/>
  <c r="H21" i="3" s="1"/>
  <c r="P4" i="3"/>
  <c r="K4" i="3"/>
  <c r="I4" i="3"/>
  <c r="H4" i="3"/>
  <c r="B41" i="1"/>
  <c r="B28" i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K4" i="2" l="1"/>
  <c r="L4" i="3"/>
  <c r="N4" i="3" s="1"/>
  <c r="B20" i="3"/>
  <c r="H20" i="3" s="1"/>
  <c r="B6" i="7"/>
  <c r="B7" i="7" s="1"/>
  <c r="B15" i="1" s="1"/>
  <c r="D10" i="2"/>
  <c r="D13" i="2"/>
  <c r="D9" i="2"/>
  <c r="D11" i="2"/>
  <c r="D5" i="2"/>
  <c r="B36" i="6" l="1"/>
  <c r="B37" i="6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B5" i="4" l="1"/>
  <c r="H5" i="4" s="1"/>
  <c r="I14" i="2"/>
  <c r="H4" i="2"/>
  <c r="B30" i="1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B32" i="1"/>
  <c r="B31" i="1"/>
  <c r="B4" i="3" l="1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I21" i="3" s="1"/>
  <c r="N5" i="3"/>
  <c r="L6" i="3" s="1"/>
  <c r="O5" i="3"/>
  <c r="P5" i="3" s="1"/>
  <c r="I20" i="3" s="1"/>
  <c r="J5" i="3"/>
  <c r="I5" i="3"/>
  <c r="F6" i="3" s="1"/>
  <c r="I5" i="4" l="1"/>
  <c r="I6" i="4"/>
  <c r="K5" i="3"/>
  <c r="D6" i="3"/>
  <c r="I19" i="3" l="1"/>
  <c r="K5" i="2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I6" i="3"/>
  <c r="F7" i="3" s="1"/>
  <c r="D7" i="3" s="1"/>
  <c r="J21" i="3" l="1"/>
  <c r="J6" i="4"/>
  <c r="N6" i="3"/>
  <c r="L7" i="3" s="1"/>
  <c r="O6" i="3"/>
  <c r="P6" i="3" s="1"/>
  <c r="J6" i="3"/>
  <c r="K6" i="3" s="1"/>
  <c r="J19" i="3" l="1"/>
  <c r="K6" i="2"/>
  <c r="J20" i="3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s="1"/>
  <c r="O7" i="3" l="1"/>
  <c r="P7" i="3" s="1"/>
  <c r="K5" i="4" s="1"/>
  <c r="N7" i="3"/>
  <c r="L8" i="3" s="1"/>
  <c r="J7" i="3"/>
  <c r="K7" i="3" s="1"/>
  <c r="K19" i="3" s="1"/>
  <c r="K21" i="3"/>
  <c r="K20" i="3" l="1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O8" i="3" l="1"/>
  <c r="P8" i="3" s="1"/>
  <c r="L20" i="3" s="1"/>
  <c r="J8" i="3"/>
  <c r="K8" i="3" s="1"/>
  <c r="L4" i="4" s="1"/>
  <c r="N8" i="3"/>
  <c r="L9" i="3" s="1"/>
  <c r="L21" i="3"/>
  <c r="L6" i="4"/>
  <c r="K8" i="2" l="1"/>
  <c r="L8" i="2" s="1"/>
  <c r="J9" i="2" s="1"/>
  <c r="B9" i="3" s="1"/>
  <c r="E9" i="3" s="1"/>
  <c r="H9" i="3" s="1"/>
  <c r="C10" i="3" s="1"/>
  <c r="L5" i="4"/>
  <c r="L19" i="3"/>
  <c r="G9" i="3" l="1"/>
  <c r="I9" i="3" s="1"/>
  <c r="F10" i="3" s="1"/>
  <c r="D10" i="3" s="1"/>
  <c r="M9" i="3" l="1"/>
  <c r="N9" i="3" s="1"/>
  <c r="L10" i="3" s="1"/>
  <c r="R9" i="3" l="1"/>
  <c r="S9" i="3" s="1"/>
  <c r="M21" i="3" s="1"/>
  <c r="J9" i="3"/>
  <c r="K9" i="3" s="1"/>
  <c r="O9" i="3"/>
  <c r="P9" i="3" s="1"/>
  <c r="M20" i="3" s="1"/>
  <c r="M5" i="4" l="1"/>
  <c r="M19" i="3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N19" i="3" s="1"/>
  <c r="R10" i="3"/>
  <c r="S10" i="3" s="1"/>
  <c r="N21" i="3" s="1"/>
  <c r="O10" i="3"/>
  <c r="P10" i="3" s="1"/>
  <c r="N4" i="4" l="1"/>
  <c r="K10" i="2"/>
  <c r="N6" i="4"/>
  <c r="N5" i="4"/>
  <c r="N20" i="3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O20" i="3" s="1"/>
  <c r="R11" i="3"/>
  <c r="S11" i="3" s="1"/>
  <c r="J11" i="3"/>
  <c r="K11" i="3" s="1"/>
  <c r="K11" i="2" l="1"/>
  <c r="L11" i="2" s="1"/>
  <c r="J12" i="2" s="1"/>
  <c r="O5" i="4"/>
  <c r="O19" i="3"/>
  <c r="O4" i="4"/>
  <c r="O21" i="3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O12" i="3"/>
  <c r="P12" i="3" s="1"/>
  <c r="P20" i="3" s="1"/>
  <c r="R12" i="3"/>
  <c r="S12" i="3" s="1"/>
  <c r="P21" i="3" s="1"/>
  <c r="K12" i="2" l="1"/>
  <c r="P19" i="3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J13" i="3"/>
  <c r="K13" i="3" s="1"/>
  <c r="O13" i="3"/>
  <c r="P13" i="3" s="1"/>
  <c r="N13" i="3"/>
  <c r="L14" i="3" s="1"/>
  <c r="Q4" i="4" l="1"/>
  <c r="K13" i="2"/>
  <c r="Q19" i="3"/>
  <c r="Q5" i="4"/>
  <c r="Q20" i="3"/>
  <c r="Q21" i="3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O14" i="3"/>
  <c r="P14" i="3" s="1"/>
  <c r="C20" i="3" s="1"/>
  <c r="R14" i="3"/>
  <c r="S14" i="3" s="1"/>
  <c r="C6" i="4" s="1"/>
  <c r="R21" i="3"/>
  <c r="S21" i="3" s="1"/>
  <c r="K14" i="2" l="1"/>
  <c r="L14" i="2" s="1"/>
  <c r="C4" i="4"/>
  <c r="E4" i="4" s="1"/>
  <c r="R19" i="3"/>
  <c r="S19" i="3" s="1"/>
  <c r="C19" i="3"/>
  <c r="E19" i="3" s="1"/>
  <c r="R4" i="4"/>
  <c r="G4" i="4" s="1"/>
  <c r="R5" i="4"/>
  <c r="G5" i="4" s="1"/>
  <c r="C5" i="4"/>
  <c r="E5" i="4" s="1"/>
  <c r="R20" i="3"/>
  <c r="S20" i="3" s="1"/>
  <c r="R6" i="4"/>
  <c r="G6" i="4" s="1"/>
  <c r="C21" i="3"/>
  <c r="E21" i="3" s="1"/>
  <c r="E20" i="3"/>
  <c r="D20" i="3"/>
  <c r="F20" i="3" s="1"/>
  <c r="E6" i="4"/>
  <c r="D6" i="4"/>
  <c r="F6" i="4" s="1"/>
  <c r="D19" i="3" l="1"/>
  <c r="F19" i="3" s="1"/>
  <c r="D4" i="4"/>
  <c r="F4" i="4" s="1"/>
  <c r="D21" i="3"/>
  <c r="F21" i="3" s="1"/>
  <c r="D5" i="4"/>
  <c r="F5" i="4" s="1"/>
</calcChain>
</file>

<file path=xl/sharedStrings.xml><?xml version="1.0" encoding="utf-8"?>
<sst xmlns="http://schemas.openxmlformats.org/spreadsheetml/2006/main" count="365" uniqueCount="306">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</sst>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10" fontId="0" fillId="0" borderId="0" xfId="0" applyNumberFormat="1"/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wrapText="1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4" fillId="0" borderId="0" xfId="0" applyNumberFormat="1" applyFont="1"/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5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58" dataDxfId="56" headerRowBorderDxfId="57" tableBorderDxfId="55">
  <autoFilter ref="A3:N14" xr:uid="{31008567-CFA1-42A9-9327-0B98502CA80D}"/>
  <tableColumns count="14">
    <tableColumn id="1" xr3:uid="{26936D8D-49BB-4E72-8714-F0F4A39544E1}" name="Year" dataDxfId="54"/>
    <tableColumn id="2" xr3:uid="{C01BD3A8-84A3-4936-AD75-B10875A3A516}" name="Phase" dataDxfId="53"/>
    <tableColumn id="3" xr3:uid="{C3EFC4B8-12CA-4DCA-8610-6334A06443D6}" name="Gross Potential Rent" dataDxfId="52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51">
      <calculatedColumnFormula>IF(A4=0,0,C4*IF(A4=1,LeaseUpOccupancy,StabilizedOccupancy))</calculatedColumnFormula>
    </tableColumn>
    <tableColumn id="5" xr3:uid="{B76742F3-2204-4523-9F15-8E1C72B7BD6E}" name="Operating Expenses" dataDxfId="50">
      <calculatedColumnFormula>D4*OperatingExpenseRatio</calculatedColumnFormula>
    </tableColumn>
    <tableColumn id="6" xr3:uid="{3F74AC57-500F-402C-9765-78D18626B1BE}" name="NOI" dataDxfId="49">
      <calculatedColumnFormula>D4-E4</calculatedColumnFormula>
    </tableColumn>
    <tableColumn id="7" xr3:uid="{56511279-406D-4252-A9A7-9170D8B87E55}" name="Debt Service" dataDxfId="48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7">
      <calculatedColumnFormula>AnnualModelTable[[#This Row],[NOI]]-AnnualModelTable[[#This Row],[Debt Service]]</calculatedColumnFormula>
    </tableColumn>
    <tableColumn id="9" xr3:uid="{AC4642EC-E8F2-497F-99FB-4D7BE675DEA1}" name="Net Refi/Sale Proceeds" dataDxfId="46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5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4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3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2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1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0" dataDxfId="38" headerRowBorderDxfId="39" tableBorderDxfId="37">
  <autoFilter ref="A3:S14" xr:uid="{35E6E678-5C1E-4C4D-B37A-A688CBCE3311}"/>
  <tableColumns count="19">
    <tableColumn id="1" xr3:uid="{963D327E-2263-47D8-80F9-5A28D9522E50}" name="Year" dataDxfId="36"/>
    <tableColumn id="2" xr3:uid="{DD4D5E48-A253-4495-BAA1-CD03E9DB3287}" name="Cash Available" dataDxfId="35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34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3">
      <calculatedColumnFormula>WaterfallTable[[#This Row],[A Beg. Capital]]*ClassAPreferredReturn</calculatedColumnFormula>
    </tableColumn>
    <tableColumn id="5" xr3:uid="{6DFBF4A6-C663-4C39-BE8E-9DCEE6178410}" name="A Pref Paid" dataDxfId="32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1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0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29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28">
      <calculatedColumnFormula>WaterfallTable[[#This Row],[A Beg. Capital]]-WaterfallTable[[#This Row],[A Capital Returned]]</calculatedColumnFormula>
    </tableColumn>
    <tableColumn id="10" xr3:uid="{95297546-7CDB-4A1F-B087-2907F3FB7729}" name="A Residual" dataDxfId="27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26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25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24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3">
      <calculatedColumnFormula>WaterfallTable[[#This Row],[B Beg. Capital]]-WaterfallTable[[#This Row],[B Capital Returned]]</calculatedColumnFormula>
    </tableColumn>
    <tableColumn id="15" xr3:uid="{C6BA9C98-8524-487F-80FD-8C218B59A3B5}" name="B Residual" dataDxfId="22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1">
      <calculatedColumnFormula>WaterfallTable[[#This Row],[B Capital Returned]]+WaterfallTable[[#This Row],[B Residual]]</calculatedColumnFormula>
    </tableColumn>
    <tableColumn id="17" xr3:uid="{417495A6-8721-4CAB-BEB3-7640A0F3FEBC}" name="Property Payment" dataDxfId="20">
      <calculatedColumnFormula>IF(WaterfallTable[[#This Row],[Year]]=0,SponsorPropertyPayment,0)</calculatedColumnFormula>
    </tableColumn>
    <tableColumn id="18" xr3:uid="{1A110274-3485-4D4C-B019-55D770E0C6CE}" name="Residual" dataDxfId="19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18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1" totalsRowShown="0">
  <autoFilter ref="A18:S21" xr:uid="{5108A95A-E6BF-4322-A5D6-67609B7ED4E8}"/>
  <tableColumns count="19">
    <tableColumn id="1" xr3:uid="{9D313402-FD1F-4B4A-94AF-A715F76F921A}" name="Participant"/>
    <tableColumn id="2" xr3:uid="{ECA60733-FEA2-401B-8642-71F43FEC8DB9}" name="Capital / Basis" dataDxfId="17"/>
    <tableColumn id="3" xr3:uid="{C289E388-4A17-4836-B18C-4492629B2237}" name="Total Distributions" dataDxfId="16"/>
    <tableColumn id="4" xr3:uid="{0E5564FA-0686-41CD-8CE7-39EED6142313}" name="Net Profit" dataDxfId="15">
      <calculatedColumnFormula>C19-B19</calculatedColumnFormula>
    </tableColumn>
    <tableColumn id="5" xr3:uid="{10FF1ED7-A502-4F2E-A54A-B0007AA7263A}" name="Equity Multiple" dataDxfId="14">
      <calculatedColumnFormula>IFERROR(C19/B19,0)</calculatedColumnFormula>
    </tableColumn>
    <tableColumn id="6" xr3:uid="{ECDBC3DC-2987-4B43-8FA8-210E2BD2C527}" name="ROI %" dataDxfId="13">
      <calculatedColumnFormula>IFERROR(D19/B19,0)</calculatedColumnFormula>
    </tableColumn>
    <tableColumn id="7" xr3:uid="{4D05CF9F-BEF3-4687-B36F-4B00680921AC}" name="IRR" dataDxfId="12"/>
    <tableColumn id="8" xr3:uid="{1C4FC23A-6CAB-4454-ABFA-E8F2BFD21307}" name="Year 0" dataDxfId="11"/>
    <tableColumn id="9" xr3:uid="{65D20829-5C0C-4626-B752-4916A51B8F56}" name="Year 1" dataDxfId="10"/>
    <tableColumn id="10" xr3:uid="{6AB1F3BD-E384-4432-B275-A7608171F178}" name="Year 2" dataDxfId="9"/>
    <tableColumn id="11" xr3:uid="{E6468E2E-5E04-433F-B3E2-FA390BC93337}" name="Year 3" dataDxfId="8"/>
    <tableColumn id="12" xr3:uid="{4FBAC77A-F067-49A4-AC41-AD7EF45A9940}" name="Year 4" dataDxfId="7"/>
    <tableColumn id="13" xr3:uid="{CAEFEDFD-AA12-43AF-B34A-E218E93CEE22}" name="Year 5" dataDxfId="6"/>
    <tableColumn id="14" xr3:uid="{A625364D-066A-437E-8A2D-DD61A8A5CE82}" name="Year 6" dataDxfId="5"/>
    <tableColumn id="15" xr3:uid="{2F0BFF3E-A3CB-433E-86D2-6AF1360FD5D9}" name="Year 7" dataDxfId="4"/>
    <tableColumn id="16" xr3:uid="{0A58F701-6416-4538-A6E5-4BF44C4993D5}" name="Year 8" dataDxfId="3"/>
    <tableColumn id="17" xr3:uid="{AC84C97B-2616-4869-838B-9557C19186A7}" name="Year 9" dataDxfId="2"/>
    <tableColumn id="18" xr3:uid="{523BC2AE-FDEA-442A-A3C6-B94CA77050FC}" name="Year 10" dataDxfId="1"/>
    <tableColumn id="19" xr3:uid="{27F266C1-826E-4785-9D87-EAC8CE4261F1}" name="Total Retur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5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0" t="s">
        <v>0</v>
      </c>
      <c r="B1" s="13"/>
      <c r="C1" s="18" t="s">
        <v>1</v>
      </c>
    </row>
    <row r="2" spans="1:3" x14ac:dyDescent="0.25">
      <c r="A2" s="13"/>
      <c r="B2" s="13"/>
      <c r="C2" s="13"/>
    </row>
    <row r="3" spans="1:3" x14ac:dyDescent="0.25">
      <c r="A3" s="21" t="s">
        <v>2</v>
      </c>
      <c r="B3" s="13"/>
      <c r="C3" s="13"/>
    </row>
    <row r="4" spans="1:3" x14ac:dyDescent="0.25">
      <c r="A4" s="13" t="s">
        <v>3</v>
      </c>
      <c r="B4" s="15">
        <v>2</v>
      </c>
      <c r="C4" s="18" t="s">
        <v>4</v>
      </c>
    </row>
    <row r="5" spans="1:3" x14ac:dyDescent="0.25">
      <c r="A5" s="13" t="s">
        <v>5</v>
      </c>
      <c r="B5" s="15">
        <v>10</v>
      </c>
      <c r="C5" s="18" t="s">
        <v>6</v>
      </c>
    </row>
    <row r="6" spans="1:3" x14ac:dyDescent="0.25">
      <c r="A6" s="13"/>
      <c r="B6" s="13"/>
      <c r="C6" s="13"/>
    </row>
    <row r="7" spans="1:3" x14ac:dyDescent="0.25">
      <c r="A7" s="21" t="s">
        <v>7</v>
      </c>
      <c r="B7" s="13"/>
      <c r="C7" s="13"/>
    </row>
    <row r="8" spans="1:3" x14ac:dyDescent="0.25">
      <c r="A8" s="13" t="s">
        <v>8</v>
      </c>
      <c r="B8" s="15">
        <v>4</v>
      </c>
      <c r="C8" s="18" t="s">
        <v>9</v>
      </c>
    </row>
    <row r="9" spans="1:3" x14ac:dyDescent="0.25">
      <c r="A9" s="13" t="s">
        <v>10</v>
      </c>
      <c r="B9" s="13">
        <v>1600</v>
      </c>
      <c r="C9" s="18" t="s">
        <v>11</v>
      </c>
    </row>
    <row r="10" spans="1:3" x14ac:dyDescent="0.25">
      <c r="A10" s="13" t="s">
        <v>12</v>
      </c>
      <c r="B10" s="15">
        <v>4</v>
      </c>
      <c r="C10" s="18" t="s">
        <v>13</v>
      </c>
    </row>
    <row r="11" spans="1:3" x14ac:dyDescent="0.25">
      <c r="A11" s="13" t="s">
        <v>14</v>
      </c>
      <c r="B11" s="13">
        <v>1100</v>
      </c>
      <c r="C11" s="18" t="s">
        <v>11</v>
      </c>
    </row>
    <row r="12" spans="1:3" x14ac:dyDescent="0.25">
      <c r="A12" s="13" t="s">
        <v>15</v>
      </c>
      <c r="B12" s="13">
        <v>0</v>
      </c>
      <c r="C12" s="18" t="s">
        <v>16</v>
      </c>
    </row>
    <row r="13" spans="1:3" x14ac:dyDescent="0.25">
      <c r="A13" s="13" t="s">
        <v>17</v>
      </c>
      <c r="B13" s="22">
        <v>0.93</v>
      </c>
      <c r="C13" s="18" t="s">
        <v>18</v>
      </c>
    </row>
    <row r="14" spans="1:3" x14ac:dyDescent="0.25">
      <c r="A14" s="13" t="s">
        <v>19</v>
      </c>
      <c r="B14" s="22">
        <v>0.5</v>
      </c>
      <c r="C14" s="18" t="s">
        <v>20</v>
      </c>
    </row>
    <row r="15" spans="1:3" x14ac:dyDescent="0.25">
      <c r="A15" s="13" t="s">
        <v>21</v>
      </c>
      <c r="B15" s="22">
        <f>SelectedOperatingExpenseRatio</f>
        <v>0.4</v>
      </c>
      <c r="C15" s="18" t="s">
        <v>22</v>
      </c>
    </row>
    <row r="16" spans="1:3" x14ac:dyDescent="0.25">
      <c r="A16" s="13" t="s">
        <v>23</v>
      </c>
      <c r="B16" s="22">
        <v>0.03</v>
      </c>
      <c r="C16" s="18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18" t="s">
        <v>26</v>
      </c>
    </row>
    <row r="18" spans="1:3" x14ac:dyDescent="0.25">
      <c r="A18" s="13"/>
      <c r="B18" s="13"/>
      <c r="C18" s="13"/>
    </row>
    <row r="19" spans="1:3" x14ac:dyDescent="0.25">
      <c r="A19" s="21" t="s">
        <v>27</v>
      </c>
      <c r="B19" s="13"/>
      <c r="C19" s="13"/>
    </row>
    <row r="20" spans="1:3" x14ac:dyDescent="0.25">
      <c r="A20" s="13" t="s">
        <v>256</v>
      </c>
      <c r="B20" s="13">
        <v>119000</v>
      </c>
      <c r="C20" s="18" t="s">
        <v>257</v>
      </c>
    </row>
    <row r="21" spans="1:3" x14ac:dyDescent="0.25">
      <c r="A21" s="13" t="s">
        <v>258</v>
      </c>
      <c r="B21" s="24">
        <v>3.2500000000000001E-2</v>
      </c>
      <c r="C21" s="18" t="s">
        <v>259</v>
      </c>
    </row>
    <row r="22" spans="1:3" x14ac:dyDescent="0.25">
      <c r="A22" s="13" t="s">
        <v>28</v>
      </c>
      <c r="B22" s="13">
        <v>75000</v>
      </c>
      <c r="C22" s="18" t="s">
        <v>29</v>
      </c>
    </row>
    <row r="23" spans="1:3" x14ac:dyDescent="0.25">
      <c r="A23" s="13" t="s">
        <v>30</v>
      </c>
      <c r="B23" s="24">
        <v>0.1</v>
      </c>
      <c r="C23" s="18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18" t="s">
        <v>260</v>
      </c>
    </row>
    <row r="25" spans="1:3" x14ac:dyDescent="0.25">
      <c r="A25" s="13" t="s">
        <v>265</v>
      </c>
      <c r="B25" s="13">
        <v>526</v>
      </c>
      <c r="C25" s="18" t="s">
        <v>266</v>
      </c>
    </row>
    <row r="26" spans="1:3" x14ac:dyDescent="0.25">
      <c r="A26" s="13" t="s">
        <v>267</v>
      </c>
      <c r="B26" s="13">
        <f>_xlfn.SINGLE(ExistingFirstMortgageMonthlyPI)*12</f>
        <v>6312</v>
      </c>
      <c r="C26" s="18" t="s">
        <v>268</v>
      </c>
    </row>
    <row r="27" spans="1:3" x14ac:dyDescent="0.25">
      <c r="A27" s="13" t="s">
        <v>261</v>
      </c>
      <c r="B27" s="13">
        <f>PrivateDebtPrincipal*PrivateDebtInterestRate</f>
        <v>7500</v>
      </c>
      <c r="C27" s="18" t="s">
        <v>262</v>
      </c>
    </row>
    <row r="28" spans="1:3" x14ac:dyDescent="0.25">
      <c r="A28" s="13" t="s">
        <v>263</v>
      </c>
      <c r="B28" s="7">
        <f>ExistingFirstMortgageAnnualPayment+PrivateDebtAnnualInterestPayment</f>
        <v>13812</v>
      </c>
      <c r="C28" s="18" t="s">
        <v>264</v>
      </c>
    </row>
    <row r="29" spans="1:3" x14ac:dyDescent="0.25">
      <c r="A29" s="13" t="s">
        <v>273</v>
      </c>
      <c r="B29" s="24">
        <v>0.7</v>
      </c>
      <c r="C29" s="18" t="s">
        <v>274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18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18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18" t="s">
        <v>38</v>
      </c>
    </row>
    <row r="33" spans="1:3" x14ac:dyDescent="0.25">
      <c r="A33" s="13" t="s">
        <v>39</v>
      </c>
      <c r="B33" s="24">
        <v>6.5000000000000002E-2</v>
      </c>
      <c r="C33" s="18" t="s">
        <v>40</v>
      </c>
    </row>
    <row r="34" spans="1:3" x14ac:dyDescent="0.25">
      <c r="A34" s="13" t="s">
        <v>41</v>
      </c>
      <c r="B34" s="15">
        <v>30</v>
      </c>
      <c r="C34" s="18" t="s">
        <v>42</v>
      </c>
    </row>
    <row r="35" spans="1:3" x14ac:dyDescent="0.25">
      <c r="A35" s="13" t="s">
        <v>43</v>
      </c>
      <c r="B35" s="24">
        <v>7.0000000000000007E-2</v>
      </c>
      <c r="C35" s="18" t="s">
        <v>44</v>
      </c>
    </row>
    <row r="36" spans="1:3" x14ac:dyDescent="0.25">
      <c r="A36" s="13" t="s">
        <v>45</v>
      </c>
      <c r="B36" s="24">
        <v>0.02</v>
      </c>
      <c r="C36" s="13" t="s">
        <v>46</v>
      </c>
    </row>
    <row r="37" spans="1:3" x14ac:dyDescent="0.25">
      <c r="A37" s="21"/>
      <c r="B37" s="13"/>
      <c r="C37" s="13"/>
    </row>
    <row r="38" spans="1:3" x14ac:dyDescent="0.25">
      <c r="A38" s="13" t="s">
        <v>47</v>
      </c>
      <c r="B38" s="13"/>
      <c r="C38" s="18"/>
    </row>
    <row r="39" spans="1:3" x14ac:dyDescent="0.25">
      <c r="A39" s="13" t="s">
        <v>48</v>
      </c>
      <c r="B39" s="13">
        <v>300000</v>
      </c>
      <c r="C39" s="18" t="s">
        <v>49</v>
      </c>
    </row>
    <row r="40" spans="1:3" x14ac:dyDescent="0.25">
      <c r="A40" s="13" t="s">
        <v>50</v>
      </c>
      <c r="B40" s="24">
        <v>0.08</v>
      </c>
      <c r="C40" s="18" t="s">
        <v>51</v>
      </c>
    </row>
    <row r="41" spans="1:3" x14ac:dyDescent="0.25">
      <c r="A41" s="13" t="s">
        <v>52</v>
      </c>
      <c r="B41" s="13">
        <f>MAX(0,SelectedProjectCost-ClassACapital)</f>
        <v>600000</v>
      </c>
      <c r="C41" s="18" t="s">
        <v>275</v>
      </c>
    </row>
    <row r="42" spans="1:3" x14ac:dyDescent="0.25">
      <c r="A42" s="13" t="s">
        <v>53</v>
      </c>
      <c r="B42" s="13">
        <v>1</v>
      </c>
      <c r="C42" s="18" t="s">
        <v>54</v>
      </c>
    </row>
    <row r="43" spans="1:3" x14ac:dyDescent="0.25">
      <c r="A43" s="13" t="s">
        <v>56</v>
      </c>
      <c r="B43" s="44">
        <v>0.4</v>
      </c>
      <c r="C43" s="18" t="s">
        <v>277</v>
      </c>
    </row>
    <row r="44" spans="1:3" x14ac:dyDescent="0.25">
      <c r="A44" s="13" t="s">
        <v>276</v>
      </c>
      <c r="B44" s="44">
        <f>(1-SponsorResidualShare)*(ClassACapital/(ClassACapital+ClassBCapital))</f>
        <v>0.19999999999999998</v>
      </c>
      <c r="C44" s="18" t="s">
        <v>278</v>
      </c>
    </row>
    <row r="45" spans="1:3" x14ac:dyDescent="0.25">
      <c r="A45" s="13" t="s">
        <v>55</v>
      </c>
      <c r="B45" s="44">
        <f>(1-SponsorResidualShare)*(ClassBCapital/(ClassACapital+ClassBCapital))</f>
        <v>0.39999999999999997</v>
      </c>
      <c r="C45" s="18" t="s">
        <v>279</v>
      </c>
    </row>
    <row r="46" spans="1:3" x14ac:dyDescent="0.25">
      <c r="A46" s="13" t="s">
        <v>300</v>
      </c>
      <c r="B46" s="13">
        <v>150000</v>
      </c>
      <c r="C46" s="13" t="s">
        <v>301</v>
      </c>
    </row>
    <row r="47" spans="1:3" x14ac:dyDescent="0.25">
      <c r="A47" s="13" t="s">
        <v>57</v>
      </c>
      <c r="B47" s="33" t="s">
        <v>58</v>
      </c>
      <c r="C47" s="34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5" t="s">
        <v>59</v>
      </c>
      <c r="B1" s="36"/>
      <c r="C1" s="3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60</v>
      </c>
      <c r="B3" s="26" t="s">
        <v>61</v>
      </c>
      <c r="C3" s="26" t="s">
        <v>62</v>
      </c>
      <c r="D3" s="26" t="s">
        <v>63</v>
      </c>
      <c r="E3" s="26" t="s">
        <v>64</v>
      </c>
      <c r="F3" s="26" t="s">
        <v>65</v>
      </c>
      <c r="G3" s="26" t="s">
        <v>66</v>
      </c>
      <c r="H3" s="26" t="s">
        <v>269</v>
      </c>
      <c r="I3" s="26" t="s">
        <v>282</v>
      </c>
      <c r="J3" s="26" t="s">
        <v>270</v>
      </c>
      <c r="K3" s="26" t="s">
        <v>271</v>
      </c>
      <c r="L3" s="26" t="s">
        <v>272</v>
      </c>
      <c r="M3" s="26" t="s">
        <v>67</v>
      </c>
      <c r="N3" s="26" t="s">
        <v>68</v>
      </c>
    </row>
    <row r="4" spans="1:14" x14ac:dyDescent="0.25">
      <c r="A4" s="13">
        <v>0</v>
      </c>
      <c r="B4" s="13" t="s">
        <v>69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3" workbookViewId="0">
      <selection activeCell="S21" sqref="S21"/>
    </sheetView>
  </sheetViews>
  <sheetFormatPr defaultRowHeight="15" x14ac:dyDescent="0.25"/>
  <cols>
    <col min="1" max="1" width="12.7109375" style="6" customWidth="1"/>
    <col min="2" max="2" width="16" style="6" customWidth="1"/>
    <col min="3" max="3" width="20.42578125" style="6" customWidth="1"/>
    <col min="4" max="4" width="16.140625" style="6" customWidth="1"/>
    <col min="5" max="5" width="16.85546875" style="6" customWidth="1"/>
    <col min="6" max="6" width="15.28515625" style="6" customWidth="1"/>
    <col min="7" max="7" width="19.7109375" style="6" customWidth="1"/>
    <col min="8" max="8" width="19.85546875" style="6" customWidth="1"/>
    <col min="9" max="9" width="14.7109375" style="6" customWidth="1"/>
    <col min="10" max="10" width="12.42578125" style="6" customWidth="1"/>
    <col min="11" max="11" width="13.7109375" style="6" customWidth="1"/>
    <col min="12" max="12" width="15.140625" style="6" customWidth="1"/>
    <col min="13" max="13" width="19.5703125" style="6" customWidth="1"/>
    <col min="14" max="14" width="14.5703125" style="6" customWidth="1"/>
    <col min="15" max="15" width="12.28515625" style="6" customWidth="1"/>
    <col min="16" max="16" width="13.5703125" style="6" customWidth="1"/>
    <col min="17" max="17" width="14.85546875" style="6" customWidth="1"/>
    <col min="18" max="18" width="11.42578125" style="6" customWidth="1"/>
    <col min="19" max="19" width="12.85546875" style="6" customWidth="1"/>
    <col min="20" max="16384" width="9.140625" style="6"/>
  </cols>
  <sheetData>
    <row r="1" spans="1:19" ht="18.75" x14ac:dyDescent="0.3">
      <c r="A1" s="35" t="s">
        <v>74</v>
      </c>
      <c r="B1" s="36"/>
      <c r="C1" s="3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37" t="s">
        <v>281</v>
      </c>
      <c r="D2" s="38"/>
      <c r="E2" s="38"/>
      <c r="F2" s="38"/>
      <c r="G2" s="38"/>
      <c r="H2" s="38"/>
      <c r="I2" s="38"/>
      <c r="J2" s="25"/>
      <c r="K2" s="25"/>
      <c r="L2" s="39" t="s">
        <v>95</v>
      </c>
      <c r="M2" s="40"/>
      <c r="N2" s="40"/>
      <c r="O2" s="40"/>
      <c r="P2" s="40"/>
      <c r="Q2" s="41" t="s">
        <v>96</v>
      </c>
      <c r="R2" s="42"/>
      <c r="S2" s="42"/>
    </row>
    <row r="3" spans="1:19" s="23" customFormat="1" ht="30" x14ac:dyDescent="0.25">
      <c r="A3" s="29" t="s">
        <v>60</v>
      </c>
      <c r="B3" s="29" t="s">
        <v>75</v>
      </c>
      <c r="C3" s="30" t="s">
        <v>283</v>
      </c>
      <c r="D3" s="30" t="s">
        <v>284</v>
      </c>
      <c r="E3" s="30" t="s">
        <v>285</v>
      </c>
      <c r="F3" s="30" t="s">
        <v>286</v>
      </c>
      <c r="G3" s="30" t="s">
        <v>287</v>
      </c>
      <c r="H3" s="30" t="s">
        <v>288</v>
      </c>
      <c r="I3" s="30" t="s">
        <v>289</v>
      </c>
      <c r="J3" s="30" t="s">
        <v>290</v>
      </c>
      <c r="K3" s="30" t="s">
        <v>291</v>
      </c>
      <c r="L3" s="29" t="s">
        <v>292</v>
      </c>
      <c r="M3" s="29" t="s">
        <v>293</v>
      </c>
      <c r="N3" s="29" t="s">
        <v>294</v>
      </c>
      <c r="O3" s="29" t="s">
        <v>295</v>
      </c>
      <c r="P3" s="29" t="s">
        <v>296</v>
      </c>
      <c r="Q3" s="31" t="s">
        <v>303</v>
      </c>
      <c r="R3" s="31" t="s">
        <v>304</v>
      </c>
      <c r="S3" s="31" t="s">
        <v>297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600000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600000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600000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600000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600000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219751.34686410858</v>
      </c>
      <c r="N6" s="13">
        <f>WaterfallTable[[#This Row],[B Beg. Capital]]-WaterfallTable[[#This Row],[B Capital Returned]]</f>
        <v>380248.65313589142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219751.34686410858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380248.65313589142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17989.810864108767</v>
      </c>
      <c r="N7" s="13">
        <f>WaterfallTable[[#This Row],[B Beg. Capital]]-WaterfallTable[[#This Row],[B Capital Returned]]</f>
        <v>362258.84227178263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17989.810864108767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362258.84227178263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20224.399984108757</v>
      </c>
      <c r="N8" s="13">
        <f>WaterfallTable[[#This Row],[B Beg. Capital]]-WaterfallTable[[#This Row],[B Capital Returned]]</f>
        <v>342034.44228767388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20224.399984108757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342034.44228767388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22526.026777708765</v>
      </c>
      <c r="N9" s="13">
        <f>WaterfallTable[[#This Row],[B Beg. Capital]]-WaterfallTable[[#This Row],[B Capital Returned]]</f>
        <v>319508.4155099651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22526.026777708765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319508.4155099651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24896.702375116765</v>
      </c>
      <c r="N10" s="13">
        <f>WaterfallTable[[#This Row],[B Beg. Capital]]-WaterfallTable[[#This Row],[B Capital Returned]]</f>
        <v>294611.71313484834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24896.702375116765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294611.71313484834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27338.498240446999</v>
      </c>
      <c r="N11" s="13">
        <f>WaterfallTable[[#This Row],[B Beg. Capital]]-WaterfallTable[[#This Row],[B Capital Returned]]</f>
        <v>267273.21489440132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27338.498240446999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267273.21489440132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29853.54798173716</v>
      </c>
      <c r="N12" s="13">
        <f>WaterfallTable[[#This Row],[B Beg. Capital]]-WaterfallTable[[#This Row],[B Capital Returned]]</f>
        <v>237419.66691266416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29853.54798173716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237419.66691266416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32444.049215266008</v>
      </c>
      <c r="N13" s="13">
        <f>WaterfallTable[[#This Row],[B Beg. Capital]]-WaterfallTable[[#This Row],[B Capital Returned]]</f>
        <v>204975.61769739815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32444.049215266008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230226.98942264001</v>
      </c>
      <c r="K14" s="13">
        <f>WaterfallTable[[#This Row],[A Pref Paid]]+WaterfallTable[[#This Row],[A Capital Returned]]+WaterfallTable[[#This Row],[A Residual]]</f>
        <v>230226.98942264001</v>
      </c>
      <c r="L14" s="13">
        <f>IF(WaterfallTable[[#This Row],[Year]]=0,ClassBCapital,INDEX(WaterfallTable[B End Capital],MATCH(WaterfallTable[[#This Row],[Year]]-1,WaterfallTable[Year],0)))</f>
        <v>204975.61769739815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204975.61769739815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460453.97884528001</v>
      </c>
      <c r="P14" s="13">
        <f>WaterfallTable[[#This Row],[B Capital Returned]]+WaterfallTable[[#This Row],[B Residual]]</f>
        <v>665429.59654267819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460453.97884528007</v>
      </c>
      <c r="S14" s="13">
        <f>WaterfallTable[[#This Row],[Property Payment]]+WaterfallTable[[#This Row],[Residual]]</f>
        <v>460453.97884528007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85</v>
      </c>
      <c r="K18" s="2" t="s">
        <v>86</v>
      </c>
      <c r="L18" s="2" t="s">
        <v>87</v>
      </c>
      <c r="M18" s="2" t="s">
        <v>88</v>
      </c>
      <c r="N18" s="2" t="s">
        <v>89</v>
      </c>
      <c r="O18" s="2" t="s">
        <v>90</v>
      </c>
      <c r="P18" s="2" t="s">
        <v>91</v>
      </c>
      <c r="Q18" s="2" t="s">
        <v>92</v>
      </c>
      <c r="R18" s="2" t="s">
        <v>93</v>
      </c>
      <c r="S18" s="32" t="s">
        <v>305</v>
      </c>
    </row>
    <row r="19" spans="1:19" x14ac:dyDescent="0.25">
      <c r="A19" t="s">
        <v>94</v>
      </c>
      <c r="B19" s="2">
        <f>ClassACapital</f>
        <v>300000</v>
      </c>
      <c r="C19" s="2">
        <f>SUM(WaterfallTable[A Total Dist.])</f>
        <v>602226.98942264006</v>
      </c>
      <c r="D19" s="2">
        <f>C19-B19</f>
        <v>302226.98942264006</v>
      </c>
      <c r="E19" s="2">
        <f>IFERROR(C19/B19,0)</f>
        <v>2.0074232980754667</v>
      </c>
      <c r="F19" s="28">
        <f>IFERROR(D19/B19,0)</f>
        <v>1.0074232980754669</v>
      </c>
      <c r="G19" s="28"/>
      <c r="H19" s="2">
        <f>-B19</f>
        <v>-300000</v>
      </c>
      <c r="I19" s="2">
        <f>INDEX(WaterfallTable[A Total Dist.],MATCH(1,WaterfallTable[Year],0))</f>
        <v>25068</v>
      </c>
      <c r="J19" s="2">
        <f>INDEX(WaterfallTable[A Total Dist.],MATCH(2,WaterfallTable[Year],0))</f>
        <v>346932</v>
      </c>
      <c r="K19" s="2">
        <f>INDEX(WaterfallTable[A Total Dist.],MATCH(3,WaterfallTable[Year],0))</f>
        <v>0</v>
      </c>
      <c r="L19" s="2">
        <f>INDEX(WaterfallTable[A Total Dist.],MATCH(4,WaterfallTable[Year],0))</f>
        <v>0</v>
      </c>
      <c r="M19" s="2">
        <f>INDEX(WaterfallTable[A Total Dist.],MATCH(5,WaterfallTable[Year],0))</f>
        <v>0</v>
      </c>
      <c r="N19" s="2">
        <f>INDEX(WaterfallTable[A Total Dist.],MATCH(6,WaterfallTable[Year],0))</f>
        <v>0</v>
      </c>
      <c r="O19" s="2">
        <f>INDEX(WaterfallTable[A Total Dist.],MATCH(7,WaterfallTable[Year],0))</f>
        <v>0</v>
      </c>
      <c r="P19" s="2">
        <f>INDEX(WaterfallTable[A Total Dist.],MATCH(8,WaterfallTable[Year],0))</f>
        <v>0</v>
      </c>
      <c r="Q19" s="2">
        <f>INDEX(WaterfallTable[A Total Dist.],MATCH(9,WaterfallTable[Year],0))</f>
        <v>0</v>
      </c>
      <c r="R19" s="2">
        <f>INDEX(WaterfallTable[A Total Dist.],MATCH(10,WaterfallTable[Year],0))</f>
        <v>230226.98942264001</v>
      </c>
      <c r="S19" s="2">
        <f>SUM(ReturnsTable[[#This Row],[Year 0]:[Year 10]])</f>
        <v>302226.98942264001</v>
      </c>
    </row>
    <row r="20" spans="1:19" x14ac:dyDescent="0.25">
      <c r="A20" t="s">
        <v>95</v>
      </c>
      <c r="B20" s="2">
        <f>ClassBCapital</f>
        <v>600000</v>
      </c>
      <c r="C20" s="2">
        <f>SUM(WaterfallTable[B Total Dist.])</f>
        <v>1060453.9788452801</v>
      </c>
      <c r="D20" s="2">
        <f>C20-B20</f>
        <v>460453.97884528013</v>
      </c>
      <c r="E20" s="2">
        <f>IFERROR(C20/B20,0)</f>
        <v>1.7674232980754669</v>
      </c>
      <c r="F20" s="28">
        <f>IFERROR(D20/B20,0)</f>
        <v>0.76742329807546683</v>
      </c>
      <c r="G20" s="28"/>
      <c r="H20" s="2">
        <f>-B20</f>
        <v>-600000</v>
      </c>
      <c r="I20" s="2">
        <f>INDEX(WaterfallTable[B Total Dist.],MATCH(1,WaterfallTable[Year],0))</f>
        <v>0</v>
      </c>
      <c r="J20" s="2">
        <f>INDEX(WaterfallTable[B Total Dist.],MATCH(2,WaterfallTable[Year],0))</f>
        <v>219751.34686410858</v>
      </c>
      <c r="K20" s="2">
        <f>INDEX(WaterfallTable[B Total Dist.],MATCH(3,WaterfallTable[Year],0))</f>
        <v>17989.810864108767</v>
      </c>
      <c r="L20" s="2">
        <f>INDEX(WaterfallTable[B Total Dist.],MATCH(4,WaterfallTable[Year],0))</f>
        <v>20224.399984108757</v>
      </c>
      <c r="M20" s="2">
        <f>INDEX(WaterfallTable[B Total Dist.],MATCH(5,WaterfallTable[Year],0))</f>
        <v>22526.026777708765</v>
      </c>
      <c r="N20" s="2">
        <f>INDEX(WaterfallTable[B Total Dist.],MATCH(6,WaterfallTable[Year],0))</f>
        <v>24896.702375116765</v>
      </c>
      <c r="O20" s="2">
        <f>INDEX(WaterfallTable[B Total Dist.],MATCH(7,WaterfallTable[Year],0))</f>
        <v>27338.498240446999</v>
      </c>
      <c r="P20" s="2">
        <f>INDEX(WaterfallTable[B Total Dist.],MATCH(8,WaterfallTable[Year],0))</f>
        <v>29853.54798173716</v>
      </c>
      <c r="Q20" s="2">
        <f>INDEX(WaterfallTable[B Total Dist.],MATCH(9,WaterfallTable[Year],0))</f>
        <v>32444.049215266008</v>
      </c>
      <c r="R20" s="2">
        <f>INDEX(WaterfallTable[B Total Dist.],MATCH(10,WaterfallTable[Year],0))</f>
        <v>665429.59654267819</v>
      </c>
      <c r="S20" s="2">
        <f>SUM(ReturnsTable[[#This Row],[Year 0]:[Year 10]])</f>
        <v>460453.97884528001</v>
      </c>
    </row>
    <row r="21" spans="1:19" x14ac:dyDescent="0.25">
      <c r="A21" t="s">
        <v>96</v>
      </c>
      <c r="B21" s="2">
        <f>SponsorBasis</f>
        <v>150000</v>
      </c>
      <c r="C21" s="2">
        <f>SUM(WaterfallTable[Total Dist.])</f>
        <v>610453.97884528013</v>
      </c>
      <c r="D21" s="2">
        <f>C21-B21</f>
        <v>460453.97884528013</v>
      </c>
      <c r="E21" s="2">
        <f>IFERROR(C21/B21,0)</f>
        <v>4.0696931923018678</v>
      </c>
      <c r="F21" s="28">
        <f>IFERROR(D21/B21,0)</f>
        <v>3.0696931923018673</v>
      </c>
      <c r="G21" s="28"/>
      <c r="H21" s="2">
        <f>INDEX(WaterfallTable[Total Dist.],MATCH(0,WaterfallTable[Year],0))</f>
        <v>150000</v>
      </c>
      <c r="I21" s="2">
        <f>INDEX(WaterfallTable[Total Dist.],MATCH(1,WaterfallTable[Year],0))</f>
        <v>0</v>
      </c>
      <c r="J21" s="2">
        <f>INDEX(WaterfallTable[Total Dist.],MATCH(2,WaterfallTable[Year],0))</f>
        <v>0</v>
      </c>
      <c r="K21" s="2">
        <f>INDEX(WaterfallTable[Total Dist.],MATCH(3,WaterfallTable[Year],0))</f>
        <v>0</v>
      </c>
      <c r="L21" s="2">
        <f>INDEX(WaterfallTable[Total Dist.],MATCH(4,WaterfallTable[Year],0))</f>
        <v>0</v>
      </c>
      <c r="M21" s="2">
        <f>INDEX(WaterfallTable[Total Dist.],MATCH(5,WaterfallTable[Year],0))</f>
        <v>0</v>
      </c>
      <c r="N21" s="2">
        <f>INDEX(WaterfallTable[Total Dist.],MATCH(6,WaterfallTable[Year],0))</f>
        <v>0</v>
      </c>
      <c r="O21" s="2">
        <f>INDEX(WaterfallTable[Total Dist.],MATCH(7,WaterfallTable[Year],0))</f>
        <v>0</v>
      </c>
      <c r="P21" s="2">
        <f>INDEX(WaterfallTable[Total Dist.],MATCH(8,WaterfallTable[Year],0))</f>
        <v>0</v>
      </c>
      <c r="Q21" s="2">
        <f>INDEX(WaterfallTable[Total Dist.],MATCH(9,WaterfallTable[Year],0))</f>
        <v>0</v>
      </c>
      <c r="R21" s="2">
        <f>INDEX(WaterfallTable[Total Dist.],MATCH(10,WaterfallTable[Year],0))</f>
        <v>460453.97884528007</v>
      </c>
      <c r="S21" s="2">
        <f>SUM(ReturnsTable[[#This Row],[Year 0]:[Year 10]])</f>
        <v>610453.97884528013</v>
      </c>
    </row>
    <row r="22" spans="1:19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35" t="s">
        <v>299</v>
      </c>
      <c r="B1" s="34"/>
      <c r="C1" s="34"/>
      <c r="D1" s="3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76</v>
      </c>
      <c r="B3" s="27" t="s">
        <v>77</v>
      </c>
      <c r="C3" s="27" t="s">
        <v>78</v>
      </c>
      <c r="D3" s="27" t="s">
        <v>79</v>
      </c>
      <c r="E3" s="27" t="s">
        <v>80</v>
      </c>
      <c r="F3" s="27" t="s">
        <v>81</v>
      </c>
      <c r="G3" s="27" t="s">
        <v>82</v>
      </c>
      <c r="H3" s="27" t="s">
        <v>83</v>
      </c>
      <c r="I3" s="27" t="s">
        <v>84</v>
      </c>
      <c r="J3" s="27" t="s">
        <v>85</v>
      </c>
      <c r="K3" s="27" t="s">
        <v>86</v>
      </c>
      <c r="L3" s="27" t="s">
        <v>87</v>
      </c>
      <c r="M3" s="27" t="s">
        <v>88</v>
      </c>
      <c r="N3" s="27" t="s">
        <v>89</v>
      </c>
      <c r="O3" s="27" t="s">
        <v>90</v>
      </c>
      <c r="P3" s="27" t="s">
        <v>91</v>
      </c>
      <c r="Q3" s="27" t="s">
        <v>92</v>
      </c>
      <c r="R3" s="27" t="s">
        <v>93</v>
      </c>
    </row>
    <row r="4" spans="1:20" x14ac:dyDescent="0.25">
      <c r="A4" s="13" t="s">
        <v>94</v>
      </c>
      <c r="B4" s="13">
        <f>ClassACapital</f>
        <v>300000</v>
      </c>
      <c r="C4" s="13">
        <f>SUM(Waterfall!$K$4:$K$14)</f>
        <v>602226.98942264006</v>
      </c>
      <c r="D4" s="13">
        <f>C4-B4</f>
        <v>302226.98942264006</v>
      </c>
      <c r="E4" s="13">
        <f>IFERROR(C4/B4,0)</f>
        <v>2.0074232980754667</v>
      </c>
      <c r="F4" s="24">
        <f>IFERROR(D4/B4,0)</f>
        <v>1.0074232980754669</v>
      </c>
      <c r="G4" s="24">
        <f>IRR(H4:R4)</f>
        <v>0.19863008094050749</v>
      </c>
      <c r="H4" s="13">
        <f>-B4</f>
        <v>-300000</v>
      </c>
      <c r="I4" s="13">
        <f>INDEX(Waterfall!$K$4:$K$14,MATCH(1,Waterfall!$A$4:$A$14,0))</f>
        <v>25068</v>
      </c>
      <c r="J4" s="13">
        <f>INDEX(Waterfall!$K$4:$K$14,MATCH(2,Waterfall!$A$4:$A$14,0))</f>
        <v>346932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230226.98942264001</v>
      </c>
    </row>
    <row r="5" spans="1:20" x14ac:dyDescent="0.25">
      <c r="A5" s="13" t="s">
        <v>95</v>
      </c>
      <c r="B5" s="13">
        <f>ClassBCapital</f>
        <v>600000</v>
      </c>
      <c r="C5" s="13">
        <f>SUM(Waterfall!$P$4:$P$14)</f>
        <v>1060453.9788452801</v>
      </c>
      <c r="D5" s="13">
        <f>C5-B5</f>
        <v>460453.97884528013</v>
      </c>
      <c r="E5" s="13">
        <f>IFERROR(C5/B5,0)</f>
        <v>1.7674232980754669</v>
      </c>
      <c r="F5" s="24">
        <f>IFERROR(D5/B5,0)</f>
        <v>0.76742329807546683</v>
      </c>
      <c r="G5" s="24">
        <f>IFERROR(IRR(H5:R5),0)</f>
        <v>8.1345706294973175E-2</v>
      </c>
      <c r="H5" s="13">
        <f>-B5</f>
        <v>-600000</v>
      </c>
      <c r="I5" s="13">
        <f>INDEX(Waterfall!$P$4:$P$14,MATCH(1,Waterfall!$A$4:$A$14,0))</f>
        <v>0</v>
      </c>
      <c r="J5" s="13">
        <f>INDEX(Waterfall!$P$4:$P$14,MATCH(2,Waterfall!$A$4:$A$14,0))</f>
        <v>219751.34686410858</v>
      </c>
      <c r="K5" s="13">
        <f>INDEX(Waterfall!$P$4:$P$14,MATCH(3,Waterfall!$A$4:$A$14,0))</f>
        <v>17989.810864108767</v>
      </c>
      <c r="L5" s="13">
        <f>INDEX(Waterfall!$P$4:$P$14,MATCH(4,Waterfall!$A$4:$A$14,0))</f>
        <v>20224.399984108757</v>
      </c>
      <c r="M5" s="13">
        <f>INDEX(Waterfall!$P$4:$P$14,MATCH(5,Waterfall!$A$4:$A$14,0))</f>
        <v>22526.026777708765</v>
      </c>
      <c r="N5" s="13">
        <f>INDEX(Waterfall!$P$4:$P$14,MATCH(6,Waterfall!$A$4:$A$14,0))</f>
        <v>24896.702375116765</v>
      </c>
      <c r="O5" s="13">
        <f>INDEX(Waterfall!$P$4:$P$14,MATCH(7,Waterfall!$A$4:$A$14,0))</f>
        <v>27338.498240446999</v>
      </c>
      <c r="P5" s="13">
        <f>INDEX(Waterfall!$P$4:$P$14,MATCH(8,Waterfall!$A$4:$A$14,0))</f>
        <v>29853.54798173716</v>
      </c>
      <c r="Q5" s="13">
        <f>INDEX(Waterfall!$P$4:$P$14,MATCH(9,Waterfall!$A$4:$A$14,0))</f>
        <v>32444.049215266008</v>
      </c>
      <c r="R5" s="13">
        <f>INDEX(Waterfall!$P$4:$P$14,MATCH(10,Waterfall!$A$4:$A$14,0))</f>
        <v>665429.59654267819</v>
      </c>
    </row>
    <row r="6" spans="1:20" x14ac:dyDescent="0.25">
      <c r="A6" s="13" t="s">
        <v>96</v>
      </c>
      <c r="B6" s="13">
        <f>SponsorBasis</f>
        <v>150000</v>
      </c>
      <c r="C6" s="13">
        <f>SUM(Waterfall!$S$4:$S$14)</f>
        <v>610453.97884528013</v>
      </c>
      <c r="D6" s="13">
        <f>C6-B6</f>
        <v>460453.97884528013</v>
      </c>
      <c r="E6" s="13">
        <f>IFERROR(C6/B6,0)</f>
        <v>4.0696931923018678</v>
      </c>
      <c r="F6" s="24">
        <f>IFERROR(D6/B6,0)</f>
        <v>3.0696931923018673</v>
      </c>
      <c r="G6" s="24">
        <f>IFERROR(IRR(H6:R6),0)</f>
        <v>0.11868933330638209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460453.97884528007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97</v>
      </c>
      <c r="B9" s="33" t="s">
        <v>280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98</v>
      </c>
      <c r="B1" s="2"/>
    </row>
    <row r="2" spans="1:2" x14ac:dyDescent="0.25">
      <c r="A2" s="2"/>
      <c r="B2" s="2"/>
    </row>
    <row r="3" spans="1:2" x14ac:dyDescent="0.25">
      <c r="A3" s="4" t="s">
        <v>99</v>
      </c>
      <c r="B3" s="2" t="s">
        <v>100</v>
      </c>
    </row>
    <row r="4" spans="1:2" x14ac:dyDescent="0.25">
      <c r="A4" s="4" t="s">
        <v>101</v>
      </c>
      <c r="B4" s="2" t="s">
        <v>102</v>
      </c>
    </row>
    <row r="5" spans="1:2" x14ac:dyDescent="0.25">
      <c r="A5" s="4" t="s">
        <v>94</v>
      </c>
      <c r="B5" s="2" t="s">
        <v>103</v>
      </c>
    </row>
    <row r="6" spans="1:2" x14ac:dyDescent="0.25">
      <c r="A6" s="4" t="s">
        <v>95</v>
      </c>
      <c r="B6" s="2" t="s">
        <v>104</v>
      </c>
    </row>
    <row r="7" spans="1:2" x14ac:dyDescent="0.25">
      <c r="A7" s="4" t="s">
        <v>96</v>
      </c>
      <c r="B7" s="2" t="s">
        <v>105</v>
      </c>
    </row>
    <row r="8" spans="1:2" x14ac:dyDescent="0.25">
      <c r="A8" s="4" t="s">
        <v>106</v>
      </c>
      <c r="B8" s="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7"/>
  <sheetViews>
    <sheetView tabSelected="1" workbookViewId="0">
      <selection activeCell="F16" sqref="F16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1" x14ac:dyDescent="0.25">
      <c r="A1" s="13" t="s">
        <v>108</v>
      </c>
      <c r="B1" s="13"/>
      <c r="C1" s="13"/>
    </row>
    <row r="2" spans="1:11" x14ac:dyDescent="0.25">
      <c r="A2" s="13" t="s">
        <v>109</v>
      </c>
      <c r="B2" s="43" t="s">
        <v>110</v>
      </c>
      <c r="C2" s="34"/>
      <c r="D2" s="34"/>
    </row>
    <row r="3" spans="1:11" x14ac:dyDescent="0.25">
      <c r="A3" s="13" t="s">
        <v>111</v>
      </c>
      <c r="B3" s="43" t="s">
        <v>112</v>
      </c>
      <c r="C3" s="34"/>
      <c r="D3" s="34"/>
      <c r="E3" s="34"/>
      <c r="F3" s="34"/>
      <c r="G3" s="34"/>
      <c r="H3" s="34"/>
      <c r="I3" s="34"/>
    </row>
    <row r="4" spans="1:11" x14ac:dyDescent="0.25">
      <c r="A4" s="13"/>
      <c r="B4" s="13"/>
      <c r="C4" s="13"/>
    </row>
    <row r="5" spans="1:11" x14ac:dyDescent="0.25">
      <c r="A5" s="13"/>
      <c r="B5" s="11"/>
      <c r="C5" s="11"/>
    </row>
    <row r="6" spans="1:11" x14ac:dyDescent="0.25">
      <c r="A6" s="13"/>
      <c r="B6" s="13"/>
      <c r="C6" s="43"/>
      <c r="D6" s="36"/>
      <c r="E6" s="36"/>
      <c r="F6" s="36"/>
      <c r="H6" s="13"/>
      <c r="K6" s="24"/>
    </row>
    <row r="7" spans="1:11" x14ac:dyDescent="0.25">
      <c r="A7" s="13"/>
      <c r="B7" s="13"/>
      <c r="C7" s="43"/>
      <c r="D7" s="36"/>
      <c r="E7" s="36"/>
      <c r="F7" s="36"/>
      <c r="H7" s="13"/>
      <c r="K7" s="24"/>
    </row>
    <row r="8" spans="1:11" x14ac:dyDescent="0.25">
      <c r="A8" s="13"/>
      <c r="B8" s="13"/>
      <c r="C8" s="43"/>
      <c r="D8" s="36"/>
      <c r="E8" s="36"/>
      <c r="F8" s="36"/>
      <c r="H8" s="13"/>
    </row>
    <row r="9" spans="1:11" x14ac:dyDescent="0.25">
      <c r="A9" s="13"/>
      <c r="B9" s="13"/>
      <c r="C9" s="43"/>
      <c r="D9" s="36"/>
      <c r="E9" s="36"/>
      <c r="F9" s="36"/>
      <c r="H9" s="13"/>
    </row>
    <row r="10" spans="1:11" x14ac:dyDescent="0.25">
      <c r="A10" s="13"/>
      <c r="B10" s="13"/>
      <c r="C10" s="43"/>
      <c r="D10" s="36"/>
      <c r="E10" s="36"/>
      <c r="F10" s="36"/>
      <c r="H10" s="13"/>
    </row>
    <row r="11" spans="1:11" ht="15.75" thickBot="1" x14ac:dyDescent="0.3">
      <c r="A11" s="13"/>
      <c r="B11" s="13"/>
      <c r="C11" s="43"/>
      <c r="D11" s="36"/>
      <c r="E11" s="36"/>
      <c r="F11" s="36"/>
      <c r="H11" s="13"/>
    </row>
    <row r="12" spans="1:11" ht="15.75" thickBot="1" x14ac:dyDescent="0.3">
      <c r="A12" s="13"/>
      <c r="B12" s="45" t="s">
        <v>113</v>
      </c>
      <c r="C12" s="45" t="s">
        <v>114</v>
      </c>
      <c r="D12" s="5"/>
      <c r="E12" s="5"/>
      <c r="F12" s="5"/>
    </row>
    <row r="13" spans="1:11" ht="15.75" thickBot="1" x14ac:dyDescent="0.3">
      <c r="A13" s="7" t="s">
        <v>115</v>
      </c>
      <c r="B13" s="12" t="b">
        <f>$C$12="Low"</f>
        <v>1</v>
      </c>
      <c r="C13" s="12" t="b">
        <f>$C$12="High"</f>
        <v>0</v>
      </c>
      <c r="E13" s="45" t="s">
        <v>116</v>
      </c>
      <c r="H13" s="5"/>
      <c r="I13" s="5"/>
      <c r="J13" s="5"/>
    </row>
    <row r="14" spans="1:11" ht="15.75" thickBot="1" x14ac:dyDescent="0.3">
      <c r="A14" s="13" t="s">
        <v>117</v>
      </c>
      <c r="B14" s="13">
        <f>B33</f>
        <v>900000</v>
      </c>
      <c r="C14" s="13">
        <f>C33</f>
        <v>1650000</v>
      </c>
      <c r="D14" s="7" t="b">
        <f>$E$14="Sponsor-Controlled"</f>
        <v>1</v>
      </c>
      <c r="E14" s="45" t="s">
        <v>118</v>
      </c>
      <c r="F14" s="13"/>
    </row>
    <row r="15" spans="1:11" x14ac:dyDescent="0.25">
      <c r="A15" s="13" t="s">
        <v>119</v>
      </c>
      <c r="B15" s="13">
        <f>B47+B56+B65</f>
        <v>1880000</v>
      </c>
      <c r="C15" s="13">
        <f>C47+C56+C65</f>
        <v>4160000</v>
      </c>
      <c r="D15" s="7" t="b">
        <f>$E$14="Outside-Market Benchmark"</f>
        <v>0</v>
      </c>
      <c r="E15" s="13"/>
      <c r="F15" s="13"/>
    </row>
    <row r="16" spans="1:11" x14ac:dyDescent="0.25">
      <c r="A16" s="7" t="s">
        <v>120</v>
      </c>
      <c r="B16" s="7" t="str">
        <f>$E$14</f>
        <v>Sponsor-Controlled</v>
      </c>
      <c r="C16" s="7" t="str">
        <f>$C$12</f>
        <v>Low</v>
      </c>
      <c r="D16" s="7"/>
      <c r="E16" s="7"/>
      <c r="F16" s="7"/>
      <c r="G16" s="5"/>
      <c r="H16" s="5"/>
      <c r="I16" s="5"/>
      <c r="J16" s="5"/>
    </row>
    <row r="17" spans="1:10" x14ac:dyDescent="0.25">
      <c r="A17" s="7" t="s">
        <v>121</v>
      </c>
      <c r="B17" s="7">
        <f>IF($C$12="Low",IF($E$14="Sponsor-Controlled",B14,B15),"")</f>
        <v>900000</v>
      </c>
      <c r="C17" s="7" t="str">
        <f>IF($C$12="High",IF($E$14="Sponsor-Controlled",C14,C15),"")</f>
        <v/>
      </c>
      <c r="E17" s="7"/>
      <c r="F17" s="7"/>
      <c r="G17" s="7">
        <f>IF($C$12="Low",B17,C17)</f>
        <v>900000</v>
      </c>
      <c r="H17" s="5"/>
      <c r="I17" s="5"/>
      <c r="J17" s="5"/>
    </row>
    <row r="18" spans="1:10" x14ac:dyDescent="0.25">
      <c r="A18" s="13"/>
      <c r="B18" s="13"/>
      <c r="C18" s="13"/>
      <c r="D18" s="15"/>
      <c r="E18" s="15"/>
      <c r="F18" s="15"/>
    </row>
    <row r="19" spans="1:10" x14ac:dyDescent="0.25">
      <c r="A19" s="6" t="s">
        <v>122</v>
      </c>
      <c r="B19" s="14" t="s">
        <v>123</v>
      </c>
      <c r="C19" s="14" t="s">
        <v>124</v>
      </c>
      <c r="D19" s="15"/>
      <c r="E19" s="15"/>
      <c r="F19" s="15"/>
    </row>
    <row r="20" spans="1:10" x14ac:dyDescent="0.25">
      <c r="B20" s="13"/>
      <c r="C20" s="13"/>
    </row>
    <row r="21" spans="1:10" x14ac:dyDescent="0.25">
      <c r="A21" s="6" t="s">
        <v>125</v>
      </c>
      <c r="B21" s="13">
        <f>$G$17/5000</f>
        <v>180</v>
      </c>
      <c r="C21" s="13"/>
    </row>
    <row r="22" spans="1:10" x14ac:dyDescent="0.25">
      <c r="A22" s="6" t="s">
        <v>126</v>
      </c>
      <c r="B22" s="13">
        <f>$G$17/6000</f>
        <v>150</v>
      </c>
      <c r="C22" s="13"/>
    </row>
    <row r="23" spans="1:10" x14ac:dyDescent="0.25">
      <c r="B23" s="13"/>
      <c r="C23" s="13"/>
    </row>
    <row r="24" spans="1:10" x14ac:dyDescent="0.25">
      <c r="A24" s="5" t="s">
        <v>127</v>
      </c>
      <c r="B24" s="12" t="s">
        <v>114</v>
      </c>
      <c r="C24" s="12" t="s">
        <v>128</v>
      </c>
    </row>
    <row r="25" spans="1:10" x14ac:dyDescent="0.25">
      <c r="A25" s="5" t="s">
        <v>302</v>
      </c>
      <c r="B25" s="13">
        <f>SponsorPropertyPayment</f>
        <v>150000</v>
      </c>
      <c r="C25" s="13">
        <f>SponsorPropertyPayment</f>
        <v>150000</v>
      </c>
    </row>
    <row r="26" spans="1:10" x14ac:dyDescent="0.25">
      <c r="A26" s="6" t="s">
        <v>129</v>
      </c>
      <c r="B26" s="13">
        <v>75000</v>
      </c>
      <c r="C26" s="13">
        <v>175000</v>
      </c>
    </row>
    <row r="27" spans="1:10" x14ac:dyDescent="0.25">
      <c r="A27" s="6" t="s">
        <v>130</v>
      </c>
      <c r="B27" s="13">
        <v>50000</v>
      </c>
      <c r="C27" s="13">
        <v>125000</v>
      </c>
    </row>
    <row r="28" spans="1:10" x14ac:dyDescent="0.25">
      <c r="A28" s="6" t="s">
        <v>131</v>
      </c>
      <c r="B28" s="13">
        <v>390000</v>
      </c>
      <c r="C28" s="13">
        <v>610000</v>
      </c>
    </row>
    <row r="29" spans="1:10" x14ac:dyDescent="0.25">
      <c r="A29" s="6" t="s">
        <v>132</v>
      </c>
      <c r="B29" s="13">
        <v>55000</v>
      </c>
      <c r="C29" s="13">
        <v>110000</v>
      </c>
    </row>
    <row r="30" spans="1:10" x14ac:dyDescent="0.25">
      <c r="A30" s="6" t="s">
        <v>133</v>
      </c>
      <c r="B30" s="13">
        <v>90000</v>
      </c>
      <c r="C30" s="13">
        <v>225000</v>
      </c>
    </row>
    <row r="31" spans="1:10" x14ac:dyDescent="0.25">
      <c r="A31" s="6" t="s">
        <v>134</v>
      </c>
      <c r="B31" s="13">
        <v>30000</v>
      </c>
      <c r="C31" s="13">
        <v>100000</v>
      </c>
    </row>
    <row r="32" spans="1:10" x14ac:dyDescent="0.25">
      <c r="A32" s="6" t="s">
        <v>135</v>
      </c>
      <c r="B32" s="13">
        <v>60000</v>
      </c>
      <c r="C32" s="13">
        <v>155000</v>
      </c>
    </row>
    <row r="33" spans="1:3" x14ac:dyDescent="0.25">
      <c r="A33" s="8" t="s">
        <v>136</v>
      </c>
      <c r="B33" s="7">
        <f>SUM(B25:B32)</f>
        <v>900000</v>
      </c>
      <c r="C33" s="7">
        <f>SUM(C25:C32)</f>
        <v>1650000</v>
      </c>
    </row>
    <row r="34" spans="1:3" x14ac:dyDescent="0.25">
      <c r="A34" s="13" t="s">
        <v>137</v>
      </c>
      <c r="B34" s="11" t="s">
        <v>138</v>
      </c>
      <c r="C34" s="11"/>
    </row>
    <row r="35" spans="1:3" x14ac:dyDescent="0.25">
      <c r="A35" s="13" t="s">
        <v>139</v>
      </c>
      <c r="B35" s="13">
        <f>SelectedProjectCost</f>
        <v>900000</v>
      </c>
      <c r="C35" s="13"/>
    </row>
    <row r="36" spans="1:3" x14ac:dyDescent="0.25">
      <c r="A36" s="13" t="s">
        <v>140</v>
      </c>
      <c r="B36" s="13">
        <f>ClassACapital+ClassBCapital</f>
        <v>900000</v>
      </c>
      <c r="C36" s="13"/>
    </row>
    <row r="37" spans="1:3" x14ac:dyDescent="0.25">
      <c r="A37" s="13" t="s">
        <v>141</v>
      </c>
      <c r="B37" s="13">
        <f>MAX(0,B35-B36)</f>
        <v>0</v>
      </c>
      <c r="C37" s="13"/>
    </row>
    <row r="38" spans="1:3" x14ac:dyDescent="0.25">
      <c r="A38" s="13"/>
      <c r="B38" s="13"/>
      <c r="C38" s="13"/>
    </row>
    <row r="39" spans="1:3" x14ac:dyDescent="0.25">
      <c r="A39" s="10" t="s">
        <v>142</v>
      </c>
      <c r="B39" s="10" t="s">
        <v>114</v>
      </c>
      <c r="C39" s="10" t="s">
        <v>128</v>
      </c>
    </row>
    <row r="40" spans="1:3" x14ac:dyDescent="0.25">
      <c r="A40" s="10" t="s">
        <v>143</v>
      </c>
      <c r="B40" s="10">
        <v>35000</v>
      </c>
      <c r="C40" s="10">
        <v>90000</v>
      </c>
    </row>
    <row r="41" spans="1:3" x14ac:dyDescent="0.25">
      <c r="A41" s="10" t="s">
        <v>144</v>
      </c>
      <c r="B41" s="10">
        <v>20000</v>
      </c>
      <c r="C41" s="10">
        <v>60000</v>
      </c>
    </row>
    <row r="42" spans="1:3" x14ac:dyDescent="0.25">
      <c r="A42" s="10" t="s">
        <v>145</v>
      </c>
      <c r="B42" s="10">
        <v>20000</v>
      </c>
      <c r="C42" s="10">
        <v>90000</v>
      </c>
    </row>
    <row r="43" spans="1:3" x14ac:dyDescent="0.25">
      <c r="A43" s="10" t="s">
        <v>146</v>
      </c>
      <c r="B43" s="10">
        <v>10000</v>
      </c>
      <c r="C43" s="10">
        <v>30000</v>
      </c>
    </row>
    <row r="44" spans="1:3" x14ac:dyDescent="0.25">
      <c r="A44" s="10" t="s">
        <v>147</v>
      </c>
      <c r="B44" s="10">
        <v>15000</v>
      </c>
      <c r="C44" s="10">
        <v>50000</v>
      </c>
    </row>
    <row r="45" spans="1:3" x14ac:dyDescent="0.25">
      <c r="A45" s="10" t="s">
        <v>148</v>
      </c>
      <c r="B45" s="10">
        <v>15000</v>
      </c>
      <c r="C45" s="10">
        <v>40000</v>
      </c>
    </row>
    <row r="46" spans="1:3" x14ac:dyDescent="0.25">
      <c r="A46" s="10" t="s">
        <v>149</v>
      </c>
      <c r="B46" s="10">
        <v>15000</v>
      </c>
      <c r="C46" s="10">
        <v>45000</v>
      </c>
    </row>
    <row r="47" spans="1:3" x14ac:dyDescent="0.25">
      <c r="A47" s="10" t="s">
        <v>150</v>
      </c>
      <c r="B47" s="10">
        <f>SUM(B40:B46)</f>
        <v>130000</v>
      </c>
      <c r="C47" s="10">
        <f>SUM(C40:C46)</f>
        <v>405000</v>
      </c>
    </row>
    <row r="48" spans="1:3" x14ac:dyDescent="0.25">
      <c r="A48" s="10"/>
      <c r="B48" s="10"/>
      <c r="C48" s="10"/>
    </row>
    <row r="49" spans="1:3" x14ac:dyDescent="0.25">
      <c r="A49" s="10" t="s">
        <v>151</v>
      </c>
      <c r="B49" s="10" t="s">
        <v>114</v>
      </c>
      <c r="C49" s="10" t="s">
        <v>128</v>
      </c>
    </row>
    <row r="50" spans="1:3" x14ac:dyDescent="0.25">
      <c r="A50" s="10" t="s">
        <v>152</v>
      </c>
      <c r="B50" s="10">
        <v>50000</v>
      </c>
      <c r="C50" s="10">
        <v>150000</v>
      </c>
    </row>
    <row r="51" spans="1:3" x14ac:dyDescent="0.25">
      <c r="A51" s="10" t="s">
        <v>153</v>
      </c>
      <c r="B51" s="10">
        <v>40000</v>
      </c>
      <c r="C51" s="10">
        <v>120000</v>
      </c>
    </row>
    <row r="52" spans="1:3" x14ac:dyDescent="0.25">
      <c r="A52" s="10" t="s">
        <v>154</v>
      </c>
      <c r="B52" s="10">
        <v>25000</v>
      </c>
      <c r="C52" s="10">
        <v>75000</v>
      </c>
    </row>
    <row r="53" spans="1:3" x14ac:dyDescent="0.25">
      <c r="A53" s="10" t="s">
        <v>155</v>
      </c>
      <c r="B53" s="10">
        <v>10000</v>
      </c>
      <c r="C53" s="10">
        <v>30000</v>
      </c>
    </row>
    <row r="54" spans="1:3" x14ac:dyDescent="0.25">
      <c r="A54" s="10" t="s">
        <v>156</v>
      </c>
      <c r="B54" s="10">
        <v>20000</v>
      </c>
      <c r="C54" s="10">
        <v>60000</v>
      </c>
    </row>
    <row r="55" spans="1:3" x14ac:dyDescent="0.25">
      <c r="A55" s="10" t="s">
        <v>157</v>
      </c>
      <c r="B55" s="10">
        <v>40000</v>
      </c>
      <c r="C55" s="10">
        <v>125000</v>
      </c>
    </row>
    <row r="56" spans="1:3" x14ac:dyDescent="0.25">
      <c r="A56" s="10" t="s">
        <v>158</v>
      </c>
      <c r="B56" s="10">
        <f>SUM(B50:B55)</f>
        <v>185000</v>
      </c>
      <c r="C56" s="10">
        <f>SUM(C50:C55)</f>
        <v>560000</v>
      </c>
    </row>
    <row r="57" spans="1:3" x14ac:dyDescent="0.25">
      <c r="A57" s="10"/>
      <c r="B57" s="10"/>
      <c r="C57" s="10"/>
    </row>
    <row r="58" spans="1:3" x14ac:dyDescent="0.25">
      <c r="A58" s="10" t="s">
        <v>159</v>
      </c>
      <c r="B58" s="10" t="s">
        <v>114</v>
      </c>
      <c r="C58" s="10" t="s">
        <v>128</v>
      </c>
    </row>
    <row r="59" spans="1:3" x14ac:dyDescent="0.25">
      <c r="A59" s="10" t="s">
        <v>160</v>
      </c>
      <c r="B59" s="10">
        <v>1125000</v>
      </c>
      <c r="C59" s="10">
        <v>1950000</v>
      </c>
    </row>
    <row r="60" spans="1:3" x14ac:dyDescent="0.25">
      <c r="A60" s="10" t="s">
        <v>161</v>
      </c>
      <c r="B60" s="10">
        <v>125000</v>
      </c>
      <c r="C60" s="10">
        <v>350000</v>
      </c>
    </row>
    <row r="61" spans="1:3" x14ac:dyDescent="0.25">
      <c r="A61" s="10" t="s">
        <v>162</v>
      </c>
      <c r="B61" s="10">
        <v>35000</v>
      </c>
      <c r="C61" s="10">
        <v>125000</v>
      </c>
    </row>
    <row r="62" spans="1:3" x14ac:dyDescent="0.25">
      <c r="A62" s="10" t="s">
        <v>163</v>
      </c>
      <c r="B62" s="10">
        <v>75000</v>
      </c>
      <c r="C62" s="10">
        <v>300000</v>
      </c>
    </row>
    <row r="63" spans="1:3" x14ac:dyDescent="0.25">
      <c r="A63" s="10" t="s">
        <v>134</v>
      </c>
      <c r="B63" s="10">
        <v>60000</v>
      </c>
      <c r="C63" s="10">
        <v>180000</v>
      </c>
    </row>
    <row r="64" spans="1:3" x14ac:dyDescent="0.25">
      <c r="A64" s="10" t="s">
        <v>164</v>
      </c>
      <c r="B64" s="10">
        <v>145000</v>
      </c>
      <c r="C64" s="10">
        <v>290000</v>
      </c>
    </row>
    <row r="65" spans="1:7" x14ac:dyDescent="0.25">
      <c r="A65" s="10" t="s">
        <v>165</v>
      </c>
      <c r="B65" s="10">
        <f>SUM(B59:B64)</f>
        <v>1565000</v>
      </c>
      <c r="C65" s="10">
        <f>SUM(C59:C64)</f>
        <v>3195000</v>
      </c>
    </row>
    <row r="67" spans="1:7" x14ac:dyDescent="0.25">
      <c r="A67" s="5" t="s">
        <v>166</v>
      </c>
    </row>
    <row r="68" spans="1:7" x14ac:dyDescent="0.25">
      <c r="A68" s="6" t="s">
        <v>167</v>
      </c>
      <c r="B68" s="34" t="s">
        <v>168</v>
      </c>
      <c r="C68" s="34"/>
      <c r="D68" s="34"/>
    </row>
    <row r="71" spans="1:7" x14ac:dyDescent="0.25">
      <c r="A71" s="5" t="s">
        <v>169</v>
      </c>
    </row>
    <row r="72" spans="1:7" x14ac:dyDescent="0.25">
      <c r="A72" s="6" t="s">
        <v>170</v>
      </c>
      <c r="B72" s="6" t="s">
        <v>171</v>
      </c>
      <c r="C72" s="34" t="s">
        <v>172</v>
      </c>
      <c r="D72" s="34"/>
      <c r="E72" s="34"/>
      <c r="F72" s="34"/>
      <c r="G72" s="34"/>
    </row>
    <row r="73" spans="1:7" x14ac:dyDescent="0.25">
      <c r="A73" s="6" t="s">
        <v>173</v>
      </c>
      <c r="B73" s="6" t="s">
        <v>171</v>
      </c>
      <c r="C73" s="34" t="s">
        <v>172</v>
      </c>
      <c r="D73" s="34"/>
      <c r="E73" s="34"/>
      <c r="F73" s="34"/>
      <c r="G73" s="34"/>
    </row>
    <row r="74" spans="1:7" x14ac:dyDescent="0.25">
      <c r="A74" s="6" t="s">
        <v>174</v>
      </c>
      <c r="B74" s="6" t="s">
        <v>171</v>
      </c>
      <c r="C74" s="34" t="s">
        <v>172</v>
      </c>
      <c r="D74" s="34"/>
      <c r="E74" s="34"/>
      <c r="F74" s="34"/>
      <c r="G74" s="34"/>
    </row>
    <row r="75" spans="1:7" x14ac:dyDescent="0.25">
      <c r="A75" s="6" t="s">
        <v>175</v>
      </c>
      <c r="B75" s="6" t="s">
        <v>171</v>
      </c>
      <c r="C75" s="34" t="s">
        <v>172</v>
      </c>
      <c r="D75" s="34"/>
      <c r="E75" s="34"/>
      <c r="F75" s="34"/>
      <c r="G75" s="34"/>
    </row>
    <row r="76" spans="1:7" x14ac:dyDescent="0.25">
      <c r="A76" s="6" t="s">
        <v>176</v>
      </c>
      <c r="B76" s="6" t="s">
        <v>177</v>
      </c>
      <c r="C76" s="34" t="s">
        <v>178</v>
      </c>
      <c r="D76" s="34"/>
      <c r="E76" s="34"/>
      <c r="F76" s="34"/>
      <c r="G76" s="34"/>
    </row>
    <row r="77" spans="1:7" x14ac:dyDescent="0.25">
      <c r="A77" s="6" t="s">
        <v>179</v>
      </c>
      <c r="B77" s="6" t="s">
        <v>171</v>
      </c>
      <c r="C77" s="34" t="s">
        <v>180</v>
      </c>
      <c r="D77" s="34"/>
      <c r="E77" s="34"/>
      <c r="F77" s="34"/>
      <c r="G77" s="34"/>
    </row>
    <row r="78" spans="1:7" x14ac:dyDescent="0.25">
      <c r="A78" s="6" t="s">
        <v>181</v>
      </c>
      <c r="B78" s="6" t="s">
        <v>171</v>
      </c>
      <c r="C78" s="34" t="s">
        <v>182</v>
      </c>
      <c r="D78" s="34"/>
      <c r="E78" s="34"/>
      <c r="F78" s="34"/>
      <c r="G78" s="34"/>
    </row>
    <row r="79" spans="1:7" x14ac:dyDescent="0.25">
      <c r="A79" s="6" t="s">
        <v>183</v>
      </c>
      <c r="B79" s="6" t="s">
        <v>171</v>
      </c>
      <c r="C79" s="34" t="s">
        <v>184</v>
      </c>
      <c r="D79" s="34"/>
      <c r="E79" s="34"/>
      <c r="F79" s="34"/>
      <c r="G79" s="34"/>
    </row>
    <row r="81" spans="1:7" x14ac:dyDescent="0.25">
      <c r="A81" s="5" t="s">
        <v>185</v>
      </c>
    </row>
    <row r="82" spans="1:7" x14ac:dyDescent="0.25">
      <c r="A82" s="6" t="s">
        <v>186</v>
      </c>
      <c r="B82" s="6" t="s">
        <v>171</v>
      </c>
      <c r="C82" s="34" t="s">
        <v>187</v>
      </c>
      <c r="D82" s="34"/>
      <c r="E82" s="34"/>
      <c r="F82" s="34"/>
      <c r="G82" s="34"/>
    </row>
    <row r="83" spans="1:7" x14ac:dyDescent="0.25">
      <c r="A83" s="6" t="s">
        <v>188</v>
      </c>
      <c r="B83" s="6" t="s">
        <v>177</v>
      </c>
    </row>
    <row r="84" spans="1:7" x14ac:dyDescent="0.25">
      <c r="A84" s="6" t="s">
        <v>189</v>
      </c>
      <c r="B84" s="6" t="s">
        <v>177</v>
      </c>
    </row>
    <row r="85" spans="1:7" x14ac:dyDescent="0.25">
      <c r="A85" s="6" t="s">
        <v>190</v>
      </c>
      <c r="B85" s="6" t="s">
        <v>177</v>
      </c>
    </row>
    <row r="86" spans="1:7" x14ac:dyDescent="0.25">
      <c r="A86" s="6" t="s">
        <v>191</v>
      </c>
      <c r="B86" s="6" t="s">
        <v>177</v>
      </c>
    </row>
    <row r="87" spans="1:7" x14ac:dyDescent="0.25">
      <c r="A87" s="6" t="s">
        <v>192</v>
      </c>
      <c r="B87" s="6" t="s">
        <v>171</v>
      </c>
      <c r="C87" s="34" t="s">
        <v>193</v>
      </c>
      <c r="D87" s="34"/>
      <c r="E87" s="34"/>
      <c r="F87" s="34"/>
      <c r="G87" s="34"/>
    </row>
  </sheetData>
  <mergeCells count="19">
    <mergeCell ref="C87:G87"/>
    <mergeCell ref="B2:D2"/>
    <mergeCell ref="B68:D68"/>
    <mergeCell ref="C82:G82"/>
    <mergeCell ref="C72:G72"/>
    <mergeCell ref="C73:G73"/>
    <mergeCell ref="C74:G74"/>
    <mergeCell ref="C75:G75"/>
    <mergeCell ref="C76:G76"/>
    <mergeCell ref="C77:G77"/>
    <mergeCell ref="C78:G78"/>
    <mergeCell ref="C79:G79"/>
    <mergeCell ref="B3:I3"/>
    <mergeCell ref="C6:F6"/>
    <mergeCell ref="C7:F7"/>
    <mergeCell ref="C8:F8"/>
    <mergeCell ref="C9:F9"/>
    <mergeCell ref="C10:F10"/>
    <mergeCell ref="C11:F11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194</v>
      </c>
      <c r="B1" s="5"/>
      <c r="C1" s="5"/>
    </row>
    <row r="3" spans="1:9" x14ac:dyDescent="0.25">
      <c r="A3" s="5" t="s">
        <v>195</v>
      </c>
      <c r="B3" s="5"/>
      <c r="C3" s="5"/>
    </row>
    <row r="4" spans="1:9" x14ac:dyDescent="0.25">
      <c r="A4" t="s">
        <v>196</v>
      </c>
      <c r="C4" t="s">
        <v>197</v>
      </c>
      <c r="I4" t="b">
        <v>0</v>
      </c>
    </row>
    <row r="5" spans="1:9" x14ac:dyDescent="0.25">
      <c r="A5" t="s">
        <v>198</v>
      </c>
      <c r="B5" s="1">
        <v>0.4</v>
      </c>
      <c r="C5" t="s">
        <v>199</v>
      </c>
    </row>
    <row r="6" spans="1:9" ht="15.75" thickBot="1" x14ac:dyDescent="0.3">
      <c r="A6" t="s">
        <v>200</v>
      </c>
      <c r="B6" s="1">
        <f>IFERROR(B36/B10,0)</f>
        <v>0.65890083632019114</v>
      </c>
      <c r="C6" t="s">
        <v>201</v>
      </c>
    </row>
    <row r="7" spans="1:9" ht="15.75" thickBot="1" x14ac:dyDescent="0.3">
      <c r="A7" s="16" t="s">
        <v>21</v>
      </c>
      <c r="B7" s="17">
        <f>IF(I4,B6,B5)</f>
        <v>0.4</v>
      </c>
      <c r="C7" t="s">
        <v>202</v>
      </c>
    </row>
    <row r="9" spans="1:9" x14ac:dyDescent="0.25">
      <c r="A9" s="5" t="s">
        <v>203</v>
      </c>
      <c r="B9" s="5"/>
      <c r="C9" s="5"/>
    </row>
    <row r="10" spans="1:9" x14ac:dyDescent="0.25">
      <c r="A10" t="s">
        <v>204</v>
      </c>
      <c r="B10" s="2">
        <f>StabilizedMonthlyGrossRent*12*StabilizedOccupancy</f>
        <v>120528</v>
      </c>
      <c r="C10" t="s">
        <v>205</v>
      </c>
    </row>
    <row r="11" spans="1:9" x14ac:dyDescent="0.25">
      <c r="B11" s="2"/>
    </row>
    <row r="12" spans="1:9" x14ac:dyDescent="0.25">
      <c r="A12" s="5" t="s">
        <v>206</v>
      </c>
      <c r="B12" s="7" t="s">
        <v>207</v>
      </c>
      <c r="C12" s="5" t="s">
        <v>208</v>
      </c>
    </row>
    <row r="13" spans="1:9" x14ac:dyDescent="0.25">
      <c r="A13" t="s">
        <v>209</v>
      </c>
      <c r="B13" s="9">
        <v>7000</v>
      </c>
      <c r="C13" t="s">
        <v>210</v>
      </c>
    </row>
    <row r="14" spans="1:9" x14ac:dyDescent="0.25">
      <c r="A14" t="s">
        <v>211</v>
      </c>
      <c r="B14" s="2">
        <v>9000</v>
      </c>
      <c r="C14" t="s">
        <v>212</v>
      </c>
    </row>
    <row r="15" spans="1:9" x14ac:dyDescent="0.25">
      <c r="A15" t="s">
        <v>213</v>
      </c>
      <c r="B15" s="9">
        <f>+D15*StabilizedMonthlyGrossRent*12</f>
        <v>7776</v>
      </c>
      <c r="C15" t="s">
        <v>214</v>
      </c>
      <c r="D15" s="19">
        <v>0.06</v>
      </c>
    </row>
    <row r="16" spans="1:9" x14ac:dyDescent="0.25">
      <c r="A16" t="s">
        <v>215</v>
      </c>
      <c r="B16" s="9">
        <v>15000</v>
      </c>
      <c r="C16" t="s">
        <v>216</v>
      </c>
    </row>
    <row r="17" spans="1:3" x14ac:dyDescent="0.25">
      <c r="A17" t="s">
        <v>217</v>
      </c>
      <c r="B17" s="9">
        <v>500</v>
      </c>
      <c r="C17" t="s">
        <v>218</v>
      </c>
    </row>
    <row r="18" spans="1:3" x14ac:dyDescent="0.25">
      <c r="A18" t="s">
        <v>219</v>
      </c>
      <c r="B18" s="9">
        <v>2400</v>
      </c>
      <c r="C18" t="s">
        <v>220</v>
      </c>
    </row>
    <row r="19" spans="1:3" x14ac:dyDescent="0.25">
      <c r="A19" t="s">
        <v>221</v>
      </c>
      <c r="B19" s="9">
        <v>1800</v>
      </c>
      <c r="C19" t="s">
        <v>222</v>
      </c>
    </row>
    <row r="20" spans="1:3" x14ac:dyDescent="0.25">
      <c r="A20" t="s">
        <v>223</v>
      </c>
      <c r="B20" s="9">
        <v>9000</v>
      </c>
      <c r="C20" t="s">
        <v>224</v>
      </c>
    </row>
    <row r="21" spans="1:3" x14ac:dyDescent="0.25">
      <c r="A21" t="s">
        <v>225</v>
      </c>
      <c r="B21" s="9">
        <f>200*8</f>
        <v>1600</v>
      </c>
      <c r="C21" t="s">
        <v>226</v>
      </c>
    </row>
    <row r="22" spans="1:3" x14ac:dyDescent="0.25">
      <c r="A22" t="s">
        <v>227</v>
      </c>
      <c r="B22" s="9">
        <v>3600</v>
      </c>
      <c r="C22" t="s">
        <v>228</v>
      </c>
    </row>
    <row r="23" spans="1:3" x14ac:dyDescent="0.25">
      <c r="A23" t="s">
        <v>229</v>
      </c>
      <c r="B23" s="9">
        <v>1200</v>
      </c>
      <c r="C23" t="s">
        <v>222</v>
      </c>
    </row>
    <row r="24" spans="1:3" x14ac:dyDescent="0.25">
      <c r="A24" t="s">
        <v>230</v>
      </c>
      <c r="B24" s="9">
        <v>3000</v>
      </c>
      <c r="C24" t="s">
        <v>231</v>
      </c>
    </row>
    <row r="25" spans="1:3" x14ac:dyDescent="0.25">
      <c r="A25" t="s">
        <v>232</v>
      </c>
      <c r="B25" s="9">
        <v>4000</v>
      </c>
      <c r="C25" t="s">
        <v>233</v>
      </c>
    </row>
    <row r="26" spans="1:3" x14ac:dyDescent="0.25">
      <c r="A26" t="s">
        <v>234</v>
      </c>
      <c r="B26" s="2">
        <v>0</v>
      </c>
      <c r="C26" t="s">
        <v>235</v>
      </c>
    </row>
    <row r="27" spans="1:3" x14ac:dyDescent="0.25">
      <c r="A27" t="s">
        <v>236</v>
      </c>
      <c r="B27" s="2">
        <f>120*12</f>
        <v>1440</v>
      </c>
      <c r="C27" t="s">
        <v>237</v>
      </c>
    </row>
    <row r="28" spans="1:3" x14ac:dyDescent="0.25">
      <c r="A28" t="s">
        <v>238</v>
      </c>
      <c r="B28" s="2"/>
      <c r="C28" t="s">
        <v>239</v>
      </c>
    </row>
    <row r="29" spans="1:3" x14ac:dyDescent="0.25">
      <c r="A29" t="s">
        <v>240</v>
      </c>
      <c r="B29" s="2">
        <v>1200</v>
      </c>
      <c r="C29" t="s">
        <v>241</v>
      </c>
    </row>
    <row r="30" spans="1:3" x14ac:dyDescent="0.25">
      <c r="A30" t="s">
        <v>242</v>
      </c>
      <c r="B30" s="2"/>
      <c r="C30" t="s">
        <v>243</v>
      </c>
    </row>
    <row r="31" spans="1:3" x14ac:dyDescent="0.25">
      <c r="A31" t="s">
        <v>244</v>
      </c>
      <c r="B31" s="2">
        <v>2400</v>
      </c>
      <c r="C31" t="s">
        <v>245</v>
      </c>
    </row>
    <row r="32" spans="1:3" x14ac:dyDescent="0.25">
      <c r="A32" t="s">
        <v>246</v>
      </c>
      <c r="B32" s="2">
        <v>1200</v>
      </c>
      <c r="C32" t="s">
        <v>247</v>
      </c>
    </row>
    <row r="33" spans="1:3" x14ac:dyDescent="0.25">
      <c r="A33" t="s">
        <v>248</v>
      </c>
      <c r="B33" s="2">
        <v>800</v>
      </c>
      <c r="C33" t="s">
        <v>249</v>
      </c>
    </row>
    <row r="34" spans="1:3" x14ac:dyDescent="0.25">
      <c r="A34" t="s">
        <v>250</v>
      </c>
      <c r="B34" s="2">
        <v>2500</v>
      </c>
      <c r="C34" t="s">
        <v>251</v>
      </c>
    </row>
    <row r="35" spans="1:3" x14ac:dyDescent="0.25">
      <c r="A35" s="5" t="s">
        <v>252</v>
      </c>
      <c r="B35" s="7">
        <v>4000</v>
      </c>
      <c r="C35" s="5" t="s">
        <v>253</v>
      </c>
    </row>
    <row r="36" spans="1:3" x14ac:dyDescent="0.25">
      <c r="A36" s="5" t="s">
        <v>254</v>
      </c>
      <c r="B36" s="7">
        <f>SUM(B13:B35)</f>
        <v>79416</v>
      </c>
      <c r="C36" s="5" t="s">
        <v>255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2026-05-15T17:13:46Z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