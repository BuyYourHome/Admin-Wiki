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6" documentId="13_ncr:1_{0C20EBD6-E2BD-404C-B47C-BDA54182D35E}" xr6:coauthVersionLast="47" xr6:coauthVersionMax="47" xr10:uidLastSave="{772BAA91-5A9C-5931-AFFF-A3DEAB27B668}"/>
  <bookViews>
    <workbookView xWindow="8295" yWindow="1005" windowWidth="20025" windowHeight="14055" activeTab="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</sheet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H6" i="4" s="1"/>
  <c r="B5" i="4"/>
  <c r="H5" i="4" s="1"/>
  <c r="B4" i="4"/>
  <c r="H4" i="4" s="1"/>
  <c r="K4" i="3"/>
  <c r="F4" i="3"/>
  <c r="C4" i="3"/>
  <c r="K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I6" i="2"/>
  <c r="G6" i="2"/>
  <c r="L5" i="2"/>
  <c r="K5" i="2"/>
  <c r="I5" i="2"/>
  <c r="G5" i="2"/>
  <c r="L4" i="2"/>
  <c r="K4" i="2"/>
  <c r="I4" i="2"/>
  <c r="G4" i="2"/>
  <c r="D4" i="2"/>
  <c r="E4" i="2" s="1"/>
  <c r="C4" i="2"/>
  <c r="B33" i="1"/>
  <c r="B17" i="1"/>
  <c r="C12" i="2" s="1"/>
  <c r="D12" i="2" s="1"/>
  <c r="C13" i="2" l="1"/>
  <c r="D13" i="2" s="1"/>
  <c r="E13" i="2" s="1"/>
  <c r="F13" i="2" s="1"/>
  <c r="C9" i="2"/>
  <c r="D9" i="2" s="1"/>
  <c r="E9" i="2" s="1"/>
  <c r="F9" i="2" s="1"/>
  <c r="C5" i="2"/>
  <c r="D5" i="2" s="1"/>
  <c r="E5" i="2" s="1"/>
  <c r="E12" i="2"/>
  <c r="F12" i="2" s="1"/>
  <c r="D4" i="3"/>
  <c r="F4" i="2"/>
  <c r="H4" i="2" s="1"/>
  <c r="J4" i="2" s="1"/>
  <c r="B4" i="3" s="1"/>
  <c r="C6" i="2"/>
  <c r="D6" i="2" s="1"/>
  <c r="C10" i="2"/>
  <c r="D10" i="2" s="1"/>
  <c r="C14" i="2"/>
  <c r="D14" i="2" s="1"/>
  <c r="C7" i="2"/>
  <c r="D7" i="2" s="1"/>
  <c r="C11" i="2"/>
  <c r="D11" i="2" s="1"/>
  <c r="C8" i="2"/>
  <c r="D8" i="2" s="1"/>
  <c r="F5" i="2" l="1"/>
  <c r="H5" i="2" s="1"/>
  <c r="J5" i="2" s="1"/>
  <c r="B5" i="3" s="1"/>
  <c r="E4" i="3"/>
  <c r="H4" i="3" s="1"/>
  <c r="C5" i="3" s="1"/>
  <c r="H13" i="2"/>
  <c r="J13" i="2" s="1"/>
  <c r="B13" i="3" s="1"/>
  <c r="L13" i="2"/>
  <c r="H9" i="2"/>
  <c r="J9" i="2" s="1"/>
  <c r="B9" i="3" s="1"/>
  <c r="L9" i="2"/>
  <c r="H12" i="2"/>
  <c r="J12" i="2" s="1"/>
  <c r="B12" i="3" s="1"/>
  <c r="L12" i="2"/>
  <c r="E10" i="2"/>
  <c r="F10" i="2" s="1"/>
  <c r="E6" i="2"/>
  <c r="F6" i="2" s="1"/>
  <c r="E11" i="2"/>
  <c r="F11" i="2" s="1"/>
  <c r="E7" i="2"/>
  <c r="F7" i="2" s="1"/>
  <c r="E8" i="2"/>
  <c r="F8" i="2" s="1"/>
  <c r="E14" i="2"/>
  <c r="F14" i="2" s="1"/>
  <c r="G4" i="3" l="1"/>
  <c r="I4" i="3" s="1"/>
  <c r="F5" i="3" s="1"/>
  <c r="D5" i="3" s="1"/>
  <c r="L8" i="2"/>
  <c r="I8" i="2" s="1"/>
  <c r="H8" i="2"/>
  <c r="L11" i="2"/>
  <c r="H11" i="2"/>
  <c r="J11" i="2" s="1"/>
  <c r="B11" i="3" s="1"/>
  <c r="L14" i="2"/>
  <c r="I14" i="2" s="1"/>
  <c r="H14" i="2"/>
  <c r="L10" i="2"/>
  <c r="H10" i="2"/>
  <c r="J10" i="2" s="1"/>
  <c r="B10" i="3" s="1"/>
  <c r="L7" i="2"/>
  <c r="H7" i="2"/>
  <c r="J7" i="2" s="1"/>
  <c r="B7" i="3" s="1"/>
  <c r="L6" i="2"/>
  <c r="H6" i="2"/>
  <c r="J6" i="2" s="1"/>
  <c r="B6" i="3" s="1"/>
  <c r="J8" i="2" l="1"/>
  <c r="B8" i="3" s="1"/>
  <c r="P4" i="3"/>
  <c r="J4" i="3"/>
  <c r="L4" i="3" s="1"/>
  <c r="O4" i="3" s="1"/>
  <c r="R4" i="3" s="1"/>
  <c r="J14" i="2"/>
  <c r="B14" i="3" s="1"/>
  <c r="E5" i="3"/>
  <c r="M4" i="3" l="1"/>
  <c r="K5" i="3" s="1"/>
  <c r="G5" i="3"/>
  <c r="I5" i="3" s="1"/>
  <c r="F6" i="3" s="1"/>
  <c r="N4" i="3"/>
  <c r="Q4" i="3" s="1"/>
  <c r="H5" i="3"/>
  <c r="C6" i="3" s="1"/>
  <c r="D6" i="3" l="1"/>
  <c r="E6" i="3" s="1"/>
  <c r="H6" i="3" s="1"/>
  <c r="C7" i="3" s="1"/>
  <c r="P5" i="3"/>
  <c r="J5" i="3"/>
  <c r="G6" i="3" l="1"/>
  <c r="I6" i="3" s="1"/>
  <c r="F7" i="3" s="1"/>
  <c r="I4" i="4"/>
  <c r="L5" i="3"/>
  <c r="M5" i="3" l="1"/>
  <c r="K6" i="3" s="1"/>
  <c r="D7" i="3"/>
  <c r="N5" i="3"/>
  <c r="Q5" i="3" s="1"/>
  <c r="J6" i="3"/>
  <c r="O5" i="3"/>
  <c r="R5" i="3" s="1"/>
  <c r="P6" i="3"/>
  <c r="I5" i="4" l="1"/>
  <c r="I6" i="4"/>
  <c r="L6" i="3"/>
  <c r="E7" i="3"/>
  <c r="J4" i="4"/>
  <c r="G7" i="3" l="1"/>
  <c r="I7" i="3" s="1"/>
  <c r="F8" i="3" s="1"/>
  <c r="N6" i="3"/>
  <c r="Q6" i="3" s="1"/>
  <c r="O6" i="3"/>
  <c r="R6" i="3" s="1"/>
  <c r="M6" i="3"/>
  <c r="K7" i="3" s="1"/>
  <c r="H7" i="3"/>
  <c r="C8" i="3" s="1"/>
  <c r="J5" i="4" l="1"/>
  <c r="J6" i="4"/>
  <c r="D8" i="3"/>
  <c r="E8" i="3" s="1"/>
  <c r="J7" i="3"/>
  <c r="P7" i="3"/>
  <c r="G8" i="3" l="1"/>
  <c r="I8" i="3" s="1"/>
  <c r="F9" i="3" s="1"/>
  <c r="H8" i="3"/>
  <c r="C9" i="3" s="1"/>
  <c r="L7" i="3"/>
  <c r="N7" i="3" s="1"/>
  <c r="K4" i="4"/>
  <c r="Q7" i="3" l="1"/>
  <c r="M7" i="3"/>
  <c r="K8" i="3" s="1"/>
  <c r="O7" i="3"/>
  <c r="R7" i="3" s="1"/>
  <c r="J8" i="3"/>
  <c r="D9" i="3"/>
  <c r="E9" i="3" s="1"/>
  <c r="P8" i="3"/>
  <c r="L4" i="4" s="1"/>
  <c r="G9" i="3" l="1"/>
  <c r="I9" i="3" s="1"/>
  <c r="F10" i="3" s="1"/>
  <c r="H9" i="3"/>
  <c r="C10" i="3" s="1"/>
  <c r="L8" i="3"/>
  <c r="N8" i="3" s="1"/>
  <c r="K6" i="4"/>
  <c r="K5" i="4"/>
  <c r="M8" i="3" l="1"/>
  <c r="K9" i="3" s="1"/>
  <c r="O8" i="3"/>
  <c r="R8" i="3" s="1"/>
  <c r="L6" i="4" s="1"/>
  <c r="Q8" i="3"/>
  <c r="L5" i="4" s="1"/>
  <c r="J9" i="3"/>
  <c r="D10" i="3"/>
  <c r="E10" i="3" s="1"/>
  <c r="P9" i="3"/>
  <c r="M4" i="4" s="1"/>
  <c r="G10" i="3" l="1"/>
  <c r="I10" i="3" s="1"/>
  <c r="F11" i="3" s="1"/>
  <c r="L9" i="3"/>
  <c r="H10" i="3"/>
  <c r="C11" i="3" s="1"/>
  <c r="M9" i="3" l="1"/>
  <c r="K10" i="3" s="1"/>
  <c r="N9" i="3"/>
  <c r="Q9" i="3" s="1"/>
  <c r="M5" i="4" s="1"/>
  <c r="O9" i="3"/>
  <c r="R9" i="3" s="1"/>
  <c r="M6" i="4" s="1"/>
  <c r="J10" i="3"/>
  <c r="D11" i="3"/>
  <c r="E11" i="3" s="1"/>
  <c r="P10" i="3"/>
  <c r="N4" i="4" s="1"/>
  <c r="G11" i="3" l="1"/>
  <c r="I11" i="3" s="1"/>
  <c r="F12" i="3" s="1"/>
  <c r="L10" i="3"/>
  <c r="M10" i="3" s="1"/>
  <c r="K11" i="3" s="1"/>
  <c r="H11" i="3"/>
  <c r="C12" i="3" s="1"/>
  <c r="O10" i="3" l="1"/>
  <c r="R10" i="3" s="1"/>
  <c r="N6" i="4" s="1"/>
  <c r="D12" i="3"/>
  <c r="N10" i="3"/>
  <c r="Q10" i="3" s="1"/>
  <c r="N5" i="4" s="1"/>
  <c r="J11" i="3"/>
  <c r="P11" i="3"/>
  <c r="O4" i="4" s="1"/>
  <c r="L11" i="3" l="1"/>
  <c r="O11" i="3" s="1"/>
  <c r="R11" i="3" s="1"/>
  <c r="O6" i="4" s="1"/>
  <c r="E12" i="3"/>
  <c r="G12" i="3" l="1"/>
  <c r="I12" i="3" s="1"/>
  <c r="F13" i="3" s="1"/>
  <c r="N11" i="3"/>
  <c r="Q11" i="3" s="1"/>
  <c r="O5" i="4" s="1"/>
  <c r="M11" i="3"/>
  <c r="K12" i="3" s="1"/>
  <c r="H12" i="3"/>
  <c r="C13" i="3" s="1"/>
  <c r="J12" i="3" l="1"/>
  <c r="L12" i="3" s="1"/>
  <c r="O12" i="3" s="1"/>
  <c r="R12" i="3" s="1"/>
  <c r="P6" i="4" s="1"/>
  <c r="D13" i="3"/>
  <c r="E13" i="3" s="1"/>
  <c r="P12" i="3"/>
  <c r="P4" i="4" s="1"/>
  <c r="N12" i="3" l="1"/>
  <c r="Q12" i="3" s="1"/>
  <c r="P5" i="4" s="1"/>
  <c r="G13" i="3"/>
  <c r="I13" i="3" s="1"/>
  <c r="F14" i="3" s="1"/>
  <c r="H13" i="3"/>
  <c r="C14" i="3" s="1"/>
  <c r="M12" i="3"/>
  <c r="K13" i="3" s="1"/>
  <c r="D14" i="3" l="1"/>
  <c r="J13" i="3"/>
  <c r="P13" i="3"/>
  <c r="Q4" i="4" s="1"/>
  <c r="L13" i="3" l="1"/>
  <c r="O13" i="3" s="1"/>
  <c r="R13" i="3" s="1"/>
  <c r="Q6" i="4" s="1"/>
  <c r="E14" i="3"/>
  <c r="H14" i="3" s="1"/>
  <c r="N13" i="3" l="1"/>
  <c r="Q13" i="3" s="1"/>
  <c r="Q5" i="4" s="1"/>
  <c r="G14" i="3"/>
  <c r="I14" i="3" s="1"/>
  <c r="M13" i="3"/>
  <c r="K14" i="3" s="1"/>
  <c r="J14" i="3" l="1"/>
  <c r="P14" i="3"/>
  <c r="R4" i="4" l="1"/>
  <c r="G4" i="4" s="1"/>
  <c r="C4" i="4"/>
  <c r="L14" i="3"/>
  <c r="M14" i="3" l="1"/>
  <c r="N14" i="3"/>
  <c r="Q14" i="3" s="1"/>
  <c r="O14" i="3"/>
  <c r="R14" i="3" s="1"/>
  <c r="E4" i="4"/>
  <c r="D4" i="4"/>
  <c r="F4" i="4" s="1"/>
  <c r="R5" i="4" l="1"/>
  <c r="G5" i="4" s="1"/>
  <c r="C5" i="4"/>
  <c r="R6" i="4"/>
  <c r="G6" i="4" s="1"/>
  <c r="C6" i="4"/>
  <c r="E5" i="4" l="1"/>
  <c r="D5" i="4"/>
  <c r="F5" i="4" s="1"/>
  <c r="E6" i="4"/>
  <c r="D6" i="4"/>
  <c r="F6" i="4" s="1"/>
  <c r="C50" i="6"/>
  <c r="B50" i="6"/>
  <c r="C41" i="6"/>
  <c r="B41" i="6"/>
  <c r="C32" i="6"/>
  <c r="B32" i="6"/>
  <c r="C17" i="6"/>
  <c r="C20" i="6" s="1"/>
  <c r="B17" i="6"/>
  <c r="B20" i="6" s="1"/>
  <c r="B11" i="6"/>
  <c r="C21" i="6" s="1"/>
  <c r="C22" i="6" l="1"/>
  <c r="B21" i="6"/>
  <c r="B22" i="6" s="1"/>
</calcChain>
</file>

<file path=xl/sharedStrings.xml><?xml version="1.0" encoding="utf-8"?>
<sst xmlns="http://schemas.openxmlformats.org/spreadsheetml/2006/main" count="202" uniqueCount="177">
  <si>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</si>
  <si>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</si>
  <si>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</si>
  <si>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</si>
  <si>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</si>
  <si>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</si>
  <si>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</si>
  <si>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</si>
  <si>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</si>
  <si>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</si>
  <si>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</si>
  <si>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</si>
  <si>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</si>
  <si>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</si>
  <si>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</si>
  <si>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</si>
  <si>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</si>
  <si>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</si>
  <si>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</si>
  <si>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</si>
  <si>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</si>
  <si>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Operating Expense Ratio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</si>
  <si>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</si>
  <si>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</si>
  <si>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</si>
  <si>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</si>
  <si>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</si>
  <si>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</si>
  <si>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</si>
  <si>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</si>
  <si>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</si>
  <si>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</si>
  <si>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</si>
  <si>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</si>
  <si>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</si>
  <si>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</si>
  <si>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</si>
  <si>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</si>
  <si>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</si>
  <si>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</si>
  <si>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</si>
  <si>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</si>
  <si>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</si>
  <si>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</si>
  <si>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</si>
  <si>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</si>
  <si>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</si>
  <si>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</si>
  <si>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</si>
  <si>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</si>
  <si>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</si>
  <si>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</si>
  <si>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</si>
  <si>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</si>
  <si>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</si>
  <si>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</si>
  <si>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</si>
  <si>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</si>
  <si>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</si>
  <si>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</si>
  <si>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</si>
  <si>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</si>
  <si>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</si>
  <si>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</si>
  <si>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</si>
  <si>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</si>
  <si>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</si>
  <si>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</si>
  <si>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</si>
  <si>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</si>
  <si>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</si>
  <si>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</si>
  <si>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</si>
  <si>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</si>
  <si>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</si>
  <si>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</si>
  <si>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</si>
  <si>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</si>
  <si>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</si>
  <si>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</si>
  <si>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</si>
  <si>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</si>
  <si>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</si>
  <si>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</si>
  <si>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</si>
  <si>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</si>
  <si>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</si>
  <si>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</si>
  <si>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</si>
  <si>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</si>
  <si>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</si>
  <si>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</si>
  <si>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</si>
  <si>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</si>
  <si>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</si>
  <si>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</si>
  <si>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</si>
  <si>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</si>
  <si>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</si>
  <si>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</si>
  <si>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</si>
  <si>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</si>
  <si>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</si>
  <si>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</si>
  <si>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</si>
  <si>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</si>
  <si>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</si>
  <si>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</si>
  <si>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</si>
  <si>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</si>
  <si>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</si>
  <si>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</si>
  <si>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</si>
  <si>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</si>
  <si>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</si>
  <si>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</si>
  <si>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</si>
  <si>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</si>
  <si>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</si>
  <si>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</si>
  <si>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</si>
  <si>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</si>
  <si>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</si>
  <si>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</si>
  <si>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</si>
  <si>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</si>
  <si>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</si>
  <si>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</si>
  <si>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</si>
  <si>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</si>
  <si>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</si>
  <si>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</si>
  <si>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</si>
  <si>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</si>
  <si>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</si>
  <si>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</si>
  <si>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</si>
  <si>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</si>
  <si>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</si>
  <si>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</si>
  <si>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</si>
  <si>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Total modeled capital / basis</t>
  </si>
  <si>
    <t>Cost Category</t>
  </si>
  <si>
    <t>Low</t>
  </si>
  <si>
    <t>High</t>
  </si>
  <si>
    <t>Design &amp; entitlement</t>
  </si>
  <si>
    <t>Development &amp; pre-construction</t>
  </si>
  <si>
    <t>Build &amp; delivery</t>
  </si>
  <si>
    <t>Estimated total project cost</t>
  </si>
  <si>
    <t>Funding Gap Analysis</t>
  </si>
  <si>
    <t>Current modeled capital / basis</t>
  </si>
  <si>
    <t>Potential unfunded development gap</t>
  </si>
  <si>
    <t>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</si>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</sst>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"/>
    <numFmt numFmtId="165" formatCode="0.0%"/>
    <numFmt numFmtId="166" formatCode="0.00\x"/>
  </numFmts>
  <fonts count="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166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20" sqref="B20"/>
    </sheetView>
  </sheetViews>
  <sheetFormatPr defaultRowHeight="15" x14ac:dyDescent="0.25"/>
  <cols>
    <col min="1" max="1" width="47" bestFit="1" customWidth="1"/>
    <col min="2" max="2" width="14.140625" customWidth="1"/>
    <col min="3" max="3" width="60"/>
  </cols>
  <sheetData>
    <row r="1" spans="1:3" ht="18.75" x14ac:dyDescent="0.3">
      <c r="A1" s="5" t="s">
        <v>0</v>
      </c>
      <c r="C1" s="6" t="s">
        <v>1</v>
      </c>
    </row>
    <row r="3" spans="1:3" x14ac:dyDescent="0.25">
      <c r="A3" s="1" t="s">
        <v>2</v>
      </c>
    </row>
    <row r="4" spans="1:3" x14ac:dyDescent="0.25">
      <c r="A4" t="s">
        <v>3</v>
      </c>
      <c r="B4" s="4">
        <v>2</v>
      </c>
      <c r="C4" s="6" t="s">
        <v>4</v>
      </c>
    </row>
    <row r="5" spans="1:3" x14ac:dyDescent="0.25">
      <c r="A5" t="s">
        <v>5</v>
      </c>
      <c r="B5" s="4">
        <v>4</v>
      </c>
      <c r="C5" s="6" t="s">
        <v>6</v>
      </c>
    </row>
    <row r="7" spans="1:3" x14ac:dyDescent="0.25">
      <c r="A7" s="1" t="s">
        <v>7</v>
      </c>
    </row>
    <row r="8" spans="1:3" x14ac:dyDescent="0.25">
      <c r="A8" t="s">
        <v>8</v>
      </c>
      <c r="B8" s="4">
        <v>4</v>
      </c>
      <c r="C8" s="6" t="s">
        <v>9</v>
      </c>
    </row>
    <row r="9" spans="1:3" x14ac:dyDescent="0.25">
      <c r="A9" t="s">
        <v>10</v>
      </c>
      <c r="B9" s="2">
        <v>1600</v>
      </c>
      <c r="C9" s="6" t="s">
        <v>11</v>
      </c>
    </row>
    <row r="10" spans="1:3" x14ac:dyDescent="0.25">
      <c r="A10" t="s">
        <v>12</v>
      </c>
      <c r="B10" s="4">
        <v>4</v>
      </c>
      <c r="C10" s="6" t="s">
        <v>13</v>
      </c>
    </row>
    <row r="11" spans="1:3" x14ac:dyDescent="0.25">
      <c r="A11" t="s">
        <v>14</v>
      </c>
      <c r="B11" s="2">
        <v>1100</v>
      </c>
      <c r="C11" s="6" t="s">
        <v>11</v>
      </c>
    </row>
    <row r="12" spans="1:3" x14ac:dyDescent="0.25">
      <c r="A12" t="s">
        <v>15</v>
      </c>
      <c r="B12" s="2">
        <v>0</v>
      </c>
      <c r="C12" s="6" t="s">
        <v>16</v>
      </c>
    </row>
    <row r="13" spans="1:3" x14ac:dyDescent="0.25">
      <c r="A13" t="s">
        <v>17</v>
      </c>
      <c r="B13" s="3">
        <v>0.93</v>
      </c>
      <c r="C13" s="6" t="s">
        <v>18</v>
      </c>
    </row>
    <row r="14" spans="1:3" x14ac:dyDescent="0.25">
      <c r="A14" t="s">
        <v>19</v>
      </c>
      <c r="B14" s="3">
        <v>0.5</v>
      </c>
      <c r="C14" s="6" t="s">
        <v>20</v>
      </c>
    </row>
    <row r="15" spans="1:3" x14ac:dyDescent="0.25">
      <c r="A15" t="s">
        <v>21</v>
      </c>
      <c r="B15" s="3">
        <v>0.4</v>
      </c>
      <c r="C15" s="6" t="s">
        <v>22</v>
      </c>
    </row>
    <row r="16" spans="1:3" x14ac:dyDescent="0.25">
      <c r="A16" t="s">
        <v>23</v>
      </c>
      <c r="B16" s="3">
        <v>0.03</v>
      </c>
      <c r="C16" s="6" t="s">
        <v>24</v>
      </c>
    </row>
    <row r="17" spans="1:3" x14ac:dyDescent="0.25">
      <c r="A17" t="s">
        <v>25</v>
      </c>
      <c r="B17" s="2">
        <f>B8*B9+B10*B11+B12</f>
        <v>10800</v>
      </c>
      <c r="C17" s="6" t="s">
        <v>26</v>
      </c>
    </row>
    <row r="19" spans="1:3" x14ac:dyDescent="0.25">
      <c r="A19" s="1" t="s">
        <v>27</v>
      </c>
    </row>
    <row r="20" spans="1:3" x14ac:dyDescent="0.25">
      <c r="A20" t="s">
        <v>28</v>
      </c>
      <c r="B20" s="2">
        <v>650000</v>
      </c>
      <c r="C20" s="6" t="s">
        <v>29</v>
      </c>
    </row>
    <row r="21" spans="1:3" x14ac:dyDescent="0.25">
      <c r="A21" t="s">
        <v>30</v>
      </c>
      <c r="B21" s="2">
        <v>650000</v>
      </c>
      <c r="C21" s="6" t="s">
        <v>31</v>
      </c>
    </row>
    <row r="22" spans="1:3" x14ac:dyDescent="0.25">
      <c r="A22" t="s">
        <v>32</v>
      </c>
      <c r="B22" s="3">
        <v>6.5000000000000002E-2</v>
      </c>
      <c r="C22" s="6" t="s">
        <v>33</v>
      </c>
    </row>
    <row r="23" spans="1:3" x14ac:dyDescent="0.25">
      <c r="A23" t="s">
        <v>34</v>
      </c>
      <c r="B23" s="4">
        <v>30</v>
      </c>
      <c r="C23" s="6" t="s">
        <v>35</v>
      </c>
    </row>
    <row r="24" spans="1:3" x14ac:dyDescent="0.25">
      <c r="A24" t="s">
        <v>36</v>
      </c>
      <c r="B24" s="3">
        <v>7.0000000000000007E-2</v>
      </c>
      <c r="C24" s="6" t="s">
        <v>37</v>
      </c>
    </row>
    <row r="25" spans="1:3" x14ac:dyDescent="0.25">
      <c r="A25" t="s">
        <v>38</v>
      </c>
      <c r="B25" s="3">
        <v>0.02</v>
      </c>
      <c r="C25" s="6" t="s">
        <v>39</v>
      </c>
    </row>
    <row r="27" spans="1:3" x14ac:dyDescent="0.25">
      <c r="A27" s="1" t="s">
        <v>40</v>
      </c>
    </row>
    <row r="28" spans="1:3" x14ac:dyDescent="0.25">
      <c r="A28" t="s">
        <v>41</v>
      </c>
      <c r="B28" s="2">
        <v>300000</v>
      </c>
      <c r="C28" s="6" t="s">
        <v>42</v>
      </c>
    </row>
    <row r="29" spans="1:3" x14ac:dyDescent="0.25">
      <c r="A29" t="s">
        <v>43</v>
      </c>
      <c r="B29" s="3">
        <v>0.08</v>
      </c>
      <c r="C29" s="6" t="s">
        <v>44</v>
      </c>
    </row>
    <row r="30" spans="1:3" x14ac:dyDescent="0.25">
      <c r="A30" t="s">
        <v>45</v>
      </c>
      <c r="B30" s="2">
        <v>100000</v>
      </c>
      <c r="C30" s="6" t="s">
        <v>46</v>
      </c>
    </row>
    <row r="31" spans="1:3" x14ac:dyDescent="0.25">
      <c r="A31" t="s">
        <v>47</v>
      </c>
      <c r="B31" s="4">
        <v>1</v>
      </c>
      <c r="C31" s="6" t="s">
        <v>48</v>
      </c>
    </row>
    <row r="32" spans="1:3" x14ac:dyDescent="0.25">
      <c r="A32" t="s">
        <v>49</v>
      </c>
      <c r="B32" s="3">
        <v>0.4</v>
      </c>
      <c r="C32" s="6" t="s">
        <v>50</v>
      </c>
    </row>
    <row r="33" spans="1:3" x14ac:dyDescent="0.25">
      <c r="A33" t="s">
        <v>51</v>
      </c>
      <c r="B33" s="3">
        <f>1-B32</f>
        <v>0.6</v>
      </c>
      <c r="C33" s="6" t="s">
        <v>52</v>
      </c>
    </row>
    <row r="34" spans="1:3" x14ac:dyDescent="0.25">
      <c r="A34" t="s">
        <v>53</v>
      </c>
      <c r="B34" s="2">
        <v>150000</v>
      </c>
      <c r="C34" s="6" t="s">
        <v>54</v>
      </c>
    </row>
    <row r="36" spans="1:3" x14ac:dyDescent="0.25">
      <c r="A36" t="s">
        <v>55</v>
      </c>
      <c r="B36" s="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26"/>
    <col min="3" max="3" width="12" customWidth="1"/>
    <col min="4" max="4" width="10.5703125" customWidth="1"/>
    <col min="5" max="5" width="12.140625" customWidth="1"/>
    <col min="6" max="6" width="11.42578125" customWidth="1"/>
    <col min="7" max="7" width="10.7109375" customWidth="1"/>
    <col min="8" max="8" width="10.85546875" customWidth="1"/>
    <col min="9" max="9" width="10.7109375" customWidth="1"/>
    <col min="10" max="10" width="12.7109375" customWidth="1"/>
    <col min="11" max="11" width="11.28515625" customWidth="1"/>
    <col min="12" max="12" width="13.28515625" customWidth="1"/>
  </cols>
  <sheetData>
    <row r="1" spans="1:12" ht="18.75" x14ac:dyDescent="0.3">
      <c r="A1" s="5" t="s">
        <v>57</v>
      </c>
    </row>
    <row r="3" spans="1:12" s="9" customFormat="1" ht="45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</row>
    <row r="4" spans="1:12" x14ac:dyDescent="0.25">
      <c r="A4" s="4">
        <v>0</v>
      </c>
      <c r="B4" t="s">
        <v>70</v>
      </c>
      <c r="C4" s="2">
        <f>IF(A4=0,0,Assumptions!$B$17*12*(1+Assumptions!$B$16)^MAX(0,A4-Assumptions!$B$4))</f>
        <v>0</v>
      </c>
      <c r="D4" s="2">
        <f>IF(A4=0,0,C4*IF(A4=1,Assumptions!$B$14,Assumptions!$B$13))</f>
        <v>0</v>
      </c>
      <c r="E4" s="2">
        <f>D4*Assumptions!$B$15</f>
        <v>0</v>
      </c>
      <c r="F4" s="2">
        <f t="shared" ref="F4:F14" si="0">D4-E4</f>
        <v>0</v>
      </c>
      <c r="G4" s="2">
        <f>IF(AND(A4&gt;=Assumptions!$B$4,A4&lt;=Assumptions!$B$5),-PMT(Assumptions!$B$22/12,Assumptions!$B$23*12,Assumptions!$B$21)*12,0)</f>
        <v>0</v>
      </c>
      <c r="H4" s="2">
        <f t="shared" ref="H4:H14" si="1">F4-G4</f>
        <v>0</v>
      </c>
      <c r="I4" s="2">
        <f>IF(A4=Assumptions!$B$4,MAX(0,Assumptions!$B$21-Assumptions!$B$20),IF(A4=Assumptions!$B$5,MAX(0,L4*(1-Assumptions!$B$25)-K4),0))</f>
        <v>0</v>
      </c>
      <c r="J4" s="2">
        <f t="shared" ref="J4:J14" si="2">H4+I4</f>
        <v>0</v>
      </c>
      <c r="K4" s="2">
        <f>IF(A4&lt;Assumptions!$B$4,0,IF(A4=Assumptions!$B$5,0,-FV(Assumptions!$B$22/12,(A4-Assumptions!$B$4)*12,PMT(Assumptions!$B$22/12,Assumptions!$B$23*12,Assumptions!$B$21),Assumptions!$B$21)))</f>
        <v>0</v>
      </c>
      <c r="L4" s="2">
        <f>IF(A4&lt;Assumptions!$B$4,0,F4*(1+Assumptions!$B$16)/Assumptions!$B$24)</f>
        <v>0</v>
      </c>
    </row>
    <row r="5" spans="1:12" x14ac:dyDescent="0.25">
      <c r="A5" s="4">
        <v>1</v>
      </c>
      <c r="B5" t="s">
        <v>71</v>
      </c>
      <c r="C5" s="2">
        <f>IF(A5=0,0,Assumptions!$B$17*12*(1+Assumptions!$B$16)^MAX(0,A5-Assumptions!$B$4))</f>
        <v>129600</v>
      </c>
      <c r="D5" s="2">
        <f>IF(A5=0,0,C5*IF(A5=1,Assumptions!$B$14,Assumptions!$B$13))</f>
        <v>64800</v>
      </c>
      <c r="E5" s="2">
        <f>D5*Assumptions!$B$15</f>
        <v>25920</v>
      </c>
      <c r="F5" s="2">
        <f t="shared" si="0"/>
        <v>38880</v>
      </c>
      <c r="G5" s="2">
        <f>IF(AND(A5&gt;=Assumptions!$B$4,A5&lt;=Assumptions!$B$5),-PMT(Assumptions!$B$22/12,Assumptions!$B$23*12,Assumptions!$B$21)*12,0)</f>
        <v>0</v>
      </c>
      <c r="H5" s="2">
        <f t="shared" si="1"/>
        <v>38880</v>
      </c>
      <c r="I5" s="2">
        <f>IF(A5=Assumptions!$B$4,MAX(0,Assumptions!$B$21-Assumptions!$B$20),IF(A5=Assumptions!$B$5,MAX(0,L5*(1-Assumptions!$B$25)-K5),0))</f>
        <v>0</v>
      </c>
      <c r="J5" s="2">
        <f t="shared" si="2"/>
        <v>38880</v>
      </c>
      <c r="K5" s="2">
        <f>IF(A5&lt;Assumptions!$B$4,0,IF(A5=Assumptions!$B$5,0,-FV(Assumptions!$B$22/12,(A5-Assumptions!$B$4)*12,PMT(Assumptions!$B$22/12,Assumptions!$B$23*12,Assumptions!$B$21),Assumptions!$B$21)))</f>
        <v>0</v>
      </c>
      <c r="L5" s="2">
        <f>IF(A5&lt;Assumptions!$B$4,0,F5*(1+Assumptions!$B$16)/Assumptions!$B$24)</f>
        <v>0</v>
      </c>
    </row>
    <row r="6" spans="1:12" x14ac:dyDescent="0.25">
      <c r="A6" s="4">
        <v>2</v>
      </c>
      <c r="B6" t="s">
        <v>72</v>
      </c>
      <c r="C6" s="2">
        <f>IF(A6=0,0,Assumptions!$B$17*12*(1+Assumptions!$B$16)^MAX(0,A6-Assumptions!$B$4))</f>
        <v>129600</v>
      </c>
      <c r="D6" s="2">
        <f>IF(A6=0,0,C6*IF(A6=1,Assumptions!$B$14,Assumptions!$B$13))</f>
        <v>120528</v>
      </c>
      <c r="E6" s="2">
        <f>D6*Assumptions!$B$15</f>
        <v>48211.200000000004</v>
      </c>
      <c r="F6" s="2">
        <f t="shared" si="0"/>
        <v>72316.799999999988</v>
      </c>
      <c r="G6" s="2">
        <f>IF(AND(A6&gt;=Assumptions!$B$4,A6&lt;=Assumptions!$B$5),-PMT(Assumptions!$B$22/12,Assumptions!$B$23*12,Assumptions!$B$21)*12,0)</f>
        <v>49301.305832451166</v>
      </c>
      <c r="H6" s="2">
        <f t="shared" si="1"/>
        <v>23015.494167548823</v>
      </c>
      <c r="I6" s="2">
        <f>IF(A6=Assumptions!$B$4,MAX(0,Assumptions!$B$21-Assumptions!$B$20),IF(A6=Assumptions!$B$5,MAX(0,L6*(1-Assumptions!$B$25)-K6),0))</f>
        <v>0</v>
      </c>
      <c r="J6" s="2">
        <f t="shared" si="2"/>
        <v>23015.494167548823</v>
      </c>
      <c r="K6" s="2">
        <f>IF(A6&lt;Assumptions!$B$4,0,IF(A6=Assumptions!$B$5,0,-FV(Assumptions!$B$22/12,(A6-Assumptions!$B$4)*12,PMT(Assumptions!$B$22/12,Assumptions!$B$23*12,Assumptions!$B$21),Assumptions!$B$21)))</f>
        <v>650000</v>
      </c>
      <c r="L6" s="2">
        <f>IF(A6&lt;Assumptions!$B$4,0,F6*(1+Assumptions!$B$16)/Assumptions!$B$24)</f>
        <v>1064090.057142857</v>
      </c>
    </row>
    <row r="7" spans="1:12" x14ac:dyDescent="0.25">
      <c r="A7" s="4">
        <v>3</v>
      </c>
      <c r="B7" t="s">
        <v>73</v>
      </c>
      <c r="C7" s="2">
        <f>IF(A7=0,0,Assumptions!$B$17*12*(1+Assumptions!$B$16)^MAX(0,A7-Assumptions!$B$4))</f>
        <v>133488</v>
      </c>
      <c r="D7" s="2">
        <f>IF(A7=0,0,C7*IF(A7=1,Assumptions!$B$14,Assumptions!$B$13))</f>
        <v>124143.84000000001</v>
      </c>
      <c r="E7" s="2">
        <f>D7*Assumptions!$B$15</f>
        <v>49657.536000000007</v>
      </c>
      <c r="F7" s="2">
        <f t="shared" si="0"/>
        <v>74486.304000000004</v>
      </c>
      <c r="G7" s="2">
        <f>IF(AND(A7&gt;=Assumptions!$B$4,A7&lt;=Assumptions!$B$5),-PMT(Assumptions!$B$22/12,Assumptions!$B$23*12,Assumptions!$B$21)*12,0)</f>
        <v>49301.305832451166</v>
      </c>
      <c r="H7" s="2">
        <f t="shared" si="1"/>
        <v>25184.998167548838</v>
      </c>
      <c r="I7" s="2">
        <f>IF(A7=Assumptions!$B$4,MAX(0,Assumptions!$B$21-Assumptions!$B$20),IF(A7=Assumptions!$B$5,MAX(0,L7*(1-Assumptions!$B$25)-K7),0))</f>
        <v>0</v>
      </c>
      <c r="J7" s="2">
        <f t="shared" si="2"/>
        <v>25184.998167548838</v>
      </c>
      <c r="K7" s="2">
        <f>IF(A7&lt;Assumptions!$B$4,0,IF(A7=Assumptions!$B$5,0,-FV(Assumptions!$B$22/12,(A7-Assumptions!$B$4)*12,PMT(Assumptions!$B$22/12,Assumptions!$B$23*12,Assumptions!$B$21),Assumptions!$B$21)))</f>
        <v>642734.78445176012</v>
      </c>
      <c r="L7" s="2">
        <f>IF(A7&lt;Assumptions!$B$4,0,F7*(1+Assumptions!$B$16)/Assumptions!$B$24)</f>
        <v>1096012.7588571429</v>
      </c>
    </row>
    <row r="8" spans="1:12" x14ac:dyDescent="0.25">
      <c r="A8" s="4">
        <v>4</v>
      </c>
      <c r="B8" t="s">
        <v>73</v>
      </c>
      <c r="C8" s="2">
        <f>IF(A8=0,0,Assumptions!$B$17*12*(1+Assumptions!$B$16)^MAX(0,A8-Assumptions!$B$4))</f>
        <v>137492.63999999998</v>
      </c>
      <c r="D8" s="2">
        <f>IF(A8=0,0,C8*IF(A8=1,Assumptions!$B$14,Assumptions!$B$13))</f>
        <v>127868.15519999999</v>
      </c>
      <c r="E8" s="2">
        <f>D8*Assumptions!$B$15</f>
        <v>51147.26208</v>
      </c>
      <c r="F8" s="2">
        <f t="shared" si="0"/>
        <v>76720.893119999993</v>
      </c>
      <c r="G8" s="2">
        <f>IF(AND(A8&gt;=Assumptions!$B$4,A8&lt;=Assumptions!$B$5),-PMT(Assumptions!$B$22/12,Assumptions!$B$23*12,Assumptions!$B$21)*12,0)</f>
        <v>49301.305832451166</v>
      </c>
      <c r="H8" s="2">
        <f t="shared" si="1"/>
        <v>27419.587287548828</v>
      </c>
      <c r="I8" s="2">
        <f>IF(A8=Assumptions!$B$4,MAX(0,Assumptions!$B$21-Assumptions!$B$20),IF(A8=Assumptions!$B$5,MAX(0,L8*(1-Assumptions!$B$25)-K8),0))</f>
        <v>1106315.2787903999</v>
      </c>
      <c r="J8" s="2">
        <f t="shared" si="2"/>
        <v>1133734.8660779488</v>
      </c>
      <c r="K8" s="2">
        <f>IF(A8&lt;Assumptions!$B$4,0,IF(A8=Assumptions!$B$5,0,-FV(Assumptions!$B$22/12,(A8-Assumptions!$B$4)*12,PMT(Assumptions!$B$22/12,Assumptions!$B$23*12,Assumptions!$B$21),Assumptions!$B$21)))</f>
        <v>0</v>
      </c>
      <c r="L8" s="2">
        <f>IF(A8&lt;Assumptions!$B$4,0,F8*(1+Assumptions!$B$16)/Assumptions!$B$24)</f>
        <v>1128893.141622857</v>
      </c>
    </row>
    <row r="9" spans="1:12" x14ac:dyDescent="0.25">
      <c r="A9" s="4">
        <v>5</v>
      </c>
      <c r="B9" t="s">
        <v>73</v>
      </c>
      <c r="C9" s="2">
        <f>IF(A9=0,0,Assumptions!$B$17*12*(1+Assumptions!$B$16)^MAX(0,A9-Assumptions!$B$4))</f>
        <v>141617.4192</v>
      </c>
      <c r="D9" s="2">
        <f>IF(A9=0,0,C9*IF(A9=1,Assumptions!$B$14,Assumptions!$B$13))</f>
        <v>131704.19985600002</v>
      </c>
      <c r="E9" s="2">
        <f>D9*Assumptions!$B$15</f>
        <v>52681.679942400013</v>
      </c>
      <c r="F9" s="2">
        <f t="shared" si="0"/>
        <v>79022.519913600001</v>
      </c>
      <c r="G9" s="2">
        <f>IF(AND(A9&gt;=Assumptions!$B$4,A9&lt;=Assumptions!$B$5),-PMT(Assumptions!$B$22/12,Assumptions!$B$23*12,Assumptions!$B$21)*12,0)</f>
        <v>0</v>
      </c>
      <c r="H9" s="2">
        <f t="shared" si="1"/>
        <v>79022.519913600001</v>
      </c>
      <c r="I9" s="2">
        <f>IF(A9=Assumptions!$B$4,MAX(0,Assumptions!$B$21-Assumptions!$B$20),IF(A9=Assumptions!$B$5,MAX(0,L9*(1-Assumptions!$B$25)-K9),0))</f>
        <v>0</v>
      </c>
      <c r="J9" s="2">
        <f t="shared" si="2"/>
        <v>79022.519913600001</v>
      </c>
      <c r="K9" s="2">
        <f>IF(A9&lt;Assumptions!$B$4,0,IF(A9=Assumptions!$B$5,0,-FV(Assumptions!$B$22/12,(A9-Assumptions!$B$4)*12,PMT(Assumptions!$B$22/12,Assumptions!$B$23*12,Assumptions!$B$21),Assumptions!$B$21)))</f>
        <v>626712.07237870828</v>
      </c>
      <c r="L9" s="2">
        <f>IF(A9&lt;Assumptions!$B$4,0,F9*(1+Assumptions!$B$16)/Assumptions!$B$24)</f>
        <v>1162759.9358715427</v>
      </c>
    </row>
    <row r="10" spans="1:12" x14ac:dyDescent="0.25">
      <c r="A10" s="4">
        <v>6</v>
      </c>
      <c r="B10" t="s">
        <v>73</v>
      </c>
      <c r="C10" s="2">
        <f>IF(A10=0,0,Assumptions!$B$17*12*(1+Assumptions!$B$16)^MAX(0,A10-Assumptions!$B$4))</f>
        <v>145865.94177599999</v>
      </c>
      <c r="D10" s="2">
        <f>IF(A10=0,0,C10*IF(A10=1,Assumptions!$B$14,Assumptions!$B$13))</f>
        <v>135655.32585168001</v>
      </c>
      <c r="E10" s="2">
        <f>D10*Assumptions!$B$15</f>
        <v>54262.130340672011</v>
      </c>
      <c r="F10" s="2">
        <f t="shared" si="0"/>
        <v>81393.195511008002</v>
      </c>
      <c r="G10" s="2">
        <f>IF(AND(A10&gt;=Assumptions!$B$4,A10&lt;=Assumptions!$B$5),-PMT(Assumptions!$B$22/12,Assumptions!$B$23*12,Assumptions!$B$21)*12,0)</f>
        <v>0</v>
      </c>
      <c r="H10" s="2">
        <f t="shared" si="1"/>
        <v>81393.195511008002</v>
      </c>
      <c r="I10" s="2">
        <f>IF(A10=Assumptions!$B$4,MAX(0,Assumptions!$B$21-Assumptions!$B$20),IF(A10=Assumptions!$B$5,MAX(0,L10*(1-Assumptions!$B$25)-K10),0))</f>
        <v>0</v>
      </c>
      <c r="J10" s="2">
        <f t="shared" si="2"/>
        <v>81393.195511008002</v>
      </c>
      <c r="K10" s="2">
        <f>IF(A10&lt;Assumptions!$B$4,0,IF(A10=Assumptions!$B$5,0,-FV(Assumptions!$B$22/12,(A10-Assumptions!$B$4)*12,PMT(Assumptions!$B$22/12,Assumptions!$B$23*12,Assumptions!$B$21),Assumptions!$B$21)))</f>
        <v>617887.22118836944</v>
      </c>
      <c r="L10" s="2">
        <f>IF(A10&lt;Assumptions!$B$4,0,F10*(1+Assumptions!$B$16)/Assumptions!$B$24)</f>
        <v>1197642.7339476892</v>
      </c>
    </row>
    <row r="11" spans="1:12" x14ac:dyDescent="0.25">
      <c r="A11" s="4">
        <v>7</v>
      </c>
      <c r="B11" t="s">
        <v>73</v>
      </c>
      <c r="C11" s="2">
        <f>IF(A11=0,0,Assumptions!$B$17*12*(1+Assumptions!$B$16)^MAX(0,A11-Assumptions!$B$4))</f>
        <v>150241.92002927998</v>
      </c>
      <c r="D11" s="2">
        <f>IF(A11=0,0,C11*IF(A11=1,Assumptions!$B$14,Assumptions!$B$13))</f>
        <v>139724.9856272304</v>
      </c>
      <c r="E11" s="2">
        <f>D11*Assumptions!$B$15</f>
        <v>55889.994250892167</v>
      </c>
      <c r="F11" s="2">
        <f t="shared" si="0"/>
        <v>83834.991376338236</v>
      </c>
      <c r="G11" s="2">
        <f>IF(AND(A11&gt;=Assumptions!$B$4,A11&lt;=Assumptions!$B$5),-PMT(Assumptions!$B$22/12,Assumptions!$B$23*12,Assumptions!$B$21)*12,0)</f>
        <v>0</v>
      </c>
      <c r="H11" s="2">
        <f t="shared" si="1"/>
        <v>83834.991376338236</v>
      </c>
      <c r="I11" s="2">
        <f>IF(A11=Assumptions!$B$4,MAX(0,Assumptions!$B$21-Assumptions!$B$20),IF(A11=Assumptions!$B$5,MAX(0,L11*(1-Assumptions!$B$25)-K11),0))</f>
        <v>0</v>
      </c>
      <c r="J11" s="2">
        <f t="shared" si="2"/>
        <v>83834.991376338236</v>
      </c>
      <c r="K11" s="2">
        <f>IF(A11&lt;Assumptions!$B$4,0,IF(A11=Assumptions!$B$5,0,-FV(Assumptions!$B$22/12,(A11-Assumptions!$B$4)*12,PMT(Assumptions!$B$22/12,Assumptions!$B$23*12,Assumptions!$B$21),Assumptions!$B$21)))</f>
        <v>608471.35337016673</v>
      </c>
      <c r="L11" s="2">
        <f>IF(A11&lt;Assumptions!$B$4,0,F11*(1+Assumptions!$B$16)/Assumptions!$B$24)</f>
        <v>1233572.0159661197</v>
      </c>
    </row>
    <row r="12" spans="1:12" x14ac:dyDescent="0.25">
      <c r="A12" s="4">
        <v>8</v>
      </c>
      <c r="B12" t="s">
        <v>73</v>
      </c>
      <c r="C12" s="2">
        <f>IF(A12=0,0,Assumptions!$B$17*12*(1+Assumptions!$B$16)^MAX(0,A12-Assumptions!$B$4))</f>
        <v>154749.1776301584</v>
      </c>
      <c r="D12" s="2">
        <f>IF(A12=0,0,C12*IF(A12=1,Assumptions!$B$14,Assumptions!$B$13))</f>
        <v>143916.73519604732</v>
      </c>
      <c r="E12" s="2">
        <f>D12*Assumptions!$B$15</f>
        <v>57566.694078418928</v>
      </c>
      <c r="F12" s="2">
        <f t="shared" si="0"/>
        <v>86350.041117628396</v>
      </c>
      <c r="G12" s="2">
        <f>IF(AND(A12&gt;=Assumptions!$B$4,A12&lt;=Assumptions!$B$5),-PMT(Assumptions!$B$22/12,Assumptions!$B$23*12,Assumptions!$B$21)*12,0)</f>
        <v>0</v>
      </c>
      <c r="H12" s="2">
        <f t="shared" si="1"/>
        <v>86350.041117628396</v>
      </c>
      <c r="I12" s="2">
        <f>IF(A12=Assumptions!$B$4,MAX(0,Assumptions!$B$21-Assumptions!$B$20),IF(A12=Assumptions!$B$5,MAX(0,L12*(1-Assumptions!$B$25)-K12),0))</f>
        <v>0</v>
      </c>
      <c r="J12" s="2">
        <f t="shared" si="2"/>
        <v>86350.041117628396</v>
      </c>
      <c r="K12" s="2">
        <f>IF(A12&lt;Assumptions!$B$4,0,IF(A12=Assumptions!$B$5,0,-FV(Assumptions!$B$22/12,(A12-Assumptions!$B$4)*12,PMT(Assumptions!$B$22/12,Assumptions!$B$23*12,Assumptions!$B$21),Assumptions!$B$21)))</f>
        <v>598424.88744596776</v>
      </c>
      <c r="L12" s="2">
        <f>IF(A12&lt;Assumptions!$B$4,0,F12*(1+Assumptions!$B$16)/Assumptions!$B$24)</f>
        <v>1270579.1764451035</v>
      </c>
    </row>
    <row r="13" spans="1:12" x14ac:dyDescent="0.25">
      <c r="A13" s="4">
        <v>9</v>
      </c>
      <c r="B13" t="s">
        <v>73</v>
      </c>
      <c r="C13" s="2">
        <f>IF(A13=0,0,Assumptions!$B$17*12*(1+Assumptions!$B$16)^MAX(0,A13-Assumptions!$B$4))</f>
        <v>159391.65295906315</v>
      </c>
      <c r="D13" s="2">
        <f>IF(A13=0,0,C13*IF(A13=1,Assumptions!$B$14,Assumptions!$B$13))</f>
        <v>148234.23725192875</v>
      </c>
      <c r="E13" s="2">
        <f>D13*Assumptions!$B$15</f>
        <v>59293.694900771501</v>
      </c>
      <c r="F13" s="2">
        <f t="shared" si="0"/>
        <v>88940.542351157244</v>
      </c>
      <c r="G13" s="2">
        <f>IF(AND(A13&gt;=Assumptions!$B$4,A13&lt;=Assumptions!$B$5),-PMT(Assumptions!$B$22/12,Assumptions!$B$23*12,Assumptions!$B$21)*12,0)</f>
        <v>0</v>
      </c>
      <c r="H13" s="2">
        <f t="shared" si="1"/>
        <v>88940.542351157244</v>
      </c>
      <c r="I13" s="2">
        <f>IF(A13=Assumptions!$B$4,MAX(0,Assumptions!$B$21-Assumptions!$B$20),IF(A13=Assumptions!$B$5,MAX(0,L13*(1-Assumptions!$B$25)-K13),0))</f>
        <v>0</v>
      </c>
      <c r="J13" s="2">
        <f t="shared" si="2"/>
        <v>88940.542351157244</v>
      </c>
      <c r="K13" s="2">
        <f>IF(A13&lt;Assumptions!$B$4,0,IF(A13=Assumptions!$B$5,0,-FV(Assumptions!$B$22/12,(A13-Assumptions!$B$4)*12,PMT(Assumptions!$B$22/12,Assumptions!$B$23*12,Assumptions!$B$21),Assumptions!$B$21)))</f>
        <v>587705.59109274484</v>
      </c>
      <c r="L13" s="2">
        <f>IF(A13&lt;Assumptions!$B$4,0,F13*(1+Assumptions!$B$16)/Assumptions!$B$24)</f>
        <v>1308696.5517384564</v>
      </c>
    </row>
    <row r="14" spans="1:12" x14ac:dyDescent="0.25">
      <c r="A14" s="4">
        <v>10</v>
      </c>
      <c r="B14" t="s">
        <v>74</v>
      </c>
      <c r="C14" s="2">
        <f>IF(A14=0,0,Assumptions!$B$17*12*(1+Assumptions!$B$16)^MAX(0,A14-Assumptions!$B$4))</f>
        <v>164173.40254783502</v>
      </c>
      <c r="D14" s="2">
        <f>IF(A14=0,0,C14*IF(A14=1,Assumptions!$B$14,Assumptions!$B$13))</f>
        <v>152681.26436948657</v>
      </c>
      <c r="E14" s="2">
        <f>D14*Assumptions!$B$15</f>
        <v>61072.505747794632</v>
      </c>
      <c r="F14" s="2">
        <f t="shared" si="0"/>
        <v>91608.75862169193</v>
      </c>
      <c r="G14" s="2">
        <f>IF(AND(A14&gt;=Assumptions!$B$4,A14&lt;=Assumptions!$B$5),-PMT(Assumptions!$B$22/12,Assumptions!$B$23*12,Assumptions!$B$21)*12,0)</f>
        <v>0</v>
      </c>
      <c r="H14" s="2">
        <f t="shared" si="1"/>
        <v>91608.75862169193</v>
      </c>
      <c r="I14" s="2">
        <f>IF(A14=Assumptions!$B$4,MAX(0,Assumptions!$B$21-Assumptions!$B$20),IF(A14=Assumptions!$B$5,MAX(0,L14*(1-Assumptions!$B$25)-K14),0))</f>
        <v>0</v>
      </c>
      <c r="J14" s="2">
        <f t="shared" si="2"/>
        <v>91608.75862169193</v>
      </c>
      <c r="K14" s="2">
        <f>IF(A14&lt;Assumptions!$B$4,0,IF(A14=Assumptions!$B$5,0,-FV(Assumptions!$B$22/12,(A14-Assumptions!$B$4)*12,PMT(Assumptions!$B$22/12,Assumptions!$B$23*12,Assumptions!$B$21),Assumptions!$B$21)))</f>
        <v>576268.40361058235</v>
      </c>
      <c r="L14" s="2">
        <f>IF(A14&lt;Assumptions!$B$4,0,F14*(1+Assumptions!$B$16)/Assumptions!$B$24)</f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15.140625" customWidth="1"/>
    <col min="3" max="3" width="11.5703125" customWidth="1"/>
    <col min="4" max="4" width="12.7109375" customWidth="1"/>
    <col min="5" max="5" width="11" customWidth="1"/>
    <col min="6" max="6" width="12.28515625" customWidth="1"/>
    <col min="7" max="7" width="11.85546875" customWidth="1"/>
    <col min="8" max="8" width="11.5703125" customWidth="1"/>
    <col min="9" max="9" width="12.85546875" customWidth="1"/>
    <col min="10" max="10" width="12" customWidth="1"/>
    <col min="11" max="11" width="11.7109375" customWidth="1"/>
    <col min="12" max="14" width="10.5703125" customWidth="1"/>
    <col min="15" max="15" width="9.28515625" customWidth="1"/>
    <col min="16" max="16" width="12" customWidth="1"/>
    <col min="17" max="17" width="10.85546875" customWidth="1"/>
    <col min="18" max="18" width="11.5703125" customWidth="1"/>
  </cols>
  <sheetData>
    <row r="1" spans="1:18" ht="18.75" x14ac:dyDescent="0.3">
      <c r="A1" s="5" t="s">
        <v>75</v>
      </c>
    </row>
    <row r="3" spans="1:18" s="9" customFormat="1" ht="45" x14ac:dyDescent="0.25">
      <c r="A3" s="8" t="s">
        <v>58</v>
      </c>
      <c r="B3" s="8" t="s">
        <v>76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  <c r="H3" s="8" t="s">
        <v>82</v>
      </c>
      <c r="I3" s="8" t="s">
        <v>83</v>
      </c>
      <c r="J3" s="8" t="s">
        <v>84</v>
      </c>
      <c r="K3" s="8" t="s">
        <v>85</v>
      </c>
      <c r="L3" s="8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</row>
    <row r="4" spans="1:18" x14ac:dyDescent="0.25">
      <c r="A4" s="4">
        <v>0</v>
      </c>
      <c r="B4" s="2">
        <f>'Annual Model'!J4</f>
        <v>0</v>
      </c>
      <c r="C4" s="2">
        <f>0</f>
        <v>0</v>
      </c>
      <c r="D4" s="2">
        <f>F4*Assumptions!$B$29</f>
        <v>24000</v>
      </c>
      <c r="E4" s="2">
        <f t="shared" ref="E4:E14" si="0">MIN(B4,C4+D4)</f>
        <v>0</v>
      </c>
      <c r="F4" s="2">
        <f>Assumptions!$B$28</f>
        <v>300000</v>
      </c>
      <c r="G4" s="2">
        <f t="shared" ref="G4:G14" si="1">MIN(MAX(0,B4-E4),F4)</f>
        <v>0</v>
      </c>
      <c r="H4" s="2">
        <f t="shared" ref="H4:H14" si="2">C4+D4-E4</f>
        <v>24000</v>
      </c>
      <c r="I4" s="2">
        <f t="shared" ref="I4:I14" si="3">F4-G4</f>
        <v>300000</v>
      </c>
      <c r="J4" s="2">
        <f t="shared" ref="J4:J14" si="4">MAX(0,B4-E4-G4)</f>
        <v>0</v>
      </c>
      <c r="K4" s="2">
        <f>Assumptions!$B$30</f>
        <v>100000</v>
      </c>
      <c r="L4" s="2">
        <f>IF(Assumptions!$B$31=1,MIN(J4,K4),0)</f>
        <v>0</v>
      </c>
      <c r="M4" s="2">
        <f t="shared" ref="M4:M14" si="5">K4-L4</f>
        <v>100000</v>
      </c>
      <c r="N4" s="2">
        <f>MAX(0,J4-L4)*Assumptions!$B$32</f>
        <v>0</v>
      </c>
      <c r="O4" s="2">
        <f>MAX(0,J4-L4)*Assumptions!$B$33</f>
        <v>0</v>
      </c>
      <c r="P4" s="2">
        <f t="shared" ref="P4:P14" si="6">E4+G4</f>
        <v>0</v>
      </c>
      <c r="Q4" s="2">
        <f t="shared" ref="Q4:Q14" si="7">L4+N4</f>
        <v>0</v>
      </c>
      <c r="R4" s="2">
        <f t="shared" ref="R4:R14" si="8">O4</f>
        <v>0</v>
      </c>
    </row>
    <row r="5" spans="1:18" x14ac:dyDescent="0.25">
      <c r="A5" s="4">
        <v>1</v>
      </c>
      <c r="B5" s="2">
        <f>'Annual Model'!J5</f>
        <v>38880</v>
      </c>
      <c r="C5" s="2">
        <f t="shared" ref="C5:C14" si="9">H4</f>
        <v>24000</v>
      </c>
      <c r="D5" s="2">
        <f>F5*Assumptions!$B$29</f>
        <v>24000</v>
      </c>
      <c r="E5" s="2">
        <f t="shared" si="0"/>
        <v>38880</v>
      </c>
      <c r="F5" s="2">
        <f t="shared" ref="F5:F14" si="10">I4</f>
        <v>300000</v>
      </c>
      <c r="G5" s="2">
        <f t="shared" si="1"/>
        <v>0</v>
      </c>
      <c r="H5" s="2">
        <f t="shared" si="2"/>
        <v>9120</v>
      </c>
      <c r="I5" s="2">
        <f t="shared" si="3"/>
        <v>300000</v>
      </c>
      <c r="J5" s="2">
        <f t="shared" si="4"/>
        <v>0</v>
      </c>
      <c r="K5" s="2">
        <f t="shared" ref="K5:K14" si="11">M4</f>
        <v>100000</v>
      </c>
      <c r="L5" s="2">
        <f>IF(Assumptions!$B$31=1,MIN(J5,K5),0)</f>
        <v>0</v>
      </c>
      <c r="M5" s="2">
        <f t="shared" si="5"/>
        <v>100000</v>
      </c>
      <c r="N5" s="2">
        <f>MAX(0,J5-L5)*Assumptions!$B$32</f>
        <v>0</v>
      </c>
      <c r="O5" s="2">
        <f>MAX(0,J5-L5)*Assumptions!$B$33</f>
        <v>0</v>
      </c>
      <c r="P5" s="2">
        <f t="shared" si="6"/>
        <v>38880</v>
      </c>
      <c r="Q5" s="2">
        <f t="shared" si="7"/>
        <v>0</v>
      </c>
      <c r="R5" s="2">
        <f t="shared" si="8"/>
        <v>0</v>
      </c>
    </row>
    <row r="6" spans="1:18" x14ac:dyDescent="0.25">
      <c r="A6" s="4">
        <v>2</v>
      </c>
      <c r="B6" s="2">
        <f>'Annual Model'!J6</f>
        <v>23015.494167548823</v>
      </c>
      <c r="C6" s="2">
        <f t="shared" si="9"/>
        <v>9120</v>
      </c>
      <c r="D6" s="2">
        <f>F6*Assumptions!$B$29</f>
        <v>24000</v>
      </c>
      <c r="E6" s="2">
        <f t="shared" si="0"/>
        <v>23015.494167548823</v>
      </c>
      <c r="F6" s="2">
        <f t="shared" si="10"/>
        <v>300000</v>
      </c>
      <c r="G6" s="2">
        <f t="shared" si="1"/>
        <v>0</v>
      </c>
      <c r="H6" s="2">
        <f t="shared" si="2"/>
        <v>10104.505832451177</v>
      </c>
      <c r="I6" s="2">
        <f t="shared" si="3"/>
        <v>300000</v>
      </c>
      <c r="J6" s="2">
        <f t="shared" si="4"/>
        <v>0</v>
      </c>
      <c r="K6" s="2">
        <f t="shared" si="11"/>
        <v>100000</v>
      </c>
      <c r="L6" s="2">
        <f>IF(Assumptions!$B$31=1,MIN(J6,K6),0)</f>
        <v>0</v>
      </c>
      <c r="M6" s="2">
        <f t="shared" si="5"/>
        <v>100000</v>
      </c>
      <c r="N6" s="2">
        <f>MAX(0,J6-L6)*Assumptions!$B$32</f>
        <v>0</v>
      </c>
      <c r="O6" s="2">
        <f>MAX(0,J6-L6)*Assumptions!$B$33</f>
        <v>0</v>
      </c>
      <c r="P6" s="2">
        <f t="shared" si="6"/>
        <v>23015.494167548823</v>
      </c>
      <c r="Q6" s="2">
        <f t="shared" si="7"/>
        <v>0</v>
      </c>
      <c r="R6" s="2">
        <f t="shared" si="8"/>
        <v>0</v>
      </c>
    </row>
    <row r="7" spans="1:18" x14ac:dyDescent="0.25">
      <c r="A7" s="4">
        <v>3</v>
      </c>
      <c r="B7" s="2">
        <f>'Annual Model'!J7</f>
        <v>25184.998167548838</v>
      </c>
      <c r="C7" s="2">
        <f t="shared" si="9"/>
        <v>10104.505832451177</v>
      </c>
      <c r="D7" s="2">
        <f>F7*Assumptions!$B$29</f>
        <v>24000</v>
      </c>
      <c r="E7" s="2">
        <f t="shared" si="0"/>
        <v>25184.998167548838</v>
      </c>
      <c r="F7" s="2">
        <f t="shared" si="10"/>
        <v>300000</v>
      </c>
      <c r="G7" s="2">
        <f t="shared" si="1"/>
        <v>0</v>
      </c>
      <c r="H7" s="2">
        <f t="shared" si="2"/>
        <v>8919.5076649023395</v>
      </c>
      <c r="I7" s="2">
        <f t="shared" si="3"/>
        <v>300000</v>
      </c>
      <c r="J7" s="2">
        <f t="shared" si="4"/>
        <v>0</v>
      </c>
      <c r="K7" s="2">
        <f t="shared" si="11"/>
        <v>100000</v>
      </c>
      <c r="L7" s="2">
        <f>IF(Assumptions!$B$31=1,MIN(J7,K7),0)</f>
        <v>0</v>
      </c>
      <c r="M7" s="2">
        <f t="shared" si="5"/>
        <v>100000</v>
      </c>
      <c r="N7" s="2">
        <f>MAX(0,J7-L7)*Assumptions!$B$32</f>
        <v>0</v>
      </c>
      <c r="O7" s="2">
        <f>MAX(0,J7-L7)*Assumptions!$B$33</f>
        <v>0</v>
      </c>
      <c r="P7" s="2">
        <f t="shared" si="6"/>
        <v>25184.998167548838</v>
      </c>
      <c r="Q7" s="2">
        <f t="shared" si="7"/>
        <v>0</v>
      </c>
      <c r="R7" s="2">
        <f t="shared" si="8"/>
        <v>0</v>
      </c>
    </row>
    <row r="8" spans="1:18" x14ac:dyDescent="0.25">
      <c r="A8" s="4">
        <v>4</v>
      </c>
      <c r="B8" s="2">
        <f>'Annual Model'!J8</f>
        <v>1133734.8660779488</v>
      </c>
      <c r="C8" s="2">
        <f t="shared" si="9"/>
        <v>8919.5076649023395</v>
      </c>
      <c r="D8" s="2">
        <f>F8*Assumptions!$B$29</f>
        <v>24000</v>
      </c>
      <c r="E8" s="2">
        <f t="shared" si="0"/>
        <v>32919.507664902339</v>
      </c>
      <c r="F8" s="2">
        <f t="shared" si="10"/>
        <v>300000</v>
      </c>
      <c r="G8" s="2">
        <f t="shared" si="1"/>
        <v>300000</v>
      </c>
      <c r="H8" s="2">
        <f t="shared" si="2"/>
        <v>0</v>
      </c>
      <c r="I8" s="2">
        <f t="shared" si="3"/>
        <v>0</v>
      </c>
      <c r="J8" s="2">
        <f t="shared" si="4"/>
        <v>800815.35841304646</v>
      </c>
      <c r="K8" s="2">
        <f t="shared" si="11"/>
        <v>100000</v>
      </c>
      <c r="L8" s="2">
        <f>IF(Assumptions!$B$31=1,MIN(J8,K8),0)</f>
        <v>100000</v>
      </c>
      <c r="M8" s="2">
        <f t="shared" si="5"/>
        <v>0</v>
      </c>
      <c r="N8" s="2">
        <f>MAX(0,J8-L8)*Assumptions!$B$32</f>
        <v>280326.1433652186</v>
      </c>
      <c r="O8" s="2">
        <f>MAX(0,J8-L8)*Assumptions!$B$33</f>
        <v>420489.21504782786</v>
      </c>
      <c r="P8" s="2">
        <f t="shared" si="6"/>
        <v>332919.50766490237</v>
      </c>
      <c r="Q8" s="2">
        <f t="shared" si="7"/>
        <v>380326.1433652186</v>
      </c>
      <c r="R8" s="2">
        <f t="shared" si="8"/>
        <v>420489.21504782786</v>
      </c>
    </row>
    <row r="9" spans="1:18" x14ac:dyDescent="0.25">
      <c r="A9" s="4">
        <v>5</v>
      </c>
      <c r="B9" s="2">
        <f>'Annual Model'!J9</f>
        <v>79022.519913600001</v>
      </c>
      <c r="C9" s="2">
        <f t="shared" si="9"/>
        <v>0</v>
      </c>
      <c r="D9" s="2">
        <f>F9*Assumptions!$B$29</f>
        <v>0</v>
      </c>
      <c r="E9" s="2">
        <f t="shared" si="0"/>
        <v>0</v>
      </c>
      <c r="F9" s="2">
        <f t="shared" si="1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79022.519913600001</v>
      </c>
      <c r="K9" s="2">
        <f t="shared" si="11"/>
        <v>0</v>
      </c>
      <c r="L9" s="2">
        <f>IF(Assumptions!$B$31=1,MIN(J9,K9),0)</f>
        <v>0</v>
      </c>
      <c r="M9" s="2">
        <f t="shared" si="5"/>
        <v>0</v>
      </c>
      <c r="N9" s="2">
        <f>MAX(0,J9-L9)*Assumptions!$B$32</f>
        <v>31609.007965440003</v>
      </c>
      <c r="O9" s="2">
        <f>MAX(0,J9-L9)*Assumptions!$B$33</f>
        <v>47413.511948159998</v>
      </c>
      <c r="P9" s="2">
        <f t="shared" si="6"/>
        <v>0</v>
      </c>
      <c r="Q9" s="2">
        <f t="shared" si="7"/>
        <v>31609.007965440003</v>
      </c>
      <c r="R9" s="2">
        <f t="shared" si="8"/>
        <v>47413.511948159998</v>
      </c>
    </row>
    <row r="10" spans="1:18" x14ac:dyDescent="0.25">
      <c r="A10" s="4">
        <v>6</v>
      </c>
      <c r="B10" s="2">
        <f>'Annual Model'!J10</f>
        <v>81393.195511008002</v>
      </c>
      <c r="C10" s="2">
        <f t="shared" si="9"/>
        <v>0</v>
      </c>
      <c r="D10" s="2">
        <f>F10*Assumptions!$B$29</f>
        <v>0</v>
      </c>
      <c r="E10" s="2">
        <f t="shared" si="0"/>
        <v>0</v>
      </c>
      <c r="F10" s="2">
        <f t="shared" si="1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81393.195511008002</v>
      </c>
      <c r="K10" s="2">
        <f t="shared" si="11"/>
        <v>0</v>
      </c>
      <c r="L10" s="2">
        <f>IF(Assumptions!$B$31=1,MIN(J10,K10),0)</f>
        <v>0</v>
      </c>
      <c r="M10" s="2">
        <f t="shared" si="5"/>
        <v>0</v>
      </c>
      <c r="N10" s="2">
        <f>MAX(0,J10-L10)*Assumptions!$B$32</f>
        <v>32557.278204403203</v>
      </c>
      <c r="O10" s="2">
        <f>MAX(0,J10-L10)*Assumptions!$B$33</f>
        <v>48835.917306604802</v>
      </c>
      <c r="P10" s="2">
        <f t="shared" si="6"/>
        <v>0</v>
      </c>
      <c r="Q10" s="2">
        <f t="shared" si="7"/>
        <v>32557.278204403203</v>
      </c>
      <c r="R10" s="2">
        <f t="shared" si="8"/>
        <v>48835.917306604802</v>
      </c>
    </row>
    <row r="11" spans="1:18" x14ac:dyDescent="0.25">
      <c r="A11" s="4">
        <v>7</v>
      </c>
      <c r="B11" s="2">
        <f>'Annual Model'!J11</f>
        <v>83834.991376338236</v>
      </c>
      <c r="C11" s="2">
        <f t="shared" si="9"/>
        <v>0</v>
      </c>
      <c r="D11" s="2">
        <f>F11*Assumptions!$B$29</f>
        <v>0</v>
      </c>
      <c r="E11" s="2">
        <f t="shared" si="0"/>
        <v>0</v>
      </c>
      <c r="F11" s="2">
        <f t="shared" si="1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83834.991376338236</v>
      </c>
      <c r="K11" s="2">
        <f t="shared" si="11"/>
        <v>0</v>
      </c>
      <c r="L11" s="2">
        <f>IF(Assumptions!$B$31=1,MIN(J11,K11),0)</f>
        <v>0</v>
      </c>
      <c r="M11" s="2">
        <f t="shared" si="5"/>
        <v>0</v>
      </c>
      <c r="N11" s="2">
        <f>MAX(0,J11-L11)*Assumptions!$B$32</f>
        <v>33533.996550535296</v>
      </c>
      <c r="O11" s="2">
        <f>MAX(0,J11-L11)*Assumptions!$B$33</f>
        <v>50300.99482580294</v>
      </c>
      <c r="P11" s="2">
        <f t="shared" si="6"/>
        <v>0</v>
      </c>
      <c r="Q11" s="2">
        <f t="shared" si="7"/>
        <v>33533.996550535296</v>
      </c>
      <c r="R11" s="2">
        <f t="shared" si="8"/>
        <v>50300.99482580294</v>
      </c>
    </row>
    <row r="12" spans="1:18" x14ac:dyDescent="0.25">
      <c r="A12" s="4">
        <v>8</v>
      </c>
      <c r="B12" s="2">
        <f>'Annual Model'!J12</f>
        <v>86350.041117628396</v>
      </c>
      <c r="C12" s="2">
        <f t="shared" si="9"/>
        <v>0</v>
      </c>
      <c r="D12" s="2">
        <f>F12*Assumptions!$B$29</f>
        <v>0</v>
      </c>
      <c r="E12" s="2">
        <f t="shared" si="0"/>
        <v>0</v>
      </c>
      <c r="F12" s="2">
        <f t="shared" si="1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86350.041117628396</v>
      </c>
      <c r="K12" s="2">
        <f t="shared" si="11"/>
        <v>0</v>
      </c>
      <c r="L12" s="2">
        <f>IF(Assumptions!$B$31=1,MIN(J12,K12),0)</f>
        <v>0</v>
      </c>
      <c r="M12" s="2">
        <f t="shared" si="5"/>
        <v>0</v>
      </c>
      <c r="N12" s="2">
        <f>MAX(0,J12-L12)*Assumptions!$B$32</f>
        <v>34540.016447051363</v>
      </c>
      <c r="O12" s="2">
        <f>MAX(0,J12-L12)*Assumptions!$B$33</f>
        <v>51810.024670577033</v>
      </c>
      <c r="P12" s="2">
        <f t="shared" si="6"/>
        <v>0</v>
      </c>
      <c r="Q12" s="2">
        <f t="shared" si="7"/>
        <v>34540.016447051363</v>
      </c>
      <c r="R12" s="2">
        <f t="shared" si="8"/>
        <v>51810.024670577033</v>
      </c>
    </row>
    <row r="13" spans="1:18" x14ac:dyDescent="0.25">
      <c r="A13" s="4">
        <v>9</v>
      </c>
      <c r="B13" s="2">
        <f>'Annual Model'!J13</f>
        <v>88940.542351157244</v>
      </c>
      <c r="C13" s="2">
        <f t="shared" si="9"/>
        <v>0</v>
      </c>
      <c r="D13" s="2">
        <f>F13*Assumptions!$B$29</f>
        <v>0</v>
      </c>
      <c r="E13" s="2">
        <f t="shared" si="0"/>
        <v>0</v>
      </c>
      <c r="F13" s="2">
        <f t="shared" si="1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88940.542351157244</v>
      </c>
      <c r="K13" s="2">
        <f t="shared" si="11"/>
        <v>0</v>
      </c>
      <c r="L13" s="2">
        <f>IF(Assumptions!$B$31=1,MIN(J13,K13),0)</f>
        <v>0</v>
      </c>
      <c r="M13" s="2">
        <f t="shared" si="5"/>
        <v>0</v>
      </c>
      <c r="N13" s="2">
        <f>MAX(0,J13-L13)*Assumptions!$B$32</f>
        <v>35576.216940462902</v>
      </c>
      <c r="O13" s="2">
        <f>MAX(0,J13-L13)*Assumptions!$B$33</f>
        <v>53364.325410694342</v>
      </c>
      <c r="P13" s="2">
        <f t="shared" si="6"/>
        <v>0</v>
      </c>
      <c r="Q13" s="2">
        <f t="shared" si="7"/>
        <v>35576.216940462902</v>
      </c>
      <c r="R13" s="2">
        <f t="shared" si="8"/>
        <v>53364.325410694342</v>
      </c>
    </row>
    <row r="14" spans="1:18" x14ac:dyDescent="0.25">
      <c r="A14" s="4">
        <v>10</v>
      </c>
      <c r="B14" s="2">
        <f>'Annual Model'!J14</f>
        <v>91608.75862169193</v>
      </c>
      <c r="C14" s="2">
        <f t="shared" si="9"/>
        <v>0</v>
      </c>
      <c r="D14" s="2">
        <f>F14*Assumptions!$B$29</f>
        <v>0</v>
      </c>
      <c r="E14" s="2">
        <f t="shared" si="0"/>
        <v>0</v>
      </c>
      <c r="F14" s="2">
        <f t="shared" si="1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91608.75862169193</v>
      </c>
      <c r="K14" s="2">
        <f t="shared" si="11"/>
        <v>0</v>
      </c>
      <c r="L14" s="2">
        <f>IF(Assumptions!$B$31=1,MIN(J14,K14),0)</f>
        <v>0</v>
      </c>
      <c r="M14" s="2">
        <f t="shared" si="5"/>
        <v>0</v>
      </c>
      <c r="N14" s="2">
        <f>MAX(0,J14-L14)*Assumptions!$B$32</f>
        <v>36643.503448676776</v>
      </c>
      <c r="O14" s="2">
        <f>MAX(0,J14-L14)*Assumptions!$B$33</f>
        <v>54965.255173015154</v>
      </c>
      <c r="P14" s="2">
        <f t="shared" si="6"/>
        <v>0</v>
      </c>
      <c r="Q14" s="2">
        <f t="shared" si="7"/>
        <v>36643.503448676776</v>
      </c>
      <c r="R14" s="2">
        <f t="shared" si="8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workbookViewId="0">
      <selection activeCell="A3" sqref="A3:XFD3"/>
    </sheetView>
  </sheetViews>
  <sheetFormatPr defaultRowHeight="15" x14ac:dyDescent="0.25"/>
  <cols>
    <col min="1" max="1" width="12.85546875" customWidth="1"/>
    <col min="2" max="2" width="11.7109375" customWidth="1"/>
    <col min="3" max="3" width="12.42578125" customWidth="1"/>
    <col min="4" max="4" width="11.5703125" customWidth="1"/>
    <col min="5" max="5" width="11.7109375" customWidth="1"/>
    <col min="6" max="6" width="10" customWidth="1"/>
    <col min="7" max="7" width="9.7109375" customWidth="1"/>
    <col min="8" max="8" width="11.140625" customWidth="1"/>
    <col min="9" max="17" width="7.5703125" bestFit="1" customWidth="1"/>
    <col min="18" max="18" width="8.5703125" bestFit="1" customWidth="1"/>
  </cols>
  <sheetData>
    <row r="1" spans="1:18" ht="18.75" x14ac:dyDescent="0.3">
      <c r="A1" s="5" t="s">
        <v>93</v>
      </c>
    </row>
    <row r="3" spans="1:18" s="9" customFormat="1" ht="30" x14ac:dyDescent="0.25">
      <c r="A3" s="8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103</v>
      </c>
      <c r="K3" s="8" t="s">
        <v>104</v>
      </c>
      <c r="L3" s="8" t="s">
        <v>105</v>
      </c>
      <c r="M3" s="9" t="s">
        <v>106</v>
      </c>
      <c r="N3" s="9" t="s">
        <v>107</v>
      </c>
      <c r="O3" s="9" t="s">
        <v>108</v>
      </c>
      <c r="P3" s="9" t="s">
        <v>109</v>
      </c>
      <c r="Q3" s="9" t="s">
        <v>110</v>
      </c>
      <c r="R3" s="9" t="s">
        <v>111</v>
      </c>
    </row>
    <row r="4" spans="1:18" x14ac:dyDescent="0.25">
      <c r="A4" t="s">
        <v>112</v>
      </c>
      <c r="B4" s="2">
        <f>Assumptions!$B$28</f>
        <v>300000</v>
      </c>
      <c r="C4" s="2">
        <f>SUM(Waterfall!P4:P14)</f>
        <v>420000</v>
      </c>
      <c r="D4" s="2">
        <f>C4-B4</f>
        <v>120000</v>
      </c>
      <c r="E4" s="7">
        <f>C4/B4</f>
        <v>1.4</v>
      </c>
      <c r="F4" s="3">
        <f>D4/B4</f>
        <v>0.4</v>
      </c>
      <c r="G4" s="3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18" x14ac:dyDescent="0.25">
      <c r="A5" t="s">
        <v>113</v>
      </c>
      <c r="B5" s="2">
        <f>Assumptions!$B$30</f>
        <v>100000</v>
      </c>
      <c r="C5" s="2">
        <f>SUM(Waterfall!Q4:Q14)</f>
        <v>584786.16292178817</v>
      </c>
      <c r="D5" s="2">
        <f>C5-B5</f>
        <v>484786.16292178817</v>
      </c>
      <c r="E5" s="7">
        <f>IFERROR(C5/B5,0)</f>
        <v>5.8478616292178813</v>
      </c>
      <c r="F5" s="3">
        <f>IFERROR(D5/B5,0)</f>
        <v>4.8478616292178813</v>
      </c>
      <c r="G5" s="3">
        <f>IFERROR(IRR(H5:R5),0)</f>
        <v>0.45288791474080647</v>
      </c>
      <c r="H5" s="2">
        <f>-B5</f>
        <v>-100000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380326.1433652186</v>
      </c>
      <c r="M5" s="2">
        <f>Waterfall!Q9</f>
        <v>31609.007965440003</v>
      </c>
      <c r="N5" s="2">
        <f>Waterfall!Q10</f>
        <v>32557.278204403203</v>
      </c>
      <c r="O5" s="2">
        <f>Waterfall!Q11</f>
        <v>33533.996550535296</v>
      </c>
      <c r="P5" s="2">
        <f>Waterfall!Q12</f>
        <v>34540.016447051363</v>
      </c>
      <c r="Q5" s="2">
        <f>Waterfall!Q13</f>
        <v>35576.216940462902</v>
      </c>
      <c r="R5" s="2">
        <f>Waterfall!Q14</f>
        <v>36643.503448676776</v>
      </c>
    </row>
    <row r="6" spans="1:18" x14ac:dyDescent="0.25">
      <c r="A6" t="s">
        <v>114</v>
      </c>
      <c r="B6" s="2">
        <f>Assumptions!$B$34</f>
        <v>150000</v>
      </c>
      <c r="C6" s="2">
        <f>SUM(Waterfall!R4:R14)</f>
        <v>727179.24438268214</v>
      </c>
      <c r="D6" s="2">
        <f>C6-B6</f>
        <v>577179.24438268214</v>
      </c>
      <c r="E6" s="7">
        <f>IFERROR(C6/B6,0)</f>
        <v>4.8478616292178813</v>
      </c>
      <c r="F6" s="3">
        <f>IFERROR(D6/B6,0)</f>
        <v>3.8478616292178809</v>
      </c>
      <c r="G6" s="3">
        <f>IFERROR(IRR(H6:R6),0)</f>
        <v>0.37357739776199073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420489.21504782786</v>
      </c>
      <c r="M6" s="2">
        <f>Waterfall!R9</f>
        <v>47413.511948159998</v>
      </c>
      <c r="N6" s="2">
        <f>Waterfall!R10</f>
        <v>48835.917306604802</v>
      </c>
      <c r="O6" s="2">
        <f>Waterfall!R11</f>
        <v>50300.99482580294</v>
      </c>
      <c r="P6" s="2">
        <f>Waterfall!R12</f>
        <v>51810.024670577033</v>
      </c>
      <c r="Q6" s="2">
        <f>Waterfall!R13</f>
        <v>53364.325410694342</v>
      </c>
      <c r="R6" s="2">
        <f>Waterfall!R14</f>
        <v>54965.255173015154</v>
      </c>
    </row>
    <row r="9" spans="1:18" x14ac:dyDescent="0.25">
      <c r="A9" s="1" t="s">
        <v>115</v>
      </c>
      <c r="B9" s="6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22"/>
    <col min="2" max="2" width="110"/>
  </cols>
  <sheetData>
    <row r="1" spans="1:2" ht="18.75" x14ac:dyDescent="0.3">
      <c r="A1" s="5" t="s">
        <v>117</v>
      </c>
    </row>
    <row r="3" spans="1:2" x14ac:dyDescent="0.25">
      <c r="A3" s="1" t="s">
        <v>118</v>
      </c>
      <c r="B3" t="s">
        <v>119</v>
      </c>
    </row>
    <row r="4" spans="1:2" x14ac:dyDescent="0.25">
      <c r="A4" s="1" t="s">
        <v>120</v>
      </c>
      <c r="B4" t="s">
        <v>121</v>
      </c>
    </row>
    <row r="5" spans="1:2" x14ac:dyDescent="0.25">
      <c r="A5" s="1" t="s">
        <v>112</v>
      </c>
      <c r="B5" t="s">
        <v>122</v>
      </c>
    </row>
    <row r="6" spans="1:2" x14ac:dyDescent="0.25">
      <c r="A6" s="1" t="s">
        <v>113</v>
      </c>
      <c r="B6" t="s">
        <v>123</v>
      </c>
    </row>
    <row r="7" spans="1:2" x14ac:dyDescent="0.25">
      <c r="A7" s="1" t="s">
        <v>114</v>
      </c>
      <c r="B7" t="s">
        <v>124</v>
      </c>
    </row>
    <row r="8" spans="1:2" x14ac:dyDescent="0.25">
      <c r="A8" s="1" t="s">
        <v>125</v>
      </c>
      <c r="B8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tabSelected="1" workbookViewId="0"/>
  </sheetViews>
  <sheetFormatPr defaultRowHeight="15" x14ac:dyDescent="0.25"/>
  <cols>
    <col min="1" max="1" width="58" customWidth="1"/>
    <col min="2" max="3" width="16" customWidth="1"/>
  </cols>
  <sheetData>
    <row r="1" spans="1:3" x14ac:dyDescent="0.25">
      <c r="A1" t="s">
        <v>127</v>
      </c>
    </row>
    <row r="2" spans="1:3" x14ac:dyDescent="0.25">
      <c r="A2" t="s">
        <v>128</v>
      </c>
      <c r="B2" t="s">
        <v>129</v>
      </c>
    </row>
    <row r="3" spans="1:3" x14ac:dyDescent="0.25">
      <c r="A3" t="s">
        <v>130</v>
      </c>
      <c r="B3" t="s">
        <v>131</v>
      </c>
    </row>
    <row r="5" spans="1:3" x14ac:dyDescent="0.25">
      <c r="A5" t="s">
        <v>132</v>
      </c>
      <c r="B5" t="s">
        <v>133</v>
      </c>
      <c r="C5" t="s">
        <v>134</v>
      </c>
    </row>
    <row r="6" spans="1:3" x14ac:dyDescent="0.25">
      <c r="A6" t="s">
        <v>135</v>
      </c>
      <c r="B6">
        <v>650000</v>
      </c>
      <c r="C6" t="s">
        <v>136</v>
      </c>
    </row>
    <row r="7" spans="1:3" x14ac:dyDescent="0.25">
      <c r="A7" t="s">
        <v>137</v>
      </c>
      <c r="B7">
        <v>650000</v>
      </c>
      <c r="C7" t="s">
        <v>136</v>
      </c>
    </row>
    <row r="8" spans="1:3" x14ac:dyDescent="0.25">
      <c r="A8" t="s">
        <v>138</v>
      </c>
      <c r="B8">
        <v>300000</v>
      </c>
      <c r="C8" t="s">
        <v>136</v>
      </c>
    </row>
    <row r="9" spans="1:3" x14ac:dyDescent="0.25">
      <c r="A9" t="s">
        <v>139</v>
      </c>
      <c r="B9">
        <v>100000</v>
      </c>
      <c r="C9" t="s">
        <v>136</v>
      </c>
    </row>
    <row r="10" spans="1:3" x14ac:dyDescent="0.25">
      <c r="A10" t="s">
        <v>140</v>
      </c>
      <c r="B10">
        <v>150000</v>
      </c>
      <c r="C10" t="s">
        <v>136</v>
      </c>
    </row>
    <row r="11" spans="1:3" x14ac:dyDescent="0.25">
      <c r="A11" t="s">
        <v>141</v>
      </c>
      <c r="B11">
        <f>SUM(B6:B10)</f>
        <v>1850000</v>
      </c>
      <c r="C11" t="s">
        <v>26</v>
      </c>
    </row>
    <row r="13" spans="1:3" x14ac:dyDescent="0.25">
      <c r="A13" t="s">
        <v>142</v>
      </c>
      <c r="B13" t="s">
        <v>143</v>
      </c>
      <c r="C13" t="s">
        <v>144</v>
      </c>
    </row>
    <row r="14" spans="1:3" x14ac:dyDescent="0.25">
      <c r="A14" t="s">
        <v>145</v>
      </c>
      <c r="B14">
        <v>130000</v>
      </c>
      <c r="C14">
        <v>405000</v>
      </c>
    </row>
    <row r="15" spans="1:3" x14ac:dyDescent="0.25">
      <c r="A15" t="s">
        <v>146</v>
      </c>
      <c r="B15">
        <v>185000</v>
      </c>
      <c r="C15">
        <v>560000</v>
      </c>
    </row>
    <row r="16" spans="1:3" x14ac:dyDescent="0.25">
      <c r="A16" t="s">
        <v>147</v>
      </c>
      <c r="B16">
        <v>1565000</v>
      </c>
      <c r="C16">
        <v>3195000</v>
      </c>
    </row>
    <row r="17" spans="1:3" x14ac:dyDescent="0.25">
      <c r="A17" t="s">
        <v>148</v>
      </c>
      <c r="B17">
        <f>SUM(B14:B16)</f>
        <v>1880000</v>
      </c>
      <c r="C17">
        <f>SUM(C14:C16)</f>
        <v>4160000</v>
      </c>
    </row>
    <row r="19" spans="1:3" x14ac:dyDescent="0.25">
      <c r="A19" t="s">
        <v>149</v>
      </c>
      <c r="B19" t="s">
        <v>143</v>
      </c>
      <c r="C19" t="s">
        <v>144</v>
      </c>
    </row>
    <row r="20" spans="1:3" x14ac:dyDescent="0.25">
      <c r="A20" t="s">
        <v>148</v>
      </c>
      <c r="B20">
        <f>B17</f>
        <v>1880000</v>
      </c>
      <c r="C20">
        <f>C17</f>
        <v>4160000</v>
      </c>
    </row>
    <row r="21" spans="1:3" x14ac:dyDescent="0.25">
      <c r="A21" t="s">
        <v>150</v>
      </c>
      <c r="B21">
        <f>B11</f>
        <v>1850000</v>
      </c>
      <c r="C21">
        <f>B11</f>
        <v>1850000</v>
      </c>
    </row>
    <row r="22" spans="1:3" x14ac:dyDescent="0.25">
      <c r="A22" t="s">
        <v>151</v>
      </c>
      <c r="B22">
        <f>B20-B21</f>
        <v>30000</v>
      </c>
      <c r="C22">
        <f>C20-C21</f>
        <v>2310000</v>
      </c>
    </row>
    <row r="24" spans="1:3" x14ac:dyDescent="0.25">
      <c r="A24" t="s">
        <v>152</v>
      </c>
      <c r="B24" t="s">
        <v>143</v>
      </c>
      <c r="C24" t="s">
        <v>144</v>
      </c>
    </row>
    <row r="25" spans="1:3" x14ac:dyDescent="0.25">
      <c r="A25" t="s">
        <v>153</v>
      </c>
      <c r="B25">
        <v>35000</v>
      </c>
      <c r="C25">
        <v>90000</v>
      </c>
    </row>
    <row r="26" spans="1:3" x14ac:dyDescent="0.25">
      <c r="A26" t="s">
        <v>154</v>
      </c>
      <c r="B26">
        <v>20000</v>
      </c>
      <c r="C26">
        <v>60000</v>
      </c>
    </row>
    <row r="27" spans="1:3" x14ac:dyDescent="0.25">
      <c r="A27" t="s">
        <v>155</v>
      </c>
      <c r="B27">
        <v>20000</v>
      </c>
      <c r="C27">
        <v>90000</v>
      </c>
    </row>
    <row r="28" spans="1:3" x14ac:dyDescent="0.25">
      <c r="A28" t="s">
        <v>156</v>
      </c>
      <c r="B28">
        <v>10000</v>
      </c>
      <c r="C28">
        <v>30000</v>
      </c>
    </row>
    <row r="29" spans="1:3" x14ac:dyDescent="0.25">
      <c r="A29" t="s">
        <v>157</v>
      </c>
      <c r="B29">
        <v>15000</v>
      </c>
      <c r="C29">
        <v>50000</v>
      </c>
    </row>
    <row r="30" spans="1:3" x14ac:dyDescent="0.25">
      <c r="A30" t="s">
        <v>158</v>
      </c>
      <c r="B30">
        <v>15000</v>
      </c>
      <c r="C30">
        <v>40000</v>
      </c>
    </row>
    <row r="31" spans="1:3" x14ac:dyDescent="0.25">
      <c r="A31" t="s">
        <v>159</v>
      </c>
      <c r="B31">
        <v>15000</v>
      </c>
      <c r="C31">
        <v>45000</v>
      </c>
    </row>
    <row r="32" spans="1:3" x14ac:dyDescent="0.25">
      <c r="A32" t="s">
        <v>160</v>
      </c>
      <c r="B32">
        <f>SUM(B25:B31)</f>
        <v>130000</v>
      </c>
      <c r="C32">
        <f>SUM(C25:C31)</f>
        <v>405000</v>
      </c>
    </row>
    <row r="34" spans="1:3" x14ac:dyDescent="0.25">
      <c r="A34" t="s">
        <v>161</v>
      </c>
      <c r="B34" t="s">
        <v>143</v>
      </c>
      <c r="C34" t="s">
        <v>144</v>
      </c>
    </row>
    <row r="35" spans="1:3" x14ac:dyDescent="0.25">
      <c r="A35" t="s">
        <v>162</v>
      </c>
      <c r="B35">
        <v>50000</v>
      </c>
      <c r="C35">
        <v>150000</v>
      </c>
    </row>
    <row r="36" spans="1:3" x14ac:dyDescent="0.25">
      <c r="A36" t="s">
        <v>163</v>
      </c>
      <c r="B36">
        <v>40000</v>
      </c>
      <c r="C36">
        <v>120000</v>
      </c>
    </row>
    <row r="37" spans="1:3" x14ac:dyDescent="0.25">
      <c r="A37" t="s">
        <v>164</v>
      </c>
      <c r="B37">
        <v>25000</v>
      </c>
      <c r="C37">
        <v>75000</v>
      </c>
    </row>
    <row r="38" spans="1:3" x14ac:dyDescent="0.25">
      <c r="A38" t="s">
        <v>165</v>
      </c>
      <c r="B38">
        <v>10000</v>
      </c>
      <c r="C38">
        <v>30000</v>
      </c>
    </row>
    <row r="39" spans="1:3" x14ac:dyDescent="0.25">
      <c r="A39" t="s">
        <v>166</v>
      </c>
      <c r="B39">
        <v>20000</v>
      </c>
      <c r="C39">
        <v>60000</v>
      </c>
    </row>
    <row r="40" spans="1:3" x14ac:dyDescent="0.25">
      <c r="A40" t="s">
        <v>167</v>
      </c>
      <c r="B40">
        <v>40000</v>
      </c>
      <c r="C40">
        <v>125000</v>
      </c>
    </row>
    <row r="41" spans="1:3" x14ac:dyDescent="0.25">
      <c r="A41" t="s">
        <v>168</v>
      </c>
      <c r="B41">
        <f>SUM(B35:B40)</f>
        <v>185000</v>
      </c>
      <c r="C41">
        <f>SUM(C35:C40)</f>
        <v>560000</v>
      </c>
    </row>
    <row r="43" spans="1:3" x14ac:dyDescent="0.25">
      <c r="A43" t="s">
        <v>169</v>
      </c>
      <c r="B43" t="s">
        <v>143</v>
      </c>
      <c r="C43" t="s">
        <v>144</v>
      </c>
    </row>
    <row r="44" spans="1:3" x14ac:dyDescent="0.25">
      <c r="A44" t="s">
        <v>170</v>
      </c>
      <c r="B44">
        <v>1125000</v>
      </c>
      <c r="C44">
        <v>1950000</v>
      </c>
    </row>
    <row r="45" spans="1:3" x14ac:dyDescent="0.25">
      <c r="A45" t="s">
        <v>171</v>
      </c>
      <c r="B45">
        <v>125000</v>
      </c>
      <c r="C45">
        <v>350000</v>
      </c>
    </row>
    <row r="46" spans="1:3" x14ac:dyDescent="0.25">
      <c r="A46" t="s">
        <v>172</v>
      </c>
      <c r="B46">
        <v>35000</v>
      </c>
      <c r="C46">
        <v>125000</v>
      </c>
    </row>
    <row r="47" spans="1:3" x14ac:dyDescent="0.25">
      <c r="A47" t="s">
        <v>173</v>
      </c>
      <c r="B47">
        <v>75000</v>
      </c>
      <c r="C47">
        <v>300000</v>
      </c>
    </row>
    <row r="48" spans="1:3" x14ac:dyDescent="0.25">
      <c r="A48" t="s">
        <v>174</v>
      </c>
      <c r="B48">
        <v>60000</v>
      </c>
      <c r="C48">
        <v>180000</v>
      </c>
    </row>
    <row r="49" spans="1:3" x14ac:dyDescent="0.25">
      <c r="A49" t="s">
        <v>175</v>
      </c>
      <c r="B49">
        <v>145000</v>
      </c>
      <c r="C49">
        <v>290000</v>
      </c>
    </row>
    <row r="50" spans="1:3" x14ac:dyDescent="0.25">
      <c r="A50" t="s">
        <v>176</v>
      </c>
      <c r="B50">
        <f>SUM(B44:B49)</f>
        <v>1565000</v>
      </c>
      <c r="C50">
        <f>SUM(C44:C49)</f>
        <v>3195000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Annual Model</vt:lpstr>
      <vt:lpstr>Waterfall</vt:lpstr>
      <vt:lpstr>Returns</vt:lpstr>
      <vt:lpstr>Notes</vt:lpstr>
      <vt:lpstr>Cost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2026-05-11T18:32:44Z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