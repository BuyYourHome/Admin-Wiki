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" documentId="13_ncr:1_{0C20EBD6-E2BD-404C-B47C-BDA54182D35E}" xr6:coauthVersionLast="47" xr6:coauthVersionMax="47" xr10:uidLastSave="{5721A4FE-8BB7-5E21-AAE7-232C52C35C54}"/>
  <bookViews>
    <workbookView xWindow="8295" yWindow="1005" windowWidth="20025" windowHeight="14055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  <c r="C50" i="6"/>
  <c r="B50" i="6"/>
  <c r="C41" i="6"/>
  <c r="B41" i="6"/>
  <c r="C32" i="6"/>
  <c r="B32" i="6"/>
  <c r="B21" i="6"/>
  <c r="C17" i="6"/>
  <c r="C20" i="6" s="1"/>
  <c r="B17" i="6"/>
  <c r="B20" i="6" s="1"/>
  <c r="B22" i="6" s="1"/>
  <c r="B11" i="6"/>
  <c r="C21" i="6" s="1"/>
  <c r="C22" i="6" l="1"/>
</calcChain>
</file>

<file path=xl/sharedStrings.xml><?xml version="1.0" encoding="utf-8"?>
<sst xmlns="http://schemas.openxmlformats.org/spreadsheetml/2006/main" count="202" uniqueCount="177">
  <si>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</si>
  <si>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</si>
  <si>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</si>
  <si>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</si>
  <si>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</si>
  <si>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</si>
  <si>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</si>
  <si>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</si>
  <si>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</si>
  <si>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</si>
  <si>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</si>
  <si>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</si>
  <si>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</si>
  <si>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</si>
  <si>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</si>
  <si>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</si>
  <si>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</si>
  <si>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</si>
  <si>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</si>
  <si>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</si>
  <si>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</si>
  <si>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</si>
  <si>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</si>
  <si>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</si>
  <si>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</si>
  <si>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</si>
  <si>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</si>
  <si>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</si>
  <si>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</si>
  <si>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</si>
  <si>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</si>
  <si>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</si>
  <si>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</si>
  <si>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</si>
  <si>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</si>
  <si>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</si>
  <si>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</si>
  <si>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</si>
  <si>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</si>
  <si>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</si>
  <si>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</si>
  <si>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</si>
  <si>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</si>
  <si>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</si>
  <si>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</si>
  <si>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</si>
  <si>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</si>
  <si>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</si>
  <si>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</si>
  <si>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</si>
  <si>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</si>
  <si>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</si>
  <si>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</si>
  <si>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</si>
  <si>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</si>
  <si>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</si>
  <si>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</si>
  <si>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</si>
  <si>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</si>
  <si>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</si>
  <si>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</si>
  <si>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</si>
  <si>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</si>
  <si>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</si>
  <si>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</si>
  <si>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</si>
  <si>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</si>
  <si>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</si>
  <si>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</si>
  <si>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</si>
  <si>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</si>
  <si>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</si>
  <si>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</si>
  <si>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</si>
  <si>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</si>
  <si>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</si>
  <si>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</si>
  <si>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</si>
  <si>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</si>
  <si>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</si>
  <si>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</si>
  <si>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</si>
  <si>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</si>
  <si>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</si>
  <si>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</si>
  <si>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</si>
  <si>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</si>
  <si>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</si>
  <si>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</si>
  <si>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</si>
  <si>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</si>
  <si>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</si>
  <si>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</si>
  <si>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</si>
  <si>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</si>
  <si>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</si>
  <si>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</si>
  <si>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</si>
  <si>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</si>
  <si>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</si>
  <si>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</si>
  <si>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</si>
  <si>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</si>
  <si>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</si>
  <si>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</si>
  <si>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</si>
  <si>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</si>
  <si>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</si>
  <si>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</si>
  <si>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</si>
  <si>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</si>
  <si>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</si>
  <si>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</si>
  <si>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</si>
  <si>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</si>
  <si>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</si>
  <si>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</si>
  <si>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</si>
  <si>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</si>
  <si>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</si>
  <si>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</si>
  <si>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</si>
  <si>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</si>
  <si>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</si>
  <si>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</si>
  <si>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</si>
  <si>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</si>
  <si>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</si>
  <si>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</si>
  <si>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</si>
  <si>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</si>
  <si>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</si>
  <si>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</si>
  <si>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</si>
  <si>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</si>
  <si>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</si>
  <si>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</si>
  <si>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</si>
  <si>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</si>
  <si>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</si>
  <si>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</si>
  <si>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Total modeled capital / basis</t>
  </si>
  <si>
    <t>Cost Category</t>
  </si>
  <si>
    <t>Low</t>
  </si>
  <si>
    <t>High</t>
  </si>
  <si>
    <t>Design &amp; entitlement</t>
  </si>
  <si>
    <t>Development &amp; pre-construction</t>
  </si>
  <si>
    <t>Build &amp; delivery</t>
  </si>
  <si>
    <t>Estimated total project cost</t>
  </si>
  <si>
    <t>Funding Gap Analysis</t>
  </si>
  <si>
    <t>Current modeled capital / basis</t>
  </si>
  <si>
    <t>Potential unfunded development gap</t>
  </si>
  <si>
    <t>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</si>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</sst>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tabSelected="1" workbookViewId="0"/>
  </sheetViews>
  <sheetFormatPr defaultRowHeight="15" x14ac:dyDescent="0.25"/>
  <cols>
    <col min="1" max="1" width="58" customWidth="1"/>
    <col min="2" max="3" width="16" customWidth="1"/>
  </cols>
  <sheetData>
    <row r="1" spans="1:3" x14ac:dyDescent="0.25">
      <c r="A1" t="s">
        <v>127</v>
      </c>
    </row>
    <row r="2" spans="1:3" x14ac:dyDescent="0.25">
      <c r="A2" t="s">
        <v>128</v>
      </c>
      <c r="B2" t="s">
        <v>129</v>
      </c>
    </row>
    <row r="3" spans="1:3" x14ac:dyDescent="0.25">
      <c r="A3" t="s">
        <v>130</v>
      </c>
      <c r="B3" t="s">
        <v>131</v>
      </c>
    </row>
    <row r="5" spans="1:3" x14ac:dyDescent="0.25">
      <c r="A5" t="s">
        <v>132</v>
      </c>
      <c r="B5" t="s">
        <v>133</v>
      </c>
      <c r="C5" t="s">
        <v>134</v>
      </c>
    </row>
    <row r="6" spans="1:3" x14ac:dyDescent="0.25">
      <c r="A6" t="s">
        <v>135</v>
      </c>
      <c r="B6">
        <v>650000</v>
      </c>
      <c r="C6" t="s">
        <v>136</v>
      </c>
    </row>
    <row r="7" spans="1:3" x14ac:dyDescent="0.25">
      <c r="A7" t="s">
        <v>137</v>
      </c>
      <c r="B7">
        <v>650000</v>
      </c>
      <c r="C7" t="s">
        <v>136</v>
      </c>
    </row>
    <row r="8" spans="1:3" x14ac:dyDescent="0.25">
      <c r="A8" t="s">
        <v>138</v>
      </c>
      <c r="B8">
        <v>300000</v>
      </c>
      <c r="C8" t="s">
        <v>136</v>
      </c>
    </row>
    <row r="9" spans="1:3" x14ac:dyDescent="0.25">
      <c r="A9" t="s">
        <v>139</v>
      </c>
      <c r="B9">
        <v>100000</v>
      </c>
      <c r="C9" t="s">
        <v>136</v>
      </c>
    </row>
    <row r="10" spans="1:3" x14ac:dyDescent="0.25">
      <c r="A10" t="s">
        <v>140</v>
      </c>
      <c r="B10">
        <v>150000</v>
      </c>
      <c r="C10" t="s">
        <v>136</v>
      </c>
    </row>
    <row r="11" spans="1:3" x14ac:dyDescent="0.25">
      <c r="A11" t="s">
        <v>141</v>
      </c>
      <c r="B11">
        <f>SUM(B6:B10)</f>
        <v>1850000</v>
      </c>
      <c r="C11" t="s">
        <v>26</v>
      </c>
    </row>
    <row r="13" spans="1:3" x14ac:dyDescent="0.25">
      <c r="A13" t="s">
        <v>142</v>
      </c>
      <c r="B13" t="s">
        <v>143</v>
      </c>
      <c r="C13" t="s">
        <v>144</v>
      </c>
    </row>
    <row r="14" spans="1:3" x14ac:dyDescent="0.25">
      <c r="A14" t="s">
        <v>145</v>
      </c>
      <c r="B14">
        <v>130000</v>
      </c>
      <c r="C14">
        <v>405000</v>
      </c>
    </row>
    <row r="15" spans="1:3" x14ac:dyDescent="0.25">
      <c r="A15" t="s">
        <v>146</v>
      </c>
      <c r="B15">
        <v>185000</v>
      </c>
      <c r="C15">
        <v>560000</v>
      </c>
    </row>
    <row r="16" spans="1:3" x14ac:dyDescent="0.25">
      <c r="A16" t="s">
        <v>147</v>
      </c>
      <c r="B16">
        <v>1565000</v>
      </c>
      <c r="C16">
        <v>3195000</v>
      </c>
    </row>
    <row r="17" spans="1:3" x14ac:dyDescent="0.25">
      <c r="A17" t="s">
        <v>148</v>
      </c>
      <c r="B17">
        <f>SUM(B14:B16)</f>
        <v>1880000</v>
      </c>
      <c r="C17">
        <f>SUM(C14:C16)</f>
        <v>4160000</v>
      </c>
    </row>
    <row r="19" spans="1:3" x14ac:dyDescent="0.25">
      <c r="A19" t="s">
        <v>149</v>
      </c>
      <c r="B19" t="s">
        <v>143</v>
      </c>
      <c r="C19" t="s">
        <v>144</v>
      </c>
    </row>
    <row r="20" spans="1:3" x14ac:dyDescent="0.25">
      <c r="A20" t="s">
        <v>148</v>
      </c>
      <c r="B20">
        <f>B17</f>
        <v>1880000</v>
      </c>
      <c r="C20">
        <f>C17</f>
        <v>4160000</v>
      </c>
    </row>
    <row r="21" spans="1:3" x14ac:dyDescent="0.25">
      <c r="A21" t="s">
        <v>150</v>
      </c>
      <c r="B21">
        <f>B11</f>
        <v>1850000</v>
      </c>
      <c r="C21">
        <f>B11</f>
        <v>1850000</v>
      </c>
    </row>
    <row r="22" spans="1:3" x14ac:dyDescent="0.25">
      <c r="A22" t="s">
        <v>151</v>
      </c>
      <c r="B22">
        <f>B20-B21</f>
        <v>30000</v>
      </c>
      <c r="C22">
        <f>C20-C21</f>
        <v>2310000</v>
      </c>
    </row>
    <row r="24" spans="1:3" x14ac:dyDescent="0.25">
      <c r="A24" t="s">
        <v>152</v>
      </c>
      <c r="B24" t="s">
        <v>143</v>
      </c>
      <c r="C24" t="s">
        <v>144</v>
      </c>
    </row>
    <row r="25" spans="1:3" x14ac:dyDescent="0.25">
      <c r="A25" t="s">
        <v>153</v>
      </c>
      <c r="B25">
        <v>35000</v>
      </c>
      <c r="C25">
        <v>90000</v>
      </c>
    </row>
    <row r="26" spans="1:3" x14ac:dyDescent="0.25">
      <c r="A26" t="s">
        <v>154</v>
      </c>
      <c r="B26">
        <v>20000</v>
      </c>
      <c r="C26">
        <v>60000</v>
      </c>
    </row>
    <row r="27" spans="1:3" x14ac:dyDescent="0.25">
      <c r="A27" t="s">
        <v>155</v>
      </c>
      <c r="B27">
        <v>20000</v>
      </c>
      <c r="C27">
        <v>90000</v>
      </c>
    </row>
    <row r="28" spans="1:3" x14ac:dyDescent="0.25">
      <c r="A28" t="s">
        <v>156</v>
      </c>
      <c r="B28">
        <v>10000</v>
      </c>
      <c r="C28">
        <v>30000</v>
      </c>
    </row>
    <row r="29" spans="1:3" x14ac:dyDescent="0.25">
      <c r="A29" t="s">
        <v>157</v>
      </c>
      <c r="B29">
        <v>15000</v>
      </c>
      <c r="C29">
        <v>50000</v>
      </c>
    </row>
    <row r="30" spans="1:3" x14ac:dyDescent="0.25">
      <c r="A30" t="s">
        <v>158</v>
      </c>
      <c r="B30">
        <v>15000</v>
      </c>
      <c r="C30">
        <v>40000</v>
      </c>
    </row>
    <row r="31" spans="1:3" x14ac:dyDescent="0.25">
      <c r="A31" t="s">
        <v>159</v>
      </c>
      <c r="B31">
        <v>15000</v>
      </c>
      <c r="C31">
        <v>45000</v>
      </c>
    </row>
    <row r="32" spans="1:3" x14ac:dyDescent="0.25">
      <c r="A32" t="s">
        <v>160</v>
      </c>
      <c r="B32">
        <f>SUM(B25:B31)</f>
        <v>130000</v>
      </c>
      <c r="C32">
        <f>SUM(C25:C31)</f>
        <v>405000</v>
      </c>
    </row>
    <row r="34" spans="1:3" x14ac:dyDescent="0.25">
      <c r="A34" t="s">
        <v>161</v>
      </c>
      <c r="B34" t="s">
        <v>143</v>
      </c>
      <c r="C34" t="s">
        <v>144</v>
      </c>
    </row>
    <row r="35" spans="1:3" x14ac:dyDescent="0.25">
      <c r="A35" t="s">
        <v>162</v>
      </c>
      <c r="B35">
        <v>50000</v>
      </c>
      <c r="C35">
        <v>150000</v>
      </c>
    </row>
    <row r="36" spans="1:3" x14ac:dyDescent="0.25">
      <c r="A36" t="s">
        <v>163</v>
      </c>
      <c r="B36">
        <v>40000</v>
      </c>
      <c r="C36">
        <v>120000</v>
      </c>
    </row>
    <row r="37" spans="1:3" x14ac:dyDescent="0.25">
      <c r="A37" t="s">
        <v>164</v>
      </c>
      <c r="B37">
        <v>25000</v>
      </c>
      <c r="C37">
        <v>75000</v>
      </c>
    </row>
    <row r="38" spans="1:3" x14ac:dyDescent="0.25">
      <c r="A38" t="s">
        <v>165</v>
      </c>
      <c r="B38">
        <v>10000</v>
      </c>
      <c r="C38">
        <v>30000</v>
      </c>
    </row>
    <row r="39" spans="1:3" x14ac:dyDescent="0.25">
      <c r="A39" t="s">
        <v>166</v>
      </c>
      <c r="B39">
        <v>20000</v>
      </c>
      <c r="C39">
        <v>60000</v>
      </c>
    </row>
    <row r="40" spans="1:3" x14ac:dyDescent="0.25">
      <c r="A40" t="s">
        <v>167</v>
      </c>
      <c r="B40">
        <v>40000</v>
      </c>
      <c r="C40">
        <v>125000</v>
      </c>
    </row>
    <row r="41" spans="1:3" x14ac:dyDescent="0.25">
      <c r="A41" t="s">
        <v>168</v>
      </c>
      <c r="B41">
        <f>SUM(B35:B40)</f>
        <v>185000</v>
      </c>
      <c r="C41">
        <f>SUM(C35:C40)</f>
        <v>560000</v>
      </c>
    </row>
    <row r="43" spans="1:3" x14ac:dyDescent="0.25">
      <c r="A43" t="s">
        <v>169</v>
      </c>
      <c r="B43" t="s">
        <v>143</v>
      </c>
      <c r="C43" t="s">
        <v>144</v>
      </c>
    </row>
    <row r="44" spans="1:3" x14ac:dyDescent="0.25">
      <c r="A44" t="s">
        <v>170</v>
      </c>
      <c r="B44">
        <v>1125000</v>
      </c>
      <c r="C44">
        <v>1950000</v>
      </c>
    </row>
    <row r="45" spans="1:3" x14ac:dyDescent="0.25">
      <c r="A45" t="s">
        <v>171</v>
      </c>
      <c r="B45">
        <v>125000</v>
      </c>
      <c r="C45">
        <v>350000</v>
      </c>
    </row>
    <row r="46" spans="1:3" x14ac:dyDescent="0.25">
      <c r="A46" t="s">
        <v>172</v>
      </c>
      <c r="B46">
        <v>35000</v>
      </c>
      <c r="C46">
        <v>125000</v>
      </c>
    </row>
    <row r="47" spans="1:3" x14ac:dyDescent="0.25">
      <c r="A47" t="s">
        <v>173</v>
      </c>
      <c r="B47">
        <v>75000</v>
      </c>
      <c r="C47">
        <v>300000</v>
      </c>
    </row>
    <row r="48" spans="1:3" x14ac:dyDescent="0.25">
      <c r="A48" t="s">
        <v>174</v>
      </c>
      <c r="B48">
        <v>60000</v>
      </c>
      <c r="C48">
        <v>180000</v>
      </c>
    </row>
    <row r="49" spans="1:3" x14ac:dyDescent="0.25">
      <c r="A49" t="s">
        <v>175</v>
      </c>
      <c r="B49">
        <v>145000</v>
      </c>
      <c r="C49">
        <v>290000</v>
      </c>
    </row>
    <row r="50" spans="1:3" x14ac:dyDescent="0.25">
      <c r="A50" t="s">
        <v>176</v>
      </c>
      <c r="B50">
        <f>SUM(B44:B49)</f>
        <v>1565000</v>
      </c>
      <c r="C50">
        <f>SUM(C44:C49)</f>
        <v>3195000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