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2" documentId="13_ncr:1_{0C20EBD6-E2BD-404C-B47C-BDA54182D35E}" xr6:coauthVersionLast="47" xr6:coauthVersionMax="47" xr10:uidLastSave="{5721A4FE-8BB7-5E21-AAE7-232C52C35C54}"/>
  <bookViews>
    <workbookView xWindow="8295" yWindow="1005" windowWidth="20025" windowHeight="14055" activeTab="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<sst xmlns="http://schemas.openxmlformats.org/spreadsheetml/2006/main" count="202" uniqueCount="177">
  <si>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</si>
  <si>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</si>
  <si>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</si>
  <si>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</si>
  <si>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</si>
  <si>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</si>
  <si>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</si>
  <si>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</si>
  <si>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</si>
  <si>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</si>
  <si>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</si>
  <si>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</si>
  <si>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</si>
  <si>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</si>
  <si>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</si>
  <si>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</si>
  <si>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</si>
  <si>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</si>
  <si>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</si>
  <si>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</si>
  <si>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</si>
  <si>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</si>
  <si>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</si>
  <si>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</si>
  <si>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</si>
  <si>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</si>
  <si>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</si>
  <si>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</si>
  <si>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</si>
  <si>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</si>
  <si>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</si>
  <si>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</si>
  <si>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</si>
  <si>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</si>
  <si>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</si>
  <si>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</si>
  <si>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</si>
  <si>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</si>
  <si>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</si>
  <si>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</si>
  <si>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</si>
  <si>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</si>
  <si>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</si>
  <si>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</si>
  <si>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</si>
  <si>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</si>
  <si>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</si>
  <si>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</si>
  <si>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</si>
  <si>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</si>
  <si>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</si>
  <si>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</si>
  <si>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</si>
  <si>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</si>
  <si>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</si>
  <si>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</si>
  <si>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</si>
  <si>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</si>
  <si>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</si>
  <si>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</si>
  <si>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</si>
  <si>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</si>
  <si>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</si>
  <si>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</si>
  <si>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</si>
  <si>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</si>
  <si>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</si>
  <si>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</si>
  <si>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</si>
  <si>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</si>
  <si>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</si>
  <si>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</si>
  <si>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</si>
  <si>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</si>
  <si>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</si>
  <si>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</si>
  <si>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</si>
  <si>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</si>
  <si>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</si>
  <si>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</si>
  <si>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</si>
  <si>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</si>
  <si>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</si>
  <si>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</si>
  <si>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</si>
  <si>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</si>
  <si>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</si>
  <si>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</si>
  <si>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</si>
  <si>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</si>
  <si>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</si>
  <si>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</si>
  <si>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</si>
  <si>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</si>
  <si>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</si>
  <si>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</si>
  <si>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</si>
  <si>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</si>
  <si>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</si>
  <si>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</si>
  <si>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</si>
  <si>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</si>
  <si>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</si>
  <si>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</si>
  <si>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</si>
  <si>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</si>
  <si>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</si>
  <si>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</si>
  <si>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</si>
  <si>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</si>
  <si>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</si>
  <si>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</si>
  <si>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</si>
  <si>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</si>
  <si>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</si>
  <si>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</si>
  <si>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</si>
  <si>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</si>
  <si>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</si>
  <si>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</si>
  <si>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</si>
  <si>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</si>
  <si>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</si>
  <si>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</si>
  <si>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</si>
  <si>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</si>
  <si>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</si>
  <si>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</si>
  <si>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</si>
  <si>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</si>
  <si>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</si>
  <si>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</si>
  <si>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Workbook-Backed Capital Assumptions</t>
  </si>
  <si>
    <t>Amount</t>
  </si>
  <si>
    <t>Notes</t>
  </si>
  <si>
    <t>Project debt payoff at refinance</t>
  </si>
  <si>
    <t>Existing assumption</t>
  </si>
  <si>
    <t>Permanent loan amount</t>
  </si>
  <si>
    <t>Class A capital</t>
  </si>
  <si>
    <t>Class B capital</t>
  </si>
  <si>
    <t>Sponsor basis / deemed investment</t>
  </si>
  <si>
    <t>Total modeled capital / basis</t>
  </si>
  <si>
    <t>Cost Category</t>
  </si>
  <si>
    <t>Low</t>
  </si>
  <si>
    <t>High</t>
  </si>
  <si>
    <t>Design &amp; entitlement</t>
  </si>
  <si>
    <t>Development &amp; pre-construction</t>
  </si>
  <si>
    <t>Build &amp; delivery</t>
  </si>
  <si>
    <t>Estimated total project cost</t>
  </si>
  <si>
    <t>Funding Gap Analysis</t>
  </si>
  <si>
    <t>Current modeled capital / basis</t>
  </si>
  <si>
    <t>Potential unfunded development gap</t>
  </si>
  <si>
    <t>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</si>
  <si>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</si>
  <si>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</si>
  <si>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</si>
  <si>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</si>
  <si>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</si>
  <si>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</si>
  <si>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</si>
  <si>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</si>
  <si>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</si>
  <si>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</si>
  <si>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</si>
  <si>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</si>
  <si>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</si>
  <si>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</si>
  <si>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</si>
  <si>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</si>
  <si>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</si>
  <si>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</si>
  <si>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</si>
  <si>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</si>
  <si>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</si>
  <si>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Furnishings, fixtures, equipment, and turnover</t>
  </si>
  <si>
    <t>Construction contingency</t>
  </si>
  <si>
    <t>Build &amp; delivery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</si>
</sst>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"/>
    <numFmt numFmtId="165" formatCode="0.0%"/>
    <numFmt numFmtId="166" formatCode="0.00\x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workbookViewId="0">
      <selection activeCell="B20" sqref="B20"/>
    </sheetView>
  </sheetViews>
  <sheetFormatPr defaultRowHeight="15" x14ac:dyDescent="0.25"/>
  <cols>
    <col min="1" max="1" width="47" bestFit="1" customWidth="1"/>
    <col min="2" max="2" width="14.140625" customWidth="1"/>
    <col min="3" max="3" width="60"/>
  </cols>
  <sheetData>
    <row r="1" spans="1:3" ht="18.75" x14ac:dyDescent="0.3">
      <c r="A1" s="5" t="s">
        <v>0</v>
      </c>
      <c r="C1" s="6" t="s">
        <v>1</v>
      </c>
    </row>
    <row r="3" spans="1:3" x14ac:dyDescent="0.25">
      <c r="A3" s="1" t="s">
        <v>2</v>
      </c>
    </row>
    <row r="4" spans="1:3" x14ac:dyDescent="0.25">
      <c r="A4" t="s">
        <v>3</v>
      </c>
      <c r="B4" s="4">
        <v>2</v>
      </c>
      <c r="C4" s="6" t="s">
        <v>4</v>
      </c>
    </row>
    <row r="5" spans="1:3" x14ac:dyDescent="0.25">
      <c r="A5" t="s">
        <v>5</v>
      </c>
      <c r="B5" s="4">
        <v>4</v>
      </c>
      <c r="C5" s="6" t="s">
        <v>6</v>
      </c>
    </row>
    <row r="7" spans="1:3" x14ac:dyDescent="0.25">
      <c r="A7" s="1" t="s">
        <v>7</v>
      </c>
    </row>
    <row r="8" spans="1:3" x14ac:dyDescent="0.25">
      <c r="A8" t="s">
        <v>8</v>
      </c>
      <c r="B8" s="4">
        <v>4</v>
      </c>
      <c r="C8" s="6" t="s">
        <v>9</v>
      </c>
    </row>
    <row r="9" spans="1:3" x14ac:dyDescent="0.25">
      <c r="A9" t="s">
        <v>10</v>
      </c>
      <c r="B9" s="2">
        <v>1600</v>
      </c>
      <c r="C9" s="6" t="s">
        <v>11</v>
      </c>
    </row>
    <row r="10" spans="1:3" x14ac:dyDescent="0.25">
      <c r="A10" t="s">
        <v>12</v>
      </c>
      <c r="B10" s="4">
        <v>4</v>
      </c>
      <c r="C10" s="6" t="s">
        <v>13</v>
      </c>
    </row>
    <row r="11" spans="1:3" x14ac:dyDescent="0.25">
      <c r="A11" t="s">
        <v>14</v>
      </c>
      <c r="B11" s="2">
        <v>1100</v>
      </c>
      <c r="C11" s="6" t="s">
        <v>11</v>
      </c>
    </row>
    <row r="12" spans="1:3" x14ac:dyDescent="0.25">
      <c r="A12" t="s">
        <v>15</v>
      </c>
      <c r="B12" s="2">
        <v>0</v>
      </c>
      <c r="C12" s="6" t="s">
        <v>16</v>
      </c>
    </row>
    <row r="13" spans="1:3" x14ac:dyDescent="0.25">
      <c r="A13" t="s">
        <v>17</v>
      </c>
      <c r="B13" s="3">
        <v>0.93</v>
      </c>
      <c r="C13" s="6" t="s">
        <v>18</v>
      </c>
    </row>
    <row r="14" spans="1:3" x14ac:dyDescent="0.25">
      <c r="A14" t="s">
        <v>19</v>
      </c>
      <c r="B14" s="3">
        <v>0.5</v>
      </c>
      <c r="C14" s="6" t="s">
        <v>20</v>
      </c>
    </row>
    <row r="15" spans="1:3" x14ac:dyDescent="0.25">
      <c r="A15" t="s">
        <v>21</v>
      </c>
      <c r="B15" s="3">
        <v>0.4</v>
      </c>
      <c r="C15" s="6" t="s">
        <v>22</v>
      </c>
    </row>
    <row r="16" spans="1:3" x14ac:dyDescent="0.25">
      <c r="A16" t="s">
        <v>23</v>
      </c>
      <c r="B16" s="3">
        <v>0.03</v>
      </c>
      <c r="C16" s="6" t="s">
        <v>24</v>
      </c>
    </row>
    <row r="17" spans="1:3" x14ac:dyDescent="0.25">
      <c r="A17" t="s">
        <v>25</v>
      </c>
      <c r="B17" s="2">
        <f>B8*B9+B10*B11+B12</f>
        <v>10800</v>
      </c>
      <c r="C17" s="6" t="s">
        <v>26</v>
      </c>
    </row>
    <row r="19" spans="1:3" x14ac:dyDescent="0.25">
      <c r="A19" s="1" t="s">
        <v>27</v>
      </c>
    </row>
    <row r="20" spans="1:3" x14ac:dyDescent="0.25">
      <c r="A20" t="s">
        <v>28</v>
      </c>
      <c r="B20" s="2">
        <f>MIN(INDEX('Annual Model'!$L$4:$L$14,MATCH($B$4,'Annual Model'!$A$4:$A$14,0))*70%,$B$28+$B$30)</f>
        <v>744863.04</v>
      </c>
      <c r="C20" s="6" t="s">
        <v>29</v>
      </c>
    </row>
    <row r="21" spans="1:3" x14ac:dyDescent="0.25">
      <c r="A21" t="s">
        <v>30</v>
      </c>
      <c r="B21" s="2">
        <v>650000</v>
      </c>
      <c r="C21" s="6" t="s">
        <v>31</v>
      </c>
    </row>
    <row r="22" spans="1:3" x14ac:dyDescent="0.25">
      <c r="A22" t="s">
        <v>32</v>
      </c>
      <c r="B22" s="3">
        <v>6.5000000000000002E-2</v>
      </c>
      <c r="C22" s="6" t="s">
        <v>33</v>
      </c>
    </row>
    <row r="23" spans="1:3" x14ac:dyDescent="0.25">
      <c r="A23" t="s">
        <v>34</v>
      </c>
      <c r="B23" s="4">
        <v>30</v>
      </c>
      <c r="C23" s="6" t="s">
        <v>35</v>
      </c>
    </row>
    <row r="24" spans="1:3" x14ac:dyDescent="0.25">
      <c r="A24" t="s">
        <v>36</v>
      </c>
      <c r="B24" s="3">
        <v>7.0000000000000007E-2</v>
      </c>
      <c r="C24" s="6" t="s">
        <v>37</v>
      </c>
    </row>
    <row r="25" spans="1:3" x14ac:dyDescent="0.25">
      <c r="A25" t="s">
        <v>38</v>
      </c>
      <c r="B25" s="3">
        <v>0.02</v>
      </c>
      <c r="C25" s="6" t="s">
        <v>39</v>
      </c>
    </row>
    <row r="27" spans="1:3" x14ac:dyDescent="0.25">
      <c r="A27" s="1" t="s">
        <v>40</v>
      </c>
    </row>
    <row r="28" spans="1:3" x14ac:dyDescent="0.25">
      <c r="A28" t="s">
        <v>41</v>
      </c>
      <c r="B28" s="2">
        <v>300000</v>
      </c>
      <c r="C28" s="6" t="s">
        <v>42</v>
      </c>
    </row>
    <row r="29" spans="1:3" x14ac:dyDescent="0.25">
      <c r="A29" t="s">
        <v>43</v>
      </c>
      <c r="B29" s="3">
        <v>0.08</v>
      </c>
      <c r="C29" s="6" t="s">
        <v>44</v>
      </c>
    </row>
    <row r="30" spans="1:3" x14ac:dyDescent="0.25">
      <c r="A30" t="s">
        <v>45</v>
      </c>
      <c r="B30" s="2">
        <f>MAX(0,'Cost Analysis'!$C$17-$B$28)</f>
        <v>1000000</v>
      </c>
      <c r="C30" s="6" t="s">
        <v>46</v>
      </c>
    </row>
    <row r="31" spans="1:3" x14ac:dyDescent="0.25">
      <c r="A31" t="s">
        <v>47</v>
      </c>
      <c r="B31" s="4">
        <v>1</v>
      </c>
      <c r="C31" s="6" t="s">
        <v>48</v>
      </c>
    </row>
    <row r="32" spans="1:3" x14ac:dyDescent="0.25">
      <c r="A32" t="s">
        <v>49</v>
      </c>
      <c r="B32" s="3">
        <v>0.4</v>
      </c>
      <c r="C32" s="6" t="s">
        <v>50</v>
      </c>
    </row>
    <row r="33" spans="1:3" x14ac:dyDescent="0.25">
      <c r="A33" t="s">
        <v>51</v>
      </c>
      <c r="B33" s="3">
        <f>1-B32</f>
        <v>0.6</v>
      </c>
      <c r="C33" s="6" t="s">
        <v>52</v>
      </c>
    </row>
    <row r="34" spans="1:3" x14ac:dyDescent="0.25">
      <c r="A34" t="s">
        <v>53</v>
      </c>
      <c r="B34" s="2">
        <v>150000</v>
      </c>
      <c r="C34" s="6" t="s">
        <v>54</v>
      </c>
    </row>
    <row r="36" spans="1:3" x14ac:dyDescent="0.25">
      <c r="A36" t="s">
        <v>55</v>
      </c>
      <c r="B36" s="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26"/>
    <col min="3" max="3" width="12" customWidth="1"/>
    <col min="4" max="4" width="10.5703125" customWidth="1"/>
    <col min="5" max="5" width="12.140625" customWidth="1"/>
    <col min="6" max="6" width="11.42578125" customWidth="1"/>
    <col min="7" max="7" width="10.7109375" customWidth="1"/>
    <col min="8" max="8" width="10.85546875" customWidth="1"/>
    <col min="9" max="9" width="10.7109375" customWidth="1"/>
    <col min="10" max="10" width="12.7109375" customWidth="1"/>
    <col min="11" max="11" width="11.28515625" customWidth="1"/>
    <col min="12" max="12" width="13.28515625" customWidth="1"/>
  </cols>
  <sheetData>
    <row r="1" spans="1:12" ht="18.75" x14ac:dyDescent="0.3">
      <c r="A1" s="5" t="s">
        <v>57</v>
      </c>
    </row>
    <row r="3" spans="1:12" s="9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4">
        <v>0</v>
      </c>
      <c r="B4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4">
        <v>1</v>
      </c>
      <c r="B5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4">
        <v>2</v>
      </c>
      <c r="B6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4">
        <v>3</v>
      </c>
      <c r="B7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4">
        <v>4</v>
      </c>
      <c r="B8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4">
        <v>5</v>
      </c>
      <c r="B9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4">
        <v>6</v>
      </c>
      <c r="B10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4">
        <v>7</v>
      </c>
      <c r="B11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4">
        <v>8</v>
      </c>
      <c r="B1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4">
        <v>9</v>
      </c>
      <c r="B13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4">
        <v>10</v>
      </c>
      <c r="B14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15.140625" customWidth="1"/>
    <col min="3" max="3" width="11.5703125" customWidth="1"/>
    <col min="4" max="4" width="12.7109375" customWidth="1"/>
    <col min="5" max="5" width="11" customWidth="1"/>
    <col min="6" max="6" width="12.28515625" customWidth="1"/>
    <col min="7" max="7" width="11.85546875" customWidth="1"/>
    <col min="8" max="8" width="11.5703125" customWidth="1"/>
    <col min="9" max="9" width="12.85546875" customWidth="1"/>
    <col min="10" max="10" width="12" customWidth="1"/>
    <col min="11" max="11" width="11.7109375" customWidth="1"/>
    <col min="12" max="14" width="10.5703125" customWidth="1"/>
    <col min="15" max="15" width="9.28515625" customWidth="1"/>
    <col min="16" max="16" width="12" customWidth="1"/>
    <col min="17" max="17" width="10.85546875" customWidth="1"/>
    <col min="18" max="18" width="11.5703125" customWidth="1"/>
  </cols>
  <sheetData>
    <row r="1" spans="1:18" ht="18.75" x14ac:dyDescent="0.3">
      <c r="A1" s="5" t="s">
        <v>75</v>
      </c>
    </row>
    <row r="3" spans="1:18" s="9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4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100000</v>
      </c>
      <c r="L4" s="2">
        <f>IF(Assumptions!$B$31=1,MIN(J4,K4),0)</f>
        <v>0</v>
      </c>
      <c r="M4" s="2">
        <f t="shared" ref="M4:M14" si="5">K4-L4</f>
        <v>100000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4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100000</v>
      </c>
      <c r="L5" s="2">
        <f>IF(Assumptions!$B$31=1,MIN(J5,K5),0)</f>
        <v>0</v>
      </c>
      <c r="M5" s="2">
        <f t="shared" si="5"/>
        <v>100000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4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100000</v>
      </c>
      <c r="L6" s="2">
        <f>IF(Assumptions!$B$31=1,MIN(J6,K6),0)</f>
        <v>0</v>
      </c>
      <c r="M6" s="2">
        <f t="shared" si="5"/>
        <v>100000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4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100000</v>
      </c>
      <c r="L7" s="2">
        <f>IF(Assumptions!$B$31=1,MIN(J7,K7),0)</f>
        <v>0</v>
      </c>
      <c r="M7" s="2">
        <f t="shared" si="5"/>
        <v>100000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4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100000</v>
      </c>
      <c r="L8" s="2">
        <f>IF(Assumptions!$B$31=1,MIN(J8,K8),0)</f>
        <v>100000</v>
      </c>
      <c r="M8" s="2">
        <f t="shared" si="5"/>
        <v>0</v>
      </c>
      <c r="N8" s="2">
        <f>MAX(0,J8-L8)*Assumptions!$B$32</f>
        <v>280326.1433652186</v>
      </c>
      <c r="O8" s="2">
        <f>MAX(0,J8-L8)*Assumptions!$B$33</f>
        <v>420489.21504782786</v>
      </c>
      <c r="P8" s="2">
        <f t="shared" si="6"/>
        <v>332919.50766490237</v>
      </c>
      <c r="Q8" s="2">
        <f t="shared" si="7"/>
        <v>380326.1433652186</v>
      </c>
      <c r="R8" s="2">
        <f t="shared" si="8"/>
        <v>420489.21504782786</v>
      </c>
    </row>
    <row r="9" spans="1:18" x14ac:dyDescent="0.25">
      <c r="A9" s="4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0</v>
      </c>
      <c r="L9" s="2">
        <f>IF(Assumptions!$B$31=1,MIN(J9,K9),0)</f>
        <v>0</v>
      </c>
      <c r="M9" s="2">
        <f t="shared" si="5"/>
        <v>0</v>
      </c>
      <c r="N9" s="2">
        <f>MAX(0,J9-L9)*Assumptions!$B$32</f>
        <v>31609.007965440003</v>
      </c>
      <c r="O9" s="2">
        <f>MAX(0,J9-L9)*Assumptions!$B$33</f>
        <v>47413.511948159998</v>
      </c>
      <c r="P9" s="2">
        <f t="shared" si="6"/>
        <v>0</v>
      </c>
      <c r="Q9" s="2">
        <f t="shared" si="7"/>
        <v>31609.007965440003</v>
      </c>
      <c r="R9" s="2">
        <f t="shared" si="8"/>
        <v>47413.511948159998</v>
      </c>
    </row>
    <row r="10" spans="1:18" x14ac:dyDescent="0.25">
      <c r="A10" s="4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0</v>
      </c>
      <c r="L10" s="2">
        <f>IF(Assumptions!$B$31=1,MIN(J10,K10),0)</f>
        <v>0</v>
      </c>
      <c r="M10" s="2">
        <f t="shared" si="5"/>
        <v>0</v>
      </c>
      <c r="N10" s="2">
        <f>MAX(0,J10-L10)*Assumptions!$B$32</f>
        <v>32557.278204403203</v>
      </c>
      <c r="O10" s="2">
        <f>MAX(0,J10-L10)*Assumptions!$B$33</f>
        <v>48835.917306604802</v>
      </c>
      <c r="P10" s="2">
        <f t="shared" si="6"/>
        <v>0</v>
      </c>
      <c r="Q10" s="2">
        <f t="shared" si="7"/>
        <v>32557.278204403203</v>
      </c>
      <c r="R10" s="2">
        <f t="shared" si="8"/>
        <v>48835.917306604802</v>
      </c>
    </row>
    <row r="11" spans="1:18" x14ac:dyDescent="0.25">
      <c r="A11" s="4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0</v>
      </c>
      <c r="L11" s="2">
        <f>IF(Assumptions!$B$31=1,MIN(J11,K11),0)</f>
        <v>0</v>
      </c>
      <c r="M11" s="2">
        <f t="shared" si="5"/>
        <v>0</v>
      </c>
      <c r="N11" s="2">
        <f>MAX(0,J11-L11)*Assumptions!$B$32</f>
        <v>33533.996550535296</v>
      </c>
      <c r="O11" s="2">
        <f>MAX(0,J11-L11)*Assumptions!$B$33</f>
        <v>50300.99482580294</v>
      </c>
      <c r="P11" s="2">
        <f t="shared" si="6"/>
        <v>0</v>
      </c>
      <c r="Q11" s="2">
        <f t="shared" si="7"/>
        <v>33533.996550535296</v>
      </c>
      <c r="R11" s="2">
        <f t="shared" si="8"/>
        <v>50300.99482580294</v>
      </c>
    </row>
    <row r="12" spans="1:18" x14ac:dyDescent="0.25">
      <c r="A12" s="4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0</v>
      </c>
      <c r="L12" s="2">
        <f>IF(Assumptions!$B$31=1,MIN(J12,K12),0)</f>
        <v>0</v>
      </c>
      <c r="M12" s="2">
        <f t="shared" si="5"/>
        <v>0</v>
      </c>
      <c r="N12" s="2">
        <f>MAX(0,J12-L12)*Assumptions!$B$32</f>
        <v>34540.016447051363</v>
      </c>
      <c r="O12" s="2">
        <f>MAX(0,J12-L12)*Assumptions!$B$33</f>
        <v>51810.024670577033</v>
      </c>
      <c r="P12" s="2">
        <f t="shared" si="6"/>
        <v>0</v>
      </c>
      <c r="Q12" s="2">
        <f t="shared" si="7"/>
        <v>34540.016447051363</v>
      </c>
      <c r="R12" s="2">
        <f t="shared" si="8"/>
        <v>51810.024670577033</v>
      </c>
    </row>
    <row r="13" spans="1:18" x14ac:dyDescent="0.25">
      <c r="A13" s="4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0</v>
      </c>
      <c r="L13" s="2">
        <f>IF(Assumptions!$B$31=1,MIN(J13,K13),0)</f>
        <v>0</v>
      </c>
      <c r="M13" s="2">
        <f t="shared" si="5"/>
        <v>0</v>
      </c>
      <c r="N13" s="2">
        <f>MAX(0,J13-L13)*Assumptions!$B$32</f>
        <v>35576.216940462902</v>
      </c>
      <c r="O13" s="2">
        <f>MAX(0,J13-L13)*Assumptions!$B$33</f>
        <v>53364.325410694342</v>
      </c>
      <c r="P13" s="2">
        <f t="shared" si="6"/>
        <v>0</v>
      </c>
      <c r="Q13" s="2">
        <f t="shared" si="7"/>
        <v>35576.216940462902</v>
      </c>
      <c r="R13" s="2">
        <f t="shared" si="8"/>
        <v>53364.325410694342</v>
      </c>
    </row>
    <row r="14" spans="1:18" x14ac:dyDescent="0.25">
      <c r="A14" s="4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12.85546875" customWidth="1"/>
    <col min="2" max="2" width="11.7109375" customWidth="1"/>
    <col min="3" max="3" width="12.42578125" customWidth="1"/>
    <col min="4" max="4" width="11.5703125" customWidth="1"/>
    <col min="5" max="5" width="11.7109375" customWidth="1"/>
    <col min="6" max="6" width="10" customWidth="1"/>
    <col min="7" max="7" width="9.7109375" customWidth="1"/>
    <col min="8" max="8" width="11.140625" customWidth="1"/>
    <col min="9" max="17" width="7.5703125" bestFit="1" customWidth="1"/>
    <col min="18" max="18" width="8.5703125" bestFit="1" customWidth="1"/>
  </cols>
  <sheetData>
    <row r="1" spans="1:18" ht="18.75" x14ac:dyDescent="0.3">
      <c r="A1" s="5" t="s">
        <v>93</v>
      </c>
    </row>
    <row r="3" spans="1:18" s="9" customFormat="1" ht="30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7">
        <f>C4/B4</f>
        <v>1.4</v>
      </c>
      <c r="F4" s="3">
        <f>D4/B4</f>
        <v>0.4</v>
      </c>
      <c r="G4" s="3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t="s">
        <v>113</v>
      </c>
      <c r="B5" s="2">
        <f>Assumptions!$B$30</f>
        <v>100000</v>
      </c>
      <c r="C5" s="2">
        <f>SUM(Waterfall!Q4:Q14)</f>
        <v>584786.16292178817</v>
      </c>
      <c r="D5" s="2">
        <f>C5-B5</f>
        <v>484786.16292178817</v>
      </c>
      <c r="E5" s="7">
        <f>IFERROR(C5/B5,0)</f>
        <v>5.8478616292178813</v>
      </c>
      <c r="F5" s="3">
        <f>IFERROR(D5/B5,0)</f>
        <v>4.8478616292178813</v>
      </c>
      <c r="G5" s="3">
        <f>IFERROR(IRR(H5:R5),0)</f>
        <v>0.45288791474080647</v>
      </c>
      <c r="H5" s="2">
        <f>-B5</f>
        <v>-100000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380326.1433652186</v>
      </c>
      <c r="M5" s="2">
        <f>Waterfall!Q9</f>
        <v>31609.007965440003</v>
      </c>
      <c r="N5" s="2">
        <f>Waterfall!Q10</f>
        <v>32557.278204403203</v>
      </c>
      <c r="O5" s="2">
        <f>Waterfall!Q11</f>
        <v>33533.996550535296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18" x14ac:dyDescent="0.25">
      <c r="A6" t="s">
        <v>114</v>
      </c>
      <c r="B6" s="2">
        <f>Assumptions!$B$34</f>
        <v>150000</v>
      </c>
      <c r="C6" s="2">
        <f>SUM(Waterfall!R4:R14)</f>
        <v>727179.24438268214</v>
      </c>
      <c r="D6" s="2">
        <f>C6-B6</f>
        <v>577179.24438268214</v>
      </c>
      <c r="E6" s="7">
        <f>IFERROR(C6/B6,0)</f>
        <v>4.8478616292178813</v>
      </c>
      <c r="F6" s="3">
        <f>IFERROR(D6/B6,0)</f>
        <v>3.8478616292178809</v>
      </c>
      <c r="G6" s="3">
        <f>IFERROR(IRR(H6:R6),0)</f>
        <v>0.37357739776199073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420489.21504782786</v>
      </c>
      <c r="M6" s="2">
        <f>Waterfall!R9</f>
        <v>47413.511948159998</v>
      </c>
      <c r="N6" s="2">
        <f>Waterfall!R10</f>
        <v>48835.917306604802</v>
      </c>
      <c r="O6" s="2">
        <f>Waterfall!R11</f>
        <v>50300.99482580294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9" spans="1:18" x14ac:dyDescent="0.25">
      <c r="A9" s="1" t="s">
        <v>115</v>
      </c>
      <c r="B9" s="6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22"/>
    <col min="2" max="2" width="110"/>
  </cols>
  <sheetData>
    <row r="1" spans="1:2" ht="18.75" x14ac:dyDescent="0.3">
      <c r="A1" s="5" t="s">
        <v>117</v>
      </c>
    </row>
    <row r="3" spans="1:2" x14ac:dyDescent="0.25">
      <c r="A3" s="1" t="s">
        <v>118</v>
      </c>
      <c r="B3" t="s">
        <v>119</v>
      </c>
    </row>
    <row r="4" spans="1:2" x14ac:dyDescent="0.25">
      <c r="A4" s="1" t="s">
        <v>120</v>
      </c>
      <c r="B4" t="s">
        <v>121</v>
      </c>
    </row>
    <row r="5" spans="1:2" x14ac:dyDescent="0.25">
      <c r="A5" s="1" t="s">
        <v>112</v>
      </c>
      <c r="B5" t="s">
        <v>122</v>
      </c>
    </row>
    <row r="6" spans="1:2" x14ac:dyDescent="0.25">
      <c r="A6" s="1" t="s">
        <v>113</v>
      </c>
      <c r="B6" t="s">
        <v>123</v>
      </c>
    </row>
    <row r="7" spans="1:2" x14ac:dyDescent="0.25">
      <c r="A7" s="1" t="s">
        <v>114</v>
      </c>
      <c r="B7" t="s">
        <v>124</v>
      </c>
    </row>
    <row r="8" spans="1:2" x14ac:dyDescent="0.25">
      <c r="A8" s="1" t="s">
        <v>125</v>
      </c>
      <c r="B8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0"/>
  <sheetViews>
    <sheetView tabSelected="1" workbookViewId="0"/>
  </sheetViews>
  <sheetFormatPr defaultRowHeight="15" x14ac:dyDescent="0.25"/>
  <cols>
    <col min="1" max="1" width="58" customWidth="1"/>
    <col min="2" max="3" width="16" customWidth="1"/>
  </cols>
  <sheetData>
    <row r="1" spans="1:3" x14ac:dyDescent="0.25">
      <c r="A1" t="s">
        <v>127</v>
      </c>
    </row>
    <row r="2" spans="1:3" x14ac:dyDescent="0.25">
      <c r="A2" t="s">
        <v>128</v>
      </c>
      <c r="B2" t="s">
        <v>129</v>
      </c>
    </row>
    <row r="3" spans="1:3" x14ac:dyDescent="0.25">
      <c r="A3" t="s">
        <v>130</v>
      </c>
      <c r="B3" t="s">
        <v>131</v>
      </c>
    </row>
    <row r="5" spans="1:3" x14ac:dyDescent="0.25">
      <c r="A5" t="s">
        <v>132</v>
      </c>
      <c r="B5" t="s">
        <v>133</v>
      </c>
      <c r="C5" t="s">
        <v>134</v>
      </c>
    </row>
    <row r="6" spans="1:3" x14ac:dyDescent="0.25">
      <c r="A6" t="s">
        <v>135</v>
      </c>
      <c r="B6">
        <f>Assumptions!$B$20</f>
        <v>744863.04</v>
      </c>
      <c r="C6" t="s">
        <v>136</v>
      </c>
    </row>
    <row r="7" spans="1:3" x14ac:dyDescent="0.25">
      <c r="A7" t="s">
        <v>137</v>
      </c>
      <c r="B7">
        <f>Assumptions!$B$21</f>
        <v>650000</v>
      </c>
      <c r="C7" t="s">
        <v>136</v>
      </c>
    </row>
    <row r="8" spans="1:3" x14ac:dyDescent="0.25">
      <c r="A8" t="s">
        <v>138</v>
      </c>
      <c r="B8">
        <f>Assumptions!$B$28</f>
        <v>300000</v>
      </c>
      <c r="C8" t="s">
        <v>136</v>
      </c>
    </row>
    <row r="9" spans="1:3" x14ac:dyDescent="0.25">
      <c r="A9" t="s">
        <v>139</v>
      </c>
      <c r="B9">
        <f>Assumptions!$B$30</f>
        <v>1000000</v>
      </c>
      <c r="C9" t="s">
        <v>136</v>
      </c>
    </row>
    <row r="10" spans="1:3" x14ac:dyDescent="0.25">
      <c r="A10" t="s">
        <v>140</v>
      </c>
      <c r="B10">
        <f>Assumptions!$B$34</f>
        <v>150000</v>
      </c>
      <c r="C10" t="s">
        <v>136</v>
      </c>
    </row>
    <row r="11" spans="1:3" x14ac:dyDescent="0.25">
      <c r="A11" t="inlineStr">
        <is>
          <t>Total Class A + Class B capitalization</t>
        </is>
      </c>
      <c r="B11">
        <f>B8+B9</f>
        <v>1300000</v>
      </c>
      <c r="C11" t="inlineStr">
        <is>
          <t>Completion capital</t>
        </is>
      </c>
    </row>
    <row r="13" spans="1:3" x14ac:dyDescent="0.25">
      <c r="A13" t="inlineStr">
        <is>
          <t>Sponsor-Controlled Working Case</t>
        </is>
      </c>
      <c r="B13" t="inlineStr">
        <is>
          <t>Low</t>
        </is>
      </c>
      <c r="C13" t="inlineStr">
        <is>
          <t>High</t>
        </is>
      </c>
    </row>
    <row r="14" spans="1:3" x14ac:dyDescent="0.25">
      <c r="A14" t="inlineStr">
        <is>
          <t>Sponsor-controlled total package</t>
        </is>
      </c>
      <c r="B14">
        <v>700000</v>
      </c>
      <c r="C14">
        <v>1300000</v>
      </c>
    </row>
    <row r="15" spans="1:3" x14ac:dyDescent="0.25">
      <c r="A15" t="inlineStr">
        <is>
          <t>Outside-market benchmark total</t>
        </is>
      </c>
      <c r="B15">
        <v>1880000</v>
      </c>
      <c r="C15">
        <v>4160000</v>
      </c>
    </row>
    <row r="16" spans="1:3" x14ac:dyDescent="0.25">
      <c r="A16" t="inlineStr">
        <is>
          <t>Outside-market benchmark note</t>
        </is>
      </c>
      <c r="B16" t="inlineStr">
        <is>
          <t>Not controlling case</t>
        </is>
      </c>
      <c r="C16" t="inlineStr">
        <is>
          <t>Stress benchmark</t>
        </is>
      </c>
    </row>
    <row r="17" spans="1:3" x14ac:dyDescent="0.25">
      <c r="A17" t="inlineStr">
        <is>
          <t>Selected sponsor-controlled total project cost</t>
        </is>
      </c>
      <c r="B17">
        <f>B14</f>
        <v>700000</v>
      </c>
      <c r="C17">
        <f>C14</f>
        <v>1300000</v>
      </c>
    </row>
    <row r="19" spans="1:3" x14ac:dyDescent="0.25">
      <c r="A19" t="s">
        <v>149</v>
      </c>
      <c r="B19" t="s">
        <v>143</v>
      </c>
      <c r="C19" t="s">
        <v>144</v>
      </c>
    </row>
    <row r="20" spans="1:3" x14ac:dyDescent="0.25">
      <c r="A20" t="s">
        <v>148</v>
      </c>
      <c r="B20">
        <f>B17</f>
        <v>1880000</v>
      </c>
      <c r="C20">
        <f>C17</f>
        <v>4160000</v>
      </c>
    </row>
    <row r="21" spans="1:3" x14ac:dyDescent="0.25">
      <c r="A21" t="inlineStr">
        <is>
          <t>Class A + Class B capitalization</t>
        </is>
      </c>
      <c r="B21">
        <f>B11</f>
        <v>1300000</v>
      </c>
      <c r="C21">
        <f>B11</f>
        <v>1300000</v>
      </c>
    </row>
    <row r="22" spans="1:3" x14ac:dyDescent="0.25">
      <c r="A22" t="inlineStr">
        <is>
          <t>Potential unfunded development gap</t>
        </is>
      </c>
      <c r="B22">
        <f>MAX(0,B20-B21)</f>
        <v>0</v>
      </c>
      <c r="C22">
        <f>MAX(0,C20-C21)</f>
        <v>0</v>
      </c>
    </row>
    <row r="24" spans="1:3" x14ac:dyDescent="0.25">
      <c r="A24" t="s">
        <v>152</v>
      </c>
      <c r="B24" t="s">
        <v>143</v>
      </c>
      <c r="C24" t="s">
        <v>144</v>
      </c>
    </row>
    <row r="25" spans="1:3" x14ac:dyDescent="0.25">
      <c r="A25" t="s">
        <v>153</v>
      </c>
      <c r="B25">
        <v>35000</v>
      </c>
      <c r="C25">
        <v>90000</v>
      </c>
    </row>
    <row r="26" spans="1:3" x14ac:dyDescent="0.25">
      <c r="A26" t="s">
        <v>154</v>
      </c>
      <c r="B26">
        <v>20000</v>
      </c>
      <c r="C26">
        <v>60000</v>
      </c>
    </row>
    <row r="27" spans="1:3" x14ac:dyDescent="0.25">
      <c r="A27" t="s">
        <v>155</v>
      </c>
      <c r="B27">
        <v>20000</v>
      </c>
      <c r="C27">
        <v>90000</v>
      </c>
    </row>
    <row r="28" spans="1:3" x14ac:dyDescent="0.25">
      <c r="A28" t="s">
        <v>156</v>
      </c>
      <c r="B28">
        <v>10000</v>
      </c>
      <c r="C28">
        <v>30000</v>
      </c>
    </row>
    <row r="29" spans="1:3" x14ac:dyDescent="0.25">
      <c r="A29" t="s">
        <v>157</v>
      </c>
      <c r="B29">
        <v>15000</v>
      </c>
      <c r="C29">
        <v>50000</v>
      </c>
    </row>
    <row r="30" spans="1:3" x14ac:dyDescent="0.25">
      <c r="A30" t="s">
        <v>158</v>
      </c>
      <c r="B30">
        <v>15000</v>
      </c>
      <c r="C30">
        <v>40000</v>
      </c>
    </row>
    <row r="31" spans="1:3" x14ac:dyDescent="0.25">
      <c r="A31" t="s">
        <v>159</v>
      </c>
      <c r="B31">
        <v>15000</v>
      </c>
      <c r="C31">
        <v>45000</v>
      </c>
    </row>
    <row r="32" spans="1:3" x14ac:dyDescent="0.25">
      <c r="A32" t="s">
        <v>160</v>
      </c>
      <c r="B32">
        <f>SUM(B25:B31)</f>
        <v>130000</v>
      </c>
      <c r="C32">
        <f>SUM(C25:C31)</f>
        <v>405000</v>
      </c>
    </row>
    <row r="34" spans="1:3" x14ac:dyDescent="0.25">
      <c r="A34" t="s">
        <v>161</v>
      </c>
      <c r="B34" t="s">
        <v>143</v>
      </c>
      <c r="C34" t="s">
        <v>144</v>
      </c>
    </row>
    <row r="35" spans="1:3" x14ac:dyDescent="0.25">
      <c r="A35" t="s">
        <v>162</v>
      </c>
      <c r="B35">
        <v>50000</v>
      </c>
      <c r="C35">
        <v>150000</v>
      </c>
    </row>
    <row r="36" spans="1:3" x14ac:dyDescent="0.25">
      <c r="A36" t="s">
        <v>163</v>
      </c>
      <c r="B36">
        <v>40000</v>
      </c>
      <c r="C36">
        <v>120000</v>
      </c>
    </row>
    <row r="37" spans="1:3" x14ac:dyDescent="0.25">
      <c r="A37" t="s">
        <v>164</v>
      </c>
      <c r="B37">
        <v>25000</v>
      </c>
      <c r="C37">
        <v>75000</v>
      </c>
    </row>
    <row r="38" spans="1:3" x14ac:dyDescent="0.25">
      <c r="A38" t="s">
        <v>165</v>
      </c>
      <c r="B38">
        <v>10000</v>
      </c>
      <c r="C38">
        <v>30000</v>
      </c>
    </row>
    <row r="39" spans="1:3" x14ac:dyDescent="0.25">
      <c r="A39" t="s">
        <v>166</v>
      </c>
      <c r="B39">
        <v>20000</v>
      </c>
      <c r="C39">
        <v>60000</v>
      </c>
    </row>
    <row r="40" spans="1:3" x14ac:dyDescent="0.25">
      <c r="A40" t="s">
        <v>167</v>
      </c>
      <c r="B40">
        <v>40000</v>
      </c>
      <c r="C40">
        <v>125000</v>
      </c>
    </row>
    <row r="41" spans="1:3" x14ac:dyDescent="0.25">
      <c r="A41" t="s">
        <v>168</v>
      </c>
      <c r="B41">
        <f>SUM(B35:B40)</f>
        <v>185000</v>
      </c>
      <c r="C41">
        <f>SUM(C35:C40)</f>
        <v>560000</v>
      </c>
    </row>
    <row r="43" spans="1:3" x14ac:dyDescent="0.25">
      <c r="A43" t="s">
        <v>169</v>
      </c>
      <c r="B43" t="s">
        <v>143</v>
      </c>
      <c r="C43" t="s">
        <v>144</v>
      </c>
    </row>
    <row r="44" spans="1:3" x14ac:dyDescent="0.25">
      <c r="A44" t="s">
        <v>170</v>
      </c>
      <c r="B44">
        <v>1125000</v>
      </c>
      <c r="C44">
        <v>1950000</v>
      </c>
    </row>
    <row r="45" spans="1:3" x14ac:dyDescent="0.25">
      <c r="A45" t="s">
        <v>171</v>
      </c>
      <c r="B45">
        <v>125000</v>
      </c>
      <c r="C45">
        <v>350000</v>
      </c>
    </row>
    <row r="46" spans="1:3" x14ac:dyDescent="0.25">
      <c r="A46" t="s">
        <v>172</v>
      </c>
      <c r="B46">
        <v>35000</v>
      </c>
      <c r="C46">
        <v>125000</v>
      </c>
    </row>
    <row r="47" spans="1:3" x14ac:dyDescent="0.25">
      <c r="A47" t="s">
        <v>173</v>
      </c>
      <c r="B47">
        <v>75000</v>
      </c>
      <c r="C47">
        <v>300000</v>
      </c>
    </row>
    <row r="48" spans="1:3" x14ac:dyDescent="0.25">
      <c r="A48" t="s">
        <v>174</v>
      </c>
      <c r="B48">
        <v>60000</v>
      </c>
      <c r="C48">
        <v>180000</v>
      </c>
    </row>
    <row r="49" spans="1:3" x14ac:dyDescent="0.25">
      <c r="A49" t="s">
        <v>175</v>
      </c>
      <c r="B49">
        <v>145000</v>
      </c>
      <c r="C49">
        <v>290000</v>
      </c>
    </row>
    <row r="50" spans="1:3" x14ac:dyDescent="0.25">
      <c r="A50" t="s">
        <v>176</v>
      </c>
      <c r="B50">
        <f>SUM(B44:B49)</f>
        <v>1565000</v>
      </c>
      <c r="C50">
        <f>SUM(C44:C49)</f>
        <v>3195000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3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Annual Model</vt:lpstr>
      <vt:lpstr>Waterfall</vt:lpstr>
      <vt:lpstr>Returns</vt:lpstr>
      <vt:lpstr>Notes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2026-05-11T18:33:31Z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