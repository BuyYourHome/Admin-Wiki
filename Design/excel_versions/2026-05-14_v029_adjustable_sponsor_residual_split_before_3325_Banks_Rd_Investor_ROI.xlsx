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1669" documentId="13_ncr:1_{0C20EBD6-E2BD-404C-B47C-BDA54182D35E}" xr6:coauthVersionLast="47" xr6:coauthVersionMax="47" xr10:uidLastSave="{C3BD9AAD-476B-4709-B499-0D4C6A91C950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Assumptions!$B$43</definedName>
    <definedName name="ClassBCapital">Assumptions!$B$41</definedName>
    <definedName name="ClassBResidualShare">Assumptions!$B$44</definedName>
    <definedName name="ClassBReturnPriority">Assumptions!$B$42</definedName>
    <definedName name="CoLivingSuiteRent">Assumptions!$B$11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Analysis'!$D$17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Analysis'!$F$16</definedName>
    <definedName name="SellingCosts">Assumptions!$B$36</definedName>
    <definedName name="SponsorBasis">Assumptions!$B$46</definedName>
    <definedName name="SponsorResidualShare">Assumptions!$B$45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I13" i="2"/>
  <c r="I12" i="2"/>
  <c r="I11" i="2"/>
  <c r="I10" i="2"/>
  <c r="I9" i="2"/>
  <c r="I7" i="2"/>
  <c r="O5" i="2"/>
  <c r="N5" i="2"/>
  <c r="I5" i="2"/>
  <c r="O4" i="2"/>
  <c r="N4" i="2"/>
  <c r="I4" i="2"/>
  <c r="G4" i="2"/>
  <c r="B27" i="1"/>
  <c r="B10" i="6" s="1"/>
  <c r="B26" i="1"/>
  <c r="B9" i="6" s="1"/>
  <c r="I7" i="6"/>
  <c r="I6" i="6"/>
  <c r="B6" i="6"/>
  <c r="B24" i="1"/>
  <c r="F6" i="6"/>
  <c r="B7" i="6"/>
  <c r="B27" i="7"/>
  <c r="B21" i="7"/>
  <c r="C16" i="6"/>
  <c r="B16" i="6"/>
  <c r="D15" i="6"/>
  <c r="D14" i="6"/>
  <c r="C13" i="6"/>
  <c r="B13" i="6"/>
  <c r="B6" i="4"/>
  <c r="H6" i="4" s="1"/>
  <c r="B4" i="4"/>
  <c r="H4" i="4" s="1"/>
  <c r="F4" i="3"/>
  <c r="D4" i="2"/>
  <c r="C4" i="2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C4" i="3"/>
  <c r="B28" i="1" l="1"/>
  <c r="B15" i="7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17" i="6" s="1"/>
  <c r="C14" i="6"/>
  <c r="G5" i="2" l="1"/>
  <c r="B11" i="6"/>
  <c r="B6" i="7"/>
  <c r="B7" i="7" s="1"/>
  <c r="B15" i="1" s="1"/>
  <c r="C17" i="6"/>
  <c r="D17" i="6" s="1"/>
  <c r="D10" i="2"/>
  <c r="D13" i="2"/>
  <c r="D9" i="2"/>
  <c r="D11" i="2"/>
  <c r="D5" i="2"/>
  <c r="B34" i="6" l="1"/>
  <c r="B41" i="1"/>
  <c r="B45" i="1" s="1"/>
  <c r="E12" i="2"/>
  <c r="F12" i="2" s="1"/>
  <c r="E13" i="2"/>
  <c r="F13" i="2" s="1"/>
  <c r="E14" i="2"/>
  <c r="F14" i="2" s="1"/>
  <c r="E10" i="2"/>
  <c r="F10" i="2" s="1"/>
  <c r="E4" i="2"/>
  <c r="F4" i="2" s="1"/>
  <c r="E7" i="2"/>
  <c r="F7" i="2" s="1"/>
  <c r="O7" i="2" s="1"/>
  <c r="E9" i="2"/>
  <c r="F9" i="2" s="1"/>
  <c r="E8" i="2"/>
  <c r="F8" i="2" s="1"/>
  <c r="O8" i="2" s="1"/>
  <c r="E6" i="2"/>
  <c r="F6" i="2" s="1"/>
  <c r="O6" i="2" s="1"/>
  <c r="B22" i="6"/>
  <c r="B21" i="6"/>
  <c r="E11" i="2"/>
  <c r="F11" i="2" s="1"/>
  <c r="E5" i="2"/>
  <c r="F5" i="2" s="1"/>
  <c r="H5" i="2" s="1"/>
  <c r="B43" i="1" l="1"/>
  <c r="B44" i="1"/>
  <c r="B30" i="1"/>
  <c r="F11" i="6" s="1"/>
  <c r="N14" i="2"/>
  <c r="O14" i="2"/>
  <c r="O13" i="2"/>
  <c r="O12" i="2"/>
  <c r="O11" i="2"/>
  <c r="O10" i="2"/>
  <c r="O9" i="2"/>
  <c r="I8" i="2"/>
  <c r="H4" i="2"/>
  <c r="J4" i="2" s="1"/>
  <c r="D4" i="3"/>
  <c r="F7" i="6"/>
  <c r="K4" i="3"/>
  <c r="B5" i="4"/>
  <c r="H5" i="4" s="1"/>
  <c r="G6" i="2" l="1"/>
  <c r="H6" i="2" s="1"/>
  <c r="N13" i="2"/>
  <c r="B32" i="1"/>
  <c r="B31" i="1"/>
  <c r="N9" i="2"/>
  <c r="N10" i="2"/>
  <c r="N11" i="2"/>
  <c r="G7" i="2"/>
  <c r="H7" i="2" s="1"/>
  <c r="N6" i="2"/>
  <c r="N7" i="2"/>
  <c r="G8" i="2"/>
  <c r="H8" i="2" s="1"/>
  <c r="I14" i="2"/>
  <c r="G11" i="2"/>
  <c r="H11" i="2" s="1"/>
  <c r="G14" i="2"/>
  <c r="H14" i="2" s="1"/>
  <c r="G10" i="2"/>
  <c r="H10" i="2" s="1"/>
  <c r="G13" i="2"/>
  <c r="H13" i="2" s="1"/>
  <c r="G9" i="2"/>
  <c r="H9" i="2" s="1"/>
  <c r="N8" i="2"/>
  <c r="G12" i="2"/>
  <c r="H12" i="2" s="1"/>
  <c r="N12" i="2"/>
  <c r="I6" i="2"/>
  <c r="M4" i="2"/>
  <c r="B4" i="3"/>
  <c r="E4" i="3" s="1"/>
  <c r="H4" i="3" l="1"/>
  <c r="C5" i="3" s="1"/>
  <c r="G4" i="3"/>
  <c r="I4" i="3" l="1"/>
  <c r="F5" i="3" s="1"/>
  <c r="D5" i="3" s="1"/>
  <c r="J4" i="3"/>
  <c r="L4" i="3" l="1"/>
  <c r="N4" i="3" l="1"/>
  <c r="Q4" i="3" s="1"/>
  <c r="P4" i="3"/>
  <c r="S4" i="3" s="1"/>
  <c r="O4" i="3"/>
  <c r="R4" i="3" s="1"/>
  <c r="M4" i="3"/>
  <c r="K5" i="3" s="1"/>
  <c r="K4" i="2" l="1"/>
  <c r="F10" i="6"/>
  <c r="B35" i="6" l="1"/>
  <c r="B36" i="6" s="1"/>
  <c r="F9" i="6"/>
  <c r="L4" i="2" l="1"/>
  <c r="J5" i="2" s="1"/>
  <c r="M5" i="2" l="1"/>
  <c r="B5" i="3"/>
  <c r="E5" i="3" s="1"/>
  <c r="G5" i="3" l="1"/>
  <c r="I5" i="3" s="1"/>
  <c r="F6" i="3" s="1"/>
  <c r="D6" i="3" s="1"/>
  <c r="H5" i="3"/>
  <c r="C6" i="3" s="1"/>
  <c r="J5" i="3" l="1"/>
  <c r="L5" i="3" s="1"/>
  <c r="P5" i="3" l="1"/>
  <c r="O5" i="3"/>
  <c r="R5" i="3" s="1"/>
  <c r="I5" i="4" s="1"/>
  <c r="M5" i="3"/>
  <c r="K6" i="3" s="1"/>
  <c r="N5" i="3"/>
  <c r="Q5" i="3" s="1"/>
  <c r="I4" i="4" s="1"/>
  <c r="S5" i="3" l="1"/>
  <c r="I6" i="4" s="1"/>
  <c r="K5" i="2" l="1"/>
  <c r="L5" i="2" s="1"/>
  <c r="J6" i="2" s="1"/>
  <c r="B6" i="3" s="1"/>
  <c r="E6" i="3" s="1"/>
  <c r="H6" i="3" s="1"/>
  <c r="C7" i="3" s="1"/>
  <c r="M6" i="2" l="1"/>
  <c r="G6" i="3"/>
  <c r="I6" i="3" s="1"/>
  <c r="F7" i="3" s="1"/>
  <c r="D7" i="3" s="1"/>
  <c r="J6" i="3" l="1"/>
  <c r="L6" i="3" s="1"/>
  <c r="M6" i="3" s="1"/>
  <c r="K7" i="3" s="1"/>
  <c r="O6" i="3" l="1"/>
  <c r="R6" i="3" s="1"/>
  <c r="J5" i="4" s="1"/>
  <c r="N6" i="3"/>
  <c r="Q6" i="3" s="1"/>
  <c r="J4" i="4" s="1"/>
  <c r="P6" i="3"/>
  <c r="S6" i="3" s="1"/>
  <c r="J6" i="4" s="1"/>
  <c r="K6" i="2" l="1"/>
  <c r="L6" i="2" s="1"/>
  <c r="J7" i="2" s="1"/>
  <c r="M7" i="2" s="1"/>
  <c r="B7" i="3" l="1"/>
  <c r="E7" i="3" s="1"/>
  <c r="H7" i="3" l="1"/>
  <c r="C8" i="3" s="1"/>
  <c r="G7" i="3"/>
  <c r="I7" i="3" s="1"/>
  <c r="F8" i="3" s="1"/>
  <c r="D8" i="3" s="1"/>
  <c r="J7" i="3" l="1"/>
  <c r="L7" i="3" s="1"/>
  <c r="N7" i="3" l="1"/>
  <c r="Q7" i="3" s="1"/>
  <c r="K4" i="4" s="1"/>
  <c r="P7" i="3"/>
  <c r="M7" i="3"/>
  <c r="K8" i="3" s="1"/>
  <c r="O7" i="3"/>
  <c r="R7" i="3" s="1"/>
  <c r="K5" i="4" s="1"/>
  <c r="S7" i="3" l="1"/>
  <c r="K6" i="4" s="1"/>
  <c r="K7" i="2" l="1"/>
  <c r="L7" i="2" s="1"/>
  <c r="J8" i="2" s="1"/>
  <c r="B8" i="3" s="1"/>
  <c r="E8" i="3" s="1"/>
  <c r="H8" i="3" l="1"/>
  <c r="C9" i="3" s="1"/>
  <c r="M8" i="2"/>
  <c r="G8" i="3"/>
  <c r="I8" i="3" s="1"/>
  <c r="F9" i="3" s="1"/>
  <c r="D9" i="3" s="1"/>
  <c r="J8" i="3" l="1"/>
  <c r="L8" i="3" l="1"/>
  <c r="O8" i="3" l="1"/>
  <c r="R8" i="3" s="1"/>
  <c r="L5" i="4" s="1"/>
  <c r="M8" i="3"/>
  <c r="K9" i="3" s="1"/>
  <c r="P8" i="3"/>
  <c r="N8" i="3"/>
  <c r="Q8" i="3" s="1"/>
  <c r="L4" i="4" s="1"/>
  <c r="S8" i="3" l="1"/>
  <c r="L6" i="4" s="1"/>
  <c r="K8" i="2" l="1"/>
  <c r="L8" i="2" s="1"/>
  <c r="J9" i="2" s="1"/>
  <c r="M9" i="2" s="1"/>
  <c r="B9" i="3" l="1"/>
  <c r="E9" i="3" s="1"/>
  <c r="H9" i="3" s="1"/>
  <c r="C10" i="3" s="1"/>
  <c r="G9" i="3" l="1"/>
  <c r="I9" i="3" s="1"/>
  <c r="F10" i="3" s="1"/>
  <c r="D10" i="3" s="1"/>
  <c r="J9" i="3" l="1"/>
  <c r="L9" i="3" s="1"/>
  <c r="O9" i="3" l="1"/>
  <c r="R9" i="3" s="1"/>
  <c r="M5" i="4" s="1"/>
  <c r="P9" i="3"/>
  <c r="N9" i="3"/>
  <c r="Q9" i="3" s="1"/>
  <c r="M4" i="4" s="1"/>
  <c r="M9" i="3"/>
  <c r="K10" i="3" s="1"/>
  <c r="S9" i="3" l="1"/>
  <c r="M6" i="4" s="1"/>
  <c r="K9" i="2" l="1"/>
  <c r="L9" i="2" s="1"/>
  <c r="J10" i="2" s="1"/>
  <c r="B10" i="3" s="1"/>
  <c r="M10" i="2" l="1"/>
  <c r="E10" i="3"/>
  <c r="G10" i="3" l="1"/>
  <c r="I10" i="3" s="1"/>
  <c r="F11" i="3" s="1"/>
  <c r="D11" i="3" s="1"/>
  <c r="H10" i="3"/>
  <c r="C11" i="3" s="1"/>
  <c r="J10" i="3" l="1"/>
  <c r="L10" i="3" s="1"/>
  <c r="M10" i="3" l="1"/>
  <c r="K11" i="3" s="1"/>
  <c r="P10" i="3"/>
  <c r="S10" i="3" s="1"/>
  <c r="N6" i="4" s="1"/>
  <c r="N10" i="3"/>
  <c r="Q10" i="3" s="1"/>
  <c r="N4" i="4" s="1"/>
  <c r="O10" i="3"/>
  <c r="R10" i="3" l="1"/>
  <c r="N5" i="4" s="1"/>
  <c r="K10" i="2" l="1"/>
  <c r="L10" i="2" s="1"/>
  <c r="J11" i="2" s="1"/>
  <c r="B11" i="3" s="1"/>
  <c r="E11" i="3" s="1"/>
  <c r="H11" i="3" l="1"/>
  <c r="C12" i="3" s="1"/>
  <c r="G11" i="3"/>
  <c r="I11" i="3" s="1"/>
  <c r="F12" i="3" s="1"/>
  <c r="D12" i="3" s="1"/>
  <c r="M11" i="2"/>
  <c r="J11" i="3" l="1"/>
  <c r="L11" i="3" l="1"/>
  <c r="O11" i="3" l="1"/>
  <c r="R11" i="3" s="1"/>
  <c r="O5" i="4" s="1"/>
  <c r="P11" i="3"/>
  <c r="M11" i="3"/>
  <c r="K12" i="3" s="1"/>
  <c r="N11" i="3"/>
  <c r="Q11" i="3" s="1"/>
  <c r="O4" i="4" s="1"/>
  <c r="S11" i="3" l="1"/>
  <c r="O6" i="4" s="1"/>
  <c r="K11" i="2" l="1"/>
  <c r="L11" i="2" s="1"/>
  <c r="J12" i="2" s="1"/>
  <c r="B12" i="3" s="1"/>
  <c r="M12" i="2" l="1"/>
  <c r="E12" i="3"/>
  <c r="G12" i="3" l="1"/>
  <c r="I12" i="3" s="1"/>
  <c r="F13" i="3" s="1"/>
  <c r="D13" i="3" s="1"/>
  <c r="H12" i="3"/>
  <c r="C13" i="3" s="1"/>
  <c r="J12" i="3" l="1"/>
  <c r="L12" i="3" s="1"/>
  <c r="O12" i="3" l="1"/>
  <c r="R12" i="3" s="1"/>
  <c r="P5" i="4" s="1"/>
  <c r="M12" i="3"/>
  <c r="K13" i="3" s="1"/>
  <c r="N12" i="3"/>
  <c r="Q12" i="3" s="1"/>
  <c r="P4" i="4" s="1"/>
  <c r="P12" i="3"/>
  <c r="S12" i="3" l="1"/>
  <c r="P6" i="4" s="1"/>
  <c r="K12" i="2" l="1"/>
  <c r="L12" i="2" s="1"/>
  <c r="J13" i="2" s="1"/>
  <c r="M13" i="2" s="1"/>
  <c r="B13" i="3" l="1"/>
  <c r="E13" i="3" s="1"/>
  <c r="H13" i="3" s="1"/>
  <c r="C14" i="3" s="1"/>
  <c r="G13" i="3" l="1"/>
  <c r="I13" i="3" s="1"/>
  <c r="F14" i="3" s="1"/>
  <c r="D14" i="3" s="1"/>
  <c r="J13" i="3" l="1"/>
  <c r="L13" i="3" s="1"/>
  <c r="O13" i="3" s="1"/>
  <c r="R13" i="3" s="1"/>
  <c r="Q5" i="4" s="1"/>
  <c r="N13" i="3" l="1"/>
  <c r="Q13" i="3" s="1"/>
  <c r="Q4" i="4" s="1"/>
  <c r="P13" i="3"/>
  <c r="S13" i="3" s="1"/>
  <c r="Q6" i="4" s="1"/>
  <c r="M13" i="3"/>
  <c r="K14" i="3" s="1"/>
  <c r="K13" i="2" l="1"/>
  <c r="L13" i="2" s="1"/>
  <c r="J14" i="2" s="1"/>
  <c r="B14" i="3" s="1"/>
  <c r="M14" i="2" l="1"/>
  <c r="E14" i="3"/>
  <c r="G14" i="3" l="1"/>
  <c r="I14" i="3" s="1"/>
  <c r="H14" i="3"/>
  <c r="J14" i="3" l="1"/>
  <c r="L14" i="3" l="1"/>
  <c r="M14" i="3" l="1"/>
  <c r="P14" i="3"/>
  <c r="S14" i="3" s="1"/>
  <c r="O14" i="3"/>
  <c r="R14" i="3" s="1"/>
  <c r="N14" i="3"/>
  <c r="Q14" i="3" s="1"/>
  <c r="R4" i="4" s="1"/>
  <c r="C6" i="4" l="1"/>
  <c r="R6" i="4"/>
  <c r="C5" i="4"/>
  <c r="E5" i="4" s="1"/>
  <c r="R5" i="4"/>
  <c r="G6" i="4"/>
  <c r="D6" i="4"/>
  <c r="F6" i="4" s="1"/>
  <c r="E6" i="4"/>
  <c r="D5" i="4"/>
  <c r="F5" i="4" s="1"/>
  <c r="K14" i="2"/>
  <c r="L14" i="2" s="1"/>
  <c r="C4" i="4"/>
  <c r="G4" i="4"/>
  <c r="G5" i="4"/>
  <c r="D4" i="4" l="1"/>
  <c r="F4" i="4" s="1"/>
  <c r="E4" i="4"/>
</calcChain>
</file>

<file path=xl/sharedStrings.xml><?xml version="1.0" encoding="utf-8"?>
<sst xmlns="http://schemas.openxmlformats.org/spreadsheetml/2006/main" count="372" uniqueCount="332">
  <si>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</si>
  <si>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</si>
  <si>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</si>
  <si>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</si>
  <si>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</si>
  <si>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</si>
  <si>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</si>
  <si>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</si>
  <si>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</si>
  <si>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</si>
  <si>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</si>
  <si>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</si>
  <si>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</si>
  <si>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</si>
  <si>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</si>
  <si>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</si>
  <si>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</si>
  <si>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</si>
  <si>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</si>
  <si>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</si>
  <si>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</si>
  <si>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</si>
  <si>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</si>
  <si>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</si>
  <si>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</si>
  <si>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</si>
  <si>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</si>
  <si>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</si>
  <si>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</si>
  <si>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</si>
  <si>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</si>
  <si>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</si>
  <si>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</si>
  <si>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</si>
  <si>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</si>
  <si>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</si>
  <si>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</si>
  <si>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</si>
  <si>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</si>
  <si>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</si>
  <si>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</si>
  <si>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</si>
  <si>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</si>
  <si>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</si>
  <si>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</si>
  <si>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</si>
  <si>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</si>
  <si>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</si>
  <si>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</si>
  <si>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</si>
  <si>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</si>
  <si>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</si>
  <si>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</si>
  <si>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</si>
  <si>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</si>
  <si>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</si>
  <si>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</si>
  <si>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</si>
  <si>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</si>
  <si>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</si>
  <si>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</si>
  <si>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</si>
  <si>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</si>
  <si>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</si>
  <si>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</si>
  <si>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</si>
  <si>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</si>
  <si>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</si>
  <si>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</si>
  <si>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</si>
  <si>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</si>
  <si>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</si>
  <si>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</si>
  <si>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</si>
  <si>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</si>
  <si>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</si>
  <si>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</si>
  <si>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</si>
  <si>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</si>
  <si>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</si>
  <si>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</si>
  <si>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</si>
  <si>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</si>
  <si>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</si>
  <si>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</si>
  <si>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</si>
  <si>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</si>
  <si>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</si>
  <si>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</si>
  <si>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</si>
  <si>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</si>
  <si>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</si>
  <si>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</si>
  <si>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</si>
  <si>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</si>
  <si>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</si>
  <si>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</si>
  <si>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</si>
  <si>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</si>
  <si>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</si>
  <si>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</si>
  <si>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</si>
  <si>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</si>
  <si>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</si>
  <si>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</si>
  <si>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</si>
  <si>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</si>
  <si>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</si>
  <si>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</si>
  <si>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</si>
  <si>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</si>
  <si>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</si>
  <si>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</si>
  <si>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</si>
  <si>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</si>
  <si>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</si>
  <si>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</si>
  <si>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</si>
  <si>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</si>
  <si>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</si>
  <si>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</si>
  <si>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</si>
  <si>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</si>
  <si>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</si>
  <si>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</si>
  <si>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</si>
  <si>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</si>
  <si>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</si>
  <si>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</si>
  <si>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</si>
  <si>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</si>
  <si>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</si>
  <si>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</si>
  <si>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/ Refinance Assumptions</t>
  </si>
  <si>
    <t>Amount</t>
  </si>
  <si>
    <t>Notes</t>
  </si>
  <si>
    <t>Member Capital Source</t>
  </si>
  <si>
    <t>Class A capital</t>
  </si>
  <si>
    <t>Preferred member capital</t>
  </si>
  <si>
    <t>Private debt principal</t>
  </si>
  <si>
    <t>Existing private debt; 10% interest-only before payoff</t>
  </si>
  <si>
    <t>Class B capital</t>
  </si>
  <si>
    <t>Completion capital after Class A</t>
  </si>
  <si>
    <t>Development/construction loan</t>
  </si>
  <si>
    <t>No project loan before stabilization refinance</t>
  </si>
  <si>
    <t>Refinance loan amount</t>
  </si>
  <si>
    <t>Only new loan; takeout/refinance only</t>
  </si>
  <si>
    <t>Refi after existing debt</t>
  </si>
  <si>
    <t>Flows to Class A first through waterfall</t>
  </si>
  <si>
    <t>Refi remaining after debt + Class A</t>
  </si>
  <si>
    <t>Indicative amount available to Class B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</si>
  <si>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</si>
  <si>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</si>
  <si>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</si>
  <si>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</si>
  <si>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</si>
  <si>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</si>
  <si>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</si>
  <si>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Underwriting Case For Capitalization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</si>
  <si>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</si>
  <si>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</si>
  <si>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</si>
  <si>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</si>
  <si>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</si>
  <si>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</si>
  <si>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</si>
  <si>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</si>
  <si>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</si>
  <si>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</si>
  <si>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</si>
  <si>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</si>
  <si>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</si>
  <si>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</si>
  <si>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</si>
  <si>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</si>
  <si>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</si>
  <si>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</si>
  <si>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</si>
  <si>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</si>
  <si>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</si>
  <si>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</si>
  <si>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</si>
  <si>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</si>
  <si>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</si>
  <si>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</si>
  <si>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</si>
  <si>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</si>
  <si>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</si>
  <si>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</si>
  <si>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</si>
  <si>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</si>
  <si>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</si>
  <si>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</si>
  <si>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</si>
  <si>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</si>
  <si>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</si>
  <si>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</si>
  <si>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</si>
  <si>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</si>
  <si>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</si>
  <si>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</si>
  <si>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</si>
  <si>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</si>
  <si>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</si>
  <si>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</si>
  <si>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</si>
  <si>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</si>
  <si>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</si>
  <si>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</si>
  <si>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</si>
  <si>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</si>
  <si>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</si>
  <si>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</si>
  <si>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</si>
  <si>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</si>
  <si>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</si>
  <si>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</si>
  <si>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</si>
  <si>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</si>
  <si>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</si>
  <si>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</si>
  <si>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</si>
  <si>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</si>
  <si>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</si>
  <si>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</si>
  <si>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</si>
  <si>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</si>
  <si>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</si>
  <si>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</si>
  <si>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</si>
  <si>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</si>
  <si>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</si>
  <si>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</si>
  <si>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</si>
  <si>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</si>
  <si>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</si>
  <si>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</si>
  <si>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</si>
  <si>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</si>
  <si>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</si>
  <si>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</si>
  <si>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</si>
  <si>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</si>
  <si>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</si>
  <si>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</si>
  <si>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</si>
  <si>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</si>
  <si>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</si>
  <si>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</si>
  <si>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</si>
  <si>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</si>
  <si>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</si>
  <si>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</si>
  <si>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</si>
  <si>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</si>
  <si>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</si>
  <si>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</si>
  <si>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</si>
  <si>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</si>
  <si>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</si>
  <si>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</si>
  <si>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</si>
  <si>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</si>
  <si>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</si>
  <si>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</si>
  <si>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</si>
  <si>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</si>
  <si>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</si>
  <si>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</si>
  <si>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</si>
  <si>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</si>
  <si>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</si>
  <si>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</si>
  <si>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</si>
  <si>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</si>
  <si>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</si>
  <si>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</si>
  <si>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</si>
  <si>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</si>
  <si>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</si>
  <si>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</si>
  <si>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</si>
  <si>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</si>
  <si>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</si>
  <si>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</si>
  <si>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</si>
  <si>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</si>
  <si>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</si>
  <si>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</si>
  <si>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</si>
  <si>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</si>
  <si>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</si>
  <si>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</si>
  <si>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</si>
  <si>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</si>
  <si>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</si>
  <si>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</si>
  <si>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</si>
  <si>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</si>
  <si>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Existing first mortgage principal</t>
  </si>
  <si>
    <t>Existing debt principal; paid from refinance proceeds</t>
  </si>
  <si>
    <t>Existing Debt Rate</t>
  </si>
  <si>
    <t>First mortgage rate</t>
  </si>
  <si>
    <t>Private debt rate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</si>
  <si>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</si>
  <si>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</si>
  <si>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</si>
  <si>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</si>
  <si>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Private debt annual interest payment</t>
  </si>
  <si>
    <t>10% interest-only private debt payment</t>
  </si>
  <si>
    <t>Total existing annual debt service</t>
  </si>
  <si>
    <t>Modeled before stabilization refinance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</si>
  <si>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</si>
  <si>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</si>
  <si>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</si>
  <si>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</si>
  <si>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</si>
  <si>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</si>
  <si>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</si>
  <si>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</si>
  <si>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First mortgage monthly P&amp;I excl. escrow</t>
  </si>
  <si>
    <t>Actual monthly principal and interest; taxes and insurance stay in operating expenses</t>
  </si>
  <si>
    <t>First mortgage annual P&amp;I excl. escrow</t>
  </si>
  <si>
    <t>Annual principal and interest; excludes escrow</t>
  </si>
  <si>
    <t>Refinance Loan-to-Value Cap</t>
  </si>
  <si>
    <t>Maximum refinance loan as % of stabilized value</t>
  </si>
  <si>
    <t>Subordinate beneficiary capital; dependent upon selected project cost in Cost Analysis</t>
  </si>
  <si>
    <t>Net Refinance Proceeds</t>
  </si>
  <si>
    <t>Class A Residual Share</t>
  </si>
  <si>
    <t>Residual share after Class A and Class B capital return, proportional to capital/basis</t>
  </si>
  <si>
    <t>Residual to Class A</t>
  </si>
  <si>
    <t>Class A preferred return is modeled as cumulative simple annual accrual on unrecovered Class A capital. After Class A and Class B capital are returned, residual cash is split proportionally among Class A, Class B, and Sponsor based on Class A capital, Class B capital, and Sponsor basis.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</si>
</sst>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10" fontId="4" fillId="0" borderId="0" xfId="0" applyNumberFormat="1" applyFont="1"/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3" workbookViewId="0">
      <selection activeCell="C11" sqref="C11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76.42578125" style="6" bestFit="1" customWidth="1"/>
    <col min="4" max="16384" width="9.140625" style="6"/>
  </cols>
  <sheetData>
    <row r="1" spans="1:3" ht="18.75" x14ac:dyDescent="0.3">
      <c r="A1" s="22" t="s">
        <v>0</v>
      </c>
      <c r="B1" s="13"/>
      <c r="C1" s="20" t="s">
        <v>1</v>
      </c>
    </row>
    <row r="2" spans="1:3" x14ac:dyDescent="0.25">
      <c r="A2" s="13"/>
      <c r="B2" s="13"/>
      <c r="C2" s="13"/>
    </row>
    <row r="3" spans="1:3" x14ac:dyDescent="0.25">
      <c r="A3" s="23" t="s">
        <v>2</v>
      </c>
      <c r="B3" s="13"/>
      <c r="C3" s="13"/>
    </row>
    <row r="4" spans="1:3" x14ac:dyDescent="0.25">
      <c r="A4" s="13" t="s">
        <v>3</v>
      </c>
      <c r="B4" s="15">
        <v>2</v>
      </c>
      <c r="C4" s="20" t="s">
        <v>4</v>
      </c>
    </row>
    <row r="5" spans="1:3" x14ac:dyDescent="0.25">
      <c r="A5" s="13" t="s">
        <v>5</v>
      </c>
      <c r="B5" s="15">
        <v>10</v>
      </c>
      <c r="C5" s="20" t="s">
        <v>6</v>
      </c>
    </row>
    <row r="6" spans="1:3" x14ac:dyDescent="0.25">
      <c r="A6" s="13"/>
      <c r="B6" s="13"/>
      <c r="C6" s="13"/>
    </row>
    <row r="7" spans="1:3" x14ac:dyDescent="0.25">
      <c r="A7" s="23" t="s">
        <v>7</v>
      </c>
      <c r="B7" s="13"/>
      <c r="C7" s="13"/>
    </row>
    <row r="8" spans="1:3" x14ac:dyDescent="0.25">
      <c r="A8" s="13" t="s">
        <v>8</v>
      </c>
      <c r="B8" s="15">
        <v>4</v>
      </c>
      <c r="C8" s="20" t="s">
        <v>9</v>
      </c>
    </row>
    <row r="9" spans="1:3" x14ac:dyDescent="0.25">
      <c r="A9" s="13" t="s">
        <v>10</v>
      </c>
      <c r="B9" s="13">
        <v>1600</v>
      </c>
      <c r="C9" s="20" t="s">
        <v>11</v>
      </c>
    </row>
    <row r="10" spans="1:3" x14ac:dyDescent="0.25">
      <c r="A10" s="13" t="s">
        <v>12</v>
      </c>
      <c r="B10" s="15">
        <v>4</v>
      </c>
      <c r="C10" s="20" t="s">
        <v>13</v>
      </c>
    </row>
    <row r="11" spans="1:3" x14ac:dyDescent="0.25">
      <c r="A11" s="13" t="s">
        <v>14</v>
      </c>
      <c r="B11" s="13">
        <v>1100</v>
      </c>
      <c r="C11" s="20" t="s">
        <v>11</v>
      </c>
    </row>
    <row r="12" spans="1:3" x14ac:dyDescent="0.25">
      <c r="A12" s="13" t="s">
        <v>15</v>
      </c>
      <c r="B12" s="13">
        <v>0</v>
      </c>
      <c r="C12" s="20" t="s">
        <v>16</v>
      </c>
    </row>
    <row r="13" spans="1:3" x14ac:dyDescent="0.25">
      <c r="A13" s="13" t="s">
        <v>17</v>
      </c>
      <c r="B13" s="24">
        <v>0.93</v>
      </c>
      <c r="C13" s="20" t="s">
        <v>18</v>
      </c>
    </row>
    <row r="14" spans="1:3" x14ac:dyDescent="0.25">
      <c r="A14" s="13" t="s">
        <v>19</v>
      </c>
      <c r="B14" s="24">
        <v>0.5</v>
      </c>
      <c r="C14" s="20" t="s">
        <v>20</v>
      </c>
    </row>
    <row r="15" spans="1:3" x14ac:dyDescent="0.25">
      <c r="A15" s="13" t="s">
        <v>21</v>
      </c>
      <c r="B15" s="24">
        <f>SelectedOperatingExpenseRatio</f>
        <v>0.4</v>
      </c>
      <c r="C15" s="20" t="s">
        <v>22</v>
      </c>
    </row>
    <row r="16" spans="1:3" x14ac:dyDescent="0.25">
      <c r="A16" s="13" t="s">
        <v>23</v>
      </c>
      <c r="B16" s="24">
        <v>0.03</v>
      </c>
      <c r="C16" s="20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20" t="s">
        <v>26</v>
      </c>
    </row>
    <row r="18" spans="1:3" x14ac:dyDescent="0.25">
      <c r="A18" s="13"/>
      <c r="B18" s="13"/>
      <c r="C18" s="13"/>
    </row>
    <row r="19" spans="1:3" x14ac:dyDescent="0.25">
      <c r="A19" s="23" t="s">
        <v>27</v>
      </c>
      <c r="B19" s="13"/>
      <c r="C19" s="13"/>
    </row>
    <row r="20" spans="1:3" x14ac:dyDescent="0.25">
      <c r="A20" s="13" t="s">
        <v>294</v>
      </c>
      <c r="B20" s="13">
        <v>119000</v>
      </c>
      <c r="C20" s="20" t="s">
        <v>295</v>
      </c>
    </row>
    <row r="21" spans="1:3" x14ac:dyDescent="0.25">
      <c r="A21" s="13" t="s">
        <v>296</v>
      </c>
      <c r="B21" s="28">
        <v>3.2500000000000001E-2</v>
      </c>
      <c r="C21" s="20" t="s">
        <v>297</v>
      </c>
    </row>
    <row r="22" spans="1:3" x14ac:dyDescent="0.25">
      <c r="A22" s="13" t="s">
        <v>28</v>
      </c>
      <c r="B22" s="13">
        <v>75000</v>
      </c>
      <c r="C22" s="20" t="s">
        <v>29</v>
      </c>
    </row>
    <row r="23" spans="1:3" x14ac:dyDescent="0.25">
      <c r="A23" s="13" t="s">
        <v>30</v>
      </c>
      <c r="B23" s="28">
        <v>0.1</v>
      </c>
      <c r="C23" s="20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20" t="s">
        <v>298</v>
      </c>
    </row>
    <row r="25" spans="1:3" x14ac:dyDescent="0.25">
      <c r="A25" s="13" t="s">
        <v>312</v>
      </c>
      <c r="B25" s="13">
        <v>526</v>
      </c>
      <c r="C25" s="20" t="s">
        <v>313</v>
      </c>
    </row>
    <row r="26" spans="1:3" x14ac:dyDescent="0.25">
      <c r="A26" s="13" t="s">
        <v>314</v>
      </c>
      <c r="B26" s="13">
        <f>_xlfn.SINGLE(ExistingFirstMortgageMonthlyPI)*12</f>
        <v>6312</v>
      </c>
      <c r="C26" s="20" t="s">
        <v>315</v>
      </c>
    </row>
    <row r="27" spans="1:3" x14ac:dyDescent="0.25">
      <c r="A27" s="13" t="s">
        <v>304</v>
      </c>
      <c r="B27" s="13">
        <f>PrivateDebtPrincipal*PrivateDebtInterestRate</f>
        <v>7500</v>
      </c>
      <c r="C27" s="20" t="s">
        <v>305</v>
      </c>
    </row>
    <row r="28" spans="1:3" x14ac:dyDescent="0.25">
      <c r="A28" s="13" t="s">
        <v>306</v>
      </c>
      <c r="B28" s="7">
        <f>ExistingFirstMortgageAnnualPayment+PrivateDebtAnnualInterestPayment</f>
        <v>13812</v>
      </c>
      <c r="C28" s="20" t="s">
        <v>307</v>
      </c>
    </row>
    <row r="29" spans="1:3" x14ac:dyDescent="0.25">
      <c r="A29" s="13" t="s">
        <v>324</v>
      </c>
      <c r="B29" s="28">
        <v>0.7</v>
      </c>
      <c r="C29" s="20" t="s">
        <v>325</v>
      </c>
    </row>
    <row r="30" spans="1:3" x14ac:dyDescent="0.25">
      <c r="A30" s="13" t="s">
        <v>33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20" t="s">
        <v>34</v>
      </c>
    </row>
    <row r="31" spans="1:3" x14ac:dyDescent="0.25">
      <c r="A31" s="13" t="s">
        <v>35</v>
      </c>
      <c r="B31" s="13">
        <f>MAX(0,RefinanceLoanAmount-TotalExistingDebt)</f>
        <v>550863.0399999998</v>
      </c>
      <c r="C31" s="20" t="s">
        <v>36</v>
      </c>
    </row>
    <row r="32" spans="1:3" x14ac:dyDescent="0.25">
      <c r="A32" s="13" t="s">
        <v>37</v>
      </c>
      <c r="B32" s="13">
        <f>MAX(0,RefinanceLoanAmount-TotalExistingDebt-ClassACapital)</f>
        <v>250863.0399999998</v>
      </c>
      <c r="C32" s="20" t="s">
        <v>38</v>
      </c>
    </row>
    <row r="33" spans="1:3" x14ac:dyDescent="0.25">
      <c r="A33" s="13" t="s">
        <v>39</v>
      </c>
      <c r="B33" s="28">
        <v>6.5000000000000002E-2</v>
      </c>
      <c r="C33" s="20" t="s">
        <v>40</v>
      </c>
    </row>
    <row r="34" spans="1:3" x14ac:dyDescent="0.25">
      <c r="A34" s="13" t="s">
        <v>41</v>
      </c>
      <c r="B34" s="15">
        <v>30</v>
      </c>
      <c r="C34" s="20" t="s">
        <v>42</v>
      </c>
    </row>
    <row r="35" spans="1:3" x14ac:dyDescent="0.25">
      <c r="A35" s="13" t="s">
        <v>43</v>
      </c>
      <c r="B35" s="28">
        <v>7.0000000000000007E-2</v>
      </c>
      <c r="C35" s="20" t="s">
        <v>44</v>
      </c>
    </row>
    <row r="36" spans="1:3" x14ac:dyDescent="0.25">
      <c r="A36" s="13" t="s">
        <v>45</v>
      </c>
      <c r="B36" s="28">
        <v>0.02</v>
      </c>
      <c r="C36" s="13" t="s">
        <v>46</v>
      </c>
    </row>
    <row r="37" spans="1:3" x14ac:dyDescent="0.25">
      <c r="A37" s="23"/>
      <c r="B37" s="13"/>
      <c r="C37" s="13"/>
    </row>
    <row r="38" spans="1:3" x14ac:dyDescent="0.25">
      <c r="A38" s="13" t="s">
        <v>47</v>
      </c>
      <c r="B38" s="13"/>
      <c r="C38" s="20"/>
    </row>
    <row r="39" spans="1:3" x14ac:dyDescent="0.25">
      <c r="A39" s="13" t="s">
        <v>48</v>
      </c>
      <c r="B39" s="13">
        <v>300000</v>
      </c>
      <c r="C39" s="20" t="s">
        <v>49</v>
      </c>
    </row>
    <row r="40" spans="1:3" x14ac:dyDescent="0.25">
      <c r="A40" s="13" t="s">
        <v>50</v>
      </c>
      <c r="B40" s="28">
        <v>0.08</v>
      </c>
      <c r="C40" s="20" t="s">
        <v>51</v>
      </c>
    </row>
    <row r="41" spans="1:3" x14ac:dyDescent="0.25">
      <c r="A41" s="13" t="s">
        <v>52</v>
      </c>
      <c r="B41" s="13">
        <f>MAX(0,SelectedProjectCost-ClassACapital)</f>
        <v>450000</v>
      </c>
      <c r="C41" s="20" t="s">
        <v>326</v>
      </c>
    </row>
    <row r="42" spans="1:3" x14ac:dyDescent="0.25">
      <c r="A42" s="13" t="s">
        <v>53</v>
      </c>
      <c r="B42" s="13">
        <v>1</v>
      </c>
      <c r="C42" s="20" t="s">
        <v>54</v>
      </c>
    </row>
    <row r="43" spans="1:3" x14ac:dyDescent="0.25">
      <c r="A43" s="13" t="s">
        <v>328</v>
      </c>
      <c r="B43" s="28">
        <f>ClassACapital/(ClassACapital+ClassBCapital+SponsorBasis)</f>
        <v>0.33333333333333331</v>
      </c>
      <c r="C43" s="20" t="s">
        <v>329</v>
      </c>
    </row>
    <row r="44" spans="1:3" x14ac:dyDescent="0.25">
      <c r="A44" s="13" t="s">
        <v>55</v>
      </c>
      <c r="B44" s="28">
        <f>ClassBCapital/(ClassACapital+ClassBCapital+SponsorBasis)</f>
        <v>0.5</v>
      </c>
      <c r="C44" s="20" t="s">
        <v>329</v>
      </c>
    </row>
    <row r="45" spans="1:3" x14ac:dyDescent="0.25">
      <c r="A45" s="13" t="s">
        <v>56</v>
      </c>
      <c r="B45" s="28">
        <f>SponsorBasis/(ClassACapital+ClassBCapital+SponsorBasis)</f>
        <v>0.16666666666666666</v>
      </c>
      <c r="C45" s="20" t="s">
        <v>329</v>
      </c>
    </row>
    <row r="46" spans="1:3" x14ac:dyDescent="0.25">
      <c r="A46" s="13" t="s">
        <v>57</v>
      </c>
      <c r="B46" s="13">
        <v>150000</v>
      </c>
      <c r="C46" s="13" t="s">
        <v>58</v>
      </c>
    </row>
    <row r="47" spans="1:3" x14ac:dyDescent="0.25">
      <c r="A47" s="13" t="s">
        <v>59</v>
      </c>
      <c r="B47" s="29" t="s">
        <v>60</v>
      </c>
      <c r="C47" s="30"/>
    </row>
  </sheetData>
  <mergeCells count="1">
    <mergeCell ref="B47:C47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workbookViewId="0">
      <selection activeCell="M7" sqref="M7"/>
    </sheetView>
  </sheetViews>
  <sheetFormatPr defaultRowHeight="15" x14ac:dyDescent="0.25"/>
  <cols>
    <col min="1" max="1" width="26.5703125" style="6" bestFit="1" customWidth="1"/>
    <col min="2" max="2" width="26" style="6"/>
    <col min="3" max="3" width="9.140625" style="6" bestFit="1" customWidth="1"/>
    <col min="4" max="4" width="8.85546875" style="6" bestFit="1" customWidth="1"/>
    <col min="5" max="5" width="9.85546875" style="6" bestFit="1" customWidth="1"/>
    <col min="6" max="6" width="6.5703125" style="6" bestFit="1" customWidth="1"/>
    <col min="7" max="7" width="7.42578125" style="6" bestFit="1" customWidth="1"/>
    <col min="8" max="9" width="9.140625" style="6" bestFit="1" customWidth="1"/>
    <col min="10" max="10" width="9.28515625" style="6" bestFit="1" customWidth="1"/>
    <col min="11" max="11" width="9.42578125" style="6" bestFit="1" customWidth="1"/>
    <col min="12" max="12" width="7.85546875" style="6" bestFit="1" customWidth="1"/>
    <col min="13" max="13" width="10" style="6" customWidth="1"/>
    <col min="14" max="14" width="7.85546875" style="6" bestFit="1" customWidth="1"/>
    <col min="15" max="15" width="11.42578125" style="6" bestFit="1" customWidth="1"/>
    <col min="16" max="16384" width="9.140625" style="6"/>
  </cols>
  <sheetData>
    <row r="1" spans="1:15" ht="18.75" x14ac:dyDescent="0.3">
      <c r="A1" s="22" t="s">
        <v>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s="26" customFormat="1" ht="75" x14ac:dyDescent="0.25">
      <c r="A3" s="25" t="s">
        <v>62</v>
      </c>
      <c r="B3" s="25" t="s">
        <v>63</v>
      </c>
      <c r="C3" s="25" t="s">
        <v>64</v>
      </c>
      <c r="D3" s="25" t="s">
        <v>65</v>
      </c>
      <c r="E3" s="25" t="s">
        <v>66</v>
      </c>
      <c r="F3" s="25" t="s">
        <v>67</v>
      </c>
      <c r="G3" s="25" t="s">
        <v>68</v>
      </c>
      <c r="H3" s="25" t="s">
        <v>316</v>
      </c>
      <c r="I3" s="25" t="s">
        <v>327</v>
      </c>
      <c r="J3" s="25" t="s">
        <v>317</v>
      </c>
      <c r="K3" s="25" t="s">
        <v>318</v>
      </c>
      <c r="L3" s="25" t="s">
        <v>319</v>
      </c>
      <c r="M3" s="25" t="s">
        <v>69</v>
      </c>
      <c r="N3" s="25" t="s">
        <v>70</v>
      </c>
      <c r="O3" s="25" t="s">
        <v>71</v>
      </c>
    </row>
    <row r="4" spans="1:15" x14ac:dyDescent="0.25">
      <c r="A4" s="13">
        <v>0</v>
      </c>
      <c r="B4" s="13" t="s">
        <v>72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 t="shared" ref="G4:G14" si="4">IF(AND(A4&gt;=1,A4&lt;StabilizationRefiYear),ExistingDebtServiceAnnual,IF(AND(A4&gt;=StabilizationRefiYear,A4&lt;=SaleExitYear),-PMT(RefinanceLoanRate/12,RefinanceLoanAmortizationYears*12,RefinanceLoanAmount)*12,0))</f>
        <v>0</v>
      </c>
      <c r="H4" s="13">
        <f t="shared" ref="H4:H14" si="5">F4-G4</f>
        <v>0</v>
      </c>
      <c r="I4" s="13">
        <f t="shared" ref="I4:I14" si="6">IF(A4=StabilizationRefiYear,MAX(0,RefinanceLoanAmount-TotalExistingDebt),IF(A4=SaleExitYear,MAX(0,O4*(1-SellingCosts)-N4),0))</f>
        <v>0</v>
      </c>
      <c r="J4" s="13">
        <f>0+H4+I4</f>
        <v>0</v>
      </c>
      <c r="K4" s="13">
        <f>SUM(Waterfall!Q4:S4)</f>
        <v>0</v>
      </c>
      <c r="L4" s="13">
        <f t="shared" ref="L4:L14" si="7">MAX(0,J4-K4)</f>
        <v>0</v>
      </c>
      <c r="M4" s="13">
        <f t="shared" ref="M4:M14" si="8">J4</f>
        <v>0</v>
      </c>
      <c r="N4" s="13">
        <f t="shared" ref="N4:N14" si="9">IF(A4&lt;StabilizationRefiYear,0,IF(A4=SaleExitYear,0,-FV(RefinanceLoanRate/12,(A4-StabilizationRefiYear)*12,PMT(RefinanceLoanRate/12,RefinanceLoanAmortizationYears*12,RefinanceLoanAmount),RefinanceLoanAmount)))</f>
        <v>0</v>
      </c>
      <c r="O4" s="13">
        <f t="shared" ref="O4:O14" si="10">IF(A4&lt;StabilizationRefiYear,0,F4*(1+NOIGrowth)/ExitCapRate)</f>
        <v>0</v>
      </c>
    </row>
    <row r="5" spans="1:15" x14ac:dyDescent="0.25">
      <c r="A5" s="13">
        <v>1</v>
      </c>
      <c r="B5" s="13" t="s">
        <v>73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 t="shared" si="4"/>
        <v>13812</v>
      </c>
      <c r="H5" s="13">
        <f t="shared" si="5"/>
        <v>25068</v>
      </c>
      <c r="I5" s="13">
        <f t="shared" si="6"/>
        <v>0</v>
      </c>
      <c r="J5" s="13">
        <f t="shared" ref="J5:J14" si="11">L4+H5+I5</f>
        <v>25068</v>
      </c>
      <c r="K5" s="13">
        <f>SUM(Waterfall!Q5:S5)</f>
        <v>25068</v>
      </c>
      <c r="L5" s="13">
        <f t="shared" si="7"/>
        <v>0</v>
      </c>
      <c r="M5" s="13">
        <f t="shared" si="8"/>
        <v>25068</v>
      </c>
      <c r="N5" s="13">
        <f t="shared" si="9"/>
        <v>0</v>
      </c>
      <c r="O5" s="13">
        <f t="shared" si="10"/>
        <v>0</v>
      </c>
    </row>
    <row r="6" spans="1:15" x14ac:dyDescent="0.25">
      <c r="A6" s="13">
        <v>2</v>
      </c>
      <c r="B6" s="13" t="s">
        <v>74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 t="shared" si="4"/>
        <v>56496.493135891236</v>
      </c>
      <c r="H6" s="13">
        <f t="shared" si="5"/>
        <v>15820.306864108752</v>
      </c>
      <c r="I6" s="13">
        <f>IF(A6=StabilizationRefiYear,MAX(0,RefinanceLoanAmount-TotalExistingDebt),IF(A6=SaleExitYear,MAX(0,O6*(1-SellingCosts)-N6),0))</f>
        <v>550863.0399999998</v>
      </c>
      <c r="J6" s="13">
        <f t="shared" si="11"/>
        <v>566683.34686410858</v>
      </c>
      <c r="K6" s="13">
        <f>SUM(Waterfall!Q6:S6)</f>
        <v>566683.34686410858</v>
      </c>
      <c r="L6" s="13">
        <f t="shared" si="7"/>
        <v>0</v>
      </c>
      <c r="M6" s="13">
        <f t="shared" si="8"/>
        <v>566683.34686410858</v>
      </c>
      <c r="N6" s="13">
        <f t="shared" si="9"/>
        <v>744863.0399999998</v>
      </c>
      <c r="O6" s="13">
        <f t="shared" si="10"/>
        <v>1064090.057142857</v>
      </c>
    </row>
    <row r="7" spans="1:15" x14ac:dyDescent="0.25">
      <c r="A7" s="13">
        <v>3</v>
      </c>
      <c r="B7" s="13" t="s">
        <v>75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 t="shared" si="4"/>
        <v>56496.493135891236</v>
      </c>
      <c r="H7" s="13">
        <f t="shared" si="5"/>
        <v>17989.810864108767</v>
      </c>
      <c r="I7" s="13">
        <f t="shared" si="6"/>
        <v>0</v>
      </c>
      <c r="J7" s="13">
        <f t="shared" si="11"/>
        <v>17989.810864108767</v>
      </c>
      <c r="K7" s="13">
        <f>SUM(Waterfall!Q7:S7)</f>
        <v>17989.810864108767</v>
      </c>
      <c r="L7" s="13">
        <f t="shared" si="7"/>
        <v>0</v>
      </c>
      <c r="M7" s="13">
        <f t="shared" si="8"/>
        <v>17989.810864108767</v>
      </c>
      <c r="N7" s="13">
        <f t="shared" si="9"/>
        <v>736537.51609305036</v>
      </c>
      <c r="O7" s="13">
        <f t="shared" si="10"/>
        <v>1096012.7588571429</v>
      </c>
    </row>
    <row r="8" spans="1:15" x14ac:dyDescent="0.25">
      <c r="A8" s="13">
        <v>4</v>
      </c>
      <c r="B8" s="13" t="s">
        <v>75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 t="shared" si="4"/>
        <v>56496.493135891236</v>
      </c>
      <c r="H8" s="13">
        <f t="shared" si="5"/>
        <v>20224.399984108757</v>
      </c>
      <c r="I8" s="13">
        <f t="shared" si="6"/>
        <v>0</v>
      </c>
      <c r="J8" s="13">
        <f t="shared" si="11"/>
        <v>20224.399984108757</v>
      </c>
      <c r="K8" s="13">
        <f>SUM(Waterfall!Q8:S8)</f>
        <v>20224.399984108757</v>
      </c>
      <c r="L8" s="13">
        <f t="shared" si="7"/>
        <v>0</v>
      </c>
      <c r="M8" s="13">
        <f t="shared" si="8"/>
        <v>20224.399984108757</v>
      </c>
      <c r="N8" s="13">
        <f t="shared" si="9"/>
        <v>727654.41643116099</v>
      </c>
      <c r="O8" s="13">
        <f t="shared" si="10"/>
        <v>1128893.141622857</v>
      </c>
    </row>
    <row r="9" spans="1:15" x14ac:dyDescent="0.25">
      <c r="A9" s="13">
        <v>5</v>
      </c>
      <c r="B9" s="13" t="s">
        <v>75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 t="shared" si="4"/>
        <v>56496.493135891236</v>
      </c>
      <c r="H9" s="13">
        <f t="shared" si="5"/>
        <v>22526.026777708765</v>
      </c>
      <c r="I9" s="13">
        <f t="shared" si="6"/>
        <v>0</v>
      </c>
      <c r="J9" s="13">
        <f t="shared" si="11"/>
        <v>22526.026777708765</v>
      </c>
      <c r="K9" s="13">
        <f>SUM(Waterfall!Q9:S9)</f>
        <v>22526.026777708765</v>
      </c>
      <c r="L9" s="13">
        <f t="shared" si="7"/>
        <v>0</v>
      </c>
      <c r="M9" s="13">
        <f t="shared" si="8"/>
        <v>22526.026777708765</v>
      </c>
      <c r="N9" s="13">
        <f t="shared" si="9"/>
        <v>718176.39913339156</v>
      </c>
      <c r="O9" s="13">
        <f t="shared" si="10"/>
        <v>1162759.9358715427</v>
      </c>
    </row>
    <row r="10" spans="1:15" x14ac:dyDescent="0.25">
      <c r="A10" s="13">
        <v>6</v>
      </c>
      <c r="B10" s="13" t="s">
        <v>75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 t="shared" si="4"/>
        <v>56496.493135891236</v>
      </c>
      <c r="H10" s="13">
        <f t="shared" si="5"/>
        <v>24896.702375116765</v>
      </c>
      <c r="I10" s="13">
        <f t="shared" si="6"/>
        <v>0</v>
      </c>
      <c r="J10" s="13">
        <f t="shared" si="11"/>
        <v>24896.702375116765</v>
      </c>
      <c r="K10" s="13">
        <f>SUM(Waterfall!Q10:S10)</f>
        <v>24896.702375116765</v>
      </c>
      <c r="L10" s="13">
        <f t="shared" si="7"/>
        <v>0</v>
      </c>
      <c r="M10" s="13">
        <f t="shared" si="8"/>
        <v>24896.702375116765</v>
      </c>
      <c r="N10" s="13">
        <f t="shared" si="9"/>
        <v>708063.62146387866</v>
      </c>
      <c r="O10" s="13">
        <f t="shared" si="10"/>
        <v>1197642.7339476892</v>
      </c>
    </row>
    <row r="11" spans="1:15" x14ac:dyDescent="0.25">
      <c r="A11" s="13">
        <v>7</v>
      </c>
      <c r="B11" s="13" t="s">
        <v>75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 t="shared" si="4"/>
        <v>56496.493135891236</v>
      </c>
      <c r="H11" s="13">
        <f t="shared" si="5"/>
        <v>27338.498240446999</v>
      </c>
      <c r="I11" s="13">
        <f t="shared" si="6"/>
        <v>0</v>
      </c>
      <c r="J11" s="13">
        <f t="shared" si="11"/>
        <v>27338.498240446999</v>
      </c>
      <c r="K11" s="13">
        <f>SUM(Waterfall!Q11:S11)</f>
        <v>27338.498240446999</v>
      </c>
      <c r="L11" s="13">
        <f t="shared" si="7"/>
        <v>0</v>
      </c>
      <c r="M11" s="13">
        <f t="shared" si="8"/>
        <v>27338.498240446999</v>
      </c>
      <c r="N11" s="13">
        <f t="shared" si="9"/>
        <v>697273.5723449483</v>
      </c>
      <c r="O11" s="13">
        <f t="shared" si="10"/>
        <v>1233572.0159661197</v>
      </c>
    </row>
    <row r="12" spans="1:15" x14ac:dyDescent="0.25">
      <c r="A12" s="13">
        <v>8</v>
      </c>
      <c r="B12" s="13" t="s">
        <v>75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 t="shared" si="4"/>
        <v>56496.493135891236</v>
      </c>
      <c r="H12" s="13">
        <f t="shared" si="5"/>
        <v>29853.54798173716</v>
      </c>
      <c r="I12" s="13">
        <f t="shared" si="6"/>
        <v>0</v>
      </c>
      <c r="J12" s="13">
        <f t="shared" si="11"/>
        <v>29853.54798173716</v>
      </c>
      <c r="K12" s="13">
        <f>SUM(Waterfall!Q12:S12)</f>
        <v>29853.54798173716</v>
      </c>
      <c r="L12" s="13">
        <f t="shared" si="7"/>
        <v>0</v>
      </c>
      <c r="M12" s="13">
        <f t="shared" si="8"/>
        <v>29853.54798173716</v>
      </c>
      <c r="N12" s="13">
        <f t="shared" si="9"/>
        <v>685760.89365332504</v>
      </c>
      <c r="O12" s="13">
        <f t="shared" si="10"/>
        <v>1270579.1764451035</v>
      </c>
    </row>
    <row r="13" spans="1:15" x14ac:dyDescent="0.25">
      <c r="A13" s="13">
        <v>9</v>
      </c>
      <c r="B13" s="13" t="s">
        <v>75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 t="shared" si="4"/>
        <v>56496.493135891236</v>
      </c>
      <c r="H13" s="13">
        <f t="shared" si="5"/>
        <v>32444.049215266008</v>
      </c>
      <c r="I13" s="13">
        <f t="shared" si="6"/>
        <v>0</v>
      </c>
      <c r="J13" s="13">
        <f t="shared" si="11"/>
        <v>32444.049215266008</v>
      </c>
      <c r="K13" s="13">
        <f>SUM(Waterfall!Q13:S13)</f>
        <v>32444.049215266008</v>
      </c>
      <c r="L13" s="13">
        <f t="shared" si="7"/>
        <v>0</v>
      </c>
      <c r="M13" s="13">
        <f t="shared" si="8"/>
        <v>32444.049215266008</v>
      </c>
      <c r="N13" s="13">
        <f t="shared" si="9"/>
        <v>673477.18954821327</v>
      </c>
      <c r="O13" s="13">
        <f t="shared" si="10"/>
        <v>1308696.5517384564</v>
      </c>
    </row>
    <row r="14" spans="1:15" x14ac:dyDescent="0.25">
      <c r="A14" s="13">
        <v>10</v>
      </c>
      <c r="B14" s="13" t="s">
        <v>76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 t="shared" si="4"/>
        <v>56496.493135891236</v>
      </c>
      <c r="H14" s="13">
        <f t="shared" si="5"/>
        <v>35112.265485800694</v>
      </c>
      <c r="I14" s="13">
        <f t="shared" si="6"/>
        <v>1320998.2993247975</v>
      </c>
      <c r="J14" s="13">
        <f t="shared" si="11"/>
        <v>1356110.5648105983</v>
      </c>
      <c r="K14" s="13">
        <f>SUM(Waterfall!Q14:S14)</f>
        <v>1356110.5648105983</v>
      </c>
      <c r="L14" s="13">
        <f t="shared" si="7"/>
        <v>0</v>
      </c>
      <c r="M14" s="13">
        <f t="shared" si="8"/>
        <v>1356110.5648105983</v>
      </c>
      <c r="N14" s="13">
        <f t="shared" si="9"/>
        <v>0</v>
      </c>
      <c r="O14" s="13">
        <f t="shared" si="10"/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"/>
  <sheetViews>
    <sheetView tabSelected="1" workbookViewId="0">
      <selection activeCell="B8" sqref="B8"/>
    </sheetView>
  </sheetViews>
  <sheetFormatPr defaultRowHeight="15" x14ac:dyDescent="0.25"/>
  <cols>
    <col min="1" max="1" width="20.85546875" style="6" bestFit="1" customWidth="1"/>
    <col min="2" max="2" width="14" style="6" bestFit="1" customWidth="1"/>
    <col min="3" max="3" width="11.42578125" style="6" bestFit="1" customWidth="1"/>
    <col min="4" max="4" width="11.28515625" style="6" bestFit="1" customWidth="1"/>
    <col min="5" max="5" width="9" style="6" bestFit="1" customWidth="1"/>
    <col min="6" max="6" width="11.42578125" style="6" bestFit="1" customWidth="1"/>
    <col min="7" max="7" width="9.28515625" style="6" bestFit="1" customWidth="1"/>
    <col min="8" max="9" width="10.85546875" style="6" bestFit="1" customWidth="1"/>
    <col min="10" max="10" width="10.140625" style="6" bestFit="1" customWidth="1"/>
    <col min="11" max="11" width="11.28515625" style="6" bestFit="1" customWidth="1"/>
    <col min="12" max="12" width="9.28515625" style="6" bestFit="1" customWidth="1"/>
    <col min="13" max="13" width="7.5703125" style="6" bestFit="1" customWidth="1"/>
    <col min="14" max="14" width="7.5703125" style="6" customWidth="1"/>
    <col min="15" max="15" width="9.28515625" style="6" bestFit="1" customWidth="1"/>
    <col min="16" max="16" width="8.5703125" style="6" bestFit="1" customWidth="1"/>
    <col min="17" max="17" width="12" style="6" customWidth="1"/>
    <col min="18" max="18" width="10.28515625" style="6" bestFit="1" customWidth="1"/>
    <col min="19" max="19" width="8.140625" style="6" bestFit="1" customWidth="1"/>
    <col min="20" max="16384" width="9.140625" style="6"/>
  </cols>
  <sheetData>
    <row r="1" spans="1:19" ht="18.75" x14ac:dyDescent="0.3">
      <c r="A1" s="22" t="s">
        <v>77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26" customFormat="1" ht="45" x14ac:dyDescent="0.25">
      <c r="A3" s="25" t="s">
        <v>62</v>
      </c>
      <c r="B3" s="25" t="s">
        <v>78</v>
      </c>
      <c r="C3" s="25" t="s">
        <v>79</v>
      </c>
      <c r="D3" s="25" t="s">
        <v>80</v>
      </c>
      <c r="E3" s="25" t="s">
        <v>81</v>
      </c>
      <c r="F3" s="25" t="s">
        <v>82</v>
      </c>
      <c r="G3" s="25" t="s">
        <v>83</v>
      </c>
      <c r="H3" s="25" t="s">
        <v>84</v>
      </c>
      <c r="I3" s="25" t="s">
        <v>85</v>
      </c>
      <c r="J3" s="25" t="s">
        <v>86</v>
      </c>
      <c r="K3" s="25" t="s">
        <v>87</v>
      </c>
      <c r="L3" s="25" t="s">
        <v>88</v>
      </c>
      <c r="M3" s="25" t="s">
        <v>89</v>
      </c>
      <c r="N3" s="25" t="s">
        <v>330</v>
      </c>
      <c r="O3" s="25" t="s">
        <v>90</v>
      </c>
      <c r="P3" s="25" t="s">
        <v>91</v>
      </c>
      <c r="Q3" s="25" t="s">
        <v>92</v>
      </c>
      <c r="R3" s="25" t="s">
        <v>93</v>
      </c>
      <c r="S3" s="25" t="s">
        <v>94</v>
      </c>
    </row>
    <row r="4" spans="1:19" x14ac:dyDescent="0.25">
      <c r="A4" s="13">
        <v>0</v>
      </c>
      <c r="B4" s="13">
        <f>'Annual Model'!J4</f>
        <v>0</v>
      </c>
      <c r="C4" s="13">
        <f>0</f>
        <v>0</v>
      </c>
      <c r="D4" s="13">
        <f t="shared" ref="D4:D14" si="0">F4*ClassAPreferredReturn</f>
        <v>24000</v>
      </c>
      <c r="E4" s="13">
        <f t="shared" ref="E4:E14" si="1">MIN(B4,C4+D4)</f>
        <v>0</v>
      </c>
      <c r="F4" s="13">
        <f>ClassACapital</f>
        <v>300000</v>
      </c>
      <c r="G4" s="13">
        <f t="shared" ref="G4:G14" si="2">MIN(MAX(0,B4-E4),F4)</f>
        <v>0</v>
      </c>
      <c r="H4" s="13">
        <f t="shared" ref="H4:H14" si="3">C4+D4-E4</f>
        <v>24000</v>
      </c>
      <c r="I4" s="13">
        <f t="shared" ref="I4:I14" si="4">F4-G4</f>
        <v>300000</v>
      </c>
      <c r="J4" s="13">
        <f t="shared" ref="J4:J14" si="5">MAX(0,B4-E4-G4)</f>
        <v>0</v>
      </c>
      <c r="K4" s="13">
        <f>ClassBCapital</f>
        <v>450000</v>
      </c>
      <c r="L4" s="13">
        <f t="shared" ref="L4:L14" si="6">IF(ClassBReturnPriority=1,MIN(J4,K4),0)</f>
        <v>0</v>
      </c>
      <c r="M4" s="13">
        <f t="shared" ref="M4:M14" si="7">K4-L4</f>
        <v>450000</v>
      </c>
      <c r="N4" s="13">
        <f>MAX(0,J4-L4)*ClassAResidualShare</f>
        <v>0</v>
      </c>
      <c r="O4" s="13">
        <f>MAX(0,J4-L4)*ClassBResidualShare</f>
        <v>0</v>
      </c>
      <c r="P4" s="13">
        <f>MAX(0,J4-L4)*SponsorResidualShare</f>
        <v>0</v>
      </c>
      <c r="Q4" s="13">
        <f>E4+G4+N4</f>
        <v>0</v>
      </c>
      <c r="R4" s="13">
        <f>L4+O4</f>
        <v>0</v>
      </c>
      <c r="S4" s="13">
        <f>P4</f>
        <v>0</v>
      </c>
    </row>
    <row r="5" spans="1:19" x14ac:dyDescent="0.25">
      <c r="A5" s="13">
        <v>1</v>
      </c>
      <c r="B5" s="13">
        <f>'Annual Model'!J5</f>
        <v>25068</v>
      </c>
      <c r="C5" s="13">
        <f t="shared" ref="C5:C14" si="8">H4</f>
        <v>24000</v>
      </c>
      <c r="D5" s="13">
        <f t="shared" si="0"/>
        <v>24000</v>
      </c>
      <c r="E5" s="13">
        <f t="shared" si="1"/>
        <v>25068</v>
      </c>
      <c r="F5" s="13">
        <f t="shared" ref="F5:F14" si="9">I4</f>
        <v>300000</v>
      </c>
      <c r="G5" s="13">
        <f t="shared" si="2"/>
        <v>0</v>
      </c>
      <c r="H5" s="13">
        <f t="shared" si="3"/>
        <v>22932</v>
      </c>
      <c r="I5" s="13">
        <f t="shared" si="4"/>
        <v>300000</v>
      </c>
      <c r="J5" s="13">
        <f t="shared" si="5"/>
        <v>0</v>
      </c>
      <c r="K5" s="13">
        <f t="shared" ref="K5:K14" si="10">M4</f>
        <v>450000</v>
      </c>
      <c r="L5" s="13">
        <f t="shared" si="6"/>
        <v>0</v>
      </c>
      <c r="M5" s="13">
        <f t="shared" si="7"/>
        <v>450000</v>
      </c>
      <c r="N5" s="13">
        <f>MAX(0,J5-L5)*ClassAResidualShare</f>
        <v>0</v>
      </c>
      <c r="O5" s="13">
        <f>MAX(0,J5-L5)*ClassBResidualShare</f>
        <v>0</v>
      </c>
      <c r="P5" s="13">
        <f>MAX(0,J5-L5)*SponsorResidualShare</f>
        <v>0</v>
      </c>
      <c r="Q5" s="13">
        <f>E5+G5+N5</f>
        <v>25068</v>
      </c>
      <c r="R5" s="13">
        <f>L5+O5</f>
        <v>0</v>
      </c>
      <c r="S5" s="13">
        <f>P5</f>
        <v>0</v>
      </c>
    </row>
    <row r="6" spans="1:19" x14ac:dyDescent="0.25">
      <c r="A6" s="13">
        <v>2</v>
      </c>
      <c r="B6" s="13">
        <f>'Annual Model'!J6</f>
        <v>566683.34686410858</v>
      </c>
      <c r="C6" s="13">
        <f t="shared" si="8"/>
        <v>22932</v>
      </c>
      <c r="D6" s="13">
        <f t="shared" si="0"/>
        <v>24000</v>
      </c>
      <c r="E6" s="13">
        <f>MIN(B6,C6+D6)</f>
        <v>46932</v>
      </c>
      <c r="F6" s="13">
        <f t="shared" si="9"/>
        <v>300000</v>
      </c>
      <c r="G6" s="13">
        <f t="shared" si="2"/>
        <v>300000</v>
      </c>
      <c r="H6" s="13">
        <f t="shared" si="3"/>
        <v>0</v>
      </c>
      <c r="I6" s="13">
        <f t="shared" si="4"/>
        <v>0</v>
      </c>
      <c r="J6" s="13">
        <f t="shared" si="5"/>
        <v>219751.34686410858</v>
      </c>
      <c r="K6" s="13">
        <f t="shared" si="10"/>
        <v>450000</v>
      </c>
      <c r="L6" s="13">
        <f t="shared" si="6"/>
        <v>219751.34686410858</v>
      </c>
      <c r="M6" s="13">
        <f t="shared" si="7"/>
        <v>230248.65313589142</v>
      </c>
      <c r="N6" s="13">
        <f>MAX(0,J6-L6)*ClassAResidualShare</f>
        <v>0</v>
      </c>
      <c r="O6" s="13">
        <f>MAX(0,J6-L6)*ClassBResidualShare</f>
        <v>0</v>
      </c>
      <c r="P6" s="13">
        <f>MAX(0,J6-L6)*SponsorResidualShare</f>
        <v>0</v>
      </c>
      <c r="Q6" s="13">
        <f>E6+G6+N6</f>
        <v>346932</v>
      </c>
      <c r="R6" s="13">
        <f>L6+O6</f>
        <v>219751.34686410858</v>
      </c>
      <c r="S6" s="13">
        <f>P6</f>
        <v>0</v>
      </c>
    </row>
    <row r="7" spans="1:19" x14ac:dyDescent="0.25">
      <c r="A7" s="13">
        <v>3</v>
      </c>
      <c r="B7" s="13">
        <f>'Annual Model'!J7</f>
        <v>17989.810864108767</v>
      </c>
      <c r="C7" s="13">
        <f t="shared" si="8"/>
        <v>0</v>
      </c>
      <c r="D7" s="13">
        <f t="shared" si="0"/>
        <v>0</v>
      </c>
      <c r="E7" s="13">
        <f t="shared" si="1"/>
        <v>0</v>
      </c>
      <c r="F7" s="13">
        <f t="shared" si="9"/>
        <v>0</v>
      </c>
      <c r="G7" s="13">
        <f t="shared" si="2"/>
        <v>0</v>
      </c>
      <c r="H7" s="13">
        <f t="shared" si="3"/>
        <v>0</v>
      </c>
      <c r="I7" s="13">
        <f t="shared" si="4"/>
        <v>0</v>
      </c>
      <c r="J7" s="13">
        <f t="shared" si="5"/>
        <v>17989.810864108767</v>
      </c>
      <c r="K7" s="13">
        <f t="shared" si="10"/>
        <v>230248.65313589142</v>
      </c>
      <c r="L7" s="13">
        <f t="shared" si="6"/>
        <v>17989.810864108767</v>
      </c>
      <c r="M7" s="13">
        <f t="shared" si="7"/>
        <v>212258.84227178266</v>
      </c>
      <c r="N7" s="13">
        <f>MAX(0,J7-L7)*ClassAResidualShare</f>
        <v>0</v>
      </c>
      <c r="O7" s="13">
        <f>MAX(0,J7-L7)*ClassBResidualShare</f>
        <v>0</v>
      </c>
      <c r="P7" s="13">
        <f>MAX(0,J7-L7)*SponsorResidualShare</f>
        <v>0</v>
      </c>
      <c r="Q7" s="13">
        <f>E7+G7+N7</f>
        <v>0</v>
      </c>
      <c r="R7" s="13">
        <f>L7+O7</f>
        <v>17989.810864108767</v>
      </c>
      <c r="S7" s="13">
        <f>P7</f>
        <v>0</v>
      </c>
    </row>
    <row r="8" spans="1:19" x14ac:dyDescent="0.25">
      <c r="A8" s="13">
        <v>4</v>
      </c>
      <c r="B8" s="13">
        <f>'Annual Model'!J8</f>
        <v>20224.399984108757</v>
      </c>
      <c r="C8" s="13">
        <f t="shared" si="8"/>
        <v>0</v>
      </c>
      <c r="D8" s="13">
        <f t="shared" si="0"/>
        <v>0</v>
      </c>
      <c r="E8" s="13">
        <f t="shared" si="1"/>
        <v>0</v>
      </c>
      <c r="F8" s="13">
        <f t="shared" si="9"/>
        <v>0</v>
      </c>
      <c r="G8" s="13">
        <f t="shared" si="2"/>
        <v>0</v>
      </c>
      <c r="H8" s="13">
        <f t="shared" si="3"/>
        <v>0</v>
      </c>
      <c r="I8" s="13">
        <f t="shared" si="4"/>
        <v>0</v>
      </c>
      <c r="J8" s="13">
        <f t="shared" si="5"/>
        <v>20224.399984108757</v>
      </c>
      <c r="K8" s="13">
        <f t="shared" si="10"/>
        <v>212258.84227178266</v>
      </c>
      <c r="L8" s="13">
        <f t="shared" si="6"/>
        <v>20224.399984108757</v>
      </c>
      <c r="M8" s="13">
        <f t="shared" si="7"/>
        <v>192034.44228767391</v>
      </c>
      <c r="N8" s="13">
        <f>MAX(0,J8-L8)*ClassAResidualShare</f>
        <v>0</v>
      </c>
      <c r="O8" s="13">
        <f>MAX(0,J8-L8)*ClassBResidualShare</f>
        <v>0</v>
      </c>
      <c r="P8" s="13">
        <f>MAX(0,J8-L8)*SponsorResidualShare</f>
        <v>0</v>
      </c>
      <c r="Q8" s="13">
        <f>E8+G8+N8</f>
        <v>0</v>
      </c>
      <c r="R8" s="13">
        <f>L8+O8</f>
        <v>20224.399984108757</v>
      </c>
      <c r="S8" s="13">
        <f>P8</f>
        <v>0</v>
      </c>
    </row>
    <row r="9" spans="1:19" x14ac:dyDescent="0.25">
      <c r="A9" s="13">
        <v>5</v>
      </c>
      <c r="B9" s="13">
        <f>'Annual Model'!J9</f>
        <v>22526.026777708765</v>
      </c>
      <c r="C9" s="13">
        <f t="shared" si="8"/>
        <v>0</v>
      </c>
      <c r="D9" s="13">
        <f t="shared" si="0"/>
        <v>0</v>
      </c>
      <c r="E9" s="13">
        <f t="shared" si="1"/>
        <v>0</v>
      </c>
      <c r="F9" s="13">
        <f t="shared" si="9"/>
        <v>0</v>
      </c>
      <c r="G9" s="13">
        <f t="shared" si="2"/>
        <v>0</v>
      </c>
      <c r="H9" s="13">
        <f t="shared" si="3"/>
        <v>0</v>
      </c>
      <c r="I9" s="13">
        <f t="shared" si="4"/>
        <v>0</v>
      </c>
      <c r="J9" s="13">
        <f t="shared" si="5"/>
        <v>22526.026777708765</v>
      </c>
      <c r="K9" s="13">
        <f t="shared" si="10"/>
        <v>192034.44228767391</v>
      </c>
      <c r="L9" s="13">
        <f t="shared" si="6"/>
        <v>22526.026777708765</v>
      </c>
      <c r="M9" s="13">
        <f t="shared" si="7"/>
        <v>169508.41550996515</v>
      </c>
      <c r="N9" s="13">
        <f>MAX(0,J9-L9)*ClassAResidualShare</f>
        <v>0</v>
      </c>
      <c r="O9" s="13">
        <f>MAX(0,J9-L9)*ClassBResidualShare</f>
        <v>0</v>
      </c>
      <c r="P9" s="13">
        <f>MAX(0,J9-L9)*SponsorResidualShare</f>
        <v>0</v>
      </c>
      <c r="Q9" s="13">
        <f>E9+G9+N9</f>
        <v>0</v>
      </c>
      <c r="R9" s="13">
        <f>L9+O9</f>
        <v>22526.026777708765</v>
      </c>
      <c r="S9" s="13">
        <f>P9</f>
        <v>0</v>
      </c>
    </row>
    <row r="10" spans="1:19" x14ac:dyDescent="0.25">
      <c r="A10" s="13">
        <v>6</v>
      </c>
      <c r="B10" s="13">
        <f>'Annual Model'!J10</f>
        <v>24896.702375116765</v>
      </c>
      <c r="C10" s="13">
        <f t="shared" si="8"/>
        <v>0</v>
      </c>
      <c r="D10" s="13">
        <f t="shared" si="0"/>
        <v>0</v>
      </c>
      <c r="E10" s="13">
        <f t="shared" si="1"/>
        <v>0</v>
      </c>
      <c r="F10" s="13">
        <f t="shared" si="9"/>
        <v>0</v>
      </c>
      <c r="G10" s="13">
        <f t="shared" si="2"/>
        <v>0</v>
      </c>
      <c r="H10" s="13">
        <f t="shared" si="3"/>
        <v>0</v>
      </c>
      <c r="I10" s="13">
        <f t="shared" si="4"/>
        <v>0</v>
      </c>
      <c r="J10" s="13">
        <f t="shared" si="5"/>
        <v>24896.702375116765</v>
      </c>
      <c r="K10" s="13">
        <f t="shared" si="10"/>
        <v>169508.41550996515</v>
      </c>
      <c r="L10" s="13">
        <f t="shared" si="6"/>
        <v>24896.702375116765</v>
      </c>
      <c r="M10" s="13">
        <f t="shared" si="7"/>
        <v>144611.7131348484</v>
      </c>
      <c r="N10" s="13">
        <f>MAX(0,J10-L10)*ClassAResidualShare</f>
        <v>0</v>
      </c>
      <c r="O10" s="13">
        <f>MAX(0,J10-L10)*ClassBResidualShare</f>
        <v>0</v>
      </c>
      <c r="P10" s="13">
        <f>MAX(0,J10-L10)*SponsorResidualShare</f>
        <v>0</v>
      </c>
      <c r="Q10" s="13">
        <f>E10+G10+N10</f>
        <v>0</v>
      </c>
      <c r="R10" s="13">
        <f>L10+O10</f>
        <v>24896.702375116765</v>
      </c>
      <c r="S10" s="13">
        <f>P10</f>
        <v>0</v>
      </c>
    </row>
    <row r="11" spans="1:19" x14ac:dyDescent="0.25">
      <c r="A11" s="13">
        <v>7</v>
      </c>
      <c r="B11" s="13">
        <f>'Annual Model'!J11</f>
        <v>27338.498240446999</v>
      </c>
      <c r="C11" s="13">
        <f t="shared" si="8"/>
        <v>0</v>
      </c>
      <c r="D11" s="13">
        <f t="shared" si="0"/>
        <v>0</v>
      </c>
      <c r="E11" s="13">
        <f t="shared" si="1"/>
        <v>0</v>
      </c>
      <c r="F11" s="13">
        <f t="shared" si="9"/>
        <v>0</v>
      </c>
      <c r="G11" s="13">
        <f t="shared" si="2"/>
        <v>0</v>
      </c>
      <c r="H11" s="13">
        <f t="shared" si="3"/>
        <v>0</v>
      </c>
      <c r="I11" s="13">
        <f t="shared" si="4"/>
        <v>0</v>
      </c>
      <c r="J11" s="13">
        <f t="shared" si="5"/>
        <v>27338.498240446999</v>
      </c>
      <c r="K11" s="13">
        <f t="shared" si="10"/>
        <v>144611.7131348484</v>
      </c>
      <c r="L11" s="13">
        <f t="shared" si="6"/>
        <v>27338.498240446999</v>
      </c>
      <c r="M11" s="13">
        <f t="shared" si="7"/>
        <v>117273.2148944014</v>
      </c>
      <c r="N11" s="13">
        <f>MAX(0,J11-L11)*ClassAResidualShare</f>
        <v>0</v>
      </c>
      <c r="O11" s="13">
        <f>MAX(0,J11-L11)*ClassBResidualShare</f>
        <v>0</v>
      </c>
      <c r="P11" s="13">
        <f>MAX(0,J11-L11)*SponsorResidualShare</f>
        <v>0</v>
      </c>
      <c r="Q11" s="13">
        <f>E11+G11+N11</f>
        <v>0</v>
      </c>
      <c r="R11" s="13">
        <f>L11+O11</f>
        <v>27338.498240446999</v>
      </c>
      <c r="S11" s="13">
        <f>P11</f>
        <v>0</v>
      </c>
    </row>
    <row r="12" spans="1:19" x14ac:dyDescent="0.25">
      <c r="A12" s="13">
        <v>8</v>
      </c>
      <c r="B12" s="13">
        <f>'Annual Model'!J12</f>
        <v>29853.54798173716</v>
      </c>
      <c r="C12" s="13">
        <f t="shared" si="8"/>
        <v>0</v>
      </c>
      <c r="D12" s="13">
        <f t="shared" si="0"/>
        <v>0</v>
      </c>
      <c r="E12" s="13">
        <f t="shared" si="1"/>
        <v>0</v>
      </c>
      <c r="F12" s="13">
        <f t="shared" si="9"/>
        <v>0</v>
      </c>
      <c r="G12" s="13">
        <f t="shared" si="2"/>
        <v>0</v>
      </c>
      <c r="H12" s="13">
        <f t="shared" si="3"/>
        <v>0</v>
      </c>
      <c r="I12" s="13">
        <f t="shared" si="4"/>
        <v>0</v>
      </c>
      <c r="J12" s="13">
        <f t="shared" si="5"/>
        <v>29853.54798173716</v>
      </c>
      <c r="K12" s="13">
        <f t="shared" si="10"/>
        <v>117273.2148944014</v>
      </c>
      <c r="L12" s="13">
        <f t="shared" si="6"/>
        <v>29853.54798173716</v>
      </c>
      <c r="M12" s="13">
        <f t="shared" si="7"/>
        <v>87419.666912664252</v>
      </c>
      <c r="N12" s="13">
        <f>MAX(0,J12-L12)*ClassAResidualShare</f>
        <v>0</v>
      </c>
      <c r="O12" s="13">
        <f>MAX(0,J12-L12)*ClassBResidualShare</f>
        <v>0</v>
      </c>
      <c r="P12" s="13">
        <f>MAX(0,J12-L12)*SponsorResidualShare</f>
        <v>0</v>
      </c>
      <c r="Q12" s="13">
        <f>E12+G12+N12</f>
        <v>0</v>
      </c>
      <c r="R12" s="13">
        <f>L12+O12</f>
        <v>29853.54798173716</v>
      </c>
      <c r="S12" s="13">
        <f>P12</f>
        <v>0</v>
      </c>
    </row>
    <row r="13" spans="1:19" x14ac:dyDescent="0.25">
      <c r="A13" s="13">
        <v>9</v>
      </c>
      <c r="B13" s="13">
        <f>'Annual Model'!J13</f>
        <v>32444.049215266008</v>
      </c>
      <c r="C13" s="13">
        <f t="shared" si="8"/>
        <v>0</v>
      </c>
      <c r="D13" s="13">
        <f t="shared" si="0"/>
        <v>0</v>
      </c>
      <c r="E13" s="13">
        <f t="shared" si="1"/>
        <v>0</v>
      </c>
      <c r="F13" s="13">
        <f t="shared" si="9"/>
        <v>0</v>
      </c>
      <c r="G13" s="13">
        <f t="shared" si="2"/>
        <v>0</v>
      </c>
      <c r="H13" s="13">
        <f t="shared" si="3"/>
        <v>0</v>
      </c>
      <c r="I13" s="13">
        <f t="shared" si="4"/>
        <v>0</v>
      </c>
      <c r="J13" s="13">
        <f t="shared" si="5"/>
        <v>32444.049215266008</v>
      </c>
      <c r="K13" s="13">
        <f t="shared" si="10"/>
        <v>87419.666912664252</v>
      </c>
      <c r="L13" s="13">
        <f t="shared" si="6"/>
        <v>32444.049215266008</v>
      </c>
      <c r="M13" s="13">
        <f t="shared" si="7"/>
        <v>54975.617697398244</v>
      </c>
      <c r="N13" s="13">
        <f>MAX(0,J13-L13)*ClassAResidualShare</f>
        <v>0</v>
      </c>
      <c r="O13" s="13">
        <f>MAX(0,J13-L13)*ClassBResidualShare</f>
        <v>0</v>
      </c>
      <c r="P13" s="13">
        <f>MAX(0,J13-L13)*SponsorResidualShare</f>
        <v>0</v>
      </c>
      <c r="Q13" s="13">
        <f>E13+G13+N13</f>
        <v>0</v>
      </c>
      <c r="R13" s="13">
        <f>L13+O13</f>
        <v>32444.049215266008</v>
      </c>
      <c r="S13" s="13">
        <f>P13</f>
        <v>0</v>
      </c>
    </row>
    <row r="14" spans="1:19" x14ac:dyDescent="0.25">
      <c r="A14" s="13">
        <v>10</v>
      </c>
      <c r="B14" s="13">
        <f>'Annual Model'!J14</f>
        <v>1356110.5648105983</v>
      </c>
      <c r="C14" s="13">
        <f t="shared" si="8"/>
        <v>0</v>
      </c>
      <c r="D14" s="13">
        <f t="shared" si="0"/>
        <v>0</v>
      </c>
      <c r="E14" s="13">
        <f t="shared" si="1"/>
        <v>0</v>
      </c>
      <c r="F14" s="13">
        <f t="shared" si="9"/>
        <v>0</v>
      </c>
      <c r="G14" s="13">
        <f t="shared" si="2"/>
        <v>0</v>
      </c>
      <c r="H14" s="13">
        <f t="shared" si="3"/>
        <v>0</v>
      </c>
      <c r="I14" s="13">
        <f t="shared" si="4"/>
        <v>0</v>
      </c>
      <c r="J14" s="13">
        <f t="shared" si="5"/>
        <v>1356110.5648105983</v>
      </c>
      <c r="K14" s="13">
        <f t="shared" si="10"/>
        <v>54975.617697398244</v>
      </c>
      <c r="L14" s="13">
        <f t="shared" si="6"/>
        <v>54975.617697398244</v>
      </c>
      <c r="M14" s="13">
        <f t="shared" si="7"/>
        <v>0</v>
      </c>
      <c r="N14" s="13">
        <f>MAX(0,J14-L14)*ClassAResidualShare</f>
        <v>433711.64903773332</v>
      </c>
      <c r="O14" s="13">
        <f>MAX(0,J14-L14)*ClassBResidualShare</f>
        <v>650567.47355660005</v>
      </c>
      <c r="P14" s="13">
        <f>MAX(0,J14-L14)*SponsorResidualShare</f>
        <v>216855.82451886666</v>
      </c>
      <c r="Q14" s="13">
        <f>E14+G14+N14</f>
        <v>433711.64903773332</v>
      </c>
      <c r="R14" s="13">
        <f>L14+O14</f>
        <v>705543.09125399834</v>
      </c>
      <c r="S14" s="13">
        <f>P14</f>
        <v>216855.82451886666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0.5703125" style="6" bestFit="1" customWidth="1"/>
    <col min="2" max="2" width="8.42578125" style="6" bestFit="1" customWidth="1"/>
    <col min="3" max="3" width="12.42578125" style="6" customWidth="1"/>
    <col min="4" max="4" width="9.7109375" style="6" bestFit="1" customWidth="1"/>
    <col min="5" max="5" width="8.7109375" style="6" bestFit="1" customWidth="1"/>
    <col min="6" max="6" width="8.140625" style="6" bestFit="1" customWidth="1"/>
    <col min="7" max="7" width="7.140625" style="6" bestFit="1" customWidth="1"/>
    <col min="8" max="8" width="8.28515625" style="6" bestFit="1" customWidth="1"/>
    <col min="9" max="9" width="6.5703125" style="6" bestFit="1" customWidth="1"/>
    <col min="10" max="10" width="7.5703125" style="6" bestFit="1" customWidth="1"/>
    <col min="11" max="17" width="6.5703125" style="6" bestFit="1" customWidth="1"/>
    <col min="18" max="18" width="7.5703125" style="6" bestFit="1" customWidth="1"/>
    <col min="19" max="16384" width="9.140625" style="6"/>
  </cols>
  <sheetData>
    <row r="1" spans="1:20" ht="18.75" x14ac:dyDescent="0.3">
      <c r="A1" s="31" t="s">
        <v>95</v>
      </c>
      <c r="B1" s="30"/>
      <c r="C1" s="30"/>
      <c r="D1" s="30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6" customFormat="1" ht="30" x14ac:dyDescent="0.25">
      <c r="A3" s="25" t="s">
        <v>96</v>
      </c>
      <c r="B3" s="25" t="s">
        <v>97</v>
      </c>
      <c r="C3" s="25" t="s">
        <v>98</v>
      </c>
      <c r="D3" s="25" t="s">
        <v>99</v>
      </c>
      <c r="E3" s="25" t="s">
        <v>100</v>
      </c>
      <c r="F3" s="25" t="s">
        <v>101</v>
      </c>
      <c r="G3" s="25" t="s">
        <v>102</v>
      </c>
      <c r="H3" s="25" t="s">
        <v>103</v>
      </c>
      <c r="I3" s="25" t="s">
        <v>104</v>
      </c>
      <c r="J3" s="25" t="s">
        <v>105</v>
      </c>
      <c r="K3" s="25" t="s">
        <v>106</v>
      </c>
      <c r="L3" s="25" t="s">
        <v>107</v>
      </c>
      <c r="M3" s="27" t="s">
        <v>108</v>
      </c>
      <c r="N3" s="27" t="s">
        <v>109</v>
      </c>
      <c r="O3" s="27" t="s">
        <v>110</v>
      </c>
      <c r="P3" s="27" t="s">
        <v>111</v>
      </c>
      <c r="Q3" s="27" t="s">
        <v>112</v>
      </c>
      <c r="R3" s="27" t="s">
        <v>113</v>
      </c>
    </row>
    <row r="4" spans="1:20" x14ac:dyDescent="0.25">
      <c r="A4" s="13" t="s">
        <v>114</v>
      </c>
      <c r="B4" s="13">
        <f>ClassACapital</f>
        <v>300000</v>
      </c>
      <c r="C4" s="13">
        <f>SUM(Waterfall!Q4:Q14)</f>
        <v>805711.64903773332</v>
      </c>
      <c r="D4" s="13">
        <f>C4-B4</f>
        <v>505711.64903773332</v>
      </c>
      <c r="E4" s="13">
        <f>IFERROR(C4/B4,0)</f>
        <v>2.6857054967924445</v>
      </c>
      <c r="F4" s="28">
        <f>IFERROR(D4/B4,0)</f>
        <v>1.6857054967924445</v>
      </c>
      <c r="G4" s="28">
        <f>IRR(H4:R4)</f>
        <v>0.23537785162218783</v>
      </c>
      <c r="H4" s="13">
        <f>-B4</f>
        <v>-300000</v>
      </c>
      <c r="I4" s="13">
        <f>Waterfall!Q5</f>
        <v>25068</v>
      </c>
      <c r="J4" s="13">
        <f>Waterfall!Q6</f>
        <v>346932</v>
      </c>
      <c r="K4" s="13">
        <f>Waterfall!Q7</f>
        <v>0</v>
      </c>
      <c r="L4" s="13">
        <f>Waterfall!Q8</f>
        <v>0</v>
      </c>
      <c r="M4" s="13">
        <f>Waterfall!Q9</f>
        <v>0</v>
      </c>
      <c r="N4" s="13">
        <f>Waterfall!Q10</f>
        <v>0</v>
      </c>
      <c r="O4" s="13">
        <f>Waterfall!Q11</f>
        <v>0</v>
      </c>
      <c r="P4" s="13">
        <f>Waterfall!Q12</f>
        <v>0</v>
      </c>
      <c r="Q4" s="13">
        <f>Waterfall!Q13</f>
        <v>0</v>
      </c>
      <c r="R4" s="13">
        <f>Waterfall!Q14</f>
        <v>433711.64903773332</v>
      </c>
    </row>
    <row r="5" spans="1:20" x14ac:dyDescent="0.25">
      <c r="A5" s="13" t="s">
        <v>115</v>
      </c>
      <c r="B5" s="13">
        <f>ClassBCapital</f>
        <v>450000</v>
      </c>
      <c r="C5" s="13">
        <f>SUM(Waterfall!R4:R14)</f>
        <v>1100567.4735566</v>
      </c>
      <c r="D5" s="13">
        <f>C5-B5</f>
        <v>650567.47355660005</v>
      </c>
      <c r="E5" s="13">
        <f>IFERROR(C5/B5,0)</f>
        <v>2.4457054967924448</v>
      </c>
      <c r="F5" s="28">
        <f>IFERROR(D5/B5,0)</f>
        <v>1.4457054967924445</v>
      </c>
      <c r="G5" s="28">
        <f>IFERROR(IRR(H5:R5),0)</f>
        <v>0.13501399067220876</v>
      </c>
      <c r="H5" s="13">
        <f>-B5</f>
        <v>-450000</v>
      </c>
      <c r="I5" s="13">
        <f>Waterfall!R5</f>
        <v>0</v>
      </c>
      <c r="J5" s="13">
        <f>Waterfall!R6</f>
        <v>219751.34686410858</v>
      </c>
      <c r="K5" s="13">
        <f>Waterfall!R7</f>
        <v>17989.810864108767</v>
      </c>
      <c r="L5" s="13">
        <f>Waterfall!R8</f>
        <v>20224.399984108757</v>
      </c>
      <c r="M5" s="13">
        <f>Waterfall!R9</f>
        <v>22526.026777708765</v>
      </c>
      <c r="N5" s="13">
        <f>Waterfall!R10</f>
        <v>24896.702375116765</v>
      </c>
      <c r="O5" s="13">
        <f>Waterfall!R11</f>
        <v>27338.498240446999</v>
      </c>
      <c r="P5" s="13">
        <f>Waterfall!R12</f>
        <v>29853.54798173716</v>
      </c>
      <c r="Q5" s="13">
        <f>Waterfall!R13</f>
        <v>32444.049215266008</v>
      </c>
      <c r="R5" s="13">
        <f>Waterfall!R14</f>
        <v>705543.09125399834</v>
      </c>
    </row>
    <row r="6" spans="1:20" x14ac:dyDescent="0.25">
      <c r="A6" s="13" t="s">
        <v>116</v>
      </c>
      <c r="B6" s="13">
        <f>SponsorBasis</f>
        <v>150000</v>
      </c>
      <c r="C6" s="13">
        <f>SUM(Waterfall!S4:S14)</f>
        <v>216855.82451886666</v>
      </c>
      <c r="D6" s="13">
        <f>C6-B6</f>
        <v>66855.824518866662</v>
      </c>
      <c r="E6" s="13">
        <f>IFERROR(C6/B6,0)</f>
        <v>1.4457054967924443</v>
      </c>
      <c r="F6" s="28">
        <f>IFERROR(D6/B6,0)</f>
        <v>0.44570549679244442</v>
      </c>
      <c r="G6" s="28">
        <f>IFERROR(IRR(H6:R6),0)</f>
        <v>3.7547487904214805E-2</v>
      </c>
      <c r="H6" s="13">
        <f>-B6</f>
        <v>-150000</v>
      </c>
      <c r="I6" s="13">
        <f>Waterfall!S5</f>
        <v>0</v>
      </c>
      <c r="J6" s="13">
        <f>Waterfall!S6</f>
        <v>0</v>
      </c>
      <c r="K6" s="13">
        <f>Waterfall!S7</f>
        <v>0</v>
      </c>
      <c r="L6" s="13">
        <f>Waterfall!S8</f>
        <v>0</v>
      </c>
      <c r="M6" s="13">
        <f>Waterfall!S9</f>
        <v>0</v>
      </c>
      <c r="N6" s="13">
        <f>Waterfall!S10</f>
        <v>0</v>
      </c>
      <c r="O6" s="13">
        <f>Waterfall!S11</f>
        <v>0</v>
      </c>
      <c r="P6" s="13">
        <f>Waterfall!S12</f>
        <v>0</v>
      </c>
      <c r="Q6" s="13">
        <f>Waterfall!S13</f>
        <v>0</v>
      </c>
      <c r="R6" s="13">
        <f>Waterfall!S14</f>
        <v>216855.82451886666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3" t="s">
        <v>117</v>
      </c>
      <c r="B9" s="29" t="s">
        <v>331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118</v>
      </c>
      <c r="B1" s="2"/>
    </row>
    <row r="2" spans="1:2" x14ac:dyDescent="0.25">
      <c r="A2" s="2"/>
      <c r="B2" s="2"/>
    </row>
    <row r="3" spans="1:2" x14ac:dyDescent="0.25">
      <c r="A3" s="4" t="s">
        <v>119</v>
      </c>
      <c r="B3" s="2" t="s">
        <v>120</v>
      </c>
    </row>
    <row r="4" spans="1:2" x14ac:dyDescent="0.25">
      <c r="A4" s="4" t="s">
        <v>121</v>
      </c>
      <c r="B4" s="2" t="s">
        <v>122</v>
      </c>
    </row>
    <row r="5" spans="1:2" x14ac:dyDescent="0.25">
      <c r="A5" s="4" t="s">
        <v>114</v>
      </c>
      <c r="B5" s="2" t="s">
        <v>123</v>
      </c>
    </row>
    <row r="6" spans="1:2" x14ac:dyDescent="0.25">
      <c r="A6" s="4" t="s">
        <v>115</v>
      </c>
      <c r="B6" s="2" t="s">
        <v>124</v>
      </c>
    </row>
    <row r="7" spans="1:2" x14ac:dyDescent="0.25">
      <c r="A7" s="4" t="s">
        <v>116</v>
      </c>
      <c r="B7" s="2" t="s">
        <v>125</v>
      </c>
    </row>
    <row r="8" spans="1:2" x14ac:dyDescent="0.25">
      <c r="A8" s="4" t="s">
        <v>126</v>
      </c>
      <c r="B8" s="2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6"/>
  <sheetViews>
    <sheetView topLeftCell="A15" workbookViewId="0">
      <selection activeCell="D17" sqref="D17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78.42578125" style="6" bestFit="1" customWidth="1"/>
    <col min="4" max="4" width="7.5703125" style="6" bestFit="1" customWidth="1"/>
    <col min="5" max="5" width="32" style="6" bestFit="1" customWidth="1"/>
    <col min="6" max="6" width="8.140625" style="6" bestFit="1" customWidth="1"/>
    <col min="7" max="7" width="42.28515625" style="6" bestFit="1" customWidth="1"/>
    <col min="8" max="8" width="18" style="6" bestFit="1" customWidth="1"/>
    <col min="9" max="9" width="7.140625" style="6" bestFit="1" customWidth="1"/>
    <col min="10" max="16384" width="9.140625" style="6"/>
  </cols>
  <sheetData>
    <row r="1" spans="1:9" x14ac:dyDescent="0.25">
      <c r="A1" s="13" t="s">
        <v>128</v>
      </c>
      <c r="B1" s="13"/>
      <c r="C1" s="13"/>
    </row>
    <row r="2" spans="1:9" x14ac:dyDescent="0.25">
      <c r="A2" s="13" t="s">
        <v>129</v>
      </c>
      <c r="B2" s="32" t="s">
        <v>130</v>
      </c>
      <c r="C2" s="30"/>
      <c r="D2" s="30"/>
    </row>
    <row r="3" spans="1:9" x14ac:dyDescent="0.25">
      <c r="A3" s="13" t="s">
        <v>131</v>
      </c>
      <c r="B3" s="32" t="s">
        <v>132</v>
      </c>
      <c r="C3" s="30"/>
      <c r="D3" s="30"/>
      <c r="E3" s="30"/>
      <c r="F3" s="30"/>
      <c r="G3" s="30"/>
    </row>
    <row r="4" spans="1:9" x14ac:dyDescent="0.25">
      <c r="A4" s="13"/>
      <c r="B4" s="13"/>
      <c r="C4" s="13"/>
    </row>
    <row r="5" spans="1:9" x14ac:dyDescent="0.25">
      <c r="A5" s="13" t="s">
        <v>133</v>
      </c>
      <c r="B5" s="11" t="s">
        <v>134</v>
      </c>
      <c r="C5" s="11" t="s">
        <v>135</v>
      </c>
      <c r="E5" s="6" t="s">
        <v>136</v>
      </c>
      <c r="F5" s="6" t="s">
        <v>134</v>
      </c>
      <c r="G5" s="6" t="s">
        <v>135</v>
      </c>
      <c r="H5" s="6" t="s">
        <v>301</v>
      </c>
    </row>
    <row r="6" spans="1:9" x14ac:dyDescent="0.25">
      <c r="A6" s="13" t="s">
        <v>299</v>
      </c>
      <c r="B6" s="13">
        <f>ExistingFirstMortgagePrincipal</f>
        <v>119000</v>
      </c>
      <c r="C6" s="13" t="s">
        <v>300</v>
      </c>
      <c r="E6" s="6" t="s">
        <v>137</v>
      </c>
      <c r="F6" s="13">
        <f>ClassACapital</f>
        <v>300000</v>
      </c>
      <c r="G6" s="6" t="s">
        <v>138</v>
      </c>
      <c r="H6" s="6" t="s">
        <v>302</v>
      </c>
      <c r="I6" s="28">
        <f>ExistingFirstMortgageRate</f>
        <v>3.2500000000000001E-2</v>
      </c>
    </row>
    <row r="7" spans="1:9" x14ac:dyDescent="0.25">
      <c r="A7" s="13" t="s">
        <v>139</v>
      </c>
      <c r="B7" s="13">
        <f>PrivateDebtPrincipal</f>
        <v>75000</v>
      </c>
      <c r="C7" s="13" t="s">
        <v>140</v>
      </c>
      <c r="E7" s="6" t="s">
        <v>141</v>
      </c>
      <c r="F7" s="13">
        <f>ClassBCapital</f>
        <v>450000</v>
      </c>
      <c r="G7" s="6" t="s">
        <v>142</v>
      </c>
      <c r="H7" s="6" t="s">
        <v>303</v>
      </c>
      <c r="I7" s="28">
        <f>PrivateDebtInterestRate</f>
        <v>0.1</v>
      </c>
    </row>
    <row r="8" spans="1:9" x14ac:dyDescent="0.25">
      <c r="A8" s="13" t="s">
        <v>320</v>
      </c>
      <c r="B8" s="13">
        <f>ExistingFirstMortgageMonthlyPI</f>
        <v>526</v>
      </c>
      <c r="C8" s="13" t="s">
        <v>321</v>
      </c>
      <c r="E8" s="6" t="s">
        <v>143</v>
      </c>
      <c r="F8" s="13">
        <v>0</v>
      </c>
      <c r="G8" s="6" t="s">
        <v>144</v>
      </c>
    </row>
    <row r="9" spans="1:9" x14ac:dyDescent="0.25">
      <c r="A9" s="13" t="s">
        <v>322</v>
      </c>
      <c r="B9" s="13">
        <f>ExistingFirstMortgageAnnualPayment</f>
        <v>6312</v>
      </c>
      <c r="C9" s="13" t="s">
        <v>323</v>
      </c>
      <c r="E9" s="6" t="s">
        <v>147</v>
      </c>
      <c r="F9" s="13">
        <f>RefinanceProceedsAfterExistingDebt</f>
        <v>550863.0399999998</v>
      </c>
      <c r="G9" s="6" t="s">
        <v>148</v>
      </c>
    </row>
    <row r="10" spans="1:9" x14ac:dyDescent="0.25">
      <c r="A10" s="13" t="s">
        <v>308</v>
      </c>
      <c r="B10" s="13">
        <f>PrivateDebtAnnualInterestPayment</f>
        <v>7500</v>
      </c>
      <c r="C10" s="13" t="s">
        <v>309</v>
      </c>
      <c r="E10" s="6" t="s">
        <v>149</v>
      </c>
      <c r="F10" s="13">
        <f>RefinanceProceedsAfterDebtAndClassA</f>
        <v>250863.0399999998</v>
      </c>
      <c r="G10" s="6" t="s">
        <v>150</v>
      </c>
    </row>
    <row r="11" spans="1:9" ht="15.75" thickBot="1" x14ac:dyDescent="0.3">
      <c r="A11" s="13" t="s">
        <v>310</v>
      </c>
      <c r="B11" s="13">
        <f>ExistingDebtServiceAnnual</f>
        <v>13812</v>
      </c>
      <c r="C11" s="13" t="s">
        <v>311</v>
      </c>
      <c r="E11" s="6" t="s">
        <v>145</v>
      </c>
      <c r="F11" s="13">
        <f>RefinanceLoanAmount</f>
        <v>744863.0399999998</v>
      </c>
      <c r="G11" s="6" t="s">
        <v>146</v>
      </c>
    </row>
    <row r="12" spans="1:9" ht="15.75" thickBot="1" x14ac:dyDescent="0.3">
      <c r="A12" s="13"/>
      <c r="B12" s="17" t="s">
        <v>151</v>
      </c>
      <c r="C12" s="16" t="s">
        <v>152</v>
      </c>
      <c r="D12" s="5"/>
    </row>
    <row r="13" spans="1:9" ht="15.75" thickBot="1" x14ac:dyDescent="0.3">
      <c r="A13" s="7" t="s">
        <v>153</v>
      </c>
      <c r="B13" s="12" t="b">
        <f>$C$12="Low"</f>
        <v>1</v>
      </c>
      <c r="C13" s="12" t="b">
        <f>$C$12="High"</f>
        <v>0</v>
      </c>
      <c r="E13" s="12" t="s">
        <v>154</v>
      </c>
      <c r="F13" s="5"/>
      <c r="G13" s="5"/>
      <c r="H13" s="5"/>
    </row>
    <row r="14" spans="1:9" ht="15.75" thickBot="1" x14ac:dyDescent="0.3">
      <c r="A14" s="13" t="s">
        <v>155</v>
      </c>
      <c r="B14" s="13">
        <f>B32</f>
        <v>750000</v>
      </c>
      <c r="C14" s="13">
        <f>C32</f>
        <v>1500000</v>
      </c>
      <c r="D14" s="13" t="b">
        <f>$E$14="Sponsor-Controlled"</f>
        <v>1</v>
      </c>
      <c r="E14" s="16" t="s">
        <v>156</v>
      </c>
    </row>
    <row r="15" spans="1:9" x14ac:dyDescent="0.25">
      <c r="A15" s="13" t="s">
        <v>157</v>
      </c>
      <c r="B15" s="13">
        <f>B46+B55+B64</f>
        <v>1880000</v>
      </c>
      <c r="C15" s="13">
        <f>C46+C55+C64</f>
        <v>4160000</v>
      </c>
      <c r="D15" s="13" t="b">
        <f>$E$14="Outside-Market Benchmark"</f>
        <v>0</v>
      </c>
    </row>
    <row r="16" spans="1:9" x14ac:dyDescent="0.25">
      <c r="A16" s="7" t="s">
        <v>158</v>
      </c>
      <c r="B16" s="7" t="str">
        <f>$E$14</f>
        <v>Sponsor-Controlled</v>
      </c>
      <c r="C16" s="7" t="str">
        <f>$C$12</f>
        <v>Low</v>
      </c>
      <c r="D16" s="7"/>
      <c r="E16" s="5"/>
      <c r="F16" s="5"/>
      <c r="G16" s="5"/>
      <c r="H16" s="5"/>
    </row>
    <row r="17" spans="1:8" x14ac:dyDescent="0.25">
      <c r="A17" s="7" t="s">
        <v>159</v>
      </c>
      <c r="B17" s="7">
        <f>IF($C$12="Low",IF($E$14="Sponsor-Controlled",B14,B15),"")</f>
        <v>750000</v>
      </c>
      <c r="C17" s="7" t="str">
        <f>IF($C$12="High",IF($E$14="Sponsor-Controlled",C14,C15),"")</f>
        <v/>
      </c>
      <c r="D17" s="7">
        <f>IF($C$12="Low",B17,C17)</f>
        <v>750000</v>
      </c>
      <c r="E17" s="5"/>
      <c r="F17" s="5"/>
      <c r="G17" s="5"/>
      <c r="H17" s="5"/>
    </row>
    <row r="18" spans="1:8" x14ac:dyDescent="0.25">
      <c r="A18" s="13"/>
      <c r="B18" s="13"/>
      <c r="C18" s="13"/>
      <c r="D18" s="15"/>
    </row>
    <row r="19" spans="1:8" x14ac:dyDescent="0.25">
      <c r="A19" s="6" t="s">
        <v>160</v>
      </c>
      <c r="B19" s="14" t="s">
        <v>161</v>
      </c>
      <c r="C19" s="14" t="s">
        <v>162</v>
      </c>
      <c r="D19" s="15"/>
    </row>
    <row r="20" spans="1:8" x14ac:dyDescent="0.25">
      <c r="B20" s="13"/>
      <c r="C20" s="13"/>
    </row>
    <row r="21" spans="1:8" x14ac:dyDescent="0.25">
      <c r="A21" s="6" t="s">
        <v>163</v>
      </c>
      <c r="B21" s="13">
        <f>$D$17/5000</f>
        <v>150</v>
      </c>
      <c r="C21" s="13"/>
    </row>
    <row r="22" spans="1:8" x14ac:dyDescent="0.25">
      <c r="A22" s="6" t="s">
        <v>164</v>
      </c>
      <c r="B22" s="13">
        <f>$D$17/6000</f>
        <v>125</v>
      </c>
      <c r="C22" s="13"/>
    </row>
    <row r="23" spans="1:8" x14ac:dyDescent="0.25">
      <c r="B23" s="13"/>
      <c r="C23" s="13"/>
    </row>
    <row r="24" spans="1:8" x14ac:dyDescent="0.25">
      <c r="A24" s="5" t="s">
        <v>165</v>
      </c>
      <c r="B24" s="12" t="s">
        <v>152</v>
      </c>
      <c r="C24" s="12" t="s">
        <v>166</v>
      </c>
    </row>
    <row r="25" spans="1:8" x14ac:dyDescent="0.25">
      <c r="A25" s="6" t="s">
        <v>167</v>
      </c>
      <c r="B25" s="13">
        <v>75000</v>
      </c>
      <c r="C25" s="13">
        <v>175000</v>
      </c>
    </row>
    <row r="26" spans="1:8" x14ac:dyDescent="0.25">
      <c r="A26" s="6" t="s">
        <v>168</v>
      </c>
      <c r="B26" s="13">
        <v>50000</v>
      </c>
      <c r="C26" s="13">
        <v>125000</v>
      </c>
    </row>
    <row r="27" spans="1:8" x14ac:dyDescent="0.25">
      <c r="A27" s="6" t="s">
        <v>169</v>
      </c>
      <c r="B27" s="13">
        <v>390000</v>
      </c>
      <c r="C27" s="13">
        <v>610000</v>
      </c>
    </row>
    <row r="28" spans="1:8" x14ac:dyDescent="0.25">
      <c r="A28" s="6" t="s">
        <v>170</v>
      </c>
      <c r="B28" s="13">
        <v>55000</v>
      </c>
      <c r="C28" s="13">
        <v>110000</v>
      </c>
    </row>
    <row r="29" spans="1:8" x14ac:dyDescent="0.25">
      <c r="A29" s="6" t="s">
        <v>171</v>
      </c>
      <c r="B29" s="13">
        <v>90000</v>
      </c>
      <c r="C29" s="13">
        <v>225000</v>
      </c>
    </row>
    <row r="30" spans="1:8" x14ac:dyDescent="0.25">
      <c r="A30" s="6" t="s">
        <v>172</v>
      </c>
      <c r="B30" s="13">
        <v>30000</v>
      </c>
      <c r="C30" s="13">
        <v>100000</v>
      </c>
    </row>
    <row r="31" spans="1:8" x14ac:dyDescent="0.25">
      <c r="A31" s="6" t="s">
        <v>173</v>
      </c>
      <c r="B31" s="13">
        <v>60000</v>
      </c>
      <c r="C31" s="13">
        <v>155000</v>
      </c>
    </row>
    <row r="32" spans="1:8" x14ac:dyDescent="0.25">
      <c r="A32" s="8" t="s">
        <v>174</v>
      </c>
      <c r="B32" s="7">
        <f>SUM(B25:B31)</f>
        <v>750000</v>
      </c>
      <c r="C32" s="7">
        <f>SUM(C25:C31)</f>
        <v>1500000</v>
      </c>
    </row>
    <row r="33" spans="1:3" x14ac:dyDescent="0.25">
      <c r="A33" s="13" t="s">
        <v>175</v>
      </c>
      <c r="B33" s="11" t="s">
        <v>176</v>
      </c>
      <c r="C33" s="11"/>
    </row>
    <row r="34" spans="1:3" x14ac:dyDescent="0.25">
      <c r="A34" s="13" t="s">
        <v>177</v>
      </c>
      <c r="B34" s="13">
        <f>$D$17</f>
        <v>750000</v>
      </c>
      <c r="C34" s="13"/>
    </row>
    <row r="35" spans="1:3" x14ac:dyDescent="0.25">
      <c r="A35" s="13" t="s">
        <v>178</v>
      </c>
      <c r="B35" s="13">
        <f>$B$11</f>
        <v>13812</v>
      </c>
      <c r="C35" s="13"/>
    </row>
    <row r="36" spans="1:3" x14ac:dyDescent="0.25">
      <c r="A36" s="13" t="s">
        <v>179</v>
      </c>
      <c r="B36" s="13">
        <f>MAX(0,B34-B35)</f>
        <v>736188</v>
      </c>
      <c r="C36" s="13"/>
    </row>
    <row r="37" spans="1:3" x14ac:dyDescent="0.25">
      <c r="A37" s="13"/>
      <c r="B37" s="13"/>
      <c r="C37" s="13"/>
    </row>
    <row r="38" spans="1:3" x14ac:dyDescent="0.25">
      <c r="A38" s="10" t="s">
        <v>180</v>
      </c>
      <c r="B38" s="10" t="s">
        <v>152</v>
      </c>
      <c r="C38" s="10" t="s">
        <v>166</v>
      </c>
    </row>
    <row r="39" spans="1:3" x14ac:dyDescent="0.25">
      <c r="A39" s="10" t="s">
        <v>181</v>
      </c>
      <c r="B39" s="10">
        <v>35000</v>
      </c>
      <c r="C39" s="10">
        <v>90000</v>
      </c>
    </row>
    <row r="40" spans="1:3" x14ac:dyDescent="0.25">
      <c r="A40" s="10" t="s">
        <v>182</v>
      </c>
      <c r="B40" s="10">
        <v>20000</v>
      </c>
      <c r="C40" s="10">
        <v>60000</v>
      </c>
    </row>
    <row r="41" spans="1:3" x14ac:dyDescent="0.25">
      <c r="A41" s="10" t="s">
        <v>183</v>
      </c>
      <c r="B41" s="10">
        <v>20000</v>
      </c>
      <c r="C41" s="10">
        <v>90000</v>
      </c>
    </row>
    <row r="42" spans="1:3" x14ac:dyDescent="0.25">
      <c r="A42" s="10" t="s">
        <v>184</v>
      </c>
      <c r="B42" s="10">
        <v>10000</v>
      </c>
      <c r="C42" s="10">
        <v>30000</v>
      </c>
    </row>
    <row r="43" spans="1:3" x14ac:dyDescent="0.25">
      <c r="A43" s="10" t="s">
        <v>185</v>
      </c>
      <c r="B43" s="10">
        <v>15000</v>
      </c>
      <c r="C43" s="10">
        <v>50000</v>
      </c>
    </row>
    <row r="44" spans="1:3" x14ac:dyDescent="0.25">
      <c r="A44" s="10" t="s">
        <v>186</v>
      </c>
      <c r="B44" s="10">
        <v>15000</v>
      </c>
      <c r="C44" s="10">
        <v>40000</v>
      </c>
    </row>
    <row r="45" spans="1:3" x14ac:dyDescent="0.25">
      <c r="A45" s="10" t="s">
        <v>187</v>
      </c>
      <c r="B45" s="10">
        <v>15000</v>
      </c>
      <c r="C45" s="10">
        <v>45000</v>
      </c>
    </row>
    <row r="46" spans="1:3" x14ac:dyDescent="0.25">
      <c r="A46" s="10" t="s">
        <v>188</v>
      </c>
      <c r="B46" s="10">
        <f>SUM(B39:B45)</f>
        <v>130000</v>
      </c>
      <c r="C46" s="10">
        <f>SUM(C39:C45)</f>
        <v>405000</v>
      </c>
    </row>
    <row r="47" spans="1:3" x14ac:dyDescent="0.25">
      <c r="A47" s="10"/>
      <c r="B47" s="10"/>
      <c r="C47" s="10"/>
    </row>
    <row r="48" spans="1:3" x14ac:dyDescent="0.25">
      <c r="A48" s="10" t="s">
        <v>189</v>
      </c>
      <c r="B48" s="10" t="s">
        <v>152</v>
      </c>
      <c r="C48" s="10" t="s">
        <v>166</v>
      </c>
    </row>
    <row r="49" spans="1:3" x14ac:dyDescent="0.25">
      <c r="A49" s="10" t="s">
        <v>190</v>
      </c>
      <c r="B49" s="10">
        <v>50000</v>
      </c>
      <c r="C49" s="10">
        <v>150000</v>
      </c>
    </row>
    <row r="50" spans="1:3" x14ac:dyDescent="0.25">
      <c r="A50" s="10" t="s">
        <v>191</v>
      </c>
      <c r="B50" s="10">
        <v>40000</v>
      </c>
      <c r="C50" s="10">
        <v>120000</v>
      </c>
    </row>
    <row r="51" spans="1:3" x14ac:dyDescent="0.25">
      <c r="A51" s="10" t="s">
        <v>192</v>
      </c>
      <c r="B51" s="10">
        <v>25000</v>
      </c>
      <c r="C51" s="10">
        <v>75000</v>
      </c>
    </row>
    <row r="52" spans="1:3" x14ac:dyDescent="0.25">
      <c r="A52" s="10" t="s">
        <v>193</v>
      </c>
      <c r="B52" s="10">
        <v>10000</v>
      </c>
      <c r="C52" s="10">
        <v>30000</v>
      </c>
    </row>
    <row r="53" spans="1:3" x14ac:dyDescent="0.25">
      <c r="A53" s="10" t="s">
        <v>194</v>
      </c>
      <c r="B53" s="10">
        <v>20000</v>
      </c>
      <c r="C53" s="10">
        <v>60000</v>
      </c>
    </row>
    <row r="54" spans="1:3" x14ac:dyDescent="0.25">
      <c r="A54" s="10" t="s">
        <v>195</v>
      </c>
      <c r="B54" s="10">
        <v>40000</v>
      </c>
      <c r="C54" s="10">
        <v>125000</v>
      </c>
    </row>
    <row r="55" spans="1:3" x14ac:dyDescent="0.25">
      <c r="A55" s="10" t="s">
        <v>196</v>
      </c>
      <c r="B55" s="10">
        <f>SUM(B49:B54)</f>
        <v>185000</v>
      </c>
      <c r="C55" s="10">
        <f>SUM(C49:C54)</f>
        <v>560000</v>
      </c>
    </row>
    <row r="56" spans="1:3" x14ac:dyDescent="0.25">
      <c r="A56" s="10"/>
      <c r="B56" s="10"/>
      <c r="C56" s="10"/>
    </row>
    <row r="57" spans="1:3" x14ac:dyDescent="0.25">
      <c r="A57" s="10" t="s">
        <v>197</v>
      </c>
      <c r="B57" s="10" t="s">
        <v>152</v>
      </c>
      <c r="C57" s="10" t="s">
        <v>166</v>
      </c>
    </row>
    <row r="58" spans="1:3" x14ac:dyDescent="0.25">
      <c r="A58" s="10" t="s">
        <v>198</v>
      </c>
      <c r="B58" s="10">
        <v>1125000</v>
      </c>
      <c r="C58" s="10">
        <v>1950000</v>
      </c>
    </row>
    <row r="59" spans="1:3" x14ac:dyDescent="0.25">
      <c r="A59" s="10" t="s">
        <v>199</v>
      </c>
      <c r="B59" s="10">
        <v>125000</v>
      </c>
      <c r="C59" s="10">
        <v>350000</v>
      </c>
    </row>
    <row r="60" spans="1:3" x14ac:dyDescent="0.25">
      <c r="A60" s="10" t="s">
        <v>200</v>
      </c>
      <c r="B60" s="10">
        <v>35000</v>
      </c>
      <c r="C60" s="10">
        <v>125000</v>
      </c>
    </row>
    <row r="61" spans="1:3" x14ac:dyDescent="0.25">
      <c r="A61" s="10" t="s">
        <v>201</v>
      </c>
      <c r="B61" s="10">
        <v>75000</v>
      </c>
      <c r="C61" s="10">
        <v>300000</v>
      </c>
    </row>
    <row r="62" spans="1:3" x14ac:dyDescent="0.25">
      <c r="A62" s="10" t="s">
        <v>172</v>
      </c>
      <c r="B62" s="10">
        <v>60000</v>
      </c>
      <c r="C62" s="10">
        <v>180000</v>
      </c>
    </row>
    <row r="63" spans="1:3" x14ac:dyDescent="0.25">
      <c r="A63" s="10" t="s">
        <v>202</v>
      </c>
      <c r="B63" s="10">
        <v>145000</v>
      </c>
      <c r="C63" s="10">
        <v>290000</v>
      </c>
    </row>
    <row r="64" spans="1:3" x14ac:dyDescent="0.25">
      <c r="A64" s="10" t="s">
        <v>203</v>
      </c>
      <c r="B64" s="10">
        <f>SUM(B58:B63)</f>
        <v>1565000</v>
      </c>
      <c r="C64" s="10">
        <f>SUM(C58:C63)</f>
        <v>3195000</v>
      </c>
    </row>
    <row r="66" spans="1:5" x14ac:dyDescent="0.25">
      <c r="A66" s="5" t="s">
        <v>204</v>
      </c>
    </row>
    <row r="67" spans="1:5" x14ac:dyDescent="0.25">
      <c r="A67" s="6" t="s">
        <v>205</v>
      </c>
      <c r="B67" s="30" t="s">
        <v>206</v>
      </c>
      <c r="C67" s="30"/>
      <c r="D67" s="30"/>
    </row>
    <row r="70" spans="1:5" x14ac:dyDescent="0.25">
      <c r="A70" s="5" t="s">
        <v>207</v>
      </c>
    </row>
    <row r="71" spans="1:5" x14ac:dyDescent="0.25">
      <c r="A71" s="6" t="s">
        <v>208</v>
      </c>
      <c r="B71" s="6" t="s">
        <v>209</v>
      </c>
      <c r="C71" s="30" t="s">
        <v>210</v>
      </c>
      <c r="D71" s="30"/>
      <c r="E71" s="30"/>
    </row>
    <row r="72" spans="1:5" x14ac:dyDescent="0.25">
      <c r="A72" s="6" t="s">
        <v>211</v>
      </c>
      <c r="B72" s="6" t="s">
        <v>209</v>
      </c>
      <c r="C72" s="30" t="s">
        <v>210</v>
      </c>
      <c r="D72" s="30"/>
      <c r="E72" s="30"/>
    </row>
    <row r="73" spans="1:5" x14ac:dyDescent="0.25">
      <c r="A73" s="6" t="s">
        <v>212</v>
      </c>
      <c r="B73" s="6" t="s">
        <v>209</v>
      </c>
      <c r="C73" s="30" t="s">
        <v>210</v>
      </c>
      <c r="D73" s="30"/>
      <c r="E73" s="30"/>
    </row>
    <row r="74" spans="1:5" x14ac:dyDescent="0.25">
      <c r="A74" s="6" t="s">
        <v>213</v>
      </c>
      <c r="B74" s="6" t="s">
        <v>209</v>
      </c>
      <c r="C74" s="30" t="s">
        <v>210</v>
      </c>
      <c r="D74" s="30"/>
      <c r="E74" s="30"/>
    </row>
    <row r="75" spans="1:5" x14ac:dyDescent="0.25">
      <c r="A75" s="6" t="s">
        <v>214</v>
      </c>
      <c r="B75" s="6" t="s">
        <v>215</v>
      </c>
      <c r="C75" s="30" t="s">
        <v>216</v>
      </c>
      <c r="D75" s="30"/>
      <c r="E75" s="30"/>
    </row>
    <row r="76" spans="1:5" x14ac:dyDescent="0.25">
      <c r="A76" s="6" t="s">
        <v>217</v>
      </c>
      <c r="B76" s="6" t="s">
        <v>209</v>
      </c>
      <c r="C76" s="30" t="s">
        <v>218</v>
      </c>
      <c r="D76" s="30"/>
      <c r="E76" s="30"/>
    </row>
    <row r="77" spans="1:5" x14ac:dyDescent="0.25">
      <c r="A77" s="6" t="s">
        <v>219</v>
      </c>
      <c r="B77" s="6" t="s">
        <v>209</v>
      </c>
      <c r="C77" s="30" t="s">
        <v>220</v>
      </c>
      <c r="D77" s="30"/>
      <c r="E77" s="30"/>
    </row>
    <row r="78" spans="1:5" x14ac:dyDescent="0.25">
      <c r="A78" s="6" t="s">
        <v>221</v>
      </c>
      <c r="B78" s="6" t="s">
        <v>209</v>
      </c>
      <c r="C78" s="30" t="s">
        <v>222</v>
      </c>
      <c r="D78" s="30"/>
      <c r="E78" s="30"/>
    </row>
    <row r="80" spans="1:5" x14ac:dyDescent="0.25">
      <c r="A80" s="5" t="s">
        <v>223</v>
      </c>
    </row>
    <row r="81" spans="1:5" x14ac:dyDescent="0.25">
      <c r="A81" s="6" t="s">
        <v>224</v>
      </c>
      <c r="B81" s="6" t="s">
        <v>209</v>
      </c>
      <c r="C81" s="30" t="s">
        <v>225</v>
      </c>
      <c r="D81" s="30"/>
      <c r="E81" s="30"/>
    </row>
    <row r="82" spans="1:5" x14ac:dyDescent="0.25">
      <c r="A82" s="6" t="s">
        <v>226</v>
      </c>
      <c r="B82" s="6" t="s">
        <v>215</v>
      </c>
    </row>
    <row r="83" spans="1:5" x14ac:dyDescent="0.25">
      <c r="A83" s="6" t="s">
        <v>227</v>
      </c>
      <c r="B83" s="6" t="s">
        <v>215</v>
      </c>
    </row>
    <row r="84" spans="1:5" x14ac:dyDescent="0.25">
      <c r="A84" s="6" t="s">
        <v>228</v>
      </c>
      <c r="B84" s="6" t="s">
        <v>215</v>
      </c>
    </row>
    <row r="85" spans="1:5" x14ac:dyDescent="0.25">
      <c r="A85" s="6" t="s">
        <v>229</v>
      </c>
      <c r="B85" s="6" t="s">
        <v>215</v>
      </c>
    </row>
    <row r="86" spans="1:5" x14ac:dyDescent="0.25">
      <c r="A86" s="6" t="s">
        <v>230</v>
      </c>
      <c r="B86" s="6" t="s">
        <v>209</v>
      </c>
      <c r="C86" s="30" t="s">
        <v>231</v>
      </c>
      <c r="D86" s="30"/>
      <c r="E86" s="30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232</v>
      </c>
      <c r="B1" s="5"/>
      <c r="C1" s="5"/>
    </row>
    <row r="3" spans="1:9" x14ac:dyDescent="0.25">
      <c r="A3" s="5" t="s">
        <v>233</v>
      </c>
      <c r="B3" s="5"/>
      <c r="C3" s="5"/>
    </row>
    <row r="4" spans="1:9" x14ac:dyDescent="0.25">
      <c r="A4" t="s">
        <v>234</v>
      </c>
      <c r="C4" t="s">
        <v>235</v>
      </c>
      <c r="I4" t="b">
        <v>0</v>
      </c>
    </row>
    <row r="5" spans="1:9" x14ac:dyDescent="0.25">
      <c r="A5" t="s">
        <v>236</v>
      </c>
      <c r="B5" s="1">
        <v>0.4</v>
      </c>
      <c r="C5" t="s">
        <v>237</v>
      </c>
    </row>
    <row r="6" spans="1:9" ht="15.75" thickBot="1" x14ac:dyDescent="0.3">
      <c r="A6" t="s">
        <v>238</v>
      </c>
      <c r="B6" s="1">
        <f>IFERROR(B36/B10,0)</f>
        <v>0.65890083632019114</v>
      </c>
      <c r="C6" t="s">
        <v>239</v>
      </c>
    </row>
    <row r="7" spans="1:9" ht="15.75" thickBot="1" x14ac:dyDescent="0.3">
      <c r="A7" s="18" t="s">
        <v>21</v>
      </c>
      <c r="B7" s="19">
        <f>IF(I4,B6,B5)</f>
        <v>0.4</v>
      </c>
      <c r="C7" t="s">
        <v>240</v>
      </c>
    </row>
    <row r="9" spans="1:9" x14ac:dyDescent="0.25">
      <c r="A9" s="5" t="s">
        <v>241</v>
      </c>
      <c r="B9" s="5"/>
      <c r="C9" s="5"/>
    </row>
    <row r="10" spans="1:9" x14ac:dyDescent="0.25">
      <c r="A10" t="s">
        <v>242</v>
      </c>
      <c r="B10" s="2">
        <f>StabilizedMonthlyGrossRent*12*StabilizedOccupancy</f>
        <v>120528</v>
      </c>
      <c r="C10" t="s">
        <v>243</v>
      </c>
    </row>
    <row r="11" spans="1:9" x14ac:dyDescent="0.25">
      <c r="B11" s="2"/>
    </row>
    <row r="12" spans="1:9" x14ac:dyDescent="0.25">
      <c r="A12" s="5" t="s">
        <v>244</v>
      </c>
      <c r="B12" s="7" t="s">
        <v>245</v>
      </c>
      <c r="C12" s="5" t="s">
        <v>246</v>
      </c>
    </row>
    <row r="13" spans="1:9" x14ac:dyDescent="0.25">
      <c r="A13" t="s">
        <v>247</v>
      </c>
      <c r="B13" s="9">
        <v>7000</v>
      </c>
      <c r="C13" t="s">
        <v>248</v>
      </c>
    </row>
    <row r="14" spans="1:9" x14ac:dyDescent="0.25">
      <c r="A14" t="s">
        <v>249</v>
      </c>
      <c r="B14" s="2">
        <v>9000</v>
      </c>
      <c r="C14" t="s">
        <v>250</v>
      </c>
    </row>
    <row r="15" spans="1:9" x14ac:dyDescent="0.25">
      <c r="A15" t="s">
        <v>251</v>
      </c>
      <c r="B15" s="9">
        <f>+D15*StabilizedMonthlyGrossRent*12</f>
        <v>7776</v>
      </c>
      <c r="C15" t="s">
        <v>252</v>
      </c>
      <c r="D15" s="21">
        <v>0.06</v>
      </c>
    </row>
    <row r="16" spans="1:9" x14ac:dyDescent="0.25">
      <c r="A16" t="s">
        <v>253</v>
      </c>
      <c r="B16" s="9">
        <v>15000</v>
      </c>
      <c r="C16" t="s">
        <v>254</v>
      </c>
    </row>
    <row r="17" spans="1:3" x14ac:dyDescent="0.25">
      <c r="A17" t="s">
        <v>255</v>
      </c>
      <c r="B17" s="9">
        <v>500</v>
      </c>
      <c r="C17" t="s">
        <v>256</v>
      </c>
    </row>
    <row r="18" spans="1:3" x14ac:dyDescent="0.25">
      <c r="A18" t="s">
        <v>257</v>
      </c>
      <c r="B18" s="9">
        <v>2400</v>
      </c>
      <c r="C18" t="s">
        <v>258</v>
      </c>
    </row>
    <row r="19" spans="1:3" x14ac:dyDescent="0.25">
      <c r="A19" t="s">
        <v>259</v>
      </c>
      <c r="B19" s="9">
        <v>1800</v>
      </c>
      <c r="C19" t="s">
        <v>260</v>
      </c>
    </row>
    <row r="20" spans="1:3" x14ac:dyDescent="0.25">
      <c r="A20" t="s">
        <v>261</v>
      </c>
      <c r="B20" s="9">
        <v>9000</v>
      </c>
      <c r="C20" t="s">
        <v>262</v>
      </c>
    </row>
    <row r="21" spans="1:3" x14ac:dyDescent="0.25">
      <c r="A21" t="s">
        <v>263</v>
      </c>
      <c r="B21" s="9">
        <f>200*8</f>
        <v>1600</v>
      </c>
      <c r="C21" t="s">
        <v>264</v>
      </c>
    </row>
    <row r="22" spans="1:3" x14ac:dyDescent="0.25">
      <c r="A22" t="s">
        <v>265</v>
      </c>
      <c r="B22" s="9">
        <v>3600</v>
      </c>
      <c r="C22" t="s">
        <v>266</v>
      </c>
    </row>
    <row r="23" spans="1:3" x14ac:dyDescent="0.25">
      <c r="A23" t="s">
        <v>267</v>
      </c>
      <c r="B23" s="9">
        <v>1200</v>
      </c>
      <c r="C23" t="s">
        <v>260</v>
      </c>
    </row>
    <row r="24" spans="1:3" x14ac:dyDescent="0.25">
      <c r="A24" t="s">
        <v>268</v>
      </c>
      <c r="B24" s="9">
        <v>3000</v>
      </c>
      <c r="C24" t="s">
        <v>269</v>
      </c>
    </row>
    <row r="25" spans="1:3" x14ac:dyDescent="0.25">
      <c r="A25" t="s">
        <v>270</v>
      </c>
      <c r="B25" s="9">
        <v>4000</v>
      </c>
      <c r="C25" t="s">
        <v>271</v>
      </c>
    </row>
    <row r="26" spans="1:3" x14ac:dyDescent="0.25">
      <c r="A26" t="s">
        <v>272</v>
      </c>
      <c r="B26" s="2">
        <v>0</v>
      </c>
      <c r="C26" t="s">
        <v>273</v>
      </c>
    </row>
    <row r="27" spans="1:3" x14ac:dyDescent="0.25">
      <c r="A27" t="s">
        <v>274</v>
      </c>
      <c r="B27" s="2">
        <f>120*12</f>
        <v>1440</v>
      </c>
      <c r="C27" t="s">
        <v>275</v>
      </c>
    </row>
    <row r="28" spans="1:3" x14ac:dyDescent="0.25">
      <c r="A28" t="s">
        <v>276</v>
      </c>
      <c r="B28" s="2"/>
      <c r="C28" t="s">
        <v>277</v>
      </c>
    </row>
    <row r="29" spans="1:3" x14ac:dyDescent="0.25">
      <c r="A29" t="s">
        <v>278</v>
      </c>
      <c r="B29" s="2">
        <v>1200</v>
      </c>
      <c r="C29" t="s">
        <v>279</v>
      </c>
    </row>
    <row r="30" spans="1:3" x14ac:dyDescent="0.25">
      <c r="A30" t="s">
        <v>280</v>
      </c>
      <c r="B30" s="2"/>
      <c r="C30" t="s">
        <v>281</v>
      </c>
    </row>
    <row r="31" spans="1:3" x14ac:dyDescent="0.25">
      <c r="A31" t="s">
        <v>282</v>
      </c>
      <c r="B31" s="2">
        <v>2400</v>
      </c>
      <c r="C31" t="s">
        <v>283</v>
      </c>
    </row>
    <row r="32" spans="1:3" x14ac:dyDescent="0.25">
      <c r="A32" t="s">
        <v>284</v>
      </c>
      <c r="B32" s="2">
        <v>1200</v>
      </c>
      <c r="C32" t="s">
        <v>285</v>
      </c>
    </row>
    <row r="33" spans="1:3" x14ac:dyDescent="0.25">
      <c r="A33" t="s">
        <v>286</v>
      </c>
      <c r="B33" s="2">
        <v>800</v>
      </c>
      <c r="C33" t="s">
        <v>287</v>
      </c>
    </row>
    <row r="34" spans="1:3" x14ac:dyDescent="0.25">
      <c r="A34" t="s">
        <v>288</v>
      </c>
      <c r="B34" s="2">
        <v>2500</v>
      </c>
      <c r="C34" t="s">
        <v>289</v>
      </c>
    </row>
    <row r="35" spans="1:3" x14ac:dyDescent="0.25">
      <c r="A35" s="5" t="s">
        <v>290</v>
      </c>
      <c r="B35" s="7">
        <v>4000</v>
      </c>
      <c r="C35" s="5" t="s">
        <v>291</v>
      </c>
    </row>
    <row r="36" spans="1:3" x14ac:dyDescent="0.25">
      <c r="A36" s="5" t="s">
        <v>292</v>
      </c>
      <c r="B36" s="7">
        <f>SUM(B13:B35)</f>
        <v>79416</v>
      </c>
      <c r="C36" s="5" t="s">
        <v>293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58</vt:i4>
      </vt:variant>
    </vt:vector>
  </HeadingPairs>
  <TitlesOfParts>
    <vt:vector size="65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2026-05-14T18:03:42Z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